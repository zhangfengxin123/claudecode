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warehouse\work_warehouse\lianhe\python\0_国投风险排查\1228处理\新处理\20260104新处理\国投报告0116\"/>
    </mc:Choice>
  </mc:AlternateContent>
  <xr:revisionPtr revIDLastSave="0" documentId="13_ncr:1_{0BD38AC5-C1BA-4049-AEBE-66925534522C}" xr6:coauthVersionLast="47" xr6:coauthVersionMax="47" xr10:uidLastSave="{00000000-0000-0000-0000-000000000000}"/>
  <bookViews>
    <workbookView xWindow="-98" yWindow="-98" windowWidth="23236" windowHeight="13875" xr2:uid="{00000000-000D-0000-FFFF-FFFF00000000}"/>
  </bookViews>
  <sheets>
    <sheet name="2_清单企业基本信息" sheetId="2" r:id="rId1"/>
  </sheets>
  <externalReferences>
    <externalReference r:id="rId2"/>
  </externalReferences>
  <definedNames>
    <definedName name="_xlnm._FilterDatabase" localSheetId="0" hidden="1">'2_清单企业基本信息'!$A$1:$AL$1086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87" i="2" l="1"/>
  <c r="L1087" i="2"/>
  <c r="I1087" i="2"/>
  <c r="M1086" i="2"/>
  <c r="L1086" i="2"/>
  <c r="I1086" i="2"/>
  <c r="M1085" i="2"/>
  <c r="L1085" i="2"/>
  <c r="I1085" i="2"/>
  <c r="M1084" i="2"/>
  <c r="L1084" i="2"/>
  <c r="I1084" i="2"/>
  <c r="M1083" i="2"/>
  <c r="L1083" i="2"/>
  <c r="I1083" i="2"/>
  <c r="M1082" i="2"/>
  <c r="L1082" i="2"/>
  <c r="I1082" i="2"/>
  <c r="M1081" i="2"/>
  <c r="L1081" i="2"/>
  <c r="I1081" i="2"/>
  <c r="M1080" i="2"/>
  <c r="L1080" i="2"/>
  <c r="I1080" i="2"/>
  <c r="M1079" i="2"/>
  <c r="L1079" i="2"/>
  <c r="I1079" i="2"/>
  <c r="M1078" i="2"/>
  <c r="L1078" i="2"/>
  <c r="I1078" i="2"/>
  <c r="M1077" i="2"/>
  <c r="L1077" i="2"/>
  <c r="I1077" i="2"/>
  <c r="M1076" i="2"/>
  <c r="L1076" i="2"/>
  <c r="I1076" i="2"/>
  <c r="M1075" i="2"/>
  <c r="L1075" i="2"/>
  <c r="I1075" i="2"/>
  <c r="M1074" i="2"/>
  <c r="L1074" i="2"/>
  <c r="I1074" i="2"/>
  <c r="M1073" i="2"/>
  <c r="L1073" i="2"/>
  <c r="I1073" i="2"/>
  <c r="M1072" i="2"/>
  <c r="L1072" i="2"/>
  <c r="I1072" i="2"/>
  <c r="M1071" i="2"/>
  <c r="L1071" i="2"/>
  <c r="I1071" i="2"/>
  <c r="M1070" i="2"/>
  <c r="L1070" i="2"/>
  <c r="I1070" i="2"/>
  <c r="M1069" i="2"/>
  <c r="L1069" i="2"/>
  <c r="I1069" i="2"/>
  <c r="M1068" i="2"/>
  <c r="L1068" i="2"/>
  <c r="I1068" i="2"/>
  <c r="M1067" i="2"/>
  <c r="L1067" i="2"/>
  <c r="I1067" i="2"/>
  <c r="M1066" i="2"/>
  <c r="L1066" i="2"/>
  <c r="I1066" i="2"/>
  <c r="M1065" i="2"/>
  <c r="L1065" i="2"/>
  <c r="I1065" i="2"/>
  <c r="M1064" i="2"/>
  <c r="L1064" i="2"/>
  <c r="I1064" i="2"/>
  <c r="M1063" i="2"/>
  <c r="L1063" i="2"/>
  <c r="I1063" i="2"/>
  <c r="M1062" i="2"/>
  <c r="L1062" i="2"/>
  <c r="I1062" i="2"/>
  <c r="M1061" i="2"/>
  <c r="L1061" i="2"/>
  <c r="I1061" i="2"/>
  <c r="M1060" i="2"/>
  <c r="L1060" i="2"/>
  <c r="I1060" i="2"/>
  <c r="M1059" i="2"/>
  <c r="L1059" i="2"/>
  <c r="I1059" i="2"/>
  <c r="M1058" i="2"/>
  <c r="L1058" i="2"/>
  <c r="I1058" i="2"/>
  <c r="M1057" i="2"/>
  <c r="L1057" i="2"/>
  <c r="I1057" i="2"/>
  <c r="M1056" i="2"/>
  <c r="L1056" i="2"/>
  <c r="I1056" i="2"/>
  <c r="M1055" i="2"/>
  <c r="L1055" i="2"/>
  <c r="I1055" i="2"/>
  <c r="M1054" i="2"/>
  <c r="L1054" i="2"/>
  <c r="I1054" i="2"/>
  <c r="M1053" i="2"/>
  <c r="L1053" i="2"/>
  <c r="I1053" i="2"/>
  <c r="M1052" i="2"/>
  <c r="L1052" i="2"/>
  <c r="I1052" i="2"/>
  <c r="M1051" i="2"/>
  <c r="L1051" i="2"/>
  <c r="I1051" i="2"/>
  <c r="M1050" i="2"/>
  <c r="L1050" i="2"/>
  <c r="I1050" i="2"/>
  <c r="M1049" i="2"/>
  <c r="L1049" i="2"/>
  <c r="I1049" i="2"/>
  <c r="M1048" i="2"/>
  <c r="L1048" i="2"/>
  <c r="I1048" i="2"/>
  <c r="M1047" i="2"/>
  <c r="L1047" i="2"/>
  <c r="I1047" i="2"/>
  <c r="M1046" i="2"/>
  <c r="L1046" i="2"/>
  <c r="I1046" i="2"/>
  <c r="M1045" i="2"/>
  <c r="L1045" i="2"/>
  <c r="I1045" i="2"/>
  <c r="M1044" i="2"/>
  <c r="L1044" i="2"/>
  <c r="I1044" i="2"/>
  <c r="M1043" i="2"/>
  <c r="L1043" i="2"/>
  <c r="I1043" i="2"/>
  <c r="M1042" i="2"/>
  <c r="L1042" i="2"/>
  <c r="I1042" i="2"/>
  <c r="M1041" i="2"/>
  <c r="L1041" i="2"/>
  <c r="I1041" i="2"/>
  <c r="M1040" i="2"/>
  <c r="L1040" i="2"/>
  <c r="I1040" i="2"/>
  <c r="M1039" i="2"/>
  <c r="L1039" i="2"/>
  <c r="I1039" i="2"/>
  <c r="M1038" i="2"/>
  <c r="L1038" i="2"/>
  <c r="I1038" i="2"/>
  <c r="M1037" i="2"/>
  <c r="L1037" i="2"/>
  <c r="I1037" i="2"/>
  <c r="M1036" i="2"/>
  <c r="L1036" i="2"/>
  <c r="I1036" i="2"/>
  <c r="M1035" i="2"/>
  <c r="L1035" i="2"/>
  <c r="I1035" i="2"/>
  <c r="M1034" i="2"/>
  <c r="L1034" i="2"/>
  <c r="I1034" i="2"/>
  <c r="M1033" i="2"/>
  <c r="L1033" i="2"/>
  <c r="I1033" i="2"/>
  <c r="M1032" i="2"/>
  <c r="L1032" i="2"/>
  <c r="I1032" i="2"/>
  <c r="M1031" i="2"/>
  <c r="L1031" i="2"/>
  <c r="I1031" i="2"/>
  <c r="M1030" i="2"/>
  <c r="L1030" i="2"/>
  <c r="I1030" i="2"/>
  <c r="M1029" i="2"/>
  <c r="L1029" i="2"/>
  <c r="I1029" i="2"/>
  <c r="M1028" i="2"/>
  <c r="L1028" i="2"/>
  <c r="I1028" i="2"/>
  <c r="M1027" i="2"/>
  <c r="L1027" i="2"/>
  <c r="I1027" i="2"/>
  <c r="M1026" i="2"/>
  <c r="L1026" i="2"/>
  <c r="I1026" i="2"/>
  <c r="M1025" i="2"/>
  <c r="L1025" i="2"/>
  <c r="I1025" i="2"/>
  <c r="M1024" i="2"/>
  <c r="L1024" i="2"/>
  <c r="I1024" i="2"/>
  <c r="M1023" i="2"/>
  <c r="L1023" i="2"/>
  <c r="I1023" i="2"/>
  <c r="M1022" i="2"/>
  <c r="L1022" i="2"/>
  <c r="I1022" i="2"/>
  <c r="M1021" i="2"/>
  <c r="L1021" i="2"/>
  <c r="I1021" i="2"/>
  <c r="M1020" i="2"/>
  <c r="L1020" i="2"/>
  <c r="I1020" i="2"/>
  <c r="M1019" i="2"/>
  <c r="L1019" i="2"/>
  <c r="I1019" i="2"/>
  <c r="M1018" i="2"/>
  <c r="L1018" i="2"/>
  <c r="I1018" i="2"/>
  <c r="M1017" i="2"/>
  <c r="L1017" i="2"/>
  <c r="I1017" i="2"/>
  <c r="M1016" i="2"/>
  <c r="L1016" i="2"/>
  <c r="I1016" i="2"/>
  <c r="M1015" i="2"/>
  <c r="L1015" i="2"/>
  <c r="I1015" i="2"/>
  <c r="M1014" i="2"/>
  <c r="L1014" i="2"/>
  <c r="I1014" i="2"/>
  <c r="M1013" i="2"/>
  <c r="L1013" i="2"/>
  <c r="I1013" i="2"/>
  <c r="M1012" i="2"/>
  <c r="L1012" i="2"/>
  <c r="I1012" i="2"/>
  <c r="M1011" i="2"/>
  <c r="L1011" i="2"/>
  <c r="I1011" i="2"/>
  <c r="M1010" i="2"/>
  <c r="L1010" i="2"/>
  <c r="I1010" i="2"/>
  <c r="M1009" i="2"/>
  <c r="L1009" i="2"/>
  <c r="I1009" i="2"/>
  <c r="M1008" i="2"/>
  <c r="L1008" i="2"/>
  <c r="I1008" i="2"/>
  <c r="M1007" i="2"/>
  <c r="L1007" i="2"/>
  <c r="I1007" i="2"/>
  <c r="M1006" i="2"/>
  <c r="L1006" i="2"/>
  <c r="I1006" i="2"/>
  <c r="M1005" i="2"/>
  <c r="L1005" i="2"/>
  <c r="I1005" i="2"/>
  <c r="M1004" i="2"/>
  <c r="L1004" i="2"/>
  <c r="I1004" i="2"/>
  <c r="M1003" i="2"/>
  <c r="L1003" i="2"/>
  <c r="I1003" i="2"/>
  <c r="M1002" i="2"/>
  <c r="L1002" i="2"/>
  <c r="I1002" i="2"/>
  <c r="M1001" i="2"/>
  <c r="L1001" i="2"/>
  <c r="I1001" i="2"/>
  <c r="M1000" i="2"/>
  <c r="L1000" i="2"/>
  <c r="I1000" i="2"/>
  <c r="M999" i="2"/>
  <c r="L999" i="2"/>
  <c r="I999" i="2"/>
  <c r="M998" i="2"/>
  <c r="L998" i="2"/>
  <c r="I998" i="2"/>
  <c r="M997" i="2"/>
  <c r="L997" i="2"/>
  <c r="I997" i="2"/>
  <c r="M996" i="2"/>
  <c r="L996" i="2"/>
  <c r="I996" i="2"/>
  <c r="M995" i="2"/>
  <c r="L995" i="2"/>
  <c r="I995" i="2"/>
  <c r="M994" i="2"/>
  <c r="L994" i="2"/>
  <c r="I994" i="2"/>
  <c r="M993" i="2"/>
  <c r="L993" i="2"/>
  <c r="I993" i="2"/>
  <c r="M992" i="2"/>
  <c r="L992" i="2"/>
  <c r="I992" i="2"/>
  <c r="M991" i="2"/>
  <c r="L991" i="2"/>
  <c r="I991" i="2"/>
  <c r="M990" i="2"/>
  <c r="L990" i="2"/>
  <c r="I990" i="2"/>
  <c r="M989" i="2"/>
  <c r="L989" i="2"/>
  <c r="I989" i="2"/>
  <c r="M988" i="2"/>
  <c r="L988" i="2"/>
  <c r="I988" i="2"/>
  <c r="M987" i="2"/>
  <c r="L987" i="2"/>
  <c r="I987" i="2"/>
  <c r="M986" i="2"/>
  <c r="L986" i="2"/>
  <c r="I986" i="2"/>
  <c r="M985" i="2"/>
  <c r="L985" i="2"/>
  <c r="I985" i="2"/>
  <c r="M984" i="2"/>
  <c r="L984" i="2"/>
  <c r="I984" i="2"/>
  <c r="M983" i="2"/>
  <c r="L983" i="2"/>
  <c r="I983" i="2"/>
  <c r="M982" i="2"/>
  <c r="L982" i="2"/>
  <c r="I982" i="2"/>
  <c r="M981" i="2"/>
  <c r="L981" i="2"/>
  <c r="I981" i="2"/>
  <c r="M980" i="2"/>
  <c r="L980" i="2"/>
  <c r="I980" i="2"/>
  <c r="M979" i="2"/>
  <c r="L979" i="2"/>
  <c r="I979" i="2"/>
  <c r="M978" i="2"/>
  <c r="L978" i="2"/>
  <c r="I978" i="2"/>
  <c r="M977" i="2"/>
  <c r="L977" i="2"/>
  <c r="I977" i="2"/>
  <c r="M976" i="2"/>
  <c r="L976" i="2"/>
  <c r="I976" i="2"/>
  <c r="M975" i="2"/>
  <c r="L975" i="2"/>
  <c r="I975" i="2"/>
  <c r="M974" i="2"/>
  <c r="L974" i="2"/>
  <c r="I974" i="2"/>
  <c r="M973" i="2"/>
  <c r="L973" i="2"/>
  <c r="I973" i="2"/>
  <c r="M972" i="2"/>
  <c r="L972" i="2"/>
  <c r="I972" i="2"/>
  <c r="M971" i="2"/>
  <c r="L971" i="2"/>
  <c r="I971" i="2"/>
  <c r="M970" i="2"/>
  <c r="L970" i="2"/>
  <c r="I970" i="2"/>
  <c r="M969" i="2"/>
  <c r="L969" i="2"/>
  <c r="I969" i="2"/>
  <c r="M968" i="2"/>
  <c r="L968" i="2"/>
  <c r="I968" i="2"/>
  <c r="M967" i="2"/>
  <c r="L967" i="2"/>
  <c r="I967" i="2"/>
  <c r="M966" i="2"/>
  <c r="L966" i="2"/>
  <c r="I966" i="2"/>
  <c r="M965" i="2"/>
  <c r="L965" i="2"/>
  <c r="I965" i="2"/>
  <c r="M964" i="2"/>
  <c r="L964" i="2"/>
  <c r="I964" i="2"/>
  <c r="M963" i="2"/>
  <c r="L963" i="2"/>
  <c r="I963" i="2"/>
  <c r="M962" i="2"/>
  <c r="L962" i="2"/>
  <c r="I962" i="2"/>
  <c r="M961" i="2"/>
  <c r="L961" i="2"/>
  <c r="I961" i="2"/>
  <c r="M960" i="2"/>
  <c r="L960" i="2"/>
  <c r="I960" i="2"/>
  <c r="M959" i="2"/>
  <c r="L959" i="2"/>
  <c r="I959" i="2"/>
  <c r="M958" i="2"/>
  <c r="L958" i="2"/>
  <c r="I958" i="2"/>
  <c r="M957" i="2"/>
  <c r="L957" i="2"/>
  <c r="I957" i="2"/>
  <c r="M956" i="2"/>
  <c r="L956" i="2"/>
  <c r="I956" i="2"/>
  <c r="M955" i="2"/>
  <c r="L955" i="2"/>
  <c r="I955" i="2"/>
  <c r="M954" i="2"/>
  <c r="L954" i="2"/>
  <c r="I954" i="2"/>
  <c r="M953" i="2"/>
  <c r="L953" i="2"/>
  <c r="I953" i="2"/>
  <c r="M952" i="2"/>
  <c r="L952" i="2"/>
  <c r="I952" i="2"/>
  <c r="M951" i="2"/>
  <c r="L951" i="2"/>
  <c r="I951" i="2"/>
  <c r="M950" i="2"/>
  <c r="L950" i="2"/>
  <c r="I950" i="2"/>
  <c r="M949" i="2"/>
  <c r="L949" i="2"/>
  <c r="I949" i="2"/>
  <c r="M948" i="2"/>
  <c r="L948" i="2"/>
  <c r="I948" i="2"/>
  <c r="M947" i="2"/>
  <c r="L947" i="2"/>
  <c r="I947" i="2"/>
  <c r="M946" i="2"/>
  <c r="L946" i="2"/>
  <c r="I946" i="2"/>
  <c r="M945" i="2"/>
  <c r="L945" i="2"/>
  <c r="I945" i="2"/>
  <c r="M944" i="2"/>
  <c r="L944" i="2"/>
  <c r="I944" i="2"/>
  <c r="M943" i="2"/>
  <c r="L943" i="2"/>
  <c r="I943" i="2"/>
  <c r="M942" i="2"/>
  <c r="L942" i="2"/>
  <c r="I942" i="2"/>
  <c r="M941" i="2"/>
  <c r="L941" i="2"/>
  <c r="I941" i="2"/>
  <c r="M940" i="2"/>
  <c r="L940" i="2"/>
  <c r="I940" i="2"/>
  <c r="M939" i="2"/>
  <c r="L939" i="2"/>
  <c r="I939" i="2"/>
  <c r="M938" i="2"/>
  <c r="L938" i="2"/>
  <c r="I938" i="2"/>
  <c r="M937" i="2"/>
  <c r="L937" i="2"/>
  <c r="I937" i="2"/>
  <c r="M936" i="2"/>
  <c r="L936" i="2"/>
  <c r="I936" i="2"/>
  <c r="M935" i="2"/>
  <c r="L935" i="2"/>
  <c r="I935" i="2"/>
  <c r="M934" i="2"/>
  <c r="L934" i="2"/>
  <c r="I934" i="2"/>
  <c r="M933" i="2"/>
  <c r="L933" i="2"/>
  <c r="I933" i="2"/>
  <c r="M932" i="2"/>
  <c r="L932" i="2"/>
  <c r="I932" i="2"/>
  <c r="M931" i="2"/>
  <c r="L931" i="2"/>
  <c r="I931" i="2"/>
  <c r="M930" i="2"/>
  <c r="L930" i="2"/>
  <c r="I930" i="2"/>
  <c r="M929" i="2"/>
  <c r="L929" i="2"/>
  <c r="I929" i="2"/>
  <c r="M928" i="2"/>
  <c r="L928" i="2"/>
  <c r="I928" i="2"/>
  <c r="M927" i="2"/>
  <c r="L927" i="2"/>
  <c r="I927" i="2"/>
  <c r="M926" i="2"/>
  <c r="L926" i="2"/>
  <c r="I926" i="2"/>
  <c r="M925" i="2"/>
  <c r="L925" i="2"/>
  <c r="I925" i="2"/>
  <c r="M924" i="2"/>
  <c r="L924" i="2"/>
  <c r="I924" i="2"/>
  <c r="M923" i="2"/>
  <c r="L923" i="2"/>
  <c r="I923" i="2"/>
  <c r="M922" i="2"/>
  <c r="L922" i="2"/>
  <c r="I922" i="2"/>
  <c r="M921" i="2"/>
  <c r="L921" i="2"/>
  <c r="I921" i="2"/>
  <c r="M920" i="2"/>
  <c r="L920" i="2"/>
  <c r="I920" i="2"/>
  <c r="M919" i="2"/>
  <c r="L919" i="2"/>
  <c r="I919" i="2"/>
  <c r="M918" i="2"/>
  <c r="L918" i="2"/>
  <c r="I918" i="2"/>
  <c r="M917" i="2"/>
  <c r="L917" i="2"/>
  <c r="I917" i="2"/>
  <c r="M916" i="2"/>
  <c r="L916" i="2"/>
  <c r="I916" i="2"/>
  <c r="M915" i="2"/>
  <c r="L915" i="2"/>
  <c r="I915" i="2"/>
  <c r="M914" i="2"/>
  <c r="L914" i="2"/>
  <c r="I914" i="2"/>
  <c r="M913" i="2"/>
  <c r="L913" i="2"/>
  <c r="I913" i="2"/>
  <c r="M912" i="2"/>
  <c r="L912" i="2"/>
  <c r="I912" i="2"/>
  <c r="M911" i="2"/>
  <c r="L911" i="2"/>
  <c r="I911" i="2"/>
  <c r="M910" i="2"/>
  <c r="L910" i="2"/>
  <c r="I910" i="2"/>
  <c r="M909" i="2"/>
  <c r="L909" i="2"/>
  <c r="I909" i="2"/>
  <c r="M908" i="2"/>
  <c r="L908" i="2"/>
  <c r="I908" i="2"/>
  <c r="M907" i="2"/>
  <c r="L907" i="2"/>
  <c r="I907" i="2"/>
  <c r="M906" i="2"/>
  <c r="L906" i="2"/>
  <c r="I906" i="2"/>
  <c r="M905" i="2"/>
  <c r="L905" i="2"/>
  <c r="I905" i="2"/>
  <c r="M904" i="2"/>
  <c r="L904" i="2"/>
  <c r="I904" i="2"/>
  <c r="M903" i="2"/>
  <c r="L903" i="2"/>
  <c r="I903" i="2"/>
  <c r="M902" i="2"/>
  <c r="L902" i="2"/>
  <c r="I902" i="2"/>
  <c r="M901" i="2"/>
  <c r="L901" i="2"/>
  <c r="I901" i="2"/>
  <c r="M900" i="2"/>
  <c r="L900" i="2"/>
  <c r="I900" i="2"/>
  <c r="M899" i="2"/>
  <c r="L899" i="2"/>
  <c r="I899" i="2"/>
  <c r="M898" i="2"/>
  <c r="L898" i="2"/>
  <c r="I898" i="2"/>
  <c r="M897" i="2"/>
  <c r="L897" i="2"/>
  <c r="I897" i="2"/>
  <c r="M896" i="2"/>
  <c r="L896" i="2"/>
  <c r="I896" i="2"/>
  <c r="M895" i="2"/>
  <c r="L895" i="2"/>
  <c r="I895" i="2"/>
  <c r="M894" i="2"/>
  <c r="L894" i="2"/>
  <c r="I894" i="2"/>
  <c r="M893" i="2"/>
  <c r="L893" i="2"/>
  <c r="I893" i="2"/>
  <c r="M892" i="2"/>
  <c r="L892" i="2"/>
  <c r="I892" i="2"/>
  <c r="M891" i="2"/>
  <c r="L891" i="2"/>
  <c r="I891" i="2"/>
  <c r="M890" i="2"/>
  <c r="L890" i="2"/>
  <c r="I890" i="2"/>
  <c r="M889" i="2"/>
  <c r="L889" i="2"/>
  <c r="I889" i="2"/>
  <c r="M888" i="2"/>
  <c r="L888" i="2"/>
  <c r="I888" i="2"/>
  <c r="M887" i="2"/>
  <c r="L887" i="2"/>
  <c r="I887" i="2"/>
  <c r="M886" i="2"/>
  <c r="L886" i="2"/>
  <c r="I886" i="2"/>
  <c r="M885" i="2"/>
  <c r="L885" i="2"/>
  <c r="I885" i="2"/>
  <c r="M884" i="2"/>
  <c r="L884" i="2"/>
  <c r="I884" i="2"/>
  <c r="M883" i="2"/>
  <c r="L883" i="2"/>
  <c r="I883" i="2"/>
  <c r="M882" i="2"/>
  <c r="L882" i="2"/>
  <c r="I882" i="2"/>
  <c r="M881" i="2"/>
  <c r="L881" i="2"/>
  <c r="I881" i="2"/>
  <c r="M880" i="2"/>
  <c r="L880" i="2"/>
  <c r="I880" i="2"/>
  <c r="M879" i="2"/>
  <c r="L879" i="2"/>
  <c r="I879" i="2"/>
  <c r="M878" i="2"/>
  <c r="L878" i="2"/>
  <c r="I878" i="2"/>
  <c r="M877" i="2"/>
  <c r="L877" i="2"/>
  <c r="I877" i="2"/>
  <c r="M876" i="2"/>
  <c r="L876" i="2"/>
  <c r="I876" i="2"/>
  <c r="M875" i="2"/>
  <c r="L875" i="2"/>
  <c r="I875" i="2"/>
  <c r="M874" i="2"/>
  <c r="L874" i="2"/>
  <c r="I874" i="2"/>
  <c r="M873" i="2"/>
  <c r="L873" i="2"/>
  <c r="I873" i="2"/>
  <c r="M872" i="2"/>
  <c r="L872" i="2"/>
  <c r="I872" i="2"/>
  <c r="M871" i="2"/>
  <c r="L871" i="2"/>
  <c r="I871" i="2"/>
  <c r="M870" i="2"/>
  <c r="L870" i="2"/>
  <c r="I870" i="2"/>
  <c r="M869" i="2"/>
  <c r="L869" i="2"/>
  <c r="I869" i="2"/>
  <c r="M868" i="2"/>
  <c r="L868" i="2"/>
  <c r="I868" i="2"/>
  <c r="M867" i="2"/>
  <c r="L867" i="2"/>
  <c r="I867" i="2"/>
  <c r="M866" i="2"/>
  <c r="L866" i="2"/>
  <c r="I866" i="2"/>
  <c r="M865" i="2"/>
  <c r="L865" i="2"/>
  <c r="I865" i="2"/>
  <c r="M864" i="2"/>
  <c r="L864" i="2"/>
  <c r="I864" i="2"/>
  <c r="M863" i="2"/>
  <c r="L863" i="2"/>
  <c r="I863" i="2"/>
  <c r="M862" i="2"/>
  <c r="L862" i="2"/>
  <c r="I862" i="2"/>
  <c r="M861" i="2"/>
  <c r="L861" i="2"/>
  <c r="I861" i="2"/>
  <c r="M860" i="2"/>
  <c r="L860" i="2"/>
  <c r="I860" i="2"/>
  <c r="M859" i="2"/>
  <c r="L859" i="2"/>
  <c r="I859" i="2"/>
  <c r="M858" i="2"/>
  <c r="L858" i="2"/>
  <c r="I858" i="2"/>
  <c r="M857" i="2"/>
  <c r="L857" i="2"/>
  <c r="I857" i="2"/>
  <c r="M856" i="2"/>
  <c r="L856" i="2"/>
  <c r="I856" i="2"/>
  <c r="M855" i="2"/>
  <c r="L855" i="2"/>
  <c r="I855" i="2"/>
  <c r="M854" i="2"/>
  <c r="L854" i="2"/>
  <c r="I854" i="2"/>
  <c r="M853" i="2"/>
  <c r="L853" i="2"/>
  <c r="I853" i="2"/>
  <c r="M852" i="2"/>
  <c r="L852" i="2"/>
  <c r="I852" i="2"/>
  <c r="M851" i="2"/>
  <c r="L851" i="2"/>
  <c r="I851" i="2"/>
  <c r="M850" i="2"/>
  <c r="L850" i="2"/>
  <c r="I850" i="2"/>
  <c r="M849" i="2"/>
  <c r="L849" i="2"/>
  <c r="I849" i="2"/>
  <c r="M848" i="2"/>
  <c r="L848" i="2"/>
  <c r="I848" i="2"/>
  <c r="M847" i="2"/>
  <c r="L847" i="2"/>
  <c r="I847" i="2"/>
  <c r="M846" i="2"/>
  <c r="L846" i="2"/>
  <c r="I846" i="2"/>
  <c r="M845" i="2"/>
  <c r="L845" i="2"/>
  <c r="I845" i="2"/>
  <c r="M844" i="2"/>
  <c r="L844" i="2"/>
  <c r="I844" i="2"/>
  <c r="M843" i="2"/>
  <c r="L843" i="2"/>
  <c r="I843" i="2"/>
  <c r="M842" i="2"/>
  <c r="L842" i="2"/>
  <c r="I842" i="2"/>
  <c r="M841" i="2"/>
  <c r="L841" i="2"/>
  <c r="I841" i="2"/>
  <c r="M840" i="2"/>
  <c r="L840" i="2"/>
  <c r="I840" i="2"/>
  <c r="M839" i="2"/>
  <c r="L839" i="2"/>
  <c r="I839" i="2"/>
  <c r="M838" i="2"/>
  <c r="L838" i="2"/>
  <c r="I838" i="2"/>
  <c r="M837" i="2"/>
  <c r="L837" i="2"/>
  <c r="I837" i="2"/>
  <c r="M836" i="2"/>
  <c r="L836" i="2"/>
  <c r="I836" i="2"/>
  <c r="M835" i="2"/>
  <c r="L835" i="2"/>
  <c r="I835" i="2"/>
  <c r="M834" i="2"/>
  <c r="L834" i="2"/>
  <c r="I834" i="2"/>
  <c r="M833" i="2"/>
  <c r="L833" i="2"/>
  <c r="I833" i="2"/>
  <c r="M832" i="2"/>
  <c r="L832" i="2"/>
  <c r="I832" i="2"/>
  <c r="M831" i="2"/>
  <c r="L831" i="2"/>
  <c r="I831" i="2"/>
  <c r="M830" i="2"/>
  <c r="L830" i="2"/>
  <c r="I830" i="2"/>
  <c r="M829" i="2"/>
  <c r="L829" i="2"/>
  <c r="I829" i="2"/>
  <c r="M828" i="2"/>
  <c r="L828" i="2"/>
  <c r="I828" i="2"/>
  <c r="M827" i="2"/>
  <c r="L827" i="2"/>
  <c r="I827" i="2"/>
  <c r="M826" i="2"/>
  <c r="L826" i="2"/>
  <c r="I826" i="2"/>
  <c r="M825" i="2"/>
  <c r="L825" i="2"/>
  <c r="I825" i="2"/>
  <c r="M824" i="2"/>
  <c r="L824" i="2"/>
  <c r="I824" i="2"/>
  <c r="M823" i="2"/>
  <c r="L823" i="2"/>
  <c r="I823" i="2"/>
  <c r="M822" i="2"/>
  <c r="L822" i="2"/>
  <c r="I822" i="2"/>
  <c r="M821" i="2"/>
  <c r="L821" i="2"/>
  <c r="I821" i="2"/>
  <c r="M820" i="2"/>
  <c r="L820" i="2"/>
  <c r="I820" i="2"/>
  <c r="M819" i="2"/>
  <c r="L819" i="2"/>
  <c r="I819" i="2"/>
  <c r="M818" i="2"/>
  <c r="L818" i="2"/>
  <c r="I818" i="2"/>
  <c r="M817" i="2"/>
  <c r="L817" i="2"/>
  <c r="I817" i="2"/>
  <c r="M816" i="2"/>
  <c r="L816" i="2"/>
  <c r="I816" i="2"/>
  <c r="M815" i="2"/>
  <c r="L815" i="2"/>
  <c r="I815" i="2"/>
  <c r="M814" i="2"/>
  <c r="L814" i="2"/>
  <c r="I814" i="2"/>
  <c r="M813" i="2"/>
  <c r="L813" i="2"/>
  <c r="I813" i="2"/>
  <c r="M812" i="2"/>
  <c r="L812" i="2"/>
  <c r="I812" i="2"/>
  <c r="M811" i="2"/>
  <c r="L811" i="2"/>
  <c r="I811" i="2"/>
  <c r="M810" i="2"/>
  <c r="L810" i="2"/>
  <c r="I810" i="2"/>
  <c r="M809" i="2"/>
  <c r="L809" i="2"/>
  <c r="I809" i="2"/>
  <c r="M808" i="2"/>
  <c r="L808" i="2"/>
  <c r="I808" i="2"/>
  <c r="M807" i="2"/>
  <c r="L807" i="2"/>
  <c r="I807" i="2"/>
  <c r="M806" i="2"/>
  <c r="L806" i="2"/>
  <c r="I806" i="2"/>
  <c r="M805" i="2"/>
  <c r="L805" i="2"/>
  <c r="I805" i="2"/>
  <c r="M804" i="2"/>
  <c r="L804" i="2"/>
  <c r="I804" i="2"/>
  <c r="M803" i="2"/>
  <c r="L803" i="2"/>
  <c r="I803" i="2"/>
  <c r="M802" i="2"/>
  <c r="L802" i="2"/>
  <c r="I802" i="2"/>
  <c r="M801" i="2"/>
  <c r="L801" i="2"/>
  <c r="I801" i="2"/>
  <c r="M800" i="2"/>
  <c r="L800" i="2"/>
  <c r="I800" i="2"/>
  <c r="M799" i="2"/>
  <c r="L799" i="2"/>
  <c r="I799" i="2"/>
  <c r="M798" i="2"/>
  <c r="L798" i="2"/>
  <c r="I798" i="2"/>
  <c r="M797" i="2"/>
  <c r="L797" i="2"/>
  <c r="I797" i="2"/>
  <c r="M796" i="2"/>
  <c r="L796" i="2"/>
  <c r="I796" i="2"/>
  <c r="M795" i="2"/>
  <c r="L795" i="2"/>
  <c r="I795" i="2"/>
  <c r="M794" i="2"/>
  <c r="L794" i="2"/>
  <c r="I794" i="2"/>
  <c r="M793" i="2"/>
  <c r="L793" i="2"/>
  <c r="I793" i="2"/>
  <c r="M792" i="2"/>
  <c r="L792" i="2"/>
  <c r="I792" i="2"/>
  <c r="M791" i="2"/>
  <c r="L791" i="2"/>
  <c r="I791" i="2"/>
  <c r="M790" i="2"/>
  <c r="L790" i="2"/>
  <c r="I790" i="2"/>
  <c r="M789" i="2"/>
  <c r="L789" i="2"/>
  <c r="I789" i="2"/>
  <c r="M788" i="2"/>
  <c r="L788" i="2"/>
  <c r="I788" i="2"/>
  <c r="M787" i="2"/>
  <c r="L787" i="2"/>
  <c r="I787" i="2"/>
  <c r="M786" i="2"/>
  <c r="L786" i="2"/>
  <c r="I786" i="2"/>
  <c r="M785" i="2"/>
  <c r="L785" i="2"/>
  <c r="I785" i="2"/>
  <c r="M784" i="2"/>
  <c r="L784" i="2"/>
  <c r="I784" i="2"/>
  <c r="M783" i="2"/>
  <c r="L783" i="2"/>
  <c r="I783" i="2"/>
  <c r="M782" i="2"/>
  <c r="L782" i="2"/>
  <c r="I782" i="2"/>
  <c r="M781" i="2"/>
  <c r="L781" i="2"/>
  <c r="I781" i="2"/>
  <c r="M780" i="2"/>
  <c r="L780" i="2"/>
  <c r="I780" i="2"/>
  <c r="M779" i="2"/>
  <c r="L779" i="2"/>
  <c r="I779" i="2"/>
  <c r="M778" i="2"/>
  <c r="L778" i="2"/>
  <c r="I778" i="2"/>
  <c r="M777" i="2"/>
  <c r="L777" i="2"/>
  <c r="I777" i="2"/>
  <c r="M776" i="2"/>
  <c r="L776" i="2"/>
  <c r="I776" i="2"/>
  <c r="M775" i="2"/>
  <c r="L775" i="2"/>
  <c r="I775" i="2"/>
  <c r="M774" i="2"/>
  <c r="L774" i="2"/>
  <c r="I774" i="2"/>
  <c r="M773" i="2"/>
  <c r="L773" i="2"/>
  <c r="I773" i="2"/>
  <c r="M772" i="2"/>
  <c r="L772" i="2"/>
  <c r="I772" i="2"/>
  <c r="M771" i="2"/>
  <c r="L771" i="2"/>
  <c r="I771" i="2"/>
  <c r="M770" i="2"/>
  <c r="L770" i="2"/>
  <c r="I770" i="2"/>
  <c r="M769" i="2"/>
  <c r="L769" i="2"/>
  <c r="I769" i="2"/>
  <c r="M768" i="2"/>
  <c r="L768" i="2"/>
  <c r="I768" i="2"/>
  <c r="M767" i="2"/>
  <c r="L767" i="2"/>
  <c r="I767" i="2"/>
  <c r="M766" i="2"/>
  <c r="L766" i="2"/>
  <c r="I766" i="2"/>
  <c r="M765" i="2"/>
  <c r="L765" i="2"/>
  <c r="I765" i="2"/>
  <c r="M764" i="2"/>
  <c r="L764" i="2"/>
  <c r="I764" i="2"/>
  <c r="M763" i="2"/>
  <c r="L763" i="2"/>
  <c r="I763" i="2"/>
  <c r="M762" i="2"/>
  <c r="L762" i="2"/>
  <c r="I762" i="2"/>
  <c r="M761" i="2"/>
  <c r="L761" i="2"/>
  <c r="I761" i="2"/>
  <c r="M760" i="2"/>
  <c r="L760" i="2"/>
  <c r="I760" i="2"/>
  <c r="M759" i="2"/>
  <c r="L759" i="2"/>
  <c r="I759" i="2"/>
  <c r="M758" i="2"/>
  <c r="L758" i="2"/>
  <c r="I758" i="2"/>
  <c r="M757" i="2"/>
  <c r="L757" i="2"/>
  <c r="I757" i="2"/>
  <c r="M756" i="2"/>
  <c r="L756" i="2"/>
  <c r="I756" i="2"/>
  <c r="M755" i="2"/>
  <c r="L755" i="2"/>
  <c r="I755" i="2"/>
  <c r="M754" i="2"/>
  <c r="L754" i="2"/>
  <c r="I754" i="2"/>
  <c r="M753" i="2"/>
  <c r="L753" i="2"/>
  <c r="I753" i="2"/>
  <c r="M752" i="2"/>
  <c r="L752" i="2"/>
  <c r="I752" i="2"/>
  <c r="M751" i="2"/>
  <c r="L751" i="2"/>
  <c r="I751" i="2"/>
  <c r="M750" i="2"/>
  <c r="L750" i="2"/>
  <c r="I750" i="2"/>
  <c r="M749" i="2"/>
  <c r="L749" i="2"/>
  <c r="I749" i="2"/>
  <c r="M748" i="2"/>
  <c r="L748" i="2"/>
  <c r="I748" i="2"/>
  <c r="M747" i="2"/>
  <c r="L747" i="2"/>
  <c r="I747" i="2"/>
  <c r="M746" i="2"/>
  <c r="L746" i="2"/>
  <c r="I746" i="2"/>
  <c r="M745" i="2"/>
  <c r="L745" i="2"/>
  <c r="I745" i="2"/>
  <c r="M744" i="2"/>
  <c r="L744" i="2"/>
  <c r="I744" i="2"/>
  <c r="M743" i="2"/>
  <c r="L743" i="2"/>
  <c r="I743" i="2"/>
  <c r="M742" i="2"/>
  <c r="L742" i="2"/>
  <c r="I742" i="2"/>
  <c r="M741" i="2"/>
  <c r="L741" i="2"/>
  <c r="I741" i="2"/>
  <c r="M740" i="2"/>
  <c r="L740" i="2"/>
  <c r="I740" i="2"/>
  <c r="M739" i="2"/>
  <c r="L739" i="2"/>
  <c r="I739" i="2"/>
  <c r="M738" i="2"/>
  <c r="L738" i="2"/>
  <c r="I738" i="2"/>
  <c r="M737" i="2"/>
  <c r="L737" i="2"/>
  <c r="I737" i="2"/>
  <c r="M736" i="2"/>
  <c r="L736" i="2"/>
  <c r="I736" i="2"/>
  <c r="M735" i="2"/>
  <c r="L735" i="2"/>
  <c r="I735" i="2"/>
  <c r="M734" i="2"/>
  <c r="L734" i="2"/>
  <c r="I734" i="2"/>
  <c r="M733" i="2"/>
  <c r="L733" i="2"/>
  <c r="I733" i="2"/>
  <c r="M732" i="2"/>
  <c r="L732" i="2"/>
  <c r="I732" i="2"/>
  <c r="M731" i="2"/>
  <c r="L731" i="2"/>
  <c r="I731" i="2"/>
  <c r="M730" i="2"/>
  <c r="L730" i="2"/>
  <c r="I730" i="2"/>
  <c r="M729" i="2"/>
  <c r="L729" i="2"/>
  <c r="I729" i="2"/>
  <c r="M728" i="2"/>
  <c r="L728" i="2"/>
  <c r="I728" i="2"/>
  <c r="M727" i="2"/>
  <c r="L727" i="2"/>
  <c r="I727" i="2"/>
  <c r="M726" i="2"/>
  <c r="L726" i="2"/>
  <c r="I726" i="2"/>
  <c r="M725" i="2"/>
  <c r="L725" i="2"/>
  <c r="I725" i="2"/>
  <c r="M724" i="2"/>
  <c r="L724" i="2"/>
  <c r="I724" i="2"/>
  <c r="M723" i="2"/>
  <c r="L723" i="2"/>
  <c r="I723" i="2"/>
  <c r="M722" i="2"/>
  <c r="L722" i="2"/>
  <c r="I722" i="2"/>
  <c r="M721" i="2"/>
  <c r="L721" i="2"/>
  <c r="I721" i="2"/>
  <c r="M720" i="2"/>
  <c r="L720" i="2"/>
  <c r="I720" i="2"/>
  <c r="M719" i="2"/>
  <c r="L719" i="2"/>
  <c r="I719" i="2"/>
  <c r="M718" i="2"/>
  <c r="L718" i="2"/>
  <c r="I718" i="2"/>
  <c r="M717" i="2"/>
  <c r="L717" i="2"/>
  <c r="I717" i="2"/>
  <c r="M716" i="2"/>
  <c r="L716" i="2"/>
  <c r="I716" i="2"/>
  <c r="M715" i="2"/>
  <c r="L715" i="2"/>
  <c r="I715" i="2"/>
  <c r="M714" i="2"/>
  <c r="L714" i="2"/>
  <c r="I714" i="2"/>
  <c r="M713" i="2"/>
  <c r="L713" i="2"/>
  <c r="I713" i="2"/>
  <c r="M712" i="2"/>
  <c r="L712" i="2"/>
  <c r="I712" i="2"/>
  <c r="M711" i="2"/>
  <c r="L711" i="2"/>
  <c r="I711" i="2"/>
  <c r="M710" i="2"/>
  <c r="L710" i="2"/>
  <c r="I710" i="2"/>
  <c r="M709" i="2"/>
  <c r="L709" i="2"/>
  <c r="I709" i="2"/>
  <c r="M708" i="2"/>
  <c r="L708" i="2"/>
  <c r="I708" i="2"/>
  <c r="M707" i="2"/>
  <c r="L707" i="2"/>
  <c r="I707" i="2"/>
  <c r="M706" i="2"/>
  <c r="L706" i="2"/>
  <c r="I706" i="2"/>
  <c r="M705" i="2"/>
  <c r="L705" i="2"/>
  <c r="I705" i="2"/>
  <c r="M704" i="2"/>
  <c r="L704" i="2"/>
  <c r="I704" i="2"/>
  <c r="M703" i="2"/>
  <c r="L703" i="2"/>
  <c r="I703" i="2"/>
  <c r="M702" i="2"/>
  <c r="L702" i="2"/>
  <c r="I702" i="2"/>
  <c r="M701" i="2"/>
  <c r="L701" i="2"/>
  <c r="I701" i="2"/>
  <c r="M700" i="2"/>
  <c r="L700" i="2"/>
  <c r="I700" i="2"/>
  <c r="M699" i="2"/>
  <c r="L699" i="2"/>
  <c r="I699" i="2"/>
  <c r="M698" i="2"/>
  <c r="L698" i="2"/>
  <c r="I698" i="2"/>
  <c r="M697" i="2"/>
  <c r="L697" i="2"/>
  <c r="I697" i="2"/>
  <c r="M696" i="2"/>
  <c r="L696" i="2"/>
  <c r="I696" i="2"/>
  <c r="M695" i="2"/>
  <c r="L695" i="2"/>
  <c r="I695" i="2"/>
  <c r="M694" i="2"/>
  <c r="L694" i="2"/>
  <c r="I694" i="2"/>
  <c r="M693" i="2"/>
  <c r="L693" i="2"/>
  <c r="I693" i="2"/>
  <c r="M692" i="2"/>
  <c r="L692" i="2"/>
  <c r="I692" i="2"/>
  <c r="M691" i="2"/>
  <c r="L691" i="2"/>
  <c r="I691" i="2"/>
  <c r="M690" i="2"/>
  <c r="L690" i="2"/>
  <c r="I690" i="2"/>
  <c r="M689" i="2"/>
  <c r="L689" i="2"/>
  <c r="I689" i="2"/>
  <c r="M688" i="2"/>
  <c r="L688" i="2"/>
  <c r="I688" i="2"/>
  <c r="M687" i="2"/>
  <c r="L687" i="2"/>
  <c r="I687" i="2"/>
  <c r="M686" i="2"/>
  <c r="L686" i="2"/>
  <c r="I686" i="2"/>
  <c r="M685" i="2"/>
  <c r="L685" i="2"/>
  <c r="I685" i="2"/>
  <c r="M684" i="2"/>
  <c r="L684" i="2"/>
  <c r="I684" i="2"/>
  <c r="M683" i="2"/>
  <c r="L683" i="2"/>
  <c r="I683" i="2"/>
  <c r="M682" i="2"/>
  <c r="L682" i="2"/>
  <c r="I682" i="2"/>
  <c r="M681" i="2"/>
  <c r="L681" i="2"/>
  <c r="I681" i="2"/>
  <c r="M680" i="2"/>
  <c r="L680" i="2"/>
  <c r="I680" i="2"/>
  <c r="M679" i="2"/>
  <c r="L679" i="2"/>
  <c r="I679" i="2"/>
  <c r="M678" i="2"/>
  <c r="L678" i="2"/>
  <c r="I678" i="2"/>
  <c r="M677" i="2"/>
  <c r="L677" i="2"/>
  <c r="I677" i="2"/>
  <c r="M676" i="2"/>
  <c r="L676" i="2"/>
  <c r="I676" i="2"/>
  <c r="M675" i="2"/>
  <c r="L675" i="2"/>
  <c r="I675" i="2"/>
  <c r="M674" i="2"/>
  <c r="L674" i="2"/>
  <c r="I674" i="2"/>
  <c r="M673" i="2"/>
  <c r="L673" i="2"/>
  <c r="I673" i="2"/>
  <c r="M672" i="2"/>
  <c r="L672" i="2"/>
  <c r="I672" i="2"/>
  <c r="M671" i="2"/>
  <c r="L671" i="2"/>
  <c r="I671" i="2"/>
  <c r="M670" i="2"/>
  <c r="L670" i="2"/>
  <c r="I670" i="2"/>
  <c r="M669" i="2"/>
  <c r="L669" i="2"/>
  <c r="I669" i="2"/>
  <c r="M668" i="2"/>
  <c r="L668" i="2"/>
  <c r="I668" i="2"/>
  <c r="M667" i="2"/>
  <c r="L667" i="2"/>
  <c r="I667" i="2"/>
  <c r="M666" i="2"/>
  <c r="L666" i="2"/>
  <c r="I666" i="2"/>
  <c r="M665" i="2"/>
  <c r="L665" i="2"/>
  <c r="I665" i="2"/>
  <c r="M664" i="2"/>
  <c r="L664" i="2"/>
  <c r="I664" i="2"/>
  <c r="M663" i="2"/>
  <c r="L663" i="2"/>
  <c r="I663" i="2"/>
  <c r="M662" i="2"/>
  <c r="L662" i="2"/>
  <c r="I662" i="2"/>
  <c r="M661" i="2"/>
  <c r="L661" i="2"/>
  <c r="I661" i="2"/>
  <c r="M660" i="2"/>
  <c r="L660" i="2"/>
  <c r="I660" i="2"/>
  <c r="M659" i="2"/>
  <c r="L659" i="2"/>
  <c r="I659" i="2"/>
  <c r="M658" i="2"/>
  <c r="L658" i="2"/>
  <c r="I658" i="2"/>
  <c r="M657" i="2"/>
  <c r="L657" i="2"/>
  <c r="I657" i="2"/>
  <c r="M656" i="2"/>
  <c r="L656" i="2"/>
  <c r="I656" i="2"/>
  <c r="M655" i="2"/>
  <c r="L655" i="2"/>
  <c r="I655" i="2"/>
  <c r="M654" i="2"/>
  <c r="L654" i="2"/>
  <c r="I654" i="2"/>
  <c r="M653" i="2"/>
  <c r="L653" i="2"/>
  <c r="I653" i="2"/>
  <c r="M652" i="2"/>
  <c r="L652" i="2"/>
  <c r="I652" i="2"/>
  <c r="M651" i="2"/>
  <c r="L651" i="2"/>
  <c r="I651" i="2"/>
  <c r="M650" i="2"/>
  <c r="L650" i="2"/>
  <c r="I650" i="2"/>
  <c r="M649" i="2"/>
  <c r="L649" i="2"/>
  <c r="I649" i="2"/>
  <c r="M648" i="2"/>
  <c r="L648" i="2"/>
  <c r="I648" i="2"/>
  <c r="M647" i="2"/>
  <c r="L647" i="2"/>
  <c r="I647" i="2"/>
  <c r="M646" i="2"/>
  <c r="L646" i="2"/>
  <c r="I646" i="2"/>
  <c r="M645" i="2"/>
  <c r="L645" i="2"/>
  <c r="I645" i="2"/>
  <c r="M644" i="2"/>
  <c r="L644" i="2"/>
  <c r="I644" i="2"/>
  <c r="M643" i="2"/>
  <c r="L643" i="2"/>
  <c r="I643" i="2"/>
  <c r="M642" i="2"/>
  <c r="L642" i="2"/>
  <c r="I642" i="2"/>
  <c r="M641" i="2"/>
  <c r="L641" i="2"/>
  <c r="I641" i="2"/>
  <c r="M640" i="2"/>
  <c r="L640" i="2"/>
  <c r="I640" i="2"/>
  <c r="M639" i="2"/>
  <c r="L639" i="2"/>
  <c r="I639" i="2"/>
  <c r="M638" i="2"/>
  <c r="L638" i="2"/>
  <c r="I638" i="2"/>
  <c r="M637" i="2"/>
  <c r="L637" i="2"/>
  <c r="I637" i="2"/>
  <c r="M636" i="2"/>
  <c r="L636" i="2"/>
  <c r="I636" i="2"/>
  <c r="M635" i="2"/>
  <c r="L635" i="2"/>
  <c r="I635" i="2"/>
  <c r="M634" i="2"/>
  <c r="L634" i="2"/>
  <c r="I634" i="2"/>
  <c r="M633" i="2"/>
  <c r="L633" i="2"/>
  <c r="I633" i="2"/>
  <c r="M632" i="2"/>
  <c r="L632" i="2"/>
  <c r="I632" i="2"/>
  <c r="M631" i="2"/>
  <c r="L631" i="2"/>
  <c r="I631" i="2"/>
  <c r="M630" i="2"/>
  <c r="L630" i="2"/>
  <c r="I630" i="2"/>
  <c r="M629" i="2"/>
  <c r="L629" i="2"/>
  <c r="I629" i="2"/>
  <c r="M628" i="2"/>
  <c r="L628" i="2"/>
  <c r="I628" i="2"/>
  <c r="M627" i="2"/>
  <c r="L627" i="2"/>
  <c r="I627" i="2"/>
  <c r="M626" i="2"/>
  <c r="L626" i="2"/>
  <c r="I626" i="2"/>
  <c r="M625" i="2"/>
  <c r="L625" i="2"/>
  <c r="I625" i="2"/>
  <c r="M624" i="2"/>
  <c r="L624" i="2"/>
  <c r="I624" i="2"/>
  <c r="M623" i="2"/>
  <c r="L623" i="2"/>
  <c r="I623" i="2"/>
  <c r="M622" i="2"/>
  <c r="L622" i="2"/>
  <c r="I622" i="2"/>
  <c r="M621" i="2"/>
  <c r="L621" i="2"/>
  <c r="I621" i="2"/>
  <c r="M620" i="2"/>
  <c r="L620" i="2"/>
  <c r="I620" i="2"/>
  <c r="M619" i="2"/>
  <c r="L619" i="2"/>
  <c r="I619" i="2"/>
  <c r="M618" i="2"/>
  <c r="L618" i="2"/>
  <c r="I618" i="2"/>
  <c r="M617" i="2"/>
  <c r="L617" i="2"/>
  <c r="I617" i="2"/>
  <c r="M616" i="2"/>
  <c r="L616" i="2"/>
  <c r="I616" i="2"/>
  <c r="M615" i="2"/>
  <c r="L615" i="2"/>
  <c r="I615" i="2"/>
  <c r="M614" i="2"/>
  <c r="L614" i="2"/>
  <c r="I614" i="2"/>
  <c r="M613" i="2"/>
  <c r="L613" i="2"/>
  <c r="I613" i="2"/>
  <c r="M612" i="2"/>
  <c r="L612" i="2"/>
  <c r="I612" i="2"/>
  <c r="M611" i="2"/>
  <c r="L611" i="2"/>
  <c r="I611" i="2"/>
  <c r="M610" i="2"/>
  <c r="L610" i="2"/>
  <c r="I610" i="2"/>
  <c r="M609" i="2"/>
  <c r="L609" i="2"/>
  <c r="I609" i="2"/>
  <c r="M608" i="2"/>
  <c r="L608" i="2"/>
  <c r="I608" i="2"/>
  <c r="M607" i="2"/>
  <c r="L607" i="2"/>
  <c r="I607" i="2"/>
  <c r="M606" i="2"/>
  <c r="L606" i="2"/>
  <c r="I606" i="2"/>
  <c r="M605" i="2"/>
  <c r="L605" i="2"/>
  <c r="I605" i="2"/>
  <c r="M604" i="2"/>
  <c r="L604" i="2"/>
  <c r="I604" i="2"/>
  <c r="M603" i="2"/>
  <c r="L603" i="2"/>
  <c r="I603" i="2"/>
  <c r="M602" i="2"/>
  <c r="L602" i="2"/>
  <c r="I602" i="2"/>
  <c r="M601" i="2"/>
  <c r="L601" i="2"/>
  <c r="I601" i="2"/>
  <c r="M600" i="2"/>
  <c r="L600" i="2"/>
  <c r="I600" i="2"/>
  <c r="M599" i="2"/>
  <c r="L599" i="2"/>
  <c r="I599" i="2"/>
  <c r="M598" i="2"/>
  <c r="L598" i="2"/>
  <c r="I598" i="2"/>
  <c r="M597" i="2"/>
  <c r="L597" i="2"/>
  <c r="I597" i="2"/>
  <c r="M596" i="2"/>
  <c r="L596" i="2"/>
  <c r="I596" i="2"/>
  <c r="M595" i="2"/>
  <c r="L595" i="2"/>
  <c r="I595" i="2"/>
  <c r="M594" i="2"/>
  <c r="L594" i="2"/>
  <c r="I594" i="2"/>
  <c r="M593" i="2"/>
  <c r="L593" i="2"/>
  <c r="I593" i="2"/>
  <c r="M592" i="2"/>
  <c r="L592" i="2"/>
  <c r="I592" i="2"/>
  <c r="M591" i="2"/>
  <c r="L591" i="2"/>
  <c r="I591" i="2"/>
  <c r="M590" i="2"/>
  <c r="L590" i="2"/>
  <c r="I590" i="2"/>
  <c r="M589" i="2"/>
  <c r="L589" i="2"/>
  <c r="I589" i="2"/>
  <c r="M588" i="2"/>
  <c r="L588" i="2"/>
  <c r="I588" i="2"/>
  <c r="M587" i="2"/>
  <c r="L587" i="2"/>
  <c r="I587" i="2"/>
  <c r="M586" i="2"/>
  <c r="L586" i="2"/>
  <c r="I586" i="2"/>
  <c r="M585" i="2"/>
  <c r="L585" i="2"/>
  <c r="I585" i="2"/>
  <c r="M584" i="2"/>
  <c r="L584" i="2"/>
  <c r="I584" i="2"/>
  <c r="M583" i="2"/>
  <c r="L583" i="2"/>
  <c r="I583" i="2"/>
  <c r="M582" i="2"/>
  <c r="L582" i="2"/>
  <c r="I582" i="2"/>
  <c r="M581" i="2"/>
  <c r="L581" i="2"/>
  <c r="I581" i="2"/>
  <c r="M580" i="2"/>
  <c r="L580" i="2"/>
  <c r="I580" i="2"/>
  <c r="M579" i="2"/>
  <c r="L579" i="2"/>
  <c r="I579" i="2"/>
  <c r="M578" i="2"/>
  <c r="L578" i="2"/>
  <c r="I578" i="2"/>
  <c r="M577" i="2"/>
  <c r="L577" i="2"/>
  <c r="I577" i="2"/>
  <c r="M576" i="2"/>
  <c r="L576" i="2"/>
  <c r="I576" i="2"/>
  <c r="M575" i="2"/>
  <c r="L575" i="2"/>
  <c r="I575" i="2"/>
  <c r="M574" i="2"/>
  <c r="L574" i="2"/>
  <c r="I574" i="2"/>
  <c r="M573" i="2"/>
  <c r="L573" i="2"/>
  <c r="I573" i="2"/>
  <c r="M572" i="2"/>
  <c r="L572" i="2"/>
  <c r="I572" i="2"/>
  <c r="M571" i="2"/>
  <c r="L571" i="2"/>
  <c r="I571" i="2"/>
  <c r="M570" i="2"/>
  <c r="L570" i="2"/>
  <c r="I570" i="2"/>
  <c r="M569" i="2"/>
  <c r="L569" i="2"/>
  <c r="I569" i="2"/>
  <c r="M568" i="2"/>
  <c r="L568" i="2"/>
  <c r="I568" i="2"/>
  <c r="M567" i="2"/>
  <c r="L567" i="2"/>
  <c r="I567" i="2"/>
  <c r="M566" i="2"/>
  <c r="L566" i="2"/>
  <c r="I566" i="2"/>
  <c r="M565" i="2"/>
  <c r="L565" i="2"/>
  <c r="I565" i="2"/>
  <c r="M564" i="2"/>
  <c r="L564" i="2"/>
  <c r="I564" i="2"/>
  <c r="M563" i="2"/>
  <c r="L563" i="2"/>
  <c r="I563" i="2"/>
  <c r="M562" i="2"/>
  <c r="L562" i="2"/>
  <c r="I562" i="2"/>
  <c r="M561" i="2"/>
  <c r="L561" i="2"/>
  <c r="I561" i="2"/>
  <c r="M560" i="2"/>
  <c r="L560" i="2"/>
  <c r="I560" i="2"/>
  <c r="M559" i="2"/>
  <c r="L559" i="2"/>
  <c r="I559" i="2"/>
  <c r="M558" i="2"/>
  <c r="L558" i="2"/>
  <c r="I558" i="2"/>
  <c r="M557" i="2"/>
  <c r="L557" i="2"/>
  <c r="I557" i="2"/>
  <c r="M556" i="2"/>
  <c r="L556" i="2"/>
  <c r="I556" i="2"/>
  <c r="M555" i="2"/>
  <c r="L555" i="2"/>
  <c r="I555" i="2"/>
  <c r="M554" i="2"/>
  <c r="L554" i="2"/>
  <c r="I554" i="2"/>
  <c r="M553" i="2"/>
  <c r="L553" i="2"/>
  <c r="I553" i="2"/>
  <c r="M552" i="2"/>
  <c r="L552" i="2"/>
  <c r="I552" i="2"/>
  <c r="M551" i="2"/>
  <c r="L551" i="2"/>
  <c r="I551" i="2"/>
  <c r="M550" i="2"/>
  <c r="L550" i="2"/>
  <c r="I550" i="2"/>
  <c r="M549" i="2"/>
  <c r="L549" i="2"/>
  <c r="I549" i="2"/>
  <c r="M548" i="2"/>
  <c r="L548" i="2"/>
  <c r="I548" i="2"/>
  <c r="M547" i="2"/>
  <c r="L547" i="2"/>
  <c r="I547" i="2"/>
  <c r="M546" i="2"/>
  <c r="L546" i="2"/>
  <c r="I546" i="2"/>
  <c r="M545" i="2"/>
  <c r="L545" i="2"/>
  <c r="I545" i="2"/>
  <c r="M544" i="2"/>
  <c r="L544" i="2"/>
  <c r="I544" i="2"/>
  <c r="M543" i="2"/>
  <c r="L543" i="2"/>
  <c r="I543" i="2"/>
  <c r="M542" i="2"/>
  <c r="L542" i="2"/>
  <c r="I542" i="2"/>
  <c r="M541" i="2"/>
  <c r="L541" i="2"/>
  <c r="I541" i="2"/>
  <c r="M540" i="2"/>
  <c r="L540" i="2"/>
  <c r="I540" i="2"/>
  <c r="M539" i="2"/>
  <c r="L539" i="2"/>
  <c r="I539" i="2"/>
  <c r="M538" i="2"/>
  <c r="L538" i="2"/>
  <c r="I538" i="2"/>
  <c r="M537" i="2"/>
  <c r="L537" i="2"/>
  <c r="I537" i="2"/>
  <c r="M536" i="2"/>
  <c r="L536" i="2"/>
  <c r="I536" i="2"/>
  <c r="M535" i="2"/>
  <c r="L535" i="2"/>
  <c r="I535" i="2"/>
  <c r="M534" i="2"/>
  <c r="L534" i="2"/>
  <c r="I534" i="2"/>
  <c r="M533" i="2"/>
  <c r="L533" i="2"/>
  <c r="I533" i="2"/>
  <c r="M532" i="2"/>
  <c r="L532" i="2"/>
  <c r="I532" i="2"/>
  <c r="M531" i="2"/>
  <c r="L531" i="2"/>
  <c r="I531" i="2"/>
  <c r="M530" i="2"/>
  <c r="L530" i="2"/>
  <c r="I530" i="2"/>
  <c r="M529" i="2"/>
  <c r="L529" i="2"/>
  <c r="I529" i="2"/>
  <c r="M528" i="2"/>
  <c r="L528" i="2"/>
  <c r="I528" i="2"/>
  <c r="M527" i="2"/>
  <c r="L527" i="2"/>
  <c r="I527" i="2"/>
  <c r="M526" i="2"/>
  <c r="L526" i="2"/>
  <c r="I526" i="2"/>
  <c r="M525" i="2"/>
  <c r="L525" i="2"/>
  <c r="I525" i="2"/>
  <c r="M524" i="2"/>
  <c r="L524" i="2"/>
  <c r="I524" i="2"/>
  <c r="M523" i="2"/>
  <c r="L523" i="2"/>
  <c r="I523" i="2"/>
  <c r="M522" i="2"/>
  <c r="L522" i="2"/>
  <c r="I522" i="2"/>
  <c r="M521" i="2"/>
  <c r="L521" i="2"/>
  <c r="I521" i="2"/>
  <c r="M520" i="2"/>
  <c r="L520" i="2"/>
  <c r="I520" i="2"/>
  <c r="M519" i="2"/>
  <c r="L519" i="2"/>
  <c r="I519" i="2"/>
  <c r="M518" i="2"/>
  <c r="L518" i="2"/>
  <c r="I518" i="2"/>
  <c r="M517" i="2"/>
  <c r="L517" i="2"/>
  <c r="I517" i="2"/>
  <c r="M516" i="2"/>
  <c r="L516" i="2"/>
  <c r="I516" i="2"/>
  <c r="M515" i="2"/>
  <c r="L515" i="2"/>
  <c r="I515" i="2"/>
  <c r="M514" i="2"/>
  <c r="L514" i="2"/>
  <c r="I514" i="2"/>
  <c r="M513" i="2"/>
  <c r="L513" i="2"/>
  <c r="I513" i="2"/>
  <c r="M512" i="2"/>
  <c r="L512" i="2"/>
  <c r="I512" i="2"/>
  <c r="M511" i="2"/>
  <c r="L511" i="2"/>
  <c r="I511" i="2"/>
  <c r="M510" i="2"/>
  <c r="L510" i="2"/>
  <c r="I510" i="2"/>
  <c r="M509" i="2"/>
  <c r="L509" i="2"/>
  <c r="I509" i="2"/>
  <c r="M508" i="2"/>
  <c r="L508" i="2"/>
  <c r="I508" i="2"/>
  <c r="M507" i="2"/>
  <c r="L507" i="2"/>
  <c r="I507" i="2"/>
  <c r="M506" i="2"/>
  <c r="L506" i="2"/>
  <c r="I506" i="2"/>
  <c r="M505" i="2"/>
  <c r="L505" i="2"/>
  <c r="I505" i="2"/>
  <c r="M504" i="2"/>
  <c r="L504" i="2"/>
  <c r="I504" i="2"/>
  <c r="M503" i="2"/>
  <c r="L503" i="2"/>
  <c r="I503" i="2"/>
  <c r="M502" i="2"/>
  <c r="L502" i="2"/>
  <c r="I502" i="2"/>
  <c r="M501" i="2"/>
  <c r="L501" i="2"/>
  <c r="I501" i="2"/>
  <c r="M500" i="2"/>
  <c r="L500" i="2"/>
  <c r="I500" i="2"/>
  <c r="M499" i="2"/>
  <c r="L499" i="2"/>
  <c r="I499" i="2"/>
  <c r="M498" i="2"/>
  <c r="L498" i="2"/>
  <c r="I498" i="2"/>
  <c r="M497" i="2"/>
  <c r="L497" i="2"/>
  <c r="I497" i="2"/>
  <c r="M496" i="2"/>
  <c r="L496" i="2"/>
  <c r="I496" i="2"/>
  <c r="M495" i="2"/>
  <c r="L495" i="2"/>
  <c r="I495" i="2"/>
  <c r="M494" i="2"/>
  <c r="L494" i="2"/>
  <c r="I494" i="2"/>
  <c r="M493" i="2"/>
  <c r="L493" i="2"/>
  <c r="I493" i="2"/>
  <c r="M492" i="2"/>
  <c r="L492" i="2"/>
  <c r="I492" i="2"/>
  <c r="M491" i="2"/>
  <c r="L491" i="2"/>
  <c r="I491" i="2"/>
  <c r="M490" i="2"/>
  <c r="L490" i="2"/>
  <c r="I490" i="2"/>
  <c r="M489" i="2"/>
  <c r="L489" i="2"/>
  <c r="I489" i="2"/>
  <c r="M488" i="2"/>
  <c r="L488" i="2"/>
  <c r="I488" i="2"/>
  <c r="M487" i="2"/>
  <c r="L487" i="2"/>
  <c r="I487" i="2"/>
  <c r="M486" i="2"/>
  <c r="L486" i="2"/>
  <c r="I486" i="2"/>
  <c r="M485" i="2"/>
  <c r="L485" i="2"/>
  <c r="I485" i="2"/>
  <c r="M484" i="2"/>
  <c r="L484" i="2"/>
  <c r="I484" i="2"/>
  <c r="M483" i="2"/>
  <c r="L483" i="2"/>
  <c r="I483" i="2"/>
  <c r="M482" i="2"/>
  <c r="L482" i="2"/>
  <c r="I482" i="2"/>
  <c r="M481" i="2"/>
  <c r="L481" i="2"/>
  <c r="I481" i="2"/>
  <c r="M480" i="2"/>
  <c r="L480" i="2"/>
  <c r="I480" i="2"/>
  <c r="M479" i="2"/>
  <c r="L479" i="2"/>
  <c r="I479" i="2"/>
  <c r="M478" i="2"/>
  <c r="L478" i="2"/>
  <c r="I478" i="2"/>
  <c r="M477" i="2"/>
  <c r="L477" i="2"/>
  <c r="I477" i="2"/>
  <c r="M476" i="2"/>
  <c r="L476" i="2"/>
  <c r="I476" i="2"/>
  <c r="M475" i="2"/>
  <c r="L475" i="2"/>
  <c r="I475" i="2"/>
  <c r="M474" i="2"/>
  <c r="L474" i="2"/>
  <c r="I474" i="2"/>
  <c r="M473" i="2"/>
  <c r="L473" i="2"/>
  <c r="I473" i="2"/>
  <c r="M472" i="2"/>
  <c r="L472" i="2"/>
  <c r="I472" i="2"/>
  <c r="M471" i="2"/>
  <c r="L471" i="2"/>
  <c r="I471" i="2"/>
  <c r="M470" i="2"/>
  <c r="L470" i="2"/>
  <c r="I470" i="2"/>
  <c r="M469" i="2"/>
  <c r="L469" i="2"/>
  <c r="I469" i="2"/>
  <c r="M468" i="2"/>
  <c r="L468" i="2"/>
  <c r="I468" i="2"/>
  <c r="M467" i="2"/>
  <c r="L467" i="2"/>
  <c r="I467" i="2"/>
  <c r="M466" i="2"/>
  <c r="L466" i="2"/>
  <c r="I466" i="2"/>
  <c r="M465" i="2"/>
  <c r="L465" i="2"/>
  <c r="I465" i="2"/>
  <c r="M464" i="2"/>
  <c r="L464" i="2"/>
  <c r="I464" i="2"/>
  <c r="M463" i="2"/>
  <c r="L463" i="2"/>
  <c r="I463" i="2"/>
  <c r="M462" i="2"/>
  <c r="L462" i="2"/>
  <c r="I462" i="2"/>
  <c r="M461" i="2"/>
  <c r="L461" i="2"/>
  <c r="I461" i="2"/>
  <c r="M460" i="2"/>
  <c r="L460" i="2"/>
  <c r="I460" i="2"/>
  <c r="M459" i="2"/>
  <c r="L459" i="2"/>
  <c r="I459" i="2"/>
  <c r="M458" i="2"/>
  <c r="L458" i="2"/>
  <c r="I458" i="2"/>
  <c r="M457" i="2"/>
  <c r="L457" i="2"/>
  <c r="I457" i="2"/>
  <c r="M456" i="2"/>
  <c r="L456" i="2"/>
  <c r="I456" i="2"/>
  <c r="M455" i="2"/>
  <c r="L455" i="2"/>
  <c r="I455" i="2"/>
  <c r="M454" i="2"/>
  <c r="L454" i="2"/>
  <c r="I454" i="2"/>
  <c r="M453" i="2"/>
  <c r="L453" i="2"/>
  <c r="I453" i="2"/>
  <c r="M452" i="2"/>
  <c r="L452" i="2"/>
  <c r="I452" i="2"/>
  <c r="M451" i="2"/>
  <c r="L451" i="2"/>
  <c r="I451" i="2"/>
  <c r="M450" i="2"/>
  <c r="L450" i="2"/>
  <c r="I450" i="2"/>
  <c r="M449" i="2"/>
  <c r="L449" i="2"/>
  <c r="I449" i="2"/>
  <c r="M448" i="2"/>
  <c r="L448" i="2"/>
  <c r="I448" i="2"/>
  <c r="M447" i="2"/>
  <c r="L447" i="2"/>
  <c r="I447" i="2"/>
  <c r="M446" i="2"/>
  <c r="L446" i="2"/>
  <c r="I446" i="2"/>
  <c r="M445" i="2"/>
  <c r="L445" i="2"/>
  <c r="I445" i="2"/>
  <c r="M444" i="2"/>
  <c r="L444" i="2"/>
  <c r="I444" i="2"/>
  <c r="M443" i="2"/>
  <c r="L443" i="2"/>
  <c r="I443" i="2"/>
  <c r="M442" i="2"/>
  <c r="L442" i="2"/>
  <c r="I442" i="2"/>
  <c r="M441" i="2"/>
  <c r="L441" i="2"/>
  <c r="I441" i="2"/>
  <c r="M440" i="2"/>
  <c r="L440" i="2"/>
  <c r="I440" i="2"/>
  <c r="M439" i="2"/>
  <c r="L439" i="2"/>
  <c r="I439" i="2"/>
  <c r="M438" i="2"/>
  <c r="L438" i="2"/>
  <c r="I438" i="2"/>
  <c r="M437" i="2"/>
  <c r="L437" i="2"/>
  <c r="I437" i="2"/>
  <c r="M436" i="2"/>
  <c r="L436" i="2"/>
  <c r="I436" i="2"/>
  <c r="M435" i="2"/>
  <c r="L435" i="2"/>
  <c r="I435" i="2"/>
  <c r="M434" i="2"/>
  <c r="L434" i="2"/>
  <c r="I434" i="2"/>
  <c r="M433" i="2"/>
  <c r="L433" i="2"/>
  <c r="I433" i="2"/>
  <c r="M432" i="2"/>
  <c r="L432" i="2"/>
  <c r="I432" i="2"/>
  <c r="M431" i="2"/>
  <c r="L431" i="2"/>
  <c r="I431" i="2"/>
  <c r="M430" i="2"/>
  <c r="L430" i="2"/>
  <c r="I430" i="2"/>
  <c r="M429" i="2"/>
  <c r="L429" i="2"/>
  <c r="I429" i="2"/>
  <c r="M428" i="2"/>
  <c r="L428" i="2"/>
  <c r="I428" i="2"/>
  <c r="M427" i="2"/>
  <c r="L427" i="2"/>
  <c r="I427" i="2"/>
  <c r="M426" i="2"/>
  <c r="L426" i="2"/>
  <c r="I426" i="2"/>
  <c r="M425" i="2"/>
  <c r="L425" i="2"/>
  <c r="I425" i="2"/>
  <c r="M424" i="2"/>
  <c r="L424" i="2"/>
  <c r="I424" i="2"/>
  <c r="M423" i="2"/>
  <c r="L423" i="2"/>
  <c r="I423" i="2"/>
  <c r="M422" i="2"/>
  <c r="L422" i="2"/>
  <c r="I422" i="2"/>
  <c r="M421" i="2"/>
  <c r="L421" i="2"/>
  <c r="I421" i="2"/>
  <c r="M420" i="2"/>
  <c r="L420" i="2"/>
  <c r="I420" i="2"/>
  <c r="M419" i="2"/>
  <c r="L419" i="2"/>
  <c r="I419" i="2"/>
  <c r="M418" i="2"/>
  <c r="L418" i="2"/>
  <c r="I418" i="2"/>
  <c r="M417" i="2"/>
  <c r="L417" i="2"/>
  <c r="I417" i="2"/>
  <c r="M416" i="2"/>
  <c r="L416" i="2"/>
  <c r="I416" i="2"/>
  <c r="M415" i="2"/>
  <c r="L415" i="2"/>
  <c r="I415" i="2"/>
  <c r="M414" i="2"/>
  <c r="L414" i="2"/>
  <c r="I414" i="2"/>
  <c r="M413" i="2"/>
  <c r="L413" i="2"/>
  <c r="I413" i="2"/>
  <c r="M412" i="2"/>
  <c r="L412" i="2"/>
  <c r="I412" i="2"/>
  <c r="M411" i="2"/>
  <c r="L411" i="2"/>
  <c r="I411" i="2"/>
  <c r="M410" i="2"/>
  <c r="L410" i="2"/>
  <c r="I410" i="2"/>
  <c r="M409" i="2"/>
  <c r="L409" i="2"/>
  <c r="I409" i="2"/>
  <c r="M408" i="2"/>
  <c r="L408" i="2"/>
  <c r="I408" i="2"/>
  <c r="M407" i="2"/>
  <c r="L407" i="2"/>
  <c r="I407" i="2"/>
  <c r="M406" i="2"/>
  <c r="L406" i="2"/>
  <c r="I406" i="2"/>
  <c r="M405" i="2"/>
  <c r="L405" i="2"/>
  <c r="I405" i="2"/>
  <c r="M404" i="2"/>
  <c r="L404" i="2"/>
  <c r="I404" i="2"/>
  <c r="M403" i="2"/>
  <c r="L403" i="2"/>
  <c r="I403" i="2"/>
  <c r="M402" i="2"/>
  <c r="L402" i="2"/>
  <c r="I402" i="2"/>
  <c r="M401" i="2"/>
  <c r="L401" i="2"/>
  <c r="I401" i="2"/>
  <c r="M400" i="2"/>
  <c r="L400" i="2"/>
  <c r="I400" i="2"/>
  <c r="M399" i="2"/>
  <c r="L399" i="2"/>
  <c r="I399" i="2"/>
  <c r="M398" i="2"/>
  <c r="L398" i="2"/>
  <c r="I398" i="2"/>
  <c r="M397" i="2"/>
  <c r="L397" i="2"/>
  <c r="I397" i="2"/>
  <c r="M396" i="2"/>
  <c r="L396" i="2"/>
  <c r="I396" i="2"/>
  <c r="M395" i="2"/>
  <c r="L395" i="2"/>
  <c r="I395" i="2"/>
  <c r="M394" i="2"/>
  <c r="L394" i="2"/>
  <c r="I394" i="2"/>
  <c r="M393" i="2"/>
  <c r="L393" i="2"/>
  <c r="I393" i="2"/>
  <c r="M392" i="2"/>
  <c r="L392" i="2"/>
  <c r="I392" i="2"/>
  <c r="M391" i="2"/>
  <c r="L391" i="2"/>
  <c r="I391" i="2"/>
  <c r="M390" i="2"/>
  <c r="L390" i="2"/>
  <c r="I390" i="2"/>
  <c r="M389" i="2"/>
  <c r="L389" i="2"/>
  <c r="I389" i="2"/>
  <c r="M388" i="2"/>
  <c r="L388" i="2"/>
  <c r="I388" i="2"/>
  <c r="M387" i="2"/>
  <c r="L387" i="2"/>
  <c r="I387" i="2"/>
  <c r="M386" i="2"/>
  <c r="L386" i="2"/>
  <c r="I386" i="2"/>
  <c r="M385" i="2"/>
  <c r="L385" i="2"/>
  <c r="I385" i="2"/>
  <c r="M384" i="2"/>
  <c r="L384" i="2"/>
  <c r="I384" i="2"/>
  <c r="M383" i="2"/>
  <c r="L383" i="2"/>
  <c r="I383" i="2"/>
  <c r="M382" i="2"/>
  <c r="L382" i="2"/>
  <c r="I382" i="2"/>
  <c r="M381" i="2"/>
  <c r="L381" i="2"/>
  <c r="I381" i="2"/>
  <c r="M380" i="2"/>
  <c r="L380" i="2"/>
  <c r="I380" i="2"/>
  <c r="M379" i="2"/>
  <c r="L379" i="2"/>
  <c r="I379" i="2"/>
  <c r="M378" i="2"/>
  <c r="L378" i="2"/>
  <c r="I378" i="2"/>
  <c r="M377" i="2"/>
  <c r="L377" i="2"/>
  <c r="I377" i="2"/>
  <c r="M376" i="2"/>
  <c r="L376" i="2"/>
  <c r="I376" i="2"/>
  <c r="M375" i="2"/>
  <c r="L375" i="2"/>
  <c r="I375" i="2"/>
  <c r="M374" i="2"/>
  <c r="L374" i="2"/>
  <c r="I374" i="2"/>
  <c r="M373" i="2"/>
  <c r="L373" i="2"/>
  <c r="I373" i="2"/>
  <c r="M372" i="2"/>
  <c r="L372" i="2"/>
  <c r="I372" i="2"/>
  <c r="M371" i="2"/>
  <c r="L371" i="2"/>
  <c r="I371" i="2"/>
  <c r="M370" i="2"/>
  <c r="L370" i="2"/>
  <c r="I370" i="2"/>
  <c r="M369" i="2"/>
  <c r="L369" i="2"/>
  <c r="I369" i="2"/>
  <c r="M368" i="2"/>
  <c r="L368" i="2"/>
  <c r="I368" i="2"/>
  <c r="M367" i="2"/>
  <c r="L367" i="2"/>
  <c r="I367" i="2"/>
  <c r="M366" i="2"/>
  <c r="L366" i="2"/>
  <c r="I366" i="2"/>
  <c r="M365" i="2"/>
  <c r="L365" i="2"/>
  <c r="I365" i="2"/>
  <c r="M364" i="2"/>
  <c r="L364" i="2"/>
  <c r="I364" i="2"/>
  <c r="M363" i="2"/>
  <c r="L363" i="2"/>
  <c r="I363" i="2"/>
  <c r="M362" i="2"/>
  <c r="L362" i="2"/>
  <c r="I362" i="2"/>
  <c r="M361" i="2"/>
  <c r="L361" i="2"/>
  <c r="I361" i="2"/>
  <c r="M360" i="2"/>
  <c r="L360" i="2"/>
  <c r="I360" i="2"/>
  <c r="M359" i="2"/>
  <c r="L359" i="2"/>
  <c r="I359" i="2"/>
  <c r="M358" i="2"/>
  <c r="L358" i="2"/>
  <c r="I358" i="2"/>
  <c r="M357" i="2"/>
  <c r="L357" i="2"/>
  <c r="I357" i="2"/>
  <c r="M356" i="2"/>
  <c r="L356" i="2"/>
  <c r="I356" i="2"/>
  <c r="M355" i="2"/>
  <c r="L355" i="2"/>
  <c r="I355" i="2"/>
  <c r="M354" i="2"/>
  <c r="L354" i="2"/>
  <c r="I354" i="2"/>
  <c r="M353" i="2"/>
  <c r="L353" i="2"/>
  <c r="I353" i="2"/>
  <c r="M352" i="2"/>
  <c r="L352" i="2"/>
  <c r="I352" i="2"/>
  <c r="M351" i="2"/>
  <c r="L351" i="2"/>
  <c r="I351" i="2"/>
  <c r="M350" i="2"/>
  <c r="L350" i="2"/>
  <c r="I350" i="2"/>
  <c r="M349" i="2"/>
  <c r="L349" i="2"/>
  <c r="I349" i="2"/>
  <c r="M348" i="2"/>
  <c r="L348" i="2"/>
  <c r="I348" i="2"/>
  <c r="M347" i="2"/>
  <c r="L347" i="2"/>
  <c r="I347" i="2"/>
  <c r="M346" i="2"/>
  <c r="L346" i="2"/>
  <c r="I346" i="2"/>
  <c r="M345" i="2"/>
  <c r="L345" i="2"/>
  <c r="I345" i="2"/>
  <c r="M344" i="2"/>
  <c r="L344" i="2"/>
  <c r="I344" i="2"/>
  <c r="M343" i="2"/>
  <c r="L343" i="2"/>
  <c r="I343" i="2"/>
  <c r="M342" i="2"/>
  <c r="L342" i="2"/>
  <c r="I342" i="2"/>
  <c r="M341" i="2"/>
  <c r="L341" i="2"/>
  <c r="I341" i="2"/>
  <c r="M340" i="2"/>
  <c r="L340" i="2"/>
  <c r="I340" i="2"/>
  <c r="M339" i="2"/>
  <c r="L339" i="2"/>
  <c r="I339" i="2"/>
  <c r="M338" i="2"/>
  <c r="L338" i="2"/>
  <c r="I338" i="2"/>
  <c r="M337" i="2"/>
  <c r="L337" i="2"/>
  <c r="I337" i="2"/>
  <c r="M336" i="2"/>
  <c r="L336" i="2"/>
  <c r="I336" i="2"/>
  <c r="M335" i="2"/>
  <c r="L335" i="2"/>
  <c r="I335" i="2"/>
  <c r="M334" i="2"/>
  <c r="L334" i="2"/>
  <c r="I334" i="2"/>
  <c r="M333" i="2"/>
  <c r="L333" i="2"/>
  <c r="I333" i="2"/>
  <c r="M332" i="2"/>
  <c r="L332" i="2"/>
  <c r="I332" i="2"/>
  <c r="M331" i="2"/>
  <c r="L331" i="2"/>
  <c r="I331" i="2"/>
  <c r="M330" i="2"/>
  <c r="L330" i="2"/>
  <c r="I330" i="2"/>
  <c r="M329" i="2"/>
  <c r="L329" i="2"/>
  <c r="I329" i="2"/>
  <c r="M328" i="2"/>
  <c r="L328" i="2"/>
  <c r="I328" i="2"/>
  <c r="M327" i="2"/>
  <c r="L327" i="2"/>
  <c r="I327" i="2"/>
  <c r="M326" i="2"/>
  <c r="L326" i="2"/>
  <c r="I326" i="2"/>
  <c r="M325" i="2"/>
  <c r="L325" i="2"/>
  <c r="I325" i="2"/>
  <c r="M324" i="2"/>
  <c r="L324" i="2"/>
  <c r="I324" i="2"/>
  <c r="M323" i="2"/>
  <c r="L323" i="2"/>
  <c r="I323" i="2"/>
  <c r="M322" i="2"/>
  <c r="L322" i="2"/>
  <c r="I322" i="2"/>
  <c r="M321" i="2"/>
  <c r="L321" i="2"/>
  <c r="I321" i="2"/>
  <c r="M320" i="2"/>
  <c r="L320" i="2"/>
  <c r="I320" i="2"/>
  <c r="M319" i="2"/>
  <c r="L319" i="2"/>
  <c r="I319" i="2"/>
  <c r="M318" i="2"/>
  <c r="L318" i="2"/>
  <c r="I318" i="2"/>
  <c r="M317" i="2"/>
  <c r="L317" i="2"/>
  <c r="I317" i="2"/>
  <c r="M316" i="2"/>
  <c r="L316" i="2"/>
  <c r="I316" i="2"/>
  <c r="M315" i="2"/>
  <c r="L315" i="2"/>
  <c r="I315" i="2"/>
  <c r="M314" i="2"/>
  <c r="L314" i="2"/>
  <c r="I314" i="2"/>
  <c r="M313" i="2"/>
  <c r="L313" i="2"/>
  <c r="I313" i="2"/>
  <c r="M312" i="2"/>
  <c r="L312" i="2"/>
  <c r="I312" i="2"/>
  <c r="M311" i="2"/>
  <c r="L311" i="2"/>
  <c r="I311" i="2"/>
  <c r="M310" i="2"/>
  <c r="L310" i="2"/>
  <c r="I310" i="2"/>
  <c r="M309" i="2"/>
  <c r="L309" i="2"/>
  <c r="I309" i="2"/>
  <c r="M308" i="2"/>
  <c r="L308" i="2"/>
  <c r="I308" i="2"/>
  <c r="M307" i="2"/>
  <c r="L307" i="2"/>
  <c r="I307" i="2"/>
  <c r="M306" i="2"/>
  <c r="L306" i="2"/>
  <c r="I306" i="2"/>
  <c r="M305" i="2"/>
  <c r="L305" i="2"/>
  <c r="I305" i="2"/>
  <c r="M304" i="2"/>
  <c r="L304" i="2"/>
  <c r="I304" i="2"/>
  <c r="M303" i="2"/>
  <c r="L303" i="2"/>
  <c r="I303" i="2"/>
  <c r="M302" i="2"/>
  <c r="L302" i="2"/>
  <c r="I302" i="2"/>
  <c r="M301" i="2"/>
  <c r="L301" i="2"/>
  <c r="I301" i="2"/>
  <c r="M300" i="2"/>
  <c r="L300" i="2"/>
  <c r="I300" i="2"/>
  <c r="M299" i="2"/>
  <c r="L299" i="2"/>
  <c r="I299" i="2"/>
  <c r="M298" i="2"/>
  <c r="L298" i="2"/>
  <c r="I298" i="2"/>
  <c r="M297" i="2"/>
  <c r="L297" i="2"/>
  <c r="I297" i="2"/>
  <c r="M296" i="2"/>
  <c r="L296" i="2"/>
  <c r="I296" i="2"/>
  <c r="M295" i="2"/>
  <c r="L295" i="2"/>
  <c r="I295" i="2"/>
  <c r="M294" i="2"/>
  <c r="L294" i="2"/>
  <c r="I294" i="2"/>
  <c r="M293" i="2"/>
  <c r="L293" i="2"/>
  <c r="I293" i="2"/>
  <c r="M292" i="2"/>
  <c r="L292" i="2"/>
  <c r="I292" i="2"/>
  <c r="M291" i="2"/>
  <c r="L291" i="2"/>
  <c r="I291" i="2"/>
  <c r="M290" i="2"/>
  <c r="L290" i="2"/>
  <c r="I290" i="2"/>
  <c r="M289" i="2"/>
  <c r="L289" i="2"/>
  <c r="I289" i="2"/>
  <c r="M288" i="2"/>
  <c r="L288" i="2"/>
  <c r="I288" i="2"/>
  <c r="M287" i="2"/>
  <c r="L287" i="2"/>
  <c r="I287" i="2"/>
  <c r="M286" i="2"/>
  <c r="L286" i="2"/>
  <c r="I286" i="2"/>
  <c r="M285" i="2"/>
  <c r="L285" i="2"/>
  <c r="I285" i="2"/>
  <c r="M284" i="2"/>
  <c r="L284" i="2"/>
  <c r="I284" i="2"/>
  <c r="M283" i="2"/>
  <c r="L283" i="2"/>
  <c r="I283" i="2"/>
  <c r="M282" i="2"/>
  <c r="L282" i="2"/>
  <c r="I282" i="2"/>
  <c r="M281" i="2"/>
  <c r="L281" i="2"/>
  <c r="I281" i="2"/>
  <c r="M280" i="2"/>
  <c r="L280" i="2"/>
  <c r="I280" i="2"/>
  <c r="M279" i="2"/>
  <c r="L279" i="2"/>
  <c r="I279" i="2"/>
  <c r="M278" i="2"/>
  <c r="L278" i="2"/>
  <c r="I278" i="2"/>
  <c r="M277" i="2"/>
  <c r="L277" i="2"/>
  <c r="I277" i="2"/>
  <c r="M276" i="2"/>
  <c r="L276" i="2"/>
  <c r="I276" i="2"/>
  <c r="M275" i="2"/>
  <c r="L275" i="2"/>
  <c r="I275" i="2"/>
  <c r="M274" i="2"/>
  <c r="L274" i="2"/>
  <c r="I274" i="2"/>
  <c r="M273" i="2"/>
  <c r="L273" i="2"/>
  <c r="I273" i="2"/>
  <c r="M272" i="2"/>
  <c r="L272" i="2"/>
  <c r="I272" i="2"/>
  <c r="M271" i="2"/>
  <c r="L271" i="2"/>
  <c r="I271" i="2"/>
  <c r="M270" i="2"/>
  <c r="L270" i="2"/>
  <c r="I270" i="2"/>
  <c r="M269" i="2"/>
  <c r="L269" i="2"/>
  <c r="I269" i="2"/>
  <c r="M268" i="2"/>
  <c r="L268" i="2"/>
  <c r="I268" i="2"/>
  <c r="M267" i="2"/>
  <c r="L267" i="2"/>
  <c r="I267" i="2"/>
  <c r="M266" i="2"/>
  <c r="L266" i="2"/>
  <c r="I266" i="2"/>
  <c r="M265" i="2"/>
  <c r="L265" i="2"/>
  <c r="I265" i="2"/>
  <c r="M264" i="2"/>
  <c r="L264" i="2"/>
  <c r="I264" i="2"/>
  <c r="M263" i="2"/>
  <c r="L263" i="2"/>
  <c r="I263" i="2"/>
  <c r="M262" i="2"/>
  <c r="L262" i="2"/>
  <c r="I262" i="2"/>
  <c r="M261" i="2"/>
  <c r="L261" i="2"/>
  <c r="I261" i="2"/>
  <c r="M260" i="2"/>
  <c r="L260" i="2"/>
  <c r="I260" i="2"/>
  <c r="M259" i="2"/>
  <c r="L259" i="2"/>
  <c r="I259" i="2"/>
  <c r="M258" i="2"/>
  <c r="L258" i="2"/>
  <c r="I258" i="2"/>
  <c r="M257" i="2"/>
  <c r="L257" i="2"/>
  <c r="I257" i="2"/>
  <c r="M256" i="2"/>
  <c r="L256" i="2"/>
  <c r="I256" i="2"/>
  <c r="M255" i="2"/>
  <c r="L255" i="2"/>
  <c r="I255" i="2"/>
  <c r="M254" i="2"/>
  <c r="L254" i="2"/>
  <c r="I254" i="2"/>
  <c r="M253" i="2"/>
  <c r="L253" i="2"/>
  <c r="I253" i="2"/>
  <c r="M252" i="2"/>
  <c r="L252" i="2"/>
  <c r="I252" i="2"/>
  <c r="M251" i="2"/>
  <c r="L251" i="2"/>
  <c r="I251" i="2"/>
  <c r="M250" i="2"/>
  <c r="L250" i="2"/>
  <c r="I250" i="2"/>
  <c r="M249" i="2"/>
  <c r="L249" i="2"/>
  <c r="I249" i="2"/>
  <c r="M248" i="2"/>
  <c r="L248" i="2"/>
  <c r="I248" i="2"/>
  <c r="M247" i="2"/>
  <c r="L247" i="2"/>
  <c r="I247" i="2"/>
  <c r="M246" i="2"/>
  <c r="L246" i="2"/>
  <c r="I246" i="2"/>
  <c r="M245" i="2"/>
  <c r="L245" i="2"/>
  <c r="I245" i="2"/>
  <c r="M244" i="2"/>
  <c r="L244" i="2"/>
  <c r="I244" i="2"/>
  <c r="M243" i="2"/>
  <c r="L243" i="2"/>
  <c r="I243" i="2"/>
  <c r="M242" i="2"/>
  <c r="L242" i="2"/>
  <c r="I242" i="2"/>
  <c r="M241" i="2"/>
  <c r="L241" i="2"/>
  <c r="I241" i="2"/>
  <c r="M240" i="2"/>
  <c r="L240" i="2"/>
  <c r="I240" i="2"/>
  <c r="M239" i="2"/>
  <c r="L239" i="2"/>
  <c r="I239" i="2"/>
  <c r="M238" i="2"/>
  <c r="L238" i="2"/>
  <c r="I238" i="2"/>
  <c r="M237" i="2"/>
  <c r="L237" i="2"/>
  <c r="I237" i="2"/>
  <c r="M236" i="2"/>
  <c r="L236" i="2"/>
  <c r="I236" i="2"/>
  <c r="M235" i="2"/>
  <c r="L235" i="2"/>
  <c r="I235" i="2"/>
  <c r="M234" i="2"/>
  <c r="L234" i="2"/>
  <c r="I234" i="2"/>
  <c r="M233" i="2"/>
  <c r="L233" i="2"/>
  <c r="I233" i="2"/>
  <c r="M232" i="2"/>
  <c r="L232" i="2"/>
  <c r="I232" i="2"/>
  <c r="M231" i="2"/>
  <c r="L231" i="2"/>
  <c r="I231" i="2"/>
  <c r="M230" i="2"/>
  <c r="L230" i="2"/>
  <c r="I230" i="2"/>
  <c r="M229" i="2"/>
  <c r="L229" i="2"/>
  <c r="I229" i="2"/>
  <c r="M228" i="2"/>
  <c r="L228" i="2"/>
  <c r="I228" i="2"/>
  <c r="M227" i="2"/>
  <c r="L227" i="2"/>
  <c r="I227" i="2"/>
  <c r="M226" i="2"/>
  <c r="L226" i="2"/>
  <c r="I226" i="2"/>
  <c r="M225" i="2"/>
  <c r="L225" i="2"/>
  <c r="I225" i="2"/>
  <c r="M224" i="2"/>
  <c r="L224" i="2"/>
  <c r="I224" i="2"/>
  <c r="M223" i="2"/>
  <c r="L223" i="2"/>
  <c r="I223" i="2"/>
  <c r="M222" i="2"/>
  <c r="L222" i="2"/>
  <c r="I222" i="2"/>
  <c r="M221" i="2"/>
  <c r="L221" i="2"/>
  <c r="I221" i="2"/>
  <c r="M220" i="2"/>
  <c r="L220" i="2"/>
  <c r="I220" i="2"/>
  <c r="M219" i="2"/>
  <c r="L219" i="2"/>
  <c r="I219" i="2"/>
  <c r="M218" i="2"/>
  <c r="L218" i="2"/>
  <c r="I218" i="2"/>
  <c r="M217" i="2"/>
  <c r="L217" i="2"/>
  <c r="I217" i="2"/>
  <c r="M216" i="2"/>
  <c r="L216" i="2"/>
  <c r="I216" i="2"/>
  <c r="M215" i="2"/>
  <c r="L215" i="2"/>
  <c r="I215" i="2"/>
  <c r="M214" i="2"/>
  <c r="L214" i="2"/>
  <c r="I214" i="2"/>
  <c r="M213" i="2"/>
  <c r="L213" i="2"/>
  <c r="I213" i="2"/>
  <c r="M212" i="2"/>
  <c r="L212" i="2"/>
  <c r="I212" i="2"/>
  <c r="M211" i="2"/>
  <c r="L211" i="2"/>
  <c r="I211" i="2"/>
  <c r="M210" i="2"/>
  <c r="L210" i="2"/>
  <c r="I210" i="2"/>
  <c r="M209" i="2"/>
  <c r="L209" i="2"/>
  <c r="I209" i="2"/>
  <c r="M208" i="2"/>
  <c r="L208" i="2"/>
  <c r="I208" i="2"/>
  <c r="M207" i="2"/>
  <c r="L207" i="2"/>
  <c r="I207" i="2"/>
  <c r="M206" i="2"/>
  <c r="L206" i="2"/>
  <c r="I206" i="2"/>
  <c r="M205" i="2"/>
  <c r="L205" i="2"/>
  <c r="I205" i="2"/>
  <c r="M204" i="2"/>
  <c r="L204" i="2"/>
  <c r="I204" i="2"/>
  <c r="M203" i="2"/>
  <c r="L203" i="2"/>
  <c r="I203" i="2"/>
  <c r="M202" i="2"/>
  <c r="L202" i="2"/>
  <c r="I202" i="2"/>
  <c r="M201" i="2"/>
  <c r="L201" i="2"/>
  <c r="I201" i="2"/>
  <c r="M200" i="2"/>
  <c r="L200" i="2"/>
  <c r="I200" i="2"/>
  <c r="M199" i="2"/>
  <c r="L199" i="2"/>
  <c r="I199" i="2"/>
  <c r="M198" i="2"/>
  <c r="L198" i="2"/>
  <c r="I198" i="2"/>
  <c r="M197" i="2"/>
  <c r="L197" i="2"/>
  <c r="I197" i="2"/>
  <c r="M196" i="2"/>
  <c r="L196" i="2"/>
  <c r="I196" i="2"/>
  <c r="M195" i="2"/>
  <c r="L195" i="2"/>
  <c r="I195" i="2"/>
  <c r="M194" i="2"/>
  <c r="L194" i="2"/>
  <c r="I194" i="2"/>
  <c r="M193" i="2"/>
  <c r="L193" i="2"/>
  <c r="I193" i="2"/>
  <c r="M192" i="2"/>
  <c r="L192" i="2"/>
  <c r="I192" i="2"/>
  <c r="M191" i="2"/>
  <c r="L191" i="2"/>
  <c r="I191" i="2"/>
  <c r="M190" i="2"/>
  <c r="L190" i="2"/>
  <c r="I190" i="2"/>
  <c r="M189" i="2"/>
  <c r="L189" i="2"/>
  <c r="I189" i="2"/>
  <c r="M188" i="2"/>
  <c r="L188" i="2"/>
  <c r="I188" i="2"/>
  <c r="M187" i="2"/>
  <c r="L187" i="2"/>
  <c r="I187" i="2"/>
  <c r="M186" i="2"/>
  <c r="L186" i="2"/>
  <c r="I186" i="2"/>
  <c r="M185" i="2"/>
  <c r="L185" i="2"/>
  <c r="I185" i="2"/>
  <c r="M184" i="2"/>
  <c r="L184" i="2"/>
  <c r="I184" i="2"/>
  <c r="M183" i="2"/>
  <c r="L183" i="2"/>
  <c r="I183" i="2"/>
  <c r="M182" i="2"/>
  <c r="L182" i="2"/>
  <c r="I182" i="2"/>
  <c r="M181" i="2"/>
  <c r="L181" i="2"/>
  <c r="I181" i="2"/>
  <c r="M180" i="2"/>
  <c r="L180" i="2"/>
  <c r="I180" i="2"/>
  <c r="M179" i="2"/>
  <c r="L179" i="2"/>
  <c r="I179" i="2"/>
  <c r="M178" i="2"/>
  <c r="L178" i="2"/>
  <c r="I178" i="2"/>
  <c r="M177" i="2"/>
  <c r="L177" i="2"/>
  <c r="I177" i="2"/>
  <c r="M176" i="2"/>
  <c r="L176" i="2"/>
  <c r="I176" i="2"/>
  <c r="M175" i="2"/>
  <c r="L175" i="2"/>
  <c r="I175" i="2"/>
  <c r="M174" i="2"/>
  <c r="L174" i="2"/>
  <c r="I174" i="2"/>
  <c r="M173" i="2"/>
  <c r="L173" i="2"/>
  <c r="I173" i="2"/>
  <c r="M172" i="2"/>
  <c r="L172" i="2"/>
  <c r="I172" i="2"/>
  <c r="M171" i="2"/>
  <c r="L171" i="2"/>
  <c r="I171" i="2"/>
  <c r="M170" i="2"/>
  <c r="L170" i="2"/>
  <c r="I170" i="2"/>
  <c r="M169" i="2"/>
  <c r="L169" i="2"/>
  <c r="I169" i="2"/>
  <c r="M168" i="2"/>
  <c r="L168" i="2"/>
  <c r="I168" i="2"/>
  <c r="M167" i="2"/>
  <c r="L167" i="2"/>
  <c r="I167" i="2"/>
  <c r="M166" i="2"/>
  <c r="L166" i="2"/>
  <c r="I166" i="2"/>
  <c r="M165" i="2"/>
  <c r="L165" i="2"/>
  <c r="I165" i="2"/>
  <c r="M164" i="2"/>
  <c r="L164" i="2"/>
  <c r="I164" i="2"/>
  <c r="M163" i="2"/>
  <c r="L163" i="2"/>
  <c r="I163" i="2"/>
  <c r="M162" i="2"/>
  <c r="L162" i="2"/>
  <c r="I162" i="2"/>
  <c r="M161" i="2"/>
  <c r="L161" i="2"/>
  <c r="I161" i="2"/>
  <c r="M160" i="2"/>
  <c r="L160" i="2"/>
  <c r="I160" i="2"/>
  <c r="M159" i="2"/>
  <c r="L159" i="2"/>
  <c r="I159" i="2"/>
  <c r="M158" i="2"/>
  <c r="L158" i="2"/>
  <c r="I158" i="2"/>
  <c r="M157" i="2"/>
  <c r="L157" i="2"/>
  <c r="I157" i="2"/>
  <c r="M156" i="2"/>
  <c r="L156" i="2"/>
  <c r="I156" i="2"/>
  <c r="M155" i="2"/>
  <c r="L155" i="2"/>
  <c r="I155" i="2"/>
  <c r="M154" i="2"/>
  <c r="L154" i="2"/>
  <c r="I154" i="2"/>
  <c r="M153" i="2"/>
  <c r="L153" i="2"/>
  <c r="I153" i="2"/>
  <c r="M152" i="2"/>
  <c r="L152" i="2"/>
  <c r="I152" i="2"/>
  <c r="M151" i="2"/>
  <c r="L151" i="2"/>
  <c r="I151" i="2"/>
  <c r="M150" i="2"/>
  <c r="L150" i="2"/>
  <c r="I150" i="2"/>
  <c r="M149" i="2"/>
  <c r="L149" i="2"/>
  <c r="I149" i="2"/>
  <c r="M148" i="2"/>
  <c r="L148" i="2"/>
  <c r="I148" i="2"/>
  <c r="M147" i="2"/>
  <c r="L147" i="2"/>
  <c r="I147" i="2"/>
  <c r="M146" i="2"/>
  <c r="L146" i="2"/>
  <c r="I146" i="2"/>
  <c r="M145" i="2"/>
  <c r="L145" i="2"/>
  <c r="I145" i="2"/>
  <c r="M144" i="2"/>
  <c r="L144" i="2"/>
  <c r="I144" i="2"/>
  <c r="M143" i="2"/>
  <c r="L143" i="2"/>
  <c r="I143" i="2"/>
  <c r="M142" i="2"/>
  <c r="L142" i="2"/>
  <c r="I142" i="2"/>
  <c r="M141" i="2"/>
  <c r="L141" i="2"/>
  <c r="I141" i="2"/>
  <c r="M140" i="2"/>
  <c r="L140" i="2"/>
  <c r="I140" i="2"/>
  <c r="M139" i="2"/>
  <c r="L139" i="2"/>
  <c r="I139" i="2"/>
  <c r="M138" i="2"/>
  <c r="L138" i="2"/>
  <c r="I138" i="2"/>
  <c r="M137" i="2"/>
  <c r="L137" i="2"/>
  <c r="I137" i="2"/>
  <c r="M136" i="2"/>
  <c r="L136" i="2"/>
  <c r="I136" i="2"/>
  <c r="M135" i="2"/>
  <c r="L135" i="2"/>
  <c r="I135" i="2"/>
  <c r="M134" i="2"/>
  <c r="L134" i="2"/>
  <c r="I134" i="2"/>
  <c r="M133" i="2"/>
  <c r="L133" i="2"/>
  <c r="I133" i="2"/>
  <c r="M132" i="2"/>
  <c r="L132" i="2"/>
  <c r="I132" i="2"/>
  <c r="M131" i="2"/>
  <c r="L131" i="2"/>
  <c r="I131" i="2"/>
  <c r="M130" i="2"/>
  <c r="L130" i="2"/>
  <c r="I130" i="2"/>
  <c r="M129" i="2"/>
  <c r="L129" i="2"/>
  <c r="I129" i="2"/>
  <c r="M128" i="2"/>
  <c r="L128" i="2"/>
  <c r="I128" i="2"/>
  <c r="M127" i="2"/>
  <c r="L127" i="2"/>
  <c r="I127" i="2"/>
  <c r="M126" i="2"/>
  <c r="L126" i="2"/>
  <c r="I126" i="2"/>
  <c r="M125" i="2"/>
  <c r="L125" i="2"/>
  <c r="I125" i="2"/>
  <c r="M124" i="2"/>
  <c r="L124" i="2"/>
  <c r="I124" i="2"/>
  <c r="M123" i="2"/>
  <c r="L123" i="2"/>
  <c r="I123" i="2"/>
  <c r="M122" i="2"/>
  <c r="L122" i="2"/>
  <c r="I122" i="2"/>
  <c r="M121" i="2"/>
  <c r="L121" i="2"/>
  <c r="I121" i="2"/>
  <c r="M120" i="2"/>
  <c r="L120" i="2"/>
  <c r="I120" i="2"/>
  <c r="M119" i="2"/>
  <c r="L119" i="2"/>
  <c r="I119" i="2"/>
  <c r="M118" i="2"/>
  <c r="L118" i="2"/>
  <c r="I118" i="2"/>
  <c r="M117" i="2"/>
  <c r="L117" i="2"/>
  <c r="I117" i="2"/>
  <c r="M116" i="2"/>
  <c r="L116" i="2"/>
  <c r="I116" i="2"/>
  <c r="M115" i="2"/>
  <c r="L115" i="2"/>
  <c r="I115" i="2"/>
  <c r="M114" i="2"/>
  <c r="L114" i="2"/>
  <c r="I114" i="2"/>
  <c r="M113" i="2"/>
  <c r="L113" i="2"/>
  <c r="I113" i="2"/>
  <c r="M112" i="2"/>
  <c r="L112" i="2"/>
  <c r="I112" i="2"/>
  <c r="M111" i="2"/>
  <c r="L111" i="2"/>
  <c r="I111" i="2"/>
  <c r="M110" i="2"/>
  <c r="L110" i="2"/>
  <c r="I110" i="2"/>
  <c r="M109" i="2"/>
  <c r="L109" i="2"/>
  <c r="I109" i="2"/>
  <c r="M108" i="2"/>
  <c r="L108" i="2"/>
  <c r="I108" i="2"/>
  <c r="M107" i="2"/>
  <c r="L107" i="2"/>
  <c r="I107" i="2"/>
  <c r="M106" i="2"/>
  <c r="L106" i="2"/>
  <c r="I106" i="2"/>
  <c r="M105" i="2"/>
  <c r="L105" i="2"/>
  <c r="I105" i="2"/>
  <c r="M104" i="2"/>
  <c r="L104" i="2"/>
  <c r="I104" i="2"/>
  <c r="M103" i="2"/>
  <c r="L103" i="2"/>
  <c r="I103" i="2"/>
  <c r="M102" i="2"/>
  <c r="L102" i="2"/>
  <c r="I102" i="2"/>
  <c r="M101" i="2"/>
  <c r="L101" i="2"/>
  <c r="I101" i="2"/>
  <c r="M100" i="2"/>
  <c r="L100" i="2"/>
  <c r="I100" i="2"/>
  <c r="M99" i="2"/>
  <c r="L99" i="2"/>
  <c r="I99" i="2"/>
  <c r="M98" i="2"/>
  <c r="L98" i="2"/>
  <c r="I98" i="2"/>
  <c r="M97" i="2"/>
  <c r="L97" i="2"/>
  <c r="I97" i="2"/>
  <c r="M96" i="2"/>
  <c r="L96" i="2"/>
  <c r="I96" i="2"/>
  <c r="M95" i="2"/>
  <c r="L95" i="2"/>
  <c r="I95" i="2"/>
  <c r="M94" i="2"/>
  <c r="L94" i="2"/>
  <c r="I94" i="2"/>
  <c r="M93" i="2"/>
  <c r="L93" i="2"/>
  <c r="I93" i="2"/>
  <c r="M92" i="2"/>
  <c r="L92" i="2"/>
  <c r="I92" i="2"/>
  <c r="M91" i="2"/>
  <c r="L91" i="2"/>
  <c r="I91" i="2"/>
  <c r="M90" i="2"/>
  <c r="L90" i="2"/>
  <c r="I90" i="2"/>
  <c r="M89" i="2"/>
  <c r="L89" i="2"/>
  <c r="I89" i="2"/>
  <c r="M88" i="2"/>
  <c r="L88" i="2"/>
  <c r="I88" i="2"/>
  <c r="M87" i="2"/>
  <c r="L87" i="2"/>
  <c r="I87" i="2"/>
  <c r="M86" i="2"/>
  <c r="L86" i="2"/>
  <c r="I86" i="2"/>
  <c r="M85" i="2"/>
  <c r="L85" i="2"/>
  <c r="I85" i="2"/>
  <c r="M84" i="2"/>
  <c r="L84" i="2"/>
  <c r="I84" i="2"/>
  <c r="M83" i="2"/>
  <c r="L83" i="2"/>
  <c r="I83" i="2"/>
  <c r="M82" i="2"/>
  <c r="L82" i="2"/>
  <c r="I82" i="2"/>
  <c r="M81" i="2"/>
  <c r="L81" i="2"/>
  <c r="I81" i="2"/>
  <c r="M80" i="2"/>
  <c r="L80" i="2"/>
  <c r="I80" i="2"/>
  <c r="M79" i="2"/>
  <c r="L79" i="2"/>
  <c r="I79" i="2"/>
  <c r="M78" i="2"/>
  <c r="L78" i="2"/>
  <c r="I78" i="2"/>
  <c r="M77" i="2"/>
  <c r="L77" i="2"/>
  <c r="I77" i="2"/>
  <c r="M76" i="2"/>
  <c r="L76" i="2"/>
  <c r="I76" i="2"/>
  <c r="M75" i="2"/>
  <c r="L75" i="2"/>
  <c r="I75" i="2"/>
  <c r="M74" i="2"/>
  <c r="L74" i="2"/>
  <c r="I74" i="2"/>
  <c r="M73" i="2"/>
  <c r="L73" i="2"/>
  <c r="I73" i="2"/>
  <c r="M72" i="2"/>
  <c r="L72" i="2"/>
  <c r="I72" i="2"/>
  <c r="M71" i="2"/>
  <c r="L71" i="2"/>
  <c r="I71" i="2"/>
  <c r="M70" i="2"/>
  <c r="L70" i="2"/>
  <c r="I70" i="2"/>
  <c r="M69" i="2"/>
  <c r="L69" i="2"/>
  <c r="I69" i="2"/>
  <c r="M68" i="2"/>
  <c r="L68" i="2"/>
  <c r="I68" i="2"/>
  <c r="M67" i="2"/>
  <c r="L67" i="2"/>
  <c r="I67" i="2"/>
  <c r="M66" i="2"/>
  <c r="L66" i="2"/>
  <c r="I66" i="2"/>
  <c r="M65" i="2"/>
  <c r="L65" i="2"/>
  <c r="I65" i="2"/>
  <c r="M64" i="2"/>
  <c r="L64" i="2"/>
  <c r="I64" i="2"/>
  <c r="M63" i="2"/>
  <c r="L63" i="2"/>
  <c r="I63" i="2"/>
  <c r="M62" i="2"/>
  <c r="L62" i="2"/>
  <c r="I62" i="2"/>
  <c r="M61" i="2"/>
  <c r="L61" i="2"/>
  <c r="I61" i="2"/>
  <c r="M60" i="2"/>
  <c r="L60" i="2"/>
  <c r="I60" i="2"/>
  <c r="M59" i="2"/>
  <c r="L59" i="2"/>
  <c r="I59" i="2"/>
  <c r="M58" i="2"/>
  <c r="L58" i="2"/>
  <c r="I58" i="2"/>
  <c r="M57" i="2"/>
  <c r="L57" i="2"/>
  <c r="I57" i="2"/>
  <c r="M56" i="2"/>
  <c r="L56" i="2"/>
  <c r="I56" i="2"/>
  <c r="M55" i="2"/>
  <c r="L55" i="2"/>
  <c r="I55" i="2"/>
  <c r="M54" i="2"/>
  <c r="L54" i="2"/>
  <c r="I54" i="2"/>
  <c r="M53" i="2"/>
  <c r="L53" i="2"/>
  <c r="I53" i="2"/>
  <c r="M52" i="2"/>
  <c r="L52" i="2"/>
  <c r="I52" i="2"/>
  <c r="M51" i="2"/>
  <c r="L51" i="2"/>
  <c r="I51" i="2"/>
  <c r="M50" i="2"/>
  <c r="L50" i="2"/>
  <c r="I50" i="2"/>
  <c r="M49" i="2"/>
  <c r="L49" i="2"/>
  <c r="I49" i="2"/>
  <c r="M48" i="2"/>
  <c r="L48" i="2"/>
  <c r="I48" i="2"/>
  <c r="M47" i="2"/>
  <c r="L47" i="2"/>
  <c r="I47" i="2"/>
  <c r="M46" i="2"/>
  <c r="L46" i="2"/>
  <c r="I46" i="2"/>
  <c r="M45" i="2"/>
  <c r="L45" i="2"/>
  <c r="I45" i="2"/>
  <c r="M44" i="2"/>
  <c r="L44" i="2"/>
  <c r="I44" i="2"/>
  <c r="M43" i="2"/>
  <c r="L43" i="2"/>
  <c r="I43" i="2"/>
  <c r="M42" i="2"/>
  <c r="L42" i="2"/>
  <c r="I42" i="2"/>
  <c r="M41" i="2"/>
  <c r="L41" i="2"/>
  <c r="I41" i="2"/>
  <c r="M40" i="2"/>
  <c r="L40" i="2"/>
  <c r="I40" i="2"/>
  <c r="M39" i="2"/>
  <c r="L39" i="2"/>
  <c r="I39" i="2"/>
  <c r="M38" i="2"/>
  <c r="L38" i="2"/>
  <c r="I38" i="2"/>
  <c r="M37" i="2"/>
  <c r="L37" i="2"/>
  <c r="I37" i="2"/>
  <c r="M36" i="2"/>
  <c r="L36" i="2"/>
  <c r="I36" i="2"/>
  <c r="M35" i="2"/>
  <c r="L35" i="2"/>
  <c r="I35" i="2"/>
  <c r="M34" i="2"/>
  <c r="L34" i="2"/>
  <c r="I34" i="2"/>
  <c r="M33" i="2"/>
  <c r="L33" i="2"/>
  <c r="I33" i="2"/>
  <c r="M32" i="2"/>
  <c r="L32" i="2"/>
  <c r="I32" i="2"/>
  <c r="M31" i="2"/>
  <c r="L31" i="2"/>
  <c r="I31" i="2"/>
  <c r="M30" i="2"/>
  <c r="L30" i="2"/>
  <c r="I30" i="2"/>
  <c r="M29" i="2"/>
  <c r="L29" i="2"/>
  <c r="I29" i="2"/>
  <c r="M28" i="2"/>
  <c r="L28" i="2"/>
  <c r="I28" i="2"/>
  <c r="M27" i="2"/>
  <c r="L27" i="2"/>
  <c r="I27" i="2"/>
  <c r="M26" i="2"/>
  <c r="L26" i="2"/>
  <c r="I26" i="2"/>
  <c r="M25" i="2"/>
  <c r="L25" i="2"/>
  <c r="I25" i="2"/>
  <c r="M24" i="2"/>
  <c r="L24" i="2"/>
  <c r="I24" i="2"/>
  <c r="M23" i="2"/>
  <c r="L23" i="2"/>
  <c r="I23" i="2"/>
  <c r="M22" i="2"/>
  <c r="L22" i="2"/>
  <c r="I22" i="2"/>
  <c r="M21" i="2"/>
  <c r="L21" i="2"/>
  <c r="I21" i="2"/>
  <c r="M20" i="2"/>
  <c r="L20" i="2"/>
  <c r="I20" i="2"/>
  <c r="M19" i="2"/>
  <c r="L19" i="2"/>
  <c r="I19" i="2"/>
  <c r="M18" i="2"/>
  <c r="L18" i="2"/>
  <c r="I18" i="2"/>
  <c r="M17" i="2"/>
  <c r="L17" i="2"/>
  <c r="I17" i="2"/>
  <c r="M16" i="2"/>
  <c r="L16" i="2"/>
  <c r="I16" i="2"/>
  <c r="M15" i="2"/>
  <c r="L15" i="2"/>
  <c r="I15" i="2"/>
  <c r="M14" i="2"/>
  <c r="L14" i="2"/>
  <c r="I14" i="2"/>
  <c r="M13" i="2"/>
  <c r="L13" i="2"/>
  <c r="I13" i="2"/>
  <c r="M12" i="2"/>
  <c r="L12" i="2"/>
  <c r="I12" i="2"/>
  <c r="M11" i="2"/>
  <c r="L11" i="2"/>
  <c r="I11" i="2"/>
  <c r="M10" i="2"/>
  <c r="L10" i="2"/>
  <c r="I10" i="2"/>
  <c r="M9" i="2"/>
  <c r="L9" i="2"/>
  <c r="I9" i="2"/>
  <c r="M8" i="2"/>
  <c r="L8" i="2"/>
  <c r="I8" i="2"/>
  <c r="M7" i="2"/>
  <c r="L7" i="2"/>
  <c r="I7" i="2"/>
  <c r="M6" i="2"/>
  <c r="L6" i="2"/>
  <c r="I6" i="2"/>
  <c r="M5" i="2"/>
  <c r="L5" i="2"/>
  <c r="I5" i="2"/>
  <c r="M4" i="2"/>
  <c r="L4" i="2"/>
  <c r="I4" i="2"/>
  <c r="M3" i="2"/>
  <c r="L3" i="2"/>
  <c r="I3" i="2"/>
  <c r="M2" i="2"/>
  <c r="L2" i="2"/>
  <c r="I2" i="2"/>
</calcChain>
</file>

<file path=xl/sharedStrings.xml><?xml version="1.0" encoding="utf-8"?>
<sst xmlns="http://schemas.openxmlformats.org/spreadsheetml/2006/main" count="38048" uniqueCount="17873">
  <si>
    <t>返回目录</t>
  </si>
  <si>
    <t>统一社会信用代码</t>
  </si>
  <si>
    <t>曾用名</t>
  </si>
  <si>
    <t>登记状态</t>
  </si>
  <si>
    <t>法定代表人</t>
  </si>
  <si>
    <t>注册资本</t>
  </si>
  <si>
    <t>实缴资本</t>
  </si>
  <si>
    <t>成立日期</t>
  </si>
  <si>
    <t>成立年限</t>
    <phoneticPr fontId="2" type="noConversion"/>
  </si>
  <si>
    <t>企业地址</t>
  </si>
  <si>
    <t>所属省份</t>
  </si>
  <si>
    <t>所属地区</t>
    <phoneticPr fontId="2" type="noConversion"/>
  </si>
  <si>
    <t>所属7大地理地区</t>
    <phoneticPr fontId="2" type="noConversion"/>
  </si>
  <si>
    <t>所属城市</t>
  </si>
  <si>
    <t>所属区县</t>
  </si>
  <si>
    <t>电话</t>
  </si>
  <si>
    <t>更多电话</t>
  </si>
  <si>
    <t>邮箱</t>
  </si>
  <si>
    <t>更多邮箱</t>
  </si>
  <si>
    <t>企业（机构）类型</t>
  </si>
  <si>
    <t>纳税人识别号</t>
  </si>
  <si>
    <t>注册号</t>
  </si>
  <si>
    <t>组织机构代码</t>
  </si>
  <si>
    <t>参保人数</t>
  </si>
  <si>
    <t>参保人数所属年报</t>
  </si>
  <si>
    <t>营业期限</t>
  </si>
  <si>
    <t>国标行业门类</t>
  </si>
  <si>
    <t>国标行业大类</t>
  </si>
  <si>
    <t>国标行业中类</t>
  </si>
  <si>
    <t>国标行业小类</t>
  </si>
  <si>
    <t>企业规模</t>
  </si>
  <si>
    <t>英文名</t>
  </si>
  <si>
    <t>官网</t>
  </si>
  <si>
    <t>通信地址</t>
  </si>
  <si>
    <t>企业简介</t>
  </si>
  <si>
    <t>经营范围</t>
  </si>
  <si>
    <t>登记机关</t>
  </si>
  <si>
    <t>纳税人资质</t>
  </si>
  <si>
    <t>上海科望饲料有限公司</t>
  </si>
  <si>
    <t>-</t>
  </si>
  <si>
    <t>吊销（2016-12-23）</t>
  </si>
  <si>
    <t>许培玉</t>
  </si>
  <si>
    <t>200万元</t>
  </si>
  <si>
    <t>2013-03-06</t>
  </si>
  <si>
    <t>上海市宝山区同济支路65号A725室</t>
  </si>
  <si>
    <t>上海市</t>
  </si>
  <si>
    <t>宝山区</t>
  </si>
  <si>
    <t>021-57781980</t>
  </si>
  <si>
    <t>有限责任公司（自然人投资或控股）</t>
  </si>
  <si>
    <t>310113063703205</t>
  </si>
  <si>
    <t>310113001029706</t>
  </si>
  <si>
    <t>2013-03-06 至 2023-03-05</t>
  </si>
  <si>
    <t>租赁和商务服务业</t>
  </si>
  <si>
    <t>商务服务业</t>
  </si>
  <si>
    <t>咨询与调查</t>
  </si>
  <si>
    <t>S(小型)</t>
  </si>
  <si>
    <t>Shanghai PST Feedstuff Co., Ltd.</t>
  </si>
  <si>
    <t>上海科望饲料有限公司成立于2013-03-06，法定代表人为许培玉，注册资本为200万元，企业注册地址位于上海市宝山区同济支路65号A725室，所属行业为商务服务业，经营范围包含：饲料销售；饲料科技专业领域的技术咨询、技术服务；实业投资。【企业经营涉及行政许可的，凭许可证件经营】。企业当前经营状态为吊销。</t>
  </si>
  <si>
    <t>饲料销售；饲料科技专业领域的技术咨询、技术服务；实业投资。【企业经营涉及行政许可的，凭许可证件经营】</t>
  </si>
  <si>
    <t>宝山区市场监督管理局</t>
  </si>
  <si>
    <t>中国石化销售股份有限公司山东菏泽石油分公司</t>
  </si>
  <si>
    <t>913717007248126452</t>
  </si>
  <si>
    <t>中国石化销售有限公司山东菏泽石油分公司,
中国石油化工股份有限公司山东菏泽石油分公司</t>
  </si>
  <si>
    <t>在业</t>
  </si>
  <si>
    <t>杨凯</t>
  </si>
  <si>
    <t>2000-07-13</t>
  </si>
  <si>
    <t>菏泽市牡丹路568号</t>
  </si>
  <si>
    <t>山东省</t>
  </si>
  <si>
    <t>菏泽市</t>
  </si>
  <si>
    <t>牡丹区</t>
  </si>
  <si>
    <t>0530-5635550</t>
  </si>
  <si>
    <t>0530-5635552</t>
  </si>
  <si>
    <t>zshhzfgs@163.com</t>
  </si>
  <si>
    <t>ssh1961@126.com;hzsinopec@163.com</t>
  </si>
  <si>
    <t>外商投资企业分公司</t>
  </si>
  <si>
    <t>371700119016532</t>
  </si>
  <si>
    <t>72481264-5</t>
  </si>
  <si>
    <t>0</t>
  </si>
  <si>
    <t>2024年报</t>
  </si>
  <si>
    <t>2000-07-13 至 无固定期限</t>
  </si>
  <si>
    <t>批发和零售业</t>
  </si>
  <si>
    <t>零售业</t>
  </si>
  <si>
    <t>汽车、摩托车、零配件和燃料及其他动力销售</t>
  </si>
  <si>
    <t>机动车燃油零售</t>
  </si>
  <si>
    <t>Sinopec Sales Co., Ltd. Shandong Heze Petroleum Branch</t>
  </si>
  <si>
    <t>中国石化销售股份有限公司山东菏泽石油分公司成立于2000-07-13，负责人为杨凯，统一社会信用代码为913717007248126452，企业注册地址位于菏泽市牡丹路568号，所属行业为零售业，经营范围包含：许可项目：危险化学品经营；成品油零售；燃气经营；燃气汽车加气经营；成品油零售（不含危险化学品）；成品油批发；成品油仓储；危险化学品仓储；食品销售；餐饮服务；第三类医疗器械经营；出版物零售；农药零售；药品零售；林木种子生产经营；旅游业务；发电业务、输电业务、供（配）电业务；保险代理业务；供电业务；住宿服务；石油、天然气管道储运；烟草制品零售；电子烟零售。（依法须经批准的项目，经相关部门批准后方可开展经营活动，具体经营项目以相关部门批准文件或许可证件为准）一般项目：成品油批发（不含危险化学品）；成品油仓储（不含危险化学品）；新能源汽车整车销售；汽车销售；集中式快速充电站；机动车充电销售；新能源汽车电附件销售；新能源汽车换电设施销售；电池销售；站用加氢及储氢设施销售；电动汽车充电基础设施运营；食品销售（仅销售预包装食品）；婴幼儿配方乳粉及其他婴幼儿配方食品销售；工艺美术品及礼仪用品销售（象牙及其制品除外）；润滑油销售；石油制品销售（不含危险化学品）；专用化学产品销售（不含危险化学品）；化工产品销售（不含许可类化工产品）；洗车服务；汽车零配件零售；轮胎销售；汽车装饰用品销售；智能车载设备销售；化肥销售；摩托车及零配件零售；五金产品零售；家用电器销售；针纺织品销售；日用品销售；互联网销售（除销售需要许可的商品）；化妆品零售；电子产品销售；办公用品销售；户外用品销售；体育用品及器材零售；工艺美术品及收藏品零售（象牙及其制品除外）；建筑材料销售；信息咨询服务（不含许可类信息咨询服务）；农用薄膜销售；食用农产品零售；畜牧渔业饲料销售；建筑装饰材料销售；广告发布；广告制作；文具用品零售；广告设计、代理；品牌管理；单用途商业预付卡代理销售；住房租赁；非居住房地产租赁；票务代理服务；旅客票务代理；居民日常生活服务；销售代理；煤炭及制品销售；机动车修理和维护；第一类医疗器械销售；教育咨询服务（不含涉许可审批的教育培训活动）；产业用纺织制成品销售；保健食品（预包装）销售；日用百货销售；母婴用品销售；五金产品批发；特种劳动防护用品销售；建筑用金属配件销售；家用电器零配件销售；劳动保护用品销售；美发饰品销售；洗染服务；计算机软硬件及辅助设备零售；玩具、动漫及游艺用品销售；服装服饰零售；办公设备耗材销售；特种设备销售；日用口罩（非医用）销售；新鲜水果零售；新鲜蔬菜零售；照明器具销售；农副产品销售；礼品花卉销售；食用农产品批发；第二类医疗器械销售；体育用品及器材批发；办公设备销售；机械设备销售。（除依法须经批准的项目外，凭营业执照依法自主开展经营活动）。企业当前经营状态为在业。</t>
  </si>
  <si>
    <t>许可项目：危险化学品经营；成品油零售；燃气经营；燃气汽车加气经营；成品油零售（不含危险化学品）；成品油批发；成品油仓储；危险化学品仓储；食品销售；餐饮服务；第三类医疗器械经营；出版物零售；农药零售；药品零售；林木种子生产经营；旅游业务；发电业务、输电业务、供（配）电业务；保险代理业务；供电业务；住宿服务；石油、天然气管道储运；烟草制品零售；电子烟零售。（依法须经批准的项目，经相关部门批准后方可开展经营活动，具体经营项目以相关部门批准文件或许可证件为准）一般项目：成品油批发（不含危险化学品）；成品油仓储（不含危险化学品）；新能源汽车整车销售；汽车销售；集中式快速充电站；机动车充电销售；新能源汽车电附件销售；新能源汽车换电设施销售；电池销售；站用加氢及储氢设施销售；电动汽车充电基础设施运营；食品销售（仅销售预包装食品）；婴幼儿配方乳粉及其他婴幼儿配方食品销售；工艺美术品及礼仪用品销售（象牙及其制品除外）；润滑油销售；石油制品销售（不含危险化学品）；专用化学产品销售（不含危险化学品）；化工产品销售（不含许可类化工产品）；洗车服务；汽车零配件零售；轮胎销售；汽车装饰用品销售；智能车载设备销售；化肥销售；摩托车及零配件零售；五金产品零售；家用电器销售；针纺织品销售；日用品销售；互联网销售（除销售需要许可的商品）；化妆品零售；电子产品销售；办公用品销售；户外用品销售；体育用品及器材零售；工艺美术品及收藏品零售（象牙及其制品除外）；建筑材料销售；信息咨询服务（不含许可类信息咨询服务）；农用薄膜销售；食用农产品零售；畜牧渔业饲料销售；建筑装饰材料销售；广告发布；广告制作；文具用品零售；广告设计、代理；品牌管理；单用途商业预付卡代理销售；住房租赁；非居住房地产租赁；票务代理服务；旅客票务代理；居民日常生活服务；销售代理；煤炭及制品销售；机动车修理和维护；第一类医疗器械销售；教育咨询服务（不含涉许可审批的教育培训活动）；产业用纺织制成品销售；保健食品（预包装）销售；日用百货销售；母婴用品销售；五金产品批发；特种劳动防护用品销售；建筑用金属配件销售；家用电器零配件销售；劳动保护用品销售；美发饰品销售；洗染服务；计算机软硬件及辅助设备零售；玩具、动漫及游艺用品销售；服装服饰零售；办公设备耗材销售；特种设备销售；日用口罩（非医用）销售；新鲜水果零售；新鲜蔬菜零售；照明器具销售；农副产品销售；礼品花卉销售；食用农产品批发；第二类医疗器械销售；体育用品及器材批发；办公设备销售；机械设备销售。（除依法须经批准的项目外，凭营业执照依法自主开展经营活动）</t>
  </si>
  <si>
    <t>菏泽市市场监督管理局</t>
  </si>
  <si>
    <t>一般纳税人</t>
  </si>
  <si>
    <t>三门峡华宇商贸有限公司</t>
  </si>
  <si>
    <t>91411282MA9L4EBG3W</t>
  </si>
  <si>
    <t>灵宝市华宇商贸有限公司</t>
  </si>
  <si>
    <t>存续</t>
  </si>
  <si>
    <t>刘菲菲</t>
  </si>
  <si>
    <t>20万元</t>
  </si>
  <si>
    <t>2022-04-20</t>
  </si>
  <si>
    <t>河南省三门峡市经济开发区北环路开发区双创园C座304室</t>
  </si>
  <si>
    <t>河南省</t>
  </si>
  <si>
    <t>三门峡市</t>
  </si>
  <si>
    <t>河南三门峡经济开发区</t>
  </si>
  <si>
    <t>13503987212</t>
  </si>
  <si>
    <t>15529655585</t>
  </si>
  <si>
    <t>1181745178@qq.com</t>
  </si>
  <si>
    <t>411282000111660</t>
  </si>
  <si>
    <t>MA9L4EBG-3</t>
  </si>
  <si>
    <t>2022-04-20 至 无固定期限</t>
  </si>
  <si>
    <t>批发业</t>
  </si>
  <si>
    <t>矿产品、建材及化工产品批发</t>
  </si>
  <si>
    <t>建材批发</t>
  </si>
  <si>
    <t>XS(微型)</t>
  </si>
  <si>
    <t>Sanmenxia Huayu Trading Co., Ltd.</t>
  </si>
  <si>
    <t>三门峡华宇商贸有限公司成立于2022-04-20，法定代表人为刘菲菲，注册资本为20万元，统一社会信用代码为91411282MA9L4EBG3W，企业注册地址位于河南省三门峡市经济开发区北环路开发区双创园C座304室，所属行业为批发业，经营范围包含：一般项目：建筑材料销售；金属矿石销售；非金属矿及制品销售；贵金属冶炼；非金属废料和碎屑加工处理；五金产品零售；办公用品销售；办公设备耗材销售；办公设备销售；计算机及办公设备维修；软件销售；电子产品销售；办公服务；计算机软硬件及辅助设备零售；农副产品销售；日用百货销售；食用农产品零售；水泥制品销售；再生资源回收（除生产性废旧金属）；再生资源加工；再生资源销售；金属材料销售；新型金属功能材料销售（除依法须经批准的项目外，凭营业执照依法自主开展经营活动）。企业当前经营状态为存续。</t>
  </si>
  <si>
    <t>一般项目：建筑材料销售；金属矿石销售；非金属矿及制品销售；贵金属冶炼；非金属废料和碎屑加工处理；五金产品零售；办公用品销售；办公设备耗材销售；办公设备销售；计算机及办公设备维修；软件销售；电子产品销售；办公服务；计算机软硬件及辅助设备零售；农副产品销售；日用百货销售；食用农产品零售；水泥制品销售；再生资源回收（除生产性废旧金属）；再生资源加工；再生资源销售；金属材料销售；新型金属功能材料销售（除依法须经批准的项目外，凭营业执照依法自主开展经营活动）</t>
  </si>
  <si>
    <t>三门峡市市场监督管理局经济开发区分局</t>
  </si>
  <si>
    <t>灵宝金硕矿产品有限公司</t>
  </si>
  <si>
    <t>91411282MA9M523B54</t>
  </si>
  <si>
    <t>嵇磊磊</t>
  </si>
  <si>
    <t>10万元</t>
  </si>
  <si>
    <t>2022-09-21</t>
  </si>
  <si>
    <t>河南省三门峡市灵宝市新华东路亚武西区31号楼1楼东商铺1号</t>
  </si>
  <si>
    <t>灵宝市</t>
  </si>
  <si>
    <t>15139858805</t>
  </si>
  <si>
    <t>15139899330</t>
  </si>
  <si>
    <t>15139858805@139.com</t>
  </si>
  <si>
    <t>xueshixin1996@163.com</t>
  </si>
  <si>
    <t>411282000117881</t>
  </si>
  <si>
    <t>MA9M523B-5</t>
  </si>
  <si>
    <t>2022-09-21 至 无固定期限</t>
  </si>
  <si>
    <t>金属及金属矿批发</t>
  </si>
  <si>
    <t>Lingbao Jinshuo Mineral Products Co., Ltd.</t>
  </si>
  <si>
    <t>灵宝金硕矿产品有限公司成立于2022-09-21，法定代表人为嵇磊磊，注册资本为10万元，统一社会信用代码为91411282MA9M523B54，企业注册地址位于河南省三门峡市灵宝市新华东路亚武西区31号楼1楼东商铺1号，所属行业为批发业，经营范围包含：一般项目：贵金属冶炼；常用有色金属冶炼；非金属矿及制品销售；金属材料销售；金属矿石销售（除依法须经批准的项目外，凭营业执照依法自主开展经营活动）。企业当前经营状态为存续。</t>
  </si>
  <si>
    <t>一般项目：贵金属冶炼；常用有色金属冶炼；非金属矿及制品销售；金属材料销售；金属矿石销售（除依法须经批准的项目外，凭营业执照依法自主开展经营活动）</t>
  </si>
  <si>
    <t>灵宝市市场监督管理局</t>
  </si>
  <si>
    <t>重庆钢铁股份有限公司四川销售分公司</t>
  </si>
  <si>
    <t>91510100MA6CCTJ8XN</t>
  </si>
  <si>
    <t>章远杰</t>
  </si>
  <si>
    <t>2018-04-08</t>
  </si>
  <si>
    <t>四川省成都市锦江区东华正街42号广电士百达国际大厦28层E区</t>
  </si>
  <si>
    <t>四川省</t>
  </si>
  <si>
    <t>成都市</t>
  </si>
  <si>
    <t>锦江区</t>
  </si>
  <si>
    <t>15730328191</t>
  </si>
  <si>
    <t>853175592@qq.com</t>
  </si>
  <si>
    <t>分公司</t>
  </si>
  <si>
    <t>MA6CCTJ8-X</t>
  </si>
  <si>
    <t>2018-04-08 至 无固定期限</t>
  </si>
  <si>
    <t>Chongqing Iron and Steel Co., Ltd. Sichuan Sales Branch</t>
  </si>
  <si>
    <t>成都市武侯区桐梓林中路8号梓桐苑1栋1单元5号</t>
  </si>
  <si>
    <t>重庆钢铁股份有限公司四川销售分公司成立于2018-04-08，负责人为章远杰，统一社会信用代码为91510100MA6CCTJ8XN，企业注册地址位于四川省成都市锦江区东华正街42号广电士百达国际大厦28层E区，所属行业为批发业，经营范围包含：销售总公司生产的板材、型材、线材、棒材、钢坯、薄板带、生铁及水渣、钢渣、废钢。（以上经营范围不含国家法律法规限制或禁止的项目，涉及国家规定实施准入特别管理措施的除外，涉及许可证的凭相关许可证方可开展经营活动）。企业当前经营状态为存续。</t>
  </si>
  <si>
    <t>销售总公司生产的板材、型材、线材、棒材、钢坯、薄板带、生铁及水渣、钢渣、废钢。（以上经营范围不含国家法律法规限制或禁止的项目，涉及国家规定实施准入特别管理措施的除外，涉及许可证的凭相关许可证方可开展经营活动）。</t>
  </si>
  <si>
    <t>成都市市场监督管理局</t>
  </si>
  <si>
    <t>抚顺市恒丰益体育运动木制地板厂</t>
  </si>
  <si>
    <t>91210421MA0U2UUU31</t>
  </si>
  <si>
    <t>王恒</t>
  </si>
  <si>
    <t>100万元</t>
  </si>
  <si>
    <t>2017-04-25</t>
  </si>
  <si>
    <t>辽宁省抚顺市抚顺县救兵镇五牛村</t>
  </si>
  <si>
    <t>辽宁省</t>
  </si>
  <si>
    <t>抚顺市</t>
  </si>
  <si>
    <t>抚顺县</t>
  </si>
  <si>
    <t>18741371555</t>
  </si>
  <si>
    <t>13470563899;13700130752;13050170948;4006000247</t>
  </si>
  <si>
    <t>114261272@qq.com</t>
  </si>
  <si>
    <t>2064948745@qq.com</t>
  </si>
  <si>
    <t>个人独资企业</t>
  </si>
  <si>
    <t>210421003527830</t>
  </si>
  <si>
    <t>MA0U2UUU-3</t>
  </si>
  <si>
    <t>14</t>
  </si>
  <si>
    <t>*** 至 无固定期限</t>
  </si>
  <si>
    <t>制造业</t>
  </si>
  <si>
    <t>木材加工和木、竹、藤、棕、草制品业</t>
  </si>
  <si>
    <t>木材加工</t>
  </si>
  <si>
    <t>Fushun Hengfengyi Sports Wooden Flooring Factory</t>
  </si>
  <si>
    <t>一般项目：地板制造；木材加工；地板销售；室内木门窗安装服务；家具安装和维修服务。（除依法须经批准的项目外，凭营业执照依法自主开展经营活动）</t>
  </si>
  <si>
    <t>抚顺县市场监督管理局</t>
  </si>
  <si>
    <t>崇州市旺达饲料有限公司</t>
  </si>
  <si>
    <t>91510184MA69RTFWXW</t>
  </si>
  <si>
    <t>朱桂英</t>
  </si>
  <si>
    <t>3000万元</t>
  </si>
  <si>
    <t>2020-04-26</t>
  </si>
  <si>
    <t>崇州市三江街道顺金西街728号</t>
  </si>
  <si>
    <t>崇州市</t>
  </si>
  <si>
    <t>028-82249643</t>
  </si>
  <si>
    <t>028-82249315;18628221097</t>
  </si>
  <si>
    <t>有限责任公司（自然人投资或控股的法人独资）</t>
  </si>
  <si>
    <t>510184002107780</t>
  </si>
  <si>
    <t>MA69RTFW-X</t>
  </si>
  <si>
    <t>161</t>
  </si>
  <si>
    <t>2020-04-26 至 无固定期限</t>
  </si>
  <si>
    <t>食品制造业</t>
  </si>
  <si>
    <t>其他食品制造</t>
  </si>
  <si>
    <t>食品及饲料添加剂制造</t>
  </si>
  <si>
    <t>Chongzhou Wangda Feed Co., Ltd.</t>
  </si>
  <si>
    <t>崇州市旺达饲料有限公司成立于2020-04-26，法定代表人为朱桂英，注册资本为3000万元，统一社会信用代码为91510184MA69RTFWXW，企业注册地址位于崇州市三江街道顺金西街728号，所属行业为食品制造业，经营范围包含：添加剂预混合饲料、配合饲料、浓缩饲料生产、销售；畜禽饲养技术开发、咨询、交流、转让、推广服务；猪的疾病诊断与治疗指导；饲料原料进出口贸易业务。（依法须经批准的项目，经相关部门批准后方可开展经营活动）。企业当前经营状态为存续。</t>
  </si>
  <si>
    <t>添加剂预混合饲料、配合饲料、浓缩饲料生产、销售；畜禽饲养技术开发、咨询、交流、转让、推广服务；猪的疾病诊断与治疗指导；饲料原料进出口贸易业务。（依法须经批准的项目，经相关部门批准后方可开展经营活动）</t>
  </si>
  <si>
    <t>崇州市市场监督管理局</t>
  </si>
  <si>
    <t>青岛天驰物流有限公司</t>
  </si>
  <si>
    <t>91370281MA3PBK1X6Y</t>
  </si>
  <si>
    <t>中创天驰智慧冷链（青岛）有限公司,
青岛天驰冷链服务有限公司,
青岛海铁供应链管理有限公司</t>
  </si>
  <si>
    <t>张秀杰</t>
  </si>
  <si>
    <t>15600万元</t>
  </si>
  <si>
    <t>2019-03-18</t>
  </si>
  <si>
    <t>山东省青岛市胶州市尚德大道湘江支路6号</t>
  </si>
  <si>
    <t>青岛市</t>
  </si>
  <si>
    <t>胶州市</t>
  </si>
  <si>
    <t>18753289809</t>
  </si>
  <si>
    <t>0532-86627786</t>
  </si>
  <si>
    <t>110877069@qq.com</t>
  </si>
  <si>
    <t>463786450@qq.com</t>
  </si>
  <si>
    <t>有限责任公司（非自然人投资或控股的法人独资）</t>
  </si>
  <si>
    <t>370281230385738</t>
  </si>
  <si>
    <t>MA3PBK1X-6</t>
  </si>
  <si>
    <t>11</t>
  </si>
  <si>
    <t>2019-03-18 至 2031-03-13</t>
  </si>
  <si>
    <t>金属制品、机械和设备修理业</t>
  </si>
  <si>
    <t>其他机械和设备修理业</t>
  </si>
  <si>
    <t>Qingdao Tianchi Logistics Co., Ltd.</t>
  </si>
  <si>
    <t>青岛天驰物流有限公司成立于2019-03-18，法定代表人为张秀杰，注册资本为15600万元，统一社会信用代码为91370281MA3PBK1X6Y，企业注册地址位于山东省青岛市胶州市尚德大道湘江支路6号，所属行业为金属制品、机械和设备修理业，经营范围包含：一般项目：国际货物运输代理；国内贸易代理；国内货物运输代理；普通货物仓储服务（不含危险化学品等需许可审批的项目）；装卸搬运；信息咨询服务（不含许可类信息咨询服务）；农副产品销售；水产品批发；食用农产品批发；木材销售；金属材料销售；建筑材料销售；橡胶制品销售；针纺织品销售；化工产品销售（不含许可类化工产品）；食品销售（仅销售预包装食品）；货物进出口；技术进出口；报关业务；进出口代理。（除依法须经批准的项目外，凭营业执照依法自主开展经营活动）许可项目：海关监管货物仓储服务（不含危险化学品、危险货物）。（依法须经批准的项目，经相关部门批准后方可开展经营活动，具体经营项目以相关部门批准文件或许可证件为准）。企业当前经营状态为在业。</t>
  </si>
  <si>
    <t>一般项目：国际货物运输代理；国内贸易代理；国内货物运输代理；普通货物仓储服务（不含危险化学品等需许可审批的项目）；装卸搬运；信息咨询服务（不含许可类信息咨询服务）；农副产品销售；水产品批发；食用农产品批发；木材销售；金属材料销售；建筑材料销售；橡胶制品销售；针纺织品销售；化工产品销售（不含许可类化工产品）；食品销售（仅销售预包装食品）；货物进出口；技术进出口；报关业务；进出口代理。（除依法须经批准的项目外，凭营业执照依法自主开展经营活动）许可项目：海关监管货物仓储服务（不含危险化学品、危险货物）。（依法须经批准的项目，经相关部门批准后方可开展经营活动，具体经营项目以相关部门批准文件或许可证件为准）</t>
  </si>
  <si>
    <t>胶州市市场监督管理局</t>
  </si>
  <si>
    <t>新疆农资（集团）有限责任公司</t>
  </si>
  <si>
    <t>91650000731837138C</t>
  </si>
  <si>
    <t>新疆农资（集团）有限责任公司农佳乐连锁总部,
农佳乐连锁总部</t>
  </si>
  <si>
    <t>李万君</t>
  </si>
  <si>
    <t>44000万元</t>
  </si>
  <si>
    <t>2001-12-18</t>
  </si>
  <si>
    <t>新疆乌鲁木齐市天山区中山路2号</t>
  </si>
  <si>
    <t>新疆维吾尔自治区</t>
  </si>
  <si>
    <t>乌鲁木齐市</t>
  </si>
  <si>
    <t>天山区</t>
  </si>
  <si>
    <t>18097686898</t>
  </si>
  <si>
    <t>0991-2840504</t>
  </si>
  <si>
    <t>136173075@qq.com</t>
  </si>
  <si>
    <t>2813057570@qq.com;356729482@qq.com</t>
  </si>
  <si>
    <t>650000030000157</t>
  </si>
  <si>
    <t>73183713-8</t>
  </si>
  <si>
    <t>275</t>
  </si>
  <si>
    <t>2001-12-18 至 无固定期限</t>
  </si>
  <si>
    <t>农药批发</t>
  </si>
  <si>
    <t>L(大型)</t>
  </si>
  <si>
    <t>Xinjiang NONGZI(Group) Co., Ltd.</t>
  </si>
  <si>
    <t>新疆农资（集团）有限责任公司成立于2001-12-18，法定代表人为李万君，注册资本为44000万元，统一社会信用代码为91650000731837138C，企业注册地址位于新疆乌鲁木齐市天山区中山路2号，所属行业为批发业，经营范围包含：农药、茶叶（边销茶限零售）的销售；粮油零售；煤炭的销售   化肥、农膜、滴灌带、种子（不再分装的包装种子）、农副产品、复合饲料、腐植酸、五金交电产品、日用百货、农业机械、汽车配件、钢材、木材、机电产品、化工产品、建筑材料、水泥、皮棉、矿产品、聚乙烯的销售；塑料制品的加工和销售；货运代理；一般货物与技术的进出口经营；仓储服务；货物的装卸服务；废旧物资回收；房屋租赁；销售蔬菜；、针纺织品、化妆品、服装、珠宝首饰、工艺美术品及收藏品、玉器、润滑油的销售。棉粕的销售；自产自销农产品;销售有机肥料。（依法须经批准的项目，经相关部门批准后方可开展经营活动）。企业当前经营状态为存续。</t>
  </si>
  <si>
    <t>农药、茶叶（边销茶限零售）的销售；粮油零售；煤炭的销售   化肥、农膜、滴灌带、种子（不再分装的包装种子）、农副产品、复合饲料、腐植酸、五金交电产品、日用百货、农业机械、汽车配件、钢材、木材、机电产品、化工产品、建筑材料、水泥、皮棉、矿产品、聚乙烯的销售；塑料制品的加工和销售；货运代理；一般货物与技术的进出口经营；仓储服务；货物的装卸服务；废旧物资回收；房屋租赁；销售蔬菜；、针纺织品、化妆品、服装、珠宝首饰、工艺美术品及收藏品、玉器、润滑油的销售。棉粕的销售；自产自销农产品;销售有机肥料。（依法须经批准的项目，经相关部门批准后方可开展经营活动）</t>
  </si>
  <si>
    <t>天山区市场监督管理局</t>
  </si>
  <si>
    <t>四川绵竹剑南春酒厂有限公司</t>
  </si>
  <si>
    <t>915106832052585585</t>
  </si>
  <si>
    <t>乔天明</t>
  </si>
  <si>
    <t>2047万元</t>
  </si>
  <si>
    <t>2003-11-18</t>
  </si>
  <si>
    <t>四川省绵竹市春溢街289号</t>
  </si>
  <si>
    <t>德阳市</t>
  </si>
  <si>
    <t>绵竹市</t>
  </si>
  <si>
    <t>0838-6202206</t>
  </si>
  <si>
    <t>jnc-fzb@163.com</t>
  </si>
  <si>
    <t>jnc@jnc.com.cn;jncxym@163.com</t>
  </si>
  <si>
    <t>510683000013614</t>
  </si>
  <si>
    <t>20525855-8</t>
  </si>
  <si>
    <t>5785</t>
  </si>
  <si>
    <t>2003-11-18 至 无固定期限</t>
  </si>
  <si>
    <t>酒、饮料和精制茶制造业</t>
  </si>
  <si>
    <t>酒的制造</t>
  </si>
  <si>
    <t>白酒制造</t>
  </si>
  <si>
    <t>M(中型)</t>
  </si>
  <si>
    <t>Mianzhu Jiannanchun Distillery Co., Ltd. of Sichuan</t>
  </si>
  <si>
    <t>https://www.junlebaoruye.com</t>
  </si>
  <si>
    <t>四川绵竹剑南春酒厂有限公司位于西蜀历史文化名城——绵竹。剑南春公司以酒类经营为主业，总资产48亿元，现有员工7000余人。多年来，剑南春集团公司保持了持续稳步发展的好势头，自1998年至今，公司总体经营实力，投入产出效率、盈利能力、偿债能力、营运能力和发展能力等名列行业前茅，被誉为“中国白酒行业三巨头”之一。2007年4月，剑南春集团被四川省人民政府表彰为“四川省十佳民营企业”。公司荣获全国首批重合同守信用企业、中国最具竞争力大企业集团、全国质量效益型先进企业特别奖、全国精神文明建设工作先进单位等称号。公司通过了ISO9001质量管理体系认证、ISO14001环境管理体系认证、职业健康安全管理体系和国家级原产地标记注册。公司享有产品经营出口权。公司龙头产品剑南春酒早在1200年前就成为宫廷御酒而记载于《唐·德宗本纪》，中书舍人李肇所着的《唐国史补》中也将其列为当时的天下名酒。剑南春“天益老号”酒坊遗址入选2004年度“中国考古十大新发现”。该遗址从绵竹城西北的诸葛祠向东南抵至王麻巷口，长约500米，宽约240米，总面积120,000平方米，相当于16个足球场大小。其规模之宏大、生产要素之齐全、保存之完整，并且是仍在使用的活文物原址，举世罕见，是中国近代工业考古的重大发现。2006年，剑南春酒坊遗址入选由国务院核定公布的第六批全国重点文物保护单位，并入选《中国世界文化遗产预备名单》。数千年来，剑南春酒以其尊贵的品质、经典的御酒地位和独特的品位饮醉了无数的华夏儿女，留下了诸多诗词和佳话。作为传承至今的盛唐宫廷御酒，今日剑南春被国家授予“中国名酒”称号，“剑南春”及“绵竹”牌被国家工商局认定为“中国驰名商标”，剑南春品牌被中国商务部认定为“中华老字号”。剑南春酒的生产工艺代表着当今中国白酒酿造技术的最高水平。秉承传统工艺，并加以不断改进和和创新，剑南春酒以其独特的酒体风格受到中外消费者的喜爱。2005年5月中国食品工业协会向四川剑南春（集团）有限责任公司颁发了“纯粮固态发酵白酒认证标志 ”，成为国内排名靠前个允许使用“纯粮固态发酵白酒”标志的企业。“纯粮固态发酵白酒标志”正式在白酒行业内的使用和推广，也标志着中国高级白酒有了自己的身份证。2005年7月印有“纯粮固态发酵白酒标志”、同时防伪升级的新包装剑南春全面上市，很受消费者青睐。2008年，剑南春酒传统酿造技艺入选国家级非物质文化遗产。剑南春酒公司完善的质量管理体系保证产品实现了全优。剑南春、剑南春·典藏、剑南春年份酒及其系列品牌东方红、金剑南、银剑南、剑南老窖、剑南福、绵竹大曲等30多个品牌，多次获得国家级、部级、省级质量奖，产品知名度、美誉度节节攀升，市场占有份额不断扩大，始终保持了畅销的强劲势头。2007年，公司全年生产销售各种饮料酒8万吨，完成销售收入36亿元，比上年上升15.6%；实现税利11.6亿元，比上年上升13%，上缴国地两税9.7亿元，比上年上升23%，销售收入和利税均居全国同行业第三位。</t>
  </si>
  <si>
    <t>生产、销售：白酒、其他酒（配制酒）、矿泉水；粮食收购；（以上项目凭许可证在有效期内经营）；及相关进出口业务；酒类技术咨询服务。（依法须经批准的项目，经相关部门批准后方可开展经营活动）</t>
  </si>
  <si>
    <t>绵竹市市场监督管理局</t>
  </si>
  <si>
    <t>贵州省耀盛纺织制造有限公司</t>
  </si>
  <si>
    <t>91522628MAAJNXNT1X</t>
  </si>
  <si>
    <t>鄢金锋</t>
  </si>
  <si>
    <t>1000万元</t>
  </si>
  <si>
    <t>2020-06-02</t>
  </si>
  <si>
    <t>贵州省黔东南州锦屏县敦寨镇开发区回乡创业园标准厂房8号楼</t>
  </si>
  <si>
    <t>贵州省</t>
  </si>
  <si>
    <t>黔东南苗族侗族自治州</t>
  </si>
  <si>
    <t>锦屏县</t>
  </si>
  <si>
    <t>18785181218</t>
  </si>
  <si>
    <t>13765150116</t>
  </si>
  <si>
    <t>1445969630@qq.com</t>
  </si>
  <si>
    <t>14459696302@qq.com</t>
  </si>
  <si>
    <t>有限责任公司（自然人独资）</t>
  </si>
  <si>
    <t>MAAJNXNT-1</t>
  </si>
  <si>
    <t>2023年报</t>
  </si>
  <si>
    <t>2020-06-02 至 无固定期限</t>
  </si>
  <si>
    <t>纺织业</t>
  </si>
  <si>
    <t>针织或钩针编织物及其制品制造</t>
  </si>
  <si>
    <t>针织或钩针编织物织造</t>
  </si>
  <si>
    <t>Guizhou Yaosheng Textile Manufacturing Co., Ltd.</t>
  </si>
  <si>
    <t>贵州省耀盛纺织制造有限公司成立于2020-06-02，法定代表人为鄢金锋，注册资本为1000万元，统一社会信用代码为91522628MAAJNXNT1X，企业注册地址位于贵州省黔东南州锦屏县敦寨镇开发区回乡创业园标准厂房8号楼，所属行业为纺织业，经营范围包含：法律、法规、国务院决定规定禁止的不得经营；法律、法规、国务院决定规定应当许可（审批）的，经审批机关批准后凭许可（审批）文件经营;法律、法规、国务院决定规定无需许可（审批）的，市场主体自主选择经营。（加工、销售纺织带、松紧带、拉链；销售针纺织原料、针纺织品。（依法须经批准的项目，经相关部门批准后方可开展经营活动）（依法须经批准的项目，经相关部门批准后方可开展经营活动））。企业当前经营状态为存续。</t>
  </si>
  <si>
    <t>法律、法规、国务院决定规定禁止的不得经营；法律、法规、国务院决定规定应当许可（审批）的，经审批机关批准后凭许可（审批）文件经营;法律、法规、国务院决定规定无需许可（审批）的，市场主体自主选择经营。（加工、销售纺织带、松紧带、拉链；销售针纺织原料、针纺织品。（依法须经批准的项目，经相关部门批准后方可开展经营活动）（依法须经批准的项目，经相关部门批准后方可开展经营活动））</t>
  </si>
  <si>
    <t>黔东南州锦屏县市场监督管理局</t>
  </si>
  <si>
    <t>会泽温氏畜牧有限公司</t>
  </si>
  <si>
    <t>91530326MA6K77NL1D</t>
  </si>
  <si>
    <t>陈水华</t>
  </si>
  <si>
    <t>3200万元</t>
  </si>
  <si>
    <t>2016-08-08</t>
  </si>
  <si>
    <t>云南省曲靖市会泽县宝云街道会泽工业园区宝云绿色食品加工区</t>
  </si>
  <si>
    <t>云南省</t>
  </si>
  <si>
    <t>曲靖市</t>
  </si>
  <si>
    <t>会泽县</t>
  </si>
  <si>
    <t>13988460554</t>
  </si>
  <si>
    <t>18208717028;13529871883</t>
  </si>
  <si>
    <t>1964819318@qq.com</t>
  </si>
  <si>
    <t>1425936851@qq.com;78456695@qq.com</t>
  </si>
  <si>
    <t>530326000032312</t>
  </si>
  <si>
    <t>MA6K77NL-1</t>
  </si>
  <si>
    <t>133</t>
  </si>
  <si>
    <t>2016-08-08 至 无固定期限</t>
  </si>
  <si>
    <t>农、林、牧、渔业</t>
  </si>
  <si>
    <t>畜牧业</t>
  </si>
  <si>
    <t>牲畜饲养</t>
  </si>
  <si>
    <t>猪的饲养</t>
  </si>
  <si>
    <t>Huize Wenshi Livestock Co., Ltd.</t>
  </si>
  <si>
    <t>会泽温氏畜牧有限公司成立于2016-08-08，法定代表人为陈水华，注册资本为3200万元，统一社会信用代码为91530326MA6K77NL1D，企业注册地址位于云南省曲靖市会泽县宝云街道会泽工业园区宝云绿色食品加工区，所属行业为畜牧业，经营范围包含：种猪、猪苗、肉猪、饲料、猪精液的生产和销售及相关副产品销售，肉猪产品的销售。（依法须经批准的项目，经相关部门批准后方可开展经营活动）。企业当前经营状态为存续。</t>
  </si>
  <si>
    <t>种猪、猪苗、肉猪、饲料、猪精液的生产和销售及相关副产品销售，肉猪产品的销售。（依法须经批准的项目，经相关部门批准后方可开展经营活动）</t>
  </si>
  <si>
    <t>会泽县市场监督管理局</t>
  </si>
  <si>
    <t>弥勒温氏畜牧有限公司</t>
  </si>
  <si>
    <t>91532526MA6K72PA0L</t>
  </si>
  <si>
    <t>3300万元</t>
  </si>
  <si>
    <t>2016-07-25</t>
  </si>
  <si>
    <t>云南省红河哈尼族彝族自治州弥勒市新哨镇新发社区小以则村小组（东风工业园区）</t>
  </si>
  <si>
    <t>红河哈尼族彝族自治州</t>
  </si>
  <si>
    <t>弥勒市</t>
  </si>
  <si>
    <t>0873-6381566</t>
  </si>
  <si>
    <t>532526000032189</t>
  </si>
  <si>
    <t>MA6K72PA-0</t>
  </si>
  <si>
    <t>253</t>
  </si>
  <si>
    <t>2016-07-25 至 2116-07-24</t>
  </si>
  <si>
    <t>Maitreya Wenshi Livestock Co., Ltd.</t>
  </si>
  <si>
    <t>弥勒温氏畜牧有限公司成立于2016-07-25，法定代表人为陈水华，注册资本为3300万元，统一社会信用代码为91532526MA6K72PA0L，企业注册地址位于云南省红河哈尼族彝族自治州弥勒市新哨镇新发社区小以则村小组（东风工业园区），所属行业为畜牧业，经营范围包含：种猪、猪苗、肉猪、饲料、（种猪）精液的生产和销售及相关副产品销售；猪肉的销售（依法须经批准的项目，经相关部门批准后方可开展经营活动）。企业当前经营状态为存续。</t>
  </si>
  <si>
    <t>种猪、猪苗、肉猪、饲料、（种猪）精液的生产和销售及相关副产品销售；猪肉的销售（依法须经批准的项目，经相关部门批准后方可开展经营活动）</t>
  </si>
  <si>
    <t>弥勒市市场监督管理局</t>
  </si>
  <si>
    <t>德清高乐木业有限公司</t>
  </si>
  <si>
    <t>91330521MA2B756N96</t>
  </si>
  <si>
    <t>注销（2024-09-03）</t>
  </si>
  <si>
    <t>沈振平</t>
  </si>
  <si>
    <t>42.35万元</t>
  </si>
  <si>
    <t>2019-07-17</t>
  </si>
  <si>
    <t>浙江省湖州市德清县钟管镇干山村蔡家高桥西侧</t>
  </si>
  <si>
    <t>浙江省</t>
  </si>
  <si>
    <t>湖州市</t>
  </si>
  <si>
    <t>德清县</t>
  </si>
  <si>
    <t>13867243228</t>
  </si>
  <si>
    <t>dqglmy@163.com</t>
  </si>
  <si>
    <t>MA2B756N-9</t>
  </si>
  <si>
    <t>2019-07-17 至 无固定期限</t>
  </si>
  <si>
    <t>木片加工</t>
  </si>
  <si>
    <t>Deqing Gaole Wood Industry Co., Ltd.</t>
  </si>
  <si>
    <t>德清高乐木业有限公司成立于2019-07-17，法定代表人为沈振平，注册资本为100万元，统一社会信用代码为91330521MA2B756N96，企业注册地址位于浙江省湖州市德清县钟管镇干山村蔡家高桥西侧，所属行业为木材加工和木、竹、藤、棕、草制品业，经营范围包含：木皮、竹制品加工、销售。（依法须经批准的项目，经相关部门批准后方可开展经营活动）。企业当前经营状态为注销。</t>
  </si>
  <si>
    <t>木皮、竹制品加工、销售。（依法须经批准的项目，经相关部门批准后方可开展经营活动）</t>
  </si>
  <si>
    <t>德清县市场监督管理局</t>
  </si>
  <si>
    <t>浙江炎字木业有限公司</t>
  </si>
  <si>
    <t>91330522673863329N</t>
  </si>
  <si>
    <t>长兴炎字木业有限公司</t>
  </si>
  <si>
    <t>吴银炎</t>
  </si>
  <si>
    <t>2008-04-01</t>
  </si>
  <si>
    <t>浙江省长兴县林城镇周吴岕村</t>
  </si>
  <si>
    <t>长兴县</t>
  </si>
  <si>
    <t>15257255988</t>
  </si>
  <si>
    <t>0572-6174113;13857253377;0572-6805388</t>
  </si>
  <si>
    <t>1046284777@qq.com</t>
  </si>
  <si>
    <t>249537306@qq.com;295104495@qq.com</t>
  </si>
  <si>
    <t>330522000011655</t>
  </si>
  <si>
    <t>67386332-9</t>
  </si>
  <si>
    <t>37</t>
  </si>
  <si>
    <t>2008-04-01 至 2058-03-31</t>
  </si>
  <si>
    <t>木质制品制造</t>
  </si>
  <si>
    <t>软木制品及其他木制品制造</t>
  </si>
  <si>
    <t>Zhejiang Yanzi Wood Industry Co., Ltd.</t>
  </si>
  <si>
    <t>http://www.yanziwood.com</t>
  </si>
  <si>
    <t>浙江炎字木业有限公司成立于2008-04-01，法定代表人为吴银炎，注册资本为1000万元，统一社会信用代码为91330522673863329N，企业注册地址位于浙江省长兴县林城镇周吴岕村，所属行业为木材加工和木、竹、藤、棕、草制品业，经营范围包含：一般项目：软木制品制造；木制容器制造；玩具制造；木制玩具销售；木制容器销售；家具制造；家具销售；建筑装饰材料销售；木材销售；木材加工；木材收购；货物进出口；塑料制品销售；石棉制品销售；隔热和隔音材料销售；紧固件销售；包装专用设备销售；劳动保护用品销售；轴承、齿轮和传动部件销售；橡胶制品销售；食品用塑料包装容器工具制品销售；耐火材料销售；机械设备销售；五金产品批发；五金产品零售（除依法须经批准的项目外，凭营业执照依法自主开展经营活动）。许可项目：道路货物运输（不含危险货物）（依法须经批准的项目，经相关部门批准后方可开展经营活动，具体经营项目以审批结果为准）。企业当前经营状态为存续。</t>
  </si>
  <si>
    <t>一般项目：软木制品制造；木制容器制造；玩具制造；木制玩具销售；木制容器销售；家具制造；家具销售；建筑装饰材料销售；木材销售；木材加工；木材收购；货物进出口；塑料制品销售；石棉制品销售；隔热和隔音材料销售；紧固件销售；包装专用设备销售；劳动保护用品销售；轴承、齿轮和传动部件销售；橡胶制品销售；食品用塑料包装容器工具制品销售；耐火材料销售；机械设备销售；五金产品批发；五金产品零售（除依法须经批准的项目外，凭营业执照依法自主开展经营活动）。许可项目：道路货物运输（不含危险货物）（依法须经批准的项目，经相关部门批准后方可开展经营活动，具体经营项目以审批结果为准）。</t>
  </si>
  <si>
    <t>长兴县市场监督管理局</t>
  </si>
  <si>
    <t>福州拓吉鑫实业有限公司</t>
  </si>
  <si>
    <t>91350105MA8TNFWF0N</t>
  </si>
  <si>
    <t>李燕萍</t>
  </si>
  <si>
    <t>2021-07-30</t>
  </si>
  <si>
    <t>福建省福州市马尾区罗星街道建星路168号正荣.御品中央12#楼11层11商业服务用房（自贸试验区内）</t>
  </si>
  <si>
    <t>福建省</t>
  </si>
  <si>
    <t>福州市</t>
  </si>
  <si>
    <t>马尾区</t>
  </si>
  <si>
    <t>18759802849</t>
  </si>
  <si>
    <t>18750825910</t>
  </si>
  <si>
    <t>2276539763@qq.com</t>
  </si>
  <si>
    <t>350105100318324</t>
  </si>
  <si>
    <t>MA8TNFWF-0</t>
  </si>
  <si>
    <t>2021-07-30 至 2071-07-29</t>
  </si>
  <si>
    <t>纺织、服装及家庭用品批发</t>
  </si>
  <si>
    <t>服装批发</t>
  </si>
  <si>
    <t>Fuzhou Tuojixin Industrial Co., Ltd.</t>
  </si>
  <si>
    <t>福州拓吉鑫实业有限公司成立于2021-07-30，法定代表人为李燕萍，注册资本为1000万元，统一社会信用代码为91350105MA8TNFWF0N，企业注册地址位于福建省福州市马尾区罗星街道建星路168号正荣.御品中央12#楼11层11商业服务用房（自贸试验区内），所属行业为批发业，经营范围包含：一般项目：服装服饰批发；服装服饰零售；鞋帽批发；鞋帽零售；服装辅料销售；服装、服饰检验、整理服务；针纺织品销售；针纺织品及原料销售；特种劳动防护用品销售；箱包销售；劳动保护用品销售；日用品销售；日用品批发；日用化学产品销售；日用百货销售；日用电器修理；家用电器销售；家用电器安装服务；家用电器零配件销售；机械零件、零部件销售；电器辅件销售；五金产品零售；五金产品批发；互联网销售（除销售需要许可的商品）（除依法须经批准的项目外，凭营业执照依法自主开展经营活动）。企业当前经营状态为存续。</t>
  </si>
  <si>
    <t>一般项目：服装服饰批发；服装服饰零售；鞋帽批发；鞋帽零售；服装辅料销售；服装、服饰检验、整理服务；针纺织品销售；针纺织品及原料销售；特种劳动防护用品销售；箱包销售；劳动保护用品销售；日用品销售；日用品批发；日用化学产品销售；日用百货销售；日用电器修理；家用电器销售；家用电器安装服务；家用电器零配件销售；机械零件、零部件销售；电器辅件销售；五金产品零售；五金产品批发；互联网销售（除销售需要许可的商品）（除依法须经批准的项目外，凭营业执照依法自主开展经营活动）</t>
  </si>
  <si>
    <t>福州经济技术开发区市场监督管理局</t>
  </si>
  <si>
    <t>嘉兴市顺风农牧业股份有限公司</t>
  </si>
  <si>
    <t>91330402712504493N</t>
  </si>
  <si>
    <t>嘉兴市顺风农牧业有限公司</t>
  </si>
  <si>
    <t>王述平</t>
  </si>
  <si>
    <t>1600万元</t>
  </si>
  <si>
    <t>1999-01-18</t>
  </si>
  <si>
    <t>浙江省嘉兴市南湖区大桥镇顺风路78号</t>
  </si>
  <si>
    <t>嘉兴市</t>
  </si>
  <si>
    <t>南湖区</t>
  </si>
  <si>
    <t>0573-83285968</t>
  </si>
  <si>
    <t>13916333022;19138067363;13738299676;18074090015;0573-83285877;0573-83285666;0573-83011968</t>
  </si>
  <si>
    <t>75187392@qq.com</t>
  </si>
  <si>
    <t>1036998942@qq.com;13738299676@qq.com</t>
  </si>
  <si>
    <t>股份有限公司（非上市、自然人投资或控股）</t>
  </si>
  <si>
    <t>330402000013087</t>
  </si>
  <si>
    <t>71250449-3</t>
  </si>
  <si>
    <t>53</t>
  </si>
  <si>
    <t>1999-01-18 至 2027-01-17</t>
  </si>
  <si>
    <t>农副食品加工业</t>
  </si>
  <si>
    <t>饲料加工</t>
  </si>
  <si>
    <t>Jiaxing Shunfeng Agriculture and Animal Husbandry Co., Ltd.</t>
  </si>
  <si>
    <t>http://www.chinahcsf.com</t>
  </si>
  <si>
    <t>嘉兴市顺风农牧业股份有限公司成立于1999-01-18，法定代表人为王述平，注册资本为1600万元，统一社会信用代码为91330402712504493N，企业注册地址位于浙江省嘉兴市南湖区大桥镇顺风路78号，所属行业为农副食品加工业，经营范围包含：配合饲料的生产（凭有效的生产企业审查合格证经营）；农副产品加工；粮食收购（凭有效的粮食收购许可证经营）。企业当前经营状态为存续。</t>
  </si>
  <si>
    <t>配合饲料的生产（凭有效的生产企业审查合格证经营）；农副产品加工；粮食收购（凭有效的粮食收购许可证经营）</t>
  </si>
  <si>
    <t>嘉兴市市场监督管理局</t>
  </si>
  <si>
    <t>张家港保税区沪洲国际贸易有限公司</t>
  </si>
  <si>
    <t>91320592761539641J</t>
  </si>
  <si>
    <t>刘利明</t>
  </si>
  <si>
    <t>50万元</t>
  </si>
  <si>
    <t>2004-05-18</t>
  </si>
  <si>
    <t>张家港保税区金碧大厦227B室</t>
  </si>
  <si>
    <t>江苏省</t>
  </si>
  <si>
    <t>苏州市</t>
  </si>
  <si>
    <t>张家港市</t>
  </si>
  <si>
    <t>13921225595</t>
  </si>
  <si>
    <t>13372133525;13801522785;13801523785</t>
  </si>
  <si>
    <t>1013547130@qq.com</t>
  </si>
  <si>
    <t>320592000018085</t>
  </si>
  <si>
    <t>76153964-1</t>
  </si>
  <si>
    <t>2004-05-18 至 无固定期限</t>
  </si>
  <si>
    <t>纺织品、针织品及原料批发</t>
  </si>
  <si>
    <t>Zhangjiagang Free Trade Zone Huzhou International Trade Co., Ltd.</t>
  </si>
  <si>
    <t>张家港保税区沪洲国际贸易有限公司成立于2004-05-18，法定代表人为刘利明，注册资本为50万元，统一社会信用代码为91320592761539641J，企业注册地址位于张家港保税区金碧大厦227B室，所属行业为批发业，经营范围包含：纺织品的购销，转口贸易，国内保税区企业间的贸易，与区外有进出口经营权企业间的贸易，与贸易有关的代理业务。（依法须经批准的项目，经相关部门批准后方可开展经营活动）。企业当前经营状态为存续。</t>
  </si>
  <si>
    <t>纺织品的购销，转口贸易，国内保税区企业间的贸易，与区外有进出口经营权企业间的贸易，与贸易有关的代理业务。（依法须经批准的项目，经相关部门批准后方可开展经营活动）</t>
  </si>
  <si>
    <t>江苏省张家港保税区市场监管局</t>
  </si>
  <si>
    <t>芜湖市棉麻有限责任公司</t>
  </si>
  <si>
    <t>913402071494987168</t>
  </si>
  <si>
    <t>周羧</t>
  </si>
  <si>
    <t>2000万元</t>
  </si>
  <si>
    <t>2005-08-10</t>
  </si>
  <si>
    <t>安徽省芜湖市褐山路79号</t>
  </si>
  <si>
    <t>安徽省</t>
  </si>
  <si>
    <t>芜湖市</t>
  </si>
  <si>
    <t>鸠江区</t>
  </si>
  <si>
    <t>0553-5809040</t>
  </si>
  <si>
    <t>0553-2265218;15155358631;0553-2265756;13956181876</t>
  </si>
  <si>
    <t>545970445@qq.com</t>
  </si>
  <si>
    <t>1812947618@qq.com;1923434407@qq.com;www1923434407@qq.com</t>
  </si>
  <si>
    <t>其他有限责任公司</t>
  </si>
  <si>
    <t>340200000036947</t>
  </si>
  <si>
    <t>14949871-6</t>
  </si>
  <si>
    <t>12</t>
  </si>
  <si>
    <t>2005-08-10 至 2035-08-10</t>
  </si>
  <si>
    <t>其他农副食品加工</t>
  </si>
  <si>
    <t>其他未列明农副食品加工</t>
  </si>
  <si>
    <t>Wuhu Cotton and Hemp Co., Ltd.</t>
  </si>
  <si>
    <t>芜湖市棉麻有限责任公司成立于2005-08-10，法定代表人为周羧，注册资本为2000万元，统一社会信用代码为913402071494987168，企业注册地址位于安徽省芜湖市褐山路79号，所属行业为农副食品加工业，经营范围包含：棉花销售，仓储，麻、包装物料、苫垫器材、纺织原料、农副产品、农业机械、百货、五金交电销售，人力装卸，为郑州商品交易所提供期货交割棉存储及相关服务。企业当前经营状态为存续。</t>
  </si>
  <si>
    <t>棉花销售，仓储，麻、包装物料、苫垫器材、纺织原料、农副产品、农业机械、百货、五金交电销售，人力装卸，为郑州商品交易所提供期货交割棉存储及相关服务。</t>
  </si>
  <si>
    <t>芜湖市鸠江区市场监督管理局</t>
  </si>
  <si>
    <t>浙江富润纺织有限公司</t>
  </si>
  <si>
    <t>913306007570605581</t>
  </si>
  <si>
    <t>应叶华</t>
  </si>
  <si>
    <t>6544.895835万元</t>
  </si>
  <si>
    <t>2003-12-09</t>
  </si>
  <si>
    <t>浙江省诸暨市陶朱街道北二环路29号</t>
  </si>
  <si>
    <t>绍兴市</t>
  </si>
  <si>
    <t>诸暨市</t>
  </si>
  <si>
    <t>0575-87032917</t>
  </si>
  <si>
    <t>0575-80705563</t>
  </si>
  <si>
    <t>114952741@qq.com</t>
  </si>
  <si>
    <t>dln9778@163.com</t>
  </si>
  <si>
    <t>330600400019209</t>
  </si>
  <si>
    <t>75706055-8</t>
  </si>
  <si>
    <t>281</t>
  </si>
  <si>
    <t>2003-12-09 至 2053-12-08</t>
  </si>
  <si>
    <t>棉纺织及印染精加工</t>
  </si>
  <si>
    <t>棉纺纱加工</t>
  </si>
  <si>
    <t>Zhejiang FURUN Textile Co., Ltd.</t>
  </si>
  <si>
    <t>https://www.furuntextile.cn</t>
  </si>
  <si>
    <t>富润纺织前身为1983年成立的国营诸暨毛纺织厂，2003年改制为中外合资公司，是一个集纺、织、染为一体的全能毛精纺企业。</t>
  </si>
  <si>
    <t>一般项目：纺纱加工；面料纺织加工；面料印染加工；合成纤维制造；高性能纤维及复合材料制造；服装制造；服饰制造；服装服饰批发；服装服饰零售；针纺织品及原料销售；合成纤维销售；高性能纤维及复合材料销售；产业用纺织制成品销售；互联网销售（除销售需要许可的商品）；普通货物仓储服务（不含危险化学品等需许可审批的项目）；专业设计服务；服饰研发；新材料技术研发；技术服务、技术开发、技术咨询、技术交流、技术转让、技术推广；货物进出口（除依法须经批准的项目外，凭营业执照依法自主开展经营活动）。</t>
  </si>
  <si>
    <t>诸暨市市场监督管理局</t>
  </si>
  <si>
    <t>浙江喜盈盈纺织股份有限公司</t>
  </si>
  <si>
    <t>913305008469127084</t>
  </si>
  <si>
    <t>湖州喜盈盈纺织有限公司</t>
  </si>
  <si>
    <t>宋世楹</t>
  </si>
  <si>
    <t>6000万元</t>
  </si>
  <si>
    <t>2000-11-10</t>
  </si>
  <si>
    <t>浙江省湖州市南门外碧浪湖畔</t>
  </si>
  <si>
    <t>吴兴区</t>
  </si>
  <si>
    <t>0572-2505710</t>
  </si>
  <si>
    <t>0571-89939466</t>
  </si>
  <si>
    <t>895969279@qq.com</t>
  </si>
  <si>
    <t>sincere@mail.huptt.zj.cn</t>
  </si>
  <si>
    <t>其他股份有限公司（非上市）</t>
  </si>
  <si>
    <t>330500000009966</t>
  </si>
  <si>
    <t>84691270-8</t>
  </si>
  <si>
    <t>82</t>
  </si>
  <si>
    <t>2000-11-10 至 无固定期限</t>
  </si>
  <si>
    <t>Zhejiang SINCERE Wool Textile Co., Ltd.</t>
  </si>
  <si>
    <t>浙江喜盈盈纺织股份有限公司成立于2000-11-10，法定代表人为宋世楹，注册资本为6000万元，统一社会信用代码为913305008469127084，企业注册地址位于浙江省湖州市南门外碧浪湖畔，所属行业为纺织业，经营范围包含：粗纺毛织品、毛呢、毛化纤混纺、纯化纤毛呢、羊绒、兔绒及服装的加工、制造；粗纺毛织品呢坯加工；棉毛丝织印染及整理；从事自营进出口业务；普通货运。（依法须经批准的项目，经相关部门批准后方可开展经营活动）。企业当前经营状态为存续。</t>
  </si>
  <si>
    <t>粗纺毛织品、毛呢、毛化纤混纺、纯化纤毛呢、羊绒、兔绒及服装的加工、制造；粗纺毛织品呢坯加工；棉毛丝织印染及整理；从事自营进出口业务；普通货运。（依法须经批准的项目，经相关部门批准后方可开展经营活动）</t>
  </si>
  <si>
    <t>湖州市市场监督管理局</t>
  </si>
  <si>
    <t>成武县嘉和纺织有限公司</t>
  </si>
  <si>
    <t>9137172368592669XA</t>
  </si>
  <si>
    <t>邵黎明</t>
  </si>
  <si>
    <t>350万元</t>
  </si>
  <si>
    <t>2009-03-13</t>
  </si>
  <si>
    <t>成武县经济开发区</t>
  </si>
  <si>
    <t>成武县</t>
  </si>
  <si>
    <t>0530-8989621</t>
  </si>
  <si>
    <t>18865091286;13561396707;0530-8810666</t>
  </si>
  <si>
    <t>8989621@163.com</t>
  </si>
  <si>
    <t>18865091286@163.com;8989621@qq.com;382742134@qq.com;chengwuyinxiang@163.com</t>
  </si>
  <si>
    <t>371723200001303</t>
  </si>
  <si>
    <t>68592669-X</t>
  </si>
  <si>
    <t>2009-03-13 至 无固定期限</t>
  </si>
  <si>
    <t>Chengwu Jiahe Textile Co., Ltd.</t>
  </si>
  <si>
    <t>成武县嘉和纺织有限公司成立于2009-03-13，法定代表人为邵黎明，注册资本为350万元，统一社会信用代码为9137172368592669XA，企业注册地址位于成武县经济开发区，所属行业为纺织业，经营范围包含：棉花收购,化纤纺织,棉花及棉副产品经营,纺织品、各类巾被生产经营,本企业成员企业自产产品及相关技术的出口业务,经营本企业成员企业生产科研所需原辅材料、机械设备、仪器仪表、备品备件、零配件及相关技术的进口业务（国家实行核定公司经营的商品除外）承办进料、加工和"三来一补"业务。（依法须经批准的项目，经相关部门批准后方可开展经营活动）。企业当前经营状态为在业。</t>
  </si>
  <si>
    <t>棉花收购,化纤纺织,棉花及棉副产品经营,纺织品、各类巾被生产经营,本企业成员企业自产产品及相关技术的出口业务,经营本企业成员企业生产科研所需原辅材料、机械设备、仪器仪表、备品备件、零配件及相关技术的进口业务（国家实行核定公司经营的商品除外）承办进料、加工和"三来一补"业务。（依法须经批准的项目，经相关部门批准后方可开展经营活动）。</t>
  </si>
  <si>
    <t>成武县市场监督管理局</t>
  </si>
  <si>
    <t>佛山市海裕针织有限公司</t>
  </si>
  <si>
    <t>914406046713799557</t>
  </si>
  <si>
    <t>注销（2025-11-04）</t>
  </si>
  <si>
    <t>招珍</t>
  </si>
  <si>
    <t>2008-01-22</t>
  </si>
  <si>
    <t>佛山市禅城区张槎古灶古生工业园路2号第4-5层</t>
  </si>
  <si>
    <t>广东省</t>
  </si>
  <si>
    <t>佛山市</t>
  </si>
  <si>
    <t>禅城区</t>
  </si>
  <si>
    <t>0757-82513168</t>
  </si>
  <si>
    <t>0757-86118123;13702929281;13902417318;0757-88336607;13679793383</t>
  </si>
  <si>
    <t>875886815@qq.com</t>
  </si>
  <si>
    <t>961549190@qq.com;724144997@qq.com</t>
  </si>
  <si>
    <t>440602000034341</t>
  </si>
  <si>
    <t>67137995-5</t>
  </si>
  <si>
    <t>2</t>
  </si>
  <si>
    <t>2008-01-22 至 无固定期限</t>
  </si>
  <si>
    <t>Foshan Haiyu Knitting Co., Ltd.</t>
  </si>
  <si>
    <t>佛山市海裕针织有限公司成立于2008-01-22，法定代表人为招珍，注册资本为50万元，统一社会信用代码为914406046713799557，企业注册地址位于佛山市禅城区张槎古灶古生工业园路2号第4-5层，所属行业为纺织业，经营范围包含：加工、制造、销售：针织品（以上不含法律、行政法规规定须经环保部门审批的项目）。（依法须经批准的项目，经相关部门批准后方可开展经营活动）。企业当前经营状态为注销。</t>
  </si>
  <si>
    <t>加工、制造、销售：针织品（以上不含法律、行政法规规定须经环保部门审批的项目）。（依法须经批准的项目，经相关部门批准后方可开展经营活动）</t>
  </si>
  <si>
    <t>佛山市禅城区市场监督管理局</t>
  </si>
  <si>
    <t>中遥实业（上海）有限公司</t>
  </si>
  <si>
    <t>91310109398698567G</t>
  </si>
  <si>
    <t>张强</t>
  </si>
  <si>
    <t>2014-06-23</t>
  </si>
  <si>
    <t>上海市虹口区嘉兴路260号1-4层的部分2层216室</t>
  </si>
  <si>
    <t>虹口区</t>
  </si>
  <si>
    <t>13524492877</t>
  </si>
  <si>
    <t>021-68380337;021-68380335;021-65909382</t>
  </si>
  <si>
    <t>zhongyao123@163.com</t>
  </si>
  <si>
    <t>310115002354472</t>
  </si>
  <si>
    <t>39869856-7</t>
  </si>
  <si>
    <t>3</t>
  </si>
  <si>
    <t>2014-06-23 至 2034-06-22</t>
  </si>
  <si>
    <t>贸易经纪与代理</t>
  </si>
  <si>
    <t>贸易代理</t>
  </si>
  <si>
    <t>Zhongyao Industry (Shanghai) Co., Ltd.</t>
  </si>
  <si>
    <t>中遥实业（上海）有限公司成立于2014-06-23，法定代表人为张强，注册资本为2000万元，统一社会信用代码为91310109398698567G，企业注册地址位于上海市虹口区嘉兴路260号1-4层的部分2层216室，所属行业为批发业，经营范围包含：许可项目：货物进出口；技术进出口；各类工程建设活动。（依法须经批准的项目，经相关部门批准后方可开展经营活动，具体经营项目以相关部门批准文件或许可证件为准）一般项目：销售金属材料，金属制品，橡胶制品，五金交电，仪器仪表，机电设备，通讯设备，建筑装潢材料，针纺织品，服装，日用百货，家用电器，计算机软硬件及辅助设备，化工原料及产品（除危险化学品、监控化学品、烟花爆竹、民用爆炸物品、易制毒化学品）；国内货物运输代理，住宅室内装饰装修。（除依法须经批准的项目外，凭营业执照依法自主开展经营活动）。企业当前经营状态为存续。</t>
  </si>
  <si>
    <t>许可项目：货物进出口；技术进出口；各类工程建设活动。（依法须经批准的项目，经相关部门批准后方可开展经营活动，具体经营项目以相关部门批准文件或许可证件为准）一般项目：销售金属材料，金属制品，橡胶制品，五金交电，仪器仪表，机电设备，通讯设备，建筑装潢材料，针纺织品，服装，日用百货，家用电器，计算机软硬件及辅助设备，化工原料及产品（除危险化学品、监控化学品、烟花爆竹、民用爆炸物品、易制毒化学品）；国内货物运输代理，住宅室内装饰装修。（除依法须经批准的项目外，凭营业执照依法自主开展经营活动）</t>
  </si>
  <si>
    <t>虹口区市场监督管理局</t>
  </si>
  <si>
    <t>江苏彭钢钢铁控股集团有限公司</t>
  </si>
  <si>
    <t>91320312714068584F</t>
  </si>
  <si>
    <t>徐州东亚钢铁有限公司,
江苏省铜山县第二钢铁厂</t>
  </si>
  <si>
    <t>吴天銮</t>
  </si>
  <si>
    <t>21888万元</t>
  </si>
  <si>
    <t>1990-08-30</t>
  </si>
  <si>
    <t>徐州市铜山区利国镇利国村</t>
  </si>
  <si>
    <t>徐州市</t>
  </si>
  <si>
    <t>铜山区</t>
  </si>
  <si>
    <t>0516-87255652</t>
  </si>
  <si>
    <t>0516-87159188;0516-87159088;15252050708</t>
  </si>
  <si>
    <t>895162868@qq.com</t>
  </si>
  <si>
    <t>36463628@qq.com</t>
  </si>
  <si>
    <t>320323000029232</t>
  </si>
  <si>
    <t>71406858-4</t>
  </si>
  <si>
    <t>1990-08-30 至 无固定期限</t>
  </si>
  <si>
    <t>金属制品业</t>
  </si>
  <si>
    <t>铸造及其他金属制品制造</t>
  </si>
  <si>
    <t>黑色金属铸造</t>
  </si>
  <si>
    <t>Xuzhou Dongya Steel Co., Ltd.</t>
  </si>
  <si>
    <t>江苏彭钢钢铁控股集团有限公司成立于1990-08-30，法定代表人为吴天銮，注册资本为21888万元，统一社会信用代码为91320312714068584F，企业注册地址位于徐州市铜山区利国镇利国村，所属行业为金属制品业，经营范围包含：钢铁冶炼、铸造生铁、连铸坯轧制、圆盘条、棒材、带钢生产销售，普通硅酸盐水泥制造、铁矿石选矿、机械修理、加工、石灰制造、球团烧结、焦炭制造，铁矿石、铁精粉、焦碳、建材、五金销售，废钢收购，黄金饰品、珠宝饰品销售。（依法须经批准的项目，经相关部门批准后方可开展经营活动）。企业当前经营状态为存续。</t>
  </si>
  <si>
    <t>钢铁冶炼、铸造生铁、连铸坯轧制、圆盘条、棒材、带钢生产销售，普通硅酸盐水泥制造、铁矿石选矿、机械修理、加工、石灰制造、球团烧结、焦炭制造，铁矿石、铁精粉、焦碳、建材、五金销售，废钢收购，黄金饰品、珠宝饰品销售。（依法须经批准的项目，经相关部门批准后方可开展经营活动）</t>
  </si>
  <si>
    <t>徐州市铜山区行政审批局</t>
  </si>
  <si>
    <t>赛得利（九江）纤维有限公司</t>
  </si>
  <si>
    <t>913604003363989212</t>
  </si>
  <si>
    <t>张文涛</t>
  </si>
  <si>
    <t>101700万元</t>
  </si>
  <si>
    <t>2015-06-12</t>
  </si>
  <si>
    <t>江西省九江市湖口县金砂湾工业园</t>
  </si>
  <si>
    <t>江西省</t>
  </si>
  <si>
    <t>九江市</t>
  </si>
  <si>
    <t>湖口县</t>
  </si>
  <si>
    <t>0792-8507279</t>
  </si>
  <si>
    <t>0792-6486088;0792-8507188</t>
  </si>
  <si>
    <t>yunhe_chen@sateri.com.cn</t>
  </si>
  <si>
    <t>yao_zhang@sateri.com.cn;ping_li@sateri.com.cn;junfeng_wan@sateri.com.cn</t>
  </si>
  <si>
    <t>有限责任公司（港澳台法人独资）</t>
  </si>
  <si>
    <t>360400520016515</t>
  </si>
  <si>
    <t>33639892-1</t>
  </si>
  <si>
    <t>1021</t>
  </si>
  <si>
    <t>2015-06-12 至 2065-06-12</t>
  </si>
  <si>
    <t>化学纤维制造业</t>
  </si>
  <si>
    <t>合成纤维制造</t>
  </si>
  <si>
    <t>其他合成纤维制造</t>
  </si>
  <si>
    <t>Sateri(jiu Jiang)Fibre Co., Ltd.</t>
  </si>
  <si>
    <t>www.sateri.com</t>
  </si>
  <si>
    <t>赛得利（九江）纤维有限公司成立于2015-06-12，法定代表人为张文涛，注册资本为101700万元，统一社会信用代码为913604003363989212，企业注册地址位于江西省九江市湖口县金砂湾工业园，所属行业为化学纤维制造业，经营范围包含：纤维素纤维原料及纤维制造，热力生产和供应，技术服务、技术开发、技术咨询、技术交流、技术转让、技术推广，工业设计服务，装卸搬运，再生资源销售，石灰和石膏销售，纸浆销售，货物进出口，技术进出口，发电、输电、供电业务（依法须经批准的项目，经相关部门批准后方可开展经营活动）。企业当前经营状态为存续。</t>
  </si>
  <si>
    <t>纤维素纤维原料及纤维制造，热力生产和供应，技术服务、技术开发、技术咨询、技术交流、技术转让、技术推广，工业设计服务，装卸搬运，再生资源销售，石灰和石膏销售，纸浆销售，货物进出口，技术进出口，发电、输电、供电业务（依法须经批准的项目，经相关部门批准后方可开展经营活动）</t>
  </si>
  <si>
    <t>九江市市场监督管理局</t>
  </si>
  <si>
    <t>山东嘉冠粮油工业集团有限公司</t>
  </si>
  <si>
    <t>91370829166280110M</t>
  </si>
  <si>
    <t>嘉祥县嘉冠油脂化工有限公司,
嘉祥县嘉冠油化工有限公司</t>
  </si>
  <si>
    <t>李兆祥</t>
  </si>
  <si>
    <t>5600万元</t>
  </si>
  <si>
    <t>1997-10-22</t>
  </si>
  <si>
    <t>县城建设南路263号</t>
  </si>
  <si>
    <t>济宁市</t>
  </si>
  <si>
    <t>嘉祥县</t>
  </si>
  <si>
    <t>0537-6812316</t>
  </si>
  <si>
    <t>0537-6812438;0537-6813221;0537-6811848;0537-6823538;0537-6811238;0537-6811248;18766814169</t>
  </si>
  <si>
    <t>jxjgyz@163.com</t>
  </si>
  <si>
    <t>370829228002760</t>
  </si>
  <si>
    <t>16628011-0</t>
  </si>
  <si>
    <t>278</t>
  </si>
  <si>
    <t>1997-10-22 至 无固定期限</t>
  </si>
  <si>
    <t>植物油加工</t>
  </si>
  <si>
    <t>食用植物油加工</t>
  </si>
  <si>
    <t>Shandong JIAGUAN Grain &amp; Oil Industry Group Co., Ltd.</t>
  </si>
  <si>
    <t>http://www.jgyz.com.cn</t>
  </si>
  <si>
    <t>山东嘉冠粮油工业集团有限公司成立于1997-10-22，法定代表人为李兆祥，注册资本为5600万元，统一社会信用代码为91370829166280110M，企业注册地址位于县城建设南路263号，所属行业为农副食品加工业，经营范围包含：食用植物油加工、销售（有效期以许可证为准）。豆粕、花生粕、米糠粕、大豆磷脂油、豆粉、膨化大豆粉、大豆蛋白、塑料容器、PVC塑料制品的加工销售；大豆、花生、米糠、麸皮购销；货物进出口、技术进出口，国家限定公司经营或禁止公司经营的货物或技术除外；房屋租赁。（依法须经批准的项目，经相关部门批准后方可开展经营活动）。企业当前经营状态为在业。</t>
  </si>
  <si>
    <t>食用植物油加工、销售（有效期以许可证为准）。豆粕、花生粕、米糠粕、大豆磷脂油、豆粉、膨化大豆粉、大豆蛋白、塑料容器、PVC塑料制品的加工销售；大豆、花生、米糠、麸皮购销；货物进出口、技术进出口，国家限定公司经营或禁止公司经营的货物或技术除外；房屋租赁。（依法须经批准的项目，经相关部门批准后方可开展经营活动）。</t>
  </si>
  <si>
    <t>嘉祥县市场监督管理局</t>
  </si>
  <si>
    <t>龙江县顺天玉米种植农民专业合作社</t>
  </si>
  <si>
    <t>932302213086371556</t>
  </si>
  <si>
    <t>郑忠强</t>
  </si>
  <si>
    <t>500万元</t>
  </si>
  <si>
    <t>2014-09-16</t>
  </si>
  <si>
    <t>龙江县景星镇聚宝盆村新民三.四屯</t>
  </si>
  <si>
    <t>黑龙江省</t>
  </si>
  <si>
    <t>齐齐哈尔市</t>
  </si>
  <si>
    <t>龙江县</t>
  </si>
  <si>
    <t>0452-5303111</t>
  </si>
  <si>
    <t>15545692200;18846313222;15946288008</t>
  </si>
  <si>
    <t>www.491652301@qq.com</t>
  </si>
  <si>
    <t>2394309804@qq.com;491652301@qq.com;ljxgsj2004@163.com</t>
  </si>
  <si>
    <t>农民专业合作社</t>
  </si>
  <si>
    <t>230221NA001334X</t>
  </si>
  <si>
    <t>30863715-5</t>
  </si>
  <si>
    <t>2014-09-16 至 无固定期限</t>
  </si>
  <si>
    <t>农业</t>
  </si>
  <si>
    <t>谷物种植</t>
  </si>
  <si>
    <t>玉米种植</t>
  </si>
  <si>
    <t>Longjiang County Shuntian Corn Planting Farmers Professional Cooperative</t>
  </si>
  <si>
    <t>组织本社成员开展玉米、水稻、小麦、豆类、杂粮、蔬菜、瓜果种植，组织收购、烘干、销售、运输、加工、贮藏成员种植户的产品；供应成员所需的生产资料，引进新技术、新品种，开展种植有关的技术培训、技术交流及信息咨询服务；开展成员所需的技术指导、防疫灭病的服务。</t>
  </si>
  <si>
    <t>龙江县市场监督管理局</t>
  </si>
  <si>
    <t>苏钢中亚特种钢业宿迁有限公司</t>
  </si>
  <si>
    <t>91321311567818276M</t>
  </si>
  <si>
    <t>张成甫</t>
  </si>
  <si>
    <t>39000万元</t>
  </si>
  <si>
    <t>2011-01-14</t>
  </si>
  <si>
    <t>江苏省宿迁高新技术产业开发区翔盛大道66号</t>
  </si>
  <si>
    <t>宿迁市</t>
  </si>
  <si>
    <t>宿豫区</t>
  </si>
  <si>
    <t>18860109504</t>
  </si>
  <si>
    <t>15951599227;13401864991;0527-80989111;0527-80989333</t>
  </si>
  <si>
    <t>有限责任公司</t>
  </si>
  <si>
    <t>321300000041741</t>
  </si>
  <si>
    <t>56781827-6</t>
  </si>
  <si>
    <t>5</t>
  </si>
  <si>
    <t>2011-01-14 至 无固定期限</t>
  </si>
  <si>
    <t>金属制日用品制造</t>
  </si>
  <si>
    <t>Suqian Steel Central Asia Special Steel Industry Co., Ltd.</t>
  </si>
  <si>
    <t>苏钢中亚特种钢业宿迁有限公司成立于2011-01-14，法定代表人为张成甫，注册资本为39000万元，统一社会信用代码为91321311567818276M，企业注册地址位于江苏省宿迁高新技术产业开发区翔盛大道66号，所属行业为金属制品业，经营范围包含：船用铸造件、铸钢（铁）轧辊、线材生产、销售，不锈钢产品加工、销售；机械产品委托加工业务；国内贸易（国家禁止或限制经营的项目除外；国家有专项规定的，取得相应许可后经营）；自营和代理各类商品及技术的进出口业务（国家限定企业经营或禁止进出口的商品和技术除外），废旧金属收购、销售。（依法须经批准的项目，经相关部门批准后方可开展经营活动）
许可项目：供电业务（依法须经批准的项目，经相关部门批准后方可开展经营活动，具体经营项目以审批结果为准）
一般项目：非居住房地产租赁；住房租赁；土地使用权租赁；租赁服务（不含许可类租赁服务）；销售代理（除依法须经批准的项目外，凭营业执照依法自主开展经营活动）。企业当前经营状态为在业。</t>
  </si>
  <si>
    <t>船用铸造件、铸钢（铁）轧辊、线材生产、销售，不锈钢产品加工、销售；机械产品委托加工业务；国内贸易（国家禁止或限制经营的项目除外；国家有专项规定的，取得相应许可后经营）；自营和代理各类商品及技术的进出口业务（国家限定企业经营或禁止进出口的商品和技术除外），废旧金属收购、销售。（依法须经批准的项目，经相关部门批准后方可开展经营活动）
许可项目：供电业务（依法须经批准的项目，经相关部门批准后方可开展经营活动，具体经营项目以审批结果为准）
一般项目：非居住房地产租赁；住房租赁；土地使用权租赁；租赁服务（不含许可类租赁服务）；销售代理（除依法须经批准的项目外，凭营业执照依法自主开展经营活动）</t>
  </si>
  <si>
    <t>宿迁市宿豫区行政审批局</t>
  </si>
  <si>
    <t>张家港市洋熙宇纺织原料有限公司</t>
  </si>
  <si>
    <t>91320582MA1WYX2E0P</t>
  </si>
  <si>
    <t>注销（2025-03-27）</t>
  </si>
  <si>
    <t>郭绪壮</t>
  </si>
  <si>
    <t>2018-08-01</t>
  </si>
  <si>
    <t>张家港市杨舍镇人民东路11号（华昌东方广场Z906）</t>
  </si>
  <si>
    <t>13962464928</t>
  </si>
  <si>
    <t>215600@123.com</t>
  </si>
  <si>
    <t>565097493@qq.com</t>
  </si>
  <si>
    <t>MA1WYX2E-0</t>
  </si>
  <si>
    <t>1</t>
  </si>
  <si>
    <t>2018-08-01 至 无固定期限</t>
  </si>
  <si>
    <t>Zhangjiagang Yangxiyu Textile Raw Materials Co., Ltd.</t>
  </si>
  <si>
    <t>张家港市洋熙宇纺织原料有限公司成立于2018-08-01，法定代表人为郭绪壮，注册资本为50万元，统一社会信用代码为91320582MA1WYX2E0P，企业注册地址位于张家港市杨舍镇人民东路11号（华昌东方广场Z906），所属行业为批发业，经营范围包含：纺织原料购销。（依法须经批准的项目，经相关部门批准后方可开展经营活动）。企业当前经营状态为注销。</t>
  </si>
  <si>
    <t>纺织原料购销。（依法须经批准的项目，经相关部门批准后方可开展经营活动）</t>
  </si>
  <si>
    <t>张家港市数据局</t>
  </si>
  <si>
    <t>河北锦虹纺织有限公司</t>
  </si>
  <si>
    <t>91130635MA08QMDB9N</t>
  </si>
  <si>
    <t>注销（2025-06-26）</t>
  </si>
  <si>
    <t>郑常水</t>
  </si>
  <si>
    <t>2017-06-30</t>
  </si>
  <si>
    <t>河北省保定市蠡县大百尺镇大百尺村</t>
  </si>
  <si>
    <t>河北省</t>
  </si>
  <si>
    <t>保定市</t>
  </si>
  <si>
    <t>蠡县</t>
  </si>
  <si>
    <t>15832222554</t>
  </si>
  <si>
    <t>15027861855</t>
  </si>
  <si>
    <t>306548021@qq.com</t>
  </si>
  <si>
    <t>3065480212@qq.com</t>
  </si>
  <si>
    <t>130635000035087</t>
  </si>
  <si>
    <t>MA08QMDB-9</t>
  </si>
  <si>
    <t>2017-06-30 至 无固定期限</t>
  </si>
  <si>
    <t>毛纺织及染整精加工</t>
  </si>
  <si>
    <t>毛条和毛纱线加工</t>
  </si>
  <si>
    <t>Hebei Jinhong Textile Co., Ltd.</t>
  </si>
  <si>
    <t>河北锦虹纺织有限公司成立于2017-06-30，法定代表人为郑常水，注册资本为500万元，统一社会信用代码为91130635MA08QMDB9N，企业注册地址位于河北省保定市蠡县大百尺镇大百尺村，所属行业为纺织业，经营范围包含：生产、加工、销售涤纶丝、丙纶丝、毛线；购销化纤原料；并经营以上货物进出口、技术进出口业务。（不含漂染、危险化学品、监控化学品、易制毒化学品）（国家禁止经营的项目不得经营）（依法须经批准的项目，经相关部门批准后方可开展经营活动）。企业当前经营状态为注销。</t>
  </si>
  <si>
    <t>生产、加工、销售涤纶丝、丙纶丝、毛线；购销化纤原料；并经营以上货物进出口、技术进出口业务。（不含漂染、危险化学品、监控化学品、易制毒化学品）（国家禁止经营的项目不得经营）（依法须经批准的项目，经相关部门批准后方可开展经营活动）</t>
  </si>
  <si>
    <t>蠡县市场监督管理局</t>
  </si>
  <si>
    <t>遂溪秀文农业发展有限公司</t>
  </si>
  <si>
    <t>91440823MA510UHR8D</t>
  </si>
  <si>
    <t>注销（2023-08-31）</t>
  </si>
  <si>
    <t>林秀文</t>
  </si>
  <si>
    <t>2017-11-14</t>
  </si>
  <si>
    <t>遂溪县遂城镇贸易城新城路2-1号二楼</t>
  </si>
  <si>
    <t>湛江市</t>
  </si>
  <si>
    <t>遂溪县</t>
  </si>
  <si>
    <t>13809736787</t>
  </si>
  <si>
    <t>15816016698</t>
  </si>
  <si>
    <t>88218834@163.com</t>
  </si>
  <si>
    <t>440823000041799</t>
  </si>
  <si>
    <t>MA510UHR-8</t>
  </si>
  <si>
    <t>2022年报</t>
  </si>
  <si>
    <t>2017-11-14 至 无固定期限</t>
  </si>
  <si>
    <t>其他农业</t>
  </si>
  <si>
    <t>Suixi Xiuwen Agricultural Development Co., Ltd.</t>
  </si>
  <si>
    <t>遂溪秀文农业发展有限公司成立于2017-11-14，法定代表人为林秀文，注册资本为20万元，统一社会信用代码为91440823MA510UHR8D，企业注册地址位于遂溪县遂城镇贸易城新城路2-1号二楼，所属行业为农业，经营范围包含：种植、收购、初加工、销售：农产品；购销；化肥、饲料、羽毛粉、花生麸、花生渣。（依法须经批准的项目，经相关部门批准后方可开展经营活动）。企业当前经营状态为注销。</t>
  </si>
  <si>
    <t>种植、收购、初加工、销售：农产品；购销；化肥、饲料、羽毛粉、花生麸、花生渣。（依法须经批准的项目，经相关部门批准后方可开展经营活动）</t>
  </si>
  <si>
    <t>遂溪县市场监督管理局</t>
  </si>
  <si>
    <t>乌苏市骏腾工贸有限公司</t>
  </si>
  <si>
    <t>916542025524262372</t>
  </si>
  <si>
    <t>张玉军</t>
  </si>
  <si>
    <t>60万元</t>
  </si>
  <si>
    <t>2010-04-19</t>
  </si>
  <si>
    <t>新疆塔城地区乌苏市甘家湖牧场场部北面</t>
  </si>
  <si>
    <t>塔城地区</t>
  </si>
  <si>
    <t>乌苏市</t>
  </si>
  <si>
    <t>13364954666</t>
  </si>
  <si>
    <t>13709923333;13779173333;13565724446</t>
  </si>
  <si>
    <t>1758249315@qq.com</t>
  </si>
  <si>
    <t>654202050003316</t>
  </si>
  <si>
    <t>55242623-7</t>
  </si>
  <si>
    <t>2010-04-19 至 无固定期限</t>
  </si>
  <si>
    <t>Wusu Junteng Industry and Trade Co., Ltd.</t>
  </si>
  <si>
    <t>乌苏市骏腾工贸有限公司成立于2010-04-19，法定代表人为张玉军，注册资本为60万元，统一社会信用代码为916542025524262372，企业注册地址位于新疆塔城地区乌苏市甘家湖牧场场部北面，所属行业为纺织业，经营范围包含：籽棉收购、加工；皮棉购销、棉短绒加工及销售；农副产品购销（粮棉除外）；针织品、电脑器材销售。（依法须经批准的项目，经相关部门批准后方可开展经营活动）。企业当前经营状态为存续。</t>
  </si>
  <si>
    <t>籽棉收购、加工；皮棉购销、棉短绒加工及销售；农副产品购销（粮棉除外）；针织品、电脑器材销售。（依法须经批准的项目，经相关部门批准后方可开展经营活动）</t>
  </si>
  <si>
    <t>乌苏市市场监督管理局</t>
  </si>
  <si>
    <t>温宿银花棉业有限责任公司</t>
  </si>
  <si>
    <t>916529227760952890</t>
  </si>
  <si>
    <t>温宿县银花棉业有限责任公司</t>
  </si>
  <si>
    <t>潘阳</t>
  </si>
  <si>
    <t>1368万元</t>
  </si>
  <si>
    <t>2005-08-03</t>
  </si>
  <si>
    <t>新疆阿克苏地区温宿县古勒阿瓦提乡人民政府东南500米处；</t>
  </si>
  <si>
    <t>阿克苏地区</t>
  </si>
  <si>
    <t>温宿县</t>
  </si>
  <si>
    <t>15599750123</t>
  </si>
  <si>
    <t>15999402989</t>
  </si>
  <si>
    <t>1963029029@qq.com</t>
  </si>
  <si>
    <t>10342068425@qq.com;1125367320@qq.com</t>
  </si>
  <si>
    <t>652922030000068</t>
  </si>
  <si>
    <t>77609528-9</t>
  </si>
  <si>
    <t>2005-08-03 至 无固定期限</t>
  </si>
  <si>
    <t>农、林、牧、渔专业及辅助性活动</t>
  </si>
  <si>
    <t>农业专业及辅助性活动</t>
  </si>
  <si>
    <t>农产品初加工活动</t>
  </si>
  <si>
    <t>Wensu Yinhua Cotton Industry Co., Ltd.</t>
  </si>
  <si>
    <t>温宿银花棉业有限责任公司成立于2005-08-03，法定代表人为潘阳，注册资本为1368万元，统一社会信用代码为916529227760952890，企业注册地址位于新疆阿克苏地区温宿县古勒阿瓦提乡人民政府东南500米处；，所属行业为农、林、牧、渔专业及辅助性活动，经营范围包含：籽棉加工、销售；籽棉收购、销售；棉短绒、棉饼、棉纱、棉布、棉花包装物料、棉机配件销售；经济作物种植；家畜禽养殖。（依法须经批准的项目，经相关部门批准后方可开展经营活动）。企业当前经营状态为存续。</t>
  </si>
  <si>
    <t>籽棉加工、销售；籽棉收购、销售；棉短绒、棉饼、棉纱、棉布、棉花包装物料、棉机配件销售；经济作物种植；家畜禽养殖。（依法须经批准的项目，经相关部门批准后方可开展经营活动）</t>
  </si>
  <si>
    <t>温宿县市场监督管理局</t>
  </si>
  <si>
    <t>嘉兴市魏氏毛纺原料有限公司</t>
  </si>
  <si>
    <t>91330483060562785M</t>
  </si>
  <si>
    <t>魏钦民</t>
  </si>
  <si>
    <t>2013-01-08</t>
  </si>
  <si>
    <t>桐乡市濮院镇320国道南侧月河桥西</t>
  </si>
  <si>
    <t>桐乡市</t>
  </si>
  <si>
    <t>13484123769</t>
  </si>
  <si>
    <t>0573-88812122</t>
  </si>
  <si>
    <t>814478275@qq.com</t>
  </si>
  <si>
    <t>814478271@qq.com</t>
  </si>
  <si>
    <t>330483000107047</t>
  </si>
  <si>
    <t>06056278-5</t>
  </si>
  <si>
    <t>6</t>
  </si>
  <si>
    <t>2013-01-08 至 2033-01-07</t>
  </si>
  <si>
    <t>Jiaxing Weishi Woolen Raw Materials Co., Ltd.</t>
  </si>
  <si>
    <t>嘉兴市魏氏毛纺原料有限公司成立于2013-01-08，法定代表人为魏钦民，注册资本为200万元，统一社会信用代码为91330483060562785M，企业注册地址位于桐乡市濮院镇320国道南侧月河桥西，所属行业为批发业，经营范围包含：一般项目：针纺织品及原料销售；货物进出口；针纺织品销售；产业用纺织制成品销售；服装服饰批发；服装辅料销售；日用百货销售；合成纤维销售（除依法须经批准的项目外，凭营业执照依法自主开展经营活动）。企业当前经营状态为存续。</t>
  </si>
  <si>
    <t>一般项目：针纺织品及原料销售；货物进出口；针纺织品销售；产业用纺织制成品销售；服装服饰批发；服装辅料销售；日用百货销售；合成纤维销售（除依法须经批准的项目外，凭营业执照依法自主开展经营活动）。</t>
  </si>
  <si>
    <t>桐乡市市场监督管理局</t>
  </si>
  <si>
    <t>广东肇诺农产品有限公司</t>
  </si>
  <si>
    <t>91445321MAC0JN7MXQ</t>
  </si>
  <si>
    <t>彭朝</t>
  </si>
  <si>
    <t>2022-09-20</t>
  </si>
  <si>
    <t>新兴县新城镇东堤南路（翔顺集团办公综合楼）三楼自编318室（办公住所）</t>
  </si>
  <si>
    <t>云浮市</t>
  </si>
  <si>
    <t>新兴县</t>
  </si>
  <si>
    <t>15811784743</t>
  </si>
  <si>
    <t>445321000080118</t>
  </si>
  <si>
    <t>MAC0JN7M-X</t>
  </si>
  <si>
    <t>2022-09-20 至 无固定期限</t>
  </si>
  <si>
    <t>农、林、牧、渔产品批发</t>
  </si>
  <si>
    <t>谷物、豆及薯类批发</t>
  </si>
  <si>
    <t>Guangdong Zhaonuo Agricultural Products Co., Ltd.</t>
  </si>
  <si>
    <t>广东肇诺农产品有限公司成立于2022-09-20，法定代表人为彭朝，注册资本为500万元，统一社会信用代码为91445321MAC0JN7MXQ，企业注册地址位于新兴县新城镇东堤南路（翔顺集团办公综合楼）三楼自编318室（办公住所），所属行业为批发业，经营范围包含：一般项目：食用农产品批发；谷物销售；农副产品销售；豆及薯类销售；畜牧渔业饲料销售；饲料原料销售；饲料添加剂销售；兽医专用器械销售；农作物病虫害防治服务；供应链管理服务；环保咨询服务；生物饲料研发；技术服务、技术开发、技术咨询、技术交流、技术转让、技术推广。（除依法须经批准的项目外，凭营业执照依法自主开展经营活动）。企业当前经营状态为存续。</t>
  </si>
  <si>
    <t>一般项目：食用农产品批发；谷物销售；农副产品销售；豆及薯类销售；畜牧渔业饲料销售；饲料原料销售；饲料添加剂销售；兽医专用器械销售；农作物病虫害防治服务；供应链管理服务；环保咨询服务；生物饲料研发；技术服务、技术开发、技术咨询、技术交流、技术转让、技术推广。（除依法须经批准的项目外，凭营业执照依法自主开展经营活动）</t>
  </si>
  <si>
    <t>新兴县市场监督管理局</t>
  </si>
  <si>
    <t>唐山中厚板材有限公司</t>
  </si>
  <si>
    <t>91130200766614559K</t>
  </si>
  <si>
    <t>郑艾军</t>
  </si>
  <si>
    <t>100640.29万元</t>
  </si>
  <si>
    <t>2004-09-18</t>
  </si>
  <si>
    <t>河北省唐山市乐亭县王滩镇</t>
  </si>
  <si>
    <t>唐山市</t>
  </si>
  <si>
    <t>河北唐山海港经济开发区</t>
  </si>
  <si>
    <t>0315-4959056</t>
  </si>
  <si>
    <t>0315-4959920;0315-4959116;0315-4958312</t>
  </si>
  <si>
    <t>tgzhbgs@126.com</t>
  </si>
  <si>
    <t>有限责任公司（外商投资、非独资）</t>
  </si>
  <si>
    <t>130200400000089</t>
  </si>
  <si>
    <t>76661455-9</t>
  </si>
  <si>
    <t>2597</t>
  </si>
  <si>
    <t>2004-09-18 至 无固定期限</t>
  </si>
  <si>
    <t>黑色金属冶炼和压延加工业</t>
  </si>
  <si>
    <t>钢压延加工</t>
  </si>
  <si>
    <t>Tangshan Heavy Plate Co., Ltd.</t>
  </si>
  <si>
    <t>http://60.2.67.211</t>
  </si>
  <si>
    <t>唐山中厚板材有限公司成立于2004-09-18，法定代表人为郑艾军，注册资本为100640.29万元，统一社会信用代码为91130200766614559K，企业注册地址位于河北省唐山市乐亭县王滩镇，所属行业为黑色金属冶炼和压延加工业，经营范围包含：钢、铁冶炼；钢压延加工；金属废料和碎屑加工处理；技术服务、技术开发、技术咨询、技术交流、技术转让、技术推广；金属材料、金属矿石、再生资源销售；道路货物运输（不含危险货物）；货物进出口；机械设备租赁；非居住房地产租赁；合同能源管理；机动车充电销售；餐饮服务。（依法须经批准的项目，经相关部门批准后方可开展经营活动）。企业当前经营状态为存续。</t>
  </si>
  <si>
    <t>钢、铁冶炼；钢压延加工；金属废料和碎屑加工处理；技术服务、技术开发、技术咨询、技术交流、技术转让、技术推广；金属材料、金属矿石、再生资源销售；道路货物运输（不含危险货物）；货物进出口；机械设备租赁；非居住房地产租赁；合同能源管理；机动车充电销售；餐饮服务。（依法须经批准的项目，经相关部门批准后方可开展经营活动）</t>
  </si>
  <si>
    <t>乐亭县市场监督管理局</t>
  </si>
  <si>
    <t>山东鸿源仓储有限公司</t>
  </si>
  <si>
    <t>91371522MA3QU6W26A</t>
  </si>
  <si>
    <t>注销（2024-06-18）</t>
  </si>
  <si>
    <t>杨建英</t>
  </si>
  <si>
    <t>2019-10-29</t>
  </si>
  <si>
    <t>山东省聊城市莘县十八里铺镇工业聚集区259省道东500米路北</t>
  </si>
  <si>
    <t>聊城市</t>
  </si>
  <si>
    <t>莘县</t>
  </si>
  <si>
    <t>15306353998</t>
  </si>
  <si>
    <t>15306353998@163.com</t>
  </si>
  <si>
    <t>371522200108320</t>
  </si>
  <si>
    <t>MA3QU6W2-6</t>
  </si>
  <si>
    <t>2019-10-29 至 无固定期限</t>
  </si>
  <si>
    <t>交通运输、仓储和邮政业</t>
  </si>
  <si>
    <t>装卸搬运和仓储业</t>
  </si>
  <si>
    <t>谷物、棉花等农产品仓储</t>
  </si>
  <si>
    <t>其他农产品仓储</t>
  </si>
  <si>
    <t>Shandong Hongyuan Warehousing Co., Ltd.</t>
  </si>
  <si>
    <t>山东鸿源仓储有限公司成立于2019-10-29，法定代表人为杨建英，注册资本为1000万元，统一社会信用代码为91371522MA3QU6W26A，企业注册地址位于山东省聊城市莘县十八里铺镇工业聚集区259省道东500米路北，所属行业为装卸搬运和仓储业，经营范围包含：一般项目：农副产品销售；粮食收购；粮油仓储服务；装卸搬运；普通货物仓储服务（不含危险化学品等需许可审批的项目）；仓储设备租赁服务。（除依法须经批准的项目外，凭营业执照依法自主开展经营活动）。企业当前经营状态为注销。</t>
  </si>
  <si>
    <t>一般项目：农副产品销售；粮食收购；粮油仓储服务；装卸搬运；普通货物仓储服务（不含危险化学品等需许可审批的项目）；仓储设备租赁服务。（除依法须经批准的项目外，凭营业执照依法自主开展经营活动）</t>
  </si>
  <si>
    <t>莘县市场监督管理局</t>
  </si>
  <si>
    <t>彭泽县江北棉业有限责任公司</t>
  </si>
  <si>
    <t>913604307419930380</t>
  </si>
  <si>
    <t>彭泽县雷鸣棉业有限责任公司</t>
  </si>
  <si>
    <t>许宏峰</t>
  </si>
  <si>
    <t>1500万元</t>
  </si>
  <si>
    <t>2002-10-14</t>
  </si>
  <si>
    <t>江西省九江市彭泽县黄花镇</t>
  </si>
  <si>
    <t>彭泽县</t>
  </si>
  <si>
    <t>13767202502</t>
  </si>
  <si>
    <t>18779217111;13479283678;0792-5882266;13479282639</t>
  </si>
  <si>
    <t>13767202502@qq.com</t>
  </si>
  <si>
    <t>1343049136@qq.com;138650278@qq.com;873633306@qq.com;513697350@qq.com</t>
  </si>
  <si>
    <t>360430210000248</t>
  </si>
  <si>
    <t>74199303-8</t>
  </si>
  <si>
    <t>2002-10-14 至 无固定期限</t>
  </si>
  <si>
    <t>Pengze County Leiming Co., Ltd.</t>
  </si>
  <si>
    <t>彭泽县江北棉业有限责任公司成立于2002-10-14，法定代表人为许宏峰，注册资本为1500万元，统一社会信用代码为913604307419930380，企业注册地址位于江西省九江市彭泽县黄花镇，所属行业为纺织业，经营范围包含：棉花及其副产品收购、加工、销售；农副产品收购、销售。企业当前经营状态为存续。</t>
  </si>
  <si>
    <t>棉花及其副产品收购、加工、销售；农副产品收购、销售</t>
  </si>
  <si>
    <t>彭泽县市场监督管理局</t>
  </si>
  <si>
    <t>巴楚县银鹿纺织品原料有限公司</t>
  </si>
  <si>
    <t>9165313074520645X6</t>
  </si>
  <si>
    <t>注销（2023-06-19）</t>
  </si>
  <si>
    <t>李平</t>
  </si>
  <si>
    <t>45万元</t>
  </si>
  <si>
    <t>2002-12-14</t>
  </si>
  <si>
    <t>新疆喀什地区巴楚县迎宾北路火车站1号</t>
  </si>
  <si>
    <t>喀什地区</t>
  </si>
  <si>
    <t>巴楚县</t>
  </si>
  <si>
    <t>0998-6175070</t>
  </si>
  <si>
    <t>13619986918</t>
  </si>
  <si>
    <t>122434813@qq.com</t>
  </si>
  <si>
    <t>468016470@qq.com</t>
  </si>
  <si>
    <t>653130056600188</t>
  </si>
  <si>
    <t>74520645-X</t>
  </si>
  <si>
    <t>2002-12-14 至 2025-12-14</t>
  </si>
  <si>
    <t>棉、麻批发</t>
  </si>
  <si>
    <t>Bachu County Yinlu Textile Raw Materials Co., Ltd.</t>
  </si>
  <si>
    <t>巴楚县银鹿纺织品原料有限公司成立于2002-12-14，法定代表人为李平，注册资本为50万元，统一社会信用代码为9165313074520645X6，企业注册地址位于新疆喀什地区巴楚县迎宾北路火车站1号，所属行业为批发业，经营范围包含：皮棉经营、棉机配件、棉检仪器零售,打包、铅丝、货物信息、装卸搬运、站台出租服务,蓬布、清弹棉、棉短绒、棉籽、不孕籽棉批发、零售,包装材料、棉粕、浆粕销售。（依法须经批准的项目,经相关部门批准后方可开展经营活动）。企业当前经营状态为注销。</t>
  </si>
  <si>
    <t>皮棉经营、棉机配件、棉检仪器零售,打包、铅丝、货物信息、装卸搬运、站台出租服务,蓬布、清弹棉、棉短绒、棉籽、不孕籽棉批发、零售,包装材料、棉粕、浆粕销售。（依法须经批准的项目,经相关部门批准后方可开展经营活动）</t>
  </si>
  <si>
    <t>巴楚县市场监督管理局</t>
  </si>
  <si>
    <t>蛟河市富苑粮油有限公司</t>
  </si>
  <si>
    <t>91220281673335198X</t>
  </si>
  <si>
    <t>张建军</t>
  </si>
  <si>
    <t>2007-01-29</t>
  </si>
  <si>
    <t>蛟河市河南街榆江公路153公里处</t>
  </si>
  <si>
    <t>吉林省</t>
  </si>
  <si>
    <t>吉林市</t>
  </si>
  <si>
    <t>蛟河市</t>
  </si>
  <si>
    <t>13596323458</t>
  </si>
  <si>
    <t>15886287888</t>
  </si>
  <si>
    <t>151227000@qq.com</t>
  </si>
  <si>
    <t>13596323458@163.com;15886287888@qq.com;15886287888@139.com;o8o8o8@163.com</t>
  </si>
  <si>
    <t>220281003011898</t>
  </si>
  <si>
    <t>67333519-8</t>
  </si>
  <si>
    <t>2007-01-29 至 无固定期限</t>
  </si>
  <si>
    <t>Jiaohe Fuyuan Grain and Oil Co., Ltd.</t>
  </si>
  <si>
    <t>蛟河市富苑粮油有限公司成立于2007-01-29，法定代表人为张建军，注册资本为500万元，统一社会信用代码为91220281673335198X，企业注册地址位于蛟河市河南街榆江公路153公里处，所属行业为批发业，经营范围包含：收购、销售粮食及豆类（依法须经批准的项目，经相关部门批准后方可开展经营活动）。企业当前经营状态为存续。</t>
  </si>
  <si>
    <t>收购、销售粮食及豆类（依法须经批准的项目，经相关部门批准后方可开展经营活动）</t>
  </si>
  <si>
    <t>蛟河市市场监督管理局</t>
  </si>
  <si>
    <t>吉林省酒业有限公司</t>
  </si>
  <si>
    <t>91220101307800475C</t>
  </si>
  <si>
    <t>杨达任</t>
  </si>
  <si>
    <t>10000万元</t>
  </si>
  <si>
    <t>2014-07-09</t>
  </si>
  <si>
    <t>吉林省长春市净月开发区生态大街彩宇新城二期12号楼（传峰资讯中心）2901-2906号房</t>
  </si>
  <si>
    <t>长春市</t>
  </si>
  <si>
    <t>长春净月高新技术产业开发区</t>
  </si>
  <si>
    <t>18943032111</t>
  </si>
  <si>
    <t>0431-81971073;0431-81971098;0431-81971072;13196031888;0431-81788100;13585858135</t>
  </si>
  <si>
    <t>286563570@qq.com</t>
  </si>
  <si>
    <t>527885799@qq.com;345760000@qq.com;jlsjjjt@163.com</t>
  </si>
  <si>
    <t>220000000211427</t>
  </si>
  <si>
    <t>30780047-5</t>
  </si>
  <si>
    <t>2014-07-09 至 2044-07-03</t>
  </si>
  <si>
    <t>饮料制造</t>
  </si>
  <si>
    <t>茶饮料及其他饮料制造</t>
  </si>
  <si>
    <t>Jilin Alcohol Industry Co., Ltd.</t>
  </si>
  <si>
    <t>吉林省酒业有限公司成立于2014-07-09，法定代表人为杨达任，注册资本为10000万元，统一社会信用代码为91220101307800475C，企业注册地址位于吉林省长春市净月开发区生态大街彩宇新城二期12号楼（传峰资讯中心）2901-2906号房，所属行业为酒、饮料和精制茶制造业，经营范围包含：乙醇（无水）批发（无储存经营）（危险化学品经营许可证有效期至2022-03-27）；饲料批发及零售；预包装食品、食品添加剂、饲料添加剂、化工原料（除危险化学品）批发及零售；以玉米生产酒精为主的粮食深加工项目开发建设（凭资质）；以玉米生产酒精为主的农产品综合利用及深加工新技术、新产品研究、开发、试制、转让；进出口贸易（依法须经批准的项目，经相关部门批准后方可开展经营活动）。企业当前经营状态为存续。</t>
  </si>
  <si>
    <t>乙醇（无水）批发（无储存经营）（危险化学品经营许可证有效期至2022-03-27）；饲料批发及零售；预包装食品、食品添加剂、饲料添加剂、化工原料（除危险化学品）批发及零售；以玉米生产酒精为主的粮食深加工项目开发建设（凭资质）；以玉米生产酒精为主的农产品综合利用及深加工新技术、新产品研究、开发、试制、转让；进出口贸易（依法须经批准的项目，经相关部门批准后方可开展经营活动）</t>
  </si>
  <si>
    <t>长春市市场监督管理局净月高新技术产业开发区分局</t>
  </si>
  <si>
    <t>青岛活石源国际贸易有限公司</t>
  </si>
  <si>
    <t>91370220MA3C621H7C</t>
  </si>
  <si>
    <t>青岛活石源网络科技有限公司</t>
  </si>
  <si>
    <t>耿春燕</t>
  </si>
  <si>
    <t>2016-01-26</t>
  </si>
  <si>
    <t>山东省青岛市保税港区北京路45号东办公楼一楼-574（商务秘书公司托管地址）（A）</t>
  </si>
  <si>
    <t>黄岛区</t>
  </si>
  <si>
    <t>13375615371</t>
  </si>
  <si>
    <t>15563914666</t>
  </si>
  <si>
    <t>15563914666@163.com</t>
  </si>
  <si>
    <t>370220230039219</t>
  </si>
  <si>
    <t>MA3C621H-7</t>
  </si>
  <si>
    <t>2016-01-26 至 无固定期限</t>
  </si>
  <si>
    <t>其他批发业</t>
  </si>
  <si>
    <t>其他未列明批发业</t>
  </si>
  <si>
    <t>Qingdao HUO SHI Yuan International Trading Co., Ltd.</t>
  </si>
  <si>
    <t>青岛活石源国际贸易有限公司成立于2016-01-26，法定代表人为耿春燕，注册资本为2000万元，统一社会信用代码为91370220MA3C621H7C，企业注册地址位于山东省青岛市保税港区北京路45号东办公楼一楼-574（商务秘书公司托管地址）（A），所属行业为批发业，经营范围包含：国际贸易、转口贸易、区内企业之间贸易及贸易项下加工整理，自营和代理各类商品和技术进出口（国家禁止或涉及行政审批的货物和技术进出口除外）。（依法须经批准的项目，经相关部门批准后方可开展经营活动）。企业当前经营状态为在业。</t>
  </si>
  <si>
    <t>国际贸易、转口贸易、区内企业之间贸易及贸易项下加工整理，自营和代理各类商品和技术进出口（国家禁止或涉及行政审批的货物和技术进出口除外）。（依法须经批准的项目，经相关部门批准后方可开展经营活动）</t>
  </si>
  <si>
    <t>青岛市前湾保税港区市场监管局</t>
  </si>
  <si>
    <t>南京峰慢瑶纺织原料有限公司</t>
  </si>
  <si>
    <t>91320115MA1MUYX803</t>
  </si>
  <si>
    <t>注销（2023-03-20）</t>
  </si>
  <si>
    <t>林光山</t>
  </si>
  <si>
    <t>800万元</t>
  </si>
  <si>
    <t>2016-09-27</t>
  </si>
  <si>
    <t>南京市江宁区江宁街道昌宁街2号</t>
  </si>
  <si>
    <t>南京市</t>
  </si>
  <si>
    <t>江宁区</t>
  </si>
  <si>
    <t>13701791544</t>
  </si>
  <si>
    <t>635172400@qq.com</t>
  </si>
  <si>
    <t>462926916@qq.com</t>
  </si>
  <si>
    <t>320121000535381</t>
  </si>
  <si>
    <t>MA1MUYX8-0</t>
  </si>
  <si>
    <t>2021年报</t>
  </si>
  <si>
    <t>2016-09-27 至 无固定期限</t>
  </si>
  <si>
    <t>Nanjing Fengmanyao Textile Raw Materials Co., Ltd.</t>
  </si>
  <si>
    <t>南京峰慢瑶纺织原料有限公司成立于2016-09-27，法定代表人为林光山，注册资本为800万元，统一社会信用代码为91320115MA1MUYX803，企业注册地址位于南京市江宁区江宁街道昌宁街2号，所属行业为批发业，经营范围包含：纺织原料、床上用品销售。（依法须经批准的项目，经相关部门批准后方可开展经营活动）。企业当前经营状态为注销。</t>
  </si>
  <si>
    <t>纺织原料、床上用品销售。（依法须经批准的项目，经相关部门批准后方可开展经营活动）</t>
  </si>
  <si>
    <t>南京市江宁区行政审批局</t>
  </si>
  <si>
    <t>赤峰锐鑫粮贸有限公司</t>
  </si>
  <si>
    <t>91150430MA0NEPKK39</t>
  </si>
  <si>
    <t>注销（2023-07-12）</t>
  </si>
  <si>
    <t>于昕锐</t>
  </si>
  <si>
    <t>2017-07-10</t>
  </si>
  <si>
    <t>内蒙古自治区赤峰市敖汉旗牛古吐乡敖吉村北山组</t>
  </si>
  <si>
    <t>内蒙古自治区</t>
  </si>
  <si>
    <t>赤峰市</t>
  </si>
  <si>
    <t>敖汉旗</t>
  </si>
  <si>
    <t>18147665522</t>
  </si>
  <si>
    <t>630525636@qq.com</t>
  </si>
  <si>
    <t>150430000031240</t>
  </si>
  <si>
    <t>MA0NEPKK-3</t>
  </si>
  <si>
    <t>4</t>
  </si>
  <si>
    <t>2017-07-10 至 2099-12-31</t>
  </si>
  <si>
    <t>Chifeng Ruixin Grain Trading Co., Ltd.</t>
  </si>
  <si>
    <t>赤峰锐鑫粮贸有限公司成立于2017-07-10，法定代表人为于昕锐，注册资本为50万元，统一社会信用代码为91150430MA0NEPKK39，企业注册地址位于内蒙古自治区赤峰市敖汉旗牛古吐乡敖吉村北山组，所属行业为批发业，经营范围包含：粮食购销、储存；农副产品购销；饲料原料及添加剂销售；仓储、装卸服务；道路货物运输；设备维修和租赁；预包装食品销售；糖蜜销售。企业当前经营状态为注销。</t>
  </si>
  <si>
    <t>粮食购销、储存；农副产品购销；饲料原料及添加剂销售；仓储、装卸服务；道路货物运输；设备维修和租赁；预包装食品销售；糖蜜销售。</t>
  </si>
  <si>
    <t>敖汉旗市场监督管理局</t>
  </si>
  <si>
    <t>尉犁县林丰棉业有限公司</t>
  </si>
  <si>
    <t>91652823792273858P</t>
  </si>
  <si>
    <t>张福伟</t>
  </si>
  <si>
    <t>5000万元</t>
  </si>
  <si>
    <t>2006-09-25</t>
  </si>
  <si>
    <t>新疆巴州尉犁县阿克苏甫乡政府以东5公里处</t>
  </si>
  <si>
    <t>巴音郭楞蒙古自治州</t>
  </si>
  <si>
    <t>尉犁县</t>
  </si>
  <si>
    <t>13999000587</t>
  </si>
  <si>
    <t>0996-2062199;0996-6789199</t>
  </si>
  <si>
    <t>1533510660@qq.com</t>
  </si>
  <si>
    <t>119312959@qq.com;17078429@qq.com</t>
  </si>
  <si>
    <t>652823050000229</t>
  </si>
  <si>
    <t>79227385-8</t>
  </si>
  <si>
    <t>2006-09-25 至 2026-09-24</t>
  </si>
  <si>
    <t>Yuli County Linfeng Cotton Industry Co., Ltd.</t>
  </si>
  <si>
    <t>尉犁县林丰棉业有限公司成立于2006-09-25，法定代表人为张福伟，注册资本为5000万元，统一社会信用代码为91652823792273858P，企业注册地址位于新疆巴州尉犁县阿克苏甫乡政府以东5公里处，所属行业为农、林、牧、渔专业及辅助性活动，经营范围包含：籽棉加工；籽棉收购；销售：皮棉及棉花副产品，针织品，其他农畜产品，其他机械设备，其他化工产品，其他日用品。（依法须经批准的项目，经相关部门批准后方可开展经营活动）。企业当前经营状态为存续。</t>
  </si>
  <si>
    <t>籽棉加工；籽棉收购；销售：皮棉及棉花副产品，针织品，其他农畜产品，其他机械设备，其他化工产品，其他日用品。（依法须经批准的项目，经相关部门批准后方可开展经营活动）</t>
  </si>
  <si>
    <t>尉犁县市场监督管理局</t>
  </si>
  <si>
    <t>中国化纤有限公司</t>
  </si>
  <si>
    <t>91110000100011508X</t>
  </si>
  <si>
    <t>中国化纤总公司</t>
  </si>
  <si>
    <t>马文欢</t>
  </si>
  <si>
    <t>30520.48万元</t>
  </si>
  <si>
    <t>1987-11-27</t>
  </si>
  <si>
    <t>北京市海淀区增光路21号</t>
  </si>
  <si>
    <t>北京市</t>
  </si>
  <si>
    <t>海淀区</t>
  </si>
  <si>
    <t>010-65838888</t>
  </si>
  <si>
    <t>010-65838855;010-65838810</t>
  </si>
  <si>
    <t>songh@ctexic.com</t>
  </si>
  <si>
    <t>zhongghx@cncfc.com;baishan@cncfc.com;zhangyichen@cncfc.com;fuyy@cncfc.com</t>
  </si>
  <si>
    <t>有限责任公司（法人独资）</t>
  </si>
  <si>
    <t>100000000011502</t>
  </si>
  <si>
    <t>10001150-8</t>
  </si>
  <si>
    <t>2017-11-22 至 无固定期限</t>
  </si>
  <si>
    <t>China National Chemical FIBER Corp.</t>
  </si>
  <si>
    <t>https://www.ctmtc.com</t>
  </si>
  <si>
    <t>朝阳区建国路99号中服大厦23层</t>
  </si>
  <si>
    <t>中国化纤有限公司成立于1987-11-27，法定代表人为马文欢，注册资本为30520.48万元，统一社会信用代码为91110000100011508X，企业注册地址位于北京市海淀区增光路21号，所属行业为批发业，经营范围包含：许可项目：食品销售。（依法须经批准的项目，经相关部门批准后方可开展经营活动，具体经营项目以相关部门批准文件或许可证件为准）一般项目：针纺织品及原料销售；纺织专用设备销售；服装辅料销售；饲料原料销售；食品添加剂销售；机械电气设备销售；棉、麻销售；合成纤维销售；高性能纤维及复合材料销售；金属矿石销售；非金属矿及制品销售；木材销售；皮革销售；皮革制品销售；纸浆销售；产业用纺织制成品销售；合成材料销售；化工产品销售（不含许可类化工产品）；销售代理；非食用植物油销售；农副产品销售；技术服务、技术开发、技术咨询、技术交流、技术转让、技术推广；货物进出口。（除依法须经批准的项目外，凭营业执照依法自主开展经营活动）（不得从事国家和本市产业政策禁止和限制类项目的经营活动。）。企业当前经营状态为存续。</t>
  </si>
  <si>
    <t>许可项目：食品销售。（依法须经批准的项目，经相关部门批准后方可开展经营活动，具体经营项目以相关部门批准文件或许可证件为准）一般项目：针纺织品及原料销售；纺织专用设备销售；服装辅料销售；饲料原料销售；食品添加剂销售；机械电气设备销售；棉、麻销售；合成纤维销售；高性能纤维及复合材料销售；金属矿石销售；非金属矿及制品销售；木材销售；皮革销售；皮革制品销售；纸浆销售；产业用纺织制成品销售；合成材料销售；化工产品销售（不含许可类化工产品）；销售代理；非食用植物油销售；农副产品销售；技术服务、技术开发、技术咨询、技术交流、技术转让、技术推广；货物进出口。（除依法须经批准的项目外，凭营业执照依法自主开展经营活动）（不得从事国家和本市产业政策禁止和限制类项目的经营活动。）</t>
  </si>
  <si>
    <t>北京市市场监督管理局</t>
  </si>
  <si>
    <t>河北地坤纺织有限公司</t>
  </si>
  <si>
    <t>91130581MA07XEPU6N</t>
  </si>
  <si>
    <t>尹社峰</t>
  </si>
  <si>
    <t>2016-11-08</t>
  </si>
  <si>
    <t>河北省邢台市南宫市五一路</t>
  </si>
  <si>
    <t>邢台市</t>
  </si>
  <si>
    <t>南宫市</t>
  </si>
  <si>
    <t>13483976778</t>
  </si>
  <si>
    <t>15195000088;0319-7299890</t>
  </si>
  <si>
    <t>130581000053724</t>
  </si>
  <si>
    <t>MA07XEPU-6</t>
  </si>
  <si>
    <t>2016-11-08 至 2036-11-07</t>
  </si>
  <si>
    <t>棉织造加工</t>
  </si>
  <si>
    <t>Hebei DIKUN Textile Co., Ltd.</t>
  </si>
  <si>
    <t>河北地坤纺织有限公司成立于2016-11-08，法定代表人为尹社峰，注册资本为1000万元，统一社会信用代码为91130581MA07XEPU6N，企业注册地址位于河北省邢台市南宫市五一路，所属行业为纺织业，经营范围包含：纺织品、服装加工销售；纺织原料的销售；自营和代理纺织品、纺织原料、纺织机械的进出口业务（依法须经批准的项目，经相关部门批准后方可开展经营活动）。企业当前经营状态为存续。</t>
  </si>
  <si>
    <t>纺织品、服装加工销售；纺织原料的销售；自营和代理纺织品、纺织原料、纺织机械的进出口业务（依法须经批准的项目，经相关部门批准后方可开展经营活动）</t>
  </si>
  <si>
    <t>南宫市市场监督管理局</t>
  </si>
  <si>
    <t>上海柳旭实业有限公司</t>
  </si>
  <si>
    <t>91310117MA1J1RY36R</t>
  </si>
  <si>
    <t>蒋爱茹</t>
  </si>
  <si>
    <t>2016-11-22</t>
  </si>
  <si>
    <t>上海市松江区新桥镇新站路361号</t>
  </si>
  <si>
    <t>松江区</t>
  </si>
  <si>
    <t>13601808988</t>
  </si>
  <si>
    <t>310117003556723</t>
  </si>
  <si>
    <t>MA1J1RY3-6</t>
  </si>
  <si>
    <t>2016-11-22 至 2036-11-21</t>
  </si>
  <si>
    <t>Shanghai Liuxu Industrial Co., Ltd.</t>
  </si>
  <si>
    <t>上海柳旭实业有限公司成立于2016-11-22，法定代表人为蒋爱茹，注册资本为500万元，统一社会信用代码为91310117MA1J1RY36R，企业注册地址位于上海市松江区新桥镇新站路361号，所属行业为批发业，经营范围包含：建筑材料、木材、钢材、水性涂料、五金交电销售，脚手架建设工程作业，水电安装，环保建设工程专业施工，室内外装潢，绿化服务。【依法须经批准的项目，经相关部门批准后方可开展经营活动】。企业当前经营状态为存续。</t>
  </si>
  <si>
    <t>建筑材料、木材、钢材、水性涂料、五金交电销售，脚手架建设工程作业，水电安装，环保建设工程专业施工，室内外装潢，绿化服务。【依法须经批准的项目，经相关部门批准后方可开展经营活动】</t>
  </si>
  <si>
    <t>松江区市场监管局</t>
  </si>
  <si>
    <t>上海隆尚实业发展有限公司</t>
  </si>
  <si>
    <t>91310113MA1GN4CQ9E</t>
  </si>
  <si>
    <t>钱江</t>
  </si>
  <si>
    <t>2018-11-22</t>
  </si>
  <si>
    <t>上海市宝山区上大路668号1幢577J室</t>
  </si>
  <si>
    <t>021-56351196</t>
  </si>
  <si>
    <t>MA1GN4CQ-9</t>
  </si>
  <si>
    <t>2018-11-22 至 2028-11-21</t>
  </si>
  <si>
    <t>Shanghai Longshang Industrial Development Co., Ltd.</t>
  </si>
  <si>
    <t>上海市宝山区真北路4333弄78号1201室</t>
  </si>
  <si>
    <t>上海隆尚实业发展有限公司成立于2018-11-22，法定代表人为钱江，注册资本为100万元，统一社会信用代码为91310113MA1GN4CQ9E，企业注册地址位于上海市宝山区上大路668号1幢577J室，所属行业为批发业，经营范围包含：建筑材料、金属材料、管道及配件、电线电缆、塑料制品、五金交电的销售；普通机械设备加工（限分支经营）、安装、维修、销售；电子设备加工（限分支经营）、销售；从事计算机信息科技领域内的技术开发、技术咨询、技术服务、技术转让；商务信息咨询；保洁服务；建筑装修装饰建设工程专业施工；建筑专业建设工程设计；市政公用建设工程专业施工；园林绿化工程；钢结构建设工程专业施工。【依法须经批准的项目，经相关部门批准后方可开展经营活动】。企业当前经营状态为存续。</t>
  </si>
  <si>
    <t>建筑材料、金属材料、管道及配件、电线电缆、塑料制品、五金交电的销售；普通机械设备加工（限分支经营）、安装、维修、销售；电子设备加工（限分支经营）、销售；从事计算机信息科技领域内的技术开发、技术咨询、技术服务、技术转让；商务信息咨询；保洁服务；建筑装修装饰建设工程专业施工；建筑专业建设工程设计；市政公用建设工程专业施工；园林绿化工程；钢结构建设工程专业施工。【依法须经批准的项目，经相关部门批准后方可开展经营活动】</t>
  </si>
  <si>
    <t>中油国华石油化工（大连）有限公司</t>
  </si>
  <si>
    <t>91210244MA10QTEB9W</t>
  </si>
  <si>
    <t>张爽</t>
  </si>
  <si>
    <t>5680万元</t>
  </si>
  <si>
    <t>2020-12-01</t>
  </si>
  <si>
    <t>辽宁省大连长兴岛经济区三堂中心街5-7号1单元303室</t>
  </si>
  <si>
    <t>大连市</t>
  </si>
  <si>
    <t>瓦房店市</t>
  </si>
  <si>
    <t>0411-82518297</t>
  </si>
  <si>
    <t>0411-82518147</t>
  </si>
  <si>
    <t>842466876@qq.com</t>
  </si>
  <si>
    <t>18710942970@qq.com;842465886@qq.com</t>
  </si>
  <si>
    <t>210244000077033</t>
  </si>
  <si>
    <t>MA10QTEB-9</t>
  </si>
  <si>
    <t>2020-12-01 至 2040-11-30</t>
  </si>
  <si>
    <t>PetroChina Guohua Petrochemical (Dalian) Co., Ltd.</t>
  </si>
  <si>
    <t>中油国华石油化工（大连）有限公司成立于2020-12-01，法定代表人为张爽，注册资本为5680万元，统一社会信用代码为91210244MA10QTEB9W，企业注册地址位于辽宁省大连长兴岛经济区三堂中心街5-7号1单元303室，所属行业为批发业，经营范围包含：许可项目：成品油批发（限危险化学品），危险化学品经营，成品油零售（不含危险化学品），燃气经营，道路货物运输（网络货运）（依法须经批准的项目，经相关部门批准后方可开展经营活动，具体经营项目以审批结果为准）一般项目：石油制品销售（不含危险化学品），成品油批发（不含危险化学品），涂料销售（不含危险化学品），润滑油销售，金属材料销售，木材销售，农副产品销售，仪器仪表销售，电线、电缆经营，阀门和旋塞销售，办公用品销售，汽车零配件批发，计算机软硬件及辅助设备批发，建筑材料销售，五金产品批发，肥料销售，化工产品销售（不含许可类化工产品），技术服务、技术开发、技术咨询、技术交流、技术转让、技术推广，国内贸易代理，新兴能源技术研发，信息咨询服务（不含许可类信息咨询服务），软件开发，广告设计、代理，无船承运业务，供应链管理服务（除依法须经批准的项目外，凭营业执照依法自主开展经营活动）。企业当前经营状态为存续。</t>
  </si>
  <si>
    <t>许可项目：成品油批发（限危险化学品），危险化学品经营，成品油零售（不含危险化学品），燃气经营，道路货物运输（网络货运）（依法须经批准的项目，经相关部门批准后方可开展经营活动，具体经营项目以审批结果为准）一般项目：石油制品销售（不含危险化学品），成品油批发（不含危险化学品），涂料销售（不含危险化学品），润滑油销售，金属材料销售，木材销售，农副产品销售，仪器仪表销售，电线、电缆经营，阀门和旋塞销售，办公用品销售，汽车零配件批发，计算机软硬件及辅助设备批发，建筑材料销售，五金产品批发，肥料销售，化工产品销售（不含许可类化工产品），技术服务、技术开发、技术咨询、技术交流、技术转让、技术推广，国内贸易代理，新兴能源技术研发，信息咨询服务（不含许可类信息咨询服务），软件开发，广告设计、代理，无船承运业务，供应链管理服务（除依法须经批准的项目外，凭营业执照依法自主开展经营活动）</t>
  </si>
  <si>
    <t>大连长兴岛经济技术开发区市场监督管理局</t>
  </si>
  <si>
    <t>辽宁汇金农产品贸易有限公司</t>
  </si>
  <si>
    <t>91210804MA10GT3JXN</t>
  </si>
  <si>
    <t>李超群</t>
  </si>
  <si>
    <t>2020-07-14</t>
  </si>
  <si>
    <t>辽宁省营口市鲅鱼圈区碧霞-06-金鹏商贸楼21-30轴-604</t>
  </si>
  <si>
    <t>营口市</t>
  </si>
  <si>
    <t>鲅鱼圈区</t>
  </si>
  <si>
    <t>15143095000</t>
  </si>
  <si>
    <t>965455414@qq.com</t>
  </si>
  <si>
    <t>huazlq@163.com</t>
  </si>
  <si>
    <t>210804004123063</t>
  </si>
  <si>
    <t>MA10GT3J-X</t>
  </si>
  <si>
    <t>2020-07-14 至 无固定期限</t>
  </si>
  <si>
    <t>Liaoning Huijin Agricultural Products Trading Co., Ltd.</t>
  </si>
  <si>
    <t>辽宁汇金农产品贸易有限公司成立于2020-07-14，法定代表人为李超群，注册资本为500万元，统一社会信用代码为91210804MA10GT3JXN，企业注册地址位于辽宁省营口市鲅鱼圈区碧霞-06-金鹏商贸楼21-30轴-604，所属行业为批发业，经营范围包含：一般项目：初级农产品收购；粮油仓储服务；豆及薯类销售。（除依法须经批准的项目外，凭营业执照依法自主开展经营活动）。企业当前经营状态为存续。</t>
  </si>
  <si>
    <t>一般项目：初级农产品收购；粮油仓储服务；豆及薯类销售。（除依法须经批准的项目外，凭营业执照依法自主开展经营活动）</t>
  </si>
  <si>
    <t>营口市鲅鱼圈区市场监督管理局</t>
  </si>
  <si>
    <t>上海双穗粮油有限公司</t>
  </si>
  <si>
    <t>91310115MA1H8DB2X4</t>
  </si>
  <si>
    <t>俞善华</t>
  </si>
  <si>
    <t>400万元</t>
  </si>
  <si>
    <t>2016-11-21</t>
  </si>
  <si>
    <t>中国（上海）自由贸易试验区唐龙路115号5幢101室</t>
  </si>
  <si>
    <t>浦东新区</t>
  </si>
  <si>
    <t>15026620370</t>
  </si>
  <si>
    <t>021-33301066;15901884010;13512113879</t>
  </si>
  <si>
    <t>shanghaishuangsui@163.com</t>
  </si>
  <si>
    <t>571782279@qq.com</t>
  </si>
  <si>
    <t>310115003229864</t>
  </si>
  <si>
    <t>MA1H8DB2-X</t>
  </si>
  <si>
    <t>7</t>
  </si>
  <si>
    <t>2016-11-21 至 2036-11-20</t>
  </si>
  <si>
    <t>食品、饮料及烟草制品批发</t>
  </si>
  <si>
    <t>其他食品批发</t>
  </si>
  <si>
    <t>Shanghai Shuangsui Grain&amp;Oil Co., Ltd.</t>
  </si>
  <si>
    <t>上海市闵行区联航路1818弄29号楼</t>
  </si>
  <si>
    <t>上海双穗粮油有限公司成立于2016-11-21，法定代表人为俞善华，注册资本为1000万元，统一社会信用代码为91310115MA1H8DB2X4，企业注册地址位于中国（上海）自由贸易试验区唐龙路115号5幢101室，所属行业为批发业，经营范围包含：许可项目：食品销售。（依法须经批准的项目，经相关部门批准后方可开展经营活动，具体经营项目以相关部门批准文件或许可证件为准）一般项目：食品销售（仅销售预包装食品）；食用农产品批发；食用农产品零售；食品添加剂销售；畜牧渔业饲料销售；日用百货销售；企业管理咨询；信息咨询服务（不含许可类信息咨询服务）；会议及展览服务；货物进出口；技术进出口。（除依法须经批准的项目外，凭营业执照依法自主开展经营活动）。企业当前经营状态为存续。</t>
  </si>
  <si>
    <t>许可项目：食品销售。（依法须经批准的项目，经相关部门批准后方可开展经营活动，具体经营项目以相关部门批准文件或许可证件为准）一般项目：食品销售（仅销售预包装食品）；食用农产品批发；食用农产品零售；食品添加剂销售；畜牧渔业饲料销售；日用百货销售；企业管理咨询；信息咨询服务（不含许可类信息咨询服务）；会议及展览服务；货物进出口；技术进出口。（除依法须经批准的项目外，凭营业执照依法自主开展经营活动）</t>
  </si>
  <si>
    <t>自由贸易试验区市场监督管理局</t>
  </si>
  <si>
    <t>忠华集团有限公司</t>
  </si>
  <si>
    <t>91441803738561453Y</t>
  </si>
  <si>
    <t>广东忠华棉纺织实业有限公司,
清远市忠华棉纺织实业有限公司</t>
  </si>
  <si>
    <t>徐长久</t>
  </si>
  <si>
    <t>2002-04-29</t>
  </si>
  <si>
    <t>清远市清新区太和镇107国道清新路段603号</t>
  </si>
  <si>
    <t>清远市</t>
  </si>
  <si>
    <t>清新区</t>
  </si>
  <si>
    <t>0763-5830362</t>
  </si>
  <si>
    <t>0763-5822269;0763-5820999</t>
  </si>
  <si>
    <t>303483042@qq.com</t>
  </si>
  <si>
    <t>274156667@qq.com</t>
  </si>
  <si>
    <t>441827000017530</t>
  </si>
  <si>
    <t>73856145-3</t>
  </si>
  <si>
    <t>798</t>
  </si>
  <si>
    <t>2002-04-29 至 无固定期限</t>
  </si>
  <si>
    <t>Zhonghua Group Co., Ltd.</t>
  </si>
  <si>
    <t>http://www.gdzhonghua.com</t>
  </si>
  <si>
    <t>忠华集团有限公司成立于2002-04-29，法定代表人为徐长久，注册资本为10000万元，统一社会信用代码为91441803738561453Y，企业注册地址位于清远市清新区太和镇107国道清新路段603号，所属行业为纺织业，经营范围包含：一般项目：纺纱加工；面料纺织加工；针纺织品及原料销售；电子过磅服务。（除依法须经批准的项目外，凭营业执照依法自主开展经营活动）。企业当前经营状态为存续。</t>
  </si>
  <si>
    <t>一般项目：纺纱加工；面料纺织加工；针纺织品及原料销售；电子过磅服务。（除依法须经批准的项目外，凭营业执照依法自主开展经营活动）</t>
  </si>
  <si>
    <t>清远市清新区市场监督管理局</t>
  </si>
  <si>
    <t>齐齐哈尔市第一粮库有限公司</t>
  </si>
  <si>
    <t>91230204669021620L</t>
  </si>
  <si>
    <t>宋成君</t>
  </si>
  <si>
    <t>23921.3万元</t>
  </si>
  <si>
    <t>2007-12-21</t>
  </si>
  <si>
    <t>黑龙江省齐齐哈尔市富拉尔基区经济开发区龙阳大道北侧</t>
  </si>
  <si>
    <t>富拉尔基区</t>
  </si>
  <si>
    <t>13504611715</t>
  </si>
  <si>
    <t>15326681550;15547244059;13904521526;0452-2634295;0452-2634597;0452-2634447</t>
  </si>
  <si>
    <t>1356488901@qq.com</t>
  </si>
  <si>
    <t>39225235@qq.com;929170322@qq.com;13904521526@qq.com;qsylk@163.com;qsylk@126.com</t>
  </si>
  <si>
    <t>230200100051269</t>
  </si>
  <si>
    <t>66902162-0</t>
  </si>
  <si>
    <t>2007-12-21 至 无固定期限</t>
  </si>
  <si>
    <t>谷物仓储</t>
  </si>
  <si>
    <t>Qiqihar First Grain Depot Co., Ltd.</t>
  </si>
  <si>
    <t>齐齐哈尔市第一粮库有限公司成立于2007-12-21，法定代表人为宋成君，注册资本为23921.3万元，统一社会信用代码为91230204669021620L，企业注册地址位于黑龙江省齐齐哈尔市富拉尔基区经济开发区龙阳大道北侧，所属行业为装卸搬运和仓储业，经营范围包含：一般项目：粮食收购；粮油仓储服务；装卸搬运；国内货物运输代理；信息技术咨询服务；机械设备租赁；食用农产品初加工；非居住房地产租赁；土地使用权租赁；租赁服务（不含许可类租赁服务）；食用农产品批发；食用农产品零售；新鲜水果批发；新鲜水果零售；新鲜蔬菜批发；新鲜蔬菜零售；农业机械销售；化肥销售；普通货物仓储服务（不含危险化学品等需许可审批的项目）。许可项目：道路货物运输（不含危险货物）；粮食加工食品生产。企业当前经营状态为存续。</t>
  </si>
  <si>
    <t>一般项目：粮食收购；粮油仓储服务；装卸搬运；国内货物运输代理；信息技术咨询服务；机械设备租赁；食用农产品初加工；非居住房地产租赁；土地使用权租赁；租赁服务（不含许可类租赁服务）；食用农产品批发；食用农产品零售；新鲜水果批发；新鲜水果零售；新鲜蔬菜批发；新鲜蔬菜零售；农业机械销售；化肥销售；普通货物仓储服务（不含危险化学品等需许可审批的项目）。许可项目：道路货物运输（不含危险货物）；粮食加工食品生产。</t>
  </si>
  <si>
    <t>齐齐哈尔市富拉尔基区市场监督管理局</t>
  </si>
  <si>
    <t>讷河市旻达经贸有限责任公司</t>
  </si>
  <si>
    <t>91230281MA1ATA2P0R</t>
  </si>
  <si>
    <t>注销（2024-07-16）</t>
  </si>
  <si>
    <t>张春雨</t>
  </si>
  <si>
    <t>2017-10-25</t>
  </si>
  <si>
    <t>讷河市讷南镇全胜街（原全胜乡乡直）</t>
  </si>
  <si>
    <t>讷河市</t>
  </si>
  <si>
    <t>13339427982</t>
  </si>
  <si>
    <t>13234610222;13079687456;0452-3787666;18946236111</t>
  </si>
  <si>
    <t>940418677@qq.com</t>
  </si>
  <si>
    <t>166144175@qq.com;491474931@qq.com;715146051@qq.com;18946236111@qq.com</t>
  </si>
  <si>
    <t>230281100053888</t>
  </si>
  <si>
    <t>MA1ATA2P-0</t>
  </si>
  <si>
    <t>2017-10-25 至 2037-10-24</t>
  </si>
  <si>
    <t>Nehe Minda Economic and Trade Co., Ltd.</t>
  </si>
  <si>
    <t>讷河市旻达经贸有限责任公司成立于2017-10-25，法定代表人为张春雨，注册资本为200万元，统一社会信用代码为91230281MA1ATA2P0R，企业注册地址位于讷河市讷南镇全胜街（原全胜乡乡直），所属行业为批发业，经营范围包含：粮食、油料收购、销售；种子（不含转基因作物种子）销售。企业当前经营状态为注销。</t>
  </si>
  <si>
    <t>粮食、油料收购、销售；种子（不含转基因作物种子）销售。</t>
  </si>
  <si>
    <t>讷河市市场监督管理局</t>
  </si>
  <si>
    <t>肇源县浩大粮食购销有限公司</t>
  </si>
  <si>
    <t>91230622777873193A</t>
  </si>
  <si>
    <t>韦明远</t>
  </si>
  <si>
    <t>2005-09-02</t>
  </si>
  <si>
    <t>黑龙江省大庆市肇源县浩德乡浩大粮食购销有限公司商服项目西侧房屋（浩尔其蒙古族风情园对面）</t>
  </si>
  <si>
    <t>大庆市</t>
  </si>
  <si>
    <t>肇源县</t>
  </si>
  <si>
    <t>13634895222</t>
  </si>
  <si>
    <t>0459-8383555;13624599977</t>
  </si>
  <si>
    <t>936739222@qq.com</t>
  </si>
  <si>
    <t>230622100007556</t>
  </si>
  <si>
    <t>77787319-3</t>
  </si>
  <si>
    <t>9</t>
  </si>
  <si>
    <t>2005-09-02 至 无固定期限</t>
  </si>
  <si>
    <t>Zhaoyuan County Haoda Grain Purchase and Sale Co., Ltd.</t>
  </si>
  <si>
    <t>肇源县浩大粮食购销有限公司成立于2005-09-02，法定代表人为韦明远，注册资本为1000万元，统一社会信用代码为91230622777873193A，企业注册地址位于黑龙江省大庆市肇源县浩德乡浩大粮食购销有限公司商服项目西侧房屋（浩尔其蒙古族风情园对面），所属行业为批发业，经营范围包含：水稻、玉米、杂粮收购，谷物销售，普通道路货物运输，搬运、装卸、仓储服务，粮食烘干、企业自有房屋、场地租赁服务。企业当前经营状态为存续。</t>
  </si>
  <si>
    <t>水稻、玉米、杂粮收购，谷物销售，普通道路货物运输，搬运、装卸、仓储服务，粮食烘干、企业自有房屋、场地租赁服务。</t>
  </si>
  <si>
    <t>大庆市肇源县市场监督管理局</t>
  </si>
  <si>
    <t>厦门铂伽实业有限公司</t>
  </si>
  <si>
    <t>91350212MA2Y9XD46P</t>
  </si>
  <si>
    <t>厦门畅行未来网络科技有限公司</t>
  </si>
  <si>
    <t>詹亚堤</t>
  </si>
  <si>
    <t>2017-06-01</t>
  </si>
  <si>
    <t>厦门市同安区瑶江里101号906室</t>
  </si>
  <si>
    <t>厦门市</t>
  </si>
  <si>
    <t>同安区</t>
  </si>
  <si>
    <t>15959234565</t>
  </si>
  <si>
    <t>18950158976;18850581884</t>
  </si>
  <si>
    <t>350212200162179</t>
  </si>
  <si>
    <t>MA2Y9XD4-6</t>
  </si>
  <si>
    <t>2017-06-01 至 2067-05-31</t>
  </si>
  <si>
    <t>Xiamen Platinum Industry Co., Ltd.</t>
  </si>
  <si>
    <t>厦门铂伽实业有限公司成立于2017-06-01，法定代表人为詹亚堤，注册资本为100万元，统一社会信用代码为91350212MA2Y9XD46P，企业注册地址位于厦门市同安区瑶江里101号906室，所属行业为批发业，经营范围包含：纺织品、针织品及原料批发；服装批发；鞋帽批发；其他未列明批发业（不含需经许可审批的经营项目）；纺织品及针织品零售；针织或钩针编织物织造；针织或钩针编织品制造；机织服装制造；其他塑料制品制造；工程和技术研究和试验发展。企业当前经营状态为存续。</t>
  </si>
  <si>
    <t>纺织品、针织品及原料批发；服装批发；鞋帽批发；其他未列明批发业（不含需经许可审批的经营项目）；纺织品及针织品零售；针织或钩针编织物织造；针织或钩针编织品制造；机织服装制造；其他塑料制品制造；工程和技术研究和试验发展。</t>
  </si>
  <si>
    <t>厦门市同安区市场监督管理局</t>
  </si>
  <si>
    <t>分宜县德合针织织造有限公司</t>
  </si>
  <si>
    <t>91360521MA38NUXJ2W</t>
  </si>
  <si>
    <t>肖俊南</t>
  </si>
  <si>
    <t>300万元</t>
  </si>
  <si>
    <t>2019-07-01</t>
  </si>
  <si>
    <t>江西省新余市分宜县钤东街道办事处农垦运营楼</t>
  </si>
  <si>
    <t>新余市</t>
  </si>
  <si>
    <t>分宜县</t>
  </si>
  <si>
    <t>17779091585</t>
  </si>
  <si>
    <t>17779091585@163.com</t>
  </si>
  <si>
    <t>beehd@126.com</t>
  </si>
  <si>
    <t>360521210063785</t>
  </si>
  <si>
    <t>MA38NUXJ-2</t>
  </si>
  <si>
    <t>2019-07-01 至 无固定期限</t>
  </si>
  <si>
    <t>Fenyi County Dehe Knitting and Weaving Co., Ltd.</t>
  </si>
  <si>
    <t>分宜县德合针织织造有限公司成立于2019-07-01，法定代表人为肖俊南，注册资本为300万元，统一社会信用代码为91360521MA38NUXJ2W，企业注册地址位于江西省新余市分宜县钤东街道办事处农垦运营楼，所属行业为纺织业，经营范围包含：针织品织造及销售（依法须经批准的项目,经相关部门批准后方可开展经营活动）。企业当前经营状态为存续。</t>
  </si>
  <si>
    <t>针织品织造及销售（依法须经批准的项目,经相关部门批准后方可开展经营活动）</t>
  </si>
  <si>
    <t>分宜县市场监督管理局</t>
  </si>
  <si>
    <t>会昌县诚正服装有限公司</t>
  </si>
  <si>
    <t>91360733MA39TAT43X</t>
  </si>
  <si>
    <t>注销（2025-05-07）</t>
  </si>
  <si>
    <t>陈正根</t>
  </si>
  <si>
    <t>2020-12-28</t>
  </si>
  <si>
    <t>江西省赣州市会昌县文武坝镇红旗大道彭径教师新村</t>
  </si>
  <si>
    <t>赣州市</t>
  </si>
  <si>
    <t>会昌县</t>
  </si>
  <si>
    <t>18459892072</t>
  </si>
  <si>
    <t>18459892072@qq.com</t>
  </si>
  <si>
    <t>18459892072@163.com;767061810@qq.com</t>
  </si>
  <si>
    <t>360733210039700</t>
  </si>
  <si>
    <t>MA39TAT4-3</t>
  </si>
  <si>
    <t>2020-12-28 至 无固定期限</t>
  </si>
  <si>
    <t>纺织服装、服饰业</t>
  </si>
  <si>
    <t>服饰制造</t>
  </si>
  <si>
    <t>Huichang County Chengzheng Clothing Co., Ltd.</t>
  </si>
  <si>
    <t>会昌县诚正服装有限公司成立于2020-12-28，法定代表人为陈正根，注册资本为200万元，统一社会信用代码为91360733MA39TAT43X，企业注册地址位于江西省赣州市会昌县文武坝镇红旗大道彭径教师新村，所属行业为纺织服装、服饰业，经营范围包含：一般项目：服饰制造，服装服饰批发，服装服饰零售，产业用纺织制成品销售（除许可业务外，可自主依法经营法律法规非禁止或限制的项目）。企业当前经营状态为注销。</t>
  </si>
  <si>
    <t>一般项目：服饰制造，服装服饰批发，服装服饰零售，产业用纺织制成品销售（除许可业务外，可自主依法经营法律法规非禁止或限制的项目）</t>
  </si>
  <si>
    <t>会昌县市场监督管理局</t>
  </si>
  <si>
    <t>石狮骑战服饰有限公司</t>
  </si>
  <si>
    <t>91350581MA8UCG4971</t>
  </si>
  <si>
    <t>注销（2024-10-23）</t>
  </si>
  <si>
    <t>刘聪敏</t>
  </si>
  <si>
    <t>2021-12-08</t>
  </si>
  <si>
    <t>福建省石狮市蚶江镇厝仔工业路8号</t>
  </si>
  <si>
    <t>泉州市</t>
  </si>
  <si>
    <t>石狮市</t>
  </si>
  <si>
    <t>18060086191</t>
  </si>
  <si>
    <t>MA8UCG49-7</t>
  </si>
  <si>
    <t>2021-12-08 至 无固定期限</t>
  </si>
  <si>
    <t>Shishi Qizhan Clothing Co., Ltd.</t>
  </si>
  <si>
    <t>石狮骑战服饰有限公司成立于2021-12-08，法定代表人为刘聪敏，注册资本为100万元，统一社会信用代码为91350581MA8UCG4971，企业注册地址位于福建省石狮市蚶江镇厝仔工业路8号，所属行业为批发业，经营范围包含：一般项目：服装服饰批发；服装服饰零售；服饰制造；服装辅料销售；面料纺织加工；针纺织品及原料销售；互联网销售（除销售需要许可的商品）（除依法须经批准的项目外，凭营业执照依法自主开展经营活动）。企业当前经营状态为注销。</t>
  </si>
  <si>
    <t>一般项目：服装服饰批发；服装服饰零售；服饰制造；服装辅料销售；面料纺织加工；针纺织品及原料销售；互联网销售（除销售需要许可的商品）（除依法须经批准的项目外，凭营业执照依法自主开展经营活动）</t>
  </si>
  <si>
    <t>石狮市市场监督管理局</t>
  </si>
  <si>
    <t>江西双胞胎投资有限公司</t>
  </si>
  <si>
    <t>91360923593757091Y</t>
  </si>
  <si>
    <t>陈衍明</t>
  </si>
  <si>
    <t>98800万元</t>
  </si>
  <si>
    <t>2012-04-12</t>
  </si>
  <si>
    <t>江西省宜春市上高县工业园</t>
  </si>
  <si>
    <t>宜春市</t>
  </si>
  <si>
    <t>上高县</t>
  </si>
  <si>
    <t>18170800388</t>
  </si>
  <si>
    <t>0791-86250037;0791-86282905</t>
  </si>
  <si>
    <t>weih@sbtjt.com</t>
  </si>
  <si>
    <t>weihong@sbtjt.com;shx@sbtjt.com;shenhx@sbtjt.com;xionglj@sbtjt.com</t>
  </si>
  <si>
    <t>360923210013285</t>
  </si>
  <si>
    <t>59375709-1</t>
  </si>
  <si>
    <t>89</t>
  </si>
  <si>
    <t>2012-04-12 至 2062-04-11</t>
  </si>
  <si>
    <t>组织管理服务</t>
  </si>
  <si>
    <t>投资与资产管理</t>
  </si>
  <si>
    <t>Jiangxi Twin Investment Co., Ltd.</t>
  </si>
  <si>
    <t>江西省南昌市青山湖区高新区昌东大道7003号双胞胎集团</t>
  </si>
  <si>
    <t>江西双胞胎投资有限公司成立于2012-04-12，法定代表人为陈衍明，注册资本为98800万元，统一社会信用代码为91360923593757091Y，企业注册地址位于江西省宜春市上高县工业园，所属行业为商务服务业，经营范围包含：许可项目：饲料生产，兽药经营，牲畜饲养（依法须经批准的项目，经相关部门批准后在许可有效期内方可开展经营活动，具体经营项目和许可期限以相关部门批准文件或许可证件为准）一般项目：畜牧渔业饲料销售，企业管理咨询，国内贸易代理，自有资金投资的资产管理服务，以自有资金从事投资活动（除依法须经批准的项目外，凭营业执照依法自主开展经营活动）。企业当前经营状态为存续。</t>
  </si>
  <si>
    <t>许可项目：饲料生产，兽药经营，牲畜饲养（依法须经批准的项目，经相关部门批准后在许可有效期内方可开展经营活动，具体经营项目和许可期限以相关部门批准文件或许可证件为准）一般项目：畜牧渔业饲料销售，企业管理咨询，国内贸易代理，自有资金投资的资产管理服务，以自有资金从事投资活动（除依法须经批准的项目外，凭营业执照依法自主开展经营活动）</t>
  </si>
  <si>
    <t>上高县市场监督管理局</t>
  </si>
  <si>
    <t>晋江市艺达古建筑工程有限公司</t>
  </si>
  <si>
    <t>913505825747097059</t>
  </si>
  <si>
    <t>郑挺进</t>
  </si>
  <si>
    <t>6888万元</t>
  </si>
  <si>
    <t>1080万元</t>
  </si>
  <si>
    <t>2011-05-13</t>
  </si>
  <si>
    <t>福建省泉州市晋江市东石镇潘山村北区62号</t>
  </si>
  <si>
    <t>晋江市</t>
  </si>
  <si>
    <t>0595-85587074</t>
  </si>
  <si>
    <t>350582100139542</t>
  </si>
  <si>
    <t>57470970-5</t>
  </si>
  <si>
    <t>19</t>
  </si>
  <si>
    <t>2011-05-13 至 2041-05-12</t>
  </si>
  <si>
    <t>建筑业</t>
  </si>
  <si>
    <t>房屋建筑业</t>
  </si>
  <si>
    <t>其他房屋建筑业</t>
  </si>
  <si>
    <t>Jinjiang Yidagu Construction Engineering Co., Ltd.</t>
  </si>
  <si>
    <t>晋江市艺达古建筑工程有限公司成立于2011-05-13，法定代表人为郑挺进，注册资本为6888万元，统一社会信用代码为913505825747097059，企业注册地址位于福建省泉州市晋江市东石镇潘山村北区62号，所属行业为房屋建筑业，经营范围包含：古建筑工程施工、房屋建筑工程设计与施工；木材雕塑创作服务；木制家具、木制品制造；货物或技术的进出口业务（国家禁止或限制进出口的货物或技术除外）。（依法须经批准的项目，经相关部门批准后方可开展经营活动）。企业当前经营状态为存续。</t>
  </si>
  <si>
    <t>古建筑工程施工、房屋建筑工程设计与施工；木材雕塑创作服务；木制家具、木制品制造；货物或技术的进出口业务（国家禁止或限制进出口的货物或技术除外）。（依法须经批准的项目，经相关部门批准后方可开展经营活动）</t>
  </si>
  <si>
    <t>晋江市市场监督管理局</t>
  </si>
  <si>
    <t>农安腾达粮食有限公司</t>
  </si>
  <si>
    <t>91220122571147575Y</t>
  </si>
  <si>
    <t>咸亮</t>
  </si>
  <si>
    <t>2011-07-05</t>
  </si>
  <si>
    <t>长春市农安县巴吉垒镇东铁村一社</t>
  </si>
  <si>
    <t>农安县</t>
  </si>
  <si>
    <t>13944988788</t>
  </si>
  <si>
    <t>0431-83200111</t>
  </si>
  <si>
    <t>928917741@qq.com</t>
  </si>
  <si>
    <t>105334668@qq.com;105049@qq.com;wangyow@163.com</t>
  </si>
  <si>
    <t>220122571147575</t>
  </si>
  <si>
    <t>57114757-5</t>
  </si>
  <si>
    <t>2011-07-05 至 无固定期限</t>
  </si>
  <si>
    <t>Nong'an Tengda Grain Co., Ltd.</t>
  </si>
  <si>
    <t>农安县农安镇三宝太平岭村五社</t>
  </si>
  <si>
    <t>农安腾达粮食有限公司成立于2011-07-05，法定代表人为咸亮，注册资本为1000万元，统一社会信用代码为91220122571147575Y，企业注册地址位于长春市农安县巴吉垒镇东铁村一社，所属行业为批发业，经营范围包含：一般项目：粮食收购；粮油仓储服务；装卸搬运；农作物种子经营（仅限不再分装的包装种子）；化肥销售；肥料销售；食用农产品批发；谷物销售。（除依法须经批准的项目外，凭营业执照依法自主开展经营活动）。企业当前经营状态为存续。</t>
  </si>
  <si>
    <t>一般项目：粮食收购；粮油仓储服务；装卸搬运；农作物种子经营（仅限不再分装的包装种子）；化肥销售；肥料销售；食用农产品批发；谷物销售。（除依法须经批准的项目外，凭营业执照依法自主开展经营活动）</t>
  </si>
  <si>
    <t>农安县市场监督管理局</t>
  </si>
  <si>
    <t>磐石市丰华粮食购销有限责任公司</t>
  </si>
  <si>
    <t>912202847689588149</t>
  </si>
  <si>
    <t>赵忠柱</t>
  </si>
  <si>
    <t>2004-12-06</t>
  </si>
  <si>
    <t>磐石市呼兰镇乱泥村</t>
  </si>
  <si>
    <t>磐石市</t>
  </si>
  <si>
    <t>13943229139</t>
  </si>
  <si>
    <t>0432-65651081;13196074011</t>
  </si>
  <si>
    <t>1070715933@qq.com</t>
  </si>
  <si>
    <t>626498626@qq.com;567678908@qq.com;657487689@qq.com;984518256@qq.com;109959640@qq.com;109959654@qq.com</t>
  </si>
  <si>
    <t>220284000086809</t>
  </si>
  <si>
    <t>76895881-4</t>
  </si>
  <si>
    <t>2004-12-06 至 2030-09-30</t>
  </si>
  <si>
    <t>Panshi Fenghua Grain Purchase and Sales Co., Ltd.</t>
  </si>
  <si>
    <t>磐石市丰华粮食购销有限责任公司成立于2004-12-06，法定代表人为赵忠柱，注册资本为1000万元，统一社会信用代码为912202847689588149，企业注册地址位于磐石市呼兰镇乱泥村，所属行业为批发业，经营范围包含：粮食收购、烘干、仓储、加工、销售。（依法须经批准的项目，经相关部门批准后方可开展经营活动）。企业当前经营状态为存续。</t>
  </si>
  <si>
    <t>粮食收购、烘干、仓储、加工、销售。（依法须经批准的项目，经相关部门批准后方可开展经营活动）</t>
  </si>
  <si>
    <t>磐石市市场监督管理局</t>
  </si>
  <si>
    <t>晋江寰亚服饰有限公司</t>
  </si>
  <si>
    <t>91350582MA2XNKB35X</t>
  </si>
  <si>
    <t>徐爽</t>
  </si>
  <si>
    <t>2016-09-08</t>
  </si>
  <si>
    <t>福建省泉州市晋江市深沪镇狮峰社区中埕区3号</t>
  </si>
  <si>
    <t>0595-88227760</t>
  </si>
  <si>
    <t>350582100418288</t>
  </si>
  <si>
    <t>MA2XNKB3-5</t>
  </si>
  <si>
    <t>2016-09-08 至 2026-09-07</t>
  </si>
  <si>
    <t>Jinjiang Huanya Garments Co., Ltd.</t>
  </si>
  <si>
    <t>晋江市深沪镇狮峰社区中埋区3号</t>
  </si>
  <si>
    <t>晋江寰亚服饰有限公司成立于2016-09-08，法定代表人为徐爽，注册资本为1000万元，统一社会信用代码为91350582MA2XNKB35X，企业注册地址位于福建省泉州市晋江市深沪镇狮峰社区中埕区3号，所属行业为纺织服装、服饰业，经营范围包含：制造：服饰、服装；纺织品织造；货物或技术的进出口业务（国家禁止或限制进出口的货物或技术除外）。（依法须经批准的项目，经相关部门批准后方可开展经营活动）。企业当前经营状态为存续。</t>
  </si>
  <si>
    <t>制造：服饰、服装；纺织品织造；货物或技术的进出口业务（国家禁止或限制进出口的货物或技术除外）。（依法须经批准的项目，经相关部门批准后方可开展经营活动）</t>
  </si>
  <si>
    <t>晋江市苏滨服饰制造有限公司</t>
  </si>
  <si>
    <t>91350582MA2XXKAN78</t>
  </si>
  <si>
    <t>注销（2025-12-10）</t>
  </si>
  <si>
    <t>张雪红</t>
  </si>
  <si>
    <t>2017-01-04</t>
  </si>
  <si>
    <t>福建省晋江市金井镇山苏村沟顶区130号</t>
  </si>
  <si>
    <t>15860545151</t>
  </si>
  <si>
    <t>15980459773;15659056797</t>
  </si>
  <si>
    <t>350582100441653</t>
  </si>
  <si>
    <t>MA2XXKAN-7</t>
  </si>
  <si>
    <t>2017-01-04 至 2037-01-03</t>
  </si>
  <si>
    <t>Jinjiang Subin Clothing Manufacturing Co., Ltd.</t>
  </si>
  <si>
    <t>晋江市苏滨服饰制造有限公司成立于2017-01-04，法定代表人为张雪红，注册资本为300万元，统一社会信用代码为91350582MA2XXKAN78，企业注册地址位于福建省晋江市金井镇山苏村沟顶区130号，所属行业为纺织服装、服饰业，经营范围包含：服饰、服装制造；纺织品织造；电脑绣花加工。（依法须经批准的项目，经相关部门批准后方可开展经营活动）。企业当前经营状态为注销。</t>
  </si>
  <si>
    <t>服饰、服装制造；纺织品织造；电脑绣花加工。（依法须经批准的项目，经相关部门批准后方可开展经营活动）</t>
  </si>
  <si>
    <t>泰兴市滨江港口开发有限公司</t>
  </si>
  <si>
    <t>91321283056671604Q</t>
  </si>
  <si>
    <t>成飞</t>
  </si>
  <si>
    <t>25000万元</t>
  </si>
  <si>
    <t>2012-11-12</t>
  </si>
  <si>
    <t>泰兴市滨江镇福泰路1号</t>
  </si>
  <si>
    <t>泰州市</t>
  </si>
  <si>
    <t>泰兴市</t>
  </si>
  <si>
    <t>0523-80738761</t>
  </si>
  <si>
    <t>18352631336;18352631326;0523-87609693</t>
  </si>
  <si>
    <t>80877167@qq.com</t>
  </si>
  <si>
    <t>48095559@qq.com;xxwjy98@sina.com</t>
  </si>
  <si>
    <t>321283000185846</t>
  </si>
  <si>
    <t>05667160-4</t>
  </si>
  <si>
    <t>2012-11-12 至 2062-11-11</t>
  </si>
  <si>
    <t>建筑装饰、装修和其他建筑业</t>
  </si>
  <si>
    <t>其他未列明建筑业</t>
  </si>
  <si>
    <t>Taixing Binjiang Port Development Company Limited</t>
  </si>
  <si>
    <t>泰兴市滨江港口开发有限公司成立于2012-11-12，法定代表人为成飞，注册资本为25000万元，统一社会信用代码为91321283056671604Q，企业注册地址位于泰兴市滨江镇福泰路1号，所属行业为建筑装饰、装修和其他建筑业，经营范围包含：码头和其他港口设施经营（码头、内港池港区市政基础设施项目开发、建设）；在港区内从事货物装卸、驳运、仓储经营（在中华人民共和国港口经营许可证核定的经营地域经营）；投资与资产管理；建筑用机械及设备租赁、维修；机械设备、电子产品、五金、交电、金属材料、建材、水泥销售；自营和代理各类商品及技术的进出口业务，但国家限定公司经营和国家禁止进出口的商品及技术除外；粮食运输；食用植物油、油品下脚料、饲料、豆粕、菜粕、油料作物、谷物批发和零售。（依法须经批准的项目，经相关部门批准后方可开展经营活动）
许可项目：发电业务、输电业务、供（配）电业务（依法须经批准的项目，经相关部门批准后方可开展经营活动，具体经营项目以审批结果为准）。企业当前经营状态为在业。</t>
  </si>
  <si>
    <t>码头和其他港口设施经营（码头、内港池港区市政基础设施项目开发、建设）；在港区内从事货物装卸、驳运、仓储经营（在中华人民共和国港口经营许可证核定的经营地域经营）；投资与资产管理；建筑用机械及设备租赁、维修；机械设备、电子产品、五金、交电、金属材料、建材、水泥销售；自营和代理各类商品及技术的进出口业务，但国家限定公司经营和国家禁止进出口的商品及技术除外；粮食运输；食用植物油、油品下脚料、饲料、豆粕、菜粕、油料作物、谷物批发和零售。（依法须经批准的项目，经相关部门批准后方可开展经营活动）
许可项目：发电业务、输电业务、供（配）电业务（依法须经批准的项目，经相关部门批准后方可开展经营活动，具体经营项目以审批结果为准）</t>
  </si>
  <si>
    <t>泰兴市数据局</t>
  </si>
  <si>
    <t>晋江市劲乐服装制造有限公司</t>
  </si>
  <si>
    <t>91350582MA32D6L488</t>
  </si>
  <si>
    <t>王少华</t>
  </si>
  <si>
    <t>288万元</t>
  </si>
  <si>
    <t>2018-12-26</t>
  </si>
  <si>
    <t>福建省泉州市晋江市英林镇嘉排村东兴南区18-1号</t>
  </si>
  <si>
    <t>15960555887</t>
  </si>
  <si>
    <t>15980459773</t>
  </si>
  <si>
    <t>MA32D6L4-8</t>
  </si>
  <si>
    <t>2018-12-26 至 无固定期限</t>
  </si>
  <si>
    <t>Jinjiang Jinle Clothing Manufacturing Co., Ltd.</t>
  </si>
  <si>
    <t>晋江市劲乐服装制造有限公司成立于2018-12-26，法定代表人为王少华，注册资本为288万元，统一社会信用代码为91350582MA32D6L488，企业注册地址位于福建省泉州市晋江市英林镇嘉排村东兴南区18-1号，所属行业为纺织服装、服饰业，经营范围包含：服装制造；纺织品织造。（依法须经批准的项目，经相关部门批准后方可开展经营活动）。企业当前经营状态为存续。</t>
  </si>
  <si>
    <t>服装制造；纺织品织造。（依法须经批准的项目，经相关部门批准后方可开展经营活动）</t>
  </si>
  <si>
    <t>福建省晋江市市场监督管理局</t>
  </si>
  <si>
    <t>通辽市华歌粮食贸易有限公司</t>
  </si>
  <si>
    <t>911505027901817497</t>
  </si>
  <si>
    <t>孙清华</t>
  </si>
  <si>
    <t>600万元</t>
  </si>
  <si>
    <t>2006-08-03</t>
  </si>
  <si>
    <t>通辽市胡力海镇东乜木歹村</t>
  </si>
  <si>
    <t>通辽市</t>
  </si>
  <si>
    <t>科尔沁区</t>
  </si>
  <si>
    <t>13604753673</t>
  </si>
  <si>
    <t>13604753673@139.com</t>
  </si>
  <si>
    <t>13848550925@139.com</t>
  </si>
  <si>
    <t>152303000009102</t>
  </si>
  <si>
    <t>79018174-9</t>
  </si>
  <si>
    <t>2006-08-03 至 2036-08-02</t>
  </si>
  <si>
    <t>Tongliao Huage Commerce and Trade Co., Ltd.</t>
  </si>
  <si>
    <t>通辽市华歌粮食贸易有限公司成立于2006-08-03，法定代表人为孙清华，注册资本为600万元，统一社会信用代码为911505027901817497，企业注册地址位于通辽市胡力海镇东乜木歹村，所属行业为批发业，经营范围包含：粮食收购、搬运、装卸、仓房租赁服务。企业当前经营状态为存续。</t>
  </si>
  <si>
    <t>粮食收购、搬运、装卸、仓房租赁服务</t>
  </si>
  <si>
    <t>通辽市科尔沁区市场监督管理局</t>
  </si>
  <si>
    <t>广州市白云区鹏辉电脑绣品厂</t>
  </si>
  <si>
    <t>91440101793453201C</t>
  </si>
  <si>
    <t>注销（2025-06-06）</t>
  </si>
  <si>
    <t>谭军</t>
  </si>
  <si>
    <t>3万元</t>
  </si>
  <si>
    <t>2006-08-28</t>
  </si>
  <si>
    <t>广州市白云区嘉禾街长红双和广场横路6号202</t>
  </si>
  <si>
    <t>广州市</t>
  </si>
  <si>
    <t>白云区</t>
  </si>
  <si>
    <t>18680263737</t>
  </si>
  <si>
    <t>020-36634150;020-86328103;13725240388</t>
  </si>
  <si>
    <t>penghui@163.com</t>
  </si>
  <si>
    <t>440111000161219</t>
  </si>
  <si>
    <t>79345320-1</t>
  </si>
  <si>
    <t>机织服装制造</t>
  </si>
  <si>
    <t>Guangzhou Baiyun District Penghui Computer Embroidery Factory</t>
  </si>
  <si>
    <t>机织服装制造;服饰制造;皮革服装制造;丝印染精加工</t>
  </si>
  <si>
    <t>广州市白云区市场监督管理局</t>
  </si>
  <si>
    <t>欣隆（江西）服饰织造发展有限公司</t>
  </si>
  <si>
    <t>91360735568663114Q</t>
  </si>
  <si>
    <t>陈奕欣</t>
  </si>
  <si>
    <t>1220万元</t>
  </si>
  <si>
    <t>2011-01-27</t>
  </si>
  <si>
    <t>江西省赣州市石城县古樟工业园</t>
  </si>
  <si>
    <t>石城县</t>
  </si>
  <si>
    <t>0797-2125158</t>
  </si>
  <si>
    <t>0797-5731678;0797-5731677;15959586158;0595-83883374</t>
  </si>
  <si>
    <t>254185957@qq.com</t>
  </si>
  <si>
    <t>dragonali2004@sina.com</t>
  </si>
  <si>
    <t>360700520009673</t>
  </si>
  <si>
    <t>56866311-4</t>
  </si>
  <si>
    <t>2011-01-27 至 2041-01-26</t>
  </si>
  <si>
    <t>Xinlong (Jiangxi) Dress Weaving Co., Ltd.</t>
  </si>
  <si>
    <t>欣隆（江西）服饰织造发展有限公司成立于2011-01-27，法定代表人为陈奕欣，注册资本为1220万元，统一社会信用代码为91360735568663114Q，企业注册地址位于江西省赣州市石城县古樟工业园，所属行业为纺织服装、服饰业，经营范围包含：纺织服装的生产与销售。（依法须经批准的项目，经相关部门批准后方可开展经营活动）。企业当前经营状态为存续。</t>
  </si>
  <si>
    <t>纺织服装的生产与销售。（依法须经批准的项目，经相关部门批准后方可开展经营活动）</t>
  </si>
  <si>
    <t>石城县市场监督管理局</t>
  </si>
  <si>
    <t>晋江超扬服装有限公司</t>
  </si>
  <si>
    <t>91350582MA33DTQA2M</t>
  </si>
  <si>
    <t>注销（2024-08-23）</t>
  </si>
  <si>
    <t>林丽香</t>
  </si>
  <si>
    <t>2019-11-25</t>
  </si>
  <si>
    <t>福建省泉州市晋江市英林镇英林村龙英路东一区341号</t>
  </si>
  <si>
    <t>15396696217</t>
  </si>
  <si>
    <t>MA33DTQA-2</t>
  </si>
  <si>
    <t>2019-11-25 至 2069-11-24</t>
  </si>
  <si>
    <t>针织或钩针编织服装制造</t>
  </si>
  <si>
    <t>其他针织或钩针编织服装制造</t>
  </si>
  <si>
    <t>Jinjiang Chaoyang Clothing Co., Ltd.</t>
  </si>
  <si>
    <t>晋江超扬服装有限公司成立于2019-11-25，法定代表人为林丽香，注册资本为300万元，统一社会信用代码为91350582MA33DTQA2M，企业注册地址位于福建省泉州市晋江市英林镇英林村龙英路东一区341号，所属行业为纺织服装、服饰业，经营范围包含：针织或钩针编织服装制造；机织服装制造；针织或钩针编织品制造（以上均不含印染、漂染）；纺织品、针织品及原料批发；服装批发。（依法须经批准的项目，经相关部门批准后方可开展经营活动）。企业当前经营状态为注销。</t>
  </si>
  <si>
    <t>针织或钩针编织服装制造；机织服装制造；针织或钩针编织品制造（以上均不含印染、漂染）；纺织品、针织品及原料批发；服装批发。（依法须经批准的项目，经相关部门批准后方可开展经营活动）</t>
  </si>
  <si>
    <t>晋江市春禄服装织造有限公司</t>
  </si>
  <si>
    <t>91350582MA34DF3N57</t>
  </si>
  <si>
    <t>洪恭</t>
  </si>
  <si>
    <t>2020-07-20</t>
  </si>
  <si>
    <t>福建省晋江市龙英路9号</t>
  </si>
  <si>
    <t>13905974288</t>
  </si>
  <si>
    <t>18759497289;18606031836</t>
  </si>
  <si>
    <t>MA34DF3N-5</t>
  </si>
  <si>
    <t>2020-07-20 至 2070-07-19</t>
  </si>
  <si>
    <t>Jinjiang Chunlu Clothing and Weaving Co., Ltd.</t>
  </si>
  <si>
    <t>晋江市春禄服装织造有限公司成立于2020-07-20，法定代表人为洪恭，注册资本为300万元，统一社会信用代码为91350582MA34DF3N57，企业注册地址位于福建省晋江市龙英路9号，所属行业为纺织服装、服饰业，经营范围包含：一般项目：服装制造；服饰制造；面料纺织加工（除依法须经批准的项目外，凭营业执照依法自主开展经营活动）。企业当前经营状态为存续。</t>
  </si>
  <si>
    <t>一般项目：服装制造；服饰制造；面料纺织加工（除依法须经批准的项目外，凭营业执照依法自主开展经营活动）</t>
  </si>
  <si>
    <t>晋江市奇康服装制造有限公司</t>
  </si>
  <si>
    <t>91350582MA35ELWR5N</t>
  </si>
  <si>
    <t>注销（2025-08-11）</t>
  </si>
  <si>
    <t>张坤</t>
  </si>
  <si>
    <t>2021-01-19</t>
  </si>
  <si>
    <t>福建省泉州市晋江市龙湖镇新丰村聚源东路140号</t>
  </si>
  <si>
    <t>18759594103</t>
  </si>
  <si>
    <t>MA35ELWR-5</t>
  </si>
  <si>
    <t>2021-01-19 至 2071-01-18</t>
  </si>
  <si>
    <t>Jinjiang Qikang Clothing Manufacturing Co., Ltd.</t>
  </si>
  <si>
    <t>晋江市奇康服装制造有限公司成立于2021-01-19，法定代表人为张坤，注册资本为500万元，统一社会信用代码为91350582MA35ELWR5N，企业注册地址位于福建省泉州市晋江市龙湖镇新丰村聚源东路140号，所属行业为纺织服装、服饰业，经营范围包含：一般项目：服装制造；产业用纺织制成品生产；针织或钩针编织物及其制品制造；面料纺织加工（除依法须经批准的项目外，凭营业执照依法自主开展经营活动）。企业当前经营状态为注销。</t>
  </si>
  <si>
    <t>一般项目：服装制造；产业用纺织制成品生产；针织或钩针编织物及其制品制造；面料纺织加工（除依法须经批准的项目外，凭营业执照依法自主开展经营活动）</t>
  </si>
  <si>
    <t>晋江润海织造有限公司</t>
  </si>
  <si>
    <t>91350582MA8U7RWT11</t>
  </si>
  <si>
    <t>注销（2025-05-15）</t>
  </si>
  <si>
    <t>王秀菊</t>
  </si>
  <si>
    <t>2021-11-05</t>
  </si>
  <si>
    <t>福建省泉州市晋江市金井镇山苏村沟顶区223号</t>
  </si>
  <si>
    <t>15980099962</t>
  </si>
  <si>
    <t>13808552177</t>
  </si>
  <si>
    <t>1069536314@qq.com</t>
  </si>
  <si>
    <t>MA8U7RWT-1</t>
  </si>
  <si>
    <t>2021-11-05 至 2071-11-04</t>
  </si>
  <si>
    <t>产业用纺织制成品制造</t>
  </si>
  <si>
    <t>其他产业用纺织制成品制造</t>
  </si>
  <si>
    <t>Jinjiang Runhai Weaving Co., Ltd.</t>
  </si>
  <si>
    <t>晋江润海织造有限公司成立于2021-11-05，法定代表人为王秀菊，注册资本为800万元，统一社会信用代码为91350582MA8U7RWT11，企业注册地址位于福建省泉州市晋江市金井镇山苏村沟顶区223号，所属行业为纺织业，经营范围包含：一般项目：针织或钩针编织物及其制品制造；产业用纺织制成品制造；针纺织品销售；服装辅料销售；产业用纺织制成品销售；服装制造；服饰制造；服装服饰零售；服装服饰批发；面料纺织加工（除依法须经批准的项目外，凭营业执照依法自主开展经营活动）。企业当前经营状态为注销。</t>
  </si>
  <si>
    <t>一般项目：针织或钩针编织物及其制品制造；产业用纺织制成品制造；针纺织品销售；服装辅料销售；产业用纺织制成品销售；服装制造；服饰制造；服装服饰零售；服装服饰批发；面料纺织加工（除依法须经批准的项目外，凭营业执照依法自主开展经营活动）</t>
  </si>
  <si>
    <t>晋江盈锦服装有限公司</t>
  </si>
  <si>
    <t>91350582MABP4ML802</t>
  </si>
  <si>
    <t>注销（2025-01-06）</t>
  </si>
  <si>
    <t>李晓兰</t>
  </si>
  <si>
    <t>2022-05-26</t>
  </si>
  <si>
    <t>福建省晋江市金井镇石圳村晋井区71号</t>
  </si>
  <si>
    <t>15059783192</t>
  </si>
  <si>
    <t>MABP4ML8-0</t>
  </si>
  <si>
    <t>2022-05-26 至 2072-05-25</t>
  </si>
  <si>
    <t>Jinjiang Yingjin Garment Co., Ltd.</t>
  </si>
  <si>
    <t>晋江盈锦服装有限公司成立于2022-05-26，法定代表人为李晓兰，注册资本为500万元，统一社会信用代码为91350582MABP4ML802，企业注册地址位于福建省晋江市金井镇石圳村晋井区71号，所属行业为纺织服装、服饰业，经营范围包含：一般项目：服装制造；产业用纺织制成品制造；针织或钩针编织物及其制品制造；面料纺织加工；绣花加工。（除依法须经批准的项目外，凭营业执照依法自主开展经营活动）。企业当前经营状态为注销。</t>
  </si>
  <si>
    <t>一般项目：服装制造；产业用纺织制成品制造；针织或钩针编织物及其制品制造；面料纺织加工；绣花加工。（除依法须经批准的项目外，凭营业执照依法自主开展经营活动）</t>
  </si>
  <si>
    <t>长汀祥富服装有限公司</t>
  </si>
  <si>
    <t>91350821MA32FU2J6M</t>
  </si>
  <si>
    <t>陈小红</t>
  </si>
  <si>
    <t>568万元</t>
  </si>
  <si>
    <t>284万元</t>
  </si>
  <si>
    <t>2019-01-28</t>
  </si>
  <si>
    <t>福建省长汀县汀州镇腾飞三路18号10号厂房A栋</t>
  </si>
  <si>
    <t>龙岩市</t>
  </si>
  <si>
    <t>长汀县</t>
  </si>
  <si>
    <t>18759085555</t>
  </si>
  <si>
    <t>MA32FU2J-6</t>
  </si>
  <si>
    <t>2019-01-28 至 无固定期限</t>
  </si>
  <si>
    <t>其他机织服装制造</t>
  </si>
  <si>
    <t>Changting Xiangfu Clothing Co., Ltd.</t>
  </si>
  <si>
    <t>长汀祥富服装有限公司成立于2019-01-28，法定代表人为陈小红，注册资本为568万元，统一社会信用代码为91350821MA32FU2J6M，企业注册地址位于福建省长汀县汀州镇腾飞三路18号10号厂房A栋，所属行业为纺织服装、服饰业，经营范围包含：机织服装制造；针织或钩针编织服装制造；服饰制造；棉织造加工；针织或钩针编织物制造。（依法须经批准的项目，经相关部门批准后方可开展经营活动）。企业当前经营状态为存续。</t>
  </si>
  <si>
    <t>机织服装制造；针织或钩针编织服装制造；服饰制造；棉织造加工；针织或钩针编织物制造。（依法须经批准的项目，经相关部门批准后方可开展经营活动）</t>
  </si>
  <si>
    <t>长汀县市场监督管理局</t>
  </si>
  <si>
    <t>长汀县芮琳服装制造有限公司</t>
  </si>
  <si>
    <t>91350821MA8RJY8K73</t>
  </si>
  <si>
    <t>夏金华</t>
  </si>
  <si>
    <t>2021-03-04</t>
  </si>
  <si>
    <t>福建省长汀县汀州镇腾飞三路1号</t>
  </si>
  <si>
    <t>15280845135</t>
  </si>
  <si>
    <t>MA8RJY8K-7</t>
  </si>
  <si>
    <t>2021-03-04 至 无固定期限</t>
  </si>
  <si>
    <t>Changting County Ruilin Clothing Manufacturing Co., Ltd.</t>
  </si>
  <si>
    <t>长汀县芮琳服装制造有限公司成立于2021-03-04，法定代表人为夏金华，注册资本为350万元，统一社会信用代码为91350821MA8RJY8K73，企业注册地址位于福建省长汀县汀州镇腾飞三路1号，所属行业为纺织服装、服饰业，经营范围包含：一般项目：服装制造；服饰制造；针织或钩针编织物及其制品制造（除依法须经批准的项目外，凭营业执照依法自主开展经营活动）。企业当前经营状态为存续。</t>
  </si>
  <si>
    <t>一般项目：服装制造；服饰制造；针织或钩针编织物及其制品制造（除依法须经批准的项目外，凭营业执照依法自主开展经营活动）</t>
  </si>
  <si>
    <t>南昌加大饲料有限公司</t>
  </si>
  <si>
    <t>913601007697860142</t>
  </si>
  <si>
    <t>谢玉兰</t>
  </si>
  <si>
    <t>2005-02-06</t>
  </si>
  <si>
    <t>江西省南昌市新建区长堎外商投资工业区内</t>
  </si>
  <si>
    <t>南昌市</t>
  </si>
  <si>
    <t>新建区</t>
  </si>
  <si>
    <t>17370001311</t>
  </si>
  <si>
    <t>0791-83671189;0791-3670098;0791-3671185;0791-83671185</t>
  </si>
  <si>
    <t>ncjdcwb@163.com</t>
  </si>
  <si>
    <t>ncjdxzb@163.com</t>
  </si>
  <si>
    <t>有限责任公司（台港澳与境内合资）</t>
  </si>
  <si>
    <t>360100520001651</t>
  </si>
  <si>
    <t>76978601-4</t>
  </si>
  <si>
    <t>34</t>
  </si>
  <si>
    <t>2005-02-06 至 无固定期限</t>
  </si>
  <si>
    <t>Nanchang Jiajia Feed Co., Ltd.</t>
  </si>
  <si>
    <t>南昌加大饲料有限公司成立于2005-02-06，法定代表人为谢玉兰，注册资本为1000万元，统一社会信用代码为913601007697860142，企业注册地址位于江西省南昌市新建区长堎外商投资工业区内，所属行业为农副食品加工业，经营范围包含：配合饲料、浓缩饲料的生产、销售；饲料添加剂销售；谷物销售；粮食收购（依法须经批准的项目，经相关部门批准后方可开展经营活动）。企业当前经营状态为存续。</t>
  </si>
  <si>
    <t>配合饲料、浓缩饲料的生产、销售；饲料添加剂销售；谷物销售；粮食收购（依法须经批准的项目，经相关部门批准后方可开展经营活动）</t>
  </si>
  <si>
    <t>南昌市市场监督管理局</t>
  </si>
  <si>
    <t>张家港江桦木业有限公司</t>
  </si>
  <si>
    <t>91320582398239467Q</t>
  </si>
  <si>
    <t>庞松良</t>
  </si>
  <si>
    <t>2014-07-08</t>
  </si>
  <si>
    <t>张家港市金港镇香山北路金三角大酒店1#412室</t>
  </si>
  <si>
    <t>13862218698</t>
  </si>
  <si>
    <t>17706242016</t>
  </si>
  <si>
    <t>17706242016@163.com</t>
  </si>
  <si>
    <t>13914919131@163.com;415165767@qq.com;1208578307@qq.com;1521585957@qq.com</t>
  </si>
  <si>
    <t>320582000327038</t>
  </si>
  <si>
    <t>39823946-7</t>
  </si>
  <si>
    <t>2014-07-08 至 无固定期限</t>
  </si>
  <si>
    <t>Zhangjiagang Jianghua Wood Co., Ltd.</t>
  </si>
  <si>
    <t>张家港江桦木业有限公司成立于2014-07-08，法定代表人为庞松良，注册资本为50万元，统一社会信用代码为91320582398239467Q，企业注册地址位于张家港市金港镇香山北路金三角大酒店1#412室，所属行业为批发业，经营范围包含：木材、板材、木制品购销，自营和代理各类商品及技术的进出口业务。（依法须经批准的项目，经相关部门批准后方可开展经营活动）。企业当前经营状态为存续。</t>
  </si>
  <si>
    <t>木材、板材、木制品购销，自营和代理各类商品及技术的进出口业务。（依法须经批准的项目，经相关部门批准后方可开展经营活动）。</t>
  </si>
  <si>
    <t>信丰双胞胎饲料有限公司</t>
  </si>
  <si>
    <t>91360722578797140D</t>
  </si>
  <si>
    <t>张昭胜</t>
  </si>
  <si>
    <t>2011-08-15</t>
  </si>
  <si>
    <t>江西省赣州市信丰县工业园区健康路</t>
  </si>
  <si>
    <t>信丰县</t>
  </si>
  <si>
    <t>18770730066</t>
  </si>
  <si>
    <t>weihong@sbtjt.com;lubq@sbtjt.com;zhongsuy@sbtjt.com</t>
  </si>
  <si>
    <t>360722110000726</t>
  </si>
  <si>
    <t>57879714-0</t>
  </si>
  <si>
    <t>106</t>
  </si>
  <si>
    <t>2011-08-15 至 无固定期限</t>
  </si>
  <si>
    <t>种子批发</t>
  </si>
  <si>
    <t>Xinfeng Twin Feed Co., Ltd.</t>
  </si>
  <si>
    <t>信丰双胞胎饲料有限公司成立于2011-08-15，法定代表人为张昭胜，注册资本为400万元，统一社会信用代码为91360722578797140D，企业注册地址位于江西省赣州市信丰县工业园区健康路，所属行业为批发业，经营范围包含：畜牧、水产饲料的研究开发、技术咨询服务；配合饲料、浓缩饲料生产；饲料及饲料原料销售；销售：兽药（生物制品除外）、兽用医疗器械。（从事以上经营项目国家有法律、法规专项规定的从其规定）（依法须经批准的项目,经相关部门批准后方可开展经营活动）。企业当前经营状态为存续。</t>
  </si>
  <si>
    <t>畜牧、水产饲料的研究开发、技术咨询服务；配合饲料、浓缩饲料生产；饲料及饲料原料销售；销售：兽药（生物制品除外）、兽用医疗器械。（从事以上经营项目国家有法律、法规专项规定的从其规定）（依法须经批准的项目,经相关部门批准后方可开展经营活动）</t>
  </si>
  <si>
    <t>赣州市市场监督管理局</t>
  </si>
  <si>
    <t>宜宾君明酒业有限公司</t>
  </si>
  <si>
    <t>91511502582175272P</t>
  </si>
  <si>
    <t>翟国军</t>
  </si>
  <si>
    <t>2011-09-15</t>
  </si>
  <si>
    <t>宜宾市翠屏区西郊街道农生村农生组33号</t>
  </si>
  <si>
    <t>宜宾市</t>
  </si>
  <si>
    <t>翠屏区</t>
  </si>
  <si>
    <t>13036531919</t>
  </si>
  <si>
    <t>13980628996</t>
  </si>
  <si>
    <t>1075299198@qq.com</t>
  </si>
  <si>
    <t>511502000028716</t>
  </si>
  <si>
    <t>58217527-2</t>
  </si>
  <si>
    <t>2011-09-15 至 无固定期限</t>
  </si>
  <si>
    <t>酒、饮料及茶叶批发</t>
  </si>
  <si>
    <t>Yibin Junming Liquor Industry Co., Ltd.</t>
  </si>
  <si>
    <t>宜宾君明酒业有限公司成立于2011-09-15，法定代表人为翟国军，注册资本为300万元，统一社会信用代码为91511502582175272P，企业注册地址位于宜宾市翠屏区西郊街道农生村农生组33号，所属行业为批发业，经营范围包含：批发兼零售：预包装食品兼散装食品、酒类；粮食收购；销售：酶制剂、化工产品（不含危险化学品及易制毒品）。（依法须经批准的项目，经相关部门批准后方可开展经营活动）。企业当前经营状态为存续。</t>
  </si>
  <si>
    <t>批发兼零售：预包装食品兼散装食品、酒类；粮食收购；销售：酶制剂、化工产品（不含危险化学品及易制毒品）。（依法须经批准的项目，经相关部门批准后方可开展经营活动）</t>
  </si>
  <si>
    <t>宜宾市翠屏区工商行政管理局</t>
  </si>
  <si>
    <t>上海益诚木业有限公司</t>
  </si>
  <si>
    <t>91310117786724501Q</t>
  </si>
  <si>
    <t>陈建华</t>
  </si>
  <si>
    <t>2006-03-23</t>
  </si>
  <si>
    <t>上海市松江区新桥镇潘家浜明中路15号－100</t>
  </si>
  <si>
    <t>310117002701435</t>
  </si>
  <si>
    <t>78672450-1</t>
  </si>
  <si>
    <t>2006-03-23 至 2056-03-22</t>
  </si>
  <si>
    <t>竹、藤、棕、草等制品制造</t>
  </si>
  <si>
    <t>草及其他制品制造</t>
  </si>
  <si>
    <t>Shanghai Yicheng Wood Industry Co., Ltd.</t>
  </si>
  <si>
    <t>上海市松江区洞泾镇光星路1300号</t>
  </si>
  <si>
    <t>上海益诚木业有限公司成立于2006-03-23，法定代表人为陈建华，注册资本为50万元，统一社会信用代码为91310117786724501Q，企业注册地址位于上海市松江区新桥镇潘家浜明中路15号－100，所属行业为木材加工和木、竹、藤、棕、草制品业，经营范围包含：木制品，五金加工；装潢材料（除危险品）批发零售。【依法须经批准的项目，经相关部门批准后方可开展经营活动】。企业当前经营状态为存续。</t>
  </si>
  <si>
    <t>木制品，五金加工；装潢材料（除危险品）批发零售。【依法须经批准的项目，经相关部门批准后方可开展经营活动】</t>
  </si>
  <si>
    <t>山东凯源木业有限公司</t>
  </si>
  <si>
    <t>913713007424262119</t>
  </si>
  <si>
    <t>临沂市凯源木业有限公司</t>
  </si>
  <si>
    <t>孟祥晓</t>
  </si>
  <si>
    <t>2002-08-23</t>
  </si>
  <si>
    <t>临沂市兰山区朱保镇葛疃村</t>
  </si>
  <si>
    <t>临沂市</t>
  </si>
  <si>
    <t>兰山区</t>
  </si>
  <si>
    <t>0539-8543266</t>
  </si>
  <si>
    <t>13176079796;0539-8550388;0539-8550355;18254923734</t>
  </si>
  <si>
    <t>sdcs666@126.com</t>
  </si>
  <si>
    <t>kaiyuanwood@126.com</t>
  </si>
  <si>
    <t>371300228059922</t>
  </si>
  <si>
    <t>74242621-1</t>
  </si>
  <si>
    <t>2002-08-23 至 无固定期限</t>
  </si>
  <si>
    <t>Shandong Kaiyuan Wood Industry Co., Ltd.</t>
  </si>
  <si>
    <t>www.kaiyuanveneer.com</t>
  </si>
  <si>
    <t>山东凯源木业有限公司成立于2002-08-23，法定代表人为孟祥晓，注册资本为2000万元，统一社会信用代码为913713007424262119，企业注册地址位于临沂市兰山区朱保镇葛疃村，所属行业为木材加工和木、竹、藤、棕、草制品业，经营范围包含：木材经营加工；货物及技术进出口；木业技术开发（依法须经批准的项目，经相关部门批准后方可开展经营活动）。企业当前经营状态为在业。</t>
  </si>
  <si>
    <t>木材经营加工；货物及技术进出口；木业技术开发（依法须经批准的项目，经相关部门批准后方可开展经营活动）。</t>
  </si>
  <si>
    <t>临沂市兰山区市场监督管理局</t>
  </si>
  <si>
    <t>江门双胞胎饲料有限公司</t>
  </si>
  <si>
    <t>91440705MA51AAAQ5N</t>
  </si>
  <si>
    <t>华涛</t>
  </si>
  <si>
    <t>2018-01-26</t>
  </si>
  <si>
    <t>江门市新会区大泽镇小泽村凤山脚（车间一）</t>
  </si>
  <si>
    <t>江门市</t>
  </si>
  <si>
    <t>新会区</t>
  </si>
  <si>
    <t>weihong@sbtjt.com;lubq@sbtjt.com</t>
  </si>
  <si>
    <t>MA51AAAQ-5</t>
  </si>
  <si>
    <t>2018-01-26 至 2038-01-26</t>
  </si>
  <si>
    <t>其他饲料加工</t>
  </si>
  <si>
    <t>Jiangmen Twin Feed Co., Ltd.</t>
  </si>
  <si>
    <t>江门双胞胎饲料有限公司成立于2018-01-26，法定代表人为华涛，注册资本为1000万元，统一社会信用代码为91440705MA51AAAQ5N，企业注册地址位于江门市新会区大泽镇小泽村凤山脚（车间一），所属行业为农副食品加工业，经营范围包含：饲料生产、销售；饲料原料收购、销售；货物或技术进出口（国家禁止或涉及行政审批的货物和技术进出口除外）。（依法须经批准的项目，经相关部门批准后方可开展经营活动）。企业当前经营状态为在业。</t>
  </si>
  <si>
    <t>饲料生产、销售；饲料原料收购、销售；货物或技术进出口（国家禁止或涉及行政审批的货物和技术进出口除外）。（依法须经批准的项目，经相关部门批准后方可开展经营活动）</t>
  </si>
  <si>
    <t>江门市新会区市场监督管理局</t>
  </si>
  <si>
    <t>中山市文田织布厂</t>
  </si>
  <si>
    <t>91442000595833940T</t>
  </si>
  <si>
    <t>注销（2024-11-14）</t>
  </si>
  <si>
    <t>陈明</t>
  </si>
  <si>
    <t>2012-04-27</t>
  </si>
  <si>
    <t>中山市大涌镇青岗村企岭上（兴华路10号）</t>
  </si>
  <si>
    <t>中山市</t>
  </si>
  <si>
    <t>0760-87736001</t>
  </si>
  <si>
    <t>2824667150@qq.com</t>
  </si>
  <si>
    <t>1009397282@qq.com</t>
  </si>
  <si>
    <t>442000000618338</t>
  </si>
  <si>
    <t>59583394-0</t>
  </si>
  <si>
    <t>59</t>
  </si>
  <si>
    <t>2012-04-27 至 无固定期限</t>
  </si>
  <si>
    <t>皮革、毛皮、羽毛及其制品和制鞋业</t>
  </si>
  <si>
    <t>制鞋业</t>
  </si>
  <si>
    <t>纺织面料鞋制造</t>
  </si>
  <si>
    <t>Zhongshan Wentian Weaving Factory</t>
  </si>
  <si>
    <t>加工、生产、销售：棉织布、麻织布、化纤布、白胚布、染色布、牛仔布、弹力布、服装。（依法须经批准的项目，经相关部门批准后方可开展经营活动）</t>
  </si>
  <si>
    <t>中山市市场监督管理局</t>
  </si>
  <si>
    <t>山东嘟江雁木业有限公司</t>
  </si>
  <si>
    <t>91371325MA3C9Q986D</t>
  </si>
  <si>
    <t>山东普得利木业有限公司</t>
  </si>
  <si>
    <t>董娜</t>
  </si>
  <si>
    <t>2016-04-27</t>
  </si>
  <si>
    <t>山东省临沂市费县上冶镇二村</t>
  </si>
  <si>
    <t>费县</t>
  </si>
  <si>
    <t>0539-5812777</t>
  </si>
  <si>
    <t>15254944205;13697813151</t>
  </si>
  <si>
    <t>15254944205@163.com</t>
  </si>
  <si>
    <t>371325200020127</t>
  </si>
  <si>
    <t>MA3C9Q98-6</t>
  </si>
  <si>
    <t>2016-04-27 至 无固定期限</t>
  </si>
  <si>
    <t>人造板制造</t>
  </si>
  <si>
    <t>胶合板制造</t>
  </si>
  <si>
    <t>Shandong Dujiang Yanmu Industry Co., Ltd.</t>
  </si>
  <si>
    <t>山东嘟江雁木业有限公司成立于2016-04-27，法定代表人为董娜，注册资本为300万元，统一社会信用代码为91371325MA3C9Q986D，企业注册地址位于山东省临沂市费县上冶镇二村，所属行业为木材加工和木、竹、藤、棕、草制品业，经营范围包含：一般项目：木材加工；木材销售；人造板销售；人造板制造；家具制造；家具销售；家居用品制造；货物进出口；技术进出口。（除依法须经批准的项目外，凭营业执照依法自主开展经营活动）。企业当前经营状态为在业。</t>
  </si>
  <si>
    <t>一般项目：木材加工；木材销售；人造板销售；人造板制造；家具制造；家具销售；家居用品制造；货物进出口；技术进出口。（除依法须经批准的项目外，凭营业执照依法自主开展经营活动）</t>
  </si>
  <si>
    <t>费县市场监督管理局</t>
  </si>
  <si>
    <t>莒南双胞胎饲料有限公司</t>
  </si>
  <si>
    <t>913713270629909943</t>
  </si>
  <si>
    <t>2013-03-12</t>
  </si>
  <si>
    <t>山东莒南经济开发区黄海二路南侧、西三路中段西侧</t>
  </si>
  <si>
    <t>莒南县</t>
  </si>
  <si>
    <t>0539-7913555;18170807860</t>
  </si>
  <si>
    <t>weihong@sbtjt.com;lubq@sbtjt.com;yangwf@sbtjt.com;zhangxin01@sbtjt.com</t>
  </si>
  <si>
    <t>371327200011380</t>
  </si>
  <si>
    <t>06299099-4</t>
  </si>
  <si>
    <t>2013-03-12 至 2033-03-12</t>
  </si>
  <si>
    <t>畜牧渔业饲料批发</t>
  </si>
  <si>
    <t>Junan Twin Feed Co., Ltd.</t>
  </si>
  <si>
    <t>莒南双胞胎饲料有限公司成立于2013-03-12，法定代表人为张昭胜，注册资本为1000万元，统一社会信用代码为913713270629909943，企业注册地址位于山东莒南经济开发区黄海二路南侧、西三路中段西侧，所属行业为批发业，经营范围包含：许可项目：粮食收购；饲料生产；兽药经营；货物进出口；技术进出口。（依法须经批准的项目，经相关部门批准后方可开展经营活动，具体经营项目以相关部门批准文件或许可证件为准）一般项目：畜牧渔业饲料销售；技术服务、技术开发、技术咨询、技术交流、技术转让、技术推广；饲料原料销售。（除依法须经批准的项目外，凭营业执照依法自主开展经营活动）。企业当前经营状态为在业。</t>
  </si>
  <si>
    <t>许可项目：粮食收购；饲料生产；兽药经营；货物进出口；技术进出口。（依法须经批准的项目，经相关部门批准后方可开展经营活动，具体经营项目以相关部门批准文件或许可证件为准）一般项目：畜牧渔业饲料销售；技术服务、技术开发、技术咨询、技术交流、技术转让、技术推广；饲料原料销售。（除依法须经批准的项目外，凭营业执照依法自主开展经营活动）</t>
  </si>
  <si>
    <t>莒南县市场监督管理局</t>
  </si>
  <si>
    <t>武汉福隆恒翔达贸易有限公司</t>
  </si>
  <si>
    <t>91420105MA4F3FM48E</t>
  </si>
  <si>
    <t>注销（2025-10-23）</t>
  </si>
  <si>
    <t>黄荣晋</t>
  </si>
  <si>
    <t>2021-10-13</t>
  </si>
  <si>
    <t>武汉市汉阳区永丰乡黄金口五村特1号嘉盛工业园3号楼0706号</t>
  </si>
  <si>
    <t>湖北省</t>
  </si>
  <si>
    <t>武汉市</t>
  </si>
  <si>
    <t>汉阳区</t>
  </si>
  <si>
    <t>13959929296</t>
  </si>
  <si>
    <t>122124058@qq.com</t>
  </si>
  <si>
    <t>3070305608@qq.com</t>
  </si>
  <si>
    <t>420105000467124</t>
  </si>
  <si>
    <t>MA4F3FM4-8</t>
  </si>
  <si>
    <t>2021-10-13 至 无固定期限</t>
  </si>
  <si>
    <t>Wuhan Fulong Hengxiangda Trading Co., Ltd.</t>
  </si>
  <si>
    <t>武汉福隆恒翔达贸易有限公司成立于2021-10-13，法定代表人为黄荣晋，注册资本为200万元，统一社会信用代码为91420105MA4F3FM48E，企业注册地址位于武汉市汉阳区永丰乡黄金口五村特1号嘉盛工业园3号楼0706号，所属行业为批发业，经营范围包含：一般项目：金属矿石销售；金属材料销售；金属结构销售；建筑材料销售；机械设备销售；化工产品销售（不含许可类化工产品）；电子产品销售；五金产品批发；五金产品零售；机械零件、零部件加工；普通机械设备安装服务；阀门和旋塞销售；劳动保护用品销售；电线、电缆经营；水泥制品销售；保温材料销售；隔热和隔音材料销售（除许可业务外，可自主依法经营法律法规非禁止或限制的项目）。企业当前经营状态为注销。</t>
  </si>
  <si>
    <t>一般项目：金属矿石销售；金属材料销售；金属结构销售；建筑材料销售；机械设备销售；化工产品销售（不含许可类化工产品）；电子产品销售；五金产品批发；五金产品零售；机械零件、零部件加工；普通机械设备安装服务；阀门和旋塞销售；劳动保护用品销售；电线、电缆经营；水泥制品销售；保温材料销售；隔热和隔音材料销售（除许可业务外，可自主依法经营法律法规非禁止或限制的项目）</t>
  </si>
  <si>
    <t>武汉市汉阳区市场监督管理局</t>
  </si>
  <si>
    <t>青岛裕合通国际贸易有限公司</t>
  </si>
  <si>
    <t>91370220MA3Q839EXG</t>
  </si>
  <si>
    <t>注销（2025-09-17）</t>
  </si>
  <si>
    <t>华忠财</t>
  </si>
  <si>
    <t>2019-07-19</t>
  </si>
  <si>
    <t>山东省青岛市保税港区北京路45号东办公楼一楼-1818（商务秘书公司托管地址）（A）</t>
  </si>
  <si>
    <t>0532-86766925</t>
  </si>
  <si>
    <t>0532-86700000</t>
  </si>
  <si>
    <t>1312447260@qq.com</t>
  </si>
  <si>
    <t>zhangdongliang368@163.com</t>
  </si>
  <si>
    <t>370220230077006</t>
  </si>
  <si>
    <t>MA3Q839E-X</t>
  </si>
  <si>
    <t>8</t>
  </si>
  <si>
    <t>2019-07-19 至 无固定期限</t>
  </si>
  <si>
    <t>Qingdao Yuhetong International Trade Co., Ltd.</t>
  </si>
  <si>
    <t>青岛裕合通国际贸易有限公司成立于2019-07-19，法定代表人为华忠财，注册资本为100万元，统一社会信用代码为91370220MA3Q839EXG，企业注册地址位于山东省青岛市保税港区北京路45号东办公楼一楼-1818（商务秘书公司托管地址）（A），所属行业为批发业，经营范围包含：一般项目：技术进出口；货物进出口；棉、麻销售；针纺织品及原料销售；国内贸易代理；信息咨询服务（不含许可类信息咨询服务）；进出口代理。（除依法须经批准的项目外，凭营业执照依法自主开展经营活动）。企业当前经营状态为注销。</t>
  </si>
  <si>
    <t>一般项目：技术进出口；货物进出口；棉、麻销售；针纺织品及原料销售；国内贸易代理；信息咨询服务（不含许可类信息咨询服务）；进出口代理。（除依法须经批准的项目外，凭营业执照依法自主开展经营活动）</t>
  </si>
  <si>
    <t>荆州格力特生物科技有限公司</t>
  </si>
  <si>
    <t>91421000MA48YP3JXF</t>
  </si>
  <si>
    <t>熊火印</t>
  </si>
  <si>
    <t>荆州高新技术产业园区高沙路与武汉大道交汇处</t>
  </si>
  <si>
    <t>荆州市</t>
  </si>
  <si>
    <t>荆州区</t>
  </si>
  <si>
    <t>0716-8812616</t>
  </si>
  <si>
    <t>0716-4312583</t>
  </si>
  <si>
    <t>xwb0302@sina.com</t>
  </si>
  <si>
    <t>cwb0302@sina.com;jzgreat@163.com;xhyin819@sina.com</t>
  </si>
  <si>
    <t>421000000261719</t>
  </si>
  <si>
    <t>MA48YP3J-X</t>
  </si>
  <si>
    <t>62</t>
  </si>
  <si>
    <t>2017-04-25 至 无固定期限</t>
  </si>
  <si>
    <t>科学研究和技术服务业</t>
  </si>
  <si>
    <t>研究和试验发展</t>
  </si>
  <si>
    <t>自然科学研究和试验发展</t>
  </si>
  <si>
    <t>Jingzhou Great Biotechnology Co., Ltd.</t>
  </si>
  <si>
    <t>荆州格力特生物科技有限公司成立于2017-04-25，法定代表人为熊火印，注册资本为3000万元，统一社会信用代码为91421000MA48YP3JXF，企业注册地址位于荆州高新技术产业园区高沙路与武汉大道交汇处，所属行业为研究和试验发展，经营范围包含：许可项目：饲料生产（依法须经批准的项目，经相关部门批准后方可开展经营活动，具体经营项目以相关部门批准文件或许可证件为准）一般项目：畜牧渔业饲料销售；饲料添加剂销售；饲料原料销售；粮食收购（除依法须经批准的项目外，凭营业执照依法自主开展经营活动）。企业当前经营状态为存续。</t>
  </si>
  <si>
    <t>许可项目：饲料生产（依法须经批准的项目，经相关部门批准后方可开展经营活动，具体经营项目以相关部门批准文件或许可证件为准）一般项目：畜牧渔业饲料销售；饲料添加剂销售；饲料原料销售；粮食收购（除依法须经批准的项目外，凭营业执照依法自主开展经营活动）</t>
  </si>
  <si>
    <t>荆州市市场监督管理局</t>
  </si>
  <si>
    <t>武城县银海棉花加工厂</t>
  </si>
  <si>
    <t>913714287433585484</t>
  </si>
  <si>
    <t>注销（2025-07-09）</t>
  </si>
  <si>
    <t>商树军</t>
  </si>
  <si>
    <t>2002-09-19</t>
  </si>
  <si>
    <t>老城工业园东</t>
  </si>
  <si>
    <t>德州市</t>
  </si>
  <si>
    <t>武城县</t>
  </si>
  <si>
    <t>18654763666</t>
  </si>
  <si>
    <t>13953400659</t>
  </si>
  <si>
    <t>3344366637@qq.com</t>
  </si>
  <si>
    <t>312743472@126.com;344366637@qq.com</t>
  </si>
  <si>
    <t>集体所有制</t>
  </si>
  <si>
    <t>371428018004831</t>
  </si>
  <si>
    <t>74335854-8</t>
  </si>
  <si>
    <t>2002-09-19 至 无固定期限</t>
  </si>
  <si>
    <t>Wucheng County Yinhai Cotton Processing Factory</t>
  </si>
  <si>
    <t>棉花收购、加工、经营；豆粕、菜粕、大蒜购销。（依法须经批准的项目，经相关部门批准后方可开展经营活动）</t>
  </si>
  <si>
    <t>武城县市场监督管理局</t>
  </si>
  <si>
    <t>湖北鑫成生物饲料有限公司</t>
  </si>
  <si>
    <t>91421125553900631L</t>
  </si>
  <si>
    <t>湖北志成锻压机床有限公司</t>
  </si>
  <si>
    <t>王足意</t>
  </si>
  <si>
    <t>2006-12-20</t>
  </si>
  <si>
    <t>浠水县清泉镇月山村十三组</t>
  </si>
  <si>
    <t>黄冈市</t>
  </si>
  <si>
    <t>浠水县</t>
  </si>
  <si>
    <t>0713-4647777</t>
  </si>
  <si>
    <t>13872017799;0713-4220318</t>
  </si>
  <si>
    <t>1438733074@qq.com</t>
  </si>
  <si>
    <t>xcsw2009@yeah.net;289547233@qq.com</t>
  </si>
  <si>
    <t>421125000009704</t>
  </si>
  <si>
    <t>55390063-1</t>
  </si>
  <si>
    <t>44</t>
  </si>
  <si>
    <t>2006-12-20 至 无固定期限</t>
  </si>
  <si>
    <t>Hubei Xincheng Biological Feed Co., Ltd.</t>
  </si>
  <si>
    <t>鑫成饲料是一家动物饲料生产销售商，主营业务为鸡饲料和猪饲料的生产与销售，进行禽类饲料生产与销售已有十年，拥有标准工厂化生产工艺流程。主要采用原材料集中采购决策、集中生产布局、销售产品和技术服务紧密结合的经营模式。鑫成公司生产的饲料的客户主要为浠水县域范围及周边禽类养殖公司及养殖户。</t>
  </si>
  <si>
    <t>配合饲料生产、销售及其它饲料销售；农副产品（不含国家限制经营或须持许可证经营的项目）收购、销售；货物及技术的进出口业务（国家限制和禁止进出口的商品和技术除外）。（依法须经批准的项目，经相关部门批准后方可开展经营活动。）</t>
  </si>
  <si>
    <t>浠水县市场监督管理局</t>
  </si>
  <si>
    <t>广州市华昇纺织服装有限公司</t>
  </si>
  <si>
    <t>91440101MA9UL2L8X0</t>
  </si>
  <si>
    <t>单秀葵</t>
  </si>
  <si>
    <t>2020-05-20</t>
  </si>
  <si>
    <t>广州市增城区新塘镇大敦村创业东路12号（一楼）</t>
  </si>
  <si>
    <t>增城区</t>
  </si>
  <si>
    <t>020-82762666</t>
  </si>
  <si>
    <t>chuangjun2013@163.com</t>
  </si>
  <si>
    <t>440125002637621</t>
  </si>
  <si>
    <t>MA9UL2L8-X</t>
  </si>
  <si>
    <t>2020-05-20 至 无固定期限</t>
  </si>
  <si>
    <t>Guangzhou Huasheng Textile and Clothing Co., Ltd.</t>
  </si>
  <si>
    <t>广州市华昇纺织服装有限公司成立于2020-05-20，法定代表人为单秀葵，注册资本为10万元，统一社会信用代码为91440101MA9UL2L8X0，企业注册地址位于广州市增城区新塘镇大敦村创业东路12号（一楼），所属行业为纺织服装、服饰业，经营范围包含：服装服饰零售;服装制造;服饰制造;纺纱加工;针织或钩针编织物及其制品制造;服装服饰批发。企业当前经营状态为存续。</t>
  </si>
  <si>
    <t>服装服饰零售;服装制造;服饰制造;纺纱加工;针织或钩针编织物及其制品制造;服装服饰批发</t>
  </si>
  <si>
    <t>广州市增城区市场监督管理局</t>
  </si>
  <si>
    <t>武城县润宏棉业有限公司</t>
  </si>
  <si>
    <t>91371428MA3CA5C32U</t>
  </si>
  <si>
    <t>赵田生</t>
  </si>
  <si>
    <t>2016-05-06</t>
  </si>
  <si>
    <t>山东省德州市武城县甲马营镇龙兴社区</t>
  </si>
  <si>
    <t>18315835456</t>
  </si>
  <si>
    <t>15953445899</t>
  </si>
  <si>
    <t>lixingchang@126.com</t>
  </si>
  <si>
    <t>395023938@qq.com</t>
  </si>
  <si>
    <t>371428200016436</t>
  </si>
  <si>
    <t>MA3CA5C3-2</t>
  </si>
  <si>
    <t>2016-05-06 至 无固定期限</t>
  </si>
  <si>
    <t>Wucheng County Runhong Cotton Industry Co., Ltd.</t>
  </si>
  <si>
    <t>武城县润宏棉业有限公司成立于2016-05-06，法定代表人为赵田生，注册资本为400万元，统一社会信用代码为91371428MA3CA5C32U，企业注册地址位于山东省德州市武城县甲马营镇龙兴社区，所属行业为纺织业，经营范围包含：棉花收购、加工、经营；织布、棉纱制品销售。（依法须经批准的项目，经相关部门批准后方可开展经营活动）。企业当前经营状态为在业。</t>
  </si>
  <si>
    <t>棉花收购、加工、经营；织布、棉纱制品销售。（依法须经批准的项目，经相关部门批准后方可开展经营活动）</t>
  </si>
  <si>
    <t>湖南阡耘禾佳智慧农业有限公司</t>
  </si>
  <si>
    <t>91430111MA4T3FBP2W</t>
  </si>
  <si>
    <t>丁双珍</t>
  </si>
  <si>
    <t>2021-02-02</t>
  </si>
  <si>
    <t>长沙高新开发区麓谷大道658号湖南麓谷信息港5002-03号</t>
  </si>
  <si>
    <t>湖南省</t>
  </si>
  <si>
    <t>长沙市</t>
  </si>
  <si>
    <t>岳麓区</t>
  </si>
  <si>
    <t>15974236510</t>
  </si>
  <si>
    <t>309562476@qq.com</t>
  </si>
  <si>
    <t>MA4T3FBP-2</t>
  </si>
  <si>
    <t>2021-02-02 至 无固定期限</t>
  </si>
  <si>
    <t>Hunan Qianyun Hejia Smart Agriculture Co., Ltd.</t>
  </si>
  <si>
    <t>湖南阡耘禾佳智慧农业有限公司成立于2021-02-02，法定代表人为丁双珍，注册资本为500万元，统一社会信用代码为91430111MA4T3FBP2W，企业注册地址位于长沙高新开发区麓谷大道658号湖南麓谷信息港5002-03号，所属行业为批发业，经营范围包含：畜牧渔业饲料、谷物、豆及薯类的批发；贸易咨询服务；供应链管理与服务。（依法须经批准的项目，经相关部门批准后方可开展经营活动）。企业当前经营状态为存续。</t>
  </si>
  <si>
    <t>畜牧渔业饲料、谷物、豆及薯类的批发；贸易咨询服务；供应链管理与服务。（依法须经批准的项目，经相关部门批准后方可开展经营活动）</t>
  </si>
  <si>
    <t>湖南湘江新区管理委员会</t>
  </si>
  <si>
    <t>湖南创新生物科技有限公司</t>
  </si>
  <si>
    <t>914304007170167396</t>
  </si>
  <si>
    <t>衡阳市创新饲料有限公司</t>
  </si>
  <si>
    <t>庹灵聪</t>
  </si>
  <si>
    <t>8088万元</t>
  </si>
  <si>
    <t>1688万元</t>
  </si>
  <si>
    <t>2001-09-04</t>
  </si>
  <si>
    <t>湖南省衡阳市珠晖区酃湖乡向阳村（东外环）</t>
  </si>
  <si>
    <t>衡阳市</t>
  </si>
  <si>
    <t>珠晖区</t>
  </si>
  <si>
    <t>15874720997</t>
  </si>
  <si>
    <t>0734-3111253</t>
  </si>
  <si>
    <t>20739364@qq.com</t>
  </si>
  <si>
    <t>xiaom0101@haid.com.cn;huangmy@haid.com.cn;562884080@qq.com;zengfc@haid.com.cn;hunanchungxin2008@163.com</t>
  </si>
  <si>
    <t>430400000002719</t>
  </si>
  <si>
    <t>71701673-9</t>
  </si>
  <si>
    <t>151</t>
  </si>
  <si>
    <t>2001-09-04 至 无固定期限</t>
  </si>
  <si>
    <t>Hunan Innovation Biological Technology Co., Ltd.</t>
  </si>
  <si>
    <t>湖南创新生物科技有限公司成立于2001-09-04，法定代表人为庹灵聪，注册资本为8088万元，统一社会信用代码为914304007170167396，企业注册地址位于湖南省衡阳市珠晖区酃湖乡向阳村（东外环），所属行业为农副食品加工业，经营范围包含：饲料及饲料原料、预混料的生产销售；粮食收购经营。（依法须经批准的项目，经相关部门批准后方可开展经营活动）。企业当前经营状态为存续。</t>
  </si>
  <si>
    <t>饲料及饲料原料、预混料的生产销售；粮食收购经营。（依法须经批准的项目，经相关部门批准后方可开展经营活动）</t>
  </si>
  <si>
    <t>衡阳市市场监督管理局</t>
  </si>
  <si>
    <t>广州森豪服装有限公司</t>
  </si>
  <si>
    <t>91440106696910618H</t>
  </si>
  <si>
    <t>刘红伟</t>
  </si>
  <si>
    <t>2009-11-05</t>
  </si>
  <si>
    <t>广州市增城区新塘镇塘美村富岭地段（土名）厂房A2幢五楼501</t>
  </si>
  <si>
    <t>13925005611</t>
  </si>
  <si>
    <t>020-34724015;13925005662;15917397723;13760786645;13711038761;15920419101;15626273663;13926167089;15072483672</t>
  </si>
  <si>
    <t>631790506@qq.com</t>
  </si>
  <si>
    <t>senyu98@126.com;1434079586@qq.com;1075671510@qq.com;49462162@qq.com</t>
  </si>
  <si>
    <t>440126000035552</t>
  </si>
  <si>
    <t>69691061-8</t>
  </si>
  <si>
    <t>2009-11-05 至 无固定期限</t>
  </si>
  <si>
    <t>Guangzhou SHENGHAO Fuzhuang Co., Ltd.</t>
  </si>
  <si>
    <t>广州森豪服装有限公司成立于2009-11-05，法定代表人为刘红伟，注册资本为50万元，统一社会信用代码为91440106696910618H，企业注册地址位于广州市增城区新塘镇塘美村富岭地段（土名）厂房A2幢五楼501，所属行业为纺织服装、服饰业，经营范围包含：服饰制造;服装制造;针织或钩针编织物及其制品制造;针纺织品及原料销售;服装服饰批发;鞋帽批发;货物进出口;技术进出口;国内贸易代理;离岸贸易经营;专业设计服务;互联网数据服务;网络技术服务;服装服饰零售;鞋帽零售。企业当前经营状态为存续。</t>
  </si>
  <si>
    <t>服饰制造;服装制造;针织或钩针编织物及其制品制造;针纺织品及原料销售;服装服饰批发;鞋帽批发;货物进出口;技术进出口;国内贸易代理;离岸贸易经营;专业设计服务;互联网数据服务;网络技术服务;服装服饰零售;鞋帽零售</t>
  </si>
  <si>
    <t>汉寿通威饲料有限公司</t>
  </si>
  <si>
    <t>91430722344866043R</t>
  </si>
  <si>
    <t>幸鹏</t>
  </si>
  <si>
    <t>4500万元</t>
  </si>
  <si>
    <t>常德市汉寿县罐头嘴镇红光村三组</t>
  </si>
  <si>
    <t>常德市</t>
  </si>
  <si>
    <t>汉寿县</t>
  </si>
  <si>
    <t>0736-2329111</t>
  </si>
  <si>
    <t>0736-2328993;0736-2328885;18683861999</t>
  </si>
  <si>
    <t>1210692348@qq.com</t>
  </si>
  <si>
    <t>chengx01@tongwei.com;xiacj@tongwei.com</t>
  </si>
  <si>
    <t>430722000044403</t>
  </si>
  <si>
    <t>34486604-3</t>
  </si>
  <si>
    <t>25</t>
  </si>
  <si>
    <t>2015-06-12 至 2045-06-11</t>
  </si>
  <si>
    <t>Hanshou Tongwei Feed Co., Ltd.</t>
  </si>
  <si>
    <t>http://www.tongwei.com</t>
  </si>
  <si>
    <t>汉寿通威饲料有限公司成立于2015-06-12，法定代表人为幸鹏，注册资本为4500万元，统一社会信用代码为91430722344866043R，企业注册地址位于常德市汉寿县罐头嘴镇红光村三组，所属行业为批发业，经营范围包含：许可项目：饲料生产；兽药经营；餐饮服务；家禽饲养；活禽销售；牲畜饲养（依法须经批准的项目，经相关部门批准后方可开展经营活动，具体经营项目以相关部门批准文件或许可证件为准）一般项目：畜牧渔业饲料销售；渔业专业及辅助性活动；饲料原料销售；鱼病防治服务；水产品批发；水产品零售；牲畜销售；渔业机械销售；农业机械销售；租赁服务（不含许可类租赁服务）；技术服务、技术开发、技术咨询、技术交流、技术转让、技术推广；货物进出口；食品进出口；技术进出口；粮食收购；食用农产品零售（除依法须经批准的项目外，凭营业执照依法自主开展经营活动）。企业当前经营状态为存续。</t>
  </si>
  <si>
    <t>许可项目：饲料生产；兽药经营；餐饮服务；家禽饲养；活禽销售；牲畜饲养（依法须经批准的项目，经相关部门批准后方可开展经营活动，具体经营项目以相关部门批准文件或许可证件为准）一般项目：畜牧渔业饲料销售；渔业专业及辅助性活动；饲料原料销售；鱼病防治服务；水产品批发；水产品零售；牲畜销售；渔业机械销售；农业机械销售；租赁服务（不含许可类租赁服务）；技术服务、技术开发、技术咨询、技术交流、技术转让、技术推广；货物进出口；食品进出口；技术进出口；粮食收购；食用农产品零售（除依法须经批准的项目外，凭营业执照依法自主开展经营活动）</t>
  </si>
  <si>
    <t>汉寿县市场监督管理局</t>
  </si>
  <si>
    <t>永州百斯特服装织造有限公司</t>
  </si>
  <si>
    <t>91431124091970044U</t>
  </si>
  <si>
    <t>吴先梅</t>
  </si>
  <si>
    <t>2014-01-23</t>
  </si>
  <si>
    <t>湖南省道县工业园区信息产业园内</t>
  </si>
  <si>
    <t>永州市</t>
  </si>
  <si>
    <t>道县</t>
  </si>
  <si>
    <t>18974624888</t>
  </si>
  <si>
    <t>13187116668;19918269666;15211655782;0746-5333985;0746-5333958</t>
  </si>
  <si>
    <t>519373296@qq.com</t>
  </si>
  <si>
    <t>wenmeili65@163.com</t>
  </si>
  <si>
    <t>431124000010246</t>
  </si>
  <si>
    <t>09197004-4</t>
  </si>
  <si>
    <t>2014-01-23 至 无固定期限</t>
  </si>
  <si>
    <t>Yongzhou Best Garment&amp;Weaving Co., Ltd.</t>
  </si>
  <si>
    <t>永州百斯特服装织造有限公司成立于2014年01月23日，注册地位于湖南省道县工业园区信息产业园内，法定代表人为吴先梅。经营范围包括服装制造、销售。</t>
  </si>
  <si>
    <t>服装制造、销售。</t>
  </si>
  <si>
    <t>道县市场监督管理局</t>
  </si>
  <si>
    <t>广州市腾龙门业有限公司</t>
  </si>
  <si>
    <t>914401117695065373</t>
  </si>
  <si>
    <t>梁毛松</t>
  </si>
  <si>
    <t>2004-10-28</t>
  </si>
  <si>
    <t>广州市白云区竹一红旗路2号</t>
  </si>
  <si>
    <t>020-87445036</t>
  </si>
  <si>
    <t>13924266859;13760663135;13609001433;13602870436;13392629907</t>
  </si>
  <si>
    <t>179566375@qq.com</t>
  </si>
  <si>
    <t>nieyuhua@tl-door.com</t>
  </si>
  <si>
    <t>440111000140241</t>
  </si>
  <si>
    <t>76950653-7</t>
  </si>
  <si>
    <t>267</t>
  </si>
  <si>
    <t>2004-10-28 至 无固定期限</t>
  </si>
  <si>
    <t>Tenglong Door Co., Ltd.</t>
  </si>
  <si>
    <t>www.tl-door.com</t>
  </si>
  <si>
    <t>广州市腾龙门业有限公司成立于2004-10-28，法定代表人为梁毛松，注册资本为5000万元，统一社会信用代码为914401117695065373，企业注册地址位于广州市白云区竹一红旗路2号，所属行业为木材加工和木、竹、藤、棕、草制品业，经营范围包含：木门窗、楼梯制造;金属门窗制造;门窗安装;五金配件制造、加工;木质家具制造;金属家具制造;家具安装;货物进出口（专营专控商品除外）;技术进出口。企业当前经营状态为存续。</t>
  </si>
  <si>
    <t>木门窗、楼梯制造;金属门窗制造;门窗安装;五金配件制造、加工;木质家具制造;金属家具制造;家具安装;货物进出口（专营专控商品除外）;技术进出口</t>
  </si>
  <si>
    <t>山东鲁林木业有限公司</t>
  </si>
  <si>
    <t>91370305777441614M</t>
  </si>
  <si>
    <t>淄博鲁林木业有限公司</t>
  </si>
  <si>
    <t>葛锦桦</t>
  </si>
  <si>
    <t>2005-07-11</t>
  </si>
  <si>
    <t>临淄区齐鲁化学工业区</t>
  </si>
  <si>
    <t>淄博市</t>
  </si>
  <si>
    <t>临淄区</t>
  </si>
  <si>
    <t>0533-7857189</t>
  </si>
  <si>
    <t>0533-6095752;13793348934;0533-6090877</t>
  </si>
  <si>
    <t>sdllmy2013@163.com</t>
  </si>
  <si>
    <t>sdllmy@163.com</t>
  </si>
  <si>
    <t>370305228104723</t>
  </si>
  <si>
    <t>77744161-4</t>
  </si>
  <si>
    <t>35</t>
  </si>
  <si>
    <t>2005-07-11 至 2029-07-10</t>
  </si>
  <si>
    <t>家具制造业</t>
  </si>
  <si>
    <t>木质家具制造</t>
  </si>
  <si>
    <t>Shandong Lulin Wood Industry Co., Ltd.</t>
  </si>
  <si>
    <t>https://www.sdlulin.com</t>
  </si>
  <si>
    <t>山东鲁林木业有限公司坐落于历史文化名城齐国古都世界足球发源地--淄博临淄齐鲁工业园内区，今年来公司投资8000万元，成立了2600余平方的现代化制造中心。公司下设两个分公司：鲁林整木定制公司和鲁林装饰工程公司。鲁林整木定制公司主要生产各种木门，整房家具、办公家具、宾馆酒店家具等260余个品种。荣获“技术监督局推荐产品”达到了建材绿色环保产品标准。公司从德国引进了先进的生产设备，并备了高层次的技术人才，是集设计、生产、销售、装饰、装修、家具配套为一体的综合性中型现代化生产企业。目前公司拥有职工560余人，其中大中专毕业生100余人，工程技术人员80余人，职称10余人，中级职称20余人，初级职称40余人，公司设有设计部、预算部、财务部、工程部、加工制作部、技术部、质检部、办公室人事部、并设有6个项目部。公司拥有一支专业的人才团队，具备了较强的综合实力。多年来，公司本着“质量求生存，品牌促发展，服务争，信誉创”的宗旨，倡导“人性、生态、科技、环保”的装饰理念。追求装饰配套产品工厂化制作，程序化施工，全面提升装饰工艺水平。努力打造装饰行业的品牌。多年来赢得了社会各界的好评和赞扬，也赢得了广大用户的信赖。</t>
  </si>
  <si>
    <t>室内装饰装修；建筑装饰材料零售；木制品家具、木门生产、销售及安装；室内外设计、装饰建筑工程；五金交电、灯具、家用电器、卫生洁具、酒店用品、日用百货的销售。（依法须经批准的项目，经相关部门批准后方可开展经营活动）</t>
  </si>
  <si>
    <t>临淄区市场监督管理局</t>
  </si>
  <si>
    <t>江华温氏畜牧有限公司</t>
  </si>
  <si>
    <t>91431129597594592F</t>
  </si>
  <si>
    <t>彭孝先</t>
  </si>
  <si>
    <t>4900万元</t>
  </si>
  <si>
    <t>2012-06-20</t>
  </si>
  <si>
    <t>湖南省永州市江华瑶族自治县沱江镇经济开发区金牛大道西段</t>
  </si>
  <si>
    <t>江华瑶族自治县</t>
  </si>
  <si>
    <t>0746-2320968</t>
  </si>
  <si>
    <t>0746-2323218;0746-2326218</t>
  </si>
  <si>
    <t>879598166@qq.com</t>
  </si>
  <si>
    <t>28177677@qq.com;1030256774@qq.com</t>
  </si>
  <si>
    <t>431129000007966</t>
  </si>
  <si>
    <t>59759459-2</t>
  </si>
  <si>
    <t>310</t>
  </si>
  <si>
    <t>2012-06-20 至 无固定期限</t>
  </si>
  <si>
    <t>Jianghua Wenshi Livestock Co., Ltd.</t>
  </si>
  <si>
    <t>江华温氏畜牧有限公司成立于2012-06-20，法定代表人为彭孝先，注册资本为4900万元，统一社会信用代码为91431129597594592F，企业注册地址位于湖南省永州市江华瑶族自治县沱江镇经济开发区金牛大道西段，所属行业为畜牧业，经营范围包含：饲料加工、销售；种猪、种苗、猪苗、肉猪饲养、销售；猪精液生产、销售；猪肉、猪肉制品销售；农产品粗加工（依法需经批准的项目，经相关部门批准后方可开展经营活动）。企业当前经营状态为存续。</t>
  </si>
  <si>
    <t>饲料加工、销售；种猪、种苗、猪苗、肉猪饲养、销售；猪精液生产、销售；猪肉、猪肉制品销售；农产品粗加工（依法需经批准的项目，经相关部门批准后方可开展经营活动）。</t>
  </si>
  <si>
    <t>江华瑶族自治县市场监督管理局</t>
  </si>
  <si>
    <t>山东欧纱纤维有限公司</t>
  </si>
  <si>
    <t>913705007574757619</t>
  </si>
  <si>
    <t>刘福海</t>
  </si>
  <si>
    <t>860.95万元</t>
  </si>
  <si>
    <t>2003-12-29</t>
  </si>
  <si>
    <t>东营市广饶经济开发区</t>
  </si>
  <si>
    <t>东营市</t>
  </si>
  <si>
    <t>广饶县</t>
  </si>
  <si>
    <t>0546-7792888</t>
  </si>
  <si>
    <t>0546-6495222;0546-6495398</t>
  </si>
  <si>
    <t>18678688330@163.com</t>
  </si>
  <si>
    <t>ihaihua@qq.com;zhoujianbingn@163.com</t>
  </si>
  <si>
    <t>有限责任公司（中外合资）</t>
  </si>
  <si>
    <t>370500400000461</t>
  </si>
  <si>
    <t>75747576-1</t>
  </si>
  <si>
    <t>60</t>
  </si>
  <si>
    <t>2003-12-29 至 2053-12-28</t>
  </si>
  <si>
    <t>Shandong Europeyarn Co., Ltd.</t>
  </si>
  <si>
    <t>https://www.europeyarnsd.com</t>
  </si>
  <si>
    <t>山东欧纱纤维有限公司成立于2003-12-29，法定代表人为刘福海，注册资本为860.95万元，统一社会信用代码为913705007574757619，企业注册地址位于东营市广饶经济开发区，所属行业为纺织业，经营范围包含：生产和销售工程用特种纺织品，汽车座椅及椅套内衬材料。（以上经营事项涉及法律法规规定需报批的，凭批准证书经营）。企业当前经营状态为在业。</t>
  </si>
  <si>
    <t>生产和销售工程用特种纺织品，汽车座椅及椅套内衬材料。（以上经营事项涉及法律法规规定需报批的，凭批准证书经营）</t>
  </si>
  <si>
    <t>广饶县市场监督管理局</t>
  </si>
  <si>
    <t>郑州七星棉业有限公司</t>
  </si>
  <si>
    <t>91410105586027226G</t>
  </si>
  <si>
    <t>刘改连</t>
  </si>
  <si>
    <t>2011-11-15</t>
  </si>
  <si>
    <t>河南省郑州市中原区棉纺西路18号18号楼8层802号</t>
  </si>
  <si>
    <t>郑州市</t>
  </si>
  <si>
    <t>中原区</t>
  </si>
  <si>
    <t>15515650718</t>
  </si>
  <si>
    <t>13903846298;18539981817;0371-65731328</t>
  </si>
  <si>
    <t>15515650718@163.com</t>
  </si>
  <si>
    <t>13903846298@139.com;315087210@qq.com;120388449@qq.com</t>
  </si>
  <si>
    <t>410105000233842</t>
  </si>
  <si>
    <t>58602722-6</t>
  </si>
  <si>
    <t>2011-11-15 至 无固定期限</t>
  </si>
  <si>
    <t>Zhengzhou Qixing Cotton Co., Ltd.</t>
  </si>
  <si>
    <t>郑州市金水区姚砦路133号6座10层1001号</t>
  </si>
  <si>
    <t>郑州七星棉业有限公司成立于2011-11-15，法定代表人为刘改连，注册资本为300万元，统一社会信用代码为91410105586027226G，企业注册地址位于河南省郑州市中原区棉纺西路18号18号楼8层802号，所属行业为批发业，经营范围包含：销售兼网上销售：皮棉、纺织品、床上用品、服装、初级农产品、预包装食品、日用品、化妆品；商务信息咨询；企业管理咨询；货物或技术进出口。企业当前经营状态为存续。</t>
  </si>
  <si>
    <t>销售兼网上销售：皮棉、纺织品、床上用品、服装、初级农产品、预包装食品、日用品、化妆品；商务信息咨询；企业管理咨询；货物或技术进出口。</t>
  </si>
  <si>
    <t>郑州市中原区市场监督管理局</t>
  </si>
  <si>
    <t>河南省伊佳逸木家具有限公司</t>
  </si>
  <si>
    <t>914102233997717702</t>
  </si>
  <si>
    <t>王春兰</t>
  </si>
  <si>
    <t>2014-05-22</t>
  </si>
  <si>
    <t>河南省开封市尉氏县先进制造业开发区建业路与国福路交叉口北200米路东16号</t>
  </si>
  <si>
    <t>开封市</t>
  </si>
  <si>
    <t>尉氏县</t>
  </si>
  <si>
    <t>13703866561</t>
  </si>
  <si>
    <t>13703866561@qq.com</t>
  </si>
  <si>
    <t>327329385@qq.com;46146971@qq.com</t>
  </si>
  <si>
    <t>410223000045387</t>
  </si>
  <si>
    <t>39977177-0</t>
  </si>
  <si>
    <t>2014-05-22 至 无固定期限</t>
  </si>
  <si>
    <t>Henan Yijia Yimu Furniture Co., Ltd.</t>
  </si>
  <si>
    <t>yjymjj.com</t>
  </si>
  <si>
    <t>河南省伊佳逸木家具有限公司成立于2014-05-22，法定代表人为王春兰，注册资本为300万元，统一社会信用代码为914102233997717702，企业注册地址位于河南省开封市尉氏县先进制造业开发区建业路与国福路交叉口北200米路东16号，所属行业为家具制造业，经营范围包含：一般项目：家具制造；家具销售；家居用品制造；家居用品销售；日用木制品制造；日用木制品销售；软木制品制造；软木制品销售；轻质建筑材料制造；轻质建筑材料销售；门窗制造加工；门窗销售；建筑装饰材料销售；建筑用木料及木材组件加工；工艺美术品及礼仪用品制造（象牙及其制品除外）；工艺美术品及礼仪用品销售（象牙及其制品除外）；会议及展览服务；租赁服务（不含许可类租赁服务）；非居住房地产租赁；普通货物仓储服务（不含危险化学品等需许可审批的项目）（除依法须经批准的项目外，凭营业执照依法自主开展经营活动）许可项目：住宅室内装饰装修（依法须经批准的项目，经相关部门批准后方可开展经营活动，具体经营项目以相关部门批准文件或许可证件为准）。企业当前经营状态为存续。</t>
  </si>
  <si>
    <t>一般项目：家具制造；家具销售；家居用品制造；家居用品销售；日用木制品制造；日用木制品销售；软木制品制造；软木制品销售；轻质建筑材料制造；轻质建筑材料销售；门窗制造加工；门窗销售；建筑装饰材料销售；建筑用木料及木材组件加工；工艺美术品及礼仪用品制造（象牙及其制品除外）；工艺美术品及礼仪用品销售（象牙及其制品除外）；会议及展览服务；租赁服务（不含许可类租赁服务）；非居住房地产租赁；普通货物仓储服务（不含危险化学品等需许可审批的项目）（除依法须经批准的项目外，凭营业执照依法自主开展经营活动）许可项目：住宅室内装饰装修（依法须经批准的项目，经相关部门批准后方可开展经营活动，具体经营项目以相关部门批准文件或许可证件为准）</t>
  </si>
  <si>
    <t>尉氏县市场监督管理局</t>
  </si>
  <si>
    <t>山东晟裕鑫进出口有限公司</t>
  </si>
  <si>
    <t>91370212MA3C9FKC96</t>
  </si>
  <si>
    <t>王少志</t>
  </si>
  <si>
    <t>2016-04-22</t>
  </si>
  <si>
    <t>山东省青岛市崂山区泉岭路8号中商国际大厦2818室</t>
  </si>
  <si>
    <t>崂山区</t>
  </si>
  <si>
    <t>0532-86993278</t>
  </si>
  <si>
    <t>0532-80991538;0532-80990057</t>
  </si>
  <si>
    <t>443288568@qq.com</t>
  </si>
  <si>
    <t>576009101@qq.com</t>
  </si>
  <si>
    <t>370212230143427</t>
  </si>
  <si>
    <t>MA3C9FKC-9</t>
  </si>
  <si>
    <t>2016-04-22 至 无固定期限</t>
  </si>
  <si>
    <t>货摊、无店铺及其他零售业</t>
  </si>
  <si>
    <t>其他未列明零售业</t>
  </si>
  <si>
    <t>Shandong Shengyuxin Import and Export Co., Ltd.</t>
  </si>
  <si>
    <t>山东晟裕鑫进出口有限公司成立于2016-04-22，法定代表人为王少志，注册资本为5000万元，统一社会信用代码为91370212MA3C9FKC96，企业注册地址位于山东省青岛市崂山区泉岭路8号中商国际大厦2818室，所属行业为零售业，经营范围包含：批发、零售：水果、蔬菜、原粮、食品（依据食品药品监管部门核发的《食品经营许可证》开展经营活动）、化工产品（不含危险品）、饲料、饲料原料及饲料添加剂；从事农业技术、环保科技领域内的技术服务、技术咨询、技术转让、技术开发；货物及技术进出口业务（法律、行政法规禁止的项目除外，法律、行政法规限制的项目取得许可后方可经营）（依法须经批准的项目，经相关部门批准后方可开展经营活动）。企业当前经营状态为在业。</t>
  </si>
  <si>
    <t>批发、零售：水果、蔬菜、原粮、食品（依据食品药品监管部门核发的《食品经营许可证》开展经营活动）、化工产品（不含危险品）、饲料、饲料原料及饲料添加剂；从事农业技术、环保科技领域内的技术服务、技术咨询、技术转让、技术开发；货物及技术进出口业务（法律、行政法规禁止的项目除外，法律、行政法规限制的项目取得许可后方可经营）（依法须经批准的项目，经相关部门批准后方可开展经营活动）</t>
  </si>
  <si>
    <t>青岛市崂山区市场监督管理局</t>
  </si>
  <si>
    <t>河南省森林之骄家具有限公司</t>
  </si>
  <si>
    <t>91411122MA3X4M477T</t>
  </si>
  <si>
    <t>田小丽</t>
  </si>
  <si>
    <t>2015-10-30</t>
  </si>
  <si>
    <t>河南省漯河市临颍县城关镇南街村中原路向东150米路南16号</t>
  </si>
  <si>
    <t>漯河市</t>
  </si>
  <si>
    <t>临颍县</t>
  </si>
  <si>
    <t>18039590913</t>
  </si>
  <si>
    <t>17737226806</t>
  </si>
  <si>
    <t>83655021@qq.com</t>
  </si>
  <si>
    <t>411122000022774</t>
  </si>
  <si>
    <t>MA3X4M47-7</t>
  </si>
  <si>
    <t>2015-10-30 至 无固定期限</t>
  </si>
  <si>
    <t>Henan Forest Pride Furniture Co., Ltd.</t>
  </si>
  <si>
    <t>河南省漯河市临颍县皇帝庙乡坡高路口</t>
  </si>
  <si>
    <t>河南省森林之骄家具有限公司成立于2015-10-30，法定代表人为田小丽，注册资本为500万元，统一社会信用代码为91411122MA3X4M477T，企业注册地址位于河南省漯河市临颍县城关镇南街村中原路向东150米路南16号，所属行业为家具制造业，经营范围包含：家具生产、销售；木材收购、加工、销售；五金、电器、建筑装饰材料、建材销售。企业当前经营状态为存续。</t>
  </si>
  <si>
    <t>家具生产、销售；木材收购、加工、销售；五金、电器、建筑装饰材料、建材销售。</t>
  </si>
  <si>
    <t>漯河市市场监督管理局南街分局</t>
  </si>
  <si>
    <t>驻马店扬翔饲料有限公司</t>
  </si>
  <si>
    <t>91411728665952583F</t>
  </si>
  <si>
    <t>曾黎平</t>
  </si>
  <si>
    <t>3500万元</t>
  </si>
  <si>
    <t>2007-08-02</t>
  </si>
  <si>
    <t>遂平县希望大道（县电业公司西侧）</t>
  </si>
  <si>
    <t>驻马店市</t>
  </si>
  <si>
    <t>遂平县</t>
  </si>
  <si>
    <t>0396-4958131</t>
  </si>
  <si>
    <t>0396-4958152;0396-4958139</t>
  </si>
  <si>
    <t>2655626988@qq.com</t>
  </si>
  <si>
    <t>sccdcz2008@163.com;1326618488@qq.com;172825759@qq.com</t>
  </si>
  <si>
    <t>411728100000244</t>
  </si>
  <si>
    <t>66595258-3</t>
  </si>
  <si>
    <t>174</t>
  </si>
  <si>
    <t>2007-08-02 至 2037-08-01</t>
  </si>
  <si>
    <t>宠物饲料加工</t>
  </si>
  <si>
    <t>Zhumadian Yangxiang Feed Co., Ltd.</t>
  </si>
  <si>
    <t>http://www.yangxiang.com</t>
  </si>
  <si>
    <t>驻马店扬翔饲料有限公司成立于2007-08-02，法定代表人为曾黎平，注册资本为3500万元，统一社会信用代码为91411728665952583F，企业注册地址位于遂平县希望大道（县电业公司西侧），所属行业为农副食品加工业，经营范围包含：配合饲料、浓缩饲料生产销售；家禽、家畜、淡水鱼饲养销售；添加剂预混合饲料的经营；种植、养殖服务；技术咨询培训；设计制作发布路牌、灯箱、墙壁、横幅广告业务；货物仓储（不对外经营，只限于本企业仓储）；种猪生产销售、猪精销售（仅限分支机构经营）；畜牧器械、麦皮、豆类、玉米、农副产品、饲料添加剂（磷酸氢钙赖氨酸等）销售经营；生猪购销;养殖设备、饲料生产设备、农业机械设备、电器、电子产品/生产与销售（国家禁止经营除外）；货物进出口。企业当前经营状态为存续。</t>
  </si>
  <si>
    <t>配合饲料、浓缩饲料生产销售；家禽、家畜、淡水鱼饲养销售；添加剂预混合饲料的经营；种植、养殖服务；技术咨询培训；设计制作发布路牌、灯箱、墙壁、横幅广告业务；货物仓储（不对外经营，只限于本企业仓储）；种猪生产销售、猪精销售（仅限分支机构经营）；畜牧器械、麦皮、豆类、玉米、农副产品、饲料添加剂（磷酸氢钙赖氨酸等）销售经营；生猪购销;养殖设备、饲料生产设备、农业机械设备、电器、电子产品/生产与销售（国家禁止经营除外）；货物进出口</t>
  </si>
  <si>
    <t>驻马店市遂平县市场监督管理局</t>
  </si>
  <si>
    <t>广州盛衣邦服装有限公司</t>
  </si>
  <si>
    <t>91440101MA5AK4AM9Q</t>
  </si>
  <si>
    <t>注销（2025-09-19）</t>
  </si>
  <si>
    <t>赖炎河</t>
  </si>
  <si>
    <t>2017-10-10</t>
  </si>
  <si>
    <t>广州市番禺区南村镇登云大路9号之二403房</t>
  </si>
  <si>
    <t>番禺区</t>
  </si>
  <si>
    <t>13728600125</t>
  </si>
  <si>
    <t>13828600125;15815848036;18666000318;13380007522;15302289326</t>
  </si>
  <si>
    <t>237344561@qq.com</t>
  </si>
  <si>
    <t>2835557263@qq.com</t>
  </si>
  <si>
    <t>440126000962427</t>
  </si>
  <si>
    <t>MA5AK4AM-9</t>
  </si>
  <si>
    <t>2017-10-10 至 无固定期限</t>
  </si>
  <si>
    <t>Guangzhou Shengyibang Clothing Co., Ltd.</t>
  </si>
  <si>
    <t>广州盛衣邦服装有限公司成立于2017-10-10，法定代表人为赖炎河，注册资本为100万元，统一社会信用代码为91440101MA5AK4AM9Q，企业注册地址位于广州市番禺区南村镇登云大路9号之二403房，所属行业为纺织服装、服饰业，经营范围包含：服装服饰批发;服装服饰零售;服装辅料销售;服饰制造;服装制造;棉、麻销售;皮革制品制造;皮革制品销售;毛皮制品加工;专业设计服务;针织或钩针编织物及其制品制造;针纺织品及原料销售;针纺织品销售。企业当前经营状态为注销。</t>
  </si>
  <si>
    <t>服装服饰批发;服装服饰零售;服装辅料销售;服饰制造;服装制造;棉、麻销售;皮革制品制造;皮革制品销售;毛皮制品加工;专业设计服务;针织或钩针编织物及其制品制造;针纺织品及原料销售;针纺织品销售</t>
  </si>
  <si>
    <t>广州市番禺区市场监督管理局</t>
  </si>
  <si>
    <t>日照市冠通木业有限公司</t>
  </si>
  <si>
    <t>91371103688291562J</t>
  </si>
  <si>
    <t>陈荔煌</t>
  </si>
  <si>
    <t>4000万元</t>
  </si>
  <si>
    <t>2009-04-30</t>
  </si>
  <si>
    <t>山东省日照市岚山区碑廓镇圣公山路以东、坪岚铁路以南</t>
  </si>
  <si>
    <t>日照市</t>
  </si>
  <si>
    <t>岚山区</t>
  </si>
  <si>
    <t>0633-7616666</t>
  </si>
  <si>
    <t>18963359006;15244088888</t>
  </si>
  <si>
    <t>rzsgtmy@163.com</t>
  </si>
  <si>
    <t>371103200002007</t>
  </si>
  <si>
    <t>68829156-2</t>
  </si>
  <si>
    <t>17</t>
  </si>
  <si>
    <t>2009-04-30 至 无固定期限</t>
  </si>
  <si>
    <t>锯材加工</t>
  </si>
  <si>
    <t>Rizhao Guan TONG Woodworking Co., Ltd.</t>
  </si>
  <si>
    <t>日照市冠通木业有限公司成立于2009-04-30，法定代表人为陈荔煌，注册资本为4000万元，统一社会信用代码为91371103688291562J，企业注册地址位于山东省日照市岚山区碑廓镇圣公山路以东、坪岚铁路以南，所属行业为木材加工和木、竹、藤、棕、草制品业，经营范围包含：一般项目：木材加工；木材销售；建筑用木料及木材组件加工；门窗制造加工；家具制造；日用木制品制造；软木制品制造；地板制造；软木制品销售；建筑材料销售；日用木制品销售；门窗销售；家具销售；建筑装饰材料销售；住房租赁；土地使用权租赁；非居住房地产租赁；仓储设备租赁服务；机械设备租赁；建筑用钢筋产品销售；五金产品零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在业。</t>
  </si>
  <si>
    <t>一般项目：木材加工；木材销售；建筑用木料及木材组件加工；门窗制造加工；家具制造；日用木制品制造；软木制品制造；地板制造；软木制品销售；建筑材料销售；日用木制品销售；门窗销售；家具销售；建筑装饰材料销售；住房租赁；土地使用权租赁；非居住房地产租赁；仓储设备租赁服务；机械设备租赁；建筑用钢筋产品销售；五金产品零售。（除依法须经批准的项目外，凭营业执照依法自主开展经营活动）许可项目：货物进出口；技术进出口。（依法须经批准的项目，经相关部门批准后方可开展经营活动，具体经营项目以相关部门批准文件或许可证件为准）</t>
  </si>
  <si>
    <t>日照市岚山区市场监督管理局</t>
  </si>
  <si>
    <t>张家港市万木春木业有限公司</t>
  </si>
  <si>
    <t>913205823464455413</t>
  </si>
  <si>
    <t>蔡小保</t>
  </si>
  <si>
    <t>2015-08-11</t>
  </si>
  <si>
    <t>张家港市金港镇蟠港北路63号</t>
  </si>
  <si>
    <t>15995989636</t>
  </si>
  <si>
    <t>478197840@qq.com</t>
  </si>
  <si>
    <t>320582000371591</t>
  </si>
  <si>
    <t>34644554-1</t>
  </si>
  <si>
    <t>2015-08-11 至 无固定期限</t>
  </si>
  <si>
    <t>Zhangjiagang Wanmuchun Wood Industry Co., Ltd.</t>
  </si>
  <si>
    <t>张家港市万木春木业有限公司成立于2015-08-11，法定代表人为蔡小保，注册资本为500万元，统一社会信用代码为913205823464455413，企业注册地址位于张家港市金港镇蟠港北路63号，所属行业为批发业，经营范围包含：一般项目：木材销售；木竹材加工机械销售；竹制品销售；日用木制品销售；园林绿化工程施工；建筑材料销售；工艺美术品及礼仪用品销售（象牙及其制品除外）；针纺织品及原料销售；塑料制品销售；家居用品销售；家具零配件销售；日用品销售；人造板销售；五金产品批发；机械零件、零部件销售；金属材料销售；金属工具销售；工程管理服务；建筑装饰材料销售；玻璃纤维及制品销售；日用玻璃制品销售；货物进出口（除依法须经批准的项目外，凭营业执照依法自主开展经营活动）。企业当前经营状态为在业。</t>
  </si>
  <si>
    <t>一般项目：木材销售；木竹材加工机械销售；竹制品销售；日用木制品销售；园林绿化工程施工；建筑材料销售；工艺美术品及礼仪用品销售（象牙及其制品除外）；针纺织品及原料销售；塑料制品销售；家居用品销售；家具零配件销售；日用品销售；人造板销售；五金产品批发；机械零件、零部件销售；金属材料销售；金属工具销售；工程管理服务；建筑装饰材料销售；玻璃纤维及制品销售；日用玻璃制品销售；货物进出口（除依法须经批准的项目外，凭营业执照依法自主开展经营活动）</t>
  </si>
  <si>
    <t>江苏省张家港保税区市场监督管理局</t>
  </si>
  <si>
    <t>张家港保税区汇合发国际贸易有限公司</t>
  </si>
  <si>
    <t>91320592MA1WU3UU62</t>
  </si>
  <si>
    <t>注销（2025-12-17）</t>
  </si>
  <si>
    <t>王会旺</t>
  </si>
  <si>
    <t>2018-07-05</t>
  </si>
  <si>
    <t>张家港保税区消费品市场208-103室</t>
  </si>
  <si>
    <t>18651131900</t>
  </si>
  <si>
    <t>13301573037</t>
  </si>
  <si>
    <t>393554448@qq.com</t>
  </si>
  <si>
    <t>320592000131245</t>
  </si>
  <si>
    <t>MA1WU3UU-6</t>
  </si>
  <si>
    <t>2018-07-05 至 无固定期限</t>
  </si>
  <si>
    <t>Zhangjiagang Free Trade Zone Confluence International Trade Co., Ltd.</t>
  </si>
  <si>
    <t>张家港保税区北京路国际消费品中心大楼308-746室</t>
  </si>
  <si>
    <t>张家港保税区汇合发国际贸易有限公司成立于2018-07-05，法定代表人为王会旺，注册资本为500万元，统一社会信用代码为91320592MA1WU3UU62，企业注册地址位于张家港保税区消费品市场208-103室，所属行业为批发业，经营范围包含：货物或技术进出口（国家禁止或涉及行政审批的货物和技术进出口除外），建筑材料、五金机电、塑料制品、金属制品、木材、板材、木制品及家具的购销。（依法须经批准的项目，经相关部门批准后方可开展经营活动）
一般项目：园林绿化工程施工（除依法须经批准的项目外，凭营业执照依法自主开展经营活动）。企业当前经营状态为注销。</t>
  </si>
  <si>
    <t>货物或技术进出口（国家禁止或涉及行政审批的货物和技术进出口除外），建筑材料、五金机电、塑料制品、金属制品、木材、板材、木制品及家具的购销。（依法须经批准的项目，经相关部门批准后方可开展经营活动）
一般项目：园林绿化工程施工（除依法须经批准的项目外，凭营业执照依法自主开展经营活动）</t>
  </si>
  <si>
    <t>张家港中场木材有限公司</t>
  </si>
  <si>
    <t>91320592MA1XFGAX8D</t>
  </si>
  <si>
    <t>穆丽媛</t>
  </si>
  <si>
    <t>2018-11-13</t>
  </si>
  <si>
    <t>张家港市金港镇香山南路西侧星海货柜公司513室</t>
  </si>
  <si>
    <t>13716612044</t>
  </si>
  <si>
    <t>18920082654</t>
  </si>
  <si>
    <t>983526014@qq.com</t>
  </si>
  <si>
    <t>954183711@qq.com;13962292033@163.com</t>
  </si>
  <si>
    <t>320592000138095</t>
  </si>
  <si>
    <t>MA1XFGAX-8</t>
  </si>
  <si>
    <t>2018-11-13 至 无固定期限</t>
  </si>
  <si>
    <t>Zhangjiagang Midfield Timber Co., Ltd.</t>
  </si>
  <si>
    <t>张家港中场木材有限公司成立于2018-11-13，法定代表人为穆丽媛，注册资本为800万元，统一社会信用代码为91320592MA1XFGAX8D，企业注册地址位于张家港市金港镇香山南路西侧星海货柜公司513室，所属行业为批发业，经营范围包含：木材、板材、木制品、家具、工艺品、建材的购销，货物或技术进出口（国家禁止或涉及行政审批的货物和技术进出口除外）；园林绿化工程设计、施工；古建筑工程设计、施工。（依法须经批准的项目，经相关部门批准后方可开展经营活动）。企业当前经营状态为在业。</t>
  </si>
  <si>
    <t>木材、板材、木制品、家具、工艺品、建材的购销，货物或技术进出口（国家禁止或涉及行政审批的货物和技术进出口除外）；园林绿化工程设计、施工；古建筑工程设计、施工。（依法须经批准的项目，经相关部门批准后方可开展经营活动）</t>
  </si>
  <si>
    <t>张家港共赢木业有限公司</t>
  </si>
  <si>
    <t>91320592MA1XLW0C9K</t>
  </si>
  <si>
    <t>注销（2024-10-14）</t>
  </si>
  <si>
    <t>陆志空</t>
  </si>
  <si>
    <t>2018-12-14</t>
  </si>
  <si>
    <t>张家港市金港镇长江西路31号一层西侧门面</t>
  </si>
  <si>
    <t>18915688865</t>
  </si>
  <si>
    <t>13862220290;13861009199</t>
  </si>
  <si>
    <t>913036012@qq.com</t>
  </si>
  <si>
    <t>130360129@qq.com</t>
  </si>
  <si>
    <t>MA1XLW0C-9</t>
  </si>
  <si>
    <t>2018-12-14 至 无固定期限</t>
  </si>
  <si>
    <t>Zhangjiagang Gongying Wood Industry Co., Ltd.</t>
  </si>
  <si>
    <t>张家港共赢木业有限公司成立于2018-12-14，法定代表人为陆志空，注册资本为200万元，统一社会信用代码为91320592MA1XLW0C9K，企业注册地址位于张家港市金港镇长江西路31号一层西侧门面，所属行业为批发业，经营范围包含：原木、木材、板材、木制品、装饰装璜材料、建筑材料的购销；园林绿化工程，景观工程，古建筑工程。（依法须经批准的项目，经相关部门批准后方可开展经营活动）。企业当前经营状态为注销。</t>
  </si>
  <si>
    <t>原木、木材、板材、木制品、装饰装璜材料、建筑材料的购销；园林绿化工程，景观工程，古建筑工程。（依法须经批准的项目，经相关部门批准后方可开展经营活动）</t>
  </si>
  <si>
    <t>张家港市郑杨聚森木业有限公司</t>
  </si>
  <si>
    <t>91320582MA1UU8DUXU</t>
  </si>
  <si>
    <t>郑玉平</t>
  </si>
  <si>
    <t>2018-01-03</t>
  </si>
  <si>
    <t>张家港市金港镇香山南路28号</t>
  </si>
  <si>
    <t>18915620952</t>
  </si>
  <si>
    <t>13914915866</t>
  </si>
  <si>
    <t>18915620952@qq.com</t>
  </si>
  <si>
    <t>756967286@qq.com</t>
  </si>
  <si>
    <t>320582000510738</t>
  </si>
  <si>
    <t>MA1UU8DU-X</t>
  </si>
  <si>
    <t>2018-01-03 至 无固定期限</t>
  </si>
  <si>
    <t>Zhangjiagang Zhengyang Jusen Wood Industry Co., Ltd.</t>
  </si>
  <si>
    <t>张家港市郑杨聚森木业有限公司成立于2018-01-03，法定代表人为郑玉平，注册资本为500万元，统一社会信用代码为91320582MA1UU8DUXU，企业注册地址位于张家港市金港镇香山南路28号，所属行业为批发业，经营范围包含：原木、木材、板材购销。（依法须经批准的项目，经相关部门批准后方可开展经营活动）。企业当前经营状态为存续。</t>
  </si>
  <si>
    <t>原木、木材、板材购销。（依法须经批准的项目，经相关部门批准后方可开展经营活动）</t>
  </si>
  <si>
    <t>江苏天古国际贸易有限公司</t>
  </si>
  <si>
    <t>91320582MA1UX8JP33</t>
  </si>
  <si>
    <t>沈建</t>
  </si>
  <si>
    <t>2018-01-17</t>
  </si>
  <si>
    <t>张家港市金港镇香山北路金三角大酒店2号楼108-1</t>
  </si>
  <si>
    <t>13634056000</t>
  </si>
  <si>
    <t>0512-58640067;0512-58318418</t>
  </si>
  <si>
    <t>623019093@qq.com</t>
  </si>
  <si>
    <t>320582000514022</t>
  </si>
  <si>
    <t>MA1UX8JP-3</t>
  </si>
  <si>
    <t>2018-01-17 至 无固定期限</t>
  </si>
  <si>
    <t>Jangsu TianGu International Trade Co., Ltd.</t>
  </si>
  <si>
    <t>张家港市金港镇香山南路594号</t>
  </si>
  <si>
    <t>江苏天古国际贸易有限公司成立于2018-01-17，法定代表人为沈建，注册资本为2000万元，统一社会信用代码为91320582MA1UX8JP33，企业注册地址位于张家港市金港镇香山北路金三角大酒店2号楼108-1，所属行业为批发和零售业，经营范围包含：自营和代理各类商品及技术的进出口业务；木材及木材制品、建筑材料料、机电设备及配件、工艺品、纺织品、电子产品、日用百货、化工产品（危险品除外）、五金交电的购销。（依法须经批准的项目，经相关部门批准后方可开展经营活动）
一般项目：园林绿化工程施工（除依法须经批准的项目外，凭营业执照依法自主开展经营活动）。企业当前经营状态为在业。</t>
  </si>
  <si>
    <t>自营和代理各类商品及技术的进出口业务；木材及木材制品、建筑材料料、机电设备及配件、工艺品、纺织品、电子产品、日用百货、化工产品（危险品除外）、五金交电的购销。（依法须经批准的项目，经相关部门批准后方可开展经营活动）
一般项目：园林绿化工程施工（除依法须经批准的项目外，凭营业执照依法自主开展经营活动）</t>
  </si>
  <si>
    <t>张家港市润钿贸易有限公司</t>
  </si>
  <si>
    <t>91320582MA1Y4HBQ0A</t>
  </si>
  <si>
    <t>彭卫明</t>
  </si>
  <si>
    <t>47万元</t>
  </si>
  <si>
    <t>2019-03-25</t>
  </si>
  <si>
    <t>张家港市杨舍镇塘市梁丰机电城4幢B17</t>
  </si>
  <si>
    <t>13951135216</t>
  </si>
  <si>
    <t>MA1Y4HBQ-0</t>
  </si>
  <si>
    <t>2019-03-25 至 无固定期限</t>
  </si>
  <si>
    <t>Zhangjiagang Rundian Trading Co., Ltd.</t>
  </si>
  <si>
    <t>张家港市润钿贸易有限公司成立于2019-03-25，法定代表人为彭卫明，注册资本为50万元，统一社会信用代码为91320582MA1Y4HBQ0A，企业注册地址位于张家港市杨舍镇塘市梁丰机电城4幢B17，所属行业为批发业，经营范围包含：针织品、纺织品、纺织原料、金属制品、塑料制品、纸制品、化工产品及原料（不含危险化学品）、劳保用品、机械设备及零部件、电子产品、五金产品、润滑油、耐火材料制品购销；食用农产品批发，机械设备维修。（依法须经批准的项目，经相关部门批准后方可开展经营活动）。企业当前经营状态为在业。</t>
  </si>
  <si>
    <t>针织品、纺织品、纺织原料、金属制品、塑料制品、纸制品、化工产品及原料（不含危险化学品）、劳保用品、机械设备及零部件、电子产品、五金产品、润滑油、耐火材料制品购销；食用农产品批发，机械设备维修。（依法须经批准的项目，经相关部门批准后方可开展经营活动）</t>
  </si>
  <si>
    <t>张家港市行政审批局</t>
  </si>
  <si>
    <t>川木国际贸易（太仓）有限公司</t>
  </si>
  <si>
    <t>91320585MA225KME94</t>
  </si>
  <si>
    <t>赵巍力</t>
  </si>
  <si>
    <t>2020-08-07</t>
  </si>
  <si>
    <t>苏州市太仓市浮桥镇平江路666号</t>
  </si>
  <si>
    <t>太仓市</t>
  </si>
  <si>
    <t>18114638008</t>
  </si>
  <si>
    <t>13862280941</t>
  </si>
  <si>
    <t>752835520@163.com</t>
  </si>
  <si>
    <t>18114638008@163.com</t>
  </si>
  <si>
    <t>320585000488974</t>
  </si>
  <si>
    <t>MA225KME-9</t>
  </si>
  <si>
    <t>2020-08-07 至 无固定期限</t>
  </si>
  <si>
    <t>Chuanmu International Trade (Taicang) Co., Ltd.</t>
  </si>
  <si>
    <t>川木国际贸易（太仓）有限公司成立于2020-08-07，法定代表人为赵巍力，注册资本为20万元，统一社会信用代码为91320585MA225KME94，企业注册地址位于苏州市太仓市浮桥镇平江路666号，所属行业为批发业，经营范围包含：一般项目：货物进出口；技术进出口；进出口代理；林业产品销售；建筑材料销售；家具销售；包装材料及制品销售；木材销售；软木制品销售；日用木制品制造；建筑用木料及木材组件加工（除依法须经批准的项目外，凭营业执照依法自主开展经营活动）。企业当前经营状态为在业。</t>
  </si>
  <si>
    <t>一般项目：货物进出口；技术进出口；进出口代理；林业产品销售；建筑材料销售；家具销售；包装材料及制品销售；木材销售；软木制品销售；日用木制品制造；建筑用木料及木材组件加工（除依法须经批准的项目外，凭营业执照依法自主开展经营活动）</t>
  </si>
  <si>
    <t>太仓市数据局</t>
  </si>
  <si>
    <t>江苏长寿集团南山饲料有限公司</t>
  </si>
  <si>
    <t>91320682766540019H</t>
  </si>
  <si>
    <t>魏祝明</t>
  </si>
  <si>
    <t>2970万元</t>
  </si>
  <si>
    <t>2004-10-08</t>
  </si>
  <si>
    <t>如皋市如城街道中山东路88号</t>
  </si>
  <si>
    <t>南通市</t>
  </si>
  <si>
    <t>如皋市</t>
  </si>
  <si>
    <t>0513-82158598</t>
  </si>
  <si>
    <t>0513-80556106;15706273311;0513-82158588</t>
  </si>
  <si>
    <t>rdcsc@sina.com</t>
  </si>
  <si>
    <t>rdcsz@sina.com</t>
  </si>
  <si>
    <t>320682000079314</t>
  </si>
  <si>
    <t>76654001-9</t>
  </si>
  <si>
    <t>129</t>
  </si>
  <si>
    <t>2004-10-08 至 无固定期限</t>
  </si>
  <si>
    <t>Jiangsu Changshou Group Nanshan Stall Food Co., Ltd.</t>
  </si>
  <si>
    <t>江苏长寿集团南山饲料有限公司是集畜禽产品研发、畜禽水产养殖、饲料生产与销售、畜禽产品加工为一体的大型农牧企业，向广大养殖户提供和推荐更实用、更科学、更经济、更安全的畜禽水产养殖模式和产品。</t>
  </si>
  <si>
    <t>许可项目：饲料生产；饲料添加剂生产；粮食收购（依法须经批准的项目，经相关部门批准后方可开展经营活动，具体经营项目以审批结果为准）
一般项目：畜牧渔业饲料销售；生物饲料研发；饲料添加剂销售；肥料销售；专用化学产品销售（不含危险化学品）；农副产品销售；普通货物仓储服务（不含危险化学品等需许可审批的项目）；技术服务、技术开发、技术咨询、技术交流、技术转让、技术推广；住房租赁；非居住房地产租赁；水污染治理；生态环境材料销售；生物基材料销售；生物基材料技术研发；工业酶制剂研发；复合微生物肥料研发；生物有机肥料研发；技术推广服务（除依法须经批准的项目外，凭营业执照依法自主开展经营活动）</t>
  </si>
  <si>
    <t>如皋市行政审批局</t>
  </si>
  <si>
    <t>江苏上钢船板有限公司</t>
  </si>
  <si>
    <t>913206847961031512</t>
  </si>
  <si>
    <t>江苏上钢钢铁有限公司</t>
  </si>
  <si>
    <t>金芳煊</t>
  </si>
  <si>
    <t>35000万元</t>
  </si>
  <si>
    <t>2006-12-26</t>
  </si>
  <si>
    <t>南通市海门区滨江街道汉江路199号</t>
  </si>
  <si>
    <t>海门区</t>
  </si>
  <si>
    <t>13564839971</t>
  </si>
  <si>
    <t>13511583048</t>
  </si>
  <si>
    <t>449233635@qq.com</t>
  </si>
  <si>
    <t>1152592093@qq.com</t>
  </si>
  <si>
    <t>320684000154756</t>
  </si>
  <si>
    <t>79610315-1</t>
  </si>
  <si>
    <t>2006-12-26 至 2056-12-25</t>
  </si>
  <si>
    <t>Jiangsu Shanggang SHIP Plate Co., Ltd.</t>
  </si>
  <si>
    <t>江苏上钢船板有限公司成立于2006-12-26，法定代表人为金芳煊，注册资本为35000万元，统一社会信用代码为913206847961031512，企业注册地址位于南通市海门区滨江街道汉江路199号，所属行业为制造业，经营范围包含：钢铁中板的研究、开发、销售；高强度钢生产、销售；经营本企业自产产品及技术的出口业务和本企业所需的机械设备、零配件、原辅材料及技术的进口业务，但国家限定公司经营或禁止进出口的商品及技术除外。（依法须经批准的项目，经相关部门批准后方可开展经营活动）。企业当前经营状态为存续。</t>
  </si>
  <si>
    <t>钢铁中板的研究、开发、销售；高强度钢生产、销售；经营本企业自产产品及技术的出口业务和本企业所需的机械设备、零配件、原辅材料及技术的进口业务，但国家限定公司经营或禁止进出口的商品及技术除外。（依法须经批准的项目，经相关部门批准后方可开展经营活动）</t>
  </si>
  <si>
    <t>南通市海门区行政审批局</t>
  </si>
  <si>
    <t>江苏省镔鑫钢铁集团有限公司</t>
  </si>
  <si>
    <t>913207076709673091</t>
  </si>
  <si>
    <t>江苏省镔鑫特钢材料有限公司</t>
  </si>
  <si>
    <t>陈彬</t>
  </si>
  <si>
    <t>215000万元</t>
  </si>
  <si>
    <t>2008-02-02</t>
  </si>
  <si>
    <t>江苏省连云港市赣榆区柘汪镇响石村</t>
  </si>
  <si>
    <t>连云港市</t>
  </si>
  <si>
    <t>赣榆区</t>
  </si>
  <si>
    <t>0518-86883333</t>
  </si>
  <si>
    <t>0518-86998699;0518-86998881;0518-86998299;15062966999;15150952681;0518-86998877;18262830633</t>
  </si>
  <si>
    <t>bxgt@bxgt.com</t>
  </si>
  <si>
    <t>bxgtjt@126.com;28584418@qq.com</t>
  </si>
  <si>
    <t>320700400009375</t>
  </si>
  <si>
    <t>67096730-9</t>
  </si>
  <si>
    <t>3532</t>
  </si>
  <si>
    <t>2008-02-02 至 2058-02-01</t>
  </si>
  <si>
    <t>结构性金属制品制造</t>
  </si>
  <si>
    <t>Jiangsu Province Binxin Steel Group Co., Ltd.</t>
  </si>
  <si>
    <t>http://www.bxgt.com</t>
  </si>
  <si>
    <t>江苏省镔鑫钢铁集团有限公司成立于2008-02-02，法定代表人为陈彬，注册资本为215000万元，统一社会信用代码为913207076709673091，企业注册地址位于江苏省连云港市赣榆区柘汪镇响石村，所属行业为金属制品业，经营范围包含：定尺钢板和高层钢结构箱型柱、大型H类重钢结构和大跨度管结构生产；钢压延加工；定尺钢板和高层钢结构箱型柱、大型H类重钢结构和大跨度管结构销售；钢铁冶炼； Φ10-50mm HRB400、HRB400E、HRB500、HRB500E热轧带肋钢筋，Φ6-22mm HPB300热轧光圆钢筋和Φ10-50mm圆钢，Φ6-16mm HRB400、HRB400E、HRB500、HRB500E热轧带肋钢筋生产与销售；物流信息咨询服务；自营和代理各类商品和技术的进出口业务，但国家限定企业经营或禁止进出口的商品和技术除外。（依法须经批准的项目，经相关部门批准后方可开展经营活动）
许可项目：危险化学品经营；移动式压力容器/气瓶充装（依法须经批准的项目，经相关部门批准后方可开展经营活动，具体经营项目以审批结果为准）。企业当前经营状态为在业。</t>
  </si>
  <si>
    <t>定尺钢板和高层钢结构箱型柱、大型H类重钢结构和大跨度管结构生产；钢压延加工；定尺钢板和高层钢结构箱型柱、大型H类重钢结构和大跨度管结构销售；钢铁冶炼； Φ10-50mm HRB400、HRB400E、HRB500、HRB500E热轧带肋钢筋，Φ6-22mm HPB300热轧光圆钢筋和Φ10-50mm圆钢，Φ6-16mm HRB400、HRB400E、HRB500、HRB500E热轧带肋钢筋生产与销售；物流信息咨询服务；自营和代理各类商品和技术的进出口业务，但国家限定企业经营或禁止进出口的商品和技术除外。（依法须经批准的项目，经相关部门批准后方可开展经营活动）
许可项目：危险化学品经营；移动式压力容器/气瓶充装（依法须经批准的项目，经相关部门批准后方可开展经营活动，具体经营项目以审批结果为准）</t>
  </si>
  <si>
    <t>连云港市赣榆区数据局</t>
  </si>
  <si>
    <t>淮安双胞胎饲料有限公司</t>
  </si>
  <si>
    <t>913208040645469267</t>
  </si>
  <si>
    <t>2013-03-26</t>
  </si>
  <si>
    <t>江苏省淮阴区淮河东路188号办公楼201室</t>
  </si>
  <si>
    <t>淮安市</t>
  </si>
  <si>
    <t>淮阴区</t>
  </si>
  <si>
    <t>18170807431;18170805788;15970095935</t>
  </si>
  <si>
    <t>weihong@sbtjt.com</t>
  </si>
  <si>
    <t>weih@sbtjt.com;lubq@sbtjt.com;zhaosx@sbtjt.com;laixq@sbtjt.com</t>
  </si>
  <si>
    <t>320804000102511</t>
  </si>
  <si>
    <t>06454692-6</t>
  </si>
  <si>
    <t>29</t>
  </si>
  <si>
    <t>2013-03-26 至 无固定期限</t>
  </si>
  <si>
    <t>Huai'an Twin Feed Co., Ltd.</t>
  </si>
  <si>
    <t>淮安双胞胎饲料有限公司成立于2013-03-26，法定代表人为张昭胜，注册资本为5000万元，统一社会信用代码为913208040645469267，企业注册地址位于江苏省淮阴区淮河东路188号办公楼201室，所属行业为农副食品加工业，经营范围包含：配合饲料（畜禽）、浓缩饲料（畜禽）生产、销售，饲料原料销售（需国家审批的除外），饲料生产技术咨询。（依法须经批准的项目，经相关部门批准后方可开展经营活动）
许可项目：兽药经营（依法须经批准的项目，经相关部门批准后方可开展经营活动，具体经营项目以审批结果为准）。企业当前经营状态为在业。</t>
  </si>
  <si>
    <t>配合饲料（畜禽）、浓缩饲料（畜禽）生产、销售，饲料原料销售（需国家审批的除外），饲料生产技术咨询。（依法须经批准的项目，经相关部门批准后方可开展经营活动）
许可项目：兽药经营（依法须经批准的项目，经相关部门批准后方可开展经营活动，具体经营项目以审批结果为准）</t>
  </si>
  <si>
    <t>淮安市淮阴区政务服务管理办公室</t>
  </si>
  <si>
    <t>中山市轻纺制衣有限公司</t>
  </si>
  <si>
    <t>91442000MA4UHJ9B3N</t>
  </si>
  <si>
    <t>彭强</t>
  </si>
  <si>
    <t>110万元</t>
  </si>
  <si>
    <t>10.3万元</t>
  </si>
  <si>
    <t>2015-09-23</t>
  </si>
  <si>
    <t>中山市小榄镇九洲基八洲路11号首层之二</t>
  </si>
  <si>
    <t>18676184613</t>
  </si>
  <si>
    <t>18933327139;15014525768;18925301633</t>
  </si>
  <si>
    <t>731900472@163.com</t>
  </si>
  <si>
    <t>1015816130@qq.com;307625831@qq.com;729851943@qq.com</t>
  </si>
  <si>
    <t>442000001242234</t>
  </si>
  <si>
    <t>MA4UHJ9B-3</t>
  </si>
  <si>
    <t>2015-09-23 至 无固定期限</t>
  </si>
  <si>
    <t>Zhongshan Light Textile Clothing Co., Ltd.</t>
  </si>
  <si>
    <t>中山市小榄镇九洲基宝兴二路2号二楼</t>
  </si>
  <si>
    <t>中山市轻纺制衣有限公司成立于2015-09-23，法定代表人为彭强，注册资本为110万元，统一社会信用代码为91442000MA4UHJ9B3N，企业注册地址位于中山市小榄镇九洲基八洲路11号首层之二，所属行业为纺织服装、服饰业，经营范围包含：生产、加工、销售：服装及其辅料、内衣裤、纺织品、针织品。（依法须经批准的项目，经相关部门批准后方可开展经营活动）。企业当前经营状态为存续。</t>
  </si>
  <si>
    <t>生产、加工、销售：服装及其辅料、内衣裤、纺织品、针织品。（依法须经批准的项目，经相关部门批准后方可开展经营活动）</t>
  </si>
  <si>
    <t>湛江海大饲料有限公司</t>
  </si>
  <si>
    <t>9144088179469666X0</t>
  </si>
  <si>
    <t>王震</t>
  </si>
  <si>
    <t>1300万元</t>
  </si>
  <si>
    <t>2006-11-17</t>
  </si>
  <si>
    <t>廉江市横山镇大岭村</t>
  </si>
  <si>
    <t>廉江市</t>
  </si>
  <si>
    <t>0759-6837398</t>
  </si>
  <si>
    <t>0759-6837203</t>
  </si>
  <si>
    <t>caocl01@haid.com.cn</t>
  </si>
  <si>
    <t>zhuhl@haid.com.cn;lijingm@haid.com.cn;zhenglp@haid.com.cn;liaofp@haid.com.cn</t>
  </si>
  <si>
    <t>440881000001067</t>
  </si>
  <si>
    <t>79469666-X</t>
  </si>
  <si>
    <t>912</t>
  </si>
  <si>
    <t>2006-11-17 至 无固定期限</t>
  </si>
  <si>
    <t>Zhanjiang Haida Feedstuff Co., Ltd.</t>
  </si>
  <si>
    <t>https://www.haid.com.cn</t>
  </si>
  <si>
    <t>湛江海大饲料有限公司成立于2006-11-17，法定代表人为王震，注册资本为1300万元，统一社会信用代码为9144088179469666X0，企业注册地址位于廉江市横山镇大岭村，所属行业为农副食品加工业，经营范围包含：许可项目：饲料生产。（依法须经批准的项目，经相关部门批准后方可开展经营活动，具体经营项目以相关部门批准文件或许可证件为准）一般项目：农副产品销售；畜牧渔业饲料销售；水产品零售；技术服务、技术开发、技术咨询、技术交流、技术转让、技术推广；技术进出口；货物进出口。（除依法须经批准的项目外，凭营业执照依法自主开展经营活动）。企业当前经营状态为在业。</t>
  </si>
  <si>
    <t>许可项目：饲料生产。（依法须经批准的项目，经相关部门批准后方可开展经营活动，具体经营项目以相关部门批准文件或许可证件为准）一般项目：农副产品销售；畜牧渔业饲料销售；水产品零售；技术服务、技术开发、技术咨询、技术交流、技术转让、技术推广；技术进出口；货物进出口。（除依法须经批准的项目外，凭营业执照依法自主开展经营活动）</t>
  </si>
  <si>
    <t>廉江市市场监督管理局</t>
  </si>
  <si>
    <t>珠海市汉弘服饰有限公司</t>
  </si>
  <si>
    <t>91440400661533541P</t>
  </si>
  <si>
    <t>珠海市汉弘制衣有限公司</t>
  </si>
  <si>
    <t>廖其和</t>
  </si>
  <si>
    <t>150万元</t>
  </si>
  <si>
    <t>2007-07-12</t>
  </si>
  <si>
    <t>珠海市香洲区悦东巷88号东桥大厦1606室之二</t>
  </si>
  <si>
    <t>珠海市</t>
  </si>
  <si>
    <t>香洲区</t>
  </si>
  <si>
    <t>13727010175</t>
  </si>
  <si>
    <t>0756-8673326</t>
  </si>
  <si>
    <t>1192093943qq@com.cn</t>
  </si>
  <si>
    <t>liminxui@126.cn.com;liminxui@126.com;liminxui@126com.cn</t>
  </si>
  <si>
    <t>440400400017020</t>
  </si>
  <si>
    <t>66153354-1</t>
  </si>
  <si>
    <t>2007-07-12 至 无固定期限</t>
  </si>
  <si>
    <t>Zhuhai Hanhong Clothing Co., Ltd.</t>
  </si>
  <si>
    <t>珠海市汉弘服饰有限公司成立于2007-07-12，法定代表人为廖其和，注册资本为150万元，统一社会信用代码为91440400661533541P，企业注册地址位于珠海市香洲区悦东巷88号东桥大厦1606室之二，所属行业为纺织服装、服饰业，经营范围包含：一般项目：服装服饰批发；服装服饰零售；货物进出口。（除依法须经批准的项目外，凭营业执照依法自主开展经营活动）。企业当前经营状态为存续。</t>
  </si>
  <si>
    <t>一般项目：服装服饰批发；服装服饰零售；货物进出口。（除依法须经批准的项目外，凭营业执照依法自主开展经营活动）</t>
  </si>
  <si>
    <t>珠海市香洲区市场监督管理局</t>
  </si>
  <si>
    <t>中粮饲料（茂名）有限公司</t>
  </si>
  <si>
    <t>91440902MA4ULD554J</t>
  </si>
  <si>
    <t>700万元</t>
  </si>
  <si>
    <t>2004-09-20</t>
  </si>
  <si>
    <t>茂名市茂南城郊开发区黄竹工业区第8号大院第3栋</t>
  </si>
  <si>
    <t>茂名市</t>
  </si>
  <si>
    <t>茂南区</t>
  </si>
  <si>
    <t>13367009994</t>
  </si>
  <si>
    <t>0668-2917275;0668-2730767</t>
  </si>
  <si>
    <t>544275903@qq.com</t>
  </si>
  <si>
    <t>mmcofco@163.com;wanghg@cofco.com;sanzang1984@126.com</t>
  </si>
  <si>
    <t>440902000008307</t>
  </si>
  <si>
    <t>MA4ULD55-4</t>
  </si>
  <si>
    <t>94</t>
  </si>
  <si>
    <t>2004-09-20 至 无固定期限</t>
  </si>
  <si>
    <t>COFCO Feed (Maoming) Co., Ltd.</t>
  </si>
  <si>
    <t>中粮饲料（茂名）有限公司成立于2004-09-20，法定代表人为李平，注册资本为700万元，统一社会信用代码为91440902MA4ULD554J，企业注册地址位于茂名市茂南城郊开发区黄竹工业区第8号大院第3栋，所属行业为零售业，经营范围包含：许可项目：饲料生产；兽药经营；农业转基因生物加工；农业转基因生物产品加工。（依法须经批准的项目，经相关部门批准后方可开展经营活动，具体经营项目以相关部门批准文件或许可证件为准）一般项目：畜牧渔业饲料销售；饲料原料销售；饲料添加剂销售；物业管理；住房租赁；技术服务、技术开发、技术咨询、技术交流、技术转让、技术推广；普通货物仓储服务（不含危险化学品等需许可审批的项目）；鱼病防治服务；化工产品销售（不含许可类化工产品）；生物饲料研发；生态环境材料销售。（除依法须经批准的项目外，凭营业执照依法自主开展经营活动）。企业当前经营状态为存续。</t>
  </si>
  <si>
    <t>许可项目：饲料生产；兽药经营；农业转基因生物加工；农业转基因生物产品加工。（依法须经批准的项目，经相关部门批准后方可开展经营活动，具体经营项目以相关部门批准文件或许可证件为准）一般项目：畜牧渔业饲料销售；饲料原料销售；饲料添加剂销售；物业管理；住房租赁；技术服务、技术开发、技术咨询、技术交流、技术转让、技术推广；普通货物仓储服务（不含危险化学品等需许可审批的项目）；鱼病防治服务；化工产品销售（不含许可类化工产品）；生物饲料研发；生态环境材料销售。（除依法须经批准的项目外，凭营业执照依法自主开展经营活动）</t>
  </si>
  <si>
    <t>茂名市茂南区市场监督管理局</t>
  </si>
  <si>
    <t>鼎湖永盛化纤纺织印染厂有限公司</t>
  </si>
  <si>
    <t>914412006178498486</t>
  </si>
  <si>
    <t>鼎湖永盛化纤厂有限公司,
鼎湖永泰化纤厂有限公司</t>
  </si>
  <si>
    <t>SONG JIMMY</t>
  </si>
  <si>
    <t>11560万美元</t>
  </si>
  <si>
    <t>1995-01-19</t>
  </si>
  <si>
    <t>广东省肇庆市鼎湖区莲花镇开发区</t>
  </si>
  <si>
    <t>肇庆市</t>
  </si>
  <si>
    <t>鼎湖区</t>
  </si>
  <si>
    <t>0758-2611688</t>
  </si>
  <si>
    <t>0758-2612791;0758-2612846;0758-2613851;0758-2612849;0758-2614809</t>
  </si>
  <si>
    <t>yongshengcg@163.com</t>
  </si>
  <si>
    <t>有限责任公司（外国自然人独资）</t>
  </si>
  <si>
    <t>441200400008514</t>
  </si>
  <si>
    <t>61784984-8</t>
  </si>
  <si>
    <t>687</t>
  </si>
  <si>
    <t>1995-01-19 至 无固定期限</t>
  </si>
  <si>
    <t>棉印染精加工</t>
  </si>
  <si>
    <t>Dinghu Yongsheng Textile Pty.,ltd.</t>
  </si>
  <si>
    <t>鼎湖永盛化纤纺织印染厂有限公司成立于1995-01-19，法定代表人为SONG JIMMY，注册资本为11560万美元，统一社会信用代码为914412006178498486，企业注册地址位于广东省肇庆市鼎湖区莲花镇开发区，所属行业为纺织业，经营范围包含：一般项目：面料纺织加工；面料印染加工；以自有资金从事投资活动。（除依法须经批准的项目外，凭营业执照依法自主开展经营活动）【以上项目不涉及外商投资准入特别管理措施】。企业当前经营状态为存续。</t>
  </si>
  <si>
    <t>一般项目：面料纺织加工；面料印染加工；以自有资金从事投资活动。（除依法须经批准的项目外，凭营业执照依法自主开展经营活动）【以上项目不涉及外商投资准入特别管理措施】</t>
  </si>
  <si>
    <t>肇庆市市场监督管理局</t>
  </si>
  <si>
    <t>汕头市荣和纺织有限公司</t>
  </si>
  <si>
    <t>91440513764922603Q</t>
  </si>
  <si>
    <t>潮阳市谷饶上堡荣和木材制品厂,
潮阳市谷饶上堡荣和针织服装厂,
潮阳县谷饶上堡荣和木材制品厂</t>
  </si>
  <si>
    <t>张和雄</t>
  </si>
  <si>
    <t>138万元</t>
  </si>
  <si>
    <t>1990-09-28</t>
  </si>
  <si>
    <t>汕头市潮阳区谷饶镇上堡居委树香路中段东侧3号北栋</t>
  </si>
  <si>
    <t>汕头市</t>
  </si>
  <si>
    <t>潮阳区</t>
  </si>
  <si>
    <t>13715972711</t>
  </si>
  <si>
    <t>13417010655;0754-89391035;0754-87636578;15918969755</t>
  </si>
  <si>
    <t>13715972711@163.com</t>
  </si>
  <si>
    <t>13417010655@163.com;13417010655@139.com;524505760@qq.com</t>
  </si>
  <si>
    <t>440582000008475</t>
  </si>
  <si>
    <t>76492260-3</t>
  </si>
  <si>
    <t>20</t>
  </si>
  <si>
    <t>1990-09-28 至 无固定期限</t>
  </si>
  <si>
    <t>Shantou Ronghe Textile Co., Ltd.</t>
  </si>
  <si>
    <t>汕头市荣和纺织有限公司成立于1990-09-28，法定代表人为张和雄，注册资本为138万元，统一社会信用代码为91440513764922603Q，企业注册地址位于汕头市潮阳区谷饶镇上堡居委树香路中段东侧3号北栋，所属行业为纺织服装、服饰业，经营范围包含：一般项目：针纺织品及原料销售；纺织品制造服饰制造；服装服饰批发；服装服饰零售；母婴用品制造；母婴用品销售；绣花加工；服装辅料制造；服装辅料销售；机械设备销售；机械设备租赁；电子产品销售；家居用品销售；化妆品批发；化妆品零售；通讯设备销售；办公用品销售；文具用品零售；文具用品批发；日用百货销售；互联网销售（除销售需要许可的商品）；货物进出口；技术进出口；市场营销策划。企业当前经营状态为在业。</t>
  </si>
  <si>
    <t>一般项目：针纺织品及原料销售；纺织品制造服饰制造；服装服饰批发；服装服饰零售；母婴用品制造；母婴用品销售；绣花加工；服装辅料制造；服装辅料销售；机械设备销售；机械设备租赁；电子产品销售；家居用品销售；化妆品批发；化妆品零售；通讯设备销售；办公用品销售；文具用品零售；文具用品批发；日用百货销售；互联网销售（除销售需要许可的商品）；货物进出口；技术进出口；市场营销策划。</t>
  </si>
  <si>
    <t>汕头市潮阳区市场监督管理局</t>
  </si>
  <si>
    <t>广东樱乃儿服饰有限公司</t>
  </si>
  <si>
    <t>91440514757884928L</t>
  </si>
  <si>
    <t>汕头市樱乃儿实业有限公司</t>
  </si>
  <si>
    <t>林瑞玲</t>
  </si>
  <si>
    <t>1010万元</t>
  </si>
  <si>
    <t>2004-01-02</t>
  </si>
  <si>
    <t>汕头市潮南区峡山董塘工业区</t>
  </si>
  <si>
    <t>潮南区</t>
  </si>
  <si>
    <t>0754-87755656</t>
  </si>
  <si>
    <t>0754-87793622;0754-87768688;13829510022;13360163338</t>
  </si>
  <si>
    <t>13829510022@139.com</t>
  </si>
  <si>
    <t>440581000012449</t>
  </si>
  <si>
    <t>75788492-8</t>
  </si>
  <si>
    <t>26</t>
  </si>
  <si>
    <t>2004-01-02 至 无固定期限</t>
  </si>
  <si>
    <t>Shantou Yingnai Industry Co., Ltd.</t>
  </si>
  <si>
    <t>https://www.mulong.com</t>
  </si>
  <si>
    <t>广东樱乃儿服饰有限公司成立于2004-01-02，法定代表人为林瑞玲，注册资本为1010万元，统一社会信用代码为91440514757884928L，企业注册地址位于汕头市潮南区峡山董塘工业区，所属行业为纺织服装、服饰业，经营范围包含：一般项目：服装制造；家用纺织制成品制造；产业用纺织制成品制造；服装服饰批发；针纺织品及原料销售；家用电器销售；家用电器零配件销售；日用百货销售；五金产品批发；文具用品零售；化妆品批发；互联网销售（除销售需要许可的商品）；货物进出口；技术进出口（除依法须经批准的项目外，凭营业执照依法自主开展经营活动）。企业当前经营状态为存续。</t>
  </si>
  <si>
    <t>一般项目：服装制造；家用纺织制成品制造；产业用纺织制成品制造；服装服饰批发；针纺织品及原料销售；家用电器销售；家用电器零配件销售；日用百货销售；五金产品批发；文具用品零售；化妆品批发；互联网销售（除销售需要许可的商品）；货物进出口；技术进出口（除依法须经批准的项目外，凭营业执照依法自主开展经营活动）</t>
  </si>
  <si>
    <t>汕头市潮南区市场监督管理局</t>
  </si>
  <si>
    <t>阳西温氏禽畜有限公司</t>
  </si>
  <si>
    <t>91441721797756680Q</t>
  </si>
  <si>
    <t>梁志勇</t>
  </si>
  <si>
    <t>1250万元</t>
  </si>
  <si>
    <t>2007-01-26</t>
  </si>
  <si>
    <t>阳西县五里坡B5地块</t>
  </si>
  <si>
    <t>阳江市</t>
  </si>
  <si>
    <t>阳西县</t>
  </si>
  <si>
    <t>0662-5887838</t>
  </si>
  <si>
    <t>0662-5885888;0662-5883818</t>
  </si>
  <si>
    <t>yi723@126.com</t>
  </si>
  <si>
    <t>445677885@qq.com;yxyzwens@163.com;121476195@qq.com</t>
  </si>
  <si>
    <t>441721000001320</t>
  </si>
  <si>
    <t>79775668-0</t>
  </si>
  <si>
    <t>165</t>
  </si>
  <si>
    <t>2007-01-26 至 无固定期限</t>
  </si>
  <si>
    <t>Yangxi Wenshi Poultry and Livestock Co., Ltd.</t>
  </si>
  <si>
    <t>https://www.wens.com.cn</t>
  </si>
  <si>
    <t>阳西温氏禽畜有限公司成立于2007-01-26，法定代表人为梁志勇，注册资本为1250万元，统一社会信用代码为91441721797756680Q，企业注册地址位于阳西县五里坡B5地块，所属行业为畜牧业，经营范围包含：商品代鸡苗、肉鸡、种鸡、商品代猪苗、肉猪、种猪、猪精液的生产及销售；肉猪产品的销售；配合饲料生产及销售；饲用农产品（玉米初加工）生产及销售。（依法须经批准的项目，经相关部门批准后方可开展经营活动）。企业当前经营状态为存续。</t>
  </si>
  <si>
    <t>商品代鸡苗、肉鸡、种鸡、商品代猪苗、肉猪、种猪、猪精液的生产及销售；肉猪产品的销售；配合饲料生产及销售；饲用农产品（玉米初加工）生产及销售。（依法须经批准的项目，经相关部门批准后方可开展经营活动）</t>
  </si>
  <si>
    <t>阳西县市场监督管理局</t>
  </si>
  <si>
    <t>佛山市唯安如纺织品有限公司</t>
  </si>
  <si>
    <t>91440605MA5189FL2R</t>
  </si>
  <si>
    <t>注销（2025-01-14）</t>
  </si>
  <si>
    <t>陈俊西</t>
  </si>
  <si>
    <t>2018-01-10</t>
  </si>
  <si>
    <t>佛山市南海区大沥镇盐步平地村委会“原平地中学”的平地轻纺城1F-C15（住所申报）</t>
  </si>
  <si>
    <t>南海区</t>
  </si>
  <si>
    <t>18033245777</t>
  </si>
  <si>
    <t>18566459149;15015542669</t>
  </si>
  <si>
    <t>1316244046@qq.com</t>
  </si>
  <si>
    <t>440682001031337</t>
  </si>
  <si>
    <t>MA5189FL-2</t>
  </si>
  <si>
    <t>2018-01-10 至 无固定期限</t>
  </si>
  <si>
    <t>Foshan Weianru Textile Co., Ltd.</t>
  </si>
  <si>
    <t>佛山市唯安如纺织品有限公司成立于2018-01-10，法定代表人为陈俊西，注册资本为100万元，统一社会信用代码为91440605MA5189FL2R，企业注册地址位于佛山市南海区大沥镇盐步平地村委会“原平地中学”的平地轻纺城1F-C15（住所申报），所属行业为批发业，经营范围包含：纺织品、针织品及原料批发；纺织品及针织品零售。（依法须经批准的项目，经相关部门批准后方可开展经营活动。）（依法须经批准的项目，经相关部门批准后方可开展经营活动）。企业当前经营状态为注销。</t>
  </si>
  <si>
    <t>纺织品、针织品及原料批发；纺织品及针织品零售。（依法须经批准的项目，经相关部门批准后方可开展经营活动。）（依法须经批准的项目，经相关部门批准后方可开展经营活动）</t>
  </si>
  <si>
    <t>佛山市南海区市场监督管理局</t>
  </si>
  <si>
    <t>东莞市耀成服饰有限公司</t>
  </si>
  <si>
    <t>91441900MA4UPKMU8J</t>
  </si>
  <si>
    <t>刘耀田</t>
  </si>
  <si>
    <t>2016-05-16</t>
  </si>
  <si>
    <t>广东省东莞市茶山镇茶山沿溪路71号之二1号楼201室</t>
  </si>
  <si>
    <t>东莞市</t>
  </si>
  <si>
    <t>13802458883</t>
  </si>
  <si>
    <t>18925783901;0769-86647218</t>
  </si>
  <si>
    <t>52258378@qq.com</t>
  </si>
  <si>
    <t>441900003075339</t>
  </si>
  <si>
    <t>MA4UPKMU-8</t>
  </si>
  <si>
    <t>15</t>
  </si>
  <si>
    <t>2016-05-16 至 无固定期限</t>
  </si>
  <si>
    <t>Dongguan Yaocheng Clothing Co., Ltd.</t>
  </si>
  <si>
    <t>广东省东莞市茶山镇茶山沿溪路80号402室</t>
  </si>
  <si>
    <t>东莞市耀成服饰有限公司成立于2016-05-16，法定代表人为刘耀田，注册资本为50万元，统一社会信用代码为91441900MA4UPKMU8J，企业注册地址位于广东省东莞市茶山镇茶山沿溪路71号之二1号楼201室，所属行业为纺织服装、服饰业，经营范围包含：一般项目：服装服饰批发；服装制造；服饰制造；服装辅料制造；服装辅料销售；技术进出口；货物进出口。（除依法须经批准的项目外，凭营业执照依法自主开展经营活动）。企业当前经营状态为存续。</t>
  </si>
  <si>
    <t>一般项目：服装服饰批发；服装制造；服饰制造；服装辅料制造；服装辅料销售；技术进出口；货物进出口。（除依法须经批准的项目外，凭营业执照依法自主开展经营活动）</t>
  </si>
  <si>
    <t>东莞市市场监督管理局</t>
  </si>
  <si>
    <t>广州秀溪纺织服装有限公司</t>
  </si>
  <si>
    <t>91440183MA59AG440G</t>
  </si>
  <si>
    <t>谭建强</t>
  </si>
  <si>
    <t>2015-10-29</t>
  </si>
  <si>
    <t>广州市增城区新塘镇国贸中心一街26号2楼</t>
  </si>
  <si>
    <t>13725240695</t>
  </si>
  <si>
    <t>13800138000;18676938181</t>
  </si>
  <si>
    <t>13800138000@qq.com</t>
  </si>
  <si>
    <t>1232132@126.com;18676938181@126.com;879136434@qq.com</t>
  </si>
  <si>
    <t>440125000205603</t>
  </si>
  <si>
    <t>MA59AG44-0</t>
  </si>
  <si>
    <t>2015-10-29 至 无固定期限</t>
  </si>
  <si>
    <t>Guangzhou Xiuxi Textile and Clothing Co., Ltd.</t>
  </si>
  <si>
    <t>广州秀溪纺织服装有限公司成立于2015-10-29，法定代表人为谭建强，注册资本为100万元，统一社会信用代码为91440183MA59AG440G，企业注册地址位于广州市增城区新塘镇国贸中心一街26号2楼，所属行业为批发业，经营范围包含：纺织品、针织品及原料批发;服装批发;纺织品及针织品零售;服装零售;商品批发贸易（许可审批类商品除外）;商品零售贸易（许可审批类商品除外）。企业当前经营状态为存续。</t>
  </si>
  <si>
    <t>纺织品、针织品及原料批发;服装批发;纺织品及针织品零售;服装零售;商品批发贸易（许可审批类商品除外）;商品零售贸易（许可审批类商品除外）</t>
  </si>
  <si>
    <t>东莞市建丰针织有限公司</t>
  </si>
  <si>
    <t>91441900MA4W75UY4W</t>
  </si>
  <si>
    <t>张辉灵</t>
  </si>
  <si>
    <t>2017-02-13</t>
  </si>
  <si>
    <t>东莞市大朗镇高英村高英路138号A栋</t>
  </si>
  <si>
    <t>13712253788</t>
  </si>
  <si>
    <t>0769-89363277</t>
  </si>
  <si>
    <t>469264150@qq.com</t>
  </si>
  <si>
    <t>441900003731217</t>
  </si>
  <si>
    <t>MA4W75UY-4</t>
  </si>
  <si>
    <t>2017-02-13 至 无固定期限</t>
  </si>
  <si>
    <t>Dongguan Jianfeng Knitting Co., Ltd.</t>
  </si>
  <si>
    <t>东莞市建丰针织有限公司成立于2017-02-13，法定代表人为张辉灵，注册资本为100万元，统一社会信用代码为91441900MA4W75UY4W，企业注册地址位于东莞市大朗镇高英村高英路138号A栋，所属行业为纺织业，经营范围包含：产销：针织品、毛织品、服装、鞋、帽、袜；销售：针织机械及其配件、纺织原料、纸制品、五金制品；货物进出口、技术进出口。（依法须经批准的项目，经相关部门批准后方可开展经营活动）。企业当前经营状态为在业。</t>
  </si>
  <si>
    <t>产销：针织品、毛织品、服装、鞋、帽、袜；销售：针织机械及其配件、纺织原料、纸制品、五金制品；货物进出口、技术进出口。（依法须经批准的项目，经相关部门批准后方可开展经营活动）</t>
  </si>
  <si>
    <t>东莞市龙杏服装辅料有限公司</t>
  </si>
  <si>
    <t>91441900MA4WCULX4R</t>
  </si>
  <si>
    <t>注销（2024-10-09）</t>
  </si>
  <si>
    <t>谢添龙</t>
  </si>
  <si>
    <t>2017-03-31</t>
  </si>
  <si>
    <t>广东省东莞市石碣镇蟠桃路4号403室</t>
  </si>
  <si>
    <t>13686608809</t>
  </si>
  <si>
    <t>13829295488</t>
  </si>
  <si>
    <t>441900003870382</t>
  </si>
  <si>
    <t>MA4WCULX-4</t>
  </si>
  <si>
    <t>2017-03-31 至 无固定期限</t>
  </si>
  <si>
    <t>Dongguan Longxing Clothing Accessories Co., Ltd.</t>
  </si>
  <si>
    <t>东莞市龙杏服装辅料有限公司成立于2017-03-31，法定代表人为谢添龙，注册资本为50万元，统一社会信用代码为91441900MA4WCULX4R，企业注册地址位于广东省东莞市石碣镇蟠桃路4号403室，所属行业为批发业，经营范围包含：销售：线、绣花、棉纱、布、玩具、服装、五金制品。（依法须经批准的项目，经相关部门批准后方可开展经营活动）。企业当前经营状态为注销。</t>
  </si>
  <si>
    <t>销售：线、绣花、棉纱、布、玩具、服装、五金制品。（依法须经批准的项目，经相关部门批准后方可开展经营活动）</t>
  </si>
  <si>
    <t>东莞市瑞鹰服饰有限公司</t>
  </si>
  <si>
    <t>91441900MA4X83YB20</t>
  </si>
  <si>
    <t>陈垭英</t>
  </si>
  <si>
    <t>2017-10-19</t>
  </si>
  <si>
    <t>东莞市沙田镇稔洲村水上小组山边路530号二楼</t>
  </si>
  <si>
    <t>13650182673</t>
  </si>
  <si>
    <t>13729967399</t>
  </si>
  <si>
    <t>3048686901@qq.com</t>
  </si>
  <si>
    <t>441900004444250</t>
  </si>
  <si>
    <t>MA4X83YB-2</t>
  </si>
  <si>
    <t>2017-10-19 至 无固定期限</t>
  </si>
  <si>
    <t>Dongguan Ruiying Clothing Co., Ltd.</t>
  </si>
  <si>
    <t>东莞市瑞鹰服饰有限公司成立于2017-10-19，法定代表人为陈垭英，注册资本为100万元，统一社会信用代码为91441900MA4X83YB20，企业注册地址位于东莞市沙田镇稔洲村水上小组山边路530号二楼，所属行业为纺织服装、服饰业，经营范围包含：产销：服饰、服装、布料、服装辅料、鞋、帽、袜、皮具、箱包、围巾、饰品。（依法须经批准的项目，经相关部门批准后方可开展经营活动）。企业当前经营状态为在业。</t>
  </si>
  <si>
    <t>产销：服饰、服装、布料、服装辅料、鞋、帽、袜、皮具、箱包、围巾、饰品。（依法须经批准的项目，经相关部门批准后方可开展经营活动）</t>
  </si>
  <si>
    <t>东莞市荣信制衣有限公司</t>
  </si>
  <si>
    <t>91441900MA52Q08G1U</t>
  </si>
  <si>
    <t>注销（2025-03-26）</t>
  </si>
  <si>
    <t>肖恒武</t>
  </si>
  <si>
    <t>15.1093万元</t>
  </si>
  <si>
    <t>2018-12-29</t>
  </si>
  <si>
    <t>广东省东莞市横沥镇维实东路6号1号楼201房</t>
  </si>
  <si>
    <t>0769-83799518</t>
  </si>
  <si>
    <t>lun@prestigegmt.com</t>
  </si>
  <si>
    <t>MA52Q08G-1</t>
  </si>
  <si>
    <t>2018-12-29 至 无固定期限</t>
  </si>
  <si>
    <t>Dongguan Rongxin Clothing Co., Ltd.</t>
  </si>
  <si>
    <t>东莞市荣信制衣有限公司成立于2018-12-29，法定代表人为肖恒武，注册资本为100万元，统一社会信用代码为91441900MA52Q08G1U，企业注册地址位于广东省东莞市横沥镇维实东路6号1号楼201房，所属行业为纺织服装、服饰业，经营范围包含：加工、销售：服装、服装辅料。（依法须经批准的项目，经相关部门批准后方可开展经营活动）。企业当前经营状态为注销。</t>
  </si>
  <si>
    <t>加工、销售：服装、服装辅料。（依法须经批准的项目，经相关部门批准后方可开展经营活动）</t>
  </si>
  <si>
    <t>东莞市志翔服饰有限公司</t>
  </si>
  <si>
    <t>91441900MA53WB513J</t>
  </si>
  <si>
    <t>高英端</t>
  </si>
  <si>
    <t>2019-10-14</t>
  </si>
  <si>
    <t>广东省东莞市大朗镇巷头富康北一巷12号01铺</t>
  </si>
  <si>
    <t>13712416968</t>
  </si>
  <si>
    <t>13712416968@139.com</t>
  </si>
  <si>
    <t>MA53WB51-3</t>
  </si>
  <si>
    <t>2019-10-14 至 无固定期限</t>
  </si>
  <si>
    <t>Dongguan Zhixiang Clothing Co., Ltd.</t>
  </si>
  <si>
    <t>东莞市志翔服饰有限公司成立于2019-10-14，法定代表人为高英端，注册资本为100万元，统一社会信用代码为91441900MA53WB513J，企业注册地址位于广东省东莞市大朗镇巷头富康北一巷12号01铺，所属行业为纺织服装、服饰业，经营范围包含：生产、加工、设计、销售、网上销售：服饰、服装、毛织品、针织品、纺织品、鞋、袜、围巾、帽、饰品、服装辅料。（依法须经批准的项目，经相关部门批准后方可开展经营活动）。企业当前经营状态为在业。</t>
  </si>
  <si>
    <t>生产、加工、设计、销售、网上销售：服饰、服装、毛织品、针织品、纺织品、鞋、袜、围巾、帽、饰品、服装辅料。（依法须经批准的项目，经相关部门批准后方可开展经营活动）</t>
  </si>
  <si>
    <t>佛山市高明区艺海雕刻工艺厂</t>
  </si>
  <si>
    <t>91440608714847588F</t>
  </si>
  <si>
    <t>关国兴</t>
  </si>
  <si>
    <t>5万元</t>
  </si>
  <si>
    <t>1994-05-23</t>
  </si>
  <si>
    <t>佛山市高明区荷城街道荷香路90号首层车间3及二层</t>
  </si>
  <si>
    <t>高明区</t>
  </si>
  <si>
    <t>0757-88829674</t>
  </si>
  <si>
    <t>13435408099</t>
  </si>
  <si>
    <t>974752278@qq.com</t>
  </si>
  <si>
    <t>97475278@qq.com</t>
  </si>
  <si>
    <t>440684000020326</t>
  </si>
  <si>
    <t>71484758-8</t>
  </si>
  <si>
    <t>1994-05-23 至 无固定期限</t>
  </si>
  <si>
    <t>Foshan Gaoming District Yihai Carving Craft Factory</t>
  </si>
  <si>
    <t>来料加工、销售、装修：木雕工艺，傢俬，室内装修。（依法须经批准的项目，经相关部门批准后方可开展经营活动。）（依法须经批准的项目，经相关部门批准后方可开展经营活动）</t>
  </si>
  <si>
    <t>佛山市高明区市场监督管理局</t>
  </si>
  <si>
    <t>香港润成（开平）整染厂</t>
  </si>
  <si>
    <t>914407006177548813</t>
  </si>
  <si>
    <t>吴荣熹</t>
  </si>
  <si>
    <t>2750万美元</t>
  </si>
  <si>
    <t>2570万美元</t>
  </si>
  <si>
    <t>1990-07-15</t>
  </si>
  <si>
    <t>开平市三埠长沙东郊东明路8号</t>
  </si>
  <si>
    <t>开平市</t>
  </si>
  <si>
    <t>0750-2218333</t>
  </si>
  <si>
    <t>fanghl@yuenshinghk.com</t>
  </si>
  <si>
    <t>440700400021778</t>
  </si>
  <si>
    <t>61775488-1</t>
  </si>
  <si>
    <t>230</t>
  </si>
  <si>
    <t>1990-07-15 至 2030-07-14</t>
  </si>
  <si>
    <t>Hongkong Runcheng (Kp) Dyeing &amp; Finishing FACTORY</t>
  </si>
  <si>
    <t>http://www.yuenshing.com</t>
  </si>
  <si>
    <t>香港润成（开平）整染厂成立于1990-07-15，法定代表人为吴荣熹，注册资本为2750万美元，统一社会信用代码为914407006177548813，企业注册地址位于开平市三埠长沙东郊东明路8号，所属行业为纺织业，经营范围包含：生产经营布料整染业务及针织胚布系列。（依法须经批准的项目，经相关部门批准后方可开展经营活动）。企业当前经营状态为在业。</t>
  </si>
  <si>
    <t>生产经营布料整染业务及针织胚布系列。（依法须经批准的项目，经相关部门批准后方可开展经营活动）</t>
  </si>
  <si>
    <t>江门市市场监督管理局</t>
  </si>
  <si>
    <t>佛山市思绪飞扬纺织品贸易有限公司</t>
  </si>
  <si>
    <t>91440604MA56182A3R</t>
  </si>
  <si>
    <t>周源</t>
  </si>
  <si>
    <t>佛山市禅城区张槎街道弼唐北便新村九巷三号301（住所申报）</t>
  </si>
  <si>
    <t>13536697027</t>
  </si>
  <si>
    <t>13536697027@139.com</t>
  </si>
  <si>
    <t>MA56182A-3</t>
  </si>
  <si>
    <t>Foshan Sixu Feiyang Textile Trading Co., Ltd.</t>
  </si>
  <si>
    <t>佛山市思绪飞扬纺织品贸易有限公司成立于2021-03-04，法定代表人为周源，注册资本为100万元，统一社会信用代码为91440604MA56182A3R，企业注册地址位于佛山市禅城区张槎街道弼唐北便新村九巷三号301（住所申报），所属行业为批发业，经营范围包含：一般项目：针纺织品及原料销售。（除依法须经批准的项目外，凭营业执照依法自主开展经营活动）。企业当前经营状态为在业。</t>
  </si>
  <si>
    <t>一般项目：针纺织品及原料销售。（除依法须经批准的项目外，凭营业执照依法自主开展经营活动）</t>
  </si>
  <si>
    <t>中山市东林毛织制衣有限公司</t>
  </si>
  <si>
    <t>91442000062185231N</t>
  </si>
  <si>
    <t>钟东初</t>
  </si>
  <si>
    <t>30万元</t>
  </si>
  <si>
    <t>2013-03-14</t>
  </si>
  <si>
    <t>中山市沙溪镇岗背村康乐南路隆都布碎仓库左侧厂房2-3层</t>
  </si>
  <si>
    <t>15913388881</t>
  </si>
  <si>
    <t>13420253999</t>
  </si>
  <si>
    <t>634697917@qq.com</t>
  </si>
  <si>
    <t>442000000788633</t>
  </si>
  <si>
    <t>06218523-1</t>
  </si>
  <si>
    <t>2013-03-14 至 2033-03-07</t>
  </si>
  <si>
    <t>Zhongshan Donglin Woolen Garment Co., Ltd.</t>
  </si>
  <si>
    <t>中山市东林毛织制衣有限公司成立于2013-03-14，法定代表人为钟东初，注册资本为30万元，统一社会信用代码为91442000062185231N，企业注册地址位于中山市沙溪镇岗背村康乐南路隆都布碎仓库左侧厂房2-3层，所属行业为纺织服装、服饰业，经营范围包含：生产、加工、销售：服装、服饰、毛衫。（依法须经批准的项目，经相关部门批准后方可开展经营活动。）（依法须经批准的项目，经相关部门批准后方可开展经营活动）。企业当前经营状态为在业。</t>
  </si>
  <si>
    <t>生产、加工、销售：服装、服饰、毛衫。（依法须经批准的项目，经相关部门批准后方可开展经营活动。）（依法须经批准的项目，经相关部门批准后方可开展经营活动）</t>
  </si>
  <si>
    <t>长春吉粮天裕生物工程有限公司</t>
  </si>
  <si>
    <t>912201017765862051</t>
  </si>
  <si>
    <t>崔喜贵</t>
  </si>
  <si>
    <t>372300.45万元</t>
  </si>
  <si>
    <t>2006-01-06</t>
  </si>
  <si>
    <t>长春市高新技术产业开发区硅谷大街5666号生产力大厦A座1002-1012、1102-1112号</t>
  </si>
  <si>
    <t>长春高新技术产业开发区</t>
  </si>
  <si>
    <t>13944528066</t>
  </si>
  <si>
    <t>0431-85858108;0431-85858151;0431-81788100;0432-81990084;0432-81990123</t>
  </si>
  <si>
    <t>527885799@qq.com</t>
  </si>
  <si>
    <t>10059007@sdic.com.cn;1065040490@qq.com;3601446505@qq.com;516647177@qq.com;779032444@qq.com</t>
  </si>
  <si>
    <t>22018201000031X</t>
  </si>
  <si>
    <t>77658620-5</t>
  </si>
  <si>
    <t>39</t>
  </si>
  <si>
    <t>酒精制造</t>
  </si>
  <si>
    <t>Changchun Jiliang TIANYU BIOLOGY Engineering Co., Ltd.</t>
  </si>
  <si>
    <t>长春吉粮天裕生物工程有限公司成立于2006-01-06，法定代表人为崔喜贵，注册资本为372300.45万元，统一社会信用代码为912201017765862051，企业注册地址位于长春市高新技术产业开发区硅谷大街5666号生产力大厦A座1002-1012、1102-1112号，所属行业为酒、饮料和精制茶制造业，经营范围包含：变性乙醇、无水乙醇、液体消毒剂、食用酒精、药用酒精、饲料生产、销售（仅限取得许可证的分公司经营）；有机肥、二氧化碳生产、销售；粮食、农副产品收购、销售；物流信息咨询；货物及技术进出口；从事智能科技、计算机科技、环保科技、农业科技、能源科技领域内的技术开发、技术咨询、技术服务、技术转让；会计、审计及税务服务；食品经营；饲料原料销售；饲料添加剂销售；食品添加剂销售；化工产品销售（不含许可类化工产品）（依法须经批准的项目，经相关部门批准后方可开展经营活动）。企业当前经营状态为存续。</t>
  </si>
  <si>
    <t>变性乙醇、无水乙醇、液体消毒剂、食用酒精、药用酒精、饲料生产、销售（仅限取得许可证的分公司经营）；有机肥、二氧化碳生产、销售；粮食、农副产品收购、销售；物流信息咨询；货物及技术进出口；从事智能科技、计算机科技、环保科技、农业科技、能源科技领域内的技术开发、技术咨询、技术服务、技术转让；会计、审计及税务服务；食品经营；饲料原料销售；饲料添加剂销售；食品添加剂销售；化工产品销售（不含许可类化工产品）（依法须经批准的项目，经相关部门批准后方可开展经营活动）。</t>
  </si>
  <si>
    <t>长春市市场监督管理局长春新区分局</t>
  </si>
  <si>
    <t>北大荒商贸集团遵义三粮农业发展有限公司</t>
  </si>
  <si>
    <t>91520393MA6H77UX1T</t>
  </si>
  <si>
    <t>北大荒商贸集团遵义北大荒川义农业发展有限公司,
遵义北大荒川义农业发展有限公司</t>
  </si>
  <si>
    <t>徐彦东</t>
  </si>
  <si>
    <t>4082万元</t>
  </si>
  <si>
    <t>2018-08-30</t>
  </si>
  <si>
    <t>贵州省遵义市播州区龙坑街道谢家社区（苟江经济开发区）</t>
  </si>
  <si>
    <t>遵义市</t>
  </si>
  <si>
    <t>播州区</t>
  </si>
  <si>
    <t>15599286669</t>
  </si>
  <si>
    <t>0851-23214140</t>
  </si>
  <si>
    <t>765233224@qq.com</t>
  </si>
  <si>
    <t>1295242088@qq.com</t>
  </si>
  <si>
    <t>MA6H77UX-1</t>
  </si>
  <si>
    <t>2018-08-30 至 无固定期限</t>
  </si>
  <si>
    <t>其他谷物种植</t>
  </si>
  <si>
    <t>Beidahuang Trading Group Zunyi Sanliang Agricultural Development Co., Ltd.</t>
  </si>
  <si>
    <t>和平大道谢家社区（苟江经济开发区）</t>
  </si>
  <si>
    <t>北大荒商贸集团遵义三粮农业发展有限公司成立于2018-08-30，法定代表人为徐彦东，注册资本为4082万元，统一社会信用代码为91520393MA6H77UX1T，企业注册地址位于贵州省遵义市播州区龙坑街道谢家社区（苟江经济开发区），所属行业为农业，经营范围包含：法律、法规、国务院决定规定禁止的不得经营；法律、法规、国务院决定规定应当许可（审批）的，经审批机关批准后凭许可（审批）文件经营;法律、法规、国务院决定规定无需许可（审批）的，市场主体自主选择经营。（农业种植；农产品的加工、仓储和销售；农作物种植及销售；粮食收购、加工、销售与仓储；饲料加工及销售；基酒存储；电子商务服务；销售：农机、五金建材、普通机械设备、预包装食品、煤炭、化肥、水产品、海产品、农副产品、机电设备、日用百货；仓储及货运信息咨询服务。）。企业当前经营状态为存续。</t>
  </si>
  <si>
    <t>法律、法规、国务院决定规定禁止的不得经营；法律、法规、国务院决定规定应当许可（审批）的，经审批机关批准后凭许可（审批）文件经营;法律、法规、国务院决定规定无需许可（审批）的，市场主体自主选择经营。（农业种植；农产品的加工、仓储和销售；农作物种植及销售；粮食收购、加工、销售与仓储；饲料加工及销售；基酒存储；电子商务服务；销售：农机、五金建材、普通机械设备、预包装食品、煤炭、化肥、水产品、海产品、农副产品、机电设备、日用百货；仓储及货运信息咨询服务。）</t>
  </si>
  <si>
    <t>遵义市播州区市场监督管理局</t>
  </si>
  <si>
    <t>新疆际华七五五五职业装有限公司</t>
  </si>
  <si>
    <t>91652300229210655Y</t>
  </si>
  <si>
    <t>李世奇</t>
  </si>
  <si>
    <t>13550万元</t>
  </si>
  <si>
    <t>2007-03-14</t>
  </si>
  <si>
    <t>新疆昌吉州昌吉市延安南路40号</t>
  </si>
  <si>
    <t>昌吉回族自治州</t>
  </si>
  <si>
    <t>昌吉市</t>
  </si>
  <si>
    <t>13831108618</t>
  </si>
  <si>
    <t>0994-2728613;0994-2727555;0994-2724940</t>
  </si>
  <si>
    <t>1402862871@qq.com</t>
  </si>
  <si>
    <t>xj7555scb@163.com</t>
  </si>
  <si>
    <t>652300030000329</t>
  </si>
  <si>
    <t>22921065-5</t>
  </si>
  <si>
    <t>279</t>
  </si>
  <si>
    <t>2007-03-14 至 无固定期限</t>
  </si>
  <si>
    <t>Xinjiang Jihua 7555 Uniform Co., Ltd.</t>
  </si>
  <si>
    <t>新疆际华七五五五职业装有限公司成立于2007-03-14，法定代表人为李世奇，注册资本为13550万元，统一社会信用代码为91652300229210655Y，企业注册地址位于新疆昌吉州昌吉市延安南路40号，所属行业为纺织服装、服饰业，经营范围包含：一般项目：服装制造；服装辅料制造；服装服饰批发；服装辅料销售；服装服饰零售；专业设计服务；棉花加工；电镀加工；淬火加工；喷涂加工；电泳加工；绣花加工；面料纺织加工；面料印染加工；毛皮鞣制加工；金属切削加工服务；毛皮制品加工；有色金属压延加工；塑料加工专用设备制造；机械零件、零部件加工；鞋帽批发；鞋帽零售；医护人员防护用品生产（Ⅰ类医疗器械）；缝制机械销售；特种劳动防护用品生产；缝制机械制造；特种劳动防护用品销售；医护人员防护用品批发；劳动保护用品销售；劳动保护用品生产；皮革销售；日用品销售；鞋和皮革修理；服饰制造；鞋制造；制鞋原辅材料销售；租赁服务（不含许可类租赁服务）；缝纫修补服务；染料制造；染料销售；针纺织品销售；棉、麻销售；棉花收购；卫生用品和一次性使用医疗用品销售；纺纱加工；产业用纺织制成品销售；产业用纺织制成品制造；机械零件、零部件销售；通用零部件制造；安防设备销售；安防设备制造；科技中介服务；技术服务、技术开发、技术咨询、技术交流、技术转让、技术推广；企业管理；企业管理咨询；日用百货销售；日用品批发；第一类医疗器械销售；第一类医疗器械生产；医护人员防护用品零售；第二类医疗器械销售；塑料制品制造；塑料制品销售；家用纺织制成品制造；消防器材销售；金属工具销售；橡胶制品销售；潜水救捞装备销售；汽车销售；水下系统和作业装备销售；照明器具销售；机械电气设备销售；食品销售（仅销售预包装食品）。（除依法须经批准的项目外，凭营业执照依法自主开展经营活动）许可项目：卫生用品和一次性使用医疗用品生产；医护人员防护用品生产（Ⅱ类医疗器械）；第二类医疗器械生产。（依法须经批准的项目，经相关部门批准后方可开展经营活动，具体经营项目以相关部门批准文件或许可证件为准）。企业当前经营状态为存续。</t>
  </si>
  <si>
    <t>一般项目：服装制造；服装辅料制造；服装服饰批发；服装辅料销售；服装服饰零售；专业设计服务；棉花加工；电镀加工；淬火加工；喷涂加工；电泳加工；绣花加工；面料纺织加工；面料印染加工；毛皮鞣制加工；金属切削加工服务；毛皮制品加工；有色金属压延加工；塑料加工专用设备制造；机械零件、零部件加工；鞋帽批发；鞋帽零售；医护人员防护用品生产（Ⅰ类医疗器械）；缝制机械销售；特种劳动防护用品生产；缝制机械制造；特种劳动防护用品销售；医护人员防护用品批发；劳动保护用品销售；劳动保护用品生产；皮革销售；日用品销售；鞋和皮革修理；服饰制造；鞋制造；制鞋原辅材料销售；租赁服务（不含许可类租赁服务）；缝纫修补服务；染料制造；染料销售；针纺织品销售；棉、麻销售；棉花收购；卫生用品和一次性使用医疗用品销售；纺纱加工；产业用纺织制成品销售；产业用纺织制成品制造；机械零件、零部件销售；通用零部件制造；安防设备销售；安防设备制造；科技中介服务；技术服务、技术开发、技术咨询、技术交流、技术转让、技术推广；企业管理；企业管理咨询；日用百货销售；日用品批发；第一类医疗器械销售；第一类医疗器械生产；医护人员防护用品零售；第二类医疗器械销售；塑料制品制造；塑料制品销售；家用纺织制成品制造；消防器材销售；金属工具销售；橡胶制品销售；潜水救捞装备销售；汽车销售；水下系统和作业装备销售；照明器具销售；机械电气设备销售；食品销售（仅销售预包装食品）。（除依法须经批准的项目外，凭营业执照依法自主开展经营活动）许可项目：卫生用品和一次性使用医疗用品生产；医护人员防护用品生产（Ⅱ类医疗器械）；第二类医疗器械生产。（依法须经批准的项目，经相关部门批准后方可开展经营活动，具体经营项目以相关部门批准文件或许可证件为准）</t>
  </si>
  <si>
    <t>昌吉州市场监督管理局</t>
  </si>
  <si>
    <t>建龙西林钢铁有限公司</t>
  </si>
  <si>
    <t>912307001295406144</t>
  </si>
  <si>
    <t>西林钢铁集团有限公司</t>
  </si>
  <si>
    <t>吴疆</t>
  </si>
  <si>
    <t>350000万元</t>
  </si>
  <si>
    <t>250000万元</t>
  </si>
  <si>
    <t>2001-10-24</t>
  </si>
  <si>
    <t>黑龙江省伊春市西林区新兴大街</t>
  </si>
  <si>
    <t>伊春市</t>
  </si>
  <si>
    <t>金林区</t>
  </si>
  <si>
    <t>0458-3788334</t>
  </si>
  <si>
    <t>0458-3788755;0458-3788635;0458-3788204;13846672047</t>
  </si>
  <si>
    <t>guolan@ejianlong.com</t>
  </si>
  <si>
    <t>xgjtqhbfq@163.com</t>
  </si>
  <si>
    <t>230700100045813</t>
  </si>
  <si>
    <t>12954061-4</t>
  </si>
  <si>
    <t>4573</t>
  </si>
  <si>
    <t>2001-10-24 至 无固定期限</t>
  </si>
  <si>
    <t>炼铁</t>
  </si>
  <si>
    <t>Jianlong Xilin Iron and Steel Co., Ltd.</t>
  </si>
  <si>
    <t>https://www.ejianlong.com</t>
  </si>
  <si>
    <t>建龙西林钢铁有限公司成立于2001-10-24，法定代表人为吴疆，注册资本为350000万元，统一社会信用代码为912307001295406144，企业注册地址位于黑龙江省伊春市西林区新兴大街，所属行业为黑色金属冶炼和压延加工业，经营范围包含：一般项目：金属材料制造；钢、铁冶炼；钢压延加工；炼焦；再生资源销售；石灰和石膏销售；金属结构制造；金属废料和碎屑加工处理；信息咨询服务（不含许可类信息咨询服务）；技术服务、技术开发、技术咨询、技术交流、技术转让、技术推广；计算机系统服务；货物进出口；肥料销售；非居住房地产租赁；金属材料销售；金属矿石销售；煤炭及制品销售；软件开发；人工智能基础资源与技术平台；信息系统运行维护服务；普通货物仓储服务（不含危险化学品等需许可审批的项目）。许可项目：发电业务、输电业务、供（配）电业务；危险化学品生产；住宿服务；餐饮服务。企业当前经营状态为存续。</t>
  </si>
  <si>
    <t>一般项目：金属材料制造；钢、铁冶炼；钢压延加工；炼焦；再生资源销售；石灰和石膏销售；金属结构制造；金属废料和碎屑加工处理；信息咨询服务（不含许可类信息咨询服务）；技术服务、技术开发、技术咨询、技术交流、技术转让、技术推广；计算机系统服务；货物进出口；肥料销售；非居住房地产租赁；金属材料销售；金属矿石销售；煤炭及制品销售；软件开发；人工智能基础资源与技术平台；信息系统运行维护服务；普通货物仓储服务（不含危险化学品等需许可审批的项目）。许可项目：发电业务、输电业务、供（配）电业务；危险化学品生产；住宿服务；餐饮服务。</t>
  </si>
  <si>
    <t>伊春市市场监督管理局</t>
  </si>
  <si>
    <t>绥化市圣昌商贸有限公司青冈县分公司</t>
  </si>
  <si>
    <t>91231223MA7CCNAH15</t>
  </si>
  <si>
    <t>注销（2024-03-18）</t>
  </si>
  <si>
    <t>谭立伟</t>
  </si>
  <si>
    <t>2021-11-22</t>
  </si>
  <si>
    <t>黑龙江省绥化市青冈县迎春镇福胜村徐大房子屯（为天农业公司院内）</t>
  </si>
  <si>
    <t>绥化市</t>
  </si>
  <si>
    <t>青冈县</t>
  </si>
  <si>
    <t>0451-87526786</t>
  </si>
  <si>
    <t>18946108790</t>
  </si>
  <si>
    <t>309966521@qq.com</t>
  </si>
  <si>
    <t>有限责任公司分公司（自然人投资或控股）</t>
  </si>
  <si>
    <t>231223100049460</t>
  </si>
  <si>
    <t>MA7CCNAH-1</t>
  </si>
  <si>
    <t>2021-11-22 至 2036-10-18</t>
  </si>
  <si>
    <t>食品、饮料及烟草制品专门零售</t>
  </si>
  <si>
    <t>粮油零售</t>
  </si>
  <si>
    <t>Suihua Shengchang Trading Co., Ltd. Qinggang County Branch</t>
  </si>
  <si>
    <t>绥化市圣昌商贸有限公司青冈县分公司成立于2021-11-22，负责人为谭立伟，统一社会信用代码为91231223MA7CCNAH15，企业注册地址位于黑龙江省绥化市青冈县迎春镇福胜村徐大房子屯（为天农业公司院内），所属行业为零售业，经营范围包含：一般项目：食品销售（仅销售预包装食品）；谷物销售；农副产品销售；新鲜水果批发；新鲜水果零售；新鲜蔬菜批发；新鲜蔬菜零售；鲜肉批发；鲜肉零售；鲜蛋批发；鲜蛋零售；水产品批发；水产品零售；办公用品销售；计算机软硬件及辅助设备批发；计算机软硬件及辅助设备零售；家用电器销售；服装服饰批发；服装服饰零售；鞋帽批发；鞋帽零售；五金产品批发；五金产品零售；日用百货销售；针纺织品销售；化妆品批发；化妆品零售；劳动保护用品销售；电力电子元器件销售；电线、电缆经营；灯具销售；化工产品销售（不含许可类化工产品）；润滑油销售；初级农产品收购；仪器仪表销售；通讯设备销售；塑料制品销售；橡胶制品销售；机械设备销售；建筑材料销售；日用木制品销售；消毒剂销售（不含危险化学品）；电子产品销售；消防器材销售；工艺美术品及礼仪用品销售（象牙及其制品除外）；玩具销售；食用农产品批发；食用农产品零售。许可项目：食品销售；活禽销售；道路货物运输（不含危险货物）。企业当前经营状态为注销。</t>
  </si>
  <si>
    <t>一般项目：食品销售（仅销售预包装食品）；谷物销售；农副产品销售；新鲜水果批发；新鲜水果零售；新鲜蔬菜批发；新鲜蔬菜零售；鲜肉批发；鲜肉零售；鲜蛋批发；鲜蛋零售；水产品批发；水产品零售；办公用品销售；计算机软硬件及辅助设备批发；计算机软硬件及辅助设备零售；家用电器销售；服装服饰批发；服装服饰零售；鞋帽批发；鞋帽零售；五金产品批发；五金产品零售；日用百货销售；针纺织品销售；化妆品批发；化妆品零售；劳动保护用品销售；电力电子元器件销售；电线、电缆经营；灯具销售；化工产品销售（不含许可类化工产品）；润滑油销售；初级农产品收购；仪器仪表销售；通讯设备销售；塑料制品销售；橡胶制品销售；机械设备销售；建筑材料销售；日用木制品销售；消毒剂销售（不含危险化学品）；电子产品销售；消防器材销售；工艺美术品及礼仪用品销售（象牙及其制品除外）；玩具销售；食用农产品批发；食用农产品零售。许可项目：食品销售；活禽销售；道路货物运输（不含危险货物）。</t>
  </si>
  <si>
    <t>青冈县市场监督管理局</t>
  </si>
  <si>
    <t>广州恒利工艺制品有限公司</t>
  </si>
  <si>
    <t>91440101MA5CJDN37J</t>
  </si>
  <si>
    <t>李恩慈</t>
  </si>
  <si>
    <t>2018-11-05</t>
  </si>
  <si>
    <t>广州市越秀区先烈中路100号之六十七401房</t>
  </si>
  <si>
    <t>越秀区</t>
  </si>
  <si>
    <t>18666013887</t>
  </si>
  <si>
    <t>18666013887@163.com</t>
  </si>
  <si>
    <t>1079883879@qq.com</t>
  </si>
  <si>
    <t>440104003044564</t>
  </si>
  <si>
    <t>MA5CJDN3-7</t>
  </si>
  <si>
    <t>2018-11-05 至 无固定期限</t>
  </si>
  <si>
    <t>Guangzhou Hengli Craft Products Co., Ltd.</t>
  </si>
  <si>
    <t>广州恒利工艺制品有限公司成立于2018-11-05，法定代表人为李恩慈，注册资本为100万元，统一社会信用代码为91440101MA5CJDN37J，企业注册地址位于广州市越秀区先烈中路100号之六十七401房，所属行业为批发业，经营范围包含：针纺织品及原料销售;货物进出口;金属制品销售;塑料制品销售;办公用品销售;办公设备销售;灯具销售;建筑装饰材料销售;工艺美术品及礼仪用品销售（象牙及其制品除外）;工艺美术品及收藏品批发（象牙及其制品除外）;图文设计制作;平面设计;专业设计服务;广告设计、代理;广告制作;服装服饰零售;信息咨询服务（不含许可类信息咨询服务）;日用品销售;日用百货销售;日用化学产品销售;传统香料制品经营;普通机械设备安装服务。企业当前经营状态为存续。</t>
  </si>
  <si>
    <t>针纺织品及原料销售;货物进出口;金属制品销售;塑料制品销售;办公用品销售;办公设备销售;灯具销售;建筑装饰材料销售;工艺美术品及礼仪用品销售（象牙及其制品除外）;工艺美术品及收藏品批发（象牙及其制品除外）;图文设计制作;平面设计;专业设计服务;广告设计、代理;广告制作;服装服饰零售;信息咨询服务（不含许可类信息咨询服务）;日用品销售;日用百货销售;日用化学产品销售;传统香料制品经营;普通机械设备安装服务</t>
  </si>
  <si>
    <t>广州市越秀区市场监督管理局</t>
  </si>
  <si>
    <t>黑龙江省隆江农业发展有限公司</t>
  </si>
  <si>
    <t>91230109MA1F4T5L76</t>
  </si>
  <si>
    <t>注销（2024-10-08）</t>
  </si>
  <si>
    <t>王旭</t>
  </si>
  <si>
    <t>2021-08-23</t>
  </si>
  <si>
    <t>黑龙江省哈尔滨市松北区智谷二街3043号哈尔滨松北（深圳龙岗）科技创新产业园10栋8楼803-833室</t>
  </si>
  <si>
    <t>哈尔滨市</t>
  </si>
  <si>
    <t>松北区</t>
  </si>
  <si>
    <t>18045016957</t>
  </si>
  <si>
    <t>476580392@qq.com</t>
  </si>
  <si>
    <t>230109101265778</t>
  </si>
  <si>
    <t>MA1F4T5L-7</t>
  </si>
  <si>
    <t>2021-08-23 至 无固定期限</t>
  </si>
  <si>
    <t>科技推广和应用服务业</t>
  </si>
  <si>
    <t>技术推广服务</t>
  </si>
  <si>
    <t>农林牧渔技术推广服务</t>
  </si>
  <si>
    <t>Heilongjiang Longjiang Agricultural Development Co., Ltd.</t>
  </si>
  <si>
    <t>黑龙江省隆江农业发展有限公司成立于2021-08-23，法定代表人为王旭，注册资本为1000万元，统一社会信用代码为91230109MA1F4T5L76，企业注册地址位于黑龙江省哈尔滨市松北区智谷二街3043号哈尔滨松北（深圳龙岗）科技创新产业园10栋8楼803-833室，所属行业为科技推广和应用服务业，经营范围包含：一般项目谷物销售；豆及薯类销售；棉、麻销售；农副产品销售；未经加工的坚果、干果销售；食品销售（仅销售预包装食品）；初级农产品收购；食用农产品批发；食用农产品零售；粮油仓储服务；五金产品批发；五金产品零售；建筑材料销售；轻质建筑材料销售；金属材料销售；金属结构销售；高品质特种钢铁材料销售；建筑用钢筋产品销售；畜牧渔业饲料销售；饲料添加剂销售；饲料原料销售；金属矿石销售；化肥销售；肥料销售；国内贸易代理；进出口代理；国内货物运输代理；海上国际货物运输代理；陆路国际货物运输代理；装卸搬运；包装服务；货物进出口；技术进出口；普通货物仓储服务（不含危险化学品等需许可审批的项目）；劳务服务（不含劳务派遣）。许可项目食品销售；道路货物运输（网络货运）。企业当前经营状态为注销。</t>
  </si>
  <si>
    <t>一般项目谷物销售；豆及薯类销售；棉、麻销售；农副产品销售；未经加工的坚果、干果销售；食品销售（仅销售预包装食品）；初级农产品收购；食用农产品批发；食用农产品零售；粮油仓储服务；五金产品批发；五金产品零售；建筑材料销售；轻质建筑材料销售；金属材料销售；金属结构销售；高品质特种钢铁材料销售；建筑用钢筋产品销售；畜牧渔业饲料销售；饲料添加剂销售；饲料原料销售；金属矿石销售；化肥销售；肥料销售；国内贸易代理；进出口代理；国内货物运输代理；海上国际货物运输代理；陆路国际货物运输代理；装卸搬运；包装服务；货物进出口；技术进出口；普通货物仓储服务（不含危险化学品等需许可审批的项目）；劳务服务（不含劳务派遣）。许可项目食品销售；道路货物运输（网络货运）。</t>
  </si>
  <si>
    <t>哈尔滨市松北区市场监督管理局</t>
  </si>
  <si>
    <t>广期资本管理（上海）有限公司</t>
  </si>
  <si>
    <t>91440300MA5D9MJC6L</t>
  </si>
  <si>
    <t>广期资本管理（深圳）有限公司</t>
  </si>
  <si>
    <t>刘仕强</t>
  </si>
  <si>
    <t>90000万元</t>
  </si>
  <si>
    <t>2016-03-30</t>
  </si>
  <si>
    <t>上海市奉贤区八字桥路1660号2幢2层</t>
  </si>
  <si>
    <t>奉贤区</t>
  </si>
  <si>
    <t>021-50390172</t>
  </si>
  <si>
    <t>021-50390265;0755-83515026;020-22139845;020-22139840</t>
  </si>
  <si>
    <t>zhu.xiaochen@gzfcm.com.cn</t>
  </si>
  <si>
    <t>liu.hui@gzfcm.com.cn;zhangjl@gzfcm.com.cn;gzfcm@gzfcm.com.cn;liuxt_a@gzfcm.com.cn</t>
  </si>
  <si>
    <t>440301115557428</t>
  </si>
  <si>
    <t>MA5D9MJC-6</t>
  </si>
  <si>
    <t>95</t>
  </si>
  <si>
    <t>2016-03-30 至 无固定期限</t>
  </si>
  <si>
    <t>综合管理服务</t>
  </si>
  <si>
    <t>其他综合管理服务</t>
  </si>
  <si>
    <t>Guangqi Capital Management (Shanghai) Co., Ltd.</t>
  </si>
  <si>
    <t>http://www.gzfcm.com.cn</t>
  </si>
  <si>
    <t>上海市浦东新区福山路388号2201</t>
  </si>
  <si>
    <t>广期资本管理（上海）有限公司成立于2016-03-30，法定代表人为刘仕强，注册资本为90000万元，统一社会信用代码为91440300MA5D9MJC6L，企业注册地址位于上海市奉贤区八字桥路1660号2幢2层，所属行业为商务服务业，经营范围包含：一般项目：投资管理；社会经济咨询服务；信息咨询服务（不含许可类信息咨询服务）；国内贸易代理；互联网销售（除销售需要许可的商品）；国内货物运输代理；供应链管理服务；机械设备租赁；会议及展览服务；企业管理咨询；普通货物仓储服务（不含危险化学品等需许可审批的项目）；企业信用调查和评估；财务咨询；货物进出口；技术进出口；报关业务；进出口代理；金银制品销售；有色金属合金销售；谷物销售；棉、麻销售；农副产品销售；化工产品销售（不含许可类化工产品）；石油制品销售（不含危险化学品）；煤炭及制品销售；橡胶制品销售；针纺织品及原料销售；畜牧渔业饲料销售；日用木制品销售；稀土功能材料销售；建筑材料销售；金属材料销售；豆及薯类销售；牲畜销售（不含犬类）；金属矿石销售；珠宝首饰批发；珠宝首饰零售；食用农产品批发；食用农产品零售。（除依法须经批准的项目外，凭营业执照依法自主开展经营活动）许可项目：危险化学品经营；食品销售。（依法须经批准的项目，经相关部门批准后方可开展经营活动，具体经营项目以相关部门批准文件或许可证件为准）。企业当前经营状态为存续。</t>
  </si>
  <si>
    <t>一般项目：投资管理；社会经济咨询服务；信息咨询服务（不含许可类信息咨询服务）；国内贸易代理；互联网销售（除销售需要许可的商品）；国内货物运输代理；供应链管理服务；机械设备租赁；会议及展览服务；企业管理咨询；普通货物仓储服务（不含危险化学品等需许可审批的项目）；企业信用调查和评估；财务咨询；货物进出口；技术进出口；报关业务；进出口代理；金银制品销售；有色金属合金销售；谷物销售；棉、麻销售；农副产品销售；化工产品销售（不含许可类化工产品）；石油制品销售（不含危险化学品）；煤炭及制品销售；橡胶制品销售；针纺织品及原料销售；畜牧渔业饲料销售；日用木制品销售；稀土功能材料销售；建筑材料销售；金属材料销售；豆及薯类销售；牲畜销售（不含犬类）；金属矿石销售；珠宝首饰批发；珠宝首饰零售；食用农产品批发；食用农产品零售。（除依法须经批准的项目外，凭营业执照依法自主开展经营活动）许可项目：危险化学品经营；食品销售。（依法须经批准的项目，经相关部门批准后方可开展经营活动，具体经营项目以相关部门批准文件或许可证件为准）</t>
  </si>
  <si>
    <t>奉贤区市场监督管理局</t>
  </si>
  <si>
    <t>孙吴县万朋生物科技有限责任公司</t>
  </si>
  <si>
    <t>91231124MA1C370F82</t>
  </si>
  <si>
    <t>王启</t>
  </si>
  <si>
    <t>2020-05-09</t>
  </si>
  <si>
    <t>黑龙江省黑河市孙吴县工业园区</t>
  </si>
  <si>
    <t>黑河市</t>
  </si>
  <si>
    <t>孙吴县</t>
  </si>
  <si>
    <t>18645610522</t>
  </si>
  <si>
    <t>0456-6121007;13199665691</t>
  </si>
  <si>
    <t>280048321@qq.com</t>
  </si>
  <si>
    <t>2631397382@qq.com</t>
  </si>
  <si>
    <t>231124100016576</t>
  </si>
  <si>
    <t>MA1C370F-8</t>
  </si>
  <si>
    <t>2020-05-09 至 无固定期限</t>
  </si>
  <si>
    <t>生物技术推广服务</t>
  </si>
  <si>
    <t>Sunwu County Wanpeng Biotechnology Co., Ltd.</t>
  </si>
  <si>
    <t>孙吴县万朋生物科技有限责任公司成立于2020-05-09，法定代表人为王启，注册资本为1000万元，统一社会信用代码为91231124MA1C370F82，企业注册地址位于黑龙江省黑河市孙吴县工业园区，所属行业为科技推广和应用服务业，经营范围包含：生物工程技术开发、咨询、交流、转让、推广服务；信息技术咨询服务；食用植物油、小麦、稻谷、水果、精制茶的加工销售；瓶（灌装）饮用水方便食品、乳制品、保健食品、豆制品、米、面制品的制作销售；蜂蜜营养制品的制造销售；谷物，豆及薯类、米、面制品及食用油、林业产品（国家禁止的除外）、畜牧渔业饲料、油菜籽、豆饼的批发和进出口；其他饲料加工；预包装食品销售；普通货物道路运输；普通货物仓储服务；包装服务；农产品收购及销售。企业当前经营状态为存续。</t>
  </si>
  <si>
    <t>生物工程技术开发、咨询、交流、转让、推广服务；信息技术咨询服务；食用植物油、小麦、稻谷、水果、精制茶的加工销售；瓶（灌装）饮用水方便食品、乳制品、保健食品、豆制品、米、面制品的制作销售；蜂蜜营养制品的制造销售；谷物，豆及薯类、米、面制品及食用油、林业产品（国家禁止的除外）、畜牧渔业饲料、油菜籽、豆饼的批发和进出口；其他饲料加工；预包装食品销售；普通货物道路运输；普通货物仓储服务；包装服务；农产品收购及销售</t>
  </si>
  <si>
    <t>孙吴县市场监督管理局</t>
  </si>
  <si>
    <t>河南德众保税物流中心有限公司</t>
  </si>
  <si>
    <t>91410883592432842J</t>
  </si>
  <si>
    <t>河南德众保税物流有限公司</t>
  </si>
  <si>
    <t>苏彭彭</t>
  </si>
  <si>
    <t>20780万元</t>
  </si>
  <si>
    <t>2012-03-22</t>
  </si>
  <si>
    <t>孟州市产业集聚区</t>
  </si>
  <si>
    <t>焦作市</t>
  </si>
  <si>
    <t>孟州市</t>
  </si>
  <si>
    <t>18403906932</t>
  </si>
  <si>
    <t>0391-8398868;13839151362;0391-8536999;0391-8555000;0391-8499666</t>
  </si>
  <si>
    <t>450971030@qq.com</t>
  </si>
  <si>
    <t>332445030@qq.com;465168785@qq.com</t>
  </si>
  <si>
    <t>410883000016334</t>
  </si>
  <si>
    <t>59243284-2</t>
  </si>
  <si>
    <t>2012-03-22 至 2032-03-21</t>
  </si>
  <si>
    <t>低温仓储</t>
  </si>
  <si>
    <t>Henan Dezhong Bonded Logistics Center Co., Ltd.</t>
  </si>
  <si>
    <t>河南德众保税物流中心有限公司成立于2012-03-22，法定代表人为苏彭彭，注册资本为20780万元，统一社会信用代码为91410883592432842J，企业注册地址位于孟州市产业集聚区，所属行业为装卸搬运和仓储业，经营范围包含：保税货物仓储、装卸、配送；货运站（场）经营、道路普通货物运输、货物专用运输（集装箱、冷藏保鲜设备）、货运站经营（仓储服务、仓储货物运输、货物包装、货物配送、货物中转、货运代理、货运停车场、货运信息配载、普通货物装载、综合物流服务）、大型物件运输（一类）；从事货物和技术的进出口业务（国家法律法规规定应经审批方可经营或禁止进出口的货物和技术除外）；预包装食品批发兼零售；受委托代管库存物品（国家有专项规定的除外）；生态农业开发及旅游观光，旅游产品设计、研发及销售，景区游览服务；硫磺、石油醚、甲醇、庚烷、2-甲基己烷、溶剂油、樟脑油、粗苯、戊烷、丙烷、己烷、煤焦油、异己烷、二甲醚、甲烷、天然气（富含甲烷）、异丁烷、乙烯、异丁烯、液氨、环辛烯、1-辛烯、2-辛烯、异辛烯、正辛烷、异辛烷、1-癸烯、苯、乙醇（无水）、乙醇溶液、壬烷及其异构体、邻二甲苯、间二甲苯、对二甲苯、二甲苯异构体混合物、均四甲苯、焦油沥青、碳酸二甲酯、丁烷、甲基叔丁基醚、含易燃溶剂的油漆批发（无仓储）；化工原料及产品（危险化学品除外）销售;房屋及场地租赁。企业当前经营状态为存续。</t>
  </si>
  <si>
    <t>保税货物仓储、装卸、配送；货运站（场）经营、道路普通货物运输、货物专用运输（集装箱、冷藏保鲜设备）、货运站经营（仓储服务、仓储货物运输、货物包装、货物配送、货物中转、货运代理、货运停车场、货运信息配载、普通货物装载、综合物流服务）、大型物件运输（一类）；从事货物和技术的进出口业务（国家法律法规规定应经审批方可经营或禁止进出口的货物和技术除外）；预包装食品批发兼零售；受委托代管库存物品（国家有专项规定的除外）；生态农业开发及旅游观光，旅游产品设计、研发及销售，景区游览服务；硫磺、石油醚、甲醇、庚烷、2-甲基己烷、溶剂油、樟脑油、粗苯、戊烷、丙烷、己烷、煤焦油、异己烷、二甲醚、甲烷、天然气（富含甲烷）、异丁烷、乙烯、异丁烯、液氨、环辛烯、1-辛烯、2-辛烯、异辛烯、正辛烷、异辛烷、1-癸烯、苯、乙醇（无水）、乙醇溶液、壬烷及其异构体、邻二甲苯、间二甲苯、对二甲苯、二甲苯异构体混合物、均四甲苯、焦油沥青、碳酸二甲酯、丁烷、甲基叔丁基醚、含易燃溶剂的油漆批发（无仓储）；化工原料及产品（危险化学品除外）销售;房屋及场地租赁。</t>
  </si>
  <si>
    <t>孟州市市场监督管理局</t>
  </si>
  <si>
    <t>广南（湛江）家丰饲料有限公司</t>
  </si>
  <si>
    <t>9144080070780052X0</t>
  </si>
  <si>
    <t>廖为玉</t>
  </si>
  <si>
    <t>1100万元</t>
  </si>
  <si>
    <t>1095.35万元</t>
  </si>
  <si>
    <t>1997-12-12</t>
  </si>
  <si>
    <t>湛江市赤坎北站路2号</t>
  </si>
  <si>
    <t>赤坎区</t>
  </si>
  <si>
    <t>0759-3137107;0759-3137992</t>
  </si>
  <si>
    <t>weihong@sbtjt.com;lubq@sbtjt.com;honggw@sbtjt.com;zjsbtjt@163.com</t>
  </si>
  <si>
    <t>有限责任公司（港澳台投资、非独资）</t>
  </si>
  <si>
    <t>440800400001567</t>
  </si>
  <si>
    <t>70780052-X</t>
  </si>
  <si>
    <t>87</t>
  </si>
  <si>
    <t>1997-12-12 至 无固定期限</t>
  </si>
  <si>
    <t>Guangnan (Zhanjiang) Jiafeng Feed Co., Ltd.</t>
  </si>
  <si>
    <t>广南（湛江）家丰饲料有限公司成立于1997-12-12，法定代表人为廖为玉，注册资本为1100万元，统一社会信用代码为9144080070780052X0，企业注册地址位于湛江市赤坎北站路2号，所属行业为农副食品加工业，经营范围包含：许可项目：饲料生产；兽药经营；饲料添加剂生产。（依法须经批准的项目，经相关部门批准后方可开展经营活动，具体经营项目以相关部门批准文件或许可证件为准）一般项目：畜牧渔业饲料销售；粮食收购；谷物销售；货物进出口；技术进出口；饲料原料销售；技术服务、技术开发、技术咨询、技术交流、技术转让、技术推广。（除依法须经批准的项目外，凭营业执照依法自主开展经营活动）。企业当前经营状态为存续。</t>
  </si>
  <si>
    <t>许可项目：饲料生产；兽药经营；饲料添加剂生产。（依法须经批准的项目，经相关部门批准后方可开展经营活动，具体经营项目以相关部门批准文件或许可证件为准）一般项目：畜牧渔业饲料销售；粮食收购；谷物销售；货物进出口；技术进出口；饲料原料销售；技术服务、技术开发、技术咨询、技术交流、技术转让、技术推广。（除依法须经批准的项目外，凭营业执照依法自主开展经营活动）</t>
  </si>
  <si>
    <t>湛江市市场监督管理局</t>
  </si>
  <si>
    <t>揭阳市金源达家具有限公司</t>
  </si>
  <si>
    <t>91445200MA4UHL9J4Y</t>
  </si>
  <si>
    <t>注销（2019-03-22）</t>
  </si>
  <si>
    <t>蔡志定</t>
  </si>
  <si>
    <t>135万元</t>
  </si>
  <si>
    <t>揭阳空港经济区砲台镇桃山村三和工业区</t>
  </si>
  <si>
    <t>揭阳市</t>
  </si>
  <si>
    <t>榕城区</t>
  </si>
  <si>
    <t>18902765810</t>
  </si>
  <si>
    <t>867995393@qq.com</t>
  </si>
  <si>
    <t>445200000080126</t>
  </si>
  <si>
    <t>MA4UHL9J-4</t>
  </si>
  <si>
    <t>Jieyang Jinyuanda Furniture Co., Ltd.</t>
  </si>
  <si>
    <t>揭阳市金源达家具有限公司成立于2015-09-23，法定代表人为蔡志定，注册资本为135万元，统一社会信用代码为91445200MA4UHL9J4Y，企业注册地址位于揭阳空港经济区砲台镇桃山村三和工业区，所属行业为家具制造业，经营范围包含：生产、加工、销售家具、木制品;货物进出口、技术进出口。（依法须经批准的项目,经相关部门批准后方可开展经营活动）。企业当前经营状态为注销。</t>
  </si>
  <si>
    <t>生产、加工、销售家具、木制品;货物进出口、技术进出口。（依法须经批准的项目,经相关部门批准后方可开展经营活动）</t>
  </si>
  <si>
    <t>揭阳市市场监督管理局</t>
  </si>
  <si>
    <t>揭阳市思诺格木业有限公司</t>
  </si>
  <si>
    <t>91445203304049209L</t>
  </si>
  <si>
    <t>注销（2022-01-10）</t>
  </si>
  <si>
    <t>杨洁卿</t>
  </si>
  <si>
    <t>2014-06-04</t>
  </si>
  <si>
    <t>揭阳市揭东开发区新型工业园金润路南侧</t>
  </si>
  <si>
    <t>揭东区</t>
  </si>
  <si>
    <t>13822962926</t>
  </si>
  <si>
    <t>0663-3243628</t>
  </si>
  <si>
    <t>13822962926@163.com</t>
  </si>
  <si>
    <t>2964104229@qq.com</t>
  </si>
  <si>
    <t>445221000027979</t>
  </si>
  <si>
    <t>30404920-9</t>
  </si>
  <si>
    <t>2014-06-04 至 无固定期限</t>
  </si>
  <si>
    <t>Jieyang Sinuoge Wood Industry Co., Ltd.</t>
  </si>
  <si>
    <t>揭阳市思诺格木业有限公司成立于2014-06-04，法定代表人为杨洁卿，注册资本为100万元，统一社会信用代码为91445203304049209L，企业注册地址位于揭阳市揭东开发区新型工业园金润路南侧，所属行业为木材加工和木、竹、藤、棕、草制品业，经营范围包含：生产、加工、销售：木材、环保型装饰材料、塑料、木制品、塑木型材制品、塑胶制品、家具；塑料、塑木的生产技术咨询服务；收购国内外木材；货物进出口、技术进出口。（依法须经批准的项目，经相关部门批准后方可开展经营活动）。企业当前经营状态为注销。</t>
  </si>
  <si>
    <t>生产、加工、销售：木材、环保型装饰材料、塑料、木制品、塑木型材制品、塑胶制品、家具；塑料、塑木的生产技术咨询服务；收购国内外木材；货物进出口、技术进出口。（依法须经批准的项目，经相关部门批准后方可开展经营活动）</t>
  </si>
  <si>
    <t>揭阳市揭东区市场监督管理局</t>
  </si>
  <si>
    <t>揭阳市雅格尔实业有限公司</t>
  </si>
  <si>
    <t>91445200351240540E</t>
  </si>
  <si>
    <t>注销（2018-08-03）</t>
  </si>
  <si>
    <t>陈亮光</t>
  </si>
  <si>
    <t>368万元</t>
  </si>
  <si>
    <t>2015-08-05</t>
  </si>
  <si>
    <t>揭阳市榕城区梅云何厝工业区</t>
  </si>
  <si>
    <t>13542224648</t>
  </si>
  <si>
    <t>0663-8893215</t>
  </si>
  <si>
    <t>292891193@qq.com</t>
  </si>
  <si>
    <t>445200000077712</t>
  </si>
  <si>
    <t>35124054-0</t>
  </si>
  <si>
    <t>2015-08-05 至 无固定期限</t>
  </si>
  <si>
    <t>Jieyang YAGER Industrial Co., Ltd.</t>
  </si>
  <si>
    <t>揭阳市雅格尔实业有限公司成立于2015-08-05，法定代表人为陈亮光，注册资本为368万元，统一社会信用代码为91445200351240540E，企业注册地址位于揭阳市榕城区梅云何厝工业区，所属行业为木材加工和木、竹、藤、棕、草制品业，经营范围包含：生产、加工、销售木制品、家具、工艺品、服装、五金制品、不锈钢制品、塑胶制品、微型电机、电脑配件、家用电器、机械设备、木材、石材;销售化工原料;货物进出口、技术进出口。（依法须经批准的项目,经相关部门批准后方可开展经营活动）。企业当前经营状态为注销。</t>
  </si>
  <si>
    <t>生产、加工、销售木制品、家具、工艺品、服装、五金制品、不锈钢制品、塑胶制品、微型电机、电脑配件、家用电器、机械设备、木材、石材;销售化工原料;货物进出口、技术进出口。（依法须经批准的项目,经相关部门批准后方可开展经营活动）</t>
  </si>
  <si>
    <t>揭阳市揭东美嘉木制品有限公司</t>
  </si>
  <si>
    <t>91445203574521876D</t>
  </si>
  <si>
    <t>揭东县美嘉木制品有限公司</t>
  </si>
  <si>
    <t>注销（2017-03-13）</t>
  </si>
  <si>
    <t>李伟良</t>
  </si>
  <si>
    <t>2011-05-20</t>
  </si>
  <si>
    <t>揭阳市揭东区新亨镇北良村新路下</t>
  </si>
  <si>
    <t>0663-3445333</t>
  </si>
  <si>
    <t>2832735652@qq.com</t>
  </si>
  <si>
    <t>445221000018099</t>
  </si>
  <si>
    <t>57452187-6</t>
  </si>
  <si>
    <t>2011-05-20 至 无固定期限</t>
  </si>
  <si>
    <t>Jieyang Jiedong MEIJIA Wood Products Co., Ltd.</t>
  </si>
  <si>
    <t>揭阳市揭东美嘉木制品有限公司成立于2011-05-20，法定代表人为李伟良，注册资本为200万元，统一社会信用代码为91445203574521876D，企业注册地址位于揭阳市揭东区新亨镇北良村新路下，所属行业为木材加工和木、竹、藤、棕、草制品业，经营范围包含：生产、加工、销售木制品、胶合板;收购国内外木材、旋切板;生产、加工、销售家具;销售建筑材料;货物进出口、技术进出口。企业当前经营状态为注销。</t>
  </si>
  <si>
    <t>生产、加工、销售木制品、胶合板;收购国内外木材、旋切板;生产、加工、销售家具;销售建筑材料;货物进出口、技术进出口。</t>
  </si>
  <si>
    <t>广东省揭阳市揭东县工商行政管理局</t>
  </si>
  <si>
    <t>江阴市睿澳毛纺有限公司</t>
  </si>
  <si>
    <t>91320281MA27DC1C53</t>
  </si>
  <si>
    <t>万广鑫</t>
  </si>
  <si>
    <t>66万元</t>
  </si>
  <si>
    <t>2021-11-10</t>
  </si>
  <si>
    <t>江阴市周庄镇山泉村山泉路191号</t>
  </si>
  <si>
    <t>无锡市</t>
  </si>
  <si>
    <t>江阴市</t>
  </si>
  <si>
    <t>17766371390</t>
  </si>
  <si>
    <t>2770239887@qq.com</t>
  </si>
  <si>
    <t>320281001171402</t>
  </si>
  <si>
    <t>MA27DC1C-5</t>
  </si>
  <si>
    <t>2021-11-10 至 2041-11-09</t>
  </si>
  <si>
    <t>Jiangyin Ruiao Woolen Textile Co., Ltd.</t>
  </si>
  <si>
    <t>江阴市睿澳毛纺有限公司成立于2021-11-10，法定代表人为万广鑫，注册资本为100万元，统一社会信用代码为91320281MA27DC1C53，企业注册地址位于江阴市周庄镇山泉村山泉路191号，所属行业为批发业，经营范围包含：一般项目：针纺织品销售；针纺织品及原料销售；产业用纺织制成品销售；纺织、服装及家庭用品批发；互联网销售（除销售需要许可的商品）；服装辅料销售；服装服饰批发；鞋帽批发；鞋帽零售；劳动保护用品销售；箱包销售；日用杂品销售；皮革制品销售；塑料制品销售；纺织专用设备销售；农副产品销售；货物进出口；技术进出口；进出口代理（除依法须经批准的项目外，凭营业执照依法自主开展经营活动）。企业当前经营状态为存续。</t>
  </si>
  <si>
    <t>一般项目：针纺织品销售；针纺织品及原料销售；产业用纺织制成品销售；纺织、服装及家庭用品批发；互联网销售（除销售需要许可的商品）；服装辅料销售；服装服饰批发；鞋帽批发；鞋帽零售；劳动保护用品销售；箱包销售；日用杂品销售；皮革制品销售；塑料制品销售；纺织专用设备销售；农副产品销售；货物进出口；技术进出口；进出口代理（除依法须经批准的项目外，凭营业执照依法自主开展经营活动）</t>
  </si>
  <si>
    <t>江阴市行政审批局</t>
  </si>
  <si>
    <t>中粮饲料（沛县）有限公司</t>
  </si>
  <si>
    <t>91320300571413327D</t>
  </si>
  <si>
    <t>毛新杰</t>
  </si>
  <si>
    <t>6512.04万元</t>
  </si>
  <si>
    <t>4200万元</t>
  </si>
  <si>
    <t>2011-04-13</t>
  </si>
  <si>
    <t>徐州市沛县经济开发区西环路东侧、酒厂南路北侧</t>
  </si>
  <si>
    <t>沛县</t>
  </si>
  <si>
    <t>0516-81210601</t>
  </si>
  <si>
    <t>18811950909;15852452708;18251590657</t>
  </si>
  <si>
    <t>368749393@qq.com</t>
  </si>
  <si>
    <t>562478483@qq.com;912291409@qq.com;348097875@qq.com;18251590657@163.com</t>
  </si>
  <si>
    <t>320300400012193</t>
  </si>
  <si>
    <t>57141332-7</t>
  </si>
  <si>
    <t>43</t>
  </si>
  <si>
    <t>2011-04-13 至 2041-04-11</t>
  </si>
  <si>
    <t>COFCO Feed (Pei Xian) Co., Ltd.</t>
  </si>
  <si>
    <t>中粮饲料（沛县）有限公司成立于2011-04-13，法定代表人为毛新杰，注册资本为6512.04万元，统一社会信用代码为91320300571413327D，企业注册地址位于徐州市沛县经济开发区西环路东侧、酒厂南路北侧，所属行业为农副食品加工业，经营范围包含：配合饲料、浓缩饲料、预混料饲料、饲料添加剂生产；粮食收购（按《粮食收购许可证》核定范围）。饲料原辅材料的购销；谷物批发；谷物仓储及其他仓储服务；销售自产产品；机械设备租赁；企业管理咨询服务；自有房地产经营活动。（依法须经批准的项目，经相关部门批准后方可开展经营活动）。企业当前经营状态为在业。</t>
  </si>
  <si>
    <t>配合饲料、浓缩饲料、预混料饲料、饲料添加剂生产；粮食收购（按《粮食收购许可证》核定范围）。饲料原辅材料的购销；谷物批发；谷物仓储及其他仓储服务；销售自产产品；机械设备租赁；企业管理咨询服务；自有房地产经营活动。（依法须经批准的项目，经相关部门批准后方可开展经营活动）</t>
  </si>
  <si>
    <t>沛县政务服务管理办公室</t>
  </si>
  <si>
    <t>常州迪尔毛纺织有限公司</t>
  </si>
  <si>
    <t>91320402738264555A</t>
  </si>
  <si>
    <t>徐志亮</t>
  </si>
  <si>
    <t>2002-05-24</t>
  </si>
  <si>
    <t>常州市青龙街道纺织工业园（景阳路6号）</t>
  </si>
  <si>
    <t>常州市</t>
  </si>
  <si>
    <t>天宁区</t>
  </si>
  <si>
    <t>0519-88811041</t>
  </si>
  <si>
    <t>0519-88820474;0519-85502798</t>
  </si>
  <si>
    <t>demfz@126.com</t>
  </si>
  <si>
    <t>320402000057921</t>
  </si>
  <si>
    <t>73826455-5</t>
  </si>
  <si>
    <t>56</t>
  </si>
  <si>
    <t>2002-05-24 至 无固定期限</t>
  </si>
  <si>
    <t>Changzhou Dier Woolen Co., Ltd.</t>
  </si>
  <si>
    <t>常州迪尔毛纺织有限公司成立于2002-05-24，法定代表人为徐志亮，注册资本为2000万元，统一社会信用代码为91320402738264555A，企业注册地址位于常州市青龙街道纺织工业园（景阳路6号），所属行业为纺织业，经营范围包含：粗纺呢绒的生产、加工；粗纺呢绒的服装、粗纺呢绒原辅料、纺织品的销售；机械设备修配；自营和代理各类商品及技术的进出口业务。（依法须经批准的项目，经相关部门批准后方可开展经营活动）
许可项目：道路货物运输（不含危险货物）（依法须经批准的项目，经相关部门批准后方可开展经营活动，具体经营项目以审批结果为准）
一般项目：面料印染加工；面料纺织加工；纺织专用设备销售；单位后勤管理服务；服装制造；服装服饰批发；服装服饰零售（除依法须经批准的项目外，凭营业执照依法自主开展经营活动）。企业当前经营状态为在业。</t>
  </si>
  <si>
    <t>粗纺呢绒的生产、加工；粗纺呢绒的服装、粗纺呢绒原辅料、纺织品的销售；机械设备修配；自营和代理各类商品及技术的进出口业务。（依法须经批准的项目，经相关部门批准后方可开展经营活动）
许可项目：道路货物运输（不含危险货物）（依法须经批准的项目，经相关部门批准后方可开展经营活动，具体经营项目以审批结果为准）
一般项目：面料印染加工；面料纺织加工；纺织专用设备销售；单位后勤管理服务；服装制造；服装服饰批发；服装服饰零售（除依法须经批准的项目外，凭营业执照依法自主开展经营活动）</t>
  </si>
  <si>
    <t>常州市天宁区政务服务管理办公室</t>
  </si>
  <si>
    <t>兰州陆港国际商贸有限公司</t>
  </si>
  <si>
    <t>91620104MA73YBK05C</t>
  </si>
  <si>
    <t>张旭业</t>
  </si>
  <si>
    <t>3750万元</t>
  </si>
  <si>
    <t>2017-02-22</t>
  </si>
  <si>
    <t>甘肃省兰州市西固区新城镇96-21号</t>
  </si>
  <si>
    <t>甘肃省</t>
  </si>
  <si>
    <t>兰州市</t>
  </si>
  <si>
    <t>西固区</t>
  </si>
  <si>
    <t>0931-7320193</t>
  </si>
  <si>
    <t>0931-7210219;17693182527;13609363009;0931-7574197</t>
  </si>
  <si>
    <t>1510930898@qq.com</t>
  </si>
  <si>
    <t>374896975@qq.com;2491323639@qq.com</t>
  </si>
  <si>
    <t>620104000005854</t>
  </si>
  <si>
    <t>MA73YBK0-5</t>
  </si>
  <si>
    <t>27</t>
  </si>
  <si>
    <t>2017-02-22 至 2047-02-21</t>
  </si>
  <si>
    <t>Lanzhou Lugang International Trade Co., Ltd.</t>
  </si>
  <si>
    <t>兰州陆港国际商贸有限公司成立于2017-02-22，法定代表人为张旭业，注册资本为3750万元，统一社会信用代码为91620104MA73YBK05C，企业注册地址位于甘肃省兰州市西固区新城镇96-21号，所属行业为批发业，经营范围包含：一般项目：金属材料销售；金属矿石销售；小微型客车租赁经营服务；装卸搬运；电动汽车充电基础设施运营；信息咨询服务（不含许可类信息咨询服务）；社会经济咨询服务；会议及展览服务；停车场服务；总质量4.5吨及以下普通货运车辆道路货物运输（除网络货运和危险货物）；租赁服务（不含许可类租赁服务及金融租赁）；非居住房地产租赁；仓储设备租赁服务；运输设备租赁服务；针纺织品及原料销售；润滑油销售；石墨及碳素制品销售；汽车销售；建筑材料销售；家用视听设备销售；日用百货销售；渔需物资销售；化工产品销售（不含许可类化工产品）；石油制品销售（不含危险化学品）；木材销售；畜禽收购；牲畜销售；农副产品销售；畜牧渔业饲料销售；煤炭及制品销售；通讯设备销售（不含卫星地面接收设施）；制冷、空调设备销售；五金产品批发；鲜肉批发；新鲜水果批发；汽车零配件批发；供应链管理服务；汽车零配件零售；食用农产品零售；新鲜水果零售；五金产品零售；日用家电零售；鲜肉零售；计算机软硬件及辅助设备零售；石墨及碳素制品制造；国内贸易代理；货物进出口（国家禁止及须取得专项许可的除外）；低温仓储（不含危险化学品等需许可审批的项目）；普通货物仓储服务（不含危险化学品等需许可审批的项目）；陆路国际货物运输代理；国际货物运输代理；国内集装箱货物运输代理；国内货物运输代理；机动车充电销售；食品销售（仅销售预包装食品）；报检业务；报关业务；进出口代理；技术进出口（国家禁止及须取得专项许可的除外）（除许可业务外，可自主依法经营法律法规非禁止或限制的项目）许可项目：道路货物运输（不含危险货物）；酒类经营；食品销售；活禽销售；危险化学品经营（依法须经批准的项目，经相关部门批准后方可开展经营活动）。企业当前经营状态为存续。</t>
  </si>
  <si>
    <t>一般项目：金属材料销售；金属矿石销售；小微型客车租赁经营服务；装卸搬运；电动汽车充电基础设施运营；信息咨询服务（不含许可类信息咨询服务）；社会经济咨询服务；会议及展览服务；停车场服务；总质量4.5吨及以下普通货运车辆道路货物运输（除网络货运和危险货物）；租赁服务（不含许可类租赁服务及金融租赁）；非居住房地产租赁；仓储设备租赁服务；运输设备租赁服务；针纺织品及原料销售；润滑油销售；石墨及碳素制品销售；汽车销售；建筑材料销售；家用视听设备销售；日用百货销售；渔需物资销售；化工产品销售（不含许可类化工产品）；石油制品销售（不含危险化学品）；木材销售；畜禽收购；牲畜销售；农副产品销售；畜牧渔业饲料销售；煤炭及制品销售；通讯设备销售（不含卫星地面接收设施）；制冷、空调设备销售；五金产品批发；鲜肉批发；新鲜水果批发；汽车零配件批发；供应链管理服务；汽车零配件零售；食用农产品零售；新鲜水果零售；五金产品零售；日用家电零售；鲜肉零售；计算机软硬件及辅助设备零售；石墨及碳素制品制造；国内贸易代理；货物进出口（国家禁止及须取得专项许可的除外）；低温仓储（不含危险化学品等需许可审批的项目）；普通货物仓储服务（不含危险化学品等需许可审批的项目）；陆路国际货物运输代理；国际货物运输代理；国内集装箱货物运输代理；国内货物运输代理；机动车充电销售；食品销售（仅销售预包装食品）；报检业务；报关业务；进出口代理；技术进出口（国家禁止及须取得专项许可的除外）（除许可业务外，可自主依法经营法律法规非禁止或限制的项目）许可项目：道路货物运输（不含危险货物）；酒类经营；食品销售；活禽销售；危险化学品经营（依法须经批准的项目，经相关部门批准后方可开展经营活动）</t>
  </si>
  <si>
    <t>兰州市西固区市场监督管理局</t>
  </si>
  <si>
    <t>中纺棉新疆有限公司</t>
  </si>
  <si>
    <t>91650100399281704G</t>
  </si>
  <si>
    <t>张施南</t>
  </si>
  <si>
    <t>11500万元</t>
  </si>
  <si>
    <t>2014-05-23</t>
  </si>
  <si>
    <t>新疆乌鲁木齐市水磨沟区红光山路888号绿城广场1A16楼1602室</t>
  </si>
  <si>
    <t>水磨沟区</t>
  </si>
  <si>
    <t>15292881561</t>
  </si>
  <si>
    <t>0991-3073606</t>
  </si>
  <si>
    <t>3341165@qq.com</t>
  </si>
  <si>
    <t>650100050212884</t>
  </si>
  <si>
    <t>39928170-4</t>
  </si>
  <si>
    <t>33</t>
  </si>
  <si>
    <t>2014-05-23 至 无固定期限</t>
  </si>
  <si>
    <t>纺织、服装及日用品专门零售</t>
  </si>
  <si>
    <t>纺织品及针织品零售</t>
  </si>
  <si>
    <t>Zhongfang Cotton Xinjiang Co., Ltd.</t>
  </si>
  <si>
    <t>www.chinatex.com</t>
  </si>
  <si>
    <t>中纺棉新疆有限公司成立于2014-05-23，法定代表人为张施南，注册资本为11500万元，统一社会信用代码为91650100399281704G，企业注册地址位于新疆乌鲁木齐市水磨沟区红光山路888号绿城广场1A16楼1602室，所属行业为零售业，经营范围包含：棉花收购；仓储服务；钢材、建筑材料、初级农产品销售。（依法须经批准的项目，经相关部门批准后方可开展经营活动）。企业当前经营状态为存续。</t>
  </si>
  <si>
    <t>棉花收购；仓储服务；钢材、建筑材料、初级农产品销售。（依法须经批准的项目，经相关部门批准后方可开展经营活动）</t>
  </si>
  <si>
    <t>水磨沟区市场监督管理局</t>
  </si>
  <si>
    <t>广元特驱饲料有限公司</t>
  </si>
  <si>
    <t>9151080257961932XK</t>
  </si>
  <si>
    <t>广元希望健珠饲料有限公司</t>
  </si>
  <si>
    <t>鲁力</t>
  </si>
  <si>
    <t>2011-08-03</t>
  </si>
  <si>
    <t>广元市利州区河西街道学工村60号</t>
  </si>
  <si>
    <t>广元市</t>
  </si>
  <si>
    <t>利州区</t>
  </si>
  <si>
    <t>0839-3440111</t>
  </si>
  <si>
    <t>2086026616@qq.com</t>
  </si>
  <si>
    <t>407194037@qq.com</t>
  </si>
  <si>
    <t>510802000009521</t>
  </si>
  <si>
    <t>57961932-X</t>
  </si>
  <si>
    <t>100</t>
  </si>
  <si>
    <t>2011-08-03 至 无固定期限</t>
  </si>
  <si>
    <t>Guangyuan Tequ Feed Co., Ltd.</t>
  </si>
  <si>
    <t>广元市利州区回龙河工业园区</t>
  </si>
  <si>
    <t>广元特驱饲料有限公司成立于2011-08-03，法定代表人为鲁力，注册资本为1250万元，统一社会信用代码为9151080257961932XK，企业注册地址位于广元市利州区河西街道学工村60号，所属行业为农副食品加工业，经营范围包含：许可项目：饲料生产；兽药经营；食品互联网销售（销售预包装食品）；家禽饲养；牲畜饲养；生猪屠宰；货物进出口；进出口代理；种畜禽经营（依法须经批准的项目，经相关部门批准后方可开展经营活动，具体经营项目以相关部门批准文件或许可证件为准）一般项目：畜牧渔业饲料销售；饲料原料销售；饲料添加剂销售；农、林、牧、副、渔业专业机械的销售；牲畜销售（不含犬类）；软件销售；计算机软硬件及辅助设备批发；初级农产品收购；非食用农产品初加工；农副产品销售；技术服务、技术开发、技术咨询、技术交流、技术转让、技术推广；农林牧副渔业专业机械的安装、维修（除依法须经批准的项目外，凭营业执照依法自主开展经营活动）。企业当前经营状态为存续。</t>
  </si>
  <si>
    <t>许可项目：饲料生产；兽药经营；食品互联网销售（销售预包装食品）；家禽饲养；牲畜饲养；生猪屠宰；货物进出口；进出口代理；种畜禽经营（依法须经批准的项目，经相关部门批准后方可开展经营活动，具体经营项目以相关部门批准文件或许可证件为准）一般项目：畜牧渔业饲料销售；饲料原料销售；饲料添加剂销售；农、林、牧、副、渔业专业机械的销售；牲畜销售（不含犬类）；软件销售；计算机软硬件及辅助设备批发；初级农产品收购；非食用农产品初加工；农副产品销售；技术服务、技术开发、技术咨询、技术交流、技术转让、技术推广；农林牧副渔业专业机械的安装、维修（除依法须经批准的项目外，凭营业执照依法自主开展经营活动）。</t>
  </si>
  <si>
    <t>广元市利州区市场监督管理局</t>
  </si>
  <si>
    <t>华商三农（北京）农业发展有限公司</t>
  </si>
  <si>
    <t>91110102587694223X</t>
  </si>
  <si>
    <t>北京中商三农农业发展有限公司</t>
  </si>
  <si>
    <t>陈宝生</t>
  </si>
  <si>
    <t>2011-12-01</t>
  </si>
  <si>
    <t>北京市西城区月坛北街25号109幢</t>
  </si>
  <si>
    <t>西城区</t>
  </si>
  <si>
    <t>010-68539926</t>
  </si>
  <si>
    <t>010-85326624;010-68533256</t>
  </si>
  <si>
    <t>bjcbs@126.com</t>
  </si>
  <si>
    <t>cbs@hengsheng2002.com;lilu@bjzssn.com;cbs@bjzssn.com;zssnye@163.com;ylw@bjzssn.com</t>
  </si>
  <si>
    <t>110102014463264</t>
  </si>
  <si>
    <t>58769422-3</t>
  </si>
  <si>
    <t>2011-12-01 至 2031-11-30</t>
  </si>
  <si>
    <t>Huashang Sannong (Beijing) Agricultural Development Co., Ltd.</t>
  </si>
  <si>
    <t>北京市西城区月坛北街25号院西平3</t>
  </si>
  <si>
    <t>华商三农（北京）农业发展有限公司成立于2011-12-01，法定代表人为陈宝生，注册资本为500万元，统一社会信用代码为91110102587694223X，企业注册地址位于北京市西城区月坛北街25号109幢，所属行业为农业，经营范围包含：一般项目：农副产品销售；食品进出口；国内贸易代理；化工产品销售（不含许可类化工产品）；金属矿石销售；畜牧渔业饲料销售；饲料原料销售；第二类医疗器械销售；石油制品销售（不含危险化学品）；建筑材料销售；金属材料销售；通讯设备销售；电子产品销售；五金产品零售；工艺美术品及礼仪用品销售（象牙及其制品除外）；货物进出口；技术服务、技术开发、技术咨询、技术交流、技术转让、技术推广；信息咨询服务（不含许可类信息咨询服务）；橡胶制品销售；化肥销售；肥料销售；金属制品销售；木材销售；纸制品销售；饲料添加剂销售；草及相关制品销售；农作物种子经营（仅限不再分装的包装种子）；非食用植物油销售；谷物销售；豆及薯类销售；非金属矿及制品销售；食品销售（仅销售预包装食品）。（除依法须经批准的项目外，凭营业执照依法自主开展经营活动）许可项目：危险化学品经营；第三类医疗器械经营。（依法须经批准的项目，经相关部门批准后方可开展经营活动，具体经营项目以相关部门批准文件或许可证件为准）（不得从事国家和本市产业政策禁止和限制类项目的经营活动。）。企业当前经营状态为存续。</t>
  </si>
  <si>
    <t>一般项目：农副产品销售；食品进出口；国内贸易代理；化工产品销售（不含许可类化工产品）；金属矿石销售；畜牧渔业饲料销售；饲料原料销售；第二类医疗器械销售；石油制品销售（不含危险化学品）；建筑材料销售；金属材料销售；通讯设备销售；电子产品销售；五金产品零售；工艺美术品及礼仪用品销售（象牙及其制品除外）；货物进出口；技术服务、技术开发、技术咨询、技术交流、技术转让、技术推广；信息咨询服务（不含许可类信息咨询服务）；橡胶制品销售；化肥销售；肥料销售；金属制品销售；木材销售；纸制品销售；饲料添加剂销售；草及相关制品销售；农作物种子经营（仅限不再分装的包装种子）；非食用植物油销售；谷物销售；豆及薯类销售；非金属矿及制品销售；食品销售（仅销售预包装食品）。（除依法须经批准的项目外，凭营业执照依法自主开展经营活动）许可项目：危险化学品经营；第三类医疗器械经营。（依法须经批准的项目，经相关部门批准后方可开展经营活动，具体经营项目以相关部门批准文件或许可证件为准）（不得从事国家和本市产业政策禁止和限制类项目的经营活动。）</t>
  </si>
  <si>
    <t>北京市西城区市场监督管理局</t>
  </si>
  <si>
    <t>浙江广华纺织有限公司</t>
  </si>
  <si>
    <t>91330781687868913W</t>
  </si>
  <si>
    <t>注销（2025-11-25）</t>
  </si>
  <si>
    <t>张芊</t>
  </si>
  <si>
    <t>3800万元</t>
  </si>
  <si>
    <t>2009-04-17</t>
  </si>
  <si>
    <t>浙江省兰溪经济开发区登胜路</t>
  </si>
  <si>
    <t>金华市</t>
  </si>
  <si>
    <t>兰溪市</t>
  </si>
  <si>
    <t>0579-89012595</t>
  </si>
  <si>
    <t>0579-88233889</t>
  </si>
  <si>
    <t>webmaster@yongxintextile.com</t>
  </si>
  <si>
    <t>157408023@qq.com;1165478581@qq.com</t>
  </si>
  <si>
    <t>330781000022152</t>
  </si>
  <si>
    <t>68786891-3</t>
  </si>
  <si>
    <t>188</t>
  </si>
  <si>
    <t>2009-04-17 至 2059-04-16</t>
  </si>
  <si>
    <t>Zhejiang Guanghua Textile Co., Ltd.</t>
  </si>
  <si>
    <t>浙江广华纺织有限公司成立于2009-04-17，法定代表人为张芊，注册资本为3800万元，统一社会信用代码为91330781687868913W，企业注册地址位于浙江省兰溪经济开发区登胜路，所属行业为纺织业，经营范围包含：一般项目：面料纺织加工；服装制造；面料印染加工；医护人员防护用品生产（Ⅰ类医疗器械）；医护人员防护用品批发；医护人员防护用品零售；医用口罩零售；日用口罩（非医用）销售；日用口罩（非医用）生产；劳动保护用品生产；劳动保护用品销售（除依法须经批准的项目外，凭营业执照依法自主开展经营活动）。许可项目：货物进出口；技术进出口；医护人员防护用品生产（Ⅱ类医疗器械）；医用口罩生产（依法须经批准的项目，经相关部门批准后方可开展经营活动，具体经营项目以审批结果为准）。企业当前经营状态为注销。</t>
  </si>
  <si>
    <t>一般项目：面料纺织加工；服装制造；面料印染加工；医护人员防护用品生产（Ⅰ类医疗器械）；医护人员防护用品批发；医护人员防护用品零售；医用口罩零售；日用口罩（非医用）销售；日用口罩（非医用）生产；劳动保护用品生产；劳动保护用品销售（除依法须经批准的项目外，凭营业执照依法自主开展经营活动）。许可项目：货物进出口；技术进出口；医护人员防护用品生产（Ⅱ类医疗器械）；医用口罩生产（依法须经批准的项目，经相关部门批准后方可开展经营活动，具体经营项目以审批结果为准）。</t>
  </si>
  <si>
    <t>兰溪市市场监督管理局</t>
  </si>
  <si>
    <t>新疆仁和纺织科技有限公司</t>
  </si>
  <si>
    <t>91650200328881331K</t>
  </si>
  <si>
    <t>张连生</t>
  </si>
  <si>
    <t>2015-06-09</t>
  </si>
  <si>
    <t>新疆克拉玛依市共青镇130团团部</t>
  </si>
  <si>
    <t>克拉玛依市</t>
  </si>
  <si>
    <t>0992-7394006</t>
  </si>
  <si>
    <t>1396531873@qq.com</t>
  </si>
  <si>
    <t>zhangleine8261@sina.com;1261398533@qq.com</t>
  </si>
  <si>
    <t>650200050034223</t>
  </si>
  <si>
    <t>32888133-1</t>
  </si>
  <si>
    <t>254</t>
  </si>
  <si>
    <t>2015-06-09 至 无固定期限</t>
  </si>
  <si>
    <t>Xinjiang Renhe Textile and Technology Co., Ltd.</t>
  </si>
  <si>
    <t>新疆胡杨河市共青镇黄河北街1482号</t>
  </si>
  <si>
    <t>新疆仁和纺织科技有限公司成立于2015-06-09，法定代表人为张连生，注册资本为10000万元，统一社会信用代码为91650200328881331K，企业注册地址位于新疆克拉玛依市共青镇130团团部，所属行业为纺织业，经营范围包含：新型纤维、新型纤维纺织品、纺织技术研发；软件开发；纺织品、针纺织品、服装生产和销售；针纺织品原料、皮棉、机械设备销售；货物及技术的进出口业务。（依法须经批准的项目，经相关部门批准后方可开展经营活动）。企业当前经营状态为存续。</t>
  </si>
  <si>
    <t>新型纤维、新型纤维纺织品、纺织技术研发；软件开发；纺织品、针纺织品、服装生产和销售；针纺织品原料、皮棉、机械设备销售；货物及技术的进出口业务。（依法须经批准的项目，经相关部门批准后方可开展经营活动）</t>
  </si>
  <si>
    <t>新疆生产建设兵团第七师市场监督管理局</t>
  </si>
  <si>
    <t>重庆钢铁股份有限公司</t>
  </si>
  <si>
    <t>91500000202852965T</t>
  </si>
  <si>
    <t>王虎祥</t>
  </si>
  <si>
    <t>891860.2267万元</t>
  </si>
  <si>
    <t>885176.3767万元</t>
  </si>
  <si>
    <t>1997-08-11</t>
  </si>
  <si>
    <t>重庆市长寿区江南街道江南大道2号</t>
  </si>
  <si>
    <t>重庆市</t>
  </si>
  <si>
    <t>长寿区</t>
  </si>
  <si>
    <t>023-68983399</t>
  </si>
  <si>
    <t>023-68983482;023-40688022;023-68873399;023-68873307;023-68983186;023-68983489;023-68873311;15600918898;023-68983416</t>
  </si>
  <si>
    <t>291320287@qq.com</t>
  </si>
  <si>
    <t>ir@email.cqgt.cn;xx6792@126.com;ir_601005@baowugroup.com</t>
  </si>
  <si>
    <t>股份有限公司（港澳台投资、上市）</t>
  </si>
  <si>
    <t>500000400003546</t>
  </si>
  <si>
    <t>20285296-5</t>
  </si>
  <si>
    <t>6356</t>
  </si>
  <si>
    <t>1997-08-11 至 无固定期限</t>
  </si>
  <si>
    <t>Chongqing Iron &amp; Steel Company Limited</t>
  </si>
  <si>
    <t>www.cqgt.cn</t>
  </si>
  <si>
    <t>重庆钢铁股份有限公司(以下简称“重庆钢铁”),成立于1997年8月，同年在中国香港联交所发行H股股票(股票代码:H1053),2007年在上海证券交易所发行A股股票(股票代码:A601005)。2017年底，重庆钢铁完成司法重整，企业性质由国有控股转变为混合所有制。目前，重庆钢铁具备年产钢840万吨的生产能力。主要产品生产线有:4100mm宽厚板生产线、2700mm中板生产线、1780mm热轧薄板生产线、高速线材、棒材。产品应用于机械、建筑、工程、汽车、摩托车、造船、海洋石油、气瓶、锅炉、输油及输气管道等行业。重庆钢铁生产的船体结构用钢、锅炉及压力容器用钢荣获“中国名牌产品”称号，另有4个产品荣获“重庆名牌”称号。重庆钢铁先后获得全国五一劳动奖状、全国实施卓越绩效模式先进企业、重庆市著名商标、重庆市质量效益型企业、重庆市重合同守信用企业等荣誉称号。融入中国宝武的重庆钢铁正以崭新的姿态向高质量发展目标坚定前行，致力打造千万吨级钢铁企业，建设“美丽重钢，山水重钢”,成为中国西南地区钢铁业引领者。</t>
  </si>
  <si>
    <t>许可项目：港口经营（依法须经批准的项目，经相关部门批准后方可开展经营活动，具体经营项目以相关部门批准文件或许可证件为准）一般项目：生产、加工、销售板材、型材、线材、棒材、钢坯、薄板带；生产、销售焦炭及煤化工制品（不含除芳香烃中加工用粗苯、溶剂用粗苯限生产外的危险化学品，须按许可证核定的范围和期限从事经营）、生铁及水渣、钢渣、废钢，国内船舶代理，国内货物运输代理（除依法须经批准的项目外，凭营业执照依法自主开展经营活动）</t>
  </si>
  <si>
    <t>重庆市市场监督管理局</t>
  </si>
  <si>
    <t>新疆双河供销电子商务有限公司</t>
  </si>
  <si>
    <t>91659007MA77919N3M</t>
  </si>
  <si>
    <t>注销（2023-11-07）</t>
  </si>
  <si>
    <t>柳忠江</t>
  </si>
  <si>
    <t>6394.4万元</t>
  </si>
  <si>
    <t>2017-01-24</t>
  </si>
  <si>
    <t>新疆双河市89团彩虹路1号</t>
  </si>
  <si>
    <t>自治区直辖县级行政区划</t>
  </si>
  <si>
    <t>双河市</t>
  </si>
  <si>
    <t>0909-6666738</t>
  </si>
  <si>
    <t>0909-7658669;0909-2278141;0909-2279168;13399727572</t>
  </si>
  <si>
    <t>34133638@qq.com</t>
  </si>
  <si>
    <t>2502351953@qq.com;525165181@qq.com;1464881598@qq.com</t>
  </si>
  <si>
    <t>659007030000146</t>
  </si>
  <si>
    <t>MA77919N-3</t>
  </si>
  <si>
    <t>2017-01-24 至 无固定期限</t>
  </si>
  <si>
    <t>Xinjiang Shuanghe Supply and Marketing E-commerce Co., Ltd.</t>
  </si>
  <si>
    <t>新疆双河供销电子商务有限公司成立于2017-01-24，法定代表人为柳忠江，注册资本为6394.4万元，统一社会信用代码为91659007MA77919N3M，企业注册地址位于新疆双河市89团彩虹路1号，所属行业为零售业，经营范围包含：电子商务；物流配送、农副产品（籽棉、皮棉、短绒、棉籽）收购、加工、销售；机械设备、五金产品及电子产品的销售；塑料制品的制造、销售；牲畜、食品、饮料及烟草制品的销售；纺织、服装及日用百货销售；文化、体育用品及器材销售；医疗用品及器材销售；矿产品、建材及化工产品销售；汽车新车及配件销售；家具及室内装饰材料销售；软件和信息技术服务、餐饮服务、仓储服务；房屋租赁；进出口贸易；运输代理服务，社会经济咨询；网上贸易代理；广告业；技术推广和应用服务业；计算机和办公设备维修；第二类增值电信业务；在线数据处理与交易处理业务（经营类电子商务）；瓜果蔬菜及花卉种植、加工及销售；农产品生产、加工及销售；食品的生产加工及销售；鲜蛋批发及零售；果菜汁及果菜饮料的加工及销售；罐头食品加工及销售；坚果、干果加工、销售；普通货物道路运输；水产品批发及零售；林木育种和育苗销售；棉花种植、加工、销售；粮油加工、销售；农机及配件的销售；种子、农药（高毒除外）、化肥销售；肉制品的加工、销售；农产品收购、加工及销售；其他文体设备和用品出租；土地整治服务；其他土地管理。（依法须经批准的项目，经相关部门批准后方可开展经营活动）。企业当前经营状态为注销。</t>
  </si>
  <si>
    <t>电子商务；物流配送、农副产品（籽棉、皮棉、短绒、棉籽）收购、加工、销售；机械设备、五金产品及电子产品的销售；塑料制品的制造、销售；牲畜、食品、饮料及烟草制品的销售；纺织、服装及日用百货销售；文化、体育用品及器材销售；医疗用品及器材销售；矿产品、建材及化工产品销售；汽车新车及配件销售；家具及室内装饰材料销售；软件和信息技术服务、餐饮服务、仓储服务；房屋租赁；进出口贸易；运输代理服务，社会经济咨询；网上贸易代理；广告业；技术推广和应用服务业；计算机和办公设备维修；第二类增值电信业务；在线数据处理与交易处理业务（经营类电子商务）；瓜果蔬菜及花卉种植、加工及销售；农产品生产、加工及销售；食品的生产加工及销售；鲜蛋批发及零售；果菜汁及果菜饮料的加工及销售；罐头食品加工及销售；坚果、干果加工、销售；普通货物道路运输；水产品批发及零售；林木育种和育苗销售；棉花种植、加工、销售；粮油加工、销售；农机及配件的销售；种子、农药（高毒除外）、化肥销售；肉制品的加工、销售；农产品收购、加工及销售；其他文体设备和用品出租；土地整治服务；其他土地管理。（依法须经批准的项目，经相关部门批准后方可开展经营活动）</t>
  </si>
  <si>
    <t>新疆生产建设兵团第五师市场监督管理局</t>
  </si>
  <si>
    <t>吴江市七都镇家得利地板厂</t>
  </si>
  <si>
    <t>92320509MA1PLQ6PX9</t>
  </si>
  <si>
    <t>陈俭云</t>
  </si>
  <si>
    <t>2010-07-08</t>
  </si>
  <si>
    <t>七都镇永民村</t>
  </si>
  <si>
    <t>吴江区</t>
  </si>
  <si>
    <t>13305727294</t>
  </si>
  <si>
    <t>个体工商户</t>
  </si>
  <si>
    <t>320584600435156</t>
  </si>
  <si>
    <t>MA1PLQ6P-X</t>
  </si>
  <si>
    <t>2010-07-08 至 无固定期限</t>
  </si>
  <si>
    <t>吴江市七都镇家得利地板厂成立于2010-07-08，经营者为陈俭云，资金数额为100万元，统一社会信用代码为92320509MA1PLQ6PX9，经营场所位于七都镇永民村，所属行业为木材加工和木、竹、藤、棕、草制品业，经营范围包含：木地板、复合地板生产、销售。建筑材料销售；建筑装饰材料销售；林业产品销售；（依法须经批准的项目，经相关部门批准后方可开展经营活动）
一般项目：建筑材料销售；建筑装饰材料销售；林业产品销售；货物进出口（除依法须经批准的项目外，凭营业执照依法自主开展经营活动）。个体工商户当前经营状态为在业。</t>
  </si>
  <si>
    <t>木地板、复合地板生产、销售。建筑材料销售；建筑装饰材料销售；林业产品销售；（依法须经批准的项目，经相关部门批准后方可开展经营活动）
一般项目：建筑材料销售；建筑装饰材料销售；林业产品销售；货物进出口（除依法须经批准的项目外，凭营业执照依法自主开展经营活动）</t>
  </si>
  <si>
    <t>苏州市吴江区数据局</t>
  </si>
  <si>
    <t>新疆福日棉业有限公司一厂</t>
  </si>
  <si>
    <t>91654202MA776QC73A</t>
  </si>
  <si>
    <t>沙吾列·别布提</t>
  </si>
  <si>
    <t>2016-08-18</t>
  </si>
  <si>
    <t>新疆塔城地区乌苏市车排子镇中心学校西侧</t>
  </si>
  <si>
    <t>13369630666</t>
  </si>
  <si>
    <t>13239023966;13119903317</t>
  </si>
  <si>
    <t>514841543@qq.com</t>
  </si>
  <si>
    <t>5148415433@qq.com;13239023966@qq.com;13119903317@qq.com</t>
  </si>
  <si>
    <t>有限责任公司分公司（自然人投资或控股的法人独资）</t>
  </si>
  <si>
    <t>654202150006801</t>
  </si>
  <si>
    <t>MA776QC7-3</t>
  </si>
  <si>
    <t>2016-08-18 至 无固定期限</t>
  </si>
  <si>
    <t>No.1 Factory of Xinjiang Furi Cotton Industry Co., Ltd.</t>
  </si>
  <si>
    <t>新疆福日棉业有限公司一厂成立于2016-08-18，负责人为沙吾列·别布提，统一社会信用代码为91654202MA776QC73A，企业注册地址位于新疆塔城地区乌苏市车排子镇中心学校西侧，所属行业为纺织业，经营范围包含：籽棉收购、委托加工、皮棉经营。（依法须经批准的项目，经相关部门批准后方可开展经营活动）。企业当前经营状态为存续。</t>
  </si>
  <si>
    <t>籽棉收购、委托加工、皮棉经营。（依法须经批准的项目，经相关部门批准后方可开展经营活动）</t>
  </si>
  <si>
    <t>呼图壁县西域良种棉有限责任公司</t>
  </si>
  <si>
    <t>91652323778956046J</t>
  </si>
  <si>
    <t>马春江</t>
  </si>
  <si>
    <t>2005-08-17</t>
  </si>
  <si>
    <t>新疆昌吉州呼图壁县园户村镇下三工村甘莫公路七公里处</t>
  </si>
  <si>
    <t>呼图壁县</t>
  </si>
  <si>
    <t>13909943188</t>
  </si>
  <si>
    <t>13689933780;0994-4552666</t>
  </si>
  <si>
    <t>hemei4283388@163.com</t>
  </si>
  <si>
    <t>577404059@qq.com;916945768@qq.com</t>
  </si>
  <si>
    <t>652323050001923</t>
  </si>
  <si>
    <t>77895604-6</t>
  </si>
  <si>
    <t>2005-08-17 至 2035-08-16</t>
  </si>
  <si>
    <t>Hutubi County Xiyu Good Seed Cotton Co., Ltd.</t>
  </si>
  <si>
    <t>呼图壁县西域良种棉有限责任公司成立于2005-08-17，法定代表人为马春江，注册资本为1000万元，统一社会信用代码为91652323778956046J，企业注册地址位于新疆昌吉州呼图壁县园户村镇下三工村甘莫公路七公里处，所属行业为纺织业，经营范围包含：籽棉加工；籽棉收购#。（依法须经批准的项目，经相关部门批准后方可开展经营活动）。企业当前经营状态为存续。</t>
  </si>
  <si>
    <t>籽棉加工；籽棉收购#。（依法须经批准的项目，经相关部门批准后方可开展经营活动）</t>
  </si>
  <si>
    <t>呼图壁县市场监督管理局</t>
  </si>
  <si>
    <t>新疆利泰丝路投资有限公司</t>
  </si>
  <si>
    <t>9165280133307960XY</t>
  </si>
  <si>
    <t>潘雪平</t>
  </si>
  <si>
    <t>200000万元</t>
  </si>
  <si>
    <t>2015-04-09</t>
  </si>
  <si>
    <t>新疆巴州库尔勒经济技术开发区西姆莱斯路南侧，乐悟路西侧</t>
  </si>
  <si>
    <t>库尔勒市</t>
  </si>
  <si>
    <t>13814793891</t>
  </si>
  <si>
    <t>0996-2272186</t>
  </si>
  <si>
    <t>pxywq@163.com</t>
  </si>
  <si>
    <t>119694358@qq.com;xinjianglitai@163.com</t>
  </si>
  <si>
    <t>652800058007521</t>
  </si>
  <si>
    <t>33307960-X</t>
  </si>
  <si>
    <t>2305</t>
  </si>
  <si>
    <t>2015-04-09 至 2045-04-08</t>
  </si>
  <si>
    <t>Xin Jiang Li Tai Silk Road Investment Co., Ltd.</t>
  </si>
  <si>
    <t>www.litaisilkroad.com</t>
  </si>
  <si>
    <t>新疆利泰丝路投资有限公司成立于2015-04-09，法定代表人为潘雪平，注册资本为200000万元，统一社会信用代码为9165280133307960XY，企业注册地址位于新疆巴州库尔勒经济技术开发区西姆莱斯路南侧，乐悟路西侧，所属行业为商务服务业，经营范围包含：投资与资产管理；社会经济咨询；其他机械设备、棉纺纱、服装及服装辅料、纺织品及原料、其他化工产品及原料（电焊机、切割机、打磨机、氧焊机、发电机、油漆除外）的生产、销售；一般货物与技术的进出口业务；土木工程建设。（依法须经批准的项目，经相关部门批准后方可开展经营活动）。企业当前经营状态为存续。</t>
  </si>
  <si>
    <t>投资与资产管理；社会经济咨询；其他机械设备、棉纺纱、服装及服装辅料、纺织品及原料、其他化工产品及原料（电焊机、切割机、打磨机、氧焊机、发电机、油漆除外）的生产、销售；一般货物与技术的进出口业务；土木工程建设。（依法须经批准的项目，经相关部门批准后方可开展经营活动）</t>
  </si>
  <si>
    <t>库尔勒经济技术开发区市场监督管理局</t>
  </si>
  <si>
    <t>安徽天邦饲料科技有限公司</t>
  </si>
  <si>
    <t>91340523737323154H</t>
  </si>
  <si>
    <t>张秀敏</t>
  </si>
  <si>
    <t>4834万元</t>
  </si>
  <si>
    <t>2002-04-11</t>
  </si>
  <si>
    <t>安徽省马鞍山市和县经济开发区浦和产业合作示范区通江大道001号</t>
  </si>
  <si>
    <t>马鞍山市</t>
  </si>
  <si>
    <t>和县</t>
  </si>
  <si>
    <t>0555-5968777</t>
  </si>
  <si>
    <t>545771095@qq.com</t>
  </si>
  <si>
    <t>954591838@qq.com;yinyf@tianbang.com</t>
  </si>
  <si>
    <t>341424000006539</t>
  </si>
  <si>
    <t>73732315-4</t>
  </si>
  <si>
    <t>68</t>
  </si>
  <si>
    <t>2002-04-11 至 无固定期限</t>
  </si>
  <si>
    <t>牲畜批发</t>
  </si>
  <si>
    <t>Anhui TECH-BANK FEED Industry Co., Ltd.</t>
  </si>
  <si>
    <t>www.tianbang.com</t>
  </si>
  <si>
    <t>安徽天邦饲料科技有限公司成立于2002-04-11，法定代表人为张秀敏，注册资本为4834万元，统一社会信用代码为91340523737323154H，企业注册地址位于安徽省马鞍山市和县经济开发区浦和产业合作示范区通江大道001号，所属行业为批发业，经营范围包含：许可项目：饲料生产；饲料添加剂生产；粮食收购（依法须经批准的项目，经相关部门批准后方可开展经营活动）一般项目：畜牧渔业饲料销售；生物饲料研发；饲料添加剂销售；初级农产品收购；技术服务、技术开发、技术咨询、技术交流、技术转让、技术推广；专用化学产品销售（不含危险化学品）（除许可业务外，可自主依法经营法律法规非禁止或限制的项目）。企业当前经营状态为存续。</t>
  </si>
  <si>
    <t>许可项目：饲料生产；饲料添加剂生产；粮食收购（依法须经批准的项目，经相关部门批准后方可开展经营活动）一般项目：畜牧渔业饲料销售；生物饲料研发；饲料添加剂销售；初级农产品收购；技术服务、技术开发、技术咨询、技术交流、技术转让、技术推广；专用化学产品销售（不含危险化学品）（除许可业务外，可自主依法经营法律法规非禁止或限制的项目）</t>
  </si>
  <si>
    <t>和县市场监督管理局</t>
  </si>
  <si>
    <t>厦门国贸集团股份有限公司</t>
  </si>
  <si>
    <t>913502001550054395</t>
  </si>
  <si>
    <t>高少镛</t>
  </si>
  <si>
    <t>213762.1097万元</t>
  </si>
  <si>
    <t>1996-12-24</t>
  </si>
  <si>
    <t>厦门市湖里区仙岳路4688号国贸中心2801单元</t>
  </si>
  <si>
    <t>湖里区</t>
  </si>
  <si>
    <t>13860462200</t>
  </si>
  <si>
    <t>0592-5898510;13806006558;0592-5897363;0592-5161888</t>
  </si>
  <si>
    <t>vivi@itg.com.cn</t>
  </si>
  <si>
    <t>lili@itg.com.cn;itgchina@itg.com.cn</t>
  </si>
  <si>
    <t>其他股份有限公司（上市）</t>
  </si>
  <si>
    <t>350200100002504</t>
  </si>
  <si>
    <t>15500543-9</t>
  </si>
  <si>
    <t>319</t>
  </si>
  <si>
    <t>1996-12-24 至 2046-12-23</t>
  </si>
  <si>
    <t>Xiamen ITG Group Corp.,Ltd.</t>
  </si>
  <si>
    <t>www.itg.com.cn</t>
  </si>
  <si>
    <t>始创于1980年，1996年在上海证券交易所上市。经过三十多年发展，已形成供应链管理、房地产经营和金融服务三大核心业务。公司秉承“持续创造新价值”的使命，“创新、恒信、进取”的核心价值观，“激扬无限、行稳致高”的企业精神，“大舞台、大学校、大家园”的文化理念，锐意进取、不断创新，全力将企业打造成为值得信赖的全球化综合服务商。</t>
  </si>
  <si>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Ⅱ、Ⅲ类射线装置销售；酒类经营。（依法须经批准的项目，经相关部门批准后方可开展经营活动，具体经营项目以相关部门批准文件或许可证件为准）</t>
  </si>
  <si>
    <t>厦门市市场监督管理局</t>
  </si>
  <si>
    <t>浙江自贸区冀东石化有限公司</t>
  </si>
  <si>
    <t>91330901MA2A240B15</t>
  </si>
  <si>
    <t>任五代</t>
  </si>
  <si>
    <t>2017-12-07</t>
  </si>
  <si>
    <t>中国（浙江）自由贸易试验区舟山市定海区临城街道翁山路555号大宗商品交易中心6001—A230室</t>
  </si>
  <si>
    <t>舟山市</t>
  </si>
  <si>
    <t>定海区</t>
  </si>
  <si>
    <t>13191992832</t>
  </si>
  <si>
    <t>0580-8086063;15901097199</t>
  </si>
  <si>
    <t>2197813786@qq.com</t>
  </si>
  <si>
    <t>ljw_china@126.com;liw_china@126.com;1979785026@qq.com</t>
  </si>
  <si>
    <t>330906000050905</t>
  </si>
  <si>
    <t>MA2A240B-1</t>
  </si>
  <si>
    <t>2017-12-07 至 无固定期限</t>
  </si>
  <si>
    <t>石油及制品批发</t>
  </si>
  <si>
    <t>Zhejiang Free Trade Area Jidong Petrochemical Co., Ltd.</t>
  </si>
  <si>
    <t>浙江自贸区冀东石化有限公司成立于2017-12-07，法定代表人为任五代，注册资本为1000万元，统一社会信用代码为91330901MA2A240B15，企业注册地址位于中国（浙江）自由贸易试验区舟山市定海区临城街道翁山路555号大宗商品交易中心6001—A230室，所属行业为批发业，经营范围包含：一般项目：石油制品销售（不含危险化学品）；成品油批发（不含危险化学品）；润滑油销售；专用化学产品销售（不含危险化学品）；化工产品销售（不含许可类化工产品）；煤炭及制品销售；橡胶制品销售；供应链管理服务；国内货物运输代理；货物进出口；技术进出口；进出口代理；信息咨询服务（不含许可类信息咨询服务）；社会经济咨询服务（除依法须经批准的项目外，凭营业执照依法自主开展经营活动）。企业当前经营状态为存续。</t>
  </si>
  <si>
    <t>一般项目：石油制品销售（不含危险化学品）；成品油批发（不含危险化学品）；润滑油销售；专用化学产品销售（不含危险化学品）；化工产品销售（不含许可类化工产品）；煤炭及制品销售；橡胶制品销售；供应链管理服务；国内货物运输代理；货物进出口；技术进出口；进出口代理；信息咨询服务（不含许可类信息咨询服务）；社会经济咨询服务（除依法须经批准的项目外，凭营业执照依法自主开展经营活动）。</t>
  </si>
  <si>
    <t>舟山市市场监督管理局自由贸易试验区分局</t>
  </si>
  <si>
    <t>安徽格力特饲料有限公司</t>
  </si>
  <si>
    <t>913408267964130107</t>
  </si>
  <si>
    <t>2006-12-08</t>
  </si>
  <si>
    <t>安徽省宿松县五里乡雷公岭路62号</t>
  </si>
  <si>
    <t>安庆市</t>
  </si>
  <si>
    <t>宿松县</t>
  </si>
  <si>
    <t>0556-7849588</t>
  </si>
  <si>
    <t>0556-7811067;0556-7849723</t>
  </si>
  <si>
    <t>170789868@qq.com</t>
  </si>
  <si>
    <t>584788469@qq.com;cwb3001@163.com</t>
  </si>
  <si>
    <t>340826000001033</t>
  </si>
  <si>
    <t>79641301-0</t>
  </si>
  <si>
    <t>2006-12-08 至 无固定期限</t>
  </si>
  <si>
    <t>Anhui Gelite Feedstuff Co., Ltd.</t>
  </si>
  <si>
    <t>安徽格力特饲料有限公司成立于2006-12-08，法定代表人为熊火印，注册资本为300万元，统一社会信用代码为913408267964130107，企业注册地址位于安徽省宿松县五里乡雷公岭路62号，所属行业为农副食品加工业，经营范围包含：许可项目：饲料生产（依法须经批准的项目，经相关部门批准后方可开展经营活动，具体经营项目以相关部门批准文件或许可证件为准）一般项目：畜牧渔业饲料销售；饲料原料销售；粮食收购；初级农产品收购（除许可业务外，可自主依法经营法律法规非禁止或限制的项目）。企业当前经营状态为存续。</t>
  </si>
  <si>
    <t>许可项目：饲料生产（依法须经批准的项目，经相关部门批准后方可开展经营活动，具体经营项目以相关部门批准文件或许可证件为准）一般项目：畜牧渔业饲料销售；饲料原料销售；粮食收购；初级农产品收购（除许可业务外，可自主依法经营法律法规非禁止或限制的项目）</t>
  </si>
  <si>
    <t>宿松县市场监督管理局</t>
  </si>
  <si>
    <t>汕头市林丰服饰有限公司</t>
  </si>
  <si>
    <t>91440514566650264G</t>
  </si>
  <si>
    <t>黄伟洪</t>
  </si>
  <si>
    <t>2010-12-20</t>
  </si>
  <si>
    <t>汕头市潮南区两英镇司神路墙老路段</t>
  </si>
  <si>
    <t>13926775556</t>
  </si>
  <si>
    <t>0754-85622838;0754-85628838</t>
  </si>
  <si>
    <t>592310590@qq.com</t>
  </si>
  <si>
    <t>654651546@qq.com</t>
  </si>
  <si>
    <t>440581000022274</t>
  </si>
  <si>
    <t>56665026-4</t>
  </si>
  <si>
    <t>2010-12-20 至 无固定期限</t>
  </si>
  <si>
    <t>Shantou Linfeng Clothing Co., Ltd.</t>
  </si>
  <si>
    <t>汕头市林丰服饰有限公司成立于2010-12-20，法定代表人为黄伟洪，注册资本为50万元，统一社会信用代码为91440514566650264G，企业注册地址位于汕头市潮南区两英镇司神路墙老路段，所属行业为纺织服装、服饰业，经营范围包含：生产、加工、销售：服装，针织品，纺织品，刺绣工艺品，皮革制品；销售：日用百货，纱、线，塑料制品，文具用品，五金、交电，家用电器，电子元件，电话通信设备，建筑材料。（依法须经批准的项目，经相关部门批准后方可开展经营活动）。企业当前经营状态为在业。</t>
  </si>
  <si>
    <t>生产、加工、销售：服装，针织品，纺织品，刺绣工艺品，皮革制品；销售：日用百货，纱、线，塑料制品，文具用品，五金、交电，家用电器，电子元件，电话通信设备，建筑材料。（依法须经批准的项目，经相关部门批准后方可开展经营活动）</t>
  </si>
  <si>
    <t>浙江自贸区亿捷石化有限公司</t>
  </si>
  <si>
    <t>91330901MA2A37777Q</t>
  </si>
  <si>
    <t>肖文</t>
  </si>
  <si>
    <t>2019-04-01</t>
  </si>
  <si>
    <t>浙江省舟山市定海区舟山港综合保税区企业服务中心301-13065室（自贸试验区内）</t>
  </si>
  <si>
    <t>13355978576</t>
  </si>
  <si>
    <t>1563072456@qq.com</t>
  </si>
  <si>
    <t>13588225705@163.com</t>
  </si>
  <si>
    <t>MA2A3777-7</t>
  </si>
  <si>
    <t>2019-04-01 至 无固定期限</t>
  </si>
  <si>
    <t>Zhejiang Free Trade Zone Yijie Petrochemical Co., Ltd.</t>
  </si>
  <si>
    <t>江苏省南京市栖霞区仙林街道灵山北路18号兰德信息产业园A区3栋502</t>
  </si>
  <si>
    <t>浙江自贸区亿捷石化有限公司成立于2019-04-01，法定代表人为肖文，注册资本为1000万元，统一社会信用代码为91330901MA2A37777Q，企业注册地址位于浙江省舟山市定海区舟山港综合保税区企业服务中心301-13065室（自贸试验区内），所属行业为批发业，经营范围包含：石油原油、天然气[富含甲烷的]、汽油、甲醇汽油、乙醇汽油、柴油[闭杯闪点≤60℃]、煤油（含航空煤油）、煤焦油、石脑油、石油醚、石油气、液化石油气、煤焦沥青、甲醚、甲醇、乙醇[无水]、溶剂油[闭杯闪点≤60℃]的批发无仓储；化工原料及产品、石油制品、燃料油、轻质循环油、白油、润滑油（以上均不含危险化学品）、矿产品、五金机械、金属材料、仪表仪器的批发、零售；商务信息咨询；一般国内贸易；货物及技术进出口业务。 （依法须经批准的项目，经相关部门批准后方可开展经营活动）。企业当前经营状态为存续。</t>
  </si>
  <si>
    <t>石油原油、天然气[富含甲烷的]、汽油、甲醇汽油、乙醇汽油、柴油[闭杯闪点≤60℃]、煤油（含航空煤油）、煤焦油、石脑油、石油醚、石油气、液化石油气、煤焦沥青、甲醚、甲醇、乙醇[无水]、溶剂油[闭杯闪点≤60℃]的批发无仓储；化工原料及产品、石油制品、燃料油、轻质循环油、白油、润滑油（以上均不含危险化学品）、矿产品、五金机械、金属材料、仪表仪器的批发、零售；商务信息咨询；一般国内贸易；货物及技术进出口业务。 （依法须经批准的项目，经相关部门批准后方可开展经营活动）</t>
  </si>
  <si>
    <t>西安纺织集团有限责任公司</t>
  </si>
  <si>
    <t>916101115569645852</t>
  </si>
  <si>
    <t>卢纪镐</t>
  </si>
  <si>
    <t>7430万元</t>
  </si>
  <si>
    <t>2010-06-28</t>
  </si>
  <si>
    <t>陕西省西安市灞桥区纺织产业园区灞柳五路1369号</t>
  </si>
  <si>
    <t>陕西省</t>
  </si>
  <si>
    <t>西安市</t>
  </si>
  <si>
    <t>灞桥区</t>
  </si>
  <si>
    <t>029-63605666</t>
  </si>
  <si>
    <t>13357004082</t>
  </si>
  <si>
    <t>xfzjtzb@163.com</t>
  </si>
  <si>
    <t>610100100317173</t>
  </si>
  <si>
    <t>55696458-5</t>
  </si>
  <si>
    <t>1693</t>
  </si>
  <si>
    <t>2010-06-28 至 无固定期限</t>
  </si>
  <si>
    <t>信息传输、软件和信息技术服务业</t>
  </si>
  <si>
    <t>软件和信息技术服务业</t>
  </si>
  <si>
    <t>其他信息技术服务业</t>
  </si>
  <si>
    <t>其他未列明信息技术服务业</t>
  </si>
  <si>
    <t>XI'AN Textile Group Co., Ltd.</t>
  </si>
  <si>
    <t>西安纺织集团有限责任公司成立于2010-06-28，法定代表人为卢纪镐，注册资本为7430万元，统一社会信用代码为916101115569645852，企业注册地址位于陕西省西安市灞桥区纺织产业园区灞柳五路1369号，所属行业为软件和信息技术服务业，经营范围包含：货物运输；纯棉纱、化纤纱、混纺纱、纯棉布、化纤布、混纺布、丝绸、针纺织品、纺织装饰用品、床上用品、纺织工艺品、漂色花布、服装、纺织机械设备、机加工产品的生产和销售；纺织原料、辅料、机物料的销售；货物及技术的进出口业务；经营进料加工业务；仓储服务；房屋租赁；纺织设备租赁；物业管理；会议服务；代理纺织原料、纺织品、纺织设备及机配件的进出口业务。（依法须经批准的项目，经相关部门批准后方可开展经营活动）。企业当前经营状态为在业。</t>
  </si>
  <si>
    <t>货物运输；纯棉纱、化纤纱、混纺纱、纯棉布、化纤布、混纺布、丝绸、针纺织品、纺织装饰用品、床上用品、纺织工艺品、漂色花布、服装、纺织机械设备、机加工产品的生产和销售；纺织原料、辅料、机物料的销售；货物及技术的进出口业务；经营进料加工业务；仓储服务；房屋租赁；纺织设备租赁；物业管理；会议服务；代理纺织原料、纺织品、纺织设备及机配件的进出口业务。（依法须经批准的项目，经相关部门批准后方可开展经营活动）</t>
  </si>
  <si>
    <t>西安市灞桥区市场监督管理局</t>
  </si>
  <si>
    <t>达州双胞胎饲料有限公司</t>
  </si>
  <si>
    <t>91511702060326504E</t>
  </si>
  <si>
    <t>揭秉琦</t>
  </si>
  <si>
    <t>2013-01-15</t>
  </si>
  <si>
    <t>四川省达州市通川区东岳镇山桥村二组99号</t>
  </si>
  <si>
    <t>达州市</t>
  </si>
  <si>
    <t>通川区</t>
  </si>
  <si>
    <t>18111787376;0818-3891468</t>
  </si>
  <si>
    <t>weihong@sbtjt.com;lubq@sbtjt.com;qiud@sbtjt.com</t>
  </si>
  <si>
    <t>511702000041869</t>
  </si>
  <si>
    <t>06032650-4</t>
  </si>
  <si>
    <t>2013-01-15 至 无固定期限</t>
  </si>
  <si>
    <t>Dazhou Twin Feed Co., Ltd.</t>
  </si>
  <si>
    <t>达州双胞胎饲料有限公司成立于2013-01-15，法定代表人为揭秉琦，注册资本为400万元，统一社会信用代码为91511702060326504E，企业注册地址位于四川省达州市通川区东岳镇山桥村二组99号，所属行业为批发业，经营范围包含：配合饲料、浓缩饲料生产、销售；粮食收购、销售；饲料及饲料原料、兽用化学药品、中兽药销售。（依法须经批准的项目，经相关部门批准后方可开展经营活动）。企业当前经营状态为存续。</t>
  </si>
  <si>
    <t>配合饲料、浓缩饲料生产、销售；粮食收购、销售；饲料及饲料原料、兽用化学药品、中兽药销售。（依法须经批准的项目，经相关部门批准后方可开展经营活动）</t>
  </si>
  <si>
    <t>达州市市场监督管理局</t>
  </si>
  <si>
    <t>浙江天蓬畜业有限公司</t>
  </si>
  <si>
    <t>91330881739904163E</t>
  </si>
  <si>
    <t>江山市天蓬畜业有限公司,
江山市天蓬有限公司</t>
  </si>
  <si>
    <t>王利通</t>
  </si>
  <si>
    <t>1993-11-24</t>
  </si>
  <si>
    <t>浙江省衢州市江山市贺村镇淤头岗38号</t>
  </si>
  <si>
    <t>衢州市</t>
  </si>
  <si>
    <t>江山市</t>
  </si>
  <si>
    <t>18367072323</t>
  </si>
  <si>
    <t>0570-4771888;18367070015;0570-4976088;0570-4770087;0570-4972578</t>
  </si>
  <si>
    <t>244739632@qq.com</t>
  </si>
  <si>
    <t>981079195@qq.com;984192612@qq.com</t>
  </si>
  <si>
    <t>330881000000565</t>
  </si>
  <si>
    <t>73990416-3</t>
  </si>
  <si>
    <t>1993-11-24 至 无固定期限</t>
  </si>
  <si>
    <t>Zhejiang Tianpeng Livestock Industry Co., Ltd.</t>
  </si>
  <si>
    <t>https://www.uniwin.cc</t>
  </si>
  <si>
    <t>浙江天蓬畜业有限公司成立于1993-11-24，法定代表人为王利通，注册资本为4500万元，统一社会信用代码为91330881739904163E，企业注册地址位于浙江省衢州市江山市贺村镇淤头岗38号，所属行业为批发业，经营范围包含：一般项目：畜牧渔业饲料销售；生物饲料研发；生物有机肥料研发；复合微生物肥料研发；初级农产品收购；新鲜水果批发；物业管理；充电控制设备租赁；电动汽车充电基础设施运营；机动车充电销售（除依法须经批准的项目外，凭营业执照依法自主开展经营活动）。许可项目：道路货物运输（不含危险货物）；城市配送运输服务（不含危险货物）；兽药经营；食品销售；生猪屠宰（依法须经批准的项目，经相关部门批准后方可开展经营活动，具体经营项目以审批结果为准）。以下限分支机构经营：一般项目：食用农产品初加工（除依法须经批准的项目外，凭营业执照依法自主开展经营活动）。企业当前经营状态为存续。</t>
  </si>
  <si>
    <t>一般项目：畜牧渔业饲料销售；生物饲料研发；生物有机肥料研发；复合微生物肥料研发；初级农产品收购；新鲜水果批发；物业管理；充电控制设备租赁；电动汽车充电基础设施运营；机动车充电销售（除依法须经批准的项目外，凭营业执照依法自主开展经营活动）。许可项目：道路货物运输（不含危险货物）；城市配送运输服务（不含危险货物）；兽药经营；食品销售；生猪屠宰（依法须经批准的项目，经相关部门批准后方可开展经营活动，具体经营项目以审批结果为准）。以下限分支机构经营：一般项目：食用农产品初加工（除依法须经批准的项目外，凭营业执照依法自主开展经营活动）。</t>
  </si>
  <si>
    <t>江山市市场监督管理局</t>
  </si>
  <si>
    <t>浙江达疆棉业有限公司</t>
  </si>
  <si>
    <t>91330602MA29BY2Q7E</t>
  </si>
  <si>
    <t>孙强</t>
  </si>
  <si>
    <t>170万元</t>
  </si>
  <si>
    <t>2017-05-11</t>
  </si>
  <si>
    <t>浙江省绍兴市越城区霞西路399号绍兴市越州轻纺市场新综合大楼三楼8号</t>
  </si>
  <si>
    <t>越城区</t>
  </si>
  <si>
    <t>13735488818</t>
  </si>
  <si>
    <t>13362538959;13156493166</t>
  </si>
  <si>
    <t>13735488818@qq.com</t>
  </si>
  <si>
    <t>330602000105073</t>
  </si>
  <si>
    <t>MA29BY2Q-7</t>
  </si>
  <si>
    <t>2017-05-11 至 无固定期限</t>
  </si>
  <si>
    <t>Zhejiang DJI Cotton Industry Co., Ltd.</t>
  </si>
  <si>
    <t>浙江省绍兴市越城区轻纺工贸园区老综合楼26号</t>
  </si>
  <si>
    <t>浙江达疆棉业有限公司成立于2017-05-11，法定代表人为孙强，注册资本为1000万元，统一社会信用代码为91330602MA29BY2Q7E，企业注册地址位于浙江省绍兴市越城区霞西路399号绍兴市越州轻纺市场新综合大楼三楼8号，所属行业为批发业，经营范围包含：棉花收购、销售；仓储服务（除危险化学品、易制毒化学品）；批发、零售：农副产品、棉籽、棉制品、轻纺原料、针纺织品；普通货物运输（凭有效许可证经营）。（依法须经批准的项目，经相关部门批准后方可开展经营活动）。企业当前经营状态为存续。</t>
  </si>
  <si>
    <t>棉花收购、销售；仓储服务（除危险化学品、易制毒化学品）；批发、零售：农副产品、棉籽、棉制品、轻纺原料、针纺织品；普通货物运输（凭有效许可证经营）。（依法须经批准的项目，经相关部门批准后方可开展经营活动）</t>
  </si>
  <si>
    <t>绍兴市越城区市场监督管理局</t>
  </si>
  <si>
    <t>鲁银集团禹城羊绒纺织有限公司</t>
  </si>
  <si>
    <t>913714827628698371</t>
  </si>
  <si>
    <t>朱斌</t>
  </si>
  <si>
    <t>2004-05-20</t>
  </si>
  <si>
    <t>山东省德州市禹城市国家高新技术产业开发区南外环路东首路北</t>
  </si>
  <si>
    <t>禹城市</t>
  </si>
  <si>
    <t>0534-2128000</t>
  </si>
  <si>
    <t>0534-2128095;0534-7327807</t>
  </si>
  <si>
    <t>luyinbangongshi@126.com</t>
  </si>
  <si>
    <t>371482018005757</t>
  </si>
  <si>
    <t>76286983-7</t>
  </si>
  <si>
    <t>125</t>
  </si>
  <si>
    <t>2004-05-20 至 无固定期限</t>
  </si>
  <si>
    <t>毛织造加工</t>
  </si>
  <si>
    <t>Luyin Group Yucheng Cashmere Textile Co., Ltd.</t>
  </si>
  <si>
    <t>鲁银集团禹城羊绒纺织有限公司是一家专业生产羊绒纱及各类混纺纱线和针织服装的多元化大型企业。其主导产品是羊绒和多种原料配比的混纺纱线，品种达上千种，纱支范围26NM—120NM，还拥有电脑机、横机200余台，年产毛衫30余万件。公司入选德本咨询、eNet研究院、互联网周刊2021纺织企业影响力TOP500以及eNet硅谷动力2019纺织行业互联网指数TOP500，还拥有2020年市级企业技术中心。</t>
  </si>
  <si>
    <t>羊绒制品、纱线的研发、加工、销售；羊绒制品、纱线原料、机械设备及配件的购销业务；货物（不含出版物）及技术进出口业务；本企业生产、科研所需的仪器、仪表、机械设备、零配件及技术的进口业务（国家限定和禁止进口的商品及技术除外）；服装、纱线、饰品“三来一补”加工业务；房屋及场地租赁。（依法须经批准的项目，经相关部门批准后方可开展经营活动）</t>
  </si>
  <si>
    <t>禹城市市场监督管理局</t>
  </si>
  <si>
    <t>赤峰蒙泰粮油贸易有限公司</t>
  </si>
  <si>
    <t>91150404558111586T</t>
  </si>
  <si>
    <t>高维</t>
  </si>
  <si>
    <t>3455万元</t>
  </si>
  <si>
    <t>2010-06-30</t>
  </si>
  <si>
    <t>内蒙古自治区赤峰市松山区当铺地满族乡木头沟村</t>
  </si>
  <si>
    <t>松山区</t>
  </si>
  <si>
    <t>0476-8530067</t>
  </si>
  <si>
    <t>3111366576@qq.com</t>
  </si>
  <si>
    <t>311166576@qq.com</t>
  </si>
  <si>
    <t>150404000021810</t>
  </si>
  <si>
    <t>55811158-6</t>
  </si>
  <si>
    <t>2010-06-30 至 2030-06-29</t>
  </si>
  <si>
    <t>Chifeng Mengtai Grain and Oil Trading Co., Ltd.</t>
  </si>
  <si>
    <t>赤峰蒙泰粮油贸易有限公司成立于2010-06-30，法定代表人为高维，注册资本为3455万元，统一社会信用代码为91150404558111586T，企业注册地址位于内蒙古自治区赤峰市松山区当铺地满族乡木头沟村，所属行业为批发业，经营范围包含：许可经营项目：无 一般经营项目：粮食收购、仓储、销售；农作物、农副产品收购、销售；房屋租赁；机械设备租赁。企业当前经营状态为存续。</t>
  </si>
  <si>
    <t>许可经营项目：无 一般经营项目：粮食收购、仓储、销售；农作物、农副产品收购、销售；房屋租赁；机械设备租赁</t>
  </si>
  <si>
    <t>赤峰市松山区市场监督管理局</t>
  </si>
  <si>
    <t>常州群达纺织原料有限公司</t>
  </si>
  <si>
    <t>91320412760542195M</t>
  </si>
  <si>
    <t>陈春达</t>
  </si>
  <si>
    <t>5100万元</t>
  </si>
  <si>
    <t>2004-04-08</t>
  </si>
  <si>
    <t>武进区牛塘镇虹光路16号</t>
  </si>
  <si>
    <t>武进区</t>
  </si>
  <si>
    <t>0519-86358710</t>
  </si>
  <si>
    <t>0519-86358963</t>
  </si>
  <si>
    <t>443492166@qq.com</t>
  </si>
  <si>
    <t>qunda2211-cotton@163.com;qunda2211_cotton@163.com</t>
  </si>
  <si>
    <t>320483000088248</t>
  </si>
  <si>
    <t>76054219-5</t>
  </si>
  <si>
    <t>2004-04-08 至 2034-04-07</t>
  </si>
  <si>
    <t>Changzhou Qunda Textile Co., Ltd.</t>
  </si>
  <si>
    <t>常州群达纺织原料有限公司成立于2004-04-08，法定代表人为陈春达，注册资本为5100万元，统一社会信用代码为91320412760542195M，企业注册地址位于武进区牛塘镇虹光路16号，所属行业为纺织业，经营范围包含：纱线、混纺纱制造，加工；纺织原料、纺织品、针织品、服装、机械设备销售；自营和代理各类商品及技术的进出口业务，国家限定企业经营或禁止进出口的商品和技术除外。（依法须经批准的项目，经相关部门批准后方可开展经营活动）。企业当前经营状态为在业。</t>
  </si>
  <si>
    <t>纱线、混纺纱制造，加工；纺织原料、纺织品、针织品、服装、机械设备销售；自营和代理各类商品及技术的进出口业务，国家限定企业经营或禁止进出口的商品和技术除外。（依法须经批准的项目，经相关部门批准后方可开展经营活动）</t>
  </si>
  <si>
    <t>常州市武进区行政审批局</t>
  </si>
  <si>
    <t>上海华谊企发经贸有限公司</t>
  </si>
  <si>
    <t>9131010179705526X3</t>
  </si>
  <si>
    <t>注销（2024-12-03）</t>
  </si>
  <si>
    <t>封培</t>
  </si>
  <si>
    <t>472万元</t>
  </si>
  <si>
    <t>2007-01-15</t>
  </si>
  <si>
    <t>上海市黄浦区马当路357弄8号101室</t>
  </si>
  <si>
    <t>黄浦区</t>
  </si>
  <si>
    <t>13524303104</t>
  </si>
  <si>
    <t>021-23535587;021-63283735;021-63283577</t>
  </si>
  <si>
    <t>zhangyan@shhuayi.com</t>
  </si>
  <si>
    <t>tanghuajie@shhuayi.com;20050401113@sohu.com;lhy5604@126.com</t>
  </si>
  <si>
    <t>310103000178651</t>
  </si>
  <si>
    <t>79705526-X</t>
  </si>
  <si>
    <t>2007-01-15 至 2027-01-14</t>
  </si>
  <si>
    <t>其他化工产品批发</t>
  </si>
  <si>
    <t>Shanghai Huayi Qifa Economy &amp; Trade Co., Ltd.</t>
  </si>
  <si>
    <t>上海华谊企发经贸有限公司成立于2007-01-15，法定代表人为封培，注册资本为472万元，统一社会信用代码为9131010179705526X3，企业注册地址位于上海市黄浦区马当路357弄8号101室，所属行业为批发业，经营范围包含：许可项目：化工产品【危险化学品】详见许可证；代理记账；食品经营。（依法须经批准的项目，经相关部门批准后方可开展经营活动，具体经营项目以相关部门批准文件或许可证件为准）一般项目：有色金属、金属材料、建筑装潢材料、仪器仪表、汽车配件、日用百货、劳防用品、服装鞋帽的销售，化工产品领域内的技术开发、技术咨询、技术转让、技术服务，自有房屋租赁，物业管理，化工产品及原料，代接染料颜料、工程塑料、胶体系列产品委托加工业务。（除依法须经批准的项目外，凭营业执照依法自主开展经营活动）。企业当前经营状态为注销。</t>
  </si>
  <si>
    <t>许可项目：化工产品【危险化学品】详见许可证；代理记账；食品经营。（依法须经批准的项目，经相关部门批准后方可开展经营活动，具体经营项目以相关部门批准文件或许可证件为准）一般项目：有色金属、金属材料、建筑装潢材料、仪器仪表、汽车配件、日用百货、劳防用品、服装鞋帽的销售，化工产品领域内的技术开发、技术咨询、技术转让、技术服务，自有房屋租赁，物业管理，化工产品及原料，代接染料颜料、工程塑料、胶体系列产品委托加工业务。（除依法须经批准的项目外，凭营业执照依法自主开展经营活动）</t>
  </si>
  <si>
    <t>黄浦区市场监督管理局</t>
  </si>
  <si>
    <t>青岛中泰鲁源纺织有限公司</t>
  </si>
  <si>
    <t>91370220MA3P5WNX6D</t>
  </si>
  <si>
    <t>注销（2023-09-13）</t>
  </si>
  <si>
    <t>田九年</t>
  </si>
  <si>
    <t>2019-02-21</t>
  </si>
  <si>
    <t>山东省青岛市黄岛区（原开发区江山南路210号内2栋1单元1502户）</t>
  </si>
  <si>
    <t>0543-3228077</t>
  </si>
  <si>
    <t>1113961414@qq.com</t>
  </si>
  <si>
    <t>370220230072147</t>
  </si>
  <si>
    <t>MA3P5WNX-6</t>
  </si>
  <si>
    <t>2019-02-21 至 无固定期限</t>
  </si>
  <si>
    <t>Qingdao Zhongtai Luyuan Textile Co., Ltd.</t>
  </si>
  <si>
    <t>青岛中泰鲁源纺织有限公司成立于2019-02-21，法定代表人为田九年，注册资本为500万元，统一社会信用代码为91370220MA3P5WNX6D，企业注册地址位于山东省青岛市黄岛区（原开发区江山南路210号内2栋1单元1502户），所属行业为批发业，经营范围包含：纺织原料及成品、化工产品（不含危险化学品）的贸易；国际贸易、转口贸易、区内企业之间贸易及贸易项下加工整理，自营和代理各类商品和技术的进出口（国家禁止或管控类除外）。（依法须经批准的项目，经相关部门批准后方可开展经营活动）。企业当前经营状态为注销。</t>
  </si>
  <si>
    <t>纺织原料及成品、化工产品（不含危险化学品）的贸易；国际贸易、转口贸易、区内企业之间贸易及贸易项下加工整理，自营和代理各类商品和技术的进出口（国家禁止或管控类除外）。（依法须经批准的项目，经相关部门批准后方可开展经营活动）</t>
  </si>
  <si>
    <t>青岛市黄岛区市场监督管理局</t>
  </si>
  <si>
    <t>昌吉利华棉业有限责任公司</t>
  </si>
  <si>
    <t>91652300589305789H</t>
  </si>
  <si>
    <t>李玉明</t>
  </si>
  <si>
    <t>2012-01-13</t>
  </si>
  <si>
    <t>新疆昌吉州昌吉市沿河北路新天地广场1510室</t>
  </si>
  <si>
    <t>18116801680</t>
  </si>
  <si>
    <t>0994-8162195;13999359800</t>
  </si>
  <si>
    <t>1143057572@qq.com</t>
  </si>
  <si>
    <t>652300050004305</t>
  </si>
  <si>
    <t>58930578-9</t>
  </si>
  <si>
    <t>2012-01-13 至 2032-01-12</t>
  </si>
  <si>
    <t>Changji Lihua Cotton Industry Co., Ltd.</t>
  </si>
  <si>
    <t>昌吉利华棉业有限责任公司成立于2012-01-13，法定代表人为李玉明，注册资本为5000万元，统一社会信用代码为91652300589305789H，企业注册地址位于新疆昌吉州昌吉市沿河北路新天地广场1510室，所属行业为批发业，经营范围包含：一般项目：棉花加工；棉花收购；初级农产品收购；棉、麻销售；农副产品销售；食用农产品初加工；油料种植；蔬菜种植；谷物种植；农业机械服务；灌溉服务；肥料销售；化肥销售；塑料制品销售；机械设备租赁；农用薄膜销售；棉花加工机械销售；食用农产品批发；机械设备销售；农业机械销售；技术服务、技术开发、技术咨询、技术交流、技术转让、技术推广。（除依法须经批准的项目外，凭营业执照依法自主开展经营活动）。企业当前经营状态为存续。</t>
  </si>
  <si>
    <t>一般项目：棉花加工；棉花收购；初级农产品收购；棉、麻销售；农副产品销售；食用农产品初加工；油料种植；蔬菜种植；谷物种植；农业机械服务；灌溉服务；肥料销售；化肥销售；塑料制品销售；机械设备租赁；农用薄膜销售；棉花加工机械销售；食用农产品批发；机械设备销售；农业机械销售；技术服务、技术开发、技术咨询、技术交流、技术转让、技术推广。（除依法须经批准的项目外，凭营业执照依法自主开展经营活动）</t>
  </si>
  <si>
    <t>广州市粮食集团有限责任公司</t>
  </si>
  <si>
    <t>91440101190471072M</t>
  </si>
  <si>
    <t>朱叶茂</t>
  </si>
  <si>
    <t>29032.365万元</t>
  </si>
  <si>
    <t>1992-06-16</t>
  </si>
  <si>
    <t>广州市越秀区六榕路3号</t>
  </si>
  <si>
    <t>020-83381061</t>
  </si>
  <si>
    <t>gzgrain@gzgrain.com</t>
  </si>
  <si>
    <t>440101000013955</t>
  </si>
  <si>
    <t>19047107-2</t>
  </si>
  <si>
    <t>189</t>
  </si>
  <si>
    <t>1992-06-16 至 无固定期限</t>
  </si>
  <si>
    <t>米、面制品及食用油批发</t>
  </si>
  <si>
    <t>Guangzhou Grain Group Co., Ltd.</t>
  </si>
  <si>
    <t>http://www.gzgrain.com</t>
  </si>
  <si>
    <t>广州市粮食集团有限责任公司成立于1992-06-16，法定代表人为朱叶茂，注册资本为29032.365万元，统一社会信用代码为91440101190471072M，企业注册地址位于广州市越秀区六榕路3号，所属行业为批发业，经营范围包含：粮油仓储服务;谷物销售;物业管理;农副产品销售;货物进出口;食品销售（仅销售预包装食品）;畜牧渔业饲料销售;饲料原料销售;食品互联网销售（仅销售预包装食品）;食用农产品批发;食用农产品零售;非居住房地产租赁;住房租赁;普通货物仓储服务（不含危险化学品等需许可审批的项目）;技术进出口;豆及薯类销售;新鲜蔬菜批发;新鲜蔬菜零售;鲜蛋批发;鲜蛋零售;鲜肉批发;鲜肉零售;水产品批发;水产品零售;新鲜水果批发;新鲜水果零售;农产品的生产、销售、加工、运输、贮藏及其他相关服务;供应链管理服务;食用农产品初加工;餐饮管理;港口货物装卸搬运活动（仅限分支机构经营）;集贸市场管理服务（仅限分支机构经营）;柜台、摊位出租（仅限分支机构经营）;技术服务、技术开发、技术咨询、技术交流、技术转让、技术推广（仅限分支机构经营）;粮食收购;食品互联网销售;海关监管货物仓储服务（不含危险化学品）;食品生产;食品销售;港口经营（仅限分支机构经营）。企业当前经营状态为存续。</t>
  </si>
  <si>
    <t>粮油仓储服务;谷物销售;物业管理;农副产品销售;货物进出口;食品销售（仅销售预包装食品）;畜牧渔业饲料销售;饲料原料销售;食品互联网销售（仅销售预包装食品）;食用农产品批发;食用农产品零售;非居住房地产租赁;住房租赁;普通货物仓储服务（不含危险化学品等需许可审批的项目）;技术进出口;豆及薯类销售;新鲜蔬菜批发;新鲜蔬菜零售;鲜蛋批发;鲜蛋零售;鲜肉批发;鲜肉零售;水产品批发;水产品零售;新鲜水果批发;新鲜水果零售;农产品的生产、销售、加工、运输、贮藏及其他相关服务;供应链管理服务;食用农产品初加工;餐饮管理;港口货物装卸搬运活动（仅限分支机构经营）;集贸市场管理服务（仅限分支机构经营）;柜台、摊位出租（仅限分支机构经营）;技术服务、技术开发、技术咨询、技术交流、技术转让、技术推广（仅限分支机构经营）;粮食收购;食品互联网销售;海关监管货物仓储服务（不含危险化学品）;食品生产;食品销售;港口经营（仅限分支机构经营）</t>
  </si>
  <si>
    <t>广州市市场监督管理局</t>
  </si>
  <si>
    <t>通辽市顺发粮贸有限公司</t>
  </si>
  <si>
    <t>911505027644933001</t>
  </si>
  <si>
    <t>孙连霞</t>
  </si>
  <si>
    <t>2004-09-15</t>
  </si>
  <si>
    <t>内蒙古自治区通辽市科尔沁区丰田镇辽阳村</t>
  </si>
  <si>
    <t>17558327110</t>
  </si>
  <si>
    <t>13327041155;0475-8802688;0475-8802699;13722157737;13904753211</t>
  </si>
  <si>
    <t>1461201000@qq.com</t>
  </si>
  <si>
    <t>14612000@qq.com;146120100@qq.com;425591841@qq.com;sun.lianxia@163.com</t>
  </si>
  <si>
    <t>152303000000919</t>
  </si>
  <si>
    <t>76449330-0</t>
  </si>
  <si>
    <t>2004-09-15 至 2099-12-31</t>
  </si>
  <si>
    <t>Tongliao Horqin District Shunfa Grain Trade Co., Ltd.</t>
  </si>
  <si>
    <t>通辽市顺发粮贸有限公司成立于2004-09-15，法定代表人为孙连霞，注册资本为500万元，统一社会信用代码为911505027644933001，企业注册地址位于内蒙古自治区通辽市科尔沁区丰田镇辽阳村，所属行业为零售业，经营范围包含：一般项目：粮食收购；粮油仓储服务；装卸搬运；农副产品销售；非居住房地产租赁；机械设备租赁；食用农产品批发；食用农产品零售。（除依法须经批准的项目外，凭营业执照依法自主开展经营活动）。企业当前经营状态为存续。</t>
  </si>
  <si>
    <t>一般项目：粮食收购；粮油仓储服务；装卸搬运；农副产品销售；非居住房地产租赁；机械设备租赁；食用农产品批发；食用农产品零售。（除依法须经批准的项目外，凭营业执照依法自主开展经营活动）</t>
  </si>
  <si>
    <t>新疆兵棉天成供应链管理有限公司</t>
  </si>
  <si>
    <t>91659001MA77K2GH10</t>
  </si>
  <si>
    <t>石河子市兵银物流有限责任公司</t>
  </si>
  <si>
    <t>姚军</t>
  </si>
  <si>
    <t>2017-07-31</t>
  </si>
  <si>
    <t>新疆乌鲁木齐高新区（新市区）北京南路42号金坤大厦1栋A区5-6写字间</t>
  </si>
  <si>
    <t>新市区</t>
  </si>
  <si>
    <t>18999980099</t>
  </si>
  <si>
    <t>13579201156;13999331686</t>
  </si>
  <si>
    <t>512354951@qq.com</t>
  </si>
  <si>
    <t>870385930@qq.com;1255428629@qq.com</t>
  </si>
  <si>
    <t>有限责任公司（国有控股）</t>
  </si>
  <si>
    <t>659001030001955</t>
  </si>
  <si>
    <t>MA77K2GH-1</t>
  </si>
  <si>
    <t>2017-07-31 至 无固定期限</t>
  </si>
  <si>
    <t>Xinjiang Bingmian Tiancheng Supply Chain Management Co., Ltd.</t>
  </si>
  <si>
    <t>新疆兵棉天成供应链管理有限公司成立于2017-07-31，法定代表人为姚军，注册资本为1000万元，统一社会信用代码为91659001MA77K2GH10，企业注册地址位于新疆乌鲁木齐高新区（新市区）北京南路42号金坤大厦1栋A区5-6写字间，所属行业为装卸搬运和仓储业，经营范围包含：仓储服务（危险化学品及易燃易爆物品除外）；装卸搬运；铁路货物运输代理；道路普通货物运输；棉花的收购及销售；麻及麻制品的购销；棉花包装材料、打包机械、纺织品、建筑材料、五金、电线电缆、化工产品（危险化学品及易燃易爆物品除外）、水果、蔬菜、农副产品的销售；网套加工及销售；房屋租赁；场地租赁。（依法须经批准的项目，经相关部门批准后方可开展经营活动）。企业当前经营状态为存续。</t>
  </si>
  <si>
    <t>仓储服务（危险化学品及易燃易爆物品除外）；装卸搬运；铁路货物运输代理；道路普通货物运输；棉花的收购及销售；麻及麻制品的购销；棉花包装材料、打包机械、纺织品、建筑材料、五金、电线电缆、化工产品（危险化学品及易燃易爆物品除外）、水果、蔬菜、农副产品的销售；网套加工及销售；房屋租赁；场地租赁。（依法须经批准的项目，经相关部门批准后方可开展经营活动）</t>
  </si>
  <si>
    <t>乌鲁木齐市高新技术产业开发区（新市区）市场监督管理局</t>
  </si>
  <si>
    <t>吉林奇峰化纤股份有限公司</t>
  </si>
  <si>
    <t>91220000605155339R</t>
  </si>
  <si>
    <t>吉林奇峰化纤有限公司</t>
  </si>
  <si>
    <t>杜学春</t>
  </si>
  <si>
    <t>88393万元</t>
  </si>
  <si>
    <t>1995-12-12</t>
  </si>
  <si>
    <t>吉林市吉林高新区恒山西路D区4号楼</t>
  </si>
  <si>
    <t>吉林高新技术产业开发区</t>
  </si>
  <si>
    <t>0432-63503530</t>
  </si>
  <si>
    <t>0432-63502989;0432-63502795;0432-63502305</t>
  </si>
  <si>
    <t>944711178@qq.com</t>
  </si>
  <si>
    <t>dxb@jlcfc.com;bmy@jlcfc.com;joccmail@gmail.com</t>
  </si>
  <si>
    <t>220000400007739</t>
  </si>
  <si>
    <t>60515533-9</t>
  </si>
  <si>
    <t>1053</t>
  </si>
  <si>
    <t>1995-12-12 至 无固定期限</t>
  </si>
  <si>
    <t>腈纶纤维制造</t>
  </si>
  <si>
    <t>Jilin Qifeng Chemical FIBER Co., Ltd.</t>
  </si>
  <si>
    <t>吉林市经济技术开发区九站街516-1号</t>
  </si>
  <si>
    <t>公司是吉林化纤集团有限责任公司的主要控股子公司，是由吉林化纤集团有限责任公司、中国香港伦仕有限公司、中国香港信领投资有限公司、喜事富投资有限公司、增城市申英纺织有限公司、吉林省大林实业有限公司、上海太一纺织品有限公司联合投资组建的中外合资企业。公司主要致力于生产及销售不同种类的腈纶纤维，分别为腈纶短纤、腈纶丝束、腈纶毛条三大系列160多个品种，广泛应用于地毯纱、针织纱、玩具绒、服装面料、仿毛皮等领域。公司产品通过瑞士Oeko Tex Standard100产品认证。曾获“吉林省技术企业”、“外商投资先进技术企业”称号。</t>
  </si>
  <si>
    <t>一般项目：合成纤维制造；合成纤维销售；纤维素纤维原料及纤维制造；产业用纺织制成品制造；纺纱加工；高性能纤维及复合材料制造；技术服务、技术开发、技术咨询、技术交流、技术转让、技术推广；煤炭及制品销售；供冷服务；工业设计服务；工业工程设计服务；普通货物仓储服务（不含危险化学品等需许可审批的项目）。（除依法须经批准的项目外，凭营业执照依法自主开展经营活动）许可项目：发电业务、输电业务、供（配）电业务；供电业务；热力生产和供应；危险化学品仓储。（依法须经批准的项目，经相关部门批准后方可开展经营活动，具体经营项目以相关部门批准文件或许可证件为准）</t>
  </si>
  <si>
    <t>吉林省市场监督管理厅</t>
  </si>
  <si>
    <t>湘潭东信棉业有限公司</t>
  </si>
  <si>
    <t>914303007347715849</t>
  </si>
  <si>
    <t>高骅</t>
  </si>
  <si>
    <t>8000万元</t>
  </si>
  <si>
    <t>2002-01-29</t>
  </si>
  <si>
    <t>湘潭经开区和平街道九昭西路16号</t>
  </si>
  <si>
    <t>湘潭市</t>
  </si>
  <si>
    <t>湘潭九华示范区</t>
  </si>
  <si>
    <t>0731-55566685</t>
  </si>
  <si>
    <t>0731-55566808;0731-55566896;0731-5566808</t>
  </si>
  <si>
    <t>zco@dongxincn.com</t>
  </si>
  <si>
    <t>279025615@qq.com</t>
  </si>
  <si>
    <t>430300000037887</t>
  </si>
  <si>
    <t>73477158-4</t>
  </si>
  <si>
    <t>417</t>
  </si>
  <si>
    <t>2002-01-29 至 2052-01-28</t>
  </si>
  <si>
    <t>Xiangtan Dongxin Cotton Textiles Co., Ltd.</t>
  </si>
  <si>
    <t>www.dongxincn.com</t>
  </si>
  <si>
    <t>湘潭东信棉业有限公司成立于2002-01-29，法定代表人为高骅，注册资本为8000万元，统一社会信用代码为914303007347715849，企业注册地址位于湘潭经开区和平街道九昭西路16号，所属行业为纺织业，经营范围包含：纺织品、纺织原材料的生产和销售；纺织设备、化工原料（不含危险品和监控化学品）的销售；棉花的收购、销售；从事纺织产品、纺织原辅材料、纺织设备及零配件和纺织技术的进出口业务（国家限定公司经营和国家禁止进出口的商品及技术除外）；水电安装和维修。企业当前经营状态为存续。</t>
  </si>
  <si>
    <t>纺织品、纺织原材料的生产和销售；纺织设备、化工原料（不含危险品和监控化学品）的销售；棉花的收购、销售；从事纺织产品、纺织原辅材料、纺织设备及零配件和纺织技术的进出口业务（国家限定公司经营和国家禁止进出口的商品及技术除外）；水电安装和维修。</t>
  </si>
  <si>
    <t>湘潭市市场监督管理局</t>
  </si>
  <si>
    <t>江苏永盛能源有限公司</t>
  </si>
  <si>
    <t>913205925592984850</t>
  </si>
  <si>
    <t>张家港保税区永盛联合贸易有限公司</t>
  </si>
  <si>
    <t>汤泉</t>
  </si>
  <si>
    <t>2010-07-23</t>
  </si>
  <si>
    <t>张家港保税区北京路国际消费品中心大楼310-30室</t>
  </si>
  <si>
    <t>0512-56363802</t>
  </si>
  <si>
    <t>0512-56363801;0512-56900266</t>
  </si>
  <si>
    <t>jshaozhoujt@sina.com</t>
  </si>
  <si>
    <t>200909@163.com;915114935@qq.com</t>
  </si>
  <si>
    <t>320592000048281</t>
  </si>
  <si>
    <t>55929848-5</t>
  </si>
  <si>
    <t>2010-07-23 至 2030-07-22</t>
  </si>
  <si>
    <t>Jiangsu Yongsheng ENERGY Co., Ltd.</t>
  </si>
  <si>
    <t>江苏永盛能源有限公司成立于2010-07-23，法定代表人为汤泉，注册资本为6000万元，统一社会信用代码为913205925592984850，企业注册地址位于张家港保税区北京路国际消费品中心大楼310-30室，所属行业为批发业，经营范围包含：食品的销售（批发非实物方式，待取得许可证后方可经营），煤炭批发；废钢的贸易，金属材料及制品、塑料制品、铁矿砂、矿产品、焦炭、装潢材料、日用百货、建材、五金交电、机械设备、工业油脂、纺织原料及产品、化工原料（危险化学品除外）、花卉苗木的购销，自营和代理各类商品及技术的进出口业务（国家限定公司经营或禁止进出口的商品及技术除外）。（依法须经批准的项目，经相关部门批准后方可开展经营活动）。企业当前经营状态为存续。</t>
  </si>
  <si>
    <t>食品的销售（批发非实物方式，待取得许可证后方可经营），煤炭批发；废钢的贸易，金属材料及制品、塑料制品、铁矿砂、矿产品、焦炭、装潢材料、日用百货、建材、五金交电、机械设备、工业油脂、纺织原料及产品、化工原料（危险化学品除外）、花卉苗木的购销，自营和代理各类商品及技术的进出口业务（国家限定公司经营或禁止进出口的商品及技术除外）。（依法须经批准的项目，经相关部门批准后方可开展经营活动）</t>
  </si>
  <si>
    <t>恒天海龙（潍坊）新材料有限责任公司</t>
  </si>
  <si>
    <t>91370703349153747N</t>
  </si>
  <si>
    <t>赵黎明</t>
  </si>
  <si>
    <t>2015-08-21</t>
  </si>
  <si>
    <t>潍坊市寒亭区海龙路1825号89号楼</t>
  </si>
  <si>
    <t>潍坊市</t>
  </si>
  <si>
    <t>寒亭区</t>
  </si>
  <si>
    <t>0536-2278328</t>
  </si>
  <si>
    <t>0536-2278323;18563636259;0536-7530216;0536-7530102</t>
  </si>
  <si>
    <t>sdhlzjb@163.com</t>
  </si>
  <si>
    <t>helonlhb@163.com</t>
  </si>
  <si>
    <t>370703000000246</t>
  </si>
  <si>
    <t>34915374-7</t>
  </si>
  <si>
    <t>322</t>
  </si>
  <si>
    <t>2015-08-21 至 无固定期限</t>
  </si>
  <si>
    <t>化纤织造及印染精加工</t>
  </si>
  <si>
    <t>化纤织造加工</t>
  </si>
  <si>
    <t>Chtc Helon (Weifang) New MATERIALS Co., Ltd.</t>
  </si>
  <si>
    <t>恒天海龙（潍坊）新材料有限责任公司成立于2015-08-21，法定代表人为赵黎明，注册资本为3000万元，统一社会信用代码为91370703349153747N，企业注册地址位于潍坊市寒亭区海龙路1825号89号楼，所属行业为纺织业，经营范围包含：化纤用的浆粕、粘胶纤维、纱、布、面料的生产  （不含印染等化学工艺）、销售；加工空心砖；经营国家允许的货物及技术进出口业务；普通货运；浆粕的来料加工（不含化学工艺）；纺织技术的开发、研究、服务、咨询、转让；房地产开发、商品房销售。（依法须经批准的项目，经相关部门批准后方可开展经营活动）。企业当前经营状态为在业。</t>
  </si>
  <si>
    <t>化纤用的浆粕、粘胶纤维、纱、布、面料的生产  （不含印染等化学工艺）、销售；加工空心砖；经营国家允许的货物及技术进出口业务；普通货运；浆粕的来料加工（不含化学工艺）；纺织技术的开发、研究、服务、咨询、转让；房地产开发、商品房销售。（依法须经批准的项目，经相关部门批准后方可开展经营活动）</t>
  </si>
  <si>
    <t>潍坊市寒亭区市场监督管理局</t>
  </si>
  <si>
    <t>湖北金环绿色纤维有限公司</t>
  </si>
  <si>
    <t>91420600MA492Y2X96</t>
  </si>
  <si>
    <t>沈艳杰</t>
  </si>
  <si>
    <t>74000万元</t>
  </si>
  <si>
    <t>2018-02-05</t>
  </si>
  <si>
    <t>襄阳市樊城区太平店镇绿纤路1号</t>
  </si>
  <si>
    <t>襄阳市</t>
  </si>
  <si>
    <t>樊城区</t>
  </si>
  <si>
    <t>0710-3639257</t>
  </si>
  <si>
    <t>0710-3127221;13972092761</t>
  </si>
  <si>
    <t>mzl8455@163.com</t>
  </si>
  <si>
    <t>mz18455@126.com;mzl8455@126.com</t>
  </si>
  <si>
    <t>420600000535152</t>
  </si>
  <si>
    <t>MA492Y2X-9</t>
  </si>
  <si>
    <t>40</t>
  </si>
  <si>
    <t>2018-02-05 至 无固定期限</t>
  </si>
  <si>
    <t>Hubei Golden Ring Green Fiber Co., Ltd.</t>
  </si>
  <si>
    <t>湖北金环绿色纤维有限公司（以下简称“公司”）成立于2018年，由A股上市公司奥园美谷科技股份有限公司控股、多家公司参股创建。公司定位于生态友好型绿色纤维材料集研发、智造、管理及服务于一体的科技型企业，秉承“致力纤维材料科技，传递产品卓越价值，创造人类美好生活”的发展理念，引进当前国际莱赛尔（Lyocell）专有技术和核心装备，建设年产10万吨生态友好型绿色生物基Lyocell纤维项目（目前已建成投产4万吨一期）。</t>
  </si>
  <si>
    <t>纤维生产、销售；纤维及原辅材料深加工；纺织品及原辅材料的批发零售；纺织机械设计制造；纤维产品生产技术咨询；供水、供电、供暖、售电服务；房屋租赁；货物及技术进出口（不含国家限制或禁止的货物）。（依法须经批准的项目，经相关部门批准后方可开展经营活动）。</t>
  </si>
  <si>
    <t>襄阳市市场监督管理局</t>
  </si>
  <si>
    <t>首钢京唐钢铁联合有限责任公司</t>
  </si>
  <si>
    <t>911302307808371268</t>
  </si>
  <si>
    <t>李明</t>
  </si>
  <si>
    <t>3582167.6294万元</t>
  </si>
  <si>
    <t>2005-10-09</t>
  </si>
  <si>
    <t>曹妃甸工业区钢铁电力园区</t>
  </si>
  <si>
    <t>曹妃甸区</t>
  </si>
  <si>
    <t>0315-8870066</t>
  </si>
  <si>
    <t>0315-8873379;0315-8873381;0315-8871355;15832552116</t>
  </si>
  <si>
    <t>130200000026210</t>
  </si>
  <si>
    <t>78083712-6</t>
  </si>
  <si>
    <t>9104</t>
  </si>
  <si>
    <t>2005-10-09 至 无固定期限</t>
  </si>
  <si>
    <t>Shougang Jingtang United Iron &amp; Steel Co., Ltd.</t>
  </si>
  <si>
    <t>https://www.sgjtsteel.com</t>
  </si>
  <si>
    <t>首钢京唐钢铁联合有限责任公司是一家钢铁产品生产商。以汽车板、镀锡板等战略产品为引领，以热轧卷板、中厚板、家电专用板、涂镀板、酸洗板、复合板为支撑，着力推进高档次、高技术含量、高附加值产品增量，提升品牌形象，扩大优质增量供给。</t>
  </si>
  <si>
    <t>一般项目：钢、铁冶炼；钢压延加工；金属材料制造；金属材料销售；高品质特种钢铁材料销售；选矿；炼焦；化工产品生产（不含许可类化工产品）；化工产品销售（不含许可类化工产品）；金属矿石销售；煤炭及制品销售；非金属矿及制品销售；矿物洗选加工；非金属废料和碎屑加工处理；再生资源加工；再生资源销售；资源再生利用技术研发；资源循环利用服务技术咨询；技术服务、技术开发、技术咨询、技术交流、技术转让、技术推广；再生资源回收（除生产性废旧金属）；固体废物治理；金属废料和碎屑加工处理；水泥制品制造；水泥制品销售；土地使用权租赁；非居住房地产租赁；技术进出口；货物进出口；机械设备租赁；仓储设备租赁服务；运输设备租赁服务；普通货物仓储服务（不含危险化学品等需许可审批的项目）；国内货物运输代理；装卸搬运；港口货物装卸搬运活动；热力生产和供应；业务培训（不含教育培训、职业技能培训等需取得许可的培训）；法律咨询（不含依法须律师事务所执业许可的业务）；计量技术服务；企业管理；企业管理咨询；信息技术咨询服务；船舶港口服务。（除依法须经批准的项目外，凭营业执照依法自主开展经营活动）许可项目：危险废物经营；燃气经营；自来水生产与供应；危险化学品经营；发电业务、输电业务、供（配）电业务；建设工程施工；港口经营；道路货物运输（不含危险货物）。（依法须经批准的项目，经相关部门批准后方可开展经营活动，具体经营项目以相关部门批准文件或许可证件为准）</t>
  </si>
  <si>
    <t>唐山市曹妃甸区市场监督管理局</t>
  </si>
  <si>
    <t>中国石油天然气股份有限公司上海销售分公司</t>
  </si>
  <si>
    <t>91310000834678336U</t>
  </si>
  <si>
    <t>中国石油天然气股份有限公司华东销售上海分公司</t>
  </si>
  <si>
    <t>张宁</t>
  </si>
  <si>
    <t>2000-12-27</t>
  </si>
  <si>
    <t>中国（上海）自由贸易试验区世纪大道1200号26层</t>
  </si>
  <si>
    <t>021-50956629</t>
  </si>
  <si>
    <t>021-50956805;021-50956935;021-50956806;021-50956808;15902195236;021-61820752</t>
  </si>
  <si>
    <t>shkxq@petrochina.com.cn</t>
  </si>
  <si>
    <t>shyaol@petrochina.com.cn;48789259@qq.com;shchenf@petrochina.com.cn</t>
  </si>
  <si>
    <t>其他股份有限公司分公司（上市）</t>
  </si>
  <si>
    <t>310115000596376</t>
  </si>
  <si>
    <t>83467833-6</t>
  </si>
  <si>
    <t>884</t>
  </si>
  <si>
    <t>2000-12-27 至 无固定期限</t>
  </si>
  <si>
    <t>China National Petroleum Corporation Shanghai Sales Branch</t>
  </si>
  <si>
    <t>中国石油天然气股份有限公司上海销售分公司成立于2000-12-27，负责人为张宁，统一社会信用代码为91310000834678336U，企业注册地址位于中国（上海）自由贸易试验区世纪大道1200号26层，所属行业为批发业，经营范围包含：许可项目：燃气经营；食品销售；酒类经营；危险化学品经营；住宿服务；出版物零售；出版物批发；烟草制品零售；互联网信息服务；餐饮服务；第三类医疗器械经营；食品互联网销售；农作物种子经营；成品油批发；发电业务、输电业务、供（配）电业务；供电业务。（依法须经批准的项目，经相关部门批准后方可开展经营活动，具体经营项目以相关部门批准文件或许可证件为准）一般项目：保健食品（预包装）销售；食品销售（仅销售预包装食品）；新能源汽车整车销售；机动车修理和维护；医用口罩零售；医用口罩批发；汽车销售；第二类医疗器械销售；日用杂品销售；食用农产品批发；化妆品批发；化妆品零售；个人卫生用品销售；互联网销售（除销售需要许可的商品）；新鲜蔬菜批发；新鲜蔬菜零售；玩具、动漫及游艺用品销售；轮胎销售；服装服饰零售；服装服饰批发；第一类医疗器械销售；体育用品及器材批发；体育用品及器材零售；日用化学产品销售；消防器材销售；新鲜水果批发；新鲜水果零售；汽车装饰用品销售；宠物食品及用品零售；宠物食品及用品批发；充电桩销售；机动车充电销售；集中式快速充电站；充电控制设备租赁；电动汽车充电基础设施运营；新能源汽车电附件销售；电池销售；新能源汽车换电设施销售；站用加氢及储氢设施销售；光伏发电设备租赁；蓄电池租赁；票务代理服务；机械设备租赁；食用农产品零售；非居住房地产租赁；洗车服务；汽车零配件批发；汽车零配件零售；化肥销售；礼品花卉销售；消毒剂销售（不含危险化学品）；润滑油销售；石油制品销售（不含危险化学品）；家用电器销售；电子产品销售；通讯设备销售；文具用品批发；文具用品零售；日用口罩（非医用）销售；母婴用品销售；肥料销售；化工产品销售（不含许可类化工产品）；办公用品销售；办公设备销售；金银制品销售；珠宝首饰批发；珠宝首饰零售；工艺美术品及收藏品批发（象牙及其制品除外）；工艺美术品及收藏品零售（象牙及其制品除外）；工艺美术品及礼仪用品销售（象牙及其制品除外）；停车场服务；太阳能发电技术服务。（除依法须经批准的项目外，凭营业执照依法自主开展经营活动）。企业当前经营状态为存续。</t>
  </si>
  <si>
    <t>许可项目：燃气经营；食品销售；酒类经营；危险化学品经营；住宿服务；出版物零售；出版物批发；烟草制品零售；互联网信息服务；餐饮服务；第三类医疗器械经营；食品互联网销售；农作物种子经营；成品油批发；发电业务、输电业务、供（配）电业务；供电业务。（依法须经批准的项目，经相关部门批准后方可开展经营活动，具体经营项目以相关部门批准文件或许可证件为准）一般项目：保健食品（预包装）销售；食品销售（仅销售预包装食品）；新能源汽车整车销售；机动车修理和维护；医用口罩零售；医用口罩批发；汽车销售；第二类医疗器械销售；日用杂品销售；食用农产品批发；化妆品批发；化妆品零售；个人卫生用品销售；互联网销售（除销售需要许可的商品）；新鲜蔬菜批发；新鲜蔬菜零售；玩具、动漫及游艺用品销售；轮胎销售；服装服饰零售；服装服饰批发；第一类医疗器械销售；体育用品及器材批发；体育用品及器材零售；日用化学产品销售；消防器材销售；新鲜水果批发；新鲜水果零售；汽车装饰用品销售；宠物食品及用品零售；宠物食品及用品批发；充电桩销售；机动车充电销售；集中式快速充电站；充电控制设备租赁；电动汽车充电基础设施运营；新能源汽车电附件销售；电池销售；新能源汽车换电设施销售；站用加氢及储氢设施销售；光伏发电设备租赁；蓄电池租赁；票务代理服务；机械设备租赁；食用农产品零售；非居住房地产租赁；洗车服务；汽车零配件批发；汽车零配件零售；化肥销售；礼品花卉销售；消毒剂销售（不含危险化学品）；润滑油销售；石油制品销售（不含危险化学品）；家用电器销售；电子产品销售；通讯设备销售；文具用品批发；文具用品零售；日用口罩（非医用）销售；母婴用品销售；肥料销售；化工产品销售（不含许可类化工产品）；办公用品销售；办公设备销售；金银制品销售；珠宝首饰批发；珠宝首饰零售；工艺美术品及收藏品批发（象牙及其制品除外）；工艺美术品及收藏品零售（象牙及其制品除外）；工艺美术品及礼仪用品销售（象牙及其制品除外）；停车场服务；太阳能发电技术服务。（除依法须经批准的项目外，凭营业执照依法自主开展经营活动）</t>
  </si>
  <si>
    <t>江苏武博贸易有限公司</t>
  </si>
  <si>
    <t>91320281MA1WLCHM37</t>
  </si>
  <si>
    <t>注销（2023-10-20）</t>
  </si>
  <si>
    <t>胡章成</t>
  </si>
  <si>
    <t>320万元</t>
  </si>
  <si>
    <t>2018-05-25</t>
  </si>
  <si>
    <t>江阴市滨江西路2号7号楼608室</t>
  </si>
  <si>
    <t>13545531999</t>
  </si>
  <si>
    <t>15852659954</t>
  </si>
  <si>
    <t>21773976062@qq.com</t>
  </si>
  <si>
    <t>MA1WLCHM-3</t>
  </si>
  <si>
    <t>2018-05-25 至 2048-05-24</t>
  </si>
  <si>
    <t>Jiangsu Wubo Trading Co., Ltd.</t>
  </si>
  <si>
    <t>江苏武博贸易有限公司成立于2018-05-25，法定代表人为胡章成，注册资本为1000万元，统一社会信用代码为91320281MA1WLCHM37，企业注册地址位于江阴市滨江西路2号7号楼608室，所属行业为批发业，经营范围包含：一般项目：金属矿石销售；非金属矿及制品销售；有色金属合金销售；金属材料销售；煤炭及制品销售；石油制品销售（不含危险化学品）（除依法须经批准的项目外，凭营业执照依法自主开展经营活动）。企业当前经营状态为注销。</t>
  </si>
  <si>
    <t>一般项目：金属矿石销售；非金属矿及制品销售；有色金属合金销售；金属材料销售；煤炭及制品销售；石油制品销售（不含危险化学品）（除依法须经批准的项目外，凭营业执照依法自主开展经营活动）</t>
  </si>
  <si>
    <t>河钢股份有限公司唐山分公司</t>
  </si>
  <si>
    <t>91130200699229617X</t>
  </si>
  <si>
    <t>河北钢铁股份有限公司唐山分公司</t>
  </si>
  <si>
    <t>王兰玉</t>
  </si>
  <si>
    <t>2010-01-05</t>
  </si>
  <si>
    <t>河北乐亭经济开发区黄海路5号</t>
  </si>
  <si>
    <t>乐亭县</t>
  </si>
  <si>
    <t>0315-2702684</t>
  </si>
  <si>
    <t>0315-2702357;0315-2702675</t>
  </si>
  <si>
    <t>tgdshbgs@163.com</t>
  </si>
  <si>
    <t>1037805449@qq.com;tgqgbzjz@sina.com;gqgbzjz@sina.com</t>
  </si>
  <si>
    <t>130200300019057</t>
  </si>
  <si>
    <t>69922961-7</t>
  </si>
  <si>
    <t>4392</t>
  </si>
  <si>
    <t>2010-01-05 至 无固定期限</t>
  </si>
  <si>
    <t>Hebei Iron and Steel Co., Ltd. Tangshan Branch</t>
  </si>
  <si>
    <t>河钢股份有限公司唐山分公司成立于2010-01-05，负责人为王兰玉，统一社会信用代码为91130200699229617X，企业注册地址位于河北乐亭经济开发区黄海路5号，所属行业为黑色金属冶炼和压延加工业，经营范围包含：一般项目：钢、铁冶炼；钢压延加工；金属材料制造；金属材料销售；金属结构制造；金属结构销售；建筑用钢筋产品销售；耐火材料生产；耐火材料销售；金属制品修理；通用设备修理；专用设备修理；电气设备修理；仪器仪表修理；通讯设备修理；通信传输设备专业修理；通信交换设备专业修理；日用电器修理；技术服务、技术开发、技术咨询、技术交流、技术转让、技术推广；润滑油销售；金属废料和碎屑加工处理；非金属废料和碎屑加工处理；机械设备租赁；仓储设备租赁服务；运输设备租赁服务；建筑工程机械与设备租赁；铁路运输辅助活动。（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</si>
  <si>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钢、铁冶炼；钢压延加工；金属材料制造；金属材料销售；金属结构制造；金属结构销售；建筑用钢筋产品销售；耐火材料生产；耐火材料销售；金属制品修理；通用设备修理；专用设备修理；电气设备修理；仪器仪表修理；通讯设备修理；通信传输设备专业修理；通信交换设备专业修理；日用电器修理；技术服务、技术开发、技术咨询、技术交流、技术转让、技术推广；润滑油销售；金属废料和碎屑加工处理；非金属废料和碎屑加工处理；机械设备租赁；仓储设备租赁服务；运输设备租赁服务；建筑工程机械与设备租赁；铁路运输辅助活动。（除依法须经批准的项目外，凭营业执照依法自主开展经营活动）许可项目：道路货物运输（不含危险货物）。（依法须经批准的项目，经相关部门批准后方可开展经营活动，具体经营项目以相关部门批准文件或许可证件为准）</t>
  </si>
  <si>
    <t>青岛富顺泽国际贸易有限公司</t>
  </si>
  <si>
    <t>91370220MA3EK6AR58</t>
  </si>
  <si>
    <t>于荣富</t>
  </si>
  <si>
    <t>2017-09-18</t>
  </si>
  <si>
    <t>山东省青岛市保税港区北京路45号东办公楼一楼-405（商务秘书公司托管地址）（A）</t>
  </si>
  <si>
    <t>15069869099</t>
  </si>
  <si>
    <t>sdlxyrf@126.com</t>
  </si>
  <si>
    <t>370220230056882</t>
  </si>
  <si>
    <t>MA3EK6AR-5</t>
  </si>
  <si>
    <t>2017-09-18 至 无固定期限</t>
  </si>
  <si>
    <t>Qingdao Fushunze International Trade Co., Ltd.</t>
  </si>
  <si>
    <t>青岛富顺泽国际贸易有限公司成立于2017-09-18，法定代表人为于荣富，注册资本为200万元，统一社会信用代码为91370220MA3EK6AR58，企业注册地址位于山东省青岛市保税港区北京路45号东办公楼一楼-405（商务秘书公司托管地址）（A），所属行业为批发业，经营范围包含：棉花、饲料原材料、棉纺织品、橡胶及橡胶制品、初级农产品的贸易；国际贸易、转口贸易、区内企业之间贸易及贸易项下加工整理；自营和代理各类商品及技术的进出口（国家禁止或涉及行政审批的货物和技术进出口除外）。（依法须经批准的项目，经相关部门批准后方可开展经营活动）。企业当前经营状态为注销。</t>
  </si>
  <si>
    <t>棉花、饲料原材料、棉纺织品、橡胶及橡胶制品、初级农产品的贸易；国际贸易、转口贸易、区内企业之间贸易及贸易项下加工整理；自营和代理各类商品及技术的进出口（国家禁止或涉及行政审批的货物和技术进出口除外）。（依法须经批准的项目，经相关部门批准后方可开展经营活动）</t>
  </si>
  <si>
    <t>吉林省中耕众合农业有限公司</t>
  </si>
  <si>
    <t>91220100MA17JXLC0L</t>
  </si>
  <si>
    <t>吉林省农心农业有限公司</t>
  </si>
  <si>
    <t>刘荣举</t>
  </si>
  <si>
    <t>2020-06-16</t>
  </si>
  <si>
    <t>长春市农安县农安镇德彪街东侧龙翔丽景明珠小区8栋1层南14门</t>
  </si>
  <si>
    <t>18943622226</t>
  </si>
  <si>
    <t>18943622226@qq.com</t>
  </si>
  <si>
    <t>862353121@qq.com;18643860004@139.com</t>
  </si>
  <si>
    <t>MA17JXLC-0</t>
  </si>
  <si>
    <t>2020-06-16 至 无固定期限</t>
  </si>
  <si>
    <t>Jilin Zhonggeng Zhonghe Agriculture Co., Ltd.</t>
  </si>
  <si>
    <t>农安县开安镇许马三家村</t>
  </si>
  <si>
    <t>吉林省中耕众合农业有限公司成立于2020-06-16，法定代表人为刘荣举，注册资本为1000万元，统一社会信用代码为91220100MA17JXLC0L，企业注册地址位于长春市农安县农安镇德彪街东侧龙翔丽景明珠小区8栋1层南14门，所属行业为批发业，经营范围包含：一般项目：粮食收购；粮油仓储服务；信息咨询服务（不含许可类信息咨询服务）；初级农产品收购；农副产品销售；机械设备租赁；非居住房地产租赁；住房租赁；园林绿化工程施工；国内贸易代理；货物进出口；休闲观光活动；食用农产品批发；礼品花卉销售；化肥销售；农、林、牧、副、渔业专业机械的销售；农林牧副渔业专业机械的安装、维修；技术服务、技术开发、技术咨询、技术交流、技术转让、技术推广；农作物种子经营（仅限不再分装的包装种子）。（除依法须经批准的项目外，凭营业执照依法自主开展经营活动）许可项目：道路货物运输（不含危险货物）；建设工程施工；水产养殖；兽药经营；牲畜饲养；农药零售。（依法须经批准的项目，经相关部门批准后方可开展经营活动，具体经营项目以相关部门批准文件或许可证件为准）。企业当前经营状态为存续。</t>
  </si>
  <si>
    <t>一般项目：粮食收购；粮油仓储服务；信息咨询服务（不含许可类信息咨询服务）；初级农产品收购；农副产品销售；机械设备租赁；非居住房地产租赁；住房租赁；园林绿化工程施工；国内贸易代理；货物进出口；休闲观光活动；食用农产品批发；礼品花卉销售；化肥销售；农、林、牧、副、渔业专业机械的销售；农林牧副渔业专业机械的安装、维修；技术服务、技术开发、技术咨询、技术交流、技术转让、技术推广；农作物种子经营（仅限不再分装的包装种子）。（除依法须经批准的项目外，凭营业执照依法自主开展经营活动）许可项目：道路货物运输（不含危险货物）；建设工程施工；水产养殖；兽药经营；牲畜饲养；农药零售。（依法须经批准的项目，经相关部门批准后方可开展经营活动，具体经营项目以相关部门批准文件或许可证件为准）</t>
  </si>
  <si>
    <t>内蒙古包钢钢联股份有限公司</t>
  </si>
  <si>
    <t>911500007014649754</t>
  </si>
  <si>
    <t>张昭</t>
  </si>
  <si>
    <t>4528861.9348万元</t>
  </si>
  <si>
    <t>1999-06-29</t>
  </si>
  <si>
    <t>内蒙古自治区包头市昆区河西工业区</t>
  </si>
  <si>
    <t>包头市</t>
  </si>
  <si>
    <t>昆都仑区</t>
  </si>
  <si>
    <t>0472-2189021</t>
  </si>
  <si>
    <t>0472-2669200;0472-2189200;0472-2189240;0472-2189524;0472-2669515;0472-2669529;0472-2669530;15947323680;18648251656</t>
  </si>
  <si>
    <t>glgfzqb@126.com</t>
  </si>
  <si>
    <t>glgfzqb@163.com</t>
  </si>
  <si>
    <t>150000000007124</t>
  </si>
  <si>
    <t>70146497-5</t>
  </si>
  <si>
    <t>25983</t>
  </si>
  <si>
    <t>1999-06-29 至 2099-12-31</t>
  </si>
  <si>
    <t>Inner Mongolia BaoTou Steel Union Co., Ltd.</t>
  </si>
  <si>
    <t>www.baoganggf.com</t>
  </si>
  <si>
    <t>经过60多年的发展，目前包钢已成为世界较大的稀土工业基地和我国重要的钢铁工业基地，拥有“包钢股份”“北方稀土”两个上市公司。截至2021年底，集团公司资产总额2094.17亿元，在册职工4.83万人。投产以来，累计产钢2.81亿吨、上缴利税超千亿元，形成以钢铁、稀土两大主业为支撑，资源及综合利用、物流、煤焦化工、节能环保、装备及现代服务五个新兴产业协同发展的产业模式。2021年，包钢率先成为自治区收入超千亿元企业，首次实现利润过百亿元(实现合并营业收入1260.36亿元，合并利润总额103.60亿元，上缴税费69.58亿元),完成了具有重大意义的历史性突破。拥有的白云鄂博多金属共伴生矿是中国西北地区较大铁矿，稀土储量居世界顶尖位、铌储量居世界第二位，此外，包钢还掌控外部铁矿资源4.6亿吨、有色金属资源量87.7万吨、煤炭资源21亿吨。得益于白云鄂博铁和稀土共生的资源禀赋，包钢集团把打好“资源牌”“稀土牌”作为较大较独特的优势，全面推动以稀土为重心的战略转型，在钢铁市场打响“稀土钢”产品品牌，广受用户欢迎和好评。钢铁产业。具备1750万吨铁、钢、材配套能力，可生产高速钢轨、石油套管、管线管、汽车板、高级管线钢、高强结构钢等高端产品，总体装备水平达到卓越出众，形成“板、管、轨、线”四条精品线的生产格局，是世界装备水平较高、能力较大的高速轨生产基地，是我国品种规格较为齐全的无缝管生产基地之一，是我国中西部地区较大的板材生产基地，也是我国西北地区重要的高端线棒材生产基地。产品广泛应用于京沪高铁、青藏铁路、三峡工程、北京大兴国际机场、中俄东线天然气管道等国家重点工程项目，并远销欧美等60多个国家和地区。稀土产业。拥有国家六大稀土集团之一的“中国北方稀土集团”,拥有独特的稀土资源优势和随铁开采的低成本优势，所属企业55家，是集稀土生产、科研、贸易、新材料于一体的跨地区、跨所有制的行业龙头企业。形成以稀土资源为基础、冶炼分离为核心、新材料领域为重点、终端应用为拓展方向的产业结构，形成上下游完整产业链条。稀土选矿、冶炼分离产能产量全球排名靠前;稀土五大功能材料产业实现全覆盖，磁性、抛光材料产能均居世界首位。是国内乃至全球规模较大、产品较全、效益较好的行业头部企业。多元产业。资源及综合利用产业主要依托自有资源，大力发展白云鄂博矿资源综合利用及深加工、氟化工等下游产业，正在实现资源的全面转化增值。物流产业依托互联网新技术，正在加速形成运输、贸易、仓储、深加工、金融“五位一体”的发展模式，竞争实力不断增强。煤焦化工产业依托煤焦化副产资源深加工项目，正在形成煤气综合利用、煤焦油加工利用和粗苯加工利用三条产业链框架。节能环保产业主要从事环境技术咨询、环境技术研发、固体废弃物的综合利用等研究和服务，业务领域不断拓展。装备及现代服务产业致力于发展装备建设、工程服务、金融、文化等服务型产业，影响力不断扩大。</t>
  </si>
  <si>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</si>
  <si>
    <t>包头市市场监督管理局</t>
  </si>
  <si>
    <t>五得利集团亳州面粉有限公司</t>
  </si>
  <si>
    <t>91341600584555623T</t>
  </si>
  <si>
    <t>郭根民</t>
  </si>
  <si>
    <t>17000万元</t>
  </si>
  <si>
    <t>2011-10-13</t>
  </si>
  <si>
    <t>安徽省亳州市谯城经济开发区庄周路328号</t>
  </si>
  <si>
    <t>亳州市</t>
  </si>
  <si>
    <t>谯城区</t>
  </si>
  <si>
    <t>0558-5337008</t>
  </si>
  <si>
    <t>bozhou@wudeli.com</t>
  </si>
  <si>
    <t>wdlbzgs@163.com</t>
  </si>
  <si>
    <t>341600000054946</t>
  </si>
  <si>
    <t>58455562-3</t>
  </si>
  <si>
    <t>270</t>
  </si>
  <si>
    <t>2011-10-13 至 2061-10-12</t>
  </si>
  <si>
    <t>其他未列明食品制造</t>
  </si>
  <si>
    <t>WUDELI Group Bozhou Flour Co., Ltd.</t>
  </si>
  <si>
    <t>www.wudeli.com</t>
  </si>
  <si>
    <t>五得利集团亳州面粉有限公司成立于2011-10-13，法定代表人为郭根民，注册资本为17000万元，统一社会信用代码为91341600584555623T，企业注册地址位于安徽省亳州市谯城经济开发区庄周路328号，所属行业为食品制造业，经营范围包含：一般项目：食用农产品初加工；粮食收购；谷物销售；饲料原料销售；食品进出口；货物进出口；技术进出口；非居住房地产租赁（除许可业务外，可自主依法经营法律法规非禁止或限制的项目）许可项目：粮食加工食品生产；食品销售（依法须经批准的项目，经相关部门批准后方可开展经营活动）。企业当前经营状态为存续。</t>
  </si>
  <si>
    <t>一般项目：食用农产品初加工；粮食收购；谷物销售；饲料原料销售；食品进出口；货物进出口；技术进出口；非居住房地产租赁（除许可业务外，可自主依法经营法律法规非禁止或限制的项目）许可项目：粮食加工食品生产；食品销售（依法须经批准的项目，经相关部门批准后方可开展经营活动）</t>
  </si>
  <si>
    <t>亳州市市场监督管理局</t>
  </si>
  <si>
    <t>夏津县银桥棉纺织有限公司</t>
  </si>
  <si>
    <t>91371427313083871U</t>
  </si>
  <si>
    <t>徐法福</t>
  </si>
  <si>
    <t>2014-11-06</t>
  </si>
  <si>
    <t>山东省德州市夏津县双庙镇双庙村</t>
  </si>
  <si>
    <t>夏津县</t>
  </si>
  <si>
    <t>0534-3568888</t>
  </si>
  <si>
    <t>0534-3558882;0534-3538231</t>
  </si>
  <si>
    <t>524161944@qq.com</t>
  </si>
  <si>
    <t>519330138@qq.com;2362117013@qq.com</t>
  </si>
  <si>
    <t>371427200010859</t>
  </si>
  <si>
    <t>31308387-1</t>
  </si>
  <si>
    <t>2014-11-06 至 无固定期限</t>
  </si>
  <si>
    <t>Xiajin County Yinqiao Cotton Textile Co., Ltd.</t>
  </si>
  <si>
    <t>夏津县银桥棉纺织有限公司成立于2014-11-06，法定代表人为徐法福，注册资本为500万元，统一社会信用代码为91371427313083871U，企业注册地址位于山东省德州市夏津县双庙镇双庙村，所属行业为纺织业，经营范围包含：一般项目：纺纱加工；服装制造；棉、麻销售；棉花收购；服装服饰零售；普通货物仓储服务（不含危险化学品等需许可审批的项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在业。</t>
  </si>
  <si>
    <t>一般项目：纺纱加工；服装制造；棉、麻销售；棉花收购；服装服饰零售；普通货物仓储服务（不含危险化学品等需许可审批的项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</si>
  <si>
    <t>夏津县市场监督管理局</t>
  </si>
  <si>
    <t>巴州正圣棉业有限公司</t>
  </si>
  <si>
    <t>91652801757652879B</t>
  </si>
  <si>
    <t>谭文全</t>
  </si>
  <si>
    <t>2200万元</t>
  </si>
  <si>
    <t>2003-12-30</t>
  </si>
  <si>
    <t>新疆巴州库尔勒市兰干乡结帕尔村</t>
  </si>
  <si>
    <t>18099589970</t>
  </si>
  <si>
    <t>0996-6752922</t>
  </si>
  <si>
    <t>282487364@qq.com</t>
  </si>
  <si>
    <t>290499663@qq.com;1095309416@qq.com</t>
  </si>
  <si>
    <t>652801050006834</t>
  </si>
  <si>
    <t>75765287-9</t>
  </si>
  <si>
    <t>2003-12-30 至 无固定期限</t>
  </si>
  <si>
    <t>Bazhou Zhengsheng Cotton Industry Co., Ltd.</t>
  </si>
  <si>
    <t>巴州正圣棉业有限公司成立于2003-12-30，法定代表人为谭文全，注册资本为2200万元，统一社会信用代码为91652801757652879B，企业注册地址位于新疆巴州库尔勒市兰干乡结帕尔村，所属行业为批发业，经营范围包含：籽棉加工，批发零售：棉花及副产品、针纺织品、其他日用品、其他农副产品、地膜、金属材料、化肥，蔬菜种植，籽棉收购。（依法须经批准的项目，经相关部门批准后方可开展经营活动）。企业当前经营状态为存续。</t>
  </si>
  <si>
    <t>籽棉加工，批发零售：棉花及副产品、针纺织品、其他日用品、其他农副产品、地膜、金属材料、化肥，蔬菜种植，籽棉收购。（依法须经批准的项目，经相关部门批准后方可开展经营活动）</t>
  </si>
  <si>
    <t>库尔勒市市场监督管理局</t>
  </si>
  <si>
    <t>威海迪尚华绮毛纺织有限公司</t>
  </si>
  <si>
    <t>91371000735789321W</t>
  </si>
  <si>
    <t>威海华绮毛纺织有限公司</t>
  </si>
  <si>
    <t>李淑丽</t>
  </si>
  <si>
    <t>2002-03-13</t>
  </si>
  <si>
    <t>山东省威海临港经济技术开发区昆山路30号</t>
  </si>
  <si>
    <t>威海市</t>
  </si>
  <si>
    <t>威海临港经济技术开发区</t>
  </si>
  <si>
    <t>0631-5580666</t>
  </si>
  <si>
    <t>sunsir@dishang.com</t>
  </si>
  <si>
    <t>371021018806711</t>
  </si>
  <si>
    <t>73578932-1</t>
  </si>
  <si>
    <t>153</t>
  </si>
  <si>
    <t>2002-03-13 至 无固定期限</t>
  </si>
  <si>
    <t>针织或钩针编织物印染精加工</t>
  </si>
  <si>
    <t>Weihai DISHANG Huaqi Woolen Fabric Co., Ltd.</t>
  </si>
  <si>
    <t>https://www.dishang.com</t>
  </si>
  <si>
    <t>威海迪尚华绮毛纺织有限公司成立于2002-03-13，法定代表人为李淑丽，注册资本为600万元，统一社会信用代码为91371000735789321W，企业注册地址位于山东省威海临港经济技术开发区昆山路30号，所属行业为纺织业，经营范围包含：一般项目：面料纺织加工；面料印染加工；纺纱加工；纺织专用测试仪器制造；产业用纺织制成品制造；家用纺织制成品制造；纺织专用设备制造；服装辅料制造；工艺美术品及礼仪用品制造（象牙及其制品除外）；服装制造；服饰制造；针织或钩针编织物及其制品制造；鞋制造；箱包制造；日用杂品制造；特种劳动防护用品生产；产业用纺织制成品销售；针纺织品销售；针纺织品及原料销售；纺织专用测试仪器销售；纺织专用设备销售；服装辅料销售；劳动保护用品销售；工艺美术品及礼仪用品销售（象牙及其制品除外）；合成纤维销售；机械设备销售；缝制机械销售；染料销售；涂料销售（不含危险化学品）；化工产品销售（不含许可类化工产品）；箱包销售；制鞋原辅材料销售；日用杂品销售；日用品销售；日用口罩（非医用）销售；鞋帽批发；服装服饰批发；工艺美术品及收藏品批发（象牙及其制品除外）；工艺美术品及收藏品零售（象牙及其制品除外）；鞋帽零售；服装服饰零售；机械设备研发；服饰研发；货物进出口；技术进出口；专用设备修理；再生资源回收（除生产性废旧金属）；再生资源销售。（除依法须经批准的项目外，凭营业执照依法自主开展经营活动）。企业当前经营状态为在业。</t>
  </si>
  <si>
    <t>一般项目：面料纺织加工；面料印染加工；纺纱加工；纺织专用测试仪器制造；产业用纺织制成品制造；家用纺织制成品制造；纺织专用设备制造；服装辅料制造；工艺美术品及礼仪用品制造（象牙及其制品除外）；服装制造；服饰制造；针织或钩针编织物及其制品制造；鞋制造；箱包制造；日用杂品制造；特种劳动防护用品生产；产业用纺织制成品销售；针纺织品销售；针纺织品及原料销售；纺织专用测试仪器销售；纺织专用设备销售；服装辅料销售；劳动保护用品销售；工艺美术品及礼仪用品销售（象牙及其制品除外）；合成纤维销售；机械设备销售；缝制机械销售；染料销售；涂料销售（不含危险化学品）；化工产品销售（不含许可类化工产品）；箱包销售；制鞋原辅材料销售；日用杂品销售；日用品销售；日用口罩（非医用）销售；鞋帽批发；服装服饰批发；工艺美术品及收藏品批发（象牙及其制品除外）；工艺美术品及收藏品零售（象牙及其制品除外）；鞋帽零售；服装服饰零售；机械设备研发；服饰研发；货物进出口；技术进出口；专用设备修理；再生资源回收（除生产性废旧金属）；再生资源销售。（除依法须经批准的项目外，凭营业执照依法自主开展经营活动）</t>
  </si>
  <si>
    <t>威海临港经济技术开发区市场监督管理局</t>
  </si>
  <si>
    <t>湖南一合源农业科技有限公司</t>
  </si>
  <si>
    <t>91430112MA4QFMHU3P</t>
  </si>
  <si>
    <t>注销（2022-12-15）</t>
  </si>
  <si>
    <t>杨威</t>
  </si>
  <si>
    <t>2019-05-08</t>
  </si>
  <si>
    <t>长沙市望城经济技术开发区普瑞大道一段1555号金桥市场集群3区4栋10层1024号</t>
  </si>
  <si>
    <t>望城区</t>
  </si>
  <si>
    <t>13975060850</t>
  </si>
  <si>
    <t>430122000171976</t>
  </si>
  <si>
    <t>MA4QFMHU-3</t>
  </si>
  <si>
    <t>2019-05-08 至 2069-05-07</t>
  </si>
  <si>
    <t>专业技术服务业</t>
  </si>
  <si>
    <t>工业与专业设计及其他专业技术服务</t>
  </si>
  <si>
    <t>其他未列明专业技术服务业</t>
  </si>
  <si>
    <t>Hunan Yiheyuan Agricultural Technology Co., Ltd.</t>
  </si>
  <si>
    <t>湖南一合源农业科技有限公司成立于2019-05-08，法定代表人为杨威，注册资本为500万元，统一社会信用代码为91430112MA4QFMHU3P，企业注册地址位于长沙市望城经济技术开发区普瑞大道一段1555号金桥市场集群3区4栋10层1024号，所属行业为专业技术服务业，经营范围包含：其他未列明专业技术服务业;农业技术开发服务;棉副产品及棉纱、初级食用农产品、日用品、文化用品、棉花销售;工艺品、针棉纺织品、鞋帽、服装零售;农业科技信息推广服务;货物或技术进出口（国家禁止或涉及行政审批的货物和技术进出口除外）;机械设备、五金产品及电子产品批发;会议服务;承办展览展示;文化艺术交流活动的组织。（依法须经批准的项目,经相关部门批准后方可开展经营活动）。企业当前经营状态为注销。</t>
  </si>
  <si>
    <t>其他未列明专业技术服务业;农业技术开发服务;棉副产品及棉纱、初级食用农产品、日用品、文化用品、棉花销售;工艺品、针棉纺织品、鞋帽、服装零售;农业科技信息推广服务;货物或技术进出口（国家禁止或涉及行政审批的货物和技术进出口除外）;机械设备、五金产品及电子产品批发;会议服务;承办展览展示;文化艺术交流活动的组织。（依法须经批准的项目,经相关部门批准后方可开展经营活动）</t>
  </si>
  <si>
    <t>长沙市望城区市场监督管理局</t>
  </si>
  <si>
    <t>福建省源晨星贸易有限公司</t>
  </si>
  <si>
    <t>91350100MA31FYTB2U</t>
  </si>
  <si>
    <t>注销（2024-03-20）</t>
  </si>
  <si>
    <t>江美英</t>
  </si>
  <si>
    <t>福建省福州市鼓楼区工业路523号福大怡山文化创意园（文科楼）项目5001区A015</t>
  </si>
  <si>
    <t>鼓楼区</t>
  </si>
  <si>
    <t>15806035571</t>
  </si>
  <si>
    <t>15806035571@qq.com</t>
  </si>
  <si>
    <t>MA31FYTB-2</t>
  </si>
  <si>
    <t>2018-01-26 至 2068-01-25</t>
  </si>
  <si>
    <t>Fujian Yuanchenxing Trading Co., Ltd.</t>
  </si>
  <si>
    <t>福建省源晨星贸易有限公司成立于2018-01-26，法定代表人为江美英，注册资本为1000万元，统一社会信用代码为91350100MA31FYTB2U，企业注册地址位于福建省福州市鼓楼区工业路523号福大怡山文化创意园（文科楼）项目5001区A015，所属行业为批发业，经营范围包含：纺织原料、服装鞋帽、针纺织品、箱包、日用品、办公用品、包装材料、金属材料、建材、化工产品及原料（不含危险化学品）、机械设备、五金交电（不含电动自行车）、电子产品的批发、代购代销；企业营销策划、展示展览服务；承办设计、制作、代理、发布国内各类广告；建筑装修工程、市政工程的设计及施工；自营和代理各类商品和技术的进出口，但国家限定公司经营或禁止进出口的商品和技术除外。（依法须经批准的项目，经相关部门批准后方可开展经营活动）。企业当前经营状态为注销。</t>
  </si>
  <si>
    <t>纺织原料、服装鞋帽、针纺织品、箱包、日用品、办公用品、包装材料、金属材料、建材、化工产品及原料（不含危险化学品）、机械设备、五金交电（不含电动自行车）、电子产品的批发、代购代销；企业营销策划、展示展览服务；承办设计、制作、代理、发布国内各类广告；建筑装修工程、市政工程的设计及施工；自营和代理各类商品和技术的进出口，但国家限定公司经营或禁止进出口的商品和技术除外。（依法须经批准的项目，经相关部门批准后方可开展经营活动）</t>
  </si>
  <si>
    <t>福州市市场监督管理局</t>
  </si>
  <si>
    <t>北京全国棉花交易市场电子商务有限责任公司</t>
  </si>
  <si>
    <t>91110105750104810K</t>
  </si>
  <si>
    <t>沈洁强</t>
  </si>
  <si>
    <t>10820.17万元</t>
  </si>
  <si>
    <t>2003-05-27</t>
  </si>
  <si>
    <t>北京市西城区西城区宣武门外大街甲1号5层510</t>
  </si>
  <si>
    <t>010-59338607</t>
  </si>
  <si>
    <t>010-59338606;010-59338602</t>
  </si>
  <si>
    <t>shaobaoxia@cnce.cn</t>
  </si>
  <si>
    <t>dengjun3639@qq.com;364245997@qq.com;13701372072@139.com;tianjing@cnce.com</t>
  </si>
  <si>
    <t>110105005722165</t>
  </si>
  <si>
    <t>75010481-0</t>
  </si>
  <si>
    <t>2003-05-27 至 2053-05-26</t>
  </si>
  <si>
    <t>其他科技推广服务业</t>
  </si>
  <si>
    <t>Beijing China Cotton Trade Market Electronic Business Co., Ltd.</t>
  </si>
  <si>
    <t>http://www.cnce.cn</t>
  </si>
  <si>
    <t>北京市西城区宣武门外大街甲1号B座15层</t>
  </si>
  <si>
    <t>北京全国棉花交易市场电子商务有限责任公司成立于2003-05-27，法定代表人为沈洁强，注册资本为10820.17万元，统一社会信用代码为91110105750104810K，企业注册地址位于北京市西城区西城区宣武门外大街甲1号5层510，所属行业为科技推广和应用服务业，经营范围包含：一般项目：技术服务、技术开发、技术咨询、技术交流、技术转让、技术推广；信息咨询服务（不含许可类信息咨询服务）；信息技术咨询服务；棉、麻销售；针纺织品及原料销售；棉花加工机械销售；纺织专用设备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企业当前经营状态为存续。</t>
  </si>
  <si>
    <t>一般项目：技术服务、技术开发、技术咨询、技术交流、技术转让、技术推广；信息咨询服务（不含许可类信息咨询服务）；信息技术咨询服务；棉、麻销售；针纺织品及原料销售；棉花加工机械销售；纺织专用设备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</si>
  <si>
    <t>北京京粮物流有限公司</t>
  </si>
  <si>
    <t>91110108744721265H</t>
  </si>
  <si>
    <t>北京环京物流有限责任公司</t>
  </si>
  <si>
    <t>金国良</t>
  </si>
  <si>
    <t>10152万元</t>
  </si>
  <si>
    <t>2002-11-13</t>
  </si>
  <si>
    <t>北京市海淀区田村路43号环京现代物流设施项目二段五层516房间</t>
  </si>
  <si>
    <t>010-88621712</t>
  </si>
  <si>
    <t>010-8861712</t>
  </si>
  <si>
    <t>jingliang56@jingliang56.com</t>
  </si>
  <si>
    <t>87301512@qq.com;1050171365@qq.com;1357177109@qq.com</t>
  </si>
  <si>
    <t>110000004976844</t>
  </si>
  <si>
    <t>74472126-5</t>
  </si>
  <si>
    <t>79</t>
  </si>
  <si>
    <t>2002-11-13 至 无固定期限</t>
  </si>
  <si>
    <t>其他仓储业</t>
  </si>
  <si>
    <t>Beijing Jingliang Logistics Co., Ltd.</t>
  </si>
  <si>
    <t>北京京粮物流有限公司成立于2002-11-13，法定代表人为金国良，注册资本为10152万元，统一社会信用代码为91110108744721265H，企业注册地址位于北京市海淀区田村路43号环京现代物流设施项目二段五层516房间，所属行业为装卸搬运和仓储业，经营范围包含：许可项目：道路货物运输（不含危险货物）；食品销售；餐饮服务。（依法须经批准的项目，经相关部门批准后方可开展经营活动，具体经营项目以相关部门批准文件或许可证件为准）一般项目：广告设计、代理；非居住房地产租赁；物业管理；摄影扩印服务；停车场服务；粮油仓储服务；箱包销售；针纺织品及原料销售；刀剑工艺品销售；美发饰品生产；计算机软硬件及辅助设备零售；电子产品销售；家具销售；日用品批发；体育用品及器材批发；礼品花卉销售；家用电器零配件销售；鞋帽批发；劳动保护用品销售；工艺美术品及收藏品批发（象牙及其制品除外）；通讯设备销售；金属矿石销售；非金属矿及制品销售；金属材料销售；汽车零配件批发；谷物销售；林业产品销售；食用农产品批发；广告发布；广告制作；劳务服务（不含劳务派遣）；销售代理；货物进出口；技术进出口；供应链管理服务；餐饮管理。（除依法须经批准的项目外，凭营业执照依法自主开展经营活动）（不得从事国家和本市产业政策禁止和限制类项目的经营活动。）。企业当前经营状态为存续。</t>
  </si>
  <si>
    <t>许可项目：道路货物运输（不含危险货物）；食品销售；餐饮服务。（依法须经批准的项目，经相关部门批准后方可开展经营活动，具体经营项目以相关部门批准文件或许可证件为准）一般项目：广告设计、代理；非居住房地产租赁；物业管理；摄影扩印服务；停车场服务；粮油仓储服务；箱包销售；针纺织品及原料销售；刀剑工艺品销售；美发饰品生产；计算机软硬件及辅助设备零售；电子产品销售；家具销售；日用品批发；体育用品及器材批发；礼品花卉销售；家用电器零配件销售；鞋帽批发；劳动保护用品销售；工艺美术品及收藏品批发（象牙及其制品除外）；通讯设备销售；金属矿石销售；非金属矿及制品销售；金属材料销售；汽车零配件批发；谷物销售；林业产品销售；食用农产品批发；广告发布；广告制作；劳务服务（不含劳务派遣）；销售代理；货物进出口；技术进出口；供应链管理服务；餐饮管理。（除依法须经批准的项目外，凭营业执照依法自主开展经营活动）（不得从事国家和本市产业政策禁止和限制类项目的经营活动。）</t>
  </si>
  <si>
    <t>北京市海淀区市场监督管理局</t>
  </si>
  <si>
    <t>联众博亚（北京）粮油有限公司</t>
  </si>
  <si>
    <t>91110108757749013Q</t>
  </si>
  <si>
    <t>王欢</t>
  </si>
  <si>
    <t>2003-12-04</t>
  </si>
  <si>
    <t>北京市海淀区知春路甲48号3号楼5层2单元6D</t>
  </si>
  <si>
    <t>010-68349070</t>
  </si>
  <si>
    <t>010-58732328;010-68095502</t>
  </si>
  <si>
    <t>286511796@qq.com</t>
  </si>
  <si>
    <t>40807674@qq.com;fengruilx91@163.com</t>
  </si>
  <si>
    <t>110000006323645</t>
  </si>
  <si>
    <t>75774901-3</t>
  </si>
  <si>
    <t>2003-12-04 至 2053-12-03</t>
  </si>
  <si>
    <t>Beijing Triunion CEREALS &amp; OILS Co., Ltd.</t>
  </si>
  <si>
    <t>联众博亚（北京）粮油有限公司成立于2003-12-04，法定代表人为王欢，注册资本为3000万元，统一社会信用代码为91110108757749013Q，企业注册地址位于北京市海淀区知春路甲48号3号楼5层2单元6D，所属行业为批发业，经营范围包含：一般项目：食品销售（仅销售预包装食品）；食用农产品零售；建筑材料销售；化工产品销售（不含许可类化工产品）；金属材料销售；机械设备销售；电子产品销售；仪器仪表销售；办公设备销售；日用杂品销售；五金产品零售；五金产品批发；针纺织品销售；家具销售；工艺美术品及礼仪用品销售（象牙及其制品除外）；计算机软硬件及辅助设备批发；计算机软硬件及辅助设备零售；通讯设备销售；汽车零配件零售；汽车零配件批发；化肥销售；肥料销售；畜牧渔业饲料销售；饲料原料销售；宠物食品及用品批发；农业机械销售；货物进出口；技术进出口；进出口代理；普通货物仓储服务（不含危险化学品等需许可审批的项目）；技术服务、技术开发、技术咨询、技术交流、技术转让、技术推广；非居住房地产租赁；停车场服务；保健食品（预包装）销售；婴幼儿配方乳粉及其他婴幼儿配方食品销售；食用农产品批发；食品互联网销售（仅销售预包装食品）。（除依法须经批准的项目外，凭营业执照依法自主开展经营活动）（不得从事国家和本市产业政策禁止和限制类项目的经营活动。）。企业当前经营状态为存续。</t>
  </si>
  <si>
    <t>一般项目：食品销售（仅销售预包装食品）；食用农产品零售；建筑材料销售；化工产品销售（不含许可类化工产品）；金属材料销售；机械设备销售；电子产品销售；仪器仪表销售；办公设备销售；日用杂品销售；五金产品零售；五金产品批发；针纺织品销售；家具销售；工艺美术品及礼仪用品销售（象牙及其制品除外）；计算机软硬件及辅助设备批发；计算机软硬件及辅助设备零售；通讯设备销售；汽车零配件零售；汽车零配件批发；化肥销售；肥料销售；畜牧渔业饲料销售；饲料原料销售；宠物食品及用品批发；农业机械销售；货物进出口；技术进出口；进出口代理；普通货物仓储服务（不含危险化学品等需许可审批的项目）；技术服务、技术开发、技术咨询、技术交流、技术转让、技术推广；非居住房地产租赁；停车场服务；保健食品（预包装）销售；婴幼儿配方乳粉及其他婴幼儿配方食品销售；食用农产品批发；食品互联网销售（仅销售预包装食品）。（除依法须经批准的项目外，凭营业执照依法自主开展经营活动）（不得从事国家和本市产业政策禁止和限制类项目的经营活动。）</t>
  </si>
  <si>
    <t>林甸县隆祥粮食经贸有限责任公司</t>
  </si>
  <si>
    <t>91230623MA1B3B6F67</t>
  </si>
  <si>
    <t>魏龙祥</t>
  </si>
  <si>
    <t>2018-04-26</t>
  </si>
  <si>
    <t>黑龙江省大庆市林甸县四合乡乡直</t>
  </si>
  <si>
    <t>林甸县</t>
  </si>
  <si>
    <t>15754597666</t>
  </si>
  <si>
    <t>2473672762@qq.com</t>
  </si>
  <si>
    <t>942559031@qq.com</t>
  </si>
  <si>
    <t>230623000026638</t>
  </si>
  <si>
    <t>MA1B3B6F-6</t>
  </si>
  <si>
    <t>2018-04-26 至 无固定期限</t>
  </si>
  <si>
    <t>Lindian County Longxiang Grain Economy and Trade Co., Ltd.</t>
  </si>
  <si>
    <t>林甸县隆祥粮食经贸有限责任公司成立于2018-04-26，法定代表人为魏龙祥，注册资本为500万元，统一社会信用代码为91230623MA1B3B6F67，企业注册地址位于黑龙江省大庆市林甸县四合乡乡直，所属行业为批发业，经营范围包含：一般项目粮食收购；谷物销售；豆及薯类销售；初级农产品收购；食用农产品初加工。企业当前经营状态为存续。</t>
  </si>
  <si>
    <t>一般项目粮食收购；谷物销售；豆及薯类销售；初级农产品收购；食用农产品初加工。</t>
  </si>
  <si>
    <t>大庆市林甸县市场监督管理局</t>
  </si>
  <si>
    <t>河北银浪棉业有限公司</t>
  </si>
  <si>
    <t>91130627601178920U</t>
  </si>
  <si>
    <t>李建忠</t>
  </si>
  <si>
    <t>2002-06-28</t>
  </si>
  <si>
    <t>唐县长古城工业园区</t>
  </si>
  <si>
    <t>唐县</t>
  </si>
  <si>
    <t>0312-4936001</t>
  </si>
  <si>
    <t>15932247025</t>
  </si>
  <si>
    <t>hbylmyyxgs@163.com</t>
  </si>
  <si>
    <t>130627000002505</t>
  </si>
  <si>
    <t>60117892-0</t>
  </si>
  <si>
    <t>2012-06-28 至 无固定期限</t>
  </si>
  <si>
    <t>Hebei Yinlang Cotton Industry Co., Ltd.</t>
  </si>
  <si>
    <t>河北银浪棉业有限公司成立于2002-06-28，法定代表人为李建忠，注册资本为8000万元，统一社会信用代码为91130627601178920U，企业注册地址位于唐县长古城工业园区，所属行业为纺织业，经营范围包含：棉花收购、加工，棉短绒、棉花下脚料、絮棉、棉纱、籽棉收购、加工、批发、零售；皮棉购销；棉仁饼、床上用品、纺织品、棉垫、棉制品、纱线、布匹加工、销售；货物仓储、装卸、搬运；棉副产品、计算机软硬件、电子产品购销。（依法须经批准的项目，经相关部门批准后方可开展经营活动）。企业当前经营状态为存续。</t>
  </si>
  <si>
    <t>棉花收购、加工，棉短绒、棉花下脚料、絮棉、棉纱、籽棉收购、加工、批发、零售；皮棉购销；棉仁饼、床上用品、纺织品、棉垫、棉制品、纱线、布匹加工、销售；货物仓储、装卸、搬运；棉副产品、计算机软硬件、电子产品购销。（依法须经批准的项目，经相关部门批准后方可开展经营活动）</t>
  </si>
  <si>
    <t>唐县市场监督管理局</t>
  </si>
  <si>
    <t>上海卞尔实业有限公司</t>
  </si>
  <si>
    <t>91310117MA1J20A78M</t>
  </si>
  <si>
    <t>陈丽芹</t>
  </si>
  <si>
    <t>580万元</t>
  </si>
  <si>
    <t>127万元</t>
  </si>
  <si>
    <t>2017-02-27</t>
  </si>
  <si>
    <t>18701700007</t>
  </si>
  <si>
    <t>310117003607066</t>
  </si>
  <si>
    <t>MA1J20A7-8</t>
  </si>
  <si>
    <t>2017-02-27 至 2037-02-26</t>
  </si>
  <si>
    <t>Shanghai Bian'er Industrial Co., Ltd.</t>
  </si>
  <si>
    <t>上海卞尔实业有限公司成立于2017-02-27，法定代表人为陈丽芹，注册资本为580万元，统一社会信用代码为91310117MA1J20A78M，企业注册地址位于上海市松江区新桥镇新站路361号，所属行业为批发业，经营范围包含：建筑材料、金属材料、橡塑制品、包装材料、木材、纸制品、五金交电、电线电缆、服装鞋帽批发零售，企业管理咨询，室内外装潢及设计，绿化工程，工程准备（除爆破），建筑劳务分包，脚手架建设工程作业，展览展示服务，物业管理。【依法须经批准的项目，经相关部门批准后方可开展经营活动】。企业当前经营状态为存续。</t>
  </si>
  <si>
    <t>建筑材料、金属材料、橡塑制品、包装材料、木材、纸制品、五金交电、电线电缆、服装鞋帽批发零售，企业管理咨询，室内外装潢及设计，绿化工程，工程准备（除爆破），建筑劳务分包，脚手架建设工程作业，展览展示服务，物业管理。【依法须经批准的项目，经相关部门批准后方可开展经营活动】</t>
  </si>
  <si>
    <t>尉犁县九九棉业有限公司</t>
  </si>
  <si>
    <t>91652823757673063W</t>
  </si>
  <si>
    <t>尉犁县利华棉业有限责任公司</t>
  </si>
  <si>
    <t>袁建波</t>
  </si>
  <si>
    <t>2004-02-26</t>
  </si>
  <si>
    <t>新疆巴州尉犁县城北四公里</t>
  </si>
  <si>
    <t>13909969795</t>
  </si>
  <si>
    <t>0996-4020850;13565006028;0996-4027228</t>
  </si>
  <si>
    <t>290499663@qq.com;305441645@qq.com;2477389484@qq.com</t>
  </si>
  <si>
    <t>652823050002953</t>
  </si>
  <si>
    <t>75767306-3</t>
  </si>
  <si>
    <t>2004-02-26 至 2034-02-25</t>
  </si>
  <si>
    <t>Yuli County Jiujiu Cotton Industry Co., Ltd.</t>
  </si>
  <si>
    <t>尉犁县九九棉业有限公司成立于2004-02-26，法定代表人为袁建波，注册资本为5000万元，统一社会信用代码为91652823757673063W，企业注册地址位于新疆巴州尉犁县城北四公里，所属行业为农、林、牧、渔专业及辅助性活动，经营范围包含：籽棉、棉副产品加工，籽棉收购；批发零售：皮棉、棉籽、棉短绒、棉副产品、纺织品、棉麻制品。（依法须经批准的项目，经相关部门批准后方可开展经营活动）。企业当前经营状态为存续。</t>
  </si>
  <si>
    <t>籽棉、棉副产品加工，籽棉收购；批发零售：皮棉、棉籽、棉短绒、棉副产品、纺织品、棉麻制品。（依法须经批准的项目，经相关部门批准后方可开展经营活动）</t>
  </si>
  <si>
    <t>中国牧工商集团有限公司</t>
  </si>
  <si>
    <t>911100001000009212</t>
  </si>
  <si>
    <t>中国牧工商（集团）总公司</t>
  </si>
  <si>
    <t>杨青春</t>
  </si>
  <si>
    <t>246205.163588万元</t>
  </si>
  <si>
    <t>1982-12-04</t>
  </si>
  <si>
    <t>北京市丰台区南四环西路188号十一区20号楼</t>
  </si>
  <si>
    <t>丰台区</t>
  </si>
  <si>
    <t>010-52238800</t>
  </si>
  <si>
    <t>010-52238827;13601081848;010-52238888;010-64413273</t>
  </si>
  <si>
    <t>info@cahg.com.cn</t>
  </si>
  <si>
    <t>xuxj@cahg.com.cn</t>
  </si>
  <si>
    <t>100000000000926</t>
  </si>
  <si>
    <t>10000092-1</t>
  </si>
  <si>
    <t>199</t>
  </si>
  <si>
    <t>2017-12-20 至 无固定期限</t>
  </si>
  <si>
    <t>China Pastoral Industry and Commerce Group Co., Ltd.</t>
  </si>
  <si>
    <t>https://www.cahg.com.cn</t>
  </si>
  <si>
    <t>北京市丰台区南四环西路188号总部基地八区19号楼</t>
  </si>
  <si>
    <t>三十多年来，中牧集团以服务“三农”为己任，以引领畜牧产业、服务健康生活为宗旨，以向消费者提供安全、健康的动物源食品为目标，主要生产经营业务有：健康养殖、动物疫苗和兽药、饲料原料和饲料添加剂、种畜种禽、肉食品加工、乳制品、蜂产品、宠物产品、仪器设备以及土地资源开发等。在经营管理、科技开发、产品生产、市场营销等方面，培养造就了一批高素质的管理团队和专业技术队伍，技术服务及营销网络覆盖全国，经贸合作遍及全球五十多个国家和地区。</t>
  </si>
  <si>
    <t>兽药经营（具体范围以许可证为准）；预包装食品销售（含冷藏冷冻食品）；散装食品销售（含冷藏冷冻食品）；特殊食品销售（婴幼儿配方乳粉）；粮食的收购；销售食品；畜牧产品业的投资与管理；草产品、饲料、饲料添加剂、大宗饲料原料、宠物食品的销售；进出口业务；技术咨询、技术服务；仪器机械设备、化工产品（危险化学品除外）、汽车的销售；自有房屋出租；物业管理；化肥的销售；仓储业务；皮革制品；为促进牲畜（不含陆生国家重点保护野生动物、国家一级保护水生野生动物、国家二级保护水生野生动物）繁殖、生长、增加产量以及获得畜产品（不含陆生国家重点保护野生动物、国家一级保护水生野生动物、国家二级保护水生野生动物）的服务；动物（不含陆生国家重点保护野生动物、国家一级保护水生野生动物、国家二级保护水生野生动物）的配种、牧群（不含陆生国家重点保护野生动物、国家一级保护水生野生动物、国家二级保护水生野生动物）检验；销售新鲜水果、新鲜蔬菜。（市场主体依法自主选择经营项目，开展经营活动；销售兽药、销售食品以及依法须经批准的项目，经相关部门批准后依批准的内容开展经营活动；不得从事国家和本市产业政策禁止和限制类项目的经营活动。）</t>
  </si>
  <si>
    <t>中国船舶集团物资有限公司</t>
  </si>
  <si>
    <t>91110000100009512E</t>
  </si>
  <si>
    <t>中国船舶工业物资有限公司,
中国船舶工业物资总公司</t>
  </si>
  <si>
    <t>吴季平</t>
  </si>
  <si>
    <t>50000万元</t>
  </si>
  <si>
    <t>1989-02-20</t>
  </si>
  <si>
    <t>北京市西城区月坛北街5号</t>
  </si>
  <si>
    <t>010-59518617</t>
  </si>
  <si>
    <t>010-68023091</t>
  </si>
  <si>
    <t>yepeng8@csemc.com</t>
  </si>
  <si>
    <t>yepeng@csemc.com;bgs@csemc.com</t>
  </si>
  <si>
    <t>100000000009513</t>
  </si>
  <si>
    <t>10000951-2</t>
  </si>
  <si>
    <t>186</t>
  </si>
  <si>
    <t>2019-06-27 至 无固定期限</t>
  </si>
  <si>
    <t>China National Shipbuilding Equipment and MATERIALS Co., Ltd.</t>
  </si>
  <si>
    <t>https://www.csemc.com</t>
  </si>
  <si>
    <t>中国船舶集团物资有限公司成立于1989-02-20，法定代表人为吴季平，注册资本为50000万元，统一社会信用代码为91110000100009512E，企业注册地址位于北京市西城区月坛北街5号，所属行业为批发业，经营范围包含：批发医疗器械Ⅲ类：6815注射穿刺器械，6823医用超声仪器及有关设备,6822医用光学器具、仪器及内窥镜设备，6845体外循环及血液处理设备,6866医用高分子材料及制品，6825医用高频仪器设备，6830医用X射线设备；经营成品油3种、其它危险化学品53种，合计56种（具体许可范围以危险化学品经营许可证为准，有效期至2023年7月14日）；国际道路货物运输；道路货物运输（不含危险货物）；公共航空运输；水路普通货物运输；互联网信息服务；销售黑色金属、有色金属、建筑材料、金属矿石、木材及制品、焦炭、煤炭（不在北京地区开展实物煤的交易、储运活动）、柴油、炉料、化工产品（不含危险化学品）、轻工产品、机电产品、仪器仪表、电子产品、汽车、汽车配件、五金交电、润滑油、润滑脂、Ⅱ类医疗器械、燃料油、机械设备、农副产品；进出口业务；机电设备招标业务；房地产开发；物业管理；汽车及机械设备租赁；建筑装修；科技产品、船舶产品的开发；自有房屋租赁；与上述业务有关的咨询服务；建设工程项目管理；科技中介服务；工程管理服务；再生资源回收（不含固体废物、 危险废物、报废汽车等需经相关部门批准的项目）；技术开发、技术咨询、技术交流、技术转让、技术推广、技术服务；食品经营（仅销售预包装食品）。（市场主体依法自主选择经营项目，开展经营活动；依法须经批准的项目，经相关部门批准后依批准的内容开展经营活动；不得从事国家和本市产业政策禁止和限制类项目的经营活动。）。企业当前经营状态为存续。</t>
  </si>
  <si>
    <t>批发医疗器械Ⅲ类：6815注射穿刺器械，6823医用超声仪器及有关设备,6822医用光学器具、仪器及内窥镜设备，6845体外循环及血液处理设备,6866医用高分子材料及制品，6825医用高频仪器设备，6830医用X射线设备；经营成品油3种、其它危险化学品53种，合计56种（具体许可范围以危险化学品经营许可证为准，有效期至2023年7月14日）；国际道路货物运输；道路货物运输（不含危险货物）；公共航空运输；水路普通货物运输；互联网信息服务；销售黑色金属、有色金属、建筑材料、金属矿石、木材及制品、焦炭、煤炭（不在北京地区开展实物煤的交易、储运活动）、柴油、炉料、化工产品（不含危险化学品）、轻工产品、机电产品、仪器仪表、电子产品、汽车、汽车配件、五金交电、润滑油、润滑脂、Ⅱ类医疗器械、燃料油、机械设备、农副产品；进出口业务；机电设备招标业务；房地产开发；物业管理；汽车及机械设备租赁；建筑装修；科技产品、船舶产品的开发；自有房屋租赁；与上述业务有关的咨询服务；建设工程项目管理；科技中介服务；工程管理服务；再生资源回收（不含固体废物、 危险废物、报废汽车等需经相关部门批准的项目）；技术开发、技术咨询、技术交流、技术转让、技术推广、技术服务；食品经营（仅销售预包装食品）。（市场主体依法自主选择经营项目，开展经营活动；依法须经批准的项目，经相关部门批准后依批准的内容开展经营活动；不得从事国家和本市产业政策禁止和限制类项目的经营活动。）</t>
  </si>
  <si>
    <t>建信商贸有限责任公司</t>
  </si>
  <si>
    <t>91310000MA1K37B10F</t>
  </si>
  <si>
    <t>金学军</t>
  </si>
  <si>
    <t>20000万元</t>
  </si>
  <si>
    <t>2016-01-29</t>
  </si>
  <si>
    <t>中国（上海）自由贸易试验区临港新片区业盛路188号A-708室</t>
  </si>
  <si>
    <t>021-60635551</t>
  </si>
  <si>
    <t>jxsm@ccbfutures.com</t>
  </si>
  <si>
    <t>310141000267014</t>
  </si>
  <si>
    <t>MA1K37B1-0</t>
  </si>
  <si>
    <t>30</t>
  </si>
  <si>
    <t>2016-01-29 至 无固定期限</t>
  </si>
  <si>
    <t>CCB Commercial and Trading Co., Ltd.</t>
  </si>
  <si>
    <t>上海市浦东新区银城路99号建行大厦6楼</t>
  </si>
  <si>
    <t>建信商贸有限责任公司成立于2016-01-29，法定代表人为金学军，注册资本为20000万元，统一社会信用代码为91310000MA1K37B10F，企业注册地址位于中国（上海）自由贸易试验区临港新片区业盛路188号A-708室，所属行业为批发业，经营范围包含：许可项目：原油批发。（依法须经批准的项目，经相关部门批准后方可开展经营活动，具体经营项目以相关部门批准文件或许可证件为准）一般项目：货物进出口；进出口代理；国内贸易代理；贸易经纪；科技中介服务；信息咨询服务（不含许可类信息咨询服务）；计算机软硬件及辅助设备批发；计算机软硬件及辅助设备零售；技术服务、技术开发、技术咨询、技术交流、技术转让、技术推广；软件开发；金属材料销售；非金属矿及制品销售；建筑材料销售；五金产品批发；汽车零配件批发；日用玻璃制品销售；木材销售；纸制品销售；针纺织品及原料销售；石油制品销售（不含危险化学品）；化工产品销售（不含许可类化工产品）；成品油批发（不含危险化学品）；智能农业管理；橡胶制品销售；食用农产品批发；机械设备销售；金银制品销售；肥料销售；饲料原料销售；牲畜销售；煤炭及制品销售；国内货物运输代理；供应链管理服务；食品销售（仅销售预包装食品）。（除依法须经批准的项目外，凭营业执照依法自主开展经营活动）。企业当前经营状态为存续。</t>
  </si>
  <si>
    <t>许可项目：原油批发。（依法须经批准的项目，经相关部门批准后方可开展经营活动，具体经营项目以相关部门批准文件或许可证件为准）一般项目：货物进出口；进出口代理；国内贸易代理；贸易经纪；科技中介服务；信息咨询服务（不含许可类信息咨询服务）；计算机软硬件及辅助设备批发；计算机软硬件及辅助设备零售；技术服务、技术开发、技术咨询、技术交流、技术转让、技术推广；软件开发；金属材料销售；非金属矿及制品销售；建筑材料销售；五金产品批发；汽车零配件批发；日用玻璃制品销售；木材销售；纸制品销售；针纺织品及原料销售；石油制品销售（不含危险化学品）；化工产品销售（不含许可类化工产品）；成品油批发（不含危险化学品）；智能农业管理；橡胶制品销售；食用农产品批发；机械设备销售；金银制品销售；肥料销售；饲料原料销售；牲畜销售；煤炭及制品销售；国内货物运输代理；供应链管理服务；食品销售（仅销售预包装食品）。（除依法须经批准的项目外，凭营业执照依法自主开展经营活动）</t>
  </si>
  <si>
    <t>自由贸易试验区临港新片区市场监督管理局</t>
  </si>
  <si>
    <t>上海杉杉贸易有限公司</t>
  </si>
  <si>
    <t>91310000082039880N</t>
  </si>
  <si>
    <t>李吉</t>
  </si>
  <si>
    <t>2013-11-04</t>
  </si>
  <si>
    <t>中国（上海）自由贸易试验区临港新片区海洋一路313、333号孵化楼1第5层503室</t>
  </si>
  <si>
    <t>021-61002774</t>
  </si>
  <si>
    <t>021-61002755;021-50652393;021-61002743;021-68765333;021-61002785</t>
  </si>
  <si>
    <t>smhr@ssres.com.cn</t>
  </si>
  <si>
    <t>chengyuting@ssres.com.cn;taiyun@ssres.com.cn;hujingle@ssres.com.cn</t>
  </si>
  <si>
    <t>310141000003988</t>
  </si>
  <si>
    <t>08203988-0</t>
  </si>
  <si>
    <t>2013-11-04 至 2033-11-03</t>
  </si>
  <si>
    <t>Shanghai Shanshan Trading Co., Ltd.</t>
  </si>
  <si>
    <t>上海市浦东新区东方路985号24D</t>
  </si>
  <si>
    <t>上海杉杉贸易有限公司成立于2013-11-04，法定代表人为李吉，注册资本为5000万元，统一社会信用代码为91310000082039880N，企业注册地址位于中国（上海）自由贸易试验区临港新片区海洋一路313、333号孵化楼1第5层503室，所属行业为批发业，经营范围包含：一般项目：橡胶制品销售；专用化学产品销售（不含危险化学品）；新型催化材料及助剂销售；化工产品销售（不含许可类化工产品）；非金属矿及制品销售；金属矿石销售；金属材料销售；建筑材料销售；食品销售（仅销售预包装食品）；食用农产品批发；牲畜销售（不含犬类）；饲料原料销售；日用品销售；五金产品批发；棉、麻销售；针纺织品及原料销售；建筑装饰材料销售；轻质建筑材料销售；石油制品销售（不含危险化学品）；润滑油销售；汽车零配件批发；塑料制品销售；日用玻璃制品销售；包装材料及制品销售；纸浆销售；纸制品销售；化肥销售；普通货物仓储服务（不含危险化学品等需许可审批的项目）；信息咨询服务（不含许可类信息咨询服务）；企业管理咨询；市场营销策划；网络技术服务；技术服务、技术开发、技术咨询、技术交流、技术转让、技术推广；再生资源销售；再生资源回收（除生产性废旧金属）；货物进出口；生产性废旧金属回收；煤炭及制品销售；合成材料销售。（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</si>
  <si>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一般项目：橡胶制品销售；专用化学产品销售（不含危险化学品）；新型催化材料及助剂销售；化工产品销售（不含许可类化工产品）；非金属矿及制品销售；金属矿石销售；金属材料销售；建筑材料销售；食品销售（仅销售预包装食品）；食用农产品批发；牲畜销售（不含犬类）；饲料原料销售；日用品销售；五金产品批发；棉、麻销售；针纺织品及原料销售；建筑装饰材料销售；轻质建筑材料销售；石油制品销售（不含危险化学品）；润滑油销售；汽车零配件批发；塑料制品销售；日用玻璃制品销售；包装材料及制品销售；纸浆销售；纸制品销售；化肥销售；普通货物仓储服务（不含危险化学品等需许可审批的项目）；信息咨询服务（不含许可类信息咨询服务）；企业管理咨询；市场营销策划；网络技术服务；技术服务、技术开发、技术咨询、技术交流、技术转让、技术推广；再生资源销售；再生资源回收（除生产性废旧金属）；货物进出口；生产性废旧金属回收；煤炭及制品销售；合成材料销售。（除依法须经批准的项目外，凭营业执照依法自主开展经营活动）许可项目：食品销售。（依法须经批准的项目，经相关部门批准后方可开展经营活动，具体经营项目以相关部门批准文件或许可证件为准）</t>
  </si>
  <si>
    <t>山东英利实业有限公司</t>
  </si>
  <si>
    <t>91370783564069521Y</t>
  </si>
  <si>
    <t>潍坊英利化学科技有限公司</t>
  </si>
  <si>
    <t>韩荣桓</t>
  </si>
  <si>
    <t>2010-10-27</t>
  </si>
  <si>
    <t>寿光市羊口镇渤海化工园内</t>
  </si>
  <si>
    <t>寿光市</t>
  </si>
  <si>
    <t>0536-5454699</t>
  </si>
  <si>
    <t>0536-5787555</t>
  </si>
  <si>
    <t>sdylsygs@163.com</t>
  </si>
  <si>
    <t>839442911@qq.com</t>
  </si>
  <si>
    <t>370783200019898</t>
  </si>
  <si>
    <t>56406952-1</t>
  </si>
  <si>
    <t>86</t>
  </si>
  <si>
    <t>2010-10-27 至 2030-10-27</t>
  </si>
  <si>
    <t>化学原料和化学制品制造业</t>
  </si>
  <si>
    <t>日用化学产品制造</t>
  </si>
  <si>
    <t>其他日用化学产品制造</t>
  </si>
  <si>
    <t>Shandong Yingli Industrial Co., Ltd.</t>
  </si>
  <si>
    <t>山东英利实业有限公司成立于2010-10-27，法定代表人为韩荣桓，注册资本为20000万元，统一社会信用代码为91370783564069521Y，企业注册地址位于寿光市羊口镇渤海化工园内，所属行业为化学原料和化学制品制造业，经营范围包含：生产、销售：纤维素纤维原料及纤维、合成纤维及其制品、无纺布、服装、床上用品；塑料、塑料瓶片购销；销售：棉混纺纱线、化学纤维纱线、色纺纱线、五金交电；货物仓储（不含违禁品）；热力生产与供应；经营国家允许范围内的货物与技术进出口业务（依法须经批准的项目，经相关部门批准后方可开展经营活动）。企业当前经营状态为在业。</t>
  </si>
  <si>
    <t>生产、销售：纤维素纤维原料及纤维、合成纤维及其制品、无纺布、服装、床上用品；塑料、塑料瓶片购销；销售：棉混纺纱线、化学纤维纱线、色纺纱线、五金交电；货物仓储（不含违禁品）；热力生产与供应；经营国家允许范围内的货物与技术进出口业务（依法须经批准的项目，经相关部门批准后方可开展经营活动）</t>
  </si>
  <si>
    <t>寿光市市场监督管理局</t>
  </si>
  <si>
    <t>新疆准噶尔棉麻有限公司</t>
  </si>
  <si>
    <t>91659004299331495G</t>
  </si>
  <si>
    <t>新疆生产建设兵团第六师棉麻公司,
新疆生产建设兵团农六师棉麻公司,
新疆生产生产建设兵团农六师棉麻公司</t>
  </si>
  <si>
    <t>李伟</t>
  </si>
  <si>
    <t>9535.04万元</t>
  </si>
  <si>
    <t>9535万元</t>
  </si>
  <si>
    <t>1991-02-20</t>
  </si>
  <si>
    <t>新疆五家渠市军垦路十二区三十八栋</t>
  </si>
  <si>
    <t>五家渠市</t>
  </si>
  <si>
    <t>0994-5823695</t>
  </si>
  <si>
    <t>15099552651;13709942882;0994-5823699</t>
  </si>
  <si>
    <t>1492650744@qq.com</t>
  </si>
  <si>
    <t>68116922@qq.com;1772089039@qq.com</t>
  </si>
  <si>
    <t>659004000000125</t>
  </si>
  <si>
    <t>29933149-5</t>
  </si>
  <si>
    <t>48</t>
  </si>
  <si>
    <t>1991-02-20 至 无固定期限</t>
  </si>
  <si>
    <t>Xinjiang Junggar Cotton &amp; Linen Co., Ltd.</t>
  </si>
  <si>
    <t>新疆准噶尔棉麻有限公司成立于1991-02-20，法定代表人为李伟，注册资本为9535.04万元，统一社会信用代码为91659004299331495G，企业注册地址位于新疆五家渠市军垦路十二区三十八栋，所属行业为纺织业，经营范围包含：一般项目：针纺织品及原料销售；针纺织品销售；产业用纺织制成品销售；货物进出口；棉花加工；棉花收购；棉花种植；农业机械销售；棉花加工机械销售；棉、麻销售；初级农产品收购；纺织专用测试仪器销售；包装材料及制品销售；金属材料销售；建筑材料销售；办公用品销售；软件开发；普通货物仓储服务（不含危险化学品等需许可审批的项目）；非居住房地产租赁；租赁服务（不含许可类租赁服务）；仓储设备租赁服务；农产品的生产、销售、加工、运输、贮藏及其他相关服务；非食用农产品初加工；农作物栽培服务；农业专业及辅助性活动；道路货物运输站经营；面料纺织加工；机械零件、零部件销售；土地使用权租赁；农副产品销售；有色金属合金销售；合成材料销售；润滑油销售；建筑用钢筋产品销售；水泥制品销售；社会经济咨询服务；装卸搬运；信息咨询服务（不含许可类信息咨询服务）（除依法须经批准的项目外，凭营业执照依法自主开展经营活动）。企业当前经营状态为存续。</t>
  </si>
  <si>
    <t>一般项目：针纺织品及原料销售；针纺织品销售；产业用纺织制成品销售；货物进出口；棉花加工；棉花收购；棉花种植；农业机械销售；棉花加工机械销售；棉、麻销售；初级农产品收购；纺织专用测试仪器销售；包装材料及制品销售；金属材料销售；建筑材料销售；办公用品销售；软件开发；普通货物仓储服务（不含危险化学品等需许可审批的项目）；非居住房地产租赁；租赁服务（不含许可类租赁服务）；仓储设备租赁服务；农产品的生产、销售、加工、运输、贮藏及其他相关服务；非食用农产品初加工；农作物栽培服务；农业专业及辅助性活动；道路货物运输站经营；面料纺织加工；机械零件、零部件销售；土地使用权租赁；农副产品销售；有色金属合金销售；合成材料销售；润滑油销售；建筑用钢筋产品销售；水泥制品销售；社会经济咨询服务；装卸搬运；信息咨询服务（不含许可类信息咨询服务）（除依法须经批准的项目外，凭营业执照依法自主开展经营活动）</t>
  </si>
  <si>
    <t>新疆生产建设兵团第六师市场监督管理局</t>
  </si>
  <si>
    <t>上海闽新木业有限公司</t>
  </si>
  <si>
    <t>91310117787801767G</t>
  </si>
  <si>
    <t>蒋亚海</t>
  </si>
  <si>
    <t>2006-04-10</t>
  </si>
  <si>
    <t>上海市松江区新桥镇潘家浜明中路15号－111</t>
  </si>
  <si>
    <t>13917777617;18221261181</t>
  </si>
  <si>
    <t>310117002705856</t>
  </si>
  <si>
    <t>78780176-7</t>
  </si>
  <si>
    <t>2006-04-10 至 2056-04-09</t>
  </si>
  <si>
    <t>建筑用木料及木材组件加工</t>
  </si>
  <si>
    <t>Shanghai Minxin Wood Industry Co., Ltd.</t>
  </si>
  <si>
    <t>上海闽新木业有限公司成立于2006-04-10，法定代表人为蒋亚海，注册资本为1000万元，统一社会信用代码为91310117787801767G，企业注册地址位于上海市松江区新桥镇潘家浜明中路15号－111，所属行业为木材加工和木、竹、藤、棕、草制品业，经营范围包含：木制品加工；木材，木制品批发零售。【依法须经批准的项目，经相关部门批准后方可开展经营活动】。企业当前经营状态为存续。</t>
  </si>
  <si>
    <t>木制品加工；木材，木制品批发零售。【依法须经批准的项目，经相关部门批准后方可开展经营活动】</t>
  </si>
  <si>
    <t>建龙阿城钢铁有限公司</t>
  </si>
  <si>
    <t>912301127236980004</t>
  </si>
  <si>
    <t>西林钢铁集团阿城钢铁有限公司,
西林钢铁阿城钢铁有限责任公司</t>
  </si>
  <si>
    <t>李大亮</t>
  </si>
  <si>
    <t>220000万元</t>
  </si>
  <si>
    <t>160000万元</t>
  </si>
  <si>
    <t>2001-03-29</t>
  </si>
  <si>
    <t>哈尔滨市阿城区北环路２号</t>
  </si>
  <si>
    <t>阿城区</t>
  </si>
  <si>
    <t>0451-51538030</t>
  </si>
  <si>
    <t>0451-51538012;13904668225;0451-53719017;0451-53719029;0451-51538185;0451-53785179</t>
  </si>
  <si>
    <t>caijingjing@ejianlong.com</t>
  </si>
  <si>
    <t>diaoyixuan@ejianlong.com;13904668225@163.com;agzhw@126.com;lsg1022@126.com</t>
  </si>
  <si>
    <t>230181100007931</t>
  </si>
  <si>
    <t>72369800-0</t>
  </si>
  <si>
    <t>2240</t>
  </si>
  <si>
    <t>2001-03-29 至 无固定期限</t>
  </si>
  <si>
    <t>有色金属冶炼和压延加工业</t>
  </si>
  <si>
    <t>常用有色金属冶炼</t>
  </si>
  <si>
    <t>其他常用有色金属冶炼</t>
  </si>
  <si>
    <t>Jianglong Acheng Iron &amp; Steel Co., Ltd.</t>
  </si>
  <si>
    <t>建龙阿城钢铁有限公司（简称建龙阿钢）是北京建龙重工集团旗下全资子公司，坐落于“千年肇兴地，大金第一都”的金源文化古都——黑龙江省哈尔滨市阿城区。公司拥有年产140万吨铁、160万吨钢生产能力，是哈尔滨工业大学钢铁余热资源化联合研究所、长春师范大学工程学院产、学、研示范基地，2018年被授予度哈尔滨市民营制造业百强企业。</t>
  </si>
  <si>
    <t>一般项目：钢、铁冶炼；金属材料制造；金属结构制造；钢压延加工；金属结构销售；金属材料销售；冶金专用设备制造；冶金专用设备销售；专用设备制造（不含许可类专业设备制造）；工程和技术研究和试验发展；专用设备修理；再生资源销售；环境保护专用设备销售；锻件及粉末冶金制品制造；锻件及粉末冶金制品销售；建筑材料销售；金属废料和碎屑加工处理；环境保护专用设备制造；建筑工程机械与设备租赁；建筑工程用机械制造；建筑工程用机械销售；货物进出口；进出口代理；普通货物仓储服务（不含危险化学品等需许可审批的项目）；金属矿石销售；煤炭及制品销售；有色金属合金销售；国内货物运输代理；选矿；再生资源回收（除生产性废旧金属）。许可项目：危险化学品经营。</t>
  </si>
  <si>
    <t>哈尔滨市阿城区市场监督管理局</t>
  </si>
  <si>
    <t>黑龙江才子制油有限责任公司</t>
  </si>
  <si>
    <t>91230281749651243P</t>
  </si>
  <si>
    <t>注销（2024-11-26）</t>
  </si>
  <si>
    <t>王广来</t>
  </si>
  <si>
    <t>2003-04-23</t>
  </si>
  <si>
    <t>黑龙江省齐齐哈尔市讷河市拉哈镇东岗街</t>
  </si>
  <si>
    <t>0452-3711004</t>
  </si>
  <si>
    <t>13766546666</t>
  </si>
  <si>
    <t>czzygs@yeah.com</t>
  </si>
  <si>
    <t>chaizigongsi@126.com</t>
  </si>
  <si>
    <t>230281100011073</t>
  </si>
  <si>
    <t>74965124-3</t>
  </si>
  <si>
    <t>2003-04-23 至 无固定期限</t>
  </si>
  <si>
    <t>Heilongjiang Caizi Oil Manufacturing Co., Ltd.</t>
  </si>
  <si>
    <t>黑龙江才子制油有限责任公司成立于2003-04-23，法定代表人为王广来，注册资本为100万元，统一社会信用代码为91230281749651243P，企业注册地址位于黑龙江省齐齐哈尔市讷河市拉哈镇东岗街，所属行业为农副食品加工业，经营范围包含：许可项目:食品生产;食品销售;粮食加工食品生产。一般项目:粮食收购;豆及薯类销售;谷物销售;食用农产品初加工;塑料制品制造;塑料制品销售;装卸搬运;粮油仓储服务;煤炭及制品销售;机械设备租赁;劳务服务（不含劳务派遣）;非居住房地产租赁;畜牧渔业饲料销售;货物进出口。企业当前经营状态为注销。</t>
  </si>
  <si>
    <t>许可项目:食品生产;食品销售;粮食加工食品生产。一般项目:粮食收购;豆及薯类销售;谷物销售;食用农产品初加工;塑料制品制造;塑料制品销售;装卸搬运;粮油仓储服务;煤炭及制品销售;机械设备租赁;劳务服务（不含劳务派遣）;非居住房地产租赁;畜牧渔业饲料销售;货物进出口。</t>
  </si>
  <si>
    <t>中国石油天然气股份有限公司辽宁沈阳销售分公司</t>
  </si>
  <si>
    <t>912101000016039032</t>
  </si>
  <si>
    <t>王策</t>
  </si>
  <si>
    <t>2000-10-09</t>
  </si>
  <si>
    <t>辽宁省沈阳市沈河区万泉街76-1号（4门）</t>
  </si>
  <si>
    <t>沈阳市</t>
  </si>
  <si>
    <t>沈河区</t>
  </si>
  <si>
    <t>024-66121436</t>
  </si>
  <si>
    <t>024-22961449;024-22914221;024-22914190</t>
  </si>
  <si>
    <t>316846054@qq.com</t>
  </si>
  <si>
    <t>zhuangzh@petrochina.com.cn;zhuangzh@petrochina.com;syjqq@petrochina.com.cn</t>
  </si>
  <si>
    <t>股份有限公司分公司（上市、国有控股）</t>
  </si>
  <si>
    <t>210100100000788</t>
  </si>
  <si>
    <t>00160390-3</t>
  </si>
  <si>
    <t>1356</t>
  </si>
  <si>
    <t>2000-10-09 至 无固定期限</t>
  </si>
  <si>
    <t>China National Petroleum Corporation Liaoning Shenyang Sales Branch</t>
  </si>
  <si>
    <t>中国石油天然气股份有限公司辽宁沈阳销售分公司成立于2000-10-09，负责人为王策，统一社会信用代码为912101000016039032，企业注册地址位于辽宁省沈阳市沈河区万泉街76-1号（4门），所属行业为批发业，经营范围包含：许可项目：成品油批发（限危险化学品），成品油零售（限危险化学品），成品油仓储（限危险化学品），成品油零售（不含危险化学品），燃气经营，道路货物运输（不含危险货物），道路危险货物运输，住宿服务，出版物零售，药品零售，烟草制品零售，餐饮服务，发电业务、输电业务、供（配）电业务（依法须经批准的项目，经相关部门批准后方可开展经营活动，具体经营项目以审批结果为准）一般项目：物业管理；食品销售（仅销售预包装食品）；保健食品（预包装）销售；成品油仓储（不含危险化学品）；润滑油销售；石油制品销售（不含危险化学品）；化肥销售；肥料销售；化工产品销售（不含许可类化工产品）；专用化学产品销售（不含危险化学品）；日用百货销售；汽车零配件零售；针纺织品销售；劳动保护用品销售；箱包销售；服装服饰零售；鞋帽零售；办公用品销售；体育用品及器材零售；电子产品销售；五金产品批发；五金产品零售；工艺美术品及礼仪用品销售（象牙及其制品除外）；照相器材及望远镜零售；照相机及器材销售；通讯设备销售；建筑材料销售；建筑装饰材料销售；个人卫生用品销售；卫生用品和一次性使用医疗用品销售；化妆品零售；橡胶制品销售；厨具卫具及日用杂品批发；消防器材销售；家具销售；灯具销售；汽车装饰用品销售；家用电器销售；食用农产品零售；非居住房地产租赁；机械设备租赁；专业保洁、清洗、消毒服务；机动车修理和维护；票务代理服务；商务代理代办服务；广告制作；广告发布；广告设计、代理；第二类医疗器械销售；医护人员防护用品批发；特种劳动防护用品销售；餐饮管理；停车场服务；互联网销售（除销售需要许可的商品）；机动车充电销售；充电桩销售；电动汽车充电基础设施运营；机械设备销售；汽车销售；新能源汽车整车销售；农作物种子经营（仅限不再分装的包装种子）；农林牧渔机械配件销售。（除依法须经批准的项目外，凭营业执照依法自主开展经营活动）。企业当前经营状态为存续。</t>
  </si>
  <si>
    <t>许可项目：成品油批发（限危险化学品），成品油零售（限危险化学品），成品油仓储（限危险化学品），成品油零售（不含危险化学品），燃气经营，道路货物运输（不含危险货物），道路危险货物运输，住宿服务，出版物零售，药品零售，烟草制品零售，餐饮服务，发电业务、输电业务、供（配）电业务（依法须经批准的项目，经相关部门批准后方可开展经营活动，具体经营项目以审批结果为准）一般项目：物业管理；食品销售（仅销售预包装食品）；保健食品（预包装）销售；成品油仓储（不含危险化学品）；润滑油销售；石油制品销售（不含危险化学品）；化肥销售；肥料销售；化工产品销售（不含许可类化工产品）；专用化学产品销售（不含危险化学品）；日用百货销售；汽车零配件零售；针纺织品销售；劳动保护用品销售；箱包销售；服装服饰零售；鞋帽零售；办公用品销售；体育用品及器材零售；电子产品销售；五金产品批发；五金产品零售；工艺美术品及礼仪用品销售（象牙及其制品除外）；照相器材及望远镜零售；照相机及器材销售；通讯设备销售；建筑材料销售；建筑装饰材料销售；个人卫生用品销售；卫生用品和一次性使用医疗用品销售；化妆品零售；橡胶制品销售；厨具卫具及日用杂品批发；消防器材销售；家具销售；灯具销售；汽车装饰用品销售；家用电器销售；食用农产品零售；非居住房地产租赁；机械设备租赁；专业保洁、清洗、消毒服务；机动车修理和维护；票务代理服务；商务代理代办服务；广告制作；广告发布；广告设计、代理；第二类医疗器械销售；医护人员防护用品批发；特种劳动防护用品销售；餐饮管理；停车场服务；互联网销售（除销售需要许可的商品）；机动车充电销售；充电桩销售；电动汽车充电基础设施运营；机械设备销售；汽车销售；新能源汽车整车销售；农作物种子经营（仅限不再分装的包装种子）；农林牧渔机械配件销售。（除依法须经批准的项目外，凭营业执照依法自主开展经营活动）</t>
  </si>
  <si>
    <t>沈阳市沈河区市场监督管理局</t>
  </si>
  <si>
    <t>天津市新天钢联合特钢有限公司</t>
  </si>
  <si>
    <t>911202216906591516</t>
  </si>
  <si>
    <t>天津天钢联合特钢有限公司,
天津天钢联合钢铁有限公司</t>
  </si>
  <si>
    <t>郭晓亮</t>
  </si>
  <si>
    <t>216082.328336万元</t>
  </si>
  <si>
    <t>2009-06-24</t>
  </si>
  <si>
    <t>天津市宁河区经济开发区五纬路</t>
  </si>
  <si>
    <t>天津市</t>
  </si>
  <si>
    <t>宁河区</t>
  </si>
  <si>
    <t>022-59266690</t>
  </si>
  <si>
    <t>022-59266697;022-59266832;022-59266691;022-59266698;022-59268817;18102167697</t>
  </si>
  <si>
    <t>tglhdb@126.com</t>
  </si>
  <si>
    <t>tjtglhcw@163.com</t>
  </si>
  <si>
    <t>120221000021342</t>
  </si>
  <si>
    <t>69065915-1</t>
  </si>
  <si>
    <t>4686</t>
  </si>
  <si>
    <t>2009-06-24 至 2039-06-23</t>
  </si>
  <si>
    <t>Tianjin Xintian Steel Union Special Steel Co., Ltd.</t>
  </si>
  <si>
    <t>https://www.tglh.net</t>
  </si>
  <si>
    <t>天津市新天钢联合特钢有限公司成立于2009-06-24，法定代表人为郭晓亮，注册资本为216082.328336万元，统一社会信用代码为911202216906591516，企业注册地址位于天津市宁河区经济开发区五纬路，所属行业为金属制品业，经营范围包含：黑色金属冶炼（以国家工信部公告为准）；钢压延；为天津钢铁集团有限公司产品提供高尖端化精品化配套；金属材料研究开发；冶金工艺、理化检测技术咨询服务；矿石、矿粉、铁矿砂、焦炭批发、零售；机械及结构件加工、制造；煤气、氧【压缩的】、氧【液化的】、氮【压缩的】、氮【液化的】、氩【压缩的】、氩【液化的】生产；（具体内容以安全生产许可证为准）道路货物运输（危险货物除外）；货物仓储（易燃易爆易制毒化学危险品及食品除外）；货物及技术的进出口（国家法律法规禁止的除外）。（依法须经批准的项目，经相关部门批准后方可开展经营活动）。企业当前经营状态为存续。</t>
  </si>
  <si>
    <t>黑色金属冶炼（以国家工信部公告为准）；钢压延；为天津钢铁集团有限公司产品提供高尖端化精品化配套；金属材料研究开发；冶金工艺、理化检测技术咨询服务；矿石、矿粉、铁矿砂、焦炭批发、零售；机械及结构件加工、制造；煤气、氧【压缩的】、氧【液化的】、氮【压缩的】、氮【液化的】、氩【压缩的】、氩【液化的】生产；（具体内容以安全生产许可证为准）道路货物运输（危险货物除外）；货物仓储（易燃易爆易制毒化学危险品及食品除外）；货物及技术的进出口（国家法律法规禁止的除外）。（依法须经批准的项目，经相关部门批准后方可开展经营活动）</t>
  </si>
  <si>
    <t>天津市宁河区市场监督管理局</t>
  </si>
  <si>
    <t>天津天纺高新物流有限公司</t>
  </si>
  <si>
    <t>91120116794966009M</t>
  </si>
  <si>
    <t>宋娜</t>
  </si>
  <si>
    <t>2006-11-09</t>
  </si>
  <si>
    <t>天津自贸试验区（空港经济区）中环南路98号</t>
  </si>
  <si>
    <t>东丽区</t>
  </si>
  <si>
    <t>022-60405863</t>
  </si>
  <si>
    <t>wl_zonghebu@163.com</t>
  </si>
  <si>
    <t>276067552@qq.com;ergongchang@163.com</t>
  </si>
  <si>
    <t>120192000080182</t>
  </si>
  <si>
    <t>79496600-9</t>
  </si>
  <si>
    <t>2006-11-09 至 无固定期限</t>
  </si>
  <si>
    <t>Tianjin Tianfang HI-TECH Logistics Co., Ltd.</t>
  </si>
  <si>
    <t>天津天纺高新物流有限公司成立于2006-11-09，法定代表人为宋娜，注册资本为5000万元，统一社会信用代码为91120116794966009M，企业注册地址位于天津自贸试验区（空港经济区）中环南路98号，所属行业为装卸搬运和仓储业，经营范围包含：一般项目：普通货物仓储服务（不含危险化学品等需许可审批的项目）；非居住房地产租赁；装卸搬运；棉花收购；棉、麻销售；技术服务、技术开发、技术咨询、技术交流、技术转让、技术推广；日用口罩（非医用）销售；医用口罩批发；医用口罩零售；医护人员防护用品批发；医护人员防护用品零售；消毒剂销售（不含危险化学品）；第二类医疗器械销售；卫生用品和一次性使用医疗用品销售；个人卫生用品销售；针纺织品及原料销售；服装服饰批发；五金产品批发；玩具销售；未经加工的坚果、干果销售；石墨及碳素制品销售；人工智能硬件销售；进出口代理。（除依法须经批准的项目外，凭营业执照依法自主开展经营活动）。许可项目：食品经营（销售预包装食品）。（依法须经批准的项目，经相关部门批准后方可开展经营活动，具体经营项目以相关部门批准文件或许可证件为准）。企业当前经营状态为存续。</t>
  </si>
  <si>
    <t>一般项目：普通货物仓储服务（不含危险化学品等需许可审批的项目）；非居住房地产租赁；装卸搬运；棉花收购；棉、麻销售；技术服务、技术开发、技术咨询、技术交流、技术转让、技术推广；日用口罩（非医用）销售；医用口罩批发；医用口罩零售；医护人员防护用品批发；医护人员防护用品零售；消毒剂销售（不含危险化学品）；第二类医疗器械销售；卫生用品和一次性使用医疗用品销售；个人卫生用品销售；针纺织品及原料销售；服装服饰批发；五金产品批发；玩具销售；未经加工的坚果、干果销售；石墨及碳素制品销售；人工智能硬件销售；进出口代理。（除依法须经批准的项目外，凭营业执照依法自主开展经营活动）。许可项目：食品经营（销售预包装食品）。（依法须经批准的项目，经相关部门批准后方可开展经营活动，具体经营项目以相关部门批准文件或许可证件为准）。</t>
  </si>
  <si>
    <t>中国（天津）自由贸易试验区市场监督管理局</t>
  </si>
  <si>
    <t>百韵供应链管理（天津）有限公司</t>
  </si>
  <si>
    <t>91120116MA06X3XP5J</t>
  </si>
  <si>
    <t>天津汇欣科技有限公司</t>
  </si>
  <si>
    <t>张凤娇</t>
  </si>
  <si>
    <t>2019-12-18</t>
  </si>
  <si>
    <t>天津自贸试验区（空港经济区）（综合保税区）保航路1号航空产业支持中心437号室（天津嘉誉商务秘书有限公司托管第493号）</t>
  </si>
  <si>
    <t>022-27310780</t>
  </si>
  <si>
    <t>15620387478;15822783237</t>
  </si>
  <si>
    <t>yuncaiwu2022@163.com</t>
  </si>
  <si>
    <t>542349129@qq.com;haolinoffice@163.com;15822783237@139.com</t>
  </si>
  <si>
    <t>120116000953718</t>
  </si>
  <si>
    <t>MA06X3XP-5</t>
  </si>
  <si>
    <t>18</t>
  </si>
  <si>
    <t>2019-12-18 至 2049-12-17</t>
  </si>
  <si>
    <t>供应链管理服务</t>
  </si>
  <si>
    <t>Baiyun Supply Chain Management (Tianjin) Co., Ltd.</t>
  </si>
  <si>
    <t>天津市自贸试验区（空港经济区）远航路29号办公楼301室（正道（天津市）商务秘书有限公司第ZDY036号）</t>
  </si>
  <si>
    <t>百韵供应链管理（天津）有限公司成立于2019-12-18，法定代表人为张凤娇，注册资本为1000万元，统一社会信用代码为91120116MA06X3XP5J，企业注册地址位于天津自贸试验区（空港经济区）（综合保税区）保航路1号航空产业支持中心437号室（天津嘉誉商务秘书有限公司托管第493号），所属行业为商务服务业，经营范围包含：一般项目：供应链管理服务；互联网销售（除销售需要许可的商品）；技术进出口；技术服务、技术开发、技术咨询、技术交流、技术转让、技术推广；货物进出口；进出口代理；食品销售（仅销售预包装食品）；贸易经纪；国内贸易代理；人力资源服务（不含职业中介活动、劳务派遣服务）；信息咨询服务（不含许可类信息咨询服务）；化工产品销售（不含许可类化工产品）；健康咨询服务（不含诊疗服务）；石油制品销售（不含危险化学品）；金属矿石销售；有色金属合金销售；橡胶制品销售；棉花收购；棉、麻销售；针纺织品销售；针纺织品及原料销售；汽车销售；煤炭及制品销售；服装服饰批发。（除依法须经批准的项目外，凭营业执照依法自主开展经营活动）许可项目：互联网信息服务。（依法须经批准的项目，经相关部门批准后方可开展经营活动，具体经营项目以相关部门批准文件或许可证件为准）。企业当前经营状态为存续。</t>
  </si>
  <si>
    <t>一般项目：供应链管理服务；互联网销售（除销售需要许可的商品）；技术进出口；技术服务、技术开发、技术咨询、技术交流、技术转让、技术推广；货物进出口；进出口代理；食品销售（仅销售预包装食品）；贸易经纪；国内贸易代理；人力资源服务（不含职业中介活动、劳务派遣服务）；信息咨询服务（不含许可类信息咨询服务）；化工产品销售（不含许可类化工产品）；健康咨询服务（不含诊疗服务）；石油制品销售（不含危险化学品）；金属矿石销售；有色金属合金销售；橡胶制品销售；棉花收购；棉、麻销售；针纺织品销售；针纺织品及原料销售；汽车销售；煤炭及制品销售；服装服饰批发。（除依法须经批准的项目外，凭营业执照依法自主开展经营活动）许可项目：互联网信息服务。（依法须经批准的项目，经相关部门批准后方可开展经营活动，具体经营项目以相关部门批准文件或许可证件为准）</t>
  </si>
  <si>
    <t>天津钢铁集团有限公司</t>
  </si>
  <si>
    <t>91120000724488101R</t>
  </si>
  <si>
    <t>天津钢铁有限公司</t>
  </si>
  <si>
    <t>张纪星</t>
  </si>
  <si>
    <t>2451727.102887万元</t>
  </si>
  <si>
    <t>2000-10-18</t>
  </si>
  <si>
    <t>天津市东丽区津塘公路398号</t>
  </si>
  <si>
    <t>022-24706672</t>
  </si>
  <si>
    <t>022-24706800;13920731165;13512238867</t>
  </si>
  <si>
    <t>tgbgs611@126.com</t>
  </si>
  <si>
    <t>tgqgrsb@126.com;tgqyglb@163.com;tiangangjituanbgs@126.com;gtgsbgs@126.com</t>
  </si>
  <si>
    <t>120000000002195</t>
  </si>
  <si>
    <t>72448810-1</t>
  </si>
  <si>
    <t>6596</t>
  </si>
  <si>
    <t>2000-10-18 至 2050-10-17</t>
  </si>
  <si>
    <t>炼钢</t>
  </si>
  <si>
    <t>Tianjin Iron and Steel Group Co., Ltd.</t>
  </si>
  <si>
    <t>http://www.tgsteel.cn</t>
  </si>
  <si>
    <t>天津钢铁集团有限公司(以下简称天钢)是集烧结、炼铁、炼钢、连铸、轧钢生产工艺为一体的混合所有制大型现代化钢铁联合企业。公司产品主要包括：圆管坯、中厚板、棒材、高速线材等四大系列，种类齐全，规格多样，享誉国内外市场。板材产品通过欧盟CE认证，获得中国、美国、德国、英国、韩国等八国船级社高强船板认证。高线产品被中国市场检测中心、中国市场研究中心评为中国线材产业十大用户满意产品和十大著名品牌。荣获全国冶金产品实物质量“金杯奖”和品质“卓越奖”70余项，荣获天津市名牌产品10余项，在26个国家和地区注册了国际商标，“天钢”品牌荣获天津国际知名品牌。</t>
  </si>
  <si>
    <t>黑色金属冶炼及金属材料的研究开发；黑色金属轧延加工；金属制品加工、制造；本企业生产副产品及深加工产品的经营；冶金工艺、环境监测、能源测试、理化检测技术咨询服务；普通货运；机械及结构件的加工制造；设备管网、机电、电器安装、修理；进出口业务；矿石、矿粉、铁矿砂、焦炭批发零售；氧[压缩的]（10000Nm3/h）、氧[液化的]（750Nm3/h）、氮[压缩的]（13000Nm3/h）、氮[液化的]（200Nm3/h）、氩[压缩的]（150Nm3/h）、氩[液化的]（230Nm3/h）生产；仓储（危险品除外）；货运代理；冶金技术开发、技术转让、技术服务和技术管理咨询业务；机械设备租赁；房屋、场地租赁（以上经营范围涉及行业许可的凭许可证件，在有效期内经营，国家有专项专营规定的按规定办理）（依法须经批准的项目，经相关部门批准后方可开展经营活动）</t>
  </si>
  <si>
    <t>天津市东丽区市场监督管理局</t>
  </si>
  <si>
    <t>中国石油天然气股份有限公司辽宁营口销售分公司</t>
  </si>
  <si>
    <t>91210800121129177R</t>
  </si>
  <si>
    <t>梁磊</t>
  </si>
  <si>
    <t>2000-10-11</t>
  </si>
  <si>
    <t>站前区货场南里５２－１号</t>
  </si>
  <si>
    <t>站前区</t>
  </si>
  <si>
    <t>0417-3840539</t>
  </si>
  <si>
    <t>0417-3842222</t>
  </si>
  <si>
    <t>57309101@qq.com</t>
  </si>
  <si>
    <t>1132652150@qq.com;ykdyl@petrochian.com.cn</t>
  </si>
  <si>
    <t>210800004021764</t>
  </si>
  <si>
    <t>12112917-7</t>
  </si>
  <si>
    <t>414</t>
  </si>
  <si>
    <t>2000-10-11 至 无固定期限</t>
  </si>
  <si>
    <t>China National Petroleum Corporation Liaoning Yingkou Sales Branch</t>
  </si>
  <si>
    <t>中国石油天然气股份有限公司辽宁营口销售分公司成立于2000-10-11，负责人为梁磊，统一社会信用代码为91210800121129177R，企业注册地址位于站前区货场南里５２－１号，所属行业为批发业，经营范围包含：许可项目：成品油批发；成品油零售；成品油仓储；危险化学品仓储；非煤矿山矿产资源开采；烟草制品零售；酒类经营；出版物零售；药品零售；矿产资源勘查；燃气汽车加气经营；检验检测服务；住宿服务；餐饮服务；农作物种子经营；发电业务、输电业务、供（配）电业务。（依法须经批准的项目，经相关部门批准后方可开展经营活动，具体经营项目以相关部门批准文件或许可证件为准）一般项目：食品销售（仅销售预包装食品）；食品互联网销售（仅销售预包装食品）；保健食品（预包装）销售；第二类医疗器械销售；医用口罩零售；机动车修理和维护；汽车销售；新能源汽车整车销售；农副产品销售；音响设备销售；煤炭及制品销售；礼品花卉销售；润滑油销售；专用化学产品销售（不含危险化学品）；化工产品销售（不含许可类化工产品）；日用百货销售；办公用品销售；体育用品及器材零售；针纺织品销售；服装服饰零售；鞋帽零售；石油制品制造（不含危险化学品）；终端计量设备销售；电动自行车销售；化肥销售；石油钻采专用设备销售；建筑材料销售；金属材料销售；水泥制品制造；销售代理；五金产品零售；家用电器销售；电子产品销售；劳动保护用品销售；非居住房地产租赁；机械设备租赁；居民日常生活服务；票务代理服务；电子过磅服务；洗车服务；普通货物仓储服务（不含危险化学品等需许可审批的项目）；数字内容制作服务（不含出版发行）；餐饮管理；机动车充电销售；新能源汽车换电设施销售；发电技术服务；停车场服务；技术服务、技术开发、技术咨询、技术交流、技术转让、技术推广；广告设计、代理；广告发布；广告制作；肥料销售；石油制品销售（不含危险化学品）；水泥制品销售；充电桩销售；电动汽车充电基础设施运营；化妆品零售；新鲜水果零售；新鲜蔬菜零售。（除依法须经批准的项目外，凭营业执照依法自主开展经营活动）。企业当前经营状态为存续。</t>
  </si>
  <si>
    <t>许可项目：成品油批发；成品油零售；成品油仓储；危险化学品仓储；非煤矿山矿产资源开采；烟草制品零售；酒类经营；出版物零售；药品零售；矿产资源勘查；燃气汽车加气经营；检验检测服务；住宿服务；餐饮服务；农作物种子经营；发电业务、输电业务、供（配）电业务。（依法须经批准的项目，经相关部门批准后方可开展经营活动，具体经营项目以相关部门批准文件或许可证件为准）一般项目：食品销售（仅销售预包装食品）；食品互联网销售（仅销售预包装食品）；保健食品（预包装）销售；第二类医疗器械销售；医用口罩零售；机动车修理和维护；汽车销售；新能源汽车整车销售；农副产品销售；音响设备销售；煤炭及制品销售；礼品花卉销售；润滑油销售；专用化学产品销售（不含危险化学品）；化工产品销售（不含许可类化工产品）；日用百货销售；办公用品销售；体育用品及器材零售；针纺织品销售；服装服饰零售；鞋帽零售；石油制品制造（不含危险化学品）；终端计量设备销售；电动自行车销售；化肥销售；石油钻采专用设备销售；建筑材料销售；金属材料销售；水泥制品制造；销售代理；五金产品零售；家用电器销售；电子产品销售；劳动保护用品销售；非居住房地产租赁；机械设备租赁；居民日常生活服务；票务代理服务；电子过磅服务；洗车服务；普通货物仓储服务（不含危险化学品等需许可审批的项目）；数字内容制作服务（不含出版发行）；餐饮管理；机动车充电销售；新能源汽车换电设施销售；发电技术服务；停车场服务；技术服务、技术开发、技术咨询、技术交流、技术转让、技术推广；广告设计、代理；广告发布；广告制作；肥料销售；石油制品销售（不含危险化学品）；水泥制品销售；充电桩销售；电动汽车充电基础设施运营；化妆品零售；新鲜水果零售；新鲜蔬菜零售。（除依法须经批准的项目外，凭营业执照依法自主开展经营活动）</t>
  </si>
  <si>
    <t>营口市市场监督管理局企业注册分局</t>
  </si>
  <si>
    <t>南昌诺卓针织品有限公司</t>
  </si>
  <si>
    <t>91360111MA39A6L64D</t>
  </si>
  <si>
    <t>贾萍萍</t>
  </si>
  <si>
    <t>2020-08-24</t>
  </si>
  <si>
    <t>江西省南昌市青山湖区罗家镇胡坊村一组789号4号车间第三层</t>
  </si>
  <si>
    <t>青山湖区</t>
  </si>
  <si>
    <t>18179131811</t>
  </si>
  <si>
    <t>18179131811@163.com</t>
  </si>
  <si>
    <t>360111210253862</t>
  </si>
  <si>
    <t>MA39A6L6-4</t>
  </si>
  <si>
    <t>2020-08-24 至 2040-08-23</t>
  </si>
  <si>
    <t>Nanchang Nuozhuo Knitwear Co., Ltd.</t>
  </si>
  <si>
    <t>南昌诺卓针织品有限公司成立于2020-08-24，法定代表人为贾萍萍，注册资本为100万元，统一社会信用代码为91360111MA39A6L64D，企业注册地址位于江西省南昌市青山湖区罗家镇胡坊村一组789号4号车间第三层，所属行业为纺织业，经营范围包含：许可项目：技术进出口，进出口代理，货物进出口（依法须经批准的项目，经相关部门批准后方可开展经营活动）一般项目：面料纺织加工，针纺织品销售，针纺织品及原料销售，国内贸易代理，纺纱加工，服装制造，服装服饰批发，服装服饰零售，服装辅料销售（除许可业务外，可自主依法经营法律法规非禁止或限制的项目）。企业当前经营状态为存续。</t>
  </si>
  <si>
    <t>许可项目：技术进出口，进出口代理，货物进出口（依法须经批准的项目，经相关部门批准后方可开展经营活动）一般项目：面料纺织加工，针纺织品销售，针纺织品及原料销售，国内贸易代理，纺纱加工，服装制造，服装服饰批发，服装服饰零售，服装辅料销售（除许可业务外，可自主依法经营法律法规非禁止或限制的项目）</t>
  </si>
  <si>
    <t>南昌市青山湖区市场监督管理局</t>
  </si>
  <si>
    <t>敬业（营口）中板有限公司</t>
  </si>
  <si>
    <t>91210800738795516H</t>
  </si>
  <si>
    <t>日钢营口中板有限公司,
五矿营口中板有限责任公司</t>
  </si>
  <si>
    <t>曹喜军</t>
  </si>
  <si>
    <t>1548503.11万元</t>
  </si>
  <si>
    <t>1548503万元</t>
  </si>
  <si>
    <t>2002-06-21</t>
  </si>
  <si>
    <t>老边区冶金街冶金里</t>
  </si>
  <si>
    <t>老边区</t>
  </si>
  <si>
    <t>0417-3256022</t>
  </si>
  <si>
    <t>0417-3256012;0417-3256858;0417-3258911;13464397557;0417-8937656</t>
  </si>
  <si>
    <t>3256022@rgykzb.com</t>
  </si>
  <si>
    <t>3256012@wkyg.com;6823742@qq.com;538213521@qq.com;6854328@qq.com;174942125@qq.com;songza@wkyg.com</t>
  </si>
  <si>
    <t>210800004032588</t>
  </si>
  <si>
    <t>73879551-6</t>
  </si>
  <si>
    <t>3330</t>
  </si>
  <si>
    <t>2002-06-21 至 2052-06-20</t>
  </si>
  <si>
    <t>Jingye (Yingkou) Medium Plate Co., Ltd.</t>
  </si>
  <si>
    <t>jingyeykzb.com</t>
  </si>
  <si>
    <t>营口市老边区</t>
  </si>
  <si>
    <t>敬业中板成立于2002年6月，位于营口市，致力于打造绿色、低碳精品钢企，主要产品涵盖高端宽厚板材、品种线材，如造船、管线等领域用钢。</t>
  </si>
  <si>
    <t>许可项目：建筑用钢筋产品生产，发电业务、输电业务、供（配）电业务，建设工程施工，检验检测服务，水泥生产（依法须经批准的项目，经相关部门批准后方可开展经营活动，具体经营项目以审批结果为准）一般项目：钢、铁冶炼，钢压延加工，金属材料制造，金属材料销售，再生资源销售，再生资源加工，金属废料和碎屑加工处理，劳务服务（不含劳务派遣），国内货物运输代理，信息技术咨询服务，技术服务、技术开发、技术咨询、技术交流、技术转让、技术推广，金属结构销售，铁合金冶炼，五金产品批发，煤炭及制品销售，金银制品销售，新型建筑材料制造（不含危险化学品），建筑工程机械与设备租赁，汽车零配件批发，货物进出口（除依法须经批准的项目外，凭营业执照依法自主开展经营活动）</t>
  </si>
  <si>
    <t>营口市老边区市场监督管理局</t>
  </si>
  <si>
    <t>辽宁海粮农业集团有限公司</t>
  </si>
  <si>
    <t>91210804MA0YYU849H</t>
  </si>
  <si>
    <t>卢文华</t>
  </si>
  <si>
    <t>2019-09-25</t>
  </si>
  <si>
    <t>辽宁省营口市鲅鱼圈区营口华海国际物流大厦-2单元1702室</t>
  </si>
  <si>
    <t>0417-6712131</t>
  </si>
  <si>
    <t>234202688@qq.com</t>
  </si>
  <si>
    <t>1075924280@qq.com</t>
  </si>
  <si>
    <t>210804004105848</t>
  </si>
  <si>
    <t>MA0YYU84-9</t>
  </si>
  <si>
    <t>2019-09-25 至 2039-09-24</t>
  </si>
  <si>
    <t>Liaoning Hailiang Agricultural Group Co., Ltd.</t>
  </si>
  <si>
    <t>辽宁海粮农业集团有限公司成立于2019-09-25，法定代表人为卢文华，注册资本为20000万元，统一社会信用代码为91210804MA0YYU849H，企业注册地址位于辽宁省营口市鲅鱼圈区营口华海国际物流大厦-2单元1702室，所属行业为批发业，经营范围包含：许可项目：粮食收购，食品经营，道路货物运输（不含危险货物）（依法须经批准的项目，经相关部门批准后方可开展经营活动，具体经营项目以审批结果为准）一般项目：农副产品销售，国内货物运输代理，粮油仓储服务，包装服务，技术服务、技术开发、技术咨询、技术交流、技术转让、技术推广（除依法须经批准的项目外，凭营业执照依法自主开展经营活动）。企业当前经营状态为存续。</t>
  </si>
  <si>
    <t>许可项目：粮食收购，食品经营，道路货物运输（不含危险货物）（依法须经批准的项目，经相关部门批准后方可开展经营活动，具体经营项目以审批结果为准）一般项目：农副产品销售，国内货物运输代理，粮油仓储服务，包装服务，技术服务、技术开发、技术咨询、技术交流、技术转让、技术推广（除依法须经批准的项目外，凭营业执照依法自主开展经营活动）</t>
  </si>
  <si>
    <t>开平奔达纺织有限公司</t>
  </si>
  <si>
    <t>91440700617738806P</t>
  </si>
  <si>
    <t>张仲平</t>
  </si>
  <si>
    <t>4870万美元</t>
  </si>
  <si>
    <t>1995-11-21</t>
  </si>
  <si>
    <t>开平市水口镇美华路21号</t>
  </si>
  <si>
    <t>0750-2257682</t>
  </si>
  <si>
    <t>594839433@qq.com</t>
  </si>
  <si>
    <t>440700400010100</t>
  </si>
  <si>
    <t>61773880-6</t>
  </si>
  <si>
    <t>1254</t>
  </si>
  <si>
    <t>1995-11-21 至 无固定期限</t>
  </si>
  <si>
    <t>Kaiping PANTHER Textiles Co., Ltd.</t>
  </si>
  <si>
    <t>http://www.panther-textiles.com</t>
  </si>
  <si>
    <t>开平奔达纺织有限公司成立于1995-11-21，法定代表人为张仲平，注册资本为4870万美元，统一社会信用代码为91440700617738806P，企业注册地址位于开平市水口镇美华路21号，所属行业为纺织服装、服饰业，经营范围包含：一般项目：纺纱加工；面料纺织加工；面料印染加工；服装制造；服装服饰批发；服装辅料制造；服装辅料销售；特种劳动防护用品生产；特种劳动防护用品销售；产业用纺织制成品制造；产业用纺织制成品销售；货物进出口。（除依法须经批准的项目外，凭营业执照依法自主开展经营活动）许可项目：港口经营。（依法须经批准的项目，经相关部门批准后方可开展经营活动，具体经营项目以相关部门批准文件或许可证件为准）。企业当前经营状态为存续。</t>
  </si>
  <si>
    <t>一般项目：纺纱加工；面料纺织加工；面料印染加工；服装制造；服装服饰批发；服装辅料制造；服装辅料销售；特种劳动防护用品生产；特种劳动防护用品销售；产业用纺织制成品制造；产业用纺织制成品销售；货物进出口。（除依法须经批准的项目外，凭营业执照依法自主开展经营活动）许可项目：港口经营。（依法须经批准的项目，经相关部门批准后方可开展经营活动，具体经营项目以相关部门批准文件或许可证件为准）</t>
  </si>
  <si>
    <t>唐山市德龙钢铁有限公司</t>
  </si>
  <si>
    <t>911302257216095880</t>
  </si>
  <si>
    <t>唐山市恒安实业有限公司,
唐山市乐丰钢铁有限公司</t>
  </si>
  <si>
    <t>刘军</t>
  </si>
  <si>
    <t>596000万元</t>
  </si>
  <si>
    <t>2000-01-02</t>
  </si>
  <si>
    <t>乐亭县翔云岛</t>
  </si>
  <si>
    <t>0315-4099086</t>
  </si>
  <si>
    <t>tsdlxzbgs@163.com</t>
  </si>
  <si>
    <t>130225000024172</t>
  </si>
  <si>
    <t>72160958-8</t>
  </si>
  <si>
    <t>2000-01-02 至 2029-01-02</t>
  </si>
  <si>
    <t>Tangshan DELONG Steel Co., Ltd.</t>
  </si>
  <si>
    <t>唐山市德龙钢铁有限公司成立于2000-01-02，法定代表人为刘军，注册资本为596000万元，统一社会信用代码为911302257216095880，企业注册地址位于乐亭县翔云岛，所属行业为黑色金属冶炼和压延加工业，经营范围包含：铸件制造、铸铁管制造、炼铁、炼钢、钢材轧延、钢材销售、机加工、水处理、制氧项目筹建、道路货物运输（不含危险货物），企业管理服务，经营本企业自产产品及技术的进出口业务和本企业所需的机械设备、零配件、原辅材料及技术的进口业务，但国家限定公司经营或禁止进出口的商品及技术除外。企业当前经营状态为存续。</t>
  </si>
  <si>
    <t>铸件制造、铸铁管制造、炼铁、炼钢、钢材轧延、钢材销售、机加工、水处理、制氧项目筹建、道路货物运输（不含危险货物），企业管理服务，经营本企业自产产品及技术的进出口业务和本企业所需的机械设备、零配件、原辅材料及技术的进口业务，但国家限定公司经营或禁止进出口的商品及技术除外</t>
  </si>
  <si>
    <t>唐山文丰特钢有限公司</t>
  </si>
  <si>
    <t>91130230666573139J</t>
  </si>
  <si>
    <t>唐山文丰山川轮毂有限公司</t>
  </si>
  <si>
    <t>李宝龙</t>
  </si>
  <si>
    <t>187000万元</t>
  </si>
  <si>
    <t>145500万元</t>
  </si>
  <si>
    <t>2007-09-07</t>
  </si>
  <si>
    <t>中国（河北）自由贸易试验区曹妃甸片区曹妃甸工业区金岛大厦B座4层装备制造园区管委会办公楼3-166室</t>
  </si>
  <si>
    <t>0315-8793885</t>
  </si>
  <si>
    <t>17732595211;0315-8793203</t>
  </si>
  <si>
    <t>tswfbgs@126.com</t>
  </si>
  <si>
    <t>wfbgs@qq.com</t>
  </si>
  <si>
    <t>130230000000653</t>
  </si>
  <si>
    <t>66657313-9</t>
  </si>
  <si>
    <t>4072</t>
  </si>
  <si>
    <t>2007-09-07 至 2037-09-06</t>
  </si>
  <si>
    <t>铁路、船舶、航空航天和其他运输设备制造业</t>
  </si>
  <si>
    <t>铁路运输设备制造</t>
  </si>
  <si>
    <t>铁路机车车辆配件制造</t>
  </si>
  <si>
    <t>Tangshan Wenfeng Special Steel Co., Ltd.</t>
  </si>
  <si>
    <t>唐山文丰特钢有限公司成立于2007-09-07，法定代表人为李宝龙，注册资本为187000万元，统一社会信用代码为91130230666573139J，企业注册地址位于中国（河北）自由贸易试验区曹妃甸片区曹妃甸工业区金岛大厦B座4层装备制造园区管委会办公楼3-166室，所属行业为铁路、船舶、航空航天和其他运输设备制造业，经营范围包含：铁路机车轮毂制造、销售；炼铁、炼钢、钢压延加工；机械零部件加工；销售生铁、还原铁、钢坯、钢材、五金产品、通用设备、专用设备及配件、建材（木材、石灰除外）化工产品（危险品除外）、黑色及有色金属、焦炭、球团、硅锰合金、冶金炉料、护炉料、钾肥、锌肥；通用设备、专用设备修理；机电设备安装工程、房屋建筑工程施工；加工、销售直缝焊管、销售本公司生产过程中产生的金属废料；环保技术开发、技术咨询；固体废物治理；金属废料和碎屑加工、固体废物综合利用；劳务分包；货物进出口（依法须经批准的项目，经相关部门批准后方可开展经营活动）。企业当前经营状态为存续。</t>
  </si>
  <si>
    <t>铁路机车轮毂制造、销售；炼铁、炼钢、钢压延加工；机械零部件加工；销售生铁、还原铁、钢坯、钢材、五金产品、通用设备、专用设备及配件、建材（木材、石灰除外）化工产品（危险品除外）、黑色及有色金属、焦炭、球团、硅锰合金、冶金炉料、护炉料、钾肥、锌肥；通用设备、专用设备修理；机电设备安装工程、房屋建筑工程施工；加工、销售直缝焊管、销售本公司生产过程中产生的金属废料；环保技术开发、技术咨询；固体废物治理；金属废料和碎屑加工、固体废物综合利用；劳务分包；货物进出口（依法须经批准的项目，经相关部门批准后方可开展经营活动）</t>
  </si>
  <si>
    <t>晋江市品威服装制造有限公司</t>
  </si>
  <si>
    <t>91350582MA33BNQP89</t>
  </si>
  <si>
    <t>蔡新劲</t>
  </si>
  <si>
    <t>2019-11-01</t>
  </si>
  <si>
    <t>福建省泉州市晋江市东石镇梅塘村东区167号</t>
  </si>
  <si>
    <t>15860382118</t>
  </si>
  <si>
    <t>15759543059</t>
  </si>
  <si>
    <t>MA33BNQP-8</t>
  </si>
  <si>
    <t>2019-11-01 至 2069-10-31</t>
  </si>
  <si>
    <t>Jinjiang Pinwei Clothing Manufacturing Co., Ltd.</t>
  </si>
  <si>
    <t>晋江市品威服装制造有限公司成立于2019-11-01，法定代表人为蔡新劲，注册资本为100万元，统一社会信用代码为91350582MA33BNQP89，企业注册地址位于福建省泉州市晋江市东石镇梅塘村东区167号，所属行业为纺织服装、服饰业，经营范围包含：制造：服装、服饰、针织品、纺织品（以上不含印染、漂染）；货物或技术进出口（国家禁止或涉及行政审批的货物和技术进出口除外）；批发、零售（含互联网）：服装、鞋帽、日用品百货、针织品、纺织品、鞋材、化工产品（以上均不含化学危险品）（不得从事增值电信、金融业务）。（依法须经批准的项目，经相关部门批准后方可开展经营活动）。企业当前经营状态为存续。</t>
  </si>
  <si>
    <t>制造：服装、服饰、针织品、纺织品（以上不含印染、漂染）；货物或技术进出口（国家禁止或涉及行政审批的货物和技术进出口除外）；批发、零售（含互联网）：服装、鞋帽、日用品百货、针织品、纺织品、鞋材、化工产品（以上均不含化学危险品）（不得从事增值电信、金融业务）。（依法须经批准的项目，经相关部门批准后方可开展经营活动）</t>
  </si>
  <si>
    <t>泉州市千广服装制造有限公司</t>
  </si>
  <si>
    <t>91350503MA33LJLX5T</t>
  </si>
  <si>
    <t>吴仙水</t>
  </si>
  <si>
    <t>2020-03-10</t>
  </si>
  <si>
    <t>福建省泉州市丰泽区华大街道南埔工业区南华路70号院内北幢2-3层</t>
  </si>
  <si>
    <t>丰泽区</t>
  </si>
  <si>
    <t>15259789127</t>
  </si>
  <si>
    <t>13505996310</t>
  </si>
  <si>
    <t>MA33LJLX-5</t>
  </si>
  <si>
    <t>2020-03-10 至 无固定期限</t>
  </si>
  <si>
    <t>Quanzhou Qianguang Clothing Manufacturing Co., Ltd.</t>
  </si>
  <si>
    <t>泉州市千广服装制造有限公司成立于2020-03-10，法定代表人为吴仙水，注册资本为300万元，统一社会信用代码为91350503MA33LJLX5T，企业注册地址位于福建省泉州市丰泽区华大街道南埔工业区南华路70号院内北幢2-3层，所属行业为纺织服装、服饰业，经营范围包含：制造、加工、销售：服装、纺织品、织造品（依法须经批准的项目，经相关部门批准后方可开展经营活动）。企业当前经营状态为存续。</t>
  </si>
  <si>
    <t>制造、加工、销售：服装、纺织品、织造品（依法须经批准的项目，经相关部门批准后方可开展经营活动）</t>
  </si>
  <si>
    <t>泉州市丰泽区市场监督管理局</t>
  </si>
  <si>
    <t>分宜县鸿源针织织造有限公司</t>
  </si>
  <si>
    <t>91360521MA393L5146</t>
  </si>
  <si>
    <t>艾青风</t>
  </si>
  <si>
    <t>2020-01-03</t>
  </si>
  <si>
    <t>江西省新余市分宜县城东工业园区八栋厂房8号楼3楼东区</t>
  </si>
  <si>
    <t>15932962666</t>
  </si>
  <si>
    <t>0790-5814760;15007901038</t>
  </si>
  <si>
    <t>336600@qq.com</t>
  </si>
  <si>
    <t>779778972@qq.com</t>
  </si>
  <si>
    <t>360521210070633</t>
  </si>
  <si>
    <t>MA393L51-4</t>
  </si>
  <si>
    <t>2020-01-03 至 无固定期限</t>
  </si>
  <si>
    <t>Fenyi County Hongyuan Knitting and Weaving Co., Ltd.</t>
  </si>
  <si>
    <t>分宜县鸿源针织织造有限公司成立于2020-01-03，法定代表人为艾青风，注册资本为300万元，统一社会信用代码为91360521MA393L5146，企业注册地址位于江西省新余市分宜县城东工业园区八栋厂房8号楼3楼东区，所属行业为纺织业，经营范围包含：针织或钩针编织物、服装、服饰、鞋类、家用纺织制成品、非家用纺织制成品生产、销售（依法须经批准的项目,经相关部门批准后方可开展经营活动）。企业当前经营状态为存续。</t>
  </si>
  <si>
    <t>针织或钩针编织物、服装、服饰、鞋类、家用纺织制成品、非家用纺织制成品生产、销售（依法须经批准的项目,经相关部门批准后方可开展经营活动）</t>
  </si>
  <si>
    <t>赣州海大生物科技有限公司</t>
  </si>
  <si>
    <t>91360703MA35WTXK4U</t>
  </si>
  <si>
    <t>吴兴</t>
  </si>
  <si>
    <t>2017-04-24</t>
  </si>
  <si>
    <t>江西省赣州市赣州经济技术开发区卫诚路以北、华鑫路以西</t>
  </si>
  <si>
    <t>章贡区</t>
  </si>
  <si>
    <t>18270780081</t>
  </si>
  <si>
    <t>18172785521;18370759717;18046775545;0797-8182229;15860601370</t>
  </si>
  <si>
    <t>xieff3@haid.com.cn</t>
  </si>
  <si>
    <t>huanghf8@haid.com.cn;769868894@qq.com;liyy08@haid.com.cn;1756416838@qq.com;zengf0101@haid.com.cn;yuj01@haid.com.cn</t>
  </si>
  <si>
    <t>360703210040448</t>
  </si>
  <si>
    <t>MA35WTXK-4</t>
  </si>
  <si>
    <t>121</t>
  </si>
  <si>
    <t>2017-04-24 至 无固定期限</t>
  </si>
  <si>
    <t>Ganzhou Haida Biology Science and Technology Co., Ltd.</t>
  </si>
  <si>
    <t>赣州海大生物科技有限公司成立于2017-04-24，法定代表人为吴兴，注册资本为5000万元，统一社会信用代码为91360703MA35WTXK4U，企业注册地址位于江西省赣州市赣州经济技术开发区卫诚路以北、华鑫路以西，所属行业为科技推广和应用服务业，经营范围包含：许可项目：饲料生产，农作物种子进出口，货物进出口（以上两项国家限定公司经营或禁止进出口的商品和技术除外），家禽饲养（依法须经批准的项目，经相关部门批准后方可开展经营活动）一般项目：畜牧渔业饲料销售，生物饲料研发，技术服务、技术开发、技术咨询、技术交流、技术转让、技术推广，非居住房地产租赁，农副产品销售，初级农产品收购，新鲜蔬菜批发，新鲜蔬菜零售（除许可业务外，可自主依法经营法律法规非禁止或限制的项目）。企业当前经营状态为存续。</t>
  </si>
  <si>
    <t>许可项目：饲料生产，农作物种子进出口，货物进出口（以上两项国家限定公司经营或禁止进出口的商品和技术除外），家禽饲养（依法须经批准的项目，经相关部门批准后方可开展经营活动）一般项目：畜牧渔业饲料销售，生物饲料研发，技术服务、技术开发、技术咨询、技术交流、技术转让、技术推广，非居住房地产租赁，农副产品销售，初级农产品收购，新鲜蔬菜批发，新鲜蔬菜零售（除许可业务外，可自主依法经营法律法规非禁止或限制的项目）</t>
  </si>
  <si>
    <t>赣州经济技术开发区市场监督管理局</t>
  </si>
  <si>
    <t>齐齐哈尔北大荒粮食物流有限公司</t>
  </si>
  <si>
    <t>91230281083201990X</t>
  </si>
  <si>
    <t>仉向阳</t>
  </si>
  <si>
    <t>1552万元</t>
  </si>
  <si>
    <t>2013-11-15</t>
  </si>
  <si>
    <t>15636028111</t>
  </si>
  <si>
    <t>0452-3719127;15845714868;0452-3710077</t>
  </si>
  <si>
    <t>158998@qq.com</t>
  </si>
  <si>
    <t>bdh3719127@163.com;qqhebdhlswl2013@163.com;619235675@qq.com</t>
  </si>
  <si>
    <t>230281100032937</t>
  </si>
  <si>
    <t>08320199-0</t>
  </si>
  <si>
    <t>2013-11-15 至 2024-11-14</t>
  </si>
  <si>
    <t>Qiqihar Beidahuang Grain Logistics Co., Ltd.</t>
  </si>
  <si>
    <t>齐齐哈尔北大荒粮食物流有限公司成立于2013-11-15，法定代表人为仉向阳，注册资本为1552万元，统一社会信用代码为91230281083201990X，企业注册地址位于黑龙江省齐齐哈尔市讷河市拉哈镇东岗街，所属行业为批发业，经营范围包含：小麦、稻谷、玉米、杂粮收购。仓储；运输代理；农产品及农副产品销售；生产资料（不含农药）销售；货物进出口业务（国营贸易除外）；牲畜饲养、家禽饲养；煤炭销售;粮食烘干、粮食加工、装卸服务；化肥销售。企业当前经营状态为存续。</t>
  </si>
  <si>
    <t>小麦、稻谷、玉米、杂粮收购。仓储；运输代理；农产品及农副产品销售；生产资料（不含农药）销售；货物进出口业务（国营贸易除外）；牲畜饲养、家禽饲养；煤炭销售;粮食烘干、粮食加工、装卸服务；化肥销售。</t>
  </si>
  <si>
    <t>晋江市舒丽娜服装织造有限公司</t>
  </si>
  <si>
    <t>91350582746354091K</t>
  </si>
  <si>
    <t>施煌煜</t>
  </si>
  <si>
    <t>450万元</t>
  </si>
  <si>
    <t>2003-03-17</t>
  </si>
  <si>
    <t>福建省泉州市晋江市深沪镇东华村工业区13号</t>
  </si>
  <si>
    <t>0595-85283918</t>
  </si>
  <si>
    <t>0595-85285017;0595-82822333;13159089877</t>
  </si>
  <si>
    <t>350500400025547</t>
  </si>
  <si>
    <t>74635409-1</t>
  </si>
  <si>
    <t>13</t>
  </si>
  <si>
    <t>2003-03-17 至 2053-03-17</t>
  </si>
  <si>
    <t>Jinjiang Shulina Garments Manufacturing Co., Ltd.</t>
  </si>
  <si>
    <t>晋江市舒丽娜服装织造有限公司成立于2003-03-17，法定代表人为施煌煜，注册资本为450万元，统一社会信用代码为91350582746354091K，企业注册地址位于福建省泉州市晋江市深沪镇东华村工业区13号，所属行业为纺织服装、服饰业，经营范围包含：生产服装、电脑绣花、针织布。（不含漂染及配额许可证管理品种）（依法须经批准的项目，经相关部门批准后方可开展经营活动）。企业当前经营状态为存续。</t>
  </si>
  <si>
    <t>生产服装、电脑绣花、针织布。（不含漂染及配额许可证管理品种）（依法须经批准的项目，经相关部门批准后方可开展经营活动）</t>
  </si>
  <si>
    <t>和田天王纺织有限公司</t>
  </si>
  <si>
    <t>916532005643993288</t>
  </si>
  <si>
    <t>殷红国</t>
  </si>
  <si>
    <t>2011-01-18</t>
  </si>
  <si>
    <t>新疆和田地区和田市和墨路91号</t>
  </si>
  <si>
    <t>和田地区</t>
  </si>
  <si>
    <t>和田市</t>
  </si>
  <si>
    <t>13667572688</t>
  </si>
  <si>
    <t>13094091321;0903-2943818</t>
  </si>
  <si>
    <t>yanzi1300357845@qq.com</t>
  </si>
  <si>
    <t>yanzi1203@qq.com;yanai1203@qq.com</t>
  </si>
  <si>
    <t>653200050000721</t>
  </si>
  <si>
    <t>56439932-8</t>
  </si>
  <si>
    <t>142</t>
  </si>
  <si>
    <t>2011-01-18 至 2041-01-17</t>
  </si>
  <si>
    <t>Hotian Tianwang Textile Co., Ltd.</t>
  </si>
  <si>
    <t>和田天王纺织有限公司成立于2011-01-18，法定代表人为殷红国，注册资本为6000万元，统一社会信用代码为916532005643993288，企业注册地址位于新疆和田地区和田市和墨路91号，所属行业为批发业，经营范围包含：籽棉加工，籽棉收购，棉纺织加工、纺织技术研发、咨询、转让，销售：纺织产品、服装布料、纺织设备、配件、机物料，五金交电、日用百货、办公用品、建材;土地租赁；房屋租赁；通过边境小额贸易方式向毗邻国家开展各类商品及技术的进出口业务，国家限制进出口的商品技术除外。允许经营边贸项下废钢、废铜、废铝、废纸、废塑料等国家核定公司经营的五种废旧物资的进口（依法须经批准的项目，经相关部门批准后方可开展经营活动）。企业当前经营状态为存续。</t>
  </si>
  <si>
    <t>籽棉加工，籽棉收购，棉纺织加工、纺织技术研发、咨询、转让，销售：纺织产品、服装布料、纺织设备、配件、机物料，五金交电、日用百货、办公用品、建材;土地租赁；房屋租赁；通过边境小额贸易方式向毗邻国家开展各类商品及技术的进出口业务，国家限制进出口的商品技术除外。允许经营边贸项下废钢、废铜、废铝、废纸、废塑料等国家核定公司经营的五种废旧物资的进口（依法须经批准的项目，经相关部门批准后方可开展经营活动）</t>
  </si>
  <si>
    <t>和田地区市场监督管理局</t>
  </si>
  <si>
    <t>晋江市梓祥服装织造有限公司</t>
  </si>
  <si>
    <t>91350582749063441G</t>
  </si>
  <si>
    <t>蔡梓松</t>
  </si>
  <si>
    <t>592万元</t>
  </si>
  <si>
    <t>52.79万元</t>
  </si>
  <si>
    <t>2003-06-06</t>
  </si>
  <si>
    <t>福建省泉州市晋江市东石镇梅峰村东区92号</t>
  </si>
  <si>
    <t>13055653576</t>
  </si>
  <si>
    <t>15159525888;13960356223;0595-85520089</t>
  </si>
  <si>
    <t>95382480@qq.com</t>
  </si>
  <si>
    <t>350500400047371</t>
  </si>
  <si>
    <t>74906344-1</t>
  </si>
  <si>
    <t>2003-06-06 至 2033-06-05</t>
  </si>
  <si>
    <t>运动机织服装制造</t>
  </si>
  <si>
    <t>Jinjiang Zixiang Clothes Weaving Co., Ltd.</t>
  </si>
  <si>
    <t>晋江市梓祥服装织造有限公司成立于2003-06-06，法定代表人为蔡梓松，注册资本为592万元，统一社会信用代码为91350582749063441G，企业注册地址位于福建省泉州市晋江市东石镇梅峰村东区92号，所属行业为纺织服装、服饰业，经营范围包含：一般项目：服装制造；针织或钩针编织物及其制品制造；五金产品制造；塑料制品制造；货物进出口；技术进出口。（除依法须经批准的项目外，凭营业执照依法自主开展经营活动）。企业当前经营状态为存续。</t>
  </si>
  <si>
    <t>一般项目：服装制造；针织或钩针编织物及其制品制造；五金产品制造；塑料制品制造；货物进出口；技术进出口。（除依法须经批准的项目外，凭营业执照依法自主开展经营活动）</t>
  </si>
  <si>
    <t>泉州锦创服装有限公司</t>
  </si>
  <si>
    <t>91350582MA2XQC5G8F</t>
  </si>
  <si>
    <t>颜也好</t>
  </si>
  <si>
    <t>2016-10-27</t>
  </si>
  <si>
    <t>福建省晋江市东石镇协和西路13-1号</t>
  </si>
  <si>
    <t>18960236286</t>
  </si>
  <si>
    <t>15960236286</t>
  </si>
  <si>
    <t>350582100427287</t>
  </si>
  <si>
    <t>MA2XQC5G-8</t>
  </si>
  <si>
    <t>2016-10-27 至 2026-10-26</t>
  </si>
  <si>
    <t>Quanzhou Jinchuang Clothing Co., Ltd.</t>
  </si>
  <si>
    <t>泉州锦创服装有限公司成立于2016-10-27，法定代表人为颜也好，注册资本为300万元，统一社会信用代码为91350582MA2XQC5G8F，企业注册地址位于福建省晋江市东石镇协和西路13-1号，所属行业为纺织服装、服饰业，经营范围包含：制造：服装、纺织品、针织品、鞋帽；销售（含网上销售）：服装、纺织品、针织品、鞋帽（不得从事增值电信及金融业务）；货物或技术的进出口业务（国家限制或禁止进出口的货物或技术除外）。（依法须经批准的项目，经相关部门批准后方可开展经营活动）。企业当前经营状态为注销。</t>
  </si>
  <si>
    <t>制造：服装、纺织品、针织品、鞋帽；销售（含网上销售）：服装、纺织品、针织品、鞋帽（不得从事增值电信及金融业务）；货物或技术的进出口业务（国家限制或禁止进出口的货物或技术除外）。（依法须经批准的项目，经相关部门批准后方可开展经营活动）</t>
  </si>
  <si>
    <t>泉州辉华针织有限公司</t>
  </si>
  <si>
    <t>91350525MA8RWMA20X</t>
  </si>
  <si>
    <t>金小莉</t>
  </si>
  <si>
    <t>2021-04-08</t>
  </si>
  <si>
    <t>福建省泉州市永春县桃城镇榜德工业园G区1号7号楼3楼2区</t>
  </si>
  <si>
    <t>永春县</t>
  </si>
  <si>
    <t>17606027179</t>
  </si>
  <si>
    <t>350525100141834</t>
  </si>
  <si>
    <t>MA8RWMA2-0</t>
  </si>
  <si>
    <t>2021-04-08 至 2071-04-07</t>
  </si>
  <si>
    <t>针织或钩针编织品制造</t>
  </si>
  <si>
    <t>Quanzhou Huihua Knitting Co., Ltd.</t>
  </si>
  <si>
    <t>泉州辉华针织有限公司成立于2021-04-08，法定代表人为金小莉，注册资本为1000万元，统一社会信用代码为91350525MA8RWMA20X，企业注册地址位于福建省泉州市永春县桃城镇榜德工业园G区1号7号楼3楼2区，所属行业为纺织业，经营范围包含：一般项目：服饰制造；服装制造；针织或钩针编织物及其制品制造；家用纺织制成品制造；纺纱加工；面料纺织加工；产业用纺织制成品制造；产业用纺织制成品销售；服装服饰批发；服装服饰零售；鞋帽批发；鞋帽零售；箱包销售；针纺织品销售；服装辅料销售；五金产品零售；服饰研发（除依法须经批准的项目外，凭营业执照依法自主开展经营活动）。企业当前经营状态为存续。</t>
  </si>
  <si>
    <t>一般项目：服饰制造；服装制造；针织或钩针编织物及其制品制造；家用纺织制成品制造；纺纱加工；面料纺织加工；产业用纺织制成品制造；产业用纺织制成品销售；服装服饰批发；服装服饰零售；鞋帽批发；鞋帽零售；箱包销售；针纺织品销售；服装辅料销售；五金产品零售；服饰研发（除依法须经批准的项目外，凭营业执照依法自主开展经营活动）</t>
  </si>
  <si>
    <t>福建省永春县市场监督管理局</t>
  </si>
  <si>
    <t>泉州祥鸿服装有限公司</t>
  </si>
  <si>
    <t>91350525MA8UYCFJ87</t>
  </si>
  <si>
    <t>注销（2025-01-09）</t>
  </si>
  <si>
    <t>洪佳鑫</t>
  </si>
  <si>
    <t>2022-05-16</t>
  </si>
  <si>
    <t>福建省永春县五里街镇梅峰小区367-1号</t>
  </si>
  <si>
    <t>15659883072</t>
  </si>
  <si>
    <t>MA8UYCFJ-8</t>
  </si>
  <si>
    <t>2022-05-16 至 2072-05-15</t>
  </si>
  <si>
    <t>Quanzhou Xianghong Garment Co., Ltd.</t>
  </si>
  <si>
    <t>泉州祥鸿服装有限公司成立于2022-05-16，法定代表人为洪佳鑫，注册资本为200万元，统一社会信用代码为91350525MA8UYCFJ87，企业注册地址位于福建省永春县五里街镇梅峰小区367-1号，所属行业为纺织服装、服饰业，经营范围包含：一般项目：服装制造；服饰制造；羽毛（绒）及制品制造；服装辅料制造；服装服饰批发；纺织、服装及家庭用品批发；服装、服饰检验、整理服务；服饰研发；劳动保护用品生产；绣花加工；特种劳动防护用品销售；劳动保护用品销售；日用杂品销售；日用品销售；服装服饰零售；服装辅料销售；针纺织品及原料销售；羽毛（绒）及制品销售；缝制机械销售；租赁服务（不含许可类租赁服务）；国内货物运输代理；国内集装箱货物运输代理；信息咨询服务（不含许可类信息咨询服务）；互联网销售（除销售需要许可的商品）（除依法须经批准的项目外，凭营业执照依法自主开展经营活动）。企业当前经营状态为注销。</t>
  </si>
  <si>
    <t>一般项目：服装制造；服饰制造；羽毛（绒）及制品制造；服装辅料制造；服装服饰批发；纺织、服装及家庭用品批发；服装、服饰检验、整理服务；服饰研发；劳动保护用品生产；绣花加工；特种劳动防护用品销售；劳动保护用品销售；日用杂品销售；日用品销售；服装服饰零售；服装辅料销售；针纺织品及原料销售；羽毛（绒）及制品销售；缝制机械销售；租赁服务（不含许可类租赁服务）；国内货物运输代理；国内集装箱货物运输代理；信息咨询服务（不含许可类信息咨询服务）；互联网销售（除销售需要许可的商品）（除依法须经批准的项目外，凭营业执照依法自主开展经营活动）</t>
  </si>
  <si>
    <t>永春县市场监督管理局</t>
  </si>
  <si>
    <t>石狮市卓昊纺织织造有限公司</t>
  </si>
  <si>
    <t>91350581MA353HAN1P</t>
  </si>
  <si>
    <t>施能侠</t>
  </si>
  <si>
    <t>2020-11-20</t>
  </si>
  <si>
    <t>福建省石狮市蚶江镇水头二十区176-1号B幢</t>
  </si>
  <si>
    <t>15960586399</t>
  </si>
  <si>
    <t>13859788877</t>
  </si>
  <si>
    <t>MA353HAN-1</t>
  </si>
  <si>
    <t>2020-11-20 至 无固定期限</t>
  </si>
  <si>
    <t>Shishi Zhuohao Textile and Weaving Co., Ltd.</t>
  </si>
  <si>
    <t>石狮市卓昊纺织织造有限公司成立于2020-11-20，法定代表人为施能侠，注册资本为500万元，统一社会信用代码为91350581MA353HAN1P，企业注册地址位于福建省石狮市蚶江镇水头二十区176-1号B幢，所属行业为纺织业，经营范围包含：一般项目：面料纺织加工；家用纺织制成品制造；产业用纺织制成品生产；鞋制造；服装制造；针纺织品及原料销售；产业用纺织制成品销售；服装服饰批发；服装服饰零售；鞋帽批发；鞋帽零售；制鞋原辅材料销售（除依法须经批准的项目外，凭营业执照依法自主开展经营活动）。企业当前经营状态为存续。</t>
  </si>
  <si>
    <t>一般项目：面料纺织加工；家用纺织制成品制造；产业用纺织制成品生产；鞋制造；服装制造；针纺织品及原料销售；产业用纺织制成品销售；服装服饰批发；服装服饰零售；鞋帽批发；鞋帽零售；制鞋原辅材料销售（除依法须经批准的项目外，凭营业执照依法自主开展经营活动）</t>
  </si>
  <si>
    <t>山西建龙实业有限公司</t>
  </si>
  <si>
    <t>911408007159390898</t>
  </si>
  <si>
    <t>山西海鑫国际钢铁有限公司</t>
  </si>
  <si>
    <t>魏国栋</t>
  </si>
  <si>
    <t>257625.7万元</t>
  </si>
  <si>
    <t>2000-03-23</t>
  </si>
  <si>
    <t>山西省闻喜经济技术开发区山西建龙办公大楼4层408室</t>
  </si>
  <si>
    <t>山西省</t>
  </si>
  <si>
    <t>运城市</t>
  </si>
  <si>
    <t>闻喜县</t>
  </si>
  <si>
    <t>0359-7309730</t>
  </si>
  <si>
    <t>0359-7309000;0359-7306530</t>
  </si>
  <si>
    <t>fengchongshan@ejianlong.com</t>
  </si>
  <si>
    <t>yangyonghong@ejianlong.com;haixindgd@163.com</t>
  </si>
  <si>
    <t>140000400013954</t>
  </si>
  <si>
    <t>71593908-9</t>
  </si>
  <si>
    <t>5468</t>
  </si>
  <si>
    <t>2011-11-03 至 无固定期限</t>
  </si>
  <si>
    <t>Shanxi Jianlong Industrial Co., Ltd.</t>
  </si>
  <si>
    <t>山西建龙实业有限公司成立于2000-03-23，法定代表人为魏国栋，注册资本为257625.7万元，统一社会信用代码为911408007159390898，企业注册地址位于山西省闻喜经济技术开发区山西建龙办公大楼4层408室，所属行业为黑色金属冶炼和压延加工业，经营范围包含：一般项目：钢、铁冶炼；钢压延加工；金属材料制造；金属结构制造；热力生产和供应；机械零件、零部件加工；五金产品研发；新材料技术研发；建筑工程机械与设备租赁；矿物洗选加工；煤炭及制品销售；金属材料销售；机械零件、零部件销售；有色金属合金销售；金属结构销售；互联网销售（除销售需要许可的商品）；国内货物运输代理；金属切削加工服务；装卸搬运；机械设备租赁；普通货物仓储服务（不含危险化学品等需许可审批的项目）；技术服务、技术开发、技术咨询、技术交流、技术转让、技术推广；货物进出口；技术进出口；电力设施器材销售；建筑材料销售；电线、电缆经营；单位后勤管理服务；物业管理；日用百货销售；游览景区管理；机械设备销售。（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</si>
  <si>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钢、铁冶炼；钢压延加工；金属材料制造；金属结构制造；热力生产和供应；机械零件、零部件加工；五金产品研发；新材料技术研发；建筑工程机械与设备租赁；矿物洗选加工；煤炭及制品销售；金属材料销售；机械零件、零部件销售；有色金属合金销售；金属结构销售；互联网销售（除销售需要许可的商品）；国内货物运输代理；金属切削加工服务；装卸搬运；机械设备租赁；普通货物仓储服务（不含危险化学品等需许可审批的项目）；技术服务、技术开发、技术咨询、技术交流、技术转让、技术推广；货物进出口；技术进出口；电力设施器材销售；建筑材料销售；电线、电缆经营；单位后勤管理服务；物业管理；日用百货销售；游览景区管理；机械设备销售。（除依法须经批准的项目外，凭营业执照依法自主开展经营活动）许可项目：发电业务、输电业务、供（配）电业务。（依法须经批准的项目，经相关部门批准后方可开展经营活动，具体经营项目以相关部门批准文件或许可证件为准）</t>
  </si>
  <si>
    <t>运城市市场监督管理局</t>
  </si>
  <si>
    <t>晋江汉腾服装有限公司</t>
  </si>
  <si>
    <t>91350582MA33FEJG72</t>
  </si>
  <si>
    <t>邱秀玉</t>
  </si>
  <si>
    <t>2019-12-11</t>
  </si>
  <si>
    <t>福建省泉州市晋江市金井镇山苏村后寮区91号</t>
  </si>
  <si>
    <t>13110965602</t>
  </si>
  <si>
    <t>18876592148</t>
  </si>
  <si>
    <t>350582100764284</t>
  </si>
  <si>
    <t>MA33FEJG-7</t>
  </si>
  <si>
    <t>2019-12-11 至 2039-12-10</t>
  </si>
  <si>
    <t>Jinjiang Hanteng Clothing Co., Ltd.</t>
  </si>
  <si>
    <t>晋江汉腾服装有限公司成立于2019-12-11，法定代表人为邱秀玉，注册资本为200万元，统一社会信用代码为91350582MA33FEJG72，企业注册地址位于福建省泉州市晋江市金井镇山苏村后寮区91号，所属行业为纺织服装、服饰业，经营范围包含：运动机织服装制造；运动休闲针织服饰制造；皮革服装制造；毛皮服装加工（以上均不含原皮、蓝湿皮）；棉织造加工；毛织造加工；麻织造加工；化纤织造加工；针织或钩针编织物织造；非织造布制造（以上均不含印染、漂染）；批发、零售（含网上）：服装、鞋、帽（不得从事增值电信、金融业务）。（依法须经批准的项目，经相关部门批准后方可开展经营活动）。企业当前经营状态为存续。</t>
  </si>
  <si>
    <t>运动机织服装制造；运动休闲针织服饰制造；皮革服装制造；毛皮服装加工（以上均不含原皮、蓝湿皮）；棉织造加工；毛织造加工；麻织造加工；化纤织造加工；针织或钩针编织物织造；非织造布制造（以上均不含印染、漂染）；批发、零售（含网上）：服装、鞋、帽（不得从事增值电信、金融业务）。（依法须经批准的项目，经相关部门批准后方可开展经营活动）</t>
  </si>
  <si>
    <t>通辽市通兴粮油贸易有限公司</t>
  </si>
  <si>
    <t>91150591756667251M</t>
  </si>
  <si>
    <t>刘艳阳</t>
  </si>
  <si>
    <t>2003-12-19</t>
  </si>
  <si>
    <t>内蒙古自治区通辽市科尔沁左翼中旗花吐古拉镇腰伯吐村</t>
  </si>
  <si>
    <t>科尔沁左翼中旗</t>
  </si>
  <si>
    <t>13904759905</t>
  </si>
  <si>
    <t>13904750125;0475-2888004;0475-2888006</t>
  </si>
  <si>
    <t>490070817@qq.com</t>
  </si>
  <si>
    <t>934719621@qq.com</t>
  </si>
  <si>
    <t>152303000006819</t>
  </si>
  <si>
    <t>75666725-1</t>
  </si>
  <si>
    <t>2003-12-19 至 2099-12-31</t>
  </si>
  <si>
    <t>Tongliao Tongxing Grain and Oil Trading Co., Ltd.</t>
  </si>
  <si>
    <t>通辽市通兴粮油贸易有限公司，成立于2003年，位于内蒙古自治区通辽市，是一家以从事零售业为主的企业。</t>
  </si>
  <si>
    <t>一般项目：粮食收购；农副产品销售；装卸搬运；普通货物仓储服务（不含危险化学品等需许可审批的项目）；非居住房地产租赁；国内货物运输代理；肥料销售；化肥销售；铁路运输基础设备销售；建筑材料销售；土地整治服务；农业专业及辅助性活动；谷物种植；集装箱租赁服务；物联网技术服务；物联网技术研发；物联网设备销售；仓单登记服务；安全系统监控服务；互联网安全服务；人工智能公共数据平台；数据处理和存储支持服务；票据信息咨询服务；破产清算服务；接受金融机构委托从事信息技术和流程外包服务（不含金融信息服务）；信息系统集成服务；软件开发；区块链技术相关软件和服务；供应链管理服务。（除依法须经批准的项目外，凭营业执照依法自主开展经营活动）许可项目：动物饲养；肥料生产。（依法须经批准的项目，经相关部门批准后方可开展经营活动，具体经营项目以相关部门批准文件或许可证件为准）</t>
  </si>
  <si>
    <t>科尔沁左翼中旗市场监督管理局</t>
  </si>
  <si>
    <t>晋江嘉欧服装有限公司</t>
  </si>
  <si>
    <t>91350582MA32PL1M44</t>
  </si>
  <si>
    <t>注销（2024-09-27）</t>
  </si>
  <si>
    <t>柯月理</t>
  </si>
  <si>
    <t>900万元</t>
  </si>
  <si>
    <t>2019-04-23</t>
  </si>
  <si>
    <t>福建省泉州市晋江市英林镇嘉排村新街南路45号</t>
  </si>
  <si>
    <t>13905069068</t>
  </si>
  <si>
    <t>MA32PL1M-4</t>
  </si>
  <si>
    <t>2019-04-23 至 2029-04-22</t>
  </si>
  <si>
    <t>Jinjiang Jiaou Clothing Co., Ltd.</t>
  </si>
  <si>
    <t>晋江嘉欧服装有限公司成立于2019-04-23，法定代表人为柯月理，注册资本为900万元，统一社会信用代码为91350582MA32PL1M44，企业注册地址位于福建省泉州市晋江市英林镇嘉排村新街南路45号，所属行业为批发业，经营范围包含：制造：服饰、服装、服装辅料（下兰、领头）、箱包；销售：服装、体育用品（不含弩等需经前置许可的项目）、日用品百货、服装辅料；批发、零售：纺织品及原料。（依法须经批准的项目，经相关部门批准后方可开展经营活动）。企业当前经营状态为注销。</t>
  </si>
  <si>
    <t>制造：服饰、服装、服装辅料（下兰、领头）、箱包；销售：服装、体育用品（不含弩等需经前置许可的项目）、日用品百货、服装辅料；批发、零售：纺织品及原料。（依法须经批准的项目，经相关部门批准后方可开展经营活动）</t>
  </si>
  <si>
    <t>福建阳光集团厦门进出口有限公司</t>
  </si>
  <si>
    <t>91350206751637985H</t>
  </si>
  <si>
    <t>厦门市龙嘉福农业生产资料有限公司</t>
  </si>
  <si>
    <t>吴长植</t>
  </si>
  <si>
    <t>45000万元</t>
  </si>
  <si>
    <t>2004-03-31</t>
  </si>
  <si>
    <t>中国（福建）自由贸易试验区厦门片区象屿路93号厦门国际航运中心C栋4层431单元H</t>
  </si>
  <si>
    <t>15959395189</t>
  </si>
  <si>
    <t>0592-2611146;0592-2611179;13850001664</t>
  </si>
  <si>
    <t>609687189@qq.com</t>
  </si>
  <si>
    <t>xmie@yangogroup.com</t>
  </si>
  <si>
    <t>350206200039503</t>
  </si>
  <si>
    <t>75163798-5</t>
  </si>
  <si>
    <t>2004-03-31 至 2054-03-30</t>
  </si>
  <si>
    <t>Fujian Sunshine Group Xiamen Import and Export Co., Ltd.</t>
  </si>
  <si>
    <t>福建阳光集团厦门进出口有限公司成立于2004-03-31，法定代表人为吴长植，注册资本为45000万元，统一社会信用代码为91350206751637985H，企业注册地址位于中国（福建）自由贸易试验区厦门片区象屿路93号厦门国际航运中心C栋4层431单元H，所属行业为批发业，经营范围包含：经营各类商品和技术的进出口（不另附进出口商品目录），但国家限定公司经营或禁止进出口的商品及技术除外；其他未列明批发业（不含需经许可审批的经营项目）；米、面制品及食用油批发；糕点、糖果及糖批发；化肥批发；国内货运代理；建材批发；服装批发；金属及金属矿批发（不含危险化学品和监控化学品）；林业产品批发；电气设备批发；水产品批发；鞋帽批发；饲料批发；其他农牧产品批发；其他化工产品批发（不含危险化学品和监控化学品）。企业当前经营状态为存续。</t>
  </si>
  <si>
    <t>经营各类商品和技术的进出口（不另附进出口商品目录），但国家限定公司经营或禁止进出口的商品及技术除外；其他未列明批发业（不含需经许可审批的经营项目）；米、面制品及食用油批发；糕点、糖果及糖批发；化肥批发；国内货运代理；建材批发；服装批发；金属及金属矿批发（不含危险化学品和监控化学品）；林业产品批发；电气设备批发；水产品批发；鞋帽批发；饲料批发；其他农牧产品批发；其他化工产品批发（不含危险化学品和监控化学品）。</t>
  </si>
  <si>
    <t>福建汇弘鞋材有限公司</t>
  </si>
  <si>
    <t>91350582073210121P</t>
  </si>
  <si>
    <t>丁思明</t>
  </si>
  <si>
    <t>2013-07-05</t>
  </si>
  <si>
    <t>福建省泉州市晋江市内坑镇前洪村锦丰路</t>
  </si>
  <si>
    <t>15980454993</t>
  </si>
  <si>
    <t>13805950827;13505048731;13205088222</t>
  </si>
  <si>
    <t>804219742@qq.com</t>
  </si>
  <si>
    <t>339736842@qq.com</t>
  </si>
  <si>
    <t>350582100200898</t>
  </si>
  <si>
    <t>07321012-1</t>
  </si>
  <si>
    <t>2013-07-05 至 2043-07-04</t>
  </si>
  <si>
    <t>其他制鞋业</t>
  </si>
  <si>
    <t>Fujian Huihong Shoe Materials Co., Ltd.</t>
  </si>
  <si>
    <t>福建汇弘鞋材有限公司成立于2013-07-05，法定代表人为丁思明，注册资本为50万元，统一社会信用代码为91350582073210121P，企业注册地址位于福建省泉州市晋江市内坑镇前洪村锦丰路，所属行业为皮革、毛皮、羽毛及其制品和制鞋业，经营范围包含：制造：鞋材（鞋底、鞋垫、海绵复合、标签）、塑料粒料、鞋、服装、针织品；销售：鞋材及化工产品（不含危险化学品）。（依法须经批准的项目，经相关部门批准后方可开展经营活动）。企业当前经营状态为存续。</t>
  </si>
  <si>
    <t>制造：鞋材（鞋底、鞋垫、海绵复合、标签）、塑料粒料、鞋、服装、针织品；销售：鞋材及化工产品（不含危险化学品）。（依法须经批准的项目，经相关部门批准后方可开展经营活动）</t>
  </si>
  <si>
    <t>晋江纤姿服饰有限公司</t>
  </si>
  <si>
    <t>91350582MA32YJ1B8X</t>
  </si>
  <si>
    <t>王坤</t>
  </si>
  <si>
    <t>2019-06-21</t>
  </si>
  <si>
    <t>福建省晋江市英林镇西塔路55号宿舍601室</t>
  </si>
  <si>
    <t>18159520001</t>
  </si>
  <si>
    <t>MA32YJ1B-8</t>
  </si>
  <si>
    <t>2019-06-21 至 无固定期限</t>
  </si>
  <si>
    <t>Jinjiang Xianzi Clothing Co., Ltd.</t>
  </si>
  <si>
    <t>福建省晋江市英林镇西塔路55号4楼（晋江经济开发区英林园）</t>
  </si>
  <si>
    <t>晋江纤姿服饰有限公司成立于2019-06-21，法定代表人为王坤，注册资本为200万元，统一社会信用代码为91350582MA32YJ1B8X，企业注册地址位于福建省晋江市英林镇西塔路55号宿舍601室，所属行业为纺织服装、服饰业，经营范围包含：制造：服饰、服装及辅料、纺织品、鞋、包袋；针织品织造（以上均不含印染、漂染）；布料加工（印花、复合）；批发、零售：服装及辅料、纺织品、针织品、鞋、包袋；服装设计；生产非医用日用口罩、非医用日用防护服；货物或技术进出口（国家禁止或涉及行政审批的货物和技术进出口除外）。（依法须经批准的项目，经相关部门批准后方可开展经营活动）。企业当前经营状态为存续。</t>
  </si>
  <si>
    <t>制造：服饰、服装及辅料、纺织品、鞋、包袋；针织品织造（以上均不含印染、漂染）；布料加工（印花、复合）；批发、零售：服装及辅料、纺织品、针织品、鞋、包袋；服装设计；生产非医用日用口罩、非医用日用防护服；货物或技术进出口（国家禁止或涉及行政审批的货物和技术进出口除外）。（依法须经批准的项目，经相关部门批准后方可开展经营活动）</t>
  </si>
  <si>
    <t>晋江兴怀服饰有限公司</t>
  </si>
  <si>
    <t>91350582MA331HNF6X</t>
  </si>
  <si>
    <t>蔡文抽</t>
  </si>
  <si>
    <t>1088万元</t>
  </si>
  <si>
    <t>244.81万元</t>
  </si>
  <si>
    <t>2019-07-12</t>
  </si>
  <si>
    <t>福建省晋江市东石镇光渺村石菌东区88号</t>
  </si>
  <si>
    <t>13808509637</t>
  </si>
  <si>
    <t>13665947999</t>
  </si>
  <si>
    <t>350582100712626</t>
  </si>
  <si>
    <t>MA331HNF-6</t>
  </si>
  <si>
    <t>2019-07-12 至 无固定期限</t>
  </si>
  <si>
    <t>Jinjiang Xinghuai Garment Co., Ltd.</t>
  </si>
  <si>
    <t>晋江兴怀服饰有限公司成立于2019-07-12，法定代表人为蔡文抽，注册资本为1088万元，统一社会信用代码为91350582MA331HNF6X，企业注册地址位于福建省晋江市东石镇光渺村石菌东区88号，所属行业为纺织服装、服饰业，经营范围包含：制造：服饰、鞋、箱包、包装用品（包装袋、纸箱、纸盒）、五金产品、塑料制品（以上均不含电镀、不含铸锻件、不含危险化学品）、服装辅料（吊牌、钮扣）；织造：针织品、纺织品（不含印染、漂染）；批发、零售（含网上销售）：纺织品、针织品、服装、服装辅料、鞋材（不含危险化学品）、鞋帽、包装用品、五金产品、皮革制品、塑料制品（以上均不含危险化学品）、日用品百货（不得从事增值电信、金融业务）；货物或技术进出口（国家禁止或涉及行政审批的货物和技术进出口除外）。（依法须经批准的项目，经相关部门批准后方可开展经营活动）。企业当前经营状态为存续。</t>
  </si>
  <si>
    <t>制造：服饰、鞋、箱包、包装用品（包装袋、纸箱、纸盒）、五金产品、塑料制品（以上均不含电镀、不含铸锻件、不含危险化学品）、服装辅料（吊牌、钮扣）；织造：针织品、纺织品（不含印染、漂染）；批发、零售（含网上销售）：纺织品、针织品、服装、服装辅料、鞋材（不含危险化学品）、鞋帽、包装用品、五金产品、皮革制品、塑料制品（以上均不含危险化学品）、日用品百货（不得从事增值电信、金融业务）；货物或技术进出口（国家禁止或涉及行政审批的货物和技术进出口除外）。（依法须经批准的项目，经相关部门批准后方可开展经营活动）</t>
  </si>
  <si>
    <t>九江萍钢钢铁有限公司</t>
  </si>
  <si>
    <t>91360429589213438C</t>
  </si>
  <si>
    <t>饶东云</t>
  </si>
  <si>
    <t>324000万元</t>
  </si>
  <si>
    <t>2012-01-16</t>
  </si>
  <si>
    <t>江西省九江市湖口县高新技术产业园区</t>
  </si>
  <si>
    <t>0792-6327773</t>
  </si>
  <si>
    <t>0792-6386376</t>
  </si>
  <si>
    <t>toufabu@pxsteel.com</t>
  </si>
  <si>
    <t>402978736@qq.com;1015374701@qq.com</t>
  </si>
  <si>
    <t>360429110000937</t>
  </si>
  <si>
    <t>58921343-8</t>
  </si>
  <si>
    <t>5873</t>
  </si>
  <si>
    <t>2012-01-16 至 2032-01-16</t>
  </si>
  <si>
    <t>JiuJiang PXSteel Co., Ltd.</t>
  </si>
  <si>
    <t>http://www.pxsteel.com</t>
  </si>
  <si>
    <t>九江萍钢钢铁有限公司成立于2012-01-16，法定代表人为饶东云，注册资本为324000万元，统一社会信用代码为91360429589213438C，企业注册地址位于江西省九江市湖口县高新技术产业园区，所属行业为黑色金属冶炼和压延加工业，经营范围包含：许可项目：道路货物运输（不含危险货物），检验检测服务，危险废物经营，燃气经营（依法须经批准的项目，经相关部门批准后在许可有效期内方可开展经营活动，具体经营项目和许可期限以相关部门批准文件或许可证件为准）
一般项目：钢、铁冶炼，常用有色金属冶炼，金属材料制造，钢压延加工，黑色金属铸造，建筑用钢筋产品销售，金属材料销售，金属制品研发，货物进出口，技术进出口，进出口代理，电子、机械设备维护（不含特种设备），电气设备修理，计量技术服务，装卸搬运，金属废料和碎屑加工处理，再生资源销售，耐火材料销售，劳务服务（不含劳务派遣），游览景区管理，园林绿化工程施工，旅游开发项目策划咨询，住房租赁（除依法须经批准的项目外，凭营业执照依法自主开展经营活动）。企业当前经营状态为存续。</t>
  </si>
  <si>
    <t>许可项目：道路货物运输（不含危险货物），检验检测服务，危险废物经营，燃气经营（依法须经批准的项目，经相关部门批准后在许可有效期内方可开展经营活动，具体经营项目和许可期限以相关部门批准文件或许可证件为准）
一般项目：钢、铁冶炼，常用有色金属冶炼，金属材料制造，钢压延加工，黑色金属铸造，建筑用钢筋产品销售，金属材料销售，金属制品研发，货物进出口，技术进出口，进出口代理，电子、机械设备维护（不含特种设备），电气设备修理，计量技术服务，装卸搬运，金属废料和碎屑加工处理，再生资源销售，耐火材料销售，劳务服务（不含劳务派遣），游览景区管理，园林绿化工程施工，旅游开发项目策划咨询，住房租赁（除依法须经批准的项目外，凭营业执照依法自主开展经营活动）</t>
  </si>
  <si>
    <t>湖口县市场监督管理局</t>
  </si>
  <si>
    <t>新余市皇铭服装有限公司</t>
  </si>
  <si>
    <t>91360502MA3ADFR055</t>
  </si>
  <si>
    <t>吴德根</t>
  </si>
  <si>
    <t>238万元</t>
  </si>
  <si>
    <t>2021-06-03</t>
  </si>
  <si>
    <t>江西省新余市渝水区城南街道办事处东风管理处钢材交易市场19号2栋308</t>
  </si>
  <si>
    <t>渝水区</t>
  </si>
  <si>
    <t>18879538974</t>
  </si>
  <si>
    <t>45634193@qq.com</t>
  </si>
  <si>
    <t>360502210208130</t>
  </si>
  <si>
    <t>MA3ADFR0-5</t>
  </si>
  <si>
    <t>2021-06-03 至 无固定期限</t>
  </si>
  <si>
    <t>Xinyu Huangming Clothing Co., Ltd.</t>
  </si>
  <si>
    <t>新余市皇铭服装有限公司成立于2021-06-03，法定代表人为吴德根，注册资本为238万元，统一社会信用代码为91360502MA3ADFR055，企业注册地址位于江西省新余市渝水区城南街道办事处东风管理处钢材交易市场19号2栋308，所属行业为纺织服装、服饰业，经营范围包含：一般项目：服装制造，服装服饰批发，服装服饰零售，面料纺织加工，特种劳动防护用品生产，产业用纺织制成品销售，特种劳动防护用品销售，服饰制造（除许可业务外，可自主依法经营法律法规非禁止或限制的项目）。企业当前经营状态为存续。</t>
  </si>
  <si>
    <t>一般项目：服装制造，服装服饰批发，服装服饰零售，面料纺织加工，特种劳动防护用品生产，产业用纺织制成品销售，特种劳动防护用品销售，服饰制造（除许可业务外，可自主依法经营法律法规非禁止或限制的项目）</t>
  </si>
  <si>
    <t>新余市渝水区市场监督管理局</t>
  </si>
  <si>
    <t>泸州中海粮油工业有限公司</t>
  </si>
  <si>
    <t>91510504MA6224EU6L</t>
  </si>
  <si>
    <t>张晶</t>
  </si>
  <si>
    <t>2016-04-13</t>
  </si>
  <si>
    <t>四川省泸州市龙马潭区进港路57号</t>
  </si>
  <si>
    <t>泸州市</t>
  </si>
  <si>
    <t>龙马潭区</t>
  </si>
  <si>
    <t>0830-3772326</t>
  </si>
  <si>
    <t>0830-3656170;0830-3772329</t>
  </si>
  <si>
    <t>lilingzhi@csogi.com.cn</t>
  </si>
  <si>
    <t>510504000074347</t>
  </si>
  <si>
    <t>MA6224EU-6</t>
  </si>
  <si>
    <t>2016-04-13 至 无固定期限</t>
  </si>
  <si>
    <t>LU ZHOU China Seagrain and Oil Industry Co., Ltd.</t>
  </si>
  <si>
    <t>泸州中海粮油工业有限公司成立于2016-04-13，法定代表人为张晶，注册资本为10000万元，统一社会信用代码为91510504MA6224EU6L，企业注册地址位于四川省泸州市龙马潭区进港路57号，所属行业为农副食品加工业，经营范围包含：一般项目：食用农产品批发；饲料原料销售；普通货物仓储服务（不含危险化学品等需许可审批的项目）；粮油仓储服务；仓储设备租赁服务；技术进出口；货物进出口；租赁服务（不含许可类租赁服务）；机械设备租赁；土地使用权租赁（除依法须经批准的项目外，凭营业执照依法自主开展经营活动）。许可项目：食品销售；食品生产；饲料生产；农业转基因生物产品加工（依法须经批准的项目，经相关部门批准后方可开展经营活动，具体经营项目以相关部门批准文件或许可证件为准）。企业当前经营状态为存续。</t>
  </si>
  <si>
    <t>一般项目：食用农产品批发；饲料原料销售；普通货物仓储服务（不含危险化学品等需许可审批的项目）；粮油仓储服务；仓储设备租赁服务；技术进出口；货物进出口；租赁服务（不含许可类租赁服务）；机械设备租赁；土地使用权租赁（除依法须经批准的项目外，凭营业执照依法自主开展经营活动）。许可项目：食品销售；食品生产；饲料生产；农业转基因生物产品加工（依法须经批准的项目，经相关部门批准后方可开展经营活动，具体经营项目以相关部门批准文件或许可证件为准）。</t>
  </si>
  <si>
    <t>泸州市龙马潭区市场监督管理局</t>
  </si>
  <si>
    <t>南阳汉冶特钢有限公司</t>
  </si>
  <si>
    <t>914113237571073872</t>
  </si>
  <si>
    <t>许少普</t>
  </si>
  <si>
    <t>2003-08-13</t>
  </si>
  <si>
    <t>回车镇古庄河村</t>
  </si>
  <si>
    <t>南阳市</t>
  </si>
  <si>
    <t>西峡县</t>
  </si>
  <si>
    <t>0377-60201658</t>
  </si>
  <si>
    <t>0377-69699318;16668200900;0377-60201568;16668200910;16637765728;13633990361;0377-83995201;17637787938;0377-69766763</t>
  </si>
  <si>
    <t>lcb_9999@163.com</t>
  </si>
  <si>
    <t>henanlongchengjituan@elongcheng.com;lcb-999@163.com;lcb-9999@163.com</t>
  </si>
  <si>
    <t>411323100000827</t>
  </si>
  <si>
    <t>75710738-7</t>
  </si>
  <si>
    <t>3411</t>
  </si>
  <si>
    <t>2009-07-06 至 无固定期限</t>
  </si>
  <si>
    <t>Nanyang Hanye SPECIAL STREET Co., Ltd.</t>
  </si>
  <si>
    <t>http://www.elongcheng.com</t>
  </si>
  <si>
    <t>南阳汉冶特钢有限公司成立于2003-08-13，法定代表人为许少普，注册资本为200000万元，统一社会信用代码为914113237571073872，企业注册地址位于回车镇古庄河村，所属行业为黑色金属冶炼和压延加工业，经营范围包含：黑色金属冶炼、钢铁加工、氧气、氮气、氩气、液氧、液氮生产销售；物流信息、商品信息咨询服务、机械设备租赁、汽车租赁、建筑工程机械租赁；自营和代理各类商品及技术的进出口业务、但国家限定经营或禁止进出口的商品及技术除外（不另附商品进出口目录）。企业当前经营状态为存续。</t>
  </si>
  <si>
    <t>黑色金属冶炼、钢铁加工、氧气、氮气、氩气、液氧、液氮生产销售；物流信息、商品信息咨询服务、机械设备租赁、汽车租赁、建筑工程机械租赁；自营和代理各类商品及技术的进出口业务、但国家限定经营或禁止进出口的商品及技术除外（不另附商品进出口目录）</t>
  </si>
  <si>
    <t>南阳市西峡县市场监督管理局</t>
  </si>
  <si>
    <t>武汉蓝盾门业有限公司</t>
  </si>
  <si>
    <t>91420112691881811G</t>
  </si>
  <si>
    <t>詹万能</t>
  </si>
  <si>
    <t>9000万元</t>
  </si>
  <si>
    <t>2009-08-25</t>
  </si>
  <si>
    <t>武汉市东西湖区新沟镇街荷包湖路72号</t>
  </si>
  <si>
    <t>东西湖区</t>
  </si>
  <si>
    <t>15871762637</t>
  </si>
  <si>
    <t>027-59352107</t>
  </si>
  <si>
    <t>wangjuan9975@163.com</t>
  </si>
  <si>
    <t>1063602057@qq.com;jwemail790602@163.com</t>
  </si>
  <si>
    <t>420114000013996</t>
  </si>
  <si>
    <t>69188181-1</t>
  </si>
  <si>
    <t>157</t>
  </si>
  <si>
    <t>2009-08-25 至 2039-08-25</t>
  </si>
  <si>
    <t>金属家具制造</t>
  </si>
  <si>
    <t>Wuhan Blue Shield Door Industry Co., Ltd.</t>
  </si>
  <si>
    <t>武汉蓝盾门业有限公司成立于2009-08-25，法定代表人为詹万能，注册资本为9000万元，统一社会信用代码为91420112691881811G，企业注册地址位于武汉市东西湖区新沟镇街荷包湖路72号，所属行业为家具制造业，经营范围包含：一般项目 : 门窗制造加工;门窗销售;安全、消防用金属制品制造;室内木门窗安装服务;金属门窗工程施工;金属结构制造;隔热和隔音材料制造;隔热和隔音材料销售;耐火材料销售;耐火材料生产;防火封堵材料销售;防火封堵材料生产;建筑装饰材料销售;消防器材销售;安防设备销售;特种设备销售;物业管理;非居住房地产租赁;五金产品批发。（除许可业务外，可自主依法经营法律法规非禁止或限制的项目）许可项目 : 建设工程施工;道路货物运输（不含危险货物）;建筑劳务分包。（依法须经批准的项目，经相关部门批准后方可开展经营活动，具体经营项目以相关部门批准文件或许可证件为准）。企业当前经营状态为存续。</t>
  </si>
  <si>
    <t>一般项目 : 门窗制造加工;门窗销售;安全、消防用金属制品制造;室内木门窗安装服务;金属门窗工程施工;金属结构制造;隔热和隔音材料制造;隔热和隔音材料销售;耐火材料销售;耐火材料生产;防火封堵材料销售;防火封堵材料生产;建筑装饰材料销售;消防器材销售;安防设备销售;特种设备销售;物业管理;非居住房地产租赁;五金产品批发。（除许可业务外，可自主依法经营法律法规非禁止或限制的项目）许可项目 : 建设工程施工;道路货物运输（不含危险货物）;建筑劳务分包。（依法须经批准的项目，经相关部门批准后方可开展经营活动，具体经营项目以相关部门批准文件或许可证件为准）</t>
  </si>
  <si>
    <t>武汉市东西湖区市场监督管理局</t>
  </si>
  <si>
    <t>中垦捷亚（海南）国际贸易有限公司</t>
  </si>
  <si>
    <t>91460000MA5TUNJT73</t>
  </si>
  <si>
    <t>相泽民</t>
  </si>
  <si>
    <t>2021-01-25</t>
  </si>
  <si>
    <t>海南省东方市板桥镇板中路1-1-6号</t>
  </si>
  <si>
    <t>海南省</t>
  </si>
  <si>
    <t>省直辖县级行政区划</t>
  </si>
  <si>
    <t>东方市</t>
  </si>
  <si>
    <t>13718182039</t>
  </si>
  <si>
    <t>15801603756;0898-25829133;15103090756</t>
  </si>
  <si>
    <t>zkjy3949@163.com</t>
  </si>
  <si>
    <t>460000003396870</t>
  </si>
  <si>
    <t>MA5TUNJT-7</t>
  </si>
  <si>
    <t>2021-01-25 至 无固定期限</t>
  </si>
  <si>
    <t>Zhongken Jieya (Hainan) International Trade Co., Ltd.</t>
  </si>
  <si>
    <t>中垦捷亚（海南）国际贸易有限公司成立于2021-01-25，法定代表人为相泽民，注册资本为500万元，统一社会信用代码为91460000MA5TUNJT73，企业注册地址位于海南省东方市板桥镇板中路1-1-6号，所属行业为零售业，经营范围包含：许可项目：食品经营；食品经营（销售预包装食品）；货物进出口；技术进出口；进出口代理（依法须经批准的项目，经相关部门批准后方可开展经营活动）一般项目：初级农产品收购；粮油仓储服务；非食用植物油销售；建筑材料销售；化工产品销售（不含许可类化工产品）；金属材料销售；机械设备销售；电子产品销售；仪器仪表销售；办公设备销售；日用杂品销售；五金产品零售；电气设备销售；针纺织品销售；家具销售；工艺美术品及礼仪用品销售（象牙及其制品除外）；计算机软硬件及辅助设备零售；通讯设备销售；汽车零配件批发；肥料销售；饲料原料销售；畜牧渔业饲料销售；饲料添加剂销售；农业机械销售；普通货物仓储服务（不含危险化学品等需许可审批的项目）；技术服务、技术开发、技术咨询、技术交流、技术转让、技术推广（除许可业务外，可自主依法经营法律法规非禁止或限制的项目）。企业当前经营状态为存续。</t>
  </si>
  <si>
    <t>许可项目：食品经营；食品经营（销售预包装食品）；货物进出口；技术进出口；进出口代理（依法须经批准的项目，经相关部门批准后方可开展经营活动）一般项目：初级农产品收购；粮油仓储服务；非食用植物油销售；建筑材料销售；化工产品销售（不含许可类化工产品）；金属材料销售；机械设备销售；电子产品销售；仪器仪表销售；办公设备销售；日用杂品销售；五金产品零售；电气设备销售；针纺织品销售；家具销售；工艺美术品及礼仪用品销售（象牙及其制品除外）；计算机软硬件及辅助设备零售；通讯设备销售；汽车零配件批发；肥料销售；饲料原料销售；畜牧渔业饲料销售；饲料添加剂销售；农业机械销售；普通货物仓储服务（不含危险化学品等需许可审批的项目）；技术服务、技术开发、技术咨询、技术交流、技术转让、技术推广（除许可业务外，可自主依法经营法律法规非禁止或限制的项目）</t>
  </si>
  <si>
    <t>海南省市场监督管理局</t>
  </si>
  <si>
    <t>无锡长江精密纺织有限公司</t>
  </si>
  <si>
    <t>9132000073377293XY</t>
  </si>
  <si>
    <t>蔡赟</t>
  </si>
  <si>
    <t>4500万美元</t>
  </si>
  <si>
    <t>2001-12-30</t>
  </si>
  <si>
    <t>无锡市锡山经济开发区团结中路21号</t>
  </si>
  <si>
    <t>锡山区</t>
  </si>
  <si>
    <t>0510-84056975</t>
  </si>
  <si>
    <t>0510-8405403</t>
  </si>
  <si>
    <t>15862066868@163.com</t>
  </si>
  <si>
    <t>fanminyin@163.com;403005086@qq.com</t>
  </si>
  <si>
    <t>有限责任公司（外国法人独资）</t>
  </si>
  <si>
    <t>320200400011166</t>
  </si>
  <si>
    <t>73377293-X</t>
  </si>
  <si>
    <t>1114</t>
  </si>
  <si>
    <t>2001-12-30 至 无固定期限</t>
  </si>
  <si>
    <t>Wuxi YGM Textile Co., Ltd.</t>
  </si>
  <si>
    <t>http://www.talaktex.com</t>
  </si>
  <si>
    <t>无锡长江精密纺织有限公司成立于2001-12-30，法定代表人为蔡赟，注册资本为4500万美元，统一社会信用代码为9132000073377293XY，企业注册地址位于无锡市锡山经济开发区团结中路21号，所属行业为纺织服装、服饰业，经营范围包含：生产纺织产品、纺织服装、纺织机械用铸件、纺织器材，纺织设备的修理与安装，承接纺织机械加工业务，布机租赁，自有房屋出租，棉花收购（自用），从事棉花的批发。（依法须经批准的项目，经相关部门批准后方可开展经营活动）。企业当前经营状态为在业。</t>
  </si>
  <si>
    <t>生产纺织产品、纺织服装、纺织机械用铸件、纺织器材，纺织设备的修理与安装，承接纺织机械加工业务，布机租赁，自有房屋出租，棉花收购（自用），从事棉花的批发。（依法须经批准的项目，经相关部门批准后方可开展经营活动）</t>
  </si>
  <si>
    <t>无锡市锡山区市场监督管理局</t>
  </si>
  <si>
    <t>晋江市泽特服装制造有限公司</t>
  </si>
  <si>
    <t>91350582MA350HXC1G</t>
  </si>
  <si>
    <t>注销（2025-02-17）</t>
  </si>
  <si>
    <t>温招福</t>
  </si>
  <si>
    <t>2020-11-05</t>
  </si>
  <si>
    <t>福建省泉州市晋江市龙湖镇梧坑村梧坑工业区515号</t>
  </si>
  <si>
    <t>18159163969</t>
  </si>
  <si>
    <t>15059520471</t>
  </si>
  <si>
    <t>MA350HXC-1</t>
  </si>
  <si>
    <t>2020-11-05 至 2070-11-04</t>
  </si>
  <si>
    <t>Jinjiang Zete Clothing Manufacturing Co., Ltd.</t>
  </si>
  <si>
    <t>晋江市泽特服装制造有限公司成立于2020-11-05，法定代表人为温招福，注册资本为500万元，统一社会信用代码为91350582MA350HXC1G，企业注册地址位于福建省泉州市晋江市龙湖镇梧坑村梧坑工业区515号，所属行业为纺织服装、服饰业，经营范围包含：一般项目：服装制造；产业用纺织制成品生产；针织或钩针编织物及其制品制造；面料纺织加工（除依法须经批准的项目外，凭营业执照依法自主开展经营活动）。企业当前经营状态为注销。</t>
  </si>
  <si>
    <t>临沂鸿途乐五金百货商行（个人独资）</t>
  </si>
  <si>
    <t>913713020817929930</t>
  </si>
  <si>
    <t>临沂市兰山区鑫硕单板厂</t>
  </si>
  <si>
    <t>马鑫</t>
  </si>
  <si>
    <t>2009-09-07</t>
  </si>
  <si>
    <t>山东省临沂市兰山区兰山街道临西十一路与水田路交汇颜家红埠寺546号</t>
  </si>
  <si>
    <t>13854906555</t>
  </si>
  <si>
    <t>19863951921;13969969081;15653948179</t>
  </si>
  <si>
    <t>1761702023@qq.com</t>
  </si>
  <si>
    <t>9285790@qq.com</t>
  </si>
  <si>
    <t>371302300007042</t>
  </si>
  <si>
    <t>08179299-3</t>
  </si>
  <si>
    <t>林业产品批发</t>
  </si>
  <si>
    <t>Linyi Hongtule Hardware Department Store (Sole Proprietorship)</t>
  </si>
  <si>
    <t>一般项目：五金产品零售；日用百货销售；日用品销售；日用杂品销售；电子元器件零售。（除依法须经批准的项目外，凭营业执照依法自主开展经营活动）</t>
  </si>
  <si>
    <t>河南省高龙家具有限公司</t>
  </si>
  <si>
    <t>9141038171129288XW</t>
  </si>
  <si>
    <t>李二春</t>
  </si>
  <si>
    <t>1998-03-20</t>
  </si>
  <si>
    <t>偃师市高龙镇火神凹东2公里</t>
  </si>
  <si>
    <t>洛阳市</t>
  </si>
  <si>
    <t>偃师区</t>
  </si>
  <si>
    <t>0379-67544999</t>
  </si>
  <si>
    <t>15515690999;15516378988;13903790316;0379-67547999</t>
  </si>
  <si>
    <t>305294261@qq.com</t>
  </si>
  <si>
    <t>864503474@qq.com;467938628@qq.com</t>
  </si>
  <si>
    <t>410381000002883</t>
  </si>
  <si>
    <t>71129288-X</t>
  </si>
  <si>
    <t>21</t>
  </si>
  <si>
    <t>1998-03-20 至 2048-03-19</t>
  </si>
  <si>
    <t>Henan Gaolong Furniture Co., Ltd.</t>
  </si>
  <si>
    <t>http://www.gaolong.cn</t>
  </si>
  <si>
    <t>高龙家具创始于1986年，一家致力于生产研发酒店家具定制、整木定制、实木家具定制、定制家具、套房家具、软体家具的企业，企业占地面积100000平方米，展销大厅10000平方米，拥有优质的生产设备和生产工艺，牢牢树立“高龙家具创造生活新天地”的企业思想，精益求精，三十年来赢得了广大用户的信赖和肯定!</t>
  </si>
  <si>
    <t>一般项目：家具销售；家具零配件销售；家居用品销售；家具安装和维修服务；建筑装饰材料销售；电子产品销售；装卸搬运；专业保洁、清洗、消毒服务；门窗销售；金属门窗工程施工（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</si>
  <si>
    <t>偃师区市场监督管理局</t>
  </si>
  <si>
    <t>通威股份有限公司</t>
  </si>
  <si>
    <t>91510000207305821R</t>
  </si>
  <si>
    <t>刘舒琪</t>
  </si>
  <si>
    <t>450198.5691万元</t>
  </si>
  <si>
    <t>1995-12-08</t>
  </si>
  <si>
    <t>中国（四川）自由贸易试验区成都市高新区天府大道中段588号</t>
  </si>
  <si>
    <t>武侯区</t>
  </si>
  <si>
    <t>028-85188888</t>
  </si>
  <si>
    <t>4008080888;028-86168555;028-85199999;4000566888</t>
  </si>
  <si>
    <t>xzb@tongwei.com</t>
  </si>
  <si>
    <t>zqb@tongwei.com;ganxf@tongwei.com</t>
  </si>
  <si>
    <t>510000000044041</t>
  </si>
  <si>
    <t>20730582-1</t>
  </si>
  <si>
    <t>554</t>
  </si>
  <si>
    <t>1995-12-08 至 无固定期限</t>
  </si>
  <si>
    <t>电气机械和器材制造业</t>
  </si>
  <si>
    <t>输配电及控制设备制造</t>
  </si>
  <si>
    <t>光伏设备及元器件制造</t>
  </si>
  <si>
    <t>Tongwei Co., Ltd.</t>
  </si>
  <si>
    <t>www.tongwei.com.cn</t>
  </si>
  <si>
    <t>通威股份有限公司，是由通威集团控股，以饲料工业为主，同时涉足水产研究、水产养殖、肉制品加工及动物保健等相关领域的大型农业科技型上市公司(股票代码：600438)，系农业产业化国家重点龙头企业。是全球较大的水产饲料生产企业及主要的畜禽饲料生产企业，其中水产饲料全国市场占有率已达到25%左右，连续19年位居全国排名靠前。通威股份直接带动国内及东南亚养殖农户90余万户，并通过产业链条的延伸，直接、间接带动中国3000多万农民致富增收。</t>
  </si>
  <si>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</si>
  <si>
    <t>成都高新区市场监督管理局</t>
  </si>
  <si>
    <t>双胞胎（集团）股份有限公司</t>
  </si>
  <si>
    <t>91360000705710192X</t>
  </si>
  <si>
    <t>江西金苹果科技牧业有限公司,
江西金苹果牧业有限公司,
江西金莱果科技牧业有限公司</t>
  </si>
  <si>
    <t>鲍洪星</t>
  </si>
  <si>
    <t>1999-08-17</t>
  </si>
  <si>
    <t>江西省南昌市南昌高新技术产业开发区昌东大道7003号</t>
  </si>
  <si>
    <t>18170805788</t>
  </si>
  <si>
    <t>18170800388;18170804444;0791-86280701;0971-88323875;18170805173;18170805784;4008881622;18170801889;18170809917</t>
  </si>
  <si>
    <t>weihong@sbtjt.com;lubq@sbtjt.com;liaohh@sbtjt.com;laixq@sbtjt.com;laixq@sbgtjt.com</t>
  </si>
  <si>
    <t>360700210000657</t>
  </si>
  <si>
    <t>70571019-2</t>
  </si>
  <si>
    <t>1548</t>
  </si>
  <si>
    <t>1999-08-17 至 2049-08-16</t>
  </si>
  <si>
    <t>谷物磨制</t>
  </si>
  <si>
    <t>Twins Group Co., Ltd.</t>
  </si>
  <si>
    <t>https://www.sbtjt.com</t>
  </si>
  <si>
    <t>双胞胎集团是一家全国性大型农牧集团，致力于饲料研发与制造、生猪养殖、粮食贸易、金融服务等业务。自1998年成立以来，双胞胎饲料年复合增长率50%，连续6年以100万吨的速度增长，年销量突破900万吨，稳居全国前列。双胞胎坚持以养户为中心、以奋斗者为本，薄利多销、微利经营，全流程降低运营成本，为养户提供高性价比产品。双胞胎集团掌握核心技术，专业只做好猪料，拥有发明专利100多项。</t>
  </si>
  <si>
    <t>许可项目：饲料生产，饲料添加剂生产，牲畜饲养，种畜禽生产，种畜禽经营，生猪屠宰，食品销售，兽药生产，兽药经营（依法须经批准的项目，经相关部门批准后在许可有效期内方可开展经营活动，具体经营项目和许可期限以相关部门批准文件或许可证件为准）一般项目：畜牧渔业饲料销售，生物饲料研发，饲料原料销售，谷物销售，饲料添加剂销售，自有资金投资的资产管理服务，国内贸易代理，进出口代理，货物进出口，技术进出口，食用农产品零售，食用农产品批发，食用农产品初加工，牲畜销售，畜禽收购，肥料销售，生物有机肥料研发，农林废物资源化无害化利用技术研发，智能农业管理，畜牧机械销售，农林牧渔专用仪器仪表销售，机械电气设备销售，服装服饰零售，办公用品销售，日用百货销售，第二类医疗器械销售，业务培训（不含教育培训、职业技能培训等需取得许可的培训），物业管理，住房租赁（除依法须经批准的项目外，凭营业执照依法自主开展经营活动）</t>
  </si>
  <si>
    <t>江西省市场监督管理局</t>
  </si>
  <si>
    <t>通辽市盈园粮贸有限公司</t>
  </si>
  <si>
    <t>91150502MA0MWN7E36</t>
  </si>
  <si>
    <t>李志强</t>
  </si>
  <si>
    <t>2016-01-04</t>
  </si>
  <si>
    <t>内蒙古自治区通辽市科尔沁区大林镇四村通辽市国良粮油购销公司院内西数第二间、第三间办公室</t>
  </si>
  <si>
    <t>13644850083</t>
  </si>
  <si>
    <t>15894859188</t>
  </si>
  <si>
    <t>651787333@qq.com</t>
  </si>
  <si>
    <t>1401452162@qq.com</t>
  </si>
  <si>
    <t>150502000081497</t>
  </si>
  <si>
    <t>MA0MWN7E-3</t>
  </si>
  <si>
    <t>2016-01-04 至 2045-12-25</t>
  </si>
  <si>
    <t>Tongliao Yingyuan Grain Trading Co., Ltd.</t>
  </si>
  <si>
    <t>通辽市盈园粮贸有限公司成立于2016-01-04，法定代表人为李志强，注册资本为600万元，统一社会信用代码为91150502MA0MWN7E36，企业注册地址位于内蒙古自治区通辽市科尔沁区大林镇四村通辽市国良粮油购销公司院内西数第二间、第三间办公室，所属行业为零售业，经营范围包含：粮食收购;普通货物仓储服务（不含危险化学品等需许可审批的项目）;装卸搬运。企业当前经营状态为存续。</t>
  </si>
  <si>
    <t>粮食收购;普通货物仓储服务（不含危险化学品等需许可审批的项目）;装卸搬运</t>
  </si>
  <si>
    <t>永吉县惠丰家庭农场</t>
  </si>
  <si>
    <t>91220221MAC5W0737L</t>
  </si>
  <si>
    <t>张秀双</t>
  </si>
  <si>
    <t>2022-12-06</t>
  </si>
  <si>
    <t>吉林市永吉县一拉溪镇邵家村七社9-23-7-2</t>
  </si>
  <si>
    <t>永吉县</t>
  </si>
  <si>
    <t>13804441482</t>
  </si>
  <si>
    <t>187082954@qq.com</t>
  </si>
  <si>
    <t>220221111822102</t>
  </si>
  <si>
    <t>MAC5W073-7</t>
  </si>
  <si>
    <t>Huifeng Family Farm, Yongji County</t>
  </si>
  <si>
    <t>一般项目：谷物种植；豆类种植；薯类种植；蔬菜种植；水果种植；中草药种植；谷物销售；农副产品销售；豆及薯类销售；新鲜蔬菜零售；新鲜水果零售；食用农产品零售；牲畜销售；粮食收购；初级农产品收购；粮油仓储服务。（除依法须经批准的项目外，凭营业执照依法自主开展经营活动）许可项目：牲畜饲养；家禽饲养；活禽销售。（依法须经批准的项目，经相关部门批准后方可开展经营活动，具体经营项目以相关部门批准文件或许可证件为准）</t>
  </si>
  <si>
    <t>永吉县市场监督管理局</t>
  </si>
  <si>
    <t>河南闽联纺织有限公司</t>
  </si>
  <si>
    <t>91411627060041349M</t>
  </si>
  <si>
    <t>河南闽联进出口贸易有限公司</t>
  </si>
  <si>
    <t>洪美认</t>
  </si>
  <si>
    <t>2013-01-09</t>
  </si>
  <si>
    <t>太康县通泰纺织集聚区（河南鸿文纺织有限公司厂区内办公楼）</t>
  </si>
  <si>
    <t>周口市</t>
  </si>
  <si>
    <t>太康县</t>
  </si>
  <si>
    <t>15936021696</t>
  </si>
  <si>
    <t>15518007355;15290059666;15896776758</t>
  </si>
  <si>
    <t>2652283013@qq.com</t>
  </si>
  <si>
    <t>minlianfangzhi@163.com</t>
  </si>
  <si>
    <t>411627000009475</t>
  </si>
  <si>
    <t>06004134-9</t>
  </si>
  <si>
    <t>162</t>
  </si>
  <si>
    <t>2013-01-09 至 2033-01-08</t>
  </si>
  <si>
    <t>服装零售</t>
  </si>
  <si>
    <t>Henan Minlian Textile Co., Ltd.</t>
  </si>
  <si>
    <t>太康县产业集聚区</t>
  </si>
  <si>
    <t>河南闽联纺织有限公司成立于2013-01-09，法定代表人为洪美认，注册资本为1000万元，统一社会信用代码为91411627060041349M，企业注册地址位于太康县通泰纺织集聚区（河南鸿文纺织有限公司厂区内办公楼），所属行业为零售业，经营范围包含：纱线 棉布 化纤制品 鞋帽及原辅材料 生产 销售 五金 建筑材料 通讯器材 电子产品 皮革 箱包 家私 销售 自营或代理上述产品及技术的进出口业务（需经许可经营的 须凭许可证或批准文件核定的范围和期限开展经营）。企业当前经营状态为存续。</t>
  </si>
  <si>
    <t>纱线 棉布 化纤制品 鞋帽及原辅材料 生产 销售 五金 建筑材料 通讯器材 电子产品 皮革 箱包 家私 销售 自营或代理上述产品及技术的进出口业务（需经许可经营的 须凭许可证或批准文件核定的范围和期限开展经营）</t>
  </si>
  <si>
    <t>周口市太康县市场监督管理局</t>
  </si>
  <si>
    <t>广东通威饲料有限公司</t>
  </si>
  <si>
    <t>914406057123331452</t>
  </si>
  <si>
    <t>南海通威饲料有限公司,
广东南海通威饲料有限公司</t>
  </si>
  <si>
    <t>巫胜东</t>
  </si>
  <si>
    <t>1999-05-06</t>
  </si>
  <si>
    <t>广东省佛山市南海区狮山镇小塘新境工业开发区</t>
  </si>
  <si>
    <t>0757-86666988</t>
  </si>
  <si>
    <t>0757-86653011;0757-86667851;13318378534</t>
  </si>
  <si>
    <t>haungf01@tongwei.com</t>
  </si>
  <si>
    <t>huangf01@tongwei.com;zhengd@tongwei.com;ganpq@tongwei.com;xuxy02@tongwei.com;caijx@tongwei.com;liuh01@tongwei.com</t>
  </si>
  <si>
    <t>440682000024742</t>
  </si>
  <si>
    <t>71233314-5</t>
  </si>
  <si>
    <t>303</t>
  </si>
  <si>
    <t>1999-05-06 至 无固定期限</t>
  </si>
  <si>
    <t>Guangdong Tongwei FEED Co., Ltd.</t>
  </si>
  <si>
    <t>广东通威饲料有限公司成立于1999-05-06，法定代表人为巫胜东，注册资本为6000万元，统一社会信用代码为914406057123331452，企业注册地址位于广东省佛山市南海区狮山镇小塘新境工业开发区，所属行业为农副食品加工业，经营范围包含：许可项目：饲料生产；饲料添加剂生产；兽药经营；水产养殖【分支机构经营】。（依法须经批准的项目，经相关部门批准后方可开展经营活动，具体经营项目以相关部门批准文件或许可证件为准）一般项目：畜牧渔业饲料销售；饲料原料销售；饲料添加剂销售；渔需物资销售；生物饲料研发；渔业专业及辅助性活动；技术服务、技术开发、技术咨询、技术交流、技术转让、技术推广；水产品批发；鱼病防治服务；土地使用权租赁；技术进出口；货物进出口。（除依法须经批准的项目外，凭营业执照依法自主开展经营活动）。企业当前经营状态为存续。</t>
  </si>
  <si>
    <t>许可项目：饲料生产；饲料添加剂生产；兽药经营；水产养殖【分支机构经营】。（依法须经批准的项目，经相关部门批准后方可开展经营活动，具体经营项目以相关部门批准文件或许可证件为准）一般项目：畜牧渔业饲料销售；饲料原料销售；饲料添加剂销售；渔需物资销售；生物饲料研发；渔业专业及辅助性活动；技术服务、技术开发、技术咨询、技术交流、技术转让、技术推广；水产品批发；鱼病防治服务；土地使用权租赁；技术进出口；货物进出口。（除依法须经批准的项目外，凭营业执照依法自主开展经营活动）</t>
  </si>
  <si>
    <t>滨州中裕食品有限公司</t>
  </si>
  <si>
    <t>91371600757494196K</t>
  </si>
  <si>
    <t>滨州环球物流有限公司</t>
  </si>
  <si>
    <t>王艳波</t>
  </si>
  <si>
    <t>8606.7578万元</t>
  </si>
  <si>
    <t>7310万元</t>
  </si>
  <si>
    <t>2003-10-31</t>
  </si>
  <si>
    <t>山东滨州工业园区梧桐五路91号</t>
  </si>
  <si>
    <t>滨州市</t>
  </si>
  <si>
    <t>滨城区</t>
  </si>
  <si>
    <t>371600228010475</t>
  </si>
  <si>
    <t>75749419-6</t>
  </si>
  <si>
    <t>934</t>
  </si>
  <si>
    <t>2003-10-31 至 无固定期限</t>
  </si>
  <si>
    <t>方便食品制造</t>
  </si>
  <si>
    <t>米、面制品制造</t>
  </si>
  <si>
    <t>Binzhou Zhongyu Food Industry Co., Ltd.</t>
  </si>
  <si>
    <t>滨州中裕食品有限公司成立于2003-10-31，法定代表人为王艳波，注册资本为8606.7578万元，统一社会信用代码为91371600757494196K，企业注册地址位于山东滨州工业园区梧桐五路91号，所属行业为食品制造业，经营范围包含：许可项目：动物饲养；生猪屠宰；食品销售；餐饮服务；食品互联网销售；食品生产；粮食加工食品生产；主要农作物种子生产；酒制品生产；工业酒精销售；危险化学品生产；危险化学品经营；酒类经营；消毒剂生产（不含危险化学品）；燃气经营；小餐饮、小食杂、食品小作坊经营；乳制品生产；发电业务、输电业务、供（配）电业务；饮料生产；电气安装服务；食品添加剂生产；道路货物运输（不含危险货物）；生鲜乳道路运输；住宿服务；食品用塑料包装容器工具制品生产。（依法须经批准的项目，经相关部门批准后方可开展经营活动，具体经营项目以相关部门批准文件或许可证件为准）一般项目：餐饮管理；非主要农作物种子生产；食用农产品初加工；鲜肉零售；鲜肉批发；消毒剂销售（不含危险化学品）；农副产品销售；食品销售（仅销售预包装食品）；食品互联网销售（仅销售预包装食品）；粮食收购；食品进出口；货物进出口；智能农机装备销售；电气设备销售；五金产品零售；农副食品加工专用设备销售；建筑材料销售；建筑用钢筋产品销售；保温材料销售；环境保护专用设备销售；特种设备销售；气压动力机械及元件销售；液压动力机械及元件销售；食品添加剂销售；总质量4.5吨及以下普通货运车辆道路货物运输（除网络货运和危险货物）；食用农产品零售；新鲜蔬菜零售；新鲜水果零售；日用品销售；日用杂品销售；厨具卫具及日用杂品零售；个人卫生用品销售；日用化学产品销售；化妆品零售；文具用品零售；办公用品销售；服装服饰零售；鞋帽零售；针纺织品销售；保健食品（预包装）销售；酒店管理；土地调查评估服务。（除依法须经批准的项目外，凭营业执照依法自主开展经营活动）。企业当前经营状态为在业。</t>
  </si>
  <si>
    <t>许可项目：动物饲养；生猪屠宰；食品销售；餐饮服务；食品互联网销售；食品生产；粮食加工食品生产；主要农作物种子生产；酒制品生产；工业酒精销售；危险化学品生产；危险化学品经营；酒类经营；消毒剂生产（不含危险化学品）；燃气经营；小餐饮、小食杂、食品小作坊经营；乳制品生产；发电业务、输电业务、供（配）电业务；饮料生产；电气安装服务；食品添加剂生产；道路货物运输（不含危险货物）；生鲜乳道路运输；住宿服务；食品用塑料包装容器工具制品生产。（依法须经批准的项目，经相关部门批准后方可开展经营活动，具体经营项目以相关部门批准文件或许可证件为准）一般项目：餐饮管理；非主要农作物种子生产；食用农产品初加工；鲜肉零售；鲜肉批发；消毒剂销售（不含危险化学品）；农副产品销售；食品销售（仅销售预包装食品）；食品互联网销售（仅销售预包装食品）；粮食收购；食品进出口；货物进出口；智能农机装备销售；电气设备销售；五金产品零售；农副食品加工专用设备销售；建筑材料销售；建筑用钢筋产品销售；保温材料销售；环境保护专用设备销售；特种设备销售；气压动力机械及元件销售；液压动力机械及元件销售；食品添加剂销售；总质量4.5吨及以下普通货运车辆道路货物运输（除网络货运和危险货物）；食用农产品零售；新鲜蔬菜零售；新鲜水果零售；日用品销售；日用杂品销售；厨具卫具及日用杂品零售；个人卫生用品销售；日用化学产品销售；化妆品零售；文具用品零售；办公用品销售；服装服饰零售；鞋帽零售；针纺织品销售；保健食品（预包装）销售；酒店管理；土地调查评估服务。（除依法须经批准的项目外，凭营业执照依法自主开展经营活动）</t>
  </si>
  <si>
    <t>滨州市滨城区市场监督管理局</t>
  </si>
  <si>
    <t>广东海大集团股份有限公司</t>
  </si>
  <si>
    <t>914400007578948436</t>
  </si>
  <si>
    <t>广东海大实业有限公司,
广东海大集团有限公司</t>
  </si>
  <si>
    <t>薛华</t>
  </si>
  <si>
    <t>166374.997万元</t>
  </si>
  <si>
    <t>2004-01-08</t>
  </si>
  <si>
    <t>广东省广州市番禺区南村镇万博四路42号2座701</t>
  </si>
  <si>
    <t>020-39388666</t>
  </si>
  <si>
    <t>020-39388960</t>
  </si>
  <si>
    <t>chenxl01@haid.com.cn</t>
  </si>
  <si>
    <t>haid@haid.com.cn;chenqy@haid.com.cn;zqbgs@haid.com.cn</t>
  </si>
  <si>
    <t>440000400000891</t>
  </si>
  <si>
    <t>75789484-3</t>
  </si>
  <si>
    <t>970</t>
  </si>
  <si>
    <t>2004-01-08 至 无固定期限</t>
  </si>
  <si>
    <t>Guangdong Haid Group Co.,Limited</t>
  </si>
  <si>
    <t>2023年，海大集团营收突破1161亿元，同比增长10.89%。在核心主业饲料领域，海大集团实现饲料销量2440万吨，稳居全球第二，其中水产饲料销量规模全球排名靠前。在水产领域，海大拥有全球技术优势、资源储备和产业化规模，虾苗和鱼苗年销量居全球排名靠前。</t>
  </si>
  <si>
    <t>饲料、添加剂的生产（以上项目由分支机构凭许可证经营）和技术开发、技术服务；畜禽、水产品的养殖、加工和技术开发、技术服务；以上产品及饲料原料、农副产品的批发、佣金代理（拍卖除外）及进出口业务（涉及配额许可证管理、专项规定管理的商品按照国家有关规定办理；粮食收购。（依法须经批准的项目，经相关部门批准后方可开展经营活动）</t>
  </si>
  <si>
    <t>广东省市场监督管理局</t>
  </si>
  <si>
    <t>湖北白银棉业集团股份有限公司</t>
  </si>
  <si>
    <t>91420103572029423D</t>
  </si>
  <si>
    <t>湖北白银棉业股份有限公司</t>
  </si>
  <si>
    <t>李绪双</t>
  </si>
  <si>
    <t>2011-04-20</t>
  </si>
  <si>
    <t>武汉市江汉区新华路396号民生银行大厦52层03、05号</t>
  </si>
  <si>
    <t>江汉区</t>
  </si>
  <si>
    <t>027-85735159</t>
  </si>
  <si>
    <t>027-85735236;027-85798200</t>
  </si>
  <si>
    <t>byzcgl@163.com</t>
  </si>
  <si>
    <t>454379303@qq.com;85735159@qq.com;bymyhr@126.com;17868584@qq.com</t>
  </si>
  <si>
    <t>420103000140328</t>
  </si>
  <si>
    <t>57202942-3</t>
  </si>
  <si>
    <t>16</t>
  </si>
  <si>
    <t>2011-04-20 至 无固定期限</t>
  </si>
  <si>
    <t>Hubei Baiyin Cotton Industry Co., Ltd.</t>
  </si>
  <si>
    <t>http://www.bymygf.com</t>
  </si>
  <si>
    <t>湖北白银棉业集团股份有限公司成立于2011-04-20，法定代表人为李绪双，注册资本为6000万元，统一社会信用代码为91420103572029423D，企业注册地址位于武汉市江汉区新华路396号民生银行大厦52层03、05号，所属行业为批发业，经营范围包含：棉花及副产品、棉纱的收购及销售；纺织品销售；自营和代理各类商品及技术进出口业务（国家限定或禁止进出口的商品及技术除外）；对城市建设、工业、农业、商业、建筑业、航空、桥梁、高新技术、房地产、教育行业的投资及资产管理；投资管理咨询（不含证券、期货咨询）。（国家有专项规定的项目经审批后或凭有效的许可证方可经营）。企业当前经营状态为存续。</t>
  </si>
  <si>
    <t>棉花及副产品、棉纱的收购及销售；纺织品销售；自营和代理各类商品及技术进出口业务（国家限定或禁止进出口的商品及技术除外）；对城市建设、工业、农业、商业、建筑业、航空、桥梁、高新技术、房地产、教育行业的投资及资产管理；投资管理咨询（不含证券、期货咨询）。（国家有专项规定的项目经审批后或凭有效的许可证方可经营）</t>
  </si>
  <si>
    <t>武汉市江汉区市场监督管理局</t>
  </si>
  <si>
    <t>武汉通威饲料有限公司</t>
  </si>
  <si>
    <t>91420112725752736F</t>
  </si>
  <si>
    <t>注销（2025-11-20）</t>
  </si>
  <si>
    <t>2000-12-19</t>
  </si>
  <si>
    <t>武汉市东西湖区慈惠办事处车站村157号（8）</t>
  </si>
  <si>
    <t>027-83895678</t>
  </si>
  <si>
    <t>027-83262046;027-83244387;027-83240802;13355668887;027-83240803;13037140212</t>
  </si>
  <si>
    <t>18223911499@qq.com</t>
  </si>
  <si>
    <t>yangcb06@tongwei.com;liuyq03@tongwei.com;wh@tongwei.com;zhouxh01@tongwei.com</t>
  </si>
  <si>
    <t>420112000018973</t>
  </si>
  <si>
    <t>72575273-6</t>
  </si>
  <si>
    <t>2000-12-19 至 2030-12-18</t>
  </si>
  <si>
    <t>Wuhan Tongwei Feed Co., Ltd.</t>
  </si>
  <si>
    <t>武汉通威饲料有限公司成立于2000-12-19，法定代表人为幸鹏，注册资本为1500万元，统一社会信用代码为91420112725752736F，企业注册地址位于武汉市东西湖区慈惠办事处车站村157号（8），所属行业为农副食品加工业，经营范围包含：生产、销售饲料、预混料、饲料添加剂、系列养殖药饵；鱼需物资销售（国家有专项规定的除外）；淡水养殖；畜禽养殖技术服务；开发饲料和养殖新产品及相关技术服务；微生态制剂的研发及购销；粮食收购与销售；兽药、机械设备的销售；饲料原料销售；谷物批发；货物或技术进出口（国家禁止或涉及行政审批的货物和技术进出口除外）。（涉及许可经营项目，应取得相关部门许可后方可经营）。企业当前经营状态为注销。</t>
  </si>
  <si>
    <t>生产、销售饲料、预混料、饲料添加剂、系列养殖药饵；鱼需物资销售（国家有专项规定的除外）；淡水养殖；畜禽养殖技术服务；开发饲料和养殖新产品及相关技术服务；微生态制剂的研发及购销；粮食收购与销售；兽药、机械设备的销售；饲料原料销售；谷物批发；货物或技术进出口（国家禁止或涉及行政审批的货物和技术进出口除外）。（涉及许可经营项目，应取得相关部门许可后方可经营）</t>
  </si>
  <si>
    <t>张家港保税区宁港纺织科技有限公司</t>
  </si>
  <si>
    <t>91320592MA1MR4CQ6F</t>
  </si>
  <si>
    <t>陈安涛</t>
  </si>
  <si>
    <t>86万元</t>
  </si>
  <si>
    <t>2016-08-10</t>
  </si>
  <si>
    <t>张家港保税区纺织原料市场322J室</t>
  </si>
  <si>
    <t>13601520210</t>
  </si>
  <si>
    <t>0512-58298673</t>
  </si>
  <si>
    <t>3131483019@qq.com</t>
  </si>
  <si>
    <t>631060245@qq.com</t>
  </si>
  <si>
    <t>320592000104983</t>
  </si>
  <si>
    <t>MA1MR4CQ-6</t>
  </si>
  <si>
    <t>2016-08-10 至 无固定期限</t>
  </si>
  <si>
    <t>Zhangjiagang Bonded Zone Ninggang Textile Technology Co., Ltd.</t>
  </si>
  <si>
    <t>张家港市东莱镇</t>
  </si>
  <si>
    <t>张家港保税区宁港纺织科技有限公司成立于2016-08-10，法定代表人为陈安涛，注册资本为86万元，统一社会信用代码为91320592MA1MR4CQ6F，企业注册地址位于张家港保税区纺织原料市场322J室，所属行业为批发业，经营范围包含：纺织领域内的技术研发、技术转让、技术咨询及相关的技术服务，自营和代理各类商品和技术的进出口业务（国家限定公司经营或禁止进出口的商品和技术除外），金属材料、纺织原料及产品的购销。（依法须经批准的项目，经相关部门批准后方可开展经营活动）。企业当前经营状态为存续。</t>
  </si>
  <si>
    <t>纺织领域内的技术研发、技术转让、技术咨询及相关的技术服务，自营和代理各类商品和技术的进出口业务（国家限定公司经营或禁止进出口的商品和技术除外），金属材料、纺织原料及产品的购销。（依法须经批准的项目，经相关部门批准后方可开展经营活动）</t>
  </si>
  <si>
    <t>湖北中伦国际纺织城有限公司</t>
  </si>
  <si>
    <t>91429005576958000J</t>
  </si>
  <si>
    <t>胡忠武</t>
  </si>
  <si>
    <t>2011-06-17</t>
  </si>
  <si>
    <t>潜江市园林办事处袁杨路10号</t>
  </si>
  <si>
    <t>潜江市</t>
  </si>
  <si>
    <t>15972189916</t>
  </si>
  <si>
    <t>0728-6281866;0728-6625666;0728-6202222</t>
  </si>
  <si>
    <t>115057544@qq.com</t>
  </si>
  <si>
    <t>916982014@qq.com;503022009@qq.com</t>
  </si>
  <si>
    <t>429005000044816</t>
  </si>
  <si>
    <t>57695800-0</t>
  </si>
  <si>
    <t>204</t>
  </si>
  <si>
    <t>2011-06-17 至 无固定期限</t>
  </si>
  <si>
    <t>Hubei Zhonglun International Textile City Co., Ltd.</t>
  </si>
  <si>
    <t>zhongluntex.com</t>
  </si>
  <si>
    <t>湖北省潜江市保驾路38号</t>
  </si>
  <si>
    <t>湖北中伦国际纺织城有限公司成立于2011-06-17，法定代表人为胡忠武，注册资本为5000万元，统一社会信用代码为91429005576958000J，企业注册地址位于潜江市园林办事处袁杨路10号，所属行业为纺织业，经营范围包含：棉纺纱加工；棉布加工；纺织品仓储；普通货物道路运输；房屋租赁；纺织品及原料、针织品及原料、棉花、服装、鞋帽、五金产品、建材（不含危险化学品）批发、零售；地上平台秤称重服务；房屋建筑工程施工；货物或技术进出口（国家禁止或涉及行政审批的货物和技术进出口除外）。（涉及许可经营项目，应取得相关部门许可后方可经营）。企业当前经营状态为存续。</t>
  </si>
  <si>
    <t>棉纺纱加工；棉布加工；纺织品仓储；普通货物道路运输；房屋租赁；纺织品及原料、针织品及原料、棉花、服装、鞋帽、五金产品、建材（不含危险化学品）批发、零售；地上平台秤称重服务；房屋建筑工程施工；货物或技术进出口（国家禁止或涉及行政审批的货物和技术进出口除外）。（涉及许可经营项目，应取得相关部门许可后方可经营）</t>
  </si>
  <si>
    <t>潜江市市场监督管理局</t>
  </si>
  <si>
    <t>唐人神集团股份有限公司</t>
  </si>
  <si>
    <t>914300006166100187</t>
  </si>
  <si>
    <t>湖南唐人神集团股份有限公司,
湖南湘大唐人神实业股份有限公司,
湖南湘大实业股份有限公司</t>
  </si>
  <si>
    <t>陶业</t>
  </si>
  <si>
    <t>143305.1393万元</t>
  </si>
  <si>
    <t>1992-09-11</t>
  </si>
  <si>
    <t>湖南省株洲市国家高新技术产业开发区栗雨工业园</t>
  </si>
  <si>
    <t>株洲市</t>
  </si>
  <si>
    <t>天元区</t>
  </si>
  <si>
    <t>0731-28591298</t>
  </si>
  <si>
    <t>0731-28591213;13337330969;0731-28591247;4008385180;4008355180</t>
  </si>
  <si>
    <t>ylz0969@trsgroup.cn</t>
  </si>
  <si>
    <t>trs@trsgroup.com.cn;2405232160@qq.com</t>
  </si>
  <si>
    <t>430000400001615</t>
  </si>
  <si>
    <t>61661001-8</t>
  </si>
  <si>
    <t>1130</t>
  </si>
  <si>
    <t>1992-09-11 至 无固定期限</t>
  </si>
  <si>
    <t>Tangrenshen Group Co., Ltd.</t>
  </si>
  <si>
    <t>https://www.trsgroup.com.cn</t>
  </si>
  <si>
    <t>唐人神集团股份有限公司是专注于生猪全产业链经营的农业产业化国家重点龙头企业。自1988年创业以来，唐人神集团以“致力农家富裕、打造绿色食品、创造美好生活”为使命，培育了“骆驼”、“唐人神”和“美神”等多个品牌，打造了“生猪育种、饲料营养、健康养殖、生猪屠宰、肉品加工、品牌连锁、香乡猪餐饮”的生猪全产业链核心竞争力，在全国二十几个省建立了一百多家子公司，2011年在深交所上市，是中国民营企业500强，2022年营收265亿元。</t>
  </si>
  <si>
    <t>许可项目：牲畜饲养；家禽饲养；水产养殖；种畜禽生产；种畜禽经营；饲料生产；农业转基因生物加工。（依法须经批准的项目，经相关部门批准后方可开展经营活动，具体经营项目以相关部门批准文件或许可证件为准）一般项目：牲畜销售；食用农产品初加工；畜牧渔业饲料销售；饲料添加剂销售；饲料原料销售；生物饲料研发；货物进出口；粮食收购；技术服务、技术开发、技术咨询、技术交流、技术转让、技术推广；信息咨询服务（不含许可类信息咨询服务）；租赁服务（不含许可类租赁服务）。（除依法须经批准的项目外，凭营业执照依法自主开展经营活动）</t>
  </si>
  <si>
    <t>湖南省市场监督管理局</t>
  </si>
  <si>
    <t>长沙金苹果饲料有限公司</t>
  </si>
  <si>
    <t>914301026755891329</t>
  </si>
  <si>
    <t>王杨松</t>
  </si>
  <si>
    <t>2008-06-30</t>
  </si>
  <si>
    <t>长沙市芙蓉区隆平高科技园长星路196号</t>
  </si>
  <si>
    <t>芙蓉区</t>
  </si>
  <si>
    <t>0731-84777133</t>
  </si>
  <si>
    <t>limingx@sbtjt.com</t>
  </si>
  <si>
    <t>weihong@sbtjt.com;weih@sbtjt.com;lubq@sbtjt.com;shiyl@sbtjt.com;hudz@sbtjt.com</t>
  </si>
  <si>
    <t>430100000059321</t>
  </si>
  <si>
    <t>67558913-2</t>
  </si>
  <si>
    <t>2008-06-30 至 2028-06-29</t>
  </si>
  <si>
    <t>其他制造业</t>
  </si>
  <si>
    <t>其他未列明制造业</t>
  </si>
  <si>
    <t>Changsha Jinpingguo Stall Food Co., Ltd.</t>
  </si>
  <si>
    <t>长沙金苹果饲料有限公司成立于2008-06-30，法定代表人为王杨松，注册资本为110万元，统一社会信用代码为914301026755891329，企业注册地址位于长沙市芙蓉区隆平高科技园长星路196号，所属行业为其他制造业，经营范围包含：配合饲料、浓缩饲料的生产；配合饲料、浓缩饲料、农产品、饲料原料销售；养殖技术的应用、研发、推广服务；粮食收购。（依法须经批准的项目，经相关部门批准后方可开展经营活动，未经批准不得从事P2P网贷、股权众筹、互联网保险、资管及跨界从事金融、第三方支付、虚拟货币交易、ICO、非法外汇等互联网金融业务）。企业当前经营状态为存续。</t>
  </si>
  <si>
    <t>配合饲料、浓缩饲料的生产；配合饲料、浓缩饲料、农产品、饲料原料销售；养殖技术的应用、研发、推广服务；粮食收购。（依法须经批准的项目，经相关部门批准后方可开展经营活动，未经批准不得从事P2P网贷、股权众筹、互联网保险、资管及跨界从事金融、第三方支付、虚拟货币交易、ICO、非法外汇等互联网金融业务）</t>
  </si>
  <si>
    <t>长沙市芙蓉区市场监督管理局</t>
  </si>
  <si>
    <t>宝武集团鄂城钢铁有限公司</t>
  </si>
  <si>
    <t>9142070070691922XN</t>
  </si>
  <si>
    <t>武汉钢铁集团鄂城钢铁有限责任公司,
鄂城钢铁集团有限责任公司</t>
  </si>
  <si>
    <t>陆隆文</t>
  </si>
  <si>
    <t>599800万元</t>
  </si>
  <si>
    <t>1997-05-06</t>
  </si>
  <si>
    <t>鄂州市鄂城区武昌大道215号</t>
  </si>
  <si>
    <t>鄂州市</t>
  </si>
  <si>
    <t>鄂城区</t>
  </si>
  <si>
    <t>027-60660666</t>
  </si>
  <si>
    <t>0711-3233321;027-60662039;027-60662020;027-60660999;027-60661929</t>
  </si>
  <si>
    <t>egwzh@ecsteel.com.cn</t>
  </si>
  <si>
    <t>egwzh@ecsteel.com;egwzh@escteel.com.cn</t>
  </si>
  <si>
    <t>420700000028453</t>
  </si>
  <si>
    <t>70691922-X</t>
  </si>
  <si>
    <t>5388</t>
  </si>
  <si>
    <t>1997-05-06 至 无固定期限</t>
  </si>
  <si>
    <t>Baowu Group Echeng Iron &amp; Steel Co., Ltd.</t>
  </si>
  <si>
    <t>http://www.ecsteel.com.cn</t>
  </si>
  <si>
    <t>宝武集团鄂城钢铁有限公司（以下简称鄂钢）坐落于长江南岸、武汉“8+1”城市圈中最具魅力的城市——鄂州市。鄂钢始建于1958年，其前身是湖北省地方钢铁骨干企业──鄂城钢铁厂，2004年11月经国务院国资委批准与武钢联合重组，成为武钢集团控股子公司；2014年成为武钢集团全资子公司；2018年1月纳入中国宝武一级子公司直接管理。鄂钢是中国宝武在华中地区较大的建筑用钢材生产基地、重要的工业用钢基地和新兴的高端板材生产基地，具备从冶炼到轧材及产品深加工等全流程的钢铁生产能力。鄂钢主要产品有：4300mm宽厚板生产线生产的各强度级别船板、桥梁钢、管线钢、容器板、高层建筑用钢、工程机械用钢等；棒线材生产线生产的优质碳素结构钢、合结钢、弹簧钢、轴承钢、热轧带肋钢筋以及连铸圆管坯、热轧钢带等200多个品种，广泛用于水利水电、道路、机场、桥梁、房屋建筑等基础工程建设以及机械、汽车、船舶、家电、金属制品、海洋平台等行业。其中，高建钢先后进入上海中心大厦、凤凰卫视、广州亚运场馆、武汉绿地、厦门东南航运航站楼等地标性建筑；桥板先后进入港珠澳大桥、安庆桥、铜陵桥、白沙沱桥、公安桥、洞庭桥、缅甸帕克库等国内外40余座大桥，占省内桥梁钢80%市场份额；石油管线钢的研发和生产，打破了国外垄断，产品在南海荔湾海洋平台和海底管线中得到广泛应用，成功应用在武汉外环、济青线、加拿大sycrude，产品先后出口到韩国、巴西、缅甸、孟加拉湾等国家，得到了国内和国际市场的广泛认可。鄂钢拥有先进的技术装备，产品质量优良，先后通过了ISO9001/14001/OHSAS18001体系认证、省级技术中心认定、船板生产九家船级社认证、环保镀锌家电板国际SGS认证和欧盟ROHS认证，是深海管线大口径直缝焊管通过鉴定企业。经国家质量监督部门抽查审核，产品合格率始终保持100%。鄂钢产品有较好的影响力和市场占有率，“鄂钢牌”入选中国品牌数据库。螺纹钢、桥板、容器板、高速线材等9类产品荣获湖北省名牌产品和国家冶金产品实物质量“金杯奖”，连续热镀锌钢板及钢带等2类产品获得“冶金行业品质卓越产品”称号。鄂钢先后获得“全国五一劳动奖状”、“全国节能先进单位”、“全国绿化先进单位”、“全国质量管理小组活动优秀企业”、“全国模范职工之家”、“湖北省最佳文明单位”、湖北省优秀企业（金鹤奖）等多项荣誉称号。</t>
  </si>
  <si>
    <t>冶金产品及副产品、冶金矿产品和钢铁延长产品、建筑材料、冶金辅助材料、成套冶金设备、机电设备、电信设备、仪器仪表的设计、制造、销售及安装；化工产品（不含危险化学品）、炼焦生产及销售；废钢加工及销售；工业技术开发、咨询服务；产品及技术进出口（国家限制进出口的商品及技术除外）；医用氧、压缩、液化气体制造、销售；煤炭经营；分支机构持证经营：货运代办、信息配载、仓储服务，印刷，设计、制作、发布、代理国内广告，教育信息咨询、企业经营管理培训、会务策划、展览展示服务，瓶（桶）装饮用水生产及销售，饮食住宿服务。（依法须经批准的项目，经相关部门批准后方可开展经营活动）</t>
  </si>
  <si>
    <t>鄂城区市场监督管理局</t>
  </si>
  <si>
    <t>广西红豪淀粉开发有限公司</t>
  </si>
  <si>
    <t>914501007537075459</t>
  </si>
  <si>
    <t>许娟</t>
  </si>
  <si>
    <t>1200万元</t>
  </si>
  <si>
    <t>2006-09-19</t>
  </si>
  <si>
    <t>广西南宁市武鸣区城厢镇从广村</t>
  </si>
  <si>
    <t>广西壮族自治区</t>
  </si>
  <si>
    <t>南宁市</t>
  </si>
  <si>
    <t>武鸣区</t>
  </si>
  <si>
    <t>0771-6200186</t>
  </si>
  <si>
    <t>0771-6230725</t>
  </si>
  <si>
    <t>hhdfkfyxgs@163.com</t>
  </si>
  <si>
    <t>18934729992@163.com;349405905@qq.com;283064358@qq.com</t>
  </si>
  <si>
    <t>450100400001718</t>
  </si>
  <si>
    <t>75370754-5</t>
  </si>
  <si>
    <t>2006-09-19 至 2036-09-18</t>
  </si>
  <si>
    <t>淀粉及淀粉制品制造</t>
  </si>
  <si>
    <t>Guangxi Honghao Starch Development Co., Ltd.</t>
  </si>
  <si>
    <t>广西红豪淀粉开发有限公司成立于2006-09-19，法定代表人为许娟，注册资本为1200万元，统一社会信用代码为914501007537075459，企业注册地址位于广西南宁市武鸣区城厢镇从广村，所属行业为农副食品加工业，经营范围包含：一般项目：基础化学原料制造（不含危险化学品等许可类化学品的制造）；食品销售（仅销售预包装食品）；食品添加剂销售；保健食品（预包装）销售；农林牧渔业废弃物综合利用；肥料销售；农副产品销售；专用化学产品制造（不含危险化学品）；专用化学产品销售（不含危险化学品）；包装服务；技术服务、技术开发、技术咨询、技术交流、技术转让、技术推广；农副食品加工专用设备制造；农副食品加工专用设备销售；货物进出口；技术进出口（除依法须经批准的项目外，凭营业执照依法自主开展经营活动）许可项目：食品生产；食品销售；保健食品生产；食品添加剂生产；动物饲养；肥料生产；现制现售饮用水（依法须经批准的项目，经相关部门批准后方可开展经营活动，具体经营项目以相关部门批准文件或许可证件为准）。企业当前经营状态为存续。</t>
  </si>
  <si>
    <t>一般项目：基础化学原料制造（不含危险化学品等许可类化学品的制造）；食品销售（仅销售预包装食品）；食品添加剂销售；保健食品（预包装）销售；农林牧渔业废弃物综合利用；肥料销售；农副产品销售；专用化学产品制造（不含危险化学品）；专用化学产品销售（不含危险化学品）；包装服务；技术服务、技术开发、技术咨询、技术交流、技术转让、技术推广；农副食品加工专用设备制造；农副食品加工专用设备销售；货物进出口；技术进出口（除依法须经批准的项目外，凭营业执照依法自主开展经营活动）许可项目：食品生产；食品销售；保健食品生产；食品添加剂生产；动物饲养；肥料生产；现制现售饮用水（依法须经批准的项目，经相关部门批准后方可开展经营活动，具体经营项目以相关部门批准文件或许可证件为准）</t>
  </si>
  <si>
    <t>南宁市武鸣区市场监督管理局</t>
  </si>
  <si>
    <t>广州市宏盛纺织品有限公司</t>
  </si>
  <si>
    <t>91440101MA9Y7EPL1G</t>
  </si>
  <si>
    <t>注销（2025-07-16）</t>
  </si>
  <si>
    <t>李月</t>
  </si>
  <si>
    <t>2021-11-29</t>
  </si>
  <si>
    <t>广州市番禺区南村镇南草堂村兴南大道468号323房</t>
  </si>
  <si>
    <t>13570842317</t>
  </si>
  <si>
    <t>440126003919526</t>
  </si>
  <si>
    <t>MA9Y7EPL-1</t>
  </si>
  <si>
    <t>2021-11-29 至 无固定期限</t>
  </si>
  <si>
    <t>Guangzhou Hongsheng Textile Co., Ltd.</t>
  </si>
  <si>
    <t>广州市宏盛纺织品有限公司成立于2021-11-29，法定代表人为李月，注册资本为200万元，统一社会信用代码为91440101MA9Y7EPL1G，企业注册地址位于广州市番禺区南村镇南草堂村兴南大道468号323房，所属行业为批发业，经营范围包含：服装服饰批发;针纺织品及原料销售;服装服饰零售;鞋帽零售;建筑装饰材料销售;针纺织品销售。企业当前经营状态为注销。</t>
  </si>
  <si>
    <t>服装服饰批发;针纺织品及原料销售;服装服饰零售;鞋帽零售;建筑装饰材料销售;针纺织品销售</t>
  </si>
  <si>
    <t>淄博来鑫纺织有限公司</t>
  </si>
  <si>
    <t>91370306553363901J</t>
  </si>
  <si>
    <t>尹建平</t>
  </si>
  <si>
    <t>990万元</t>
  </si>
  <si>
    <t>2010-03-29</t>
  </si>
  <si>
    <t>周村区东门路北首588号</t>
  </si>
  <si>
    <t>周村区</t>
  </si>
  <si>
    <t>0533-6181851</t>
  </si>
  <si>
    <t>0533-6055802</t>
  </si>
  <si>
    <t>1413520507@qq.com</t>
  </si>
  <si>
    <t>370306200003635</t>
  </si>
  <si>
    <t>55336390-1</t>
  </si>
  <si>
    <t>2010-03-29 至 无固定期限</t>
  </si>
  <si>
    <t>毛染整精加工</t>
  </si>
  <si>
    <t>Zibo LaiXin Textile Co., Ltd.</t>
  </si>
  <si>
    <t>淄博来鑫纺织有限公司成立于2010-03-29，法定代表人为尹建平，注册资本为1000万元，统一社会信用代码为91370306553363901J，企业注册地址位于周村区东门路北首588号，所属行业为纺织业，经营范围包含：一般项目：针纺织品及原料销售；五金产品批发；五金产品零售；建筑用钢筋产品销售；非居住房地产租赁；租赁服务（不含许可类租赁服务）；特种设备出租；货物进出口；塑料制品制造；塑料制品销售；保温材料销售；轻质建筑材料制造；隔热和隔音材料制造；家用纺织制成品制造；针纺织品销售；纺织专用设备销售。（除依法须经批准的项目外，凭营业执照依法自主开展经营活动）。企业当前经营状态为在业。</t>
  </si>
  <si>
    <t>一般项目：针纺织品及原料销售；五金产品批发；五金产品零售；建筑用钢筋产品销售；非居住房地产租赁；租赁服务（不含许可类租赁服务）；特种设备出租；货物进出口；塑料制品制造；塑料制品销售；保温材料销售；轻质建筑材料制造；隔热和隔音材料制造；家用纺织制成品制造；针纺织品销售；纺织专用设备销售。（除依法须经批准的项目外，凭营业执照依法自主开展经营活动）</t>
  </si>
  <si>
    <t>周村区市场监督管理局</t>
  </si>
  <si>
    <t>广州度和服饰有限公司</t>
  </si>
  <si>
    <t>91440101MA59FFEX6C</t>
  </si>
  <si>
    <t>注销（2025-06-12）</t>
  </si>
  <si>
    <t>田常胜</t>
  </si>
  <si>
    <t>2016-10-21</t>
  </si>
  <si>
    <t>广州市番禺区南村镇晋胜大街10号之一2栋101铺</t>
  </si>
  <si>
    <t>13927074679</t>
  </si>
  <si>
    <t>13799969299;18928784998;13712496767;18620293585</t>
  </si>
  <si>
    <t>1924543563@qq.com</t>
  </si>
  <si>
    <t>1814470292@qq.com;181470292@qq.com</t>
  </si>
  <si>
    <t>440126000759268</t>
  </si>
  <si>
    <t>MA59FFEX-6</t>
  </si>
  <si>
    <t>2016-10-21 至 无固定期限</t>
  </si>
  <si>
    <t>Guangzhou Duhe Clothing Co., Ltd.</t>
  </si>
  <si>
    <t>广州度和服饰有限公司成立于2016-10-21，法定代表人为田常胜，注册资本为200万元，统一社会信用代码为91440101MA59FFEX6C，企业注册地址位于广州市番禺区南村镇晋胜大街10号之一2栋101铺，所属行业为纺织服装、服饰业，经营范围包含：针织或钩针编织服装制造;机织服装制造;服饰制造;服装批发;服装零售;皮革服装制造;服装辅料批发;时装设计服务;贸易代理;商品批发贸易（许可审批类商品除外）;商品零售贸易（许可审批类商品除外）。企业当前经营状态为注销。</t>
  </si>
  <si>
    <t>针织或钩针编织服装制造;机织服装制造;服饰制造;服装批发;服装零售;皮革服装制造;服装辅料批发;时装设计服务;贸易代理;商品批发贸易（许可审批类商品除外）;商品零售贸易（许可审批类商品除外）</t>
  </si>
  <si>
    <t>临沂市兰山区林全木业板材厂</t>
  </si>
  <si>
    <t>91371302MA3CYY4FX3</t>
  </si>
  <si>
    <t>临沂市兰山区林邦木业板材厂</t>
  </si>
  <si>
    <t>韦洪全</t>
  </si>
  <si>
    <t>2013-12-23</t>
  </si>
  <si>
    <t>山东省临沂市兰山区义堂镇葛疃社区</t>
  </si>
  <si>
    <t>15106685555</t>
  </si>
  <si>
    <t>15106685555@166.com</t>
  </si>
  <si>
    <t>15106685555@163.com;15106685555@126.com;9675495@qq.com</t>
  </si>
  <si>
    <t>371302300032823</t>
  </si>
  <si>
    <t>MA3CYY4F-X</t>
  </si>
  <si>
    <t>Linyi Lanshan District Linquan Wood Industry Board Factory</t>
  </si>
  <si>
    <t>圆木旋切销售（按许可证核准的有效期限经营）（按照国家政策规定需经许可和环境保护验收合格方可经营的项目，须凭许可证并经环境管理部门项目竣工环境保护验收合格后方可正式经营）经相关部门批准后方可开展经营活动。</t>
  </si>
  <si>
    <t>临沂市兰山区开迎单板厂</t>
  </si>
  <si>
    <t>91371302MA3FDCQH4B</t>
  </si>
  <si>
    <t>李开迎</t>
  </si>
  <si>
    <t>2017-08-14</t>
  </si>
  <si>
    <t>山东省临沂市兰山区义堂镇孟行村</t>
  </si>
  <si>
    <t>13805492770</t>
  </si>
  <si>
    <t>13805492770@162.com</t>
  </si>
  <si>
    <t>1050673942@qq.com</t>
  </si>
  <si>
    <t>371302300101116</t>
  </si>
  <si>
    <t>MA3FDCQH-4</t>
  </si>
  <si>
    <t>Kaiying Single Board Factory In Lanshan District, Linyi City</t>
  </si>
  <si>
    <t>加工销售：单板（依法须经批准的项目，经相关部门批准后方可开展经营活动）</t>
  </si>
  <si>
    <t>夏津县瑞鑫纺织有限公司</t>
  </si>
  <si>
    <t>91371427743383938E</t>
  </si>
  <si>
    <t>姜金星</t>
  </si>
  <si>
    <t>2002-05-20</t>
  </si>
  <si>
    <t>夏津县香赵庄南邢庄村</t>
  </si>
  <si>
    <t>0534-3502888</t>
  </si>
  <si>
    <t>0534-3502088</t>
  </si>
  <si>
    <t>13455397909@163.com</t>
  </si>
  <si>
    <t>35028882@qq.com;13675341039@163.com</t>
  </si>
  <si>
    <t>371427228080054</t>
  </si>
  <si>
    <t>74338393-8</t>
  </si>
  <si>
    <t>298</t>
  </si>
  <si>
    <t>2002-05-20 至 无固定期限</t>
  </si>
  <si>
    <t>Xiajin Ruixin Textile Co., Ltd.</t>
  </si>
  <si>
    <t>http://www.ruixinfangzhi.com</t>
  </si>
  <si>
    <t>夏津县瑞鑫纺织有限公司成立于2002-05-20，法定代表人为姜金星，注册资本为2000万元，统一社会信用代码为91371427743383938E，企业注册地址位于夏津县香赵庄南邢庄村，所属行业为纺织业，经营范围包含：纺纱（凭国家发改委批准文件经营），纺织品加工、购销，化学纤维购销，,棉花收购、销售,自营进出口贸易。（依法须经批准的项目，经相关部门批准后方可开展经营活动）。企业当前经营状态为在业。</t>
  </si>
  <si>
    <t>纺纱（凭国家发改委批准文件经营），纺织品加工、购销，化学纤维购销，,棉花收购、销售,自营进出口贸易。（依法须经批准的项目，经相关部门批准后方可开展经营活动）</t>
  </si>
  <si>
    <t>岳阳县兴和能源有限公司</t>
  </si>
  <si>
    <t>91430621689519354U</t>
  </si>
  <si>
    <t>曹立云</t>
  </si>
  <si>
    <t>3034.6万元</t>
  </si>
  <si>
    <t>2009-05-18</t>
  </si>
  <si>
    <t>岳阳县荣家湾镇岳阳高新技术产业园区工业大道7号科研楼二楼203房</t>
  </si>
  <si>
    <t>岳阳市</t>
  </si>
  <si>
    <t>岳阳县</t>
  </si>
  <si>
    <t>18973008788</t>
  </si>
  <si>
    <t>13575038880;0730-8466588;0730-8982661</t>
  </si>
  <si>
    <t>430621000008373</t>
  </si>
  <si>
    <t>68951935-4</t>
  </si>
  <si>
    <t>2009-05-18 至 2039-05-17</t>
  </si>
  <si>
    <t>Yueyang Xinghe Energy Co., Ltd.</t>
  </si>
  <si>
    <t>岳阳市楼区青年中路鑫伦城4楼</t>
  </si>
  <si>
    <t>岳阳县兴和能源有限公司成立于2009-05-18，法定代表人为曹立云，注册资本为3034.6万元，统一社会信用代码为91430621689519354U，企业注册地址位于岳阳县荣家湾镇岳阳高新技术产业园区工业大道7号科研楼二楼203房，所属行业为批发业，经营范围包含：许可项目：危险化学品经营；成品油零售（依法须经批准的项目，经相关部门批准后方可开展经营活动，具体经营项目以相关部门批准文件或许可证件为准）一般项目：成品油批发（不含危险化学品）；润滑油销售；石油制品销售（不含危险化学品）；日用杂品销售；建筑材料销售；建筑装饰材料销售；五金产品批发；金属材料销售；高性能有色金属及合金材料销售；金属矿石销售；塑料制品销售（除依法须经批准的项目外，凭营业执照依法自主开展经营活动）。企业当前经营状态为存续。</t>
  </si>
  <si>
    <t>许可项目：危险化学品经营；成品油零售（依法须经批准的项目，经相关部门批准后方可开展经营活动，具体经营项目以相关部门批准文件或许可证件为准）一般项目：成品油批发（不含危险化学品）；润滑油销售；石油制品销售（不含危险化学品）；日用杂品销售；建筑材料销售；建筑装饰材料销售；五金产品批发；金属材料销售；高性能有色金属及合金材料销售；金属矿石销售；塑料制品销售（除依法须经批准的项目外，凭营业执照依法自主开展经营活动）</t>
  </si>
  <si>
    <t>岳阳县市场监督管理局</t>
  </si>
  <si>
    <t>河南迈迪科实业有限公司</t>
  </si>
  <si>
    <t>91410728MA3XCWHM3G</t>
  </si>
  <si>
    <t>注销（2025-06-03）</t>
  </si>
  <si>
    <t>王安升</t>
  </si>
  <si>
    <t>2016-08-22</t>
  </si>
  <si>
    <t>河南省新乡市长垣市常村镇循环经济产业园经三路001号</t>
  </si>
  <si>
    <t>新乡市</t>
  </si>
  <si>
    <t>长垣市</t>
  </si>
  <si>
    <t>18738590067</t>
  </si>
  <si>
    <t>0373-5253137;13782551058;0373-8883989</t>
  </si>
  <si>
    <t>18738590067@126.com</t>
  </si>
  <si>
    <t>373596016@qq.com;xxyadu@163.com;xxyad@163.com</t>
  </si>
  <si>
    <t>410728000071769</t>
  </si>
  <si>
    <t>MA3XCWHM-3</t>
  </si>
  <si>
    <t>2016-08-22 至 无固定期限</t>
  </si>
  <si>
    <t>专用设备制造业</t>
  </si>
  <si>
    <t>医疗仪器设备及器械制造</t>
  </si>
  <si>
    <t>医疗、外科及兽医用器械制造</t>
  </si>
  <si>
    <t>Henan Maidike Industrial Co., Ltd.</t>
  </si>
  <si>
    <t>河南迈迪科实业有限公司成立于2016-08-22，法定代表人为王安升，注册资本为5000万元，统一社会信用代码为91410728MA3XCWHM3G，企业注册地址位于河南省新乡市长垣市常村镇循环经济产业园经三路001号，所属行业为专用设备制造业，经营范围包含：一般项目：第一类医疗器械生产；第一类医疗器械销售；第二类医疗器械销售；棉花收购；棉花加工；面料纺织加工；棉、麻销售；面料印染加工；产业用纺织制成品制造；产业用纺织制成品销售；洗染服务；纺纱加工；橡胶制品制造；橡胶制品销售；技术服务、技术开发、技术咨询、技术交流、技术转让、技术推广；非居住房地产租赁；机械设备租赁；园区管理服务；企业管理；物业管理（除依法须经批准的项目外，凭营业执照依法自主开展经营活动）许可项目：第二类医疗器械生产；第三类医疗器械生产；第三类医疗器械经营；道路货物运输（不含危险货物）；住宿服务；餐饮服务（依法须经批准的项目，经相关部门批准后方可开展经营活动，具体经营项目以相关部门批准文件或许可证件为准）。企业当前经营状态为注销。</t>
  </si>
  <si>
    <t>一般项目：第一类医疗器械生产；第一类医疗器械销售；第二类医疗器械销售；棉花收购；棉花加工；面料纺织加工；棉、麻销售；面料印染加工；产业用纺织制成品制造；产业用纺织制成品销售；洗染服务；纺纱加工；橡胶制品制造；橡胶制品销售；技术服务、技术开发、技术咨询、技术交流、技术转让、技术推广；非居住房地产租赁；机械设备租赁；园区管理服务；企业管理；物业管理（除依法须经批准的项目外，凭营业执照依法自主开展经营活动）许可项目：第二类医疗器械生产；第三类医疗器械生产；第三类医疗器械经营；道路货物运输（不含危险货物）；住宿服务；餐饮服务（依法须经批准的项目，经相关部门批准后方可开展经营活动，具体经营项目以相关部门批准文件或许可证件为准）</t>
  </si>
  <si>
    <t>长垣市市场监督管理局</t>
  </si>
  <si>
    <t>湖南正园饲料有限公司</t>
  </si>
  <si>
    <t>91430721780880853T</t>
  </si>
  <si>
    <t>肖昌权</t>
  </si>
  <si>
    <t>1800万元</t>
  </si>
  <si>
    <t>2005-09-29</t>
  </si>
  <si>
    <t>湖南省安乡县大鲸港镇永乐社区东河街（晋煤金牛北100米）</t>
  </si>
  <si>
    <t>安乡县</t>
  </si>
  <si>
    <t>0736-4404777</t>
  </si>
  <si>
    <t>0736-4404898</t>
  </si>
  <si>
    <t>1102685370@qq.com</t>
  </si>
  <si>
    <t>430721000000165</t>
  </si>
  <si>
    <t>78088085-3</t>
  </si>
  <si>
    <t>2005-09-29 至 无固定期限</t>
  </si>
  <si>
    <t>Hunan Zhengyuan Feed Co., Ltd.</t>
  </si>
  <si>
    <t>湖南正园饲料有限公司成立于2005-09-29，法定代表人为肖昌权，注册资本为1800万元，统一社会信用代码为91430721780880853T，企业注册地址位于湖南省安乡县大鲸港镇永乐社区东河街（晋煤金牛北100米），所属行业为农副食品加工业，经营范围包含：主营：水产、畜、禽饲料生产、销售；兼营：水产养殖开发；水果、水产品、食品的冷冻贮藏；油脂原材料收购，食用植物油的加工（限分公司）、销售（全国工业产品生产许可证有效期限至2015年2月19日）。（以上经营项目涉及行政许可的凭许可证有效期限经营）。企业当前经营状态为存续。</t>
  </si>
  <si>
    <t>主营：水产、畜、禽饲料生产、销售；兼营：水产养殖开发；水果、水产品、食品的冷冻贮藏；油脂原材料收购，食用植物油的加工（限分公司）、销售（全国工业产品生产许可证有效期限至2015年2月19日）。（以上经营项目涉及行政许可的凭许可证有效期限经营）。</t>
  </si>
  <si>
    <t>安乡县市场监督管理局</t>
  </si>
  <si>
    <t>沅江通威饲料有限公司</t>
  </si>
  <si>
    <t>91430981187297915U</t>
  </si>
  <si>
    <t>7000万元</t>
  </si>
  <si>
    <t>1998-03-03</t>
  </si>
  <si>
    <t>沅江经济开发区</t>
  </si>
  <si>
    <t>益阳市</t>
  </si>
  <si>
    <t>沅江市</t>
  </si>
  <si>
    <t>0737-2120333</t>
  </si>
  <si>
    <t>0737-2505211</t>
  </si>
  <si>
    <t>yj@tongwei.com</t>
  </si>
  <si>
    <t>yjtw@tongwie.com;yjtongwe@i.com</t>
  </si>
  <si>
    <t>430981000006619</t>
  </si>
  <si>
    <t>18729791-5</t>
  </si>
  <si>
    <t>108</t>
  </si>
  <si>
    <t>1998-03-03 至 2048-03-20</t>
  </si>
  <si>
    <t>Yuanjiang Tongwei Feedstuff Co., Ltd.</t>
  </si>
  <si>
    <t>http://www.tongwei.cn</t>
  </si>
  <si>
    <t>沅江通威饲料有限公司成立于1998-03-03，法定代表人为幸鹏，注册资本为7000万元，统一社会信用代码为91430981187297915U，企业注册地址位于沅江经济开发区，所属行业为其他制造业，经营范围包含：许可项目：饲料生产；兽药经营（依法须经批准的项目，经相关部门批准后方可开展经营活动，具体经营项目以相关部门批准文件或许可证件为准）一般项目：畜牧渔业饲料销售；饲料原料销售；农、林、牧、副、渔业专业机械的销售；粮食收购；技术服务、技术开发、技术咨询、技术交流、技术转让、技术推广；专用化学产品销售（不含危险化学品）；饲料添加剂销售；肥料销售；生态环境材料销售（除依法须经批准的项目外，凭营业执照依法自主开展经营活动）。企业当前经营状态为存续。</t>
  </si>
  <si>
    <t>许可项目：饲料生产；兽药经营（依法须经批准的项目，经相关部门批准后方可开展经营活动，具体经营项目以相关部门批准文件或许可证件为准）一般项目：畜牧渔业饲料销售；饲料原料销售；农、林、牧、副、渔业专业机械的销售；粮食收购；技术服务、技术开发、技术咨询、技术交流、技术转让、技术推广；专用化学产品销售（不含危险化学品）；饲料添加剂销售；肥料销售；生态环境材料销售（除依法须经批准的项目外，凭营业执照依法自主开展经营活动）</t>
  </si>
  <si>
    <t>沅江市市场监督管理局</t>
  </si>
  <si>
    <t>安仁温氏畜牧有限公司</t>
  </si>
  <si>
    <t>91431028584909364P</t>
  </si>
  <si>
    <t>汤应军</t>
  </si>
  <si>
    <t>2400万元</t>
  </si>
  <si>
    <t>2011-10-20</t>
  </si>
  <si>
    <t>安仁县灵官镇荷树村坪上组（S212省道边安仁县扶贫产业区）</t>
  </si>
  <si>
    <t>郴州市</t>
  </si>
  <si>
    <t>安仁县</t>
  </si>
  <si>
    <t>0735-5381168</t>
  </si>
  <si>
    <t>347635084@qq.com</t>
  </si>
  <si>
    <t>767293839@qq.com;150301806@qq.com</t>
  </si>
  <si>
    <t>431028000006281</t>
  </si>
  <si>
    <t>58490936-4</t>
  </si>
  <si>
    <t>2011-10-20 至 无固定期限</t>
  </si>
  <si>
    <t>Anren Wens Livestock Co., Ltd.</t>
  </si>
  <si>
    <t>湖南省郴州市安仁县青路工业园</t>
  </si>
  <si>
    <t>安仁温氏畜牧有限公司成立于2011-10-20，法定代表人为汤应军，注册资本为2400万元，统一社会信用代码为91431028584909364P，企业注册地址位于安仁县灵官镇荷树村坪上组（S212省道边安仁县扶贫产业区），所属行业为畜牧业，经营范围包含：种猪、肉猪、猪苗的养殖生产、销售及相关技术服务、饲料的生产和销售；鲜肉、冷却肉销售配送；货物及技术进出口（国家禁止或涉及行政审批的货物和技术进出口除外）（依法须经批准的项目，经相关部门批准后方可开展经营活动）。企业当前经营状态为存续。</t>
  </si>
  <si>
    <t>种猪、肉猪、猪苗的养殖生产、销售及相关技术服务、饲料的生产和销售；鲜肉、冷却肉销售配送；货物及技术进出口（国家禁止或涉及行政审批的货物和技术进出口除外）（依法须经批准的项目，经相关部门批准后方可开展经营活动）。</t>
  </si>
  <si>
    <t>安仁县市场监督管理局</t>
  </si>
  <si>
    <t>永州港郎服装有限公司</t>
  </si>
  <si>
    <t>91431124MA4R53ND7X</t>
  </si>
  <si>
    <t>黄可泉</t>
  </si>
  <si>
    <t>2020-03-06</t>
  </si>
  <si>
    <t>湖南省永州市道县工业园东环一路</t>
  </si>
  <si>
    <t>17375604999</t>
  </si>
  <si>
    <t>18695691510</t>
  </si>
  <si>
    <t>2261730901@qq.com</t>
  </si>
  <si>
    <t>178615391@qq.com</t>
  </si>
  <si>
    <t>431124000080081</t>
  </si>
  <si>
    <t>MA4R53ND-7</t>
  </si>
  <si>
    <t>31</t>
  </si>
  <si>
    <t>2020-03-06 至 无固定期限</t>
  </si>
  <si>
    <t>Yongzhou Ganglang Clothing Co., Ltd.</t>
  </si>
  <si>
    <t>湖南省永州市道县道州工业园奔腾产业区三栋三楼</t>
  </si>
  <si>
    <t>永州港郎服装有限公司成立于2020-03-06，法定代表人为黄可泉，注册资本为1000万元，统一社会信用代码为91431124MA4R53ND7X，企业注册地址位于湖南省永州市道县工业园东环一路，所属行业为纺织服装、服饰业，经营范围包含：服装制造、销售。（依法须经批准的项目，经相关部门批准后方可开展经营活动）。企业当前经营状态为存续。</t>
  </si>
  <si>
    <t>服装制造、销售。（依法须经批准的项目，经相关部门批准后方可开展经营活动）</t>
  </si>
  <si>
    <t>广州市华得纺织品有限公司</t>
  </si>
  <si>
    <t>91440111MA7N4XGR5X</t>
  </si>
  <si>
    <t>注销（2025-12-08）</t>
  </si>
  <si>
    <t>王卫霞</t>
  </si>
  <si>
    <t>59万元</t>
  </si>
  <si>
    <t>2022-04-25</t>
  </si>
  <si>
    <t>广州市白云区棠景棠溪大围鸭乸塘北街11号501房</t>
  </si>
  <si>
    <t>18665663206</t>
  </si>
  <si>
    <t>hd24638@126.com</t>
  </si>
  <si>
    <t>440111005849528</t>
  </si>
  <si>
    <t>MA7N4XGR-5</t>
  </si>
  <si>
    <t>2022-04-25 至 无固定期限</t>
  </si>
  <si>
    <t>Guangzhou Huade Textile Co., Ltd.</t>
  </si>
  <si>
    <t>广州市华得纺织品有限公司成立于2022-04-25，法定代表人为王卫霞，注册资本为600万元，统一社会信用代码为91440111MA7N4XGR5X，企业注册地址位于广州市白云区棠景棠溪大围鸭乸塘北街11号501房，所属行业为纺织服装、服饰业，经营范围包含：服装制造;针织或钩针编织物及其制品制造;家用纺织制成品制造;面料纺织加工;专业设计服务;服装辅料销售;鞋帽批发;服装服饰批发;服装服饰零售;鞋帽零售;箱包销售;五金产品批发;针纺织品销售;针纺织品及原料销售;互联网销售（除销售需要许可的商品）;技术服务、技术开发、技术咨询、技术交流、技术转让、技术推广;;货物进出口;技术进出口。企业当前经营状态为注销。</t>
  </si>
  <si>
    <t>服装制造;针织或钩针编织物及其制品制造;家用纺织制成品制造;面料纺织加工;专业设计服务;服装辅料销售;鞋帽批发;服装服饰批发;服装服饰零售;鞋帽零售;箱包销售;五金产品批发;针纺织品销售;针纺织品及原料销售;互联网销售（除销售需要许可的商品）;技术服务、技术开发、技术咨询、技术交流、技术转让、技术推广;;货物进出口;技术进出口</t>
  </si>
  <si>
    <t>郑州钰瑶纺织品有限公司</t>
  </si>
  <si>
    <t>91410103MA9L53WNXD</t>
  </si>
  <si>
    <t>张永威</t>
  </si>
  <si>
    <t>2022-04-24</t>
  </si>
  <si>
    <t>河南省郑州市二七区政通路66号升龙国际B区5号楼一单元1702</t>
  </si>
  <si>
    <t>二七区</t>
  </si>
  <si>
    <t>13783465576</t>
  </si>
  <si>
    <t>283728729@qq.com</t>
  </si>
  <si>
    <t>410103000815106</t>
  </si>
  <si>
    <t>MA9L53WN-X</t>
  </si>
  <si>
    <t>2022-04-24 至 无固定期限</t>
  </si>
  <si>
    <t>Zhengzhou Yuyao Textile Co., Ltd.</t>
  </si>
  <si>
    <t>郑州钰瑶纺织品有限公司成立于2022-04-24，法定代表人为张永威，注册资本为500万元，统一社会信用代码为91410103MA9L53WNXD，企业注册地址位于河南省郑州市二七区政通路66号升龙国际B区5号楼一单元1702，所属行业为批发业，经营范围包含：一般项目：针纺织品及原料销售；针纺织品销售；服装辅料销售；服装服饰批发；产业用纺织制成品销售；农副产品销售（除依法须经批准的项目外，凭营业执照依法自主开展经营活动）。企业当前经营状态为存续。</t>
  </si>
  <si>
    <t>一般项目：针纺织品及原料销售；针纺织品销售；服装辅料销售；服装服饰批发；产业用纺织制成品销售；农副产品销售（除依法须经批准的项目外，凭营业执照依法自主开展经营活动）</t>
  </si>
  <si>
    <t>郑州市二七区市场监督管理局</t>
  </si>
  <si>
    <t>广州朗布万服装有限公司</t>
  </si>
  <si>
    <t>91440113340155711J</t>
  </si>
  <si>
    <t>广州朗布万贸易有限公司</t>
  </si>
  <si>
    <t>注销（2025-03-21）</t>
  </si>
  <si>
    <t>何志璇</t>
  </si>
  <si>
    <t>2015-04-21</t>
  </si>
  <si>
    <t>广州市番禺区大石街大山富山路四街5号B302</t>
  </si>
  <si>
    <t>18924295537</t>
  </si>
  <si>
    <t>13450498986;18024556111</t>
  </si>
  <si>
    <t>987853344@qq.com</t>
  </si>
  <si>
    <t>2213734074@qq.com;18924295537@qq.com;416530724@qq.com</t>
  </si>
  <si>
    <t>440126000557433</t>
  </si>
  <si>
    <t>34015571-1</t>
  </si>
  <si>
    <t>2015-04-21 至 无固定期限</t>
  </si>
  <si>
    <t>Guangzhou Lang Buwan Clothing Co., Ltd.</t>
  </si>
  <si>
    <t>广州朗布万服装有限公司是一家外贸公司，主要国家是美国和澳大利亚，专业生产时尚女装，上衣，裙子，连衣裙等。提供现货供应、来样加工、来料加工、来图加工等服务，工厂有丰富的产品开发生产能力。</t>
  </si>
  <si>
    <t>针织或钩针编织服装制造;服饰制造;机织服装制造;服装辅料批发;商品零售贸易（许可审批类商品除外）;商品批发贸易（许可审批类商品除外）;货物进出口（专营专控商品除外）;技术进出口;纺织品、针织品及原料批发</t>
  </si>
  <si>
    <t>山东浩瀚石油化工有限公司</t>
  </si>
  <si>
    <t>91370305MA3RUJ483X</t>
  </si>
  <si>
    <t>淄博浩瀚石油化工有限公司</t>
  </si>
  <si>
    <t>注销（2024-12-27）</t>
  </si>
  <si>
    <t>姜静</t>
  </si>
  <si>
    <t>2020-04-21</t>
  </si>
  <si>
    <t>山东省青岛市黄岛区（原开发区罗浮山路224号内10栋01户）</t>
  </si>
  <si>
    <t>15621111535</t>
  </si>
  <si>
    <t>15621111535@163.com</t>
  </si>
  <si>
    <t>MA3RUJ48-3</t>
  </si>
  <si>
    <t>2020-04-21 至 无固定期限</t>
  </si>
  <si>
    <t>Shandong Haohan Petrochemical Co., Ltd.</t>
  </si>
  <si>
    <t>山东浩瀚石油化工有限公司成立于2020-04-21，法定代表人为姜静，注册资本为1000万元，统一社会信用代码为91370305MA3RUJ483X，企业注册地址位于山东省青岛市黄岛区（原开发区罗浮山路224号内10栋01户），所属行业为批发业，经营范围包含：一般项目：化工产品销售（不含许可类化工产品）；石油制品销售（不含危险化学品）；成品油批发（不含危险化学品）；塑料制品销售；橡胶制品销售；炼油、化工生产专用设备销售；金属矿石销售；金属材料销售；涂料销售（不含危险化学品）；技术服务、技术开发、技术咨询、技术交流、技术转让、技术推广。（除依法须经批准的项目外，凭营业执照依法自主开展经营活动）。企业当前经营状态为注销。</t>
  </si>
  <si>
    <t>一般项目：化工产品销售（不含许可类化工产品）；石油制品销售（不含危险化学品）；成品油批发（不含危险化学品）；塑料制品销售；橡胶制品销售；炼油、化工生产专用设备销售；金属矿石销售；金属材料销售；涂料销售（不含危险化学品）；技术服务、技术开发、技术咨询、技术交流、技术转让、技术推广。（除依法须经批准的项目外，凭营业执照依法自主开展经营活动）</t>
  </si>
  <si>
    <t>盐城天邦饲料科技有限公司</t>
  </si>
  <si>
    <t>9132090378559352X9</t>
  </si>
  <si>
    <t>贾光文</t>
  </si>
  <si>
    <t>6498万元</t>
  </si>
  <si>
    <t>2006-01-13</t>
  </si>
  <si>
    <t>盐城市盐都区盐龙街道龙乘南路7号（D）</t>
  </si>
  <si>
    <t>盐城市</t>
  </si>
  <si>
    <t>盐都区</t>
  </si>
  <si>
    <t>0515-88486787</t>
  </si>
  <si>
    <t>743750965@qq.com</t>
  </si>
  <si>
    <t>yctb123@163.com</t>
  </si>
  <si>
    <t>320928000025709</t>
  </si>
  <si>
    <t>78559352-X</t>
  </si>
  <si>
    <t>128</t>
  </si>
  <si>
    <t>2006-01-13 至 2036-06-30</t>
  </si>
  <si>
    <t>Yancheng tech-bank Feed Industry Co., Ltd.</t>
  </si>
  <si>
    <t>https://www.tianbang.com</t>
  </si>
  <si>
    <t>盐城天邦饲料科技有限公司成立于2006-01-13，法定代表人为贾光文，注册资本为6498万元，统一社会信用代码为9132090378559352X9，企业注册地址位于盐城市盐都区盐龙街道龙乘南路7号（D），所属行业为农副食品加工业，经营范围包含：饲料的研发、生产、销售，水产和畜禽饲养技术咨询服务，粮食收购与销售，农副产品收购（除鲜茧），租赁期内的水产养殖场开发与经营，租赁期内的鱼塘出租，自营和代理各类商品及技术的进出口业务（国家限定企业经营或禁止进出口的商品和技术除外）。（依法须经批准的项目，经相关部门批准后方可开展经营活动。）
一般项目：专用化学产品销售（不含危险化学品）（除依法须经批准的项目外，凭营业执照依法自主开展经营活动）。企业当前经营状态为在业。</t>
  </si>
  <si>
    <t>饲料的研发、生产、销售，水产和畜禽饲养技术咨询服务，粮食收购与销售，农副产品收购（除鲜茧），租赁期内的水产养殖场开发与经营，租赁期内的鱼塘出租，自营和代理各类商品及技术的进出口业务（国家限定企业经营或禁止进出口的商品和技术除外）。（依法须经批准的项目，经相关部门批准后方可开展经营活动。）
一般项目：专用化学产品销售（不含危险化学品）（除依法须经批准的项目外，凭营业执照依法自主开展经营活动）</t>
  </si>
  <si>
    <t>盐城市盐都区行政审批局</t>
  </si>
  <si>
    <t>河南牧原粮食贸易有限公司</t>
  </si>
  <si>
    <t>91411325MA446N0Q6L</t>
  </si>
  <si>
    <t>刘发展</t>
  </si>
  <si>
    <t>230000万元</t>
  </si>
  <si>
    <t>2017-07-21</t>
  </si>
  <si>
    <t>河南省内乡县灌涨镇灌罗路东侧</t>
  </si>
  <si>
    <t>内乡县</t>
  </si>
  <si>
    <t>15036299161</t>
  </si>
  <si>
    <t>18237755295</t>
  </si>
  <si>
    <t>940017059@qq.com</t>
  </si>
  <si>
    <t>lsmycwb@muyuanfoods.com</t>
  </si>
  <si>
    <t>411325000043873</t>
  </si>
  <si>
    <t>MA446N0Q-6</t>
  </si>
  <si>
    <t>75</t>
  </si>
  <si>
    <t>2017-07-21 至 无固定期限</t>
  </si>
  <si>
    <t>Henan Muyuan Grain Trade Co., Ltd.</t>
  </si>
  <si>
    <t>南阳市卧龙区龙升工业园牧原集团</t>
  </si>
  <si>
    <t>河南牧原粮食贸易有限公司成立于2017-07-21，法定代表人为刘发展，注册资本为230000万元，统一社会信用代码为91411325MA446N0Q6L，企业注册地址位于河南省内乡县灌涨镇灌罗路东侧，所属行业为批发业，经营范围包含：许可项目：粮食收购；食品经营（销售散装食品）；技术进出口；货物进出口；粮食加工食品生产；农作物种子经营（依法须经批准的项目，经相关部门批准后方可开展经营活动，具体经营项目以相关部门批准文件或许可证件为准）一般项目：农产品的生产、销售、加工、运输、贮藏及其他相关服务；饲料原料销售；饲料添加剂销售；畜牧渔业饲料销售；农副产品销售；初级农产品收购；贸易经纪；农作物种子经营（仅限不再分装的包装种子）（除依法须经批准的项目外，凭营业执照依法自主开展经营活动）。企业当前经营状态为存续。</t>
  </si>
  <si>
    <t>许可项目：粮食收购；食品经营（销售散装食品）；技术进出口；货物进出口；粮食加工食品生产；农作物种子经营（依法须经批准的项目，经相关部门批准后方可开展经营活动，具体经营项目以相关部门批准文件或许可证件为准）一般项目：农产品的生产、销售、加工、运输、贮藏及其他相关服务；饲料原料销售；饲料添加剂销售；畜牧渔业饲料销售；农副产品销售；初级农产品收购；贸易经纪；农作物种子经营（仅限不再分装的包装种子）（除依法须经批准的项目外，凭营业执照依法自主开展经营活动）</t>
  </si>
  <si>
    <t>南阳市内乡县市场监督管理局</t>
  </si>
  <si>
    <t>广州东宇纺织科技有限公司</t>
  </si>
  <si>
    <t>91440101MA59DR2L3E</t>
  </si>
  <si>
    <t>张晓鑫</t>
  </si>
  <si>
    <t>728万元</t>
  </si>
  <si>
    <t>2016-07-13</t>
  </si>
  <si>
    <t>广州市海珠区逸景路464号101房自编10592、10593号商铺</t>
  </si>
  <si>
    <t>海珠区</t>
  </si>
  <si>
    <t>020-89666887</t>
  </si>
  <si>
    <t>13711180763;13662313284</t>
  </si>
  <si>
    <t>2992865896@qq.com</t>
  </si>
  <si>
    <t>feng88598448@126.com;616025424@qq.com</t>
  </si>
  <si>
    <t>440101000443740</t>
  </si>
  <si>
    <t>MA59DR2L-3</t>
  </si>
  <si>
    <t>28</t>
  </si>
  <si>
    <t>2016-07-13 至 无固定期限</t>
  </si>
  <si>
    <t>Guangzhou Dongyu Textile Technology Co., Ltd.</t>
  </si>
  <si>
    <t>广州东宇纺织科技有限公司成立于2016-07-13，法定代表人为张晓鑫，注册资本为1000万元，统一社会信用代码为91440101MA59DR2L3E，企业注册地址位于广州市海珠区逸景路464号101房自编10592、10593号商铺，所属行业为研究和试验发展，经营范围包含：纺织科学技术研究服务;纺织品、针织品及原料批发;服装批发;服装辅料批发;鞋批发;帽批发;商品批发贸易（许可审批类商品除外）;纺织品及针织品零售;服装零售;服装辅料零售;鞋零售;帽零售;日用杂品综合零售;商品零售贸易（许可审批类商品除外）;酒类零售。企业当前经营状态为存续。</t>
  </si>
  <si>
    <t>纺织科学技术研究服务;纺织品、针织品及原料批发;服装批发;服装辅料批发;鞋批发;帽批发;商品批发贸易（许可审批类商品除外）;纺织品及针织品零售;服装零售;服装辅料零售;鞋零售;帽零售;日用杂品综合零售;商品零售贸易（许可审批类商品除外）;酒类零售</t>
  </si>
  <si>
    <t>广州市海珠区市场监督管理局</t>
  </si>
  <si>
    <t>山东新希望六和集团有限公司</t>
  </si>
  <si>
    <t>91370200264807748N</t>
  </si>
  <si>
    <t>山东六和集团有限公司</t>
  </si>
  <si>
    <t>孙林</t>
  </si>
  <si>
    <t>407544.993182万元</t>
  </si>
  <si>
    <t>52000万元</t>
  </si>
  <si>
    <t>1995-07-10</t>
  </si>
  <si>
    <t>山东省青岛市崂山区九水东路592-26号3号楼4楼</t>
  </si>
  <si>
    <t>0532-58585566</t>
  </si>
  <si>
    <t>0532-88895566;0532-80990112;18653288381;0532-80993670</t>
  </si>
  <si>
    <t>xxwlhda@newhope.cn</t>
  </si>
  <si>
    <t>liuhe@liuhe.com</t>
  </si>
  <si>
    <t>370200228057755</t>
  </si>
  <si>
    <t>26480774-8</t>
  </si>
  <si>
    <t>1995-07-10 至 无固定期限</t>
  </si>
  <si>
    <t>医药制造业</t>
  </si>
  <si>
    <t>兽用药品制造</t>
  </si>
  <si>
    <t>Shandong Newhope Liuhe Group Co., Ltd.</t>
  </si>
  <si>
    <t>https://www.newhopeagri.com/lh/productbrand.html</t>
  </si>
  <si>
    <t>山东新希望六和集团有限公司成立于1995年，总部位于美丽的海滨城市青岛，主营业务涉及饲料生产、食品加工、种畜禽繁育、进出口贸易、养殖担保等产业。目前，山东六和集团有下属企业近300家，员工5万多人，2010年集团销售收入507亿元。先后荣获农业产业化国家重点龙头企业、全国食品放心企业、中国肉类工业最具影响力品牌、中国肉类产业最具价值品牌等荣誉称号。2005年六和商标荣获“中国驰名商标”。2009年集团技术中心通过“国家认定企业技术中心”评审，2011年集团质量安全检测中心通过国家实验室认可。山东六和集团产业结构以肉禽产业链为主要构架，致力于构建可追溯的全产业链，为消费者提供安全放心食品。试点各公司相继通过了“ISO9001质量管理认证”和“ISO22000食品安全认证”、“ISO14001环境认证”、 “18001职业健康安全认证” 和“标准化良好行为企业认证”。集团的饲料产业从山东起步，已逐步扩展到华东、华中、华北、东北、西北等近二十个省市区，现生产鸡、鸭、猪、水产各类饲料十几大系列，预混料、浓缩料、配合料等100多个品种。禽料、水产料先后获得了“中国名牌”称号。肉食产业全力打造可追溯的食品安全体系，冷冻、冰鲜、熟食等200多个肉食品种，畅销全国各地，形成了上海、北京、武汉、广州、南京、江苏等十几个重点市场。六和禽肉获国家无公害农产品认定证书。六和禽肉等产品分割标准被选定为国家制定等级规格标准的依据。六和熟食2010年入选为上海世界博览会专供产品，部分产品出口日本。养殖产业涉及种鸡、种鸭、种猪、商品鸡等，均立足于品种与技术高端，在科研、应用、推广上，重点投入，率先发展，并努力探索安全环保、降本增效、切合中国实际的先进技术和创新模式，不断为客户创造价值。商贸原料部通过与世界500强企业共建粮食基地，与全国商业巨头共建物流营销平台，保障了企业自身的原料供应及同行原料的安全、优质、便捷。金融担保体系不断优化布局，不但对接金融部门为养殖户提供担保贷款，而且整合山东六和及其它资源为养殖业优质客户提供技术、供销、结算等多种服务。“打造世界级农牧企业”是集团的发展目标，“善、干、学、和”是山东六和集团的核心价值理念，集团将坚守自己优秀的企业文化，努力承担社会责任和行业责任，顽强拼搏，开拓创新，不断为社会提供安全、放心、优质的产品，为产业及大众提供贴心、便捷、优质的服务。</t>
  </si>
  <si>
    <t>进出口业务（以中华人民共和国对外贸易经济合作部核准的进出口商品目录为准）；饲料药物添加剂销售；饲料原料经营；企业管理咨询服务；农产品收购；农作物的种植及农产品的销售；厂房及设备租赁；以下限分支机构经营：肉食品加工、销售；饲料原料、兽药、鸡辅料生产加工、销售；畜禽配合饲料、浓缩饲料；种禽的加工孵化、生产经营；种鸡养殖技术咨询服务；禽肉产品质量技术检测；粮食收购；动物育种、饲养；兽医咨询；餐饮连锁店经营；仓储服务（不含危险品及违禁品）；企业管理类教育培训；食品经营。（依法须经批准的项目，经相关部门批准后方可开展经营活动）。</t>
  </si>
  <si>
    <t>青岛市市场监督管理局</t>
  </si>
  <si>
    <t>高密市鲁润纺织有限公司</t>
  </si>
  <si>
    <t>91370785MA3Q04TW37</t>
  </si>
  <si>
    <t>注销（2025-12-15）</t>
  </si>
  <si>
    <t>姜际林</t>
  </si>
  <si>
    <t>2019-06-13</t>
  </si>
  <si>
    <t>山东省潍坊市高密市高密经济开发区康成大街（东）6688号</t>
  </si>
  <si>
    <t>高密市</t>
  </si>
  <si>
    <t>13386362636</t>
  </si>
  <si>
    <t>13386362638</t>
  </si>
  <si>
    <t>838151395@qq.com</t>
  </si>
  <si>
    <t>MA3Q04TW-3</t>
  </si>
  <si>
    <t>2019-06-13 至 无固定期限</t>
  </si>
  <si>
    <t>Gaomi Lurun Textile Co., Ltd.</t>
  </si>
  <si>
    <t>高密市鲁润纺织有限公司成立于2019-06-13，法定代表人为姜际林，注册资本为400万元，统一社会信用代码为91370785MA3Q04TW37，企业注册地址位于山东省潍坊市高密市高密经济开发区康成大街（东）6688号，所属行业为纺织业，经营范围包含：纺纱、织布；销售棉花、纺织配件。（依法须经批准的项目，经相关部门批准后方可开展经营活动）。企业当前经营状态为注销。</t>
  </si>
  <si>
    <t>纺纱、织布；销售棉花、纺织配件。（依法须经批准的项目，经相关部门批准后方可开展经营活动）</t>
  </si>
  <si>
    <t>高密市市场监督管理局</t>
  </si>
  <si>
    <t>湖南佳和生物饲料有限公司</t>
  </si>
  <si>
    <t>914301225765726501</t>
  </si>
  <si>
    <t>雍国清</t>
  </si>
  <si>
    <t>1753万元</t>
  </si>
  <si>
    <t>2011-06-10</t>
  </si>
  <si>
    <t>长沙市望城区丁字湾街道石韵社区长沙市农资商品中心储备库加工车间0817638栋</t>
  </si>
  <si>
    <t>13874916604</t>
  </si>
  <si>
    <t>0731-88401001;13788401001</t>
  </si>
  <si>
    <t>1007892527@qq.com</t>
  </si>
  <si>
    <t>21586376@qq.com;bgsswsl@hnjnm.com;bgsswsl@hnjhnm.com;408910905@qq.com</t>
  </si>
  <si>
    <t>430122000031339</t>
  </si>
  <si>
    <t>57657265-0</t>
  </si>
  <si>
    <t>2011-06-10 至 2057-06-09</t>
  </si>
  <si>
    <t>Hunan Jiahe Biological Feed Co., Ltd.</t>
  </si>
  <si>
    <t>长沙市望城区丁字湾街道佳和农牧</t>
  </si>
  <si>
    <t>湖南佳和生物饲料有限公司成立于2011-06-10，法定代表人为雍国清，注册资本为1753万元，统一社会信用代码为914301225765726501，企业注册地址位于长沙市望城区丁字湾街道石韵社区长沙市农资商品中心储备库加工车间0817638栋，所属行业为零售业，经营范围包含：许可项目：饲料生产。（依法须经批准的项目，经相关部门批准后方可开展经营活动，具体经营项目以相关部门批准文件或许可证件为准）一般项目：生物饲料研发；畜牧渔业饲料销售；饲料原料销售；技术服务、技术开发、技术咨询、技术交流、技术转让、技术推广；货物进出口；进出口代理；仓储设备租赁服务；机械设备租赁；办公设备租赁服务。（除依法须经批准的项目外，凭营业执照依法自主开展经营活动）。企业当前经营状态为存续。</t>
  </si>
  <si>
    <t>许可项目：饲料生产。（依法须经批准的项目，经相关部门批准后方可开展经营活动，具体经营项目以相关部门批准文件或许可证件为准）一般项目：生物饲料研发；畜牧渔业饲料销售；饲料原料销售；技术服务、技术开发、技术咨询、技术交流、技术转让、技术推广；货物进出口；进出口代理；仓储设备租赁服务；机械设备租赁；办公设备租赁服务。（除依法须经批准的项目外，凭营业执照依法自主开展经营活动）</t>
  </si>
  <si>
    <t>山东拓达毛纺股份有限公司</t>
  </si>
  <si>
    <t>91371721MA3DQT89X0</t>
  </si>
  <si>
    <t>曹县拓达毛纺有限公司</t>
  </si>
  <si>
    <t>马洪斌</t>
  </si>
  <si>
    <t>2017-05-27</t>
  </si>
  <si>
    <t>山东省菏泽市曹县王集镇李庄村</t>
  </si>
  <si>
    <t>曹县</t>
  </si>
  <si>
    <t>13869753618</t>
  </si>
  <si>
    <t>13625400000;0530-3443336;0530-6126699</t>
  </si>
  <si>
    <t>13869753618@qq.com</t>
  </si>
  <si>
    <t>77563980@qq.com;1925007738@qq.com;13561363979@163.com</t>
  </si>
  <si>
    <t>371721200102739</t>
  </si>
  <si>
    <t>MA3DQT89-X</t>
  </si>
  <si>
    <t>2017-05-27 至 无固定期限</t>
  </si>
  <si>
    <t>毛皮鞣制及制品加工</t>
  </si>
  <si>
    <t>其他毛皮制品加工</t>
  </si>
  <si>
    <t>Shandong Tuoda Wool Textile Co., Ltd.</t>
  </si>
  <si>
    <t>山东拓达毛纺股份有限公司成立于2017-05-27，法定代表人为马洪斌，注册资本为300万元，统一社会信用代码为91371721MA3DQT89X0，企业注册地址位于山东省菏泽市曹县王集镇李庄村，所属行业为皮革、毛皮、羽毛及其制品和制鞋业，经营范围包含：碳化毛、羊绒、毛条、毛纱、冼净毛、羊毛脂、皮毛、服装、服饰加工与销售；羊毛购销；本企业经营产品及技术的进出口业务；电子商务服务（依法须经批准的项目，经相关部门批准后方可开展经营活动）。企业当前经营状态为在业。</t>
  </si>
  <si>
    <t>碳化毛、羊绒、毛条、毛纱、冼净毛、羊毛脂、皮毛、服装、服饰加工与销售；羊毛购销；本企业经营产品及技术的进出口业务；电子商务服务（依法须经批准的项目，经相关部门批准后方可开展经营活动）</t>
  </si>
  <si>
    <t>武汉裕大华纺织服装集团有限公司</t>
  </si>
  <si>
    <t>91420100177712118Q</t>
  </si>
  <si>
    <t>武汉裕大华纺织服装集团股份有限公司,
武汉裕大华集团股份有限公司,
武汉裕大华实业股份有限公司,
武汉市第四棉纺织厂,
武汉四棉松华公司</t>
  </si>
  <si>
    <t>唐德风</t>
  </si>
  <si>
    <t>176959万元</t>
  </si>
  <si>
    <t>76959万元</t>
  </si>
  <si>
    <t>1990-06-06</t>
  </si>
  <si>
    <t>武汉市蔡甸区五贤路5号（蔡甸街幺铺村红光村）</t>
  </si>
  <si>
    <t>蔡甸区</t>
  </si>
  <si>
    <t>027-88222725</t>
  </si>
  <si>
    <t>027-69905808;13296600882</t>
  </si>
  <si>
    <t>ydh027@126.com</t>
  </si>
  <si>
    <t>106894841@qq.com;1039667441@qq.com</t>
  </si>
  <si>
    <t>420100000152309</t>
  </si>
  <si>
    <t>17771211-8</t>
  </si>
  <si>
    <t>273</t>
  </si>
  <si>
    <t>1990-06-06 至 无固定期限</t>
  </si>
  <si>
    <t>Wuhan Yudahua Textile and Garment Group Co., Ltd.</t>
  </si>
  <si>
    <t>https://www.yudahua.com.cn</t>
  </si>
  <si>
    <t>武汉裕大华纺织服装集团有限公司是武汉地区独树一帜的国有纺织服装企业，产品包括特色纱线、高档面料、定制服装、潮流服饰等。</t>
  </si>
  <si>
    <t>一般项目：面料纺织加工,针纺织品及原料销售,针纺织品销售,棉、麻销售,产业用纺织制成品销售,服装服饰批发,服装服饰零售,货物进出口,国内贸易代理,日用品销售,住房租赁,非居住房地产租赁,农产品的生产、销售、加工、运输、贮藏及其他相关服务,生物基材料销售,金属材料销售,有色金属合金销售,建筑用钢筋产品销售,农副产品销售,石油制品销售（不含危险化学品）,纸浆销售,纸制品销售,煤炭及制品销售（禁燃区内不得含有原煤、散煤、煤矸石、煤泥、煤粉、水煤浆、型煤、焦炭、兰炭等）,计算机软硬件及辅助设备零售,食用农产品批发,电子产品销售,初级农产品收购,食品销售（仅销售预包装食品）,食品互联网销售（仅销售预包装食品）。（除许可业务外，可自主依法经营法律法规非禁止或限制的项目）</t>
  </si>
  <si>
    <t>武汉市蔡甸区市场监督管理局</t>
  </si>
  <si>
    <t>道道全粮油岳阳有限公司</t>
  </si>
  <si>
    <t>91430600085439054D</t>
  </si>
  <si>
    <t>刘建军</t>
  </si>
  <si>
    <t>2013-12-16</t>
  </si>
  <si>
    <t>湖南岳阳城陵矶新港区长江大道松阳湖南路</t>
  </si>
  <si>
    <t>岳阳楼区</t>
  </si>
  <si>
    <t>0730-3068681</t>
  </si>
  <si>
    <t>15973028651;13973068609</t>
  </si>
  <si>
    <t>1622847607@q9.com</t>
  </si>
  <si>
    <t>1622847607@qq.com;3186944896@qq.com;290846010@qq.com;58189471@qq.com;1005129530@qq.com</t>
  </si>
  <si>
    <t>430600000077851</t>
  </si>
  <si>
    <t>08543905-4</t>
  </si>
  <si>
    <t>241</t>
  </si>
  <si>
    <t>2013-12-16 至 无固定期限</t>
  </si>
  <si>
    <t>Daodaoquan Grains and Oils Yueyang Co., Ltd.</t>
  </si>
  <si>
    <t>道道全粮油岳阳有限公司成立于2013-12-16，法定代表人为刘建军，注册资本为10000万元，统一社会信用代码为91430600085439054D，企业注册地址位于湖南岳阳城陵矶新港区长江大道松阳湖南路，所属行业为农副食品加工业，经营范围包含：一般项目：粮食收购；食品用塑料包装容器工具制品销售；粮油仓储服务；初级农产品收购；农副产品销售；食品进出口；普通货物仓储服务（不含危险化学品等需许可审批的项目）；运输货物打包服务；农产品的生产、销售、加工、运输、贮藏及其他相关服务（除依法须经批准的项目外，凭营业执照依法自主开展经营活动）。许可项目：食品用塑料包装容器工具制品生产；食品生产；粮食加工食品生产；食品销售；食品添加剂生产；道路货物运输（不含危险货物）；城市配送运输服务（不含危险货物）（依法须经批准的项目，经相关部门批准后方可开展经营活动，具体经营项目以相关部门批准文件或许可证件为准）。企业当前经营状态为存续。</t>
  </si>
  <si>
    <t>一般项目：粮食收购；食品用塑料包装容器工具制品销售；粮油仓储服务；初级农产品收购；农副产品销售；食品进出口；普通货物仓储服务（不含危险化学品等需许可审批的项目）；运输货物打包服务；农产品的生产、销售、加工、运输、贮藏及其他相关服务（除依法须经批准的项目外，凭营业执照依法自主开展经营活动）。许可项目：食品用塑料包装容器工具制品生产；食品生产；粮食加工食品生产；食品销售；食品添加剂生产；道路货物运输（不含危险货物）；城市配送运输服务（不含危险货物）（依法须经批准的项目，经相关部门批准后方可开展经营活动，具体经营项目以相关部门批准文件或许可证件为准）。</t>
  </si>
  <si>
    <t>岳阳市市场监督管理局城陵矶新港区分局</t>
  </si>
  <si>
    <t>广州市晔联纺织品有限公司</t>
  </si>
  <si>
    <t>914401067371638404</t>
  </si>
  <si>
    <t>注销（2025-11-28）</t>
  </si>
  <si>
    <t>黄达胜</t>
  </si>
  <si>
    <t>101万元</t>
  </si>
  <si>
    <t>91万元</t>
  </si>
  <si>
    <t>2002-04-08</t>
  </si>
  <si>
    <t>广州市天河区车陂路70号519室（仅限办公）</t>
  </si>
  <si>
    <t>天河区</t>
  </si>
  <si>
    <t>13600007699</t>
  </si>
  <si>
    <t>13923091376;020-85271506;13602714000</t>
  </si>
  <si>
    <t>1213962670@qq.com</t>
  </si>
  <si>
    <t>792771531@qq.com;yelianfz@21cn.com</t>
  </si>
  <si>
    <t>440106000389936</t>
  </si>
  <si>
    <t>73716384-0</t>
  </si>
  <si>
    <t>2002-04-08 至 无固定期限</t>
  </si>
  <si>
    <t>Guangzhou YELIAN Textiles Co., Ltd.</t>
  </si>
  <si>
    <t>广州市晔联纺织品有限公司成立于2002-04-08，法定代表人为黄达胜，注册资本为101万元，统一社会信用代码为914401067371638404，企业注册地址位于广州市天河区车陂路70号519室（仅限办公），所属行业为批发业，经营范围包含：纺织品、针织品及原料批发;技术进出口;货物进出口（专营专控商品除外）。企业当前经营状态为注销。</t>
  </si>
  <si>
    <t>纺织品、针织品及原料批发;技术进出口;货物进出口（专营专控商品除外）</t>
  </si>
  <si>
    <t>广州市天河区市场监督管理局</t>
  </si>
  <si>
    <t>通标标准技术服务（青岛）有限公司</t>
  </si>
  <si>
    <t>91370212MA3CDTCC8R</t>
  </si>
  <si>
    <t>蔡文辉</t>
  </si>
  <si>
    <t>12000万元</t>
  </si>
  <si>
    <t>2016-07-15</t>
  </si>
  <si>
    <t>山东省青岛市崂山区株洲路143号通标中心</t>
  </si>
  <si>
    <t>0532-68999888</t>
  </si>
  <si>
    <t>0532-68999300;0532-68999491;0532-68999212;0532-68999562;18561952571</t>
  </si>
  <si>
    <t>hunt.wang@sgs.com</t>
  </si>
  <si>
    <t>joy.xu@sgs.com;annie.sun@sgs.com;jerry.jia@sgs.com</t>
  </si>
  <si>
    <t>有限责任公司（外商投资企业法人独资）</t>
  </si>
  <si>
    <t>370212020004224</t>
  </si>
  <si>
    <t>MA3CDTCC-8</t>
  </si>
  <si>
    <t>1009</t>
  </si>
  <si>
    <t>2016-07-15 至 无固定期限</t>
  </si>
  <si>
    <t>SGS-CSTC Standards Technical Services (Qingdao) Co., Ltd.</t>
  </si>
  <si>
    <t>https://www.sgsgroup.com.cn</t>
  </si>
  <si>
    <t>通标标准技术服务（青岛）有限公司成立于2016-07-15，法定代表人为蔡文辉，注册资本为12000万元，统一社会信用代码为91370212MA3CDTCC8R，企业注册地址位于山东省青岛市崂山区株洲路143号通标中心，所属行业为科学研究和技术服务业，经营范围包含：一般项目：计量技术服务；标准化服务；技术服务、技术开发、技术咨询、技术交流、技术转让、技术推广；信息咨询服务（不含许可类信息咨询服务）；专业保洁、清洗、消毒服务；林业有害生物防治服务；机械设备租赁；市场调查（不含涉外调查）；进出口商品检验鉴定；技术进出口；货物进出口；环保咨询服务；节能管理服务；企业管理；国际货物运输代理；自然科学研究和试验发展；医学研究和试验发展；工程和技术研究和试验发展；企业管理咨询；社会经济咨询服务；业务培训（不含教育培训、职业技能培训等需取得许可的培训）。（除依法须经批准的项目外，凭营业执照依法自主开展经营活动）许可项目：检验检测服务；安全评价业务；职业卫生技术服务；认证服务；建设工程质量检测；医疗服务；医疗美容服务；生活美容服务。（依法须经批准的项目，经相关部门批准后方可开展经营活动，具体经营项目以相关部门批准文件或许可证件为准）。企业当前经营状态为在业。</t>
  </si>
  <si>
    <t>一般项目：计量技术服务；标准化服务；技术服务、技术开发、技术咨询、技术交流、技术转让、技术推广；信息咨询服务（不含许可类信息咨询服务）；专业保洁、清洗、消毒服务；林业有害生物防治服务；机械设备租赁；市场调查（不含涉外调查）；进出口商品检验鉴定；技术进出口；货物进出口；环保咨询服务；节能管理服务；企业管理；国际货物运输代理；自然科学研究和试验发展；医学研究和试验发展；工程和技术研究和试验发展；企业管理咨询；社会经济咨询服务；业务培训（不含教育培训、职业技能培训等需取得许可的培训）。（除依法须经批准的项目外，凭营业执照依法自主开展经营活动）许可项目：检验检测服务；安全评价业务；职业卫生技术服务；认证服务；建设工程质量检测；医疗服务；医疗美容服务；生活美容服务。（依法须经批准的项目，经相关部门批准后方可开展经营活动，具体经营项目以相关部门批准文件或许可证件为准）</t>
  </si>
  <si>
    <t>费县上冶镇明大多层板厂</t>
  </si>
  <si>
    <t>91371325L290722030</t>
  </si>
  <si>
    <t>任继平</t>
  </si>
  <si>
    <t>2014-09-30</t>
  </si>
  <si>
    <t>18654973777</t>
  </si>
  <si>
    <t>0539-5812999;18653965888;15866976588</t>
  </si>
  <si>
    <t>18654973777@163.com</t>
  </si>
  <si>
    <t>mingdamuye728@163.com</t>
  </si>
  <si>
    <t>371325300023515</t>
  </si>
  <si>
    <t>L2907220-3</t>
  </si>
  <si>
    <t>Feixian Shangye Town Mingda Multiply Laminate Factory.</t>
  </si>
  <si>
    <t>木材经营；加工销售：胶合板、木工板、装饰贴面板、木门、木地板、家俱板、家倶及家倶配件、人造板、三聚氰胺板；货物及技术进出口。（依法须经批准的项目，经相关部门批准后方可开展经营活动）</t>
  </si>
  <si>
    <t>江苏金夏纺织有限公司</t>
  </si>
  <si>
    <t>91321023141052883L</t>
  </si>
  <si>
    <t>江苏金夏集团有限公司</t>
  </si>
  <si>
    <t>张春阳</t>
  </si>
  <si>
    <t>3630.4万元</t>
  </si>
  <si>
    <t>1996-12-22</t>
  </si>
  <si>
    <t>宝应县夏集镇东岳路22号</t>
  </si>
  <si>
    <t>扬州市</t>
  </si>
  <si>
    <t>宝应县</t>
  </si>
  <si>
    <t>0514-88721075</t>
  </si>
  <si>
    <t>13305276727</t>
  </si>
  <si>
    <t>350264115@qq.com</t>
  </si>
  <si>
    <t>1712688492@qq.com</t>
  </si>
  <si>
    <t>321023000040385</t>
  </si>
  <si>
    <t>14105288-3</t>
  </si>
  <si>
    <t>49</t>
  </si>
  <si>
    <t>1996-12-22 至 2026-12-21</t>
  </si>
  <si>
    <t>Jiangsu Jinxia Textile Co., Ltd.</t>
  </si>
  <si>
    <t>宝应县夏集镇工业集中区振兴路</t>
  </si>
  <si>
    <t>江苏金夏纺织有限公司成立于1996-12-22，法定代表人为张春阳，注册资本为3630.4万元，统一社会信用代码为91321023141052883L，企业注册地址位于宝应县夏集镇东岳路22号，所属行业为纺织业，经营范围包含：棉花加工；棉花收购；皮棉、短绒、棉纱、气纺纱纸管加工；自营和代理各类商品及技术的进出口业务，国家限定企业经营或禁止进出口的商品和技术除外。日用口罩（非医用）生产；日用口罩（非医用）销售；劳动保护用品生产；劳动保护用品销售（依法须经批准的项目，经相关部门批准后方可开展经营活动）一般项目：产业用纺织制成品生产；产业用纺织制成品销售（除依法须经批准的项目外，凭营业执照依法自主开展经营活动）。企业当前经营状态为存续。</t>
  </si>
  <si>
    <t>棉花加工；棉花收购；皮棉、短绒、棉纱、气纺纱纸管加工；自营和代理各类商品及技术的进出口业务，国家限定企业经营或禁止进出口的商品和技术除外。日用口罩（非医用）生产；日用口罩（非医用）销售；劳动保护用品生产；劳动保护用品销售（依法须经批准的项目，经相关部门批准后方可开展经营活动）一般项目：产业用纺织制成品生产；产业用纺织制成品销售（除依法须经批准的项目外，凭营业执照依法自主开展经营活动）</t>
  </si>
  <si>
    <t>宝应县行政审批局</t>
  </si>
  <si>
    <t>江苏聚棉电子商务有限公司</t>
  </si>
  <si>
    <t>91320592MA1YU6106D</t>
  </si>
  <si>
    <t>何芳</t>
  </si>
  <si>
    <t>2019-08-02</t>
  </si>
  <si>
    <t>张家港保税区江南仓储503室</t>
  </si>
  <si>
    <t>0512-56308917</t>
  </si>
  <si>
    <t>13962230998</t>
  </si>
  <si>
    <t>185351915@qq.com</t>
  </si>
  <si>
    <t>MA1YU610-6</t>
  </si>
  <si>
    <t>2019-08-02 至 无固定期限</t>
  </si>
  <si>
    <t>Jiangsu Jumian E-COMMERCE Co., Ltd.</t>
  </si>
  <si>
    <t>https://www.mcotway.com</t>
  </si>
  <si>
    <t>张家港保税区北京路东首栋国大厦</t>
  </si>
  <si>
    <t>江苏聚棉电子商务有限公司成立于2019-08-02，法定代表人为何芳，注册资本为2000万元，统一社会信用代码为91320592MA1YU6106D，企业注册地址位于张家港保税区江南仓储503室，所属行业为批发和零售业，经营范围包含：针纺织原料及产品、服装及辅料、化工原料及产品（危险化学品除外）、饲料及原料、五金交电、家具、金属材料及制品、纸制品、塑料制品、木材及制品、建材、建筑装饰材料、矿产品、机械设备及零部件、农副产品（食品除外）、汽车及零部件的购销（含网上销售）；食品销售；软件开发；货运配载信息咨询服务；供应链管理；货运代理，货运代办；货物或技术进出口（国家禁止或涉及行政审批的货物和技术进出口除外）；与贸易有关的代理服务。（依法须经批准的项目，经相关部门批准后方可开展经营活动）一般项目：信息咨询服务（不含许可类信息咨询服务）（除依法须经批准的项目外，凭营业执照依法自主开展经营活动）。企业当前经营状态为存续。</t>
  </si>
  <si>
    <t>针纺织原料及产品、服装及辅料、化工原料及产品（危险化学品除外）、饲料及原料、五金交电、家具、金属材料及制品、纸制品、塑料制品、木材及制品、建材、建筑装饰材料、矿产品、机械设备及零部件、农副产品（食品除外）、汽车及零部件的购销（含网上销售）；食品销售；软件开发；货运配载信息咨询服务；供应链管理；货运代理，货运代办；货物或技术进出口（国家禁止或涉及行政审批的货物和技术进出口除外）；与贸易有关的代理服务。（依法须经批准的项目，经相关部门批准后方可开展经营活动）一般项目：信息咨询服务（不含许可类信息咨询服务）（除依法须经批准的项目外，凭营业执照依法自主开展经营活动）</t>
  </si>
  <si>
    <t>张家港杰林木业有限公司</t>
  </si>
  <si>
    <t>91320582MA1NY1H142</t>
  </si>
  <si>
    <t>伍金灿</t>
  </si>
  <si>
    <t>508万元</t>
  </si>
  <si>
    <t>500.72万元</t>
  </si>
  <si>
    <t>2017-05-08</t>
  </si>
  <si>
    <t>张家港市金港街道香山南路东侧（张家港木头人供应链有限公司）A区60号</t>
  </si>
  <si>
    <t>18962212831</t>
  </si>
  <si>
    <t>17706242016;18962296867</t>
  </si>
  <si>
    <t>954183711@qq.com</t>
  </si>
  <si>
    <t>18962212831@163.com;1838644565@qq.com</t>
  </si>
  <si>
    <t>320582000464163</t>
  </si>
  <si>
    <t>MA1NY1H1-4</t>
  </si>
  <si>
    <t>2017-05-08 至 无固定期限</t>
  </si>
  <si>
    <t>Zhangjiagang Jielin Wood Industry Co., Ltd.</t>
  </si>
  <si>
    <t>张家港杰林木业有限公司成立于2017-05-08，法定代表人为伍金灿，注册资本为508万元，统一社会信用代码为91320582MA1NY1H142，企业注册地址位于张家港市金港街道香山南路东侧（张家港木头人供应链有限公司）A区60号，所属行业为木材加工和木、竹、藤、棕、草制品业，经营范围包含：许可项目：建设工程施工；建设工程设计；道路货物运输（不含危险货物）（依法须经批准的项目，经相关部门批准后方可开展经营活动，具体经营项目以审批结果为准）
一般项目：木材销售；木材收购；林业产品销售；软木制品销售；日用木制品销售；家具销售；工艺美术品及礼仪用品销售（象牙及其制品除外）；建筑材料销售；建筑装饰材料销售；互联网销售（除销售需要许可的商品）；货物进出口；技术进出口；进出口代理；园林绿化工程施工；对外承包工程；普通货物仓储服务（不含危险化学品等需许可审批的项目）；五金产品批发；电线、电缆经营；电气设备销售；塑料制品销售；电器辅件销售；家用电器销售；家用电器零配件销售；橡胶制品销售；日用百货销售；特种劳动防护用品销售（除依法须经批准的项目外，凭营业执照依法自主开展经营活动）。企业当前经营状态为在业。</t>
  </si>
  <si>
    <t>许可项目：建设工程施工；建设工程设计；道路货物运输（不含危险货物）（依法须经批准的项目，经相关部门批准后方可开展经营活动，具体经营项目以审批结果为准）
一般项目：木材销售；木材收购；林业产品销售；软木制品销售；日用木制品销售；家具销售；工艺美术品及礼仪用品销售（象牙及其制品除外）；建筑材料销售；建筑装饰材料销售；互联网销售（除销售需要许可的商品）；货物进出口；技术进出口；进出口代理；园林绿化工程施工；对外承包工程；普通货物仓储服务（不含危险化学品等需许可审批的项目）；五金产品批发；电线、电缆经营；电气设备销售；塑料制品销售；电器辅件销售；家用电器销售；家用电器零配件销售；橡胶制品销售；日用百货销售；特种劳动防护用品销售（除依法须经批准的项目外，凭营业执照依法自主开展经营活动）</t>
  </si>
  <si>
    <t>张家港万桦春木材有限公司</t>
  </si>
  <si>
    <t>91320592MA1X50BH5C</t>
  </si>
  <si>
    <t>方赛锋</t>
  </si>
  <si>
    <t>498.9万元</t>
  </si>
  <si>
    <t>2018-09-04</t>
  </si>
  <si>
    <t>张家港市金港镇南沙香山南路西侧星海货柜公司办公楼8303室</t>
  </si>
  <si>
    <t>18250510053</t>
  </si>
  <si>
    <t>15501635785;15250396067</t>
  </si>
  <si>
    <t>18250510053@163.com</t>
  </si>
  <si>
    <t>320592000134528</t>
  </si>
  <si>
    <t>MA1X50BH-5</t>
  </si>
  <si>
    <t>2018-09-04 至 无固定期限</t>
  </si>
  <si>
    <t>Zhangjiagang Wanhuachun Wood Co., Ltd.</t>
  </si>
  <si>
    <t>张家港万桦春木材有限公司成立于2018-09-04，法定代表人为方赛锋，注册资本为500万元，统一社会信用代码为91320592MA1X50BH5C，企业注册地址位于张家港市金港镇南沙香山南路西侧星海货柜公司办公楼8303室，所属行业为批发业，经营范围包含：木材、板材、木制品、家具、工艺品、建材的购销，货物或技术进出口（国家禁止或涉及行政审批的货物和技术进出口除外）；园林绿化工程设计、施工；仿古建筑工程设计、施工。（依法须经批准的项目，经相关部门批准后方可开展经营活动。企业当前经营状态为存续。</t>
  </si>
  <si>
    <t>木材、板材、木制品、家具、工艺品、建材的购销，货物或技术进出口（国家禁止或涉及行政审批的货物和技术进出口除外）；园林绿化工程设计、施工；仿古建筑工程设计、施工。（依法须经批准的项目，经相关部门批准后方可开展经营活动</t>
  </si>
  <si>
    <t>临沂市兰山区翔博板材厂</t>
  </si>
  <si>
    <t>91371302MA3DC0FN3N</t>
  </si>
  <si>
    <t>杜广辉</t>
  </si>
  <si>
    <t>2017-03-20</t>
  </si>
  <si>
    <t>山东省临沂市兰山区义堂镇田围子村</t>
  </si>
  <si>
    <t>13854937633</t>
  </si>
  <si>
    <t>18764987666</t>
  </si>
  <si>
    <t>13854937633@163.com</t>
  </si>
  <si>
    <t>18764987666@163.com</t>
  </si>
  <si>
    <t>371302300089220</t>
  </si>
  <si>
    <t>MA3DC0FN-3</t>
  </si>
  <si>
    <t>其他木材加工</t>
  </si>
  <si>
    <t>Xiangbo Board Factory In Lanshan District, Linyi City</t>
  </si>
  <si>
    <t>加工销售：板材（依法须经批准的项目，经相关部门批准后方可开展经营活动）</t>
  </si>
  <si>
    <t>张家港保税区德港木材贸易有限公司</t>
  </si>
  <si>
    <t>91320592MA1XCBHQ5B</t>
  </si>
  <si>
    <t>注销（2025-12-03）</t>
  </si>
  <si>
    <t>王凯</t>
  </si>
  <si>
    <t>2018-10-24</t>
  </si>
  <si>
    <t>张家港保税区瑞明大厦1903-1</t>
  </si>
  <si>
    <t>15862615986</t>
  </si>
  <si>
    <t>MA1XCBHQ-5</t>
  </si>
  <si>
    <t>2018-10-24 至 无固定期限</t>
  </si>
  <si>
    <t>Zhangjiagang Bonded Zone Degang Wood Trading Co., Ltd.</t>
  </si>
  <si>
    <t>张家港保税区德港木材贸易有限公司成立于2018-10-24，法定代表人为王凯，注册资本为100万元，统一社会信用代码为91320592MA1XCBHQ5B，企业注册地址位于张家港保税区瑞明大厦1903-1，所属行业为批发业，经营范围包含：木材、板材、木制品、建筑材料、纺织原料及产品、五金机电、办公用品、金属材料、电子产品、机械产品及配件、化工产品（危险化学品除外）、矿产品、橡胶制品的购销；计算机信息技术服务；货物或技术进出口（国家禁止或涉及行政审批的货物和技术进出口除外）。（依法须经批准的项目，经相关部门批准后方可开展经营活动）
一般项目：园林绿化工程施工（除依法须经批准的项目外，凭营业执照依法自主开展经营活动）。企业当前经营状态为注销。</t>
  </si>
  <si>
    <t>木材、板材、木制品、建筑材料、纺织原料及产品、五金机电、办公用品、金属材料、电子产品、机械产品及配件、化工产品（危险化学品除外）、矿产品、橡胶制品的购销；计算机信息技术服务；货物或技术进出口（国家禁止或涉及行政审批的货物和技术进出口除外）。（依法须经批准的项目，经相关部门批准后方可开展经营活动）
一般项目：园林绿化工程施工（除依法须经批准的项目外，凭营业执照依法自主开展经营活动）</t>
  </si>
  <si>
    <t>江苏易棉电子商务有限公司</t>
  </si>
  <si>
    <t>91320592MA1N9FY656</t>
  </si>
  <si>
    <t>朱杨梅</t>
  </si>
  <si>
    <t>4800万元</t>
  </si>
  <si>
    <t>2017-01-06</t>
  </si>
  <si>
    <t>张家港保税区纺织原料市场1010J室</t>
  </si>
  <si>
    <t>15850390939</t>
  </si>
  <si>
    <t>0512-58337066</t>
  </si>
  <si>
    <t>454296984@qq.com</t>
  </si>
  <si>
    <t>597305073@qq.com</t>
  </si>
  <si>
    <t>320592000110016</t>
  </si>
  <si>
    <t>MA1N9FY6-5</t>
  </si>
  <si>
    <t>2017-01-06 至 无固定期限</t>
  </si>
  <si>
    <t>Jiangsu Oureway E-COMMERCE Co., Ltd.</t>
  </si>
  <si>
    <t>www.oureway.com</t>
  </si>
  <si>
    <t>张家港市保税区福建路9号</t>
  </si>
  <si>
    <t>江苏易棉电子商务有限公司成立于2017-01-06，法定代表人为朱杨梅，注册资本为5000万元，统一社会信用代码为91320592MA1N9FY656，企业注册地址位于张家港保税区纺织原料市场1010J室，所属行业为批发业，经营范围包含：纺织原料及产品、化工原料及产品（危险化学品除外）、饲料及其原料、金属材料及制品、木材、建材、矿产品、机械产品、农副产品（食品除外）的购销（含网上销售）；软件开发、货运配载信息服务；自营和代理各类商品和技术的进出口业务（国家限定公司经营或禁止进出口的商品及技术除外） ；与贸易有关的代理业务。（依法须经批准的项目，经相关部门批准后方可开展经营活动）。企业当前经营状态为在业。</t>
  </si>
  <si>
    <t>纺织原料及产品、化工原料及产品（危险化学品除外）、饲料及其原料、金属材料及制品、木材、建材、矿产品、机械产品、农副产品（食品除外）的购销（含网上销售）；软件开发、货运配载信息服务；自营和代理各类商品和技术的进出口业务（国家限定公司经营或禁止进出口的商品及技术除外） ；与贸易有关的代理业务。（依法须经批准的项目，经相关部门批准后方可开展经营活动）</t>
  </si>
  <si>
    <t>江苏迈康尔麦业有限公司</t>
  </si>
  <si>
    <t>913209817468281385</t>
  </si>
  <si>
    <t>东台市迈康尔麦业有限公司</t>
  </si>
  <si>
    <t>王元祥</t>
  </si>
  <si>
    <t>867.8万元</t>
  </si>
  <si>
    <t>2003-03-04</t>
  </si>
  <si>
    <t>东台市经济开发区西区（串场河大桥西北首）</t>
  </si>
  <si>
    <t>东台市</t>
  </si>
  <si>
    <t>0515-85431678</t>
  </si>
  <si>
    <t>320981000024779</t>
  </si>
  <si>
    <t>74682813-8</t>
  </si>
  <si>
    <t>2003-03-04 至 无固定期限</t>
  </si>
  <si>
    <t>Jiangsu Maikanger Barley Industry Co., Ltd.</t>
  </si>
  <si>
    <t>江苏迈康尔麦业有限公司成立于2003-03-04，法定代表人为王元祥，注册资本为867.8万元，统一社会信用代码为913209817468281385，企业注册地址位于东台市经济开发区西区（串场河大桥西北首），所属行业为食品制造业，经营范围包含：麦芽生产、销售，农副产品收购、销售。（依法须经批准的项目，经相关部门批准后方可开展经营活动）
许可项目：货物进出口（依法须经批准的项目，经相关部门批准后方可开展经营活动，具体经营项目以审批结果为准）。企业当前经营状态为在业。</t>
  </si>
  <si>
    <t>麦芽生产、销售，农副产品收购、销售。（依法须经批准的项目，经相关部门批准后方可开展经营活动）
许可项目：货物进出口（依法须经批准的项目，经相关部门批准后方可开展经营活动，具体经营项目以审批结果为准）</t>
  </si>
  <si>
    <t>东台市行政审批局</t>
  </si>
  <si>
    <t>张家港格豪木业有限公司</t>
  </si>
  <si>
    <t>91320582MA1UUD0U0C</t>
  </si>
  <si>
    <t>郑建忠</t>
  </si>
  <si>
    <t>2018-01-04</t>
  </si>
  <si>
    <t>张家港市金港镇香山南路1号</t>
  </si>
  <si>
    <t>13615932136</t>
  </si>
  <si>
    <t>53295442@qq.com</t>
  </si>
  <si>
    <t>320582000510963</t>
  </si>
  <si>
    <t>MA1UUD0U-0</t>
  </si>
  <si>
    <t>2018-01-04 至 无固定期限</t>
  </si>
  <si>
    <t>Zhangjiagang Gehao Wood Industry Co., Ltd.</t>
  </si>
  <si>
    <t>张家港格豪木业有限公司成立于2018-01-04，法定代表人为郑建忠，注册资本为100万元，统一社会信用代码为91320582MA1UUD0U0C，企业注册地址位于张家港市金港镇香山南路1号，所属行业为批发业，经营范围包含：木材、板材、工艺品、家具、木制品、建材的购销；自营和代理各类商品及技术的进出口业务。（依法须经批准的项目，经相关部门批准后方可开展经营活动）。企业当前经营状态为在业。</t>
  </si>
  <si>
    <t>木材、板材、工艺品、家具、木制品、建材的购销；自营和代理各类商品及技术的进出口业务。（依法须经批准的项目，经相关部门批准后方可开展经营活动）</t>
  </si>
  <si>
    <t>物产中大化工集团有限公司</t>
  </si>
  <si>
    <t>913300007829247338</t>
  </si>
  <si>
    <t>浙江物产化工集团有限公司</t>
  </si>
  <si>
    <t>张飚</t>
  </si>
  <si>
    <t>2005-12-08</t>
  </si>
  <si>
    <t>浙江省杭州市上城区清吟街108号688室</t>
  </si>
  <si>
    <t>杭州市</t>
  </si>
  <si>
    <t>上城区</t>
  </si>
  <si>
    <t>0571-88278650</t>
  </si>
  <si>
    <t>0571-88278687;0571-88278651</t>
  </si>
  <si>
    <t>liaosy@wzgroup.cn</t>
  </si>
  <si>
    <t>liaoshiy@wzgroup.cn;liaosy@zjmi.com;office@zjmichem.com</t>
  </si>
  <si>
    <t>330000000023122</t>
  </si>
  <si>
    <t>78292473-3</t>
  </si>
  <si>
    <t>2005-12-08 至 无固定期限</t>
  </si>
  <si>
    <t>Wuchan Zhongda Chemical Group Co., Ltd.</t>
  </si>
  <si>
    <t>http://www.zjmichem.com</t>
  </si>
  <si>
    <t>浙江省杭州市拱墅区天水街道中山北路中大广场A座27楼</t>
  </si>
  <si>
    <t>浙江物产化工集团有限公司是浙江省物产集团公司于2005年整合集团内部化工业务，以更好地发展化工板块而注册成立的控股子公司，注册资本1亿元。物产化工自成立以来，重点发展供应链集成服务能力、产品分销能力和产业链培育能力，由单纯的贸易企业快速发展为一家涵盖贸易、实业、物流三大板块的化工企业集团，成为化工流通领域一支令人瞩目的新生力量。公司目前控股浙江新东港药业股份有限公司、浙江物产化工集团宁波有限公司、浙江物产化工港储有限公司等多家子公司，参股浙江南方石化工业有限公司、衢州物产物流有限公司，销售网络和生产基地建设以较快速度稳健推进。公司主要经营品种涵盖聚酯纤维、塑料原料、医药原料、液体化工、粮食、橡胶、硫磺等，均已经形成一定的市场规模和影响力，上游与中石化、中石油、PETROLEUM、上海金菲、伊朗石化、SABIC、LG、SK等国内外大型石化生产企业及伊藤忠、三星等国际综合商社建立起良好的合作关系；下游面向省内外广大企业和欧美、中东的国际客户，建立了良好的销售网络渠道。2012年，公司销售规模达128亿元。物产化工秉承“企业与时代共同前进、企业与客户共创价值、企业与员工共同发展”的核心价值观，坚持“以人为本、绩效理念、团队精神、追求卓越”的核心文化理念，借助我国化工行业快速持续大发展的契机，持续向化工产业链上下游延伸，寻求商业模式转型和经营管理提升，充分发挥自身优势，努力成为“核心业务化工供应链集成服务商”，真正实现与客户的共赢。</t>
  </si>
  <si>
    <t>许可项目：危险化学品经营；食品销售；第三类医疗器械经营；农药批发；农药零售；药品进出口（依法须经批准的项目，经相关部门批准后方可开展经营活动，具体经营项目以审批结果为准）。一般项目：货物进出口；进出口代理；技术进出口；粮食收购；食品进出口；化工产品销售（不含许可类化工产品）；专用化学产品销售（不含危险化学品）；第二类医疗器械销售；第一类医疗器械销售；橡胶制品销售；高品质合成橡胶销售；轮胎销售；肥料销售；纸浆销售；人造板销售；针纺织品及原料销售；产业用纺织制成品销售；食用农产品批发；农副产品销售；金属材料销售；金属制品销售；有色金属合金销售；金属丝绳及其制品销售；金银制品销售；建筑材料销售；日用品销售；日用化学产品销售；农、林、牧、副、渔业专业机械的销售；农林牧渔机械配件销售；金属矿石销售；石油制品销售（不含危险化学品）；农作物种子经营（仅限不再分装的包装种子）；普通货物仓储服务（不含危险化学品等需许可审批的项目）；粮油仓储服务；信息咨询服务（不含许可类信息咨询服务）；企业管理咨询；谷物种植；农作物栽培服务；初级农产品收购；棉花收购；棉、麻销售；豆及薯类销售；谷物销售；机械设备租赁；农业机械服务；自有资金投资的资产管理服务；饲料原料销售；畜牧渔业饲料销售；饲料添加剂销售；非食用植物油销售；供应链管理服务；塑料制品销售；合成材料销售；面料印染加工；常用有色金属冶炼（除依法须经批准的项目外，凭营业执照依法自主开展经营活动）。</t>
  </si>
  <si>
    <t>浙江省市场监督管理局</t>
  </si>
  <si>
    <t>张家港建煌木业有限公司</t>
  </si>
  <si>
    <t>91320582MA1W5MLK2X</t>
  </si>
  <si>
    <t>方荔晖</t>
  </si>
  <si>
    <t>2018-03-06</t>
  </si>
  <si>
    <t>15844387598</t>
  </si>
  <si>
    <t>17706242016;13909833825;15240415251</t>
  </si>
  <si>
    <t>901732601@qq.com;15240415251@163.com</t>
  </si>
  <si>
    <t>MA1W5MLK-2</t>
  </si>
  <si>
    <t>2018-03-06 至 无固定期限</t>
  </si>
  <si>
    <t>Zhangjiagang Jianhuang Wood Industry Co., Ltd.</t>
  </si>
  <si>
    <t>张家港建煌木业有限公司成立于2018-03-06，法定代表人为方荔晖，注册资本为100万元，统一社会信用代码为91320582MA1W5MLK2X，企业注册地址位于张家港市金港镇香山南路1号，所属行业为批发业，经营范围包含：木材、板材、工艺品、家具、木制品、建材的购销；园林绿化工程设计、施工；古建筑工程设计、施工；自营和代理各类商品及技术的进出口业务。（依法须经批准的项目，经相关部门批准后方可开展经营活动）。企业当前经营状态为存续。</t>
  </si>
  <si>
    <t>木材、板材、工艺品、家具、木制品、建材的购销；园林绿化工程设计、施工；古建筑工程设计、施工；自营和代理各类商品及技术的进出口业务。（依法须经批准的项目，经相关部门批准后方可开展经营活动）</t>
  </si>
  <si>
    <t>高州市京基智农时代有限公司</t>
  </si>
  <si>
    <t>91440981MA53UDWYX8</t>
  </si>
  <si>
    <t>高州市康达尔农牧有限公司</t>
  </si>
  <si>
    <t>陈东标</t>
  </si>
  <si>
    <t>42000万元</t>
  </si>
  <si>
    <t>38000万元</t>
  </si>
  <si>
    <t>2019-10-08</t>
  </si>
  <si>
    <t>高州市荷花镇沿江路9号2楼203房</t>
  </si>
  <si>
    <t>高州市</t>
  </si>
  <si>
    <t>0668-6470616</t>
  </si>
  <si>
    <t>15920327605</t>
  </si>
  <si>
    <t>247077919@qq.com</t>
  </si>
  <si>
    <t>yulh_035@kingkeyzn.com</t>
  </si>
  <si>
    <t>440981000807730</t>
  </si>
  <si>
    <t>MA53UDWY-X</t>
  </si>
  <si>
    <t>474</t>
  </si>
  <si>
    <t>2019-10-08 至 无固定期限</t>
  </si>
  <si>
    <t>Gaozhou Jingji Zhinong Era Co., Ltd.</t>
  </si>
  <si>
    <t>高州市荷花镇潭坡村委会旁京基智农</t>
  </si>
  <si>
    <t>高州市京基智农时代有限公司成立于2019-10-08，法定代表人为陈东标，注册资本为42000万元，统一社会信用代码为91440981MA53UDWYX8，企业注册地址位于高州市荷花镇沿江路9号2楼203房，所属行业为畜牧业，经营范围包含：养殖、销售：畜禽；屠宰：生猪；加工：饲料；生产：食品；包装、冷藏、运输：肉制品；销售：农产品；销售：有机肥；农业技术推广服务；投资兴办实业。（依法须经批准的项目，经相关部门批准后方可开展经营活动）。企业当前经营状态为存续。</t>
  </si>
  <si>
    <t>养殖、销售：畜禽；屠宰：生猪；加工：饲料；生产：食品；包装、冷藏、运输：肉制品；销售：农产品；销售：有机肥；农业技术推广服务；投资兴办实业。（依法须经批准的项目，经相关部门批准后方可开展经营活动）</t>
  </si>
  <si>
    <t>高州市市场监督管理局</t>
  </si>
  <si>
    <t>中山市御尚名轩家具有限公司</t>
  </si>
  <si>
    <t>91442000MA55YH918N</t>
  </si>
  <si>
    <t>注销（2025-01-21）</t>
  </si>
  <si>
    <t>萧耀基</t>
  </si>
  <si>
    <t>2021-02-08</t>
  </si>
  <si>
    <t>中山市大涌镇大涌村“新围”（大涌镇德政路146号）</t>
  </si>
  <si>
    <t>13824799135</t>
  </si>
  <si>
    <t>13824799135@qq.com</t>
  </si>
  <si>
    <t>MA55YH91-8</t>
  </si>
  <si>
    <t>2021-02-08 至 无固定期限</t>
  </si>
  <si>
    <t>Zhongshan Yushang Mingxuan Furniture Co., Ltd.</t>
  </si>
  <si>
    <t>中山市御尚名轩家具有限公司成立于2021-02-08，法定代表人为萧耀基，注册资本为200万元，统一社会信用代码为91442000MA55YH918N，企业注册地址位于中山市大涌镇大涌村“新围”（大涌镇德政路146号），所属行业为家具制造业，经营范围包含：一般项目：家具制造；家具销售；木材销售；家具研发及设计；家具安装和维修服务；红木家具文化发展推广。企业当前经营状态为注销。</t>
  </si>
  <si>
    <t>一般项目：家具制造；家具销售；木材销售；家具研发及设计；家具安装和维修服务；红木家具文化发展推广。</t>
  </si>
  <si>
    <t>广西金源生物化工实业有限公司</t>
  </si>
  <si>
    <t>914508817759629425</t>
  </si>
  <si>
    <t>桂平市金源酒精实业有限公司</t>
  </si>
  <si>
    <t>程克</t>
  </si>
  <si>
    <t>2005-06-23</t>
  </si>
  <si>
    <t>广西桂平市长安工业集中区</t>
  </si>
  <si>
    <t>贵港市</t>
  </si>
  <si>
    <t>桂平市</t>
  </si>
  <si>
    <t>0775-3628360</t>
  </si>
  <si>
    <t>0775-3628222;15977522626;0775-3628270;13222113355;18602081355</t>
  </si>
  <si>
    <t>jyjj20050401@126.com</t>
  </si>
  <si>
    <t>921315911@qq.com;jinyuanxiaokong@163.com</t>
  </si>
  <si>
    <t>450881200000083</t>
  </si>
  <si>
    <t>77596294-2</t>
  </si>
  <si>
    <t>655</t>
  </si>
  <si>
    <t>2005-06-23 至 无固定期限</t>
  </si>
  <si>
    <t>Guangxi Jinyuan Biochemical Industrial Co., Ltd.</t>
  </si>
  <si>
    <t>http://www.jinyuanbiochem.com</t>
  </si>
  <si>
    <t>广西金源生物化工实业有限公司成立于2005-06-23，法定代表人为程克，注册资本为10000万元，统一社会信用代码为914508817759629425，企业注册地址位于广西桂平市长安工业集中区，所属行业为酒、饮料和精制茶制造业，经营范围包含：许可项目：工业酒精销售；危险化学品经营；危险化学品生产；危险化学品仓储；消毒剂生产（不含危险化学品）；兽药生产；肥料生产；饲料生产；食品生产；食品销售；饲料添加剂生产；食品添加剂生产；成品油零售（不含危险化学品）；危险废物经营；食品互联网销售；酒制品生产；酒类经营；港口经营；建设工程施工。（依法须经批准的项目，经相关部门批准后方可开展经营活动，具体经营项目以相关部门批准文件或许可证件为准）一般项目：食品添加剂销售；专用化学产品销售（不含危险化学品）；成品油批发（不含危险化学品）；成品油仓储（不含危险化学品）；石油制品制造（不含危险化学品）；石油制品销售（不含危险化学品）；专用化学产品制造（不含危险化学品）；农副产品销售；饲料原料销售；化肥销售；肥料销售；消毒剂销售（不含危险化学品）；豆及薯类销售；谷物销售；粮食收购；第三类非药品类易制毒化学品生产；第三类非药品类易制毒化学品经营；第二类非药品类易制毒化学品生产；第二类非药品类易制毒化学品经营；食品、酒、饮料及茶生产专用设备制造；炼油、化工生产专用设备制造；炼油、化工生产专用设备销售；饲料生产专用设备制造；饲料生产专用设备销售；农副食品加工专用设备制造；农副食品加工专用设备销售；制药专用设备制造；制药专用设备销售；生物化工产品技术研发；生物农药技术研发；技术服务、技术开发、技术咨询、技术交流、技术转让、技术推广；工程和技术研究和试验发展；医学研究和试验发展；业务培训（不含教育培训、职业技能培训等需取得许可的培训）；化工产品生产（不含许可类化工产品）；化工产品销售（不含许可类化工产品）。（除依法须经批准的项目外，凭营业执照依法自主开展经营活动）。企业当前经营状态为存续。</t>
  </si>
  <si>
    <t>许可项目：工业酒精销售；危险化学品经营；危险化学品生产；危险化学品仓储；消毒剂生产（不含危险化学品）；兽药生产；肥料生产；饲料生产；食品生产；食品销售；饲料添加剂生产；食品添加剂生产；成品油零售（不含危险化学品）；危险废物经营；食品互联网销售；酒制品生产；酒类经营；港口经营；建设工程施工。（依法须经批准的项目，经相关部门批准后方可开展经营活动，具体经营项目以相关部门批准文件或许可证件为准）一般项目：食品添加剂销售；专用化学产品销售（不含危险化学品）；成品油批发（不含危险化学品）；成品油仓储（不含危险化学品）；石油制品制造（不含危险化学品）；石油制品销售（不含危险化学品）；专用化学产品制造（不含危险化学品）；农副产品销售；饲料原料销售；化肥销售；肥料销售；消毒剂销售（不含危险化学品）；豆及薯类销售；谷物销售；粮食收购；第三类非药品类易制毒化学品生产；第三类非药品类易制毒化学品经营；第二类非药品类易制毒化学品生产；第二类非药品类易制毒化学品经营；食品、酒、饮料及茶生产专用设备制造；炼油、化工生产专用设备制造；炼油、化工生产专用设备销售；饲料生产专用设备制造；饲料生产专用设备销售；农副食品加工专用设备制造；农副食品加工专用设备销售；制药专用设备制造；制药专用设备销售；生物化工产品技术研发；生物农药技术研发；技术服务、技术开发、技术咨询、技术交流、技术转让、技术推广；工程和技术研究和试验发展；医学研究和试验发展；业务培训（不含教育培训、职业技能培训等需取得许可的培训）；化工产品生产（不含许可类化工产品）；化工产品销售（不含许可类化工产品）。（除依法须经批准的项目外，凭营业执照依法自主开展经营活动）</t>
  </si>
  <si>
    <t>桂平市市场监督管理局</t>
  </si>
  <si>
    <t>四会市墩煌纺织染整有限公司</t>
  </si>
  <si>
    <t>91441284759222055L</t>
  </si>
  <si>
    <t>吴桂全</t>
  </si>
  <si>
    <t>1550万元</t>
  </si>
  <si>
    <t>550万元</t>
  </si>
  <si>
    <t>2004-01-14</t>
  </si>
  <si>
    <t>四会市东城街道上元塘</t>
  </si>
  <si>
    <t>四会市</t>
  </si>
  <si>
    <t>0758-3617644</t>
  </si>
  <si>
    <t>yomi.yo@163.com</t>
  </si>
  <si>
    <t>441284000020073</t>
  </si>
  <si>
    <t>75922205-5</t>
  </si>
  <si>
    <t>407</t>
  </si>
  <si>
    <t>2004-01-14 至 无固定期限</t>
  </si>
  <si>
    <t>Dunhuang Textile Dyeing and Finishing Co., Ltd. In Sihui City</t>
  </si>
  <si>
    <t>四会市墩煌纺织染整有限公司成立于2004-01-14，法定代表人为吴桂全，注册资本为1550万元，统一社会信用代码为91441284759222055L，企业注册地址位于四会市东城街道上元塘，所属行业为纺织业，经营范围包含：纺织品加工、销售；纺织品漂染（持消防、环保合格意见经营）；生产、销售：无纺布、熔喷布。〓（依法须经批准的项目，经相关部门批准后方可开展经营活动）。企业当前经营状态为在业。</t>
  </si>
  <si>
    <t>纺织品加工、销售；纺织品漂染（持消防、环保合格意见经营）；生产、销售：无纺布、熔喷布。〓（依法须经批准的项目，经相关部门批准后方可开展经营活动）</t>
  </si>
  <si>
    <t>四会市市场监督管理局</t>
  </si>
  <si>
    <t>中山市丝妮芳制衣有限公司</t>
  </si>
  <si>
    <t>91442000MA4UJJ3813</t>
  </si>
  <si>
    <t>綦小辉</t>
  </si>
  <si>
    <t>2015-11-03</t>
  </si>
  <si>
    <t>中山市小榄镇绩东一埠安路3号第四层</t>
  </si>
  <si>
    <t>13702797168</t>
  </si>
  <si>
    <t>0760-86167388</t>
  </si>
  <si>
    <t>373248516@qq.com</t>
  </si>
  <si>
    <t>494166321@qq.com;987423073@qq.com</t>
  </si>
  <si>
    <t>442000001259730</t>
  </si>
  <si>
    <t>MA4UJJ38-1</t>
  </si>
  <si>
    <t>2015-11-03 至 无固定期限</t>
  </si>
  <si>
    <t>Zhongshan Sinifang Clothing Co., Ltd.</t>
  </si>
  <si>
    <t>中山市丝妮芳制衣有限公司成立于2015-11-03，法定代表人为綦小辉，注册资本为10万元，统一社会信用代码为91442000MA4UJJ3813，企业注册地址位于中山市小榄镇绩东一埠安路3号第四层，所属行业为纺织服装、服饰业，经营范围包含：生产、加工、销售：服装、内衣裤；货物进出口。（依法须经批准的项目，经相关部门批准后方可开展经营活动。）（依法须经批准的项目，经相关部门批准后方可开展经营活动）。企业当前经营状态为注销。</t>
  </si>
  <si>
    <t>生产、加工、销售：服装、内衣裤；货物进出口。（依法须经批准的项目，经相关部门批准后方可开展经营活动。）（依法须经批准的项目，经相关部门批准后方可开展经营活动）</t>
  </si>
  <si>
    <t>新兴县嘉润制衣有限公司</t>
  </si>
  <si>
    <t>91445300070271869W</t>
  </si>
  <si>
    <t>注销（2024-10-22）</t>
  </si>
  <si>
    <t>陈彩云</t>
  </si>
  <si>
    <t>350万港元</t>
  </si>
  <si>
    <t>2013-06-14</t>
  </si>
  <si>
    <t>新兴县新城镇（桥亭村边）育才路桥亭社区居民委员会综合楼</t>
  </si>
  <si>
    <t>13826863601</t>
  </si>
  <si>
    <t>0766-2961378;0766-2961308</t>
  </si>
  <si>
    <t>xj2872822@126.com</t>
  </si>
  <si>
    <t>有限责任公司（港澳台自然人独资）</t>
  </si>
  <si>
    <t>445300400006733</t>
  </si>
  <si>
    <t>07027186-9</t>
  </si>
  <si>
    <t>2013-06-14 至 2028-06-13</t>
  </si>
  <si>
    <t>Xinxing County Jiarun Clothing Co., Ltd.</t>
  </si>
  <si>
    <t>新兴县嘉润制衣有限公司成立于2013-06-14，法定代表人为陈彩云，注册资本为350万港元，统一社会信用代码为91445300070271869W，企业注册地址位于新兴县新城镇（桥亭村边）育才路桥亭社区居民委员会综合楼，所属行业为纺织服装、服饰业，经营范围包含：生产、销售：针、梭织服装及胸围、内衣裤。（依法须经批准的项目，经相关部门批准后方可开展经营活动）。企业当前经营状态为注销。</t>
  </si>
  <si>
    <t>生产、销售：针、梭织服装及胸围、内衣裤。（依法须经批准的项目，经相关部门批准后方可开展经营活动）</t>
  </si>
  <si>
    <t>云浮市市场监督管理局</t>
  </si>
  <si>
    <t>温氏食品集团股份有限公司</t>
  </si>
  <si>
    <t>91445300707813507B</t>
  </si>
  <si>
    <t>广东温氏食品集团股份有限公司,
广东温氏食品集团有限公司</t>
  </si>
  <si>
    <t>温志芬</t>
  </si>
  <si>
    <t>665392.7141万元</t>
  </si>
  <si>
    <t>665392.7081万元</t>
  </si>
  <si>
    <t>1993-07-26</t>
  </si>
  <si>
    <t>云浮市新兴县新城镇东堤北路9号</t>
  </si>
  <si>
    <t>0766-2291142</t>
  </si>
  <si>
    <t>0766-2929680;0766-2291689;0766-2291903;0766-2292926;0550-5404666</t>
  </si>
  <si>
    <t>jcs@wens.com.cn</t>
  </si>
  <si>
    <t>gdwsjt@163.com;447581996@qq.com</t>
  </si>
  <si>
    <t>股份有限公司（上市、自然人投资或控股）</t>
  </si>
  <si>
    <t>445300000003757</t>
  </si>
  <si>
    <t>70781350-7</t>
  </si>
  <si>
    <t>597</t>
  </si>
  <si>
    <t>1993-07-26 至 无固定期限</t>
  </si>
  <si>
    <t>Wens Foodstuff Group Co., Ltd.</t>
  </si>
  <si>
    <t>www.wens.com.cn</t>
  </si>
  <si>
    <t>温氏食品集团股份有限公司(简称“温氏股份”),创立于1983年，现已发展成一家以畜禽养殖为主业、配套相关业务的跨地区现代农牧企业集团。2015年11月2日，温氏股份在深交所挂牌上市(股票代码:300498)。截至2021年12月31日，温氏股份已在全国20多个省(市、自治区)拥有控股公司402家、合作农户(家庭农场)约4.54万户、员工约4.4万名。2021年温氏股份上市肉猪1321.74万头、肉鸡11.01亿只，实现营业收入649.54亿元。温氏股份现为农业产业化国家重点龙头企业、创新型企业，组建有国家生猪种业工程技术研究中心、国家企业技术中心、博士后科研工作站、农业部重点实验室等重要科研平台，拥有一支以20多名行业专家、64名博士为研发带头人的高素质科技人才队伍。温氏股份掌握畜禽育种、饲料营养、疫病防治等方面的关键核心技术，拥有多项国内外先进的育种技术。截至2021年底，温氏股份及下属控股公司累计获得国家科技奖项8项，省部科技奖项67项，畜禽新品种10个(其中猪2个、鸡7个、鸭1个),新兽药证书44项，国家计算机软件著作权92项;拥有有效发明专利177项(其中美国发明专利4项),实用新型专利358项。温氏股份始终坚持以“精诚合作，齐创美满生活”为企业文化的核心理念，与股东、员工及各方合作伙伴一道精诚合作，为推进中国农业产业化做出应有的贡献。</t>
  </si>
  <si>
    <t>一般项目：牲畜销售；畜牧渔业饲料销售；饲料原料销售；智能农业管理；技术服务、技术开发、技术咨询、技术交流、技术转让、技术推广；货物进出口；技术进出口。（除依法须经批准的项目外，凭营业执照依法自主开展经营活动）许可项目：食品生产；食品销售；种畜禽生产；种畜禽经营；家禽饲养；活禽销售；家禽屠宰；牲畜饲养；牲畜屠宰；饲料生产。（依法须经批准的项目，经相关部门批准后方可开展经营活动，具体经营项目以相关部门批准文件或许可证件为准）</t>
  </si>
  <si>
    <t>汕头市洽隆纺织有限公司</t>
  </si>
  <si>
    <t>914405145744975970</t>
  </si>
  <si>
    <t>陈洪奎</t>
  </si>
  <si>
    <t>2011-05-11</t>
  </si>
  <si>
    <t>汕头市潮南区两英镇禾皋村司神洋</t>
  </si>
  <si>
    <t>0754-85593688</t>
  </si>
  <si>
    <t>18025511444@163.com</t>
  </si>
  <si>
    <t>13822866777@139.com</t>
  </si>
  <si>
    <t>440581000023708</t>
  </si>
  <si>
    <t>57449759-7</t>
  </si>
  <si>
    <t>2011-05-11 至 无固定期限</t>
  </si>
  <si>
    <t>Shantou Qialong Textile Co., Ltd.</t>
  </si>
  <si>
    <t>汕头市洽隆纺织有限公司成立于2011-05-11，法定代表人为陈洪奎，注册资本为500万元，统一社会信用代码为914405145744975970，企业注册地址位于汕头市潮南区两英镇禾皋村司神洋，所属行业为纺织业，经营范围包含：生产、加工、销售：纺织品，针织品，服装，刺绣工艺品。销售：日用百货，纱、线，塑料制品，文具用品，五金、交电，家用电器，建筑材料，工艺美术品，化妆品。（依法须经批准的项目，经相关部门批准后方可开展经营活动）。企业当前经营状态为在业。</t>
  </si>
  <si>
    <t>生产、加工、销售：纺织品，针织品，服装，刺绣工艺品。销售：日用百货，纱、线，塑料制品，文具用品，五金、交电，家用电器，建筑材料，工艺美术品，化妆品。（依法须经批准的项目，经相关部门批准后方可开展经营活动）</t>
  </si>
  <si>
    <t>张家港市中喜家具有限公司</t>
  </si>
  <si>
    <t>91320592071033184X</t>
  </si>
  <si>
    <t>蒋兴华</t>
  </si>
  <si>
    <t>2013-06-13</t>
  </si>
  <si>
    <t>张家港市金港镇香山南路中联木业城B幢108室</t>
  </si>
  <si>
    <t>13266828333</t>
  </si>
  <si>
    <t>17706242016;18013293337;18013293333;15245120626;18915460059;15579889876;17625763990;0512-58777523</t>
  </si>
  <si>
    <t>18013293337@163.com;1748079122@qq.com</t>
  </si>
  <si>
    <t>320592000071027</t>
  </si>
  <si>
    <t>07103318-4</t>
  </si>
  <si>
    <t>2013-06-13 至 无固定期限</t>
  </si>
  <si>
    <t>Zhangjiagang Zhongxi Furniture Co., Ltd.</t>
  </si>
  <si>
    <t>张家港市中喜家具有限公司成立于2013-06-13，法定代表人为蒋兴华，注册资本为100万元，统一社会信用代码为91320592071033184X，企业注册地址位于张家港市金港镇香山南路中联木业城B幢108室，所属行业为批发业，经营范围包含：家具、木制品、板材、木材、家居用品、工艺品的购销，自营和代理各类商品及技术的进出口业务（国家限定公司经营或禁止进出口的商品及技术除外）。（依法须经批准的项目，经相关部门批准后方可开展经营活动）一般项目：园林绿化工程施工（除依法须经批准的项目外，凭营业执照依法自主开展经营活动）。企业当前经营状态为存续。</t>
  </si>
  <si>
    <t>家具、木制品、板材、木材、家居用品、工艺品的购销，自营和代理各类商品及技术的进出口业务（国家限定公司经营或禁止进出口的商品及技术除外）。（依法须经批准的项目，经相关部门批准后方可开展经营活动）一般项目：园林绿化工程施工（除依法须经批准的项目外，凭营业执照依法自主开展经营活动）</t>
  </si>
  <si>
    <t>联业织染（珠海）有限公司</t>
  </si>
  <si>
    <t>914404006174838076</t>
  </si>
  <si>
    <t>韩长春</t>
  </si>
  <si>
    <t>6018万美元</t>
  </si>
  <si>
    <t>1994-04-27</t>
  </si>
  <si>
    <t>珠海市斗门区乾务镇富山九路2号</t>
  </si>
  <si>
    <t>斗门区</t>
  </si>
  <si>
    <t>0756-5651867</t>
  </si>
  <si>
    <t>ly_zhong.taz@texhong.com</t>
  </si>
  <si>
    <t>440400400003254</t>
  </si>
  <si>
    <t>61748380-7</t>
  </si>
  <si>
    <t>567</t>
  </si>
  <si>
    <t>1994-04-27 至 无固定期限</t>
  </si>
  <si>
    <t>TAL TEX (Zhuhai)LIMITED</t>
  </si>
  <si>
    <t>联业织染（珠海）有限公司成立于1994-04-27，法定代表人为韩长春，注册资本为6018万美元，统一社会信用代码为914404006174838076，企业注册地址位于珠海市斗门区乾务镇富山九路2号，所属行业为纺织业，经营范围包含：一般项目：面料印染加工；面料纺织加工；针织或钩针编织物及其制品制造；纺纱加工；纺织专用设备销售；服装制造；针纺织品销售；染料销售；涂料销售（不含危险化学品）。（除依法须经批准的项目外，凭营业执照依法自主开展经营活动）。企业当前经营状态为存续。</t>
  </si>
  <si>
    <t>一般项目：面料印染加工；面料纺织加工；针织或钩针编织物及其制品制造；纺纱加工；纺织专用设备销售；服装制造；针纺织品销售；染料销售；涂料销售（不含危险化学品）。（除依法须经批准的项目外，凭营业执照依法自主开展经营活动）</t>
  </si>
  <si>
    <t>珠海市市场监督管理局</t>
  </si>
  <si>
    <t>佛山市晨华纺织有限公司</t>
  </si>
  <si>
    <t>91440605MA4URP509P</t>
  </si>
  <si>
    <t>郑裕盛</t>
  </si>
  <si>
    <t>2016-07-14</t>
  </si>
  <si>
    <t>佛山市南海区大沥镇盐步平地村委会“原平地中学”的平地轻纺城首层E36号商铺（住所申报）</t>
  </si>
  <si>
    <t>18927759810</t>
  </si>
  <si>
    <t>15338772289;18925990777;18033236388</t>
  </si>
  <si>
    <t>405314809@qq.com</t>
  </si>
  <si>
    <t>1397089758@qq.com;3122198592@qq.com;85767688@qq.com</t>
  </si>
  <si>
    <t>440682000761509</t>
  </si>
  <si>
    <t>MA4URP50-9</t>
  </si>
  <si>
    <t>2016-07-14 至 无固定期限</t>
  </si>
  <si>
    <t>Foshan Chenhua Textile Co., Ltd.</t>
  </si>
  <si>
    <t>佛山市晨华纺织有限公司成立于2016-07-14，法定代表人为郑裕盛，注册资本为200万元，统一社会信用代码为91440605MA4URP509P，企业注册地址位于佛山市南海区大沥镇盐步平地村委会“原平地中学”的平地轻纺城首层E36号商铺（住所申报），所属行业为纺织服装、服饰业，经营范围包含：互联网批发（互联网批发：纺织品、针织品及原料、服装）；互联网零售（互联网零售：纺织品、针织品、服装）。（依法须经批准的项目，经相关部门批准后方可开展经营活动。）（依法须经批准的项目，经相关部门批准后方可开展经营活动）。企业当前经营状态为注销。</t>
  </si>
  <si>
    <t>互联网批发（互联网批发：纺织品、针织品及原料、服装）；互联网零售（互联网零售：纺织品、针织品、服装）。（依法须经批准的项目，经相关部门批准后方可开展经营活动。）（依法须经批准的项目，经相关部门批准后方可开展经营活动）</t>
  </si>
  <si>
    <t>佛山市骁骏纺织有限公司</t>
  </si>
  <si>
    <t>91440605MA53DH0655</t>
  </si>
  <si>
    <t>林世铭</t>
  </si>
  <si>
    <t>2019-06-20</t>
  </si>
  <si>
    <t>佛山市南海区大沥镇盐步平地东约大道纺织中心K座1号商铺（住所申报）</t>
  </si>
  <si>
    <t>13590568997</t>
  </si>
  <si>
    <t>49902731@qq.com</t>
  </si>
  <si>
    <t>MA53DH06-5</t>
  </si>
  <si>
    <t>2019-06-20 至 无固定期限</t>
  </si>
  <si>
    <t>Foshan Xiaojun Textile Co., Ltd.</t>
  </si>
  <si>
    <t>佛山市骁骏纺织有限公司成立于2019-06-20，法定代表人为林世铭，注册资本为100万元，统一社会信用代码为91440605MA53DH0655，企业注册地址位于佛山市南海区大沥镇盐步平地东约大道纺织中心K座1号商铺（住所申报），所属行业为批发业，经营范围包含：纺织品、针织品及原料批发；服装批发；纺织品及针织品零售；服装零售；货物和技术进出口（国家禁止或涉及行政审批的货物和技术进出口除外）。（依法须经批准的项目，经相关部门批准后方可开展经营活动。）（依法须经批准的项目，经相关部门批准后方可开展经营活动）。企业当前经营状态为在业。</t>
  </si>
  <si>
    <t>纺织品、针织品及原料批发；服装批发；纺织品及针织品零售；服装零售；货物和技术进出口（国家禁止或涉及行政审批的货物和技术进出口除外）。（依法须经批准的项目，经相关部门批准后方可开展经营活动。）（依法须经批准的项目，经相关部门批准后方可开展经营活动）</t>
  </si>
  <si>
    <t>中山市奥慕服饰有限公司</t>
  </si>
  <si>
    <t>9144200069973068XK</t>
  </si>
  <si>
    <t>杨春荣</t>
  </si>
  <si>
    <t>2009-12-29</t>
  </si>
  <si>
    <t>中山市沙溪镇下泽工商业大厦第3层之1</t>
  </si>
  <si>
    <t>18022008088</t>
  </si>
  <si>
    <t>0760-87718999;0760-89822038;18022066991;0760-89822028</t>
  </si>
  <si>
    <t>574109796@qq.com</t>
  </si>
  <si>
    <t>834826021@qq.com</t>
  </si>
  <si>
    <t>442000000291308</t>
  </si>
  <si>
    <t>69973068-X</t>
  </si>
  <si>
    <t>2009-12-29 至 无固定期限</t>
  </si>
  <si>
    <t>Aomu Lingerie( Zhongshan) Co., Ltd.</t>
  </si>
  <si>
    <t>中山市奥慕服饰有限公司成立于2009-12-29，法定代表人为杨春荣，注册资本为100万元，统一社会信用代码为9144200069973068XK，企业注册地址位于中山市沙溪镇下泽工商业大厦第3层之1，所属行业为纺织服装、服饰业，经营范围包含：生产、销售：服装。（依法须经批准的项目，经相关部门批准后方可开展经营活动。）（依法须经批准的项目，经相关部门批准后方可开展经营活动）。企业当前经营状态为在业。</t>
  </si>
  <si>
    <t>生产、销售：服装。（依法须经批准的项目，经相关部门批准后方可开展经营活动。）（依法须经批准的项目，经相关部门批准后方可开展经营活动）</t>
  </si>
  <si>
    <t>东莞沙田丽海纺织印染有限公司</t>
  </si>
  <si>
    <t>914419006177689335</t>
  </si>
  <si>
    <t>李刚</t>
  </si>
  <si>
    <t>30750万港元</t>
  </si>
  <si>
    <t>1996-12-02</t>
  </si>
  <si>
    <t>东莞市沙田镇环保工业城</t>
  </si>
  <si>
    <t>0769-88866583</t>
  </si>
  <si>
    <t>0769-8866583</t>
  </si>
  <si>
    <t>hlgao@ls.fshl.com</t>
  </si>
  <si>
    <t>441900400072674</t>
  </si>
  <si>
    <t>61776893-3</t>
  </si>
  <si>
    <t>1232</t>
  </si>
  <si>
    <t>1996-12-02 至 无固定期限</t>
  </si>
  <si>
    <t>丝绢纺织及印染精加工</t>
  </si>
  <si>
    <t>丝印染精加工</t>
  </si>
  <si>
    <t>Dongguan Shatin Lake Side Textiles Printing and Dyeing Co., Ltd.</t>
  </si>
  <si>
    <t>https://www.fshl.com</t>
  </si>
  <si>
    <t>东莞沙田丽海纺织印染有限公司成立于1998年7月，是中国香港福田实业（集团）有限公司的全资附属机构，位于东莞市沙田镇环保工业城，总投资额将达贰亿伍仟柒佰伍拾万港元，占地面积约120,847平方米。现有员工2,400人左右。【经营范围及销售市场】 主要生产和销售高档织物面料的织染及后整理加工，同时具备布料丝光处理技术﹐销售给全球超过40个国家或地区的成衣制造商用以制成知名品牌服装。【公司荣誉】 公司成立近10年以来，遵循集团主席夏松芳先生倡导的“勤俭诚信”企业精神，经过全体员工的共同努力，已位居中国纺织工业化印染行业五十强之列。公司成立至今取得多项荣誉称号： No.奖项 1中国纺织工业化印染行业竞争力前50强 2中国纺织工业化印染行业销售收入前10位 3中国纺织工业全行业出口前100位 4中国纺织工业全行业销售收入前100位 5东莞市外商投资企业协会会员【生产规模】 在拥有先进生产设备和实施科学管理及完善员工培训体制的基础上，公司已形成年生产能力：染色布6,600万磅，印花布1900万磅﹐2006年销售额超过14.53亿港元。【生产架构】 公司厂房面积154,439平方米，由1间织厂、1间印花厂、2间染厂、2间整理厂及化纤厂、染线厂组成。公司还拥有自已的热电站和水处理站。【质量保证】 公司拥有大批高素质各级管理人员和专业技术人员，2001年公司通过ISO9001﹕2000认证。产品生产过程中保证严格的质量管理，基本实施全检，不能实施全检项目的，则依科学的检查法实施取办测试。其它休假：国家规定的法定假、婚假、产假、丧假、年休假。保险：养老/工伤/医疗/失业等。【后勤设施】 生活配套：厂房设有员工饭堂、宿舍、热水房、洗衣/干衣房、自助银行、小卖部，供所有职工就餐、住宿及使用。娱乐设施：设有图书馆、阅览室、电视室、桌球室、篮球场、排球场、羽毛球场、乒乓球室、医务室、电脑学习室等。</t>
  </si>
  <si>
    <t>一般项目：面料纺织加工；面料印染加工；纺纱加工；针织或钩针编织物及其制品制造；服装制造；家用纺织制成品制造；针纺织品销售；针纺织品及原料销售；产业用纺织制成品销售；货物进出口；土地使用权租赁；非居住房地产租赁；租赁服务（不含许可类租赁服务）；服装服饰零售；财务咨询；企业管理；信息技术咨询服务；信息系统运行维护服务；信息咨询服务（不含许可类信息咨询服务）；采购代理服务；安全咨询服务；环保咨询服务；专业设计服务。（除依法须经批准的项目外，凭营业执照依法自主开展经营活动）</t>
  </si>
  <si>
    <t>佛山市奔景纺织有限公司</t>
  </si>
  <si>
    <t>91440605MA7GDL9L1X</t>
  </si>
  <si>
    <t>注销（2025-10-16）</t>
  </si>
  <si>
    <t>许东航</t>
  </si>
  <si>
    <t>2022-01-18</t>
  </si>
  <si>
    <t>佛山市南海区大沥镇盐步平地土名冯边前华辉东路17号商铺（住所申报）</t>
  </si>
  <si>
    <t>13612612247</t>
  </si>
  <si>
    <t>2364841971@qq.com</t>
  </si>
  <si>
    <t>440682012322079</t>
  </si>
  <si>
    <t>MA7GDL9L-1</t>
  </si>
  <si>
    <t>2022-01-18 至 无固定期限</t>
  </si>
  <si>
    <t>Foshan Benjing Textile Co., Ltd.</t>
  </si>
  <si>
    <t>佛山市奔景纺织有限公司成立于2022-01-18，法定代表人为许东航，注册资本为100万元，统一社会信用代码为91440605MA7GDL9L1X，企业注册地址位于佛山市南海区大沥镇盐步平地土名冯边前华辉东路17号商铺（住所申报），所属行业为零售业，经营范围包含：一般项目：针纺织品销售；针纺织品及原料销售；服装服饰零售；服装服饰批发。（除依法须经批准的项目外，凭营业执照依法自主开展经营活动）。企业当前经营状态为注销。</t>
  </si>
  <si>
    <t>一般项目：针纺织品销售；针纺织品及原料销售；服装服饰零售；服装服饰批发。（除依法须经批准的项目外，凭营业执照依法自主开展经营活动）</t>
  </si>
  <si>
    <t>苍溪温氏畜牧有限公司</t>
  </si>
  <si>
    <t>91510824MA6251PA0K</t>
  </si>
  <si>
    <t>董荣华</t>
  </si>
  <si>
    <t>5700万元</t>
  </si>
  <si>
    <t>2016-01-11</t>
  </si>
  <si>
    <t>苍溪县陵江镇古梁村</t>
  </si>
  <si>
    <t>苍溪县</t>
  </si>
  <si>
    <t>18781878849</t>
  </si>
  <si>
    <t>0839-6253588;0839-5263588;13881030257</t>
  </si>
  <si>
    <t>xncxwscw@wens.com.cn</t>
  </si>
  <si>
    <t>510824000043942</t>
  </si>
  <si>
    <t>MA6251PA-0</t>
  </si>
  <si>
    <t>353</t>
  </si>
  <si>
    <t>2016-01-11 至 无固定期限</t>
  </si>
  <si>
    <t>Cangxi Wens Livestock Co., Ltd.</t>
  </si>
  <si>
    <t>苍溪温氏畜牧有限公司成立于2016-01-11，法定代表人为董荣华，注册资本为5700万元，统一社会信用代码为91510824MA6251PA0K，企业注册地址位于苍溪县陵江镇古梁村，所属行业为畜牧业，经营范围包含：种猪、生猪养殖及销售；饲料生产、销售；饲料生产用原料进出口；猪精液生产、销售（依法须经批准的项目，经相关部门批准后方可开展经营活动）。企业当前经营状态为存续。</t>
  </si>
  <si>
    <t>种猪、生猪养殖及销售；饲料生产、销售；饲料生产用原料进出口；猪精液生产、销售（依法须经批准的项目，经相关部门批准后方可开展经营活动）</t>
  </si>
  <si>
    <t>苍溪县市场监督管理局</t>
  </si>
  <si>
    <t>江西正联贸易有限公司</t>
  </si>
  <si>
    <t>91360106MA36YK489X</t>
  </si>
  <si>
    <t>付于根</t>
  </si>
  <si>
    <t>江西省南昌市南昌高新技术产业开发区艾溪湖一路569号</t>
  </si>
  <si>
    <t>18178909596</t>
  </si>
  <si>
    <t>19979535033;0791-6397495</t>
  </si>
  <si>
    <t>jiebq@sbtjt.com</t>
  </si>
  <si>
    <t>hefengjiao@zhengbang.com;1125454042@qq.com;ast@zhengbang.com</t>
  </si>
  <si>
    <t>360106210084075</t>
  </si>
  <si>
    <t>MA36YK48-9</t>
  </si>
  <si>
    <t>Jiangxi Zhenglian Co., Ltd.</t>
  </si>
  <si>
    <t>江西正联贸易有限公司成立于2017-12-07，法定代表人为付于根，注册资本为1000万元，统一社会信用代码为91360106MA36YK489X，企业注册地址位于江西省南昌市南昌高新技术产业开发区艾溪湖一路569号，所属行业为批发业，经营范围包含：自营或代理各类商品及技术的进出口业务；国内贸易；粮食的收购及销售；仓储服务；人力搬运装卸服务。（依法须经批准的项目,经相关部门批准后方可开展经营活动）。企业当前经营状态为存续。</t>
  </si>
  <si>
    <t>自营或代理各类商品及技术的进出口业务；国内贸易；粮食的收购及销售；仓储服务；人力搬运装卸服务。（依法须经批准的项目,经相关部门批准后方可开展经营活动）</t>
  </si>
  <si>
    <t>南昌高新技术产业开发区市场监督管理局</t>
  </si>
  <si>
    <t>东莞市姿依秀服装有限公司</t>
  </si>
  <si>
    <t>914419000734663894</t>
  </si>
  <si>
    <t>注销（2024-09-14）</t>
  </si>
  <si>
    <t>刘曼玲</t>
  </si>
  <si>
    <t>2013-07-08</t>
  </si>
  <si>
    <t>广东省东莞市常平镇苏坑一路12号3栋101室</t>
  </si>
  <si>
    <t>13302693018</t>
  </si>
  <si>
    <t>13316693591;0769-22999248;0769-22805260</t>
  </si>
  <si>
    <t>13302693018@139.com</t>
  </si>
  <si>
    <t>441900001653475</t>
  </si>
  <si>
    <t>07346638-9</t>
  </si>
  <si>
    <t>2013-07-08 至 无固定期限</t>
  </si>
  <si>
    <t>Dongguan ZiYiXiu Clothing Co., Ltd.</t>
  </si>
  <si>
    <t>东莞市姿依秀服装有限公司成立于2013-07-08，法定代表人为刘曼玲，注册资本为2000万元，统一社会信用代码为914419000734663894，企业注册地址位于广东省东莞市常平镇苏坑一路12号3栋101室，所属行业为纺织服装、服饰业，经营范围包含：加工、制造、销售：针织服装、服饰；货物进出口。（依法须经批准的项目，经相关部门批准后方可开展经营活动）。企业当前经营状态为注销。</t>
  </si>
  <si>
    <t>加工、制造、销售：针织服装、服饰；货物进出口。（依法须经批准的项目，经相关部门批准后方可开展经营活动）</t>
  </si>
  <si>
    <t>韶关市曲江区温氏畜牧有限公司</t>
  </si>
  <si>
    <t>91440205323238734P</t>
  </si>
  <si>
    <t>陆焱飞</t>
  </si>
  <si>
    <t>3993.3万元</t>
  </si>
  <si>
    <t>2014-11-18</t>
  </si>
  <si>
    <t>韶关市曲江区大塘镇红新村委会四队</t>
  </si>
  <si>
    <t>韶关市</t>
  </si>
  <si>
    <t>曲江区</t>
  </si>
  <si>
    <t>0751-6563838</t>
  </si>
  <si>
    <t>0751-6563398</t>
  </si>
  <si>
    <t>382656868@qq.com</t>
  </si>
  <si>
    <t>2519274930@qq.com</t>
  </si>
  <si>
    <t>440221000019162</t>
  </si>
  <si>
    <t>32323873-4</t>
  </si>
  <si>
    <t>334</t>
  </si>
  <si>
    <t>2014-11-18 至 无固定期限</t>
  </si>
  <si>
    <t>Wenshi Animal Husbandry Co., Ltd. In Qujiang District, Shaoguan City</t>
  </si>
  <si>
    <t>韶关市曲江区温氏畜牧有限公司成立于2014-11-18，法定代表人为陆焱飞，注册资本为3993.3万元，统一社会信用代码为91440205323238734P，企业注册地址位于韶关市曲江区大塘镇红新村委会四队，所属行业为畜牧业，经营范围包含：原种猪、猪苗、肉猪、饲料及猪精液的生产和销售，肉猪产品的销售；货物或技术进出口；普通货物运输；水果、蔬菜、花卉的种植、收购、销售及相关副产品销售。（依法须经批准的项目，经相关部门批准后方可开展经营活动）。企业当前经营状态为在业。</t>
  </si>
  <si>
    <t>原种猪、猪苗、肉猪、饲料及猪精液的生产和销售，肉猪产品的销售；货物或技术进出口；普通货物运输；水果、蔬菜、花卉的种植、收购、销售及相关副产品销售。（依法须经批准的项目，经相关部门批准后方可开展经营活动）</t>
  </si>
  <si>
    <t>韶关市曲江区市场监督管理局</t>
  </si>
  <si>
    <t>杭州南镇华韦纺织品有限公司</t>
  </si>
  <si>
    <t>91330109MA2KFBXU6J</t>
  </si>
  <si>
    <t>注销（2024-12-26）</t>
  </si>
  <si>
    <t>郑南</t>
  </si>
  <si>
    <t>2021-04-12</t>
  </si>
  <si>
    <t>浙江省杭州市萧山区衙前镇浙江纺织采购博览城9幢19号</t>
  </si>
  <si>
    <t>萧山区</t>
  </si>
  <si>
    <t>13018807928</t>
  </si>
  <si>
    <t>13799220728</t>
  </si>
  <si>
    <t>21106017@qq.com</t>
  </si>
  <si>
    <t>330181001479959</t>
  </si>
  <si>
    <t>MA2KFBXU-6</t>
  </si>
  <si>
    <t>2021-04-12 至 无固定期限</t>
  </si>
  <si>
    <t>Hangzhou Nanzhen Huawei Textile Co., Ltd.</t>
  </si>
  <si>
    <t>杭州南镇华韦纺织品有限公司成立于2021-04-12，法定代表人为郑南，注册资本为500万元，统一社会信用代码为91330109MA2KFBXU6J，企业注册地址位于浙江省杭州市萧山区衙前镇浙江纺织采购博览城9幢19号，所属行业为批发业，经营范围包含：一般项目：针纺织品及原料销售；服装服饰批发；皮革销售；箱包销售；五金产品批发；橡胶制品销售；建筑材料销售；化工产品销售（不含许可类化工产品）（除依法须经批准的项目外，凭营业执照依法自主开展经营活动）。许可项目：货物进出口（依法须经批准的项目，经相关部门批准后方可开展经营活动，具体经营项目以审批结果为准）。企业当前经营状态为注销。</t>
  </si>
  <si>
    <t>一般项目：针纺织品及原料销售；服装服饰批发；皮革销售；箱包销售；五金产品批发；橡胶制品销售；建筑材料销售；化工产品销售（不含许可类化工产品）（除依法须经批准的项目外，凭营业执照依法自主开展经营活动）。许可项目：货物进出口（依法须经批准的项目，经相关部门批准后方可开展经营活动，具体经营项目以审批结果为准）。</t>
  </si>
  <si>
    <t>杭州市萧山区市场监督管理局</t>
  </si>
  <si>
    <t>佛山市晓智纺织品有限公司</t>
  </si>
  <si>
    <t>91440605MA51HP7W4M</t>
  </si>
  <si>
    <t>注销（2025-02-14）</t>
  </si>
  <si>
    <t>黄海秋</t>
  </si>
  <si>
    <t>2018-04-10</t>
  </si>
  <si>
    <t>佛山市南海区大沥镇盐步广佛公路平地路段麦边村路段“地堂前”17号（住所申报）</t>
  </si>
  <si>
    <t>13923158077</t>
  </si>
  <si>
    <t>1703889142@qq.com</t>
  </si>
  <si>
    <t>MA51HP7W-4</t>
  </si>
  <si>
    <t>2018-04-10 至 无固定期限</t>
  </si>
  <si>
    <t>Foshan Xiaozhi Textile Co., Ltd.</t>
  </si>
  <si>
    <t>佛山市晓智纺织品有限公司成立于2018-04-10，法定代表人为黄海秋，注册资本为100万元，统一社会信用代码为91440605MA51HP7W4M，企业注册地址位于佛山市南海区大沥镇盐步广佛公路平地路段麦边村路段“地堂前”17号（住所申报），所属行业为批发业，经营范围包含：纺织品、针织品及原料批发，纺织品及针织品零售。（依法须经批准的项目，经相关部门批准后方可开展经营活动。）（依法须经批准的项目，经相关部门批准后方可开展经营活动）。企业当前经营状态为注销。</t>
  </si>
  <si>
    <t>纺织品、针织品及原料批发，纺织品及针织品零售。（依法须经批准的项目，经相关部门批准后方可开展经营活动。）（依法须经批准的项目，经相关部门批准后方可开展经营活动）</t>
  </si>
  <si>
    <t>晋江福霆纺织科技有限公司</t>
  </si>
  <si>
    <t>91350582MA33WGLG8K</t>
  </si>
  <si>
    <t>注销（2025-04-24）</t>
  </si>
  <si>
    <t>许宏超</t>
  </si>
  <si>
    <t>2020-05-19</t>
  </si>
  <si>
    <t>福建省晋江市深沪镇科任村科任工业区8号厂房A幢一层、三层</t>
  </si>
  <si>
    <t>13067125333</t>
  </si>
  <si>
    <t>13860707328</t>
  </si>
  <si>
    <t>963914613@qq.com</t>
  </si>
  <si>
    <t>MA33WGLG-8</t>
  </si>
  <si>
    <t>2020-05-19 至 无固定期限</t>
  </si>
  <si>
    <t>Jinjiang Futing Textile Technology Co., Ltd.</t>
  </si>
  <si>
    <t>晋江福霆纺织科技有限公司成立于2020-05-19，法定代表人为许宏超，注册资本为1000万元，统一社会信用代码为91350582MA33WGLG8K，企业注册地址位于福建省晋江市深沪镇科任村科任工业区8号厂房A幢一层、三层，所属行业为纺织业，经营范围包含：一般项目：面料纺织加工；针纺织品销售；针纺织品及原料销售；纺纱加工；产业用纺织制成品制造；针织或钩针编织物及其制品制造；纺织、服装及家庭用品批发；服装制造；服饰制造；服装服饰批发；服装服饰零售；服装辅料销售；技术进出口；货物进出口（除依法须经批准的项目外，凭营业执照依法自主开展经营活动）。企业当前经营状态为注销。</t>
  </si>
  <si>
    <t>一般项目：面料纺织加工；针纺织品销售；针纺织品及原料销售；纺纱加工；产业用纺织制成品制造；针织或钩针编织物及其制品制造；纺织、服装及家庭用品批发；服装制造；服饰制造；服装服饰批发；服装服饰零售；服装辅料销售；技术进出口；货物进出口（除依法须经批准的项目外，凭营业执照依法自主开展经营活动）</t>
  </si>
  <si>
    <t>新疆数智世界供应链有限公司</t>
  </si>
  <si>
    <t>91650105MAC7QU9060</t>
  </si>
  <si>
    <t>刘一铭</t>
  </si>
  <si>
    <t>2023-01-17</t>
  </si>
  <si>
    <t>新疆乌鲁木齐市水磨沟区红光山路888号绿城广场02＃商业综合楼（A、B座）B单元商务办公301室-01（中国（新疆）自由贸易试验区）</t>
  </si>
  <si>
    <t>13579249879</t>
  </si>
  <si>
    <t>15199457892</t>
  </si>
  <si>
    <t>1042472842@qq.com</t>
  </si>
  <si>
    <t>843021178@qq.com</t>
  </si>
  <si>
    <t>650105029121776</t>
  </si>
  <si>
    <t>MAC7QU90-6</t>
  </si>
  <si>
    <t>2023-01-17 至 无固定期限</t>
  </si>
  <si>
    <t>其他组织管理服务</t>
  </si>
  <si>
    <t>Xinjiang Shuzhi World Supply Chain Co., Ltd.</t>
  </si>
  <si>
    <t>新疆乌鲁木齐市水磨沟区红光山路888号绿城广场2B座写字楼3层301室</t>
  </si>
  <si>
    <t>新疆数智世界供应链有限公司成立于2023-01-17，法定代表人为刘一铭，注册资本为1000万元，统一社会信用代码为91650105MAC7QU9060，企业注册地址位于新疆乌鲁木齐市水磨沟区红光山路888号绿城广场02＃商业综合楼（A、B座）B单元商务办公301室-01（中国（新疆）自由贸易试验区），所属行业为商务服务业，经营范围包含：一般项目：供应链管理服务;国内贸易代理;贸易经纪;销售代理;棉花收购;棉、麻销售;产业用纺织制成品销售;针纺织品及原料销售;服装服饰零售;服装服饰批发;鞋帽零售;鞋帽批发;棉花加工机械销售;纺织专用设备销售;纺织专用测试仪器销售;日用百货销售;日用家电零售;智能农机装备销售;机械设备销售;纸制品销售;箱包销售;互联网销售（除销售需要许可的商品）;日用杂品销售;日用品销售;服装辅料销售;食用农产品零售;食用农产品批发;初级农产品收购;办公服务;办公设备租赁服务;技术服务、技术开发、技术咨询、技术交流、技术转让、技术推广;新材料技术研发;广告发布;广告设计、代理;包装服务;包装专用设备销售;智能家庭消费设备销售;普通货物仓储服务（不含危险化学品等需许可审批的项目）;企业管理;货物进出口;技术进出口;进出口代理。（除依法须经批准的项目外，凭营业执照依法自主开展经营活动）许可项目：计算机信息系统安全专用产品销售。（依法须经批准的项目，经相关部门批准后方可开展经营活动，具体经营项目以相关部门批准文件或许可证件为准）。企业当前经营状态为存续。</t>
  </si>
  <si>
    <t>一般项目：供应链管理服务;国内贸易代理;贸易经纪;销售代理;棉花收购;棉、麻销售;产业用纺织制成品销售;针纺织品及原料销售;服装服饰零售;服装服饰批发;鞋帽零售;鞋帽批发;棉花加工机械销售;纺织专用设备销售;纺织专用测试仪器销售;日用百货销售;日用家电零售;智能农机装备销售;机械设备销售;纸制品销售;箱包销售;互联网销售（除销售需要许可的商品）;日用杂品销售;日用品销售;服装辅料销售;食用农产品零售;食用农产品批发;初级农产品收购;办公服务;办公设备租赁服务;技术服务、技术开发、技术咨询、技术交流、技术转让、技术推广;新材料技术研发;广告发布;广告设计、代理;包装服务;包装专用设备销售;智能家庭消费设备销售;普通货物仓储服务（不含危险化学品等需许可审批的项目）;企业管理;货物进出口;技术进出口;进出口代理。（除依法须经批准的项目外，凭营业执照依法自主开展经营活动）许可项目：计算机信息系统安全专用产品销售。（依法须经批准的项目，经相关部门批准后方可开展经营活动，具体经营项目以相关部门批准文件或许可证件为准）</t>
  </si>
  <si>
    <t>张家港耶林木制品有限公司</t>
  </si>
  <si>
    <t>91320582MA1P2KQ964</t>
  </si>
  <si>
    <t>李忠</t>
  </si>
  <si>
    <t>2017-05-24</t>
  </si>
  <si>
    <t>张家港市金港镇后塍朱家桥23组15号2D</t>
  </si>
  <si>
    <t>0512-56305122</t>
  </si>
  <si>
    <t>0512-58309000</t>
  </si>
  <si>
    <t>334584844@qq.com</t>
  </si>
  <si>
    <t>320582000468079</t>
  </si>
  <si>
    <t>MA1P2KQ9-6</t>
  </si>
  <si>
    <t>2017-05-24 至 2067-05-23</t>
  </si>
  <si>
    <t>Zhangjiagang YeLin Wood Products Co., Ltd.</t>
  </si>
  <si>
    <t>张家港市金港镇镇山东路2号</t>
  </si>
  <si>
    <t>张家港耶林木制品有限公司成立于2017-05-24，法定代表人为李忠，注册资本为200万元，统一社会信用代码为91320582MA1P2KQ964，企业注册地址位于张家港市金港镇后塍朱家桥23组15号2D，所属行业为木材加工和木、竹、藤、棕、草制品业，经营范围包含：木制品、家具制造、加工、销售；自营和代理各类商品及技术的进出口业务。（依法须经批准的项目，经相关部门批准后方可开展经营活动）
一般项目：金属制品销售；金属矿石销售（除依法须经批准的项目外，凭营业执照依法自主开展经营活动）。企业当前经营状态为在业。</t>
  </si>
  <si>
    <t>木制品、家具制造、加工、销售；自营和代理各类商品及技术的进出口业务。（依法须经批准的项目，经相关部门批准后方可开展经营活动）
一般项目：金属制品销售；金属矿石销售（除依法须经批准的项目外，凭营业执照依法自主开展经营活动）</t>
  </si>
  <si>
    <t>东莞市诚泽木业有限公司</t>
  </si>
  <si>
    <t>91441900304058930B</t>
  </si>
  <si>
    <t>余孔飞</t>
  </si>
  <si>
    <t>2014-05-12</t>
  </si>
  <si>
    <t>广东省东莞市厚街镇环莞快速路厚街段322号435室</t>
  </si>
  <si>
    <t>13559708762</t>
  </si>
  <si>
    <t>0769-83785986;13326858628</t>
  </si>
  <si>
    <t>13559708762@qq.com</t>
  </si>
  <si>
    <t>438904306@qq.com</t>
  </si>
  <si>
    <t>441900001962050</t>
  </si>
  <si>
    <t>30405893-0</t>
  </si>
  <si>
    <t>2014-05-12 至 无固定期限</t>
  </si>
  <si>
    <t>Dongguan Chengze Wood Industry Co., Ltd.</t>
  </si>
  <si>
    <t>东莞市诚泽木业有限公司成立于2014-05-12，法定代表人为余孔飞，注册资本为50万元，统一社会信用代码为91441900304058930B，企业注册地址位于广东省东莞市厚街镇环莞快速路厚街段322号435室，所属行业为批发业，经营范围包含：销售：木皮、木材、家具材料、装饰材料。（依法须经批准的项目，经相关部门批准后方可开展经营活动）。企业当前经营状态为在业。</t>
  </si>
  <si>
    <t>销售：木皮、木材、家具材料、装饰材料。（依法须经批准的项目，经相关部门批准后方可开展经营活动）</t>
  </si>
  <si>
    <t>公主岭市岭东粮食收储有限责任公司</t>
  </si>
  <si>
    <t>9122038159448171X9</t>
  </si>
  <si>
    <t>杨笙</t>
  </si>
  <si>
    <t>3267万元</t>
  </si>
  <si>
    <t>2012-05-29</t>
  </si>
  <si>
    <t>公主岭市岭东街先锋委</t>
  </si>
  <si>
    <t>公主岭市</t>
  </si>
  <si>
    <t>0434-76210399</t>
  </si>
  <si>
    <t>13894447756;0431-6210399;0431-6273333;15943421819;13843453236</t>
  </si>
  <si>
    <t>1075475521@qq.com</t>
  </si>
  <si>
    <t>220381000023728</t>
  </si>
  <si>
    <t>59448171-X</t>
  </si>
  <si>
    <t>2012-05-29 至 2042-05-28</t>
  </si>
  <si>
    <t>Lingdong Grain Harvesting and Storage Co., Ltd. In Gongzhuling City</t>
  </si>
  <si>
    <t>公主岭市岭东粮食收储有限责任公司成立于2012-05-29，法定代表人为杨笙，注册资本为3300万元，统一社会信用代码为9122038159448171X9，企业注册地址位于公主岭市岭东街先锋委，所属行业为批发业，经营范围包含：粮食收购、仓储、销售;不再分装的农作物种子销售；道路普通货物运输；预包装食品兼散装食品零售；货物装缷搬运服务（依法须经批准的项目，经相关部门批准后方可开展经营活动）。企业当前经营状态为存续。</t>
  </si>
  <si>
    <t>粮食收购、仓储、销售;不再分装的农作物种子销售；道路普通货物运输；预包装食品兼散装食品零售；货物装缷搬运服务（依法须经批准的项目，经相关部门批准后方可开展经营活动）</t>
  </si>
  <si>
    <t>公主岭市市场监督管理局</t>
  </si>
  <si>
    <t>佛山市大树纺织品有限公司</t>
  </si>
  <si>
    <t>91440604MA55TNYH7G</t>
  </si>
  <si>
    <t>陈思燕</t>
  </si>
  <si>
    <t>2021-01-08</t>
  </si>
  <si>
    <t>佛山市禅城区张槎街道村尾顺景工业园南区工业区南一座首层东1号（住所申报）</t>
  </si>
  <si>
    <t>15916032103</t>
  </si>
  <si>
    <t>373589987@qq.com</t>
  </si>
  <si>
    <t>440602011119229</t>
  </si>
  <si>
    <t>MA55TNYH-7</t>
  </si>
  <si>
    <t>2021-01-08 至 无固定期限</t>
  </si>
  <si>
    <t>Foshan Dashu Textile Co., Ltd.</t>
  </si>
  <si>
    <t>佛山市大树纺织品有限公司成立于2021-01-08，法定代表人为陈思燕，注册资本为500万元，统一社会信用代码为91440604MA55TNYH7G，企业注册地址位于佛山市禅城区张槎街道村尾顺景工业园南区工业区南一座首层东1号（住所申报），所属行业为零售业，经营范围包含：一般项目：针纺织品销售；针纺织品及原料销售；服装服饰批发；国内贸易代理。（除依法须经批准的项目外，凭营业执照依法自主开展经营活动）。企业当前经营状态为在业。</t>
  </si>
  <si>
    <t>一般项目：针纺织品销售；针纺织品及原料销售；服装服饰批发；国内贸易代理。（除依法须经批准的项目外，凭营业执照依法自主开展经营活动）</t>
  </si>
  <si>
    <t>清镇温氏畜牧有限公司</t>
  </si>
  <si>
    <t>915201817988400670</t>
  </si>
  <si>
    <t>李雄健</t>
  </si>
  <si>
    <t>2007-04-29</t>
  </si>
  <si>
    <t>贵州省贵阳市清镇市红枫湖镇陈亮堡村新仓组14号</t>
  </si>
  <si>
    <t>贵阳市</t>
  </si>
  <si>
    <t>清镇市</t>
  </si>
  <si>
    <t>0851-82603038</t>
  </si>
  <si>
    <t>0851-82601285;0851-2601285</t>
  </si>
  <si>
    <t>1073002542@qq.com</t>
  </si>
  <si>
    <t>18585183851@163.com</t>
  </si>
  <si>
    <t>520181000117087</t>
  </si>
  <si>
    <t>79884006-7</t>
  </si>
  <si>
    <t>139</t>
  </si>
  <si>
    <t>2007-04-29 至 无固定期限</t>
  </si>
  <si>
    <t>家禽饲养</t>
  </si>
  <si>
    <t>Qingzhen Wenshi Animal Husbandry Co., Ltd.</t>
  </si>
  <si>
    <t>清镇温氏畜牧有限公司成立于2007-04-29，法定代表人为李雄健，注册资本为1200万元，统一社会信用代码为915201817988400670，企业注册地址位于贵州省贵阳市清镇市红枫湖镇陈亮堡村新仓组14号，所属行业为畜牧业，经营范围包含：法律、法规、国务院决定规定禁止的不得经营；法律、法规、国务院决定规定应当许可（审批）的，经审批机关批准后凭许可（审批）文件经营;法律、法规、国务院决定规定无需许可（审批）的，市场主体自主选择经营。（饲料加工和销售；家禽养殖、屠宰、销售（凭环保手续从事生产经营活动）；进出口贸易（国家限制或禁止的除外）。）。企业当前经营状态为存续。</t>
  </si>
  <si>
    <t>法律、法规、国务院决定规定禁止的不得经营；法律、法规、国务院决定规定应当许可（审批）的，经审批机关批准后凭许可（审批）文件经营;法律、法规、国务院决定规定无需许可（审批）的，市场主体自主选择经营。（饲料加工和销售；家禽养殖、屠宰、销售（凭环保手续从事生产经营活动）；进出口贸易（国家限制或禁止的除外）。）</t>
  </si>
  <si>
    <t>贵阳市清镇市市场监督管理局</t>
  </si>
  <si>
    <t>石林温氏畜牧有限公司</t>
  </si>
  <si>
    <t>91530126668269085T</t>
  </si>
  <si>
    <t>1400万元</t>
  </si>
  <si>
    <t>2007-11-14</t>
  </si>
  <si>
    <t>云南省昆明市石林县鹿阜街道办事处生态工业集中区</t>
  </si>
  <si>
    <t>昆明市</t>
  </si>
  <si>
    <t>石林彝族自治县</t>
  </si>
  <si>
    <t>0871-67702666</t>
  </si>
  <si>
    <t>530126000000141</t>
  </si>
  <si>
    <t>66826908-5</t>
  </si>
  <si>
    <t>159</t>
  </si>
  <si>
    <t>2007-11-14 至 无固定期限</t>
  </si>
  <si>
    <t>鸡的饲养</t>
  </si>
  <si>
    <t>Shilin Wenshi Animal Husbandry Co., Ltd.</t>
  </si>
  <si>
    <t>石林温氏畜牧有限公司成立于2007-11-14，法定代表人为李雄健，注册资本为1400万元，统一社会信用代码为91530126668269085T，企业注册地址位于云南省昆明市石林县鹿阜街道办事处生态工业集中区，所属行业为畜牧业，经营范围包含：畜禽养殖、屠宰、销售；粮食收购；配合饲料生产、销售（依法须经批准的项目，经相关部门批准后方可开展经营活动）。企业当前经营状态为存续。</t>
  </si>
  <si>
    <t>畜禽养殖、屠宰、销售；粮食收购；配合饲料生产、销售（依法须经批准的项目，经相关部门批准后方可开展经营活动）</t>
  </si>
  <si>
    <t>石林彝族自治县市场监督管理局</t>
  </si>
  <si>
    <t>奉新妙慧袜业有限公司</t>
  </si>
  <si>
    <t>91360921MABM1LJQ3A</t>
  </si>
  <si>
    <t>注销（2024-08-29）</t>
  </si>
  <si>
    <t>简小红</t>
  </si>
  <si>
    <t>2022-04-18</t>
  </si>
  <si>
    <t>江西省宜春市奉新县黄溪新区天工创业园14栋1-2（自主承诺）</t>
  </si>
  <si>
    <t>奉新县</t>
  </si>
  <si>
    <t>19296549732</t>
  </si>
  <si>
    <t>19296549732@139.com</t>
  </si>
  <si>
    <t>360921210063874</t>
  </si>
  <si>
    <t>MABM1LJQ-3</t>
  </si>
  <si>
    <t>2022-04-18 至 2042-04-17</t>
  </si>
  <si>
    <t>Fengxin Miaohui Socks Co., Ltd.</t>
  </si>
  <si>
    <t>奉新妙慧袜业有限公司成立于2022-04-18，法定代表人为简小红，注册资本为300万元，统一社会信用代码为91360921MABM1LJQ3A，企业注册地址位于江西省宜春市奉新县黄溪新区天工创业园14栋1-2（自主承诺），所属行业为纺织服装、服饰业，经营范围包含：一般项目：服饰制造，服装服饰批发，服装服饰零售，针织或钩针编织物及其制品制造，针纺织品销售（除许可业务外，可自主依法经营法律法规非禁止或限制的项目）。企业当前经营状态为注销。</t>
  </si>
  <si>
    <t>一般项目：服饰制造，服装服饰批发，服装服饰零售，针织或钩针编织物及其制品制造，针纺织品销售（除许可业务外，可自主依法经营法律法规非禁止或限制的项目）</t>
  </si>
  <si>
    <t>奉新县市场监督管理局</t>
  </si>
  <si>
    <t>佛山市永旭宏纺织有限公司</t>
  </si>
  <si>
    <t>91440605MAA4K61Y9G</t>
  </si>
  <si>
    <t>注销（2025-01-17）</t>
  </si>
  <si>
    <t>李宏云</t>
  </si>
  <si>
    <t>2021-12-23</t>
  </si>
  <si>
    <t>佛山市南海区大沥镇盐步平地华辉东路布匹市场19号（住所申报）</t>
  </si>
  <si>
    <t>13724655813</t>
  </si>
  <si>
    <t>13612612247;13392771471</t>
  </si>
  <si>
    <t>850670779@qq.com</t>
  </si>
  <si>
    <t>440682012295287</t>
  </si>
  <si>
    <t>MAA4K61Y-9</t>
  </si>
  <si>
    <t>2021-12-23 至 无固定期限</t>
  </si>
  <si>
    <t>Foshan Yongxuhong Textile Co., Ltd.</t>
  </si>
  <si>
    <t>佛山市永旭宏纺织有限公司成立于2021-12-23，法定代表人为李宏云，注册资本为100万元，统一社会信用代码为91440605MAA4K61Y9G，企业注册地址位于佛山市南海区大沥镇盐步平地华辉东路布匹市场19号（住所申报），所属行业为零售业，经营范围包含：一般项目：针纺织品销售；针纺织品及原料销售；服装服饰零售；服装服饰批发。（除依法须经批准的项目外，凭营业执照依法自主开展经营活动）。企业当前经营状态为注销。</t>
  </si>
  <si>
    <t>山东联润新材料科技有限公司</t>
  </si>
  <si>
    <t>913704005766277113</t>
  </si>
  <si>
    <t>陈启升</t>
  </si>
  <si>
    <t>2011-06-09</t>
  </si>
  <si>
    <t>枣庄市台儿庄华阳路西，长捷路南</t>
  </si>
  <si>
    <t>枣庄市</t>
  </si>
  <si>
    <t>台儿庄区</t>
  </si>
  <si>
    <t>0632-6677606</t>
  </si>
  <si>
    <t>0632-6926877;17763212658;13581122776;17862930263;0632-6926333</t>
  </si>
  <si>
    <t>916117328@qq.com</t>
  </si>
  <si>
    <t>370400000002226</t>
  </si>
  <si>
    <t>57662771-1</t>
  </si>
  <si>
    <t>568</t>
  </si>
  <si>
    <t>2011-06-09 至 无固定期限</t>
  </si>
  <si>
    <t>家用纺织制成品制造</t>
  </si>
  <si>
    <t>其他家用纺织制成品制造</t>
  </si>
  <si>
    <t>Long Run Textile Co., Ltd.</t>
  </si>
  <si>
    <t>http://www.longruntex.cn</t>
  </si>
  <si>
    <t>山东联润新材料科技有限公司成立于2011-06-09，法定代表人为陈启升，注册资本为6000万元，统一社会信用代码为913704005766277113，企业注册地址位于枣庄市台儿庄华阳路西，长捷路南，所属行业为纺织业，经营范围包含：新型纺织原辅材料科研、开发；新型纺织原辅料生产、加工、销售；经营进出口业务（以上涉及许可的，凭许可证经营）。（依法须经批准的项目，经相关部门批准后方可开展经营活动）。企业当前经营状态为在业。</t>
  </si>
  <si>
    <t>新型纺织原辅材料科研、开发；新型纺织原辅料生产、加工、销售；经营进出口业务（以上涉及许可的，凭许可证经营）。（依法须经批准的项目，经相关部门批准后方可开展经营活动）。</t>
  </si>
  <si>
    <t>枣庄市市场监督管理局</t>
  </si>
  <si>
    <t>佛山市景达顺纺织有限公司</t>
  </si>
  <si>
    <t>91440605MA58D4KN01</t>
  </si>
  <si>
    <t>注销（2024-09-02）</t>
  </si>
  <si>
    <t>何小宾</t>
  </si>
  <si>
    <t>2021-11-20</t>
  </si>
  <si>
    <t>佛山市南海区大沥镇盐步平地村委会（原平地中学）的平地轻纺城3层C307（住所申报）</t>
  </si>
  <si>
    <t>13068633873</t>
  </si>
  <si>
    <t>MA58D4KN-0</t>
  </si>
  <si>
    <t>2021-11-20 至 无固定期限</t>
  </si>
  <si>
    <t>Foshan Jingdashun Textile Co., Ltd.</t>
  </si>
  <si>
    <t>佛山市景达顺纺织有限公司成立于2021-11-20，法定代表人为何小宾，注册资本为200万元，统一社会信用代码为91440605MA58D4KN01，企业注册地址位于佛山市南海区大沥镇盐步平地村委会（原平地中学）的平地轻纺城3层C307（住所申报），所属行业为零售业，经营范围包含：一般项目：针纺织品销售；针纺织品及原料销售；服装服饰零售；服装服饰批发。（除依法须经批准的项目外，凭营业执照依法自主开展经营活动）。企业当前经营状态为注销。</t>
  </si>
  <si>
    <t>中山市富欣美服装有限公司</t>
  </si>
  <si>
    <t>91442000551731264F</t>
  </si>
  <si>
    <t>中山市百大利服饰有限公司</t>
  </si>
  <si>
    <t>陈桂玲</t>
  </si>
  <si>
    <t>2010-03-18</t>
  </si>
  <si>
    <t>中山市横栏镇顺兴北路96号明旺电商厂房一期1幢401房G01-20</t>
  </si>
  <si>
    <t>13676076999</t>
  </si>
  <si>
    <t>13726286447;13590774704;13318299939;13318417777</t>
  </si>
  <si>
    <t>442000000309874</t>
  </si>
  <si>
    <t>55173126-4</t>
  </si>
  <si>
    <t>10</t>
  </si>
  <si>
    <t>2010-03-18 至 无固定期限</t>
  </si>
  <si>
    <t>Zhongshan Fuxinmei Garment Co., Ltd.</t>
  </si>
  <si>
    <t>中山市富欣美服装有限公司成立于2010-03-18，法定代表人为陈桂玲，注册资本为100万元，统一社会信用代码为91442000551731264F，企业注册地址位于中山市横栏镇顺兴北路96号明旺电商厂房一期1幢401房G01-20，所属行业为纺织服装、服饰业，经营范围包含：生产、加工、销售：服装、鞋帽、手袋、纺织品、棉纱、服装辅料；货物及技术进出口。（依法须经批准的项目，经相关部门批准后方可开展经营活动）。企业当前经营状态为在业。</t>
  </si>
  <si>
    <t>生产、加工、销售：服装、鞋帽、手袋、纺织品、棉纱、服装辅料；货物及技术进出口。（依法须经批准的项目，经相关部门批准后方可开展经营活动）</t>
  </si>
  <si>
    <t>中山市西区海达日用制品厂</t>
  </si>
  <si>
    <t>914420007148322712</t>
  </si>
  <si>
    <t>注销（2025-04-29）</t>
  </si>
  <si>
    <t>郭俊明</t>
  </si>
  <si>
    <t>1999-06-10</t>
  </si>
  <si>
    <t>中山市西区广丰工业大道51号四季蓝天花园43卡之二</t>
  </si>
  <si>
    <t>0760-88552809</t>
  </si>
  <si>
    <t>13902823970;15800124403;0760-88552389</t>
  </si>
  <si>
    <t>0760-88552809@qq.com</t>
  </si>
  <si>
    <t>442000000084052</t>
  </si>
  <si>
    <t>71483227-1</t>
  </si>
  <si>
    <t>1999-06-10 至 无固定期限</t>
  </si>
  <si>
    <t>Zhongshan West Zone Haida Daily Products Factory</t>
  </si>
  <si>
    <t>生产、加工、销售：婴童用品、针纺制品、床上用品、服装（不含洗水、印染等工序）。（依法须经批准的项目，经相关部门批准后方可开展经营活动）</t>
  </si>
  <si>
    <t>高安市紫墨服饰有限公司</t>
  </si>
  <si>
    <t>91360983MACB48J706</t>
  </si>
  <si>
    <t>袁飞飞</t>
  </si>
  <si>
    <t>2023-03-15</t>
  </si>
  <si>
    <t>江西省宜春市高安市高新技术产业园（黄沙岗镇黄金街路1055号）</t>
  </si>
  <si>
    <t>高安市</t>
  </si>
  <si>
    <t>13687053139</t>
  </si>
  <si>
    <t>1809520591@qq.com</t>
  </si>
  <si>
    <t>360983210258118</t>
  </si>
  <si>
    <t>MACB48J7-0</t>
  </si>
  <si>
    <t>2023-03-15 至 无固定期限</t>
  </si>
  <si>
    <t>Gao'an Zimo Clothing Co., Ltd.</t>
  </si>
  <si>
    <t>高安市紫墨服饰有限公司成立于2023-03-15，法定代表人为袁飞飞，注册资本为150万元，统一社会信用代码为91360983MACB48J706，企业注册地址位于江西省宜春市高安市高新技术产业园（黄沙岗镇黄金街路1055号），所属行业为纺织服装、服饰业，经营范围包含：一般项目：服饰制造，服装制造，服饰研发，服装服饰批发，服装辅料制造，服装辅料销售，服装服饰出租，服装服饰零售，服装、服饰检验、整理服务，纺纱加工，面料纺织加工，家用纺织制成品制造，针纺织品销售，产业用纺织制成品制造，产业用纺织制成品销售，针纺织品及原料销售，特种劳动防护用品销售，特种劳动防护用品生产，劳动保护用品销售（除依法须经批准的项目外，凭营业执照依法自主开展经营活动）。企业当前经营状态为存续。</t>
  </si>
  <si>
    <t>一般项目：服饰制造，服装制造，服饰研发，服装服饰批发，服装辅料制造，服装辅料销售，服装服饰出租，服装服饰零售，服装、服饰检验、整理服务，纺纱加工，面料纺织加工，家用纺织制成品制造，针纺织品销售，产业用纺织制成品制造，产业用纺织制成品销售，针纺织品及原料销售，特种劳动防护用品销售，特种劳动防护用品生产，劳动保护用品销售（除依法须经批准的项目外，凭营业执照依法自主开展经营活动）</t>
  </si>
  <si>
    <t>高安市市场监督管理局</t>
  </si>
  <si>
    <t>张家港市汇缘阁木业有限公司</t>
  </si>
  <si>
    <t>91320582MA1R8PHDX8</t>
  </si>
  <si>
    <t>刘世刚</t>
  </si>
  <si>
    <t>2017-09-28</t>
  </si>
  <si>
    <t>张家港市金港街道蟠港北路131号-2</t>
  </si>
  <si>
    <t>18550135766</t>
  </si>
  <si>
    <t>18651126638</t>
  </si>
  <si>
    <t>984551344@qq.com</t>
  </si>
  <si>
    <t>seng2007@126.com</t>
  </si>
  <si>
    <t>320582000493160</t>
  </si>
  <si>
    <t>MA1R8PHD-X</t>
  </si>
  <si>
    <t>2017-09-28 至 无固定期限</t>
  </si>
  <si>
    <t>Zhangjiagang Huiyuange Wood Industry Co., Ltd.</t>
  </si>
  <si>
    <t>张家港市汇缘阁木业有限公司成立于2017-09-28，法定代表人为刘世刚，注册资本为200万元，统一社会信用代码为91320582MA1R8PHDX8，企业注册地址位于张家港市金港街道蟠港北路131号-2，所属行业为批发业，经营范围包含：原木、板材、木制品、工艺品、建筑材料、家具、装饰装潢材料购销；木制品制造、加工、销售；自营和代理各类商品及技术的进出口业务。（依法须经批准的项目，经相关部门批准后方可开展经营活动）
许可项目：建设工程施工（依法须经批准的项目，经相关部门批准后方可开展经营活动，具体经营项目以审批结果为准）
一般项目：文物文化遗址保护服务；园林绿化工程施工；土石方工程施工；金属门窗工程施工（除依法须经批准的项目外，凭营业执照依法自主开展经营活动）。企业当前经营状态为在业。</t>
  </si>
  <si>
    <t>原木、板材、木制品、工艺品、建筑材料、家具、装饰装潢材料购销；木制品制造、加工、销售；自营和代理各类商品及技术的进出口业务。（依法须经批准的项目，经相关部门批准后方可开展经营活动）
许可项目：建设工程施工（依法须经批准的项目，经相关部门批准后方可开展经营活动，具体经营项目以审批结果为准）
一般项目：文物文化遗址保护服务；园林绿化工程施工；土石方工程施工；金属门窗工程施工（除依法须经批准的项目外，凭营业执照依法自主开展经营活动）</t>
  </si>
  <si>
    <t>广州海森服装有限公司</t>
  </si>
  <si>
    <t>91440101MA5CKHU54C</t>
  </si>
  <si>
    <t>注销（2025-03-01）</t>
  </si>
  <si>
    <t>蒋配</t>
  </si>
  <si>
    <t>75万元</t>
  </si>
  <si>
    <t>2018-12-18</t>
  </si>
  <si>
    <t>广州市白云区鹤龙街鹤边员村南街4号602室</t>
  </si>
  <si>
    <t>13905789475</t>
  </si>
  <si>
    <t>13838385438</t>
  </si>
  <si>
    <t>13905789475@139.com</t>
  </si>
  <si>
    <t>59687458@qq.com</t>
  </si>
  <si>
    <t>440111003913654</t>
  </si>
  <si>
    <t>MA5CKHU5-4</t>
  </si>
  <si>
    <t>2018-12-18 至 无固定期限</t>
  </si>
  <si>
    <t>Guangzhou Haisen Clothing Co., Ltd.</t>
  </si>
  <si>
    <t>广州海森服装有限公司成立于2018-12-18，法定代表人为蒋配，注册资本为75万元，统一社会信用代码为91440101MA5CKHU54C，企业注册地址位于广州市白云区鹤龙街鹤边员村南街4号602室，所属行业为纺织服装、服饰业，经营范围包含：国内贸易代理;贸易经纪;服装服饰批发;针织或钩针编织物及其制品制造;服饰制造;服饰研发;服装制造;服装辅料销售;服装、服饰检验、整理服务;服装服饰零售;技术进出口;货物进出口。企业当前经营状态为注销。</t>
  </si>
  <si>
    <t>国内贸易代理;贸易经纪;服装服饰批发;针织或钩针编织物及其制品制造;服饰制造;服饰研发;服装制造;服装辅料销售;服装、服饰检验、整理服务;服装服饰零售;技术进出口;货物进出口</t>
  </si>
  <si>
    <t>廊坊千宏木业有限公司</t>
  </si>
  <si>
    <t>91131026MA0EFD12XK</t>
  </si>
  <si>
    <t>注销（2024-08-20）</t>
  </si>
  <si>
    <t>陈中强</t>
  </si>
  <si>
    <t>河北省廊坊市文安县左各庄镇西曹庄村</t>
  </si>
  <si>
    <t>廊坊市</t>
  </si>
  <si>
    <t>文安县</t>
  </si>
  <si>
    <t>13653163888</t>
  </si>
  <si>
    <t>13653163888@139.com</t>
  </si>
  <si>
    <t>MA0EFD12-X</t>
  </si>
  <si>
    <t>2019-12-11 至 无固定期限</t>
  </si>
  <si>
    <t>Langfang Qianhong Wood Industry Co., Ltd.</t>
  </si>
  <si>
    <t>廊坊千宏木业有限公司成立于2019-12-11，法定代表人为陈中强，注册资本为500万元，统一社会信用代码为91131026MA0EFD12XK，企业注册地址位于河北省廊坊市文安县左各庄镇西曹庄村，所属行业为木材加工和木、竹、藤、棕、草制品业，经营范围包含：木质制品制造。木材加工。单板销售。木方销售。（依法须经批准的项目，经相关部门批准后方可开展经营活动）。企业当前经营状态为注销。</t>
  </si>
  <si>
    <t>木质制品制造。木材加工。单板销售。木方销售。（依法须经批准的项目，经相关部门批准后方可开展经营活动）</t>
  </si>
  <si>
    <t>廊坊市文安县市场监督管理局</t>
  </si>
  <si>
    <t>青岛锦瑞企业发展服务有限公司</t>
  </si>
  <si>
    <t>91370811MABNADGH9F</t>
  </si>
  <si>
    <t>济宁锦瑞企业发展有限公司</t>
  </si>
  <si>
    <t>注销（2024-11-18）</t>
  </si>
  <si>
    <t>胡兵</t>
  </si>
  <si>
    <t>2022-06-07</t>
  </si>
  <si>
    <t>山东省青岛市李沧区万年泉路21号1号楼恒晟大厦805-18</t>
  </si>
  <si>
    <t>李沧区</t>
  </si>
  <si>
    <t>17305375277</t>
  </si>
  <si>
    <t>17305375277@163.com</t>
  </si>
  <si>
    <t>370811200635161</t>
  </si>
  <si>
    <t>MABNADGH-9</t>
  </si>
  <si>
    <t>2022-06-07 至 无固定期限</t>
  </si>
  <si>
    <t>社会经济咨询</t>
  </si>
  <si>
    <t>Qingdao Jinrui Enterprise Development Service Co., Ltd.</t>
  </si>
  <si>
    <t>青岛锦瑞企业发展服务有限公司成立于2022-06-07，法定代表人为胡兵，注册资本为2000万元，统一社会信用代码为91370811MABNADGH9F，企业注册地址位于山东省青岛市李沧区万年泉路21号1号楼恒晟大厦805-18，所属行业为商务服务业，经营范围包含：一般项目：企业管理；企业管理咨询；企业形象策划；社会经济咨询服务；广告设计、代理；信息咨询服务（不含许可类信息咨询服务）；专用化学产品销售（不含危险化学品）；化工产品销售（不含许可类化工产品）；石油制品销售（不含危险化学品）；润滑油销售；橡胶制品销售；成品油批发（不含危险化学品）。（除依法须经批准的项目外，凭营业执照依法自主开展经营活动）许可项目：危险化学品经营。（依法须经批准的项目，经相关部门批准后方可开展经营活动，具体经营项目以相关部门批准文件或许可证件为准）。企业当前经营状态为注销。</t>
  </si>
  <si>
    <t>一般项目：企业管理；企业管理咨询；企业形象策划；社会经济咨询服务；广告设计、代理；信息咨询服务（不含许可类信息咨询服务）；专用化学产品销售（不含危险化学品）；化工产品销售（不含许可类化工产品）；石油制品销售（不含危险化学品）；润滑油销售；橡胶制品销售；成品油批发（不含危险化学品）。（除依法须经批准的项目外，凭营业执照依法自主开展经营活动）许可项目：危险化学品经营。（依法须经批准的项目，经相关部门批准后方可开展经营活动，具体经营项目以相关部门批准文件或许可证件为准）</t>
  </si>
  <si>
    <t>青岛市李沧区市场监督管理局</t>
  </si>
  <si>
    <t>临沂市兰山区云华单板厂</t>
  </si>
  <si>
    <t>91371302MA3FELYU10</t>
  </si>
  <si>
    <t>陈宪礼</t>
  </si>
  <si>
    <t>2017-08-21</t>
  </si>
  <si>
    <t>山东省临沂市兰山区义堂镇堰角庄村</t>
  </si>
  <si>
    <t>13355010332</t>
  </si>
  <si>
    <t>356222039@qq.com</t>
  </si>
  <si>
    <t>371302300102844</t>
  </si>
  <si>
    <t>MA3FELYU-1</t>
  </si>
  <si>
    <t>单板加工</t>
  </si>
  <si>
    <t>Yunhua Single Board Factory In Lanshan District, Linyi City</t>
  </si>
  <si>
    <t>南通昶望贸易有限公司</t>
  </si>
  <si>
    <t>91320691MA1W0XA60T</t>
  </si>
  <si>
    <t>潘海霞</t>
  </si>
  <si>
    <t>南通市开发区广州路42号344室</t>
  </si>
  <si>
    <t>南通经济技术开发区</t>
  </si>
  <si>
    <t>13801974988</t>
  </si>
  <si>
    <t>13862933098</t>
  </si>
  <si>
    <t>MA1W0XA6-0</t>
  </si>
  <si>
    <t>Nantong Changwang Trading Co., Ltd.</t>
  </si>
  <si>
    <t>南通昶望贸易有限公司成立于2018-02-05，法定代表人为潘海霞，注册资本为10万元，统一社会信用代码为91320691MA1W0XA60T，企业注册地址位于南通市开发区广州路42号344室，所属行业为批发业，经营范围包含：木材、建筑材料、装饰装潢材料、日用百货销售；自营和代理各类商品的进出口业务（国家限定公司经营或禁止进出口的商品除外）；木材加工。（依法须经批准的项目，经相关部门批准后方可开展经营活动）。企业当前经营状态为在业。</t>
  </si>
  <si>
    <t>木材、建筑材料、装饰装潢材料、日用百货销售；自营和代理各类商品的进出口业务（国家限定公司经营或禁止进出口的商品除外）；木材加工。（依法须经批准的项目，经相关部门批准后方可开展经营活动）</t>
  </si>
  <si>
    <t>南通市经济技术开发区行政审批局</t>
  </si>
  <si>
    <t>宜丰县家联针织有限公司</t>
  </si>
  <si>
    <t>91360924MA7MBK688X</t>
  </si>
  <si>
    <t>注销（2025-03-07）</t>
  </si>
  <si>
    <t>唐陆英</t>
  </si>
  <si>
    <t>2022-04-14</t>
  </si>
  <si>
    <t>江西省宜春市宜丰县双峰林场山坳大道37号</t>
  </si>
  <si>
    <t>宜丰县</t>
  </si>
  <si>
    <t>18770536078</t>
  </si>
  <si>
    <t>18770536078@163.com</t>
  </si>
  <si>
    <t>19170744697@139.com</t>
  </si>
  <si>
    <t>360924210097556</t>
  </si>
  <si>
    <t>MA7MBK68-8</t>
  </si>
  <si>
    <t>2022-04-14 至 2042-04-13</t>
  </si>
  <si>
    <t>Yifeng Jialian Knitting Co., Ltd.</t>
  </si>
  <si>
    <t>宜丰县家联针织有限公司成立于2022-04-14，法定代表人为唐陆英，注册资本为300万元，统一社会信用代码为91360924MA7MBK688X，企业注册地址位于江西省宜春市宜丰县双峰林场山坳大道37号，所属行业为纺织业，经营范围包含：一般项目：服装制造，服装辅料销售，服装服饰零售，针纺织品及原料销售，服饰制造，日用杂品制造，服装服饰批发，服装辅料制造，日用品销售，面料纺织加工，化工产品销售（不含许可类化工产品），化工产品生产（不含许可类化工产品）（除许可业务外，可自主依法经营法律法规非禁止或限制的项目）。企业当前经营状态为注销。</t>
  </si>
  <si>
    <t>一般项目：服装制造，服装辅料销售，服装服饰零售，针纺织品及原料销售，服饰制造，日用杂品制造，服装服饰批发，服装辅料制造，日用品销售，面料纺织加工，化工产品销售（不含许可类化工产品），化工产品生产（不含许可类化工产品）（除许可业务外，可自主依法经营法律法规非禁止或限制的项目）</t>
  </si>
  <si>
    <t>宜丰县市场监督管理局</t>
  </si>
  <si>
    <t>延津县三洋纺织有限责任公司</t>
  </si>
  <si>
    <t>91410726766244228L</t>
  </si>
  <si>
    <t>新乡市三洋纺织有限公司</t>
  </si>
  <si>
    <t>杜志霞</t>
  </si>
  <si>
    <t>1998-12-24</t>
  </si>
  <si>
    <t>延津县城关北街</t>
  </si>
  <si>
    <t>延津县</t>
  </si>
  <si>
    <t>0373-7626977</t>
  </si>
  <si>
    <t>0373-7699666;13598711830;0373-7696977</t>
  </si>
  <si>
    <t>526074713@qq.com</t>
  </si>
  <si>
    <t>2814420872@qq.com</t>
  </si>
  <si>
    <t>410726100000885</t>
  </si>
  <si>
    <t>76624422-8</t>
  </si>
  <si>
    <t>1998-12-24 至 无固定期限</t>
  </si>
  <si>
    <t>Xinxiang Sanyang Textile Co., Ltd.</t>
  </si>
  <si>
    <t>延津县三洋纺织有限责任公司成立于1998-12-24，法定代表人为杜志霞，注册资本为1500万元，统一社会信用代码为91410726766244228L，企业注册地址位于延津县城关北街，所属行业为纺织业，经营范围包含：皮棉收购；棉纱、棉布织造；对外贸易经营。企业当前经营状态为存续。</t>
  </si>
  <si>
    <t>皮棉收购；棉纱、棉布织造；对外贸易经营。</t>
  </si>
  <si>
    <t>新乡市延津县市场监督管理局</t>
  </si>
  <si>
    <t>五得利集团渭南面粉有限公司</t>
  </si>
  <si>
    <t>91610594MA6Y2C6X0T</t>
  </si>
  <si>
    <t>好面缘面粉有限公司,
陕西好面缘面粉有限公司</t>
  </si>
  <si>
    <t>李桂锋</t>
  </si>
  <si>
    <t>80000万元</t>
  </si>
  <si>
    <t>2016-11-18</t>
  </si>
  <si>
    <t>陕西省渭南市高新技术产业开发区锦华大道39号</t>
  </si>
  <si>
    <t>渭南市</t>
  </si>
  <si>
    <t>临渭区</t>
  </si>
  <si>
    <t>0913-8181880</t>
  </si>
  <si>
    <t>weinangs@wudeli.com</t>
  </si>
  <si>
    <t>610594100003070</t>
  </si>
  <si>
    <t>MA6Y2C6X-0</t>
  </si>
  <si>
    <t>207</t>
  </si>
  <si>
    <t>2016-11-18 至 2066-11-16</t>
  </si>
  <si>
    <t>Wudeli Group Weinan Flour Co., Ltd.</t>
  </si>
  <si>
    <t>五得利集团渭南面粉有限公司成立于2016-11-18，法定代表人为李桂锋，注册资本为80000万元，统一社会信用代码为91610594MA6Y2C6X0T，企业注册地址位于陕西省渭南市高新技术产业开发区锦华大道39号，所属行业为农副食品加工业，经营范围包含：一般项目：食用农产品零售；粮食收购；农产品的生产、销售、加工、运输、贮藏及其他相关服务；饲料原料销售；农副产品销售；住房租赁；食品进出口；货物进出口（除依法须经批准的项目外，凭营业执照依法自主开展经营活动）。许可项目：粮食加工食品生产（依法须经批准的项目，经相关部门批准后方可开展经营活动，具体经营项目以审批结果为准）。企业当前经营状态为在业。</t>
  </si>
  <si>
    <t>一般项目：食用农产品零售；粮食收购；农产品的生产、销售、加工、运输、贮藏及其他相关服务；饲料原料销售；农副产品销售；住房租赁；食品进出口；货物进出口（除依法须经批准的项目外，凭营业执照依法自主开展经营活动）。许可项目：粮食加工食品生产（依法须经批准的项目，经相关部门批准后方可开展经营活动，具体经营项目以审批结果为准）。</t>
  </si>
  <si>
    <t>渭南市市场监督管理局高新技术产业开发区分局</t>
  </si>
  <si>
    <t>徐闻县京基智农时代有限公司</t>
  </si>
  <si>
    <t>91440825MA53Q6K55Y</t>
  </si>
  <si>
    <t>徐闻县康达尔农牧有限公司</t>
  </si>
  <si>
    <t>潘可满</t>
  </si>
  <si>
    <t>71000万元</t>
  </si>
  <si>
    <t>2019-09-10</t>
  </si>
  <si>
    <t>徐闻县曲界镇土秀湖村东南侧36万吨饲料厂办公楼二楼</t>
  </si>
  <si>
    <t>徐闻县</t>
  </si>
  <si>
    <t>13729134192</t>
  </si>
  <si>
    <t>0759-4390109;0755-25425020;18022609518</t>
  </si>
  <si>
    <t>wuwj_2875@kingkeyzn.com</t>
  </si>
  <si>
    <t>weib@kingkeyzn.com;459334943@qq.com;35409793@qq.com</t>
  </si>
  <si>
    <t>440825000046438</t>
  </si>
  <si>
    <t>MA53Q6K5-5</t>
  </si>
  <si>
    <t>966</t>
  </si>
  <si>
    <t>2019-09-10 至 无固定期限</t>
  </si>
  <si>
    <t>Xuwen County Jingji Zhinong Era Co., Ltd.</t>
  </si>
  <si>
    <t>徐闻县京基智农时代有限公司成立于2019-09-10，法定代表人为潘可满，注册资本为71000万元，统一社会信用代码为91440825MA53Q6K55Y，企业注册地址位于徐闻县曲界镇土秀湖村东南侧36万吨饲料厂办公楼二楼，所属行业为畜牧业，经营范围包含：许可项目：牲畜饲养；家禽饲养；牲畜屠宰；生猪屠宰；家禽屠宰；种畜禽生产；饲料生产；肥料生产；食品生产。（依法须经批准的项目，经相关部门批准后方可开展经营活动，具体经营项目以相关部门批准文件或许可证件为准）一般项目：肥料销售；牲畜销售；牲畜销售（不含犬类）；鲜肉批发；鲜肉零售；技术服务、技术开发、技术咨询、技术交流、技术转让、技术推广；水产品批发；食用农产品批发；畜牧渔业饲料销售；饲料原料销售；包装服务；畜牧专业及辅助性活动；国内货物运输代理；林业专业及辅助性活动；低温仓储（不含危险化学品等需许可审批的项目）；农业专业及辅助性活动；以自有资金从事投资活动。（除依法须经批准的项目外，凭营业执照依法自主开展经营活动）。企业当前经营状态为在业。</t>
  </si>
  <si>
    <t>许可项目：牲畜饲养；家禽饲养；牲畜屠宰；生猪屠宰；家禽屠宰；种畜禽生产；饲料生产；肥料生产；食品生产。（依法须经批准的项目，经相关部门批准后方可开展经营活动，具体经营项目以相关部门批准文件或许可证件为准）一般项目：肥料销售；牲畜销售；牲畜销售（不含犬类）；鲜肉批发；鲜肉零售；技术服务、技术开发、技术咨询、技术交流、技术转让、技术推广；水产品批发；食用农产品批发；畜牧渔业饲料销售；饲料原料销售；包装服务；畜牧专业及辅助性活动；国内货物运输代理；林业专业及辅助性活动；低温仓储（不含危险化学品等需许可审批的项目）；农业专业及辅助性活动；以自有资金从事投资活动。（除依法须经批准的项目外，凭营业执照依法自主开展经营活动）</t>
  </si>
  <si>
    <t>徐闻县市场监督管理局</t>
  </si>
  <si>
    <t>贺州市京基智农饲料有限公司</t>
  </si>
  <si>
    <t>91451102MA5Q49CC02</t>
  </si>
  <si>
    <t>谢永东</t>
  </si>
  <si>
    <t>广西东融先行示范区（贺州）八桂工业园（贺州市八步区仁义镇月岭路）</t>
  </si>
  <si>
    <t>贺州市</t>
  </si>
  <si>
    <t>八步区</t>
  </si>
  <si>
    <t>0774-5095692</t>
  </si>
  <si>
    <t>13635116999;15807844859</t>
  </si>
  <si>
    <t>yaolj_020@kingkeyzn.com</t>
  </si>
  <si>
    <t>237083185@qq.com;310868714@qq.com</t>
  </si>
  <si>
    <t>451102000158266</t>
  </si>
  <si>
    <t>MA5Q49CC-0</t>
  </si>
  <si>
    <t>61</t>
  </si>
  <si>
    <t>2020-12-01 至 无固定期限</t>
  </si>
  <si>
    <t>Hezhou Jingji Zhinong Feed Co., Ltd.</t>
  </si>
  <si>
    <t>贺州市京基智农饲料有限公司成立于2020-12-01，法定代表人为谢永东，注册资本为12000万元，统一社会信用代码为91451102MA5Q49CC02，企业注册地址位于广西东融先行示范区（贺州）八桂工业园（贺州市八步区仁义镇月岭路），所属行业为农副食品加工业，经营范围包含：许可项目：饲料生产；饲料添加剂生产；技术进出口；道路货物运输（不含危险货物）；货物进出口（依法须经批准的项目，经相关部门批准后方可开展经营活动，具体经营项目以相关部门批准文件或许可证件为准）一般项目：饲料添加剂销售；生物饲料研发；饲料原料销售；肥料销售；畜牧渔业饲料销售；农业机械销售；日用化学产品销售；技术服务、技术开发、技术咨询、技术交流、技术转让、技术推广；建筑材料销售；普通货物仓储服务（不含危险化学品等需许可审批的项目）（除依法须经批准的项目外，凭营业执照依法自主开展经营活动）。企业当前经营状态为存续。</t>
  </si>
  <si>
    <t>许可项目：饲料生产；饲料添加剂生产；技术进出口；道路货物运输（不含危险货物）；货物进出口（依法须经批准的项目，经相关部门批准后方可开展经营活动，具体经营项目以相关部门批准文件或许可证件为准）一般项目：饲料添加剂销售；生物饲料研发；饲料原料销售；肥料销售；畜牧渔业饲料销售；农业机械销售；日用化学产品销售；技术服务、技术开发、技术咨询、技术交流、技术转让、技术推广；建筑材料销售；普通货物仓储服务（不含危险化学品等需许可审批的项目）（除依法须经批准的项目外，凭营业执照依法自主开展经营活动）</t>
  </si>
  <si>
    <t>贺州市八步区市场监督管理局</t>
  </si>
  <si>
    <t>南阳市晨科饲料有限公司</t>
  </si>
  <si>
    <t>91411303MA44F2PW6L</t>
  </si>
  <si>
    <t>注销（2024-11-25）</t>
  </si>
  <si>
    <t>李联军</t>
  </si>
  <si>
    <t>南阳市范蠡路东城一品13号楼1502室</t>
  </si>
  <si>
    <t>南阳高新技术产业开发区</t>
  </si>
  <si>
    <t>15036299356</t>
  </si>
  <si>
    <t>0377-63232859</t>
  </si>
  <si>
    <t>1123568034@qq.com</t>
  </si>
  <si>
    <t>15036299356@139.com</t>
  </si>
  <si>
    <t>411303000102038</t>
  </si>
  <si>
    <t>MA44F2PW-6</t>
  </si>
  <si>
    <t>Nanyang Chenke Feed Co., Ltd.</t>
  </si>
  <si>
    <t>南阳市晨科饲料有限公司成立于2017-09-28，法定代表人为李联军，注册资本为600万元，统一社会信用代码为91411303MA44F2PW6L，企业注册地址位于南阳市范蠡路东城一品13号楼1502室，所属行业为批发业，经营范围包含：饲料原料销售；粮食及农副产品购销。企业当前经营状态为注销。</t>
  </si>
  <si>
    <t>饲料原料销售；粮食及农副产品购销</t>
  </si>
  <si>
    <t>南阳市市场监督管理局南阳高新技术产业开发区分局</t>
  </si>
  <si>
    <t>福州通威威廉饲料有限责任公司</t>
  </si>
  <si>
    <t>913501810503101462</t>
  </si>
  <si>
    <t>陈波</t>
  </si>
  <si>
    <t>2012-07-12</t>
  </si>
  <si>
    <t>福建省福州市福清市渔溪镇红山村</t>
  </si>
  <si>
    <t>福清市</t>
  </si>
  <si>
    <t>0591-85675787</t>
  </si>
  <si>
    <t>zhuangxm@tongwei.com</t>
  </si>
  <si>
    <t>ouyangrm@tongwei.com;gaol02@tongwei.com</t>
  </si>
  <si>
    <t>350181100076021</t>
  </si>
  <si>
    <t>05031014-6</t>
  </si>
  <si>
    <t>107</t>
  </si>
  <si>
    <t>2012-07-12 至 无固定期限</t>
  </si>
  <si>
    <t>Fuzhou Tongwei William Feed Co., Ltd.</t>
  </si>
  <si>
    <t>福州通威威廉饲料有限责任公司成立于2012-07-12，法定代表人为陈波，注册资本为5000万元，统一社会信用代码为913501810503101462，企业注册地址位于福建省福州市福清市渔溪镇红山村，所属行业为农副食品加工业，经营范围包含：饲料、饲料添加剂生产、销售；水产、畜禽养殖及技术咨询服务。（依法须经批准的项目，经相关部门批准后方可开展经营活动）。企业当前经营状态为存续。</t>
  </si>
  <si>
    <t>饲料、饲料添加剂生产、销售；水产、畜禽养殖及技术咨询服务。（依法须经批准的项目，经相关部门批准后方可开展经营活动）</t>
  </si>
  <si>
    <t>福清市市场监督管理局</t>
  </si>
  <si>
    <t>广州市瑞彩盈纺织品有限公司</t>
  </si>
  <si>
    <t>91440101MA5CL5WW0E</t>
  </si>
  <si>
    <t>李达豪</t>
  </si>
  <si>
    <t>2019-01-10</t>
  </si>
  <si>
    <t>广州市番禺区大龙街金龙路大龙村段193号自编C8栋</t>
  </si>
  <si>
    <t>13632223200</t>
  </si>
  <si>
    <t>422193255@qq.com</t>
  </si>
  <si>
    <t>MA5CL5WW-0</t>
  </si>
  <si>
    <t>42</t>
  </si>
  <si>
    <t>2019-01-10 至 无固定期限</t>
  </si>
  <si>
    <t>Guangzhou Ruicaiying Textile Co., Ltd.</t>
  </si>
  <si>
    <t>广州市瑞彩盈纺织品有限公司成立于2019-01-10，法定代表人为李达豪，注册资本为300万元，统一社会信用代码为91440101MA5CL5WW0E，企业注册地址位于广州市番禺区大龙街金龙路大龙村段193号自编C8栋，所属行业为纺织服装、服饰业，经营范围包含：机织服装制造;服饰制造;毛织造加工;毛条和毛纱线加工;针织或钩针编织物织造;塑料丝、绳及编织品制造;刀剪及类似日用金属工具制造。企业当前经营状态为存续。</t>
  </si>
  <si>
    <t>机织服装制造;服饰制造;毛织造加工;毛条和毛纱线加工;针织或钩针编织物织造;塑料丝、绳及编织品制造;刀剪及类似日用金属工具制造</t>
  </si>
  <si>
    <t>张家港瑞华木业有限公司</t>
  </si>
  <si>
    <t>91320592MAC2Q0C41R</t>
  </si>
  <si>
    <t>王世强</t>
  </si>
  <si>
    <t>2022-10-31</t>
  </si>
  <si>
    <t>张家港市金港街道香山南路1号中联木业城A座218室</t>
  </si>
  <si>
    <t>13160133587</t>
  </si>
  <si>
    <t>13160133587@qq.com</t>
  </si>
  <si>
    <t>320592000218003</t>
  </si>
  <si>
    <t>MAC2Q0C4-1</t>
  </si>
  <si>
    <t>2022-10-31 至 无固定期限</t>
  </si>
  <si>
    <t>Zhangjiagang Ruihua Wood Industry Co., Ltd.</t>
  </si>
  <si>
    <t>张家港瑞华木业有限公司成立于2022-10-31，法定代表人为王世强，注册资本为100万元，统一社会信用代码为91320592MAC2Q0C41R，企业注册地址位于张家港市金港街道香山南路1号中联木业城A座218室，所属行业为批发业，经营范围包含：许可项目：建设工程施工；建设工程设计；文物保护工程施工；住宅室内装饰装修（依法须经批准的项目，经相关部门批准后方可开展经营活动，具体经营项目以审批结果为准）
一般项目：木材销售；日用木制品销售；木材收购；园林绿化工程施工；家具销售；软木制品销售；地板销售；茶具销售；日用玻璃制品销售；林业产品销售；工艺美术品及收藏品批发（象牙及其制品除外）；保温材料销售；防腐材料销售；建筑材料销售；建筑装饰材料销售；耐火材料销售；塑料制品销售；礼品花卉销售；园艺产品销售；日用品批发；日用百货销售；五金产品批发；金属制品销售；室内木门窗安装服务；互联网销售（除销售需要许可的商品）；货物进出口；技术进出口；国内贸易代理；普通货物仓储服务（不含危险化学品等需许可审批的项目）（除依法须经批准的项目外，凭营业执照依法自主开展经营活动）。企业当前经营状态为在业。</t>
  </si>
  <si>
    <t>许可项目：建设工程施工；建设工程设计；文物保护工程施工；住宅室内装饰装修（依法须经批准的项目，经相关部门批准后方可开展经营活动，具体经营项目以审批结果为准）
一般项目：木材销售；日用木制品销售；木材收购；园林绿化工程施工；家具销售；软木制品销售；地板销售；茶具销售；日用玻璃制品销售；林业产品销售；工艺美术品及收藏品批发（象牙及其制品除外）；保温材料销售；防腐材料销售；建筑材料销售；建筑装饰材料销售；耐火材料销售；塑料制品销售；礼品花卉销售；园艺产品销售；日用品批发；日用百货销售；五金产品批发；金属制品销售；室内木门窗安装服务；互联网销售（除销售需要许可的商品）；货物进出口；技术进出口；国内贸易代理；普通货物仓储服务（不含危险化学品等需许可审批的项目）（除依法须经批准的项目外，凭营业执照依法自主开展经营活动）</t>
  </si>
  <si>
    <t>佛山市南海常盛纺织有限公司</t>
  </si>
  <si>
    <t>91440605MA54ATW15B</t>
  </si>
  <si>
    <t>郑志波</t>
  </si>
  <si>
    <t>2020-01-19</t>
  </si>
  <si>
    <t>佛山市南海区西樵镇海舟开发区樵高路东（佛山市南海区浙盛纺织有限公司内车间二）自编1号（住所申报）</t>
  </si>
  <si>
    <t>13729816470</t>
  </si>
  <si>
    <t>13798661881;13538793954</t>
  </si>
  <si>
    <t>826916360@qq.com</t>
  </si>
  <si>
    <t>118155861@qq.com;978887436@qq.com</t>
  </si>
  <si>
    <t>440682001557145</t>
  </si>
  <si>
    <t>MA54ATW1-5</t>
  </si>
  <si>
    <t>2020-01-19 至 无固定期限</t>
  </si>
  <si>
    <t>Foshan Nanhai Changsheng Textile Co., Ltd.</t>
  </si>
  <si>
    <t>佛山市南海常盛纺织有限公司成立于2020-01-19，法定代表人为郑志波，注册资本为300万元，统一社会信用代码为91440605MA54ATW15B，企业注册地址位于佛山市南海区西樵镇海舟开发区樵高路东（佛山市南海区浙盛纺织有限公司内车间二）自编1号（住所申报），所属行业为批发业，经营范围包含：纺织品、针织品及原料批发；纺织品及针织品零售；棉织造加工；贸易代理；货物或技术进出口（国家禁止或涉及行政审批的货物和技术进出口除外）。（依法须经批准的项目，经相关部门批准后方可开展经营活动。）（依法须经批准的项目，经相关部门批准后方可开展经营活动）。企业当前经营状态为存续。</t>
  </si>
  <si>
    <t>纺织品、针织品及原料批发；纺织品及针织品零售；棉织造加工；贸易代理；货物或技术进出口（国家禁止或涉及行政审批的货物和技术进出口除外）。（依法须经批准的项目，经相关部门批准后方可开展经营活动。）（依法须经批准的项目，经相关部门批准后方可开展经营活动）</t>
  </si>
  <si>
    <t>江阴市庞恒园林古建筑有限公司</t>
  </si>
  <si>
    <t>91320281MA21UT4Y82</t>
  </si>
  <si>
    <t>张应甫</t>
  </si>
  <si>
    <t>520万元</t>
  </si>
  <si>
    <t>208.6559万元</t>
  </si>
  <si>
    <t>2020-07-01</t>
  </si>
  <si>
    <t>江阴市周庄镇玉门西路53号</t>
  </si>
  <si>
    <t>13818833123</t>
  </si>
  <si>
    <t>18301703591</t>
  </si>
  <si>
    <t>18301703591@139.com</t>
  </si>
  <si>
    <t>320281000979378</t>
  </si>
  <si>
    <t>MA21UT4Y-8</t>
  </si>
  <si>
    <t>2020-07-01 至 2040-06-30</t>
  </si>
  <si>
    <t>土木工程建筑业</t>
  </si>
  <si>
    <t>其他土木工程建筑</t>
  </si>
  <si>
    <t>园林绿化工程施工</t>
  </si>
  <si>
    <t>Jiangyin Pangheng Garden Ancient Architecture Co., Ltd.</t>
  </si>
  <si>
    <t>江阴市周庄镇友谊路1号</t>
  </si>
  <si>
    <t>江阴市庞恒园林古建筑有限公司成立于2020-07-01，法定代表人为张应甫，注册资本为520万元，统一社会信用代码为91320281MA21UT4Y82，企业注册地址位于江阴市周庄镇玉门西路53号，所属行业为土木工程建筑业，经营范围包含：许可项目：建设工程施工；施工专业作业；建设工程设计；木材采运（依法须经批准的项目，经相关部门批准后方可开展经营活动，具体经营项目以审批结果为准）
一般项目：园林绿化工程施工；木材销售；木材加工；建筑用木料及木材组件加工；建筑材料销售；轻质建筑材料销售；建筑防水卷材产品销售；金属材料销售；金属制品销售；建筑用金属配件销售；金属门窗工程施工；五金产品批发；劳动保护用品销售；特种劳动防护用品销售（除依法须经批准的项目外，凭营业执照依法自主开展经营活动）。企业当前经营状态为在业。</t>
  </si>
  <si>
    <t>许可项目：建设工程施工；施工专业作业；建设工程设计；木材采运（依法须经批准的项目，经相关部门批准后方可开展经营活动，具体经营项目以审批结果为准）
一般项目：园林绿化工程施工；木材销售；木材加工；建筑用木料及木材组件加工；建筑材料销售；轻质建筑材料销售；建筑防水卷材产品销售；金属材料销售；金属制品销售；建筑用金属配件销售；金属门窗工程施工；五金产品批发；劳动保护用品销售；特种劳动防护用品销售（除依法须经批准的项目外，凭营业执照依法自主开展经营活动）</t>
  </si>
  <si>
    <t>张家港沪北木业有限公司</t>
  </si>
  <si>
    <t>91320592MA20AYFK76</t>
  </si>
  <si>
    <t>潘金丁</t>
  </si>
  <si>
    <t>498.51万元</t>
  </si>
  <si>
    <t>2019-10-30</t>
  </si>
  <si>
    <t>张家港保税区纺织原料市场216-5320室</t>
  </si>
  <si>
    <t>13962631690</t>
  </si>
  <si>
    <t>oppohaha@tom.com</t>
  </si>
  <si>
    <t>13962631690@163.com;13962292033@163.com</t>
  </si>
  <si>
    <t>MA20AYFK-7</t>
  </si>
  <si>
    <t>2019-10-30 至 无固定期限</t>
  </si>
  <si>
    <t>Zhangjiagang Hubei Wood Industry Co., Ltd.</t>
  </si>
  <si>
    <t>张家港沪北木业有限公司成立于2019-10-30，法定代表人为潘金丁，注册资本为500万元，统一社会信用代码为91320592MA20AYFK76，企业注册地址位于张家港保税区纺织原料市场216-5320室，所属行业为批发业，经营范围包含：木材、板材、木制品、家具、工艺品、建材的购销，货物或技术进出口（国家禁止或涉及行政审批的货物和技术进出口除外）；园林绿化工程设计、施工；古建筑工程设计、施工。（依法须经批准的项目，经相关部门批准后方可开展经营活动）。企业当前经营状态为存续。</t>
  </si>
  <si>
    <t>佛山市历合行商贸有限公司</t>
  </si>
  <si>
    <t>91440604MA4WW81H55</t>
  </si>
  <si>
    <t>任文婷</t>
  </si>
  <si>
    <t>佛山市禅城区物华路普华科技工业坉一座1-6号铺位1层厂房（住所申报）</t>
  </si>
  <si>
    <t>13927791114</t>
  </si>
  <si>
    <t>13533330489</t>
  </si>
  <si>
    <t>13927791114@163.com</t>
  </si>
  <si>
    <t>13533330489@163.com</t>
  </si>
  <si>
    <t>440602000614300</t>
  </si>
  <si>
    <t>MA4WW81H-5</t>
  </si>
  <si>
    <t>Foshan Lihexing Trading Co., Ltd.</t>
  </si>
  <si>
    <t>佛山市历合行商贸有限公司成立于2017-07-21，法定代表人为任文婷，注册资本为100万元，统一社会信用代码为91440604MA4WW81H55，企业注册地址位于佛山市禅城区物华路普华科技工业坉一座1-6号铺位1层厂房（住所申报），所属行业为批发业，经营范围包含：销售：纺织品、布匹、棉纱；国内贸易。（依法须经批准的项目，经相关部门批准后方可开展经营活动）。企业当前经营状态为在业。</t>
  </si>
  <si>
    <t>销售：纺织品、布匹、棉纱；国内贸易。（依法须经批准的项目，经相关部门批准后方可开展经营活动）</t>
  </si>
  <si>
    <t>沧州丰宏石化有限公司</t>
  </si>
  <si>
    <t>91130932MA08E96Q63</t>
  </si>
  <si>
    <t>杨文龙</t>
  </si>
  <si>
    <t>2017-04-14</t>
  </si>
  <si>
    <t>南大港一分区北尚庄北侧（穿港路北侧）</t>
  </si>
  <si>
    <t>沧州市</t>
  </si>
  <si>
    <t>沧州渤海新区</t>
  </si>
  <si>
    <t>13513027887</t>
  </si>
  <si>
    <t>130932000005236</t>
  </si>
  <si>
    <t>MA08E96Q-6</t>
  </si>
  <si>
    <t>2017-04-14 至 无固定期限</t>
  </si>
  <si>
    <t>石油、煤炭及其他燃料加工业</t>
  </si>
  <si>
    <t>精炼石油产品制造</t>
  </si>
  <si>
    <t>原油加工及石油制品制造</t>
  </si>
  <si>
    <t>Cangzhou Fenghong Petrochemical Co., Ltd.</t>
  </si>
  <si>
    <t>沧州丰宏石化有限公司成立于2017-04-14，法定代表人为杨文龙，注册资本为2000万元，统一社会信用代码为91130932MA08E96Q63，企业注册地址位于南大港一分区北尚庄北侧（穿港路北侧），所属行业为石油、煤炭及其他燃料加工业，经营范围包含：加工石油沥青、燃料油、重油；销售重油、渣油、蜡油、润滑油、燃料油、石油沥青、重质油、白油、粗白油（以上均不含危险化学品）（依法须经批准的项目，经相关部门批准后方可开展经营活动）。企业当前经营状态为存续。</t>
  </si>
  <si>
    <t>加工石油沥青、燃料油、重油；销售重油、渣油、蜡油、润滑油、燃料油、石油沥青、重质油、白油、粗白油（以上均不含危险化学品）（依法须经批准的项目，经相关部门批准后方可开展经营活动）</t>
  </si>
  <si>
    <t>沧州渤海新区市场监督管理局</t>
  </si>
  <si>
    <t>正大康地（广州番禺）有限公司</t>
  </si>
  <si>
    <t>91440113618781814Q</t>
  </si>
  <si>
    <t>正大康地（番禺）有限公司</t>
  </si>
  <si>
    <t>李倩雅</t>
  </si>
  <si>
    <t>2314.72万元</t>
  </si>
  <si>
    <t>1993-03-13</t>
  </si>
  <si>
    <t>广州市番禺区桥南街蚬涌</t>
  </si>
  <si>
    <t>020-84697654</t>
  </si>
  <si>
    <t>020-84697236;020-84696218</t>
  </si>
  <si>
    <t>461372183@qq.com</t>
  </si>
  <si>
    <t>ctc-pyhr@163.com</t>
  </si>
  <si>
    <t>有限责任公司（外商投资企业与内资合资）</t>
  </si>
  <si>
    <t>440126400000505</t>
  </si>
  <si>
    <t>61878181-4</t>
  </si>
  <si>
    <t>1993-03-13 至 2043-03-13</t>
  </si>
  <si>
    <t>Chia Tai Conti( Guangzhou Panyu ) Co., Ltd.</t>
  </si>
  <si>
    <t>正大康地（广州番禺）有限公司成立于1993-03-13，法定代表人为李倩雅，注册资本为2314.72万元，统一社会信用代码为91440113618781814Q，企业注册地址位于广州市番禺区桥南街蚬涌，所属行业为农副食品加工业，经营范围包含：畜牧渔业饲料销售;饲料添加剂销售;饲料原料销售;谷物销售;豆及薯类销售;食用农产品零售;装卸搬运;生物饲料研发;农业转基因生物产品加工;饲料生产;港口经营;道路货物运输（不含危险货物）;货物进出口;技术进出口。企业当前经营状态为存续。</t>
  </si>
  <si>
    <t>畜牧渔业饲料销售;饲料添加剂销售;饲料原料销售;谷物销售;豆及薯类销售;食用农产品零售;装卸搬运;生物饲料研发;农业转基因生物产品加工;饲料生产;港口经营;道路货物运输（不含危险货物）;货物进出口;技术进出口</t>
  </si>
  <si>
    <t>石河子市迦叶棉麻销售有限公司</t>
  </si>
  <si>
    <t>91659001MACRYHNA30</t>
  </si>
  <si>
    <t>潘晚节</t>
  </si>
  <si>
    <t>2023-07-26</t>
  </si>
  <si>
    <t>新疆石河子市新安镇17连双沟村39栋1号</t>
  </si>
  <si>
    <t>石河子市</t>
  </si>
  <si>
    <t>13070093822</t>
  </si>
  <si>
    <t>MACRYHNA-3</t>
  </si>
  <si>
    <t>2023-07-26 至 无固定期限</t>
  </si>
  <si>
    <t>Shihezi Jiaye Cotton and Hemp Sales Co., Ltd.</t>
  </si>
  <si>
    <t>新疆石河子市新安镇9小区37栋327室</t>
  </si>
  <si>
    <t>石河子市迦叶棉麻销售有限公司成立于2023-07-26，法定代表人为潘晚节，注册资本为50万元，统一社会信用代码为91659001MACRYHNA30，企业注册地址位于新疆石河子市新安镇17连双沟村39栋1号，所属行业为批发业，经营范围包含：一般项目：棉、麻销售；棉花收购；初级农产品收购；棉花加工机械销售；农副产品销售；金属材料销售；机械零件、零部件销售；包装材料及制品销售（除依法须经批准的项目外，凭营业执照依法自主开展经营活动）。企业当前经营状态为存续。</t>
  </si>
  <si>
    <t>一般项目：棉、麻销售；棉花收购；初级农产品收购；棉花加工机械销售；农副产品销售；金属材料销售；机械零件、零部件销售；包装材料及制品销售（除依法须经批准的项目外，凭营业执照依法自主开展经营活动）</t>
  </si>
  <si>
    <t>下野地市场监督管理局</t>
  </si>
  <si>
    <t>张家港保税区闽南国际贸易有限公司</t>
  </si>
  <si>
    <t>91320592354950759X</t>
  </si>
  <si>
    <t>卢建惠</t>
  </si>
  <si>
    <t>2015-08-12</t>
  </si>
  <si>
    <t>张家港保税区消费品市场208-114室</t>
  </si>
  <si>
    <t>0512-58709023</t>
  </si>
  <si>
    <t>m18915682856-1@163.com</t>
  </si>
  <si>
    <t>m18915682856_1@163.com</t>
  </si>
  <si>
    <t>320592000093414</t>
  </si>
  <si>
    <t>35495075-9</t>
  </si>
  <si>
    <t>2015-08-12 至 无固定期限</t>
  </si>
  <si>
    <t>Zhangjiagang Bonded Zone Minnan International Trade Co., Ltd.</t>
  </si>
  <si>
    <t>张家港市金港镇长江中路309号2单元504</t>
  </si>
  <si>
    <t>张家港保税区闽南国际贸易有限公司成立于2015-08-12，法定代表人为卢建惠，注册资本为3000万元，统一社会信用代码为91320592354950759X，企业注册地址位于张家港保税区消费品市场208-114室，所属行业为批发业，经营范围包含：一般项目：货物进出口；技术进出口；进出口代理；木材销售；日用木制品销售；软木制品销售；金属矿石销售；金属材料销售；塑料制品销售；五金产品批发；机械设备销售；建筑材料销售；针纺织品及原料销售；化工产品销售（不含许可类化工产品）；园林绿化工程施工（除依法须经批准的项目外，凭营业执照依法自主开展经营活动）。企业当前经营状态为存续。</t>
  </si>
  <si>
    <t>一般项目：货物进出口；技术进出口；进出口代理；木材销售；日用木制品销售；软木制品销售；金属矿石销售；金属材料销售；塑料制品销售；五金产品批发；机械设备销售；建筑材料销售；针纺织品及原料销售；化工产品销售（不含许可类化工产品）；园林绿化工程施工（除依法须经批准的项目外，凭营业执照依法自主开展经营活动）</t>
  </si>
  <si>
    <t>晋江市晶凯服装织造有限公司</t>
  </si>
  <si>
    <t>91350582MA3583YN3F</t>
  </si>
  <si>
    <t>张文潮</t>
  </si>
  <si>
    <t>2020-12-15</t>
  </si>
  <si>
    <t>福建省晋江市深沪镇沪翔路42号</t>
  </si>
  <si>
    <t>13067028579</t>
  </si>
  <si>
    <t>MA3583YN-3</t>
  </si>
  <si>
    <t>2020-12-15 至 2070-12-14</t>
  </si>
  <si>
    <t>Jinjiang Jingkai Clothing and Weaving Co., Ltd.</t>
  </si>
  <si>
    <t>福建省泉州市晋江市深沪镇东垵社区沪翔路51号</t>
  </si>
  <si>
    <t>晋江市晶凯服装织造有限公司成立于2020-12-15，法定代表人为张文潮，注册资本为100万元，统一社会信用代码为91350582MA3583YN3F，企业注册地址位于福建省晋江市深沪镇沪翔路42号，所属行业为纺织服装、服饰业，经营范围包含：一般项目：服装制造；服饰制造；面料纺织加工（除依法须经批准的项目外，凭营业执照依法自主开展经营活动）。企业当前经营状态为存续。</t>
  </si>
  <si>
    <t>晋江市奔勇服装制造有限公司</t>
  </si>
  <si>
    <t>91350582MACH10974N</t>
  </si>
  <si>
    <t>注销（2025-07-18）</t>
  </si>
  <si>
    <t>吴逸逸</t>
  </si>
  <si>
    <t>2023-04-25</t>
  </si>
  <si>
    <t>福建省晋江市金井镇埔宅村下顶房寮区35-1号</t>
  </si>
  <si>
    <t>13960255235</t>
  </si>
  <si>
    <t>350582110207458</t>
  </si>
  <si>
    <t>MACH1097-4</t>
  </si>
  <si>
    <t>2023-04-25 至 2053-04-24</t>
  </si>
  <si>
    <t>Jinjiang Benyong Clothing Manufacturing Co., Ltd.</t>
  </si>
  <si>
    <t>晋江市奔勇服装制造有限公司成立于2023-04-25，法定代表人为吴逸逸，注册资本为300万元，统一社会信用代码为91350582MACH10974N，企业注册地址位于福建省晋江市金井镇埔宅村下顶房寮区35-1号，所属行业为纺织服装、服饰业，经营范围包含：一般项目：服饰制造；服装制造；面料纺织加工；针织或钩针编织物及其制品制造；产业用纺织制成品制造。（除依法须经批准的项目外，凭营业执照依法自主开展经营活动）。企业当前经营状态为注销。</t>
  </si>
  <si>
    <t>一般项目：服饰制造；服装制造；面料纺织加工；针织或钩针编织物及其制品制造；产业用纺织制成品制造。（除依法须经批准的项目外，凭营业执照依法自主开展经营活动）</t>
  </si>
  <si>
    <t>阿克苏弘康棉业有限公司</t>
  </si>
  <si>
    <t>91652900328747810H</t>
  </si>
  <si>
    <t>潘丽娟</t>
  </si>
  <si>
    <t>6100万元</t>
  </si>
  <si>
    <t>2015-01-21</t>
  </si>
  <si>
    <t>新疆阿克苏地区阿克苏纺织工业城（开发区）内富春江路6号</t>
  </si>
  <si>
    <t>阿克苏市</t>
  </si>
  <si>
    <t>13909978688</t>
  </si>
  <si>
    <t>13909978868;18609978234;0997-6763395;15099277658;13579386199;15509972355;0997-6318868</t>
  </si>
  <si>
    <t>1667119217@qq.com</t>
  </si>
  <si>
    <t>317573259@qq.com;1060460546@qq.com;1905024507@qq.com;1650085754@qq.com;1194918252@qq.com;1293859245@qq.com;1124367825@qq.com;zhouxueyi2005@163.com</t>
  </si>
  <si>
    <t>652900050011506</t>
  </si>
  <si>
    <t>32874781-0</t>
  </si>
  <si>
    <t>47</t>
  </si>
  <si>
    <t>2015-01-21 至 2045-01-20</t>
  </si>
  <si>
    <t>Aksu Hongkang Cotton Industry Co., Ltd.</t>
  </si>
  <si>
    <t>阿克苏弘康棉业有限公司成立于2015-01-21，法定代表人为潘丽娟，注册资本为6100万元，统一社会信用代码为91652900328747810H，企业注册地址位于新疆阿克苏地区阿克苏纺织工业城（开发区）内富春江路6号，所属行业为批发业，经营范围包含：棉花的收购与销售；棉籽、皮棉、棉浆粕、籽棉、棉粕、棉壳、棉仁、棉机及棉机配件、打包带、包布、肥料、建材的销售；棉纱的加工与销售；纺织品的加工与销售；棉短绒的加工与销售；货物与技术的进出口业务；农副产品购销；岗前培训。（依法须经批准的项目，经相关部门批准后方可开展经营活动）。企业当前经营状态为存续。</t>
  </si>
  <si>
    <t>棉花的收购与销售；棉籽、皮棉、棉浆粕、籽棉、棉粕、棉壳、棉仁、棉机及棉机配件、打包带、包布、肥料、建材的销售；棉纱的加工与销售；纺织品的加工与销售；棉短绒的加工与销售；货物与技术的进出口业务；农副产品购销；岗前培训。（依法须经批准的项目，经相关部门批准后方可开展经营活动）</t>
  </si>
  <si>
    <t>新疆维吾尔自治区阿克苏地区市场监督管理局</t>
  </si>
  <si>
    <t>德州市奥邑新能源技术有限公司</t>
  </si>
  <si>
    <t>91371424MAC0JXDY3T</t>
  </si>
  <si>
    <t>临邑奥邑供应链管理有限公司</t>
  </si>
  <si>
    <t>刘瑞</t>
  </si>
  <si>
    <t>14857万元</t>
  </si>
  <si>
    <t>山东省德州市临邑县临盘街道宏泰大街与奋进路交叉口南侧</t>
  </si>
  <si>
    <t>临邑县</t>
  </si>
  <si>
    <t>13225311737</t>
  </si>
  <si>
    <t>17763339881</t>
  </si>
  <si>
    <t>1014125879@qq.com</t>
  </si>
  <si>
    <t>371424200079061</t>
  </si>
  <si>
    <t>MAC0JXDY-3</t>
  </si>
  <si>
    <t>新能源技术推广服务</t>
  </si>
  <si>
    <t>Dezhou Aoyi New Energy Technology Co., Ltd.</t>
  </si>
  <si>
    <t>山东省德州市临邑县临盘街道双庙大街太平社区7号商铺</t>
  </si>
  <si>
    <t>德州市奥邑新能源技术有限公司成立于2022-09-20，法定代表人为刘瑞，注册资本为14857万元，统一社会信用代码为91371424MAC0JXDY3T，企业注册地址位于山东省德州市临邑县临盘街道宏泰大街与奋进路交叉口南侧，所属行业为科技推广和应用服务业，经营范围包含：一般项目：新兴能源技术研发；供应链管理服务；石油制品制造（不含危险化学品）；石油制品销售（不含危险化学品）；货物进出口。（除依法须经批准的项目外，凭营业执照依法自主开展经营活动）许可项目：成品油批发；危险化学品经营。（依法须经批准的项目，经相关部门批准后方可开展经营活动，具体经营项目以相关部门批准文件或许可证件为准）。企业当前经营状态为在业。</t>
  </si>
  <si>
    <t>一般项目：新兴能源技术研发；供应链管理服务；石油制品制造（不含危险化学品）；石油制品销售（不含危险化学品）；货物进出口。（除依法须经批准的项目外，凭营业执照依法自主开展经营活动）许可项目：成品油批发；危险化学品经营。（依法须经批准的项目，经相关部门批准后方可开展经营活动，具体经营项目以相关部门批准文件或许可证件为准）</t>
  </si>
  <si>
    <t>德州市市场监督管理局</t>
  </si>
  <si>
    <t>广州市志纺纺织品有限公司</t>
  </si>
  <si>
    <t>91440101MA5AUGWQ9N</t>
  </si>
  <si>
    <t>刘沃钧</t>
  </si>
  <si>
    <t>2018-05-10</t>
  </si>
  <si>
    <t>广州市增城区新塘镇汇美金都路3号12座65号</t>
  </si>
  <si>
    <t>13928990988</t>
  </si>
  <si>
    <t>13800138000;13710000116</t>
  </si>
  <si>
    <t>13710000116@139.com;164650@163.com;13928990988@163.com</t>
  </si>
  <si>
    <t>440125000412013</t>
  </si>
  <si>
    <t>MA5AUGWQ-9</t>
  </si>
  <si>
    <t>2018-05-10 至 无固定期限</t>
  </si>
  <si>
    <t>Guangzhou Zhifang Textile Co., Ltd.</t>
  </si>
  <si>
    <t>广州市志纺纺织品有限公司成立于2018-05-10，法定代表人为刘沃钧，注册资本为100万元，统一社会信用代码为91440101MA5AUGWQ9N，企业注册地址位于广州市增城区新塘镇汇美金都路3号12座65号，所属行业为批发业，经营范围包含：服装辅料销售;贸易经纪;针纺织品及原料销售;农产品的生产、销售、加工、运输、贮藏及其他相关服务;国内货物运输代理;道路货物运输（不含危险货物）;城市配送运输服务（不含危险货物）;道路货物运输（网络货运）。企业当前经营状态为存续。</t>
  </si>
  <si>
    <t>服装辅料销售;贸易经纪;针纺织品及原料销售;农产品的生产、销售、加工、运输、贮藏及其他相关服务;国内货物运输代理;道路货物运输（不含危险货物）;城市配送运输服务（不含危险货物）;道路货物运输（网络货运）</t>
  </si>
  <si>
    <t>临沂海森木业有限公司</t>
  </si>
  <si>
    <t>91371302493584349Q</t>
  </si>
  <si>
    <t>赵晓军</t>
  </si>
  <si>
    <t>2014-04-14</t>
  </si>
  <si>
    <t>山东省临沂市兰山区义堂镇中纬路9号</t>
  </si>
  <si>
    <t>13405391188</t>
  </si>
  <si>
    <t>17854911111;0539-8171111;15753972000;0539-81711111</t>
  </si>
  <si>
    <t>13405391188@163.com</t>
  </si>
  <si>
    <t>9675495@qq.com</t>
  </si>
  <si>
    <t>371302200040329</t>
  </si>
  <si>
    <t>49358434-9</t>
  </si>
  <si>
    <t>2014-04-14 至 无固定期限</t>
  </si>
  <si>
    <t>其他人造板制造</t>
  </si>
  <si>
    <t>Linyi Haisen Wood Co., Ltd.</t>
  </si>
  <si>
    <t>临沂海森木业有限公司成立于2014-04-14，法定代表人为赵晓军，注册资本为500万元，统一社会信用代码为91371302493584349Q，企业注册地址位于山东省临沂市兰山区义堂镇中纬路9号，所属行业为木材加工和木、竹、藤、棕、草制品业，经营范围包含：生产、销售：胶合板、家具及配件。（按许可证核准的有效期限经营）（依法须经批准的项目，经相关部门批准后方可开展经营活动）。企业当前经营状态为在业。</t>
  </si>
  <si>
    <t>生产、销售：胶合板、家具及配件。（按许可证核准的有效期限经营）（依法须经批准的项目，经相关部门批准后方可开展经营活动）</t>
  </si>
  <si>
    <t>广州市丰皇纺织品有限公司</t>
  </si>
  <si>
    <t>91440101MA59UJFL7E</t>
  </si>
  <si>
    <t>陈远彬</t>
  </si>
  <si>
    <t>2017-09-25</t>
  </si>
  <si>
    <t>广州市番禺区钟村街雄峰北大街11号1316</t>
  </si>
  <si>
    <t>18923532888</t>
  </si>
  <si>
    <t>15920479940</t>
  </si>
  <si>
    <t>2928968598@qq.com</t>
  </si>
  <si>
    <t>3001775862@qq.com</t>
  </si>
  <si>
    <t>440111001412064</t>
  </si>
  <si>
    <t>MA59UJFL-7</t>
  </si>
  <si>
    <t>2017-09-25 至 无固定期限</t>
  </si>
  <si>
    <t>Guangzhou Fenghuang Textile Co., Ltd.</t>
  </si>
  <si>
    <t>广州市丰皇纺织品有限公司成立于2017-09-25，法定代表人为陈远彬，注册资本为300万元，统一社会信用代码为91440101MA59UJFL7E，企业注册地址位于广州市番禺区钟村街雄峰北大街11号1316，所属行业为纺织业，经营范围包含：棉纺纱加工;针织或钩针编织物印染精加工;毛织造加工;装饰用塑料、化纤、石膏、布料零售;纺织品、针织品及原料批发;服装批发;服装辅料批发;纺织品及针织品零售;服装零售;服装辅料零售;货物进出口（专营专控商品除外）;商品批发贸易（许可审批类商品除外）;互联网商品销售（许可审批类商品除外）;商品零售贸易（许可审批类商品除外）;互联网商品零售（许可审批类商品除外）。企业当前经营状态为存续。</t>
  </si>
  <si>
    <t>棉纺纱加工;针织或钩针编织物印染精加工;毛织造加工;装饰用塑料、化纤、石膏、布料零售;纺织品、针织品及原料批发;服装批发;服装辅料批发;纺织品及针织品零售;服装零售;服装辅料零售;货物进出口（专营专控商品除外）;商品批发贸易（许可审批类商品除外）;互联网商品销售（许可审批类商品除外）;商品零售贸易（许可审批类商品除外）;互联网商品零售（许可审批类商品除外）</t>
  </si>
  <si>
    <t>石狮诺卡纺织有限公司</t>
  </si>
  <si>
    <t>91350581MA3566YY06</t>
  </si>
  <si>
    <t>注销（2025-01-02）</t>
  </si>
  <si>
    <t>佘文义</t>
  </si>
  <si>
    <t>588万元</t>
  </si>
  <si>
    <t>2020-12-04</t>
  </si>
  <si>
    <t>福建省泉州市石狮市锦尚镇共富路1852号5楼</t>
  </si>
  <si>
    <t>15880816003</t>
  </si>
  <si>
    <t>13488983472</t>
  </si>
  <si>
    <t>350581100544788</t>
  </si>
  <si>
    <t>MA3566YY-0</t>
  </si>
  <si>
    <t>2020-12-04 至 无固定期限</t>
  </si>
  <si>
    <t>Shishi Nuoka Textile Co., Ltd.</t>
  </si>
  <si>
    <t>石狮诺卡纺织有限公司成立于2020-12-04，法定代表人为佘文义，注册资本为588万元，统一社会信用代码为91350581MA3566YY06，企业注册地址位于福建省泉州市石狮市锦尚镇共富路1852号5楼，所属行业为纺织业，经营范围包含：一般项目：针织或钩针编织物及其制品制造；针纺织品及原料销售；服装制造；纺织、服装及家庭用品批发；服装服饰零售；服装辅料销售；产业用纺织制成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注销。</t>
  </si>
  <si>
    <t>一般项目：针织或钩针编织物及其制品制造；针纺织品及原料销售；服装制造；纺织、服装及家庭用品批发；服装服饰零售；服装辅料销售；产业用纺织制成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</si>
  <si>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福清绿林木业有限责任公司</t>
  </si>
  <si>
    <t>91350181MA322EAJ2W</t>
  </si>
  <si>
    <t>曹芝强</t>
  </si>
  <si>
    <t>2018-09-05</t>
  </si>
  <si>
    <t>福建省福州市福清市石竹街道福玉路11号1号楼</t>
  </si>
  <si>
    <t>0591-28387708</t>
  </si>
  <si>
    <t>742336650@qq.com</t>
  </si>
  <si>
    <t>2211032026@qq.com</t>
  </si>
  <si>
    <t>350181100255362</t>
  </si>
  <si>
    <t>MA322EAJ-2</t>
  </si>
  <si>
    <t>2018-09-05 至 2038-09-04</t>
  </si>
  <si>
    <t>木门窗制造</t>
  </si>
  <si>
    <t>Fuqing Green Forest Wood Industry Co., Ltd.</t>
  </si>
  <si>
    <t>福清绿林木业有限责任公司成立于2018-09-05，法定代表人为曹芝强，注册资本为300万元，统一社会信用代码为91350181MA322EAJ2W，企业注册地址位于福建省福州市福清市石竹街道福玉路11号1号楼，所属行业为木材加工和木、竹、藤、棕、草制品业，经营范围包含：一般项目：门窗制造加工；家具制造；楼梯制造；门窗销售；建筑材料销售。（除依法须经批准的项目外，凭营业执照依法自主开展经营活动）。企业当前经营状态为存续。</t>
  </si>
  <si>
    <t>一般项目：门窗制造加工；家具制造；楼梯制造；门窗销售；建筑材料销售。（除依法须经批准的项目外，凭营业执照依法自主开展经营活动）</t>
  </si>
  <si>
    <t>河南省豫东石油有限公司</t>
  </si>
  <si>
    <t>91411425175099241W</t>
  </si>
  <si>
    <t>崔岩</t>
  </si>
  <si>
    <t>8018万元</t>
  </si>
  <si>
    <t>2005-06-08</t>
  </si>
  <si>
    <t>虞城县道北虞单路西侧</t>
  </si>
  <si>
    <t>商丘市</t>
  </si>
  <si>
    <t>虞城县</t>
  </si>
  <si>
    <t>13837076758</t>
  </si>
  <si>
    <t>13271017833;0370-6738758;0370-6738658;0370-6738638;0370-3026758;0370-6738698</t>
  </si>
  <si>
    <t>yudong-hr@126.com</t>
  </si>
  <si>
    <t>605163918@qq.com;zhanglubin@qq.com;hnsydsyyxgs@126.com;hnsydsy@163.com;hnsydsyyxgs@163.com;henanshengyudongshiyou@163.com;yudong_hr@126.com</t>
  </si>
  <si>
    <t>411425000009857</t>
  </si>
  <si>
    <t>17509924-1</t>
  </si>
  <si>
    <t>83</t>
  </si>
  <si>
    <t>2005-06-08 至 无固定期限</t>
  </si>
  <si>
    <t>Henan Yudong Petroleum Co., Ltd.</t>
  </si>
  <si>
    <t>yudongoil.com</t>
  </si>
  <si>
    <t>河南省豫东石油有限公司是经国家商务部批准成立的成品油批发与零售企业，公司注册资金3018万元，固定资产近5亿元。公司主要从事成品油、天然气、化工产品等大宗能源化工产品的仓储，运输与贸易经营，同时也从事加油站与油库的投资的与建设。公司在河南省商丘市有3万方的油库，10座大型加油站，公司年经营成品油近30万吨，销售收入达20多亿元，销售网络已经覆盖河南，安徽，陕西，四川，山西等省份。公司下辖商丘昆仑燃气有限公司从事城市天然气项目的综合开发利用，河南三商化工有限公司从事化工能源的贸易业务等。根据业务需要，公司在西安成立了分公司，诚邀各类优秀人才的加盟。河南省豫东石油有限公司涉足了多行业多领域的业务。陕西大地臻品科技有限公司是豫东石油全资投资的公司，注册地在四川成都。其专注于互联网电子商务、移动互联网前沿领域，坚持“合作、共赢、前y沿、踏实”，为客户提供优质的产品与服务。公司坚持“立存久远，做大做强”的企业愿景，坚守“诚信、务实、负责”的企业精神，牢记对社会负责、对股东负责、对客户负责、对员工负责、对企业自身负责的企业使命和社会责任，以公司的服务水平和自身实力为保障，让公司快速健康发展。</t>
  </si>
  <si>
    <t>一般项目：机动车修理和维护；消毒剂销售（不含危险化学品）；汽车零配件零售；日用百货销售；信息咨询服务（不含许可类信息咨询服务）；食品销售（仅销售预包装食品）（除依法须经批准的项目外，凭营业执照依法自主开展经营活动）许可项目：燃气经营；道路货物运输（不含危险货物）；烟草制品零售；成品油批发（限危险化学品）；成品油仓储（限危险化学品）；危险化学品经营（依法须经批准的项目，经相关部门批准后方可开展经营活动，具体经营项目以相关部门批准文件或许可证件为准）</t>
  </si>
  <si>
    <t>虞城县市场监督管理局</t>
  </si>
  <si>
    <t>晋江天利服装有限公司</t>
  </si>
  <si>
    <t>913505825934667537</t>
  </si>
  <si>
    <t>吴英仕</t>
  </si>
  <si>
    <t>2012-04-06</t>
  </si>
  <si>
    <t>福建省泉州市晋江市深沪镇华海工业园海东路5号</t>
  </si>
  <si>
    <t>0595-88287070</t>
  </si>
  <si>
    <t>793149925@qq.com</t>
  </si>
  <si>
    <t>350582100162719</t>
  </si>
  <si>
    <t>59346675-3</t>
  </si>
  <si>
    <t>2012-04-06 至 无固定期限</t>
  </si>
  <si>
    <t>Jinjiang Tianli Clothing Co., Ltd.</t>
  </si>
  <si>
    <t>晋江天利服装有限公司成立于2012-04-06，法定代表人为吴英仕，注册资本为100万元，统一社会信用代码为913505825934667537，企业注册地址位于福建省泉州市晋江市深沪镇华海工业园海东路5号，所属行业为纺织服装、服饰业，经营范围包含：一般项目：服装制造；服饰制造；产业用纺织制成品制造；针织或钩针编织物及其制品制造；面料纺织加工；货物进出口；技术进出口；进出口代理（除依法须经批准的项目外，凭营业执照依法自主开展经营活动）。企业当前经营状态为存续。</t>
  </si>
  <si>
    <t>一般项目：服装制造；服饰制造；产业用纺织制成品制造；针织或钩针编织物及其制品制造；面料纺织加工；货物进出口；技术进出口；进出口代理（除依法须经批准的项目外，凭营业执照依法自主开展经营活动）</t>
  </si>
  <si>
    <t>中山市一毅纺织有限公司</t>
  </si>
  <si>
    <t>91442000MABM8PXN7A</t>
  </si>
  <si>
    <t>韦健勤</t>
  </si>
  <si>
    <t>2022-04-26</t>
  </si>
  <si>
    <t>中山市小榄镇东升社区万福路23号二层第1卡</t>
  </si>
  <si>
    <t>13326964321</t>
  </si>
  <si>
    <t>18123743@qq.com</t>
  </si>
  <si>
    <t>442000003277724</t>
  </si>
  <si>
    <t>MABM8PXN-7</t>
  </si>
  <si>
    <t>2022-04-26 至 无固定期限</t>
  </si>
  <si>
    <t>Zhongshan Yiyi Textile Co., Ltd.</t>
  </si>
  <si>
    <t>中山市一毅纺织有限公司成立于2022-04-26，法定代表人为韦健勤，注册资本为3万元，统一社会信用代码为91442000MABM8PXN7A，企业注册地址位于中山市小榄镇东升社区万福路23号二层第1卡，所属行业为纺织业，经营范围包含：一般项目：面料纺织加工；针纺织品及原料销售；服装制造；服装辅料制造；服装辅料销售；皮革制品销售；箱包销售；劳动保护用品销售；日用杂品销售；母婴用品销售；纸制品销售；家用纺织制成品制造；洗烫服务；纺织专用设备销售；纺织专用测试仪器销售。（除依法须经批准的项目外，凭营业执照依法自主开展经营活动）。企业当前经营状态为在业。</t>
  </si>
  <si>
    <t>一般项目：面料纺织加工；针纺织品及原料销售；服装制造；服装辅料制造；服装辅料销售；皮革制品销售；箱包销售；劳动保护用品销售；日用杂品销售；母婴用品销售；纸制品销售；家用纺织制成品制造；洗烫服务；纺织专用设备销售；纺织专用测试仪器销售。（除依法须经批准的项目外，凭营业执照依法自主开展经营活动）</t>
  </si>
  <si>
    <t>中山市特豆服饰有限公司</t>
  </si>
  <si>
    <t>91442000MA55K2E637</t>
  </si>
  <si>
    <t>注销（2024-12-06）</t>
  </si>
  <si>
    <t>王嘉新</t>
  </si>
  <si>
    <t>2020-11-17</t>
  </si>
  <si>
    <t>中山市三乡镇振华北路20号B栋厂房5楼A卡之二</t>
  </si>
  <si>
    <t>13532200444</t>
  </si>
  <si>
    <t>819253156@qq.com</t>
  </si>
  <si>
    <t>442000002684681</t>
  </si>
  <si>
    <t>MA55K2E6-3</t>
  </si>
  <si>
    <t>2020-11-17 至 无固定期限</t>
  </si>
  <si>
    <t>Zhongshan Tedou Clothing Co., Ltd.</t>
  </si>
  <si>
    <t>中山市特豆服饰有限公司成立于2020-11-17，法定代表人为王嘉新，注册资本为50万元，统一社会信用代码为91442000MA55K2E637，企业注册地址位于中山市三乡镇振华北路20号B栋厂房5楼A卡之二，所属行业为纺织服装、服饰业，经营范围包含：一般项目：服装制造；服饰制造；服饰研发；专业设计服务；服装服饰零售；服装服饰批发；鞋帽批发；鞋帽零售；皮革制品制造；皮革销售；面料纺织加工；纺纱加工；针纺织品及原料销售；针纺织品销售。（除依法须经批准的项目外，凭营业执照依法自主开展经营活动）。企业当前经营状态为注销。</t>
  </si>
  <si>
    <t>一般项目：服装制造；服饰制造；服饰研发；专业设计服务；服装服饰零售；服装服饰批发；鞋帽批发；鞋帽零售；皮革制品制造；皮革销售；面料纺织加工；纺纱加工；针纺织品及原料销售；针纺织品销售。（除依法须经批准的项目外，凭营业执照依法自主开展经营活动）</t>
  </si>
  <si>
    <t>沧州华悦石油产品有限公司</t>
  </si>
  <si>
    <t>91130932MA0D9H9M1H</t>
  </si>
  <si>
    <t>高建祥</t>
  </si>
  <si>
    <t>2019-03-04</t>
  </si>
  <si>
    <t>河北省沧州市渤海新区南大港东兴工业区办公楼东侧、一横路北侧</t>
  </si>
  <si>
    <t>0317-5461078</t>
  </si>
  <si>
    <t>13703338933</t>
  </si>
  <si>
    <t>1078873426@qq.com</t>
  </si>
  <si>
    <t>130932000007756</t>
  </si>
  <si>
    <t>MA0D9H9M-1</t>
  </si>
  <si>
    <t>2019-03-04 至 无固定期限</t>
  </si>
  <si>
    <t>Cangzhou Huayue Petroleum Products Co., Ltd.</t>
  </si>
  <si>
    <t>南大港一分区</t>
  </si>
  <si>
    <t>沧州华悦石油产品有限公司成立于2019-03-04，法定代表人为高建祥，注册资本为2000万元，统一社会信用代码为91130932MA0D9H9M1H，企业注册地址位于河北省沧州市渤海新区南大港东兴工业区办公楼东侧、一横路北侧，所属行业为批发业，经营范围包含：销售重油、渣油、润滑油、石油沥青、燃料油、柴油（闭杯闪点≤60℃的除外）、化工产品；加工石油沥青、燃料油（以上均不含危险化学品）。（依法须经批准的项目，经相关部门批准后方可开展经营活动）。企业当前经营状态为存续。</t>
  </si>
  <si>
    <t>销售重油、渣油、润滑油、石油沥青、燃料油、柴油（闭杯闪点≤60℃的除外）、化工产品；加工石油沥青、燃料油（以上均不含危险化学品）。（依法须经批准的项目，经相关部门批准后方可开展经营活动）</t>
  </si>
  <si>
    <t>上海农北能源有限公司</t>
  </si>
  <si>
    <t>91310115MA1HB10P15</t>
  </si>
  <si>
    <t>祝卿</t>
  </si>
  <si>
    <t>2019-12-12</t>
  </si>
  <si>
    <t>上海市浦东新区东方路1988号6层675席位</t>
  </si>
  <si>
    <t>021-61421392</t>
  </si>
  <si>
    <t>021-35355028;18810550642</t>
  </si>
  <si>
    <t>shnb@beidahuang.info</t>
  </si>
  <si>
    <t>310115003961042</t>
  </si>
  <si>
    <t>MA1HB10P-1</t>
  </si>
  <si>
    <t>2019-12-12 至 2039-12-11</t>
  </si>
  <si>
    <t>Shanghai Nongbei ENERGY Co., Ltd.</t>
  </si>
  <si>
    <t>上海农北能源有限公司成立于2019-12-12，法定代表人为祝卿，注册资本为5000万元，统一社会信用代码为91310115MA1HB10P15，企业注册地址位于上海市浦东新区东方路1988号6层675席位，所属行业为批发业，经营范围包含：许可项目：成品油批发；危险化学品经营；食品销售。（依法须经批准的项目，经相关部门批准后方可开展经营活动，具体经营项目以相关部门批准文件或许可证件为准）一般项目：技术进出口；货物进出口；进出口代理；报关业务；化工产品销售（不含许可类化工产品）；石油制品销售（不含危险化学品）；食品销售（仅销售预包装食品）；谷物销售；初级农产品收购；食用农产品初加工；非金属矿及制品销售；润滑油销售；五金产品零售；五金产品批发；机械电气设备销售；金属材料销售；仪器仪表销售；汽车零配件批发；汽车零配件零售；建筑材料销售；橡胶制品销售；塑料制品销售；文具用品批发；文具用品零售；家用电器销售；食用农产品批发；食用农产品零售；日用百货销售；煤炭及制品销售；机械设备租赁；租赁服务（不含许可类租赁服务）；国内贸易代理；国际货物运输代理；国际船舶代理；无船承运业务；技术服务、技术开发、技术咨询、技术交流、技术转让、技术推广；物联网技术服务；供应链管理服务；信息咨询服务（不含许可类信息咨询服务）；社会经济咨询服务。（除依法须经批准的项目外，凭营业执照依法自主开展经营活动）。企业当前经营状态为存续。</t>
  </si>
  <si>
    <t>许可项目：成品油批发；危险化学品经营；食品销售。（依法须经批准的项目，经相关部门批准后方可开展经营活动，具体经营项目以相关部门批准文件或许可证件为准）一般项目：技术进出口；货物进出口；进出口代理；报关业务；化工产品销售（不含许可类化工产品）；石油制品销售（不含危险化学品）；食品销售（仅销售预包装食品）；谷物销售；初级农产品收购；食用农产品初加工；非金属矿及制品销售；润滑油销售；五金产品零售；五金产品批发；机械电气设备销售；金属材料销售；仪器仪表销售；汽车零配件批发；汽车零配件零售；建筑材料销售；橡胶制品销售；塑料制品销售；文具用品批发；文具用品零售；家用电器销售；食用农产品批发；食用农产品零售；日用百货销售；煤炭及制品销售；机械设备租赁；租赁服务（不含许可类租赁服务）；国内贸易代理；国际货物运输代理；国际船舶代理；无船承运业务；技术服务、技术开发、技术咨询、技术交流、技术转让、技术推广；物联网技术服务；供应链管理服务；信息咨询服务（不含许可类信息咨询服务）；社会经济咨询服务。（除依法须经批准的项目外，凭营业执照依法自主开展经营活动）</t>
  </si>
  <si>
    <t>浦东新区市场监督管理局</t>
  </si>
  <si>
    <t>张家港保税区弘晶润纺织品有限公司</t>
  </si>
  <si>
    <t>913205923237253644</t>
  </si>
  <si>
    <t>曹建军</t>
  </si>
  <si>
    <t>331.2万元</t>
  </si>
  <si>
    <t>2015-01-27</t>
  </si>
  <si>
    <t>张家港保税区纺织原料市场919E室</t>
  </si>
  <si>
    <t>13455617338</t>
  </si>
  <si>
    <t>15854466444</t>
  </si>
  <si>
    <t>827986165@qq.com</t>
  </si>
  <si>
    <t>15854466444@163.com</t>
  </si>
  <si>
    <t>320592000087988</t>
  </si>
  <si>
    <t>32372536-4</t>
  </si>
  <si>
    <t>2015-01-27 至 2035-01-26</t>
  </si>
  <si>
    <t>Zhangjiagang Bonded Zone Hongjingrun Textile Co., Ltd.</t>
  </si>
  <si>
    <t>张家港保税区弘晶润纺织品有限公司成立于2015-01-27，法定代表人为曹建军，注册资本为1000万元，统一社会信用代码为913205923237253644，企业注册地址位于张家港保税区纺织原料市场919E室，所属行业为批发业，经营范围包含：纺织原料及产品、服装及辅料、五金机电、建筑材料、办公用品、金属材料、电子产品、日用百货、机械产品及配件、化工产品（危险化学品除外）、矿产品、橡胶制品、塑料制品、木材及制品的购销，自营和代理各类商品和技术的进出口业务（国家限定公司经营或禁止进出口的商品及技术除外）。（依法须经批准的项目，经相关部门批准后方可开展经营活动）
一般项目：技术服务、技术开发、技术咨询、技术交流、技术转让、技术推广；劳务服务（不含劳务派遣）；信息咨询服务（不含许可类信息咨询服务）（除依法须经批准的项目外，凭营业执照依法自主开展经营活动）。企业当前经营状态为在业。</t>
  </si>
  <si>
    <t>纺织原料及产品、服装及辅料、五金机电、建筑材料、办公用品、金属材料、电子产品、日用百货、机械产品及配件、化工产品（危险化学品除外）、矿产品、橡胶制品、塑料制品、木材及制品的购销，自营和代理各类商品和技术的进出口业务（国家限定公司经营或禁止进出口的商品及技术除外）。（依法须经批准的项目，经相关部门批准后方可开展经营活动）
一般项目：技术服务、技术开发、技术咨询、技术交流、技术转让、技术推广；劳务服务（不含劳务派遣）；信息咨询服务（不含许可类信息咨询服务）（除依法须经批准的项目外，凭营业执照依法自主开展经营活动）</t>
  </si>
  <si>
    <t>曹县胜耀毛纺织品有限公司</t>
  </si>
  <si>
    <t>91371721MA3MT1KHX6</t>
  </si>
  <si>
    <t>李爽</t>
  </si>
  <si>
    <t>2018-03-15</t>
  </si>
  <si>
    <t>山东省菏泽市曹县孙老家镇董庄村</t>
  </si>
  <si>
    <t>13216295888</t>
  </si>
  <si>
    <t>15865100297</t>
  </si>
  <si>
    <t>13216295888@139.com</t>
  </si>
  <si>
    <t>22651314@qq.com</t>
  </si>
  <si>
    <t>MA3MT1KH-X</t>
  </si>
  <si>
    <t>2018-03-15 至 2048-03-14</t>
  </si>
  <si>
    <t>Caoxian Shengyao Woolen Textile Co., Ltd.</t>
  </si>
  <si>
    <t>曹县胜耀毛纺织品有限公司成立于2018-03-15，法定代表人为李爽，注册资本为200万元，统一社会信用代码为91371721MA3MT1KHX6，企业注册地址位于山东省菏泽市曹县孙老家镇董庄村，所属行业为纺织业，经营范围包含：毛纺织品加工与销售；皮毛购销（依法须经批准的项目，经相关部门批准后方可开展经营活动）。企业当前经营状态为在业。</t>
  </si>
  <si>
    <t>毛纺织品加工与销售；皮毛购销（依法须经批准的项目，经相关部门批准后方可开展经营活动）</t>
  </si>
  <si>
    <t>曹县市场监督管理局</t>
  </si>
  <si>
    <t>黑龙江鑫玉有机农产品进出口有限公司</t>
  </si>
  <si>
    <t>91231223MA19GERC2G</t>
  </si>
  <si>
    <t>赵忠国</t>
  </si>
  <si>
    <t>2017-06-21</t>
  </si>
  <si>
    <t>黑龙江省绥化市青冈县经济开发区物流工贸企业集中区</t>
  </si>
  <si>
    <t>0455-8913333</t>
  </si>
  <si>
    <t>775577@qq.com</t>
  </si>
  <si>
    <t>chxinyuyouji@163.com;chxingyuyouji@163.com</t>
  </si>
  <si>
    <t>231223100025980</t>
  </si>
  <si>
    <t>MA19GERC-2</t>
  </si>
  <si>
    <t>2017-06-21 至 无固定期限</t>
  </si>
  <si>
    <t>Heilongjiang Xinyu Organic Agricultural Products Imp.&amp;Exp. Co., Ltd.</t>
  </si>
  <si>
    <t>黑龙江鑫玉有机农产品进出口有限公司成立于2017-06-21，法定代表人为赵忠国，注册资本为2000万元，统一社会信用代码为91231223MA19GERC2G，企业注册地址位于黑龙江省绥化市青冈县经济开发区物流工贸企业集中区，所属行业为批发业，经营范围包含：自营和代理各类商品及技术的进出口业务；粮食购销、谷物磨制、饲料、植物油、蔬菜水果和坚果、其他农副食品的生产、加工、销售；膨化食品、方便食品制造。企业当前经营状态为存续。</t>
  </si>
  <si>
    <t>自营和代理各类商品及技术的进出口业务；粮食购销、谷物磨制、饲料、植物油、蔬菜水果和坚果、其他农副食品的生产、加工、销售；膨化食品、方便食品制造。</t>
  </si>
  <si>
    <t>夏津县源和棉业有限公司</t>
  </si>
  <si>
    <t>91371427077976511W</t>
  </si>
  <si>
    <t>李传曾</t>
  </si>
  <si>
    <t>2013-09-11</t>
  </si>
  <si>
    <t>山东省德州市夏津县宋楼镇时庄村</t>
  </si>
  <si>
    <t>0534-3580799</t>
  </si>
  <si>
    <t>13583446607</t>
  </si>
  <si>
    <t>240452466@qq.com</t>
  </si>
  <si>
    <t>yhmy@163.com;xhmy65288@163.com</t>
  </si>
  <si>
    <t>371427200007009</t>
  </si>
  <si>
    <t>07797651-1</t>
  </si>
  <si>
    <t>2013-09-11 至 无固定期限</t>
  </si>
  <si>
    <t>Xiajin Yuanhe Cotton Industry Co., Ltd.</t>
  </si>
  <si>
    <t>夏津县源和棉业有限公司成立于2013-09-11，法定代表人为李传曾，注册资本为700万元，统一社会信用代码为91371427077976511W，企业注册地址位于山东省德州市夏津县宋楼镇时庄村，所属行业为纺织业，经营范围包含：棉花收购、销售；棉短绒加工销售；进出口贸易；仓储服务；织布、纺纱。（以上范围国家禁止或限制的除外）（依法须经批准的项目，经相关部门批准后方可开展经营活动）。企业当前经营状态为在业。</t>
  </si>
  <si>
    <t>棉花收购、销售；棉短绒加工销售；进出口贸易；仓储服务；织布、纺纱。（以上范围国家禁止或限制的除外）（依法须经批准的项目，经相关部门批准后方可开展经营活动）。</t>
  </si>
  <si>
    <t>张家港市舒航纺织品有限公司</t>
  </si>
  <si>
    <t>91320592MACE64LE38</t>
  </si>
  <si>
    <t>马露</t>
  </si>
  <si>
    <t>62.5万元</t>
  </si>
  <si>
    <t>2023-04-03</t>
  </si>
  <si>
    <t>张家港保税区纺织原料市场216-871室</t>
  </si>
  <si>
    <t>0512-56316028</t>
  </si>
  <si>
    <t>279463255@qq.com</t>
  </si>
  <si>
    <t>MACE64LE-3</t>
  </si>
  <si>
    <t>2023-04-03 至 无固定期限</t>
  </si>
  <si>
    <t>Zhangjiagang Shuhang Textile Co., Ltd.</t>
  </si>
  <si>
    <t>张家港市勤星路西溪花苑</t>
  </si>
  <si>
    <t>张家港市舒航纺织品有限公司成立于2023-04-03，法定代表人为马露，注册资本为100万元，统一社会信用代码为91320592MACE64LE38，企业注册地址位于张家港保税区纺织原料市场216-871室，所属行业为批发业，经营范围包含：一般项目：针纺织品及原料销售；纺织、服装及家庭用品批发；服装辅料销售；国内贸易代理；货物进出口；技术进出口；进出口代理（除依法须经批准的项目外，凭营业执照依法自主开展经营活动）。企业当前经营状态为存续。</t>
  </si>
  <si>
    <t>一般项目：针纺织品及原料销售；纺织、服装及家庭用品批发；服装辅料销售；国内贸易代理；货物进出口；技术进出口；进出口代理（除依法须经批准的项目外，凭营业执照依法自主开展经营活动）</t>
  </si>
  <si>
    <t>单县华盛毛纺有限公司</t>
  </si>
  <si>
    <t>91371722MA3TMN6R07</t>
  </si>
  <si>
    <t>王永更</t>
  </si>
  <si>
    <t>2020-07-31</t>
  </si>
  <si>
    <t>山东省菏泽市单县浮岗镇工业园区解刘庄村北88米路西</t>
  </si>
  <si>
    <t>单县</t>
  </si>
  <si>
    <t>18637090003</t>
  </si>
  <si>
    <t>15653071230</t>
  </si>
  <si>
    <t>18637090003@qq.com</t>
  </si>
  <si>
    <t>15653071230@qq.com</t>
  </si>
  <si>
    <t>371722200118471</t>
  </si>
  <si>
    <t>MA3TMN6R-0</t>
  </si>
  <si>
    <t>2020-07-31 至 无固定期限</t>
  </si>
  <si>
    <t>Danxian Huasheng Woolen Textile Co., Ltd.</t>
  </si>
  <si>
    <t>单县华盛毛纺有限公司成立于2020-07-31，法定代表人为王永更，注册资本为100万元，统一社会信用代码为91371722MA3TMN6R07，企业注册地址位于山东省菏泽市单县浮岗镇工业园区解刘庄村北88米路西，所属行业为纺织业，经营范围包含：一般项目：毛皮制品加工；毛皮鞣制加工（除依法须经批准的项目外，凭营业执照依法自主开展经营活动）。企业当前经营状态为在业。</t>
  </si>
  <si>
    <t>一般项目：毛皮制品加工；毛皮鞣制加工（除依法须经批准的项目外，凭营业执照依法自主开展经营活动）</t>
  </si>
  <si>
    <t>单县市场监督管理局</t>
  </si>
  <si>
    <t>张家港市鑫楠木业有限公司</t>
  </si>
  <si>
    <t>91320582MA1YW8NY0P</t>
  </si>
  <si>
    <t>朱亚豹</t>
  </si>
  <si>
    <t>2019-08-09</t>
  </si>
  <si>
    <t>张家港市金港镇长山村镇山西路532号</t>
  </si>
  <si>
    <t>13601566569</t>
  </si>
  <si>
    <t>0512-58266266;13862220170</t>
  </si>
  <si>
    <t>13962233488@163.com</t>
  </si>
  <si>
    <t>849964198@qq.com</t>
  </si>
  <si>
    <t>MA1YW8NY-0</t>
  </si>
  <si>
    <t>2019-08-09 至 无固定期限</t>
  </si>
  <si>
    <t>Zhangjiagang Xinnan Wood Industry Co., Ltd.</t>
  </si>
  <si>
    <t>张家港市鑫楠木业有限公司成立于2019-08-09，法定代表人为朱亚豹，注册资本为1000万元，统一社会信用代码为91320582MA1YW8NY0P，企业注册地址位于张家港市金港镇长山村镇山西路532号，所属行业为批发业，经营范围包含：木材、木制品、建筑材料、装饰材料、五金产品、包装材料、化工原料及产品（危险品除外）购销；建筑装修装饰工程专业承包。（依法须经批准的项目，经相关部门批准后方可开展经营活动）
一般项目：园林绿化工程施工（除依法须经批准的项目外，凭营业执照依法自主开展经营活动）。企业当前经营状态为在业。</t>
  </si>
  <si>
    <t>木材、木制品、建筑材料、装饰材料、五金产品、包装材料、化工原料及产品（危险品除外）购销；建筑装修装饰工程专业承包。（依法须经批准的项目，经相关部门批准后方可开展经营活动）
一般项目：园林绿化工程施工（除依法须经批准的项目外，凭营业执照依法自主开展经营活动）</t>
  </si>
  <si>
    <t>广州航龙服装有限公司</t>
  </si>
  <si>
    <t>91440101MA9W5NPYXN</t>
  </si>
  <si>
    <t>李美虹</t>
  </si>
  <si>
    <t>115万元</t>
  </si>
  <si>
    <t>广州市白云区鹤边军民西路鹤边员村西街5号1栋301</t>
  </si>
  <si>
    <t>13543992238</t>
  </si>
  <si>
    <t>2284504341@qq.com</t>
  </si>
  <si>
    <t>MA9W5NPY-X</t>
  </si>
  <si>
    <t>Guangzhou Cruising DRAGON Garments Co., Ltd.</t>
  </si>
  <si>
    <t>广州航龙服装有限公司成立于2021-03-04，法定代表人为李美虹，注册资本为115万元，统一社会信用代码为91440101MA9W5NPYXN，企业注册地址位于广州市白云区鹤边军民西路鹤边员村西街5号1栋301，所属行业为纺织服装、服饰业，经营范围包含：箱包销售;专业设计服务;皮革制品制造;皮革、毛皮及其制品加工专用设备销售;皮革销售;皮革制品销售;互联网销售（除销售需要许可的商品）;箱包制造;服装制造;服装辅料销售;服装服饰批发;服饰制造;针织或钩针编织物及其制品制造;服装服饰零售;;货物进出口;技术进出口。企业当前经营状态为存续。</t>
  </si>
  <si>
    <t>箱包销售;专业设计服务;皮革制品制造;皮革、毛皮及其制品加工专用设备销售;皮革销售;皮革制品销售;互联网销售（除销售需要许可的商品）;箱包制造;服装制造;服装辅料销售;服装服饰批发;服饰制造;针织或钩针编织物及其制品制造;服装服饰零售;;货物进出口;技术进出口</t>
  </si>
  <si>
    <t>佛山市雅鑫纺织有限公司</t>
  </si>
  <si>
    <t>91440604MA53D8239A</t>
  </si>
  <si>
    <t>陈孔舟</t>
  </si>
  <si>
    <t>2019-06-18</t>
  </si>
  <si>
    <t>佛山市禅城区张槎街道东鄱村岗头东大街3号六楼之一（住所申报）</t>
  </si>
  <si>
    <t>13688457755</t>
  </si>
  <si>
    <t>13688457755@139.com</t>
  </si>
  <si>
    <t>13688457755@126.com;13688457755@qq.com</t>
  </si>
  <si>
    <t>MA53D823-9</t>
  </si>
  <si>
    <t>2019-06-18 至 无固定期限</t>
  </si>
  <si>
    <t>Foshan Yaxin Textile Co., Ltd.</t>
  </si>
  <si>
    <t>佛山市雅鑫纺织有限公司成立于2019-06-18，法定代表人为陈孔舟，注册资本为100万元，统一社会信用代码为91440604MA53D8239A，企业注册地址位于佛山市禅城区张槎街道东鄱村岗头东大街3号六楼之一（住所申报），所属行业为批发业，经营范围包含：销售及网上销售：服装，纺织品，针织品及原料（不含危险化学品）；国内贸易：货物或技术进出口（国家禁止或涉及行政审批的货物和技术进出口除外）。（依法须经批准的项目，经相关部门批准后方可开展经营活动）。企业当前经营状态为在业。</t>
  </si>
  <si>
    <t>销售及网上销售：服装，纺织品，针织品及原料（不含危险化学品）；国内贸易：货物或技术进出口（国家禁止或涉及行政审批的货物和技术进出口除外）。（依法须经批准的项目，经相关部门批准后方可开展经营活动）</t>
  </si>
  <si>
    <t>固安县参花面粉有限公司</t>
  </si>
  <si>
    <t>911310227387114907</t>
  </si>
  <si>
    <t>固安县大地面粉加工有限公司</t>
  </si>
  <si>
    <t>姚志万</t>
  </si>
  <si>
    <t>2731万元</t>
  </si>
  <si>
    <t>2002-01-09</t>
  </si>
  <si>
    <t>固安县新兴产业示范区</t>
  </si>
  <si>
    <t>固安县</t>
  </si>
  <si>
    <t>0316-6182970</t>
  </si>
  <si>
    <t>0316-6162589;0316-6155798</t>
  </si>
  <si>
    <t>www.shenhuamf@163.com</t>
  </si>
  <si>
    <t>shenhuamf@163.com</t>
  </si>
  <si>
    <t>131022000001218</t>
  </si>
  <si>
    <t>73871149-0</t>
  </si>
  <si>
    <t>103</t>
  </si>
  <si>
    <t>2002-01-09 至 2032-01-08</t>
  </si>
  <si>
    <t>小麦加工</t>
  </si>
  <si>
    <t>Guan Shenhua Flour Co., Ltd.</t>
  </si>
  <si>
    <t>固安县参花面粉有限公司成立于2002-01-09，法定代表人为姚志万，注册资本为2731万元，统一社会信用代码为911310227387114907，企业注册地址位于固安县新兴产业示范区，所属行业为农副食品加工业，经营范围包含：小麦粉（通用、专用）加工及销售；农副产品销售；粮食收购、仓储、销售；方便食品、烘烤食品、本地出产的鲜活农产品加工、销售；检测服务；货物进出口；自有房屋租赁；信息技术咨询服务（依法须经批准的项目，经相关部门批准后方可开展经营活动）。企业当前经营状态为存续。</t>
  </si>
  <si>
    <t>小麦粉（通用、专用）加工及销售；农副产品销售；粮食收购、仓储、销售；方便食品、烘烤食品、本地出产的鲜活农产品加工、销售；检测服务；货物进出口；自有房屋租赁；信息技术咨询服务（依法须经批准的项目，经相关部门批准后方可开展经营活动）</t>
  </si>
  <si>
    <t>廊坊市固安县市场监督管理局</t>
  </si>
  <si>
    <t>东莞市龙协丰布业有限公司</t>
  </si>
  <si>
    <t>91441900058592715Y</t>
  </si>
  <si>
    <t>侯泽汉</t>
  </si>
  <si>
    <t>2012-12-14</t>
  </si>
  <si>
    <t>东莞市虎门镇虎门国际布料交易中心1B127号</t>
  </si>
  <si>
    <t>13537290158</t>
  </si>
  <si>
    <t>18681181838</t>
  </si>
  <si>
    <t>1003310729@qq.com</t>
  </si>
  <si>
    <t>441900001479750</t>
  </si>
  <si>
    <t>05859271-5</t>
  </si>
  <si>
    <t>2012-12-14 至 无固定期限</t>
  </si>
  <si>
    <t>Dongguan Longxie Feng Fabric Co., Ltd.</t>
  </si>
  <si>
    <t>东莞市龙协丰布业有限公司成立于2012-12-14，法定代表人为侯泽汉，注册资本为500万元，统一社会信用代码为91441900058592715Y，企业注册地址位于东莞市虎门镇虎门国际布料交易中心1B127号，所属行业为批发业，经营范围包含：销售：布料、服装辅料、纺织品。（依法须经批准的项目，经相关部门批准后方可开展经营活动）。企业当前经营状态为在业。</t>
  </si>
  <si>
    <t>销售：布料、服装辅料、纺织品。（依法须经批准的项目，经相关部门批准后方可开展经营活动）</t>
  </si>
  <si>
    <t>滦南县涌鑫纺纱有限公司</t>
  </si>
  <si>
    <t>91130224575519233D</t>
  </si>
  <si>
    <t>王忠</t>
  </si>
  <si>
    <t>滦南县胡各庄镇纺纱工业园区（胡各庄镇政府西侧）</t>
  </si>
  <si>
    <t>滦南县</t>
  </si>
  <si>
    <t>13932555807</t>
  </si>
  <si>
    <t>0315-4525566</t>
  </si>
  <si>
    <t>hqd3157788@163.com</t>
  </si>
  <si>
    <t>130224000007786</t>
  </si>
  <si>
    <t>57551923-3</t>
  </si>
  <si>
    <t>2011-05-20 至 2061-05-19</t>
  </si>
  <si>
    <t>Luannan County Yongxin Spinning Co., Ltd.</t>
  </si>
  <si>
    <t>滦南县涌鑫纺纱有限公司成立于2011-05-20，法定代表人为王忠，注册资本为100万元，统一社会信用代码为91130224575519233D，企业注册地址位于滦南县胡各庄镇纺纱工业园区（胡各庄镇政府西侧），所属行业为纺织业，经营范围包含：一般项目：纺纱加工；面料纺织加工；合成纤维制造；家用纺织制成品制造；产业用纺织制成品制造；合成纤维销售；针纺织品销售；产业用纺织制成品销售；棉花收购；棉、麻销售。（除依法须经批准的项目外，凭营业执照依法自主开展经营活动）。企业当前经营状态为注销。</t>
  </si>
  <si>
    <t>一般项目：纺纱加工；面料纺织加工；合成纤维制造；家用纺织制成品制造；产业用纺织制成品制造；合成纤维销售；针纺织品销售；产业用纺织制成品销售；棉花收购；棉、麻销售。（除依法须经批准的项目外，凭营业执照依法自主开展经营活动）</t>
  </si>
  <si>
    <t>滦南县市场监督管理局</t>
  </si>
  <si>
    <t>穆索纺织（泉州）有限公司</t>
  </si>
  <si>
    <t>91350581MA356756XG</t>
  </si>
  <si>
    <t>注销（2025-09-01）</t>
  </si>
  <si>
    <t>刘清白</t>
  </si>
  <si>
    <t>福建省泉州市石狮市锦尚镇共富路1852号4楼</t>
  </si>
  <si>
    <t>17750878627</t>
  </si>
  <si>
    <t>350581100544796</t>
  </si>
  <si>
    <t>MA356756-X</t>
  </si>
  <si>
    <t>Muso Textile (Quanzhou) Co., Ltd.</t>
  </si>
  <si>
    <t>穆索纺织（泉州）有限公司成立于2020-12-04，法定代表人为刘清白，注册资本为800万元，统一社会信用代码为91350581MA356756XG，企业注册地址位于福建省泉州市石狮市锦尚镇共富路1852号4楼，所属行业为纺织业，经营范围包含：一般项目：针织或钩针编织物及其制品制造；针纺织品及原料销售；服装制造；纺织、服装及家庭用品批发；服装服饰零售；服装辅料销售；产业用纺织制成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注销。</t>
  </si>
  <si>
    <t>温州长方游乐设备有限公司</t>
  </si>
  <si>
    <t>91330324582683322E</t>
  </si>
  <si>
    <t>永嘉县长方游乐设备有限公司</t>
  </si>
  <si>
    <t>章淮</t>
  </si>
  <si>
    <t>2011-09-19</t>
  </si>
  <si>
    <t>浙江省温州市永嘉县桥下镇小京岙村（康龙世界游乐有限公司内）</t>
  </si>
  <si>
    <t>温州市</t>
  </si>
  <si>
    <t>永嘉县</t>
  </si>
  <si>
    <t>15158610908</t>
  </si>
  <si>
    <t>15158610908@qq.com</t>
  </si>
  <si>
    <t>330324000085918</t>
  </si>
  <si>
    <t>58268332-2</t>
  </si>
  <si>
    <t>2011-09-19 至 无固定期限</t>
  </si>
  <si>
    <t>文教、工美、体育和娱乐用品制造业</t>
  </si>
  <si>
    <t>游艺器材及娱乐用品制造</t>
  </si>
  <si>
    <t>露天游乐场所游乐设备制造</t>
  </si>
  <si>
    <t>Wenzhou Changyou Amusement Equipment Co., Ltd.</t>
  </si>
  <si>
    <t>温州长方游乐设备有限公司成立于2011-09-19，法定代表人为章淮，注册资本为100万元，统一社会信用代码为91330324582683322E，企业注册地址位于浙江省温州市永嘉县桥下镇小京岙村（康龙世界游乐有限公司内），所属行业为文教、工美、体育和娱乐用品制造业，经营范围包含：一般项目：普通露天游乐场所游乐设备制造（不含大型游乐设施）；普通露天游乐场所游乐设备销售；教学用模型及教具制造；教学用模型及教具销售；游艺用品及室内游艺器材销售；游艺用品及室内游艺器材制造；玩具制造；玩具、动漫及游艺用品销售；塑料制品销售；塑料制品制造；橡胶制品销售；橡胶制品制造；家具制造；家具销售；互联网销售（除销售需要许可的商品）；日用品销售；办公用品销售；母婴用品制造；母婴用品销售；体育用品及器材零售；体育用品及器材制造；体育场地设施工程施工；服装服饰零售；建筑材料销售；轻质建筑材料销售；金属材料销售；工程塑料及合成树脂销售；建筑防水卷材产品销售；门窗销售；电线、电缆经营；五金产品零售；木材销售；针纺织品销售；包装材料及制品销售；技术进出口；货物进出口（除依法须经批准的项目外，凭营业执照依法自主开展经营活动）。企业当前经营状态为存续。</t>
  </si>
  <si>
    <t>一般项目：普通露天游乐场所游乐设备制造（不含大型游乐设施）；普通露天游乐场所游乐设备销售；教学用模型及教具制造；教学用模型及教具销售；游艺用品及室内游艺器材销售；游艺用品及室内游艺器材制造；玩具制造；玩具、动漫及游艺用品销售；塑料制品销售；塑料制品制造；橡胶制品销售；橡胶制品制造；家具制造；家具销售；互联网销售（除销售需要许可的商品）；日用品销售；办公用品销售；母婴用品制造；母婴用品销售；体育用品及器材零售；体育用品及器材制造；体育场地设施工程施工；服装服饰零售；建筑材料销售；轻质建筑材料销售；金属材料销售；工程塑料及合成树脂销售；建筑防水卷材产品销售；门窗销售；电线、电缆经营；五金产品零售；木材销售；针纺织品销售；包装材料及制品销售；技术进出口；货物进出口（除依法须经批准的项目外，凭营业执照依法自主开展经营活动）。</t>
  </si>
  <si>
    <t>永嘉县市场监督管理局</t>
  </si>
  <si>
    <t>乐安坚持服装有限公司</t>
  </si>
  <si>
    <t>91361025MA7BJ7C33D</t>
  </si>
  <si>
    <t>桂红辉</t>
  </si>
  <si>
    <t>2021-09-28</t>
  </si>
  <si>
    <t>江西省抚州市乐安县县城前坪工业园区内（丰信物流仓储有限公司房屋及二楼整体）</t>
  </si>
  <si>
    <t>抚州市</t>
  </si>
  <si>
    <t>乐安县</t>
  </si>
  <si>
    <t>17870253619</t>
  </si>
  <si>
    <t>18000295668</t>
  </si>
  <si>
    <t>442371976@qq.com</t>
  </si>
  <si>
    <t>18000295668@qq.com</t>
  </si>
  <si>
    <t>361025210024611</t>
  </si>
  <si>
    <t>MA7BJ7C3-3</t>
  </si>
  <si>
    <t>2021-09-28 至 无固定期限</t>
  </si>
  <si>
    <t>Le'an Persist In Clothing Co., Ltd.</t>
  </si>
  <si>
    <t>乐安坚持服装有限公司成立于2021-09-28，法定代表人为桂红辉，注册资本为200万元，统一社会信用代码为91361025MA7BJ7C33D，企业注册地址位于江西省抚州市乐安县县城前坪工业园区内（丰信物流仓储有限公司房屋及二楼整体），所属行业为纺织服装、服饰业，经营范围包含：一般项目：服装制造，服装服饰零售，服装服饰批发，服装辅料销售，产业用纺织制成品销售，鞋帽零售，鞋帽批发，鞋制造，家居用品销售，针织或钩针编织物及其制品制造，面料纺织加工，针纺织品销售（除许可业务外，可自主依法经营法律法规非禁止或限制的项目）。企业当前经营状态为存续。</t>
  </si>
  <si>
    <t>一般项目：服装制造，服装服饰零售，服装服饰批发，服装辅料销售，产业用纺织制成品销售，鞋帽零售，鞋帽批发，鞋制造，家居用品销售，针织或钩针编织物及其制品制造，面料纺织加工，针纺织品销售（除许可业务外，可自主依法经营法律法规非禁止或限制的项目）</t>
  </si>
  <si>
    <t>乐安县市场监督管理局</t>
  </si>
  <si>
    <t>佛山市汇生淇纺织有限公司</t>
  </si>
  <si>
    <t>91440604588296489K</t>
  </si>
  <si>
    <t>广东汇生淇纺织有限公司</t>
  </si>
  <si>
    <t>冼德军</t>
  </si>
  <si>
    <t>2011-12-27</t>
  </si>
  <si>
    <t>佛山市禅城区张槎街道物华路普华科技工业邨四座之三3楼-310单元（住所申报）</t>
  </si>
  <si>
    <t>13809704994</t>
  </si>
  <si>
    <t>13809704994@qq.com</t>
  </si>
  <si>
    <t>440602000249839</t>
  </si>
  <si>
    <t>58829648-9</t>
  </si>
  <si>
    <t>2011-12-27 至 无固定期限</t>
  </si>
  <si>
    <t>其他家庭用品批发</t>
  </si>
  <si>
    <t>Foshan Huishengqi Textile Co., Ltd.</t>
  </si>
  <si>
    <t>佛山市汇生淇纺织有限公司成立于2011-12-27，法定代表人为冼德军，注册资本为1000万元，统一社会信用代码为91440604588296489K，企业注册地址位于佛山市禅城区张槎街道物华路普华科技工业邨四座之三3楼-310单元（住所申报），所属行业为批发业，经营范围包含：销售：纺织原料（不含危险化学品）、布料、服装及辅料；批发、零售：纺织品；提供纺织技术服务及服装设计、研发；食品流通。（依法须经批准的项目，经相关部门批准后方可开展经营活动。）（依法须经批准的项目，经相关部门批准后方可开展经营活动）。企业当前经营状态为存续。</t>
  </si>
  <si>
    <t>销售：纺织原料（不含危险化学品）、布料、服装及辅料；批发、零售：纺织品；提供纺织技术服务及服装设计、研发；食品流通。（依法须经批准的项目，经相关部门批准后方可开展经营活动。）（依法须经批准的项目，经相关部门批准后方可开展经营活动）</t>
  </si>
  <si>
    <t>江苏华西村纺织服装有限公司</t>
  </si>
  <si>
    <t>91320281561833416U</t>
  </si>
  <si>
    <t>江苏华西村精毛纺织有限公司</t>
  </si>
  <si>
    <t>徐剑荣</t>
  </si>
  <si>
    <t>2010-09-17</t>
  </si>
  <si>
    <t>江阴市华士镇华西村民族路18号</t>
  </si>
  <si>
    <t>0510-86216228</t>
  </si>
  <si>
    <t>0510-86217243</t>
  </si>
  <si>
    <t>320281000294159</t>
  </si>
  <si>
    <t>56183341-6</t>
  </si>
  <si>
    <t>306</t>
  </si>
  <si>
    <t>2010-09-17 至 2030-09-16</t>
  </si>
  <si>
    <t>Jiangsu Huaxicun TEXTILE&amp;GARMENT Co., Ltd.</t>
  </si>
  <si>
    <t>江苏华西村纺织服装有限公司成立于2010-09-17，法定代表人为徐剑荣，注册资本为50000万元，统一社会信用代码为91320281561833416U，企业注册地址位于江阴市华士镇华西村民族路18号，所属行业为纺织业，经营范围包含：精纺呢绒、粗纺呢绒、针织绒、服装、服饰、皮革制品、鞋子、眼镜的制造、加工、销售；纺织原料（不含籽棉）、针织品、纺织品、化工产品（不含危险品）、五金产品、机械设备的销售；道路普通货物运输；自营和代理各类商品及技术的进出口业务，但国家限定企业经营或禁止进出口的商品和技术除外。（依法须经批准的项目，经相关部门批准后方可开展经营活动）。企业当前经营状态为存续。</t>
  </si>
  <si>
    <t>精纺呢绒、粗纺呢绒、针织绒、服装、服饰、皮革制品、鞋子、眼镜的制造、加工、销售；纺织原料（不含籽棉）、针织品、纺织品、化工产品（不含危险品）、五金产品、机械设备的销售；道路普通货物运输；自营和代理各类商品及技术的进出口业务，但国家限定企业经营或禁止进出口的商品和技术除外。（依法须经批准的项目，经相关部门批准后方可开展经营活动）</t>
  </si>
  <si>
    <t>广州市浩铭服装有限公司</t>
  </si>
  <si>
    <t>91440111MAC1YW6Y9H</t>
  </si>
  <si>
    <t>注销（2025-01-20）</t>
  </si>
  <si>
    <t>吴伟杰</t>
  </si>
  <si>
    <t>2022-11-01</t>
  </si>
  <si>
    <t>广州市白云区江夏火车路1号601室</t>
  </si>
  <si>
    <t>13719186699</t>
  </si>
  <si>
    <t>13070235158</t>
  </si>
  <si>
    <t>13070235158@163.com</t>
  </si>
  <si>
    <t>440111006130655</t>
  </si>
  <si>
    <t>MAC1YW6Y-9</t>
  </si>
  <si>
    <t>22</t>
  </si>
  <si>
    <t>2022-11-01 至 无固定期限</t>
  </si>
  <si>
    <t>Guangzhou Haoming Garment Co., Ltd.</t>
  </si>
  <si>
    <t>广州市浩铭服装有限公司成立于2022-11-01，法定代表人为吴伟杰，注册资本为60万元，统一社会信用代码为91440111MAC1YW6Y9H，企业注册地址位于广州市白云区江夏火车路1号601室，所属行业为纺织服装、服饰业，经营范围包含：服饰制造;服装制造;针织或钩针编织物及其制品制造;平面设计;专业设计服务;图文设计制作;日用品销售;日用品批发;互联网设备销售;互联网销售（除销售需要许可的商品）;化妆品零售;化妆品批发;箱包销售;鞋帽批发;贸易经纪;国内贸易代理;服饰研发;服装、服饰检验、整理服务;服装辅料销售;服装服饰零售;服装服饰批发;;互联网信息服务;技术进出口;货物进出口。企业当前经营状态为注销。</t>
  </si>
  <si>
    <t>服饰制造;服装制造;针织或钩针编织物及其制品制造;平面设计;专业设计服务;图文设计制作;日用品销售;日用品批发;互联网设备销售;互联网销售（除销售需要许可的商品）;化妆品零售;化妆品批发;箱包销售;鞋帽批发;贸易经纪;国内贸易代理;服饰研发;服装、服饰检验、整理服务;服装辅料销售;服装服饰零售;服装服饰批发;;互联网信息服务;技术进出口;货物进出口</t>
  </si>
  <si>
    <t>乐安县鑫力针织有限责任公司</t>
  </si>
  <si>
    <t>91361025MAC1T93M18</t>
  </si>
  <si>
    <t>曾亚平</t>
  </si>
  <si>
    <t>2022-10-21</t>
  </si>
  <si>
    <t>江西省抚州市乐安县山砀镇荷塘村</t>
  </si>
  <si>
    <t>15079494043</t>
  </si>
  <si>
    <t>15079494043@163.com</t>
  </si>
  <si>
    <t>15070435124@163.com</t>
  </si>
  <si>
    <t>361025210031244</t>
  </si>
  <si>
    <t>MAC1T93M-1</t>
  </si>
  <si>
    <t>2022-10-21 至 无固定期限</t>
  </si>
  <si>
    <t>Le'an Xinli Knitting Co., Ltd.</t>
  </si>
  <si>
    <t>乐安县鑫力针织有限责任公司成立于2022-10-21，法定代表人为曾亚平，注册资本为200万元，统一社会信用代码为91361025MAC1T93M18，企业注册地址位于江西省抚州市乐安县山砀镇荷塘村，所属行业为纺织业，经营范围包含：一般项目：针织或钩针编织物及其制品制造，服饰制造，针纺织品销售，服装服饰批发，体育用品及器材零售（除依法须经批准的项目外，凭营业执照依法自主开展经营活动）。企业当前经营状态为存续。</t>
  </si>
  <si>
    <t>一般项目：针织或钩针编织物及其制品制造，服饰制造，针纺织品销售，服装服饰批发，体育用品及器材零售（除依法须经批准的项目外，凭营业执照依法自主开展经营活动）</t>
  </si>
  <si>
    <t>石狮朝夕纺织有限公司</t>
  </si>
  <si>
    <t>91350581MA33L87J10</t>
  </si>
  <si>
    <t>注销（2024-10-18）</t>
  </si>
  <si>
    <t>李祖肴</t>
  </si>
  <si>
    <t>福建省泉州市石狮市永宁镇院东上开发区永盛路168号3楼</t>
  </si>
  <si>
    <t>15160383582</t>
  </si>
  <si>
    <t>15980090648</t>
  </si>
  <si>
    <t>MA33L87J-1</t>
  </si>
  <si>
    <t>Shishi Chaoxi Textile Co., Ltd.</t>
  </si>
  <si>
    <t>石狮朝夕纺织有限公司成立于2020-03-06，法定代表人为李祖肴，注册资本为1000万元，统一社会信用代码为91350581MA33L87J10，企业注册地址位于福建省泉州市石狮市永宁镇院东上开发区永盛路168号3楼，所属行业为纺织业，经营范围包含：生产：纺织品、针织品、服装辅料、纱线、服装；销售：纺织原料；自营和代理各类商品及技术的进出口业务，但国家限定公司经营或禁止进出口的商品及技术除外。（依法须经批准的项目，经相关部门批准后方可开展经营活动）。企业当前经营状态为注销。</t>
  </si>
  <si>
    <t>生产：纺织品、针织品、服装辅料、纱线、服装；销售：纺织原料；自营和代理各类商品及技术的进出口业务，但国家限定公司经营或禁止进出口的商品及技术除外。（依法须经批准的项目，经相关部门批准后方可开展经营活动）</t>
  </si>
  <si>
    <t>福建省石狮市市场监督管理局</t>
  </si>
  <si>
    <t>乌兰浩特达禾源粮油有限公司</t>
  </si>
  <si>
    <t>91152201MACUYXH34D</t>
  </si>
  <si>
    <t>王树林</t>
  </si>
  <si>
    <t>2023-09-13</t>
  </si>
  <si>
    <t>内蒙古自治区兴安盟乌兰浩特市都林街道乌兰浩特市蒙佳小区3期1号楼1单元201</t>
  </si>
  <si>
    <t>兴安盟</t>
  </si>
  <si>
    <t>乌兰浩特市</t>
  </si>
  <si>
    <t>13704793627</t>
  </si>
  <si>
    <t>18648222775;18204801888</t>
  </si>
  <si>
    <t>2465610797@qq.com</t>
  </si>
  <si>
    <t>2464610696@qq.com</t>
  </si>
  <si>
    <t>MACUYXH3-4</t>
  </si>
  <si>
    <t>2023-09-13 至 2099-12-31</t>
  </si>
  <si>
    <t>Ulanhot Daheyuan Grain and Oil Co., Ltd.</t>
  </si>
  <si>
    <t>乌兰浩特达禾源粮油有限公司成立于2023-09-13，法定代表人为王树林，注册资本为10万元，统一社会信用代码为91152201MACUYXH34D，企业注册地址位于内蒙古自治区兴安盟乌兰浩特市都林街道乌兰浩特市蒙佳小区3期1号楼1单元201，所属行业为批发业，经营范围包含：一般项目：粮食收购；粮油仓储服务；初级农产品收购；农副产品销售。（除依法须经批准的项目外，凭营业执照依法自主开展经营活动）。企业当前经营状态为存续。</t>
  </si>
  <si>
    <t>一般项目：粮食收购；粮油仓储服务；初级农产品收购；农副产品销售。（除依法须经批准的项目外，凭营业执照依法自主开展经营活动）</t>
  </si>
  <si>
    <t>乌兰浩特市市场监督管理局（乌兰浩特市知识产权局）</t>
  </si>
  <si>
    <t>镇江中鸿木业有限公司</t>
  </si>
  <si>
    <t>91321102MA1P0XUJ89</t>
  </si>
  <si>
    <t>曾剑黄</t>
  </si>
  <si>
    <t>334.8万元</t>
  </si>
  <si>
    <t>2017-05-17</t>
  </si>
  <si>
    <t>镇江市京口区新民洲临港路398号</t>
  </si>
  <si>
    <t>镇江市</t>
  </si>
  <si>
    <t>京口区</t>
  </si>
  <si>
    <t>17768659611</t>
  </si>
  <si>
    <t>17342776762;17715996789</t>
  </si>
  <si>
    <t>17342776762@qq.com</t>
  </si>
  <si>
    <t>17342776762@163.com</t>
  </si>
  <si>
    <t>321102000145826</t>
  </si>
  <si>
    <t>MA1P0XUJ-8</t>
  </si>
  <si>
    <t>2017-05-17 至 无固定期限</t>
  </si>
  <si>
    <t>Zhenjiang Zhonghong Wood Industry Co., Ltd.</t>
  </si>
  <si>
    <t>镇江中鸿木业有限公司成立于2017-05-17，法定代表人为曾剑黄，注册资本为500万元，统一社会信用代码为91321102MA1P0XUJ89，企业注册地址位于镇江市京口区新民洲临港路398号，所属行业为木材加工和木、竹、藤、棕、草制品业，经营范围包含：木材加工；木制品制造加工；木材、建筑材料（金银制品除外）的批发与零售。（依法须经批准的项目，经相关部门批准后方可开展经营活动）。企业当前经营状态为在业。</t>
  </si>
  <si>
    <t>木材加工；木制品制造加工；木材、建筑材料（金银制品除外）的批发与零售。（依法须经批准的项目，经相关部门批准后方可开展经营活动）</t>
  </si>
  <si>
    <t>镇江市京口区市场监督管理局</t>
  </si>
  <si>
    <t>湖州龙廷木业有限公司</t>
  </si>
  <si>
    <t>91330521MA2B5TQK68</t>
  </si>
  <si>
    <t>德清阳阳木业有限公司</t>
  </si>
  <si>
    <t>邱廷武</t>
  </si>
  <si>
    <t>61万元</t>
  </si>
  <si>
    <t>2018-12-28</t>
  </si>
  <si>
    <t>浙江省湖州市德清县下渚湖街道康介山村南窑坞</t>
  </si>
  <si>
    <t>18758092388</t>
  </si>
  <si>
    <t>18868749774;13968077977;13216713741</t>
  </si>
  <si>
    <t>18758092388@163.com</t>
  </si>
  <si>
    <t>18868749774@163.com</t>
  </si>
  <si>
    <t>330521000189356</t>
  </si>
  <si>
    <t>MA2B5TQK-6</t>
  </si>
  <si>
    <t>2018-12-28 至 无固定期限</t>
  </si>
  <si>
    <t>Huzhou Longting Wood Industry Co., Ltd.</t>
  </si>
  <si>
    <t>湖州龙廷木业有限公司成立于2018-12-28，法定代表人为邱廷武，注册资本为61万元，统一社会信用代码为91330521MA2B5TQK68，企业注册地址位于浙江省湖州市德清县下渚湖街道康介山村南窑坞，所属行业为木材加工和木、竹、藤、棕、草制品业，经营范围包含：一般项目：木材加工、建筑材料销售，防腐材料销售，软木制品销售，园林绿化工程施工，工程管理服务，专业设计服务，会议及展览服务，林业产品销售。（除依法须经批准的项目外，凭营业执照依法自主开展经营活动）。企业当前经营状态为存续。</t>
  </si>
  <si>
    <t>一般项目：木材加工、建筑材料销售，防腐材料销售，软木制品销售，园林绿化工程施工，工程管理服务，专业设计服务，会议及展览服务，林业产品销售。（除依法须经批准的项目外，凭营业执照依法自主开展经营活动）。</t>
  </si>
  <si>
    <t>新疆亿盛棉业有限责任公司</t>
  </si>
  <si>
    <t>91654004MAC2KM0183</t>
  </si>
  <si>
    <t>朱亚菲</t>
  </si>
  <si>
    <t>2022-11-02</t>
  </si>
  <si>
    <t>新疆伊犁哈萨克自治州霍尔果斯市亚欧路28号琪瑞大厦1201号</t>
  </si>
  <si>
    <t>伊犁哈萨克自治州</t>
  </si>
  <si>
    <t>霍尔果斯市</t>
  </si>
  <si>
    <t>15250376922</t>
  </si>
  <si>
    <t>18299958046</t>
  </si>
  <si>
    <t>754130885@qq.com</t>
  </si>
  <si>
    <t>654004029045235</t>
  </si>
  <si>
    <t>MAC2KM01-8</t>
  </si>
  <si>
    <t>2022-11-02 至 无固定期限</t>
  </si>
  <si>
    <t>Xinjiang Yisheng Cotton Industry Co., Ltd.</t>
  </si>
  <si>
    <t>新疆亿盛棉业有限责任公司成立于2022-11-02，法定代表人为朱亚菲，注册资本为2000万元，统一社会信用代码为91654004MAC2KM0183，企业注册地址位于新疆伊犁哈萨克自治州霍尔果斯市亚欧路28号琪瑞大厦1201号，所属行业为农、林、牧、渔专业及辅助性活动，经营范围包含：一般项目：棉花加工;棉、麻销售;非食用农产品初加工;面料纺织加工;面料印染加工;棉花收购;初级农产品收购;服装制造;农作物秸秆处理及加工利用服务;饲料原料销售;家用纺织制成品制造;高性能有色金属及合金材料销售;针织或钩针编织物及其制品制造;针纺织品及原料销售;农林牧副渔业专业机械的安装、维修;产业用纺织制成品销售;服装辅料销售;棉花加工机械销售;纺纱加工;专用化学产品销售（不含危险化学品）;纺织专用设备销售;日用杂品销售;化工产品销售（不含许可类化工产品）;劳动保护用品销售;高品质合成橡胶销售;金属材料销售;农业生产托管服务;合成材料销售;土地整治服务;土地使用权租赁;土地调查评估服务;农业专业及辅助性活动;农作物栽培服务;农业机械服务;贸易经纪。（除依法须经批准的项目外，凭营业执照依法自主开展经营活动）。企业当前经营状态为存续。</t>
  </si>
  <si>
    <t>一般项目：棉花加工;棉、麻销售;非食用农产品初加工;面料纺织加工;面料印染加工;棉花收购;初级农产品收购;服装制造;农作物秸秆处理及加工利用服务;饲料原料销售;家用纺织制成品制造;高性能有色金属及合金材料销售;针织或钩针编织物及其制品制造;针纺织品及原料销售;农林牧副渔业专业机械的安装、维修;产业用纺织制成品销售;服装辅料销售;棉花加工机械销售;纺纱加工;专用化学产品销售（不含危险化学品）;纺织专用设备销售;日用杂品销售;化工产品销售（不含许可类化工产品）;劳动保护用品销售;高品质合成橡胶销售;金属材料销售;农业生产托管服务;合成材料销售;土地整治服务;土地使用权租赁;土地调查评估服务;农业专业及辅助性活动;农作物栽培服务;农业机械服务;贸易经纪。（除依法须经批准的项目外，凭营业执照依法自主开展经营活动）</t>
  </si>
  <si>
    <t>霍尔果斯市市场监督管理局</t>
  </si>
  <si>
    <t>吉安傲农生物科技有限公司</t>
  </si>
  <si>
    <t>91360826071842467Q</t>
  </si>
  <si>
    <t>彭发</t>
  </si>
  <si>
    <t>2013-07-15</t>
  </si>
  <si>
    <t>江西省吉安市泰和县工业园</t>
  </si>
  <si>
    <t>吉安市</t>
  </si>
  <si>
    <t>泰和县</t>
  </si>
  <si>
    <t>0796-8668852</t>
  </si>
  <si>
    <t>18679171186</t>
  </si>
  <si>
    <t>407979532@qq.com</t>
  </si>
  <si>
    <t>zhuyufang@aonong.com.cn</t>
  </si>
  <si>
    <t>360826210011740</t>
  </si>
  <si>
    <t>07184246-7</t>
  </si>
  <si>
    <t>2013-07-15 至 2043-07-14</t>
  </si>
  <si>
    <t>农业科学研究和试验发展</t>
  </si>
  <si>
    <t>Ji'An Aonong Biotechnology Co., Ltd.</t>
  </si>
  <si>
    <t>吉安傲农生物科技有限公司成立于2013-07-15，法定代表人为彭发，注册资本为8000万元，统一社会信用代码为91360826071842467Q，企业注册地址位于江西省吉安市泰和县工业园，所属行业为研究和试验发展，经营范围包含：许可项目：饲料生产，技术进出口，货物进出口，粮食收购，兽药经营（依法须经批准的项目，经相关部门批准后方可开展经营活动）一般项目：非居住房地产租赁，畜牧渔业饲料销售，饲料原料销售，塑料制品制造，塑料制品销售（除许可业务外，可自主依法经营法律法规非禁止或限制的项目）。企业当前经营状态为存续。</t>
  </si>
  <si>
    <t>许可项目：饲料生产，技术进出口，货物进出口，粮食收购，兽药经营（依法须经批准的项目，经相关部门批准后方可开展经营活动）一般项目：非居住房地产租赁，畜牧渔业饲料销售，饲料原料销售，塑料制品制造，塑料制品销售（除许可业务外，可自主依法经营法律法规非禁止或限制的项目）</t>
  </si>
  <si>
    <t>泰和县市场监督管理局</t>
  </si>
  <si>
    <t>重庆莆达木业有限公司</t>
  </si>
  <si>
    <t>91500107MA60F0Q72H</t>
  </si>
  <si>
    <t>田金发</t>
  </si>
  <si>
    <t>2019-07-03</t>
  </si>
  <si>
    <t>重庆市九龙坡区玉谷路29号</t>
  </si>
  <si>
    <t>九龙坡区</t>
  </si>
  <si>
    <t>13910070678</t>
  </si>
  <si>
    <t>18983183173</t>
  </si>
  <si>
    <t>244687895@qq.com</t>
  </si>
  <si>
    <t>MA60F0Q7-2</t>
  </si>
  <si>
    <t>2019-07-03 至 无固定期限</t>
  </si>
  <si>
    <t>Chongqing Puda Wood Industry Co., Ltd.</t>
  </si>
  <si>
    <t>重庆莆达木业有限公司成立于2019-07-03，法定代表人为田金发，注册资本为50万元，统一社会信用代码为91500107MA60F0Q72H，企业注册地址位于重庆市九龙坡区玉谷路29号，所属行业为木材加工和木、竹、藤、棕、草制品业，经营范围包含：一般项目：加工、销售：木材、板材；销售：建筑材料（不含化危品）、钢材、五金、装饰材料（不含化危品）、陶瓷制品、家具。**【依法须经批准的项目，经相关部门批准后方可开展经营活动】（除依法须经批准的项目外，凭营业执照依法自主开展经营活动）。企业当前经营状态为存续。</t>
  </si>
  <si>
    <t>一般项目：加工、销售：木材、板材；销售：建筑材料（不含化危品）、钢材、五金、装饰材料（不含化危品）、陶瓷制品、家具。**【依法须经批准的项目，经相关部门批准后方可开展经营活动】（除依法须经批准的项目外，凭营业执照依法自主开展经营活动）</t>
  </si>
  <si>
    <t>重庆市九龙坡区市场监督管理局</t>
  </si>
  <si>
    <t>船油云商港口服务南京有限公司</t>
  </si>
  <si>
    <t>91320113598007820Y</t>
  </si>
  <si>
    <t>南京苏通港口服务有限公司</t>
  </si>
  <si>
    <t>徐小飞</t>
  </si>
  <si>
    <t>2012-06-13</t>
  </si>
  <si>
    <t>南京市栖霞区燕子矶街道和燕路408号晓庄国际广场1幢520室-Z190</t>
  </si>
  <si>
    <t>栖霞区</t>
  </si>
  <si>
    <t>025-85807068</t>
  </si>
  <si>
    <t>13805158988;025-85807168</t>
  </si>
  <si>
    <t>hr@chuanyouquan.com</t>
  </si>
  <si>
    <t>1539418655@qq.com;916135062@qq.com</t>
  </si>
  <si>
    <t>320113000142091</t>
  </si>
  <si>
    <t>59800782-0</t>
  </si>
  <si>
    <t>36</t>
  </si>
  <si>
    <t>2012-06-13 至 2032-06-13</t>
  </si>
  <si>
    <t>水上运输业</t>
  </si>
  <si>
    <t>水上运输辅助活动</t>
  </si>
  <si>
    <t>货运港口</t>
  </si>
  <si>
    <t>Ship Oil Cloud Merchant Port Services Nanjing Co., Ltd.</t>
  </si>
  <si>
    <t>船油云商港口服务南京有限公司成立于2012-06-13，法定代表人为徐小飞，注册资本为500万元，统一社会信用代码为91320113598007820Y，企业注册地址位于南京市栖霞区燕子矶街道和燕路408号晓庄国际广场1幢520室-Z190，所属行业为水上运输业，经营范围包含：许可项目：成品油零售；成品油批发；原油批发；危险化学品经营；烟草制品零售；食品销售；水路普通货物运输；省际普通货船运输、省内船舶运输；自来水生产与供应；船舶修理（依法须经批准的项目，经相关部门批准后方可开展经营活动，具体经营项目以审批结果为准）
一般项目：船舶港口服务；润滑油销售；石油制品销售（不含危险化学品）；船舶租赁；船舶销售；普通货物仓储服务（不含危险化学品等需许可审批的项目）；装卸搬运；港口货物装卸搬运活动；包装服务；国内船舶代理；国际船舶代理；国内集装箱货物运输代理；国内货物运输代理；国际货物运输代理；外卖递送服务；未经加工的坚果、干果销售；日用百货销售；家用电器销售；家用电器零配件销售；五金产品零售；劳动保护用品销售；化工产品销售（不含许可类化工产品）；金属材料销售；建筑材料销售；水上运输设备零配件销售；仪器仪表销售；消防器材销售；信息技术咨询服务（除依法须经批准的项目外，凭营业执照依法自主开展经营活动）。企业当前经营状态为在业。</t>
  </si>
  <si>
    <t>许可项目：成品油零售；成品油批发；原油批发；危险化学品经营；烟草制品零售；食品销售；水路普通货物运输；省际普通货船运输、省内船舶运输；自来水生产与供应；船舶修理（依法须经批准的项目，经相关部门批准后方可开展经营活动，具体经营项目以审批结果为准）
一般项目：船舶港口服务；润滑油销售；石油制品销售（不含危险化学品）；船舶租赁；船舶销售；普通货物仓储服务（不含危险化学品等需许可审批的项目）；装卸搬运；港口货物装卸搬运活动；包装服务；国内船舶代理；国际船舶代理；国内集装箱货物运输代理；国内货物运输代理；国际货物运输代理；外卖递送服务；未经加工的坚果、干果销售；日用百货销售；家用电器销售；家用电器零配件销售；五金产品零售；劳动保护用品销售；化工产品销售（不含许可类化工产品）；金属材料销售；建筑材料销售；水上运输设备零配件销售；仪器仪表销售；消防器材销售；信息技术咨询服务（除依法须经批准的项目外，凭营业执照依法自主开展经营活动）</t>
  </si>
  <si>
    <t>南京市栖霞区政务服务管理办公室</t>
  </si>
  <si>
    <t>海南誉通进出口有限公司</t>
  </si>
  <si>
    <t>91460000MAD5W8933R</t>
  </si>
  <si>
    <t>林鑫</t>
  </si>
  <si>
    <t>2023-12-04</t>
  </si>
  <si>
    <t>海南省三亚市吉阳区师部农场路333号2栋1209房</t>
  </si>
  <si>
    <t>三亚市</t>
  </si>
  <si>
    <t>吉阳区</t>
  </si>
  <si>
    <t>18866025856</t>
  </si>
  <si>
    <t>15338967772</t>
  </si>
  <si>
    <t>15338967772@163.com</t>
  </si>
  <si>
    <t>460000010015624</t>
  </si>
  <si>
    <t>MAD5W893-3</t>
  </si>
  <si>
    <t>2023-12-04 至 无固定期限</t>
  </si>
  <si>
    <t>Hainan Yutong Import and Export Co., Ltd.</t>
  </si>
  <si>
    <t>海南誉通进出口有限公司成立于2023-12-04，法定代表人为林鑫，注册资本为500万元，统一社会信用代码为91460000MAD5W8933R，企业注册地址位于海南省三亚市吉阳区师部农场路333号2栋1209房，所属行业为批发业，经营范围包含：许可项目：货物进出口；进出口代理；技术进出口（依法须经批准的项目，经相关部门批准后方可开展经营活动）一般项目：棉、麻销售；针纺织品及原料销售；针纺织品销售；面料纺织加工；饲料原料销售；农副产品销售；互联网销售（除销售需要许可的商品）；谷物销售；金属矿石销售；木材销售；化工产品销售（不含许可类化工产品）；石油制品销售（不含危险化学品）；豆及薯类销售；成品油批发（不含危险化学品）；棉花加工；纺纱加工；销售代理；贸易经纪；国内贸易代理；林业产品销售；农产品的生产、销售、加工、运输、贮藏及其他相关服务（除许可业务外，可自主依法经营法律法规非禁止或限制的项目）。企业当前经营状态为存续。</t>
  </si>
  <si>
    <t>许可项目：货物进出口；进出口代理；技术进出口（依法须经批准的项目，经相关部门批准后方可开展经营活动）一般项目：棉、麻销售；针纺织品及原料销售；针纺织品销售；面料纺织加工；饲料原料销售；农副产品销售；互联网销售（除销售需要许可的商品）；谷物销售；金属矿石销售；木材销售；化工产品销售（不含许可类化工产品）；石油制品销售（不含危险化学品）；豆及薯类销售；成品油批发（不含危险化学品）；棉花加工；纺纱加工；销售代理；贸易经纪；国内贸易代理；林业产品销售；农产品的生产、销售、加工、运输、贮藏及其他相关服务（除许可业务外，可自主依法经营法律法规非禁止或限制的项目）</t>
  </si>
  <si>
    <t>张家港大发木业有限公司</t>
  </si>
  <si>
    <t>91320582MA1WHDP21D</t>
  </si>
  <si>
    <t>仲小发</t>
  </si>
  <si>
    <t>张家港市金港街道中兴长江花苑5幢5-6号3层</t>
  </si>
  <si>
    <t>18662237909</t>
  </si>
  <si>
    <t>13584491101</t>
  </si>
  <si>
    <t>88618622@qq.com</t>
  </si>
  <si>
    <t>MA1WHDP2-1</t>
  </si>
  <si>
    <t>Zhangjiagang Dafa Wood Industry Co., Ltd.</t>
  </si>
  <si>
    <t>张家港大发木业有限公司成立于2018-05-10，法定代表人为仲小发，注册资本为20万元，统一社会信用代码为91320582MA1WHDP21D，企业注册地址位于张家港市金港街道中兴长江花苑5幢5-6号3层，所属行业为批发业，经营范围包含：木材、板材、家具、工艺品、建材的购销。（依法须经批准的项目，经相关部门批准后方可开展经营活动）
一般项目：园林绿化工程施工（除依法须经批准的项目外，凭营业执照依法自主开展经营活动）。企业当前经营状态为在业。</t>
  </si>
  <si>
    <t>木材、板材、家具、工艺品、建材的购销。（依法须经批准的项目，经相关部门批准后方可开展经营活动）
一般项目：园林绿化工程施工（除依法须经批准的项目外，凭营业执照依法自主开展经营活动）</t>
  </si>
  <si>
    <t>临沂市兰山区淞川板材厂</t>
  </si>
  <si>
    <t>91371302MA3CYXTM3E</t>
  </si>
  <si>
    <t>孙子雁</t>
  </si>
  <si>
    <t>兰山区义堂镇南楼村</t>
  </si>
  <si>
    <t>13589656777</t>
  </si>
  <si>
    <t>13608999479</t>
  </si>
  <si>
    <t>1214464675@qq.com</t>
  </si>
  <si>
    <t>13589656777@163.com;371302300038566@163.com</t>
  </si>
  <si>
    <t>371302300038566</t>
  </si>
  <si>
    <t>MA3CYXTM-3</t>
  </si>
  <si>
    <t>Songchuan Board Factory In Lanshan District, Linyi City</t>
  </si>
  <si>
    <t>加工销售：贴面板、密度板、木线条、胶合板。（依法须经批准的项目，经相关部门批准后方可开展经营活动）</t>
  </si>
  <si>
    <t>石狮伯柔纺织有限公司</t>
  </si>
  <si>
    <t>91350581MA31E1CD5D</t>
  </si>
  <si>
    <t>注销（2024-09-25）</t>
  </si>
  <si>
    <t>龚诗生</t>
  </si>
  <si>
    <t>2017-12-27</t>
  </si>
  <si>
    <t>福建省泉州市石狮市锦尚镇共富路2229号5楼</t>
  </si>
  <si>
    <t>18750514001</t>
  </si>
  <si>
    <t>m18750514001@163.com</t>
  </si>
  <si>
    <t>350581100274760</t>
  </si>
  <si>
    <t>MA31E1CD-5</t>
  </si>
  <si>
    <t>2017-12-27 至 无固定期限</t>
  </si>
  <si>
    <t>Shishi Borou Textile Co., Ltd.</t>
  </si>
  <si>
    <t>石狮伯柔纺织有限公司成立于2017-12-27，法定代表人为龚诗生，注册资本为2200万元，统一社会信用代码为91350581MA31E1CD5D，企业注册地址位于福建省泉州市石狮市锦尚镇共富路2229号5楼，所属行业为纺织业，经营范围包含：针纺织品织造；电脑绣花加工；制造：服装、饰品、拉链（不含电镀）； 销售：纺织原料；自营和代理各类商品和技术的进出口业务，但国家限定公司经营或禁止进出口的商品及技术除外。（依法须经批准的项目，经相关部门批准后方可开展经营活动）。企业当前经营状态为注销。</t>
  </si>
  <si>
    <t>针纺织品织造；电脑绣花加工；制造：服装、饰品、拉链（不含电镀）； 销售：纺织原料；自营和代理各类商品和技术的进出口业务，但国家限定公司经营或禁止进出口的商品及技术除外。（依法须经批准的项目，经相关部门批准后方可开展经营活动）</t>
  </si>
  <si>
    <t>银河德睿资本管理有限公司</t>
  </si>
  <si>
    <t>913101093013034277</t>
  </si>
  <si>
    <t>魏峰</t>
  </si>
  <si>
    <t>255000万元</t>
  </si>
  <si>
    <t>210000万元</t>
  </si>
  <si>
    <t>2014-04-29</t>
  </si>
  <si>
    <t>上海市虹口区东长治路359号1601室</t>
  </si>
  <si>
    <t>021-35870600</t>
  </si>
  <si>
    <t>021-35870621;021-60256705;021-60256700;18918706110</t>
  </si>
  <si>
    <t>panlei_qh@chinastock.com</t>
  </si>
  <si>
    <t>jiaru_dr@chinastock.com.cn;chenyu_dr@chinastock.com.cn;huangjiani_qh@chinastock.com.cn;panlei_qh@chinastock.com.cn</t>
  </si>
  <si>
    <t>310109000658225</t>
  </si>
  <si>
    <t>30130342-7</t>
  </si>
  <si>
    <t>149</t>
  </si>
  <si>
    <t>2014-04-29 至 2044-04-28</t>
  </si>
  <si>
    <t>Galaxy Derivatives Capital Management Co., Ltd.</t>
  </si>
  <si>
    <t>银河德睿资本管理有限公司成立于2014-04-29，法定代表人为魏峰，注册资本为255000万元，统一社会信用代码为913101093013034277，企业注册地址位于上海市虹口区东长治路359号1601室，所属行业为商务服务业，经营范围包含：一般项目：投资管理；企业管理咨询；以自有资金从事投资活动；技术服务、技术开发、技术咨询、技术交流、技术转让、技术推广；供应链管理服务；国际货物运输代理；国内货物运输代理；普通货物仓储服务（不含危险化学品等需许可审批的项目）；货物进出口；技术进出口；金银制品销售；金属材料销售；金属矿石销售；非金属矿及制品销售；石油制品销售（不含危险化学品）；橡胶制品销售；高品质合成橡胶销售；润滑油销售；棉、麻销售；针纺织品及原料销售；功能玻璃和新型光学材料销售；食用农产品批发；食用农产品零售；饲料原料销售；畜牧渔业饲料销售；木材销售；日用木制品销售；纸制品销售；建筑材料销售；五金产品零售；五金产品批发；日用百货销售；机械设备销售；汽车零配件批发；软件销售；化工产品销售（不含许可类化工产品）；肥料销售；成品油批发（不含危险化学品）；食品销售（仅销售预包装食品）；再生资源销售；专用化学产品销售（不含危险化学品）。（除依法须经批准的项目外，凭营业执照依法自主开展经营活动）许可项目：危险化学品经营。（依法须经批准的项目，经相关部门批准后方可开展经营活动，具体经营项目以相关部门批准文件或许可证件为准）。企业当前经营状态为存续。</t>
  </si>
  <si>
    <t>一般项目：投资管理；企业管理咨询；以自有资金从事投资活动；技术服务、技术开发、技术咨询、技术交流、技术转让、技术推广；供应链管理服务；国际货物运输代理；国内货物运输代理；普通货物仓储服务（不含危险化学品等需许可审批的项目）；货物进出口；技术进出口；金银制品销售；金属材料销售；金属矿石销售；非金属矿及制品销售；石油制品销售（不含危险化学品）；橡胶制品销售；高品质合成橡胶销售；润滑油销售；棉、麻销售；针纺织品及原料销售；功能玻璃和新型光学材料销售；食用农产品批发；食用农产品零售；饲料原料销售；畜牧渔业饲料销售；木材销售；日用木制品销售；纸制品销售；建筑材料销售；五金产品零售；五金产品批发；日用百货销售；机械设备销售；汽车零配件批发；软件销售；化工产品销售（不含许可类化工产品）；肥料销售；成品油批发（不含危险化学品）；食品销售（仅销售预包装食品）；再生资源销售；专用化学产品销售（不含危险化学品）。（除依法须经批准的项目外，凭营业执照依法自主开展经营活动）许可项目：危险化学品经营。（依法须经批准的项目，经相关部门批准后方可开展经营活动，具体经营项目以相关部门批准文件或许可证件为准）</t>
  </si>
  <si>
    <t>中国山东国际经济技术合作有限公司</t>
  </si>
  <si>
    <t>91370000163050483X</t>
  </si>
  <si>
    <t>中国山东国际经济技术合作公司</t>
  </si>
  <si>
    <t>庄勇</t>
  </si>
  <si>
    <t>650070万元</t>
  </si>
  <si>
    <t>150070万元</t>
  </si>
  <si>
    <t>1984-10-13</t>
  </si>
  <si>
    <t>济南市龙奥北路8号山东高速大厦16-18层</t>
  </si>
  <si>
    <t>济南市</t>
  </si>
  <si>
    <t>历下区</t>
  </si>
  <si>
    <t>0531-81185007</t>
  </si>
  <si>
    <t>15688836809;0531-81185011</t>
  </si>
  <si>
    <t>oa@china-csi.com.cn</t>
  </si>
  <si>
    <t>jnzihang@sina.com;sjhdy@163.com</t>
  </si>
  <si>
    <t>370000018002504</t>
  </si>
  <si>
    <t>16305048-3</t>
  </si>
  <si>
    <t>294</t>
  </si>
  <si>
    <t>1984-10-13 至 无固定期限</t>
  </si>
  <si>
    <t>住宅房屋建筑</t>
  </si>
  <si>
    <t>China Shandong International Economic &amp; Technical Cooperation Corp</t>
  </si>
  <si>
    <t>https://www.chinacsi.cn</t>
  </si>
  <si>
    <t>中国山东国际经济技术合作有限公司（中国山东国际经济技术合作公司CSI）是于1984年经国务院批准成立的综合涉外企业，2008年成为山东省较大的国有企业山东高速集团的全资子公司，业务涵盖国际承包工程、对外经济技术援助、境外投资、人力资源合作与交流、留学服务、对外劳务等，是山东高速集团的国际化战略平台，也是山东省重要的对外交流合作窗口。中国山东国际经济技术合作公司作为山东高速实施国际化战略的平台和窗口，凭借一批优秀的国际商务、工程、投资管理人才，以及多年积累的对外经济合作经验，积极开拓国际市场，广泛开展国际合作，通过转方式、调结构，深化转型升级，在经济发展的浪潮中迅速崛起，成为山东高速开拓国际业务的代表和旗帜。</t>
  </si>
  <si>
    <t>许可项目：建设工程施工；对外劳务合作；第三类医疗器械租赁；公路管理与养护。（依法须经批准的项目，经相关部门批准后方可开展经营活动，具体经营项目以相关部门批准文件或许可证件为准）一般项目：货物进出口；以自有资金从事投资活动；对外承包工程；技术服务、技术开发、技术咨询、技术交流、技术转让、技术推广；园区管理服务；国际货物运输代理；建筑材料销售；机械设备销售；金属矿石销售；轨道交通工程机械及部件销售；化工产品销售（不含许可类化工产品）；石油制品销售（不含危险化学品）；煤炭及制品销售；日用品销售；汽车新车销售；汽车零配件批发；市政设施管理；停车场服务；物联网技术服务；会议及展览服务；非食用农产品初加工；信息咨询服务（不含许可类信息咨询服务）；业务培训（不含教育培训、职业技能培训等需取得许可的培训）；物业管理；非居住房地产租赁；专用设备修理；机械设备租赁；建筑工程机械与设备租赁；特种设备出租；机械电气设备销售；供应用仪器仪表销售；第一类医疗器械销售；第二类医疗器械销售；光伏设备及元器件制造；新兴能源技术研发；机械零件、零部件加工；金属结构制造；铁路机车车辆配件销售；铁路机车车辆销售；铁路运输设备销售。（除依法须经批准的项目外，凭营业执照依法自主开展经营活动）</t>
  </si>
  <si>
    <t>山东省市场监督管理局</t>
  </si>
  <si>
    <t>陕西慧安仿古建筑工程有限公司</t>
  </si>
  <si>
    <t>91610113397117214M</t>
  </si>
  <si>
    <t>曹栋</t>
  </si>
  <si>
    <t>2014-05-13</t>
  </si>
  <si>
    <t>陕西省西安市雁塔区昆明池路7号恒大城二期12幢1单元10404室</t>
  </si>
  <si>
    <t>雁塔区</t>
  </si>
  <si>
    <t>13720765864</t>
  </si>
  <si>
    <t>18710574900;18629141888</t>
  </si>
  <si>
    <t>279042415@qq.com</t>
  </si>
  <si>
    <t>610100100645980</t>
  </si>
  <si>
    <t>39711721-4</t>
  </si>
  <si>
    <t>2014-05-13 至 无固定期限</t>
  </si>
  <si>
    <t>Shaanxi Hui'an Antique Architecture Engineering Co., Ltd.</t>
  </si>
  <si>
    <t>陕西慧安仿古建筑工程有限公司成立于2014-05-13，法定代表人为曹栋，注册资本为5000万元，统一社会信用代码为91610113397117214M，企业注册地址位于陕西省西安市雁塔区昆明池路7号恒大城二期12幢1单元10404室，所属行业为房屋建筑业，经营范围包含：一般经营项目：园林仿古建筑工程、房屋修缮工程、建筑工程、装饰装修工程、园林绿化工程、亮化工程、景观工程的设计、施工及技术服务；雕塑的雕刻及销售。（上述经营范围涉及许可经营项目的，凭许可证明文件或批准证书在有效期内经营，未经许可不得经营）。企业当前经营状态为在业。</t>
  </si>
  <si>
    <t>一般经营项目：园林仿古建筑工程、房屋修缮工程、建筑工程、装饰装修工程、园林绿化工程、亮化工程、景观工程的设计、施工及技术服务；雕塑的雕刻及销售。（上述经营范围涉及许可经营项目的，凭许可证明文件或批准证书在有效期内经营，未经许可不得经营）</t>
  </si>
  <si>
    <t>西安市雁塔区市场监督管理局</t>
  </si>
  <si>
    <t>韶关市德彰红木家具有限公司</t>
  </si>
  <si>
    <t>91440204MA4X3B2H2K</t>
  </si>
  <si>
    <t>朱文胜</t>
  </si>
  <si>
    <t>2017-09-07</t>
  </si>
  <si>
    <t>韶关市浈江区南郊六公里东侧韶关亿利达机械有限公司第一厂房</t>
  </si>
  <si>
    <t>浈江区</t>
  </si>
  <si>
    <t>13602248087</t>
  </si>
  <si>
    <t>13149057389;13826339308</t>
  </si>
  <si>
    <t>191988506@qq.com</t>
  </si>
  <si>
    <t>440204000021543</t>
  </si>
  <si>
    <t>MA4X3B2H-2</t>
  </si>
  <si>
    <t>2017-09-07 至 无固定期限</t>
  </si>
  <si>
    <t>五金、家具及室内装饰材料专门零售</t>
  </si>
  <si>
    <t>家具零售</t>
  </si>
  <si>
    <t>Shaoguan Dezhang Redwood Furniture Co., Ltd.</t>
  </si>
  <si>
    <t>韶关市德彰红木家具有限公司成立于2017-09-07，法定代表人为朱文胜，注册资本为300万元，统一社会信用代码为91440204MA4X3B2H2K，企业注册地址位于韶关市浈江区南郊六公里东侧韶关亿利达机械有限公司第一厂房，所属行业为零售业，经营范围包含：一般项目：家具销售；音响设备销售；轻质建筑材料销售；家具制造；音响设备制造；日用家电零售。（除依法须经批准的项目外，凭营业执照依法自主开展经营活动）许可项目：建设工程施工；住宅室内装饰装修。（依法须经批准的项目，经相关部门批准后方可开展经营活动，具体经营项目以相关部门批准文件或许可证件为准）。企业当前经营状态为注销。</t>
  </si>
  <si>
    <t>一般项目：家具销售；音响设备销售；轻质建筑材料销售；家具制造；音响设备制造；日用家电零售。（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</si>
  <si>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韶关市浈江区市场监督管理局</t>
  </si>
  <si>
    <t>突泉县益农生物科技有限责任公司</t>
  </si>
  <si>
    <t>91152224MA0QWBPK83</t>
  </si>
  <si>
    <t>张宏伟</t>
  </si>
  <si>
    <t>2020-11-27</t>
  </si>
  <si>
    <t>内蒙古自治区兴安盟突泉县突泉镇新华路老中医院门市第七间</t>
  </si>
  <si>
    <t>突泉县</t>
  </si>
  <si>
    <t>15804825033</t>
  </si>
  <si>
    <t>15248555541</t>
  </si>
  <si>
    <t>2918234944@qq.com</t>
  </si>
  <si>
    <t>1003113043@qq.com</t>
  </si>
  <si>
    <t>152224022829300</t>
  </si>
  <si>
    <t>MA0QWBPK-8</t>
  </si>
  <si>
    <t>2020-11-27 至 2099-12-31</t>
  </si>
  <si>
    <t>Tuquan Yinong Biotechnology Co., Ltd.</t>
  </si>
  <si>
    <t>突泉县益农生物科技有限责任公司成立于2020-11-27，法定代表人为张宏伟，注册资本为50万元，统一社会信用代码为91152224MA0QWBPK83，企业注册地址位于内蒙古自治区兴安盟突泉县突泉镇新华路老中医院门市第七间，所属行业为农业，经营范围包含：一般项目：粮食收购；农作物秸秆处理及加工利用服务；谷物种植；谷物销售；饲料原料销售；畜牧渔业饲料销售；初级农产品收购；计量技术服务；技术服务、技术开发、技术咨询、技术交流、技术转让、技术推广；化肥销售；农作物种子经营（仅限不再分装的包装种子）；农作物病虫害防治服务；农业机械服务；粮油仓储服务；非居住房地产租赁；建筑防水卷材产品销售；涂料销售（不含危险化学品）；建筑装饰材料销售。（除依法须经批准的项目外，凭营业执照依法自主开展经营活动）。企业当前经营状态为存续。</t>
  </si>
  <si>
    <t>一般项目：粮食收购；农作物秸秆处理及加工利用服务；谷物种植；谷物销售；饲料原料销售；畜牧渔业饲料销售；初级农产品收购；计量技术服务；技术服务、技术开发、技术咨询、技术交流、技术转让、技术推广；化肥销售；农作物种子经营（仅限不再分装的包装种子）；农作物病虫害防治服务；农业机械服务；粮油仓储服务；非居住房地产租赁；建筑防水卷材产品销售；涂料销售（不含危险化学品）；建筑装饰材料销售。（除依法须经批准的项目外，凭营业执照依法自主开展经营活动）</t>
  </si>
  <si>
    <t>突泉县市场监督管理局</t>
  </si>
  <si>
    <t>阜新市农牧产业（集团）有限公司</t>
  </si>
  <si>
    <t>91210900MA0Y1U4W2Q</t>
  </si>
  <si>
    <t>马志国</t>
  </si>
  <si>
    <t>1982.2万元</t>
  </si>
  <si>
    <t>2018-09-06</t>
  </si>
  <si>
    <t>辽宁省阜新市海州区河北街道矿工大街西山路67号</t>
  </si>
  <si>
    <t>阜新市</t>
  </si>
  <si>
    <t>海州区</t>
  </si>
  <si>
    <t>0418-3333121</t>
  </si>
  <si>
    <t>0418-3715826</t>
  </si>
  <si>
    <t>390641374@qq.com</t>
  </si>
  <si>
    <t>有限责任公司（国有独资）</t>
  </si>
  <si>
    <t>MA0Y1U4W-2</t>
  </si>
  <si>
    <t>2018-09-06 至 无固定期限</t>
  </si>
  <si>
    <t>Fuxin Agriculture and Husbandry (Group) Co., Ltd.</t>
  </si>
  <si>
    <t>阜新市农牧产业（集团）有限公司成立于2018-09-06，法定代表人为马志国，注册资本为1982.2万元，统一社会信用代码为91210900MA0Y1U4W2Q，企业注册地址位于辽宁省阜新市海州区河北街道矿工大街西山路67号，所属行业为农业，经营范围包含：许可项目：食品生产；食品销售；粮食加工食品生产；饮料生产；酒类经营；小餐饮、小食杂、食品小作坊经营；农作物种子经营；道路货物运输（不含危险货物）；农药批发；农药零售。（依法须经批准的项目，经相关部门批准后方可开展经营活动，具体经营项目以相关部门批准文件或许可证件为准）一般项目：粮食收购；初级农产品收购；谷物销售；农副产品销售；食品销售（仅销售预包装食品）；畜牧渔业饲料销售；食用农产品批发；食用农产品零售；豆及薯类销售；谷物种植；豆类种植；油料种植；薯类种植；水果种植；坚果种植；蔬菜种植；食用菌种植；装卸搬运；农业机械服务；灌溉服务；农业专业及辅助性活动；食用农产品初加工；粮油仓储服务；普通货物仓储服务（不含危险化学品等需许可审批的项目）；仓储设备租赁服务；非居住房地产租赁；互联网销售（除销售需要许可的商品）；货物进出口；技术进出口；企业管理；机械设备租赁；塑料制品销售；技术服务、技术开发、技术咨询、技术交流、技术转让、技术推广；信息系统集成服务；信息技术咨询服务；乡镇经济管理服务；会议及展览服务；农作物种子经营（仅限不再分装的包装种子）；肥料销售。（除依法须经批准的项目外，凭营业执照依法自主开展经营活动）。企业当前经营状态为存续。</t>
  </si>
  <si>
    <t>许可项目：食品生产；食品销售；粮食加工食品生产；饮料生产；酒类经营；小餐饮、小食杂、食品小作坊经营；农作物种子经营；道路货物运输（不含危险货物）；农药批发；农药零售。（依法须经批准的项目，经相关部门批准后方可开展经营活动，具体经营项目以相关部门批准文件或许可证件为准）一般项目：粮食收购；初级农产品收购；谷物销售；农副产品销售；食品销售（仅销售预包装食品）；畜牧渔业饲料销售；食用农产品批发；食用农产品零售；豆及薯类销售；谷物种植；豆类种植；油料种植；薯类种植；水果种植；坚果种植；蔬菜种植；食用菌种植；装卸搬运；农业机械服务；灌溉服务；农业专业及辅助性活动；食用农产品初加工；粮油仓储服务；普通货物仓储服务（不含危险化学品等需许可审批的项目）；仓储设备租赁服务；非居住房地产租赁；互联网销售（除销售需要许可的商品）；货物进出口；技术进出口；企业管理；机械设备租赁；塑料制品销售；技术服务、技术开发、技术咨询、技术交流、技术转让、技术推广；信息系统集成服务；信息技术咨询服务；乡镇经济管理服务；会议及展览服务；农作物种子经营（仅限不再分装的包装种子）；肥料销售。（除依法须经批准的项目外，凭营业执照依法自主开展经营活动）</t>
  </si>
  <si>
    <t>阜新市市场监督管理局</t>
  </si>
  <si>
    <t>浙江宝誉石油化工有限公司</t>
  </si>
  <si>
    <t>91330900MA2DN8077L</t>
  </si>
  <si>
    <t>注销（2025-06-10）</t>
  </si>
  <si>
    <t>孟庆森</t>
  </si>
  <si>
    <t>2021-06-23</t>
  </si>
  <si>
    <t>中国（浙江）自由贸易试验区舟山市定海区舟山港综合保税区企业服务中心301-17379室</t>
  </si>
  <si>
    <t>13284143813</t>
  </si>
  <si>
    <t>13284143813@163.com</t>
  </si>
  <si>
    <t>13284143813@139.com</t>
  </si>
  <si>
    <t>330910000174880</t>
  </si>
  <si>
    <t>MA2DN807-7</t>
  </si>
  <si>
    <t>2021-06-23 至 无固定期限</t>
  </si>
  <si>
    <t>Zhejiang Baoyu Petrochemical Co., Ltd.</t>
  </si>
  <si>
    <t>浙江宝誉石油化工有限公司成立于2021-06-23，法定代表人为孟庆森，注册资本为5000万元，统一社会信用代码为91330900MA2DN8077L，企业注册地址位于中国（浙江）自由贸易试验区舟山市定海区舟山港综合保税区企业服务中心301-17379室，所属行业为批发业，经营范围包含：许可项目：危险化学品经营；原油批发；成品油批发（限危险化学品）；技术进出口；货物进出口；进出口代理（依法须经批准的项目，经相关部门批准后方可开展经营活动，具体经营项目以审批结果为准）。一般项目：石油制品销售（不含危险化学品）；成品油批发（不含危险化学品）；化工产品销售（不含许可类化工产品）；涂料销售（不含危险化学品）；专用化学产品销售（不含危险化学品）；橡胶制品销售；金属材料销售；金属制品销售；普通货物仓储服务（不含危险化学品等需许可审批的项目）；技术服务、技术开发、技术咨询、技术交流、技术转让、技术推广；国内船舶代理；国际船舶代理（除依法须经批准的项目外，凭营业执照依法自主开展经营活动）。企业当前经营状态为注销。</t>
  </si>
  <si>
    <t>许可项目：危险化学品经营；原油批发；成品油批发（限危险化学品）；技术进出口；货物进出口；进出口代理（依法须经批准的项目，经相关部门批准后方可开展经营活动，具体经营项目以审批结果为准）。一般项目：石油制品销售（不含危险化学品）；成品油批发（不含危险化学品）；化工产品销售（不含许可类化工产品）；涂料销售（不含危险化学品）；专用化学产品销售（不含危险化学品）；橡胶制品销售；金属材料销售；金属制品销售；普通货物仓储服务（不含危险化学品等需许可审批的项目）；技术服务、技术开发、技术咨询、技术交流、技术转让、技术推广；国内船舶代理；国际船舶代理（除依法须经批准的项目外，凭营业执照依法自主开展经营活动）。</t>
  </si>
  <si>
    <t>陕西拓辰星枢化工有限公司</t>
  </si>
  <si>
    <t>91210244MA10Q8LT3R</t>
  </si>
  <si>
    <t>中化海洋石油（大连）有限公司</t>
  </si>
  <si>
    <t>注销（2025-12-12）</t>
  </si>
  <si>
    <t>冯叶</t>
  </si>
  <si>
    <t>2020-11-23</t>
  </si>
  <si>
    <t>陕西省铜川市宜君县宜阳街道办事处南山公园东段花溪谷加油站2层201号房</t>
  </si>
  <si>
    <t>铜川市</t>
  </si>
  <si>
    <t>宜君县</t>
  </si>
  <si>
    <t>18682933019</t>
  </si>
  <si>
    <t>0411-82518261;0411-82518630</t>
  </si>
  <si>
    <t>1490541314@qq.com</t>
  </si>
  <si>
    <t>987722058@qq.com;373138770@qq.com</t>
  </si>
  <si>
    <t>210244000076879</t>
  </si>
  <si>
    <t>MA10Q8LT-3</t>
  </si>
  <si>
    <t>2020-11-23 至 无固定期限</t>
  </si>
  <si>
    <t>Shaanxi Tuochen Xingshu Chemical Co., Ltd.</t>
  </si>
  <si>
    <t>陕西拓辰星枢化工有限公司成立于2020-11-23，法定代表人为冯叶，注册资本为2000万元，统一社会信用代码为91210244MA10Q8LT3R，企业注册地址位于陕西省铜川市宜君县宜阳街道办事处南山公园东段花溪谷加油站2层201号房，所属行业为批发业，经营范围包含：一般项目：货物进出口；技术进出口；石油制品制造（不含危险化学品）；石油制品销售（不含危险化学品）；润滑油加工、制造（不含危险化学品）；化工产品销售（不含许可类化工产品）；技术服务、技术开发、技术咨询、技术交流、技术转让、技术推广；涂料销售（不含危险化学品）；润滑油销售；金属材料销售；农副产品销售；仪器仪表销售；电线、电缆经营；阀门和旋塞销售；办公用品销售；汽车零配件批发；计算机软硬件及辅助设备批发；建筑材料销售；五金产品批发；肥料销售；国内贸易代理；新兴能源技术研发；信息咨询服务（不含许可类信息咨询服务）；软件开发；广告设计、代理；无船承运业务；供应链管理服务（除依法须经批准的项目外，凭营业执照依法自主开展经营活动）。企业当前经营状态为注销。</t>
  </si>
  <si>
    <t>一般项目：货物进出口；技术进出口；石油制品制造（不含危险化学品）；石油制品销售（不含危险化学品）；润滑油加工、制造（不含危险化学品）；化工产品销售（不含许可类化工产品）；技术服务、技术开发、技术咨询、技术交流、技术转让、技术推广；涂料销售（不含危险化学品）；润滑油销售；金属材料销售；农副产品销售；仪器仪表销售；电线、电缆经营；阀门和旋塞销售；办公用品销售；汽车零配件批发；计算机软硬件及辅助设备批发；建筑材料销售；五金产品批发；肥料销售；国内贸易代理；新兴能源技术研发；信息咨询服务（不含许可类信息咨询服务）；软件开发；广告设计、代理；无船承运业务；供应链管理服务（除依法须经批准的项目外，凭营业执照依法自主开展经营活动）。</t>
  </si>
  <si>
    <t>铜川市宜君县市场监督管理局</t>
  </si>
  <si>
    <t>华储油联石化（大连）有限公司</t>
  </si>
  <si>
    <t>91210244MA10LTRT13</t>
  </si>
  <si>
    <t>张丽</t>
  </si>
  <si>
    <t>2841万元</t>
  </si>
  <si>
    <t>2020-09-21</t>
  </si>
  <si>
    <t>辽宁省大连长兴岛经济区锦城路468号103室</t>
  </si>
  <si>
    <t>0411-39411015</t>
  </si>
  <si>
    <t>564613339@qq.com</t>
  </si>
  <si>
    <t>624479788@qq.com</t>
  </si>
  <si>
    <t>MA10LTRT-1</t>
  </si>
  <si>
    <t>2020-09-21 至 无固定期限</t>
  </si>
  <si>
    <t>HuaChuYouLian Petrochemical (Dalian) Co., Ltd.</t>
  </si>
  <si>
    <t>华储油联石化（大连）有限公司成立于2020-09-21，法定代表人为张丽，注册资本为5000万元，统一社会信用代码为91210244MA10LTRT13，企业注册地址位于辽宁省大连长兴岛经济区锦城路468号103室，所属行业为批发业，经营范围包含：许可项目：成品油批发（限危险化学品），危险化学品经营，成品油零售（不含危险化学品），燃气经营，道路货物运输（网络货运）（依法须经批准的项目，经相关部门批准后方可开展经营活动，具体经营项目以审批结果为准）一般项目：成品油批发（不含危险化学品），石油制品销售（不含危险化学品），涂料销售（不含危险化学品），润滑油销售，金属材料销售，木材销售，农副产品销售，煤炭及制品销售，仪器仪表销售，电线、电缆经营，阀门和旋塞销售，办公用品销售，汽车零配件批发，计算机软硬件及辅助设备批发，建筑材料销售，五金产品批发，肥料销售，化工产品销售（不含许可类化工产品），国内贸易代理，信息咨询服务（不含许可类信息咨询服务），软件开发，广告设计、代理，无船承运业务，供应链管理服务，技术服务、技术开发、技术咨询、技术交流、技术转让、技术推广（除依法须经批准的项目外，凭营业执照依法自主开展经营活动）。企业当前经营状态为存续。</t>
  </si>
  <si>
    <t>许可项目：成品油批发（限危险化学品），危险化学品经营，成品油零售（不含危险化学品），燃气经营，道路货物运输（网络货运）（依法须经批准的项目，经相关部门批准后方可开展经营活动，具体经营项目以审批结果为准）一般项目：成品油批发（不含危险化学品），石油制品销售（不含危险化学品），涂料销售（不含危险化学品），润滑油销售，金属材料销售，木材销售，农副产品销售，煤炭及制品销售，仪器仪表销售，电线、电缆经营，阀门和旋塞销售，办公用品销售，汽车零配件批发，计算机软硬件及辅助设备批发，建筑材料销售，五金产品批发，肥料销售，化工产品销售（不含许可类化工产品），国内贸易代理，信息咨询服务（不含许可类信息咨询服务），软件开发，广告设计、代理，无船承运业务，供应链管理服务，技术服务、技术开发、技术咨询、技术交流、技术转让、技术推广（除依法须经批准的项目外，凭营业执照依法自主开展经营活动）</t>
  </si>
  <si>
    <t>德州科信兴宇纺织有限公司</t>
  </si>
  <si>
    <t>9137142167813853X4</t>
  </si>
  <si>
    <t>德州科信兴宇工贸有限公司</t>
  </si>
  <si>
    <t>刘维庆</t>
  </si>
  <si>
    <t>2008-08-05</t>
  </si>
  <si>
    <t>山东省德州市陵城区于集乡于集街中心幼儿园西邻</t>
  </si>
  <si>
    <t>陵城区</t>
  </si>
  <si>
    <t>18865778582</t>
  </si>
  <si>
    <t>18353438156</t>
  </si>
  <si>
    <t>1113553027@qq.com</t>
  </si>
  <si>
    <t>167370775@163.com</t>
  </si>
  <si>
    <t>371421200000501</t>
  </si>
  <si>
    <t>67813853-X</t>
  </si>
  <si>
    <t>2008-08-05 至 无固定期限</t>
  </si>
  <si>
    <t>Dezhou Kexin Xingyu Textile Co., Ltd.</t>
  </si>
  <si>
    <t>德州科信兴宇纺织有限公司成立于2008-08-05，法定代表人为刘维庆，注册资本为500万元，统一社会信用代码为9137142167813853X4，企业注册地址位于山东省德州市陵城区于集乡于集街中心幼儿园西邻，所属行业为批发业，经营范围包含：棉纺织品、针纺织品加工、销售；纺织原料、布匹、五金电料、建筑材料销售；皮棉染色加工、销售；经营进出口业务（依法须经批准的项目，经相关部门批准后方可开展经营活动）。企业当前经营状态为在业。</t>
  </si>
  <si>
    <t>棉纺织品、针纺织品加工、销售；纺织原料、布匹、五金电料、建筑材料销售；皮棉染色加工、销售；经营进出口业务（依法须经批准的项目，经相关部门批准后方可开展经营活动）</t>
  </si>
  <si>
    <t>德州市陵城区市场监督管理局</t>
  </si>
  <si>
    <t>大连陆盈石油化工有限公司</t>
  </si>
  <si>
    <t>91210244MABRERH0XA</t>
  </si>
  <si>
    <t>王殿凤</t>
  </si>
  <si>
    <t>2022-07-01</t>
  </si>
  <si>
    <t>辽宁省大连长兴岛经济区楼亭街295号-302-46</t>
  </si>
  <si>
    <t>0411-82518153</t>
  </si>
  <si>
    <t>228820716@qq.com</t>
  </si>
  <si>
    <t>210244000091280</t>
  </si>
  <si>
    <t>MABRERH0-X</t>
  </si>
  <si>
    <t>2022-07-01 至 无固定期限</t>
  </si>
  <si>
    <t>Dalian Luying Petrochemical Co., Ltd.</t>
  </si>
  <si>
    <t>大连陆盈石油化工有限公司成立于2022-07-01，法定代表人为王殿凤，注册资本为300万元，统一社会信用代码为91210244MABRERH0XA，企业注册地址位于辽宁省大连长兴岛经济区楼亭街295号-302-46，所属行业为批发业，经营范围包含：许可项目：成品油零售（不含危险化学品），保税油经营，道路危险货物运输，水路危险货物运输，道路货物运输（网络货运），成品油批发，危险化学品经营，原油批发（依法须经批准的项目，经相关部门批准后方可开展经营活动，具体经营项目以审批结果为准）一般项目：成品油批发（不含危险化学品），成品油仓储（不含危险化学品），石油制品制造（不含危险化学品），石油制品销售（不含危险化学品），润滑油加工、制造（不含危险化学品），润滑油（高级磁护抗磨材料）的制造、加工（不含危险化学品），化工产品生产（不含许可类化工产品），化工产品销售（不含许可类化工产品），生物化工产品技术研发，橡胶制品销售，第三类非药品类易制毒化学品经营，专用化学产品销售（不含危险化学品），合成材料销售，专用化学产品制造（不含危险化学品），国内贸易代理，货物进出口，技术服务、技术开发、技术咨询、技术交流、技术转让、技术推广，工程和技术研究和试验发展，电线、电缆经营，废旧沥青再生技术研发，选矿（除稀土、放射性矿产、钨），无船承运业务，技术进出口，进出口代理，食品进出口，会议及展览服务，供应链管理服务，木材销售，金属制品销售，金属矿石销售，金属材料销售（除依法须经批准的项目外，凭营业执照依法自主开展经营活动）。企业当前经营状态为存续。</t>
  </si>
  <si>
    <t>许可项目：成品油零售（不含危险化学品），保税油经营，道路危险货物运输，水路危险货物运输，道路货物运输（网络货运），成品油批发，危险化学品经营，原油批发（依法须经批准的项目，经相关部门批准后方可开展经营活动，具体经营项目以审批结果为准）一般项目：成品油批发（不含危险化学品），成品油仓储（不含危险化学品），石油制品制造（不含危险化学品），石油制品销售（不含危险化学品），润滑油加工、制造（不含危险化学品），润滑油（高级磁护抗磨材料）的制造、加工（不含危险化学品），化工产品生产（不含许可类化工产品），化工产品销售（不含许可类化工产品），生物化工产品技术研发，橡胶制品销售，第三类非药品类易制毒化学品经营，专用化学产品销售（不含危险化学品），合成材料销售，专用化学产品制造（不含危险化学品），国内贸易代理，货物进出口，技术服务、技术开发、技术咨询、技术交流、技术转让、技术推广，工程和技术研究和试验发展，电线、电缆经营，废旧沥青再生技术研发，选矿（除稀土、放射性矿产、钨），无船承运业务，技术进出口，进出口代理，食品进出口，会议及展览服务，供应链管理服务，木材销售，金属制品销售，金属矿石销售，金属材料销售（除依法须经批准的项目外，凭营业执照依法自主开展经营活动）</t>
  </si>
  <si>
    <t>宁波图林贸易有限公司</t>
  </si>
  <si>
    <t>91330226MACF6JXP18</t>
  </si>
  <si>
    <t>叶茶英</t>
  </si>
  <si>
    <t>2023-04-13</t>
  </si>
  <si>
    <t>浙江省宁波市宁海县大佳何镇涨坑村35号（自主申报）</t>
  </si>
  <si>
    <t>宁波市</t>
  </si>
  <si>
    <t>宁海县</t>
  </si>
  <si>
    <t>13646657516</t>
  </si>
  <si>
    <t>13646657516@163.com</t>
  </si>
  <si>
    <t>330226000415526</t>
  </si>
  <si>
    <t>MACF6JXP-1</t>
  </si>
  <si>
    <t>2023-04-13 至 无固定期限</t>
  </si>
  <si>
    <t>Ningbo Tulin Trading Co., Ltd.</t>
  </si>
  <si>
    <t>宁波图林贸易有限公司成立于2023-04-13，法定代表人为叶茶英，注册资本为50万元，统一社会信用代码为91330226MACF6JXP18，企业注册地址位于浙江省宁波市宁海县大佳何镇涨坑村35号（自主申报），所属行业为批发业，经营范围包含：一般项目：木材销售；软木制品销售；日用木制品销售；建筑材料销售；建筑装饰材料销售；家具销售；人造板销售；木制容器销售；包装材料及制品销售；金属制品销售；合成材料销售；耐火材料销售；磁性材料销售；土石方工程施工；园林绿化工程施工；体育场地设施工程施工；货物进出口；技术进出口；进出口代理（除依法须经批准的项目外，凭营业执照依法自主开展经营活动）。许可项目：住宅室内装饰装修（依法须经批准的项目，经相关部门批准后方可开展经营活动，具体经营项目以审批结果为准）。企业当前经营状态为存续。</t>
  </si>
  <si>
    <t>一般项目：木材销售；软木制品销售；日用木制品销售；建筑材料销售；建筑装饰材料销售；家具销售；人造板销售；木制容器销售；包装材料及制品销售；金属制品销售；合成材料销售；耐火材料销售；磁性材料销售；土石方工程施工；园林绿化工程施工；体育场地设施工程施工；货物进出口；技术进出口；进出口代理（除依法须经批准的项目外，凭营业执照依法自主开展经营活动）。许可项目：住宅室内装饰装修（依法须经批准的项目，经相关部门批准后方可开展经营活动，具体经营项目以审批结果为准）。</t>
  </si>
  <si>
    <t>宁海县市场监督管理局</t>
  </si>
  <si>
    <t>上海嵘昆商贸有限公司</t>
  </si>
  <si>
    <t>913101155588331836</t>
  </si>
  <si>
    <t>李丹丹</t>
  </si>
  <si>
    <t>2010-07-28</t>
  </si>
  <si>
    <t>上海市宝山区蕰川路1800-6号6幢4611场地</t>
  </si>
  <si>
    <t>021-56176330</t>
  </si>
  <si>
    <t>13585874545;18121092259;021-56015573;021-56015530</t>
  </si>
  <si>
    <t>3283557790@qq.com</t>
  </si>
  <si>
    <t>18121092259@139.com;kunte.intl@gmail.com;791772358@qq.com</t>
  </si>
  <si>
    <t>310115001261646</t>
  </si>
  <si>
    <t>55883318-3</t>
  </si>
  <si>
    <t>2010-07-28 至 2030-07-27</t>
  </si>
  <si>
    <t>Shanghai Kunte International Trade Limited</t>
  </si>
  <si>
    <t>上海市杨浦区政益路28号10楼1018</t>
  </si>
  <si>
    <t>上海嵘昆商贸有限公司成立于2010年，为了发展其在中国大陆的业务。全资附属于其母公司中国香港昆特国际贸易有限公司，其在中国的木材商业发展已超过8年。依赖于我们在此行业的长期经验，在欧洲和非洲的伙伴，以及全球各地的办事处，我们已经成为中国大陆热带木材的主要供应商。</t>
  </si>
  <si>
    <t>一般项目：建筑材料销售；建筑装饰材料销售；木材销售；日用木制品销售；软木制品销售；家具销售；工艺美术品及礼仪用品销售（象牙及其制品除外）；包装材料及制品销售；地板销售；纸制品销售；五金产品批发；五金产品零售；金属材料销售；厨具卫具及日用杂品批发；厨具卫具及日用杂品零售；涂料销售（不含危险化学品）；家居用品销售；玩具销售；电子产品销售；货物进出口；技术进出口；食品销售（仅销售预包装食品）。（除依法须经批准的项目外，凭营业执照依法自主开展经营活动）</t>
  </si>
  <si>
    <t>张家港强嘉木材贸易有限公司</t>
  </si>
  <si>
    <t>91320592MACREHNC0G</t>
  </si>
  <si>
    <t>杨强</t>
  </si>
  <si>
    <t>2023-07-20</t>
  </si>
  <si>
    <t>张家港市金港街道金香花苑M61幢3号-5</t>
  </si>
  <si>
    <t>18979659588</t>
  </si>
  <si>
    <t>320592000230122</t>
  </si>
  <si>
    <t>MACREHNC-0</t>
  </si>
  <si>
    <t>2023-07-20 至 无固定期限</t>
  </si>
  <si>
    <t>Zhangjiagang Qiangjia Wood Trading Co., Ltd.</t>
  </si>
  <si>
    <t>张家港市金港镇长江中路309号汇金苑504室</t>
  </si>
  <si>
    <t>张家港强嘉木材贸易有限公司成立于2023-07-20，法定代表人为杨强，注册资本为100万元，统一社会信用代码为91320592MACREHNC0G，企业注册地址位于张家港市金港街道金香花苑M61幢3号-5，所属行业为批发业，经营范围包含：一般项目：木材销售；日用木制品销售；国内贸易代理；木材收购（除依法须经批准的项目外，凭营业执照依法自主开展经营活动）。企业当前经营状态为存续。</t>
  </si>
  <si>
    <t>一般项目：木材销售；日用木制品销售；国内贸易代理；木材收购（除依法须经批准的项目外，凭营业执照依法自主开展经营活动）</t>
  </si>
  <si>
    <t>临沂龙飞贸易有限公司</t>
  </si>
  <si>
    <t>913713020839806725</t>
  </si>
  <si>
    <t>侯建芳</t>
  </si>
  <si>
    <t>2013-11-25</t>
  </si>
  <si>
    <t>山东省临沂市兰山区兰山街道大山路与宏大路交汇处兰商国际11楼006号</t>
  </si>
  <si>
    <t>13853950135</t>
  </si>
  <si>
    <t>13563972962;0539-2802890</t>
  </si>
  <si>
    <t>474063867@qq.com</t>
  </si>
  <si>
    <t>529116969@qq.com;125000547@qq.com</t>
  </si>
  <si>
    <t>371302200034521</t>
  </si>
  <si>
    <t>08398067-2</t>
  </si>
  <si>
    <t>2013-11-25 至 2033-11-25</t>
  </si>
  <si>
    <t>其他商务服务业</t>
  </si>
  <si>
    <t>其他未列明商务服务业</t>
  </si>
  <si>
    <t>Linyi Longfei Trade Co., Ltd.</t>
  </si>
  <si>
    <t>临沂市兰山区后洞门河东村</t>
  </si>
  <si>
    <t>临沂龙飞贸易有限公司成立于2013-11-25，法定代表人为侯建芳，注册资本为3000万元，统一社会信用代码为913713020839806725，企业注册地址位于山东省临沂市兰山区兰山街道大山路与宏大路交汇处兰商国际11楼006号，所属行业为商务服务业，经营范围包含：许可项目：粮食收购；食品经营（销售散装食品）；食品经营；保健食品销售；货物进出口。（依法须经批准的项目，经相关部门批准后方可开展经营活动，具体经营项目以相关部门批准文件或许可证件为准）一般项目：煤炭及制品销售；农副产品销售；木材销售；新能源汽车整车销售；建筑用钢筋产品销售；金属材料销售；化肥销售；有色金属合金销售；铸造用造型材料销售；针纺织品销售；服装服饰批发；矿山机械销售；建筑材料销售；饲料原料销售；食用农产品零售；食品经营（仅销售预包装食品）。（除依法须经批准的项目外，凭营业执照依法自主开展经营活动）。企业当前经营状态为在业。</t>
  </si>
  <si>
    <t>许可项目：粮食收购；食品经营（销售散装食品）；食品经营；保健食品销售；货物进出口。（依法须经批准的项目，经相关部门批准后方可开展经营活动，具体经营项目以相关部门批准文件或许可证件为准）一般项目：煤炭及制品销售；农副产品销售；木材销售；新能源汽车整车销售；建筑用钢筋产品销售；金属材料销售；化肥销售；有色金属合金销售；铸造用造型材料销售；针纺织品销售；服装服饰批发；矿山机械销售；建筑材料销售；饲料原料销售；食用农产品零售；食品经营（仅销售预包装食品）。（除依法须经批准的项目外，凭营业执照依法自主开展经营活动）</t>
  </si>
  <si>
    <t>青岛鑫赢创贸易有限公司</t>
  </si>
  <si>
    <t>91411400MAD4N4NY54</t>
  </si>
  <si>
    <t>河南赢创贸易有限公司</t>
  </si>
  <si>
    <t>晋坤涛</t>
  </si>
  <si>
    <t>2023-11-07</t>
  </si>
  <si>
    <t>山东省青岛市黄岛区淮河西路405号内3号楼501室</t>
  </si>
  <si>
    <t>17630786805</t>
  </si>
  <si>
    <t>17630786805@163.com</t>
  </si>
  <si>
    <t>17630786805@qq.com</t>
  </si>
  <si>
    <t>411491000182716</t>
  </si>
  <si>
    <t>MAD4N4NY-5</t>
  </si>
  <si>
    <t>2023-11-07 至 无固定期限</t>
  </si>
  <si>
    <t>Qingdao Xinyingchuang Trading Co., Ltd.</t>
  </si>
  <si>
    <t>青岛鑫赢创贸易有限公司成立于2023-11-07，法定代表人为晋坤涛，注册资本为100万元，统一社会信用代码为91411400MAD4N4NY54，企业注册地址位于山东省青岛市黄岛区淮河西路405号内3号楼501室，所属行业为批发业，经营范围包含：一般项目：国内贸易代理；日用百货销售；食品销售（仅销售预包装食品）；饲料原料销售；办公用品销售；电子产品销售；五金产品批发；建筑材料销售；化工产品销售（不含许可类化工产品）；农副产品销售；食用农产品批发；货物进出口；技术进出口；进出口代理；食品进出口；国内货物运输代理；保健食品（预包装）销售；食品互联网销售（仅销售预包装食品）；宠物食品及用品零售。（除依法须经批准的项目外，凭营业执照依法自主开展经营活动）许可项目：食品销售。（依法须经批准的项目，经相关部门批准后方可开展经营活动，具体经营项目以相关部门批准文件或许可证件为准）。企业当前经营状态为在业。</t>
  </si>
  <si>
    <t>一般项目：国内贸易代理；日用百货销售；食品销售（仅销售预包装食品）；饲料原料销售；办公用品销售；电子产品销售；五金产品批发；建筑材料销售；化工产品销售（不含许可类化工产品）；农副产品销售；食用农产品批发；货物进出口；技术进出口；进出口代理；食品进出口；国内货物运输代理；保健食品（预包装）销售；食品互联网销售（仅销售预包装食品）；宠物食品及用品零售。（除依法须经批准的项目外，凭营业执照依法自主开展经营活动）许可项目：食品销售。（依法须经批准的项目，经相关部门批准后方可开展经营活动，具体经营项目以相关部门批准文件或许可证件为准）</t>
  </si>
  <si>
    <t>滨州鑫辉毛纺织有限公司</t>
  </si>
  <si>
    <t>91371600613830357G</t>
  </si>
  <si>
    <t>滨州鑫辉羊绒加工有限公司</t>
  </si>
  <si>
    <t>杨会泉</t>
  </si>
  <si>
    <t>1994-11-02</t>
  </si>
  <si>
    <t>山东省滨州市滨城区渤海三路508号</t>
  </si>
  <si>
    <t>0543-2193008</t>
  </si>
  <si>
    <t>0543-2193006</t>
  </si>
  <si>
    <t>xh3292338@163.com</t>
  </si>
  <si>
    <t>xinhui2016@163.com</t>
  </si>
  <si>
    <t>371600400000564</t>
  </si>
  <si>
    <t>61383035-7</t>
  </si>
  <si>
    <t>371</t>
  </si>
  <si>
    <t>1994-11-02 至 2036-11-01</t>
  </si>
  <si>
    <t>Binzhou Xinhui Woollen Textile Co., Ltd.</t>
  </si>
  <si>
    <t>滨州鑫辉毛纺织有限公司成立于1994-11-02，法定代表人为杨会泉，注册资本为1200万元，统一社会信用代码为91371600613830357G，企业注册地址位于山东省滨州市滨城区渤海三路508号，所属行业为纺织业，经营范围包含：生产毛呢、毛纱、毛衫、服装及相关纺织产品、辅料、销售本公司产品、普通货物运输、房屋租赁（依法须经批准的项目，经相关部门批准后方可开展经营活动）。企业当前经营状态为在业。</t>
  </si>
  <si>
    <t>生产毛呢、毛纱、毛衫、服装及相关纺织产品、辅料、销售本公司产品、普通货物运输、房屋租赁（依法须经批准的项目，经相关部门批准后方可开展经营活动）</t>
  </si>
  <si>
    <t>张家港熙源国际贸易有限公司</t>
  </si>
  <si>
    <t>91320592MA27CJ936B</t>
  </si>
  <si>
    <t>王建五</t>
  </si>
  <si>
    <t>张家港市金港街道天台北路首东侧1号</t>
  </si>
  <si>
    <t>13703223877</t>
  </si>
  <si>
    <t>16651210058;13812859110</t>
  </si>
  <si>
    <t>819895260@qq.com</t>
  </si>
  <si>
    <t>320592000199463</t>
  </si>
  <si>
    <t>MA27CJ93-6</t>
  </si>
  <si>
    <t>2021-11-05 至 无固定期限</t>
  </si>
  <si>
    <t>Zhangjiagang Xiyuan International Trade Co., Ltd.</t>
  </si>
  <si>
    <t>张家港市金港街道香山北路港务集团商务楼1099室</t>
  </si>
  <si>
    <t>张家港熙源国际贸易有限公司成立于2021-11-05，法定代表人为王建五，注册资本为100万元，统一社会信用代码为91320592MA27CJ936B，企业注册地址位于张家港市金港街道天台北路首东侧1号，所属行业为批发业，经营范围包含：一般项目：货物进出口；技术进出口；进出口代理；木材销售；软木制品销售；日用木制品销售；建筑材料销售；林业产品销售；门窗销售；楼梯销售；家具销售；人造板销售；地板销售；家具零配件销售；机械设备销售；机械零件、零部件销售；电力电子元器件销售；电力测功电机销售；电力设施器材销售；五金产品批发；五金产品零售；木材收购；园林绿化工程施工（除依法须经批准的项目外，凭营业执照依法自主开展经营活动）。企业当前经营状态为在业。</t>
  </si>
  <si>
    <t>一般项目：货物进出口；技术进出口；进出口代理；木材销售；软木制品销售；日用木制品销售；建筑材料销售；林业产品销售；门窗销售；楼梯销售；家具销售；人造板销售；地板销售；家具零配件销售；机械设备销售；机械零件、零部件销售；电力电子元器件销售；电力测功电机销售；电力设施器材销售；五金产品批发；五金产品零售；木材收购；园林绿化工程施工（除依法须经批准的项目外，凭营业执照依法自主开展经营活动）</t>
  </si>
  <si>
    <t>山东聚瑞木业有限公司</t>
  </si>
  <si>
    <t>91371302MABN0TG25M</t>
  </si>
  <si>
    <t>付春海</t>
  </si>
  <si>
    <t>2022-05-10</t>
  </si>
  <si>
    <t>山东省临沂市兰山区兰山街道大山路与宏大路交汇处兰田国际14楼001号</t>
  </si>
  <si>
    <t>15053939431</t>
  </si>
  <si>
    <t>15053939431@163.com</t>
  </si>
  <si>
    <t>371302200965296</t>
  </si>
  <si>
    <t>MABN0TG2-5</t>
  </si>
  <si>
    <t>2022-05-10 至 无固定期限</t>
  </si>
  <si>
    <t>木质装饰材料零售</t>
  </si>
  <si>
    <t>Shandong Jurui Wood Industry Co., Ltd.</t>
  </si>
  <si>
    <t>山东聚瑞木业有限公司成立于2022-05-10，法定代表人为付春海，注册资本为1000万元，统一社会信用代码为91371302MABN0TG25M，企业注册地址位于山东省临沂市兰山区兰山街道大山路与宏大路交汇处兰田国际14楼001号，所属行业为零售业，经营范围包含：一般项目：建筑装饰材料销售；人造板制造；人造板销售；木材加工；木材销售；木材收购；地板制造；地板销售；日用木制品制造；日用木制品销售；家具制造；家具销售；化工产品销售（不含许可类化工产品）；门窗销售；家具零配件销售；室内木门窗安装服务；家具安装和维修服务；厨具卫具及日用杂品研发；家居用品制造；家居用品销售；建筑材料销售；轻质建筑材料制造；轻质建筑材料销售；新型建筑材料制造（不含危险化学品）；树木种植经营；专用化学产品销售（不含危险化学品）；涂料销售（不含危险化学品）；互联网销售（除销售需要许可的商品）；贸易经纪；技术服务、技术开发、技术咨询、技术交流、技术转让、技术推广；社会经济咨询服务；信息技术咨询服务；信息咨询服务（不含许可类信息咨询服务）；专业设计服务；会议及展览服务；市场营销策划；品牌管理；技术进出口；货物进出口；进出口代理。（除依法须经批准的项目外，凭营业执照依法自主开展经营活动）许可项目：胶合板产品生产；细木工板产品生产；林业产品质量检验检测；检验检测服务；第二类增值电信业务；互联网信息服务；发电业务、输电业务、供（配）电业务。（依法须经批准的项目，经相关部门批准后方可开展经营活动，具体经营项目以相关部门批准文件或许可证件为准）。企业当前经营状态为在业。</t>
  </si>
  <si>
    <t>一般项目：建筑装饰材料销售；人造板制造；人造板销售；木材加工；木材销售；木材收购；地板制造；地板销售；日用木制品制造；日用木制品销售；家具制造；家具销售；化工产品销售（不含许可类化工产品）；门窗销售；家具零配件销售；室内木门窗安装服务；家具安装和维修服务；厨具卫具及日用杂品研发；家居用品制造；家居用品销售；建筑材料销售；轻质建筑材料制造；轻质建筑材料销售；新型建筑材料制造（不含危险化学品）；树木种植经营；专用化学产品销售（不含危险化学品）；涂料销售（不含危险化学品）；互联网销售（除销售需要许可的商品）；贸易经纪；技术服务、技术开发、技术咨询、技术交流、技术转让、技术推广；社会经济咨询服务；信息技术咨询服务；信息咨询服务（不含许可类信息咨询服务）；专业设计服务；会议及展览服务；市场营销策划；品牌管理；技术进出口；货物进出口；进出口代理。（除依法须经批准的项目外，凭营业执照依法自主开展经营活动）许可项目：胶合板产品生产；细木工板产品生产；林业产品质量检验检测；检验检测服务；第二类增值电信业务；互联网信息服务；发电业务、输电业务、供（配）电业务。（依法须经批准的项目，经相关部门批准后方可开展经营活动，具体经营项目以相关部门批准文件或许可证件为准）</t>
  </si>
  <si>
    <t>中山市大涌镇大为之家红木家具厂</t>
  </si>
  <si>
    <t>91442000MA533EQX90</t>
  </si>
  <si>
    <t>注销（2025-03-14）</t>
  </si>
  <si>
    <t>兰洋</t>
  </si>
  <si>
    <t>8万元</t>
  </si>
  <si>
    <t>2019-04-04</t>
  </si>
  <si>
    <t>中山市大涌镇南文村葵朗路葵乐街93号梁文迪厂房3栋1-2楼</t>
  </si>
  <si>
    <t>13824761922</t>
  </si>
  <si>
    <t>13824761922@163.com</t>
  </si>
  <si>
    <t>MA533EQX-9</t>
  </si>
  <si>
    <t>2019-04-04 至 无固定期限</t>
  </si>
  <si>
    <t>Dawei Zhijia Redwood Furniture Factory In Dachong Town, Zhongshan City</t>
  </si>
  <si>
    <t>加工、制造、销售：家具。（依法须经批准的项目，经相关部门批准后方可开展经营活动。）（依法须经批准的项目，经相关部门批准后方可开展经营活动）</t>
  </si>
  <si>
    <t>中山市艺俊木器制品有限公司</t>
  </si>
  <si>
    <t>91442000MA54ATKX07</t>
  </si>
  <si>
    <t>注销（2025-07-10）</t>
  </si>
  <si>
    <t>陈永强</t>
  </si>
  <si>
    <t>中山市大涌镇新平路“仁山”105号三至四楼、107号一楼之一、二楼、四楼、109号五楼之一</t>
  </si>
  <si>
    <t>13325621985</t>
  </si>
  <si>
    <t>13325621985@qq.com</t>
  </si>
  <si>
    <t>442000400072287</t>
  </si>
  <si>
    <t>MA54ATKX-0</t>
  </si>
  <si>
    <t>Zhongshan Yijun Wood Products Co., Ltd.</t>
  </si>
  <si>
    <t>中山市艺俊木器制品有限公司成立于2020-01-19，法定代表人为陈永强，注册资本为100万元，统一社会信用代码为91442000MA54ATKX07，企业注册地址位于中山市大涌镇新平路“仁山”105号三至四楼、107号一楼之一、二楼、四楼、109号五楼之一，所属行业为家具制造业，经营范围包含：一般项目：日用木制品制造；日用木制品销售；家具制造；家具销售；工艺美术品及收藏品批发（象牙及其制品除外）；工艺美术品及礼仪用品销售（象牙及其制品除外）；乐器制造；乐器批发；乐器零配件销售；玻璃纤维及制品制造；玻璃纤维及制品销售；技术玻璃制品制造；技术玻璃制品销售；日用玻璃制品制造；日用玻璃制品销售；功能玻璃和新型光学材料销售；建筑材料销售；塑料制品制造；塑料制品销售；照明器具销售；灯具销售；互联网销售（除销售需要许可的商品）；电子产品销售；电子元器件批发；电子元器件零售；技术进出口；货物进出口；家居用品销售；厨具卫具及日用杂品批发；日用品批发；日用品销售；金属制品销售；合成材料销售；网络技术服务；专业设计服务；信息技术咨询服务；信息咨询服务（不含许可类信息咨询服务）；技术服务、技术开发、技术咨询、技术交流、技术转让、技术推广。（除依法须经批准的项目外，凭营业执照依法自主开展经营活动）【上述经营范围涉及：货物或技术进出口（国家禁止或涉及行政审批的货物和技术进出口除外）】（以上项目不涉及外商投资准入特别管理措施）。企业当前经营状态为注销。</t>
  </si>
  <si>
    <t>一般项目：日用木制品制造；日用木制品销售；家具制造；家具销售；工艺美术品及收藏品批发（象牙及其制品除外）；工艺美术品及礼仪用品销售（象牙及其制品除外）；乐器制造；乐器批发；乐器零配件销售；玻璃纤维及制品制造；玻璃纤维及制品销售；技术玻璃制品制造；技术玻璃制品销售；日用玻璃制品制造；日用玻璃制品销售；功能玻璃和新型光学材料销售；建筑材料销售；塑料制品制造；塑料制品销售；照明器具销售；灯具销售；互联网销售（除销售需要许可的商品）；电子产品销售；电子元器件批发；电子元器件零售；技术进出口；货物进出口；家居用品销售；厨具卫具及日用杂品批发；日用品批发；日用品销售；金属制品销售；合成材料销售；网络技术服务；专业设计服务；信息技术咨询服务；信息咨询服务（不含许可类信息咨询服务）；技术服务、技术开发、技术咨询、技术交流、技术转让、技术推广。（除依法须经批准的项目外，凭营业执照依法自主开展经营活动）【上述经营范围涉及：货物或技术进出口（国家禁止或涉及行政审批的货物和技术进出口除外）】（以上项目不涉及外商投资准入特别管理措施）</t>
  </si>
  <si>
    <t>桐乡市运盛纺织有限公司</t>
  </si>
  <si>
    <t>91330483676179493T</t>
  </si>
  <si>
    <t>章利妹</t>
  </si>
  <si>
    <t>2008-06-05</t>
  </si>
  <si>
    <t>浙江省嘉兴市桐乡市乌镇镇花石东路263号</t>
  </si>
  <si>
    <t>0573-88797598</t>
  </si>
  <si>
    <t>0573-88797898</t>
  </si>
  <si>
    <t>jhm@orient.zj.com</t>
  </si>
  <si>
    <t>jhm@orientzj.com;zjy691127@163.com</t>
  </si>
  <si>
    <t>330483000023230</t>
  </si>
  <si>
    <t>67617949-3</t>
  </si>
  <si>
    <t>2008-06-05 至 2028-06-04</t>
  </si>
  <si>
    <t>Tongxiang Yunsheng Textile Co., Ltd.</t>
  </si>
  <si>
    <t>http://www.orientzj.com</t>
  </si>
  <si>
    <t>桐乡市运盛纺织有限公司成立于2008-06-05，法定代表人为章利妹，注册资本为600万元，统一社会信用代码为91330483676179493T，企业注册地址位于浙江省嘉兴市桐乡市乌镇镇花石东路263号，所属行业为纺织业，经营范围包含：一般项目：面料纺织加工；纺纱加工；针织或钩针编织物及其制品制造；日用口罩（非医用）生产；服装制造；服饰制造；纸和纸板容器制造；服装服饰批发；服装服饰零售；日用口罩（非医用）销售；医用口罩批发；纺织专用设备销售；针纺织品及原料销售；针纺织品销售；服装辅料销售；非居住房地产租赁；医护人员防护用品批发；机械设备销售；纸制品销售；货物进出口；技术进出口（除依法须经批准的项目外，凭营业执照依法自主开展经营活动）。许可项目：医用口罩生产（依法须经批准的项目，经相关部门批准后方可开展经营活动，具体经营项目以审批结果为准）。企业当前经营状态为存续。</t>
  </si>
  <si>
    <t>一般项目：面料纺织加工；纺纱加工；针织或钩针编织物及其制品制造；日用口罩（非医用）生产；服装制造；服饰制造；纸和纸板容器制造；服装服饰批发；服装服饰零售；日用口罩（非医用）销售；医用口罩批发；纺织专用设备销售；针纺织品及原料销售；针纺织品销售；服装辅料销售；非居住房地产租赁；医护人员防护用品批发；机械设备销售；纸制品销售；货物进出口；技术进出口（除依法须经批准的项目外，凭营业执照依法自主开展经营活动）。许可项目：医用口罩生产（依法须经批准的项目，经相关部门批准后方可开展经营活动，具体经营项目以审批结果为准）。</t>
  </si>
  <si>
    <t>朝阳市牧康生物科技有限公司</t>
  </si>
  <si>
    <t>91211321MA116Y910M</t>
  </si>
  <si>
    <t>朝阳县牧康生物科技有限公司</t>
  </si>
  <si>
    <t>李中来</t>
  </si>
  <si>
    <t>2021-07-07</t>
  </si>
  <si>
    <t>辽宁省朝阳市龙城区长江路六段599号11C整座一楼101室</t>
  </si>
  <si>
    <t>朝阳市</t>
  </si>
  <si>
    <t>龙城区</t>
  </si>
  <si>
    <t>15642139977</t>
  </si>
  <si>
    <t>15642139977@qq.com</t>
  </si>
  <si>
    <t>15642139977@163.com</t>
  </si>
  <si>
    <t>211321004057181</t>
  </si>
  <si>
    <t>MA116Y91-0</t>
  </si>
  <si>
    <t>2021-07-07 至 无固定期限</t>
  </si>
  <si>
    <t>Chaoyang Mukang Biotechnology Co., Ltd.</t>
  </si>
  <si>
    <t>朝阳市牧康生物科技有限公司成立于2021-07-07，法定代表人为李中来，注册资本为100万元，统一社会信用代码为91211321MA116Y910M，企业注册地址位于辽宁省朝阳市龙城区长江路六段599号11C整座一楼101室，所属行业为科技推广和应用服务业，经营范围包含：许可项目：饲料生产，饲料添加剂生产，粮食加工食品生产（依法须经批准的项目，经相关部门批准后方可开展经营活动，具体经营项目以审批结果为准）一般项目：技术服务、技术开发、技术咨询、技术交流、技术转让、技术推广，生物饲料研发，饲料原料销售，畜牧渔业饲料销售，饲料添加剂销售，粮食收购，食用农产品批发，食用农产品零售，初级农产品收购，食用农产品初加工，粮油仓储服务（除依法须经批准的项目外，凭营业执照依法自主开展经营活动）。企业当前经营状态为存续。</t>
  </si>
  <si>
    <t>许可项目：饲料生产，饲料添加剂生产，粮食加工食品生产（依法须经批准的项目，经相关部门批准后方可开展经营活动，具体经营项目以审批结果为准）一般项目：技术服务、技术开发、技术咨询、技术交流、技术转让、技术推广，生物饲料研发，饲料原料销售，畜牧渔业饲料销售，饲料添加剂销售，粮食收购，食用农产品批发，食用农产品零售，初级农产品收购，食用农产品初加工，粮油仓储服务（除依法须经批准的项目外，凭营业执照依法自主开展经营活动）</t>
  </si>
  <si>
    <t>朝阳市龙城区市场监督管理局</t>
  </si>
  <si>
    <t>丰县森建木业有限公司</t>
  </si>
  <si>
    <t>91320321MA1X16P26B</t>
  </si>
  <si>
    <t>注销（2025-05-29）</t>
  </si>
  <si>
    <t>张宗战</t>
  </si>
  <si>
    <t>2018-08-09</t>
  </si>
  <si>
    <t>徐州市丰县王沟镇工业园区2-17号</t>
  </si>
  <si>
    <t>丰县</t>
  </si>
  <si>
    <t>15335109222</t>
  </si>
  <si>
    <t>18260708866</t>
  </si>
  <si>
    <t>941850@qq.com</t>
  </si>
  <si>
    <t>MA1X16P2-6</t>
  </si>
  <si>
    <t>2018-08-09 至 2038-08-08</t>
  </si>
  <si>
    <t>Fengxian Senjian Wood Industry Co., Ltd.</t>
  </si>
  <si>
    <t>丰县森建木业有限公司成立于2018-08-09，法定代表人为张宗战，注册资本为500万元，统一社会信用代码为91320321MA1X16P26B，企业注册地址位于徐州市丰县王沟镇工业园区2-17号，所属行业为木材加工和木、竹、藤、棕、草制品业，经营范围包含：实木门、钢木门、实木套装门、免漆门、防火门、木饰面、门套、木楼梯、密度板、纤维板、木方、木线条、板材、橱柜、木材加工与销售。（依法须经批准的项目，经相关部门批准后方可开展经营活动）
一般项目：工艺美术品及礼仪用品制造（象牙及其制品除外）（除依法须经批准的项目外，凭营业执照依法自主开展经营活动）。企业当前经营状态为注销。</t>
  </si>
  <si>
    <t>实木门、钢木门、实木套装门、免漆门、防火门、木饰面、门套、木楼梯、密度板、纤维板、木方、木线条、板材、橱柜、木材加工与销售。（依法须经批准的项目，经相关部门批准后方可开展经营活动）
一般项目：工艺美术品及礼仪用品制造（象牙及其制品除外）（除依法须经批准的项目外，凭营业执照依法自主开展经营活动）</t>
  </si>
  <si>
    <t>丰县行政审批局</t>
  </si>
  <si>
    <t>广西自贸区闵和粮油食品科技有限公司</t>
  </si>
  <si>
    <t>91450700MACM4NB976</t>
  </si>
  <si>
    <t>CHAN XIN KANG</t>
  </si>
  <si>
    <t>3339.333万美元</t>
  </si>
  <si>
    <t>30万美元</t>
  </si>
  <si>
    <t>2023-06-28</t>
  </si>
  <si>
    <t>中国（广西）自由贸易试验区钦州港片区中马钦州产业园区中马大街1号公共服务中心A222-050室</t>
  </si>
  <si>
    <t>钦州市</t>
  </si>
  <si>
    <t>钦南区</t>
  </si>
  <si>
    <t>19127918120</t>
  </si>
  <si>
    <t>13677760816</t>
  </si>
  <si>
    <t>huangwenwen@minkointernational.com</t>
  </si>
  <si>
    <t>450700400102332</t>
  </si>
  <si>
    <t>MACM4NB9-7</t>
  </si>
  <si>
    <t>24</t>
  </si>
  <si>
    <t>2023-06-28 至 无固定期限</t>
  </si>
  <si>
    <t>Guangxi Free Trade Zone Minko Grain &amp; Oil Food Technology Co., Ltd.</t>
  </si>
  <si>
    <t>minkointernational.cn</t>
  </si>
  <si>
    <t>广西自贸区闵和粮油食品科技有限公司成立于2023-06-28，法定代表人为CHAN XIN KANG，注册资本为3339.333万美元，统一社会信用代码为91450700MACM4NB976，企业注册地址位于中国（广西）自由贸易试验区钦州港片区中马钦州产业园区中马大街1号公共服务中心A222-050室，所属行业为科技推广和应用服务业，经营范围包含：许可项目：饲料生产;食品销售;食品生产;粮食加工食品生产;道路货物运输（不含危险货物）。（依法须经批准的项目，经相关部门批准后方可开展经营活动，具体经营项目以相关部门批准文件或许可证件为准）一般项目：饲料原料销售;货物进出口;供应链管理服务;食用农产品批发;食品销售（仅销售预包装食品）;豆及薯类销售;谷物销售;食品用塑料包装容器工具制品销售;技术进出口;进出口代理;化工产品销售（不含许可类化工产品）;粮油仓储服务;普通货物仓储服务（不含危险化学品等需许可审批的项目）;仓储设备租赁服务;机械设备租赁;租赁服务（不含许可类租赁服务）;国内货物运输代理;国际货物运输代理;日用家电零售;日用百货销售;家用电器销售;家用电器零配件销售;食用农产品初加工;食用农产品零售;鲜肉批发;鲜肉零售;牲畜销售;畜禽收购。（除依法须经批准的项目外，凭营业执照依法自主开展经营活动）。企业当前经营状态为存续。</t>
  </si>
  <si>
    <t>许可项目：饲料生产;食品销售;食品生产;粮食加工食品生产;道路货物运输（不含危险货物）。（依法须经批准的项目，经相关部门批准后方可开展经营活动，具体经营项目以相关部门批准文件或许可证件为准）一般项目：饲料原料销售;货物进出口;供应链管理服务;食用农产品批发;食品销售（仅销售预包装食品）;豆及薯类销售;谷物销售;食品用塑料包装容器工具制品销售;技术进出口;进出口代理;化工产品销售（不含许可类化工产品）;粮油仓储服务;普通货物仓储服务（不含危险化学品等需许可审批的项目）;仓储设备租赁服务;机械设备租赁;租赁服务（不含许可类租赁服务）;国内货物运输代理;国际货物运输代理;日用家电零售;日用百货销售;家用电器销售;家用电器零配件销售;食用农产品初加工;食用农产品零售;鲜肉批发;鲜肉零售;牲畜销售;畜禽收购。（除依法须经批准的项目外，凭营业执照依法自主开展经营活动）</t>
  </si>
  <si>
    <t>钦州市市场监督管理局</t>
  </si>
  <si>
    <t>徐州沃森木业有限公司</t>
  </si>
  <si>
    <t>91320321MA1T4KQP1L</t>
  </si>
  <si>
    <t>丰县茂鑫木业有限公司</t>
  </si>
  <si>
    <t>张宗胜</t>
  </si>
  <si>
    <t>2017-10-18</t>
  </si>
  <si>
    <t>徐州市丰县王沟镇工业园区</t>
  </si>
  <si>
    <t>13812200503</t>
  </si>
  <si>
    <t>18761495957</t>
  </si>
  <si>
    <t>320321000191895</t>
  </si>
  <si>
    <t>MA1T4KQP-1</t>
  </si>
  <si>
    <t>2017-10-18 至 无固定期限</t>
  </si>
  <si>
    <t>Xuzhou Watson Wood Industry Co., Ltd.</t>
  </si>
  <si>
    <t>徐州沃森木业有限公司成立于2017-10-18，法定代表人为张宗胜，注册资本为200万元，统一社会信用代码为91320321MA1T4KQP1L，企业注册地址位于徐州市丰县王沟镇工业园区，所属行业为木材加工和木、竹、藤、棕、草制品业，经营范围包含：木门、门套、木饰面、板材、木线条、木楼梯、密度板、纤维板、橱柜、木材加工与销售。（依法须经批准的项目，经相关部门批准后方可开展经营活动）。企业当前经营状态为存续。</t>
  </si>
  <si>
    <t>木门、门套、木饰面、板材、木线条、木楼梯、密度板、纤维板、橱柜、木材加工与销售。（依法须经批准的项目，经相关部门批准后方可开展经营活动）</t>
  </si>
  <si>
    <t>临沂市兰山区源金木业板材厂</t>
  </si>
  <si>
    <t>91371302MA3F95D1X8</t>
  </si>
  <si>
    <t>徐雷</t>
  </si>
  <si>
    <t>2017-07-20</t>
  </si>
  <si>
    <t>山东省临沂市兰山区义堂镇沙沟崖村</t>
  </si>
  <si>
    <t>13563922131</t>
  </si>
  <si>
    <t>13563922131@163.com</t>
  </si>
  <si>
    <t>371302300098162</t>
  </si>
  <si>
    <t>MA3F95D1-X</t>
  </si>
  <si>
    <t>Yuanjin Wood Industry Board Factory In Lanshan District, Linyi City</t>
  </si>
  <si>
    <t>扬州牧林人木业有限公司</t>
  </si>
  <si>
    <t>91321012MAC7XHN59H</t>
  </si>
  <si>
    <t>注销（2025-02-07）</t>
  </si>
  <si>
    <t>张永翠</t>
  </si>
  <si>
    <t>2023-02-09</t>
  </si>
  <si>
    <t>扬州市江都区仙女镇三星村包颜组60号</t>
  </si>
  <si>
    <t>江都区</t>
  </si>
  <si>
    <t>15952583138</t>
  </si>
  <si>
    <t>1457553617@qq.com</t>
  </si>
  <si>
    <t>321012000330760</t>
  </si>
  <si>
    <t>MAC7XHN5-9</t>
  </si>
  <si>
    <t>2023-02-09 至 无固定期限</t>
  </si>
  <si>
    <t>Yangzhou Mulinren Wood Industry Co., Ltd.</t>
  </si>
  <si>
    <t>扬州牧林人木业有限公司成立于2023-02-09，法定代表人为张永翠，注册资本为100万元，统一社会信用代码为91321012MAC7XHN59H，企业注册地址位于扬州市江都区仙女镇三星村包颜组60号，所属行业为木材加工和木、竹、藤、棕、草制品业，经营范围包含：一般项目：木材加工；木材销售；建筑用木料及木材组件加工；日用木制品制造；日用木制品销售；木竹材加工机械制造；木竹材加工机械销售；木材收购；建筑材料销售；家具销售；包装材料及制品销售；劳务服务（不含劳务派遣）（除依法须经批准的项目外，凭营业执照依法自主开展经营活动）。企业当前经营状态为注销。</t>
  </si>
  <si>
    <t>一般项目：木材加工；木材销售；建筑用木料及木材组件加工；日用木制品制造；日用木制品销售；木竹材加工机械制造；木竹材加工机械销售；木材收购；建筑材料销售；家具销售；包装材料及制品销售；劳务服务（不含劳务派遣）（除依法须经批准的项目外，凭营业执照依法自主开展经营活动）</t>
  </si>
  <si>
    <t>扬州市江都区数据局</t>
  </si>
  <si>
    <t>兴安盟弘利粮油有限公司</t>
  </si>
  <si>
    <t>91152221MACYBLXFXX</t>
  </si>
  <si>
    <t>2023-09-11</t>
  </si>
  <si>
    <t>内蒙古自治区兴安盟科尔沁右翼前旗科尔沁镇索伦大街鑫安建筑大厦三楼303室（仅限办公）</t>
  </si>
  <si>
    <t>科尔沁右翼前旗</t>
  </si>
  <si>
    <t>15149045188</t>
  </si>
  <si>
    <t>15248577373</t>
  </si>
  <si>
    <t>2454610696@qq.com</t>
  </si>
  <si>
    <t>15248577373@qq.com</t>
  </si>
  <si>
    <t>152221028864976</t>
  </si>
  <si>
    <t>MACYBLXF-X</t>
  </si>
  <si>
    <t>2023-09-11 至 2099-12-31</t>
  </si>
  <si>
    <t>综合零售</t>
  </si>
  <si>
    <t>其他综合零售</t>
  </si>
  <si>
    <t>Xing'an League Hongli Grain and Oil Co., Ltd.</t>
  </si>
  <si>
    <t>兴安盟弘利粮油有限公司成立于2023-09-11，法定代表人为王树林，注册资本为10万元，统一社会信用代码为91152221MACYBLXFXX，企业注册地址位于内蒙古自治区兴安盟科尔沁右翼前旗科尔沁镇索伦大街鑫安建筑大厦三楼303室（仅限办公），所属行业为零售业，经营范围包含：许可项目：食品销售；粮食加工食品生产。（依法须经批准的项目，经相关部门批准后方可开展经营活动，具体经营项目以相关部门批准文件或许可证件为准）一般项目：食用农产品批发；食用农产品零售；食用农产品初加工；粮油仓储服务；粮食收购；初级农产品收购；农副产品销售；技术服务、技术开发、技术咨询、技术交流、技术转让、技术推广；装卸搬运；农业专业及辅助性活动；智能农业管理；农业机械服务；农业机械销售。（除依法须经批准的项目外，凭营业执照依法自主开展经营活动）。企业当前经营状态为存续。</t>
  </si>
  <si>
    <t>许可项目：食品销售；粮食加工食品生产。（依法须经批准的项目，经相关部门批准后方可开展经营活动，具体经营项目以相关部门批准文件或许可证件为准）一般项目：食用农产品批发；食用农产品零售；食用农产品初加工；粮油仓储服务；粮食收购；初级农产品收购；农副产品销售；技术服务、技术开发、技术咨询、技术交流、技术转让、技术推广；装卸搬运；农业专业及辅助性活动；智能农业管理；农业机械服务；农业机械销售。（除依法须经批准的项目外，凭营业执照依法自主开展经营活动）</t>
  </si>
  <si>
    <t>科尔沁右翼前旗市场监督管理局</t>
  </si>
  <si>
    <t>浙江顺林家具有限公司</t>
  </si>
  <si>
    <t>91330109580299087E</t>
  </si>
  <si>
    <t>唐青春</t>
  </si>
  <si>
    <t>2011-09-20</t>
  </si>
  <si>
    <t>浙江省杭州市萧山区进化镇墅上王村</t>
  </si>
  <si>
    <t>0571-82200300</t>
  </si>
  <si>
    <t>13858146923;0571-82200500;0571-82461888;0571-82200522</t>
  </si>
  <si>
    <t>wypzgz@163.com</t>
  </si>
  <si>
    <t>david@sf-furniture.org</t>
  </si>
  <si>
    <t>330181000277683</t>
  </si>
  <si>
    <t>58029908-7</t>
  </si>
  <si>
    <t>72</t>
  </si>
  <si>
    <t>2011-09-20 至 2041-09-19</t>
  </si>
  <si>
    <t>Zhejiang Shunlin Furniture Co., Ltd.</t>
  </si>
  <si>
    <t>http://www.zjsljj.com</t>
  </si>
  <si>
    <t>浙江顺林家具有限公司是一家集设计、生产、销售和服务于一体的现代化家具和零售业道具生产企业，主要生产家具、木质家具。2024年省级创新型中小企业、2022年国家级技术企业、2022年省级科技型中小企业，2024年09月木制品（家具）的生产和销售获得中国职业健康安全管理体系认证和环境管理体系认证。</t>
  </si>
  <si>
    <t>制造、加工：木制品、木质家具；加工：铁制品；经销：木制品、木质家具、铁制品、展示品；货物及技术的进出口业务（法律禁止的除外，法律法规限制的项目取得许可方可经营（以公司登记机关核定的经营范围为准）（依法须经批准的项目，经相关部门批准后方可开展经营活动）</t>
  </si>
  <si>
    <t>内蒙古中利物流有限公司</t>
  </si>
  <si>
    <t>91150502MA0Q0E3H74</t>
  </si>
  <si>
    <t>通辽市顺晟商贸有限公司,
通辽市九辰智力开发有限公司</t>
  </si>
  <si>
    <t>苑春霞</t>
  </si>
  <si>
    <t>2018-08-29</t>
  </si>
  <si>
    <t>内蒙古自治区通辽市科尔沁区明仁街道办事处世基大厦5层522室</t>
  </si>
  <si>
    <t>15849831637</t>
  </si>
  <si>
    <t>15750447204;15847482600;13789553335</t>
  </si>
  <si>
    <t>52652542@qq.com</t>
  </si>
  <si>
    <t>MA0Q0E3H-7</t>
  </si>
  <si>
    <t>2018-08-29 至 2048-08-28</t>
  </si>
  <si>
    <t>Inner Mongolia Zhongli Logistics Co., Ltd.</t>
  </si>
  <si>
    <t>内蒙古中利物流有限公司成立于2018-08-29，法定代表人为苑春霞，注册资本为300万元，统一社会信用代码为91150502MA0Q0E3H74，企业注册地址位于内蒙古自治区通辽市科尔沁区明仁街道办事处世基大厦5层522室，所属行业为科技推广和应用服务业，经营范围包含：道路货物运输（不含危险货物）;道路货物运输站经营;国内货物运输代理;普通货物仓储服务（不含危险化学品等需许可审批的项目）;技术服务、技术开发、技术咨询、技术交流、技术转让、技术推广;信息咨询服务（不含许可类信息咨询服务）;信息技术咨询服务;数据处理和存储支持服务;粮油仓储服务;粮食收购;初级农产品收购;谷物种植;饲料添加剂销售;食用农产品零售;谷物销售;农副产品销售;饲料原料销售。企业当前经营状态为存续。</t>
  </si>
  <si>
    <t>道路货物运输（不含危险货物）;道路货物运输站经营;国内货物运输代理;普通货物仓储服务（不含危险化学品等需许可审批的项目）;技术服务、技术开发、技术咨询、技术交流、技术转让、技术推广;信息咨询服务（不含许可类信息咨询服务）;信息技术咨询服务;数据处理和存储支持服务;粮油仓储服务;粮食收购;初级农产品收购;谷物种植;饲料添加剂销售;食用农产品零售;谷物销售;农副产品销售;饲料原料销售</t>
  </si>
  <si>
    <t>突泉县润祥农副产品购销有限公司</t>
  </si>
  <si>
    <t>91152224MA0MWEJ788</t>
  </si>
  <si>
    <t>赵德林</t>
  </si>
  <si>
    <t>2015-12-02</t>
  </si>
  <si>
    <t>内蒙古自治区兴安盟突泉县水泉镇光辉村</t>
  </si>
  <si>
    <t>15600222523</t>
  </si>
  <si>
    <t>13113595333;15705036666</t>
  </si>
  <si>
    <t>152224000010332</t>
  </si>
  <si>
    <t>MA0MWEJ7-8</t>
  </si>
  <si>
    <t>2015-12-02 至 2099-12-31</t>
  </si>
  <si>
    <t>其他农牧产品批发</t>
  </si>
  <si>
    <t>Tuquan County Runxiang Agricultural and Sideline Products Purchase and Sales Co., Ltd.</t>
  </si>
  <si>
    <t>突泉县润祥农副产品购销有限公司成立于2015-12-02，法定代表人为赵德林，注册资本为100万元，统一社会信用代码为91152224MA0MWEJ788，企业注册地址位于内蒙古自治区兴安盟突泉县水泉镇光辉村，所属行业为批发业，经营范围包含：许可经营项目：无 一般经营项目：农副产品收购及销售。企业当前经营状态为存续。</t>
  </si>
  <si>
    <t>许可经营项目：无 一般经营项目：农副产品收购及销售</t>
  </si>
  <si>
    <t>库车腾宏丰棉业有限公司</t>
  </si>
  <si>
    <t>91652923MA7829YE3P</t>
  </si>
  <si>
    <t>关邦军</t>
  </si>
  <si>
    <t>403.52万元</t>
  </si>
  <si>
    <t>2018-08-06</t>
  </si>
  <si>
    <t>新疆阿克苏地区库车市东城街道石化新村社区长春路5号08号商铺</t>
  </si>
  <si>
    <t>库车市</t>
  </si>
  <si>
    <t>13579115333</t>
  </si>
  <si>
    <t>0997-7881118;0997-7772558;0997-7772555</t>
  </si>
  <si>
    <t>343713613@qq.com</t>
  </si>
  <si>
    <t>864389546@qq.com;1171826169@qq.com</t>
  </si>
  <si>
    <t>MA7829YE-3</t>
  </si>
  <si>
    <t>2018-08-06 至 无固定期限</t>
  </si>
  <si>
    <t>Kuqateng Hongfeng Cotton Industry Co., Ltd.</t>
  </si>
  <si>
    <t>库车腾宏丰棉业有限公司成立于2018-08-06，法定代表人为关邦军，注册资本为2200万元，统一社会信用代码为91652923MA7829YE3P，企业注册地址位于新疆阿克苏地区库车市东城街道石化新村社区长春路5号08号商铺，所属行业为农、林、牧、渔专业及辅助性活动，经营范围包含：许可项目：棉花加工。（依法须经批准的项目，经相关部门批准后方可开展经营活动，具体经营项目以相关部门批准文件或许可证件为准）一般项目：棉花收购；棉、麻销售；棉花种植；初级农产品收购；智能农业管理；农作物栽培服务；农作物病虫害防治服务；普通货物仓储服务（不含危险化学品等需许可审批的项目）；技术服务、技术开发、技术咨询、技术交流、技术转让、技术推广。（除依法须经批准的项目外，凭营业执照依法自主开展经营活动）。企业当前经营状态为存续。</t>
  </si>
  <si>
    <t>许可项目：棉花加工。（依法须经批准的项目，经相关部门批准后方可开展经营活动，具体经营项目以相关部门批准文件或许可证件为准）一般项目：棉花收购；棉、麻销售；棉花种植；初级农产品收购；智能农业管理；农作物栽培服务；农作物病虫害防治服务；普通货物仓储服务（不含危险化学品等需许可审批的项目）；技术服务、技术开发、技术咨询、技术交流、技术转让、技术推广。（除依法须经批准的项目外，凭营业执照依法自主开展经营活动）</t>
  </si>
  <si>
    <t>库车市市场监督管理局</t>
  </si>
  <si>
    <t>海南鸿嘉盛元能源有限公司</t>
  </si>
  <si>
    <t>91460000MA5U293K17</t>
  </si>
  <si>
    <t>张连峰</t>
  </si>
  <si>
    <t>4798万元</t>
  </si>
  <si>
    <t>2021-06-24</t>
  </si>
  <si>
    <t>海南省洋浦经济开发区新英湾区德馨花园南区1栋8号商铺二楼214</t>
  </si>
  <si>
    <t>儋州市</t>
  </si>
  <si>
    <t>16601015555</t>
  </si>
  <si>
    <t>0898-31000844</t>
  </si>
  <si>
    <t>745990227@qq.com</t>
  </si>
  <si>
    <t>460000004036359</t>
  </si>
  <si>
    <t>MA5U293K-1</t>
  </si>
  <si>
    <t>2021-06-24 至 无固定期限</t>
  </si>
  <si>
    <t>Hainan Hongjia Shengyuan Energy Co., Ltd.</t>
  </si>
  <si>
    <t>海南鸿嘉盛元能源有限公司成立于2021-06-24，法定代表人为张连峰，注册资本为5000万元，统一社会信用代码为91460000MA5U293K17，企业注册地址位于海南省洋浦经济开发区新英湾区德馨花园南区1栋8号商铺二楼214，所属行业为批发业，经营范围包含：许可项目：成品油批发（限危险化学品）；危险化学品经营；原油批发；保税油经营；石油、天然气管道储运；成品油零售（不含危险化学品）；燃气经营；货物进出口；技术进出口；食品进出口；进出口代理；道路货物运输（不含危险货物）；道路货物运输（网络货运）（依法须经批准的项目，经相关部门批准后方可开展经营活动）一般项目：成品油批发（不含危险化学品）；石油制品销售（不含危险化学品）；化工产品销售（不含许可类化工产品）；涂料销售（不含危险化学品）；互联网销售（除销售需要许可的商品）；润滑油销售；煤炭及制品销售；金属材料销售；木材销售；农副产品销售；肥料销售；仪器仪表销售；电线、电缆经营；办公用品销售；汽车零配件批发；汽车租赁；轴承、齿轮和传动部件制造；计算机软硬件及辅助设备批发；建筑材料销售；五金产品批发；网络技术服务；信息技术咨询服务；技术服务、技术开发、技术咨询、技术交流、技术转让、技术推广；国内贸易代理；新兴能源技术研发；票据信息咨询服务；工程管理服务；科技中介服务；软件开发；广告设计、代理；无船承运业务；供应链管理服务（除许可业务外，可自主依法经营法律法规非禁止或限制的项目）。企业当前经营状态为存续。</t>
  </si>
  <si>
    <t>许可项目：成品油批发（限危险化学品）；危险化学品经营；原油批发；保税油经营；石油、天然气管道储运；成品油零售（不含危险化学品）；燃气经营；货物进出口；技术进出口；食品进出口；进出口代理；道路货物运输（不含危险货物）；道路货物运输（网络货运）（依法须经批准的项目，经相关部门批准后方可开展经营活动）一般项目：成品油批发（不含危险化学品）；石油制品销售（不含危险化学品）；化工产品销售（不含许可类化工产品）；涂料销售（不含危险化学品）；互联网销售（除销售需要许可的商品）；润滑油销售；煤炭及制品销售；金属材料销售；木材销售；农副产品销售；肥料销售；仪器仪表销售；电线、电缆经营；办公用品销售；汽车零配件批发；汽车租赁；轴承、齿轮和传动部件制造；计算机软硬件及辅助设备批发；建筑材料销售；五金产品批发；网络技术服务；信息技术咨询服务；技术服务、技术开发、技术咨询、技术交流、技术转让、技术推广；国内贸易代理；新兴能源技术研发；票据信息咨询服务；工程管理服务；科技中介服务；软件开发；广告设计、代理；无船承运业务；供应链管理服务（除许可业务外，可自主依法经营法律法规非禁止或限制的项目）</t>
  </si>
  <si>
    <t>张家港市天腾纱业有限公司</t>
  </si>
  <si>
    <t>9132058274134146X5</t>
  </si>
  <si>
    <t>张家港市天腾氨纶纱有限公司</t>
  </si>
  <si>
    <t>李亚军</t>
  </si>
  <si>
    <t>11000万元</t>
  </si>
  <si>
    <t>张家港市德积街道港华路600号</t>
  </si>
  <si>
    <t>13962209058</t>
  </si>
  <si>
    <t>13915690033;0512-58721058;0512-58721998;18662136700;13962450699;0512-58757988</t>
  </si>
  <si>
    <t>248822422@qq.com</t>
  </si>
  <si>
    <t>yjp_zjg@126.com</t>
  </si>
  <si>
    <t>320582000051561</t>
  </si>
  <si>
    <t>74134146-X</t>
  </si>
  <si>
    <t>227</t>
  </si>
  <si>
    <t>Zhangjiagang TITAN Spinning Co., Ltd.</t>
  </si>
  <si>
    <t>金港镇德积港华路600号</t>
  </si>
  <si>
    <t>张家港市天腾纱业有限公司成立于2002-08-23，法定代表人为李亚军，注册资本为11000万元，统一社会信用代码为9132058274134146X5，企业注册地址位于张家港市德积街道港华路600号，所属行业为纺织业，经营范围包含：氨纶纱线、纺织品制造、加工、销售；纺织原料、针纺织品、服装及辅料购销； 自营和代理各类商品及技术的进出口业务（国家限定企业经营或禁止进出口的商品及技术除外）。（依法须经批准的项目，经相关部门批准后方可开展经营活动）
许可项目：发电业务、输电业务、供（配）电业务（依法须经批准的项目，经相关部门批准后方可开展经营活动，具体经营项目以审批结果为准）
一般项目：面料纺织加工；家用纺织制成品制造；产业用纺织制成品制造；纺织、服装及家庭用品批发；产业用纺织制成品销售（除依法须经批准的项目外，凭营业执照依法自主开展经营活动）。企业当前经营状态为在业。</t>
  </si>
  <si>
    <t>氨纶纱线、纺织品制造、加工、销售；纺织原料、针纺织品、服装及辅料购销； 自营和代理各类商品及技术的进出口业务（国家限定企业经营或禁止进出口的商品及技术除外）。（依法须经批准的项目，经相关部门批准后方可开展经营活动）
许可项目：发电业务、输电业务、供（配）电业务（依法须经批准的项目，经相关部门批准后方可开展经营活动，具体经营项目以审批结果为准）
一般项目：面料纺织加工；家用纺织制成品制造；产业用纺织制成品制造；纺织、服装及家庭用品批发；产业用纺织制成品销售（除依法须经批准的项目外，凭营业执照依法自主开展经营活动）</t>
  </si>
  <si>
    <t>山东汫汇能源有限公司</t>
  </si>
  <si>
    <t>91371721069974364L</t>
  </si>
  <si>
    <t>王更新</t>
  </si>
  <si>
    <t>2013-05-31</t>
  </si>
  <si>
    <t>曹县磐石办事处东刘庄行政村村南</t>
  </si>
  <si>
    <t>13561336112</t>
  </si>
  <si>
    <t>18264841707;13395307776;17686531391;13396200990;0530-3762678;0530-2067789;15615909996</t>
  </si>
  <si>
    <t>8938769160@qq.com</t>
  </si>
  <si>
    <t>893876150@qq.com;2305454435@qq.com;230545435@qq.com</t>
  </si>
  <si>
    <t>371700200023404</t>
  </si>
  <si>
    <t>06997436-4</t>
  </si>
  <si>
    <t>2013-05-31 至 无固定期限</t>
  </si>
  <si>
    <t>危险品仓储</t>
  </si>
  <si>
    <t>油气仓储</t>
  </si>
  <si>
    <t>Shandong Jinghui Energy Co., Ltd.</t>
  </si>
  <si>
    <t>山东汫汇能源有限公司成立于2013-05-31，法定代表人为王更新，注册资本为3000万元，统一社会信用代码为91371721069974364L，企业注册地址位于曹县磐石办事处东刘庄行政村村南，所属行业为装卸搬运和仓储业，经营范围包含：许可项目：成品油仓储；成品油零售（不含危险化学品）；燃气经营。（依法须经批准的项目，经相关部门批准后方可开展经营活动，具体经营项目以相关部门批准文件或许可证件为准）一般项目：货物进出口；技术进出口；石油制品销售（不含危险化学品）；成品油批发（不含危险化学品）；化工产品销售（不含许可类化工产品）；煤炭及制品销售；润滑油销售；润滑油加工、制造（不含危险化学品）；专用化学产品销售（不含危险化学品）；普通货物仓储服务（不含危险化学品等需许可审批的项目）；仓储设备租赁服务。（除依法须经批准的项目外，凭营业执照依法自主开展经营活动）。企业当前经营状态为在业。</t>
  </si>
  <si>
    <t>许可项目：成品油仓储；成品油零售（不含危险化学品）；燃气经营。（依法须经批准的项目，经相关部门批准后方可开展经营活动，具体经营项目以相关部门批准文件或许可证件为准）一般项目：货物进出口；技术进出口；石油制品销售（不含危险化学品）；成品油批发（不含危险化学品）；化工产品销售（不含许可类化工产品）；煤炭及制品销售；润滑油销售；润滑油加工、制造（不含危险化学品）；专用化学产品销售（不含危险化学品）；普通货物仓储服务（不含危险化学品等需许可审批的项目）；仓储设备租赁服务。（除依法须经批准的项目外，凭营业执照依法自主开展经营活动）</t>
  </si>
  <si>
    <t>中山市创晟服装有限公司</t>
  </si>
  <si>
    <t>91442000MABY8HW017</t>
  </si>
  <si>
    <t>毛茂生</t>
  </si>
  <si>
    <t>2022-09-15</t>
  </si>
  <si>
    <t>中山市大涌镇岚田村鸭肠岭（文田布业城劳结有房产首层F5-3）</t>
  </si>
  <si>
    <t>13531790435</t>
  </si>
  <si>
    <t>13531790435@163.com</t>
  </si>
  <si>
    <t>442000003455880</t>
  </si>
  <si>
    <t>MABY8HW0-1</t>
  </si>
  <si>
    <t>2022-09-15 至 无固定期限</t>
  </si>
  <si>
    <t>Zhongshan Chuangsheng Garment Co., Ltd.</t>
  </si>
  <si>
    <t>中山市石岐区第一城怡美7幢2层13\15\17\19\21\23\25\27\29\31卡（17卡21室）</t>
  </si>
  <si>
    <t>中山市创晟服装有限公司成立于2022-09-15，法定代表人为毛茂生，注册资本为50万元，统一社会信用代码为91442000MABY8HW017，企业注册地址位于中山市大涌镇岚田村鸭肠岭（文田布业城劳结有房产首层F5-3），所属行业为批发业，经营范围包含：一般项目：服装服饰零售；服装服饰批发；针纺织品及原料销售；针纺织品销售；产业用纺织制成品销售；服装辅料销售；技术进出口；货物进出口。企业当前经营状态为存续。</t>
  </si>
  <si>
    <t>一般项目：服装服饰零售；服装服饰批发；针纺织品及原料销售；针纺织品销售；产业用纺织制成品销售；服装辅料销售；技术进出口；货物进出口。</t>
  </si>
  <si>
    <t>临沂鑫华木材有限公司</t>
  </si>
  <si>
    <t>91371302MA3QKFUP1L</t>
  </si>
  <si>
    <t>陈光达</t>
  </si>
  <si>
    <t>2019-09-16</t>
  </si>
  <si>
    <t>临沂市兰山区义堂镇西水磨头村1266号</t>
  </si>
  <si>
    <t>18369417778</t>
  </si>
  <si>
    <t>17662831585;18253948883</t>
  </si>
  <si>
    <t>313134659@qq.com</t>
  </si>
  <si>
    <t>940956981@qq.com</t>
  </si>
  <si>
    <t>MA3QKFUP-1</t>
  </si>
  <si>
    <t>2019-09-16 至 无固定期限</t>
  </si>
  <si>
    <t>Linyi Xinhua Wood Co., Ltd.</t>
  </si>
  <si>
    <t>临沂鑫华木材有限公司成立于2019-09-16，法定代表人为陈光达，注册资本为30万元，统一社会信用代码为91371302MA3QKFUP1L，企业注册地址位于临沂市兰山区义堂镇西水磨头村1266号，所属行业为木材加工和木、竹、藤、棕、草制品业，经营范围包含：木材加工、销售;家具、板材、多层板销售;货物及技术进出口。（依法须经批准的项目，经相关部门批准后方可开展经营活动）。企业当前经营状态为在业。</t>
  </si>
  <si>
    <t>木材加工、销售;家具、板材、多层板销售;货物及技术进出口。（依法须经批准的项目，经相关部门批准后方可开展经营活动）</t>
  </si>
  <si>
    <t>中山市利达针织制衣厂有限公司</t>
  </si>
  <si>
    <t>91442000617591672J</t>
  </si>
  <si>
    <t>黎浩斌</t>
  </si>
  <si>
    <t>5800万港元</t>
  </si>
  <si>
    <t>1994-12-28</t>
  </si>
  <si>
    <t>中山市小榄镇东港大道63号</t>
  </si>
  <si>
    <t>0760-22228708</t>
  </si>
  <si>
    <t>13229127381;0760-2228708;13326970998;0760-3371883</t>
  </si>
  <si>
    <t>xuezhen@leetat-knitting.com</t>
  </si>
  <si>
    <t>xuexhen@leetat-knitting.com;349057866@qq.com</t>
  </si>
  <si>
    <t>442000400010670</t>
  </si>
  <si>
    <t>61759167-2</t>
  </si>
  <si>
    <t>126</t>
  </si>
  <si>
    <t>1994-12-28 至 无固定期限</t>
  </si>
  <si>
    <t>Zhongshan Lida Knitting Clothing Manufacturing Factory Co., Ltd.</t>
  </si>
  <si>
    <t>中山市利达针织制衣厂有限公司成立于1994-12-28，法定代表人为黎浩斌，注册资本为5800万港元，统一社会信用代码为91442000617591672J，企业注册地址位于中山市小榄镇东港大道63号，所属行业为纺织服装、服饰业，经营范围包含：生产针织扁机领、针织胚布、色布及针织成衣（涉及出口许可证及配额管理的产品除外，并不得使用第三国产地标签及中性包装）。（依法须经批准的项目，经相关部门批准后方可开展经营活动）。企业当前经营状态为存续。</t>
  </si>
  <si>
    <t>生产针织扁机领、针织胚布、色布及针织成衣（涉及出口许可证及配额管理的产品除外，并不得使用第三国产地标签及中性包装）。（依法须经批准的项目，经相关部门批准后方可开展经营活动）</t>
  </si>
  <si>
    <t>梅州双胞胎饲料有限公司</t>
  </si>
  <si>
    <t>914414235645668199</t>
  </si>
  <si>
    <t>2011-01-20</t>
  </si>
  <si>
    <t>丰顺县埔寨农场场部对面A-05之1块</t>
  </si>
  <si>
    <t>梅州市</t>
  </si>
  <si>
    <t>丰顺县</t>
  </si>
  <si>
    <t>18170807908;0753-6698807</t>
  </si>
  <si>
    <t>weihong@sbtjt.com;lubq@sbtjt.com;lirn@sbtjt.com</t>
  </si>
  <si>
    <t>441423000009793</t>
  </si>
  <si>
    <t>56456681-9</t>
  </si>
  <si>
    <t>2011-01-20 至 无固定期限</t>
  </si>
  <si>
    <t>Meizhou Twin Feed Co., Ltd.</t>
  </si>
  <si>
    <t>江西省南昌市青山湖区昌东大道7003号双胞胎集团</t>
  </si>
  <si>
    <t>梅州双胞胎饲料有限公司成立于2011-01-20，法定代表人为张昭胜，注册资本为300万元，统一社会信用代码为914414235645668199，企业注册地址位于丰顺县埔寨农场场部对面A-05之1块，所属行业为零售业，经营范围包含：生产、销售：饲料；兽药经营。（依法须经批准的项目，经相关部门批准后方可开展经营活动）。企业当前经营状态为存续。</t>
  </si>
  <si>
    <t>生产、销售：饲料；兽药经营。（依法须经批准的项目，经相关部门批准后方可开展经营活动）</t>
  </si>
  <si>
    <t>丰顺县市场监督管理局</t>
  </si>
  <si>
    <t>温州星蓬游乐设备有限公司</t>
  </si>
  <si>
    <t>91330324MA2ARCFU0Y</t>
  </si>
  <si>
    <t>章利勇</t>
  </si>
  <si>
    <t>2019-03-11</t>
  </si>
  <si>
    <t>浙江省温州市永嘉县桥下镇小京岙村</t>
  </si>
  <si>
    <t>13600674589</t>
  </si>
  <si>
    <t>13600674589@qq.com</t>
  </si>
  <si>
    <t>MA2ARCFU-0</t>
  </si>
  <si>
    <t>2019-03-11 至 无固定期限</t>
  </si>
  <si>
    <t>Wenzhou Xingpeng Amusement Equipment Co., Ltd.</t>
  </si>
  <si>
    <t>本公司是一家研发、生产、销售儿童游乐设备玩具的企业。公司以“诚信、务实、创新、高效”为企业的经营理念，设有新产品研发中心、CAD图设计中心、营销服务中心，并不断引进生产设备工艺，使技术水平位于同行业前列。本公司产品以“设计新颖、造型独特、益智健身”及“挑战、创新、超越”的精神。自创建以来不断引进国内外的设备与工艺技术，通过导入国际先进的管理理念和标准规范的认证体系，公司产品先后通过多种国际和国家专业认证机构认证。公司产品覆盖全国各大幼儿园、学校、商场、游乐场社区等名类场所。我们始终坚持以质量为品牌的基础，以市场为品牌的动力，以设计为品牌的灵魂，在创新中求发展在挑战中求突破，努力塑造公司新形象，不断完善管理机制，精心营造企业文化精神，全力打造游乐界的知名品牌。我们愿秉承自己的“诚心”与社会各界的“爱心”携手共建孩子们的“开心”。</t>
  </si>
  <si>
    <t>游乐设备、不锈钢滑梯及其他滑梯、木制品、教具、玩具、淘气堡、蹦床、橡塑胶制品、地垫、户外拓展设备、健身器材、体育器材、桌椅、儿童床、儿童家具、柜子、体育用品、五金制品、儿童服装生产、销售（含网上销售）；货物进出口、技术进出口（依法须经批准的项目，经相关部门批准后方可开展经营活动）</t>
  </si>
  <si>
    <t>杭州永信纺织有限公司</t>
  </si>
  <si>
    <t>91330109740502161D</t>
  </si>
  <si>
    <t>楼云霞</t>
  </si>
  <si>
    <t>747万元</t>
  </si>
  <si>
    <t>2002-06-12</t>
  </si>
  <si>
    <t>浙江省萧山区临浦镇通一村</t>
  </si>
  <si>
    <t>13666658613</t>
  </si>
  <si>
    <t>19817123986;0571-82391908;13362111936;0571-82393155</t>
  </si>
  <si>
    <t>1104490737@qq.com</t>
  </si>
  <si>
    <t>752442861@qq.com</t>
  </si>
  <si>
    <t>330181000115628</t>
  </si>
  <si>
    <t>74050216-1</t>
  </si>
  <si>
    <t>2002-06-12 至 无固定期限</t>
  </si>
  <si>
    <t>Hangzhou Yongxin Textile Co., Ltd.</t>
  </si>
  <si>
    <t>杭州永信纺织有限公司成立于2002-06-12，法定代表人为楼云霞，注册资本为747万元，统一社会信用代码为91330109740502161D，企业注册地址位于浙江省萧山区临浦镇通一村，所属行业为纺织服装、服饰业，经营范围包含：一般项目：纺纱加工；棉、麻销售；针纺织品及原料销售；停车场服务（除依法须经批准的项目外，凭营业执照依法自主开展经营活动）。企业当前经营状态为存续。</t>
  </si>
  <si>
    <t>一般项目：纺纱加工；棉、麻销售；针纺织品及原料销售；停车场服务（除依法须经批准的项目外，凭营业执照依法自主开展经营活动）。</t>
  </si>
  <si>
    <t>萧县艺恒木材有限公司</t>
  </si>
  <si>
    <t>91341322MADL85W35T</t>
  </si>
  <si>
    <t>梁敏浩</t>
  </si>
  <si>
    <t>2024-05-11</t>
  </si>
  <si>
    <t>安徽省宿州市萧县赵庄镇刘阁行政村刘阁自然村18号</t>
  </si>
  <si>
    <t>宿州市</t>
  </si>
  <si>
    <t>萧县</t>
  </si>
  <si>
    <t>19855733429</t>
  </si>
  <si>
    <t>251322647@qq.com</t>
  </si>
  <si>
    <t>MADL85W3-5</t>
  </si>
  <si>
    <t>2024-05-11 至 无固定期限</t>
  </si>
  <si>
    <t>Xiaoxian Yiheng Wood Co., Ltd.</t>
  </si>
  <si>
    <t>萧县艺恒木材有限公司成立于2024-05-11，法定代表人为梁敏浩，注册资本为100万元，统一社会信用代码为91341322MADL85W35T，企业注册地址位于安徽省宿州市萧县赵庄镇刘阁行政村刘阁自然村18号，所属行业为木材加工和木、竹、藤、棕、草制品业，经营范围包含：一般项目：木材加工；木材销售；木材收购；建筑用木料及木材组件加工；建筑材料销售；国内贸易代理；木竹材加工机械销售；木竹材加工机械制造；营林及木竹采伐机械制造（除许可业务外，可自主依法经营法律法规非禁止或限制的项目）许可项目：木材采运（依法须经批准的项目，经相关部门批准后方可开展经营活动，具体经营项目以相关部门批准文件或许可证件为准）。企业当前经营状态为存续。</t>
  </si>
  <si>
    <t>一般项目：木材加工；木材销售；木材收购；建筑用木料及木材组件加工；建筑材料销售；国内贸易代理；木竹材加工机械销售；木竹材加工机械制造；营林及木竹采伐机械制造（除许可业务外，可自主依法经营法律法规非禁止或限制的项目）许可项目：木材采运（依法须经批准的项目，经相关部门批准后方可开展经营活动，具体经营项目以相关部门批准文件或许可证件为准）</t>
  </si>
  <si>
    <t>萧县市场监督管理局</t>
  </si>
  <si>
    <t>青岛君泰信达国际贸易有限公司</t>
  </si>
  <si>
    <t>91370220MABM4EKY2G</t>
  </si>
  <si>
    <t>杨清</t>
  </si>
  <si>
    <t>2022-05-23</t>
  </si>
  <si>
    <t>中国（山东）自由贸易试验区青岛片区江山北路300号内8栋1单元302</t>
  </si>
  <si>
    <t>17568939509</t>
  </si>
  <si>
    <t>18561509519</t>
  </si>
  <si>
    <t>yangqing19871010@163.com</t>
  </si>
  <si>
    <t>742370797@qq.com</t>
  </si>
  <si>
    <t>MABM4EKY-2</t>
  </si>
  <si>
    <t>2022-05-23 至 无固定期限</t>
  </si>
  <si>
    <t>Qingdao Juntai Xinda International Trade Co., Ltd.</t>
  </si>
  <si>
    <t>青岛君泰信达国际贸易有限公司成立于2022-05-23，法定代表人为杨清，注册资本为100万元，统一社会信用代码为91370220MABM4EKY2G，企业注册地址位于中国（山东）自由贸易试验区青岛片区江山北路300号内8栋1单元302，所属行业为批发和零售业，经营范围包含：一般项目：货物进出口；初级农产品收购；食用农产品零售；食用农产品批发；食品销售（仅销售预包装食品）；化工产品销售（不含许可类化工产品）；化肥销售；肥料销售；日用百货销售；日用家电零售；木材销售；纸浆销售；纸制品销售；信息咨询服务（不含许可类信息咨询服务）；工艺美术品及礼仪用品销售（象牙及其制品除外）；箱包销售；食用农产品初加工；国际货物运输代理；报关业务；报检业务；航空国际货物运输代理；陆路国际货物运输代理；海上国际货物运输代理；装卸搬运；普通货物仓储服务（不含危险化学品等需许可审批的项目）；粮油仓储服务。（除依法须经批准的项目外，凭营业执照依法自主开展经营活动）许可项目：食品销售；酒类经营；海关监管货物仓储服务（不含危险化学品、危险货物）。（依法须经批准的项目，经相关部门批准后方可开展经营活动，具体经营项目以相关部门批准文件或许可证件为准）。企业当前经营状态为在业。</t>
  </si>
  <si>
    <t>一般项目：货物进出口；初级农产品收购；食用农产品零售；食用农产品批发；食品销售（仅销售预包装食品）；化工产品销售（不含许可类化工产品）；化肥销售；肥料销售；日用百货销售；日用家电零售；木材销售；纸浆销售；纸制品销售；信息咨询服务（不含许可类信息咨询服务）；工艺美术品及礼仪用品销售（象牙及其制品除外）；箱包销售；食用农产品初加工；国际货物运输代理；报关业务；报检业务；航空国际货物运输代理；陆路国际货物运输代理；海上国际货物运输代理；装卸搬运；普通货物仓储服务（不含危险化学品等需许可审批的项目）；粮油仓储服务。（除依法须经批准的项目外，凭营业执照依法自主开展经营活动）许可项目：食品销售；酒类经营；海关监管货物仓储服务（不含危险化学品、危险货物）。（依法须经批准的项目，经相关部门批准后方可开展经营活动，具体经营项目以相关部门批准文件或许可证件为准）</t>
  </si>
  <si>
    <t>广州市冠宁门业有限公司</t>
  </si>
  <si>
    <t>914401116813462171</t>
  </si>
  <si>
    <t>廖小宁</t>
  </si>
  <si>
    <t>2008-11-27</t>
  </si>
  <si>
    <t>广州市白云区鹤边鹤龙一横路6号I栋6楼-7楼A7122房</t>
  </si>
  <si>
    <t>13802992603</t>
  </si>
  <si>
    <t>13640331449;020-36317591</t>
  </si>
  <si>
    <t>13802992603@139.com</t>
  </si>
  <si>
    <t>440111000062680</t>
  </si>
  <si>
    <t>68134621-7</t>
  </si>
  <si>
    <t>2008-11-27 至 无固定期限</t>
  </si>
  <si>
    <t>Guangzhou Guanning Door Industry Co., Ltd.</t>
  </si>
  <si>
    <t>广州市冠宁门业有限公司成立于2008-11-27，法定代表人为廖小宁，注册资本为50万元，统一社会信用代码为914401116813462171，企业注册地址位于广州市白云区鹤边鹤龙一横路6号I栋6楼-7楼A7122房，所属行业为家具制造业，经营范围包含：锯材加工;木片加工;单板加工;其他木材加工;胶合板制造;纤维板制造;刨花板制造;其他人造板制造;建筑用木料及木材组件加工;木门窗、楼梯制造;地板制造;木制容器制造;软木制品及其他木制品制造;木质家具制造;家具批发;家具零售;木制、塑料、皮革日用品零售。企业当前经营状态为存续。</t>
  </si>
  <si>
    <t>锯材加工;木片加工;单板加工;其他木材加工;胶合板制造;纤维板制造;刨花板制造;其他人造板制造;建筑用木料及木材组件加工;木门窗、楼梯制造;地板制造;木制容器制造;软木制品及其他木制品制造;木质家具制造;家具批发;家具零售;木制、塑料、皮革日用品零售</t>
  </si>
  <si>
    <t>张家港艺恒规划设计有限公司</t>
  </si>
  <si>
    <t>91320592MA21CJ7P8B</t>
  </si>
  <si>
    <t>张家港艺恒园林古建筑有限公司</t>
  </si>
  <si>
    <t>2020-04-28</t>
  </si>
  <si>
    <t>张家港市金港镇港区蟠港北路166号二楼</t>
  </si>
  <si>
    <t>13113357887</t>
  </si>
  <si>
    <t>13962224581;13584491101</t>
  </si>
  <si>
    <t>MA21CJ7P-8</t>
  </si>
  <si>
    <t>2020-04-28 至 无固定期限</t>
  </si>
  <si>
    <t>工程技术与设计服务</t>
  </si>
  <si>
    <t>规划设计管理</t>
  </si>
  <si>
    <t>Zhangjiagang Yiheng Planning and Design Co., Ltd.</t>
  </si>
  <si>
    <t>张家港艺恒规划设计有限公司成立于2020-04-28，法定代表人为梁敏浩，注册资本为500万元，统一社会信用代码为91320592MA21CJ7P8B，企业注册地址位于张家港市金港镇港区蟠港北路166号二楼，所属行业为专业技术服务业，经营范围包含：一般项目：规划设计管理；林业产品销售；工艺美术品及收藏品批发（象牙及其制品除外）；家具销售；货物进出口（除依法须经批准的项目外，凭营业执照依法自主开展经营活动）。企业当前经营状态为在业。</t>
  </si>
  <si>
    <t>一般项目：规划设计管理；林业产品销售；工艺美术品及收藏品批发（象牙及其制品除外）；家具销售；货物进出口（除依法须经批准的项目外，凭营业执照依法自主开展经营活动）</t>
  </si>
  <si>
    <t>临海市贤伟建筑工程设计有限公司</t>
  </si>
  <si>
    <t>91331082MA2KBW014N</t>
  </si>
  <si>
    <t>何贤伟</t>
  </si>
  <si>
    <t>2021-07-09</t>
  </si>
  <si>
    <t>浙江省台州市临海市古城街道两水村渡头山脚（靖江南路3号西面）（自主申报）</t>
  </si>
  <si>
    <t>台州市</t>
  </si>
  <si>
    <t>临海市</t>
  </si>
  <si>
    <t>13586112972</t>
  </si>
  <si>
    <t>13586112972@139.com</t>
  </si>
  <si>
    <t>64754861@qq.com</t>
  </si>
  <si>
    <t>331082000439657</t>
  </si>
  <si>
    <t>MA2KBW01-4</t>
  </si>
  <si>
    <t>2021-07-09 至 无固定期限</t>
  </si>
  <si>
    <t>工程设计活动</t>
  </si>
  <si>
    <t>Linhai Xianwei Construction Engineering Design Co., Ltd.</t>
  </si>
  <si>
    <t>临海市贤伟建筑工程设计有限公司成立于2021-07-09，法定代表人为何贤伟，注册资本为50万元，统一社会信用代码为91331082MA2KBW014N，企业注册地址位于浙江省台州市临海市古城街道两水村渡头山脚（靖江南路3号西面）（自主申报），所属行业为专业技术服务业，经营范围包含：许可项目：建设工程设计；各类工程建设活动（依法须经批准的项目，经相关部门批准后方可开展经营活动，具体经营项目以审批结果为准）。一般项目：木材销售；家具制造；门窗制造加工；楼梯制造；建筑材料销售；工艺美术品及礼仪用品制造（象牙及其制品除外）；家具安装和维修服务；工艺美术品及礼仪用品销售（象牙及其制品除外）；家具销售（除依法须经批准的项目外，凭营业执照依法自主开展经营活动）。企业当前经营状态为存续。</t>
  </si>
  <si>
    <t>许可项目：建设工程设计；各类工程建设活动（依法须经批准的项目，经相关部门批准后方可开展经营活动，具体经营项目以审批结果为准）。一般项目：木材销售；家具制造；门窗制造加工；楼梯制造；建筑材料销售；工艺美术品及礼仪用品制造（象牙及其制品除外）；家具安装和维修服务；工艺美术品及礼仪用品销售（象牙及其制品除外）；家具销售（除依法须经批准的项目外，凭营业执照依法自主开展经营活动）。</t>
  </si>
  <si>
    <t>临海市市场监督管理局</t>
  </si>
  <si>
    <t>石狮磊晶纺织有限公司</t>
  </si>
  <si>
    <t>91350581MA8RCQRH3Q</t>
  </si>
  <si>
    <t>注销（2025-08-20）</t>
  </si>
  <si>
    <t>李清娥</t>
  </si>
  <si>
    <t>1240万元</t>
  </si>
  <si>
    <t>福建省泉州市石狮市锦尚镇厝上村集控区3号</t>
  </si>
  <si>
    <t>13235958365</t>
  </si>
  <si>
    <t>963827568@qq.com</t>
  </si>
  <si>
    <t>350581400002882</t>
  </si>
  <si>
    <t>MA8RCQRH-3</t>
  </si>
  <si>
    <t>Shi Shi Lei Jing Textile Co., Ltd.</t>
  </si>
  <si>
    <t>石狮磊晶纺织有限公司成立于2021-01-25，法定代表人为李清娥，注册资本为1240万元，统一社会信用代码为91350581MA8RCQRH3Q，企业注册地址位于福建省泉州市石狮市锦尚镇厝上村集控区3号，所属行业为纺织业，经营范围包含：一般项目：针织或钩针编织物及其制品制造；针纺织品及原料销售；服装制造；纺织、服装及家庭用品批发；服装服饰零售；服装辅料销售；产业用纺织制成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不得在《外商投资准入负面清单》禁止外商投资的领域开展经营活动）。企业当前经营状态为注销。</t>
  </si>
  <si>
    <t>一般项目：针织或钩针编织物及其制品制造；针纺织品及原料销售；服装制造；纺织、服装及家庭用品批发；服装服饰零售；服装辅料销售；产业用纺织制成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不得在《外商投资准入负面清单》禁止外商投资的领域开展经营活动）</t>
  </si>
  <si>
    <t>山东森道尔新材料有限公司</t>
  </si>
  <si>
    <t>91371300MA7HFA8Y3W</t>
  </si>
  <si>
    <t>注销（2025-12-01）</t>
  </si>
  <si>
    <t>王秀峰</t>
  </si>
  <si>
    <t>2022-01-24</t>
  </si>
  <si>
    <t>山东省临沂市综合保税区沂河二路与蒙山二路交汇东北205-05006号</t>
  </si>
  <si>
    <t>河东区</t>
  </si>
  <si>
    <t>17368120461</t>
  </si>
  <si>
    <t>dsmtex99@163.com</t>
  </si>
  <si>
    <t>371334200043616</t>
  </si>
  <si>
    <t>MA7HFA8Y-3</t>
  </si>
  <si>
    <t>2022-01-24 至 无固定期限</t>
  </si>
  <si>
    <t>Shandong Sendor New Material Co., Ltd.</t>
  </si>
  <si>
    <t>山东森道尔新材料有限公司成立于2022-01-24，法定代表人为王秀峰，注册资本为500万元，统一社会信用代码为91371300MA7HFA8Y3W，企业注册地址位于山东省临沂市综合保税区沂河二路与蒙山二路交汇东北205-05006号，所属行业为批发业，经营范围包含：一般项目：化工产品销售（不含许可类化工产品）；产业用纺织制成品销售；针纺织品及原料销售；针纺织品销售；纸制品销售；机械设备销售；劳动保护用品销售；建筑材料销售；建筑装饰材料销售；塑料制品销售；日用木制品销售；家居用品销售；互联网销售（除销售需要许可的商品）；信息咨询服务（不含许可类信息咨询服务）；货物进出口；技术进出口。（除依法须经批准的项目外，凭营业执照依法自主开展经营活动）。企业当前经营状态为注销。</t>
  </si>
  <si>
    <t>一般项目：化工产品销售（不含许可类化工产品）；产业用纺织制成品销售；针纺织品及原料销售；针纺织品销售；纸制品销售；机械设备销售；劳动保护用品销售；建筑材料销售；建筑装饰材料销售；塑料制品销售；日用木制品销售；家居用品销售；互联网销售（除销售需要许可的商品）；信息咨询服务（不含许可类信息咨询服务）；货物进出口；技术进出口。（除依法须经批准的项目外，凭营业执照依法自主开展经营活动）</t>
  </si>
  <si>
    <t>临沂市市场监督管理局沂河新区分局</t>
  </si>
  <si>
    <t>徐州良康木业有限公司</t>
  </si>
  <si>
    <t>91320321551159018A</t>
  </si>
  <si>
    <t>徐州良康食品有限公司</t>
  </si>
  <si>
    <t>石桂荣</t>
  </si>
  <si>
    <t>2010-02-08</t>
  </si>
  <si>
    <t>丰县赵庄镇工业园区</t>
  </si>
  <si>
    <t>18901588208</t>
  </si>
  <si>
    <t>13585469888;17163373333;0516-89336999</t>
  </si>
  <si>
    <t>320321000070108</t>
  </si>
  <si>
    <t>55115901-8</t>
  </si>
  <si>
    <t>2010-02-08 至 无固定期限</t>
  </si>
  <si>
    <t>Xuzhou Liangkang Wood Industry Co., Ltd.</t>
  </si>
  <si>
    <t>徐州良康木业有限公司成立于2010-02-08，法定代表人为石桂荣，注册资本为200万元，统一社会信用代码为91320321551159018A，企业注册地址位于丰县赵庄镇工业园区，所属行业为木材加工和木、竹、藤、棕、草制品业，经营范围包含：实木门 、钢木门、实木套装门、免漆门、防火门、木饰面、门套、木楼梯、密度板、纤维板、木方、木线条、板材、橱柜、木材加工与销售。（依法须经批准的项目，经相关部门批准后方可开展经营活动）。企业当前经营状态为存续。</t>
  </si>
  <si>
    <t>实木门 、钢木门、实木套装门、免漆门、防火门、木饰面、门套、木楼梯、密度板、纤维板、木方、木线条、板材、橱柜、木材加工与销售。（依法须经批准的项目，经相关部门批准后方可开展经营活动）</t>
  </si>
  <si>
    <t>尚谷禾逸（镇江）食品科技有限公司</t>
  </si>
  <si>
    <t>91321191MA1MNUX06F</t>
  </si>
  <si>
    <t>荣海生物科技有限公司</t>
  </si>
  <si>
    <t>董辉</t>
  </si>
  <si>
    <t>28466.67万元</t>
  </si>
  <si>
    <t>25666.67万元</t>
  </si>
  <si>
    <t>2016-06-29</t>
  </si>
  <si>
    <t>镇江新区横山路85号</t>
  </si>
  <si>
    <t>镇江新区</t>
  </si>
  <si>
    <t>0511-83372100</t>
  </si>
  <si>
    <t>0511-83371766</t>
  </si>
  <si>
    <t>ronghaishengwu@ronghaibio.com</t>
  </si>
  <si>
    <t>rhsw@ronghai-health.com</t>
  </si>
  <si>
    <t>321191000088820</t>
  </si>
  <si>
    <t>MA1MNUX0-6</t>
  </si>
  <si>
    <t>613</t>
  </si>
  <si>
    <t>2016-06-29 至 无固定期限</t>
  </si>
  <si>
    <t>Shanggu Heyi (Zhenjiang) Food Technology Co., Ltd.</t>
  </si>
  <si>
    <t>尚谷禾逸（镇江）食品科技有限公司是一家集研发、生产功能性植物水解蛋白肽、保健食用油，提纯亚麻酸、亚麻胶、木酚素、维生素E等高科技营养素为核心产业的科技型企业。公司注册资金2亿人民币，在江苏省镇江新区建成占地面积160亩现代化大豆肽生产基地及保健食用油生产基地项目，一期投资约10亿人民币，投产后年产值可达60~70亿人民币。在未来发展中，公司坚持改革创新，以企业价值最大化为目标，积极为股东创造效益。进一步明晰发展方向，发挥核心技术优势，大力培育和发展生物保健、高端食品等重点产业，走能源、资源、原材料依赖性少，科技含量高、附加值高、市场容量大、环保、节能、清洁生产的产业发展道路，延伸产业链，打造核心产业，加快转型升级。做好资源整合，通过资本运作，积极开展商业模式创新，加快开拓公司发展新的增长点，不断优化和推进公司的可持续发展、跨越发展，努力把公司打造成为中国名牌优质企业。</t>
  </si>
  <si>
    <t>生物制品的技术研发、技术转让、技术咨询服务；各类商品及技术的进出口业务；食用保健油、大豆肽及含肽类食品的生产，销售本公司生产的产品。（依法须经批准的项目，经相关部门批准后方可开展经营活动）化工产品销售（不含许可类化工产品）（除依法须经批准的项目外，凭营业执照依法自主开展经营活动）
许可项目：食品生产；食品经营（销售预包装食品）；食品经营（销售散装食品）；饲料生产；食品添加剂生产；食品销售；食品互联网销售；饮料生产（依法须经批准的项目，经相关部门批准后方可开展经营活动，具体经营项目以审批结果为准）
一般项目：技术推广服务；技术服务、技术开发、技术咨询、技术交流、技术转让、技术推广；成品油仓储（不含危险化学品）；普通货物仓储服务（不含危险化学品等需许可审批的项目）；初级农产品收购；化工产品销售（不含许可类化工产品）；技术进出口；货物进出口；畜牧渔业饲料销售；农副产品销售；包装服务；饲料原料销售；谷物销售；食品添加剂销售；非食用农产品初加工；食用农产品初加工；食用农产品批发；食用农产品零售；专用化学产品销售（不含危险化学品）；供应链管理服务；粮油仓储服务（除依法须经批准的项目外，凭营业执照依法自主开展经营活动）</t>
  </si>
  <si>
    <t>镇江新区行政审批局</t>
  </si>
  <si>
    <t>临沂市兰山区凯泽单板厂</t>
  </si>
  <si>
    <t>91371302MA3EKYF889</t>
  </si>
  <si>
    <t>临沂市兰山区凯泽板材厂</t>
  </si>
  <si>
    <t>付庆尚</t>
  </si>
  <si>
    <t>2017-09-22</t>
  </si>
  <si>
    <t>山东省临沂市兰山区义堂镇东墠村</t>
  </si>
  <si>
    <t>13792921810</t>
  </si>
  <si>
    <t>18753957645;17854902028</t>
  </si>
  <si>
    <t>18753957645@163.com</t>
  </si>
  <si>
    <t>13792921810@163.com;17854902028@163.com</t>
  </si>
  <si>
    <t>371302300114072</t>
  </si>
  <si>
    <t>MA3EKYF8-8</t>
  </si>
  <si>
    <t>Kaize Single Board Factory In Lanshan District, Linyi City</t>
  </si>
  <si>
    <t>加工销售：单板、木皮（依法须经批准的项目，经相关部门批准后方可开展经营活动）</t>
  </si>
  <si>
    <t>西部机场集团青海机场有限公司</t>
  </si>
  <si>
    <t>91630000624860041K</t>
  </si>
  <si>
    <t>任小森</t>
  </si>
  <si>
    <t>52816万元</t>
  </si>
  <si>
    <t>52816.39万元</t>
  </si>
  <si>
    <t>2003-11-06</t>
  </si>
  <si>
    <t>青海省西宁市八一西路32号</t>
  </si>
  <si>
    <t>青海省</t>
  </si>
  <si>
    <t>西宁市</t>
  </si>
  <si>
    <t>城东区</t>
  </si>
  <si>
    <t>0971-8813015</t>
  </si>
  <si>
    <t>0971-8813019;0971-8813021;0975-8358913;0971-8188099;0979-7265253;0970-7680725;0976-8813204</t>
  </si>
  <si>
    <t>wangjj10@westaport.com</t>
  </si>
  <si>
    <t>caodl@westaport.com;haorf@westaport.com;627563469@qq.com;yangjinfeng519@163.com</t>
  </si>
  <si>
    <t>630000100020171</t>
  </si>
  <si>
    <t>62486004-1</t>
  </si>
  <si>
    <t>2003-11-06 至 2043-11-05</t>
  </si>
  <si>
    <t>航空运输业</t>
  </si>
  <si>
    <t>航空客货运输</t>
  </si>
  <si>
    <t>West Airport Group Qinghai Airport Co., Ltd.</t>
  </si>
  <si>
    <t>西部机场集团青海机场有限公司以航空地面保障服务为主业，兼营客、货运销售代理，旅客住宿与餐饮，汽车运输等多元化业务。其运营机场，销售农副产品、日用百货、保健食品、金属新材料等。该公司连续17年被评为青海省安全生产先进企业，荣获青海省文明单位、青海省用户满意企业等多项荣誉。2024年11月其民用机场运营过程所涉及的能源管理活动获得能源管理体系认证。</t>
  </si>
  <si>
    <t>一般项目：农副产品销售；日用百货销售；金属材料销售；建筑材料销售；日用品销售；母婴用品销售；箱包销售；五金产品零售；电子产品销售；停车场服务；旅客票务代理；航空运输货物打包服务；装卸搬运；物业管理；土地使用权租赁；柜台、摊位出租；住房租赁；非居住房地产租赁；汽车租赁；酒店管理；广告设计、代理；票务代理服务；广告制作；礼仪服务；日用电器修理；洗车服务；供暖服务；广告发布（非广播电台、电视台、报刊出版单位）；住宅水电安装维护服务；污水处理及其再生利用；普通货物仓储服务（不含危险化学品等需许可审批的项目）；机械设备租赁；电子元器件与机电组件设备制造；建筑工程机械与设备租赁；运输设备租赁服务；航空运营支持服务；电子、机械设备维护（不含特种设备）；会议及展览服务；机动车修理和维护；运输货物打包服务；国内货物运输代理；化妆品零售；航空商务服务（除依法须经批准的项目外，凭营业执照依法自主开展经营活动）。许可项目：食品经营（销售预包装食品）；保健食品销售；酒类经营；道路旅客运输经营；公共航空运输；通用航空服务；民用机场经营；住宿服务；餐饮服务；保险代理业务；房地产开发经营；旅游业务；民用航空器维修；道路货物运输（不含危险货物）；食品经营（销售散装食品）；乳制品生产；烟草制品零售；婴幼儿配方乳粉销售；供电业务；餐厨垃圾处理（依法须经批准的项目，经相关部门批准后方可开展经营活动，具体经营项目以审批结果为准）。</t>
  </si>
  <si>
    <t>青海省市场监督管理局</t>
  </si>
  <si>
    <t>河南华成毛纺有限公司</t>
  </si>
  <si>
    <t>914114007474122140</t>
  </si>
  <si>
    <t>朱法洪</t>
  </si>
  <si>
    <t>2003-03-06</t>
  </si>
  <si>
    <t>商丘市人民路348号</t>
  </si>
  <si>
    <t>梁园区</t>
  </si>
  <si>
    <t>13915237075</t>
  </si>
  <si>
    <t>0370-6733808;0370-6733809;0370-2966997;0512-58125868;0512-58172999;0370-2811519;020-83220165;0370-2966692</t>
  </si>
  <si>
    <t>983351425@qq.com</t>
  </si>
  <si>
    <t>hnhuacheng@126.com</t>
  </si>
  <si>
    <t>411400100008401</t>
  </si>
  <si>
    <t>74741221-4</t>
  </si>
  <si>
    <t>206</t>
  </si>
  <si>
    <t>2003-03-06 至 无固定期限</t>
  </si>
  <si>
    <t>Henan Huacheng Woolen Co., Ltd.</t>
  </si>
  <si>
    <t>河南华成毛纺有限公司是一家以生产精、粗纺毛织品为主的股份制企业。主要产品包括高支轻薄全毛系列、高支轻薄毛混纺系列、毛混纺休闲系列、多功能和特种面料系列等，粗纺生产线年产粗纺呢绒150万米，品种有中高档顺毛、立绒、麦尔登及花呢系列，还涉足服装与商品进出口贸易。2023年9月，其毛纺织品（服装面料）的生产及相关管理活动获得环境管理体系认证、中国职业健康安全管理体系认证，毛纺织品（服装面料）的生产获得质量管理体系认证（ISO9001）。</t>
  </si>
  <si>
    <t>纺织品、服装生产、加工、销售；纺织原料、纺织品、纺机设备及配件的销售；自营和代理各类商品和技术进出口，但国家限定公司经营或禁止进出口的商品及技术除外。</t>
  </si>
  <si>
    <t>商丘市市场监督管理局</t>
  </si>
  <si>
    <t>张家港市森和贸易有限公司</t>
  </si>
  <si>
    <t>91320592MAD1C0C385</t>
  </si>
  <si>
    <t>方校超</t>
  </si>
  <si>
    <t>2023-10-25</t>
  </si>
  <si>
    <t>张家港市金港街道长江中路219号汇港商务楼幢B308室-1</t>
  </si>
  <si>
    <t>320592000234327</t>
  </si>
  <si>
    <t>MAD1C0C3-8</t>
  </si>
  <si>
    <t>2023-10-25 至 无固定期限</t>
  </si>
  <si>
    <t>Zhangjiagang Senhe Trading Co., Ltd.</t>
  </si>
  <si>
    <t>张家港市森和贸易有限公司成立于2023-10-25，法定代表人为方校超，注册资本为100万元，统一社会信用代码为91320592MAD1C0C385，企业注册地址位于张家港市金港街道长江中路219号汇港商务楼幢B308室-1，所属行业为批发业，经营范围包含：许可项目：建设工程施工（依法须经批准的项目，经相关部门批准后方可开展经营活动，具体经营项目以审批结果为准）一般项目：木材销售；建筑材料销售；建筑装饰材料销售；林业产品销售；软木制品销售；日用木制品销售；家具销售；保温材料销售；防腐材料销售；建筑陶瓷制品销售；日用玻璃制品销售；五金产品批发；五金产品零售；木材收购；园林绿化工程施工；对外承包工程；货物进出口；技术进出口；进出口代理；国内贸易代理；销售代理（除依法须经批准的项目外，凭营业执照依法自主开展经营活动）。企业当前经营状态为存续。</t>
  </si>
  <si>
    <t>许可项目：建设工程施工（依法须经批准的项目，经相关部门批准后方可开展经营活动，具体经营项目以审批结果为准）一般项目：木材销售；建筑材料销售；建筑装饰材料销售；林业产品销售；软木制品销售；日用木制品销售；家具销售；保温材料销售；防腐材料销售；建筑陶瓷制品销售；日用玻璃制品销售；五金产品批发；五金产品零售；木材收购；园林绿化工程施工；对外承包工程；货物进出口；技术进出口；进出口代理；国内贸易代理；销售代理（除依法须经批准的项目外，凭营业执照依法自主开展经营活动）</t>
  </si>
  <si>
    <t>张家港市隆启木业有限公司</t>
  </si>
  <si>
    <t>91320592MADFNNTD30</t>
  </si>
  <si>
    <t>彭彬</t>
  </si>
  <si>
    <t>2024-03-25</t>
  </si>
  <si>
    <t>张家港市金港街道长江中路309号B406室-1</t>
  </si>
  <si>
    <t>320592000240739</t>
  </si>
  <si>
    <t>MADFNNTD-3</t>
  </si>
  <si>
    <t>2024-03-25 至 无固定期限</t>
  </si>
  <si>
    <t>Zhangjiagang Longqi Wood Industry Co., Ltd.</t>
  </si>
  <si>
    <t>张家港市隆启木业有限公司成立于2024-03-25，法定代表人为彭彬，注册资本为100万元，统一社会信用代码为91320592MADFNNTD30，企业注册地址位于张家港市金港街道长江中路309号B406室-1，所属行业为批发业，经营范围包含：一般项目：木材销售；软木制品销售；日用木制品销售；地板销售；门窗销售；木制玩具销售；建筑材料销售；工艺美术品及礼仪用品销售（象牙及其制品除外）；人造板销售；楼梯销售；家具零配件销售；家具销售；园林绿化工程施工；货物进出口；技术进出口；进出口代理（除依法须经批准的项目外，凭营业执照依法自主开展经营活动）。企业当前经营状态为在业。</t>
  </si>
  <si>
    <t>一般项目：木材销售；软木制品销售；日用木制品销售；地板销售；门窗销售；木制玩具销售；建筑材料销售；工艺美术品及礼仪用品销售（象牙及其制品除外）；人造板销售；楼梯销售；家具零配件销售；家具销售；园林绿化工程施工；货物进出口；技术进出口；进出口代理（除依法须经批准的项目外，凭营业执照依法自主开展经营活动）</t>
  </si>
  <si>
    <t>山东高唐晟达织业有限公司</t>
  </si>
  <si>
    <t>913715267973261975</t>
  </si>
  <si>
    <t>臧勇邦</t>
  </si>
  <si>
    <t>31万元</t>
  </si>
  <si>
    <t>2007-01-05</t>
  </si>
  <si>
    <t>高唐县韩寨供销合作社院内</t>
  </si>
  <si>
    <t>高唐县</t>
  </si>
  <si>
    <t>0635-3703777</t>
  </si>
  <si>
    <t>0635-3703999;15562853088;0635-3701999</t>
  </si>
  <si>
    <t>604742474@qq.com</t>
  </si>
  <si>
    <t>yeping333@163.com;yueping333@163.com</t>
  </si>
  <si>
    <t>371526228011196</t>
  </si>
  <si>
    <t>79732619-7</t>
  </si>
  <si>
    <t>2007-01-05 至 无固定期限</t>
  </si>
  <si>
    <t>Shandong Gaotang Shengda Weaving Co., Ltd.</t>
  </si>
  <si>
    <t>山东高唐晟达织业有限公司成立于2007-01-05，法定代表人为臧勇邦，注册资本为31万元，统一社会信用代码为913715267973261975，企业注册地址位于高唐县韩寨供销合作社院内，所属行业为纺织业，经营范围包含：一般项目：面料纺织加工；针纺织品销售；针纺织品及原料销售；光伏发电设备租赁；太阳能发电技术服务。（除依法须经批准的项目外，凭营业执照依法自主开展经营活动）。企业当前经营状态为在业。</t>
  </si>
  <si>
    <t>一般项目：面料纺织加工；针纺织品销售；针纺织品及原料销售；光伏发电设备租赁；太阳能发电技术服务。（除依法须经批准的项目外，凭营业执照依法自主开展经营活动）</t>
  </si>
  <si>
    <t>高唐县市场监督管理局</t>
  </si>
  <si>
    <t>贵州和美服饰有限公司</t>
  </si>
  <si>
    <t>91520327MACQ0QH60G</t>
  </si>
  <si>
    <t>李鹏</t>
  </si>
  <si>
    <t>2023-07-28</t>
  </si>
  <si>
    <t>贵州省遵义市凤冈县花坪街道彰教工业园区B-24号楼四楼</t>
  </si>
  <si>
    <t>凤冈县</t>
  </si>
  <si>
    <t>13048334999</t>
  </si>
  <si>
    <t>13048334999@qq.com</t>
  </si>
  <si>
    <t>520327000315185</t>
  </si>
  <si>
    <t>MACQ0QH6-0</t>
  </si>
  <si>
    <t>2023-07-28 至 无固定期限</t>
  </si>
  <si>
    <t>Guizhou Hemei Clothing Co., Ltd.</t>
  </si>
  <si>
    <t>贵州和美服饰有限公司成立于2023-07-28，法定代表人为李鹏，注册资本为50万元，统一社会信用代码为91520327MACQ0QH60G，企业注册地址位于贵州省遵义市凤冈县花坪街道彰教工业园区B-24号楼四楼，所属行业为纺织服装、服饰业，经营范围包含：法律、法规、国务院决定规定禁止的不得经营；法律、法规、国务院决定规定应当许可（审批）的，经审批机关批准后凭许可（审批）文件经营;法律、法规、国务院决定规定无需许可（审批）的，市场主体自主选择经营。（一般项目：服装制造；服饰制造；服装辅料制造；绣花加工；鞋制造；箱包制造；皮革制品制造；羽毛（绒）及制品制造；汽车装饰用品制造；面料纺织加工；针织或钩针编织物及其制品制造；针纺织品及原料销售；服装服饰批发；鞋帽批发；办公设备销售；家用纺织制成品制造；产业用纺织制成品制造；纺纱加工；棉花加工；文具制造；美发饰品生产；体育用品及器材制造；玩具制造；户外用品销售；日用品销售；装卸搬运；普通货物仓储服务（不含危险化学品等需许可审批的项目）；区块链技术相关软件和服务；大数据服务；信息咨询服务（不含许可类信息咨询服务）；咨询策划服务（除许可业务外，可自主依法经营法律法规非禁止或限制的项目））。企业当前经营状态为存续。</t>
  </si>
  <si>
    <t>法律、法规、国务院决定规定禁止的不得经营；法律、法规、国务院决定规定应当许可（审批）的，经审批机关批准后凭许可（审批）文件经营;法律、法规、国务院决定规定无需许可（审批）的，市场主体自主选择经营。（一般项目：服装制造；服饰制造；服装辅料制造；绣花加工；鞋制造；箱包制造；皮革制品制造；羽毛（绒）及制品制造；汽车装饰用品制造；面料纺织加工；针织或钩针编织物及其制品制造；针纺织品及原料销售；服装服饰批发；鞋帽批发；办公设备销售；家用纺织制成品制造；产业用纺织制成品制造；纺纱加工；棉花加工；文具制造；美发饰品生产；体育用品及器材制造；玩具制造；户外用品销售；日用品销售；装卸搬运；普通货物仓储服务（不含危险化学品等需许可审批的项目）；区块链技术相关软件和服务；大数据服务；信息咨询服务（不含许可类信息咨询服务）；咨询策划服务（除许可业务外，可自主依法经营法律法规非禁止或限制的项目））</t>
  </si>
  <si>
    <t>遵义市凤冈县市场监督管理局</t>
  </si>
  <si>
    <t>广西永盛石油化工有限公司销售分公司</t>
  </si>
  <si>
    <t>91450704MAA7BPEF1H</t>
  </si>
  <si>
    <t>丁浩</t>
  </si>
  <si>
    <t>2021-11-15</t>
  </si>
  <si>
    <t>钦州市钦州港金海湾花园晨光路1号海名轩海逸轩3单元1505号房</t>
  </si>
  <si>
    <t>0771-5739981</t>
  </si>
  <si>
    <t>15277004725</t>
  </si>
  <si>
    <t>ys@gxyssh.com</t>
  </si>
  <si>
    <t>870433403@qq.com</t>
  </si>
  <si>
    <t>有限责任公司分公司（非自然人投资或控股的法人独资）</t>
  </si>
  <si>
    <t>450704000132736</t>
  </si>
  <si>
    <t>MAA7BPEF-1</t>
  </si>
  <si>
    <t>2021-11-15 至 无固定期限</t>
  </si>
  <si>
    <t>Guangxi Yongsheng Petrochemical Co., Ltd. Sales Branch</t>
  </si>
  <si>
    <t>广西永盛石油化工有限公司销售分公司成立于2021-11-15，负责人为丁浩，统一社会信用代码为91450704MAA7BPEF1H，企业注册地址位于钦州市钦州港金海湾花园晨光路1号海名轩海逸轩3单元1505号房，所属行业为石油、煤炭及其他燃料加工业，经营范围包含：许可项目：危险化学品经营；成品油批发（依法须经批准的项目，经相关部门批准后方可开展经营活动，具体经营项目以相关部门批准文件或许可证件为准）。企业当前经营状态为存续。</t>
  </si>
  <si>
    <t>许可项目：危险化学品经营；成品油批发（依法须经批准的项目，经相关部门批准后方可开展经营活动，具体经营项目以相关部门批准文件或许可证件为准）</t>
  </si>
  <si>
    <t>中国—马来西亚钦州产业园区行政审批局</t>
  </si>
  <si>
    <t>开平市达一织染实业有限公司</t>
  </si>
  <si>
    <t>91440783771863277F</t>
  </si>
  <si>
    <t>吴忠强</t>
  </si>
  <si>
    <t>2005-02-23</t>
  </si>
  <si>
    <t>开平市蚬冈镇工业园B2区2号</t>
  </si>
  <si>
    <t>0750-2522888</t>
  </si>
  <si>
    <t>1993405810@qq.com</t>
  </si>
  <si>
    <t>kpdayi@163.com;kpdayi@126.com</t>
  </si>
  <si>
    <t>440783000005298</t>
  </si>
  <si>
    <t>77186327-7</t>
  </si>
  <si>
    <t>2005-02-23 至 无固定期限</t>
  </si>
  <si>
    <t>Kaiping Dayi Weaving and Dyeing Industry Co., Ltd.</t>
  </si>
  <si>
    <t>开平市达一织染实业有限公司成立于2005-02-23，法定代表人为吴忠强，注册资本为500万元，统一社会信用代码为91440783771863277F，企业注册地址位于开平市蚬冈镇工业园B2区2号，所属行业为纺织业，经营范围包含：加工、销售：染纱、纺纱、色织、印染、服装（列入国家《淘汰落后能力、工艺和产品的目录》的项目不得经营）；厂房、机械设备租赁；货物进出口、技术进出口（法律、行政法规禁止的项目不得经营；法律、行政法规限制的项目需取得许可后方可经营）。（依法须经批准的项目，经相关部门批准后方可开展经营活动）。企业当前经营状态为在业。</t>
  </si>
  <si>
    <t>加工、销售：染纱、纺纱、色织、印染、服装（列入国家《淘汰落后能力、工艺和产品的目录》的项目不得经营）；厂房、机械设备租赁；货物进出口、技术进出口（法律、行政法规禁止的项目不得经营；法律、行政法规限制的项目需取得许可后方可经营）。（依法须经批准的项目，经相关部门批准后方可开展经营活动）</t>
  </si>
  <si>
    <t>开平市市场监督管理局</t>
  </si>
  <si>
    <t>佛山市万美佳纺织有限公司</t>
  </si>
  <si>
    <t>91440605MACXWA8J75</t>
  </si>
  <si>
    <t>马宽进</t>
  </si>
  <si>
    <t>2023-09-18</t>
  </si>
  <si>
    <t>佛山市南海区大沥镇盐步平地村委会“原平地中学”的平地轻纺城2F-M206（住所申报）</t>
  </si>
  <si>
    <t>18689299222</t>
  </si>
  <si>
    <t>475103519@qq.com</t>
  </si>
  <si>
    <t>440682013015078</t>
  </si>
  <si>
    <t>MACXWA8J-7</t>
  </si>
  <si>
    <t>2023-09-18 至 无固定期限</t>
  </si>
  <si>
    <t>Foshan Wanmeijia Textile Co., Ltd.</t>
  </si>
  <si>
    <t>佛山市万美佳纺织有限公司成立于2023-09-18，法定代表人为马宽进，注册资本为100万元，统一社会信用代码为91440605MACXWA8J75，企业注册地址位于佛山市南海区大沥镇盐步平地村委会“原平地中学”的平地轻纺城2F-M206（住所申报），所属行业为批发业，经营范围包含：一般项目：针纺织品销售；针纺织品及原料销售；互联网销售（除销售需要许可的商品）；服装服饰批发；服装服饰零售；鞋帽批发；鞋帽零售。（除依法须经批准的项目外，凭营业执照依法自主开展经营活动）。企业当前经营状态为存续。</t>
  </si>
  <si>
    <t>一般项目：针纺织品销售；针纺织品及原料销售；互联网销售（除销售需要许可的商品）；服装服饰批发；服装服饰零售；鞋帽批发；鞋帽零售。（除依法须经批准的项目外，凭营业执照依法自主开展经营活动）</t>
  </si>
  <si>
    <t>南综汇鑫（上海）能源科技有限公司</t>
  </si>
  <si>
    <t>91310000MABUJQ295M</t>
  </si>
  <si>
    <t>鲁绪乐</t>
  </si>
  <si>
    <t>40000万元</t>
  </si>
  <si>
    <t>2022-08-18</t>
  </si>
  <si>
    <t>上海市普陀区曹杨路1888弄11号5楼503室-27</t>
  </si>
  <si>
    <t>普陀区</t>
  </si>
  <si>
    <t>19301329578</t>
  </si>
  <si>
    <t>15179130656</t>
  </si>
  <si>
    <t>310142000550337</t>
  </si>
  <si>
    <t>MABUJQ29-5</t>
  </si>
  <si>
    <t>2022-08-18 至 无固定期限</t>
  </si>
  <si>
    <t>Nanzonghuixin (Shanghai) Energy Technology Co., Ltd.</t>
  </si>
  <si>
    <t>南综汇鑫（上海）能源科技有限公司成立于2022-08-18，法定代表人为鲁绪乐，注册资本为40000万元，统一社会信用代码为91310000MABUJQ295M，企业注册地址位于上海市普陀区曹杨路1888弄11号5楼503室-27，所属行业为科技推广和应用服务业，经营范围包含：一般项目：技术服务、技术开发、技术咨询、技术交流、技术转让、技术推广；石油制品销售（不含危险化学品）；成品油批发（不含危险化学品）；非金属矿及制品销售；金属材料销售；化工产品销售（不含许可类化工产品）；专用化学产品销售（不含危险化学品）；国内贸易代理；煤炭及制品销售；日用百货销售；日用品销售；润滑油销售；日用化学产品销售；建筑材料销售；五金产品零售；五金产品批发；机械设备销售；针纺织品及原料销售；建筑装饰材料销售；电线、电缆经营；金银制品销售；有色金属合金销售；橡胶制品销售；肥料销售；木材销售；货物进出口；技术进出口；进出口代理；汽车销售；新能源汽车整车销售；汽车零配件批发；光伏设备及元器件销售。（除依法须经批准的项目外，凭营业执照依法自主开展经营活动）许可项目：成品油零售（不含危险化学品）；危险化学品经营。（依法须经批准的项目，经相关部门批准后方可开展经营活动，具体经营项目以相关部门批准文件或许可证件为准）。企业当前经营状态为存续。</t>
  </si>
  <si>
    <t>一般项目：技术服务、技术开发、技术咨询、技术交流、技术转让、技术推广；石油制品销售（不含危险化学品）；成品油批发（不含危险化学品）；非金属矿及制品销售；金属材料销售；化工产品销售（不含许可类化工产品）；专用化学产品销售（不含危险化学品）；国内贸易代理；煤炭及制品销售；日用百货销售；日用品销售；润滑油销售；日用化学产品销售；建筑材料销售；五金产品零售；五金产品批发；机械设备销售；针纺织品及原料销售；建筑装饰材料销售；电线、电缆经营；金银制品销售；有色金属合金销售；橡胶制品销售；肥料销售；木材销售；货物进出口；技术进出口；进出口代理；汽车销售；新能源汽车整车销售；汽车零配件批发；光伏设备及元器件销售。（除依法须经批准的项目外，凭营业执照依法自主开展经营活动）许可项目：成品油零售（不含危险化学品）；危险化学品经营。（依法须经批准的项目，经相关部门批准后方可开展经营活动，具体经营项目以相关部门批准文件或许可证件为准）</t>
  </si>
  <si>
    <t>普陀区市场监督管理局</t>
  </si>
  <si>
    <t>佛山市阿喜家纺织有限公司</t>
  </si>
  <si>
    <t>91440604MADPWXTW4X</t>
  </si>
  <si>
    <t>冯佳喜</t>
  </si>
  <si>
    <t>99.9999万元</t>
  </si>
  <si>
    <t>2024-06-18</t>
  </si>
  <si>
    <t>佛山市禅城区张槎街道张槎三路12号二层（自编西16号）（住所申报）</t>
  </si>
  <si>
    <t>13533338444</t>
  </si>
  <si>
    <t>13533338444@135.com</t>
  </si>
  <si>
    <t>440602011952995</t>
  </si>
  <si>
    <t>MADPWXTW-4</t>
  </si>
  <si>
    <t>2024-06-18 至 无固定期限</t>
  </si>
  <si>
    <t>Foshan Axijia Textile Co., Ltd.</t>
  </si>
  <si>
    <t>佛山市阿喜家纺织有限公司成立于2024-06-18，法定代表人为冯佳喜，注册资本为99.9999万元，统一社会信用代码为91440604MADPWXTW4X，企业注册地址位于佛山市禅城区张槎街道张槎三路12号二层（自编西16号）（住所申报），所属行业为批发业，经营范围包含：一般项目：针纺织品及原料销售；产业用纺织制成品销售；国内贸易代理。（除依法须经批准的项目外，凭营业执照依法自主开展经营活动）。企业当前经营状态为存续。</t>
  </si>
  <si>
    <t>一般项目：针纺织品及原料销售；产业用纺织制成品销售；国内贸易代理。（除依法须经批准的项目外，凭营业执照依法自主开展经营活动）</t>
  </si>
  <si>
    <t>汕头市冠嘉服饰有限公司</t>
  </si>
  <si>
    <t>91440514MAD6DUN059</t>
  </si>
  <si>
    <t>孙荣华</t>
  </si>
  <si>
    <t>2023-12-15</t>
  </si>
  <si>
    <t>汕头市潮南区峡山街道丹凤路桃新路段578号第二层</t>
  </si>
  <si>
    <t>13531208630</t>
  </si>
  <si>
    <t>13531208630@qq.com</t>
  </si>
  <si>
    <t>440581000137266</t>
  </si>
  <si>
    <t>MAD6DUN0-5</t>
  </si>
  <si>
    <t>2023-12-15 至 无固定期限</t>
  </si>
  <si>
    <t>Shantou Guanjia Clothing Co., Ltd.</t>
  </si>
  <si>
    <t>汕头市冠嘉服饰有限公司成立于2023-12-15，法定代表人为孙荣华，注册资本为100万元，统一社会信用代码为91440514MAD6DUN059，企业注册地址位于汕头市潮南区峡山街道丹凤路桃新路段578号第二层，所属行业为纺织服装、服饰业，经营范围包含：一般项目：服饰制造；服装制造；服装服饰批发；服装服饰零售；服装辅料销售；针纺织品及原料销售；日用品销售；化妆品零售；母婴用品销售；个人卫生用品销售；箱包销售；鞋帽零售；办公用品销售；电子产品销售；工艺美术品及礼仪用品销售（象牙及其制品除外）；互联网销售（除销售需要许可的商品）；市场营销策划；企业形象策划；会议及展览服务；信息技术咨询服务；社会经济咨询服务；摄像及视频制作服务；平面设计；图文设计制作；网络技术服务；技术服务、技术开发、技术咨询、技术交流、技术转让、技术推广。（除依法须经批准的项目外，凭营业执照依法自主开展经营活动）。企业当前经营状态为存续。</t>
  </si>
  <si>
    <t>一般项目：服饰制造；服装制造；服装服饰批发；服装服饰零售；服装辅料销售；针纺织品及原料销售；日用品销售；化妆品零售；母婴用品销售；个人卫生用品销售；箱包销售；鞋帽零售；办公用品销售；电子产品销售；工艺美术品及礼仪用品销售（象牙及其制品除外）；互联网销售（除销售需要许可的商品）；市场营销策划；企业形象策划；会议及展览服务；信息技术咨询服务；社会经济咨询服务；摄像及视频制作服务；平面设计；图文设计制作；网络技术服务；技术服务、技术开发、技术咨询、技术交流、技术转让、技术推广。（除依法须经批准的项目外，凭营业执照依法自主开展经营活动）</t>
  </si>
  <si>
    <t>湖南大有国联能源有限公司</t>
  </si>
  <si>
    <t>91430600799111050A</t>
  </si>
  <si>
    <t>岳阳市鼎盛石油化工有限公司</t>
  </si>
  <si>
    <t>已涤除</t>
  </si>
  <si>
    <t>2007-03-19</t>
  </si>
  <si>
    <t>湖南省岳阳市岳阳楼区金凤桥管理处巴陵东路476号君临国际新城1、2栋2317室</t>
  </si>
  <si>
    <t>18973088819</t>
  </si>
  <si>
    <t>13575038880;0730-8185088;18390182320</t>
  </si>
  <si>
    <t>430600000019917</t>
  </si>
  <si>
    <t>79911105-0</t>
  </si>
  <si>
    <t>2007-03-19 至 2057-03-18</t>
  </si>
  <si>
    <t>Hunan Dayou Guolian Energy Co., Ltd.</t>
  </si>
  <si>
    <t>湖南大有国联能源有限公司成立于2007-03-19，注册资本为8000万元，统一社会信用代码为91430600799111050A，企业注册地址位于湖南省岳阳市岳阳楼区金凤桥管理处巴陵东路476号君临国际新城1、2栋2317室，所属行业为批发业，经营范围包含：许可项目：危险化学品经营；成品油零售（不含危险化学品）（依法须经批准的项目，经相关部门批准后方可开展经营活动，具体经营项目以相关部门批准文件或许可证件为准）一般项目：石油制品销售（不含危险化学品）；专用化学产品销售（不含危险化学品）；润滑油销售；废旧沥青再生技术研发；炼焦；化工产品销售（不含许可类化工产品）；五金产品批发；特种劳动防护用品销售；橡胶制品销售；塑料制品销售；玻璃纤维增强塑料制品销售；建筑材料销售；轻质建筑材料销售；成品油批发（不含危险化学品）；电动汽车充电基础设施运营；充电桩销售（除依法须经批准的项目外，凭营业执照依法自主开展经营活动）。企业当前经营状态为存续。</t>
  </si>
  <si>
    <t>许可项目：危险化学品经营；成品油零售（不含危险化学品）（依法须经批准的项目，经相关部门批准后方可开展经营活动，具体经营项目以相关部门批准文件或许可证件为准）一般项目：石油制品销售（不含危险化学品）；专用化学产品销售（不含危险化学品）；润滑油销售；废旧沥青再生技术研发；炼焦；化工产品销售（不含许可类化工产品）；五金产品批发；特种劳动防护用品销售；橡胶制品销售；塑料制品销售；玻璃纤维增强塑料制品销售；建筑材料销售；轻质建筑材料销售；成品油批发（不含危险化学品）；电动汽车充电基础设施运营；充电桩销售（除依法须经批准的项目外，凭营业执照依法自主开展经营活动）</t>
  </si>
  <si>
    <t>岳阳市岳阳楼区市场监督管理局</t>
  </si>
  <si>
    <t>临沂市兰山区盈亿木材加工厂</t>
  </si>
  <si>
    <t>91371302MA3EL8N59R</t>
  </si>
  <si>
    <t>王磊</t>
  </si>
  <si>
    <t>山东省临沂市兰山区义堂镇胡家巷村</t>
  </si>
  <si>
    <t>13583973385</t>
  </si>
  <si>
    <t>13583973385@163.com</t>
  </si>
  <si>
    <t>565905317@qq.com</t>
  </si>
  <si>
    <t>371302300114860</t>
  </si>
  <si>
    <t>MA3EL8N5-9</t>
  </si>
  <si>
    <t>Yingyi Wood Processing Factory In Lanshan District, Linyi City</t>
  </si>
  <si>
    <t>加工销售：木材。（依法须经批准的项目，经相关部门批准后方可开展经营活动）</t>
  </si>
  <si>
    <t>上海嘉卉石油化工有限公司</t>
  </si>
  <si>
    <t>91310000MA1H353T08</t>
  </si>
  <si>
    <t>王殊伦</t>
  </si>
  <si>
    <t>2020-07-11</t>
  </si>
  <si>
    <t>中国（上海）自由贸易试验区临港新片区茂盛路260号1幢2层242室</t>
  </si>
  <si>
    <t>021-33682717</t>
  </si>
  <si>
    <t>021-58092282</t>
  </si>
  <si>
    <t>xu.y@cecci.cn</t>
  </si>
  <si>
    <t>energy@cecci.cn;yang.yx@cecci.cn;ma.yr@cecci.cn</t>
  </si>
  <si>
    <t>310142000048325</t>
  </si>
  <si>
    <t>MA1H353T-0</t>
  </si>
  <si>
    <t>2020-07-11 至 2040-07-10</t>
  </si>
  <si>
    <t>Shanghai Jiahui Petrochemical Co., Ltd.</t>
  </si>
  <si>
    <t>上海嘉卉石油化工有限公司成立于2020-07-11，法定代表人为王殊伦，注册资本为1000万元，统一社会信用代码为91310000MA1H353T08，企业注册地址位于中国（上海）自由贸易试验区临港新片区茂盛路260号1幢2层242室，所属行业为批发业，经营范围包含：一般项目：石油制品销售（不含危险化学品）；化工产品销售（不含许可类化工产品）；专用化学产品销售（不含危险化学品）；润滑油销售；成品油批发（不含危险化学品）；技术服务、技术开发、技术咨询、技术交流、技术转让、技术推广。（除依法须经批准的项目外，凭营业执照依法自主开展经营活动）许可项目：危险化学品经营；港口经营。（依法须经批准的项目，经相关部门批准后方可开展经营活动，具体经营项目以相关部门批准文件或许可证件为准）。企业当前经营状态为存续。</t>
  </si>
  <si>
    <t>一般项目：石油制品销售（不含危险化学品）；化工产品销售（不含许可类化工产品）；专用化学产品销售（不含危险化学品）；润滑油销售；成品油批发（不含危险化学品）；技术服务、技术开发、技术咨询、技术交流、技术转让、技术推广。（除依法须经批准的项目外，凭营业执照依法自主开展经营活动）许可项目：危险化学品经营；港口经营。（依法须经批准的项目，经相关部门批准后方可开展经营活动，具体经营项目以相关部门批准文件或许可证件为准）</t>
  </si>
  <si>
    <t>上海蓬辉进出口有限公司</t>
  </si>
  <si>
    <t>913101133015962741</t>
  </si>
  <si>
    <t>刘平</t>
  </si>
  <si>
    <t>70万元</t>
  </si>
  <si>
    <t>上海市奉贤区奉城镇南奉公路686号4幢</t>
  </si>
  <si>
    <t>13818927757</t>
  </si>
  <si>
    <t>18021007525;13321963823;13671755823</t>
  </si>
  <si>
    <t>294586986@qq.com</t>
  </si>
  <si>
    <t>310113001158657</t>
  </si>
  <si>
    <t>30159627-4</t>
  </si>
  <si>
    <t>2014-04-29 至 无固定期限</t>
  </si>
  <si>
    <t>Shanghai Peng Hui Import and Export Co., Ltd.</t>
  </si>
  <si>
    <t>上海市宝山区顾太路380号212-26室</t>
  </si>
  <si>
    <t>上海蓬辉进出口有限公司成立于2014-04-29，法定代表人为刘平，注册资本为100万元，统一社会信用代码为913101133015962741，企业注册地址位于上海市奉贤区奉城镇南奉公路686号4幢，所属行业为批发业，经营范围包含：一般项目：货物进出口；技术进出口；木材销售；日用木制品销售；软木制品销售；地板销售；人造板销售；家具销售；家具零配件销售；建筑装饰材料销售；金属制品销售；金属矿石销售；金属材料销售。（除依法须经批准的项目外，凭营业执照依法自主开展经营活动）。企业当前经营状态为存续。</t>
  </si>
  <si>
    <t>一般项目：货物进出口；技术进出口；木材销售；日用木制品销售；软木制品销售；地板销售；人造板销售；家具销售；家具零配件销售；建筑装饰材料销售；金属制品销售；金属矿石销售；金属材料销售。（除依法须经批准的项目外，凭营业执照依法自主开展经营活动）</t>
  </si>
  <si>
    <t>盐城佳林纺织有限公司</t>
  </si>
  <si>
    <t>91320924MACFTHER7E</t>
  </si>
  <si>
    <t>蔡曰亮</t>
  </si>
  <si>
    <t>2023-04-27</t>
  </si>
  <si>
    <t>射阳县新洋农场纬四西路北侧</t>
  </si>
  <si>
    <t>射阳县</t>
  </si>
  <si>
    <t>17834765215</t>
  </si>
  <si>
    <t>320924000561931</t>
  </si>
  <si>
    <t>MACFTHER-7</t>
  </si>
  <si>
    <t>2023-04-27 至 无固定期限</t>
  </si>
  <si>
    <t>Yancheng Jialin Textile Co., Ltd.</t>
  </si>
  <si>
    <t>盐城佳林纺织有限公司成立于2023-04-27，法定代表人为蔡曰亮，注册资本为100万元，统一社会信用代码为91320924MACFTHER7E，企业注册地址位于射阳县新洋农场纬四西路北侧，所属行业为纺织业，经营范围包含：一般项目：面料纺织加工；针纺织品销售；针纺织品及原料销售；纺织专用设备制造；纺织、服装及家庭用品批发；互联网销售（除销售需要许可的商品）；工艺美术品及收藏品零售（象牙及其制品除外）；农产品的生产、销售、加工、运输、贮藏及其他相关服务；工艺美术品及礼仪用品制造（象牙及其制品除外）；纺织专用设备销售；家用纺织制成品制造；服装制造（除依法须经批准的项目外，凭营业执照依法自主开展经营活动）。企业当前经营状态为存续。</t>
  </si>
  <si>
    <t>一般项目：面料纺织加工；针纺织品销售；针纺织品及原料销售；纺织专用设备制造；纺织、服装及家庭用品批发；互联网销售（除销售需要许可的商品）；工艺美术品及收藏品零售（象牙及其制品除外）；农产品的生产、销售、加工、运输、贮藏及其他相关服务；工艺美术品及礼仪用品制造（象牙及其制品除外）；纺织专用设备销售；家用纺织制成品制造；服装制造（除依法须经批准的项目外，凭营业执照依法自主开展经营活动）</t>
  </si>
  <si>
    <t>射阳县行政审批局</t>
  </si>
  <si>
    <t>无为温氏家禽有限公司</t>
  </si>
  <si>
    <t>91340225MA2RLCUJ93</t>
  </si>
  <si>
    <t>蔡艺仕</t>
  </si>
  <si>
    <t>安徽省芜湖市无为市经济开发区纬二路2号</t>
  </si>
  <si>
    <t>无为市</t>
  </si>
  <si>
    <t>15255125697</t>
  </si>
  <si>
    <t>17855956688;0553-2530788;0553-6180766</t>
  </si>
  <si>
    <t>150643353@qq.com</t>
  </si>
  <si>
    <t>340224000081550</t>
  </si>
  <si>
    <t>MA2RLCUJ-9</t>
  </si>
  <si>
    <t>57</t>
  </si>
  <si>
    <t>Wuwei Wenshi Poultry Co., Ltd.</t>
  </si>
  <si>
    <t>无为温氏家禽有限公司成立于2018-04-08，法定代表人为蔡艺仕，注册资本为2200万元，统一社会信用代码为91340225MA2RLCUJ93，企业注册地址位于安徽省芜湖市无为市经济开发区纬二路2号，所属行业为畜牧业，经营范围包含：许可项目：种畜禽生产；饲料生产；家禽饲养；牲畜屠宰；家禽屠宰；种畜禽经营；食品销售；活禽销售（依法须经批准的项目，经相关部门批准后方可开展经营活动，具体经营项目以相关部门批准文件或许可证件为准）一般项目：牲畜销售；畜牧渔业饲料销售；初级农产品收购；食用农产品零售；食用农产品初加工（除许可业务外，可自主依法经营法律法规非禁止或限制的项目）。企业当前经营状态为存续。</t>
  </si>
  <si>
    <t>许可项目：种畜禽生产；饲料生产；家禽饲养；牲畜屠宰；家禽屠宰；种畜禽经营；食品销售；活禽销售（依法须经批准的项目，经相关部门批准后方可开展经营活动，具体经营项目以相关部门批准文件或许可证件为准）一般项目：牲畜销售；畜牧渔业饲料销售；初级农产品收购；食用农产品零售；食用农产品初加工（除许可业务外，可自主依法经营法律法规非禁止或限制的项目）</t>
  </si>
  <si>
    <t>无为市市场监督管理局</t>
  </si>
  <si>
    <t>江苏富捷新材料科技有限公司</t>
  </si>
  <si>
    <t>91320621MA1YJXR05D</t>
  </si>
  <si>
    <t>注销（2025-10-09）</t>
  </si>
  <si>
    <t>许继峰</t>
  </si>
  <si>
    <t>2019-06-17</t>
  </si>
  <si>
    <t>南通市海安市大公镇噇口村9组16号</t>
  </si>
  <si>
    <t>海安市</t>
  </si>
  <si>
    <t>18015901566</t>
  </si>
  <si>
    <t>49053099@qq.com</t>
  </si>
  <si>
    <t>MA1YJXR0-5</t>
  </si>
  <si>
    <t>2019-06-17 至 无固定期限</t>
  </si>
  <si>
    <t>Jiangsu Fujie New Materials Technology Co., Ltd.</t>
  </si>
  <si>
    <t>江苏富捷新材料科技有限公司成立于2019-06-17，法定代表人为许继峰，注册资本为1000万元，统一社会信用代码为91320621MA1YJXR05D，企业注册地址位于南通市海安市大公镇噇口村9组16号，所属行业为研究和试验发展，经营范围包含：新材料技术研发、技术服务、技术转让；塑料制品、纤维素纤维原料及纤维制品的生产、加工、销售；工程塑料、纳米材料、化工产品、五金、机械设备、电子产品、金属制品、建筑材料、塑料制品销售；自营和代理各类商品的进出口业务（国家禁止或涉及行政审批的货物和技术进出口除外）。（依法须经批准的项目，经相关部门批准后方可开展经营活动）
一般项目：面料纺织加工；面料印染加工；产业用纺织制成品制造；产业用纺织制成品生产；针纺织品及原料销售；针纺织品销售；服装辅料销售；服装辅料制造；产业用纺织制成品销售；纺织专用设备销售；纺织专用测试仪器销售；纺织专用设备制造；纺织专用测试仪器制造；纺织、服装及家庭用品批发；污水处理及其再生利用（除依法须经批准的项目外，凭营业执照依法自主开展经营活动）。企业当前经营状态为注销。</t>
  </si>
  <si>
    <t>新材料技术研发、技术服务、技术转让；塑料制品、纤维素纤维原料及纤维制品的生产、加工、销售；工程塑料、纳米材料、化工产品、五金、机械设备、电子产品、金属制品、建筑材料、塑料制品销售；自营和代理各类商品的进出口业务（国家禁止或涉及行政审批的货物和技术进出口除外）。（依法须经批准的项目，经相关部门批准后方可开展经营活动）
一般项目：面料纺织加工；面料印染加工；产业用纺织制成品制造；产业用纺织制成品生产；针纺织品及原料销售；针纺织品销售；服装辅料销售；服装辅料制造；产业用纺织制成品销售；纺织专用设备销售；纺织专用测试仪器销售；纺织专用设备制造；纺织专用测试仪器制造；纺织、服装及家庭用品批发；污水处理及其再生利用（除依法须经批准的项目外，凭营业执照依法自主开展经营活动）</t>
  </si>
  <si>
    <t>海安市数据局</t>
  </si>
  <si>
    <t>清河县润隆绒毛有限公司</t>
  </si>
  <si>
    <t>91130534MA0CJ1MB4C</t>
  </si>
  <si>
    <t>张婷</t>
  </si>
  <si>
    <t>2018-07-23</t>
  </si>
  <si>
    <t>河北省邢台市清河县油坊镇杜家楼村</t>
  </si>
  <si>
    <t>清河县</t>
  </si>
  <si>
    <t>13932981825</t>
  </si>
  <si>
    <t>19912000046;17733981007;13393195434</t>
  </si>
  <si>
    <t>130534000176778</t>
  </si>
  <si>
    <t>MA0CJ1MB-4</t>
  </si>
  <si>
    <t>2018-07-23 至 2048-07-22</t>
  </si>
  <si>
    <t>Qinghe County Runlong Woolen Co., Ltd.</t>
  </si>
  <si>
    <t>清河县润隆绒毛有限公司成立于2018-07-23，法定代表人为张婷，注册资本为100万元，统一社会信用代码为91130534MA0CJ1MB4C，企业注册地址位于河北省邢台市清河县油坊镇杜家楼村，所属行业为纺织业，经营范围包含：一般项目：绒毛加工销售；绒毛购销。（除依法须经批准的项目外，凭营业执照依法自主开展经营活动）。企业当前经营状态为存续。</t>
  </si>
  <si>
    <t>一般项目：绒毛加工销售；绒毛购销。（除依法须经批准的项目外，凭营业执照依法自主开展经营活动）</t>
  </si>
  <si>
    <t>清河县市场监督管理局</t>
  </si>
  <si>
    <t>曹县郭氏兄弟毛纺有限公司</t>
  </si>
  <si>
    <t>913717213127454315</t>
  </si>
  <si>
    <t>马折</t>
  </si>
  <si>
    <t>2014-07-24</t>
  </si>
  <si>
    <t>山东省菏泽市曹县王集镇张店村</t>
  </si>
  <si>
    <t>15264038882</t>
  </si>
  <si>
    <t>13475022557;0530-3448516;18366039163;15550181238</t>
  </si>
  <si>
    <t>15264038882@163.com</t>
  </si>
  <si>
    <t>786658300@qq.com;1909145926@qq.com;gtzy@126.com</t>
  </si>
  <si>
    <t>371721200021328</t>
  </si>
  <si>
    <t>31274543-1</t>
  </si>
  <si>
    <t>2014-07-24 至 2044-07-23</t>
  </si>
  <si>
    <t>Cao County Guo Brothers Woolen Textile Co., Ltd.</t>
  </si>
  <si>
    <t>曹县郭氏兄弟毛纺有限公司成立于2014-07-24，法定代表人为马折，注册资本为100万元，统一社会信用代码为913717213127454315，企业注册地址位于山东省菏泽市曹县王集镇张店村，所属行业为纺织业，经营范围包含：一般项目：毛皮制品加工；面料纺织加工；针纺织品销售；毛皮鞣制加工。（除依法须经批准的项目外，凭营业执照依法自主开展经营活动）。企业当前经营状态为在业。</t>
  </si>
  <si>
    <t>一般项目：毛皮制品加工；面料纺织加工；针纺织品销售；毛皮鞣制加工。（除依法须经批准的项目外，凭营业执照依法自主开展经营活动）</t>
  </si>
  <si>
    <t>临沂市兰山区林玉板材厂</t>
  </si>
  <si>
    <t>91371302L05890949W</t>
  </si>
  <si>
    <t>苑林玉</t>
  </si>
  <si>
    <t>2006-09-20</t>
  </si>
  <si>
    <t>临沂市兰山区义堂镇堰西村</t>
  </si>
  <si>
    <t>13853949833</t>
  </si>
  <si>
    <t>13905498468;0539-2157168</t>
  </si>
  <si>
    <t>824154753@qq.com</t>
  </si>
  <si>
    <t>82415753@qq.com;23125051@qq.com;yuanzhanghullo@126.com</t>
  </si>
  <si>
    <t>371302329020107</t>
  </si>
  <si>
    <t>L0589094-9</t>
  </si>
  <si>
    <t>Linyi Lanshan District Linyu Board Factory</t>
  </si>
  <si>
    <t>木材经营加工。（按许可证核定的范围、期限经营）（依法须经批准的项目，经相关部门批准后方可开展经营活动）</t>
  </si>
  <si>
    <t>恒油能源（浙江自贸区）有限公司</t>
  </si>
  <si>
    <t>91330900MA7KELMW3C</t>
  </si>
  <si>
    <t>王勇</t>
  </si>
  <si>
    <t>2022-03-03</t>
  </si>
  <si>
    <t>中国（浙江）自由贸易试验区舟山市定海区舟山港综合保税区企业服务中心301-18140室</t>
  </si>
  <si>
    <t>13615824171</t>
  </si>
  <si>
    <t>13615824171@qq.com</t>
  </si>
  <si>
    <t>376900036@qq.com</t>
  </si>
  <si>
    <t>MA7KELMW-3</t>
  </si>
  <si>
    <t>2022-03-03 至 无固定期限</t>
  </si>
  <si>
    <t>Hengyou Energy (Zhejiang Free Trade Zone) Co., Ltd.</t>
  </si>
  <si>
    <t>江苏省苏州市吴中区苏州工业园区苏惠路88号环球188A座2101室</t>
  </si>
  <si>
    <t>恒油能源（浙江自贸区）有限公司成立于2022-03-03，法定代表人为王勇，注册资本为1800万元，统一社会信用代码为91330900MA7KELMW3C，企业注册地址位于中国（浙江）自由贸易试验区舟山市定海区舟山港综合保税区企业服务中心301-18140室，所属行业为批发业，经营范围包含：许可项目：危险化学品经营；成品油批发（限危险化学品）；原油批发（依法须经批准的项目，经相关部门批准后方可开展经营活动，具体经营项目以审批结果为准）。一般项目：成品油批发（不含危险化学品）；石油制品销售（不含危险化学品）；化工产品销售（不含许可类化工产品）；专用化学产品销售（不含危险化学品）；润滑油销售；货物进出口；技术进出口（除依法须经批准的项目外，凭营业执照依法自主开展经营活动）。企业当前经营状态为注销。</t>
  </si>
  <si>
    <t>许可项目：危险化学品经营；成品油批发（限危险化学品）；原油批发（依法须经批准的项目，经相关部门批准后方可开展经营活动，具体经营项目以审批结果为准）。一般项目：成品油批发（不含危险化学品）；石油制品销售（不含危险化学品）；化工产品销售（不含许可类化工产品）；专用化学产品销售（不含危险化学品）；润滑油销售；货物进出口；技术进出口（除依法须经批准的项目外，凭营业执照依法自主开展经营活动）。</t>
  </si>
  <si>
    <t>新疆豫棉惠农农业发展有限公司</t>
  </si>
  <si>
    <t>91652801MA77U9207L</t>
  </si>
  <si>
    <t>郑瑞涛</t>
  </si>
  <si>
    <t>2018-02-01</t>
  </si>
  <si>
    <t>新疆巴州库尔勒市普惠农场场部西北侧9栋1层</t>
  </si>
  <si>
    <t>13503862275</t>
  </si>
  <si>
    <t>0996-2980042</t>
  </si>
  <si>
    <t>1437415660@qq.com</t>
  </si>
  <si>
    <t>2862111280@qq.com</t>
  </si>
  <si>
    <t>MA77U920-7</t>
  </si>
  <si>
    <t>2018-02-01 至 2048-01-31</t>
  </si>
  <si>
    <t>棉、麻、糖、烟草种植</t>
  </si>
  <si>
    <t>棉花种植</t>
  </si>
  <si>
    <t>Xinjiang Yumian Huinong Agricultural Development Co., Ltd.</t>
  </si>
  <si>
    <t>新疆豫棉惠农农业发展有限公司成立于2018-02-01，法定代表人为郑瑞涛，注册资本为5000万元，统一社会信用代码为91652801MA77U9207L，企业注册地址位于新疆巴州库尔勒市普惠农场场部西北侧9栋1层，所属行业为农业，经营范围包含：棉花、果树种植,农业技术服务；棉花加工、籽棉收购；农业机械服务；批发零售：棉花及副产品、农用薄膜、滴灌带，零售：化肥、五金交电、其他农牧产品、饲料；房屋、场地、其他机械设备租赁；其他机械设备维修；仓储服务。（管控要素除外）（依法须经批准的项目，经相关部门批准后方可开展经营活动）。企业当前经营状态为存续。</t>
  </si>
  <si>
    <t>棉花、果树种植,农业技术服务；棉花加工、籽棉收购；农业机械服务；批发零售：棉花及副产品、农用薄膜、滴灌带，零售：化肥、五金交电、其他农牧产品、饲料；房屋、场地、其他机械设备租赁；其他机械设备维修；仓储服务。（管控要素除外）（依法须经批准的项目，经相关部门批准后方可开展经营活动）</t>
  </si>
  <si>
    <t>东莞市波波纺织有限公司</t>
  </si>
  <si>
    <t>91441900MAD873354G</t>
  </si>
  <si>
    <t>陈燕丽</t>
  </si>
  <si>
    <t>2024-01-08</t>
  </si>
  <si>
    <t>广东省东莞市大朗镇大朗富丽东路222号2栋301房</t>
  </si>
  <si>
    <t>15816835480</t>
  </si>
  <si>
    <t>759368234@qq.com</t>
  </si>
  <si>
    <t>441900012137678</t>
  </si>
  <si>
    <t>MAD87335-4</t>
  </si>
  <si>
    <t>2024-01-08 至 无固定期限</t>
  </si>
  <si>
    <t>Dongguan Bobo Textile Co., Ltd.</t>
  </si>
  <si>
    <t>东莞市波波纺织有限公司成立于2024-01-08，法定代表人为陈燕丽，注册资本为10万元，统一社会信用代码为91441900MAD873354G，企业注册地址位于广东省东莞市大朗镇大朗富丽东路222号2栋301房，所属行业为批发业，经营范围包含：一般项目：针纺织品及原料销售；服装辅料销售；服装服饰批发；互联网销售（除销售需要许可的商品）。（除依法须经批准的项目外，凭营业执照依法自主开展经营活动）。企业当前经营状态为在业。</t>
  </si>
  <si>
    <t>一般项目：针纺织品及原料销售；服装辅料销售；服装服饰批发；互联网销售（除销售需要许可的商品）。（除依法须经批准的项目外，凭营业执照依法自主开展经营活动）</t>
  </si>
  <si>
    <t>夏津县纵英纺织有限公司</t>
  </si>
  <si>
    <t>913714275992868410</t>
  </si>
  <si>
    <t>许万年</t>
  </si>
  <si>
    <t>4700万元</t>
  </si>
  <si>
    <t>2012-07-09</t>
  </si>
  <si>
    <t>山东省德州市夏津县南城镇丁坊村国家电网向东50米路南</t>
  </si>
  <si>
    <t>0534-3937977</t>
  </si>
  <si>
    <t>13573472399;0534-3935777;0534-8125087;13573475595</t>
  </si>
  <si>
    <t>xcj55077@163.com</t>
  </si>
  <si>
    <t>371427200004872</t>
  </si>
  <si>
    <t>59928684-1</t>
  </si>
  <si>
    <t>2012-07-09 至 无固定期限</t>
  </si>
  <si>
    <t>Xiajin County Zongying Textile Co., Ltd.</t>
  </si>
  <si>
    <t>http://www.zongyingfz.com</t>
  </si>
  <si>
    <t>夏津县纵英纺织有限公司始建于2005年，是一家集棉花收购加工、纺纺于一体的综合性棉纺企业，分为1个棉花加工厂和3个纺织车间，现有职工280人，注册资金7700万元，总资产12000万元，规模10万纱锭，年产棉纱15000吨，年产值3.5亿元。</t>
  </si>
  <si>
    <t>棉纱、混纺纱生产、加工、销售，棉花收购、销售；进出口贸易。（依法须经批准的项目，经相关部门批准后方可开展经营活动）</t>
  </si>
  <si>
    <t>赤峰德煜禾农牧业有限公司</t>
  </si>
  <si>
    <t>91150426MAC4E7MH7E</t>
  </si>
  <si>
    <t>田艳荣</t>
  </si>
  <si>
    <t>2022-11-14</t>
  </si>
  <si>
    <t>内蒙古自治区赤峰市翁牛特旗乌丹镇全宁居委会（农村牧区商品物流配送中心A3段5-1、5-7室）</t>
  </si>
  <si>
    <t>翁牛特旗</t>
  </si>
  <si>
    <t>13848978671</t>
  </si>
  <si>
    <t>1157914953@qq.com</t>
  </si>
  <si>
    <t>MAC4E7MH-7</t>
  </si>
  <si>
    <t>2022-11-14 至 2099-12-31</t>
  </si>
  <si>
    <t>Chifeng Deyuhe Agriculture and Animal Husbandry Co., Ltd.</t>
  </si>
  <si>
    <t>赤峰德煜禾农牧业有限公司成立于2022-11-14，法定代表人为田艳荣，注册资本为800万元，统一社会信用代码为91150426MAC4E7MH7E，企业注册地址位于内蒙古自治区赤峰市翁牛特旗乌丹镇全宁居委会（农村牧区商品物流配送中心A3段5-1、5-7室），所属行业为批发业，经营范围包含：一般项目：粮食收购；初级农产品收购；食用农产品批发；食用农产品零售；粮油仓储服务；家具销售；建筑材料销售；五金产品零售；五金产品批发；日用百货销售；针纺织品销售；装卸搬运；谷物种植；食品进出口。（除依法须经批准的项目外，凭营业执照依法自主开展经营活动）许可项目：食品销售；道路货物运输（不含危险货物）。（依法须经批准的项目，经相关部门批准后方可开展经营活动，具体经营项目以相关部门批准文件或许可证件为准）。企业当前经营状态为存续。</t>
  </si>
  <si>
    <t>一般项目：粮食收购；初级农产品收购；食用农产品批发；食用农产品零售；粮油仓储服务；家具销售；建筑材料销售；五金产品零售；五金产品批发；日用百货销售；针纺织品销售；装卸搬运；谷物种植；食品进出口。（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</si>
  <si>
    <t>翁牛特旗市场监督管理局</t>
  </si>
  <si>
    <t>濮阳市顾合纺织有限公司</t>
  </si>
  <si>
    <t>91410928MA9K3JA70Q</t>
  </si>
  <si>
    <t>注销（2025-11-18）</t>
  </si>
  <si>
    <t>刘彩平</t>
  </si>
  <si>
    <t>2021-08-16</t>
  </si>
  <si>
    <t>河南省濮阳市濮阳县鲁河乡张庄村南001号</t>
  </si>
  <si>
    <t>濮阳市</t>
  </si>
  <si>
    <t>濮阳县</t>
  </si>
  <si>
    <t>13461790910</t>
  </si>
  <si>
    <t>13938311046@163.com</t>
  </si>
  <si>
    <t>410928000143980</t>
  </si>
  <si>
    <t>MA9K3JA7-0</t>
  </si>
  <si>
    <t>2021-08-16 至 无固定期限</t>
  </si>
  <si>
    <t>Puyang Guhe Textile Co., Ltd.</t>
  </si>
  <si>
    <t>濮阳市顾合纺织有限公司成立于2021-08-16，法定代表人为刘彩平，注册资本为300万元，统一社会信用代码为91410928MA9K3JA70Q，企业注册地址位于河南省濮阳市濮阳县鲁河乡张庄村南001号，所属行业为纺织业，经营范围包含：一般项目：纺纱加工；面料纺织加工；棉花收购；棉花加工；产业用纺织制成品制造（除依法须经批准的项目外，凭营业执照依法自主开展经营活动）。企业当前经营状态为注销。</t>
  </si>
  <si>
    <t>一般项目：纺纱加工；面料纺织加工；棉花收购；棉花加工；产业用纺织制成品制造（除依法须经批准的项目外，凭营业执照依法自主开展经营活动）</t>
  </si>
  <si>
    <t>濮阳县市场监督管理局</t>
  </si>
  <si>
    <t>同科林医疗仪器（上海）有限公司</t>
  </si>
  <si>
    <t>91310000778928467E</t>
  </si>
  <si>
    <t>洪祯改</t>
  </si>
  <si>
    <t>216.8万美元</t>
  </si>
  <si>
    <t>上海市宝山区富联一路98号4幢5层</t>
  </si>
  <si>
    <t>021-58316072</t>
  </si>
  <si>
    <t>4008205140</t>
  </si>
  <si>
    <t>accountant-4@clinico.com.tw</t>
  </si>
  <si>
    <t>thomas.lin@clinico.com.cn;lei.wen@clinico.com.cn;lei.wen@clinico.com.tw;accountant-3@clinico.com.tw</t>
  </si>
  <si>
    <t>310115400181707</t>
  </si>
  <si>
    <t>77892846-7</t>
  </si>
  <si>
    <t>228</t>
  </si>
  <si>
    <t>医药及医疗器材专门零售</t>
  </si>
  <si>
    <t>医疗用品及器材零售</t>
  </si>
  <si>
    <t>Clin Medical instrument(Shanghai) Co., Ltd.</t>
  </si>
  <si>
    <t>www.clinico.com.cn</t>
  </si>
  <si>
    <t>同科林医疗仪器（上海）有限公司（以下简称公司）隶属于科林视听保健集团。公司素以“设备齐全，服务至上”享誉眼科界，是设备齐全、服务网络完善的专业眼科仪器代理公司之一。</t>
  </si>
  <si>
    <t>许可项目：第二类医疗器械生产；第三类医疗器械经营；第三类医疗器械生产；第三类医疗器械租赁；药品批发。（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互联网销售（仅销售预包装食品）；食品销售（仅销售预包装食品）；货物进出口；技术进出口；计算机软硬件及辅助设备批发；电子产品销售；机械零件、零部件销售；家具销售；仪器仪表销售；仪器仪表修理；仪器仪表制造；会议及展览服务；技术服务、技术开发、技术咨询、技术交流、技术转让、技术推广；信息咨询服务（不含许可类信息咨询服务）；企业管理咨询；市场营销策划；装卸搬运；国内货物运输代理；日用百货销售；包装材料及制品销售；化妆品批发。（除依法须经批准的项目外，凭营业执照依法自主开展经营活动）</t>
  </si>
  <si>
    <t>上海市市场监督管理局</t>
  </si>
  <si>
    <t>张家港市澳洋呢绒有限公司</t>
  </si>
  <si>
    <t>91320582628491028E</t>
  </si>
  <si>
    <t>陶明高</t>
  </si>
  <si>
    <t>1512万元</t>
  </si>
  <si>
    <t>1998-04-22</t>
  </si>
  <si>
    <t>张家港市杨舍镇新丰西路38号</t>
  </si>
  <si>
    <t>0512-58595601</t>
  </si>
  <si>
    <t>0512-58595602;0512-80613571;13815298883</t>
  </si>
  <si>
    <t>ao.yang@163.com</t>
  </si>
  <si>
    <t>dinglei@ao-yang.com.cn;snow-585@163.com</t>
  </si>
  <si>
    <t>320582000023036</t>
  </si>
  <si>
    <t>62849102-8</t>
  </si>
  <si>
    <t>1998-04-22 至 2048-04-21</t>
  </si>
  <si>
    <t>Zhangjiagang Aoyang Wool Fabric Co., Ltd.</t>
  </si>
  <si>
    <t>https://www.ao-yang.com.cn</t>
  </si>
  <si>
    <t>张家港市澳洋呢绒有限公司成立于1998-04-22，法定代表人为陶明高，注册资本为1512万元，统一社会信用代码为91320582628491028E，企业注册地址位于张家港市杨舍镇新丰西路38号，所属行业为纺织业，经营范围包含：毛纱、呢绒、纺织品制造；纺织原料、颜料、化工产品购销，经营本企业自产产品及技术的出口业务；经营本企业生产，科研所需的原辅材料、仪器仪表、机械设备、零配件及技术的进出口业务；经营进料加工和“三来一补”业务；再生资源领域内的技术研发，废旧纺织品回收及破碎加工、销售。（依法须经批准的项目，经相关部门批准后方可开展经营活动）塑料制品制造；塑料制品销售（除依法须经批准的项目外，凭营业执照依法自主开展经营活动）许可项目：道路货物运输（不含危险货物）；发电业务、输电业务、供（配）电业务（依法须经批准的项目，经相关部门批准后方可开展经营活动，具体经营项目以审批结果为准）一般项目：针织或钩针编织物及其制品制造；针纺织品销售（除依法须经批准的项目外，凭营业执照依法自主开展经营活动）。企业当前经营状态为存续。</t>
  </si>
  <si>
    <t>毛纱、呢绒、纺织品制造；纺织原料、颜料、化工产品购销，经营本企业自产产品及技术的出口业务；经营本企业生产，科研所需的原辅材料、仪器仪表、机械设备、零配件及技术的进出口业务；经营进料加工和“三来一补”业务；再生资源领域内的技术研发，废旧纺织品回收及破碎加工、销售。（依法须经批准的项目，经相关部门批准后方可开展经营活动）塑料制品制造；塑料制品销售（除依法须经批准的项目外，凭营业执照依法自主开展经营活动）许可项目：道路货物运输（不含危险货物）；发电业务、输电业务、供（配）电业务（依法须经批准的项目，经相关部门批准后方可开展经营活动，具体经营项目以审批结果为准）一般项目：针织或钩针编织物及其制品制造；针纺织品销售（除依法须经批准的项目外，凭营业执照依法自主开展经营活动）</t>
  </si>
  <si>
    <t>天津牧联友生物科技有限公司</t>
  </si>
  <si>
    <t>91120222MA7N3DWU13</t>
  </si>
  <si>
    <t>李东亮</t>
  </si>
  <si>
    <t>2022-04-19</t>
  </si>
  <si>
    <t>天津市武清开发区福源道北侧创业总部基地C02号楼309室</t>
  </si>
  <si>
    <t>武清区</t>
  </si>
  <si>
    <t>13312163996</t>
  </si>
  <si>
    <t>13312169556</t>
  </si>
  <si>
    <t>781153342@qq.com</t>
  </si>
  <si>
    <t>120222001330918</t>
  </si>
  <si>
    <t>MA7N3DWU-1</t>
  </si>
  <si>
    <t>2022-04-19 至 无固定期限</t>
  </si>
  <si>
    <t>其他技术推广服务</t>
  </si>
  <si>
    <t>Tianjin Mulianyou Biotechnology Co., Ltd.</t>
  </si>
  <si>
    <t>天津牧联友生物科技有限公司成立于2022-04-19，法定代表人为李东亮，注册资本为50万元，统一社会信用代码为91120222MA7N3DWU13，企业注册地址位于天津市武清开发区福源道北侧创业总部基地C02号楼309室，所属行业为科技推广和应用服务业，经营范围包含：一般项目：技术服务、技术开发、技术咨询、技术交流、技术转让、技术推广；会议及展览服务；饲料添加剂销售；饲料原料销售；畜牧机械销售；电子产品销售；机械设备销售；畜牧渔业饲料销售。（除依法须经批准的项目外，凭营业执照依法自主开展经营活动）。企业当前经营状态为存续。</t>
  </si>
  <si>
    <t>一般项目：技术服务、技术开发、技术咨询、技术交流、技术转让、技术推广；会议及展览服务；饲料添加剂销售；饲料原料销售；畜牧机械销售；电子产品销售；机械设备销售；畜牧渔业饲料销售。（除依法须经批准的项目外，凭营业执照依法自主开展经营活动）</t>
  </si>
  <si>
    <t>天津市武清区市场监督管理局</t>
  </si>
  <si>
    <t>宁波森瑞达纺织有限公司</t>
  </si>
  <si>
    <t>91330206MAC6PMT05Y</t>
  </si>
  <si>
    <t>吴云芝</t>
  </si>
  <si>
    <t>浙江省宁波市北仑区新碶街道黄海路85号2幢2号2层</t>
  </si>
  <si>
    <t>北仑区</t>
  </si>
  <si>
    <t>13023723077</t>
  </si>
  <si>
    <t>13968373482</t>
  </si>
  <si>
    <t>593319974@qq.com</t>
  </si>
  <si>
    <t>502808559@qq.com</t>
  </si>
  <si>
    <t>330206000835375</t>
  </si>
  <si>
    <t>MAC6PMT0-5</t>
  </si>
  <si>
    <t>Ningbo Senruida Textile Co., Ltd.</t>
  </si>
  <si>
    <t>宁波森瑞达纺织有限公司成立于2023-02-09，法定代表人为吴云芝，注册资本为50万元，统一社会信用代码为91330206MAC6PMT05Y，企业注册地址位于浙江省宁波市北仑区新碶街道黄海路85号2幢2号2层，所属行业为纺织业，经营范围包含：一般项目：纺纱加工；面料纺织加工；纺织专用设备销售；面料印染加工；针纺织品及原料销售；针纺织品销售；服饰制造；服饰研发；货物进出口；进出口代理（除依法须经批准的项目外，凭营业执照依法自主开展经营活动）。企业当前经营状态为存续。</t>
  </si>
  <si>
    <t>一般项目：纺纱加工；面料纺织加工；纺织专用设备销售；面料印染加工；针纺织品及原料销售；针纺织品销售；服饰制造；服饰研发；货物进出口；进出口代理（除依法须经批准的项目外，凭营业执照依法自主开展经营活动）。</t>
  </si>
  <si>
    <t>宁波市北仑区市场监督管理局</t>
  </si>
  <si>
    <t>临沂金东木业有限公司</t>
  </si>
  <si>
    <t>91371302334559074N</t>
  </si>
  <si>
    <t>郭友栋</t>
  </si>
  <si>
    <t>2015-03-06</t>
  </si>
  <si>
    <t>山东省临沂市兰山区义堂镇陈围子村</t>
  </si>
  <si>
    <t>15063295777</t>
  </si>
  <si>
    <t>13954979002;0539-8552359</t>
  </si>
  <si>
    <t>15063295777@139.com</t>
  </si>
  <si>
    <t>782523455@qq.com;1559512360@qq.com</t>
  </si>
  <si>
    <t>371300200065189</t>
  </si>
  <si>
    <t>33455907-4</t>
  </si>
  <si>
    <t>2015-03-06 至 无固定期限</t>
  </si>
  <si>
    <t>Linyi Jindong Wood Industry Co., Ltd.</t>
  </si>
  <si>
    <t>临沂金东木业有限公司成立于2015-03-06，法定代表人为郭友栋，注册资本为500万元，统一社会信用代码为91371302334559074N，企业注册地址位于山东省临沂市兰山区义堂镇陈围子村，所属行业为木材加工和木、竹、藤、棕、草制品业，经营范围包含：生产销售：胶合板、建筑模板、三聚氰胺板、单板、木皮、板材、集成材、脲醛胶、白乳胶，木材经营；货物及技术进出口。（依法须经批准的项目，经相关部门批准后方可开展经营活动）。企业当前经营状态为在业。</t>
  </si>
  <si>
    <t>生产销售：胶合板、建筑模板、三聚氰胺板、单板、木皮、板材、集成材、脲醛胶、白乳胶，木材经营；货物及技术进出口。（依法须经批准的项目，经相关部门批准后方可开展经营活动）</t>
  </si>
  <si>
    <t>磐安县新城区鼎红红木厂</t>
  </si>
  <si>
    <t>92330727MA29M4J00M</t>
  </si>
  <si>
    <t>陈樟标</t>
  </si>
  <si>
    <t>2015-07-24</t>
  </si>
  <si>
    <t>磐安县新城区永安东路28号1号厂房</t>
  </si>
  <si>
    <t>磐安县</t>
  </si>
  <si>
    <t>330727630033299</t>
  </si>
  <si>
    <t>MA29M4J0-0</t>
  </si>
  <si>
    <t>磐安县新城区鼎红红木厂成立于2015-07-24，经营者为陈樟标，统一社会信用代码为92330727MA29M4J00M，经营场所位于磐安县新城区永安东路28号1号厂房，所属行业为家具制造业，经营范围包含：木制品加工、销售。（凭有效木竹经营加工核准证经营）。个体工商户当前经营状态为存续。</t>
  </si>
  <si>
    <t>木制品加工、销售。（凭有效木竹经营加工核准证经营）</t>
  </si>
  <si>
    <t>磐安县市场监督管理局</t>
  </si>
  <si>
    <t>滨海县欣晨纺织有限公司</t>
  </si>
  <si>
    <t>91320922MAC94G854G</t>
  </si>
  <si>
    <t>彭大友</t>
  </si>
  <si>
    <t>88万元</t>
  </si>
  <si>
    <t>2023-03-02</t>
  </si>
  <si>
    <t>盐城市滨海县经济开发区经西路7号</t>
  </si>
  <si>
    <t>滨海县</t>
  </si>
  <si>
    <t>15950211966</t>
  </si>
  <si>
    <t>320922000541302</t>
  </si>
  <si>
    <t>MAC94G85-4</t>
  </si>
  <si>
    <t>2023-03-02 至 无固定期限</t>
  </si>
  <si>
    <t>Binhai Xinchen Textile Co., Ltd.</t>
  </si>
  <si>
    <t>滨海县欣晨纺织有限公司成立于2023-03-02，法定代表人为彭大友，注册资本为100万元，统一社会信用代码为91320922MAC94G854G，企业注册地址位于盐城市滨海县经济开发区经西路7号，所属行业为纺织业，经营范围包含：一般项目：纺纱加工；面料纺织加工；针纺织品销售；棉花加工；针纺织品及原料销售；货物进出口（除依法须经批准的项目外，凭营业执照依法自主开展经营活动）。企业当前经营状态为在业。</t>
  </si>
  <si>
    <t>一般项目：纺纱加工；面料纺织加工；针纺织品销售；棉花加工；针纺织品及原料销售；货物进出口（除依法须经批准的项目外，凭营业执照依法自主开展经营活动）</t>
  </si>
  <si>
    <t>滨海县行政审批局</t>
  </si>
  <si>
    <t>青岛源远达国际贸易有限公司</t>
  </si>
  <si>
    <t>91370220MA3CDH6L0Q</t>
  </si>
  <si>
    <t>2016-07-11</t>
  </si>
  <si>
    <t>中国（山东）自由贸易试验区青岛片区前湾保税港区北京路45号东办公楼一楼-1055（商务秘书公司托管地址）（A）</t>
  </si>
  <si>
    <t>15621087866</t>
  </si>
  <si>
    <t>13938576807;13949118071;13335057662</t>
  </si>
  <si>
    <t>635741261@qq.com</t>
  </si>
  <si>
    <t>13335057662@163.com</t>
  </si>
  <si>
    <t>370220230043806</t>
  </si>
  <si>
    <t>MA3CDH6L-0</t>
  </si>
  <si>
    <t>2016-07-11 至 无固定期限</t>
  </si>
  <si>
    <t>Qingdao Y-Y DA International Trade Co., Ltd.</t>
  </si>
  <si>
    <t>青岛源远达国际贸易有限公司成立于2016-07-11，法定代表人为李明，注册资本为7000万元，统一社会信用代码为91370220MA3CDH6L0Q，企业注册地址位于中国（山东）自由贸易试验区青岛片区前湾保税港区北京路45号东办公楼一楼-1055（商务秘书公司托管地址）（A），所属行业为批发业，经营范围包含：一般项目：国内贸易代理；销售代理；橡胶制品销售；高品质合成橡胶销售；化工产品销售（不含许可类化工产品）；工艺美术品及礼仪用品销售（象牙及其制品除外）；工艺美术品及收藏品批发（象牙及其制品除外）；高性能有色金属及合金材料销售；金属材料销售；专用化学产品销售（不含危险化学品）；耐火材料销售；电线、电缆经营；食用农产品批发；初级农产品收购。（除依法须经批准的项目外，凭营业执照依法自主开展经营活动）。企业当前经营状态为在业。</t>
  </si>
  <si>
    <t>一般项目：国内贸易代理；销售代理；橡胶制品销售；高品质合成橡胶销售；化工产品销售（不含许可类化工产品）；工艺美术品及礼仪用品销售（象牙及其制品除外）；工艺美术品及收藏品批发（象牙及其制品除外）；高性能有色金属及合金材料销售；金属材料销售；专用化学产品销售（不含危险化学品）；耐火材料销售；电线、电缆经营；食用农产品批发；初级农产品收购。（除依法须经批准的项目外，凭营业执照依法自主开展经营活动）</t>
  </si>
  <si>
    <t>青岛宝丽多美商贸有限公司</t>
  </si>
  <si>
    <t>91370203MA3TFXRF5M</t>
  </si>
  <si>
    <t>卢华冰</t>
  </si>
  <si>
    <t>9800万元</t>
  </si>
  <si>
    <t>2020-07-07</t>
  </si>
  <si>
    <t>山东省青岛市市北区馆陶路34号6号楼辅303</t>
  </si>
  <si>
    <t>市北区</t>
  </si>
  <si>
    <t>18816011909</t>
  </si>
  <si>
    <t>baoliduomei@qq.com</t>
  </si>
  <si>
    <t>MA3TFXRF-5</t>
  </si>
  <si>
    <t>2020-07-07 至 无固定期限</t>
  </si>
  <si>
    <t>非金属矿及制品批发</t>
  </si>
  <si>
    <t>Qingdao Baoli Duomei Trading Co., Ltd.</t>
  </si>
  <si>
    <t>青岛市市北区馆陶路34号6号楼101-060</t>
  </si>
  <si>
    <t>青岛宝丽多美商贸有限公司成立于2020-07-07，法定代表人为卢华冰，注册资本为9800万元，统一社会信用代码为91370203MA3TFXRF5M，企业注册地址位于山东省青岛市市北区馆陶路34号6号楼辅303，所属行业为批发业，经营范围包含：一般项目：金属材料销售；有色金属合金销售；机械设备销售；五金产品批发；建筑材料销售；电子产品销售；工艺美术品及礼仪用品销售（象牙及其制品除外）；工艺美术品及收藏品批发（象牙及其制品除外）；电气设备销售；橡胶制品销售；化工产品销售（不含许可类化工产品）；箱包销售；皮革制品销售；针纺织品及原料销售；日用百货销售；文具用品批发；软木制品销售；金属矿石销售；食用农产品批发；初级农产品收购。（除依法须经批准的项目外，凭营业执照依法自主开展经营活动）。企业当前经营状态为在业。</t>
  </si>
  <si>
    <t>一般项目：金属材料销售；有色金属合金销售；机械设备销售；五金产品批发；建筑材料销售；电子产品销售；工艺美术品及礼仪用品销售（象牙及其制品除外）；工艺美术品及收藏品批发（象牙及其制品除外）；电气设备销售；橡胶制品销售；化工产品销售（不含许可类化工产品）；箱包销售；皮革制品销售；针纺织品及原料销售；日用百货销售；文具用品批发；软木制品销售；金属矿石销售；食用农产品批发；初级农产品收购。（除依法须经批准的项目外，凭营业执照依法自主开展经营活动）</t>
  </si>
  <si>
    <t>青岛市市北区市场监督管理局</t>
  </si>
  <si>
    <t>灵宝市利昌商贸有限公司</t>
  </si>
  <si>
    <t>91411282MA9KKH4B24</t>
  </si>
  <si>
    <t>鲍佳麟</t>
  </si>
  <si>
    <t>2021-12-15</t>
  </si>
  <si>
    <t>河南省三门峡市灵宝市尹庄镇信访中心西100米</t>
  </si>
  <si>
    <t>13849809088</t>
  </si>
  <si>
    <t>13849809088@163.com</t>
  </si>
  <si>
    <t>13849809088@139.com</t>
  </si>
  <si>
    <t>411282000106507</t>
  </si>
  <si>
    <t>MA9KKH4B-2</t>
  </si>
  <si>
    <t>2021-12-15 至 无固定期限</t>
  </si>
  <si>
    <t>Lingbao Lichang Trading Co., Ltd.</t>
  </si>
  <si>
    <t>灵宝市利昌商贸有限公司成立于2021-12-15，法定代表人为鲍佳麟，注册资本为50万元，统一社会信用代码为91411282MA9KKH4B24，企业注册地址位于河南省三门峡市灵宝市尹庄镇信访中心西100米，所属行业为批发业，经营范围包含：许可项目：危险化学品经营（依法须经批准的项目，经相关部门批准后方可开展经营活动，具体经营项目以相关部门批准文件或许可证件为准）一般项目：金属矿石销售；化肥销售（除依法须经批准的项目外，凭营业执照依法自主开展经营活动）。企业当前经营状态为存续。</t>
  </si>
  <si>
    <t>许可项目：危险化学品经营（依法须经批准的项目，经相关部门批准后方可开展经营活动，具体经营项目以相关部门批准文件或许可证件为准）一般项目：金属矿石销售；化肥销售（除依法须经批准的项目外，凭营业执照依法自主开展经营活动）</t>
  </si>
  <si>
    <t>厦门象屿铝晟有限公司</t>
  </si>
  <si>
    <t>91350200MA349RAE7X</t>
  </si>
  <si>
    <t>齐卫东</t>
  </si>
  <si>
    <t>2016-07-19</t>
  </si>
  <si>
    <t>中国（福建）自由贸易试验区厦门片区象屿路85号象屿集团大厦B栋7层01单元</t>
  </si>
  <si>
    <t>0592-2650380</t>
  </si>
  <si>
    <t>0592-5605617;0592-5609506;18906033206;0592-5657666</t>
  </si>
  <si>
    <t>xylsxzgl@xiangyu.cn</t>
  </si>
  <si>
    <t>zhangwn@super-chain.com</t>
  </si>
  <si>
    <t>350299100002729</t>
  </si>
  <si>
    <t>MA349RAE-7</t>
  </si>
  <si>
    <t>104</t>
  </si>
  <si>
    <t>2016-07-19 至 2066-07-18</t>
  </si>
  <si>
    <t>其他水上运输辅助活动</t>
  </si>
  <si>
    <t>Xiamen Xiangyu Aluwin Co., Ltd.</t>
  </si>
  <si>
    <t>厦门象屿铝晟有限公司成立于2016-07-19，法定代表人为齐卫东，注册资本为50000万元，统一社会信用代码为91350200MA349RAE7X，企业注册地址位于中国（福建）自由贸易试验区厦门片区象屿路85号象屿集团大厦B栋7层01单元，所属行业为水上运输业，经营范围包含：许可项目：国内船舶管理业务；道路货物运输（不含危险货物）；危险化学品经营。（依法须经批准的项目，经相关部门批准后方可开展经营活动，具体经营项目以相关部门批准文件或许可证件为准）一般项目：金属材料销售；国内贸易代理；进出口代理；销售代理；国际船舶代理；国际货物运输代理；国内集装箱货物运输代理；国内货物运输代理；贸易经纪与代理（不含拍卖）；贸易经纪；离岸贸易经营；金属矿石销售；高品质特种钢铁材料销售；新型金属功能材料销售；金属工具销售；非金属矿及制品销售；煤炭及制品销售；化工产品销售（不含许可类化工产品）；石油制品销售（不含危险化学品）；建筑材料销售；技术进出口；货物进出口；装卸搬运和运输代理业（不包括航空客货运代理服务）；陆路国际货物运输代理；海上国际货物运输代理；国内船舶代理；粮油仓储服务；普通货物仓储服务（不含危险化学品等需许可审批的项目）；供应链管理服务；有色金属合金销售；高性能有色金属及合金材料销售；金属制品销售；金属结构销售；金属丝绳及其制品销售；租赁服务（不含许可类租赁服务）；热力生产和供应；太阳能热发电装备销售；太阳能热利用装备销售；生产性废旧金属回收；再生资源销售。（除依法须经批准的项目外，凭营业执照依法自主开展经营活动）。企业当前经营状态为存续。</t>
  </si>
  <si>
    <t>许可项目：国内船舶管理业务；道路货物运输（不含危险货物）；危险化学品经营。（依法须经批准的项目，经相关部门批准后方可开展经营活动，具体经营项目以相关部门批准文件或许可证件为准）一般项目：金属材料销售；国内贸易代理；进出口代理；销售代理；国际船舶代理；国际货物运输代理；国内集装箱货物运输代理；国内货物运输代理；贸易经纪与代理（不含拍卖）；贸易经纪；离岸贸易经营；金属矿石销售；高品质特种钢铁材料销售；新型金属功能材料销售；金属工具销售；非金属矿及制品销售；煤炭及制品销售；化工产品销售（不含许可类化工产品）；石油制品销售（不含危险化学品）；建筑材料销售；技术进出口；货物进出口；装卸搬运和运输代理业（不包括航空客货运代理服务）；陆路国际货物运输代理；海上国际货物运输代理；国内船舶代理；粮油仓储服务；普通货物仓储服务（不含危险化学品等需许可审批的项目）；供应链管理服务；有色金属合金销售；高性能有色金属及合金材料销售；金属制品销售；金属结构销售；金属丝绳及其制品销售；租赁服务（不含许可类租赁服务）；热力生产和供应；太阳能热发电装备销售；太阳能热利用装备销售；生产性废旧金属回收；再生资源销售。（除依法须经批准的项目外，凭营业执照依法自主开展经营活动）</t>
  </si>
  <si>
    <t>上海匠临投资有限公司</t>
  </si>
  <si>
    <t>91310115MA1H77H699</t>
  </si>
  <si>
    <t>李小援</t>
  </si>
  <si>
    <t>2015-12-04</t>
  </si>
  <si>
    <t>中国（上海）自由贸易试验区福山路458号1710室</t>
  </si>
  <si>
    <t>18918086396</t>
  </si>
  <si>
    <t>18628076789;13764822369;13167279937;15216761279</t>
  </si>
  <si>
    <t>201245459@qq.com</t>
  </si>
  <si>
    <t>310115002894437</t>
  </si>
  <si>
    <t>MA1H77H6-9</t>
  </si>
  <si>
    <t>2015-12-04 至 2035-12-03</t>
  </si>
  <si>
    <t>Shanghai Jianglin Investment Co., Ltd.</t>
  </si>
  <si>
    <t>上海市福山路456号1710室</t>
  </si>
  <si>
    <t>上海匠临投资有限公司成立于2015-12-04，法定代表人为李小援，注册资本为1000万元，统一社会信用代码为91310115MA1H77H699，企业注册地址位于中国（上海）自由贸易试验区福山路458号1710室，所属行业为批发业，经营范围包含：实业投资、投资管理及咨询，金属材料、石油制品（除专项审批）、化工原料及产品（除危险化学品、监控化学品、烟花爆竹、民用爆炸物品、易制毒化学品）、矿产品（除专项审批）、仪器仪表、金银饰品、纺织原料（除棉花收购）的销售，从事货物与技术的进出口业务。【依法须经批准的项目，经相关部门批准后方可开展经营活动】。企业当前经营状态为存续。</t>
  </si>
  <si>
    <t>实业投资、投资管理及咨询，金属材料、石油制品（除专项审批）、化工原料及产品（除危险化学品、监控化学品、烟花爆竹、民用爆炸物品、易制毒化学品）、矿产品（除专项审批）、仪器仪表、金银饰品、纺织原料（除棉花收购）的销售，从事货物与技术的进出口业务。【依法须经批准的项目，经相关部门批准后方可开展经营活动】</t>
  </si>
  <si>
    <t>中铝国际贸易集团有限公司</t>
  </si>
  <si>
    <t>913101153245498419</t>
  </si>
  <si>
    <t>中铝国贸（上海自贸试验区）有限公司</t>
  </si>
  <si>
    <t>蒲铭</t>
  </si>
  <si>
    <t>103000万元</t>
  </si>
  <si>
    <t>2015-02-03</t>
  </si>
  <si>
    <t>中国（上海）自由贸易试验区长清北路51号</t>
  </si>
  <si>
    <t>021-68906666</t>
  </si>
  <si>
    <t>021-68908331;021-31181888;021-58217361;021-58601099;021-68908880</t>
  </si>
  <si>
    <t>h_sun@chalco.com.cn</t>
  </si>
  <si>
    <t>310141000128627</t>
  </si>
  <si>
    <t>32454984-1</t>
  </si>
  <si>
    <t>120</t>
  </si>
  <si>
    <t>2015-02-03 至 无固定期限</t>
  </si>
  <si>
    <t>China Aluminum International Trading Group Co., Ltd.</t>
  </si>
  <si>
    <t>https://trading.chinalco.com.cn</t>
  </si>
  <si>
    <t>中铝国际贸易集团有限公司是中国铝业股份有限公司的全资了公司，是中铝集团主要的营销和贸易窗口，致力于成为具有全球竞争力的世界一流大宗商品贸易集团。</t>
  </si>
  <si>
    <t>一般项目：货物进出口；技术进出口；汽车销售。（除依法须经批准的项目外，凭营业执照依法自主开展经营活动）自主展示（特色）项目：金属材料销售；煤炭及制品销售；建筑材料销售；电子专用设备销售；制冷、空调设备销售；汽车零配件批发；汽车零配件零售；五金产品批发；五金产品零售；日用百货销售；针纺织品销售；木材销售；高品质特种钢铁材料销售；电子产品销售；通讯设备销售；化工产品销售（不含许可类化工产品）；信息咨询服务（不含许可类信息咨询服务）；企业管理咨询。</t>
  </si>
  <si>
    <t>上海五锐金属集团有限公司</t>
  </si>
  <si>
    <t>913101053424076605</t>
  </si>
  <si>
    <t>上海五锐国际贸易有限公司</t>
  </si>
  <si>
    <t>曹周霖</t>
  </si>
  <si>
    <t>15000万元</t>
  </si>
  <si>
    <t>2015-05-19</t>
  </si>
  <si>
    <t>上海市普陀区大渡河路1718号1-10层A区、B区、C区（2层C区除外）</t>
  </si>
  <si>
    <t>021-32258990</t>
  </si>
  <si>
    <t>021-32258687;021-62571254</t>
  </si>
  <si>
    <t>77374654@qq.com</t>
  </si>
  <si>
    <t>925719827@qq.com</t>
  </si>
  <si>
    <t>310105000485012</t>
  </si>
  <si>
    <t>34240766-0</t>
  </si>
  <si>
    <t>2015-05-19 至 无固定期限</t>
  </si>
  <si>
    <t>Shanghai Wooray Metals Group Co., Ltd.</t>
  </si>
  <si>
    <t>上海五锐金属集团有限公司成立于2015-05-19，法定代表人为曹周霖，注册资本为15000万元，统一社会信用代码为913101053424076605，企业注册地址位于上海市普陀区大渡河路1718号1-10层A区、B区、C区（2层C区除外），所属行业为批发业，经营范围包含：一般项目：金属材料销售；金属矿石销售；金属链条及其他金属制品销售；有色金属合金销售；高性能有色金属及合金材料销售；金属基复合材料和陶瓷基复合材料销售；新型金属功能材料销售；电子专用材料销售；合成材料销售；化工产品销售（不含许可类化工产品）；针纺织品及原料销售；塑料制品销售；金银制品销售；锻件及粉末冶金制品销售；非金属矿及制品销售；建筑材料销售；电子专用设备销售；机械设备销售；食用农产品批发；木材销售；橡胶制品销售；纸制品销售；煤炭及制品销售；畜牧渔业饲料销售；食品添加剂销售；专用化学产品销售（不含危险化学品）；石油制品销售（不含危险化学品）；再生资源销售；互联网销售（除销售需要许可的商品）；国内贸易代理；国内货物运输代理；企业形象策划；信息咨询服务（不含许可类信息咨询服务）；技术进出口；货物进出口；会议及展览服务；企业管理咨询；技术服务、技术开发、技术咨询、技术交流、技术转让、技术推广；园林绿化工程施工；组织文化艺术交流活动；供应链管理服务；物业管理。（除依法须经批准的项目外，凭营业执照依法自主开展经营活动）。企业当前经营状态为存续。</t>
  </si>
  <si>
    <t>一般项目：金属材料销售；金属矿石销售；金属链条及其他金属制品销售；有色金属合金销售；高性能有色金属及合金材料销售；金属基复合材料和陶瓷基复合材料销售；新型金属功能材料销售；电子专用材料销售；合成材料销售；化工产品销售（不含许可类化工产品）；针纺织品及原料销售；塑料制品销售；金银制品销售；锻件及粉末冶金制品销售；非金属矿及制品销售；建筑材料销售；电子专用设备销售；机械设备销售；食用农产品批发；木材销售；橡胶制品销售；纸制品销售；煤炭及制品销售；畜牧渔业饲料销售；食品添加剂销售；专用化学产品销售（不含危险化学品）；石油制品销售（不含危险化学品）；再生资源销售；互联网销售（除销售需要许可的商品）；国内贸易代理；国内货物运输代理；企业形象策划；信息咨询服务（不含许可类信息咨询服务）；技术进出口；货物进出口；会议及展览服务；企业管理咨询；技术服务、技术开发、技术咨询、技术交流、技术转让、技术推广；园林绿化工程施工；组织文化艺术交流活动；供应链管理服务；物业管理。（除依法须经批准的项目外，凭营业执照依法自主开展经营活动）</t>
  </si>
  <si>
    <t>上海中涵投资管理有限公司</t>
  </si>
  <si>
    <t>91310114682285479C</t>
  </si>
  <si>
    <t>柳晓敏</t>
  </si>
  <si>
    <t>2008-12-18</t>
  </si>
  <si>
    <t>上海市嘉定区华江公路129弄7号JT2576室</t>
  </si>
  <si>
    <t>嘉定区</t>
  </si>
  <si>
    <t>18221009706</t>
  </si>
  <si>
    <t>021-66508999</t>
  </si>
  <si>
    <t>zhyh@zhonghanchina.com</t>
  </si>
  <si>
    <t>310114001920846</t>
  </si>
  <si>
    <t>68228547-9</t>
  </si>
  <si>
    <t>2008-12-18 至 2038-12-17</t>
  </si>
  <si>
    <t>Shanghai Zhonghan Investment Management Co., Ltd.</t>
  </si>
  <si>
    <t>上海市普陀区金沙江路1628弄10号1605室</t>
  </si>
  <si>
    <t>上海中涵投资管理有限公司成立于2008-12-18，法定代表人为柳晓敏，注册资本为5000万元，统一社会信用代码为91310114682285479C，企业注册地址位于上海市嘉定区华江公路129弄7号JT2576室，所属行业为商务服务业，经营范围包含：投资管理（除金融、证券），建材、木材、五金、电子产品、电器、钢材的销售，钢管扣件租赁。【依法须经批准的项目，经相关部门批准后方可开展经营活动】。企业当前经营状态为存续。</t>
  </si>
  <si>
    <t>投资管理（除金融、证券），建材、木材、五金、电子产品、电器、钢材的销售，钢管扣件租赁。【依法须经批准的项目，经相关部门批准后方可开展经营活动】</t>
  </si>
  <si>
    <t>嘉定区市场监管局</t>
  </si>
  <si>
    <t>灵宝市权鑫矿产品有限公司</t>
  </si>
  <si>
    <t>91411282MADX5RYM8L</t>
  </si>
  <si>
    <t>曹建红</t>
  </si>
  <si>
    <t>2024-09-04</t>
  </si>
  <si>
    <t>河南省三门峡市灵宝市豫灵镇坡底街中段201号</t>
  </si>
  <si>
    <t>15346113318</t>
  </si>
  <si>
    <t>15346113318@156.com</t>
  </si>
  <si>
    <t>411282000161126</t>
  </si>
  <si>
    <t>MADX5RYM-8</t>
  </si>
  <si>
    <t>2024-09-04 至 无固定期限</t>
  </si>
  <si>
    <t>Lingbao Quanxin Mineral Products Co., Ltd.</t>
  </si>
  <si>
    <t>灵宝市权鑫矿产品有限公司成立于2024-09-04，法定代表人为曹建红，注册资本为50万元，统一社会信用代码为91411282MADX5RYM8L，企业注册地址位于河南省三门峡市灵宝市豫灵镇坡底街中段201号，所属行业为批发业，经营范围包含：一般项目：金属矿石销售；金属材料销售；金属制品销售；装卸搬运（除依法须经批准的项目外，凭营业执照依法自主开展经营活动）。企业当前经营状态为存续。</t>
  </si>
  <si>
    <t>一般项目：金属矿石销售；金属材料销售；金属制品销售；装卸搬运（除依法须经批准的项目外，凭营业执照依法自主开展经营活动）</t>
  </si>
  <si>
    <t>灵宝市瑞富矿产品有限公司</t>
  </si>
  <si>
    <t>91411282MA9KCMW279</t>
  </si>
  <si>
    <t>王亚业</t>
  </si>
  <si>
    <t>2021-10-28</t>
  </si>
  <si>
    <t>河南省三门峡市灵宝市豫灵镇坡底村310国道边坡底市场06号</t>
  </si>
  <si>
    <t>13503986617</t>
  </si>
  <si>
    <t>13503986617@qq.com</t>
  </si>
  <si>
    <t>13503986617@163.com</t>
  </si>
  <si>
    <t>411282000104513</t>
  </si>
  <si>
    <t>MA9KCMW2-7</t>
  </si>
  <si>
    <t>2021-10-28 至 无固定期限</t>
  </si>
  <si>
    <t>Lingbao Ruifu Mineral Products Co., Ltd.</t>
  </si>
  <si>
    <t>灵宝市瑞富矿产品有限公司成立于2021-10-28，法定代表人为王亚业，注册资本为50万元，统一社会信用代码为91411282MA9KCMW279，企业注册地址位于河南省三门峡市灵宝市豫灵镇坡底村310国道边坡底市场06号，所属行业为批发业，经营范围包含：一般项目：金属矿石销售；金属材料销售；金属制品销售（除依法须经批准的项目外，凭营业执照依法自主开展经营活动）。企业当前经营状态为存续。</t>
  </si>
  <si>
    <t>一般项目：金属矿石销售；金属材料销售；金属制品销售（除依法须经批准的项目外，凭营业执照依法自主开展经营活动）</t>
  </si>
  <si>
    <t>灵宝市瑞鑫矿产品有限公司</t>
  </si>
  <si>
    <t>91411282MA9LH1D43J</t>
  </si>
  <si>
    <t>注销（2025-08-05）</t>
  </si>
  <si>
    <t>秦红召</t>
  </si>
  <si>
    <t>2022-06-27</t>
  </si>
  <si>
    <t>河南省三门峡市灵宝市豫灵镇科龙路8号一楼门面房</t>
  </si>
  <si>
    <t>15039839995</t>
  </si>
  <si>
    <t>15039839995@qq.com</t>
  </si>
  <si>
    <t>15039839995@163.com</t>
  </si>
  <si>
    <t>411282000114488</t>
  </si>
  <si>
    <t>MA9LH1D4-3</t>
  </si>
  <si>
    <t>2022-06-27 至 无固定期限</t>
  </si>
  <si>
    <t>Lingbao Ruixin Mineral Products Co., Ltd.</t>
  </si>
  <si>
    <t>灵宝市瑞鑫矿产品有限公司成立于2022-06-27，法定代表人为秦红召，注册资本为100万元，统一社会信用代码为91411282MA9LH1D43J，企业注册地址位于河南省三门峡市灵宝市豫灵镇科龙路8号一楼门面房，所属行业为批发业，经营范围包含：一般项目：金属矿石销售；金属材料销售；金属制品销售（除依法须经批准的项目外，凭营业执照依法自主开展经营活动）。企业当前经营状态为注销。</t>
  </si>
  <si>
    <t>灵宝市鑫聚隆矿产品有限公司</t>
  </si>
  <si>
    <t>91411282MA9KBM3U6A</t>
  </si>
  <si>
    <t>郭建平</t>
  </si>
  <si>
    <t>2021-10-21</t>
  </si>
  <si>
    <t>河南省三门峡市灵宝市豫灵镇吴村路口第3号院子</t>
  </si>
  <si>
    <t>13939868102</t>
  </si>
  <si>
    <t>13939868102@139.com</t>
  </si>
  <si>
    <t>13939868102@163.com</t>
  </si>
  <si>
    <t>411282000104327</t>
  </si>
  <si>
    <t>MA9KBM3U-6</t>
  </si>
  <si>
    <t>2021-10-21 至 无固定期限</t>
  </si>
  <si>
    <t>Lingbao XinJulong Mineral Products Co., Ltd.</t>
  </si>
  <si>
    <t>灵宝市鑫聚隆矿产品有限公司成立于2021-10-21，法定代表人为郭建平，注册资本为50万元，统一社会信用代码为91411282MA9KBM3U6A，企业注册地址位于河南省三门峡市灵宝市豫灵镇吴村路口第3号院子，所属行业为批发业，经营范围包含：一般项目：金属矿石销售；金属材料销售；金属制品销售（除依法须经批准的项目外，凭营业执照依法自主开展经营活动）。企业当前经营状态为存续。</t>
  </si>
  <si>
    <t>灵宝市兴鸿矿产品有限公司</t>
  </si>
  <si>
    <t>91411282MAD6L7XK34</t>
  </si>
  <si>
    <t>冯天奇</t>
  </si>
  <si>
    <t>2023-12-06</t>
  </si>
  <si>
    <t>河南省三门峡市灵宝市尹庄镇金源小区1号2单元3楼东</t>
  </si>
  <si>
    <t>15239899225</t>
  </si>
  <si>
    <t>15239899225@163.com</t>
  </si>
  <si>
    <t>411282000146102</t>
  </si>
  <si>
    <t>MAD6L7XK-3</t>
  </si>
  <si>
    <t>2023-12-06 至 无固定期限</t>
  </si>
  <si>
    <t>Lingbao Xinghong Mining Products Co., Ltd.</t>
  </si>
  <si>
    <t>城关镇青年公寓南1号车库</t>
  </si>
  <si>
    <t>灵宝市兴鸿矿产品有限公司成立于2023-12-06，法定代表人为冯天奇，注册资本为50万元，统一社会信用代码为91411282MAD6L7XK34，企业注册地址位于河南省三门峡市灵宝市尹庄镇金源小区1号2单元3楼东，所属行业为批发业，经营范围包含：一般项目：金属矿石销售；金属材料销售；非金属矿及制品销售；选矿；矿物洗选加工（除依法须经批准的项目外，凭营业执照依法自主开展经营活动）。企业当前经营状态为存续。</t>
  </si>
  <si>
    <t>一般项目：金属矿石销售；金属材料销售；非金属矿及制品销售；选矿；矿物洗选加工（除依法须经批准的项目外，凭营业执照依法自主开展经营活动）</t>
  </si>
  <si>
    <t>灵宝祥华矿产品有限公司</t>
  </si>
  <si>
    <t>91411282MA9LT6MB7D</t>
  </si>
  <si>
    <t>注销</t>
  </si>
  <si>
    <t>汤宝峰</t>
  </si>
  <si>
    <t>2022-08-16</t>
  </si>
  <si>
    <t>河南省三门峡市灵宝市城关镇黄河路建设青年公寓2号楼3单元1楼西</t>
  </si>
  <si>
    <t>15389137522</t>
  </si>
  <si>
    <t>15389137522@163.com</t>
  </si>
  <si>
    <t>411282000116625</t>
  </si>
  <si>
    <t>MA9LT6MB-7</t>
  </si>
  <si>
    <t>2022-08-16 至 无固定期限</t>
  </si>
  <si>
    <t>Lingbao Xianghua Mineral Products Co., Ltd.</t>
  </si>
  <si>
    <t>灵宝祥华矿产品有限公司成立于2022-08-16，法定代表人为汤宝峰，注册资本为100万元，统一社会信用代码为91411282MA9LT6MB7D，企业注册地址位于河南省三门峡市灵宝市城关镇黄河路建设青年公寓2号楼3单元1楼西，所属行业为批发业，经营范围包含：一般项目：金属矿石销售；非金属矿及制品销售；选矿；矿物洗选加工；金属材料销售（除依法须经批准的项目外，凭营业执照依法自主开展经营活动）。企业当前经营状态为注销。</t>
  </si>
  <si>
    <t>一般项目：金属矿石销售；非金属矿及制品销售；选矿；矿物洗选加工；金属材料销售（除依法须经批准的项目外，凭营业执照依法自主开展经营活动）</t>
  </si>
  <si>
    <t>陇南紫金矿业有限公司</t>
  </si>
  <si>
    <t>916200007948849279</t>
  </si>
  <si>
    <t>何维</t>
  </si>
  <si>
    <t>24221.5621万元</t>
  </si>
  <si>
    <t>2007-01-23</t>
  </si>
  <si>
    <t>甘肃省陇南市礼县罗坝镇王寺村</t>
  </si>
  <si>
    <t>陇南市</t>
  </si>
  <si>
    <t>礼县</t>
  </si>
  <si>
    <t>13327686361</t>
  </si>
  <si>
    <t>0939-5926581;0939-5926568;15294087786;0939-5926229</t>
  </si>
  <si>
    <t>lnzj@163.com</t>
  </si>
  <si>
    <t>lnzj@qq.com;lnzjsf@126.com;lnziky@126.com;lnzjsf@163.com;502466020@qq.com</t>
  </si>
  <si>
    <t>621226000000284</t>
  </si>
  <si>
    <t>79488492-7</t>
  </si>
  <si>
    <t>504</t>
  </si>
  <si>
    <t>2007-01-23 至 2038-01-22</t>
  </si>
  <si>
    <t>采矿业</t>
  </si>
  <si>
    <t>有色金属矿采选业</t>
  </si>
  <si>
    <t>贵金属矿采选</t>
  </si>
  <si>
    <t>金矿采选</t>
  </si>
  <si>
    <t>Longnan Zijin Mining Co., Ltd.</t>
  </si>
  <si>
    <t>www.zijinmes.com</t>
  </si>
  <si>
    <t>一、公司简介陇南紫金矿业有限公司为紫金矿业集团股份公司控股子公司，地处陇南市礼县，距县城25公里，是以金矿开采、加工、提炼及其产品、副产品销售为一体的有限公司，公司注册资本2.42亿元人民币。公司现拥有采矿权1个，面积26.04平方公里，探矿权6个，面积49.47平方公里，保有矿石量12887万吨，金属量212吨。通过后续探矿，金资源量有望突破300吨。公司现有员工333人，其中大专以上文化程度147人。二、企业愿景发展目标：以礼县黄金资源开发为切入点，立足陇南，面向全省及周边，逐步发展成为以金为主，兼顾铜、铅、锌的知名有色金属企业。发展规划：日处理12000吨堆浸尾渣综合利用项目是甘肃省列重点工业项目，一期6000吨/日已建成投产，已于2013年底建成投产，2014年产金2.53吨，实现产值44407.37万元，上缴税费6171.84万元；二期：视搬迁工作进展情况，适时启动并列6000t/d选矿生产系统及1.2万/日露天生产供矿系统；三期：2017年启动金山矿区6000t/d采选系统，最终实现年处理矿石量600万吨以上，年产黄金8吨以上。根据发展适时建设8-10t/y冶炼系统。在礼县项目建成投产后，将实现年产值20亿元，上缴税、费1.5亿元以上，企业将不断并购、整合资源，力争实现年产黄金15吨以上。公司视安全环保为企业的生命线和核心竞争力，坚持“安全第一，环保优先”的方针，践行“零工亡、零环境事故”的目标，做到“开发与治理并举”，着力打造绿色环保矿山。公司秉承“以人为本、诚信尽职”的人才观念，崇尚“企业、社会、员工协调发展”理念，现企业规模扩大，诚邀各路英才加盟，共谋伟业。</t>
  </si>
  <si>
    <t>许可项目：非煤矿山矿产资源开采；金属与非金属矿产资源地质勘探。（依法须经批准的项目，经相关部门批准后方可开展经营活动，具体经营项目以相关部门批准文件或许可证件为准）***一般项目：选矿；贵金属冶炼；金属矿石销售。（除依法须经批准的项目外，凭营业执照依法自主开展经营活动）</t>
  </si>
  <si>
    <t>陇南市礼县市场监督管理局</t>
  </si>
  <si>
    <t>广东省普路通供应链管理股份有限公司</t>
  </si>
  <si>
    <t>91440300783905518J</t>
  </si>
  <si>
    <t>深圳市普路通供应链管理股份有限公司,
深圳市普路通供应链管理有限公司</t>
  </si>
  <si>
    <t>宋海纲</t>
  </si>
  <si>
    <t>37331.8054万元</t>
  </si>
  <si>
    <t>2005-12-19</t>
  </si>
  <si>
    <t>广州市花都区迎宾大道163号高晟广场3栋5层</t>
  </si>
  <si>
    <t>花都区</t>
  </si>
  <si>
    <t>0755-82877543</t>
  </si>
  <si>
    <t>15118029572;0755-88307759;0755-82874201;0755-83908863;13670046251</t>
  </si>
  <si>
    <t>501297136@qq.com</t>
  </si>
  <si>
    <t>chenxuanyu@prolto.com;info@prolto.com;zhoucao@prolto.com;ir@prolto.com</t>
  </si>
  <si>
    <t>440301102890677</t>
  </si>
  <si>
    <t>78390551-8</t>
  </si>
  <si>
    <t>97</t>
  </si>
  <si>
    <t>2005-12-19 至 无固定期限</t>
  </si>
  <si>
    <t>Guangdong Pulutong Supply Chain Management Co., Ltd.</t>
  </si>
  <si>
    <t>www.prolto.com</t>
  </si>
  <si>
    <t>广东省普路通供应链管理股份有限公司，成立于2005年12月，是专业为企业提供涵盖供应链方案设计及优化、采购分销、库存管理、资金结算、通关物流以及信息系统配套支持等环节的一体化供应链管理服务商，并于2015年6月29日成功登陆A股中小板(股票代码:002769)。普路通自成立以来，一直保持高速的业务额增长。普路通以互联网平台为基础，将互联网、金融与传统供应链管理深度融合，开创行业新模式，深入开发管理与物流信息系统，并拥有多套系统的自主知识产权。在深厚的行业经验和理念基础之上，从实际出发，将本行业的多样性、及时性、效率性等都进行了详细的调研和分析，同时将商流、资金流、物流、信息流、工作流，实现创新整合，极大的提升了整体价值链的效率，提高企业的核心竞争力。“事成于和睦，力生于团结”,扁平化的管理，使普路通在本服务行业中拥有及时快捷的响应速度、人性化的定制服务，同时分散式共同创造的理念，也让普路通拥有和谐快乐的工作学习氛围，员工们始终保持着高涨的创业激情，坚持着高速的自我提升，推动公司的成长。天道酬勤，如今的普路通，将秉承“做最贴近客户的供应链管理合作伙伴”的精神，再次整装出发，为实现“普天之下，路路皆通”之愿景而不懈奋斗。</t>
  </si>
  <si>
    <t>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医疗器械生产、经营（二类、三类），食品流通（含定型包装食品、保健食品）；农副产品、预包装食品（不含复热）的批发；硫化镍、氢氧化镍、氢氧化钴的销售。</t>
  </si>
  <si>
    <t>郧西交投矿业有限公司</t>
  </si>
  <si>
    <t>91420322MA49M1XX51</t>
  </si>
  <si>
    <t>刘垚</t>
  </si>
  <si>
    <t>2020-11-24</t>
  </si>
  <si>
    <t>湖北省十堰市郧西县城关镇郧西大道6号</t>
  </si>
  <si>
    <t>十堰市</t>
  </si>
  <si>
    <t>郧西县</t>
  </si>
  <si>
    <t>18986916919</t>
  </si>
  <si>
    <t>18772974562;15172253936;0719-6208069</t>
  </si>
  <si>
    <t>18986916919@qq.com</t>
  </si>
  <si>
    <t>1259334060@qq.com;281262382@qq.com;313395928@qq.com</t>
  </si>
  <si>
    <t>MA49M1XX-5</t>
  </si>
  <si>
    <t>2020-11-24 至 无固定期限</t>
  </si>
  <si>
    <t>其他采矿业</t>
  </si>
  <si>
    <t>Yunxi Jiaotou Mining Co., Ltd.</t>
  </si>
  <si>
    <t>郧西交投矿业有限公司成立于2020-11-24，法定代表人为刘垚，注册资本为5000万元，统一社会信用代码为91420322MA49M1XX51，企业注册地址位于湖北省十堰市郧西县城关镇郧西大道6号，所属行业为其他采矿业，经营范围包含：石子石料加工销售；沙石采挖及销售；矿山开采；河道疏浚治理工程；市政工程；土石方工程；公路工程；路面工程；园林绿化工程；生态修复及矿山综合治理工程；建筑物拆除工程（不含爆破）；水环境治理工程；地基基础工程；基坑改扩工程承包及施工；建筑劳务、石凿作业劳务、加工劳务分包；机械设备租赁；苗木销售；预制构架加工安装；商混拌、沥青拌加工经营；水泥构件预制；水路及道路运输。（依法须经批准的项目，经相关部门批准后方可开展经营活动）。企业当前经营状态为存续。</t>
  </si>
  <si>
    <t>石子石料加工销售；沙石采挖及销售；矿山开采；河道疏浚治理工程；市政工程；土石方工程；公路工程；路面工程；园林绿化工程；生态修复及矿山综合治理工程；建筑物拆除工程（不含爆破）；水环境治理工程；地基基础工程；基坑改扩工程承包及施工；建筑劳务、石凿作业劳务、加工劳务分包；机械设备租赁；苗木销售；预制构架加工安装；商混拌、沥青拌加工经营；水泥构件预制；水路及道路运输。（依法须经批准的项目，经相关部门批准后方可开展经营活动）</t>
  </si>
  <si>
    <t>郧西县市场监督管理局</t>
  </si>
  <si>
    <t>陕西陕化煤化工集团有限公司</t>
  </si>
  <si>
    <t>91610000687986995C</t>
  </si>
  <si>
    <t>陕西陕化煤化工有限公司</t>
  </si>
  <si>
    <t>孙振江</t>
  </si>
  <si>
    <t>348716万元</t>
  </si>
  <si>
    <t>2009-06-04</t>
  </si>
  <si>
    <t>陕西省渭南市华州区瓜坡镇</t>
  </si>
  <si>
    <t>华州区</t>
  </si>
  <si>
    <t>0913-3088909</t>
  </si>
  <si>
    <t>0913-3086515;0913-3088019;0913-3088308;0913-3086518</t>
  </si>
  <si>
    <t>597238772@qq.com</t>
  </si>
  <si>
    <t>402547188@qq.com;hshgfg@163.com</t>
  </si>
  <si>
    <t>610000100210452</t>
  </si>
  <si>
    <t>68798699-5</t>
  </si>
  <si>
    <t>2090</t>
  </si>
  <si>
    <t>2009-06-04 至 无固定期限</t>
  </si>
  <si>
    <t>化肥批发</t>
  </si>
  <si>
    <t>Shaanxi Shanhua Coal Chemical Co., Ltd.</t>
  </si>
  <si>
    <t>https://www.shhggroup.com</t>
  </si>
  <si>
    <t>陕西陕化煤化工集团有限公司主营煤化工、磷化工、精细化工。其产品包括氖气、五硫化二磷、乙二醇乙醚、醋酸正丙酯、丁醇等。该企业荣获2024年国家级技术企业、2022年省级隐形冠军培育企业、2016年省级企业技术中心等荣誉。拥有2024年08月尿素、磷酸二铵等产品生产及相关管理活动的多项认证，包括环境管理体系认证、中国职业健康安全管理体系认证、质量管理体系认证（ISO9001），还于2022年10月获得移动式压力容器充装许可证等多项资质。</t>
  </si>
  <si>
    <t>一般项目：肥料销售；化肥销售；基础化学原料制造（不含危险化学品等许可类化学品的制造）；化工产品生产（不含许可类化工产品）；化工产品销售（不含许可类化工产品）；货物进出口；租赁服务（不含许可类租赁服务）；专用设备修理；通用设备修理；金属加工机械制造；普通机械设备安装服务；通用零部件制造；通用设备制造（不含特种设备制造）（除依法须经批准的项目外，凭营业执照依法自主开展经营活动）。许可项目：危险化学品生产；肥料生产；道路货物运输（不含危险货物）（依法须经批准的项目，经相关部门批准后方可开展经营活动，具体经营项目以审批结果为准）。</t>
  </si>
  <si>
    <t>渭南市华州区市场监督管理局</t>
  </si>
  <si>
    <t>浙江创营贸易有限公司</t>
  </si>
  <si>
    <t>91330381MAD7HBXP4F</t>
  </si>
  <si>
    <t>黄建斌</t>
  </si>
  <si>
    <t>2023-12-27</t>
  </si>
  <si>
    <t>浙江省温州市瑞安市莘塍街道董九村菜市路1号（A-4工区）</t>
  </si>
  <si>
    <t>瑞安市</t>
  </si>
  <si>
    <t>13777791731</t>
  </si>
  <si>
    <t>478001337@qq.com</t>
  </si>
  <si>
    <t>330381000953270</t>
  </si>
  <si>
    <t>MAD7HBXP-4</t>
  </si>
  <si>
    <t>2023-12-27 至 无固定期限</t>
  </si>
  <si>
    <t>Zhejiang Chuangying Trading Co., Ltd.</t>
  </si>
  <si>
    <t>浙江创营贸易有限公司成立于2023-12-27，法定代表人为黄建斌，注册资本为1000万元，统一社会信用代码为91330381MAD7HBXP4F，企业注册地址位于浙江省温州市瑞安市莘塍街道董九村菜市路1号（A-4工区），所属行业为批发业，经营范围包含：一般项目：金属材料销售；金属制品销售；金属矿石销售；有色金属合金销售；非金属矿及制品销售；煤炭及制品销售；炼焦；石油制品销售（不含危险化学品）；润滑油销售；化工产品销售（不含许可类化工产品）；涂料销售（不含危险化学品）；化肥销售；肥料销售；木材销售；建筑材料销售；纸制品销售；纸浆销售；橡胶制品销售；塑料制品销售；电子产品销售；电力电子元器件销售；成品油批发（不含危险化学品）；技术服务、技术开发、技术咨询、技术交流、技术转让、技术推广；工艺美术品及收藏品批发（象牙及其制品除外）；农副产品销售；针纺织品及原料销售；机械设备销售；住房租赁；劳动保护用品销售；仪器仪表销售（除依法须经批准的项目外，凭营业执照依法自主开展经营活动）。企业当前经营状态为存续。</t>
  </si>
  <si>
    <t>一般项目：金属材料销售；金属制品销售；金属矿石销售；有色金属合金销售；非金属矿及制品销售；煤炭及制品销售；炼焦；石油制品销售（不含危险化学品）；润滑油销售；化工产品销售（不含许可类化工产品）；涂料销售（不含危险化学品）；化肥销售；肥料销售；木材销售；建筑材料销售；纸制品销售；纸浆销售；橡胶制品销售；塑料制品销售；电子产品销售；电力电子元器件销售；成品油批发（不含危险化学品）；技术服务、技术开发、技术咨询、技术交流、技术转让、技术推广；工艺美术品及收藏品批发（象牙及其制品除外）；农副产品销售；针纺织品及原料销售；机械设备销售；住房租赁；劳动保护用品销售；仪器仪表销售（除依法须经批准的项目外，凭营业执照依法自主开展经营活动）。</t>
  </si>
  <si>
    <t>瑞安市市场监督管理局</t>
  </si>
  <si>
    <t>三门峡易顺达矿产品贸易有限公司</t>
  </si>
  <si>
    <t>91411282MA9GLF3L4F</t>
  </si>
  <si>
    <t>赵晓益</t>
  </si>
  <si>
    <t>2021-04-06</t>
  </si>
  <si>
    <t>河南省三门峡市灵宝市新灵东街五街坊290栋2单元1号</t>
  </si>
  <si>
    <t>15393752970</t>
  </si>
  <si>
    <t>15393752970@qq.com</t>
  </si>
  <si>
    <t>411282000096026</t>
  </si>
  <si>
    <t>MA9GLF3L-4</t>
  </si>
  <si>
    <t>2021-04-06 至 无固定期限</t>
  </si>
  <si>
    <t>Sanmenxia Yishunda Mineral Products Trading Co., Ltd.</t>
  </si>
  <si>
    <t>三门峡易顺达矿产品贸易有限公司成立于2021-04-06，法定代表人为赵晓益，注册资本为100万元，统一社会信用代码为91411282MA9GLF3L4F，企业注册地址位于河南省三门峡市灵宝市新灵东街五街坊290栋2单元1号，所属行业为批发业，经营范围包含：一般项目：金属矿石销售（除依法须经批准的项目外，凭营业执照依法自主开展经营活动）。企业当前经营状态为存续。</t>
  </si>
  <si>
    <t>一般项目：金属矿石销售（除依法须经批准的项目外，凭营业执照依法自主开展经营活动）</t>
  </si>
  <si>
    <t>陕西宝尔得国际贸易有限公司</t>
  </si>
  <si>
    <t>91610330MA6XHLKY39</t>
  </si>
  <si>
    <t>何计忠</t>
  </si>
  <si>
    <t>2020-03-30</t>
  </si>
  <si>
    <t>陕西省宝鸡市凤县唐藏镇潘家湾村（陕西庞家河金矿有限公司办公楼2楼203室）</t>
  </si>
  <si>
    <t>宝鸡市</t>
  </si>
  <si>
    <t>凤县</t>
  </si>
  <si>
    <t>18709201321</t>
  </si>
  <si>
    <t>369453246@qq.com</t>
  </si>
  <si>
    <t>181706256@qq.com</t>
  </si>
  <si>
    <t>MA6XHLKY-3</t>
  </si>
  <si>
    <t>2020-03-30 至 无固定期限</t>
  </si>
  <si>
    <t>Shaanxi Baoerde International Trade Co., Ltd.</t>
  </si>
  <si>
    <t>陕西省西安市灞桥区纺渭路1005号</t>
  </si>
  <si>
    <t>陕西宝尔得国际贸易有限公司成立于2020-03-30，法定代表人为何计忠，注册资本为5000万元，统一社会信用代码为91610330MA6XHLKY39，企业注册地址位于陕西省宝鸡市凤县唐藏镇潘家湾村（陕西庞家河金矿有限公司办公楼2楼203室），所属行业为批发业，经营范围包含：一般项目：货物进出口；技术进出口；进出口代理；国内贸易代理；金属矿石销售；非金属矿及制品销售；有色金属合金销售；矿山机械销售；煤炭及制品销售；煤炭洗选；石油制品销售（不含危险化学品）；再生资源销售；金属制品销售；金属材料销售；金银制品销售；国内货物运输代理；选矿（除依法须经批准的项目外，凭营业执照依法自主开展经营活动）。企业当前经营状态为在业。</t>
  </si>
  <si>
    <t>一般项目：货物进出口；技术进出口；进出口代理；国内贸易代理；金属矿石销售；非金属矿及制品销售；有色金属合金销售；矿山机械销售；煤炭及制品销售；煤炭洗选；石油制品销售（不含危险化学品）；再生资源销售；金属制品销售；金属材料销售；金银制品销售；国内货物运输代理；选矿（除依法须经批准的项目外，凭营业执照依法自主开展经营活动）。</t>
  </si>
  <si>
    <t>凤县市场监督管理局</t>
  </si>
  <si>
    <t>四川里伍铜业股份有限公司</t>
  </si>
  <si>
    <t>91510000720857088U</t>
  </si>
  <si>
    <t>陈道前</t>
  </si>
  <si>
    <t>22550万元</t>
  </si>
  <si>
    <t>1998-07-23</t>
  </si>
  <si>
    <t>四川省甘孜藏族自治州康定市炉城镇向阳街137号</t>
  </si>
  <si>
    <t>甘孜藏族自治州</t>
  </si>
  <si>
    <t>康定市</t>
  </si>
  <si>
    <t>028-86256997</t>
  </si>
  <si>
    <t>0836-2879345;0836-2879994;028-82833857</t>
  </si>
  <si>
    <t>lwtydb2011@163.com</t>
  </si>
  <si>
    <t>lwgroup@vip.lwty.com;lwcopper@lwty.com;lwty@163.com</t>
  </si>
  <si>
    <t>股份有限公司（非上市、国有控股）</t>
  </si>
  <si>
    <t>510000000211244</t>
  </si>
  <si>
    <t>72085708-8</t>
  </si>
  <si>
    <t>515</t>
  </si>
  <si>
    <t>1998-07-23 至 无固定期限</t>
  </si>
  <si>
    <t>Sichuan Liwu Copper Industry Co., Ltd.</t>
  </si>
  <si>
    <t>https://www.lwty.com</t>
  </si>
  <si>
    <t>四川里伍铜业股份有限公司主要从事有色金属采选、销售并兼营水电资源开发，主营业务为自有铜矿开采及选矿业务。其主要产品为铜精矿。公司获得2024年省级企业技术中心、2023年省级上市后备企业资源库企业、2024年国家级中国安全生产协会安全科学技术奖等荣誉。2012年3月、2006年12月获得采矿许可证，2002年5月获得探矿许可证。</t>
  </si>
  <si>
    <t>（以下范围不含前置许可项目，后置许可项目凭许可证或审批文件经营）有色金属的采、选、冶炼、加工；有色金属产品的销售；水能、矿产资源的开发；机械与设备经营租赁。（依法须经批准的项目，经相关部门批准后方可开展经营活动）</t>
  </si>
  <si>
    <t>甘孜州市场监督管理局</t>
  </si>
  <si>
    <t>西藏赣地资源勘查开发有限公司</t>
  </si>
  <si>
    <t>91540091MA6TB9G86N</t>
  </si>
  <si>
    <t>吕少伟</t>
  </si>
  <si>
    <t>2018-06-22</t>
  </si>
  <si>
    <t>拉萨经济技术开发区波玛路2号建材交易中心28栋3楼2823号</t>
  </si>
  <si>
    <t>西藏自治区</t>
  </si>
  <si>
    <t>拉萨市</t>
  </si>
  <si>
    <t>拉萨经济技术开发区</t>
  </si>
  <si>
    <t>0791-85212823</t>
  </si>
  <si>
    <t>riey@qq.com</t>
  </si>
  <si>
    <t>359816999@qq.com</t>
  </si>
  <si>
    <t>MA6TB9G8-6</t>
  </si>
  <si>
    <t>2018-06-22 至 2048-06-21</t>
  </si>
  <si>
    <t>常用有色金属矿采选</t>
  </si>
  <si>
    <t>铅锌矿采选</t>
  </si>
  <si>
    <t>Tibet Jiangxi Land Resources Exploration and Development Co., Ltd.</t>
  </si>
  <si>
    <t>西藏赣地资源勘查开发有限公司成立于2018-06-22，法定代表人为吕少伟，注册资本为1000万元，统一社会信用代码为91540091MA6TB9G86N，企业注册地址位于拉萨经济技术开发区波玛路2号建材交易中心28栋3楼2823号，所属行业为有色金属矿采选业，经营范围包含：一般项目：矿山开发矿产地质调查；勘查水文地质勘查；工程地质勘查；环境地质勘查；地球物理勘查；地球化学勘查；地质测绘；地质勘探工程；选冶试验；矿业技术咨询、技术服务、技术培训；货物进出口、技术进出口；金属矿石、非金属矿积及其制品、煤炭及其制品、矿山机械、矿产品、金属材料、机械电气设备、实验分析仪器、仪器仪表的销售；水污染、光污染、大气污染、土壤污染治理与修复服务；地质灾害治理服务；生态恢复及生态保护服务；大气环境污染防治服务；水环境污染防治服务；土壤环境污染防治服务；土地整治服务（除依法须经批准的项目外，自主开展法律法规未禁止、限制的经营活动）。企业当前经营状态为存续。</t>
  </si>
  <si>
    <t>一般项目：矿山开发矿产地质调查；勘查水文地质勘查；工程地质勘查；环境地质勘查；地球物理勘查；地球化学勘查；地质测绘；地质勘探工程；选冶试验；矿业技术咨询、技术服务、技术培训；货物进出口、技术进出口；金属矿石、非金属矿积及其制品、煤炭及其制品、矿山机械、矿产品、金属材料、机械电气设备、实验分析仪器、仪器仪表的销售；水污染、光污染、大气污染、土壤污染治理与修复服务；地质灾害治理服务；生态恢复及生态保护服务；大气环境污染防治服务；水环境污染防治服务；土壤环境污染防治服务；土地整治服务（除依法须经批准的项目外，自主开展法律法规未禁止、限制的经营活动）</t>
  </si>
  <si>
    <t>西藏拉萨经济技术开发区市场监督管理局</t>
  </si>
  <si>
    <t>西藏巨龙铜业有限公司</t>
  </si>
  <si>
    <t>91540127783518411T</t>
  </si>
  <si>
    <t>车贤</t>
  </si>
  <si>
    <t>501980万元</t>
  </si>
  <si>
    <t>477880万元</t>
  </si>
  <si>
    <t>2006-12-14</t>
  </si>
  <si>
    <t>西藏自治区拉萨市墨竹工卡县甲玛乡孜孜荣村</t>
  </si>
  <si>
    <t>墨竹工卡县</t>
  </si>
  <si>
    <t>0891-6953962</t>
  </si>
  <si>
    <t>17709368680;0891-6955621;0891-6165256;0891-6953101;0891-6837299;15960881862</t>
  </si>
  <si>
    <t>jlty@zijinmining.com</t>
  </si>
  <si>
    <t>18813059497@163.com;26966920@qq.com;269664920@qq.com</t>
  </si>
  <si>
    <t>540127200000437</t>
  </si>
  <si>
    <t>78351841-1</t>
  </si>
  <si>
    <t>2040</t>
  </si>
  <si>
    <t>2006-12-14 至 2051-12-13</t>
  </si>
  <si>
    <t>铜矿采选</t>
  </si>
  <si>
    <t>Tibet Julong Copper Co., Ltd.</t>
  </si>
  <si>
    <t>西藏巨龙铜业有限公司成立于2006-12-14，法定代表人为车贤，注册资本为501980万元，统一社会信用代码为91540127783518411T，企业注册地址位于西藏自治区拉萨市墨竹工卡县甲玛乡孜孜荣村，所属行业为有色金属矿采选业，经营范围包含：矿产品销售；矿山设备、冶炼设备、地质勘查与施工、运输车辆销售租赁、房屋租赁、机电设备及配件、化工原料及产品、塑料制品销售、有色金属、稀贵金属、非金属采、选、冶炼、加工及产品销售和服务；有色金属、稀贵金属及相关副产品的冶炼、压延加工、深加工和销售；与上述业务相关的硫化工及其延伸产品、精细化工产品加工和销售；矿山设备配件销售；建筑材料销售；机械租赁；矿山设备租赁；水泥、砂石、混凝土生产及销售；车辆轮胎销售；物业管理服务。【依法需经批准的项目，经相关部门批准后方可开展经营活动。】。企业当前经营状态为存续。</t>
  </si>
  <si>
    <t>矿产品销售；矿山设备、冶炼设备、地质勘查与施工、运输车辆销售租赁、房屋租赁、机电设备及配件、化工原料及产品、塑料制品销售、有色金属、稀贵金属、非金属采、选、冶炼、加工及产品销售和服务；有色金属、稀贵金属及相关副产品的冶炼、压延加工、深加工和销售；与上述业务相关的硫化工及其延伸产品、精细化工产品加工和销售；矿山设备配件销售；建筑材料销售；机械租赁；矿山设备租赁；水泥、砂石、混凝土生产及销售；车辆轮胎销售；物业管理服务。【依法需经批准的项目，经相关部门批准后方可开展经营活动。】</t>
  </si>
  <si>
    <t>墨竹工卡县市场监督管理局</t>
  </si>
  <si>
    <t>宜城市成祥金属材料有限公司</t>
  </si>
  <si>
    <t>91420684MA491R159H</t>
  </si>
  <si>
    <t>注销（2025-07-03）</t>
  </si>
  <si>
    <t>严名饶</t>
  </si>
  <si>
    <t>2017-10-30</t>
  </si>
  <si>
    <t>宜城市小河镇明正村</t>
  </si>
  <si>
    <t>宜城市</t>
  </si>
  <si>
    <t>13907934359</t>
  </si>
  <si>
    <t>18571162660</t>
  </si>
  <si>
    <t>25648@qq.com</t>
  </si>
  <si>
    <t>420684000099921</t>
  </si>
  <si>
    <t>MA491R15-9</t>
  </si>
  <si>
    <t>2017-10-30 至 无固定期限</t>
  </si>
  <si>
    <t>Yicheng Chengxiang Metal Materials Co., Ltd.</t>
  </si>
  <si>
    <t>宜城市成祥金属材料有限公司成立于2017-10-30，法定代表人为严名饶，注册资本为800万元，统一社会信用代码为91420684MA491R159H，企业注册地址位于宜城市小河镇明正村，所属行业为批发业，经营范围包含：金属矿产品、黑色金属废料、非金属及其化合物、矿产品购销（不含危险化学品）。（涉及许可经营项目，应取得相关部门许可后方可经营）。企业当前经营状态为注销。</t>
  </si>
  <si>
    <t>金属矿产品、黑色金属废料、非金属及其化合物、矿产品购销（不含危险化学品）。（涉及许可经营项目，应取得相关部门许可后方可经营）</t>
  </si>
  <si>
    <t>宜城市市场监督管理局</t>
  </si>
  <si>
    <t>陕西众科云佳实业有限公司</t>
  </si>
  <si>
    <t>91610330MA6XHHG41H</t>
  </si>
  <si>
    <t>凤县谦象实业有限公司</t>
  </si>
  <si>
    <t>郑凌云</t>
  </si>
  <si>
    <t>630.7万元</t>
  </si>
  <si>
    <t>2020-03-03</t>
  </si>
  <si>
    <t>陕西省西安市高新区木塔寨西路719号1幢20801室</t>
  </si>
  <si>
    <t>15389251606</t>
  </si>
  <si>
    <t>zhongkecompany@126.com</t>
  </si>
  <si>
    <t>759653145@qq.com</t>
  </si>
  <si>
    <t>MA6XHHG4-1</t>
  </si>
  <si>
    <t>2020-03-03 至 无固定期限</t>
  </si>
  <si>
    <t>其他常用有色金属矿采选</t>
  </si>
  <si>
    <t>Shaanxi Zhongke Yunjia Industrial Co., Ltd.</t>
  </si>
  <si>
    <t>陕西众科云佳实业有限公司成立于2020-03-03，法定代表人为郑凌云，注册资本为1000万元，统一社会信用代码为91610330MA6XHHG41H，企业注册地址位于陕西省西安市高新区木塔寨西路719号1幢20801室，所属行业为有色金属矿采选业，经营范围包含：一般项目：五金产品批发；有色金属压延加工；有色金属合金销售；高性能有色金属及合金材料销售；电子产品销售；建筑材料销售；金属材料销售；化工产品销售（不含许可类化工产品）；农副产品销售；电气设备销售；机械设备销售；机械设备租赁；办公设备租赁服务；非居住房地产租赁；金属结构制造；建筑工程用机械销售；工程管理服务；物业管理；计算机软硬件及辅助设备批发；技术服务、技术开发、技术咨询、技术交流、技术转让、技术推广；广告制作；广告设计、代理；会议及展览服务；金属包装容器及材料销售；金属矿石销售；矿山机械销售；非金属矿及制品销售；货物进出口；技术进出口。（除依法须经批准的项目外，凭营业执照依法自主开展经营活动）。企业当前经营状态为在业。</t>
  </si>
  <si>
    <t>一般项目：五金产品批发；有色金属压延加工；有色金属合金销售；高性能有色金属及合金材料销售；电子产品销售；建筑材料销售；金属材料销售；化工产品销售（不含许可类化工产品）；农副产品销售；电气设备销售；机械设备销售；机械设备租赁；办公设备租赁服务；非居住房地产租赁；金属结构制造；建筑工程用机械销售；工程管理服务；物业管理；计算机软硬件及辅助设备批发；技术服务、技术开发、技术咨询、技术交流、技术转让、技术推广；广告制作；广告设计、代理；会议及展览服务；金属包装容器及材料销售；金属矿石销售；矿山机械销售；非金属矿及制品销售；货物进出口；技术进出口。（除依法须经批准的项目外，凭营业执照依法自主开展经营活动）</t>
  </si>
  <si>
    <t>西安市市场监督管理局高新区分局</t>
  </si>
  <si>
    <t>西安谦象实业有限公司</t>
  </si>
  <si>
    <t>91610100592246388E</t>
  </si>
  <si>
    <t>张博强</t>
  </si>
  <si>
    <t>1006万元</t>
  </si>
  <si>
    <t>陕西省西安市高新区丈八一路1号汇鑫中心D座7层708-3室</t>
  </si>
  <si>
    <t>029-81163609</t>
  </si>
  <si>
    <t>029-81120541;029-87887685;029-89382326;029-89382320</t>
  </si>
  <si>
    <t>qianxiangcompany@126.com</t>
  </si>
  <si>
    <t>610100100535113</t>
  </si>
  <si>
    <t>59224638-8</t>
  </si>
  <si>
    <t>2012-04-12 至 无固定期限</t>
  </si>
  <si>
    <t>Xi'an Qianxiang Industrial Co., Ltd.</t>
  </si>
  <si>
    <t>陕西省西安市高新区丈八一路1号汇鑫IBC（D座）7层708-3室</t>
  </si>
  <si>
    <t>西安谦象实业有限公司成立于2012-04-12，法定代表人为张博强，注册资本为1006万元，统一社会信用代码为91610100592246388E，企业注册地址位于陕西省西安市高新区丈八一路1号汇鑫中心D座7层708-3室，所属行业为批发和零售业，经营范围包含：一般项目：五金产品批发；有色金属合金销售；高性能有色金属及合金材料销售；电子产品销售；建筑材料销售；金属材料销售；化工产品销售（不含许可类化工产品）；农副产品销售；货物进出口；技术进出口；电气设备销售；机械设备销售；机械设备租赁；办公设备租赁服务；非居住房地产租赁；金属结构制造；建筑工程用机械销售；工程管理服务；物业管理；计算机软硬件及辅助设备批发；技术服务、技术开发、技术咨询、技术交流、技术转让、技术推广；广告制作；广告设计、代理；会议及展览服务；金属包装容器及材料销售；金属矿石销售；矿山机械销售；非金属矿及制品销售；有色金属压延加工；再生资源回收（除生产性废旧金属）；生产性废旧金属回收；再生资源销售。（除依法须经批准的项目外，凭营业执照依法自主开展经营活动）。企业当前经营状态为在业。</t>
  </si>
  <si>
    <t>一般项目：五金产品批发；有色金属合金销售；高性能有色金属及合金材料销售；电子产品销售；建筑材料销售；金属材料销售；化工产品销售（不含许可类化工产品）；农副产品销售；货物进出口；技术进出口；电气设备销售；机械设备销售；机械设备租赁；办公设备租赁服务；非居住房地产租赁；金属结构制造；建筑工程用机械销售；工程管理服务；物业管理；计算机软硬件及辅助设备批发；技术服务、技术开发、技术咨询、技术交流、技术转让、技术推广；广告制作；广告设计、代理；会议及展览服务；金属包装容器及材料销售；金属矿石销售；矿山机械销售；非金属矿及制品销售；有色金属压延加工；再生资源回收（除生产性废旧金属）；生产性废旧金属回收；再生资源销售。（除依法须经批准的项目外，凭营业执照依法自主开展经营活动）</t>
  </si>
  <si>
    <t>西安河渎实业有限公司</t>
  </si>
  <si>
    <t>9161013907343423XD</t>
  </si>
  <si>
    <t>吴晓朋</t>
  </si>
  <si>
    <t>2013-09-12</t>
  </si>
  <si>
    <t>西安国际港务区综合保税区陆港保税大厦A9-7室</t>
  </si>
  <si>
    <t>029-88780921</t>
  </si>
  <si>
    <t>029-87880921</t>
  </si>
  <si>
    <t>hchf0913@126.com</t>
  </si>
  <si>
    <t>hchf0913@163.com;hdsycw@126.com</t>
  </si>
  <si>
    <t>610139100001970</t>
  </si>
  <si>
    <t>07343423-X</t>
  </si>
  <si>
    <t>2013-09-12 至 无固定期限</t>
  </si>
  <si>
    <t>Xi'an Hedu Industrial Co., Ltd.</t>
  </si>
  <si>
    <t>http://www.hedugroup.com</t>
  </si>
  <si>
    <t>西安河渎实业有限公司成立于2013-09-12，法定代表人为吴晓朋，注册资本为10000万元，统一社会信用代码为9161013907343423XD，企业注册地址位于西安国际港务区综合保税区陆港保税大厦A9-7室，所属行业为纺织业，经营范围包含：一般经营项目：棉花收购加工。纺织服装、棉花、棉纱、棉布，纺织机械设备及配件、二类机电、五金机电，铁粉，包装材料的进出口销售业务；酒店管理，旅游项目开发，房地产开发与销售，物业管理，仓储服务。（以上经营范围除国家专控及前置许可项目）。企业当前经营状态为在业。</t>
  </si>
  <si>
    <t>一般经营项目：棉花收购加工。纺织服装、棉花、棉纱、棉布，纺织机械设备及配件、二类机电、五金机电，铁粉，包装材料的进出口销售业务；酒店管理，旅游项目开发，房地产开发与销售，物业管理，仓储服务。（以上经营范围除国家专控及前置许可项目）</t>
  </si>
  <si>
    <t>西安市市场监督管理局浐灞国际港分局（港务片区）</t>
  </si>
  <si>
    <t>青海天酬贸易有限公司</t>
  </si>
  <si>
    <t>91632900MAC6GTLD03</t>
  </si>
  <si>
    <t>吕学冠</t>
  </si>
  <si>
    <t>24.046743万元</t>
  </si>
  <si>
    <t>2023-02-06</t>
  </si>
  <si>
    <t>青海省西宁市城东区东川工业园金桥路36号科技孵化器大厦14层36-472（1410室）</t>
  </si>
  <si>
    <t>15009120989</t>
  </si>
  <si>
    <t>827181021@qq.com</t>
  </si>
  <si>
    <t>632900910021014</t>
  </si>
  <si>
    <t>MAC6GTLD-0</t>
  </si>
  <si>
    <t>2023-02-06 至 无固定期限</t>
  </si>
  <si>
    <t>Qinghai Tianhui Trading Co., Ltd.</t>
  </si>
  <si>
    <t>青海省西宁市东川工业园中小企业创业园c区8号楼5楼5-A-458</t>
  </si>
  <si>
    <t>青海天酬贸易有限公司成立于2023-02-06，法定代表人为吕学冠，注册资本为1000万元，统一社会信用代码为91632900MAC6GTLD03，企业注册地址位于青海省西宁市城东区东川工业园金桥路36号科技孵化器大厦14层36-472（1410室），所属行业为批发业，经营范围包含：一般项目：化工产品销售（不含许可类化工产品）；煤炭及制品销售；非金属矿及制品销售；石油制品销售（不含危险化学品）；金属材料销售；金属制品销售；金属矿石销售；石灰和石膏销售；建筑材料销售；石棉制品销售；石墨及碳素制品制造；合成材料销售；橡胶制品销售；办公用品销售；国内货物运输代理（除依法须经批准的项目外，凭营业执照依法自主开展经营活动）。企业当前经营状态为在业。</t>
  </si>
  <si>
    <t>一般项目：化工产品销售（不含许可类化工产品）；煤炭及制品销售；非金属矿及制品销售；石油制品销售（不含危险化学品）；金属材料销售；金属制品销售；金属矿石销售；石灰和石膏销售；建筑材料销售；石棉制品销售；石墨及碳素制品制造；合成材料销售；橡胶制品销售；办公用品销售；国内货物运输代理（除依法须经批准的项目外，凭营业执照依法自主开展经营活动）。</t>
  </si>
  <si>
    <t>西宁市城东区市场监督管理局</t>
  </si>
  <si>
    <t>江西坤宏铜业有限公司</t>
  </si>
  <si>
    <t>91360681MA37W8ARXG</t>
  </si>
  <si>
    <t>汪小明</t>
  </si>
  <si>
    <t>2018-05-07</t>
  </si>
  <si>
    <t>江西省贵溪市经济开发区</t>
  </si>
  <si>
    <t>鹰潭市</t>
  </si>
  <si>
    <t>贵溪市</t>
  </si>
  <si>
    <t>13707013573</t>
  </si>
  <si>
    <t>0701-3766177</t>
  </si>
  <si>
    <t>13707013573@163.com</t>
  </si>
  <si>
    <t>664896531@qq.com</t>
  </si>
  <si>
    <t>360681110002858</t>
  </si>
  <si>
    <t>MA37W8AR-X</t>
  </si>
  <si>
    <t>2018-05-07 至 无固定期限</t>
  </si>
  <si>
    <t>有色金属压延加工</t>
  </si>
  <si>
    <t>铜压延加工</t>
  </si>
  <si>
    <t>Jiangxi Kunhong Copper Industry Co., Ltd.</t>
  </si>
  <si>
    <t>江西坤宏铜业有限公司成立于2018-05-07，法定代表人为汪小明，注册资本为2000万元，统一社会信用代码为91360681MA37W8ARXG，企业注册地址位于江西省贵溪市经济开发区，所属行业为有色金属冶炼和压延加工业，经营范围包含：铜压延、加工（国家禁止投资的铜线杆（黑杆）生产除外），有色金属销售；电子原件生产销售、废旧金属回收利用（自营和代理各类商品和技术的进出口（但国家限定公司经营或禁止的除外）（依法须经批准的项目,经相关部门批准后方可开展经营活动）。企业当前经营状态为存续。</t>
  </si>
  <si>
    <t>铜压延、加工（国家禁止投资的铜线杆（黑杆）生产除外），有色金属销售；电子原件生产销售、废旧金属回收利用（自营和代理各类商品和技术的进出口（但国家限定公司经营或禁止的除外）（依法须经批准的项目,经相关部门批准后方可开展经营活动）</t>
  </si>
  <si>
    <t>贵溪市市场监督管理局</t>
  </si>
  <si>
    <t>河南新昌电工科技有限公司</t>
  </si>
  <si>
    <t>91410181MA3XDH923G</t>
  </si>
  <si>
    <t>柴兴臣</t>
  </si>
  <si>
    <t>12632万元</t>
  </si>
  <si>
    <t>2016-09-12</t>
  </si>
  <si>
    <t>河南省郑州市巩义市回郭镇310国道一队751号3号楼</t>
  </si>
  <si>
    <t>巩义市</t>
  </si>
  <si>
    <t>0371-85020592</t>
  </si>
  <si>
    <t>15936275692;0371-85050592;0371-85607399</t>
  </si>
  <si>
    <t>675078803@qq.com</t>
  </si>
  <si>
    <t>2399741082@qq.com;1876315410@qq.com</t>
  </si>
  <si>
    <t>410181000074578</t>
  </si>
  <si>
    <t>MA3XDH92-3</t>
  </si>
  <si>
    <t>246</t>
  </si>
  <si>
    <t>2016-09-12 至 无固定期限</t>
  </si>
  <si>
    <t>Henan Xinchang Electrical Technology Co., Ltd.</t>
  </si>
  <si>
    <t>巩义市产业集聚区</t>
  </si>
  <si>
    <t>新昌电工是新昌铜业集团控股子公司。公司位于巩义市先进制造业开发区，成立于2016年，注册资金1.26亿元，占地100余亩，主要生产：高端精品铜线材、铜导体、铜排、铜带、架空线缆等铜铝产品。</t>
  </si>
  <si>
    <t>一般项目：技术服务、技术开发、技术咨询、技术交流、技术转让、技术推广；有色金属压延加工；金属制品研发；金属材料制造；有色金属合金制造；金属结构制造；金属制品销售；金属材料销售；电线、电缆经营；货物进出口；技术进出口（除依法须经批准的项目外，凭营业执照依法自主开展经营活动）许可项目：电线、电缆制造；道路货物运输（不含危险货物）（依法须经批准的项目，经相关部门批准后方可开展经营活动，具体经营项目以相关部门批准文件或许可证件为准）</t>
  </si>
  <si>
    <t>巩义市市场监督管理局</t>
  </si>
  <si>
    <t>郑州交通运输集团有限责任公司</t>
  </si>
  <si>
    <t>91410100170030798J</t>
  </si>
  <si>
    <t>王振宾</t>
  </si>
  <si>
    <t>22826万元</t>
  </si>
  <si>
    <t>1990-07-06</t>
  </si>
  <si>
    <t>郑州市二七区大学南路108号</t>
  </si>
  <si>
    <t>0371-66776900</t>
  </si>
  <si>
    <t>0371-67525621;13903837381;0371-66776997</t>
  </si>
  <si>
    <t>jyjtzhb@163.com</t>
  </si>
  <si>
    <t>jyjyzhb@163.com</t>
  </si>
  <si>
    <t>410100100009337</t>
  </si>
  <si>
    <t>17003079-8</t>
  </si>
  <si>
    <t>2960</t>
  </si>
  <si>
    <t>1990-07-06 至 无固定期限</t>
  </si>
  <si>
    <t>道路运输业</t>
  </si>
  <si>
    <t>公路旅客运输</t>
  </si>
  <si>
    <t>旅游客运</t>
  </si>
  <si>
    <t>Zhengzhou Traffic Transportation Company</t>
  </si>
  <si>
    <t>郑州交通运输集团有限责任公司成立于1990-07-06，法定代表人为王振宾，注册资本为22826万元，统一社会信用代码为91410100170030798J，企业注册地址位于郑州市二七区大学南路108号，所属行业为道路运输业，经营范围包含：许可项目：道路旅客运输经营；道路旅客运输站经营；道路货物运输（不含危险货物）；道路危险货物运输；放射性物品道路运输；城市配送运输服务（不含危险货物）；房地产开发经营；保险代理业务；保险兼业代理业务；旅游业务；住宿服务；餐饮服务；校车运营服务（依法须经批准的项目，经相关部门批准后方可开展经营活动，具体经营项目以相关部门批准文件或许可证件为准）一般项目：道路货物运输站经营；总质量4.5吨及以下普通货运车辆道路货物运输（除网络货运和危险货物）；装卸搬运；国际货物运输代理；国内货物运输代理；国内集装箱货物运输代理；在保险公司授权范围内开展专属保险代理业务（凭授权经营）；低温仓储（不含危险化学品等需许可审批的项目）；普通货物仓储服务（不含危险化学品等需许可审批的项目）；运输货物打包服务；集中式快速充电站；电动汽车充电基础设施运营；旅游开发项目策划咨询；机动车修理和维护；机动车驾驶员培训；小微型客车租赁经营服务；代驾服务；停车场服务；信息咨询服务（不含许可类信息咨询服务）；物联网应用服务；供应链管理服务；办公服务；平面设计；广告制作；广告发布；广告设计、代理；住房租赁；非居住房地产租赁；文具用品批发；文具用品零售；汽车零配件零售；日用百货销售；润滑油销售；机动车充电销售；高性能有色金属及合金材料销售；有色金属合金销售；煤炭及制品销售（除依法须经批准的项目外，凭营业执照依法自主开展经营活动）。企业当前经营状态为存续。</t>
  </si>
  <si>
    <t>许可项目：道路旅客运输经营；道路旅客运输站经营；道路货物运输（不含危险货物）；道路危险货物运输；放射性物品道路运输；城市配送运输服务（不含危险货物）；房地产开发经营；保险代理业务；保险兼业代理业务；旅游业务；住宿服务；餐饮服务；校车运营服务（依法须经批准的项目，经相关部门批准后方可开展经营活动，具体经营项目以相关部门批准文件或许可证件为准）一般项目：道路货物运输站经营；总质量4.5吨及以下普通货运车辆道路货物运输（除网络货运和危险货物）；装卸搬运；国际货物运输代理；国内货物运输代理；国内集装箱货物运输代理；在保险公司授权范围内开展专属保险代理业务（凭授权经营）；低温仓储（不含危险化学品等需许可审批的项目）；普通货物仓储服务（不含危险化学品等需许可审批的项目）；运输货物打包服务；集中式快速充电站；电动汽车充电基础设施运营；旅游开发项目策划咨询；机动车修理和维护；机动车驾驶员培训；小微型客车租赁经营服务；代驾服务；停车场服务；信息咨询服务（不含许可类信息咨询服务）；物联网应用服务；供应链管理服务；办公服务；平面设计；广告制作；广告发布；广告设计、代理；住房租赁；非居住房地产租赁；文具用品批发；文具用品零售；汽车零配件零售；日用百货销售；润滑油销售；机动车充电销售；高性能有色金属及合金材料销售；有色金属合金销售；煤炭及制品销售（除依法须经批准的项目外，凭营业执照依法自主开展经营活动）</t>
  </si>
  <si>
    <t>永兴县强胜银业有限责任公司</t>
  </si>
  <si>
    <t>91431023687448564K</t>
  </si>
  <si>
    <t>永兴县永丰银业有限责任公司</t>
  </si>
  <si>
    <t>李强</t>
  </si>
  <si>
    <t>5188万元</t>
  </si>
  <si>
    <t>2009-04-23</t>
  </si>
  <si>
    <t>永兴县柏林镇青路村珠龙组（柏林工业区）</t>
  </si>
  <si>
    <t>永兴县</t>
  </si>
  <si>
    <t>0735-8887789</t>
  </si>
  <si>
    <t>0735-2222292</t>
  </si>
  <si>
    <t>810303144@qq.com</t>
  </si>
  <si>
    <t>431023000004344</t>
  </si>
  <si>
    <t>68744856-4</t>
  </si>
  <si>
    <t>2009-04-23 至 2039-04-22</t>
  </si>
  <si>
    <t>贵金属冶炼</t>
  </si>
  <si>
    <t>银冶炼</t>
  </si>
  <si>
    <t>Yongxing Qiangsheng Silver Lndustry Co., Ltd.</t>
  </si>
  <si>
    <t>永兴县强胜银业有限责任公司成立于2009-04-23，法定代表人为李强，注册资本为5188万元，统一社会信用代码为91431023687448564K，企业注册地址位于永兴县柏林镇青路村珠龙组（柏林工业区），所属行业为有色金属冶炼和压延加工业，经营范围包含：银、电解铅等有色金属冶炼及销售；矿产品销售；货物与技术的进出口业务。（经营危险废物的在《危险废物经营许可证》核定的范围内和有效期内经营，依法须经批准的项目，经相关部门批准后方可开展经营活动）。企业当前经营状态为存续。</t>
  </si>
  <si>
    <t>银、电解铅等有色金属冶炼及销售；矿产品销售；货物与技术的进出口业务。（经营危险废物的在《危险废物经营许可证》核定的范围内和有效期内经营，依法须经批准的项目，经相关部门批准后方可开展经营活动）</t>
  </si>
  <si>
    <t>永兴县市场监督管理局</t>
  </si>
  <si>
    <t>长沙福诚供应链有限公司</t>
  </si>
  <si>
    <t>91430111MA4RCF2D4Q</t>
  </si>
  <si>
    <t>马志芳</t>
  </si>
  <si>
    <t>2020-05-26</t>
  </si>
  <si>
    <t>长沙市雨花区湘府东路二段200号华坤大楼2026房</t>
  </si>
  <si>
    <t>雨花区</t>
  </si>
  <si>
    <t>0731-82254606</t>
  </si>
  <si>
    <t>17625650042</t>
  </si>
  <si>
    <t>568766127@qq.com</t>
  </si>
  <si>
    <t>MA4RCF2D-4</t>
  </si>
  <si>
    <t>2020-05-26 至 2070-05-25</t>
  </si>
  <si>
    <t>Changsha Fucheng Supply Chain Co., Ltd.</t>
  </si>
  <si>
    <t>长沙福诚供应链有限公司成立于2020-05-26，法定代表人为马志芳，注册资本为1000万元，统一社会信用代码为91430111MA4RCF2D4Q，企业注册地址位于长沙市雨花区湘府东路二段200号华坤大楼2026房，所属行业为商务服务业，经营范围包含：供应链管理与服务；仓储管理服务；国际货物运输代理；仓储代理服务；仓储咨询服务；物流代理服务；物流咨询服务；贸易代理；贸易咨询服务；货物或技术进出口（国家禁止或涉及行政审批的货物和技术进出口除外）；金属及金属矿批发；黄金制品批发；黄金制品零售；白银制品批发；白银制品零售；银首饰零售服务；金首饰零售服务；自营和代理各类商品及技术的进出口，但国家限定公司经营或禁止进出口的商品和技术除外。（依法须经批准的项目，经相关部门批准后方可开展经营活动）。企业当前经营状态为存续。</t>
  </si>
  <si>
    <t>供应链管理与服务；仓储管理服务；国际货物运输代理；仓储代理服务；仓储咨询服务；物流代理服务；物流咨询服务；贸易代理；贸易咨询服务；货物或技术进出口（国家禁止或涉及行政审批的货物和技术进出口除外）；金属及金属矿批发；黄金制品批发；黄金制品零售；白银制品批发；白银制品零售；银首饰零售服务；金首饰零售服务；自营和代理各类商品及技术的进出口，但国家限定公司经营或禁止进出口的商品和技术除外。（依法须经批准的项目，经相关部门批准后方可开展经营活动）</t>
  </si>
  <si>
    <t>长沙市雨花区市场监督管理局</t>
  </si>
  <si>
    <t>河南九易铜业有限公司</t>
  </si>
  <si>
    <t>91411282MA45LYTM0P</t>
  </si>
  <si>
    <t>谢忠跃</t>
  </si>
  <si>
    <t>2018-08-21</t>
  </si>
  <si>
    <t>河南省三门峡市灵宝市城东产业园经二路一号厂区05栋</t>
  </si>
  <si>
    <t>0398-2123898</t>
  </si>
  <si>
    <t>13903983898;13781008037</t>
  </si>
  <si>
    <t>hnjyty8@163.com</t>
  </si>
  <si>
    <t>515489434@qq.com;19622804@qq.com;602835143@qq.com</t>
  </si>
  <si>
    <t>MA45LYTM-0</t>
  </si>
  <si>
    <t>38</t>
  </si>
  <si>
    <t>2018-08-21 至 无固定期限</t>
  </si>
  <si>
    <t>Henan Jiuyi Copper Industry Co., Ltd.</t>
  </si>
  <si>
    <t>http://www.hnjiuyi.cn</t>
  </si>
  <si>
    <t>河南九易铜业有限公司主要生产以电解铜为原料的高纯度无氧铜杆，产品广泛应用于铜箔等生产领域，同时也生产铜加工材和电线电缆。该公司已通过中国质量认证中心质量管理体系GB/T19001-2016/ISO9001:2015、环境管理体系GB/T24001-2016/ISO14001:2015、职业健康安全管理体系GB/T45001-2020/ISO45001:2018认证，是2023年省级创新型中小企业。在2023年05月获得8.0mm - 20mm铜杆、2.6mm - 3.5mm硬圆铜线生产及相关管理活动的中国职业健康安全管理体系认证、环境管理体系认证，2023年06月获得8.0mm - 20mm铜杆、2.6mm - 3.5mm硬圆铜线生产的质量管理体系认证（ISO9001）。</t>
  </si>
  <si>
    <t>铜材加工、销售，电线、电缆生产、销售，矿产品购销</t>
  </si>
  <si>
    <t>东方集团物产有限公司</t>
  </si>
  <si>
    <t>91310115MA1K3DND1M</t>
  </si>
  <si>
    <t>凌启龙</t>
  </si>
  <si>
    <t>30000万元</t>
  </si>
  <si>
    <t>2016-06-27</t>
  </si>
  <si>
    <t>上海市普陀区大渡河路1718号A区604-6室</t>
  </si>
  <si>
    <t>021-62570532</t>
  </si>
  <si>
    <t>021-62570995;021-62571094;021-32258656</t>
  </si>
  <si>
    <t>dfwc-finance@orientgroup.com.cn</t>
  </si>
  <si>
    <t>hexj@orientgroup.com.cn;zongheguanlibu@orientgroup.com.cn</t>
  </si>
  <si>
    <t>310141000315924</t>
  </si>
  <si>
    <t>MA1K3DND-1</t>
  </si>
  <si>
    <t>2016-06-27 至 2046-06-26</t>
  </si>
  <si>
    <t>Orient Group Commodities Co., Ltd.</t>
  </si>
  <si>
    <t>上海市浦东新区世纪大道1589号长泰国际金融大厦2层R08单元</t>
  </si>
  <si>
    <t>东方集团物产有限公司成立于2016-06-27，法定代表人为凌启龙，注册资本为30000万元，统一社会信用代码为91310115MA1K3DND1M，企业注册地址位于上海市普陀区大渡河路1718号A区604-6室，所属行业为批发业，经营范围包含：许可项目：货物进出口；技术进出口。（依法须经批准的项目，经相关部门批准后方可开展经营活动，具体经营项目以相关部门批准文件或许可证件为准）一般项目：商务信息咨询，市场信息咨询与调查（不得从事社会调查、社会调研、民意调查、民意测验），销售：矿产品、食用农产品、冶金材料、金银饰品、煤炭、橡胶制品、化工产品及原料（除危险化学品、监控化学品、烟花爆竹、民用爆炸物品、易制毒化学品）、燃料油（除危险品）。（除依法须经批准的项目外，凭营业执照依法自主开展经营活动）。企业当前经营状态为存续。</t>
  </si>
  <si>
    <t>许可项目：货物进出口；技术进出口。（依法须经批准的项目，经相关部门批准后方可开展经营活动，具体经营项目以相关部门批准文件或许可证件为准）一般项目：商务信息咨询，市场信息咨询与调查（不得从事社会调查、社会调研、民意调查、民意测验），销售：矿产品、食用农产品、冶金材料、金银饰品、煤炭、橡胶制品、化工产品及原料（除危险化学品、监控化学品、烟花爆竹、民用爆炸物品、易制毒化学品）、燃料油（除危险品）。（除依法须经批准的项目外，凭营业执照依法自主开展经营活动）</t>
  </si>
  <si>
    <t>河南祥鸣实业有限公司</t>
  </si>
  <si>
    <t>91410105MA9GL7BG2N</t>
  </si>
  <si>
    <t>注销（2025-08-21）</t>
  </si>
  <si>
    <t>白二红</t>
  </si>
  <si>
    <t>1190万元</t>
  </si>
  <si>
    <t>357万元</t>
  </si>
  <si>
    <t>2021-04-02</t>
  </si>
  <si>
    <t>河南省郑州市金水区鑫苑路18号鑫苑名家鑫福园11号楼东1单元1层2号</t>
  </si>
  <si>
    <t>金水区</t>
  </si>
  <si>
    <t>15617902177</t>
  </si>
  <si>
    <t>15036141067;13603711597</t>
  </si>
  <si>
    <t>115417936@qq.com</t>
  </si>
  <si>
    <t>hnxm2103@163.com</t>
  </si>
  <si>
    <t>410105001964386</t>
  </si>
  <si>
    <t>MA9GL7BG-2</t>
  </si>
  <si>
    <t>2021-04-02 至 无固定期限</t>
  </si>
  <si>
    <t>Henan Xiangming Industrial Co., Ltd.</t>
  </si>
  <si>
    <t>河南祥鸣实业有限公司成立于2021-04-02，法定代表人为白二红，注册资本为1190万元，统一社会信用代码为91410105MA9GL7BG2N，企业注册地址位于河南省郑州市金水区鑫苑路18号鑫苑名家鑫福园11号楼东1单元1层2号，所属行业为零售业，经营范围包含：一般项目：技术服务、技术开发、技术咨询、技术交流、技术转让、技术推广；软件开发；会议及展览服务；礼仪服务；信息技术咨询服务；工程管理服务；市场营销策划；企业形象策划；企业管理咨询；信息系统集成服务；机械设备租赁；广告设计、代理；图文设计制作；工业设计服务；专业设计服务；广告发布（非广播电台、电视台、报刊出版单位）；建筑材料销售；地板销售；仪器仪表销售；办公用品销售；日用百货销售；环境保护专用设备销售；农副产品销售；礼品花卉销售；电子产品销售；计算机软硬件及辅助设备批发；网络设备销售；工艺美术品及礼仪用品销售（象牙及其制品除外）；移动通信设备销售；体育用品及器材零售；文具用品零售；家具销售；互联网销售（除销售需要许可的商品）；五金产品零售；第一类医疗器械销售；第二类医疗器械销售；家用电器销售；通讯设备销售；安防设备销售；金属材料销售（除依法须经批准的项目外，凭营业执照依法自主开展经营活动）许可项目：道路货物运输（不含危险货物）；各类工程建设活动；第一类增值电信业务；第二类增值电信业务（依法须经批准的项目，经相关部门批准后方可开展经营活动，具体经营项目以相关部门批准文件或许可证件为准）。企业当前经营状态为注销。</t>
  </si>
  <si>
    <t>一般项目：技术服务、技术开发、技术咨询、技术交流、技术转让、技术推广；软件开发；会议及展览服务；礼仪服务；信息技术咨询服务；工程管理服务；市场营销策划；企业形象策划；企业管理咨询；信息系统集成服务；机械设备租赁；广告设计、代理；图文设计制作；工业设计服务；专业设计服务；广告发布（非广播电台、电视台、报刊出版单位）；建筑材料销售；地板销售；仪器仪表销售；办公用品销售；日用百货销售；环境保护专用设备销售；农副产品销售；礼品花卉销售；电子产品销售；计算机软硬件及辅助设备批发；网络设备销售；工艺美术品及礼仪用品销售（象牙及其制品除外）；移动通信设备销售；体育用品及器材零售；文具用品零售；家具销售；互联网销售（除销售需要许可的商品）；五金产品零售；第一类医疗器械销售；第二类医疗器械销售；家用电器销售；通讯设备销售；安防设备销售；金属材料销售（除依法须经批准的项目外，凭营业执照依法自主开展经营活动）许可项目：道路货物运输（不含危险货物）；各类工程建设活动；第一类增值电信业务；第二类增值电信业务（依法须经批准的项目，经相关部门批准后方可开展经营活动，具体经营项目以相关部门批准文件或许可证件为准）</t>
  </si>
  <si>
    <t>郑州市金水区市场监督管理局</t>
  </si>
  <si>
    <t>宁波邦屿新材料有限公司</t>
  </si>
  <si>
    <t>91330203MADLQA64X3</t>
  </si>
  <si>
    <t>朱万龙</t>
  </si>
  <si>
    <t>2024-05-29</t>
  </si>
  <si>
    <t>浙江省宁波市海曙区壹都文化广场55号6-5-2</t>
  </si>
  <si>
    <t>海曙区</t>
  </si>
  <si>
    <t>13486656740</t>
  </si>
  <si>
    <t>944188052@qq.com</t>
  </si>
  <si>
    <t>330203000957513</t>
  </si>
  <si>
    <t>MADLQA64-X</t>
  </si>
  <si>
    <t>2024-05-29 至 无固定期限</t>
  </si>
  <si>
    <t>Ningbo Bangyu New Materials Co., Ltd.</t>
  </si>
  <si>
    <t>宁波邦屿新材料有限公司成立于2024-05-29，法定代表人为朱万龙，注册资本为3000万元，统一社会信用代码为91330203MADLQA64X3，企业注册地址位于浙江省宁波市海曙区壹都文化广场55号6-5-2，所属行业为批发业，经营范围包含：一般项目：新材料技术研发；供应链管理服务；企业管理咨询；企业管理；技术服务、技术开发、技术咨询、技术交流、技术转让、技术推广；图文设计制作；摄影扩印服务；计算机软硬件及辅助设备零售；电子产品销售；劳动保护用品销售；建筑材料销售；耐火材料销售；金属制品销售；机械设备销售；化工产品销售（不含许可类化工产品）；金属链条及其他金属制品销售；煤炭及制品销售；橡胶制品销售；金属矿石销售；金银制品销售；非金属矿及制品销售；有色金属合金销售（除依法须经批准的项目外，凭营业执照依法自主开展经营活动）。企业当前经营状态为存续。</t>
  </si>
  <si>
    <t>一般项目：新材料技术研发；供应链管理服务；企业管理咨询；企业管理；技术服务、技术开发、技术咨询、技术交流、技术转让、技术推广；图文设计制作；摄影扩印服务；计算机软硬件及辅助设备零售；电子产品销售；劳动保护用品销售；建筑材料销售；耐火材料销售；金属制品销售；机械设备销售；化工产品销售（不含许可类化工产品）；金属链条及其他金属制品销售；煤炭及制品销售；橡胶制品销售；金属矿石销售；金银制品销售；非金属矿及制品销售；有色金属合金销售（除依法须经批准的项目外，凭营业执照依法自主开展经营活动）。</t>
  </si>
  <si>
    <t>宁波市海曙区市场监督管理局</t>
  </si>
  <si>
    <t>广东省广晟冶金集团有限公司</t>
  </si>
  <si>
    <t>91440000736175022Y</t>
  </si>
  <si>
    <t>广东省广晟冶金有限公司,
广东广业冶金有限公司</t>
  </si>
  <si>
    <t>黄海生</t>
  </si>
  <si>
    <t>15519万元</t>
  </si>
  <si>
    <t>2002-03-01</t>
  </si>
  <si>
    <t>广州市越秀区东风东路749号4楼</t>
  </si>
  <si>
    <t>020-38023639</t>
  </si>
  <si>
    <t>020-38023860;020-38023957;020-38023963</t>
  </si>
  <si>
    <t>452736367@qq.com</t>
  </si>
  <si>
    <t>476647058@qq.com;927350187@qq.com;gsyj_qgb@163.com</t>
  </si>
  <si>
    <t>440000000077178</t>
  </si>
  <si>
    <t>73617502-2</t>
  </si>
  <si>
    <t>73</t>
  </si>
  <si>
    <t>2002-03-01 至 无固定期限</t>
  </si>
  <si>
    <t>GuangDong Rising Metallurgical Group Co., Ltd.</t>
  </si>
  <si>
    <t>gdsgsyj.com</t>
  </si>
  <si>
    <t>广东省广晟冶金集团有限公司成立于2002-03-01，法定代表人为黄海生，注册资本为15519万元，统一社会信用代码为91440000736175022Y，企业注册地址位于广州市越秀区东风东路749号4楼，所属行业为批发业，经营范围包含：一般项目：金属材料销售；五金产品零售；化工产品销售（不含许可类化工产品）；建筑材料销售；金属矿石销售；有色金属合金销售；金属链条及其他金属制品销售；以自有资金从事投资活动；新材料技术研发；新材料技术推广服务；物业管理；普通货物仓储服务（不含危险化学品等需许可审批的项目）；国内货物运输代理；货物进出口；技术进出口；停车场服务；生产性废旧金属回收；再生资源销售；再生资源回收（除生产性废旧金属）。（除依法须经批准的项目外，凭营业执照依法自主开展经营活动）。企业当前经营状态为存续。</t>
  </si>
  <si>
    <t>一般项目：金属材料销售；五金产品零售；化工产品销售（不含许可类化工产品）；建筑材料销售；金属矿石销售；有色金属合金销售；金属链条及其他金属制品销售；以自有资金从事投资活动；新材料技术研发；新材料技术推广服务；物业管理；普通货物仓储服务（不含危险化学品等需许可审批的项目）；国内货物运输代理；货物进出口；技术进出口；停车场服务；生产性废旧金属回收；再生资源销售；再生资源回收（除生产性废旧金属）。（除依法须经批准的项目外，凭营业执照依法自主开展经营活动）</t>
  </si>
  <si>
    <t>中铝物资有限公司</t>
  </si>
  <si>
    <t>91120118MA06D53W8W</t>
  </si>
  <si>
    <t>于华</t>
  </si>
  <si>
    <t>2018-06-26</t>
  </si>
  <si>
    <t>天津自贸试验区（中心商务区）融和路681号宝策大厦10层1002单元房间1</t>
  </si>
  <si>
    <t>滨海新区</t>
  </si>
  <si>
    <t>010-63985660</t>
  </si>
  <si>
    <t>18511867955</t>
  </si>
  <si>
    <t>zhl_kang@chinalco.com.cn</t>
  </si>
  <si>
    <t>zhl_kang@chalco.com.cn</t>
  </si>
  <si>
    <t>120118000370857</t>
  </si>
  <si>
    <t>MA06D53W-8</t>
  </si>
  <si>
    <t>74</t>
  </si>
  <si>
    <t>2018-06-26 至 无固定期限</t>
  </si>
  <si>
    <t>Chalco Materials Co., Ltd.</t>
  </si>
  <si>
    <t>北京市海淀区复兴路乙12号</t>
  </si>
  <si>
    <t>中铝物资有限公司成立于2018-06-26，法定代表人为于华，注册资本为200000万元，统一社会信用代码为91120118MA06D53W8W，企业注册地址位于天津自贸试验区（中心商务区）融和路681号宝策大厦10层1002单元房间1，所属行业为批发业，经营范围包含：许可项目：危险化学品经营；成品油批发（限危险化学品）；成品油零售（限危险化学品）。（依法须经批准的项目，经相关部门批准后方可开展经营活动，具体经营项目以相关部门批准文件或许可证件为准）。一般项目：技术进出口；货物进出口；进出口代理；技术开发、技术咨询、技术交流、技术转让、技术推广、技术服务；成品油批发（不含危险化学品）；有色金属合金销售；高性能有色金属及合金材料销售；金属材料销售；金属结构销售；金属制品销售；煤炭及制品销售；建筑用钢筋产品销售；高品质特种钢铁材料销售；建筑材料销售；仪器仪表销售；五金产品批发；五金产品零售；锻件及粉末冶金制品销售；冶金专用设备销售；化工产品销售（不含许可类化工产品）；非金属矿及制品销售；建筑防水卷材产品销售；劳动保护用品销售；办公用品销售；文具用品零售；文具用品批发；橡胶制品销售；专用化学产品销售（不含危险化学品）；塑料制品销售；耐火材料销售；农副产品销售；建筑装饰材料销售；汽车装饰用品销售；建筑用金属配件销售；建筑陶瓷制品销售；轻质建筑材料销售；日用百货销售；照明器具销售；配电开关控制设备销售；电线、电缆经营；汽车零配件零售；汽车零配件批发；新能源汽车整车销售；汽车新车销售；针纺织品销售；针纺织品及原料销售；电气机械设备销售；机械设备销售；矿山机械销售；泵及真空设备销售；通讯设备销售；电子产品销售；移动通信设备销售；电气设备销售；灯具销售；电气信号设备装置销售；环境监测专用仪器仪表销售；环境保护专用设备销售；金属矿石销售；石墨及碳素制品销售；合成材料销售；采购代理服务；物联网技术研发；电池销售；电子元器件批发；家用电器销售；特种劳动防护用品销售；电力电子元器件销售；电子元器件零售；再生资源回收（除生产性废旧金属）；生产性废旧金属回收；再生资源加工。（除依法须经批准的项目外，凭营业执照依法自主开展经营活动）。企业当前经营状态为存续。</t>
  </si>
  <si>
    <t>许可项目：危险化学品经营；成品油批发（限危险化学品）；成品油零售（限危险化学品）。（依法须经批准的项目，经相关部门批准后方可开展经营活动，具体经营项目以相关部门批准文件或许可证件为准）。一般项目：技术进出口；货物进出口；进出口代理；技术开发、技术咨询、技术交流、技术转让、技术推广、技术服务；成品油批发（不含危险化学品）；有色金属合金销售；高性能有色金属及合金材料销售；金属材料销售；金属结构销售；金属制品销售；煤炭及制品销售；建筑用钢筋产品销售；高品质特种钢铁材料销售；建筑材料销售；仪器仪表销售；五金产品批发；五金产品零售；锻件及粉末冶金制品销售；冶金专用设备销售；化工产品销售（不含许可类化工产品）；非金属矿及制品销售；建筑防水卷材产品销售；劳动保护用品销售；办公用品销售；文具用品零售；文具用品批发；橡胶制品销售；专用化学产品销售（不含危险化学品）；塑料制品销售；耐火材料销售；农副产品销售；建筑装饰材料销售；汽车装饰用品销售；建筑用金属配件销售；建筑陶瓷制品销售；轻质建筑材料销售；日用百货销售；照明器具销售；配电开关控制设备销售；电线、电缆经营；汽车零配件零售；汽车零配件批发；新能源汽车整车销售；汽车新车销售；针纺织品销售；针纺织品及原料销售；电气机械设备销售；机械设备销售；矿山机械销售；泵及真空设备销售；通讯设备销售；电子产品销售；移动通信设备销售；电气设备销售；灯具销售；电气信号设备装置销售；环境监测专用仪器仪表销售；环境保护专用设备销售；金属矿石销售；石墨及碳素制品销售；合成材料销售；采购代理服务；物联网技术研发；电池销售；电子元器件批发；家用电器销售；特种劳动防护用品销售；电力电子元器件销售；电子元器件零售；再生资源回收（除生产性废旧金属）；生产性废旧金属回收；再生资源加工。（除依法须经批准的项目外，凭营业执照依法自主开展经营活动）</t>
  </si>
  <si>
    <t>海南省朗辕国际贸易有限公司</t>
  </si>
  <si>
    <t>91460300MACPU4PQ8H</t>
  </si>
  <si>
    <t>匡子普</t>
  </si>
  <si>
    <t>980万元</t>
  </si>
  <si>
    <t>40万元</t>
  </si>
  <si>
    <t>2023-07-12</t>
  </si>
  <si>
    <t>海南省洋浦经济开发区新英湾区海岸华庭二期K1栋二单元203房</t>
  </si>
  <si>
    <t>13733879605</t>
  </si>
  <si>
    <t>13733879605@163.com</t>
  </si>
  <si>
    <t>460000009061804</t>
  </si>
  <si>
    <t>MACPU4PQ-8</t>
  </si>
  <si>
    <t>2023-07-12 至 无固定期限</t>
  </si>
  <si>
    <t>Hainan Langyuan International Trade Co., Ltd.</t>
  </si>
  <si>
    <t>海南省朗辕国际贸易有限公司成立于2023-07-12，法定代表人为匡子普，注册资本为980万元，统一社会信用代码为91460300MACPU4PQ8H，企业注册地址位于海南省洋浦经济开发区新英湾区海岸华庭二期K1栋二单元203房，所属行业为批发业，经营范围包含：许可项目：货物进出口（依法须经批准的项目，经相关部门批准后方可开展经营活动）一般项目：金属材料销售；建筑材料销售；煤炭及制品销售；劳动保护用品销售；矿山机械销售；机械设备销售（除许可业务外，可自主依法经营法律法规非禁止或限制的项目）。企业当前经营状态为存续。</t>
  </si>
  <si>
    <t>许可项目：货物进出口（依法须经批准的项目，经相关部门批准后方可开展经营活动）一般项目：金属材料销售；建筑材料销售；煤炭及制品销售；劳动保护用品销售；矿山机械销售；机械设备销售（除许可业务外，可自主依法经营法律法规非禁止或限制的项目）</t>
  </si>
  <si>
    <t>海南恒丰河套面业有限公司</t>
  </si>
  <si>
    <t>91460300MA5RH4T099</t>
  </si>
  <si>
    <t>魏博</t>
  </si>
  <si>
    <t>2017-05-15</t>
  </si>
  <si>
    <t>海南省洋浦经济开发区新英湾区保税港区恒丰办公楼</t>
  </si>
  <si>
    <t>0898-28823816</t>
  </si>
  <si>
    <t>0898-28810017;0898-28828856</t>
  </si>
  <si>
    <t>hainanhengfeng2017@163.com</t>
  </si>
  <si>
    <t>hnhfmyhr@163.com;hnhfhtmy@163.com;hnhfht@sina.com</t>
  </si>
  <si>
    <t>460300001104585</t>
  </si>
  <si>
    <t>MA5RH4T0-9</t>
  </si>
  <si>
    <t>114</t>
  </si>
  <si>
    <t>2017-05-15 至 无固定期限</t>
  </si>
  <si>
    <t>Hainan Hengfeng Hetao Flour Industry Co., Ltd.</t>
  </si>
  <si>
    <t>内蒙古恒丰食品工业（集团）股份有限公司始建于1958年，现有员工800余人。集团公司以面粉加工、粮油购销和面制品深加工为主营业务，共有10个二级公司。产业覆盖基地种植、特菜产业、畜牧养殖、粮油购销、储存保管、面粉生产、精深加工、连锁经营、物流配送、市场建设和管理运营等多个方面。目前，公司年加工小麦15万吨。集团公司是国家级农牧业产业化重点龙头企业，全国绿色食品示范企业，拥有“中华老字号”和“中国驰名商标”称号。是中国西北地区较大的粮食加工企业集团。</t>
  </si>
  <si>
    <t>面粉、面制品研发、生产和销售、进出口业务，面条、挂面（普通挂面、花色挂面）、杂粮食品、粮油食品机械研发、生产、销售和进出口业务，仓储（化学危险品除外），农业科技推广服务，普通货物运输代理，普通货物道路运输，酒店投资管理，房地产开发，建筑材料批发、零售,机械设备（包括特种设备）及配件的进出口业务，普通货物装卸及港口服务，粮油产品售后服务，大宗商品转口贸易。</t>
  </si>
  <si>
    <t>张家港富湖木业有限公司</t>
  </si>
  <si>
    <t>91320592MADALDP412</t>
  </si>
  <si>
    <t>郑文杰</t>
  </si>
  <si>
    <t>2024-01-18</t>
  </si>
  <si>
    <t>张家港市金港街道宝灵花苑2幢M104号-1</t>
  </si>
  <si>
    <t>13962292027</t>
  </si>
  <si>
    <t>320592000238254</t>
  </si>
  <si>
    <t>MADALDP4-1</t>
  </si>
  <si>
    <t>2024-01-18 至 无固定期限</t>
  </si>
  <si>
    <t>Zhangjiagang Fuhu Wood Industry Co., Ltd.</t>
  </si>
  <si>
    <t>张家港富湖木业有限公司成立于2024-01-18，法定代表人为郑文杰，注册资本为100万元，统一社会信用代码为91320592MADALDP412，企业注册地址位于张家港市金港街道宝灵花苑2幢M104号-1，所属行业为批发业，经营范围包含：一般项目：木材销售；建筑材料销售；林业产品销售；建筑装饰材料销售；软木制品销售；日用木制品销售；家具销售；保温材料销售；防腐材料销售；木材收购；园林绿化工程施工；对外承包工程；国内贸易代理；销售代理；进出口代理；货物进出口；技术进出口（除依法须经批准的项目外，凭营业执照依法自主开展经营活动）。企业当前经营状态为存续。</t>
  </si>
  <si>
    <t>一般项目：木材销售；建筑材料销售；林业产品销售；建筑装饰材料销售；软木制品销售；日用木制品销售；家具销售；保温材料销售；防腐材料销售；木材收购；园林绿化工程施工；对外承包工程；国内贸易代理；销售代理；进出口代理；货物进出口；技术进出口（除依法须经批准的项目外，凭营业执照依法自主开展经营活动）</t>
  </si>
  <si>
    <t>天津大无缝铜材有限公司</t>
  </si>
  <si>
    <t>911201167466656315</t>
  </si>
  <si>
    <t>魏斌</t>
  </si>
  <si>
    <t>277260万元</t>
  </si>
  <si>
    <t>2004-10-22</t>
  </si>
  <si>
    <t>天津自贸试验区（天津港保税区）津滨大道317号</t>
  </si>
  <si>
    <t>022-59832266</t>
  </si>
  <si>
    <t>022-25766989;022-25766967;022-59816569;022-59816583;15222200558</t>
  </si>
  <si>
    <t>dwftc@tjdwftc.com</t>
  </si>
  <si>
    <t>hanyutpco@163.com;zhaon@tpco.cn</t>
  </si>
  <si>
    <t>120192000008489</t>
  </si>
  <si>
    <t>74666563-1</t>
  </si>
  <si>
    <t>2004-10-22 至 无固定期限</t>
  </si>
  <si>
    <t>TPCO COPPER Industry Co., Ltd.</t>
  </si>
  <si>
    <t>http://www.tpco-tc.com</t>
  </si>
  <si>
    <t>天津大无缝铜材有限公司，位于天津港保税区，是中外合资企业，总投资逾4亿人民币。设计能力为年产15~18万吨铜线杆，是国内较大的铜材加工企业。公司拥有世界上较先进的铜线杆连铸连轧生产设备和线材连续拉拔设备，并配有精尖的在线检测和实验室设备。公司于2003年2月开始建设，2004年4月开始生产。公司主要产品为Φ8－Φ22mm的铜线杆和Φ1.13－Φ4mm线材。</t>
  </si>
  <si>
    <t>一般项目：金属材料销售；金属材料制造；有色金属合金制造；有色金属压延加工；有色金属合金销售；高性能有色金属及合金材料销售；新材料技术研发；高品质特种钢铁材料销售；技术服务、技术开发、技术咨询、技术交流、技术转让、技术推广；会议及展览服务；生产性废旧金属回收；金属废料和碎屑加工处理；再生资源加工；再生资源销售。（除依法须经批准的项目外，凭营业执照依法自主开展经营活动）。许可项目：保税物流中心经营；保税仓库经营。（依法须经批准的项目，经相关部门批准后方可开展经营活动，具体经营项目以相关部门批准文件或许可证件为准）</t>
  </si>
  <si>
    <t>河南豫光集团有限公司</t>
  </si>
  <si>
    <t>91410000170004426L</t>
  </si>
  <si>
    <t>河南豫光金铅集团有限责任公司</t>
  </si>
  <si>
    <t>赵金刚</t>
  </si>
  <si>
    <t>50194.195842万元</t>
  </si>
  <si>
    <t>1997-04-09</t>
  </si>
  <si>
    <t>济源市荆梁南街1号</t>
  </si>
  <si>
    <t>济源市</t>
  </si>
  <si>
    <t>0391-6699888</t>
  </si>
  <si>
    <t>0391-6665991;0391-6665861;0391-6665862</t>
  </si>
  <si>
    <t>396978438@qq.com</t>
  </si>
  <si>
    <t>940604811@qq.com;yg@yuguanggold-lead.com.cn;950604811@qq.com;blue__52119@163.com</t>
  </si>
  <si>
    <t>410000100051867</t>
  </si>
  <si>
    <t>17000442-6</t>
  </si>
  <si>
    <t>7135</t>
  </si>
  <si>
    <t>1997-04-09 至 无固定期限</t>
  </si>
  <si>
    <t>Henan Yugang Group Co., Ltd.</t>
  </si>
  <si>
    <t>http://www.yuguanggold-lead.com.cn</t>
  </si>
  <si>
    <t>河南豫光金铅集团有限责任公司成立于1957年，是地方国有企业。历经60年豫光已发展成为中国有色金属行业大型骨干企业，目前拥有控股和参股子公司30余家，核心企业为河南豫光金铅股份有限公司和河南豫光锌业有限公司。河南豫光金铅股份有限公司2002年7月在上海证券交易所上市，是中国较大的铅冶炼企业，中国大型白银生产企业；河南豫光锌业有限公司主要产品生产规模目前位居全国第三位。是国家排名靠前批循环经济试点单位，全国废旧金属再生利用领域试点企业、首批清洁生产化示范企业、第一批通过铅锌准入和再生铅准入的企业、首批河南省城市矿产示范试点单位。公司主导产品“豫光”牌电解铅、“豫光”牌白银分别在伦敦金属交易所（LME）和伦敦贵金属协会（LBMA）注册。目前公司主要产品生产能力为：铅40万吨、锌30万吨、铜10万吨，黄金5000千克、白银700吨、硫酸110万吨。2017年，公司工业总产值、销售收入双双突破300亿元，实现利税16亿元。豫光在业内具有良好的信誉度。豫光获我国工业领域的最高奖项--中国工业大奖提名奖，YUGUANG商标获中国驰名商标，公司跻身中国工业企业品牌竞争力评价榜单。</t>
  </si>
  <si>
    <t>一般项目：金属材料销售；金属矿石销售；有色金属合金销售；金银制品销售；新型金属功能材料销售；化工产品销售（不含许可类化工产品）；非金属矿及制品销售；新材料技术研发；信息咨询服务（不含许可类信息咨询服务）；技术服务、技术开发、技术咨询、技术交流、技术转让、技术推广；餐饮管理；贸易经纪（除依法须经批准的项目外，凭营业执照依法自主开展经营活动）</t>
  </si>
  <si>
    <t>河南省市场监督管理局</t>
  </si>
  <si>
    <t>贵州省物资开发投资有限责任公司</t>
  </si>
  <si>
    <t>915200002144073401</t>
  </si>
  <si>
    <t>贵州省物资开发投资公司</t>
  </si>
  <si>
    <t>张兵</t>
  </si>
  <si>
    <t>52473.170549万元</t>
  </si>
  <si>
    <t>1989-07-13</t>
  </si>
  <si>
    <t>贵州省贵阳市南明区遵义路2号</t>
  </si>
  <si>
    <t>南明区</t>
  </si>
  <si>
    <t>0851-85829504</t>
  </si>
  <si>
    <t>19985408416;0851-5815730</t>
  </si>
  <si>
    <t>szgsjlb@163.com</t>
  </si>
  <si>
    <t>szgsjlb@126.com</t>
  </si>
  <si>
    <t>520000000015554</t>
  </si>
  <si>
    <t>21440734-0</t>
  </si>
  <si>
    <t>1989-07-13 至 无固定期限</t>
  </si>
  <si>
    <t>Guizhou Material Development Investment Co., Ltd.</t>
  </si>
  <si>
    <t>贵州省物资开发投资有限责任公司成立于1989-07-13，法定代表人为张兵，注册资本为52473.170549万元，统一社会信用代码为915200002144073401，企业注册地址位于贵州省贵阳市南明区遵义路2号，所属行业为金属制品业，经营范围包含：法律、法规、国务院决定规定禁止的不得经营；法律、法规、国务院决定规定应当许可（审批）的，经审批机关批准后凭许可（审批）文件经营;法律、法规、国务院决定规定无需许可（审批）的，市场主体自主选择经营。（矿产资源、金属材料投资开发、销售、汽车（不含小轿车）；自营和代理各类商品和技术的进出口，但国家限定公司经营或禁止进出口的商品和技术除外，有色金属的代理销售；棕榈油、橡胶制品，进口废旧钢材、废旧有色金属；投资业务（非金融性投资）；二、三类机电产品、化工原料及产品（不含化学危险品）、日用百货、建材、非食用大豆油、非食用豆粕、菜粕、燃料油（不含汽油、煤油、柴油）、塑料制品；投资开发、批零兼营、代理服务；投资咨询服务；煤炭批发经营；粮食收购；批零兼营：预包装食品、散装食品；仓储；房屋租赁；场地租赁；物业管理；农产品。）。企业当前经营状态为存续。</t>
  </si>
  <si>
    <t>法律、法规、国务院决定规定禁止的不得经营；法律、法规、国务院决定规定应当许可（审批）的，经审批机关批准后凭许可（审批）文件经营;法律、法规、国务院决定规定无需许可（审批）的，市场主体自主选择经营。（矿产资源、金属材料投资开发、销售、汽车（不含小轿车）；自营和代理各类商品和技术的进出口，但国家限定公司经营或禁止进出口的商品和技术除外，有色金属的代理销售；棕榈油、橡胶制品，进口废旧钢材、废旧有色金属；投资业务（非金融性投资）；二、三类机电产品、化工原料及产品（不含化学危险品）、日用百货、建材、非食用大豆油、非食用豆粕、菜粕、燃料油（不含汽油、煤油、柴油）、塑料制品；投资开发、批零兼营、代理服务；投资咨询服务；煤炭批发经营；粮食收购；批零兼营：预包装食品、散装食品；仓储；房屋租赁；场地租赁；物业管理；农产品。）</t>
  </si>
  <si>
    <t>贵州省市场监督管理局</t>
  </si>
  <si>
    <t>青海华鑫再生资源有限公司</t>
  </si>
  <si>
    <t>91633000781434898H</t>
  </si>
  <si>
    <t>青海中钜金属资源有限公司,
青海珠峰锌业有限公司</t>
  </si>
  <si>
    <t>陈春发</t>
  </si>
  <si>
    <t>2007-01-17</t>
  </si>
  <si>
    <t>青海省西宁经济技术开发区甘河工业园区</t>
  </si>
  <si>
    <t>湟中区</t>
  </si>
  <si>
    <t>0971-7413521</t>
  </si>
  <si>
    <t>0971-7413506;0971-2290589;0971-7617007;18997199973</t>
  </si>
  <si>
    <t>762113582@qq.com</t>
  </si>
  <si>
    <t>362887131@qq.com;530712809@qq.com;843215263@qq.com;wangjingweixf@sina.com</t>
  </si>
  <si>
    <t>633000100000447</t>
  </si>
  <si>
    <t>78143489-8</t>
  </si>
  <si>
    <t>2007-01-17 至 无固定期限</t>
  </si>
  <si>
    <t>废弃资源综合利用业</t>
  </si>
  <si>
    <t>金属废料和碎屑加工处理</t>
  </si>
  <si>
    <t>Qinghai Huaxin Renewable Resources Co., Ltd.</t>
  </si>
  <si>
    <t>青海华鑫再生资源有限公司成立于2007-01-17，法定代表人为陈春发，注册资本为5000万元，统一社会信用代码为91633000781434898H，企业注册地址位于青海省西宁经济技术开发区甘河工业园区，所属行业为废弃资源综合利用业，经营范围包含：许可项目：道路货物运输（网络货运）；道路危险货物运输；非煤矿山矿产资源开采（依法须经批准的项目，经相关部门批准后方可开展经营活动，具体经营项目以审批结果为准）。一般项目：常用有色金属冶炼；贵金属冶炼；稀有稀土金属冶炼；再生资源回收（除生产性废旧金属）；资源再生利用技术研发；新材料技术研发；金属废料和碎屑加工处理；非金属废料和碎屑加工处理；有色金属压延加工；有色金属合金制造；有色金属合金销售；有色金属铸造；高性能有色金属及合金材料销售；化工产品生产（不含许可类化工产品）；化工产品销售（不含许可类化工产品）；黑色金属铸造；选矿；金属矿石销售；矿物洗选加工；普通货物仓储服务（不含危险化学品等需许可审批的项目）；货物进出口；进出口代理（除依法须经批准的项目外，凭营业执照依法自主开展经营活动）。企业当前经营状态为在业。</t>
  </si>
  <si>
    <t>许可项目：道路货物运输（网络货运）；道路危险货物运输；非煤矿山矿产资源开采（依法须经批准的项目，经相关部门批准后方可开展经营活动，具体经营项目以审批结果为准）。一般项目：常用有色金属冶炼；贵金属冶炼；稀有稀土金属冶炼；再生资源回收（除生产性废旧金属）；资源再生利用技术研发；新材料技术研发；金属废料和碎屑加工处理；非金属废料和碎屑加工处理；有色金属压延加工；有色金属合金制造；有色金属合金销售；有色金属铸造；高性能有色金属及合金材料销售；化工产品生产（不含许可类化工产品）；化工产品销售（不含许可类化工产品）；黑色金属铸造；选矿；金属矿石销售；矿物洗选加工；普通货物仓储服务（不含危险化学品等需许可审批的项目）；货物进出口；进出口代理（除依法须经批准的项目外，凭营业执照依法自主开展经营活动）。</t>
  </si>
  <si>
    <t>西宁市湟中区市场监督管理局</t>
  </si>
  <si>
    <t>天津泰达能源集团有限公司</t>
  </si>
  <si>
    <t>911201162392581503</t>
  </si>
  <si>
    <t>天津泰达蓝盾集团发展有限责任公司</t>
  </si>
  <si>
    <t>孙国强</t>
  </si>
  <si>
    <t>25196万元</t>
  </si>
  <si>
    <t>1999-05-31</t>
  </si>
  <si>
    <t>天津市滨海新区临港经济区泰港工业园10号厂房西侧第三层北半侧办公区</t>
  </si>
  <si>
    <t>13116195993</t>
  </si>
  <si>
    <t>022-63257502;022-66321560;022-63257508</t>
  </si>
  <si>
    <t>wjlandun_fdch@163.com</t>
  </si>
  <si>
    <t>dtt45@qq.com;568961305@qq.com</t>
  </si>
  <si>
    <t>120109000002521</t>
  </si>
  <si>
    <t>23925815-0</t>
  </si>
  <si>
    <t>1999-05-31 至 无固定期限</t>
  </si>
  <si>
    <t>地质勘查</t>
  </si>
  <si>
    <t>能源矿产地质勘查</t>
  </si>
  <si>
    <t>Tianjin Teda Energy Group Co., Ltd.</t>
  </si>
  <si>
    <t>天津泰达能源集团有限公司成立于1999-05-31，法定代表人为孙国强，注册资本为25196万元，统一社会信用代码为911201162392581503，企业注册地址位于天津市滨海新区临港经济区泰港工业园10号厂房西侧第三层北半侧办公区，所属行业为专业技术服务业，经营范围包含：一般项目：地质勘查技术服务；基础地质勘查；非居住房地产租赁；金属材料销售；金属制品销售；金属矿石销售；橡胶制品销售；润滑油销售；专用化学产品销售（不含危险化学品）；化工产品销售（不含许可类化工产品）；石油制品销售（不含危险化学品）；新型金属功能材料销售；有色金属合金销售；五金产品批发；五金产品零售；建筑材料销售；建筑用金属配件销售；电线、电缆经营；办公设备销售；办公用品销售；日用杂品销售；工程管理服务；国内贸易代理；环境保护专用设备销售；管道运输设备销售；食品添加剂销售；农副产品销售；玻璃纤维增强塑料制品销售；针纺织品销售；针纺织品及原料销售；日用百货销售；日用品销售；日用品批发；日用家电零售；金属基复合材料和陶瓷基复合材料销售；新型陶瓷材料销售；家具销售；家具零配件销售；家用电器销售；食用农产品批发；食用农产品零售；农产品智能物流装备销售；谷物销售；豆及薯类销售；塑料制品销售；日用口罩（非医用）销售；电子产品销售；合成材料销售；汽车零配件零售；非食用植物油销售；技术服务、技术开发、技术咨询、技术交流、技术转让、技术推广；货物进出口；再生资源销售；再生资源加工。（除依法须经批准的项目外，凭营业执照依法自主开展经营活动）许可项目：危险化学品经营；食品销售。（依法须经批准的项目，经相关部门批准后方可开展经营活动，具体经营项目以相关部门批准文件或许可证件为准）。企业当前经营状态为存续。</t>
  </si>
  <si>
    <t>一般项目：地质勘查技术服务；基础地质勘查；非居住房地产租赁；金属材料销售；金属制品销售；金属矿石销售；橡胶制品销售；润滑油销售；专用化学产品销售（不含危险化学品）；化工产品销售（不含许可类化工产品）；石油制品销售（不含危险化学品）；新型金属功能材料销售；有色金属合金销售；五金产品批发；五金产品零售；建筑材料销售；建筑用金属配件销售；电线、电缆经营；办公设备销售；办公用品销售；日用杂品销售；工程管理服务；国内贸易代理；环境保护专用设备销售；管道运输设备销售；食品添加剂销售；农副产品销售；玻璃纤维增强塑料制品销售；针纺织品销售；针纺织品及原料销售；日用百货销售；日用品销售；日用品批发；日用家电零售；金属基复合材料和陶瓷基复合材料销售；新型陶瓷材料销售；家具销售；家具零配件销售；家用电器销售；食用农产品批发；食用农产品零售；农产品智能物流装备销售；谷物销售；豆及薯类销售；塑料制品销售；日用口罩（非医用）销售；电子产品销售；合成材料销售；汽车零配件零售；非食用植物油销售；技术服务、技术开发、技术咨询、技术交流、技术转让、技术推广；货物进出口；再生资源销售；再生资源加工。（除依法须经批准的项目外，凭营业执照依法自主开展经营活动）许可项目：危险化学品经营；食品销售。（依法须经批准的项目，经相关部门批准后方可开展经营活动，具体经营项目以相关部门批准文件或许可证件为准）</t>
  </si>
  <si>
    <t>天津港保税区市场监督管理局</t>
  </si>
  <si>
    <t>海南润坤供应链管理有限公司</t>
  </si>
  <si>
    <t>91460300MA7FLR1P2Y</t>
  </si>
  <si>
    <t>曾超林</t>
  </si>
  <si>
    <t>100000万元</t>
  </si>
  <si>
    <t>60000万元</t>
  </si>
  <si>
    <t>2021-12-20</t>
  </si>
  <si>
    <t>海南省洋浦经济开发区新英湾区吉浦路4号院5号楼5204室</t>
  </si>
  <si>
    <t>0898-28820836</t>
  </si>
  <si>
    <t>13918234667;18552003267</t>
  </si>
  <si>
    <t>caojing@tslyjt.com</t>
  </si>
  <si>
    <t>wanglin@xjtsly.net;xuehailei@xjtsly.net</t>
  </si>
  <si>
    <t>460000004955358</t>
  </si>
  <si>
    <t>MA7FLR1P-2</t>
  </si>
  <si>
    <t>2021-12-20 至 无固定期限</t>
  </si>
  <si>
    <t>Hainan Runkun Supply Chain Management Co., Ltd.</t>
  </si>
  <si>
    <t>海南省洋浦经济开发区吉浦路4号大院5204室</t>
  </si>
  <si>
    <t>海南润坤供应链管理有限公司成立于2021-12-20，法定代表人为曾超林，注册资本为100000万元，统一社会信用代码为91460300MA7FLR1P2Y，企业注册地址位于海南省洋浦经济开发区新英湾区吉浦路4号院5号楼5204室，所属行业为商务服务业，经营范围包含：许可项目：货物进出口；技术进出口；进出口代理（依法须经批准的项目，经相关部门批准后方可开展经营活动）一般项目：供应链管理服务；煤炭及制品销售；化工产品销售（不含许可类化工产品）；石墨及碳素制品销售；金属矿石销售；石油制品销售（不含危险化学品）；金属材料销售；新型金属功能材料销售；有色金属合金销售；高性能有色金属及合金材料销售；技术服务、技术开发、技术咨询、技术交流、技术转让、技术推广；以自有资金从事投资活动（除许可业务外，可自主依法经营法律法规非禁止或限制的项目）。企业当前经营状态为存续。</t>
  </si>
  <si>
    <t>许可项目：货物进出口；技术进出口；进出口代理（依法须经批准的项目，经相关部门批准后方可开展经营活动）一般项目：供应链管理服务；煤炭及制品销售；化工产品销售（不含许可类化工产品）；石墨及碳素制品销售；金属矿石销售；石油制品销售（不含危险化学品）；金属材料销售；新型金属功能材料销售；有色金属合金销售；高性能有色金属及合金材料销售；技术服务、技术开发、技术咨询、技术交流、技术转让、技术推广；以自有资金从事投资活动（除许可业务外，可自主依法经营法律法规非禁止或限制的项目）</t>
  </si>
  <si>
    <t>靖西天桂铝业有限公司</t>
  </si>
  <si>
    <t>91451025MA5KYFWF7J</t>
  </si>
  <si>
    <t>180000万元</t>
  </si>
  <si>
    <t>靖西市武平镇马亮村（马亮屯向北500米）</t>
  </si>
  <si>
    <t>百色市</t>
  </si>
  <si>
    <t>靖西市</t>
  </si>
  <si>
    <t>0776-2657733</t>
  </si>
  <si>
    <t>18577763666;13893632391;18695880888</t>
  </si>
  <si>
    <t>18577763666@163.com</t>
  </si>
  <si>
    <t>tiangui3666@163.com;3443454194@qq.com;20923889@qq.com</t>
  </si>
  <si>
    <t>451025000122862</t>
  </si>
  <si>
    <t>MA5KYFWF-7</t>
  </si>
  <si>
    <t>1109</t>
  </si>
  <si>
    <t>铝矿采选</t>
  </si>
  <si>
    <t>Jingxi Tiangui Aluminum Industry Co., Ltd.</t>
  </si>
  <si>
    <t>靖西天桂铝业有限公司成立于2017-02-13，法定代表人为曾超林，注册资本为180000万元，统一社会信用代码为91451025MA5KYFWF7J，企业注册地址位于靖西市武平镇马亮村（马亮屯向北500米），所属行业为有色金属矿采选业，经营范围包含：许可项目：非煤矿山矿产资源开采；道路货物运输（不含危险货物）；矿产资源勘查；建设工程设计；特种设备安装改造修理；特种设备检验检测；建设工程勘察；建设工程施工（依法须经批准的项目，经相关部门批准后方可开展经营活动，具体经营项目以相关部门批准文件或许可证件为准）一般项目：金属矿石销售；石灰和石膏销售；煤炭及制品销售；合成材料销售；货物进出口；专用设备修理；仪器仪表修理；网络与信息安全软件开发；网络技术服务；运输设备租赁服务；电气设备修理；金属制品修理；固体废物治理；机械设备租赁；非居住房地产租赁；建筑材料销售；五金产品零售；保温材料销售；技术服务、技术开发、技术咨询、技术交流、技术转让、技术推广；化工产品生产（不含许可类化工产品）；化工产品销售（不含许可类化工产品）；新材料技术研发；土壤环境污染防治服务；选矿；常用有色金属冶炼（除依法须经批准的项目外，凭营业执照依法自主开展经营活动）。企业当前经营状态为存续。</t>
  </si>
  <si>
    <t>许可项目：非煤矿山矿产资源开采；道路货物运输（不含危险货物）；矿产资源勘查；建设工程设计；特种设备安装改造修理；特种设备检验检测；建设工程勘察；建设工程施工（依法须经批准的项目，经相关部门批准后方可开展经营活动，具体经营项目以相关部门批准文件或许可证件为准）一般项目：金属矿石销售；石灰和石膏销售；煤炭及制品销售；合成材料销售；货物进出口；专用设备修理；仪器仪表修理；网络与信息安全软件开发；网络技术服务；运输设备租赁服务；电气设备修理；金属制品修理；固体废物治理；机械设备租赁；非居住房地产租赁；建筑材料销售；五金产品零售；保温材料销售；技术服务、技术开发、技术咨询、技术交流、技术转让、技术推广；化工产品生产（不含许可类化工产品）；化工产品销售（不含许可类化工产品）；新材料技术研发；土壤环境污染防治服务；选矿；常用有色金属冶炼（除依法须经批准的项目外，凭营业执照依法自主开展经营活动）</t>
  </si>
  <si>
    <t>靖西市市场监督管理局</t>
  </si>
  <si>
    <t>深大联合物产有限公司</t>
  </si>
  <si>
    <t>91120116MA05JQP3X6</t>
  </si>
  <si>
    <t>天津浚川供应链管理有限公司</t>
  </si>
  <si>
    <t>薛思漫</t>
  </si>
  <si>
    <t>2016-05-09</t>
  </si>
  <si>
    <t>天津经济技术开发区第二大街62号泰达MSD-B区B1座806单元</t>
  </si>
  <si>
    <t>022-66629005</t>
  </si>
  <si>
    <t>18622116633</t>
  </si>
  <si>
    <t>pangdongqing@sduc.onaliyun.com</t>
  </si>
  <si>
    <t>pangdognqing@sduc.onaliyun.com</t>
  </si>
  <si>
    <t>120116000459788</t>
  </si>
  <si>
    <t>MA05JQP3-X</t>
  </si>
  <si>
    <t>2016-05-09 至 2036-05-08</t>
  </si>
  <si>
    <t>Shen DA UNION Commodities Co., Ltd.</t>
  </si>
  <si>
    <t>深大联合物产有限公司成立于2016-05-09，法定代表人为薛思漫，注册资本为10000万元，统一社会信用代码为91120116MA05JQP3X6，企业注册地址位于天津经济技术开发区第二大街62号泰达MSD-B区B1座806单元，所属行业为批发业，经营范围包含：一般项目：供应链管理服务；货物进出口；技术进出口；进出口代理；国内货物运输代理；金属材料销售；金属工具销售；耐火材料销售；建筑材料销售；石油制品销售（不含危险化学品）；煤炭及制品销售；化肥销售；机械设备销售；机械零件、零部件销售；汽车新车销售；石墨及碳素制品销售；橡胶制品销售；电子产品销售；通讯设备销售；仪器仪表销售；家用电器销售；显示器件销售；日用百货销售；办公用品销售；工艺美术品及礼仪用品销售（象牙及其制品除外）；第一类医疗器械销售；化工产品销售（不含许可类化工产品）；高性能有色金属及合金材料销售；有色金属合金销售；五金产品批发；珠宝首饰批发；体育用品及器材批发；计算机软硬件及辅助设备批发；计算机系统服务；信息系统集成服务；信息技术咨询服务；信息咨询服务（不含许可类信息咨询服务）；住房租赁；非居住房地产租赁；企业管理咨询；财务咨询；市场调查（不含涉外调查）；技术服务、技术开发、技术咨询、技术交流、技术转让、技术推广。（依法须经批准的项目，经相关部门批准后方可开展经营活动，具体经营项目以相关部门批准文件或许可证件为准）许可项目：食品销售。（除依法须经批准的项目外，凭营业执照依法自主开展经营活动）。企业当前经营状态为存续。</t>
  </si>
  <si>
    <t>一般项目：供应链管理服务；货物进出口；技术进出口；进出口代理；国内货物运输代理；金属材料销售；金属工具销售；耐火材料销售；建筑材料销售；石油制品销售（不含危险化学品）；煤炭及制品销售；化肥销售；机械设备销售；机械零件、零部件销售；汽车新车销售；石墨及碳素制品销售；橡胶制品销售；电子产品销售；通讯设备销售；仪器仪表销售；家用电器销售；显示器件销售；日用百货销售；办公用品销售；工艺美术品及礼仪用品销售（象牙及其制品除外）；第一类医疗器械销售；化工产品销售（不含许可类化工产品）；高性能有色金属及合金材料销售；有色金属合金销售；五金产品批发；珠宝首饰批发；体育用品及器材批发；计算机软硬件及辅助设备批发；计算机系统服务；信息系统集成服务；信息技术咨询服务；信息咨询服务（不含许可类信息咨询服务）；住房租赁；非居住房地产租赁；企业管理咨询；财务咨询；市场调查（不含涉外调查）；技术服务、技术开发、技术咨询、技术交流、技术转让、技术推广。（依法须经批准的项目，经相关部门批准后方可开展经营活动，具体经营项目以相关部门批准文件或许可证件为准）许可项目：食品销售。（除依法须经批准的项目外，凭营业执照依法自主开展经营活动）</t>
  </si>
  <si>
    <t>天津经济技术开发区市场监督管理局</t>
  </si>
  <si>
    <t>新疆新天瑞炭素制品有限公司</t>
  </si>
  <si>
    <t>91652302MA778T180X</t>
  </si>
  <si>
    <t>崔传杰</t>
  </si>
  <si>
    <t>2017-01-19</t>
  </si>
  <si>
    <t>新疆昌吉州阜康市产业园阜东二区太原路西侧闵建北侧1号一层</t>
  </si>
  <si>
    <t>阜康市</t>
  </si>
  <si>
    <t>18167776760</t>
  </si>
  <si>
    <t>0994-3504432</t>
  </si>
  <si>
    <t>584706716@qq.com</t>
  </si>
  <si>
    <t>5847061716@qq.com</t>
  </si>
  <si>
    <t>652326050014591</t>
  </si>
  <si>
    <t>MA778T18-0</t>
  </si>
  <si>
    <t>210</t>
  </si>
  <si>
    <t>2017-01-19 至 无固定期限</t>
  </si>
  <si>
    <t>非金属矿物制品业</t>
  </si>
  <si>
    <t>石墨及其他非金属矿物制品制造</t>
  </si>
  <si>
    <t>石墨及碳素制品制造</t>
  </si>
  <si>
    <t>Xinjiang Xintianrui Carbon Products Co., Ltd.</t>
  </si>
  <si>
    <t>新疆新天瑞炭素制品有限公司成立于2017-01-19，法定代表人为崔传杰，注册资本为35000万元，统一社会信用代码为91652302MA778T180X，企业注册地址位于新疆昌吉州阜康市产业园阜东二区太原路西侧闵建北侧1号一层，所属行业为非金属矿物制品业，经营范围包含：一般项目：石墨及碳素制品制造；石墨及碳素制品销售；石油制品销售（不含危险化学品）；仪器仪表销售；金属材料销售；汽车零配件零售；通用设备修理；劳务服务（不含劳务派遣）；认证咨询；技术服务、技术开发、技术咨询、技术交流、技术转让、技术推广；生产线管理服务；供应链管理服务。（除依法须经批准的项目外，凭营业执照依法自主开展经营活动）。企业当前经营状态为存续。</t>
  </si>
  <si>
    <t>一般项目：石墨及碳素制品制造；石墨及碳素制品销售；石油制品销售（不含危险化学品）；仪器仪表销售；金属材料销售；汽车零配件零售；通用设备修理；劳务服务（不含劳务派遣）；认证咨询；技术服务、技术开发、技术咨询、技术交流、技术转让、技术推广；生产线管理服务；供应链管理服务。（除依法须经批准的项目外，凭营业执照依法自主开展经营活动）</t>
  </si>
  <si>
    <t>阜康市市场监督管理局</t>
  </si>
  <si>
    <t>中国铝业股份有限公司连城分公司</t>
  </si>
  <si>
    <t>91620000681502232Y</t>
  </si>
  <si>
    <t>毛文军</t>
  </si>
  <si>
    <t>2008-09-24</t>
  </si>
  <si>
    <t>甘肃省兰州市永登县河桥镇建设坪</t>
  </si>
  <si>
    <t>永登县</t>
  </si>
  <si>
    <t>0931-6906868</t>
  </si>
  <si>
    <t>0931-6905269;0931-6905256</t>
  </si>
  <si>
    <t>1657986659@qq.com</t>
  </si>
  <si>
    <t>xshen933@163.com</t>
  </si>
  <si>
    <t>股份有限公司分公司</t>
  </si>
  <si>
    <t>620000000005623</t>
  </si>
  <si>
    <t>68150223-2</t>
  </si>
  <si>
    <t>1490</t>
  </si>
  <si>
    <t>2008-09-24 至 2099-12-31</t>
  </si>
  <si>
    <t>铝冶炼</t>
  </si>
  <si>
    <t>China Aluminum Corporation Liancheng Branch</t>
  </si>
  <si>
    <t>中国铝业股份有限公司连城分公司成立于2008-09-24，负责人为毛文军，统一社会信用代码为91620000681502232Y，企业注册地址位于甘肃省兰州市永登县河桥镇建设坪，所属行业为有色金属冶炼和压延加工业，经营范围包含：铝冶炼、加工、销售；碳素制品及相关有色金属产品、工业水电气、销售；从事勘察设计、建筑安装；机械设备制造、备件、非标设备的制造、安装及检修；电讯通信、测控仪器的安装、维修、检定和销售；自动测量控制、网络、软件系统的设计、安装调试；经营办公自动化、仪器仪表；相关技术开发、技术服务。企业当前经营状态为存续。</t>
  </si>
  <si>
    <t>铝冶炼、加工、销售；碳素制品及相关有色金属产品、工业水电气、销售；从事勘察设计、建筑安装；机械设备制造、备件、非标设备的制造、安装及检修；电讯通信、测控仪器的安装、维修、检定和销售；自动测量控制、网络、软件系统的设计、安装调试；经营办公自动化、仪器仪表；相关技术开发、技术服务。</t>
  </si>
  <si>
    <t>甘肃省市场监督管理局</t>
  </si>
  <si>
    <t>托克投资（中国）有限公司</t>
  </si>
  <si>
    <t>913100007178590583</t>
  </si>
  <si>
    <t>托克贸易（上海）有限公司</t>
  </si>
  <si>
    <t>SONG XIANYANG</t>
  </si>
  <si>
    <t>17546.15万美元</t>
  </si>
  <si>
    <t>15000万美元</t>
  </si>
  <si>
    <t>2005-10-12</t>
  </si>
  <si>
    <t>中国（上海）自由贸易试验区世纪大道8号上海国金中心办公楼二期56层5616室</t>
  </si>
  <si>
    <t>021-61258300</t>
  </si>
  <si>
    <t>021-61355726</t>
  </si>
  <si>
    <t>bill.pan@trafigura.com</t>
  </si>
  <si>
    <t>mercury.cao@tmf-group.com</t>
  </si>
  <si>
    <t>310000400442505</t>
  </si>
  <si>
    <t>71785905-8</t>
  </si>
  <si>
    <t>233</t>
  </si>
  <si>
    <t>2005-10-12 至 2035-10-11</t>
  </si>
  <si>
    <t>Trafigura Investment (China) Co., Ltd.</t>
  </si>
  <si>
    <t>https://www.trafigura.com</t>
  </si>
  <si>
    <t>托克投资（中国）有限公司成立于2005-10-12，法定代表人为SONG XIANYANG，注册资本为17546.15万美元，统一社会信用代码为913100007178590583，企业注册地址位于中国（上海）自由贸易试验区世纪大道8号上海国金中心办公楼二期56层5616室，所属行业为商务服务业，经营范围包含：许可项目：黄金及其制品进出口。（依法须经批准的项目，经相关部门批准后方可开展经营活动，具体经营项目以相关部门批准文件或许可证件为准）一般项目：以自有资金从事投资活动；投资管理；企业总部管理；有色金属合金销售；非金属矿及制品销售；高性能有色金属及合金材料销售；金属材料销售；金属制品销售；金属矿石销售；煤炭及制品销售；化工产品销售（不含许可类化工产品）；专用化学产品销售（不含危险化学品）；橡胶制品销售；高品质合成橡胶销售；五金产品批发；金银制品销售；货物进出口；供应链管理服务。（除依法须经批准的项目外，凭营业执照依法自主开展经营活动）。企业当前经营状态为存续。</t>
  </si>
  <si>
    <t>许可项目：黄金及其制品进出口。（依法须经批准的项目，经相关部门批准后方可开展经营活动，具体经营项目以相关部门批准文件或许可证件为准）一般项目：以自有资金从事投资活动；投资管理；企业总部管理；有色金属合金销售；非金属矿及制品销售；高性能有色金属及合金材料销售；金属材料销售；金属制品销售；金属矿石销售；煤炭及制品销售；化工产品销售（不含许可类化工产品）；专用化学产品销售（不含危险化学品）；橡胶制品销售；高品质合成橡胶销售；五金产品批发；金银制品销售；货物进出口；供应链管理服务。（除依法须经批准的项目外，凭营业执照依法自主开展经营活动）</t>
  </si>
  <si>
    <t>广东省华昀商贸有限公司</t>
  </si>
  <si>
    <t>91440605MA55DXEHX6</t>
  </si>
  <si>
    <t>徐茂华</t>
  </si>
  <si>
    <t>2020-10-15</t>
  </si>
  <si>
    <t>佛山市南海区桂城街道季华东路31号天安中心7座2406、2407、2408室（住所申报）</t>
  </si>
  <si>
    <t>0757-81210573</t>
  </si>
  <si>
    <t>0757-81210500</t>
  </si>
  <si>
    <t>office@huatsingchina.com</t>
  </si>
  <si>
    <t>hqzz@huatsingchina.com;liule@huatsingchina.com;zjfk@huatsingchina.com</t>
  </si>
  <si>
    <t>440682011779883</t>
  </si>
  <si>
    <t>MA55DXEH-X</t>
  </si>
  <si>
    <t>2020-10-15 至 无固定期限</t>
  </si>
  <si>
    <t>Guangdong Huayun Trading Co., Ltd.</t>
  </si>
  <si>
    <t>广东省华昀商贸有限公司成立于2020-10-15，法定代表人为徐茂华，注册资本为10000万元，统一社会信用代码为91440605MA55DXEHX6，企业注册地址位于佛山市南海区桂城街道季华东路31号天安中心7座2406、2407、2408室（住所申报），所属行业为批发业，经营范围包含：一般项目：金属材料销售；金属矿石销售；新型金属功能材料销售；高性能有色金属及合金材料销售；煤炭及制品销售；非金属矿及制品销售；高品质特种钢铁材料销售；稀土功能材料销售；金属制品销售；矿物洗选加工；运输设备租赁服务；集装箱租赁服务；仓储设备租赁服务；供应链管理服务；市场营销策划；信息咨询服务（不含许可类信息咨询服务）；货物进出口。（除依法须经批准的项目外，凭营业执照依法自主开展经营活动）。企业当前经营状态为存续。</t>
  </si>
  <si>
    <t>一般项目：金属材料销售；金属矿石销售；新型金属功能材料销售；高性能有色金属及合金材料销售；煤炭及制品销售；非金属矿及制品销售；高品质特种钢铁材料销售；稀土功能材料销售；金属制品销售；矿物洗选加工；运输设备租赁服务；集装箱租赁服务；仓储设备租赁服务；供应链管理服务；市场营销策划；信息咨询服务（不含许可类信息咨询服务）；货物进出口。（除依法须经批准的项目外，凭营业执照依法自主开展经营活动）</t>
  </si>
  <si>
    <t>广东华暒再生资源有限公司</t>
  </si>
  <si>
    <t>91440605736174636E</t>
  </si>
  <si>
    <t>广东中钜金属资源有限公司,
佛山市南海中炬贸易有限公司</t>
  </si>
  <si>
    <t>22500万元</t>
  </si>
  <si>
    <t>21000万元</t>
  </si>
  <si>
    <t>2002-03-06</t>
  </si>
  <si>
    <t>佛山市南海区桂城街道季华东路31号天安中心7座1907-1913室（住所申报）</t>
  </si>
  <si>
    <t>0757-81210573;15113701747</t>
  </si>
  <si>
    <t>wwt@huatsingchina.com;liule@huatsingchina.com;zjfk@huatsingchina.com</t>
  </si>
  <si>
    <t>440682000053440</t>
  </si>
  <si>
    <t>73617463-6</t>
  </si>
  <si>
    <t>2002-03-06 至 无固定期限</t>
  </si>
  <si>
    <t>再生物资回收与批发</t>
  </si>
  <si>
    <t>GUANG DONG HUA Tsing Recycled Resources Co., Ltd.</t>
  </si>
  <si>
    <t>广东华暒再生资源有限公司成立于2002-03-06，法定代表人为徐茂华，注册资本为22500万元，统一社会信用代码为91440605736174636E，企业注册地址位于佛山市南海区桂城街道季华东路31号天安中心7座1907-1913室（住所申报），所属行业为批发业，经营范围包含：一般项目：再生资源回收（除生产性废旧金属）；技术服务、技术开发、技术咨询、技术交流、技术转让、技术推广；环境保护专用设备制造【分支机构经营】；环境保护专用设备销售；货物进出口；技术进出口；矿物洗选加工【分支机构经营】；金属矿石销售；金属材料销售；高性能有色金属及合金材料销售；新型金属功能材料销售；高品质特种钢铁材料销售；煤炭及制品销售；非金属矿及制品销售；稀土功能材料销售；金属制品销售；贸易经纪；国内贸易代理；金属废料和碎屑加工处理【分支机构经营】；固体废物治理。（除依法须经批准的项目外，凭营业执照依法自主开展经营活动）。企业当前经营状态为存续。</t>
  </si>
  <si>
    <t>一般项目：再生资源回收（除生产性废旧金属）；技术服务、技术开发、技术咨询、技术交流、技术转让、技术推广；环境保护专用设备制造【分支机构经营】；环境保护专用设备销售；货物进出口；技术进出口；矿物洗选加工【分支机构经营】；金属矿石销售；金属材料销售；高性能有色金属及合金材料销售；新型金属功能材料销售；高品质特种钢铁材料销售；煤炭及制品销售；非金属矿及制品销售；稀土功能材料销售；金属制品销售；贸易经纪；国内贸易代理；金属废料和碎屑加工处理【分支机构经营】；固体废物治理。（除依法须经批准的项目外，凭营业执照依法自主开展经营活动）</t>
  </si>
  <si>
    <t>南京昌昊国际贸易有限公司</t>
  </si>
  <si>
    <t>91320100728349109K</t>
  </si>
  <si>
    <t>南京昌昊经贸实业有限公司</t>
  </si>
  <si>
    <t>梁伟</t>
  </si>
  <si>
    <t>2001-04-18</t>
  </si>
  <si>
    <t>南京市下关区金陵新四村12号</t>
  </si>
  <si>
    <t>025-83201222</t>
  </si>
  <si>
    <t>nj_changhao@yahoo.com.cn</t>
  </si>
  <si>
    <t>320100000100753</t>
  </si>
  <si>
    <t>72834910-9</t>
  </si>
  <si>
    <t>2001-04-18 至 无固定期限</t>
  </si>
  <si>
    <t>Nanjing Changhao International Trade Co., Ltd.</t>
  </si>
  <si>
    <t>南京昌昊国际贸易有限公司是一家从事有色金属国际国内贸易的公司。年销售额在十个亿左右;在上海。无锡，南京设立销售分公司。</t>
  </si>
  <si>
    <t>金属材料、煤炭、焦炭、润滑油、建筑材料、纺织品、工艺美术品、普通机械、初级农产品、化工产品（危险化学品除外）的销售；房屋租赁服务；自营和代理各类商品和技术的进出口，但国家限定公司经营或禁止进出口的商品和技术除外。（依法须经批准的项目，经相关部门批准后方可开展经营活动）</t>
  </si>
  <si>
    <t>南京市市场监督管理局</t>
  </si>
  <si>
    <t>宁波钶普供应链管理有限公司</t>
  </si>
  <si>
    <t>91330205MA2AGXR41J</t>
  </si>
  <si>
    <t>胡晓莉</t>
  </si>
  <si>
    <t>4790万元</t>
  </si>
  <si>
    <t>2018-01-19</t>
  </si>
  <si>
    <t>浙江省宁波市江北区长兴路689弄7号4幢1-1-22室</t>
  </si>
  <si>
    <t>江北区</t>
  </si>
  <si>
    <t>13251907952</t>
  </si>
  <si>
    <t>15000559032</t>
  </si>
  <si>
    <t>731345236@qq.com</t>
  </si>
  <si>
    <t>4587612343@qq.com;731345235@qq.com</t>
  </si>
  <si>
    <t>330205000268863</t>
  </si>
  <si>
    <t>MA2AGXR4-1</t>
  </si>
  <si>
    <t>2018-01-19 至 无固定期限</t>
  </si>
  <si>
    <t>Ningbo Kepu Supply Chain Management Co., Ltd.</t>
  </si>
  <si>
    <t>浙江省宁波市江北区外滩街道江北区绿地缤纷城3号办公楼1402室</t>
  </si>
  <si>
    <t>宁波钶普供应链管理有限公司成立于2018-01-19，法定代表人为胡晓莉，注册资本为5000万元，统一社会信用代码为91330205MA2AGXR41J，企业注册地址位于浙江省宁波市江北区长兴路689弄7号4幢1-1-22室，所属行业为商务服务业，经营范围包含：一般项目：供应链管理服务；技术服务、技术开发、技术咨询、技术交流、技术转让、技术推广；软件开发；信息系统集成服务；智能控制系统集成；数据处理和存储支持服务；数据处理服务；计算机系统服务；信息技术咨询服务；进出口代理；货物进出口；技术进出口；互联网销售（除销售需要许可的商品）；建筑材料销售；建筑装饰材料销售；金属材料销售；橡胶制品销售；石油制品销售（不含危险化学品）；润滑油销售；生物基材料销售；塑料制品销售；化工产品销售（不含许可类化工产品）；乐器零配件销售；日用化学产品销售；专用化学产品销售（不含危险化学品）；包装材料及制品销售；纸制品销售；针纺织品及原料销售；机械设备销售；机械零件、零部件销售；工艺美术品及礼仪用品销售（象牙及其制品除外）；日用品销售；煤炭及制品销售；玩具销售；五金产品批发；五金产品零售；汽车零配件批发；汽车零配件零售；文具用品批发；文具用品零售；食用农产品批发；食用农产品零售；乐器批发；乐器零售（除依法须经批准的项目外，凭营业执照依法自主开展经营活动）。企业当前经营状态为存续。</t>
  </si>
  <si>
    <t>一般项目：供应链管理服务；技术服务、技术开发、技术咨询、技术交流、技术转让、技术推广；软件开发；信息系统集成服务；智能控制系统集成；数据处理和存储支持服务；数据处理服务；计算机系统服务；信息技术咨询服务；进出口代理；货物进出口；技术进出口；互联网销售（除销售需要许可的商品）；建筑材料销售；建筑装饰材料销售；金属材料销售；橡胶制品销售；石油制品销售（不含危险化学品）；润滑油销售；生物基材料销售；塑料制品销售；化工产品销售（不含许可类化工产品）；乐器零配件销售；日用化学产品销售；专用化学产品销售（不含危险化学品）；包装材料及制品销售；纸制品销售；针纺织品及原料销售；机械设备销售；机械零件、零部件销售；工艺美术品及礼仪用品销售（象牙及其制品除外）；日用品销售；煤炭及制品销售；玩具销售；五金产品批发；五金产品零售；汽车零配件批发；汽车零配件零售；文具用品批发；文具用品零售；食用农产品批发；食用农产品零售；乐器批发；乐器零售（除依法须经批准的项目外，凭营业执照依法自主开展经营活动）。</t>
  </si>
  <si>
    <t>宁波市江北区市场监督管理局</t>
  </si>
  <si>
    <t>苏州杲都贸易有限公司</t>
  </si>
  <si>
    <t>91320592MA22B4R056</t>
  </si>
  <si>
    <t>赵新珍</t>
  </si>
  <si>
    <t>2020-08-31</t>
  </si>
  <si>
    <t>张家港市金港镇香山北路39号</t>
  </si>
  <si>
    <t>13862220290</t>
  </si>
  <si>
    <t>320592000174793</t>
  </si>
  <si>
    <t>MA22B4R0-5</t>
  </si>
  <si>
    <t>2020-08-31 至 无固定期限</t>
  </si>
  <si>
    <t>Suzhou Gaodu Trading Co., Ltd.</t>
  </si>
  <si>
    <t>苏州杲都贸易有限公司成立于2020-08-31，法定代表人为赵新珍，注册资本为100万元，统一社会信用代码为91320592MA22B4R056，企业注册地址位于张家港市金港镇香山北路39号，所属行业为批发业，经营范围包含：许可项目：货物进出口；技术进出口；各类工程建设活动（依法须经批准的项目，经相关部门批准后方可开展经营活动，具体经营项目以审批结果为准）
一般项目：木材销售；建筑材料销售；建筑装饰材料销售；针纺织品及原料销售；五金产品批发；金属制品销售；机械设备销售；电子元器件批发；塑料制品销售；办公用品销售；体育用品及器材批发；日用百货销售；化工产品销售（不含许可类化工产品）；园林绿化工程施工；信息技术咨询服务（除依法须经批准的项目外，凭营业执照依法自主开展经营活动）。企业当前经营状态为在业。</t>
  </si>
  <si>
    <t>许可项目：货物进出口；技术进出口；各类工程建设活动（依法须经批准的项目，经相关部门批准后方可开展经营活动，具体经营项目以审批结果为准）
一般项目：木材销售；建筑材料销售；建筑装饰材料销售；针纺织品及原料销售；五金产品批发；金属制品销售；机械设备销售；电子元器件批发；塑料制品销售；办公用品销售；体育用品及器材批发；日用百货销售；化工产品销售（不含许可类化工产品）；园林绿化工程施工；信息技术咨询服务（除依法须经批准的项目外，凭营业执照依法自主开展经营活动）</t>
  </si>
  <si>
    <t>天津汇通资源有限公司</t>
  </si>
  <si>
    <t>91120118MAC26X6B1X</t>
  </si>
  <si>
    <t>刘树柁</t>
  </si>
  <si>
    <t>2022-10-27</t>
  </si>
  <si>
    <t>天津自贸试验区（东疆综合保税区）重庆道1166号丰驰汽车保税展示中心C座三层328D室</t>
  </si>
  <si>
    <t>15510983849</t>
  </si>
  <si>
    <t>2560217660@qq.com</t>
  </si>
  <si>
    <t>120118000731975</t>
  </si>
  <si>
    <t>MAC26X6B-1</t>
  </si>
  <si>
    <t>2022-10-27 至 无固定期限</t>
  </si>
  <si>
    <t>Tianjin Huitong Resources Co., Ltd.</t>
  </si>
  <si>
    <t>天津汇通资源有限公司成立于2022-10-27，法定代表人为刘树柁，注册资本为1000万元，统一社会信用代码为91120118MAC26X6B1X，企业注册地址位于天津自贸试验区（东疆综合保税区）重庆道1166号丰驰汽车保税展示中心C座三层328D室，所属行业为有色金属矿采选业，经营范围包含：一般项目：选矿（除稀土、放射性矿产、钨）；供应链管理服务；货物进出口；技术进出口；进出口代理；国内货物运输代理；金属材料销售；金属工具销售；耐火材料销售；建筑材料销售；石油制品销售（不含危险化学品）；煤炭及制品销售；化肥销售；机械设备销售；机械零件、零部件销售；汽车销售；石墨及碳素制品销售；橡胶制品销售；电子产品销售；通讯设备销售；仪器仪表销售；家用电器销售；显示器件销售；日用百货销售；办公用品销售；工艺美术品及礼仪用品销售（象牙及其制品除外）；第一类医疗器械销售；化工产品销售（不含许可类化工产品）；高性能有色金属及合金材料销售；有色金属合金销售；五金产品批发；珠宝首饰批发；体育用品及器材批发；计算机软硬件及辅助设备批发；计算机系统服务；信息系统集成服务；信息技术咨询服务；信息咨询服务（不含许可类信息咨询服务）；住房租赁；非居住房地产租赁；企业管理咨询；财务咨询；市场调查（不含涉外调查）；技术服务、技术开发、技术咨询、技术交流、技术转让、技术推广。（除依法须经批准的项目外，凭营业执照依法自主开展经营活动）。企业当前经营状态为存续。</t>
  </si>
  <si>
    <t>一般项目：选矿（除稀土、放射性矿产、钨）；供应链管理服务；货物进出口；技术进出口；进出口代理；国内货物运输代理；金属材料销售；金属工具销售；耐火材料销售；建筑材料销售；石油制品销售（不含危险化学品）；煤炭及制品销售；化肥销售；机械设备销售；机械零件、零部件销售；汽车销售；石墨及碳素制品销售；橡胶制品销售；电子产品销售；通讯设备销售；仪器仪表销售；家用电器销售；显示器件销售；日用百货销售；办公用品销售；工艺美术品及礼仪用品销售（象牙及其制品除外）；第一类医疗器械销售；化工产品销售（不含许可类化工产品）；高性能有色金属及合金材料销售；有色金属合金销售；五金产品批发；珠宝首饰批发；体育用品及器材批发；计算机软硬件及辅助设备批发；计算机系统服务；信息系统集成服务；信息技术咨询服务；信息咨询服务（不含许可类信息咨询服务）；住房租赁；非居住房地产租赁；企业管理咨询；财务咨询；市场调查（不含涉外调查）；技术服务、技术开发、技术咨询、技术交流、技术转让、技术推广。（除依法须经批准的项目外，凭营业执照依法自主开展经营活动）</t>
  </si>
  <si>
    <t>广东今越供应链管理有限公司</t>
  </si>
  <si>
    <t>91440604MA55HK6736</t>
  </si>
  <si>
    <t>何庆怡</t>
  </si>
  <si>
    <t>2020-11-09</t>
  </si>
  <si>
    <t>佛山市禅城区华景路5号1座707室（住所申报）</t>
  </si>
  <si>
    <t>0757-83138006</t>
  </si>
  <si>
    <t>0757-83212795</t>
  </si>
  <si>
    <t>963256765@qq.com</t>
  </si>
  <si>
    <t>MA55HK67-3</t>
  </si>
  <si>
    <t>2020-11-09 至 无固定期限</t>
  </si>
  <si>
    <t>Guangdong Jinyue Supply Chain Management Co., Ltd.</t>
  </si>
  <si>
    <t>广东今越供应链管理有限公司成立于2020-11-09，法定代表人为何庆怡，注册资本为1000万元，统一社会信用代码为91440604MA55HK6736，企业注册地址位于佛山市禅城区华景路5号1座707室（住所申报），所属行业为商务服务业，经营范围包含：一般项目：供应链管理服务；金属材料销售；金属矿石销售；非金属矿及制品销售；金属制品销售；建筑材料销售；建筑装饰材料销售；机械零件、零部件销售；五金产品批发；汽车零配件批发；仪器仪表销售；电子产品销售；化工产品销售（不含许可类化工产品）；煤炭及制品销售；机械设备销售；电力电子元器件销售。许可项目：技术进出口；货物进出口。（依法须经批准的项目，经相关部门批准后方可开展经营活动，具体经营项目以相关部门批准文件或许可证件为准）。企业当前经营状态为在业。</t>
  </si>
  <si>
    <t>一般项目：供应链管理服务；金属材料销售；金属矿石销售；非金属矿及制品销售；金属制品销售；建筑材料销售；建筑装饰材料销售；机械零件、零部件销售；五金产品批发；汽车零配件批发；仪器仪表销售；电子产品销售；化工产品销售（不含许可类化工产品）；煤炭及制品销售；机械设备销售；电力电子元器件销售。许可项目：技术进出口；货物进出口。（依法须经批准的项目，经相关部门批准后方可开展经营活动，具体经营项目以相关部门批准文件或许可证件为准）</t>
  </si>
  <si>
    <t>山西启纳国际贸易有限公司</t>
  </si>
  <si>
    <t>91140100MA0K9HG88G</t>
  </si>
  <si>
    <t>张冰</t>
  </si>
  <si>
    <t>2018-10-26</t>
  </si>
  <si>
    <t>山西省太原市小店区晋阳街22号江天国际4层26号</t>
  </si>
  <si>
    <t>太原市</t>
  </si>
  <si>
    <t>小店区</t>
  </si>
  <si>
    <t>18803530808</t>
  </si>
  <si>
    <t>15834000476</t>
  </si>
  <si>
    <t>3245995780@qq.com</t>
  </si>
  <si>
    <t>1042993631@qq.com;280081495@qq.com;15834000476@139.com</t>
  </si>
  <si>
    <t>MA0K9HG8-8</t>
  </si>
  <si>
    <t>2018-10-26 至 2038-10-25</t>
  </si>
  <si>
    <t>Shanxi Qina International Trade Co., Ltd.</t>
  </si>
  <si>
    <t>山西启纳国际贸易有限公司成立于2018-10-26，法定代表人为张冰，注册资本为3000万元，统一社会信用代码为91140100MA0K9HG88G，企业注册地址位于山西省太原市小店区晋阳街22号江天国际4层26号，所属行业为零售业，经营范围包含：金属材料销售；煤炭及制品销售；炼焦；润滑油销售；建筑材料销售；针纺织品销售；工艺美术品及礼仪用品销售（象牙及其制品除外）；机械设备销售；农副产品销售；化工产品销售（不含许可类化工产品）；住房租赁；货物进出口；技术进出口；五金产品零售；劳动保护用品销售；橡胶制品销售；仪器仪表销售。（依法须经批准的项目，经相关部门批准后方可开展经营活动）。企业当前经营状态为存续。</t>
  </si>
  <si>
    <t>金属材料销售；煤炭及制品销售；炼焦；润滑油销售；建筑材料销售；针纺织品销售；工艺美术品及礼仪用品销售（象牙及其制品除外）；机械设备销售；农副产品销售；化工产品销售（不含许可类化工产品）；住房租赁；货物进出口；技术进出口；五金产品零售；劳动保护用品销售；橡胶制品销售；仪器仪表销售。（依法须经批准的项目，经相关部门批准后方可开展经营活动）</t>
  </si>
  <si>
    <t>太原市市场监督管理局</t>
  </si>
  <si>
    <t>青海艾营贸易有限公司</t>
  </si>
  <si>
    <t>91632900MABM6P7J8L</t>
  </si>
  <si>
    <t>钱海生</t>
  </si>
  <si>
    <t>2022-05-07</t>
  </si>
  <si>
    <t>青海省西宁市城西区胜利路81号6号楼81-64号</t>
  </si>
  <si>
    <t>城西区</t>
  </si>
  <si>
    <t>18197090736</t>
  </si>
  <si>
    <t>840598461@qq.com</t>
  </si>
  <si>
    <t>632900910017593</t>
  </si>
  <si>
    <t>MABM6P7J-8</t>
  </si>
  <si>
    <t>2022-05-07 至 无固定期限</t>
  </si>
  <si>
    <t>Qinghai Aiying Trading Co., Ltd.</t>
  </si>
  <si>
    <t>青海艾营贸易有限公司成立于2022-05-07，法定代表人为钱海生，注册资本为1000万元，统一社会信用代码为91632900MABM6P7J8L，企业注册地址位于青海省西宁市城西区胜利路81号6号楼81-64号，所属行业为批发业，经营范围包含：一般项目：水泥制品销售；有色金属合金销售；建筑材料销售；电子元器件与机电组件设备销售；非金属矿及制品销售；金属材料销售；金属结构销售；专用化学产品销售（不含危险化学品）；肥料销售；煤炭及制品销售；信息咨询服务（不含许可类信息咨询服务）；物业管理；国内贸易代理；化工产品销售（不含许可类化工产品）；园林绿化工程施工；电力电子元器件销售；食品销售（仅销售预包装食品）；新鲜水果批发；新鲜蔬菜批发；鲜肉批发；鲜蛋批发；水产品批发；日用品批发；食用农产品批发；农产品的生产、销售、加工、运输、贮藏及其他相关服务；市政设施管理；国内货物运输代理；非食用盐销售；政府采购代理服务（除依法须经批准的项目外，凭营业执照依法自主开展经营活动）。许可项目：道路货物运输（不含危险货物）（依法须经批准的项目，经相关部门批准后方可开展经营活动，具体经营项目以审批结果为准）。企业当前经营状态为在业。</t>
  </si>
  <si>
    <t>一般项目：水泥制品销售；有色金属合金销售；建筑材料销售；电子元器件与机电组件设备销售；非金属矿及制品销售；金属材料销售；金属结构销售；专用化学产品销售（不含危险化学品）；肥料销售；煤炭及制品销售；信息咨询服务（不含许可类信息咨询服务）；物业管理；国内贸易代理；化工产品销售（不含许可类化工产品）；园林绿化工程施工；电力电子元器件销售；食品销售（仅销售预包装食品）；新鲜水果批发；新鲜蔬菜批发；鲜肉批发；鲜蛋批发；水产品批发；日用品批发；食用农产品批发；农产品的生产、销售、加工、运输、贮藏及其他相关服务；市政设施管理；国内货物运输代理；非食用盐销售；政府采购代理服务（除依法须经批准的项目外，凭营业执照依法自主开展经营活动）。许可项目：道路货物运输（不含危险货物）（依法须经批准的项目，经相关部门批准后方可开展经营活动，具体经营项目以审批结果为准）。</t>
  </si>
  <si>
    <t>西宁市城西区市场监督管理局</t>
  </si>
  <si>
    <t>青海粤青商贸有限公司</t>
  </si>
  <si>
    <t>91633000MA759ERC11</t>
  </si>
  <si>
    <t>任天文</t>
  </si>
  <si>
    <t>2019-08-05</t>
  </si>
  <si>
    <t>青海省西宁甘河工业园区甘东路5号1幢西</t>
  </si>
  <si>
    <t>0971-7413506</t>
  </si>
  <si>
    <t>17697171119</t>
  </si>
  <si>
    <t>602019481@qq.com</t>
  </si>
  <si>
    <t>MA759ERC-1</t>
  </si>
  <si>
    <t>2019-08-05 至 无固定期限</t>
  </si>
  <si>
    <t>Qinghai Yueqing Trading Co., Ltd.</t>
  </si>
  <si>
    <t>青海省西宁甘河工业园区甘东路5号1憧西</t>
  </si>
  <si>
    <t>青海粤青商贸有限公司成立于2019-08-05，法定代表人为任天文，注册资本为5000万元，统一社会信用代码为91633000MA759ERC11，企业注册地址位于青海省西宁甘河工业园区甘东路5号1幢西，所属行业为批发业，经营范围包含：金属材料、金属制品、有色金属、黑色金属、矿产品、化工原料及产品（不含危险化学品）、煤炭、建筑材料、五金交电的销售；国内贸易代理服务。（依法须经批准的项目，经相关部门批准后方可开展经营活动）。企业当前经营状态为在业。</t>
  </si>
  <si>
    <t>金属材料、金属制品、有色金属、黑色金属、矿产品、化工原料及产品（不含危险化学品）、煤炭、建筑材料、五金交电的销售；国内贸易代理服务。（依法须经批准的项目，经相关部门批准后方可开展经营活动）</t>
  </si>
  <si>
    <t>陕西生态水泥物流贸易有限公司</t>
  </si>
  <si>
    <t>91610132MA6UQG190T</t>
  </si>
  <si>
    <t>江海冰</t>
  </si>
  <si>
    <t>2500万元</t>
  </si>
  <si>
    <t>2018-01-29</t>
  </si>
  <si>
    <t>陕西省西安市经济技术开发区凤城四路96号海璟新天地8幢12410室</t>
  </si>
  <si>
    <t>未央区</t>
  </si>
  <si>
    <t>029-68055502</t>
  </si>
  <si>
    <t>029-81529393;15619197966</t>
  </si>
  <si>
    <t>358766059@qq.com</t>
  </si>
  <si>
    <t>79664049@qq.com</t>
  </si>
  <si>
    <t>610132100264143</t>
  </si>
  <si>
    <t>MA6UQG19-0</t>
  </si>
  <si>
    <t>140</t>
  </si>
  <si>
    <t>2018-01-29 至 无固定期限</t>
  </si>
  <si>
    <t>道路货物运输</t>
  </si>
  <si>
    <t>普通货物道路运输</t>
  </si>
  <si>
    <t>Shaanxi Ecological Cement Logistics Trading Co., Ltd.</t>
  </si>
  <si>
    <t>https://www.smstsn.com</t>
  </si>
  <si>
    <t>陕西生态水泥物流贸易有限公司成立于2018-01-29，法定代表人为江海冰，注册资本为5000万元，统一社会信用代码为91610132MA6UQG190T，企业注册地址位于陕西省西安市经济技术开发区凤城四路96号海璟新天地8幢12410室，所属行业为道路运输业，经营范围包含：一般项目：新型催化材料及助剂销售；日用百货销售；煤炭及制品销售；石油制品销售（不含危险化学品）；金属材料销售；金属矿石销售；稀土功能材料销售；建筑材料销售；机械设备销售；五金产品批发；化工产品销售（不含许可类化工产品）；通讯设备销售；办公设备销售；汽车零配件零售；润滑油销售；通信设备销售；五金产品零售；包装材料及制品销售；互联网设备销售；矿山机械销售；工业自动控制系统装置销售；软件销售；电子产品销售；网络设备销售；办公用品销售；货物进出口；技术进出口；装卸搬运；普通货物仓储服务（不含危险化学品等需许可审批的项目）；互联网数据服务；网络技术服务；软件外包服务；机械设备租赁；技术服务、技术开发、技术咨询、技术交流、技术转让、技术推广；肥料销售；化肥销售；食用农产品零售；汽车销售；新能源汽车整车销售。（除依法须经批准的项目外，凭营业执照依法自主开展经营活动）。企业当前经营状态为在业。</t>
  </si>
  <si>
    <t>一般项目：新型催化材料及助剂销售；日用百货销售；煤炭及制品销售；石油制品销售（不含危险化学品）；金属材料销售；金属矿石销售；稀土功能材料销售；建筑材料销售；机械设备销售；五金产品批发；化工产品销售（不含许可类化工产品）；通讯设备销售；办公设备销售；汽车零配件零售；润滑油销售；通信设备销售；五金产品零售；包装材料及制品销售；互联网设备销售；矿山机械销售；工业自动控制系统装置销售；软件销售；电子产品销售；网络设备销售；办公用品销售；货物进出口；技术进出口；装卸搬运；普通货物仓储服务（不含危险化学品等需许可审批的项目）；互联网数据服务；网络技术服务；软件外包服务；机械设备租赁；技术服务、技术开发、技术咨询、技术交流、技术转让、技术推广；肥料销售；化肥销售；食用农产品零售；汽车销售；新能源汽车整车销售。（除依法须经批准的项目外，凭营业执照依法自主开展经营活动）</t>
  </si>
  <si>
    <t>西安市市场监督管理局经开区分局</t>
  </si>
  <si>
    <t>济宁宏昌达新材料有限公司</t>
  </si>
  <si>
    <t>913708273490009007</t>
  </si>
  <si>
    <t>王文博</t>
  </si>
  <si>
    <t>7300万元</t>
  </si>
  <si>
    <t>2015-07-23</t>
  </si>
  <si>
    <t>鱼台县张黄工业园防汛路路北</t>
  </si>
  <si>
    <t>鱼台县</t>
  </si>
  <si>
    <t>13938222269</t>
  </si>
  <si>
    <t>0537-5017776</t>
  </si>
  <si>
    <t>jininghongchangda@163.com</t>
  </si>
  <si>
    <t>1447492037@qq.com;hongchangda2015@163.com</t>
  </si>
  <si>
    <t>370827200022729</t>
  </si>
  <si>
    <t>34900090-0</t>
  </si>
  <si>
    <t>158</t>
  </si>
  <si>
    <t>2015-07-23 至 无固定期限</t>
  </si>
  <si>
    <t>Jining Hongchangda New MATERIALS Co., Ltd.</t>
  </si>
  <si>
    <t>济宁宏昌达新材料有限公司成立于2015-07-23，法定代表人为王文博，注册资本为7300万元，统一社会信用代码为913708273490009007，企业注册地址位于鱼台县张黄工业园防汛路路北，所属行业为其他制造业，经营范围包含：煅后焦生产及余热综合利用项目建设；煅后焦、炭素制品（不含危险品）、铝及铝制品销售；机电设备销售及安装；普通货物运输（不含危险品）；蒸汽余热发电、售电（以上项目须凭许可证核定的范围经营）；自营和代理上述商品的进出口业（国家禁止和限制经营的项目不得经营；依法须经批准的项目，经相关部门批准后方可开展经营活动）。企业当前经营状态为在业。</t>
  </si>
  <si>
    <t>煅后焦生产及余热综合利用项目建设；煅后焦、炭素制品（不含危险品）、铝及铝制品销售；机电设备销售及安装；普通货物运输（不含危险品）；蒸汽余热发电、售电（以上项目须凭许可证核定的范围经营）；自营和代理上述商品的进出口业（国家禁止和限制经营的项目不得经营；依法须经批准的项目，经相关部门批准后方可开展经营活动）。</t>
  </si>
  <si>
    <t>鱼台县市场监督管理局</t>
  </si>
  <si>
    <t>广东桂佑金属贸易有限公司</t>
  </si>
  <si>
    <t>91440605MA548EW3XH</t>
  </si>
  <si>
    <t>注销（2025-07-14）</t>
  </si>
  <si>
    <t>陆世锦</t>
  </si>
  <si>
    <t>2019-12-26</t>
  </si>
  <si>
    <t>佛山市南海区桂城街道桂澜北路4号中盛大厦912室（住所申报）</t>
  </si>
  <si>
    <t>0757-86255689</t>
  </si>
  <si>
    <t>0757-86255686</t>
  </si>
  <si>
    <t>471910416@qq.com</t>
  </si>
  <si>
    <t>614946220@qq.com</t>
  </si>
  <si>
    <t>MA548EW3-X</t>
  </si>
  <si>
    <t>2019-12-26 至 无固定期限</t>
  </si>
  <si>
    <t>Guangdong Guiyou Metal Trading Co., Ltd.</t>
  </si>
  <si>
    <t>广东桂佑金属贸易有限公司成立于2019-12-26，法定代表人为陆世锦，注册资本为1000万元，统一社会信用代码为91440605MA548EW3XH，企业注册地址位于佛山市南海区桂城街道桂澜北路4号中盛大厦912室（住所申报），所属行业为批发业，经营范围包含：一般项目：金属材料销售；金属制品销售；有色金属合金销售；非金属矿及制品销售；高性能有色金属及合金材料销售；新型金属功能材料销售；金属矿石销售；建筑材料销售；五金产品批发；化工产品销售（不含许可类化工产品）；国内贸易代理；互联网销售（除销售需要许可的商品）；社会经济咨询服务；市场营销策划；物联网技术研发；物联网应用服务；信息咨询服务（不含许可类信息咨询服务）；货物进出口；技术进出口。（除依法须经批准的项目外，凭营业执照依法自主开展经营活动）。企业当前经营状态为注销。</t>
  </si>
  <si>
    <t>一般项目：金属材料销售；金属制品销售；有色金属合金销售；非金属矿及制品销售；高性能有色金属及合金材料销售；新型金属功能材料销售；金属矿石销售；建筑材料销售；五金产品批发；化工产品销售（不含许可类化工产品）；国内贸易代理；互联网销售（除销售需要许可的商品）；社会经济咨询服务；市场营销策划；物联网技术研发；物联网应用服务；信息咨询服务（不含许可类信息咨询服务）；货物进出口；技术进出口。（除依法须经批准的项目外，凭营业执照依法自主开展经营活动）</t>
  </si>
  <si>
    <t>贵州万发投资有限公司</t>
  </si>
  <si>
    <t>91520103MABQGK600A</t>
  </si>
  <si>
    <t>郭杰</t>
  </si>
  <si>
    <t>2022-06-14</t>
  </si>
  <si>
    <t>贵州省贵阳市云岩区渔安街道渔安安井片区未来方舟D1组团7栋1单元13层1号（仅限办公）</t>
  </si>
  <si>
    <t>云岩区</t>
  </si>
  <si>
    <t>0851-88782828</t>
  </si>
  <si>
    <t>gzwftz@163.com</t>
  </si>
  <si>
    <t>520103001568110</t>
  </si>
  <si>
    <t>MABQGK60-0</t>
  </si>
  <si>
    <t>2022-06-14 至 无固定期限</t>
  </si>
  <si>
    <t>Guizhou Wanfa Investment Co., Ltd.</t>
  </si>
  <si>
    <t>贵州万发投资有限公司成立于2022-06-14，法定代表人为郭杰，注册资本为5000万元，统一社会信用代码为91520103MABQGK600A，企业注册地址位于贵州省贵阳市云岩区渔安街道渔安安井片区未来方舟D1组团7栋1单元13层1号（仅限办公），所属行业为批发业，经营范围包含：法律、法规、国务院决定规定禁止的不得经营；法律、法规、国务院决定规定应当许可（审批）的，经审批机关批准后凭许可（审批）文件经营;法律、法规、国务院决定规定无需许可（审批）的，市场主体自主选择经营。（一般项目：以自有资金从事投资活动；融资咨询服务；信息咨询服务（不含许可类信息咨询服务）；教育咨询服务（不含涉许可审批的教育培训活动）；食品销售（仅销售预包装食品）；纸制品销售；办公用品销售；办公设备销售；体育用品及器材批发；体育用品及器材零售；文具用品零售；教学用模型及教具销售；文具用品批发；包装材料及制品销售；肥料销售；五金产品零售；选矿；化工产品销售（不含许可类化工产品）；日用百货销售；汽车零配件批发；汽车零配件零售；摩托车及零配件批发；摩托车及零配件零售；木材销售；建筑材料销售；家用电器销售；机械设备销售；高性能有色金属及合金材料销售；电子产品销售；橡胶制品销售；煤炭及制品销售；针纺织品销售；棉、麻销售；饲料原料销售；畜牧渔业饲料销售；石油制品销售（不含危险化学品）；供应链管理服务；国内货物运输代理；装卸搬运；信息技术咨询服务；技术服务、技术开发、技术咨询、技术交流、技术转让、技术推广；金属材料销售。（除依法须经批准的项目外，凭营业执照依法自主开展经营活动））。企业当前经营状态为存续。</t>
  </si>
  <si>
    <t>法律、法规、国务院决定规定禁止的不得经营；法律、法规、国务院决定规定应当许可（审批）的，经审批机关批准后凭许可（审批）文件经营;法律、法规、国务院决定规定无需许可（审批）的，市场主体自主选择经营。（一般项目：以自有资金从事投资活动；融资咨询服务；信息咨询服务（不含许可类信息咨询服务）；教育咨询服务（不含涉许可审批的教育培训活动）；食品销售（仅销售预包装食品）；纸制品销售；办公用品销售；办公设备销售；体育用品及器材批发；体育用品及器材零售；文具用品零售；教学用模型及教具销售；文具用品批发；包装材料及制品销售；肥料销售；五金产品零售；选矿；化工产品销售（不含许可类化工产品）；日用百货销售；汽车零配件批发；汽车零配件零售；摩托车及零配件批发；摩托车及零配件零售；木材销售；建筑材料销售；家用电器销售；机械设备销售；高性能有色金属及合金材料销售；电子产品销售；橡胶制品销售；煤炭及制品销售；针纺织品销售；棉、麻销售；饲料原料销售；畜牧渔业饲料销售；石油制品销售（不含危险化学品）；供应链管理服务；国内货物运输代理；装卸搬运；信息技术咨询服务；技术服务、技术开发、技术咨询、技术交流、技术转让、技术推广；金属材料销售。（除依法须经批准的项目外，凭营业执照依法自主开展经营活动））</t>
  </si>
  <si>
    <t>贵阳市云岩区市场监督管理局</t>
  </si>
  <si>
    <t>广州高新供应链管理有限公司</t>
  </si>
  <si>
    <t>91440101MA5D06LAX7</t>
  </si>
  <si>
    <t>广州高特供应链管理有限公司</t>
  </si>
  <si>
    <t>注销（2024-12-31）</t>
  </si>
  <si>
    <t>黎智慧</t>
  </si>
  <si>
    <t>11200万元</t>
  </si>
  <si>
    <t>2019-10-11</t>
  </si>
  <si>
    <t>广州市黄埔区崖鹰石路9号1栋406房</t>
  </si>
  <si>
    <t>黄埔区</t>
  </si>
  <si>
    <t>020-31709572</t>
  </si>
  <si>
    <t>020-32069983;18666624718</t>
  </si>
  <si>
    <t>gzgxgyl168@163.com</t>
  </si>
  <si>
    <t>guangzhougaote@163.com</t>
  </si>
  <si>
    <t>MA5D06LA-X</t>
  </si>
  <si>
    <t>2019-10-11 至 无固定期限</t>
  </si>
  <si>
    <t>Guangzhou Gaoxin Supply Chain Management Co., Ltd.</t>
  </si>
  <si>
    <t>广州高新供应链管理有限公司成立于2019-10-11，法定代表人为黎智慧，注册资本为11200万元，统一社会信用代码为91440101MA5D06LAX7，企业注册地址位于广州市黄埔区崖鹰石路9号1栋406房，所属行业为商务服务业，经营范围包含：光学玻璃销售;茶具销售;金属切削机床销售;建筑材料销售;微特电机及组件销售;高性能有色金属及合金材料销售;技术玻璃制品销售;插电式混合动力专用发动机销售;高品质特种钢铁材料销售;工业控制计算机及系统销售;供应链管理服务;软件销售;石墨烯材料销售;金属链条及其他金属制品销售;新型金属功能材料销售;汽车零配件零售;食品添加剂销售;专用化学产品销售（不含危险化学品）;粮油仓储服务;金属成形机床销售;涂料销售（不含危险化学品）;金属密封件销售;石棉制品销售;鲜蛋批发;再生资源回收（除生产性废旧金属）;新能源原动设备销售;新能源汽车电附件销售;宠物食品及用品批发;成品油仓储（不含危险化学品）;建筑工程用机械销售;汽车新车销售;金属结构销售;农副食品加工专用设备销售;玻璃纤维增强塑料制品销售;机械零件、零部件销售;轻质建筑材料销售;电气设备销售;石灰和石膏销售;功能玻璃和新型光学材料销售;建筑砌块销售;新能源汽车整车销售;电子产品销售;煤炭及制品销售;新鲜蔬菜批发;金属制品销售;电子元器件与机电组件设备销售;农副产品销售;建筑陶瓷制品销售;化妆品批发;企业管理;制浆和造纸专用设备销售;电气机械设备销售;再生资源销售;五金产品批发;金属丝绳及其制品销售;日用玻璃制品销售;电子产品销售;个人卫生用品销售;建筑装饰材料销售;企业信用管理咨询服务;建筑用金属配件销售;仪器仪表销售;企业信用调查和评估;计算机软硬件及辅助设备批发;汽轮机及辅机销售;生产性废旧金属回收;汽车装饰用品销售;新能源汽车换电设施销售;有色金属合金销售;机械设备销售;发电机及发电机组销售;金属切割及焊接设备销售;鲜肉批发;汽车零配件批发;电力电子元器件销售;智能仓储装备销售;建筑用钢筋产品销售;成品油批发（不含危险化学品）;电子元器件批发;新能源汽车生产测试设备销售;石棉水泥制品销售;石墨及碳素制品销售;卫生用品和一次性使用医疗用品销售;金属包装容器及材料销售;玻璃纤维及制品销售;金属基复合材料和陶瓷基复合材料销售;电线、电缆经营;石油制品销售（不含危险化学品）;新鲜水果批发;金属材料销售;建筑防水卷材产品销售;纸浆销售;五金产品零售;医护人员防护用品批发;第二类医疗器械销售;第一类医疗器械销售;食品经营（销售散装食品）;货物进出口;食品互联网销售;生鲜乳收购。企业当前经营状态为注销。</t>
  </si>
  <si>
    <t>光学玻璃销售;茶具销售;金属切削机床销售;建筑材料销售;微特电机及组件销售;高性能有色金属及合金材料销售;技术玻璃制品销售;插电式混合动力专用发动机销售;高品质特种钢铁材料销售;工业控制计算机及系统销售;供应链管理服务;软件销售;石墨烯材料销售;金属链条及其他金属制品销售;新型金属功能材料销售;汽车零配件零售;食品添加剂销售;专用化学产品销售（不含危险化学品）;粮油仓储服务;金属成形机床销售;涂料销售（不含危险化学品）;金属密封件销售;石棉制品销售;鲜蛋批发;再生资源回收（除生产性废旧金属）;新能源原动设备销售;新能源汽车电附件销售;宠物食品及用品批发;成品油仓储（不含危险化学品）;建筑工程用机械销售;汽车新车销售;金属结构销售;农副食品加工专用设备销售;玻璃纤维增强塑料制品销售;机械零件、零部件销售;轻质建筑材料销售;电气设备销售;石灰和石膏销售;功能玻璃和新型光学材料销售;建筑砌块销售;新能源汽车整车销售;电子产品销售;煤炭及制品销售;新鲜蔬菜批发;金属制品销售;电子元器件与机电组件设备销售;农副产品销售;建筑陶瓷制品销售;化妆品批发;企业管理;制浆和造纸专用设备销售;电气机械设备销售;再生资源销售;五金产品批发;金属丝绳及其制品销售;日用玻璃制品销售;电子产品销售;个人卫生用品销售;建筑装饰材料销售;企业信用管理咨询服务;建筑用金属配件销售;仪器仪表销售;企业信用调查和评估;计算机软硬件及辅助设备批发;汽轮机及辅机销售;生产性废旧金属回收;汽车装饰用品销售;新能源汽车换电设施销售;有色金属合金销售;机械设备销售;发电机及发电机组销售;金属切割及焊接设备销售;鲜肉批发;汽车零配件批发;电力电子元器件销售;智能仓储装备销售;建筑用钢筋产品销售;成品油批发（不含危险化学品）;电子元器件批发;新能源汽车生产测试设备销售;石棉水泥制品销售;石墨及碳素制品销售;卫生用品和一次性使用医疗用品销售;金属包装容器及材料销售;玻璃纤维及制品销售;金属基复合材料和陶瓷基复合材料销售;电线、电缆经营;石油制品销售（不含危险化学品）;新鲜水果批发;金属材料销售;建筑防水卷材产品销售;纸浆销售;五金产品零售;医护人员防护用品批发;第二类医疗器械销售;第一类医疗器械销售;食品经营（销售散装食品）;货物进出口;食品互联网销售;生鲜乳收购</t>
  </si>
  <si>
    <t>广州市黄埔区市场监督管理局</t>
  </si>
  <si>
    <t>青海保华国际贸易有限公司</t>
  </si>
  <si>
    <t>91632900MA759AFX6E</t>
  </si>
  <si>
    <t>张志红</t>
  </si>
  <si>
    <t>2019-05-16</t>
  </si>
  <si>
    <t>青海省西宁市城东区东川工业园泉景路1号6号楼21楼</t>
  </si>
  <si>
    <t>18309787425</t>
  </si>
  <si>
    <t>19997274056;0971-8818870</t>
  </si>
  <si>
    <t>726506887@qq.com</t>
  </si>
  <si>
    <t>358484602@qq.com</t>
  </si>
  <si>
    <t>632900019933591</t>
  </si>
  <si>
    <t>MA759AFX-6</t>
  </si>
  <si>
    <t>2019-05-16 至 无固定期限</t>
  </si>
  <si>
    <t>Qinghai Baohua International Trade Co., Ltd.</t>
  </si>
  <si>
    <t>青海省西宁市昆仑东路55号</t>
  </si>
  <si>
    <t>青海保华国际贸易有限公司成立于2019-05-16，法定代表人为张志红，注册资本为5000万元，统一社会信用代码为91632900MA759AFX6E，企业注册地址位于青海省西宁市城东区东川工业园泉景路1号6号楼21楼，所属行业为商务服务业，经营范围包含：一般项目：金属材料销售；金属矿石销售；金属制品销售；非金属矿及制品销售；选矿；选矿（除稀土、放射性矿产、钨）；通讯设备销售；日用百货销售；建筑材料销售；机械设备销售；贸易经纪；汽车零配件批发；煤炭及制品销售；食品销售（仅销售预包装食品）；普通货物仓储服务（不含危险化学品等需许可审批的项目）；电线、电缆经营；货物进出口；技术进出口；初级农产品收购；农副产品销售；谷物销售；粮食收购；饲料原料销售；新鲜水果批发；有色金属合金销售；新鲜蔬菜批发（除依法须经批准的项目外，凭营业执照依法自主开展经营活动）。企业当前经营状态为在业。</t>
  </si>
  <si>
    <t>一般项目：金属材料销售；金属矿石销售；金属制品销售；非金属矿及制品销售；选矿；选矿（除稀土、放射性矿产、钨）；通讯设备销售；日用百货销售；建筑材料销售；机械设备销售；贸易经纪；汽车零配件批发；煤炭及制品销售；食品销售（仅销售预包装食品）；普通货物仓储服务（不含危险化学品等需许可审批的项目）；电线、电缆经营；货物进出口；技术进出口；初级农产品收购；农副产品销售；谷物销售；粮食收购；饲料原料销售；新鲜水果批发；有色金属合金销售；新鲜蔬菜批发（除依法须经批准的项目外，凭营业执照依法自主开展经营活动）。</t>
  </si>
  <si>
    <t>山东中金岭南铜业有限责任公司</t>
  </si>
  <si>
    <t>913705007850286511</t>
  </si>
  <si>
    <t>东营鲁方金属材料有限公司</t>
  </si>
  <si>
    <t>廖云军</t>
  </si>
  <si>
    <t>489183.771283万元</t>
  </si>
  <si>
    <t>2006-02-15</t>
  </si>
  <si>
    <t>东营市东营区养殖区骨干路22号</t>
  </si>
  <si>
    <t>东营区</t>
  </si>
  <si>
    <t>0546-8325868</t>
  </si>
  <si>
    <t>0546-8952168;0546-83115588-1255;18678682029</t>
  </si>
  <si>
    <t>liyanjie@sdfygroup.com</t>
  </si>
  <si>
    <t>fyjtbtg@163.com</t>
  </si>
  <si>
    <t>370524228012328</t>
  </si>
  <si>
    <t>78502865-1</t>
  </si>
  <si>
    <t>1560</t>
  </si>
  <si>
    <t>2006-02-15 至 无固定期限</t>
  </si>
  <si>
    <t>有色金属合金制造</t>
  </si>
  <si>
    <t>Shandong Zhongjin Lingnan Copper Industry Co., Ltd.</t>
  </si>
  <si>
    <t>山东中金岭南铜业有限责任公司成立于2006-02-15，法定代表人为廖云军，注册资本为489183.771283万元，统一社会信用代码为913705007850286511，企业注册地址位于东营市东营区养殖区骨干路22号，所属行业为有色金属冶炼和压延加工业，经营范围包含：金、银、铜、镍金属材料的生产、销售；带有储存设施的经营：氧（液化的、压缩的）、氩（液化的、压缩的）、氮（液化的、压缩的）、硫酸（有效期限以许可证为准）；化工产品（不含危险化学品）的生产销售；自营和代理各类商品的进出口业务。（依法须经批准的项目，经相关部门批准后方可开展经营活动）。企业当前经营状态为在业。</t>
  </si>
  <si>
    <t>金、银、铜、镍金属材料的生产、销售；带有储存设施的经营：氧（液化的、压缩的）、氩（液化的、压缩的）、氮（液化的、压缩的）、硫酸（有效期限以许可证为准）；化工产品（不含危险化学品）的生产销售；自营和代理各类商品的进出口业务。（依法须经批准的项目，经相关部门批准后方可开展经营活动）。</t>
  </si>
  <si>
    <t>东营经济技术开发区市场监督管理局</t>
  </si>
  <si>
    <t>沧州建投物产有限公司</t>
  </si>
  <si>
    <t>91130921MA0FECKK0Y</t>
  </si>
  <si>
    <t>刘宁</t>
  </si>
  <si>
    <t>2020-09-11</t>
  </si>
  <si>
    <t>河北省沧州市北京路旭弘大厦A座2层A251</t>
  </si>
  <si>
    <t>沧县</t>
  </si>
  <si>
    <t>0317-3067886</t>
  </si>
  <si>
    <t>130921000116391</t>
  </si>
  <si>
    <t>MA0FECKK-0</t>
  </si>
  <si>
    <t>2020-09-11 至 无固定期限</t>
  </si>
  <si>
    <t>Cangzhou Jiantou Property Co., Ltd.</t>
  </si>
  <si>
    <t>河北省沧州市新华区交通大道32号1楼</t>
  </si>
  <si>
    <t>沧州建投物产有限公司成立于2020-09-11，法定代表人为刘宁，注册资本为15000万元，统一社会信用代码为91130921MA0FECKK0Y，企业注册地址位于河北省沧州市北京路旭弘大厦A座2层A251，所属行业为批发业，经营范围包含：一般项目：农产品的生产、销售、加工、运输、贮藏及其他相关服务；软件开发；软件销售；信息咨询服务（不含许可类信息咨询服务）；装卸搬运；普通货物仓储服务（不含危险化学品等需许可审批的项目）；货物进出口；技术进出口；销售代理；会议及展览服务；供应链管理服务；国内集装箱货物运输代理；国内货物运输代理；国际货物运输代理；园区管理服务；非居住房地产租赁；住房租赁；酒店管理；餐饮管理；建筑材料销售；保温材料销售；非金属矿及制品销售；金属矿石销售；建筑防水卷材产品销售；建筑用钢筋产品销售；化工产品销售（不含许可类化工产品）；金属材料销售；日用杂品销售；电子产品销售；机械设备销售；金属制品销售；汽车销售；汽车零配件批发；汽车零配件零售。（除依法须经批准的项目外，凭营业执照依法自主开展经营活动）许可项目：食品生产；食品销售；道路货物运输（不含危险货物）；住宿服务。（依法须经批准的项目，经相关部门批准后方可开展经营活动，具体经营项目以相关部门批准文件或许可证件为准）。企业当前经营状态为存续。</t>
  </si>
  <si>
    <t>一般项目：农产品的生产、销售、加工、运输、贮藏及其他相关服务；软件开发；软件销售；信息咨询服务（不含许可类信息咨询服务）；装卸搬运；普通货物仓储服务（不含危险化学品等需许可审批的项目）；货物进出口；技术进出口；销售代理；会议及展览服务；供应链管理服务；国内集装箱货物运输代理；国内货物运输代理；国际货物运输代理；园区管理服务；非居住房地产租赁；住房租赁；酒店管理；餐饮管理；建筑材料销售；保温材料销售；非金属矿及制品销售；金属矿石销售；建筑防水卷材产品销售；建筑用钢筋产品销售；化工产品销售（不含许可类化工产品）；金属材料销售；日用杂品销售；电子产品销售；机械设备销售；金属制品销售；汽车销售；汽车零配件批发；汽车零配件零售。（除依法须经批准的项目外，凭营业执照依法自主开展经营活动）许可项目：食品生产；食品销售；道路货物运输（不含危险货物）；住宿服务。（依法须经批准的项目，经相关部门批准后方可开展经营活动，具体经营项目以相关部门批准文件或许可证件为准）</t>
  </si>
  <si>
    <t>沧县市场监督管理局</t>
  </si>
  <si>
    <t>陕西至诚弘宇贸易有限公司</t>
  </si>
  <si>
    <t>91610104096660192R</t>
  </si>
  <si>
    <t>张凯</t>
  </si>
  <si>
    <t>2014-03-14</t>
  </si>
  <si>
    <t>陕西省西安市莲湖区西二环南段10号万强艺术家1幢1单元10814室</t>
  </si>
  <si>
    <t>莲湖区</t>
  </si>
  <si>
    <t>029-87591130</t>
  </si>
  <si>
    <t>029-89304653;029-89305653;029-84265060</t>
  </si>
  <si>
    <t>418854171@qq.com</t>
  </si>
  <si>
    <t>364408709@qq.com;2283231280@qq.com;dingding970427@163.com</t>
  </si>
  <si>
    <t>610104100022702</t>
  </si>
  <si>
    <t>09666019-2</t>
  </si>
  <si>
    <t>2014-03-14 至 无固定期限</t>
  </si>
  <si>
    <t>Shaanxi Zhicheng Hongyu Trading Co., Ltd.</t>
  </si>
  <si>
    <t>西安市莲湖区丰登西路和基听城2栋2单元804室</t>
  </si>
  <si>
    <t>陕西至诚弘宇贸易有限公司成立于2014-03-14，法定代表人为张凯，注册资本为1100万元，统一社会信用代码为91610104096660192R，企业注册地址位于陕西省西安市莲湖区西二环南段10号万强艺术家1幢1单元10814室，所属行业为批发业，经营范围包含：一般项目：化工产品销售（不含许可类化工产品）；金属材料销售；常用有色金属冶炼；非金属矿及制品销售；化肥销售；电子产品销售；五金产品批发；五金产品零售；电子元器件与机电组件设备销售；煤炭及制品销售；企业管理咨询；物业管理；普通货物仓储服务（不含危险化学品等需许可审批的项目）。（除依法须经批准的项目外，凭营业执照依法自主开展经营活动）许可项目：危险化学品经营。（依法须经批准的项目，经相关部门批准后方可开展经营活动，具体经营项目以审批结果为准）。企业当前经营状态为在业。</t>
  </si>
  <si>
    <t>一般项目：化工产品销售（不含许可类化工产品）；金属材料销售；常用有色金属冶炼；非金属矿及制品销售；化肥销售；电子产品销售；五金产品批发；五金产品零售；电子元器件与机电组件设备销售；煤炭及制品销售；企业管理咨询；物业管理；普通货物仓储服务（不含危险化学品等需许可审批的项目）。（除依法须经批准的项目外，凭营业执照依法自主开展经营活动）许可项目：危险化学品经营。（依法须经批准的项目，经相关部门批准后方可开展经营活动，具体经营项目以审批结果为准）</t>
  </si>
  <si>
    <t>西安市莲湖区市场监督管理局</t>
  </si>
  <si>
    <t>内蒙古中谷矿业有限责任公司</t>
  </si>
  <si>
    <t>91150624699484239L</t>
  </si>
  <si>
    <t>郝海兵</t>
  </si>
  <si>
    <t>33000万元</t>
  </si>
  <si>
    <t>2010-02-05</t>
  </si>
  <si>
    <t>内蒙古自治区鄂尔多斯市鄂托克旗蒙西镇工业园区</t>
  </si>
  <si>
    <t>鄂尔多斯市</t>
  </si>
  <si>
    <t>鄂托克旗</t>
  </si>
  <si>
    <t>0473-3136188</t>
  </si>
  <si>
    <t>0473-6116659;13034732726</t>
  </si>
  <si>
    <t>752644987@qq.com</t>
  </si>
  <si>
    <t>zgxingzheng@163.com;499737132@qq.com;18504738829@163.com</t>
  </si>
  <si>
    <t>152725000003606</t>
  </si>
  <si>
    <t>69948423-9</t>
  </si>
  <si>
    <t>1465</t>
  </si>
  <si>
    <t>2010-02-05 至 2030-02-04</t>
  </si>
  <si>
    <t>水泥、石灰和石膏制造</t>
  </si>
  <si>
    <t>水泥制造</t>
  </si>
  <si>
    <t>Inner Mongolia Zhonggu Mining Co., Ltd.</t>
  </si>
  <si>
    <t>内蒙古中谷矿业有限责任公司成立于2010-02-05，法定代表人为郝海兵，注册资本为33000万元，统一社会信用代码为91150624699484239L，企业注册地址位于内蒙古自治区鄂尔多斯市鄂托克旗蒙西镇工业园区，所属行业为非金属矿物制品业，经营范围包含：电石、烧碱、液氯、盐酸、PVC树脂生产、销售。 ;发电业务、输电业务、供（配）电业务;焦炭、煤炭、兰炭、铝锭、氧化铝、石灰石、白灰、硅铁、硅铁石批发、销售。（依法须经批准的项目，经相关部门批准后方可开展经营活动。）。企业当前经营状态为存续。</t>
  </si>
  <si>
    <t>电石、烧碱、液氯、盐酸、PVC树脂生产、销售。 ;发电业务、输电业务、供（配）电业务;焦炭、煤炭、兰炭、铝锭、氧化铝、石灰石、白灰、硅铁、硅铁石批发、销售。（依法须经批准的项目，经相关部门批准后方可开展经营活动。）</t>
  </si>
  <si>
    <t>鄂托克旗市场监督管理局</t>
  </si>
  <si>
    <t>上海海石榕实业有限公司</t>
  </si>
  <si>
    <t>91310115572697990G</t>
  </si>
  <si>
    <t>吊销</t>
  </si>
  <si>
    <t>陈曦</t>
  </si>
  <si>
    <t>2011-04-12</t>
  </si>
  <si>
    <t>中国（上海）自由贸易试验区浦东大道2123号3E-1513室</t>
  </si>
  <si>
    <t>021-32252003</t>
  </si>
  <si>
    <t>021-32258305</t>
  </si>
  <si>
    <t>2738820553@qq.com</t>
  </si>
  <si>
    <t>310115001811711</t>
  </si>
  <si>
    <t>57269799-0</t>
  </si>
  <si>
    <t>2011-04-12 至 2031-04-11</t>
  </si>
  <si>
    <t>Shanghai Haishirong Industrial Co., Ltd.</t>
  </si>
  <si>
    <t>上海海石榕实业有限公司成立于2011-04-12，法定代表人为陈曦，注册资本为1000万元，统一社会信用代码为91310115572697990G，企业注册地址位于中国（上海）自由贸易试验区浦东大道2123号3E-1513室，所属行业为商务服务业，经营范围包含：实业投资，投资管理，投资咨询、商务咨询（以上均除经纪），财务咨询（不得从事代理记账），房地产开发经营，物业管理，酒店管理，市场营销策划，园林绿化，企业并购、重组，煤炭（取得许可证件后方可从事经营活动）、有色金属、化工产品（除危险化学品、监控化学品、烟花爆竹、民用爆炸物品、易制毒化学品）、塑料制品、五金交电、金属材料、建筑材料、日用百货、矿产品（除专项审批）的销售，从事货物与技术的进出口业务。【依法须经批准的项目，经相关部门批准后方可开展经营活动】。企业当前经营状态为吊销。</t>
  </si>
  <si>
    <t>实业投资，投资管理，投资咨询、商务咨询（以上均除经纪），财务咨询（不得从事代理记账），房地产开发经营，物业管理，酒店管理，市场营销策划，园林绿化，企业并购、重组，煤炭（取得许可证件后方可从事经营活动）、有色金属、化工产品（除危险化学品、监控化学品、烟花爆竹、民用爆炸物品、易制毒化学品）、塑料制品、五金交电、金属材料、建筑材料、日用百货、矿产品（除专项审批）的销售，从事货物与技术的进出口业务。【依法须经批准的项目，经相关部门批准后方可开展经营活动】</t>
  </si>
  <si>
    <t>内蒙古乌海化工有限公司</t>
  </si>
  <si>
    <t>91150300767876374G</t>
  </si>
  <si>
    <t>内蒙古乌海化工股份有限公司,
乌海化工有限公司</t>
  </si>
  <si>
    <t>刘江飞</t>
  </si>
  <si>
    <t>26034万元</t>
  </si>
  <si>
    <t>2004-12-14</t>
  </si>
  <si>
    <t>内蒙古自治区乌海市海南区海化工业园区</t>
  </si>
  <si>
    <t>乌海市</t>
  </si>
  <si>
    <t>海南区</t>
  </si>
  <si>
    <t>0473-4332789</t>
  </si>
  <si>
    <t>ly8193@163.com</t>
  </si>
  <si>
    <t>xbhb2021@163.com;nmgwhhg@163.com</t>
  </si>
  <si>
    <t>150300000001460</t>
  </si>
  <si>
    <t>76787637-4</t>
  </si>
  <si>
    <t>2004-12-14 至 2064-11-17</t>
  </si>
  <si>
    <t>INNER MONGOLIA Wuhai CHEMlCAL Industry Co., Ltd.</t>
  </si>
  <si>
    <t>内蒙古乌海化工有限公司成立于2004-12-14，法定代表人为刘江飞，注册资本为26034万元，统一社会信用代码为91150300767876374G，企业注册地址位于内蒙古自治区乌海市海南区海化工业园区，所属行业为化学原料和化学制品制造业，经营范围包含：许可经营项目：生产销售：纯碱、烧碱、盐酸、液氯、硫化碱、白炭黑、聚氯乙烯、水泥、电石、氢气；制氢、储氢、氢液化和加注氢产品的研发、销售和技术咨询；加氢站的设计、施工；制储氢、氢液化、加注氢业务；自营产品进出口；聚氯乙烯树脂、仪器、仪表零配件及相关货物的进出口业务。 一般经营项目：销售：尿素、增碳剂、甲酸钠、小苏打、腐植酸钠、锰硅合金、玻璃、食品添加剂（碳酸钠）；84消毒液；含氯消毒剂液；批发销售：焦炭、兰炭、石灰石、白灰。企业当前经营状态为存续。</t>
  </si>
  <si>
    <t>许可经营项目：生产销售：纯碱、烧碱、盐酸、液氯、硫化碱、白炭黑、聚氯乙烯、水泥、电石、氢气；制氢、储氢、氢液化和加注氢产品的研发、销售和技术咨询；加氢站的设计、施工；制储氢、氢液化、加注氢业务；自营产品进出口；聚氯乙烯树脂、仪器、仪表零配件及相关货物的进出口业务。 一般经营项目：销售：尿素、增碳剂、甲酸钠、小苏打、腐植酸钠、锰硅合金、玻璃、食品添加剂（碳酸钠）；84消毒液；含氯消毒剂液；批发销售：焦炭、兰炭、石灰石、白灰。</t>
  </si>
  <si>
    <t>乌海市市场监督管理局</t>
  </si>
  <si>
    <t>上海节升供应链管理有限公司</t>
  </si>
  <si>
    <t>91310113MA1GKFFQ1Y</t>
  </si>
  <si>
    <t>上海节升实业有限公司</t>
  </si>
  <si>
    <t>董春宇</t>
  </si>
  <si>
    <t>2016-04-26</t>
  </si>
  <si>
    <t>浦东新区老港镇老芦公路536号</t>
  </si>
  <si>
    <t>13817188201</t>
  </si>
  <si>
    <t>021-62598569;021-56606022</t>
  </si>
  <si>
    <t>42955439@qq.com</t>
  </si>
  <si>
    <t>454903610@qq.com</t>
  </si>
  <si>
    <t>310113001549093</t>
  </si>
  <si>
    <t>MA1GKFFQ-1</t>
  </si>
  <si>
    <t>2016-04-26 至 2036-04-25</t>
  </si>
  <si>
    <t>Shanghai Jiesheng Supply Chain Management Co., Ltd.</t>
  </si>
  <si>
    <t>上海节升供应链管理有限公司成立于2016-04-26，法定代表人为董春宇，注册资本为3000万元，统一社会信用代码为91310113MA1GKFFQ1Y，企业注册地址位于浦东新区老港镇老芦公路536号，所属行业为商务服务业，经营范围包含：供应链管理；钢材、有色金属、金属材料、五金交电、建筑装潢材料、通信设备及相关产品（除卫星地面接收装置）、家用电器、电子产品、计算机及配件、日用百货、煤炭销售；商务信息咨询（除经纪）；从事货物及技术的进出口业务。【依法须经批准的项目，经相关部门批准后方可开展经营活动】。企业当前经营状态为存续。</t>
  </si>
  <si>
    <t>供应链管理；钢材、有色金属、金属材料、五金交电、建筑装潢材料、通信设备及相关产品（除卫星地面接收装置）、家用电器、电子产品、计算机及配件、日用百货、煤炭销售；商务信息咨询（除经纪）；从事货物及技术的进出口业务。【依法须经批准的项目，经相关部门批准后方可开展经营活动】</t>
  </si>
  <si>
    <t>铝海（台州）贸易有限公司</t>
  </si>
  <si>
    <t>91331004MA2DX93P0M</t>
  </si>
  <si>
    <t>799万元</t>
  </si>
  <si>
    <t>2019-09-30</t>
  </si>
  <si>
    <t>浙江省台州市路桥区桐屿街道新龙岙村1区110号（自主申报）</t>
  </si>
  <si>
    <t>路桥区</t>
  </si>
  <si>
    <t>18512124000</t>
  </si>
  <si>
    <t>13757631176</t>
  </si>
  <si>
    <t>18512124000@139.com</t>
  </si>
  <si>
    <t>331004000287647</t>
  </si>
  <si>
    <t>MA2DX93P-0</t>
  </si>
  <si>
    <t>2019-09-30 至 无固定期限</t>
  </si>
  <si>
    <t>Aluminum Sea (Taizhou) Trading Co., Ltd.</t>
  </si>
  <si>
    <t>铝海（台州）贸易有限公司成立于2019-09-30，法定代表人为张凯，注册资本为1000万元，统一社会信用代码为91331004MA2DX93P0M，企业注册地址位于浙江省台州市路桥区桐屿街道新龙岙村1区110号（自主申报），所属行业为批发业，经营范围包含：煤炭（无储存）、金属材料、五金产品、装潢材料（不含危险化学品）、家用电器、电子产品、日用百货销售；商务信息咨询。（依法须经批准的项目，经相关部门批准后方可开展经营活动）。企业当前经营状态为存续。</t>
  </si>
  <si>
    <t>煤炭（无储存）、金属材料、五金产品、装潢材料（不含危险化学品）、家用电器、电子产品、日用百货销售；商务信息咨询。（依法须经批准的项目，经相关部门批准后方可开展经营活动）</t>
  </si>
  <si>
    <t>台州市路桥区市场监督管理局</t>
  </si>
  <si>
    <t>新疆华孚棉业集团有限公司</t>
  </si>
  <si>
    <t>91650100MA77U6BH52</t>
  </si>
  <si>
    <t>新疆华孚棉业有限公司</t>
  </si>
  <si>
    <t>文斌</t>
  </si>
  <si>
    <t>2018-01-30</t>
  </si>
  <si>
    <t>新疆乌鲁木齐高新区（新市区）四平路2288号创新广场（二期）E幢23层E2301-1室</t>
  </si>
  <si>
    <t>15066072618</t>
  </si>
  <si>
    <t>0991-3657906;0991-3671111;13579201156</t>
  </si>
  <si>
    <t>3321432@qq.com</t>
  </si>
  <si>
    <t>650000059122115</t>
  </si>
  <si>
    <t>MA77U6BH-5</t>
  </si>
  <si>
    <t>23</t>
  </si>
  <si>
    <t>2018-01-30 至 2048-01-29</t>
  </si>
  <si>
    <t>Xinjiang Huafu Cotton Group Co., Ltd.</t>
  </si>
  <si>
    <t>新疆华孚棉业集团有限公司成立于2018-01-30，法定代表人为文斌，注册资本为100000万元，统一社会信用代码为91650100MA77U6BH52，企业注册地址位于新疆乌鲁木齐高新区（新市区）四平路2288号创新广场（二期）E幢23层E2301-1室，所属行业为农业，经营范围包含：一般项目：非食用农产品初加工；棉花收购；棉花加工；社会经济咨询服务；以自有资金从事投资活动；棉花种植；谷物种植；农业生产托管服务；农业专业及辅助性活动；技术服务、技术开发、技术咨询、技术交流、技术转让、技术推广；货物进出口；技术进出口；棉、麻销售；农副产品销售；针纺织品销售；针纺织品及原料销售；纸浆销售；化工产品销售（不含许可类化工产品）；肥料销售；塑料制品销售；合成纤维销售；灌溉服务。（除依法须经批准的项目外，凭营业执照依法自主开展经营活动）许可项目：农作物种子经营；转基因棉花种子经营。（依法须经批准的项目，经相关部门批准后方可开展经营活动，具体经营项目以相关部门批准文件或许可证件为准）。企业当前经营状态为存续。</t>
  </si>
  <si>
    <t>一般项目：非食用农产品初加工；棉花收购；棉花加工；社会经济咨询服务；以自有资金从事投资活动；棉花种植；谷物种植；农业生产托管服务；农业专业及辅助性活动；技术服务、技术开发、技术咨询、技术交流、技术转让、技术推广；货物进出口；技术进出口；棉、麻销售；农副产品销售；针纺织品销售；针纺织品及原料销售；纸浆销售；化工产品销售（不含许可类化工产品）；肥料销售；塑料制品销售；合成纤维销售；灌溉服务。（除依法须经批准的项目外，凭营业执照依法自主开展经营活动）许可项目：农作物种子经营；转基因棉花种子经营。（依法须经批准的项目，经相关部门批准后方可开展经营活动，具体经营项目以相关部门批准文件或许可证件为准）</t>
  </si>
  <si>
    <t>江阴裕昌达纺织有限公司</t>
  </si>
  <si>
    <t>91320281MA7DF5DJ5Q</t>
  </si>
  <si>
    <t>赵玉明</t>
  </si>
  <si>
    <t>江阴市顾山镇北国国民路1号</t>
  </si>
  <si>
    <t>13506216316</t>
  </si>
  <si>
    <t>3547104151@pp.com</t>
  </si>
  <si>
    <t>MA7DF5DJ-5</t>
  </si>
  <si>
    <t>Jiangyin Yuchangda Textile Co., Ltd.</t>
  </si>
  <si>
    <t>江阴裕昌达纺织有限公司成立于2021-12-15，法定代表人为赵玉明，注册资本为100万元，统一社会信用代码为91320281MA7DF5DJ5Q，企业注册地址位于江阴市顾山镇北国国民路1号，所属行业为纺织业，经营范围包含：一般项目：纺纱加工；面料纺织加工；针纺织品及原料销售；针纺织品销售；服装服饰批发；服装辅料销售；纺织专用设备销售（除依法须经批准的项目外，凭营业执照依法自主开展经营活动）。企业当前经营状态为存续。</t>
  </si>
  <si>
    <t>一般项目：纺纱加工；面料纺织加工；针纺织品及原料销售；针纺织品销售；服装服饰批发；服装辅料销售；纺织专用设备销售（除依法须经批准的项目外，凭营业执照依法自主开展经营活动）</t>
  </si>
  <si>
    <t>潼关县汇能有色科技有限责任公司</t>
  </si>
  <si>
    <t>91610522MA6Y96GH58</t>
  </si>
  <si>
    <t>潼关县太洲冶炼有限责任公司</t>
  </si>
  <si>
    <t>周民</t>
  </si>
  <si>
    <t>2019-07-10</t>
  </si>
  <si>
    <t>陕西省渭南市潼关县工业园区新区大道2号101</t>
  </si>
  <si>
    <t>潼关县</t>
  </si>
  <si>
    <t>13509135298</t>
  </si>
  <si>
    <t>18992353689</t>
  </si>
  <si>
    <t>374981085@qq.com</t>
  </si>
  <si>
    <t>MA6Y96GH-5</t>
  </si>
  <si>
    <t>98</t>
  </si>
  <si>
    <t>2019-07-10 至 无固定期限</t>
  </si>
  <si>
    <t>Tongguan County Huineng Nonferrous Technology Co., Ltd.</t>
  </si>
  <si>
    <t>潼关县汇能有色科技有限责任公司成立于2019-07-10，法定代表人为周民，注册资本为30000万元，统一社会信用代码为91610522MA6Y96GH58，企业注册地址位于陕西省渭南市潼关县工业园区新区大道2号101，所属行业为有色金属冶炼和压延加工业，经营范围包含：冶炼技术研发和推广以及技术服务；有色金属综合回收；黄金、贵金属、有色金属采选冶、加工、销售及代理销售；矿物及矿产品贸易；普通道路运输；有色金属冶炼废渣的综合回收、销售；化工产品生产与销售（危险化学品除外）；废旧金属购销；货物及技术进出口贸易（国家限制或禁止进出口的货物及技术除外）；（依法须经批准的项目，经相关部门批准后方可开展经营活动）。企业当前经营状态为在业。</t>
  </si>
  <si>
    <t>冶炼技术研发和推广以及技术服务；有色金属综合回收；黄金、贵金属、有色金属采选冶、加工、销售及代理销售；矿物及矿产品贸易；普通道路运输；有色金属冶炼废渣的综合回收、销售；化工产品生产与销售（危险化学品除外）；废旧金属购销；货物及技术进出口贸易（国家限制或禁止进出口的货物及技术除外）；（依法须经批准的项目，经相关部门批准后方可开展经营活动）</t>
  </si>
  <si>
    <t>潼关县市场监督管理局</t>
  </si>
  <si>
    <t>广西瑞祺丰新材料有限公司</t>
  </si>
  <si>
    <t>91451023MA5LAFG61D</t>
  </si>
  <si>
    <t>潘乔裕</t>
  </si>
  <si>
    <t>5300万元</t>
  </si>
  <si>
    <t>2017-08-04</t>
  </si>
  <si>
    <t>平果市工业区</t>
  </si>
  <si>
    <t>平果市</t>
  </si>
  <si>
    <t>13647764962</t>
  </si>
  <si>
    <t>0776-5608890</t>
  </si>
  <si>
    <t>451023000126177</t>
  </si>
  <si>
    <t>MA5LAFG6-1</t>
  </si>
  <si>
    <t>70</t>
  </si>
  <si>
    <t>2017-08-04 至 无固定期限</t>
  </si>
  <si>
    <t>Guangxi Ruiqifeng New Material Co., Ltd.</t>
  </si>
  <si>
    <t>广西瑞祺丰新材料有限公司成立于2017-08-04，法定代表人为潘乔裕，注册资本为5300万元，统一社会信用代码为91451023MA5LAFG61D，企业注册地址位于平果市工业区，所属行业为其他制造业，经营范围包含：许可经营项目：酒类经营；住宅室内装饰装修；道路货物运输（不含危险货物）（依法须经批准的项目，经相关部门批准后方可开展经营活动，具体经营项目以相关部门批准文件或许可证件为准）一般经营项目：新材料技术研发；有色金属合金制造；有色金属合金销售；常用有色金属冶炼；金属材料制造；金属材料销售；有色金属铸造；金属结构销售；金属制日用品制造；有色金属压延加工；金属结构制造；锻件及粉末冶金制品制造；高性能有色金属及合金材料销售；金属切削加工服务；金属废料和碎屑加工处理；再生资源回收（除生产性废旧金属）；再生资源加工；再生资源销售；生产性废旧金属回收；货物进出口；技术进出口；土地使用权租赁；普通货物仓储服务（不含危险化学品等需许可审批的项目）；五金产品制造；煤炭及制品销售；门窗制造加工；锻件及粉末冶金制品销售；耐火材料生产；耐火材料销售；汽车轮毂制造；技术服务、技术开发、技术咨询、技术交流、技术转让、技术推广（除依法须经批准的项目外，凭营业执照依法自主开展经营活动）。企业当前经营状态为存续。</t>
  </si>
  <si>
    <t>许可经营项目：酒类经营；住宅室内装饰装修；道路货物运输（不含危险货物）（依法须经批准的项目，经相关部门批准后方可开展经营活动，具体经营项目以相关部门批准文件或许可证件为准）一般经营项目：新材料技术研发；有色金属合金制造；有色金属合金销售；常用有色金属冶炼；金属材料制造；金属材料销售；有色金属铸造；金属结构销售；金属制日用品制造；有色金属压延加工；金属结构制造；锻件及粉末冶金制品制造；高性能有色金属及合金材料销售；金属切削加工服务；金属废料和碎屑加工处理；再生资源回收（除生产性废旧金属）；再生资源加工；再生资源销售；生产性废旧金属回收；货物进出口；技术进出口；土地使用权租赁；普通货物仓储服务（不含危险化学品等需许可审批的项目）；五金产品制造；煤炭及制品销售；门窗制造加工；锻件及粉末冶金制品销售；耐火材料生产；耐火材料销售；汽车轮毂制造；技术服务、技术开发、技术咨询、技术交流、技术转让、技术推广（除依法须经批准的项目外，凭营业执照依法自主开展经营活动）</t>
  </si>
  <si>
    <t>平果市市场监督管理局</t>
  </si>
  <si>
    <t>广西瑞祺丰物流有限责任公司</t>
  </si>
  <si>
    <t>91451023098803070F</t>
  </si>
  <si>
    <t>陈千</t>
  </si>
  <si>
    <t>广西壮族自治区百色市平果市工业园</t>
  </si>
  <si>
    <t>18575883577</t>
  </si>
  <si>
    <t>0776-5608820;13558064988</t>
  </si>
  <si>
    <t>103307287@qq.com</t>
  </si>
  <si>
    <t>8499591@qq.com;dhy2008418@163.com;54837752@qq.com</t>
  </si>
  <si>
    <t>450100000148061</t>
  </si>
  <si>
    <t>09880307-0</t>
  </si>
  <si>
    <t>道路运输辅助活动</t>
  </si>
  <si>
    <t>其他道路运输辅助活动</t>
  </si>
  <si>
    <t>Guangxi Ruiqifeng Logistics Co., Ltd.</t>
  </si>
  <si>
    <t>广西瑞祺丰物流有限责任公司成立于2014-04-29，法定代表人为陈千，注册资本为1000万元，统一社会信用代码为91451023098803070F，企业注册地址位于广西壮族自治区百色市平果市工业园，所属行业为道路运输业，经营范围包含：一般项目:道路货物运输；物流信息咨询服务、物流方案设计、国内货运代理（除国家有专项规定外）、对物流业、道路运输业的投资；仓储服务；搬运装卸服务；汽车租赁；销售：日用百货、五金家电、建筑装饰材料（除危险化学品及木材）、家用电器、机电设备、汽车（除九座以下乘用车）；道路普通货物运输服务；煤炭购销。（除许可业务外，可自主依法经营法律法规非禁止或限制的项目）（依法须经批准的项目，经相关部门批准后方可开展经营活动。）。企业当前经营状态为存续。</t>
  </si>
  <si>
    <t>一般项目:道路货物运输；物流信息咨询服务、物流方案设计、国内货运代理（除国家有专项规定外）、对物流业、道路运输业的投资；仓储服务；搬运装卸服务；汽车租赁；销售：日用百货、五金家电、建筑装饰材料（除危险化学品及木材）、家用电器、机电设备、汽车（除九座以下乘用车）；道路普通货物运输服务；煤炭购销。（除许可业务外，可自主依法经营法律法规非禁止或限制的项目）（依法须经批准的项目，经相关部门批准后方可开展经营活动。）</t>
  </si>
  <si>
    <t>广西瑞泓新材料科技有限公司</t>
  </si>
  <si>
    <t>91451029MABR94LG6F</t>
  </si>
  <si>
    <t>关琥</t>
  </si>
  <si>
    <t>455万元</t>
  </si>
  <si>
    <t>2022-06-16</t>
  </si>
  <si>
    <t>田林县旧州镇板坚村桂黔（田林）经济产业园内</t>
  </si>
  <si>
    <t>田林县</t>
  </si>
  <si>
    <t>13558064988</t>
  </si>
  <si>
    <t>13657760539</t>
  </si>
  <si>
    <t>1404131026@qq.com</t>
  </si>
  <si>
    <t>451029000124929</t>
  </si>
  <si>
    <t>MABR94LG-6</t>
  </si>
  <si>
    <t>2022-06-16 至 无固定期限</t>
  </si>
  <si>
    <t>Guangxi Ruihong New Material Technology Co., Ltd.</t>
  </si>
  <si>
    <t>广西瑞泓新材料科技有限公司成立于2022-06-16，法定代表人为关琥，注册资本为5000万元，统一社会信用代码为91451029MABR94LG6F，企业注册地址位于田林县旧州镇板坚村桂黔（田林）经济产业园内，所属行业为科技推广和应用服务业，经营范围包含：许可项目：电线、电缆制造。（依法须经批准的项目，经相关部门批准后方可开展经营活动，具体经营项目以相关部门批准文件或许可证件为准）一般项目：新材料技术研发；金属制品研发；金属材料制造；金属材料销售；金属结构销售；有色金属铸造；常用有色金属冶炼；有色金属合金制造；有色金属合金销售；有色金属压延加工；密封件制造；石墨及碳素制品制造；石墨及碳素制品销售；合成材料制造（不含危险化学品）；合成材料销售；民用航空材料销售；锻件及粉末冶金制品制造；锻件及粉末冶金制品销售；金属制品销售；门窗制造加工；金属门窗工程施工；雨棚销售；高性能有色金属及合金材料销售；汽车轮毂制造；门窗销售；五金产品制造；耐火材料销售；煤炭及制品销售；五金产品批发；仪器仪表销售；助动自行车、代步车及零配件销售；模具销售；非居住房地产租赁。（除依法须经批准的项目外，凭营业执照依法自主开展经营活动）。企业当前经营状态为存续。</t>
  </si>
  <si>
    <t>许可项目：电线、电缆制造。（依法须经批准的项目，经相关部门批准后方可开展经营活动，具体经营项目以相关部门批准文件或许可证件为准）一般项目：新材料技术研发；金属制品研发；金属材料制造；金属材料销售；金属结构销售；有色金属铸造；常用有色金属冶炼；有色金属合金制造；有色金属合金销售；有色金属压延加工；密封件制造；石墨及碳素制品制造；石墨及碳素制品销售；合成材料制造（不含危险化学品）；合成材料销售；民用航空材料销售；锻件及粉末冶金制品制造；锻件及粉末冶金制品销售；金属制品销售；门窗制造加工；金属门窗工程施工；雨棚销售；高性能有色金属及合金材料销售；汽车轮毂制造；门窗销售；五金产品制造；耐火材料销售；煤炭及制品销售；五金产品批发；仪器仪表销售；助动自行车、代步车及零配件销售；模具销售；非居住房地产租赁。（除依法须经批准的项目外，凭营业执照依法自主开展经营活动）</t>
  </si>
  <si>
    <t>田林县市场监督管理局</t>
  </si>
  <si>
    <t>广西田林百矿铝业有限公司</t>
  </si>
  <si>
    <t>91451029MA5KXLXF45</t>
  </si>
  <si>
    <t>田浩</t>
  </si>
  <si>
    <t>2017-01-11</t>
  </si>
  <si>
    <t>田林县旧州镇桂黔（田林）经济产业园区内</t>
  </si>
  <si>
    <t>0776-7312116</t>
  </si>
  <si>
    <t>bktlmdl@163.com</t>
  </si>
  <si>
    <t>451029000108609</t>
  </si>
  <si>
    <t>MA5KXLXF-4</t>
  </si>
  <si>
    <t>830</t>
  </si>
  <si>
    <t>2017-01-11 至 无固定期限</t>
  </si>
  <si>
    <t>Guangxi Tianlin Baikuang Aluminum Industry Co., Ltd.</t>
  </si>
  <si>
    <t>广西田林百矿铝业有限公司成立于2017-01-11，法定代表人为田浩，注册资本为5000万元，统一社会信用代码为91451029MA5KXLXF45，企业注册地址位于田林县旧州镇桂黔（田林）经济产业园区内，所属行业为有色金属矿采选业，经营范围包含：铝水、铝锭、铝棒、铝型材、铝板带箔的生产和销售。（依法须经批准的项目，经相关部门批准后方可开展经营活动。）。企业当前经营状态为存续。</t>
  </si>
  <si>
    <t>铝水、铝锭、铝棒、铝型材、铝板带箔的生产和销售。（依法须经批准的项目，经相关部门批准后方可开展经营活动。）</t>
  </si>
  <si>
    <t>德兴市晟德隆矿产品贸易商行（个人独资）</t>
  </si>
  <si>
    <t>91361181MADPUF4541</t>
  </si>
  <si>
    <t>孙家俊</t>
  </si>
  <si>
    <t>2024-07-04</t>
  </si>
  <si>
    <t>江西省上饶市德兴市黄柏乡黄柏村315号</t>
  </si>
  <si>
    <t>上饶市</t>
  </si>
  <si>
    <t>德兴市</t>
  </si>
  <si>
    <t>18653566689</t>
  </si>
  <si>
    <t>18653566689@qq.com</t>
  </si>
  <si>
    <t>361181310015400</t>
  </si>
  <si>
    <t>MADPUF45-4</t>
  </si>
  <si>
    <t>2024-07-04 至 无固定期限</t>
  </si>
  <si>
    <t>Dexing Shengdelong Mineral Products Trading Co., Ltd. (Sole Proprietorship)</t>
  </si>
  <si>
    <t>一般项目：选矿，金属矿石销售，非金属矿及制品销售，金属材料销售，煤炭及制品销售，耐火材料销售，化工产品销售（不含许可类化工产品），金属废料和碎屑加工处理，矿山机械销售，建筑材料销售，商务代理代办服务，货物进出口，技术进出口，国内贸易代理（除依法须经批准的项目外，凭营业执照依法自主开展经营活动）</t>
  </si>
  <si>
    <t>德兴市市场监督管理局</t>
  </si>
  <si>
    <t>德兴市润通矿产品贸易商行</t>
  </si>
  <si>
    <t>91361181MACGCGLT39</t>
  </si>
  <si>
    <t>孙意志</t>
  </si>
  <si>
    <t>2023-04-14</t>
  </si>
  <si>
    <t>江西省上饶市德兴市海口镇海南大道152号</t>
  </si>
  <si>
    <t>15192339560</t>
  </si>
  <si>
    <t>15192339560@qq.com</t>
  </si>
  <si>
    <t>361181310014600</t>
  </si>
  <si>
    <t>MACGCGLT-3</t>
  </si>
  <si>
    <t>2023-04-14 至 无固定期限</t>
  </si>
  <si>
    <t>Dexing Runtong Mineral Products Trading Firm</t>
  </si>
  <si>
    <t>一般项目：选矿，矿物洗选加工，再生资源加工，非金属废料和碎屑加工处理，金属矿石销售，非金属矿及制品销售，金属材料销售，煤炭及制品销售，耐火材料销售，化工产品销售（不含许可类化工产品），金属废料和碎屑加工处理，矿山机械销售，建筑材料销售，商务代理代办服务，货物进出口，技术进出口，国内贸易代理，进出口代理（除依法须经批准的项目外，凭营业执照依法自主开展经营活动）</t>
  </si>
  <si>
    <t>甘肃物流集团国际供应链管理有限公司</t>
  </si>
  <si>
    <t>91620100MA74U5PQ2Q</t>
  </si>
  <si>
    <t>兰州新区路港国际供应链管理有限公司</t>
  </si>
  <si>
    <t>吴消滔</t>
  </si>
  <si>
    <t>2018-07-19</t>
  </si>
  <si>
    <t>甘肃省兰州新区中川园区彩虹城中心社区祁连山大道2888号综合保税区围网内</t>
  </si>
  <si>
    <t>兰州新区</t>
  </si>
  <si>
    <t>0931-8251018</t>
  </si>
  <si>
    <t>18593069177</t>
  </si>
  <si>
    <t>573624449@qq.com</t>
  </si>
  <si>
    <t>1186525641@qq.com;670631791@qq.com;4292427@qq.com</t>
  </si>
  <si>
    <t>620100200293285</t>
  </si>
  <si>
    <t>MA74U5PQ-2</t>
  </si>
  <si>
    <t>2018-07-19 至 2038-07-18</t>
  </si>
  <si>
    <t>Gansu Logistics Group International Supply Chain Management Co., Ltd.</t>
  </si>
  <si>
    <t>甘肃物流集团国际供应链管理有限公司成立于2018-07-19，法定代表人为吴消滔，注册资本为10000万元，统一社会信用代码为91620100MA74U5PQ2Q，企业注册地址位于甘肃省兰州新区中川园区彩虹城中心社区祁连山大道2888号综合保税区围网内，所属行业为批发业，经营范围包含：许可项目：危险化学品经营；公共铁路运输；道路货物运输（不含危险货物）；食品销售（依法须经批准的项目，经相关部门批准后方可开展经营活动）一般项目：金属矿石销售；金属材料销售；高性能有色金属及合金材料销售；再生资源回收（除生产性废旧金属）；再生资源销售；生产性废旧金属回收；固体废物治理；普通货物仓储服务（不含危险化学品等需许可审批的项目）；货物进出口；汽车零配件批发；合成材料销售；谷物销售；新能源汽车整车销售；报关业务；木材销售；橡胶制品制造；橡胶制品销售；铁路运输基础设备销售；互联网销售（除销售需要许可的商品）；特种设备销售；化工产品销售（不含许可类化工产品）；林业产品销售；电子产品销售；铁路机车车辆配件销售；畜牧渔业饲料销售；建筑材料销售；家用电器销售；煤炭及制品销售；饲料原料销售；豆及薯类销售；汽车销售；摩托车及零配件批发；食用农产品批发；农产品的生产、销售、加工、运输、贮藏及其他相关服务；农副产品销售；建筑用钢筋产品销售；五金产品批发；日用品批发；婴幼儿配方乳粉及其他婴幼儿配方食品销售；化妆品批发；日用化学产品销售；母婴用品销售；石油制品销售（不含危险化学品）；润滑油销售；专用化学产品销售（不含危险化学品）；无船承运业务（除许可业务外，可自主依法经营法律法规非禁止或限制的项目）。企业当前经营状态为存续。</t>
  </si>
  <si>
    <t>许可项目：危险化学品经营；公共铁路运输；道路货物运输（不含危险货物）；食品销售（依法须经批准的项目，经相关部门批准后方可开展经营活动）一般项目：金属矿石销售；金属材料销售；高性能有色金属及合金材料销售；再生资源回收（除生产性废旧金属）；再生资源销售；生产性废旧金属回收；固体废物治理；普通货物仓储服务（不含危险化学品等需许可审批的项目）；货物进出口；汽车零配件批发；合成材料销售；谷物销售；新能源汽车整车销售；报关业务；木材销售；橡胶制品制造；橡胶制品销售；铁路运输基础设备销售；互联网销售（除销售需要许可的商品）；特种设备销售；化工产品销售（不含许可类化工产品）；林业产品销售；电子产品销售；铁路机车车辆配件销售；畜牧渔业饲料销售；建筑材料销售；家用电器销售；煤炭及制品销售；饲料原料销售；豆及薯类销售；汽车销售；摩托车及零配件批发；食用农产品批发；农产品的生产、销售、加工、运输、贮藏及其他相关服务；农副产品销售；建筑用钢筋产品销售；五金产品批发；日用品批发；婴幼儿配方乳粉及其他婴幼儿配方食品销售；化妆品批发；日用化学产品销售；母婴用品销售；石油制品销售（不含危险化学品）；润滑油销售；专用化学产品销售（不含危险化学品）；无船承运业务（除许可业务外，可自主依法经营法律法规非禁止或限制的项目）</t>
  </si>
  <si>
    <t>兰州新区市场监督管理局</t>
  </si>
  <si>
    <t>河南柏创金属材料有限公司</t>
  </si>
  <si>
    <t>91419001MAE1U880XY</t>
  </si>
  <si>
    <t>杨力</t>
  </si>
  <si>
    <t>2024-10-10</t>
  </si>
  <si>
    <t>河南省济源市北海办事处济渎路商务内街东45-34号</t>
  </si>
  <si>
    <t>13938113059</t>
  </si>
  <si>
    <t>13938113059@163.com</t>
  </si>
  <si>
    <t>419001000362676</t>
  </si>
  <si>
    <t>MAE1U880-X</t>
  </si>
  <si>
    <t>2024-10-10 至 无固定期限</t>
  </si>
  <si>
    <t>Henan Baichuang Metal Materials Co., Ltd.</t>
  </si>
  <si>
    <t>河南柏创金属材料有限公司成立于2024-10-10，法定代表人为杨力，注册资本为100万元，统一社会信用代码为91419001MAE1U880XY，企业注册地址位于河南省济源市北海办事处济渎路商务内街东45-34号，所属行业为批发业，经营范围包含：一般项目：金属材料销售；金属制品销售；金属矿石销售（除依法须经批准的项目外，凭营业执照依法自主开展经营活动）。企业当前经营状态为存续。</t>
  </si>
  <si>
    <t>一般项目：金属材料销售；金属制品销售；金属矿石销售（除依法须经批准的项目外，凭营业执照依法自主开展经营活动）</t>
  </si>
  <si>
    <t>济源市市场监督管理局</t>
  </si>
  <si>
    <t>河南帛嘉矿业有限公司</t>
  </si>
  <si>
    <t>91411200MADR0MKTXM</t>
  </si>
  <si>
    <t>2024-07-08</t>
  </si>
  <si>
    <t>河南省三门峡市开发区崤山西路27号原社会事业局102室</t>
  </si>
  <si>
    <t>411291000037253</t>
  </si>
  <si>
    <t>MADR0MKT-X</t>
  </si>
  <si>
    <t>2024-07-08 至 无固定期限</t>
  </si>
  <si>
    <t>Henan Bojia Mining Co., Ltd.</t>
  </si>
  <si>
    <t>河南帛嘉矿业有限公司成立于2024-07-08，法定代表人为刘菲菲，注册资本为100万元，统一社会信用代码为91411200MADR0MKTXM，企业注册地址位于河南省三门峡市开发区崤山西路27号原社会事业局102室，所属行业为批发业，经营范围包含：一般项目：金属矿石销售；贵金属冶炼；稀有稀土金属冶炼；金属废料和碎屑加工处理；非金属废料和碎屑加工处理；非金属矿及制品销售；常用有色金属冶炼；选矿；有色金属合金销售；贵金属冶炼（除稀土、放射性矿产、钨）；选矿（除稀土、放射性矿产、钨）（除依法须经批准的项目外，凭营业执照依法自主开展经营活动）。企业当前经营状态为存续。</t>
  </si>
  <si>
    <t>一般项目：金属矿石销售；贵金属冶炼；稀有稀土金属冶炼；金属废料和碎屑加工处理；非金属废料和碎屑加工处理；非金属矿及制品销售；常用有色金属冶炼；选矿；有色金属合金销售；贵金属冶炼（除稀土、放射性矿产、钨）；选矿（除稀土、放射性矿产、钨）（除依法须经批准的项目外，凭营业执照依法自主开展经营活动）</t>
  </si>
  <si>
    <t>河南豫达金属有限公司</t>
  </si>
  <si>
    <t>914101005991488369</t>
  </si>
  <si>
    <t>蔡平意</t>
  </si>
  <si>
    <t>2012-07-11</t>
  </si>
  <si>
    <t>郑州高新区瑞达路96号创业广场二号楼二层A1112号</t>
  </si>
  <si>
    <t>郑州高新技术产业开发区</t>
  </si>
  <si>
    <t>0371-67897896</t>
  </si>
  <si>
    <t>zhouchao5083@126.com</t>
  </si>
  <si>
    <t>13513716458@139.com</t>
  </si>
  <si>
    <t>410199000038549</t>
  </si>
  <si>
    <t>59914883-6</t>
  </si>
  <si>
    <t>2012-07-11 至 2042-07-10</t>
  </si>
  <si>
    <t>机械设备、五金产品及电子产品批发</t>
  </si>
  <si>
    <t>其他机械设备及电子产品批发</t>
  </si>
  <si>
    <t>Henan Yuda Metal Co., Ltd.</t>
  </si>
  <si>
    <t>河南豫达金属有限公司成立于2012-07-11，法定代表人为蔡平意，注册资本为2000万元，统一社会信用代码为914101005991488369，企业注册地址位于郑州高新区瑞达路96号创业广场二号楼二层A1112号，所属行业为批发业，经营范围包含：销售：金属材料、有色金属、合金、电子产品。企业当前经营状态为存续。</t>
  </si>
  <si>
    <t>销售：金属材料、有色金属、合金、电子产品。</t>
  </si>
  <si>
    <t>郑州市高新技术产业开发区市场监督管理局</t>
  </si>
  <si>
    <t>新疆嘉润资源控股有限公司</t>
  </si>
  <si>
    <t>916523245725455833</t>
  </si>
  <si>
    <t>王付坤</t>
  </si>
  <si>
    <t>176000万元</t>
  </si>
  <si>
    <t>2011-05-23</t>
  </si>
  <si>
    <t>新疆昌吉州玛纳斯县塔河工业园北区嘉润产业园</t>
  </si>
  <si>
    <t>玛纳斯县</t>
  </si>
  <si>
    <t>0994-6339092</t>
  </si>
  <si>
    <t>15599816588;0994-6339089</t>
  </si>
  <si>
    <t>xjjr_9092@163.com</t>
  </si>
  <si>
    <t>hmlhgylt@163.com</t>
  </si>
  <si>
    <t>652324050003526</t>
  </si>
  <si>
    <t>57254558-3</t>
  </si>
  <si>
    <t>1811</t>
  </si>
  <si>
    <t>2011-05-23 至 2061-05-22</t>
  </si>
  <si>
    <t>Djarum Resources Holdings Co., Ltd.</t>
  </si>
  <si>
    <t>http://www.xjjr.cn</t>
  </si>
  <si>
    <t>新疆嘉润资源控股有限公司是一家集煤-电-电解铝-铝加工为一体的特大型综合性企业，注册资金10亿元人民币；成立时间为2011年5月。公司将在5到10年时间建成360万吨氧化铝、160万吨电解铝，配套8×350MW动力站、100万吨铝深加工、100万吨炭素、1000万吨煤炭等项目，形成循环产业链，项目主要以玛纳斯县现有的煤炭资源优势为重要依托条件，拟建设原铝、铝合金等原材料产业项目，辅助建设电站、碳素阳极等项目，形成完整的煤-电-高载能冶金-加工的循环经济产业链；公司项目的完成对加快玛纳斯地区煤炭资源开发利用，实施优势资源就地转化战略具有重大意义。产业项目采用国内外较先进的电解铝工艺SY500预焙阳极电解槽生产技术，技术指标和能耗突破国际大型预焙槽最优指标，在国内外市场都将具有绝对的竞争优势。新疆嘉润资源控股有限公司厂址坐落在历史文化悠久、矿产资源丰富的 “享有天山金凤凰、碧玉玛纳斯、绿色生态宜居水城”美誉的玛纳斯县境内，行政划分隶属于新疆昌吉回族自治州，位于天山北坡经济带中心地段，北靠呼克高速，南靠G312国道、连霍高速，东距乌市首府100km，西距“戈壁明珠”之称石河子市28km。“石油重镇”克拉玛依与之接壤。“国家湿地公园、国家森林公园、中国碧玉之都、国际葡萄酒庄”四张名片享誉海内外。</t>
  </si>
  <si>
    <t>货物进出口； 厂房和设备租赁；向矿产资源开发、矿产品加工、废旧金属回收加工、金属和有色金属冶炼和压延（含电解铜、铝、锌）、煤炭、矿产品、金属、有色金属、废旧金属销售及国内和国际贸易等行业投资（依法须经批准的项目，经相关部门批准后方可开展经营活动）</t>
  </si>
  <si>
    <t>玛纳斯县市场监督管理局</t>
  </si>
  <si>
    <t>广汉市鑫磊冶金炉料有限公司</t>
  </si>
  <si>
    <t>91510681569714323J</t>
  </si>
  <si>
    <t>王宾</t>
  </si>
  <si>
    <t>647万元</t>
  </si>
  <si>
    <t>2011-02-28</t>
  </si>
  <si>
    <t>四川省德阳市广汉市西外乡楠林村11社</t>
  </si>
  <si>
    <t>广汉市</t>
  </si>
  <si>
    <t>0838-5306688</t>
  </si>
  <si>
    <t>0838-5241518</t>
  </si>
  <si>
    <t>510681000028070</t>
  </si>
  <si>
    <t>56971432-3</t>
  </si>
  <si>
    <t>2011-02-28 至 无固定期限</t>
  </si>
  <si>
    <t>Guanghan Xinlei Metallurgical Co., Ltd.</t>
  </si>
  <si>
    <t>广汉市鑫磊冶金炉料有限公司成立于2011-02-28，法定代表人为王宾，注册资本为1000万元，统一社会信用代码为91510681569714323J，企业注册地址位于四川省德阳市广汉市西外乡楠林村11社，所属行业为批发业，经营范围包含：生产、销售：冶金产品、冶金炉料、建材、五金交电、橡胶制品、化工产品（不含危险化学品和易制毒化学品）；从事货物及技术的进出口业务。（依法须经批准的项目，经相关部门批准后方可开展经营活动）。企业当前经营状态为存续。</t>
  </si>
  <si>
    <t>生产、销售：冶金产品、冶金炉料、建材、五金交电、橡胶制品、化工产品（不含危险化学品和易制毒化学品）；从事货物及技术的进出口业务。（依法须经批准的项目，经相关部门批准后方可开展经营活动）</t>
  </si>
  <si>
    <t>广汉市市场监督管理局</t>
  </si>
  <si>
    <t>四川大洋贸易有限责任公司</t>
  </si>
  <si>
    <t>91510681214294972C</t>
  </si>
  <si>
    <t>何军</t>
  </si>
  <si>
    <t>76000万元</t>
  </si>
  <si>
    <t>1996-12-12</t>
  </si>
  <si>
    <t>四川省德阳市广汉市小汉镇柳林村一社</t>
  </si>
  <si>
    <t>0838-5231900</t>
  </si>
  <si>
    <t>0838-5241598;0838-5247538;0838-5240811</t>
  </si>
  <si>
    <t>1035990823@qq.com</t>
  </si>
  <si>
    <t>1035998023@qq.com</t>
  </si>
  <si>
    <t>510681000002594</t>
  </si>
  <si>
    <t>21429497-2</t>
  </si>
  <si>
    <t>1996-12-12 至 无固定期限</t>
  </si>
  <si>
    <t>Sichuan Dayang Trading Co., Ltd.</t>
  </si>
  <si>
    <t>四川省广汉市苏州路1号</t>
  </si>
  <si>
    <t>四川大洋贸易有限责任公司成立于1996-12-12，法定代表人为何军，注册资本为76000万元，统一社会信用代码为91510681214294972C，企业注册地址位于四川省德阳市广汉市小汉镇柳林村一社，所属行业为批发业，经营范围包含：自营和代理各类商品和技术的进出口，但国家限定公司经营或禁止进出口的商品和技术除外；收购生产性废旧金属（依法须经批准的项目，经相关部门批准后方可开展经营活动）。企业当前经营状态为存续。</t>
  </si>
  <si>
    <t>自营和代理各类商品和技术的进出口，但国家限定公司经营或禁止进出口的商品和技术除外；收购生产性废旧金属（依法须经批准的项目，经相关部门批准后方可开展经营活动）。</t>
  </si>
  <si>
    <t>山东汇宇新材料有限公司</t>
  </si>
  <si>
    <t>91370522328480925Y</t>
  </si>
  <si>
    <t>巴爱民</t>
  </si>
  <si>
    <t>2015-02-10</t>
  </si>
  <si>
    <t>利津县滨海新区（刁口乡政府驻地）</t>
  </si>
  <si>
    <t>利津县</t>
  </si>
  <si>
    <t>0546-2071095</t>
  </si>
  <si>
    <t>0546-2071618</t>
  </si>
  <si>
    <t>hyts88@vip.163.com</t>
  </si>
  <si>
    <t>13668611668@163.com</t>
  </si>
  <si>
    <t>370522200011026</t>
  </si>
  <si>
    <t>32848092-5</t>
  </si>
  <si>
    <t>193</t>
  </si>
  <si>
    <t>2015-02-10 至 无固定期限</t>
  </si>
  <si>
    <t>耐火材料制品制造</t>
  </si>
  <si>
    <t>耐火陶瓷制品及其他耐火材料制造</t>
  </si>
  <si>
    <t>Shandong Huiyu Advanced MATERIALS Co., Ltd.</t>
  </si>
  <si>
    <t>http://www.yujiagroup.com</t>
  </si>
  <si>
    <t>山东宇佳新材料有限公司成立于2000年，地处山东省东营市黄河三角洲胜利油田腹地，下设宇佳资源循环利用产业园、汇宇资源循环利用产业园、汇宇热力公司、技术中心四个实体公司。是以氮化硅结合碳化硅制品、煅后焦、热力供应为主营产品，集特种耐火材料、结构陶瓷材料研发设计、工业窑炉及相关设备设计制造安装和新产品研发、销售为一体的技术企业。</t>
  </si>
  <si>
    <t>煅后焦、预焙阳极、耐火材料的生产销售，热力生产和供应，余热发电，自营或代理各类货物及技术的进出口业务（国家限制或禁止的除外）。（依法须经批准的项目，经相关部门批准后方可开展经营活动）</t>
  </si>
  <si>
    <t>利津县市场监督管理局</t>
  </si>
  <si>
    <t>湖北宏冶矿业有限公司</t>
  </si>
  <si>
    <t>91420281MA4902P4XD</t>
  </si>
  <si>
    <t>陈霞光</t>
  </si>
  <si>
    <t>2017-05-26</t>
  </si>
  <si>
    <t>大冶市东风路办事处观山路7-81号一层</t>
  </si>
  <si>
    <t>黄石市</t>
  </si>
  <si>
    <t>大冶市</t>
  </si>
  <si>
    <t>13597700969</t>
  </si>
  <si>
    <t>0714-8635666;13897700969;0714-8855222</t>
  </si>
  <si>
    <t>281336414@qq.com</t>
  </si>
  <si>
    <t>420281000123595</t>
  </si>
  <si>
    <t>MA4902P4-X</t>
  </si>
  <si>
    <t>2017-05-26 至 无固定期限</t>
  </si>
  <si>
    <t>Hubei Hongye Mining Co., Ltd.</t>
  </si>
  <si>
    <t>湖北宏冶矿业有限公司成立于2017-05-26，法定代表人为陈霞光，注册资本为800万元，统一社会信用代码为91420281MA4902P4XD，企业注册地址位于大冶市东风路办事处观山路7-81号一层，所属行业为批发业，经营范围包含：一般项目：非金属矿及制品销售,金属矿石销售,有色金属合金销售,货物进出口,进出口代理。（除许可业务外，可自主依法经营法律法规非禁止或限制的项目）。企业当前经营状态为存续。</t>
  </si>
  <si>
    <t>一般项目：非金属矿及制品销售,金属矿石销售,有色金属合金销售,货物进出口,进出口代理。（除许可业务外，可自主依法经营法律法规非禁止或限制的项目）</t>
  </si>
  <si>
    <t>大冶市市场监督管理局</t>
  </si>
  <si>
    <t>济源锦洋贵金属有限公司</t>
  </si>
  <si>
    <t>91419001MAD0B5LP2W</t>
  </si>
  <si>
    <t>济源国昌贵金属有限公司</t>
  </si>
  <si>
    <t>郭海洋</t>
  </si>
  <si>
    <t>2023-10-08</t>
  </si>
  <si>
    <t>河南省济源市北海办事处济渎路商务内街东37-10号</t>
  </si>
  <si>
    <t>13803986153</t>
  </si>
  <si>
    <t>13803981653</t>
  </si>
  <si>
    <t>13803986153@163.com</t>
  </si>
  <si>
    <t>MAD0B5LP-2</t>
  </si>
  <si>
    <t>2023-10-08 至 无固定期限</t>
  </si>
  <si>
    <t>Jiyuan Jinyang Precious Metals Co., Ltd.</t>
  </si>
  <si>
    <t>济源锦洋贵金属有限公司成立于2023-10-08，法定代表人为郭海洋，注册资本为100万元，统一社会信用代码为91419001MAD0B5LP2W，企业注册地址位于河南省济源市北海办事处济渎路商务内街东37-10号，所属行业为批发业，经营范围包含：一般项目：金属矿石销售；金属材料销售；金属制品销售；金属废料和碎屑加工处理；再生资源回收（除生产性废旧金属）（除依法须经批准的项目外，凭营业执照依法自主开展经营活动）。企业当前经营状态为存续。</t>
  </si>
  <si>
    <t>一般项目：金属矿石销售；金属材料销售；金属制品销售；金属废料和碎屑加工处理；再生资源回收（除生产性废旧金属）（除依法须经批准的项目外，凭营业执照依法自主开展经营活动）</t>
  </si>
  <si>
    <t>济源曜顺贵金属有限公司</t>
  </si>
  <si>
    <t>91419001MADRCE009J</t>
  </si>
  <si>
    <t>王亚杰</t>
  </si>
  <si>
    <t>2024-07-16</t>
  </si>
  <si>
    <t>河南省济源市北海办事处济渎路商务内街东15-39号</t>
  </si>
  <si>
    <t>15343984122</t>
  </si>
  <si>
    <t>15343984122@163.com</t>
  </si>
  <si>
    <t>MADRCE00-9</t>
  </si>
  <si>
    <t>2024-07-16 至 无固定期限</t>
  </si>
  <si>
    <t>Jiyuan Yaoshun Precious Metals Co., Ltd.</t>
  </si>
  <si>
    <t>济源曜顺贵金属有限公司成立于2024-07-16，法定代表人为王亚杰，注册资本为100万元，统一社会信用代码为91419001MADRCE009J，企业注册地址位于河南省济源市北海办事处济渎路商务内街东15-39号，所属行业为批发业，经营范围包含：一般项目：金属矿石销售；金属材料销售；金属制品销售；金属废料和碎屑加工处理；再生资源回收（除生产性废旧金属）（除依法须经批准的项目外，凭营业执照依法自主开展经营活动）。企业当前经营状态为存续。</t>
  </si>
  <si>
    <t>广州市绿色商业发展有限公司</t>
  </si>
  <si>
    <t>91440114MACTPX6C8Q</t>
  </si>
  <si>
    <t>王博加</t>
  </si>
  <si>
    <t>2600万元</t>
  </si>
  <si>
    <t>2023-08-24</t>
  </si>
  <si>
    <t>广州市花都区迎宾大道163号高晟广场2栋13A层01室</t>
  </si>
  <si>
    <t>020-36969356</t>
  </si>
  <si>
    <t>ouyangjing@gdzdbl.com</t>
  </si>
  <si>
    <t>440121003255427</t>
  </si>
  <si>
    <t>MACTPX6C-8</t>
  </si>
  <si>
    <t>2023-08-24 至 无固定期限</t>
  </si>
  <si>
    <t>Guangzhou Green Business Development Co., Ltd.</t>
  </si>
  <si>
    <t>广州市绿色商业发展有限公司成立于2023-08-24，法定代表人为王博加，注册资本为9000万元，统一社会信用代码为91440114MACTPX6C8Q，企业注册地址位于广州市花都区迎宾大道163号高晟广场2栋13A层01室，所属行业为商务服务业，经营范围包含：石油制品销售（不含危险化学品）;供应链管理服务;煤炭及制品销售;高品质特种钢铁材料销售;初级农产品收购;五金产品批发;轻质建筑材料销售;金属材料销售;建筑装饰材料销售;成品油批发（不含危险化学品）;建筑用金属配件销售;建筑防水卷材产品销售;有色金属合金销售;国内货物运输代理;水泥制品销售;石棉水泥制品销售;新鲜蔬菜批发;高性能有色金属及合金材料销售;建筑陶瓷制品销售;信息咨询服务（不含许可类信息咨询服务）;谷物销售;金属制品销售;新型金属功能材料销售;建筑材料销售;橡胶制品销售;建筑工程用机械销售;建筑砌块销售;电子产品销售;豆及薯类销售;涂料销售（不含危险化学品）;国内贸易代理;农副产品销售;建筑用钢筋产品销售;金属结构销售;特种设备销售;电线、电缆经营;金属矿石销售;太阳能热发电装备销售;太阳能热发电产品销售;太阳能热利用装备销售;太阳能热利用产品销售;光伏设备及元器件销售;新能源原动设备销售;半导体器件专用设备销售;金属切割及焊接设备销售;电力电子元器件销售;功能玻璃和新型光学材料销售;牲畜销售;鲜蛋批发;鲜蛋零售;食用农产品批发;畜牧渔业饲料销售;饲料原料销售;新鲜水果零售;新鲜水果批发。企业当前经营状态为存续。</t>
  </si>
  <si>
    <t>石油制品销售（不含危险化学品）;供应链管理服务;煤炭及制品销售;高品质特种钢铁材料销售;初级农产品收购;五金产品批发;轻质建筑材料销售;金属材料销售;建筑装饰材料销售;成品油批发（不含危险化学品）;建筑用金属配件销售;建筑防水卷材产品销售;有色金属合金销售;国内货物运输代理;水泥制品销售;石棉水泥制品销售;新鲜蔬菜批发;高性能有色金属及合金材料销售;建筑陶瓷制品销售;信息咨询服务（不含许可类信息咨询服务）;谷物销售;金属制品销售;新型金属功能材料销售;建筑材料销售;橡胶制品销售;建筑工程用机械销售;建筑砌块销售;电子产品销售;豆及薯类销售;涂料销售（不含危险化学品）;国内贸易代理;农副产品销售;建筑用钢筋产品销售;金属结构销售;特种设备销售;电线、电缆经营;金属矿石销售;太阳能热发电装备销售;太阳能热发电产品销售;太阳能热利用装备销售;太阳能热利用产品销售;光伏设备及元器件销售;新能源原动设备销售;半导体器件专用设备销售;金属切割及焊接设备销售;电力电子元器件销售;功能玻璃和新型光学材料销售;牲畜销售;鲜蛋批发;鲜蛋零售;食用农产品批发;畜牧渔业饲料销售;饲料原料销售;新鲜水果零售;新鲜水果批发</t>
  </si>
  <si>
    <t>广州市花都区市场监督管理局</t>
  </si>
  <si>
    <t>广州智都投资控股集团有限公司</t>
  </si>
  <si>
    <t>914401011912175355</t>
  </si>
  <si>
    <t>广州智都投资控股有限公司,
广州市花都区公有资产投资控股总公司,
花都市公有资产投资控股总公司</t>
  </si>
  <si>
    <t>金雷</t>
  </si>
  <si>
    <t>130006.1045万元</t>
  </si>
  <si>
    <t>1994-06-11</t>
  </si>
  <si>
    <t>广州市花都区新华街迎宾大道163号高晟广场2幢16楼</t>
  </si>
  <si>
    <t>020-86889804</t>
  </si>
  <si>
    <t>020-36896890;020-86820974;020-36917396;020-36917399</t>
  </si>
  <si>
    <t>zgscw36917399@163.com</t>
  </si>
  <si>
    <t>zgsbgs2018@163.com</t>
  </si>
  <si>
    <t>440121000088311</t>
  </si>
  <si>
    <t>19121753-5</t>
  </si>
  <si>
    <t>76</t>
  </si>
  <si>
    <t>1994-06-11 至 无固定期限</t>
  </si>
  <si>
    <t>Guangzhou Zhidu Investment Holding Group Co., Ltd.</t>
  </si>
  <si>
    <t>https://www.gzzdkg.com</t>
  </si>
  <si>
    <t>广州智都投资控股集团有限公司（原广州市花都区公有资产投资控股总公司，以下简称“智都公司”）是由广州市花都区财政局（国有资产监督管理局）根据广州市花都区人民政府授权出资成立的区一级企业。智都公司属下二级企业7家，广州市宝信房地产开发有限公司、广州市花都市场建设有限公司、广州市花都区新华书店有限公司、广州市花都城市建设发展有限公司、广州花都基金管理有限公司、广州绿色金融街投资管理有限公司、广州市业荣公有资产管理有限公司。智都公司致力打造花都区集股权投资、资本运营、房地产开发、产业孵化、资产整理、文化产业（新华书店）、新兴产业发展及商贸服务于一体的综合资产运营平台，努力打造成为具备绿色创新发展和可持续发展能力的区属国有企业。</t>
  </si>
  <si>
    <t>供应链管理服务;以自有资金从事投资活动;企业管理;非居住房地产租赁;住房租赁;土地使用权租赁;市政设施管理;园林绿化工程施工;对外承包工程;国内贸易代理;建筑装饰材料销售;煤炭及制品销售;金属制品销售;建筑用金属配件销售;金属结构销售;新型金属功能材料销售;高性能有色金属及合金材料销售;石棉水泥制品销售;石油制品销售（不含危险化学品）;五金产品批发;高品质特种钢铁材料销售;建筑用钢筋产品销售;建筑防水卷材产品销售;建筑材料销售;轻质建筑材料销售;建筑砌块销售;建筑陶瓷制品销售;建筑工程用机械销售;电线、电缆经营;涂料销售（不含危险化学品）;成品油批发（不含危险化学品）;化工产品销售（不含许可类化工产品）;润滑油销售;电子产品销售;汽车零配件零售;金属材料销售;医护人员防护用品生产（Ⅰ类医疗器械）;医用包装材料制造;计算机软硬件及外围设备制造;网络设备制造;集成电路制造;移动终端设备制造;仪器仪表制造;房屋建筑和市政基础设施项目工程总承包;医护人员防护用品生产（Ⅱ类医疗器械）;药品生产</t>
  </si>
  <si>
    <t>广州市普路通供应链管理有限公司</t>
  </si>
  <si>
    <t>91440101MA5CT1UGXP</t>
  </si>
  <si>
    <t>陈书智</t>
  </si>
  <si>
    <t>2019-06-12</t>
  </si>
  <si>
    <t>广州市花都区新华街迎宾大道163号高晟广场2栋15层10E05室</t>
  </si>
  <si>
    <t>020-83624860</t>
  </si>
  <si>
    <t>wanghuan@prolto.com</t>
  </si>
  <si>
    <t>zhengqihong@prolto.com</t>
  </si>
  <si>
    <t>440121002566871</t>
  </si>
  <si>
    <t>MA5CT1UG-X</t>
  </si>
  <si>
    <t>2019-06-12 至 无固定期限</t>
  </si>
  <si>
    <t>其他专业咨询与调查</t>
  </si>
  <si>
    <t>Guangzhou Prolto Supply Chain Management Co., Ltd.</t>
  </si>
  <si>
    <t>广州市普路通供应链管理有限公司成立于2019-06-12，法定代表人为陈书智，注册资本为10000万元，统一社会信用代码为91440101MA5CT1UGXP，企业注册地址位于广州市花都区新华街迎宾大道163号高晟广场2栋15层10E05室，所属行业为商务服务业，经营范围包含：供应链管理服务;社会经济咨询服务;信息咨询服务（不含许可类信息咨询服务）;国际货物运输代理;建筑材料销售;建筑装饰材料销售;金属制品销售;初级农产品收购;农副产品销售;国内货物运输代理;谷物销售;豆及薯类销售;新鲜水果批发;新鲜蔬菜批发;计算机软硬件及辅助设备批发;软件销售;通讯设备销售;电子产品销售;家用电器销售;采购代理服务;水泥制品销售;第一类医疗器械销售;第二类医疗器械销售;电子元器件批发;办公设备销售;办公设备耗材销售;玩具销售;母婴用品销售;互联网销售（除销售需要许可的商品）;日用百货销售;食品销售（仅销售预包装食品）;新鲜水果零售;新鲜蔬菜零售;日用品批发;食用农产品批发;食用农产品零售;保健食品（预包装）销售;国内贸易代理;贸易经纪;汽车销售;普通机械设备安装服务;对外承包工程;集成电路销售;专用设备修理;货物进出口;技术进出口;金属材料销售;金属矿石销售;非金属矿及制品销售;金属链条及其他金属制品销售;建筑用金属配件销售;金属结构销售;新型金属功能材料销售;高性能有色金属及合金材料销售;燃煤烟气脱硫脱硝装备销售;煤炭及制品销售;太阳能热利用产品销售;太阳能热发电装备销售;太阳能热发电产品销售;太阳能热利用装备销售;光伏设备及元器件销售;电力电子元器件销售;非电力家用器具销售;环境保护专用设备销售;矿山机械销售;特种设备销售;机械设备销售;化工产品销售（不含许可类化工产品）;畜牧渔业饲料销售;销售代理;食品添加剂销售;肥料销售;物料搬运装备销售;饲料添加剂销售;饲料原料销售;食用农产品初加工;针纺织品及原料销售;针纺织品销售;智能物料搬运装备销售;发电机及发电机组销售;电气设备销售;电力设施器材销售;家用电器零配件销售;智能输配电及控制设备销售;新能源原动设备销售;电动汽车充电基础设施运营;新能源汽车换电设施销售;二手车经销;二手车经纪;道路货物运输（不含危险货物）;道路货物运输（网络货运）;第二类医疗器械生产;药品零售;第三类医疗器械经营;食品销售;酒类经营。企业当前经营状态为存续。</t>
  </si>
  <si>
    <t>供应链管理服务;社会经济咨询服务;信息咨询服务（不含许可类信息咨询服务）;国际货物运输代理;建筑材料销售;建筑装饰材料销售;金属制品销售;初级农产品收购;农副产品销售;国内货物运输代理;谷物销售;豆及薯类销售;新鲜水果批发;新鲜蔬菜批发;计算机软硬件及辅助设备批发;软件销售;通讯设备销售;电子产品销售;家用电器销售;采购代理服务;水泥制品销售;第一类医疗器械销售;第二类医疗器械销售;电子元器件批发;办公设备销售;办公设备耗材销售;玩具销售;母婴用品销售;互联网销售（除销售需要许可的商品）;日用百货销售;食品销售（仅销售预包装食品）;新鲜水果零售;新鲜蔬菜零售;日用品批发;食用农产品批发;食用农产品零售;保健食品（预包装）销售;国内贸易代理;贸易经纪;汽车销售;普通机械设备安装服务;对外承包工程;集成电路销售;专用设备修理;货物进出口;技术进出口;金属材料销售;金属矿石销售;非金属矿及制品销售;金属链条及其他金属制品销售;建筑用金属配件销售;金属结构销售;新型金属功能材料销售;高性能有色金属及合金材料销售;燃煤烟气脱硫脱硝装备销售;煤炭及制品销售;太阳能热利用产品销售;太阳能热发电装备销售;太阳能热发电产品销售;太阳能热利用装备销售;光伏设备及元器件销售;电力电子元器件销售;非电力家用器具销售;环境保护专用设备销售;矿山机械销售;特种设备销售;机械设备销售;化工产品销售（不含许可类化工产品）;畜牧渔业饲料销售;销售代理;食品添加剂销售;肥料销售;物料搬运装备销售;饲料添加剂销售;饲料原料销售;食用农产品初加工;针纺织品及原料销售;针纺织品销售;智能物料搬运装备销售;发电机及发电机组销售;电气设备销售;电力设施器材销售;家用电器零配件销售;智能输配电及控制设备销售;新能源原动设备销售;电动汽车充电基础设施运营;新能源汽车换电设施销售;二手车经销;二手车经纪;道路货物运输（不含危险货物）;道路货物运输（网络货运）;第二类医疗器械生产;药品零售;第三类医疗器械经营;食品销售;酒类经营</t>
  </si>
  <si>
    <t>广州绿色金融街投资管理有限公司</t>
  </si>
  <si>
    <t>91440101MA59K91E90</t>
  </si>
  <si>
    <t>广州绿色金融街管理有限公司</t>
  </si>
  <si>
    <t>沈靖弘</t>
  </si>
  <si>
    <t>2017-03-10</t>
  </si>
  <si>
    <t>广州市花都区迎宾大道163号高晟广场2号楼10层01-02、03、05室</t>
  </si>
  <si>
    <t>020-61788160</t>
  </si>
  <si>
    <t>020-61788165;020-36823383</t>
  </si>
  <si>
    <t>office@gdlsjr.com</t>
  </si>
  <si>
    <t>gzlsjrj@163.com</t>
  </si>
  <si>
    <t>440121000334963</t>
  </si>
  <si>
    <t>MA59K91E-9</t>
  </si>
  <si>
    <t>2017-03-10 至 无固定期限</t>
  </si>
  <si>
    <t>广告业</t>
  </si>
  <si>
    <t>Guangzhou Green Finance Street Investment Management Co., Ltd.</t>
  </si>
  <si>
    <t>广州绿色金融街投资管理有限公司业务范围涵盖投资、基金、商业保理等领域，致力打造成为整合区域金融资源、助力绿色产业发展、促进产业转型升级、助推基础设施建设、服务基层社会民生信息的重要平台。</t>
  </si>
  <si>
    <t>金属矿石销售;微特电机及组件销售;日用木制品销售;金属工具销售;农作物种子经营（仅限不再分装的包装种子）;塑料制品销售;家具销售;日用家电零售;润滑油销售;电子元器件零售;摩托车及零配件零售;汽车零配件零售;电动自行车销售;工艺美术品及收藏品零售（象牙及其制品除外）;文具用品零售;厨具卫具及日用杂品零售;化妆品零售;珠宝首饰零售;宠物食品及用品零售;母婴用品销售;食用农产品零售;鲜蛋零售;新鲜水果零售;新鲜蔬菜零售;水产品零售;鲜肉零售;风机、风扇销售;市场主体登记注册代理;融资咨询服务;信息咨询服务（不含许可类信息咨询服务）;环保咨询服务;物业服务评估;商务代理代办服务;品牌管理;供应链管理服务;以自有资金从事投资活动;会议及展览服务;企业管理咨询;企业管理;非居住房地产租赁;办公设备租赁服务;物业管理;工程管理服务;咨询策划服务;信息技术咨询服务;建筑装饰材料销售;煤炭及制品销售;金属材料销售;金属制品销售;建筑用金属配件销售;金属结构销售;新型金属功能材料销售;高性能有色金属及合金材料销售;石棉水泥制品销售;石油制品销售（不含危险化学品）;五金产品批发;高品质特种钢铁材料销售;建筑用钢筋产品销售;建筑防水卷材产品销售;生产性废旧金属回收;建筑材料销售;轻质建筑材料销售;建筑砌块销售;建筑陶瓷制品销售;建筑工程用机械销售;电线、电缆经营;涂料销售（不含危险化学品）;成品油批发（不含危险化学品）;电子产品销售;技术服务、技术开发、技术咨询、技术交流、技术转让、技术推广;销售代理;花卉绿植租借与代管理;工程技术服务（规划管理、勘察、设计、监理除外）;节能管理服务;照明器具销售;牲畜销售;食用农产品批发;非金属矿及制品销售;电工仪器仪表销售;食品销售（仅销售预包装食品）;农副产品销售;水泥制品销售;再生资源回收（除生产性废旧金属）;再生资源销售;新鲜水果批发;鲜肉批发;礼品花卉销售;水产品批发;鲜蛋批发;宠物销售;食品互联网销售（仅销售预包装食品）;保健食品（预包装）销售;特殊医学用途配方食品销售;畜牧渔业饲料销售;饲料添加剂销售;肥料销售;日用杂品销售;日用品出租;金银制品销售;珠宝首饰批发;化妆品批发;皮革制品销售;第一类医疗器械销售;第二类医疗器械销售;劳动保护用品销售;卫生洁具销售;消防器材销售;灯具销售;电工器材销售;机械设备销售;仪器仪表销售;电子元器件批发;电子元器件与机电组件设备销售;电力电子元器件销售;紧固件销售;国内贸易代理;采购代理服务;票务代理服务;旅客票务代理;体育用品设备出租;图书出租;音像制品出租;文化用品设备出租;摄影扩印服务;家政服务;日用产品修理;翻译服务;居民日常生活服务;货物进出口;食品互联网销售;出版物互联网销售;出版物零售;药品零售;酒类经营;农药零售;生鲜乳收购;食品销售;农药批发;兽药经营;第三类医疗器械经营;药品互联网信息服务</t>
  </si>
  <si>
    <t>乐山沙湾国宏电冶有限公司</t>
  </si>
  <si>
    <t>91511111731628846H</t>
  </si>
  <si>
    <t>袁虹</t>
  </si>
  <si>
    <t>2001-10-18</t>
  </si>
  <si>
    <t>乐山市沙湾区太平镇费槽村8组顺河街396号</t>
  </si>
  <si>
    <t>乐山市</t>
  </si>
  <si>
    <t>沙湾区</t>
  </si>
  <si>
    <t>13658187185</t>
  </si>
  <si>
    <t>13708133282</t>
  </si>
  <si>
    <t>andyxia09@foxmail.com</t>
  </si>
  <si>
    <t>648079572@qq.com</t>
  </si>
  <si>
    <t>511100000021077</t>
  </si>
  <si>
    <t>73162884-6</t>
  </si>
  <si>
    <t>2001-10-18 至 无固定期限</t>
  </si>
  <si>
    <t>Leshan Shawan Guo Hong Electrometallurgy Co., Ltd.</t>
  </si>
  <si>
    <t>乐山沙湾国宏电冶有限公司成立于2001-10-18，法定代表人为袁虹，注册资本为3300万元，统一社会信用代码为91511111731628846H，企业注册地址位于乐山市沙湾区太平镇费槽村8组顺河街396号，所属行业为化学原料和化学制品制造业，经营范围包含：铁合金、金属加工，机械制造、销售；经营本企业自产产品的出口，本企业生产所需的原辅材料、仪器仪表、机械设备、零配件及技术的进出口（国家限定公司经营和国家禁止进出口的商品及技术除外）。（依法须经批准的项目，经相关部门批准后方可开展经营活动）。企业当前经营状态为存续。</t>
  </si>
  <si>
    <t>铁合金、金属加工，机械制造、销售；经营本企业自产产品的出口，本企业生产所需的原辅材料、仪器仪表、机械设备、零配件及技术的进出口（国家限定公司经营和国家禁止进出口的商品及技术除外）。（依法须经批准的项目，经相关部门批准后方可开展经营活动）</t>
  </si>
  <si>
    <t>乐山市沙湾区市场监督管理局</t>
  </si>
  <si>
    <t>四川峨眉山钰鑫铁合金有限公司</t>
  </si>
  <si>
    <t>915111812074535171</t>
  </si>
  <si>
    <t>李敏学</t>
  </si>
  <si>
    <t>2005-06-06</t>
  </si>
  <si>
    <t>峨眉山市胜利镇胜利村二组</t>
  </si>
  <si>
    <t>峨眉山市</t>
  </si>
  <si>
    <t>0833-5520262</t>
  </si>
  <si>
    <t>0833-5522468</t>
  </si>
  <si>
    <t>925079865@qq.com</t>
  </si>
  <si>
    <t>511181000009671</t>
  </si>
  <si>
    <t>20745351-7</t>
  </si>
  <si>
    <t>2005-06-06 至 无固定期限</t>
  </si>
  <si>
    <t>铁合金冶炼</t>
  </si>
  <si>
    <t>Sichuan Emeishan Yuxin Ferroalloy Co., Ltd.</t>
  </si>
  <si>
    <t>四川峨眉山钰鑫铁合金有限公司成立于2005-06-06，法定代表人为李敏学，注册资本为1000万元，统一社会信用代码为915111812074535171，企业注册地址位于峨眉山市胜利镇胜利村二组，所属行业为黑色金属冶炼和压延加工业，经营范围包含：房地产开发；硅材料销售、生产；废旧金属收购；农副产品收购、销售；建筑材料、橡胶制品、金属材料、机电产品、化工产品（除危险化学品）、原煤、洗煤、日用百货、日用杂品、针纺织品销售。（依法须经批准的项目，经相关部门批准后方可开展经营活动）。企业当前经营状态为存续。</t>
  </si>
  <si>
    <t>房地产开发；硅材料销售、生产；废旧金属收购；农副产品收购、销售；建筑材料、橡胶制品、金属材料、机电产品、化工产品（除危险化学品）、原煤、洗煤、日用百货、日用杂品、针纺织品销售。（依法须经批准的项目，经相关部门批准后方可开展经营活动）</t>
  </si>
  <si>
    <t>峨眉山市市场监督管理局</t>
  </si>
  <si>
    <t>上杭县紫金金属资源有限公司</t>
  </si>
  <si>
    <t>91350823MA2YLG886K</t>
  </si>
  <si>
    <t>林淑贞</t>
  </si>
  <si>
    <t>2017-09-27</t>
  </si>
  <si>
    <t>上杭县临城镇城北村三环北路1号</t>
  </si>
  <si>
    <t>上杭县</t>
  </si>
  <si>
    <t>0592-5762003</t>
  </si>
  <si>
    <t>18659753089</t>
  </si>
  <si>
    <t>350823100061583</t>
  </si>
  <si>
    <t>MA2YLG88-6</t>
  </si>
  <si>
    <t>2017-09-27 至 2067-09-26</t>
  </si>
  <si>
    <t>Shanghang Zijin METAL Resources Co., Ltd.</t>
  </si>
  <si>
    <t>上杭县紫金金属资源有限公司成立于2017-09-27，法定代表人为林淑贞，注册资本为10000万元，统一社会信用代码为91350823MA2YLG886K，企业注册地址位于上杭县临城镇城北村三环北路1号，所属行业为批发业，经营范围包含：一般项目：金属矿石销售；非金属矿及制品销售；新型金属功能材料销售；金属制品销售；金属材料销售；货物进出口；普通货物仓储服务（不含危险化学品等需许可审批的项目）；建筑材料销售；电池销售；珠宝首饰零售；珠宝首饰批发；工艺美术品及礼仪用品销售（象牙及其制品除外）；技术服务、技术开发、技术咨询、技术交流、技术转让、技术推广；社会经济咨询服务；信息技术咨询服务；高纯元素及化合物销售；汽车零配件批发；新能源汽车电附件销售；化工产品销售（不含许可类化工产品）；电子元器件批发；汽车零配件零售；电子专用材料销售；机械电气设备销售；电力电子元器件销售；电池零配件销售；高性能有色金属及合金材料销售；金银制品销售；新能源汽车废旧动力蓄电池回收及梯次利用（不含危险废物经营）。（除依法须经批准的项目外，凭营业执照依法自主开展经营活动）。企业当前经营状态为存续。</t>
  </si>
  <si>
    <t>一般项目：金属矿石销售；非金属矿及制品销售；新型金属功能材料销售；金属制品销售；金属材料销售；货物进出口；普通货物仓储服务（不含危险化学品等需许可审批的项目）；建筑材料销售；电池销售；珠宝首饰零售；珠宝首饰批发；工艺美术品及礼仪用品销售（象牙及其制品除外）；技术服务、技术开发、技术咨询、技术交流、技术转让、技术推广；社会经济咨询服务；信息技术咨询服务；高纯元素及化合物销售；汽车零配件批发；新能源汽车电附件销售；化工产品销售（不含许可类化工产品）；电子元器件批发；汽车零配件零售；电子专用材料销售；机械电气设备销售；电力电子元器件销售；电池零配件销售；高性能有色金属及合金材料销售；金银制品销售；新能源汽车废旧动力蓄电池回收及梯次利用（不含危险废物经营）。（除依法须经批准的项目外，凭营业执照依法自主开展经营活动）</t>
  </si>
  <si>
    <t>上杭县市场监督管理局</t>
  </si>
  <si>
    <t>南通洛宽贸易有限公司</t>
  </si>
  <si>
    <t>91320682MA21553R2M</t>
  </si>
  <si>
    <t>江苏洛宽实业发展有限公司</t>
  </si>
  <si>
    <t>张新龙</t>
  </si>
  <si>
    <t>2020-04-01</t>
  </si>
  <si>
    <t>如皋市如城街道如港公路86号</t>
  </si>
  <si>
    <t>18112280018</t>
  </si>
  <si>
    <t>0513-81801266;18112280078</t>
  </si>
  <si>
    <t>3245390931@qq.com</t>
  </si>
  <si>
    <t>2430848180@qq.com</t>
  </si>
  <si>
    <t>MA21553R-2</t>
  </si>
  <si>
    <t>2020-04-01 至 无固定期限</t>
  </si>
  <si>
    <t>Nantong Luokuan Trading Co., Ltd.</t>
  </si>
  <si>
    <t>南通洛宽贸易有限公司成立于2020-04-01，法定代表人为张新龙，注册资本为50万元，统一社会信用代码为91320682MA21553R2M，企业注册地址位于如皋市如城街道如港公路86号，所属行业为农副食品加工业，经营范围包含：许可项目：粮食加工食品生产；食品经营；食品经营（销售预包装食品）；房屋建筑和市政基础设施项目工程总承包（依法须经批准的项目，经相关部门批准后方可开展经营活动，具体经营项目以审批结果为准）
一般项目：有色金属压延加工；服装制造；金属材料销售；金属制品销售；石油制品销售（不含危险化学品）；橡胶制品销售；化工产品销售（不含许可类化工产品）；非金属矿及制品销售；机械设备销售；供应链管理服务；普通货物仓储服务（不含危险化学品等需许可审批的项目）；市场营销策划；谷物种植；谷物销售；食用农产品初加工；豆及薯类销售；食用农产品批发；农副产品销售；糖料作物种植；建筑材料销售（除依法须经批准的项目外，凭营业执照依法自主开展经营活动）。企业当前经营状态为在业。</t>
  </si>
  <si>
    <t>许可项目：粮食加工食品生产；食品经营；食品经营（销售预包装食品）；房屋建筑和市政基础设施项目工程总承包（依法须经批准的项目，经相关部门批准后方可开展经营活动，具体经营项目以审批结果为准）
一般项目：有色金属压延加工；服装制造；金属材料销售；金属制品销售；石油制品销售（不含危险化学品）；橡胶制品销售；化工产品销售（不含许可类化工产品）；非金属矿及制品销售；机械设备销售；供应链管理服务；普通货物仓储服务（不含危险化学品等需许可审批的项目）；市场营销策划；谷物种植；谷物销售；食用农产品初加工；豆及薯类销售；食用农产品批发；农副产品销售；糖料作物种植；建筑材料销售（除依法须经批准的项目外，凭营业执照依法自主开展经营活动）</t>
  </si>
  <si>
    <t>临武欣祥贸易有限公司</t>
  </si>
  <si>
    <t>91431025MA4PX1NM6J</t>
  </si>
  <si>
    <t>郭义威</t>
  </si>
  <si>
    <t>2018-09-07</t>
  </si>
  <si>
    <t>湖南省郴州市临武县武水镇县工业园区挂榜山二栋六楼606房</t>
  </si>
  <si>
    <t>临武县</t>
  </si>
  <si>
    <t>13873520672</t>
  </si>
  <si>
    <t>564550980@qq.com</t>
  </si>
  <si>
    <t>MA4PX1NM-6</t>
  </si>
  <si>
    <t>2018-09-07 至 无固定期限</t>
  </si>
  <si>
    <t>Linwu Xinxiang Trading Co., Ltd.</t>
  </si>
  <si>
    <t>临武欣祥贸易有限公司成立于2018-09-07，法定代表人为郭义威，注册资本为2000万元，统一社会信用代码为91431025MA4PX1NM6J，企业注册地址位于湖南省郴州市临武县武水镇县工业园区挂榜山二栋六楼606房，所属行业为批发业，经营范围包含：金属及金属矿批发；非金属矿及制品销售；矿产品销售；货物及技术进出口（国家禁止或涉及行政审批的货物和技术进出口除外）;道路货物运输（不含危险货物）；信息科技技术服务；工程技术服务；商业综合体管理服务；建筑材料销售。（依法须经批准的项目，经相关部门批准后方可开展经营活动）。企业当前经营状态为存续。</t>
  </si>
  <si>
    <t>金属及金属矿批发；非金属矿及制品销售；矿产品销售；货物及技术进出口（国家禁止或涉及行政审批的货物和技术进出口除外）;道路货物运输（不含危险货物）；信息科技技术服务；工程技术服务；商业综合体管理服务；建筑材料销售。（依法须经批准的项目，经相关部门批准后方可开展经营活动）</t>
  </si>
  <si>
    <t>临武县市场监督管理局</t>
  </si>
  <si>
    <t>灵宝金源矿业股份有限公司</t>
  </si>
  <si>
    <t>91411200761698482F</t>
  </si>
  <si>
    <t>灵宝市金源矿业有限责任公司</t>
  </si>
  <si>
    <t>王彦龙</t>
  </si>
  <si>
    <t>106812.2926万元</t>
  </si>
  <si>
    <t>29844万元</t>
  </si>
  <si>
    <t>2004-05-19</t>
  </si>
  <si>
    <t>河南省三门峡市灵宝市尹庄镇长安路与尹喜路交叉口东北角115号附近（金源科技研发综合楼）</t>
  </si>
  <si>
    <t>0398-8821890</t>
  </si>
  <si>
    <t>0398-8821855;0398-8821850;0398-8853317</t>
  </si>
  <si>
    <t>lbjyky@sina.com</t>
  </si>
  <si>
    <t>411282000002439</t>
  </si>
  <si>
    <t>76169848-2</t>
  </si>
  <si>
    <t>1497</t>
  </si>
  <si>
    <t>2004-05-19 至 2054-05-18</t>
  </si>
  <si>
    <t>Linbal Jinyuan Tonghui Gold Refinery Co., Ltd.</t>
  </si>
  <si>
    <t>灵宝金源矿业股份有限公司组建于2004年5月，是河南省百户重点企业、技术企业和黄金行业优势企业。公司以抓探矿增储、抓成本控制、抓管理增效、加强安全生产管理为核心，强力实施科技兴企、项目带动战略，形成了以黄金采选冶、精深加工、网上交易为主体，金、银、铜、钼、铅、硫、铁多矿种链式开发、综合回收的循环经济发展格局，确立了黄金生产、硫铁化工、多金属开发三大产业。现下辖鑫灵、鑫辉、鑫宝3个黄金分公司，晨光矿冶、桐辉精炼、汽车服务、朝辉铜业4个子公司，1个科技研发中心。总资产44.23亿元，矿区面积246.93平方公里，员工近5000人。主要产品为国标1、2号金锭、银锭，50——500克工艺金条、银条；国标1、2号铜锭；钼精粉和磷酸一铵（化肥）等。</t>
  </si>
  <si>
    <t>金矿、铁矿采（凭有效许可证）、选、加工；黄金、白银、铂金等贵金属销售。金银的购销、来料加工、精炼提纯、储存；贵金属化验、检测；工业用金银材料生产（以上项目危险化学品除外）；从事货物和技术的进出口业务；矿产品采选冶技术推广服务。</t>
  </si>
  <si>
    <t>灵宝浪坡商贸有限公司</t>
  </si>
  <si>
    <t>91411282MADR8LAN8W</t>
  </si>
  <si>
    <t>于宝艳</t>
  </si>
  <si>
    <t>河南省三门峡市灵宝市尹庄镇闫李村76号</t>
  </si>
  <si>
    <t>17698203632</t>
  </si>
  <si>
    <t>17698203632@163.com</t>
  </si>
  <si>
    <t>MADR8LAN-8</t>
  </si>
  <si>
    <t>Lingbao Langpo Trading Co., Ltd.</t>
  </si>
  <si>
    <t>灵宝浪坡商贸有限公司成立于2024-07-04，法定代表人为于宝艳，注册资本为100万元，统一社会信用代码为91411282MADR8LAN8W，企业注册地址位于河南省三门峡市灵宝市尹庄镇闫李村76号，所属行业为批发业，经营范围包含：一般项目：金属矿石销售；非金属矿及制品销售；贸易经纪；建筑材料销售；五金产品批发；金属工具销售（除依法须经批准的项目外，凭营业执照依法自主开展经营活动）。企业当前经营状态为存续。</t>
  </si>
  <si>
    <t>一般项目：金属矿石销售；非金属矿及制品销售；贸易经纪；建筑材料销售；五金产品批发；金属工具销售（除依法须经批准的项目外，凭营业执照依法自主开展经营活动）</t>
  </si>
  <si>
    <t>灵宝林之达矿业有限公司</t>
  </si>
  <si>
    <t>91411282MA9KH9LR37</t>
  </si>
  <si>
    <t>注销（2025-09-02）</t>
  </si>
  <si>
    <t>王文革</t>
  </si>
  <si>
    <t>河南省三门峡市灵宝市尹庄镇富士路南92号</t>
  </si>
  <si>
    <t>18603986215</t>
  </si>
  <si>
    <t>15639852055</t>
  </si>
  <si>
    <t>18603986215@139.com</t>
  </si>
  <si>
    <t>18603986215@qq.com</t>
  </si>
  <si>
    <t>411282000105803</t>
  </si>
  <si>
    <t>MA9KH9LR-3</t>
  </si>
  <si>
    <t>Lingbao Linzhida Mining Co., Ltd.</t>
  </si>
  <si>
    <t>灵宝林之达矿业有限公司成立于2021-11-29，法定代表人为王文革，注册资本为100万元，统一社会信用代码为91411282MA9KH9LR37，企业注册地址位于河南省三门峡市灵宝市尹庄镇富士路南92号，所属行业为批发业，经营范围包含：一般项目：选矿；金属矿石销售；金属材料销售；新型金属功能材料销售；常用有色金属冶炼；贵金属冶炼；稀有稀土金属冶炼；有色金属合金销售；有色金属合金制造；金属制品销售（除依法须经批准的项目外，凭营业执照依法自主开展经营活动）。企业当前经营状态为注销。</t>
  </si>
  <si>
    <t>一般项目：选矿；金属矿石销售；金属材料销售；新型金属功能材料销售；常用有色金属冶炼；贵金属冶炼；稀有稀土金属冶炼；有色金属合金销售；有色金属合金制造；金属制品销售（除依法须经批准的项目外，凭营业执照依法自主开展经营活动）</t>
  </si>
  <si>
    <t>灵宝市晨晖矿业有限责任公司</t>
  </si>
  <si>
    <t>91411282MACCCR0B97</t>
  </si>
  <si>
    <t>陈晓波</t>
  </si>
  <si>
    <t>2023-03-24</t>
  </si>
  <si>
    <t>河南省三门峡市灵宝市天宝路郭氏花苑1号楼9楼西</t>
  </si>
  <si>
    <t>15939833666</t>
  </si>
  <si>
    <t>15939833666@163.com</t>
  </si>
  <si>
    <t>411282000128514</t>
  </si>
  <si>
    <t>MACCCR0B-9</t>
  </si>
  <si>
    <t>2023-03-24 至 无固定期限</t>
  </si>
  <si>
    <t>Lingbao Chenhui Mining Co., Ltd.</t>
  </si>
  <si>
    <t>灵宝市晨晖矿业有限责任公司成立于2023-03-24，法定代表人为陈晓波，注册资本为500万元，统一社会信用代码为91411282MACCCR0B97，企业注册地址位于河南省三门峡市灵宝市天宝路郭氏花苑1号楼9楼西，所属行业为批发业，经营范围包含：一般项目：金属矿石销售；非金属矿及制品销售；选矿（除依法须经批准的项目外，凭营业执照依法自主开展经营活动）。企业当前经营状态为存续。</t>
  </si>
  <si>
    <t>一般项目：金属矿石销售；非金属矿及制品销售；选矿（除依法须经批准的项目外，凭营业执照依法自主开展经营活动）</t>
  </si>
  <si>
    <t>灵宝市德韵矿产品有限公司</t>
  </si>
  <si>
    <t>91411282MAD05N9E23</t>
  </si>
  <si>
    <t>赵静</t>
  </si>
  <si>
    <t>2023-10-12</t>
  </si>
  <si>
    <t>河南省三门峡市灵宝市豫灵镇310国道边豫西收费站西200米一楼03室</t>
  </si>
  <si>
    <t>13781028206</t>
  </si>
  <si>
    <t>13781028206@137.com</t>
  </si>
  <si>
    <t>13781028206@163.com</t>
  </si>
  <si>
    <t>411282000142754</t>
  </si>
  <si>
    <t>MAD05N9E-2</t>
  </si>
  <si>
    <t>2023-10-12 至 无固定期限</t>
  </si>
  <si>
    <t>Lingbao Deyun Mineral Products Co., Ltd.</t>
  </si>
  <si>
    <t>灵宝市德韵矿产品有限公司成立于2023-10-12，法定代表人为赵静，注册资本为50万元，统一社会信用代码为91411282MAD05N9E23，企业注册地址位于河南省三门峡市灵宝市豫灵镇310国道边豫西收费站西200米一楼03室，所属行业为批发业，经营范围包含：一般项目：金属矿石销售；金属材料销售；金属制品销售；装卸搬运（除依法须经批准的项目外，凭营业执照依法自主开展经营活动）。企业当前经营状态为存续。</t>
  </si>
  <si>
    <t>灵宝市财汇合矿产品有限公司</t>
  </si>
  <si>
    <t>91411282MACMPJCM3W</t>
  </si>
  <si>
    <t>灵宝市海晟矿产品有限公司</t>
  </si>
  <si>
    <t>何少平</t>
  </si>
  <si>
    <t>2023-06-27</t>
  </si>
  <si>
    <t>河南省三门峡市灵宝市金城大道辅路金城花园四号楼西单元2楼东户</t>
  </si>
  <si>
    <t>13781008103</t>
  </si>
  <si>
    <t>13781008103@163.com</t>
  </si>
  <si>
    <t>411282000135691</t>
  </si>
  <si>
    <t>MACMPJCM-3</t>
  </si>
  <si>
    <t>2023-06-27 至 无固定期限</t>
  </si>
  <si>
    <t>Lingbao Caihui Mineral Products Co., Ltd.</t>
  </si>
  <si>
    <t>灵宝市财汇合矿产品有限公司成立于2023-06-27，法定代表人为何少平，注册资本为50万元，统一社会信用代码为91411282MACMPJCM3W，企业注册地址位于河南省三门峡市灵宝市金城大道辅路金城花园四号楼西单元2楼东户，所属行业为批发业，经营范围包含：一般项目：金属矿石销售；金属材料销售；非金属矿及制品销售；选矿；矿物洗选加工（除依法须经批准的项目外，凭营业执照依法自主开展经营活动）。企业当前经营状态为存续。</t>
  </si>
  <si>
    <t>灵宝市鸿源矿产品有限责任公司</t>
  </si>
  <si>
    <t>91411282MA9NQD0YX6</t>
  </si>
  <si>
    <t>孙满屯</t>
  </si>
  <si>
    <t>2023-03-07</t>
  </si>
  <si>
    <t>河南省三门峡市灵宝市故县镇和谐家园6号楼二单202室</t>
  </si>
  <si>
    <t>16613987376</t>
  </si>
  <si>
    <t>16613987376@166.com</t>
  </si>
  <si>
    <t>16613987376@qq.com</t>
  </si>
  <si>
    <t>411282000126711</t>
  </si>
  <si>
    <t>MA9NQD0Y-X</t>
  </si>
  <si>
    <t>2023-03-07 至 无固定期限</t>
  </si>
  <si>
    <t>Lingbao Hongyuan Mineral Products Co., Ltd.</t>
  </si>
  <si>
    <t>灵宝市鸿源矿产品有限责任公司成立于2023-03-07，法定代表人为孙满屯，注册资本为50万元，统一社会信用代码为91411282MA9NQD0YX6，企业注册地址位于河南省三门峡市灵宝市故县镇和谐家园6号楼二单202室，所属行业为批发业，经营范围包含：一般项目：金属矿石销售；金属材料销售；金属制品销售（除依法须经批准的项目外，凭营业执照依法自主开展经营活动）。企业当前经营状态为存续。</t>
  </si>
  <si>
    <t>灵宝市灵屹矿产品有限责任公司</t>
  </si>
  <si>
    <t>91411282MA9GYQAG91</t>
  </si>
  <si>
    <t>何向明</t>
  </si>
  <si>
    <t>2021-06-08</t>
  </si>
  <si>
    <t>河南省三门峡市灵宝市豫灵镇坡底巷310国道豫西加油站旁07号</t>
  </si>
  <si>
    <t>13639861968</t>
  </si>
  <si>
    <t>13639861968@136.com</t>
  </si>
  <si>
    <t>13639861968@163.com</t>
  </si>
  <si>
    <t>411282000099024</t>
  </si>
  <si>
    <t>MA9GYQAG-9</t>
  </si>
  <si>
    <t>2021-06-08 至 无固定期限</t>
  </si>
  <si>
    <t>Lingbao Lingyi Mineral Products Co., Ltd.</t>
  </si>
  <si>
    <t>灵宝市灵屹矿产品有限责任公司成立于2021-06-08，法定代表人为何向明，注册资本为50万元，统一社会信用代码为91411282MA9GYQAG91，企业注册地址位于河南省三门峡市灵宝市豫灵镇坡底巷310国道豫西加油站旁07号，所属行业为批发业，经营范围包含：一般项目：金属矿石销售；金属材料销售（除依法须经批准的项目外，凭营业执照依法自主开展经营活动）。企业当前经营状态为存续。</t>
  </si>
  <si>
    <t>一般项目：金属矿石销售；金属材料销售（除依法须经批准的项目外，凭营业执照依法自主开展经营活动）</t>
  </si>
  <si>
    <t>灵宝市隆盛源矿业有限公司</t>
  </si>
  <si>
    <t>91411282MA45WX4N78</t>
  </si>
  <si>
    <t>孙剑楠</t>
  </si>
  <si>
    <t>河南省灵宝市豫灵镇寺庄村312省道边</t>
  </si>
  <si>
    <t>15139899581</t>
  </si>
  <si>
    <t>18903983000</t>
  </si>
  <si>
    <t>15139899581@151.com</t>
  </si>
  <si>
    <t>18903983000@qq.com;18903983000@163.com</t>
  </si>
  <si>
    <t>411282000058532</t>
  </si>
  <si>
    <t>MA45WX4N-7</t>
  </si>
  <si>
    <t>Lingbao Longshengyuan Mining Co., Ltd.</t>
  </si>
  <si>
    <t>灵宝市隆盛源矿业有限公司成立于2018-10-24，法定代表人为孙剑楠，注册资本为100万元，统一社会信用代码为91411282MA45WX4N78，企业注册地址位于河南省灵宝市豫灵镇寺庄村312省道边，所属行业为其他采矿业，经营范围包含：一般项目：金属矿石销售；金属材料销售；金属制品销售；货物进出口（除依法须经批准的项目外，凭营业执照依法自主开展经营活动）。企业当前经营状态为存续。</t>
  </si>
  <si>
    <t>一般项目：金属矿石销售；金属材料销售；金属制品销售；货物进出口（除依法须经批准的项目外，凭营业执照依法自主开展经营活动）</t>
  </si>
  <si>
    <t>灵宝市扬隆商贸有限公司</t>
  </si>
  <si>
    <t>91411282MADXANWH0D</t>
  </si>
  <si>
    <t>灵宝市强磊矿产品有限公司</t>
  </si>
  <si>
    <t>杜学中</t>
  </si>
  <si>
    <t>18万元</t>
  </si>
  <si>
    <t>2024-09-06</t>
  </si>
  <si>
    <t>河南省三门峡市灵宝市尹庄镇金水花园1号楼4单元11楼</t>
  </si>
  <si>
    <t>13939836331</t>
  </si>
  <si>
    <t>13939836331@163.com</t>
  </si>
  <si>
    <t>411282000161319</t>
  </si>
  <si>
    <t>MADXANWH-0</t>
  </si>
  <si>
    <t>2024-09-06 至 无固定期限</t>
  </si>
  <si>
    <t>Lingbao Yanglong Trading Co., Ltd.</t>
  </si>
  <si>
    <t>灵宝市扬隆商贸有限公司成立于2024-09-06，法定代表人为杜学中，注册资本为18万元，统一社会信用代码为91411282MADXANWH0D，企业注册地址位于河南省三门峡市灵宝市尹庄镇金水花园1号楼4单元11楼，所属行业为批发业，经营范围包含：一般项目：金属矿石销售；金属材料销售；非金属矿及制品销售；选矿；矿物洗选加工（除依法须经批准的项目外，凭营业执照依法自主开展经营活动）。企业当前经营状态为存续。</t>
  </si>
  <si>
    <t>广西华银铝业有限公司</t>
  </si>
  <si>
    <t>91451024759788489E</t>
  </si>
  <si>
    <t>樊大林</t>
  </si>
  <si>
    <t>244198.693万元</t>
  </si>
  <si>
    <t>2003-02-18</t>
  </si>
  <si>
    <t>德保县华银铝厂区</t>
  </si>
  <si>
    <t>德保县</t>
  </si>
  <si>
    <t>0776-3788018</t>
  </si>
  <si>
    <t>18978611678;0776-3788275;0776-3788008;0776-3788556;0776-3788025</t>
  </si>
  <si>
    <t>hefeng001@126.com</t>
  </si>
  <si>
    <t>jil@hya.cn;hef@hya.cn</t>
  </si>
  <si>
    <t>451024000002953</t>
  </si>
  <si>
    <t>75978848-9</t>
  </si>
  <si>
    <t>2193</t>
  </si>
  <si>
    <t>2003-02-18 至 2030-02-17</t>
  </si>
  <si>
    <t>Guangxi Huayin Aluminum Industry Co., Ltd.</t>
  </si>
  <si>
    <t>广西华银铝业有限公司成立于2003-02-18，法定代表人为樊大林，注册资本为244198.693万元，统一社会信用代码为91451024759788489E，企业注册地址位于德保县华银铝厂区，所属行业为其他采矿业，经营范围包含：许可项目：非煤矿山矿产资源开采（依法须经批准的项目，经相关部门批准后方可开展经营活动，具体经营项目以相关部门批准文件或许可证件为准）一般项目：常用有色金属冶炼；选矿；矿物洗选加工；金属矿石销售；非居住房地产租赁；机械设备租赁；非金属废料和碎屑加工处理；国内货物运输代理；固体废物治理；再生资源回收（除生产性废旧金属）；再生资源加工；再生资源销售（除依法须经批准的项目外，凭营业执照依法自主开展经营活动）。企业当前经营状态为存续。</t>
  </si>
  <si>
    <t>许可项目：非煤矿山矿产资源开采（依法须经批准的项目，经相关部门批准后方可开展经营活动，具体经营项目以相关部门批准文件或许可证件为准）一般项目：常用有色金属冶炼；选矿；矿物洗选加工；金属矿石销售；非居住房地产租赁；机械设备租赁；非金属废料和碎屑加工处理；国内货物运输代理；固体废物治理；再生资源回收（除生产性废旧金属）；再生资源加工；再生资源销售（除依法须经批准的项目外，凭营业执照依法自主开展经营活动）</t>
  </si>
  <si>
    <t>德保县市场监督管理局</t>
  </si>
  <si>
    <t>山东大海新材料股份有限公司</t>
  </si>
  <si>
    <t>91370500726238229N</t>
  </si>
  <si>
    <t>山东大海光电科技股份有限公司,
山东茂源染整股份有限公司,
山东大海染整股份有限公司</t>
  </si>
  <si>
    <t>王子敏</t>
  </si>
  <si>
    <t>4100万元</t>
  </si>
  <si>
    <t>2000-12-22</t>
  </si>
  <si>
    <t>山东省东营市广饶县稻庄镇潍高路288号</t>
  </si>
  <si>
    <t>0546-6502262</t>
  </si>
  <si>
    <t>0546-6495257;0546-6495918;0546-6495173</t>
  </si>
  <si>
    <t>18754660457@163.com</t>
  </si>
  <si>
    <t>xincailiaocaiwu@163.com;dhtj007@163.com;15066092927@163.com;dhklgd18@163.com</t>
  </si>
  <si>
    <t>股份有限公司</t>
  </si>
  <si>
    <t>370000018065284</t>
  </si>
  <si>
    <t>72623822-9</t>
  </si>
  <si>
    <t>2000-12-22 至 无固定期限</t>
  </si>
  <si>
    <t>Shandong Dahai New MATERIALS Co., Ltd.</t>
  </si>
  <si>
    <t>山东大海新材料股份有限公司成立于2000-12-22，法定代表人为王子敏，注册资本为4100万元，统一社会信用代码为91370500726238229N，企业注册地址位于山东省东营市广饶县稻庄镇潍高路288号，所属行业为纺织业，经营范围包含：一般项目：纺纱加工；货物进出口；针纺织品销售；棉、麻销售；高性能纤维及复合材料制造。（除依法须经批准的项目外，凭营业执照依法自主开展经营活动）。企业当前经营状态为在业。</t>
  </si>
  <si>
    <t>一般项目：纺纱加工；货物进出口；针纺织品销售；棉、麻销售；高性能纤维及复合材料制造。（除依法须经批准的项目外，凭营业执照依法自主开展经营活动）</t>
  </si>
  <si>
    <t>东营市市场监督管理局</t>
  </si>
  <si>
    <t>福州港燃油供应有限公司</t>
  </si>
  <si>
    <t>91350100154584846U</t>
  </si>
  <si>
    <t>林斌</t>
  </si>
  <si>
    <t>1996-06-01</t>
  </si>
  <si>
    <t>福建省福州市长乐区航城街道后安村</t>
  </si>
  <si>
    <t>长乐区</t>
  </si>
  <si>
    <t>0591-28651066</t>
  </si>
  <si>
    <t>0591-28203177;18259856777;13960841564;0591-28827100;0591-87528218</t>
  </si>
  <si>
    <t>465486882@qq.com</t>
  </si>
  <si>
    <t>350100100055546</t>
  </si>
  <si>
    <t>15458484-6</t>
  </si>
  <si>
    <t>1996-06-01 至 2026-05-31</t>
  </si>
  <si>
    <t>Fuzhou Port Fuel Supply Co., Ltd.</t>
  </si>
  <si>
    <t>福州港燃油供应有限公司成立于1996-06-01，法定代表人为林斌，注册资本为3000万元，统一社会信用代码为91350100154584846U，企业注册地址位于福建省福州市长乐区航城街道后安村，所属行业为装卸搬运和仓储业，经营范围包含：许可项目：成品油仓储；成品油批发；危险化学品经营；危险化学品仓储。（依法须经批准的项目，经相关部门批准后方可开展经营活动，具体经营项目以相关部门批准文件或许可证件为准）一般项目：润滑油销售；石油制品销售（不含危险化学品）；化工产品销售（不含许可类化工产品）；港口货物装卸搬运活动。（除依法须经批准的项目外，凭营业执照依法自主开展经营活动）。企业当前经营状态为存续。</t>
  </si>
  <si>
    <t>许可项目：成品油仓储；成品油批发；危险化学品经营；危险化学品仓储。（依法须经批准的项目，经相关部门批准后方可开展经营活动，具体经营项目以相关部门批准文件或许可证件为准）一般项目：润滑油销售；石油制品销售（不含危险化学品）；化工产品销售（不含许可类化工产品）；港口货物装卸搬运活动。（除依法须经批准的项目外，凭营业执照依法自主开展经营活动）</t>
  </si>
  <si>
    <t>福州市长乐区市场监督管理局</t>
  </si>
  <si>
    <t>张家港红菠萝园林建筑有限公司</t>
  </si>
  <si>
    <t>91320592MAEPE7Y23U</t>
  </si>
  <si>
    <t>陈素玉</t>
  </si>
  <si>
    <t>2025-07-18</t>
  </si>
  <si>
    <t>张家港市金港街道长江西路339号</t>
  </si>
  <si>
    <t>320592000261342</t>
  </si>
  <si>
    <t>MAEPE7Y2-3</t>
  </si>
  <si>
    <t>2025-07-18 至 无固定期限</t>
  </si>
  <si>
    <t>Zhangjiagang Red Pineapple Garden Construction Co., Ltd.</t>
  </si>
  <si>
    <t>张家港红菠萝园林建筑有限公司成立于2025-07-18，法定代表人为陈素玉，注册资本为500万元，统一社会信用代码为91320592MAEPE7Y23U，企业注册地址位于张家港市金港街道长江西路339号，所属行业为土木工程建筑业，经营范围包含：许可项目：建设工程施工（依法须经批准的项目，经相关部门批准后方可开展经营活动，具体经营项目以审批结果为准）一般项目：园林绿化工程施工；对外承包工程；木材销售；木材收购；建筑材料销售；建筑装饰材料销售；林业产品销售；软木制品销售；日用木制品销售；保温材料销售；防腐材料销售；货物进出口；技术进出口；进出口代理；国内贸易代理；销售代理；互联网销售（除销售需要许可的商品）；木材加工；建筑用木料及木材组件加工；软木制品制造；日用木制品制造（除依法须经批准的项目外，凭营业执照依法自主开展经营活动）。企业当前经营状态为存续。</t>
  </si>
  <si>
    <t>许可项目：建设工程施工（依法须经批准的项目，经相关部门批准后方可开展经营活动，具体经营项目以审批结果为准）一般项目：园林绿化工程施工；对外承包工程；木材销售；木材收购；建筑材料销售；建筑装饰材料销售；林业产品销售；软木制品销售；日用木制品销售；保温材料销售；防腐材料销售；货物进出口；技术进出口；进出口代理；国内贸易代理；销售代理；互联网销售（除销售需要许可的商品）；木材加工；建筑用木料及木材组件加工；软木制品制造；日用木制品制造（除依法须经批准的项目外，凭营业执照依法自主开展经营活动）</t>
  </si>
  <si>
    <t>宁波宁电进出口控股有限公司</t>
  </si>
  <si>
    <t>91330212MAD7T5KR79</t>
  </si>
  <si>
    <t>张祝英</t>
  </si>
  <si>
    <t>2023-12-22</t>
  </si>
  <si>
    <t>浙江省宁波市鄞州区世纪东方商业广场3、5、6号003幢13-3</t>
  </si>
  <si>
    <t>鄞州区</t>
  </si>
  <si>
    <t>0574-87706166</t>
  </si>
  <si>
    <t>330212001503554</t>
  </si>
  <si>
    <t>MAD7T5KR-7</t>
  </si>
  <si>
    <t>2023-12-22 至 无固定期限</t>
  </si>
  <si>
    <t>金融业</t>
  </si>
  <si>
    <t>其他金融业</t>
  </si>
  <si>
    <t>控股公司服务</t>
  </si>
  <si>
    <t>Ningbo Ningdian Import and Export Holdings Co., Ltd.</t>
  </si>
  <si>
    <t>宁波宁电进出口控股有限公司成立于2023-12-22，法定代表人为张祝英，注册资本为1000万元，统一社会信用代码为91330212MAD7T5KR79，企业注册地址位于浙江省宁波市鄞州区世纪东方商业广场3、5、6号003幢13-3，所属行业为其他金融业，经营范围包含：一般项目：控股公司服务；货物进出口；技术进出口；进出口代理；贸易经纪；第二类医疗器械销售；医用口罩批发；日用口罩（非医用）销售；医护人员防护用品批发；特种劳动防护用品销售；劳动保护用品销售；针纺织品及原料销售；服装服饰批发；鞋帽批发；厨具卫具及日用杂品批发；日用百货销售；家用电器销售；文具用品批发；体育用品及器材批发；机械设备销售；汽车零配件批发；畜牧渔业饲料销售；饲料原料销售；饲料添加剂销售；林业产品销售；煤炭及制品销售；母婴用品销售；箱包销售；户外用品销售；玩具、动漫及游艺用品销售；灯具销售；互联网销售（除销售需要许可的商品）；卫生洁具销售；再生资源销售；销售代理（除依法须经批准的项目外，凭营业执照依法自主开展经营活动）。企业当前经营状态为存续。</t>
  </si>
  <si>
    <t>一般项目：控股公司服务；货物进出口；技术进出口；进出口代理；贸易经纪；第二类医疗器械销售；医用口罩批发；日用口罩（非医用）销售；医护人员防护用品批发；特种劳动防护用品销售；劳动保护用品销售；针纺织品及原料销售；服装服饰批发；鞋帽批发；厨具卫具及日用杂品批发；日用百货销售；家用电器销售；文具用品批发；体育用品及器材批发；机械设备销售；汽车零配件批发；畜牧渔业饲料销售；饲料原料销售；饲料添加剂销售；林业产品销售；煤炭及制品销售；母婴用品销售；箱包销售；户外用品销售；玩具、动漫及游艺用品销售；灯具销售；互联网销售（除销售需要许可的商品）；卫生洁具销售；再生资源销售；销售代理（除依法须经批准的项目外，凭营业执照依法自主开展经营活动）。</t>
  </si>
  <si>
    <t>宁波市鄞州区市场监督管理局</t>
  </si>
  <si>
    <t>河南帛信商贸有限公司</t>
  </si>
  <si>
    <t>91411282MAE9Q7RN17</t>
  </si>
  <si>
    <t>2025-01-17</t>
  </si>
  <si>
    <t>河南省三门峡市市辖区经济开发区北环路开发区双创园C座303室</t>
  </si>
  <si>
    <t>411282000168264</t>
  </si>
  <si>
    <t>MAE9Q7RN-1</t>
  </si>
  <si>
    <t>2025-01-17 至 无固定期限</t>
  </si>
  <si>
    <t>Henan Boxin Trading Co., Ltd.</t>
  </si>
  <si>
    <t>河南帛信商贸有限公司成立于2025-01-17，法定代表人为刘菲菲，注册资本为100万元，统一社会信用代码为91411282MAE9Q7RN17，企业注册地址位于河南省三门峡市市辖区经济开发区北环路开发区双创园C座303室，所属行业为批发业，经营范围包含：一般项目：金属矿石销售；非金属矿及制品销售；金属材料销售；稀土功能材料销售；有色金属压延加工；高性能有色金属及合金材料销售；金属制品销售；有色金属合金销售；资源再生利用技术研发；新型金属功能材料销售；供应链管理服务；再生资源回收（除生产性废旧金属）；再生资源加工；再生资源销售（除依法须经批准的项目外，凭营业执照依法自主开展经营活动）。企业当前经营状态为存续。</t>
  </si>
  <si>
    <t>一般项目：金属矿石销售；非金属矿及制品销售；金属材料销售；稀土功能材料销售；有色金属压延加工；高性能有色金属及合金材料销售；金属制品销售；有色金属合金销售；资源再生利用技术研发；新型金属功能材料销售；供应链管理服务；再生资源回收（除生产性废旧金属）；再生资源加工；再生资源销售（除依法须经批准的项目外，凭营业执照依法自主开展经营活动）</t>
  </si>
  <si>
    <t>湖州盈彬大自然木业有限公司</t>
  </si>
  <si>
    <t>91330503732028527Q</t>
  </si>
  <si>
    <t>湖州森奇木业有限公司</t>
  </si>
  <si>
    <t>周东芳</t>
  </si>
  <si>
    <t>2001-09-21</t>
  </si>
  <si>
    <t>浙江省湖州市旧馆镇</t>
  </si>
  <si>
    <t>南浔区</t>
  </si>
  <si>
    <t>0572-3518225</t>
  </si>
  <si>
    <t>13306726999</t>
  </si>
  <si>
    <t>442391880@qq.com</t>
  </si>
  <si>
    <t>330504000035036</t>
  </si>
  <si>
    <t>73202852-7</t>
  </si>
  <si>
    <t>2001-09-21 至 无固定期限</t>
  </si>
  <si>
    <t>Huzhou Yingbin Nature Wood Industry Co., Ltd.</t>
  </si>
  <si>
    <t>湖州盈彬大自然木业有限公司成立于2001-09-21，法定代表人为周东芳，注册资本为600万元，统一社会信用代码为91330503732028527Q，企业注册地址位于浙江省湖州市旧馆镇，所属行业为木材加工和木、竹、藤、棕、草制品业，经营范围包含：制造、加工实木地板、淋漆地板；原木销售；货物及技术的进出口。企业当前经营状态为存续。</t>
  </si>
  <si>
    <t>制造、加工实木地板、淋漆地板；原木销售；货物及技术的进出口。</t>
  </si>
  <si>
    <t>湖州市南浔区市场监督管理局</t>
  </si>
  <si>
    <t>灵宝市星脉矿产品有限责任公司</t>
  </si>
  <si>
    <t>91411282MAEL4YKF65</t>
  </si>
  <si>
    <t>李平丽</t>
  </si>
  <si>
    <t>2025-05-28</t>
  </si>
  <si>
    <t>河南省三门峡市灵宝市尹庄镇新灵东区30号楼一楼3号</t>
  </si>
  <si>
    <t>411282000174391</t>
  </si>
  <si>
    <t>MAEL4YKF-6</t>
  </si>
  <si>
    <t>2025-05-28 至 无固定期限</t>
  </si>
  <si>
    <t>Lingbao Xingmai Mineral Products Co., Ltd.</t>
  </si>
  <si>
    <t>灵宝市星脉矿产品有限责任公司成立于2025-05-28，法定代表人为李平丽，注册资本为100万元，统一社会信用代码为91411282MAEL4YKF65，企业注册地址位于河南省三门峡市灵宝市尹庄镇新灵东区30号楼一楼3号，所属行业为批发业，经营范围包含：一般项目：金属矿石销售；选矿；贵金属冶炼；矿物洗选加工（除稀土、放射性矿产、钨）；矿物洗选加工（除依法须经批准的项目外，凭营业执照依法自主开展经营活动）。企业当前经营状态为存续。</t>
  </si>
  <si>
    <t>一般项目：金属矿石销售；选矿；贵金属冶炼；矿物洗选加工（除稀土、放射性矿产、钨）；矿物洗选加工（除依法须经批准的项目外，凭营业执照依法自主开展经营活动）</t>
  </si>
  <si>
    <t>灵宝市鑫益矿产品有限公司</t>
  </si>
  <si>
    <t>91411282MAEME5BA4P</t>
  </si>
  <si>
    <t>黄琛勐</t>
  </si>
  <si>
    <t>2025-06-09</t>
  </si>
  <si>
    <t>河南省三门峡市灵宝市豫灵镇坡底街幸福楼对面017号</t>
  </si>
  <si>
    <t>411282000174885</t>
  </si>
  <si>
    <t>MAEME5BA-4</t>
  </si>
  <si>
    <t>2025-06-09 至 无固定期限</t>
  </si>
  <si>
    <t>Lingbao Xinyi Mineral Products Co., Ltd.</t>
  </si>
  <si>
    <t>灵宝市鑫益矿产品有限公司成立于2025-06-09，法定代表人为黄琛勐，注册资本为50万元，统一社会信用代码为91411282MAEME5BA4P，企业注册地址位于河南省三门峡市灵宝市豫灵镇坡底街幸福楼对面017号，所属行业为批发业，经营范围包含：一般项目：金属矿石销售；金属材料销售；金属制品销售（除依法须经批准的项目外，凭营业执照依法自主开展经营活动）。企业当前经营状态为存续。</t>
  </si>
  <si>
    <t>灵宝市乾途贸易有限公司</t>
  </si>
  <si>
    <t>91411282MAEQHDTB96</t>
  </si>
  <si>
    <t>许鹏育</t>
  </si>
  <si>
    <t>2025-07-23</t>
  </si>
  <si>
    <t>河南省三门峡市灵宝市苏村乡原坡村巷子组238号</t>
  </si>
  <si>
    <t>411282000177168</t>
  </si>
  <si>
    <t>MAEQHDTB-9</t>
  </si>
  <si>
    <t>2025-07-23 至 无固定期限</t>
  </si>
  <si>
    <t>Lingbao Qiantu Trading Co., Ltd.</t>
  </si>
  <si>
    <t>灵宝市乾途贸易有限公司成立于2025-07-23，法定代表人为许鹏育，注册资本为100万元，统一社会信用代码为91411282MAEQHDTB96，企业注册地址位于河南省三门峡市灵宝市苏村乡原坡村巷子组238号，所属行业为批发业，经营范围包含：一般项目：金属矿石销售；非金属矿及制品销售；选矿；新型金属功能材料销售；高性能有色金属及合金材料销售；高品质特种钢铁材料销售；金属材料销售；日用品销售；水泥制品销售；石棉制品销售；石棉水泥制品销售；建筑材料销售；高性能密封材料销售；劳务服务（不含劳务派遣）；机械设备租赁；工程技术服务（规划管理、勘察、设计、监理除外）；工程管理服务；国内货物运输代理；运输货物打包服务；包装服务；装卸搬运（除依法须经批准的项目外，凭营业执照依法自主开展经营活动）。企业当前经营状态为存续。</t>
  </si>
  <si>
    <t>一般项目：金属矿石销售；非金属矿及制品销售；选矿；新型金属功能材料销售；高性能有色金属及合金材料销售；高品质特种钢铁材料销售；金属材料销售；日用品销售；水泥制品销售；石棉制品销售；石棉水泥制品销售；建筑材料销售；高性能密封材料销售；劳务服务（不含劳务派遣）；机械设备租赁；工程技术服务（规划管理、勘察、设计、监理除外）；工程管理服务；国内货物运输代理；运输货物打包服务；包装服务；装卸搬运（除依法须经批准的项目外，凭营业执照依法自主开展经营活动）</t>
  </si>
  <si>
    <t>张家港市旭盛木材加工有限公司</t>
  </si>
  <si>
    <t>91320582MA1WMWPR5W</t>
  </si>
  <si>
    <t>林爱芬</t>
  </si>
  <si>
    <t>2018-06-04</t>
  </si>
  <si>
    <t>张家港市金港街道南沙港西村（张家港长裕装备有限公司内）2幢-2</t>
  </si>
  <si>
    <t>0512-58370366</t>
  </si>
  <si>
    <t>17706242016;18605018819;18801664533</t>
  </si>
  <si>
    <t>zjgxs@163.com;463594985@qq.com;1085084673@qq.com</t>
  </si>
  <si>
    <t>MA1WMWPR-5</t>
  </si>
  <si>
    <t>2018-06-04 至 无固定期限</t>
  </si>
  <si>
    <t>Zhangjiagang Xusheng Wood Processing Co., Ltd.</t>
  </si>
  <si>
    <t>张家港市旭盛木材加工有限公司成立于2018-06-04，法定代表人为林爱芬，注册资本为100万元，统一社会信用代码为91320582MA1WMWPR5W，企业注册地址位于张家港市金港街道南沙港西村（张家港长裕装备有限公司内）2幢-2，所属行业为木材加工和木、竹、藤、棕、草制品业，经营范围包含：锯板加工；木制品制造、加工、销售；木材、板材、建材、工艺品、家具的购销；古建筑工程设计、施工；自营和代理各类商品及技术的进出口业务。（依法须经批准的项目，经相关部门批准后方可开展经营活动）。企业当前经营状态为在业。</t>
  </si>
  <si>
    <t>锯板加工；木制品制造、加工、销售；木材、板材、建材、工艺品、家具的购销；古建筑工程设计、施工；自营和代理各类商品及技术的进出口业务。（依法须经批准的项目，经相关部门批准后方可开展经营活动）</t>
  </si>
  <si>
    <t>蠡县鸿卓纺织原料有限公司</t>
  </si>
  <si>
    <t>91130635MADA9QPL04</t>
  </si>
  <si>
    <t>崔亚磊</t>
  </si>
  <si>
    <t>2024-02-18</t>
  </si>
  <si>
    <t>河北省保定市蠡县兴业东路123号创智中心</t>
  </si>
  <si>
    <t>17631580100</t>
  </si>
  <si>
    <t>130635000111199</t>
  </si>
  <si>
    <t>MADA9QPL-0</t>
  </si>
  <si>
    <t>2024-02-18 至 无固定期限</t>
  </si>
  <si>
    <t>Lixian Hongzhuo Textile Raw Materials Co., Ltd.</t>
  </si>
  <si>
    <t>蠡县鸿卓纺织原料有限公司成立于2024-02-18，法定代表人为崔亚磊，注册资本为50万元，统一社会信用代码为91130635MADA9QPL04，企业注册地址位于河北省保定市蠡县兴业东路123号创智中心，所属行业为纺织业，经营范围包含：一般项目：针纺织品及原料销售；针纺织品销售；产业用纺织制成品销售。（除依法须经批准的项目外，凭营业执照依法自主开展经营活动）。企业当前经营状态为存续。</t>
  </si>
  <si>
    <t>一般项目：针纺织品及原料销售；针纺织品销售；产业用纺织制成品销售。（除依法须经批准的项目外，凭营业执照依法自主开展经营活动）</t>
  </si>
  <si>
    <t>江阴市福人园林景观工程有限公司</t>
  </si>
  <si>
    <t>91320281MAE9LPMT0Q</t>
  </si>
  <si>
    <t>梁世油</t>
  </si>
  <si>
    <t>2025-01-07</t>
  </si>
  <si>
    <t>江阴市周庄镇光辉路1287号</t>
  </si>
  <si>
    <t>320281001487075</t>
  </si>
  <si>
    <t>MAE9LPMT-0</t>
  </si>
  <si>
    <t>2025-01-07 至 无固定期限</t>
  </si>
  <si>
    <t>Jiangyin Furen Landscape Engineering Co., Ltd.</t>
  </si>
  <si>
    <t>江阴市福人园林景观工程有限公司成立于2025-01-07，法定代表人为梁世油，注册资本为300万元，统一社会信用代码为91320281MAE9LPMT0Q，企业注册地址位于江阴市周庄镇光辉路1287号，所属行业为土木工程建筑业，经营范围包含：许可项目：建设工程施工；建设工程设计（依法须经批准的项目，经相关部门批准后方可开展经营活动，具体经营项目以审批结果为准）一般项目：园林绿化工程施工；城市公园管理；规划设计管理；日用木制品制造；日用木制品销售；建筑用木料及木材组件加工；建筑材料销售；轻质建筑材料销售；建筑装饰材料销售；家具销售；工艺美术品及礼仪用品销售（象牙及其制品除外）；货物进出口；技术进出口；进出口代理（除依法须经批准的项目外，凭营业执照依法自主开展经营活动）。企业当前经营状态为存续。</t>
  </si>
  <si>
    <t>许可项目：建设工程施工；建设工程设计（依法须经批准的项目，经相关部门批准后方可开展经营活动，具体经营项目以审批结果为准）一般项目：园林绿化工程施工；城市公园管理；规划设计管理；日用木制品制造；日用木制品销售；建筑用木料及木材组件加工；建筑材料销售；轻质建筑材料销售；建筑装饰材料销售；家具销售；工艺美术品及礼仪用品销售（象牙及其制品除外）；货物进出口；技术进出口；进出口代理（除依法须经批准的项目外，凭营业执照依法自主开展经营活动）</t>
  </si>
  <si>
    <t>江阴市数据局</t>
  </si>
  <si>
    <t>灵宝市瑾程矿产品有限公司</t>
  </si>
  <si>
    <t>91411282MAEGUMYW91</t>
  </si>
  <si>
    <t>姚梦杰</t>
  </si>
  <si>
    <t>2025-04-11</t>
  </si>
  <si>
    <t>河南省三门峡市灵宝市尹庄镇人民政府院内南楼406号</t>
  </si>
  <si>
    <t>411282000171862</t>
  </si>
  <si>
    <t>MAEGUMYW-9</t>
  </si>
  <si>
    <t>2025-04-11 至 无固定期限</t>
  </si>
  <si>
    <t>Lingbao Jincheng Mineral Products Co., Ltd.</t>
  </si>
  <si>
    <t>灵宝市瑾程矿产品有限公司成立于2025-04-11，法定代表人为姚梦杰，注册资本为50万元，统一社会信用代码为91411282MAEGUMYW91，企业注册地址位于河南省三门峡市灵宝市尹庄镇人民政府院内南楼406号，所属行业为批发业，经营范围包含：一般项目：金属矿石销售；选矿；矿物洗选加工；常用有色金属冶炼；贵金属冶炼；金属材料销售；新型金属功能材料销售；金银制品销售；机械设备租赁；矿山机械销售；金属废料和碎屑加工处理；非金属矿及制品销售；稀有稀土金属冶炼；有色金属合金销售；金属制品销售；有色金属压延加工；金属切削加工服务（除依法须经批准的项目外，凭营业执照依法自主开展经营活动）。企业当前经营状态为存续。</t>
  </si>
  <si>
    <t>一般项目：金属矿石销售；选矿；矿物洗选加工；常用有色金属冶炼；贵金属冶炼；金属材料销售；新型金属功能材料销售；金银制品销售；机械设备租赁；矿山机械销售；金属废料和碎屑加工处理；非金属矿及制品销售；稀有稀土金属冶炼；有色金属合金销售；金属制品销售；有色金属压延加工；金属切削加工服务（除依法须经批准的项目外，凭营业执照依法自主开展经营活动）</t>
  </si>
  <si>
    <t>孚日集团股份有限公司</t>
  </si>
  <si>
    <t>91370700165840155D</t>
  </si>
  <si>
    <t>孚日家纺股份有限公司,
山东洁玉纺织股份有限公司</t>
  </si>
  <si>
    <t>张国华</t>
  </si>
  <si>
    <t>94663.9012万元</t>
  </si>
  <si>
    <t>1999-08-11</t>
  </si>
  <si>
    <t>潍坊高密市孚日街1号</t>
  </si>
  <si>
    <t>4008161988</t>
  </si>
  <si>
    <t>0536-2308125;0536-2308008;15163623556;0536-2308043;4008163939;0536-2891047;0536-2329999;15095226565;0536-5828623</t>
  </si>
  <si>
    <t>shanshuaicn@126.com</t>
  </si>
  <si>
    <t>sunvimskz@163.com;sunvimskz@163.jcom;furigufen@126.com</t>
  </si>
  <si>
    <t>股份有限公司（上市）</t>
  </si>
  <si>
    <t>370000228016476</t>
  </si>
  <si>
    <t>16584015-5</t>
  </si>
  <si>
    <t>7876</t>
  </si>
  <si>
    <t>1999-08-11 至 无固定期限</t>
  </si>
  <si>
    <t>毛巾类制品制造</t>
  </si>
  <si>
    <t>Sunvim Group Co., Ltd.</t>
  </si>
  <si>
    <t>www.sunvim.com</t>
  </si>
  <si>
    <t>孚日集团股份有限公司创立于1987年的孚日集团股份有限公司，秉承“以诚求成、共创共赢”的企业理念，从小到大，从弱到强，迅速发展成为一家以家用纺织品为主导产业，集国内外贸易、化工、电机、热电、水务等多元产业于一体的综合性企业集团,2006年在深圳证券交易所上市。作为一家大型家用纺织品制造商，公司致力于向全球市场提供品质卓越、健康环保的家纺产品，拥有国家级技术中心、实验室和博士后科研工作站，配套完备的中试基地及检测实验室，形成了强大的技术研发能力。公司三大主导产品巾被、床上用品、装饰布艺，均已通过质量、环境、安全健康等系列国际认证，近几年来参与制定了10多项国家行业标准,40多项核心技术获得国家专利，开发出1000多个品种的产品，充分满足了不同消费群体的各种需求。经过三十年的发展，公司形成了领跑行业的技术装备优势，拥有世界一流水平的织造、印染及后整理等各类生产设备，配套热电、自来水等关联企业，形成了研发设计、棉纺加工、家用纺织品制造、国内外销售一体化的完整产业链。凭借优质的产品和良好的信誉，公司与国际主要家纺品牌形成了长期的、全方位、多层次的紧密合作关系，产品出口亚洲、欧洲、美洲、澳洲以及中东等多个国家和地区，在世界家纺市场上建立起良好的声誉。公司依靠多品牌战略布局国内市场，形成了品牌特色鲜明、营销渠道多元的高、中档品牌运营架构，连续多年登上中国品牌价值评价榜。多年来，集团荣获“全国出口商品质量稳定企业”、“中国海关AEO高级认证企业”、“全国精神文明建设工作先进单位”、“全国模范劳动关系和谐企业”、“全国家用纺织品毛巾标准化工作先进单位”、“中华慈善突出贡献奖”等多项荣誉称号。</t>
  </si>
  <si>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</si>
  <si>
    <t>潍坊市市场监督管理局</t>
  </si>
  <si>
    <t>中国诚通商品贸易有限公司</t>
  </si>
  <si>
    <t>91210100117661128Q</t>
  </si>
  <si>
    <t>中国有色金属材料东北公司</t>
  </si>
  <si>
    <t>马德印</t>
  </si>
  <si>
    <t>7027.3万元</t>
  </si>
  <si>
    <t>1992-02-15</t>
  </si>
  <si>
    <t>辽宁省沈阳市和平区和盛巷6甲（2301）</t>
  </si>
  <si>
    <t>和平区</t>
  </si>
  <si>
    <t>024-23797728</t>
  </si>
  <si>
    <t>024-22879616</t>
  </si>
  <si>
    <t>437189615@qq.com</t>
  </si>
  <si>
    <t>963887807@qq.com;983887807@qq.com;96388780@qq.com</t>
  </si>
  <si>
    <t>210100000046191</t>
  </si>
  <si>
    <t>11766112-8</t>
  </si>
  <si>
    <t>66</t>
  </si>
  <si>
    <t>1992-02-15 至 无固定期限</t>
  </si>
  <si>
    <t>China Chengtong Commodity Trading Co., Ltd.</t>
  </si>
  <si>
    <t>中国诚通商品贸易有限公司主营铜、铝、铅、锌、镍、小金属及炉料等有色金属材料及制品、矿产品的批发零售与代购代销以及附着在这些有色金属上的服务。</t>
  </si>
  <si>
    <t>一般项目：金属材料销售；金属制品销售；有色金属合金销售；新型金属功能材料销售；高性能有色金属及合金材料销售；金属矿石销售；非金属矿及制品销售；化工产品销售（不含许可类化工产品）；机械设备销售；电子专用设备销售；建筑材料销售；软件开发；技术服务、技术开发、技术咨询、技术交流、技术转让、技术推广；会议及展览服务；货物进出口；技术进出口；进出口代理；国内货物运输代理；生产性废旧金属回收；再生资源销售。（除依法须经批准的项目外，凭营业执照依法自主开展经营活动）许可项目：第二类增值电信业务。（依法须经批准的项目，经相关部门批准后方可开展经营活动，具体经营项目以相关部门批准文件或许可证件为准）</t>
  </si>
  <si>
    <t>沈阳市和平区市场监督管理局</t>
  </si>
  <si>
    <t>山东淄矿物产有限公司</t>
  </si>
  <si>
    <t>91370300668083969Y</t>
  </si>
  <si>
    <t>山东淄矿煤炭运销有限公司,
淄博淄矿煤炭运销有限公司</t>
  </si>
  <si>
    <t>43000万元</t>
  </si>
  <si>
    <t>2007-11-01</t>
  </si>
  <si>
    <t>山东省淄博市淄川区钟楼街道双山路东段（一照多址）</t>
  </si>
  <si>
    <t>淄川区</t>
  </si>
  <si>
    <t>0533-5858833</t>
  </si>
  <si>
    <t>0533-5851621</t>
  </si>
  <si>
    <t>sdzkwcyxgs@shandong-energy.com</t>
  </si>
  <si>
    <t>zbzkyxgs@163.com;zbzkmtyxgs@163.com</t>
  </si>
  <si>
    <t>370300018517424</t>
  </si>
  <si>
    <t>66808396-9</t>
  </si>
  <si>
    <t>77</t>
  </si>
  <si>
    <t>2007-11-01 至 2027-10-31</t>
  </si>
  <si>
    <t>煤炭及制品批发</t>
  </si>
  <si>
    <t>Shandong Zikuang MATERIALS Industry Co., Ltd.</t>
  </si>
  <si>
    <t>山东淄矿物产有限公司成立于2007-11-01，法定代表人为王震，注册资本为43000万元，统一社会信用代码为91370300668083969Y，企业注册地址位于山东省淄博市淄川区钟楼街道双山路东段（一照多址），所属行业为批发业，经营范围包含：一般项目：煤炭及制品销售；煤炭洗选；石油制品销售（不含危险化学品）；金属材料销售；金属结构销售；建筑材料销售；水泥制品销售；电池销售；有色金属合金销售；高性能有色金属及合金材料销售；化工产品销售（不含许可类化工产品）；专用化学产品销售（不含危险化学品）；肥料销售；合成材料销售；非金属矿及制品销售；金属矿石销售；金属制品销售；润滑油销售；矿物洗选加工；橡胶制品销售；塑料制品销售；机械设备销售；机械电气设备销售；电气设备销售；新能源汽车整车销售；电子产品销售；木材销售；农副产品销售；国内货物运输代理；道路货物运输站经营；成品油仓储（不含危险化学品）；运输货物打包服务；普通货物仓储服务（不含危险化学品等需许可审批的项目）；电子过磅服务；装卸搬运；再生资源回收（除生产性废旧金属）；再生资源销售；信息咨询服务（不含许可类信息咨询服务）；新材料技术推广服务；劳务服务（不含劳务派遣）；非居住房地产租赁；住房租赁；石墨及碳素制品销售；新能源原动设备销售；软木制品销售；矿山机械销售；泵及真空设备销售；发电机及发电机组销售；木制容器销售；机动车充电销售；软件销售；水上运输设备零配件销售；铁路运输设备销售；光纤销售；石灰和石膏销售；金属链条及其他金属制品销售；铸造机械销售；太阳能热发电产品销售；铸造用造型材料销售；建筑用金属配件销售；信息安全设备销售；管道运输设备销售；金属工具销售；物料搬运装备销售；新型金属功能材料销售；玻璃仪器销售；高速精密齿轮传动装置销售；安防设备销售；智能仓储装备销售；机械零件、零部件销售；建筑工程用机械销售；建筑陶瓷制品销售；工程塑料及合成树脂销售；光缆销售；仪器仪表销售；铁路专用测量或检验仪器销售；铁路运输基础设备销售；电子元器件与机电组件设备销售；电子专用材料销售；通讯设备销售；消防器材销售；新型陶瓷材料销售；合成纤维销售；建筑用钢筋产品销售；电工仪器仪表销售；光学玻璃销售；电子专用设备销售；智能仪器仪表销售；电力设施器材销售；电子测量仪器销售；耐火材料销售；货物进出口；特种陶瓷制品销售；汽车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</si>
  <si>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一般项目：煤炭及制品销售；煤炭洗选；石油制品销售（不含危险化学品）；金属材料销售；金属结构销售；建筑材料销售；水泥制品销售；电池销售；有色金属合金销售；高性能有色金属及合金材料销售；化工产品销售（不含许可类化工产品）；专用化学产品销售（不含危险化学品）；肥料销售；合成材料销售；非金属矿及制品销售；金属矿石销售；金属制品销售；润滑油销售；矿物洗选加工；橡胶制品销售；塑料制品销售；机械设备销售；机械电气设备销售；电气设备销售；新能源汽车整车销售；电子产品销售；木材销售；农副产品销售；国内货物运输代理；道路货物运输站经营；成品油仓储（不含危险化学品）；运输货物打包服务；普通货物仓储服务（不含危险化学品等需许可审批的项目）；电子过磅服务；装卸搬运；再生资源回收（除生产性废旧金属）；再生资源销售；信息咨询服务（不含许可类信息咨询服务）；新材料技术推广服务；劳务服务（不含劳务派遣）；非居住房地产租赁；住房租赁；石墨及碳素制品销售；新能源原动设备销售；软木制品销售；矿山机械销售；泵及真空设备销售；发电机及发电机组销售；木制容器销售；机动车充电销售；软件销售；水上运输设备零配件销售；铁路运输设备销售；光纤销售；石灰和石膏销售；金属链条及其他金属制品销售；铸造机械销售；太阳能热发电产品销售；铸造用造型材料销售；建筑用金属配件销售；信息安全设备销售；管道运输设备销售；金属工具销售；物料搬运装备销售；新型金属功能材料销售；玻璃仪器销售；高速精密齿轮传动装置销售；安防设备销售；智能仓储装备销售；机械零件、零部件销售；建筑工程用机械销售；建筑陶瓷制品销售；工程塑料及合成树脂销售；光缆销售；仪器仪表销售；铁路专用测量或检验仪器销售；铁路运输基础设备销售；电子元器件与机电组件设备销售；电子专用材料销售；通讯设备销售；消防器材销售；新型陶瓷材料销售；合成纤维销售；建筑用钢筋产品销售；电工仪器仪表销售；光学玻璃销售；电子专用设备销售；智能仪器仪表销售；电力设施器材销售；电子测量仪器销售；耐火材料销售；货物进出口；特种陶瓷制品销售；汽车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</si>
  <si>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淄博市市场监督管理局</t>
  </si>
  <si>
    <t>灵宝市铂锐矿产品有限公司</t>
  </si>
  <si>
    <t>91411282MAEGUMJ872</t>
  </si>
  <si>
    <t>井玉龙</t>
  </si>
  <si>
    <t>河南省三门峡市灵宝市豫灵镇中州路15号</t>
  </si>
  <si>
    <t>411282000171854</t>
  </si>
  <si>
    <t>MAEGUMJ8-7</t>
  </si>
  <si>
    <t>Lingbao Bairui Mineral Products Co., Ltd.</t>
  </si>
  <si>
    <t>灵宝市铂锐矿产品有限公司成立于2025-04-11，法定代表人为井玉龙，注册资本为50万元，统一社会信用代码为91411282MAEGUMJ872，企业注册地址位于河南省三门峡市灵宝市豫灵镇中州路15号，所属行业为批发业，经营范围包含：一般项目：金属矿石销售；选矿；矿物洗选加工；常用有色金属冶炼；贵金属冶炼；金属材料销售；新型金属功能材料销售；金银制品销售；机械设备租赁；矿山机械销售；金属废料和碎屑加工处理；非金属矿及制品销售；稀有稀土金属冶炼；有色金属合金销售；金属制品销售；有色金属压延加工；金属切削加工服务（除依法须经批准的项目外，凭营业执照依法自主开展经营活动）。企业当前经营状态为存续。</t>
  </si>
  <si>
    <t>张家港工优纺织有限公司</t>
  </si>
  <si>
    <t>91320582MAC35BEC6C</t>
  </si>
  <si>
    <t>王世林</t>
  </si>
  <si>
    <t>80万元</t>
  </si>
  <si>
    <t>2022-11-03</t>
  </si>
  <si>
    <t>江苏省苏州市张家港市塘桥镇周巷村3组19号</t>
  </si>
  <si>
    <t>0512-58288387</t>
  </si>
  <si>
    <t>858656281@qq.com</t>
  </si>
  <si>
    <t>320582000829167</t>
  </si>
  <si>
    <t>MAC35BEC-6</t>
  </si>
  <si>
    <t>2022-11-03 至 无固定期限</t>
  </si>
  <si>
    <t>Zhangjiagang Gongyou Textile Co., Ltd.</t>
  </si>
  <si>
    <t>塘桥镇玉景天筑11幢M204</t>
  </si>
  <si>
    <t>张家港工优纺织有限公司成立于2022-11-03，法定代表人为王世林，注册资本为80万元，统一社会信用代码为91320582MAC35BEC6C，企业注册地址位于江苏省苏州市张家港市塘桥镇周巷村3组19号，所属行业为纺织业，经营范围包含：一般项目：面料纺织加工；针纺织品及原料销售（除依法须经批准的项目外，凭营业执照依法自主开展经营活动）。企业当前经营状态为存续。</t>
  </si>
  <si>
    <t>一般项目：面料纺织加工；针纺织品及原料销售（除依法须经批准的项目外，凭营业执照依法自主开展经营活动）</t>
  </si>
  <si>
    <t>山东宏业纺织股份有限公司</t>
  </si>
  <si>
    <t>91370126728610610Y</t>
  </si>
  <si>
    <t>李希波</t>
  </si>
  <si>
    <t>5161万元</t>
  </si>
  <si>
    <t>5160.99万元</t>
  </si>
  <si>
    <t>2000-05-19</t>
  </si>
  <si>
    <t>济南市商河县贾庄镇商业街44号</t>
  </si>
  <si>
    <t>商河县</t>
  </si>
  <si>
    <t>0531-84817688</t>
  </si>
  <si>
    <t>0531-84816988;0531-84819788</t>
  </si>
  <si>
    <t>hongyecaiwu@126.com</t>
  </si>
  <si>
    <t>hongeycaiwu@126.com</t>
  </si>
  <si>
    <t>370000018060946</t>
  </si>
  <si>
    <t>72861061-0</t>
  </si>
  <si>
    <t>742</t>
  </si>
  <si>
    <t>2000-05-19 至 无固定期限</t>
  </si>
  <si>
    <t>Shandong Hongye Textile Co., Ltd.</t>
  </si>
  <si>
    <t>山东宏业纺织股份有限公司成立于2000-05-19，法定代表人为李希波，注册资本为5161万元，统一社会信用代码为91370126728610610Y，企业注册地址位于济南市商河县贾庄镇商业街44号，所属行业为纺织业，经营范围包含：一般项目：纺纱加工；面料纺织加工；针纺织品销售；针纺织品及原料销售；包装材料及制品销售；服装制造；纺织专用设备销售；技术服务、技术开发、技术咨询、技术交流、技术转让、技术推广；服装服饰零售；服装辅料销售；机械零件、零部件销售。（除依法须经批准的项目外，凭营业执照依法自主开展经营活动）许可项目：货物进出口；道路货物运输（不含危险货物）。（依法须经批准的项目，经相关部门批准后方可开展经营活动，具体经营项目以相关部门批准文件或许可证件为准）。企业当前经营状态为在业。</t>
  </si>
  <si>
    <t>一般项目：纺纱加工；面料纺织加工；针纺织品销售；针纺织品及原料销售；包装材料及制品销售；服装制造；纺织专用设备销售；技术服务、技术开发、技术咨询、技术交流、技术转让、技术推广；服装服饰零售；服装辅料销售；机械零件、零部件销售。（除依法须经批准的项目外，凭营业执照依法自主开展经营活动）许可项目：货物进出口；道路货物运输（不含危险货物）。（依法须经批准的项目，经相关部门批准后方可开展经营活动，具体经营项目以相关部门批准文件或许可证件为准）</t>
  </si>
  <si>
    <t>商河县市场监督管理局</t>
  </si>
  <si>
    <t>三门峡汇盛铜业有限公司</t>
  </si>
  <si>
    <t>91411200MA9FQME325</t>
  </si>
  <si>
    <t>张保祥</t>
  </si>
  <si>
    <t>2020-09-18</t>
  </si>
  <si>
    <t>河南省三门峡市城乡一体化示范区310国道与天门路交叉口东南角2号（中裕燃气正对面）</t>
  </si>
  <si>
    <t>陕州区</t>
  </si>
  <si>
    <t>0398-3838889</t>
  </si>
  <si>
    <t>980198259@qq.com</t>
  </si>
  <si>
    <t>798662128@qq.com;740589274@qq.com</t>
  </si>
  <si>
    <t>411292000013647</t>
  </si>
  <si>
    <t>MA9FQME3-2</t>
  </si>
  <si>
    <t>2020-09-18 至 无固定期限</t>
  </si>
  <si>
    <t>Sanmenxia Huisheng Copper Industry Co., Ltd.</t>
  </si>
  <si>
    <t>三门峡汇盛铜业有限公司成立于2020-09-18，法定代表人为张保祥，注册资本为2000万元，统一社会信用代码为91411200MA9FQME325，企业注册地址位于河南省三门峡市城乡一体化示范区310国道与天门路交叉口东南角2号（中裕燃气正对面），所属行业为有色金属冶炼和压延加工业，经营范围包含：一般项目：有色金属压延加工；有色金属铸造；新材料技术研发；新材料技术推广服务；有色金属合金制造；有色金属合金销售；高性能有色金属及合金材料销售；金属制品销售；金属制品研发；金属材料制造；金属材料销售；再生资源回收（除生产性废旧金属）；再生资源加工；再生资源销售；生产性废旧金属回收（除依法须经批准的项目外，凭营业执照依法自主开展经营活动）。企业当前经营状态为存续。</t>
  </si>
  <si>
    <t>一般项目：有色金属压延加工；有色金属铸造；新材料技术研发；新材料技术推广服务；有色金属合金制造；有色金属合金销售；高性能有色金属及合金材料销售；金属制品销售；金属制品研发；金属材料制造；金属材料销售；再生资源回收（除生产性废旧金属）；再生资源加工；再生资源销售；生产性废旧金属回收（除依法须经批准的项目外，凭营业执照依法自主开展经营活动）</t>
  </si>
  <si>
    <t>三门峡市市场监督管理局城乡一体化示范区分局</t>
  </si>
  <si>
    <t>南通隆高纺织科技有限公司</t>
  </si>
  <si>
    <t>91320682MA1NGH7J34</t>
  </si>
  <si>
    <t>尹文祥</t>
  </si>
  <si>
    <t>2017-03-03</t>
  </si>
  <si>
    <t>如皋市长江镇通江路8号</t>
  </si>
  <si>
    <t>13646194981</t>
  </si>
  <si>
    <t>eazxxgh@126.com</t>
  </si>
  <si>
    <t>320682000467947</t>
  </si>
  <si>
    <t>MA1NGH7J-3</t>
  </si>
  <si>
    <t>2017-03-03 至 无固定期限</t>
  </si>
  <si>
    <t>工程和技术研究和试验发展</t>
  </si>
  <si>
    <t>Nantong Longgao Textile Technology Co., Ltd.</t>
  </si>
  <si>
    <t>南通隆高纺织科技有限公司成立于2017-03-03，法定代表人为尹文祥，注册资本为100万元，统一社会信用代码为91320682MA1NGH7J34，企业注册地址位于如皋市长江镇通江路8号，所属行业为研究和试验发展，经营范围包含：纺织的技术研究；花式纱线加工、销售；棉花、棉纱、毛条、混纺纱、服装销售。（依法须经批准的项目，经相关部门批准后方可开展经营活动）。企业当前经营状态为在业。</t>
  </si>
  <si>
    <t>纺织的技术研究；花式纱线加工、销售；棉花、棉纱、毛条、混纺纱、服装销售。（依法须经批准的项目，经相关部门批准后方可开展经营活动）</t>
  </si>
  <si>
    <t>河南鑫虎矿业有限公司</t>
  </si>
  <si>
    <t>91411200MAEEDK0Y90</t>
  </si>
  <si>
    <t>许军虎</t>
  </si>
  <si>
    <t>2025-03-24</t>
  </si>
  <si>
    <t>河南省三门峡市经济开发区北环路开发区双创园C座301室</t>
  </si>
  <si>
    <t>411291000039355</t>
  </si>
  <si>
    <t>MAEEDK0Y-9</t>
  </si>
  <si>
    <t>2025-03-24 至 无固定期限</t>
  </si>
  <si>
    <t>Henan Xinhu Mining Co., Ltd.</t>
  </si>
  <si>
    <t>河南鑫虎矿业有限公司成立于2025-03-24，法定代表人为许军虎，注册资本为100万元，统一社会信用代码为91411200MAEEDK0Y90，企业注册地址位于河南省三门峡市经济开发区北环路开发区双创园C座301室，所属行业为批发业，经营范围包含：一般项目：金属矿石销售；非金属矿及制品销售；选矿；金属材料销售；有色金属压延加工；贵金属冶炼；稀有稀土金属冶炼；金属废料和碎屑加工处理；非金属废料和碎屑加工处理；常用有色金属冶炼；有色金属合金销售；再生资源回收（除生产性废旧金属）；再生资源加工；再生资源销售（除依法须经批准的项目外，凭营业执照依法自主开展经营活动）。企业当前经营状态为存续。</t>
  </si>
  <si>
    <t>一般项目：金属矿石销售；非金属矿及制品销售；选矿；金属材料销售；有色金属压延加工；贵金属冶炼；稀有稀土金属冶炼；金属废料和碎屑加工处理；非金属废料和碎屑加工处理；常用有色金属冶炼；有色金属合金销售；再生资源回收（除生产性废旧金属）；再生资源加工；再生资源销售（除依法须经批准的项目外，凭营业执照依法自主开展经营活动）</t>
  </si>
  <si>
    <t>灵宝欣辉矿产品有限公司</t>
  </si>
  <si>
    <t>91411282MAG0PJ928A</t>
  </si>
  <si>
    <t>郭辉辉</t>
  </si>
  <si>
    <t>2025-09-26</t>
  </si>
  <si>
    <t>河南省三门峡市灵宝市鼎鑫嘉苑1幢1单元2503号</t>
  </si>
  <si>
    <t>411282000180461</t>
  </si>
  <si>
    <t>MAG0PJ92-8</t>
  </si>
  <si>
    <t>2025-09-26 至 无固定期限</t>
  </si>
  <si>
    <t>Lingbao Xinhui Mineral Products Co., Ltd.</t>
  </si>
  <si>
    <t>灵宝欣辉矿产品有限公司成立于2025-09-26，法定代表人为郭辉辉，注册资本为100万元，统一社会信用代码为91411282MAG0PJ928A，企业注册地址位于河南省三门峡市灵宝市鼎鑫嘉苑1幢1单元2503号，所属行业为批发业，经营范围包含：一般项目：金属矿石销售；非金属矿及制品销售；高性能有色金属及合金材料销售；有色金属合金销售（除依法须经批准的项目外，凭营业执照依法自主开展经营活动）。企业当前经营状态为存续。</t>
  </si>
  <si>
    <t>一般项目：金属矿石销售；非金属矿及制品销售；高性能有色金属及合金材料销售；有色金属合金销售（除依法须经批准的项目外，凭营业执照依法自主开展经营活动）</t>
  </si>
  <si>
    <t>河南耀龙兴金属材料有限公司</t>
  </si>
  <si>
    <t>91410329MADFWEUC6K</t>
  </si>
  <si>
    <t>孟玉龙</t>
  </si>
  <si>
    <t>2024-03-26</t>
  </si>
  <si>
    <t>河南省洛阳市伊川县鸣皋镇万沟村一组南街东5号一楼</t>
  </si>
  <si>
    <t>伊川县</t>
  </si>
  <si>
    <t>13137058889</t>
  </si>
  <si>
    <t>1061829335@qq.com</t>
  </si>
  <si>
    <t>410329000216352</t>
  </si>
  <si>
    <t>MADFWEUC-6</t>
  </si>
  <si>
    <t>2024-03-26 至 无固定期限</t>
  </si>
  <si>
    <t>Henan Yaolongxing Metal Materials Co., Ltd.</t>
  </si>
  <si>
    <t>河南耀龙兴金属材料有限公司成立于2024-03-26，法定代表人为孟玉龙，注册资本为300万元，统一社会信用代码为91410329MADFWEUC6K，企业注册地址位于河南省洛阳市伊川县鸣皋镇万沟村一组南街东5号一楼，所属行业为有色金属冶炼和压延加工业，经营范围包含：一般项目：有色金属合金制造；金属材料制造；有色金属压延加工；金属切削加工服务；金属表面处理及热处理加工；日用玻璃制品制造；金属废料和碎屑加工处理；生产性废旧金属回收；资源再生利用技术研发；再生资源销售；金属制品销售；高性能有色金属及合金材料销售；环境保护专用设备销售；有色金属合金销售；金属材料销售；金属矿石销售；技术服务、技术开发、技术咨询、技术交流、技术转让、技术推广（除依法须经批准的项目外，凭营业执照依法自主开展经营活动）。企业当前经营状态为存续。</t>
  </si>
  <si>
    <t>一般项目：有色金属合金制造；金属材料制造；有色金属压延加工；金属切削加工服务；金属表面处理及热处理加工；日用玻璃制品制造；金属废料和碎屑加工处理；生产性废旧金属回收；资源再生利用技术研发；再生资源销售；金属制品销售；高性能有色金属及合金材料销售；环境保护专用设备销售；有色金属合金销售；金属材料销售；金属矿石销售；技术服务、技术开发、技术咨询、技术交流、技术转让、技术推广（除依法须经批准的项目外，凭营业执照依法自主开展经营活动）</t>
  </si>
  <si>
    <t>伊川县市场监督管理局</t>
  </si>
  <si>
    <t>湖北铂族贵金属有限公司</t>
  </si>
  <si>
    <t>91420281MACBH3DY07</t>
  </si>
  <si>
    <t>曹汉华</t>
  </si>
  <si>
    <t>2023-03-22</t>
  </si>
  <si>
    <t>大冶市罗家桥街道长乐大道2号联润商贸城21号楼1-7号（申报承诺）</t>
  </si>
  <si>
    <t>18071855532</t>
  </si>
  <si>
    <t>13986608339</t>
  </si>
  <si>
    <t>18071855532@qq.com</t>
  </si>
  <si>
    <t>420281210009651</t>
  </si>
  <si>
    <t>MACBH3DY-0</t>
  </si>
  <si>
    <t>2023-03-22 至 无固定期限</t>
  </si>
  <si>
    <t>贵金属压延加工</t>
  </si>
  <si>
    <t>Hubei Platinum Group Precious Metals Co., Ltd.</t>
  </si>
  <si>
    <t>湖北铂族贵金属有限公司成立于2023-03-22，法定代表人为曹汉华，注册资本为50万元，统一社会信用代码为91420281MACBH3DY07，企业注册地址位于大冶市罗家桥街道长乐大道2号联润商贸城21号楼1-7号（申报承诺），所属行业为有色金属冶炼和压延加工业，经营范围包含：一般项目 : 贵金属冶炼（除稀土、放射性矿产、钨）;珠宝首饰批发;珠宝首饰零售;常用有色金属冶炼;黑色金属铸造;生产性废旧金属回收;建筑材料销售;太阳能热利用产品销售;寄卖服务;二手车经纪;普通货物仓储服务（不含危险化学品等需许可审批的项目）;有色金属合金销售;金属废料和碎屑加工处理;家用电器销售;日用百货销售;农副产品销售;互联网销售（除销售需要许可的商品）;初级农产品收购;货物进出口;选矿;再生资源销售;环境保护专用设备销售;非金属矿及制品销售。（除许可业务外，可自主依法经营法律法规非禁止或限制的项目）许可项目 : 报废机动车拆解;报废电动汽车回收拆解;游艺娱乐活动;废弃电器电子产品处理;海关监管货物仓储服务（不含危险化学品、危险货物）;在线数据处理与交易处理业务（经营类电子商务）。（依法须经批准的项目，经相关部门批准后方可开展经营活动，具体经营项目以相关部门批准文件或许可证件为准）。企业当前经营状态为存续。</t>
  </si>
  <si>
    <t>一般项目 : 贵金属冶炼（除稀土、放射性矿产、钨）;珠宝首饰批发;珠宝首饰零售;常用有色金属冶炼;黑色金属铸造;生产性废旧金属回收;建筑材料销售;太阳能热利用产品销售;寄卖服务;二手车经纪;普通货物仓储服务（不含危险化学品等需许可审批的项目）;有色金属合金销售;金属废料和碎屑加工处理;家用电器销售;日用百货销售;农副产品销售;互联网销售（除销售需要许可的商品）;初级农产品收购;货物进出口;选矿;再生资源销售;环境保护专用设备销售;非金属矿及制品销售。（除许可业务外，可自主依法经营法律法规非禁止或限制的项目）许可项目 : 报废机动车拆解;报废电动汽车回收拆解;游艺娱乐活动;废弃电器电子产品处理;海关监管货物仓储服务（不含危险化学品、危险货物）;在线数据处理与交易处理业务（经营类电子商务）。（依法须经批准的项目，经相关部门批准后方可开展经营活动，具体经营项目以相关部门批准文件或许可证件为准）</t>
  </si>
  <si>
    <t>济源远金贵金属有限公司</t>
  </si>
  <si>
    <t>91419001MADRRAWJ9U</t>
  </si>
  <si>
    <t>马川</t>
  </si>
  <si>
    <t>2024-07-15</t>
  </si>
  <si>
    <t>河南省济源市北海办事处济渎路商务内街东15-25号</t>
  </si>
  <si>
    <t>17276389823</t>
  </si>
  <si>
    <t>17276389823@163.com</t>
  </si>
  <si>
    <t>MADRRAWJ-9</t>
  </si>
  <si>
    <t>2024-07-15 至 无固定期限</t>
  </si>
  <si>
    <t>Jiyuan Yuanjin Precious Metals Co., Ltd.</t>
  </si>
  <si>
    <t>济源远金贵金属有限公司成立于2024-07-15，法定代表人为马川，注册资本为100万元，统一社会信用代码为91419001MADRRAWJ9U，企业注册地址位于河南省济源市北海办事处济渎路商务内街东15-25号，所属行业为批发业，经营范围包含：一般项目：金属矿石销售；金属材料销售；金属制品销售；金属废料和碎屑加工处理；再生资源回收（除生产性废旧金属）（除依法须经批准的项目外，凭营业执照依法自主开展经营活动）。企业当前经营状态为存续。</t>
  </si>
  <si>
    <t>灵宝广源贸易有限公司</t>
  </si>
  <si>
    <t>91411282MA9NGEYD2L</t>
  </si>
  <si>
    <t>注销（2025-10-21）</t>
  </si>
  <si>
    <t>杜层楞</t>
  </si>
  <si>
    <t>2023-01-29</t>
  </si>
  <si>
    <t>河南省三门峡市灵宝市尹庄镇天基茂业2317室</t>
  </si>
  <si>
    <t>13346920552</t>
  </si>
  <si>
    <t>13346920552@163.com</t>
  </si>
  <si>
    <t>411282000123668</t>
  </si>
  <si>
    <t>MA9NGEYD-2</t>
  </si>
  <si>
    <t>2023-01-29 至 无固定期限</t>
  </si>
  <si>
    <t>Lingbao Guangyuan Trading Co., Ltd.</t>
  </si>
  <si>
    <t>河南省三门峡市灵宝市城关镇开元大道19号</t>
  </si>
  <si>
    <t>灵宝广源贸易有限公司成立于2023-01-29，法定代表人为杜层楞，注册资本为150万元，统一社会信用代码为91411282MA9NGEYD2L，企业注册地址位于河南省三门峡市灵宝市尹庄镇天基茂业2317室，所属行业为批发业，经营范围包含：一般项目：金属矿石销售；金属材料销售；水泥制品销售；建筑材料销售；地板销售；石棉制品销售；农业园艺服务；园林绿化工程施工；日用品销售；五金产品零售；建筑用石加工；劳务服务（不含劳务派遣）；装卸搬运（除依法须经批准的项目外，凭营业执照依法自主开展经营活动）。企业当前经营状态为注销。</t>
  </si>
  <si>
    <t>一般项目：金属矿石销售；金属材料销售；水泥制品销售；建筑材料销售；地板销售；石棉制品销售；农业园艺服务；园林绿化工程施工；日用品销售；五金产品零售；建筑用石加工；劳务服务（不含劳务派遣）；装卸搬运（除依法须经批准的项目外，凭营业执照依法自主开展经营活动）</t>
  </si>
  <si>
    <t>灵宝市程鑫矿产品有限公司</t>
  </si>
  <si>
    <t>91411282MAEB50A38K</t>
  </si>
  <si>
    <t>常随平</t>
  </si>
  <si>
    <t>2025-02-19</t>
  </si>
  <si>
    <t>河南省三门峡市灵宝市豫灵镇坡底街豫西加油站对面016号</t>
  </si>
  <si>
    <t>411282000169423</t>
  </si>
  <si>
    <t>MAEB50A3-8</t>
  </si>
  <si>
    <t>2025-02-19 至 无固定期限</t>
  </si>
  <si>
    <t>Lingbao Chengxin Mineral Products Co., Ltd.</t>
  </si>
  <si>
    <t>灵宝市程鑫矿产品有限公司成立于2025-02-19，法定代表人为常随平，注册资本为50万元，统一社会信用代码为91411282MAEB50A38K，企业注册地址位于河南省三门峡市灵宝市豫灵镇坡底街豫西加油站对面016号，所属行业为批发业，经营范围包含：一般项目：金属矿石销售；金属材料销售；金属制品销售（除依法须经批准的项目外，凭营业执照依法自主开展经营活动）。企业当前经营状态为存续。</t>
  </si>
  <si>
    <t>灵宝市金耀矿产品有限公司</t>
  </si>
  <si>
    <t>91411282MA9LC8NC4W</t>
  </si>
  <si>
    <t>杜艳东</t>
  </si>
  <si>
    <t>河南省三门峡市灵宝市豫灵镇麻庄村310国道边</t>
  </si>
  <si>
    <t>13639822202</t>
  </si>
  <si>
    <t>13639822202@163.com</t>
  </si>
  <si>
    <t>411282000113469</t>
  </si>
  <si>
    <t>MA9LC8NC-4</t>
  </si>
  <si>
    <t>Lingbao Jinyao Mineral Products Co., Ltd.</t>
  </si>
  <si>
    <t>灵宝市金耀矿产品有限公司成立于2022-06-07，法定代表人为杜艳东，注册资本为50万元，统一社会信用代码为91411282MA9LC8NC4W，企业注册地址位于河南省三门峡市灵宝市豫灵镇麻庄村310国道边，所属行业为批发业，经营范围包含：一般项目：金属矿石销售；金属废料和碎屑加工处理；普通货物仓储服务（不含危险化学品等需许可审批的项目）（除依法须经批准的项目外，凭营业执照依法自主开展经营活动）。企业当前经营状态为存续。</t>
  </si>
  <si>
    <t>一般项目：金属矿石销售；金属废料和碎屑加工处理；普通货物仓储服务（不含危险化学品等需许可审批的项目）（除依法须经批准的项目外，凭营业执照依法自主开展经营活动）</t>
  </si>
  <si>
    <t>灵宝市锦昇昌矿产品有限责任公司</t>
  </si>
  <si>
    <t>91411282MAE9T93452</t>
  </si>
  <si>
    <t>宜志良</t>
  </si>
  <si>
    <t>2025-02-12</t>
  </si>
  <si>
    <t>河南省三门峡市灵宝市天宝路郭氏花苑1号楼1001号</t>
  </si>
  <si>
    <t>411282000169128</t>
  </si>
  <si>
    <t>MAE9T934-5</t>
  </si>
  <si>
    <t>2025-02-12 至 无固定期限</t>
  </si>
  <si>
    <t>Lingbao Jinshengchang Mineral Products Co., Ltd.</t>
  </si>
  <si>
    <t>灵宝市锦昇昌矿产品有限责任公司成立于2025-02-12，法定代表人为宜志良，注册资本为500万元，统一社会信用代码为91411282MAE9T93452，企业注册地址位于河南省三门峡市灵宝市天宝路郭氏花苑1号楼1001号，所属行业为批发业，经营范围包含：一般项目：金属矿石销售；金属制品销售；金属材料销售；有色金属合金销售；高性能有色金属及合金材料销售；非金属矿及制品销售；货物进出口；化工产品销售（不含许可类化工产品）；再生资源销售（除依法须经批准的项目外，凭营业执照依法自主开展经营活动）。企业当前经营状态为存续。</t>
  </si>
  <si>
    <t>一般项目：金属矿石销售；金属制品销售；金属材料销售；有色金属合金销售；高性能有色金属及合金材料销售；非金属矿及制品销售；货物进出口；化工产品销售（不含许可类化工产品）；再生资源销售（除依法须经批准的项目外，凭营业执照依法自主开展经营活动）</t>
  </si>
  <si>
    <t>灵宝市鑫隆晟贸易有限公司</t>
  </si>
  <si>
    <t>91411282MAEA377J7F</t>
  </si>
  <si>
    <t>张志明</t>
  </si>
  <si>
    <t>2025-01-23</t>
  </si>
  <si>
    <t>河南省三门峡市灵宝市尹庄镇天基茂业3号楼2单元1406号</t>
  </si>
  <si>
    <t>411282000168553</t>
  </si>
  <si>
    <t>MAEA377J-7</t>
  </si>
  <si>
    <t>2025-01-23 至 无固定期限</t>
  </si>
  <si>
    <t>Lingbao Xinlongsheng Trading Co., Ltd.</t>
  </si>
  <si>
    <t>灵宝市鑫隆晟贸易有限公司成立于2025-01-23，法定代表人为张志明，注册资本为100万元，统一社会信用代码为91411282MAEA377J7F，企业注册地址位于河南省三门峡市灵宝市尹庄镇天基茂业3号楼2单元1406号，所属行业为批发业，经营范围包含：一般项目：金属矿石销售；选矿；非金属矿及制品销售；新型金属功能材料销售；高性能有色金属及合金材料销售；金属材料销售；新型陶瓷材料销售；日用品销售；水泥制品销售；石棉水泥制品销售；建筑材料销售；劳务服务（不含劳务派遣）；工程技术服务（规划管理、勘察、设计、监理除外）；工程管理服务；国内货物运输代理；运输货物打包服务；包装服务；装卸搬运（除依法须经批准的项目外，凭营业执照依法自主开展经营活动）。企业当前经营状态为存续。</t>
  </si>
  <si>
    <t>一般项目：金属矿石销售；选矿；非金属矿及制品销售；新型金属功能材料销售；高性能有色金属及合金材料销售；金属材料销售；新型陶瓷材料销售；日用品销售；水泥制品销售；石棉水泥制品销售；建筑材料销售；劳务服务（不含劳务派遣）；工程技术服务（规划管理、勘察、设计、监理除外）；工程管理服务；国内货物运输代理；运输货物打包服务；包装服务；装卸搬运（除依法须经批准的项目外，凭营业执照依法自主开展经营活动）</t>
  </si>
  <si>
    <t>灵宝卓傲矿业有限公司</t>
  </si>
  <si>
    <t>91411282MAEET0JA6C</t>
  </si>
  <si>
    <t>张立祥</t>
  </si>
  <si>
    <t>2025-03-20</t>
  </si>
  <si>
    <t>河南省三门峡市灵宝市阳平镇程村村二组145号</t>
  </si>
  <si>
    <t>411282000170513</t>
  </si>
  <si>
    <t>MAEET0JA-6</t>
  </si>
  <si>
    <t>2025-03-20 至 无固定期限</t>
  </si>
  <si>
    <t>Lingbao Zhuoao Mining Co., Ltd.</t>
  </si>
  <si>
    <t>灵宝卓傲矿业有限公司成立于2025-03-20，法定代表人为张立祥，注册资本为100万元，统一社会信用代码为91411282MAEET0JA6C，企业注册地址位于河南省三门峡市灵宝市阳平镇程村村二组145号，所属行业为批发业，经营范围包含：一般项目：金属矿石销售；金属材料销售；建筑材料销售；矿山机械销售；非金属矿及制品销售；有色金属合金销售；金属制品销售；常用有色金属冶炼；有色金属压延加工；选矿；技术服务、技术开发、技术咨询、技术交流、技术转让、技术推广；普通货物仓储服务（不含危险化学品等需许可审批的项目）；装卸搬运；劳务服务（不含劳务派遣）（除依法须经批准的项目外，凭营业执照依法自主开展经营活动）。企业当前经营状态为存续。</t>
  </si>
  <si>
    <t>一般项目：金属矿石销售；金属材料销售；建筑材料销售；矿山机械销售；非金属矿及制品销售；有色金属合金销售；金属制品销售；常用有色金属冶炼；有色金属压延加工；选矿；技术服务、技术开发、技术咨询、技术交流、技术转让、技术推广；普通货物仓储服务（不含危险化学品等需许可审批的项目）；装卸搬运；劳务服务（不含劳务派遣）（除依法须经批准的项目外，凭营业执照依法自主开展经营活动）</t>
  </si>
  <si>
    <t>三门峡诚汇矿业有限公司</t>
  </si>
  <si>
    <t>91411200MAEF1EDL4H</t>
  </si>
  <si>
    <t>赵东兴</t>
  </si>
  <si>
    <t>2025-03-26</t>
  </si>
  <si>
    <t>河南省三门峡市经济开发区北环路开发区双创园C座310室</t>
  </si>
  <si>
    <t>411291000039398</t>
  </si>
  <si>
    <t>MAEF1EDL-4</t>
  </si>
  <si>
    <t>2025-03-26 至 无固定期限</t>
  </si>
  <si>
    <t>Sanmenxia Chenghui Mining Co., Ltd.</t>
  </si>
  <si>
    <t>三门峡诚汇矿业有限公司成立于2025-03-26，法定代表人为赵东兴，注册资本为100万元，统一社会信用代码为91411200MAEF1EDL4H，企业注册地址位于河南省三门峡市经济开发区北环路开发区双创园C座310室，所属行业为批发业，经营范围包含：一般项目：金属矿石销售；非金属矿及制品销售；选矿；新型金属功能材料销售；金属材料销售；贵金属冶炼；金属废料和碎屑加工处理；高性能有色金属及合金材料销售；非金属废料和碎屑加工处理；有色金属压延加工；有色金属合金销售；稀有稀土金属冶炼；再生资源销售；再生资源加工；再生资源回收（除生产性废旧金属）；矿产资源储量评估服务（除依法须经批准的项目外，凭营业执照依法自主开展经营活动）。企业当前经营状态为存续。</t>
  </si>
  <si>
    <t>一般项目：金属矿石销售；非金属矿及制品销售；选矿；新型金属功能材料销售；金属材料销售；贵金属冶炼；金属废料和碎屑加工处理；高性能有色金属及合金材料销售；非金属废料和碎屑加工处理；有色金属压延加工；有色金属合金销售；稀有稀土金属冶炼；再生资源销售；再生资源加工；再生资源回收（除生产性废旧金属）；矿产资源储量评估服务（除依法须经批准的项目外，凭营业执照依法自主开展经营活动）</t>
  </si>
  <si>
    <t>三门峡银鑫矿业有限公司</t>
  </si>
  <si>
    <t>91411200MAERXUNK9K</t>
  </si>
  <si>
    <t>杜银岗</t>
  </si>
  <si>
    <t>2025-08-05</t>
  </si>
  <si>
    <t>河南省三门峡市经济开发区北环路开发区双创园C座319室</t>
  </si>
  <si>
    <t>411291000040370</t>
  </si>
  <si>
    <t>MAERXUNK-9</t>
  </si>
  <si>
    <t>2025-08-05 至 无固定期限</t>
  </si>
  <si>
    <t>Sanmenxia Yinxin Mining Co., Ltd.</t>
  </si>
  <si>
    <t>三门峡银鑫矿业有限公司成立于2025-08-05，法定代表人为杜银岗，注册资本为100万元，统一社会信用代码为91411200MAERXUNK9K，企业注册地址位于河南省三门峡市经济开发区北环路开发区双创园C座319室，所属行业为批发业，经营范围包含：一般项目：金属矿石销售；贵金属冶炼；金属废料和碎屑加工处理；非金属废料和碎屑加工处理；非金属矿及制品销售；常用有色金属冶炼；选矿；有色金属合金销售；稀有稀土金属冶炼；新型金属功能材料销售；金属材料销售；有色金属压延加工（除依法须经批准的项目外，凭营业执照依法自主开展经营活动）。企业当前经营状态为存续。</t>
  </si>
  <si>
    <t>一般项目：金属矿石销售；贵金属冶炼；金属废料和碎屑加工处理；非金属废料和碎屑加工处理；非金属矿及制品销售；常用有色金属冶炼；选矿；有色金属合金销售；稀有稀土金属冶炼；新型金属功能材料销售；金属材料销售；有色金属压延加工（除依法须经批准的项目外，凭营业执照依法自主开展经营活动）</t>
  </si>
  <si>
    <t>桐乡市亿宏绢纺有限责任公司</t>
  </si>
  <si>
    <t>913304837195915189</t>
  </si>
  <si>
    <t>陆君</t>
  </si>
  <si>
    <t>5800万元</t>
  </si>
  <si>
    <t>2750.96万元</t>
  </si>
  <si>
    <t>1999-12-24</t>
  </si>
  <si>
    <t>浙江省嘉兴市桐乡市河山镇五泾工业区</t>
  </si>
  <si>
    <t>13967378522</t>
  </si>
  <si>
    <t>0573-88680007;0573-88688831;13605838808;0573-88678808</t>
  </si>
  <si>
    <t>635853356@qq.com</t>
  </si>
  <si>
    <t>330483000006608</t>
  </si>
  <si>
    <t>71959151-8</t>
  </si>
  <si>
    <t>181</t>
  </si>
  <si>
    <t>1999-12-24 至 无固定期限</t>
  </si>
  <si>
    <t>绢纺和丝织加工</t>
  </si>
  <si>
    <t>Tongxiang YIHONG Spun SILK Spinning Co., Ltd.</t>
  </si>
  <si>
    <t>桐乡市亿宏绢纺有限责任公司成立于1999-12-24，法定代表人为陆君，注册资本为5800万元，统一社会信用代码为913304837195915189，企业注册地址位于浙江省嘉兴市桐乡市河山镇五泾工业区，所属行业为纺织业，经营范围包含：一般项目：纺纱加工；面料纺织加工；面料印染加工；家用纺织制成品制造；服装制造；服饰制造；货物进出口；技术进出口；总质量4.5吨及以下普通货运车辆道路货物运输（除网络货运和危险货物）（除依法须经批准的项目外，凭营业执照依法自主开展经营活动）。企业当前经营状态为存续。</t>
  </si>
  <si>
    <t>一般项目：纺纱加工；面料纺织加工；面料印染加工；家用纺织制成品制造；服装制造；服饰制造；货物进出口；技术进出口；总质量4.5吨及以下普通货运车辆道路货物运输（除网络货运和危险货物）（除依法须经批准的项目外，凭营业执照依法自主开展经营活动）。</t>
  </si>
  <si>
    <t>张家港保税区新乐毛纺织造有限公司</t>
  </si>
  <si>
    <t>913205927855924713</t>
  </si>
  <si>
    <t>施建生</t>
  </si>
  <si>
    <t>8163.27万元</t>
  </si>
  <si>
    <t>2006-03-27</t>
  </si>
  <si>
    <t>张家港保税区港澳路</t>
  </si>
  <si>
    <t>0512-58327608</t>
  </si>
  <si>
    <t>0512-58517299;0512-58517298</t>
  </si>
  <si>
    <t>xiangyang@xinlewool.cn</t>
  </si>
  <si>
    <t>550115072@qq.com;qcr@xinlewool.cn;zlp@xinlewool.cn</t>
  </si>
  <si>
    <t>320592000025324</t>
  </si>
  <si>
    <t>78559247-1</t>
  </si>
  <si>
    <t>2006-03-27 至 无固定期限</t>
  </si>
  <si>
    <t>Zhangjiagang Free Trade Zone Xinle Wool Weaving Co., Ltd.</t>
  </si>
  <si>
    <t>张家港保税区新乐毛纺织造有限公司成立于2006-03-27，法定代表人为施建生，注册资本为8163.27万元，统一社会信用代码为913205927855924713，企业注册地址位于张家港保税区港澳路，所属行业为纺织业，经营范围包含：毛纱织造；自营和代理各类商品的进出口业务（国家限定公司经营或禁止进出口的商品除外），毛条、纺织原料及产品、有色金属、化工原料（危险化学品除外）的购销，转口贸易，国内保税区企业间的贸易，与区外有进出口经营权企业间的贸易，与贸易有关的代理业务，设备租赁。（依法须经批准的项目，经相关部门批准后方可开展经营活动）。企业当前经营状态为存续。</t>
  </si>
  <si>
    <t>毛纱织造；自营和代理各类商品的进出口业务（国家限定公司经营或禁止进出口的商品除外），毛条、纺织原料及产品、有色金属、化工原料（危险化学品除外）的购销，转口贸易，国内保税区企业间的贸易，与区外有进出口经营权企业间的贸易，与贸易有关的代理业务，设备租赁。（依法须经批准的项目，经相关部门批准后方可开展经营活动）</t>
  </si>
  <si>
    <t>江阴市胡杨毛纺有限公司</t>
  </si>
  <si>
    <t>913202810879935189</t>
  </si>
  <si>
    <t>钱诚</t>
  </si>
  <si>
    <t>2014-02-26</t>
  </si>
  <si>
    <t>江阴市顾山镇解放村小河口38号</t>
  </si>
  <si>
    <t>15961690852</t>
  </si>
  <si>
    <t>15961623987</t>
  </si>
  <si>
    <t>405881071@qq.com</t>
  </si>
  <si>
    <t>320281000440679</t>
  </si>
  <si>
    <t>08799351-8</t>
  </si>
  <si>
    <t>2014-02-26 至 2034-02-25</t>
  </si>
  <si>
    <t>Jiangyin Huyang Woolen Textile Co., Ltd.</t>
  </si>
  <si>
    <t>江阴市胡杨毛纺有限公司成立于2014-02-26，法定代表人为钱诚，注册资本为500万元，统一社会信用代码为913202810879935189，企业注册地址位于江阴市顾山镇解放村小河口38号，所属行业为纺织业，经营范围包含：一般项目：针纺织品及原料销售；针纺织品销售；纺织、服装及家庭用品批发；家用纺织制成品制造；面料纺织加工；服装辅料销售；产业用纺织制成品销售；产业用纺织制成品生产；纺纱加工；纤维素纤维原料及纤维制造；国内贸易代理（除依法须经批准的项目外，凭营业执照依法自主开展经营活动）。企业当前经营状态为在业。</t>
  </si>
  <si>
    <t>一般项目：针纺织品及原料销售；针纺织品销售；纺织、服装及家庭用品批发；家用纺织制成品制造；面料纺织加工；服装辅料销售；产业用纺织制成品销售；产业用纺织制成品生产；纺纱加工；纤维素纤维原料及纤维制造；国内贸易代理（除依法须经批准的项目外，凭营业执照依法自主开展经营活动）</t>
  </si>
  <si>
    <t>江苏巨佰羊毛制品有限公司</t>
  </si>
  <si>
    <t>913206923545680077</t>
  </si>
  <si>
    <t>毛正荣</t>
  </si>
  <si>
    <t>8800万元</t>
  </si>
  <si>
    <t>7882.88万元</t>
  </si>
  <si>
    <t>2015-08-31</t>
  </si>
  <si>
    <t>江苏省通州湾江海联动开发示范区东安科技园区江明路与海明路交叉西北侧</t>
  </si>
  <si>
    <t>通州区</t>
  </si>
  <si>
    <t>0513-84221222</t>
  </si>
  <si>
    <t>13806269809</t>
  </si>
  <si>
    <t>m15962901226@163.com</t>
  </si>
  <si>
    <t>320683000463638</t>
  </si>
  <si>
    <t>35456800-7</t>
  </si>
  <si>
    <t>2015-08-31 至 无固定期限</t>
  </si>
  <si>
    <t>Jiangsu Glant Wool Products Co., Ltd.</t>
  </si>
  <si>
    <t>江苏巨佰羊毛制品有限公司成立于2015-08-31，法定代表人为毛正荣，注册资本为8800万元，统一社会信用代码为913206923545680077，企业注册地址位于江苏省通州湾江海联动开发示范区东安科技园区江明路与海明路交叉西北侧，所属行业为皮革、毛皮、羽毛及其制品和制鞋业，经营范围包含：羊毛制品生产、加工、销售；贸易代理；自营和代理各类商品及技术的进出口业务（国家限定企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企业当前经营状态为存续。</t>
  </si>
  <si>
    <t>羊毛制品生产、加工、销售；贸易代理；自营和代理各类商品及技术的进出口业务（国家限定企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</si>
  <si>
    <t>江苏省通州湾江海联动开发示范区行政审批局</t>
  </si>
  <si>
    <t>常州市毛条厂有限公司</t>
  </si>
  <si>
    <t>91320400137164372X</t>
  </si>
  <si>
    <t>常州市羊毛衫厂</t>
  </si>
  <si>
    <t>周惠中</t>
  </si>
  <si>
    <t>625万元</t>
  </si>
  <si>
    <t>1979-01-15</t>
  </si>
  <si>
    <t>常州市天宁区采华路3号</t>
  </si>
  <si>
    <t>0519-88819170</t>
  </si>
  <si>
    <t>czmtc@sohu.com</t>
  </si>
  <si>
    <t>320400400021775</t>
  </si>
  <si>
    <t>13716437-2</t>
  </si>
  <si>
    <t>54</t>
  </si>
  <si>
    <t>1979-01-15 至 无固定期限</t>
  </si>
  <si>
    <t>Changzhou TOP MILL Co., Ltd.</t>
  </si>
  <si>
    <t>www.czmt.com</t>
  </si>
  <si>
    <t>常州市毛条厂有限公司成立于1979-01-15，法定代表人为周惠中，注册资本为625万元，统一社会信用代码为91320400137164372X，企业注册地址位于常州市天宁区采华路3号，所属行业为纺织业，经营范围包含：毛纺织品、毛线、毛条制造加工、毛染整，纺织品、服装、服饰生产，销售生产产品。（毛纺除外）（依法须经批准的项目，经相关部门批准后方可开展经营活动）。企业当前经营状态为存续。</t>
  </si>
  <si>
    <t>毛纺织品、毛线、毛条制造加工、毛染整，纺织品、服装、服饰生产，销售生产产品。（毛纺除外）（依法须经批准的项目，经相关部门批准后方可开展经营活动）</t>
  </si>
  <si>
    <t>常州市市场监督管理局</t>
  </si>
  <si>
    <t>常州市裕洋物资有限公司江阴毛条制造分公司</t>
  </si>
  <si>
    <t>91320281730115862J</t>
  </si>
  <si>
    <t>肖锦文</t>
  </si>
  <si>
    <t>2001-07-25</t>
  </si>
  <si>
    <t>江阴市周庄镇长寿长啸路177号</t>
  </si>
  <si>
    <t>0510-86401705</t>
  </si>
  <si>
    <t>13915206817@163.com</t>
  </si>
  <si>
    <t>13921244816@163.com</t>
  </si>
  <si>
    <t>320281000196169</t>
  </si>
  <si>
    <t>73011586-2</t>
  </si>
  <si>
    <t>41</t>
  </si>
  <si>
    <t>2001-07-25 至 无固定期限</t>
  </si>
  <si>
    <t>Changzhou Yuyang Materials Co., Ltd. Jiangyin Wool Top Manufacturing Branch</t>
  </si>
  <si>
    <t>常州市裕洋物资有限公司江阴毛条制造分公司成立于2001-07-25，负责人为肖锦文，统一社会信用代码为91320281730115862J，企业注册地址位于江阴市周庄镇长寿长啸路177号，所属行业为纺织业，经营范围包含：许可项目：发电业务、输电业务、供（配）电业务（依法须经批准的项目，经相关部门批准后方可开展经营活动，具体经营项目以审批结果为准）一般项目：面料纺织加工；针纺织品及原料销售；货物进出口；技术进出口（除依法须经批准的项目外，凭营业执照依法自主开展经营活动）。企业当前经营状态为存续。</t>
  </si>
  <si>
    <t>许可项目：发电业务、输电业务、供（配）电业务（依法须经批准的项目，经相关部门批准后方可开展经营活动，具体经营项目以审批结果为准）一般项目：面料纺织加工；针纺织品及原料销售；货物进出口；技术进出口（除依法须经批准的项目外，凭营业执照依法自主开展经营活动）</t>
  </si>
  <si>
    <t>川能（海南）国际实业发展有限公司</t>
  </si>
  <si>
    <t>91469036MA5TUJE31R</t>
  </si>
  <si>
    <t>陈光明</t>
  </si>
  <si>
    <t>海南省海口市江东新区兴洋大道181号205室-1350</t>
  </si>
  <si>
    <t>海口市</t>
  </si>
  <si>
    <t>美兰区</t>
  </si>
  <si>
    <t>zhgl@chuannengguoji.com</t>
  </si>
  <si>
    <t>MA5TUJE3-1</t>
  </si>
  <si>
    <t>2021-01-19 至 无固定期限</t>
  </si>
  <si>
    <t>Chuanneng (Hainan) International Industrial Development Co., Ltd.</t>
  </si>
  <si>
    <t>海南省海口市秀英区绿地新海岸1号楼10楼</t>
  </si>
  <si>
    <t>川能（海南）国际实业发展有限公司成立于2021-01-19，法定代表人为陈光明，注册资本为45000万元，统一社会信用代码为91469036MA5TUJE31R，企业注册地址位于海南省海口市江东新区兴洋大道181号205室-1350，所属行业为批发业，经营范围包含：许可项目：食品互联网销售；食品经营（销售散装食品）；进出口代理；危险化学品经营；成品油批发；燃气经营；货物进出口；技术进出口；道路货物运输（不含危险货物）；房地产开发经营；检验检测服务；食品销售；药品批发；药品进出口；兽药经营；酒类经营；计算机信息系统安全专用产品销售；艺术品进出口；粮食收购（依法须经批准的项目，经相关部门批准后方可开展经营活动）一般项目：金属结构销售；金属矿石销售；建筑材料销售；水泥制品制造；金银制品销售；电工器材销售；电力设施器材销售；电力电子元器件销售；发电机及发电机组销售；电子产品销售；特种设备销售；机械设备销售；消防器材销售；第一类医疗器械销售；第二类医疗器械销售；农副产品销售；林业产品销售；饲料原料销售；畜牧渔业饲料销售；肥料销售；成品油仓储（不含危险化学品）；互联网销售（除销售需要许可的商品）；人工智能硬件销售；非居住房地产租赁；机械设备租赁；国内贸易代理；供应链管理服务；成品油批发（不含危险化学品）；石油制品销售（不含危险化学品）；橡胶制品销售；煤炭及制品销售；炼焦；非金属矿及制品销售；金属制品销售；新型金属功能材料销售；金属材料销售；润滑油销售；化工产品销售（不含许可类化工产品）；普通货物仓储服务（不含危险化学品等需许可审批的项目）；国内货物运输代理；技术服务、技术开发、技术咨询、技术交流、技术转让、技术推广；信息咨询服务（不含许可类信息咨询服务）；光伏设备及元器件销售；半导体器件专用设备销售；光伏发电设备租赁；机械电气设备销售；电子专用材料销售；皮革制品销售；电子元器件批发；建筑装饰材料销售；电线、电缆经营；环境保护专用设备销售；食用农产品批发；食用农产品零售；宠物食品及用品零售；宠物食品及用品批发；电动自行车销售；汽车销售；新能源汽车整车销售；摩托车及零配件批发；汽车零配件批发；汽车零配件零售；冶金专用设备销售；针纺织品销售；针纺织品及原料销售；化妆品批发；卫生用品和一次性使用医疗用品销售；化肥销售；地产中草药（不含中药饮片）购销；农副食品加工专用设备销售；初级农产品收购；航空国际货物运输代理；农业机械销售；新鲜水果批发；豆及薯类销售；谷物销售；粮油仓储服务；医护人员防护用品批发；水上运输设备销售；航空运输设备销售；电气设备销售；生态环境材料销售；包装材料及制品销售；玻璃纤维增强塑料制品销售；纸制品销售；制浆和造纸专用设备销售。企业当前经营状态为存续。</t>
  </si>
  <si>
    <t>许可项目：食品互联网销售；食品经营（销售散装食品）；进出口代理；危险化学品经营；成品油批发；燃气经营；货物进出口；技术进出口；道路货物运输（不含危险货物）；房地产开发经营；检验检测服务；食品销售；药品批发；药品进出口；兽药经营；酒类经营；计算机信息系统安全专用产品销售；艺术品进出口；粮食收购（依法须经批准的项目，经相关部门批准后方可开展经营活动）一般项目：金属结构销售；金属矿石销售；建筑材料销售；水泥制品制造；金银制品销售；电工器材销售；电力设施器材销售；电力电子元器件销售；发电机及发电机组销售；电子产品销售；特种设备销售；机械设备销售；消防器材销售；第一类医疗器械销售；第二类医疗器械销售；农副产品销售；林业产品销售；饲料原料销售；畜牧渔业饲料销售；肥料销售；成品油仓储（不含危险化学品）；互联网销售（除销售需要许可的商品）；人工智能硬件销售；非居住房地产租赁；机械设备租赁；国内贸易代理；供应链管理服务；成品油批发（不含危险化学品）；石油制品销售（不含危险化学品）；橡胶制品销售；煤炭及制品销售；炼焦；非金属矿及制品销售；金属制品销售；新型金属功能材料销售；金属材料销售；润滑油销售；化工产品销售（不含许可类化工产品）；普通货物仓储服务（不含危险化学品等需许可审批的项目）；国内货物运输代理；技术服务、技术开发、技术咨询、技术交流、技术转让、技术推广；信息咨询服务（不含许可类信息咨询服务）；光伏设备及元器件销售；半导体器件专用设备销售；光伏发电设备租赁；机械电气设备销售；电子专用材料销售；皮革制品销售；电子元器件批发；建筑装饰材料销售；电线、电缆经营；环境保护专用设备销售；食用农产品批发；食用农产品零售；宠物食品及用品零售；宠物食品及用品批发；电动自行车销售；汽车销售；新能源汽车整车销售；摩托车及零配件批发；汽车零配件批发；汽车零配件零售；冶金专用设备销售；针纺织品销售；针纺织品及原料销售；化妆品批发；卫生用品和一次性使用医疗用品销售；化肥销售；地产中草药（不含中药饮片）购销；农副食品加工专用设备销售；初级农产品收购；航空国际货物运输代理；农业机械销售；新鲜水果批发；豆及薯类销售；谷物销售；粮油仓储服务；医护人员防护用品批发；水上运输设备销售；航空运输设备销售；电气设备销售；生态环境材料销售；包装材料及制品销售；玻璃纤维增强塑料制品销售；纸制品销售；制浆和造纸专用设备销售</t>
  </si>
  <si>
    <t>山金瑞鹏（天津）贸易有限公司</t>
  </si>
  <si>
    <t>91120116MA06W2MD98</t>
  </si>
  <si>
    <t>冀国庆</t>
  </si>
  <si>
    <t>14000万元</t>
  </si>
  <si>
    <t>2019-11-14</t>
  </si>
  <si>
    <t>天津市滨海新区中新天津生态城中天大道1620号科技园研发大厦裙楼4层418室</t>
  </si>
  <si>
    <t>18648158666</t>
  </si>
  <si>
    <t>18004706909;15048372927;18847633661</t>
  </si>
  <si>
    <t>1292735759@qq.com</t>
  </si>
  <si>
    <t>444676499@qq.com;niuxiaoyan@sd-gold.com;929276149@qq.com</t>
  </si>
  <si>
    <t>MA06W2MD-9</t>
  </si>
  <si>
    <t>2019-11-14 至 无固定期限</t>
  </si>
  <si>
    <t>Shanjin Ruipeng (TIANJIN) Trading Co., Ltd.</t>
  </si>
  <si>
    <t>山金瑞鹏（天津）贸易有限公司成立于2019-11-14，法定代表人为冀国庆，注册资本为14000万元，统一社会信用代码为91120116MA06W2MD98，企业注册地址位于天津市滨海新区中新天津生态城中天大道1620号科技园研发大厦裙楼4层418室，所属行业为批发业，经营范围包含：一般项目：金属矿石销售；高性能有色金属及合金材料销售；有色金属合金销售；新型金属功能材料销售；金属链条及其他金属制品销售；金属材料销售；金属制品销售；金银制品销售；非金属矿及制品销售；煤炭及制品销售；化工产品销售（不含许可类化工产品）；石油制品销售（不含危险化学品）；成品油批发（不含危险化学品）；橡胶制品销售；棉、麻销售；棉花收购；林业产品销售；木材销售；饲料原料销售；农副产品销售；豆及薯类销售；谷物销售；再生资源销售；供应链管理服务；国内贸易代理；货物进出口；技术进出口；进出口代理；离岸贸易经营。（除依法须经批准的项目外，凭营业执照依法自主开展经营活动）。企业当前经营状态为存续。</t>
  </si>
  <si>
    <t>一般项目：金属矿石销售；高性能有色金属及合金材料销售；有色金属合金销售；新型金属功能材料销售；金属链条及其他金属制品销售；金属材料销售；金属制品销售；金银制品销售；非金属矿及制品销售；煤炭及制品销售；化工产品销售（不含许可类化工产品）；石油制品销售（不含危险化学品）；成品油批发（不含危险化学品）；橡胶制品销售；棉、麻销售；棉花收购；林业产品销售；木材销售；饲料原料销售；农副产品销售；豆及薯类销售；谷物销售；再生资源销售；供应链管理服务；国内贸易代理；货物进出口；技术进出口；进出口代理；离岸贸易经营。（除依法须经批准的项目外，凭营业执照依法自主开展经营活动）</t>
  </si>
  <si>
    <t>中新天津生态城市场监督管理局</t>
  </si>
  <si>
    <t>山金国城（青岛）实业有限公司</t>
  </si>
  <si>
    <t>91370211MA7NHY5K1K</t>
  </si>
  <si>
    <t>李锐</t>
  </si>
  <si>
    <t>2022-04-08</t>
  </si>
  <si>
    <t>山东省青岛市黄岛区（原开发区漓江西路877号海投大厦内1栋办公1111户）</t>
  </si>
  <si>
    <t>0532-81110561</t>
  </si>
  <si>
    <t>0532-67786251</t>
  </si>
  <si>
    <t>guochengqdgs@sd-gold.com</t>
  </si>
  <si>
    <t>370211231545687</t>
  </si>
  <si>
    <t>MA7NHY5K-1</t>
  </si>
  <si>
    <t>52</t>
  </si>
  <si>
    <t>2022-04-08 至 无固定期限</t>
  </si>
  <si>
    <t>Shanjin Guocheng (Qingdao) Industrial Co., Ltd.</t>
  </si>
  <si>
    <t>山金国城（青岛）实业有限公司成立于2022-04-08，法定代表人为李锐，注册资本为20000万元，统一社会信用代码为91370211MA7NHY5K1K，企业注册地址位于山东省青岛市黄岛区（原开发区漓江西路877号海投大厦内1栋办公1111户），所属行业为批发业，经营范围包含：一般项目：货物进出口；有色金属合金销售；高性能有色金属及合金材料销售；金属材料销售；金银制品销售；金属矿石销售；非金属矿及制品销售；金属链条及其他金属制品销售；机床功能部件及附件销售；锻件及粉末冶金制品销售；合成材料销售；化工产品销售（不含许可类化工产品）；石油制品销售（不含危险化学品）；煤炭及制品销售；食品销售（仅销售预包装食品）；食用农产品批发；初级农产品收购；供应链管理服务；机械设备销售；贸易经纪；国内贸易代理；橡胶制品销售；高品质合成橡胶销售；技术进出口；工业机器人制造；人工智能基础软件开发；企业管理咨询；信息咨询服务（不含许可类信息咨询服务）。（除依法须经批准的项目外，凭营业执照依法自主开展经营活动）。企业当前经营状态为在业。</t>
  </si>
  <si>
    <t>一般项目：货物进出口；有色金属合金销售；高性能有色金属及合金材料销售；金属材料销售；金银制品销售；金属矿石销售；非金属矿及制品销售；金属链条及其他金属制品销售；机床功能部件及附件销售；锻件及粉末冶金制品销售；合成材料销售；化工产品销售（不含许可类化工产品）；石油制品销售（不含危险化学品）；煤炭及制品销售；食品销售（仅销售预包装食品）；食用农产品批发；初级农产品收购；供应链管理服务；机械设备销售；贸易经纪；国内贸易代理；橡胶制品销售；高品质合成橡胶销售；技术进出口；工业机器人制造；人工智能基础软件开发；企业管理咨询；信息咨询服务（不含许可类信息咨询服务）。（除依法须经批准的项目外，凭营业执照依法自主开展经营活动）</t>
  </si>
  <si>
    <t>三门峡国轩矿产品有限公司</t>
  </si>
  <si>
    <t>91411282MA9NPU0Y0R</t>
  </si>
  <si>
    <t>苏志波</t>
  </si>
  <si>
    <t>2023-03-03</t>
  </si>
  <si>
    <t>河南省三门峡市灵宝市五亩乡五亩街89号</t>
  </si>
  <si>
    <t>13513881609</t>
  </si>
  <si>
    <t>13513881609@139.com</t>
  </si>
  <si>
    <t>MA9NPU0Y-0</t>
  </si>
  <si>
    <t>2023-03-03 至 无固定期限</t>
  </si>
  <si>
    <t>Sanmenxia Guoxuan Mineral Products Co., Ltd.</t>
  </si>
  <si>
    <t>三门峡国轩矿产品有限公司成立于2023-03-03，法定代表人为苏志波，注册资本为800万元，统一社会信用代码为91411282MA9NPU0Y0R，企业注册地址位于河南省三门峡市灵宝市五亩乡五亩街89号，所属行业为批发业，经营范围包含：一般项目：金属矿石销售；金银制品销售；有色金属合金销售；国内贸易代理；贸易经纪；销售代理；珠宝首饰零售；珠宝首饰回收修理服务；珠宝首饰批发；矿产资源储量评估服务；再生资源销售；信息咨询服务（不含许可类信息咨询服务）（除依法须经批准的项目外，凭营业执照依法自主开展经营活动）。企业当前经营状态为存续。</t>
  </si>
  <si>
    <t>一般项目：金属矿石销售；金银制品销售；有色金属合金销售；国内贸易代理；贸易经纪；销售代理；珠宝首饰零售；珠宝首饰回收修理服务；珠宝首饰批发；矿产资源储量评估服务；再生资源销售；信息咨询服务（不含许可类信息咨询服务）（除依法须经批准的项目外，凭营业执照依法自主开展经营活动）</t>
  </si>
  <si>
    <t>灵宝黄金集团股份有限公司</t>
  </si>
  <si>
    <t>91410000742545894R</t>
  </si>
  <si>
    <t>灵宝黄金股份有限公司</t>
  </si>
  <si>
    <t>陈建正</t>
  </si>
  <si>
    <t>25739.5211万元</t>
  </si>
  <si>
    <t>2002-09-27</t>
  </si>
  <si>
    <t>河南省灵宝市函谷路与荆山路交叉口</t>
  </si>
  <si>
    <t>0398-8860166</t>
  </si>
  <si>
    <t>0398-8862200;0398-8862788</t>
  </si>
  <si>
    <t>zqflb@lbgold.com</t>
  </si>
  <si>
    <t>lbgold@lbgold.com;lingbaogold@vip.sina.com</t>
  </si>
  <si>
    <t>股份有限公司（上市、外商投资企业投资）</t>
  </si>
  <si>
    <t>410000100052353</t>
  </si>
  <si>
    <t>74254589-4</t>
  </si>
  <si>
    <t>2952</t>
  </si>
  <si>
    <t>2002-09-27 至 无固定期限</t>
  </si>
  <si>
    <t>金冶炼</t>
  </si>
  <si>
    <t>Lingbao Gold Group Company Ltd.</t>
  </si>
  <si>
    <t>www.lbgold.com</t>
  </si>
  <si>
    <t>灵宝黄金股份有限公司（简称“灵宝黄金”或“公司”）是一家中国香港主板上市公司（股票代码：03330）。公司是以黄金及其伴生元素的勘探、采选、冶炼、精炼及铜产品深加工为主营业务的综合性黄金企业。公司是上海黄金交易所综合类会员，是该交易所认可的标准金锭生产企业；被河南省政府确定为2011年度“百强企业”；是2010年度中国黄金销售收入十大企业、2010年度中国黄金矿产金十大企业、2010年度中国黄金经济效益十佳企业、2010年度中国黄金冶炼叁大企业之一。灵宝黄金的主要产品为黄金、白银、电解铜、铜箔和硫酸，拥有3个分公司、20个子公司，现有员工5700余人。公司在河南、新疆、内蒙古、吉国建成了桐柏兴源、灵宝南山、灵宝鸿鑫、哈巴河华泰、赤峰金蟾、富金矿业六大矿山生产基地以及黄金冶炼分公司、华鑫铜箔两大加工企业。公司目前共拥有15个采矿权，39个探矿权，矿权总面积约2,174平方公里，资源储量186吨。2011年全年，公司生产黄金14.99吨，副产品白银56.52吨，电解铜1.56万吨，硫酸15.4万吨，铜箔产品1.3万吨。截至2011年底公司总资产为65.61亿元，净资产为23.46亿元；2011年实现销售收入57.20亿元，净利润3.11亿元。</t>
  </si>
  <si>
    <t>矿产品的采选、冶炼、深加工与销售（凭许可证经营）；矿山机械、五金交电、办公器具的销售；从事货物和技术的进出口业务（国家限定公司经营或禁止进出口的商品及技术除外）。</t>
  </si>
  <si>
    <t>白银有色集团股份有限公司</t>
  </si>
  <si>
    <t>916204006600434445</t>
  </si>
  <si>
    <t>白银有色集团有限公司,
白银有色金属公司,
白银厂有色金属公司</t>
  </si>
  <si>
    <t>王普公</t>
  </si>
  <si>
    <t>740477.4511万元</t>
  </si>
  <si>
    <t>2007-07-06</t>
  </si>
  <si>
    <t>甘肃省白银市白银区友好路96号</t>
  </si>
  <si>
    <t>白银市</t>
  </si>
  <si>
    <t>白银区</t>
  </si>
  <si>
    <t>0943-8811985</t>
  </si>
  <si>
    <t>0943-8812511;0943-8812706;0943-8811984;0943-8810832;0943-8812047</t>
  </si>
  <si>
    <t>982223995@qq.com</t>
  </si>
  <si>
    <t>3135373296@qq.com;1392933280@qq.com;1714923002@qq.com;408446070@qq.com</t>
  </si>
  <si>
    <t>620400000000010</t>
  </si>
  <si>
    <t>66004344-4</t>
  </si>
  <si>
    <t>14608</t>
  </si>
  <si>
    <t>2007-07-06 至 2106-07-05</t>
  </si>
  <si>
    <t>Baiyin Nonferrous Group Co., Ltd.</t>
  </si>
  <si>
    <t>www.bynmc.com</t>
  </si>
  <si>
    <t>白银有色集团股份有限公司的前身白银有色金属公司，成立于1954年，注册地位于甘肃省白银市，是国家“一五”时期156个重点建设项目之一，被誉为共和国有色金属工业的“长子”，为新中国有色金属工业和地方经济社会发展作出了重要贡献。白银集团在境内拥有金属和非金属矿山15个，具备矿山采选1000万吨、铜铅锌冶炼60万吨、黄金15吨、白银500吨的生产能力。产品种类40余种，主要产品包括阴极铜、铅锭、锌锭、铜材、铅材、锌材、贵金属制品和电线电缆等多个品种，Ibis牌锌锭、铅锭在LME注册，Ibis牌阴极铜、锌锭在上海期货交易所注册。白银集团业务涵盖铜、铅、锌、金、银等多种有色及贵金属的采、选、冶、加和金融投资贸易，发展触角伸及亚洲、非洲、欧洲、南美10多个国家和地区，是具有深厚行业积淀的综合性跨国集团公司。</t>
  </si>
  <si>
    <t>许可项目：爆破作业；危险化学品经营；非煤矿山矿产资源开采；矿产资源勘查；金属与非金属矿产资源地质勘探；国际道路货物运输；互联网信息服务；测绘服务；天然水收集与分配；自来水生产与供应；危险废物经营；公共铁路运输；黄金及其制品进出口；白银进出口；第二、三类监控化学品和第四类监控化学品中含磷、硫、氟的特定有机化学品生产（依法须经批准的项目，经相关部门批准后方可开展经营活动）一般项目：金属材料制造；常用有色金属冶炼；基础化学原料制造（不含危险化学品等许可类化学品的制造）；专用化学产品制造（不含危险化学品）；特种作业人员安全技术培训；化工产品销售（不含许可类化工产品）；新型金属功能材料销售；金银制品销售；稀有稀土金属冶炼；企业管理咨询；企业管理；软件销售；网络与信息安全软件开发；非居住房地产租赁；土地使用权租赁；业务培训（不含教育培训、职业技能培训等需取得许可的培训）；工程管理服务；非金属矿及制品销售；气体、液体分离及纯净设备制造；自有资金投资的资产管理服务；以自有资金从事投资活动；高性能有色金属及合金材料销售；金属材料销售；有色金属铸造；有色金属合金制造；有色金属合金销售；有色金属压延加工；矿物洗选加工；金属矿石销售；国内贸易代理；机械电气设备制造；水资源管理；知识产权服务（专利代理服务除外）；技术服务、技术开发、技术咨询、技术交流、技术转让、技术推广；工业设计服务；机械设备租赁；信息技术咨询服务；软件开发；普通货物仓储服务（不含危险化学品等需许可审批的项目）；国内货物运输代理；铁路运输辅助活动；工程技术服务（规划管理、勘察、设计、监理除外）；地质勘查技术服务；基础地质勘查；非金属废料和碎屑加工处理；贸易经纪；贵金属冶炼；港口货物装卸搬运活动；人力资源服务（不含职业中介活动、劳务派遣服务）；对外承包工程；第三类非药品类易制毒化学品生产；第三类非药品类易制毒化学品经营；进出口代理；货物进出口；国际货物运输代理；金属废料和碎屑加工处理；再生资源销售；生产性废旧金属回收；选矿（除许可业务外，可自主依法经营法律法规非禁止或限制的项目）</t>
  </si>
  <si>
    <t>白银市市场监督管理局</t>
  </si>
  <si>
    <t>五矿有色金属（上海）有限公司</t>
  </si>
  <si>
    <t>91310115301764338B</t>
  </si>
  <si>
    <t>五矿有色金属控股（上海）有限公司</t>
  </si>
  <si>
    <t>张长海</t>
  </si>
  <si>
    <t>2014-06-20</t>
  </si>
  <si>
    <t>中国（上海）自由贸易试验区临港新片区业盛路188号A-823室</t>
  </si>
  <si>
    <t>021-50762089</t>
  </si>
  <si>
    <t>17317280519;021-20899777</t>
  </si>
  <si>
    <t>liuqingf@minmetals.com</t>
  </si>
  <si>
    <t>wangli630812@sina.com;shenqiao2103@126.com</t>
  </si>
  <si>
    <t>310141000088424</t>
  </si>
  <si>
    <t>30176433-8</t>
  </si>
  <si>
    <t>2014-06-20 至 无固定期限</t>
  </si>
  <si>
    <t>Minmetals Nonferrous Metals (Shanghai) Co., Ltd.</t>
  </si>
  <si>
    <t>上海市浦东新区杨高南路799号2204A</t>
  </si>
  <si>
    <t>五矿有色金属（上海）有限公司成立于2014-06-20，法定代表人为张长海，注册资本为20000万元，统一社会信用代码为91310115301764338B，企业注册地址位于中国（上海）自由贸易试验区临港新片区业盛路188号A-823室，所属行业为批发业，经营范围包含：一般项目：金属矿石销售；有色金属合金销售；高性能有色金属及合金材料销售；金属材料销售；化工产品销售（不含许可类化工产品）；石油制品销售（不含危险化学品）；建筑材料销售；针纺织品及原料销售；日用玻璃制品销售；皮革制品销售；工艺美术品及礼仪用品销售（象牙及其制品除外）；煤炭及制品销售；电力电子元器件销售；纸浆销售；食用农产品批发；五金产品批发；建筑工程机械与设备租赁；货物进出口；技术进出口；信息咨询服务（不含许可类信息咨询服务）；国内贸易代理；离岸贸易经营。（除依法须经批准的项目外，凭营业执照依法自主开展经营活动）许可项目：危险化学品经营。（依法须经批准的项目，经相关部门批准后方可开展经营活动，具体经营项目以相关部门批准文件或许可证件为准）。企业当前经营状态为存续。</t>
  </si>
  <si>
    <t>一般项目：金属矿石销售；有色金属合金销售；高性能有色金属及合金材料销售；金属材料销售；化工产品销售（不含许可类化工产品）；石油制品销售（不含危险化学品）；建筑材料销售；针纺织品及原料销售；日用玻璃制品销售；皮革制品销售；工艺美术品及礼仪用品销售（象牙及其制品除外）；煤炭及制品销售；电力电子元器件销售；纸浆销售；食用农产品批发；五金产品批发；建筑工程机械与设备租赁；货物进出口；技术进出口；信息咨询服务（不含许可类信息咨询服务）；国内贸易代理；离岸贸易经营。（除依法须经批准的项目外，凭营业执照依法自主开展经营活动）许可项目：危险化学品经营。（依法须经批准的项目，经相关部门批准后方可开展经营活动，具体经营项目以相关部门批准文件或许可证件为准）</t>
  </si>
  <si>
    <t>新疆生产建设兵团第一师棉麻有限责任公司</t>
  </si>
  <si>
    <t>91652900229680489J</t>
  </si>
  <si>
    <t>新疆生产建设兵团农一师棉麻公司</t>
  </si>
  <si>
    <t>李俊锋</t>
  </si>
  <si>
    <t>3469.35万元</t>
  </si>
  <si>
    <t>2000-10-26</t>
  </si>
  <si>
    <t>新疆阿拉尔市二团新井子镇昌盛西街（阿拉尔市鹏达棉业有限责任公司院内1-3号办公室）</t>
  </si>
  <si>
    <t>阿拉尔市</t>
  </si>
  <si>
    <t>13031277011</t>
  </si>
  <si>
    <t>0997-4673981;0997-4673982;0997-4673993;0997-6391082;13899290044</t>
  </si>
  <si>
    <t>384266180@qq.com</t>
  </si>
  <si>
    <t>565445397@qq.com;36109672@qq.com;124914874@qq.com</t>
  </si>
  <si>
    <t>652900000000495</t>
  </si>
  <si>
    <t>22968048-9</t>
  </si>
  <si>
    <t>2000-10-26 至 无固定期限</t>
  </si>
  <si>
    <t>The Xinjiang Production and Construction Corps First Division Cotton Co., Ltd.</t>
  </si>
  <si>
    <t>新疆生产建设兵团第一师棉麻有限责任公司成立于2000-10-26，法定代表人为李俊锋，注册资本为3469.35万元，统一社会信用代码为91652900229680489J，企业注册地址位于新疆阿拉尔市二团新井子镇昌盛西街（阿拉尔市鹏达棉业有限责任公司院内1-3号办公室），所属行业为批发业，经营范围包含：一般项目：棉、麻销售；棉花种植；棉花加工；棉花收购；农产品的生产、销售、加工、运输、贮藏及其他相关服务；普通货物仓储服务（不含危险化学品等需许可审批的项目）；非食用农产品初加工；食用农产品初加工；未经加工的坚果、干果销售；电子产品销售；国内货物运输代理；住房租赁；非居住房地产租赁；日用百货销售；农业机械租赁；农业机械服务；租赁服务（不含许可类租赁服务）；机械设备租赁（除依法须经批准的项目外，凭营业执照依法自主开展经营活动）。企业当前经营状态为存续。</t>
  </si>
  <si>
    <t>一般项目：棉、麻销售；棉花种植；棉花加工；棉花收购；农产品的生产、销售、加工、运输、贮藏及其他相关服务；普通货物仓储服务（不含危险化学品等需许可审批的项目）；非食用农产品初加工；食用农产品初加工；未经加工的坚果、干果销售；电子产品销售；国内货物运输代理；住房租赁；非居住房地产租赁；日用百货销售；农业机械租赁；农业机械服务；租赁服务（不含许可类租赁服务）；机械设备租赁（除依法须经批准的项目外，凭营业执照依法自主开展经营活动）</t>
  </si>
  <si>
    <t>新疆生产建设兵团第一师市场监督管理局</t>
  </si>
  <si>
    <t>北大荒粮食集团江苏有限公司</t>
  </si>
  <si>
    <t>913206213460707437</t>
  </si>
  <si>
    <t>北大荒粮食集团南通西隆贸易有限公司</t>
  </si>
  <si>
    <t>梁成双</t>
  </si>
  <si>
    <t>2015-06-19</t>
  </si>
  <si>
    <t>海安经济技术开发区海防大道东8号</t>
  </si>
  <si>
    <t>0513-88722666</t>
  </si>
  <si>
    <t>18921620243;13861913230</t>
  </si>
  <si>
    <t>1696631417@qq.com</t>
  </si>
  <si>
    <t>beidahuangxilong@163.com;baidahuangxilong@163.com</t>
  </si>
  <si>
    <t>320621000381259</t>
  </si>
  <si>
    <t>34607074-3</t>
  </si>
  <si>
    <t>2015-06-19 至 2026-06-19</t>
  </si>
  <si>
    <t>Beidahuang Grain Group Jiangsu Co., Ltd.</t>
  </si>
  <si>
    <t>北大荒粮食集团江苏有限公司成立于2015-06-19，法定代表人为梁成双，注册资本为6000万元，统一社会信用代码为913206213460707437，企业注册地址位于海安经济技术开发区海防大道东8号，所属行业为批发业，经营范围包含：粮食收购、销售、仓储；储粮机械、谷物、饲料、豆类、薯类、油料的销售；预包装食品兼散装食品批发、零售；铁路、水路、道路货运代理业务；普通货物仓储；装卸搬运；自营和代理各类商品的进出口业务。（依法须经批准的项目，经相关部门批准后方可开展经营活动）。企业当前经营状态为在业。</t>
  </si>
  <si>
    <t>粮食收购、销售、仓储；储粮机械、谷物、饲料、豆类、薯类、油料的销售；预包装食品兼散装食品批发、零售；铁路、水路、道路货运代理业务；普通货物仓储；装卸搬运；自营和代理各类商品的进出口业务。（依法须经批准的项目，经相关部门批准后方可开展经营活动）</t>
  </si>
  <si>
    <t>海安市行政审批局</t>
  </si>
  <si>
    <t>江苏远洋新世纪供应链有限公司</t>
  </si>
  <si>
    <t>91320000720585123K</t>
  </si>
  <si>
    <t>江苏远洋新世纪货运代理有限公司</t>
  </si>
  <si>
    <t>钱峰</t>
  </si>
  <si>
    <t>2001-01-10</t>
  </si>
  <si>
    <t>南京市湖南路185号3001-3010室</t>
  </si>
  <si>
    <t>025-83227226</t>
  </si>
  <si>
    <t>13776674623;025-83223760</t>
  </si>
  <si>
    <t>cshz@josconc.com</t>
  </si>
  <si>
    <t>sw03@josconc.com;acc01@josconc.com;lucyyan@josconc.com;nj@josconc.com</t>
  </si>
  <si>
    <t>320000000015578</t>
  </si>
  <si>
    <t>72058512-3</t>
  </si>
  <si>
    <t>2001-01-10 至 无固定期限</t>
  </si>
  <si>
    <t>多式联运和运输代理业</t>
  </si>
  <si>
    <t>运输代理业</t>
  </si>
  <si>
    <t>Jiangsu Yuanyang New Century Supply Chain Co., Ltd.</t>
  </si>
  <si>
    <t>南京市鼓楼区公共路19号南京港口大厦A座13楼</t>
  </si>
  <si>
    <t>江苏远洋新世纪货运代理有限公司承办进出口货物的国际运输代理业务，包括；揽货、订舱、仓储、中转、集装箱拼装折箱、结算运杂费、报关、报验、保险等相关的运输服务及咨询业务，并配备有相应的集装箱运输车队和货运场站，以便为广大海内外客户提供更全面的服务。</t>
  </si>
  <si>
    <t>许可项目：水路普通货物运输；省际普通货船运输、省内船舶运输；道路货物运输（网络货运）（依法须经批准的项目，经相关部门批准后方可开展经营活动，具体经营项目以审批结果为准）一般项目：国内货物运输代理；国内集装箱货物运输代理；国际货物运输代理；进出口代理；无船承运业务；报关业务；国际船舶代理；国内船舶代理（除依法须经批准的项目外，凭营业执照依法自主开展经营活动）</t>
  </si>
  <si>
    <t>江苏省市场监督管理局</t>
  </si>
  <si>
    <t>扬州裕丰供应链有限公司</t>
  </si>
  <si>
    <t>91321012MA1XLNKG4F</t>
  </si>
  <si>
    <t>扬州裕丰仓储服务有限公司</t>
  </si>
  <si>
    <t>王亚</t>
  </si>
  <si>
    <t>2018-12-13</t>
  </si>
  <si>
    <t>扬州市江都区宜陵镇工业集中区慈云路</t>
  </si>
  <si>
    <t>18052649246</t>
  </si>
  <si>
    <t>0514-83392566;0514-86561600;18952769789</t>
  </si>
  <si>
    <t>5697322@qq.com</t>
  </si>
  <si>
    <t>1411784698@qq.com</t>
  </si>
  <si>
    <t>321012000134265</t>
  </si>
  <si>
    <t>MA1XLNKG-4</t>
  </si>
  <si>
    <t>2018-12-13 至 无固定期限</t>
  </si>
  <si>
    <t>Yangzhou Yufeng Supply Chain Co., Ltd.</t>
  </si>
  <si>
    <t>扬州裕丰供应链有限公司成立于2018-12-13，法定代表人为王亚，注册资本为5万元，统一社会信用代码为91321012MA1XLNKG4F，企业注册地址位于扬州市江都区宜陵镇工业集中区慈云路，所属行业为装卸搬运和仓储业，经营范围包含：普通货物仓储、装卸、搬运、包装服务。（依法须经批准的项目，经相关部门批准后方可开展经营活动）
一般项目：供应链管理服务；化工产品销售（不含许可类化工产品）；食品添加剂销售；计算机软硬件及辅助设备批发；计算机软硬件及辅助设备零售；电子元器件零售；仪器仪表销售；电子产品销售；通讯设备销售；日用百货销售；五金产品零售；建筑装饰材料销售；塑料制品销售；货物进出口；技术进出口；进出口代理（除依法须经批准的项目外，凭营业执照依法自主开展经营活动）。企业当前经营状态为在业。</t>
  </si>
  <si>
    <t>普通货物仓储、装卸、搬运、包装服务。（依法须经批准的项目，经相关部门批准后方可开展经营活动）
一般项目：供应链管理服务；化工产品销售（不含许可类化工产品）；食品添加剂销售；计算机软硬件及辅助设备批发；计算机软硬件及辅助设备零售；电子元器件零售；仪器仪表销售；电子产品销售；通讯设备销售；日用百货销售；五金产品零售；建筑装饰材料销售；塑料制品销售；货物进出口；技术进出口；进出口代理（除依法须经批准的项目外，凭营业执照依法自主开展经营活动）</t>
  </si>
  <si>
    <t>中能建供应链（广州）有限公司</t>
  </si>
  <si>
    <t>91440101MA5D28CC5F</t>
  </si>
  <si>
    <t>谢木林</t>
  </si>
  <si>
    <t>270万元</t>
  </si>
  <si>
    <t>2019-11-27</t>
  </si>
  <si>
    <t>广州市黄埔区海员路80号201房</t>
  </si>
  <si>
    <t>020-82519003</t>
  </si>
  <si>
    <t>18188940206</t>
  </si>
  <si>
    <t>ops@cechaingz.com</t>
  </si>
  <si>
    <t>admin@cechaingz.com</t>
  </si>
  <si>
    <t>440112002762082</t>
  </si>
  <si>
    <t>MA5D28CC-5</t>
  </si>
  <si>
    <t>2019-11-27 至 无固定期限</t>
  </si>
  <si>
    <t>China Energy Construction Supply Chain (Guangzhou) Co., Ltd.</t>
  </si>
  <si>
    <t>中能建供应链（广州）有限公司成立于2019-11-27，法定代表人为谢木林，注册资本为500万元，统一社会信用代码为91440101MA5D28CC5F，企业注册地址位于广州市黄埔区海员路80号201房，所属行业为商务服务业，经营范围包含：采购代理服务;信息咨询服务（不含许可类信息咨询服务）;供应链管理服务;国际船舶代理;海上国际货物运输代理;国际货物运输代理;国内货物运输代理;国内船舶代理;技术服务、技术开发、技术咨询、技术交流、技术转让、技术推广;科技中介服务;国内贸易代理;技术进出口;建筑材料销售;销售代理;货物进出口;报关业务;进出口代理。企业当前经营状态为存续。</t>
  </si>
  <si>
    <t>采购代理服务;信息咨询服务（不含许可类信息咨询服务）;供应链管理服务;国际船舶代理;海上国际货物运输代理;国际货物运输代理;国内货物运输代理;国内船舶代理;技术服务、技术开发、技术咨询、技术交流、技术转让、技术推广;科技中介服务;国内贸易代理;技术进出口;建筑材料销售;销售代理;货物进出口;报关业务;进出口代理</t>
  </si>
  <si>
    <t>中物流（石河子）物流有限公司</t>
  </si>
  <si>
    <t>916590010620891439</t>
  </si>
  <si>
    <t>新疆诚通西部物流有限公司</t>
  </si>
  <si>
    <t>罗政</t>
  </si>
  <si>
    <t>2013-03-18</t>
  </si>
  <si>
    <t>新疆石河子北工业园区经七路42-A号</t>
  </si>
  <si>
    <t>0993-2256378</t>
  </si>
  <si>
    <t>0993-2266212;0993-2707097</t>
  </si>
  <si>
    <t>xjchengtong@163.com</t>
  </si>
  <si>
    <t>209709@qq.com;xinjiangctxbwl@sina.com;ct@ct0993.com</t>
  </si>
  <si>
    <t>659001031001246</t>
  </si>
  <si>
    <t>06208914-3</t>
  </si>
  <si>
    <t>2013-03-18 至 2063-03-17</t>
  </si>
  <si>
    <t>货物运输代理</t>
  </si>
  <si>
    <t>China Logistics (Shihezi) Logistics Co., Ltd.</t>
  </si>
  <si>
    <t>中物流（石河子）物流有限公司成立于2013-03-18，法定代表人为罗政，注册资本为10000万元，统一社会信用代码为916590010620891439，企业注册地址位于新疆石河子北工业园区经七路42-A号，所属行业为多式联运和运输代理业，经营范围包含：道路普通货物运输，国际、国内货物道路运输代理、仓储、信息服务；铁路货物运输代理；物流方案的设计、咨询；非贵重金属、化工产品（不含危险化学品）建筑材料、起吊运输机具的销售；进出口业务；与以上相关的咨询服务；企业管理咨询服务；物流信息；装卸、吊装服务；货物采购服务；货物保管，仓储托管服务；资产管理；房地产开发与经营，房屋租赁，场地租赁，房产经纪服务；物业管理服务；钢材、煤炭、成品油、润滑油、塑料制品、汽车配件、计算机配件、办公用品、家用电器、日用百货、预包装食品、电话卡、化肥、矿产品、焦炭、金属材料、饲料、粮食的销售；批发零售不再分装的包装种子；棉花的仓储；棉花、短绒、棉粕、籽棉、棉籽、五金交电、纺织原料的购销；农副产品的收购、加工及销售；汽车租赁、停车、洗车服务。天然气、烟草的销售（限分公司经营）；货物专用运输（集装箱，罐式容器（危险化学品及易燃易爆物品除外））。（依法须经批准的项目，经相关部门批准后方可开展经营活动）。企业当前经营状态为存续。</t>
  </si>
  <si>
    <t>道路普通货物运输，国际、国内货物道路运输代理、仓储、信息服务；铁路货物运输代理；物流方案的设计、咨询；非贵重金属、化工产品（不含危险化学品）建筑材料、起吊运输机具的销售；进出口业务；与以上相关的咨询服务；企业管理咨询服务；物流信息；装卸、吊装服务；货物采购服务；货物保管，仓储托管服务；资产管理；房地产开发与经营，房屋租赁，场地租赁，房产经纪服务；物业管理服务；钢材、煤炭、成品油、润滑油、塑料制品、汽车配件、计算机配件、办公用品、家用电器、日用百货、预包装食品、电话卡、化肥、矿产品、焦炭、金属材料、饲料、粮食的销售；批发零售不再分装的包装种子；棉花的仓储；棉花、短绒、棉粕、籽棉、棉籽、五金交电、纺织原料的购销；农副产品的收购、加工及销售；汽车租赁、停车、洗车服务。天然气、烟草的销售（限分公司经营）；货物专用运输（集装箱，罐式容器（危险化学品及易燃易爆物品除外））。（依法须经批准的项目，经相关部门批准后方可开展经营活动）</t>
  </si>
  <si>
    <t>石河子市开发区市场监督管理局</t>
  </si>
  <si>
    <t>江苏苏豪丽天智储循环科技有限公司</t>
  </si>
  <si>
    <t>913202817365435187</t>
  </si>
  <si>
    <t>江苏丽天石化码头有限公司,
江阴润华化工储运有限公司</t>
  </si>
  <si>
    <t>蔡月</t>
  </si>
  <si>
    <t>21932.153202万元</t>
  </si>
  <si>
    <t>2002-04-23</t>
  </si>
  <si>
    <t>江阴市利港镇沿江工业园区</t>
  </si>
  <si>
    <t>0510-86092190</t>
  </si>
  <si>
    <t>0510-86092937;0510-86092009;0510-86092990;4008810798;0510-86092929;0510-86092935;0510-86092969;0510-86092189;13921259818</t>
  </si>
  <si>
    <t>litianshihua@jsltpct.com</t>
  </si>
  <si>
    <t>litianshihua@jslt.pct.com;litianshihua@126.com</t>
  </si>
  <si>
    <t>320281400003008</t>
  </si>
  <si>
    <t>73654351-8</t>
  </si>
  <si>
    <t>144</t>
  </si>
  <si>
    <t>2002-04-23 至 2032-04-22</t>
  </si>
  <si>
    <t>Jiangsu Suhao Litian Intelligent Storage Recycling Technology Co., Ltd.</t>
  </si>
  <si>
    <t>https://www.jsltpct.com</t>
  </si>
  <si>
    <t>苏豪丽天成立于2002年4月，位于江阴市，致力于危险化学品仓储、资源再生利用技术研发及相关科技服务。主要产品和服务涵盖危险化学品仓储、普通货物仓储、污水处理及再生利用、再生资源回收加工销售等，应用于化工、环保等行业。</t>
  </si>
  <si>
    <t>许可项目：危险化学品仓储；港口经营；成品油仓储；出口监管仓库经营；海关监管货物仓储服务（不含危险化学品、危险货物）；保税仓库经营；第二类增值电信业务；餐厨垃圾处理；城市生活垃圾经营性服务；道路货物运输（不含危险货物）；危险废物经营（依法须经批准的项目，经相关部门批准后方可开展经营活动，具体经营项目以审批结果为准）一般项目：船舶港口服务；普通货物仓储服务（不含危险化学品等需许可审批的项目）；装卸搬运；污水处理及其再生利用；信息咨询服务（不含许可类信息咨询服务）；仓单登记服务；日用百货销售；食品销售（仅销售预包装食品）；食品互联网销售（仅销售预包装食品）；工业用动物油脂化学品销售；非食用植物油加工；非食用植物油销售；水污染治理；停车场服务；水环境污染防治服务；洗车服务；再生资源销售；再生资源加工；再生资源回收（除生产性废旧金属）；化工产品销售（不含许可类化工产品）；专用化学产品销售（不含危险化学品）；技术服务、技术开发、技术咨询、技术交流、技术转让、技术推广；技术进出口；非金属废料和碎屑加工处理；货物进出口；资源再生利用技术研发（除依法须经批准的项目外，凭营业执照依法自主开展经营活动）</t>
  </si>
  <si>
    <t>广东顺禧斐源科技有限公司</t>
  </si>
  <si>
    <t>91440101MA9Y6MBR82</t>
  </si>
  <si>
    <t>谭红玉</t>
  </si>
  <si>
    <t>2021-11-17</t>
  </si>
  <si>
    <t>广州市南沙区望江二街1号807房</t>
  </si>
  <si>
    <t>南沙区</t>
  </si>
  <si>
    <t>17302027339</t>
  </si>
  <si>
    <t>13690096818;13800138000</t>
  </si>
  <si>
    <t>440110004452871</t>
  </si>
  <si>
    <t>MA9Y6MBR-8</t>
  </si>
  <si>
    <t>2021-11-17 至 无固定期限</t>
  </si>
  <si>
    <t>Guangdong Shunxi Feiyuan Technology Co., Ltd.</t>
  </si>
  <si>
    <t>广东顺禧斐源科技有限公司成立于2021-11-17，法定代表人为谭红玉，注册资本为5000万元，统一社会信用代码为91440101MA9Y6MBR82，企业注册地址位于广州市南沙区望江二街1号807房，所属行业为研究和试验发展，经营范围包含：金属制品销售;高性能有色金属及合金材料销售;工程和技术研究和试验发展;金属矿石销售;集成电路芯片设计及服务;日用品销售;纸制品销售;建筑用钢筋产品销售;玩具销售;企业管理咨询;服装服饰批发;日用品批发;社会经济咨询服务;市场营销策划;珠宝首饰批发;贸易经纪;针纺织品及原料销售;珠宝首饰零售;建筑工程用机械销售;新材料技术研发;水泥制品销售;有色金属合金销售;互联网销售（除销售需要许可的商品）;电子产品销售;金银制品销售;饲料原料销售;塑料制品销售;服装服饰零售;汽车零配件零售;科技中介服务;非金属矿及制品销售;信息咨询服务（不含许可类信息咨询服务）;供应链管理服务;五金产品零售;谷物销售;五金产品批发;信息技术咨询服务;橡胶制品销售;金属材料销售;国内贸易代理;汽车零配件批发;货物进出口;食品互联网销售。企业当前经营状态为存续。</t>
  </si>
  <si>
    <t>金属制品销售;高性能有色金属及合金材料销售;工程和技术研究和试验发展;金属矿石销售;集成电路芯片设计及服务;日用品销售;纸制品销售;建筑用钢筋产品销售;玩具销售;企业管理咨询;服装服饰批发;日用品批发;社会经济咨询服务;市场营销策划;珠宝首饰批发;贸易经纪;针纺织品及原料销售;珠宝首饰零售;建筑工程用机械销售;新材料技术研发;水泥制品销售;有色金属合金销售;互联网销售（除销售需要许可的商品）;电子产品销售;金银制品销售;饲料原料销售;塑料制品销售;服装服饰零售;汽车零配件零售;科技中介服务;非金属矿及制品销售;信息咨询服务（不含许可类信息咨询服务）;供应链管理服务;五金产品零售;谷物销售;五金产品批发;信息技术咨询服务;橡胶制品销售;金属材料销售;国内贸易代理;汽车零配件批发;货物进出口;食品互联网销售</t>
  </si>
  <si>
    <t>广州市南沙区市场监督管理局</t>
  </si>
  <si>
    <t>突泉县安福农副产品营销有限责任公司</t>
  </si>
  <si>
    <t>91152224692894251Q</t>
  </si>
  <si>
    <t>房安福</t>
  </si>
  <si>
    <t>2009-09-29</t>
  </si>
  <si>
    <t>内蒙古自治区兴安盟突泉县太和乡太和村</t>
  </si>
  <si>
    <t>15149042555</t>
  </si>
  <si>
    <t>152224000002050</t>
  </si>
  <si>
    <t>69289425-1</t>
  </si>
  <si>
    <t>2009-09-29 至 2099-12-31</t>
  </si>
  <si>
    <t>Tuquan Anfu Agricultural and Sideline Product Marketing Co., Ltd.</t>
  </si>
  <si>
    <t>突泉县安福农副产品营销有限责任公司成立于2009-09-29，法定代表人为房安福，注册资本为2000万元，统一社会信用代码为91152224692894251Q，企业注册地址位于内蒙古自治区兴安盟突泉县太和乡太和村，所属行业为零售业，经营范围包含：粮食收购；农副产品收购、畜产品收购。;非居住房地产租赁。企业当前经营状态为存续。</t>
  </si>
  <si>
    <t>粮食收购；农副产品收购、畜产品收购。;非居住房地产租赁</t>
  </si>
  <si>
    <t>扎赉特旗聚宝粮食贸易有限责任公司</t>
  </si>
  <si>
    <t>91152223756652332A</t>
  </si>
  <si>
    <t>孟宪彬</t>
  </si>
  <si>
    <t>2003-11-25</t>
  </si>
  <si>
    <t>内蒙古自治区兴安盟扎赉特旗音德尔镇五家户村巨宝屯</t>
  </si>
  <si>
    <t>扎赉特旗</t>
  </si>
  <si>
    <t>13948265590</t>
  </si>
  <si>
    <t>13847947888</t>
  </si>
  <si>
    <t>824461058@qq.com</t>
  </si>
  <si>
    <t>386394569@qq.com</t>
  </si>
  <si>
    <t>152223000004788</t>
  </si>
  <si>
    <t>75665233-2</t>
  </si>
  <si>
    <t>2003-11-25 至 2033-11-24</t>
  </si>
  <si>
    <t>Jalaid Qi Jubao Grain Trade Co., Ltd.</t>
  </si>
  <si>
    <t>扎赉特旗聚宝粮食贸易有限责任公司成立于2003-11-25，法定代表人为孟宪彬，注册资本为3500万元，统一社会信用代码为91152223756652332A，企业注册地址位于内蒙古自治区兴安盟扎赉特旗音德尔镇五家户村巨宝屯，所属行业为批发业，经营范围包含：一般项目：粮食收购；粮油仓储服务；谷物销售；食用农产品初加工；初级农产品收购；装卸搬运；煤炭及制品销售；灌溉服务；智能农业管理；农业专业及辅助性活动；智能农机装备销售；农业机械销售；土地整治服务；土壤污染治理与修复服务；农业机械服务；土壤环境污染防治服务；技术服务、技术开发、技术咨询、技术交流、技术转让、技术推广；网络技术服务；农业科学研究和试验发展；农业园艺服务；农业生产托管服务；肥料销售；土地使用权租赁；农作物栽培服务；农作物收割服务；农作物秸秆处理及加工利用服务；互联网销售（除销售需要许可的商品）。（除依法须经批准的项目外，凭营业执照依法自主开展经营活动）许可项目：农作物种子经营。（依法须经批准的项目，经相关部门批准后方可开展经营活动，具体经营项目以相关部门批准文件或许可证件为准）。企业当前经营状态为存续。</t>
  </si>
  <si>
    <t>一般项目：粮食收购；粮油仓储服务；谷物销售；食用农产品初加工；初级农产品收购；装卸搬运；煤炭及制品销售；灌溉服务；智能农业管理；农业专业及辅助性活动；智能农机装备销售；农业机械销售；土地整治服务；土壤污染治理与修复服务；农业机械服务；土壤环境污染防治服务；技术服务、技术开发、技术咨询、技术交流、技术转让、技术推广；网络技术服务；农业科学研究和试验发展；农业园艺服务；农业生产托管服务；肥料销售；土地使用权租赁；农作物栽培服务；农作物收割服务；农作物秸秆处理及加工利用服务；互联网销售（除销售需要许可的商品）。（除依法须经批准的项目外，凭营业执照依法自主开展经营活动）许可项目：农作物种子经营。（依法须经批准的项目，经相关部门批准后方可开展经营活动，具体经营项目以相关部门批准文件或许可证件为准）</t>
  </si>
  <si>
    <t>扎赉特旗市场监督管理局（扎赉特旗知识产权局）</t>
  </si>
  <si>
    <t>突泉县金禾粮油贸易有限公司</t>
  </si>
  <si>
    <t>91152224797166170H</t>
  </si>
  <si>
    <t>马青丽</t>
  </si>
  <si>
    <t>内蒙古自治区兴安盟突泉县学田乡金星村</t>
  </si>
  <si>
    <t>15248553555</t>
  </si>
  <si>
    <t>15705036666;0482-5885268</t>
  </si>
  <si>
    <t>152224000006317</t>
  </si>
  <si>
    <t>79716617-0</t>
  </si>
  <si>
    <t>2007-01-05 至 2099-12-31</t>
  </si>
  <si>
    <t>Tuquan County Jinhe Grain and Oil Trading Co., Ltd.</t>
  </si>
  <si>
    <t>突泉县金禾粮油贸易有限公司成立于2007-01-05，法定代表人为马青丽，注册资本为1000万元，统一社会信用代码为91152224797166170H，企业注册地址位于内蒙古自治区兴安盟突泉县学田乡金星村，所属行业为批发业，经营范围包含：粮食收购;粮油仓储服务;饲料生产;道路货物运输（不含危险货物）;农副产品销售;谷物销售;非居住房地产租赁;国内货物运输代理。企业当前经营状态为存续。</t>
  </si>
  <si>
    <t>粮食收购;粮油仓储服务;饲料生产;道路货物运输（不含危险货物）;农副产品销售;谷物销售;非居住房地产租赁;国内货物运输代理</t>
  </si>
  <si>
    <t>绥化市三方商贸有限公司</t>
  </si>
  <si>
    <t>91231202MA7CU0AD42</t>
  </si>
  <si>
    <t>何庆锋</t>
  </si>
  <si>
    <t>2021-11-18</t>
  </si>
  <si>
    <t>黑龙江省绥化市北林区世纪方舟一区16号楼101室（仅限办公场所）</t>
  </si>
  <si>
    <t>北林区</t>
  </si>
  <si>
    <t>18686802372</t>
  </si>
  <si>
    <t>15045555535;15734551234</t>
  </si>
  <si>
    <t>191303294@qq.com</t>
  </si>
  <si>
    <t>1807731511@qq.com</t>
  </si>
  <si>
    <t>231202100070570</t>
  </si>
  <si>
    <t>MA7CU0AD-4</t>
  </si>
  <si>
    <t>2021-11-18 至 无固定期限</t>
  </si>
  <si>
    <t>Suihua Sanfang Trading Co., Ltd.</t>
  </si>
  <si>
    <t>绥化市三方商贸有限公司成立于2021-11-18，法定代表人为何庆锋，注册资本为200万元，统一社会信用代码为91231202MA7CU0AD42，企业注册地址位于黑龙江省绥化市北林区世纪方舟一区16号楼101室（仅限办公场所），所属行业为批发业，经营范围包含：一般项目:电子产品销售;机械设备销售;办公设备销售;管道运输设备销售;金属制品销售;消防器材销售;机械零件、零部件销售;炼油、化工生产专用设备销售;农副产品销售;农副食品加工专用设备销售;矿山机械销售;建筑工程用机械销售;电工器材销售;制冷、空调设备销售;第二类医疗器械销售;五金产品批发;五金产品零售;塑料制品销售;农业机械销售;粮食收购;建筑材料销售;建筑防水卷材产品销售;汽车零配件零售;汽车零配件批发;新能源汽车整车销售;汽车新车销售;汽车旧车销售;二手车鉴定评估。企业当前经营状态为存续。</t>
  </si>
  <si>
    <t>一般项目:电子产品销售;机械设备销售;办公设备销售;管道运输设备销售;金属制品销售;消防器材销售;机械零件、零部件销售;炼油、化工生产专用设备销售;农副产品销售;农副食品加工专用设备销售;矿山机械销售;建筑工程用机械销售;电工器材销售;制冷、空调设备销售;第二类医疗器械销售;五金产品批发;五金产品零售;塑料制品销售;农业机械销售;粮食收购;建筑材料销售;建筑防水卷材产品销售;汽车零配件零售;汽车零配件批发;新能源汽车整车销售;汽车新车销售;汽车旧车销售;二手车鉴定评估。</t>
  </si>
  <si>
    <t>绥化市北林区市场监督管理局</t>
  </si>
  <si>
    <t>克州建名棉业有限责任公司</t>
  </si>
  <si>
    <t>9165300176681565XN</t>
  </si>
  <si>
    <t>李积福</t>
  </si>
  <si>
    <t>2004-10-19</t>
  </si>
  <si>
    <t>新疆克州阿图什市上阿图什镇塔库提村上阿图什路003号院</t>
  </si>
  <si>
    <t>克孜勒苏柯尔克孜自治州</t>
  </si>
  <si>
    <t>阿图什市</t>
  </si>
  <si>
    <t>18009928880</t>
  </si>
  <si>
    <t>18097703751;15739781151;18609086226</t>
  </si>
  <si>
    <t>192581375@qq.com</t>
  </si>
  <si>
    <t>1318292110@qq.com;18609086226@189.com;1308262712@qq.com</t>
  </si>
  <si>
    <t>653001050001573</t>
  </si>
  <si>
    <t>76681565-X</t>
  </si>
  <si>
    <t>2004-10-19 至 2034-10-19</t>
  </si>
  <si>
    <t>Kezhou Jianming Cotton Industry Co., Ltd.</t>
  </si>
  <si>
    <t>克州建名棉业有限责任公司成立于2004-10-19，法定代表人为李积福，注册资本为400万元，统一社会信用代码为9165300176681565XN，企业注册地址位于新疆克州阿图什市上阿图什镇塔库提村上阿图什路003号院，所属行业为农、林、牧、渔专业及辅助性活动，经营范围包含：籽棉收购、加工、皮棉、短绒及棉籽的销售。（依法须经批准的项目，经相关部门批准后方可开展经营活动）。企业当前经营状态为存续。</t>
  </si>
  <si>
    <t>籽棉收购、加工、皮棉、短绒及棉籽的销售。（依法须经批准的项目，经相关部门批准后方可开展经营活动）</t>
  </si>
  <si>
    <t>阿图什市市场监督管理局</t>
  </si>
  <si>
    <t>巴楚县华联棉业有限责任公司</t>
  </si>
  <si>
    <t>91653130673440326D</t>
  </si>
  <si>
    <t>李平静</t>
  </si>
  <si>
    <t>2006-09-28</t>
  </si>
  <si>
    <t>新疆喀什地区巴楚县迎宾路（嘉德棉业旁）</t>
  </si>
  <si>
    <t>15001558829</t>
  </si>
  <si>
    <t>0998-6130698;0998-6130719</t>
  </si>
  <si>
    <t>1939267343@qq.com</t>
  </si>
  <si>
    <t>2675711562@gq.com;2675711562@qq.com</t>
  </si>
  <si>
    <t>653100051005400</t>
  </si>
  <si>
    <t>67344032-6</t>
  </si>
  <si>
    <t>2006-09-28 至 2026-09-28</t>
  </si>
  <si>
    <t>Bachu County Hualian Cotton Industry Co., Ltd.</t>
  </si>
  <si>
    <t>巴楚县华联棉业有限责任公司成立于2006-09-28，法定代表人为李平静，注册资本为2200万元，统一社会信用代码为91653130673440326D，企业注册地址位于新疆喀什地区巴楚县迎宾路（嘉德棉业旁），所属行业为批发业，经营范围包含：籽棉加工。建筑材料、五金交电零售，皮棉销售，籽棉收购、织布、脱绒。（依法须经批准的项目，经相关部门批准后方可开展经营活动）。企业当前经营状态为存续。</t>
  </si>
  <si>
    <t>籽棉加工。建筑材料、五金交电零售，皮棉销售，籽棉收购、织布、脱绒。（依法须经批准的项目，经相关部门批准后方可开展经营活动）</t>
  </si>
  <si>
    <t>苏州恒曜石化贸易有限公司</t>
  </si>
  <si>
    <t>91320594MA20YRH67P</t>
  </si>
  <si>
    <t>注销（2023-03-07）</t>
  </si>
  <si>
    <t>任大军</t>
  </si>
  <si>
    <t>中国（江苏）自由贸易试验区苏州片区苏州工业园区苏州中心广场88幢1803室</t>
  </si>
  <si>
    <t>苏州工业园区</t>
  </si>
  <si>
    <t>2372244636@qq.com</t>
  </si>
  <si>
    <t>320594001127073</t>
  </si>
  <si>
    <t>MA20YRH6-7</t>
  </si>
  <si>
    <t>Suzhou Hengyao Petrochemical Trading Co., Ltd.</t>
  </si>
  <si>
    <t>苏州恒曜石化贸易有限公司成立于2020-03-10，法定代表人为任大军，注册资本为1000万元，统一社会信用代码为91320594MA20YRH67P，企业注册地址位于中国（江苏）自由贸易试验区苏州片区苏州工业园区苏州中心广场88幢1803室，所属行业为批发业，经营范围包含：一般项目：石油制品批发（不含危险化学品）；化工产品销售（不含许可类化工产品）；塑料制品批发；橡胶制品批发；润滑油销售；汽车及零配件批发；煤炭及制品批发；建筑材料批发；五金产品批发；国内贸易代理；金属材料批发（除依法须经批准的项目外，凭营业执照依法自主开展经营活动）许可项目：危险化学品经营（依法须经批准的项目，经相关部门批准后方可开展经营活动，具体经营项目以审批结果为准）。企业当前经营状态为注销。</t>
  </si>
  <si>
    <t>一般项目：石油制品批发（不含危险化学品）；化工产品销售（不含许可类化工产品）；塑料制品批发；橡胶制品批发；润滑油销售；汽车及零配件批发；煤炭及制品批发；建筑材料批发；五金产品批发；国内贸易代理；金属材料批发（除依法须经批准的项目外，凭营业执照依法自主开展经营活动）许可项目：危险化学品经营（依法须经批准的项目，经相关部门批准后方可开展经营活动，具体经营项目以审批结果为准）</t>
  </si>
  <si>
    <t>苏州工业园区行政审批局</t>
  </si>
  <si>
    <t>五得利集团咸阳面粉有限公司</t>
  </si>
  <si>
    <t>91610402664107097Y</t>
  </si>
  <si>
    <t>任海群</t>
  </si>
  <si>
    <t>2007-11-30</t>
  </si>
  <si>
    <t>陕西省咸阳市秦都区玉泉路西段南侧</t>
  </si>
  <si>
    <t>咸阳市</t>
  </si>
  <si>
    <t>秦都区</t>
  </si>
  <si>
    <t>029-38175002</t>
  </si>
  <si>
    <t>xywudeli@163.com</t>
  </si>
  <si>
    <t>xywuleli@163.com;xianyang@wudeli.com</t>
  </si>
  <si>
    <t>610402100000301</t>
  </si>
  <si>
    <t>66410709-7</t>
  </si>
  <si>
    <t>214</t>
  </si>
  <si>
    <t>2007-11-30 至 2027-11-29</t>
  </si>
  <si>
    <t>Wudeli Flour Group Xianyang Co., Ltd.</t>
  </si>
  <si>
    <t>五得利集团咸阳面粉有限公司成立于2007-11-30，法定代表人为任海群，注册资本为2000万元，统一社会信用代码为91610402664107097Y，企业注册地址位于陕西省咸阳市秦都区玉泉路西段南侧，所属行业为批发业，经营范围包含：面粉、面粉副产品、挂面、食用油、麦胚及麦胚制品，粮食收购、销售；预包装兼散装食品批发、商品的进出口业务；自有房屋租赁。（依法须经批准的项目，经相关部门批准后方可开展经营活动）。企业当前经营状态为在业。</t>
  </si>
  <si>
    <t>面粉、面粉副产品、挂面、食用油、麦胚及麦胚制品，粮食收购、销售；预包装兼散装食品批发、商品的进出口业务；自有房屋租赁。（依法须经批准的项目，经相关部门批准后方可开展经营活动）</t>
  </si>
  <si>
    <t>咸阳市秦都区市场监督管理局</t>
  </si>
  <si>
    <t>沈阳轩鸿商贸有限公司</t>
  </si>
  <si>
    <t>91210114696530703L</t>
  </si>
  <si>
    <t>齐佳</t>
  </si>
  <si>
    <t>2010-01-04</t>
  </si>
  <si>
    <t>辽宁省沈阳市于洪区丹景山路2-13号（1-25-2）</t>
  </si>
  <si>
    <t>于洪区</t>
  </si>
  <si>
    <t>18642071589</t>
  </si>
  <si>
    <t>024-31013099;024-31013066;13940006797</t>
  </si>
  <si>
    <t>303312982@qq.com</t>
  </si>
  <si>
    <t>250142682@qq.com;2820801396@qq.com;210114000036301@lnpost.cn</t>
  </si>
  <si>
    <t>210114000036301</t>
  </si>
  <si>
    <t>69653070-3</t>
  </si>
  <si>
    <t>2010-01-04 至 无固定期限</t>
  </si>
  <si>
    <t>Shenyang Xuanhong Trading Co., Ltd.</t>
  </si>
  <si>
    <t>沈阳轩鸿商贸有限公司成立于2010-01-04，法定代表人为齐佳，注册资本为500万元，统一社会信用代码为91210114696530703L，企业注册地址位于辽宁省沈阳市于洪区丹景山路2-13号（1-25-2），所属行业为批发业，经营范围包含：许可项目：兽药经营（依法须经批准的项目，经相关部门批准后方可开展经营活动，具体经营项目以审批结果为准）一般项目：饲料添加剂销售，饲料原料销售，畜牧渔业饲料销售，生物饲料研发，专用化学产品销售（不含危险化学品），日用化学产品销售，化工产品销售（不含许可类化工产品），机械零件、零部件销售，电子产品销售，机械设备销售，保健食品（预包装）销售，工艺美术品及收藏品批发（象牙及其制品除外），食品添加剂销售（除依法须经批准的项目外，凭营业执照依法自主开展经营活动）。企业当前经营状态为存续。</t>
  </si>
  <si>
    <t>许可项目：兽药经营（依法须经批准的项目，经相关部门批准后方可开展经营活动，具体经营项目以审批结果为准）一般项目：饲料添加剂销售，饲料原料销售，畜牧渔业饲料销售，生物饲料研发，专用化学产品销售（不含危险化学品），日用化学产品销售，化工产品销售（不含许可类化工产品），机械零件、零部件销售，电子产品销售，机械设备销售，保健食品（预包装）销售，工艺美术品及收藏品批发（象牙及其制品除外），食品添加剂销售（除依法须经批准的项目外，凭营业执照依法自主开展经营活动）</t>
  </si>
  <si>
    <t>沈阳市于洪区市场监督管理局</t>
  </si>
  <si>
    <t>江苏徐钢钢铁集团有限公司</t>
  </si>
  <si>
    <t>91320312753237707L</t>
  </si>
  <si>
    <t>徐州东南钢铁工业有限公司,
徐州中原钢铁工业有限公司</t>
  </si>
  <si>
    <t>王爱旺</t>
  </si>
  <si>
    <t>206800万元</t>
  </si>
  <si>
    <t>2003-09-05</t>
  </si>
  <si>
    <t>徐州市铜山区利国镇</t>
  </si>
  <si>
    <t>0516-67077777</t>
  </si>
  <si>
    <t>0516-87255966</t>
  </si>
  <si>
    <t>xzdncw@126.com</t>
  </si>
  <si>
    <t>320323000020090</t>
  </si>
  <si>
    <t>75323770-7</t>
  </si>
  <si>
    <t>3521</t>
  </si>
  <si>
    <t>2003-09-05 至 无固定期限</t>
  </si>
  <si>
    <t>Jiangsu Xusteel Group Co., Ltd.</t>
  </si>
  <si>
    <t>https://www.xusteel.cn</t>
  </si>
  <si>
    <t>江苏徐钢钢铁集团有限公司成立于2003-09-05，法定代表人为王爱旺，注册资本为206800万元，统一社会信用代码为91320312753237707L，企业注册地址位于徐州市铜山区利国镇，所属行业为黑色金属冶炼和压延加工业，经营范围包含：钢冶炼、铁冶炼、线材、缧纹钢轧制销售，石灰烧结；废钢收购，金属材料（国家限制的除外）销售，建筑工程机械、矿山机械制造、销售，码头建设，普通货物仓储，货物或技术进出口（国家限定经营或禁止进出口的商品及技术除外）。（依法须经批准的项目，经相关部门批准后方可开展经营活动）许可项目：移动式压力容器/气瓶充装（依法须经批准的项目，经相关部门批准后方可开展经营活动，具体经营项目以审批结果为准）。企业当前经营状态为存续。</t>
  </si>
  <si>
    <t>钢冶炼、铁冶炼、线材、缧纹钢轧制销售，石灰烧结；废钢收购，金属材料（国家限制的除外）销售，建筑工程机械、矿山机械制造、销售，码头建设，普通货物仓储，货物或技术进出口（国家限定经营或禁止进出口的商品及技术除外）。（依法须经批准的项目，经相关部门批准后方可开展经营活动）许可项目：移动式压力容器/气瓶充装（依法须经批准的项目，经相关部门批准后方可开展经营活动，具体经营项目以审批结果为准）</t>
  </si>
  <si>
    <t>徐州市铜山区政务服务管理办公室</t>
  </si>
  <si>
    <t>公主岭市明德粮食收储有限公司</t>
  </si>
  <si>
    <t>91220381307921912Q</t>
  </si>
  <si>
    <t>张俊森</t>
  </si>
  <si>
    <t>2014-07-29</t>
  </si>
  <si>
    <t>公主岭市大榆树镇街里</t>
  </si>
  <si>
    <t>15886002113</t>
  </si>
  <si>
    <t>13596665968</t>
  </si>
  <si>
    <t>250609351@qq.com</t>
  </si>
  <si>
    <t>543083386@qq.com;3543083386@qq.com;88597055@qq.com;2534929049@qq.com</t>
  </si>
  <si>
    <t>220381000037127</t>
  </si>
  <si>
    <t>30792191-2</t>
  </si>
  <si>
    <t>2014-07-29 至 无固定期限</t>
  </si>
  <si>
    <t>Gongzhuling Mingde Grain Storage Co., Ltd.</t>
  </si>
  <si>
    <t>公主岭市明德粮食收储有限公司成立于2014-07-29，法定代表人为张俊森，注册资本为1000万元，统一社会信用代码为91220381307921912Q，企业注册地址位于公主岭市大榆树镇街里，所属行业为批发业，经营范围包含：粮食收购、批发、零售；谷物种植；农产品仓储、加工；粮食烘干；装卸、搬运服务；化肥零售；秸秆加工；场地、设备租赁（依法须经批准的项目，经相关部门批准后方可开展经营活动）。企业当前经营状态为存续。</t>
  </si>
  <si>
    <t>粮食收购、批发、零售；谷物种植；农产品仓储、加工；粮食烘干；装卸、搬运服务；化肥零售；秸秆加工；场地、设备租赁（依法须经批准的项目，经相关部门批准后方可开展经营活动）</t>
  </si>
  <si>
    <t>五得利集团新乡面粉有限公司</t>
  </si>
  <si>
    <t>91410721750737271F</t>
  </si>
  <si>
    <t>河北五得利集团新乡面粉有限公司</t>
  </si>
  <si>
    <t>宋保红</t>
  </si>
  <si>
    <t>49000万元</t>
  </si>
  <si>
    <t>2003-10-30</t>
  </si>
  <si>
    <t>新乡市东干道南端东侧</t>
  </si>
  <si>
    <t>新乡县</t>
  </si>
  <si>
    <t>0373-5068880</t>
  </si>
  <si>
    <t>13869738189</t>
  </si>
  <si>
    <t>xinxiang@wudeli.com</t>
  </si>
  <si>
    <t>xxwudeli@163.com</t>
  </si>
  <si>
    <t>410721100002195</t>
  </si>
  <si>
    <t>75073727-1</t>
  </si>
  <si>
    <t>519</t>
  </si>
  <si>
    <t>2003-10-30 至 无固定期限</t>
  </si>
  <si>
    <t>Wudeli Group Xinxiang Flour Co., Ltd.</t>
  </si>
  <si>
    <t>https://www.wudeli.com</t>
  </si>
  <si>
    <t>五得利集团新乡面粉有限公司成立于2003-10-30，法定代表人为宋保红，注册资本为49000万元，统一社会信用代码为91410721750737271F，企业注册地址位于新乡市东干道南端东侧，所属行业为农副食品加工业，经营范围包含：一般项目：食用农产品初加工；食品销售（仅销售预包装食品）；农副产品销售；饲料原料销售；农产品的生产、销售、加工、运输、贮藏及其他相关服务；粮食收购；谷物销售；粮油仓储服务；货物进出口；住房租赁；非居住房地产租赁（除依法须经批准的项目外，凭营业执照依法自主开展经营活动）许可项目：粮食加工食品生产；食品销售（依法须经批准的项目，经相关部门批准后方可开展经营活动，具体经营项目以相关部门批准文件或许可证件为准）。企业当前经营状态为存续。</t>
  </si>
  <si>
    <t>一般项目：食用农产品初加工；食品销售（仅销售预包装食品）；农副产品销售；饲料原料销售；农产品的生产、销售、加工、运输、贮藏及其他相关服务；粮食收购；谷物销售；粮油仓储服务；货物进出口；住房租赁；非居住房地产租赁（除依法须经批准的项目外，凭营业执照依法自主开展经营活动）许可项目：粮食加工食品生产；食品销售（依法须经批准的项目，经相关部门批准后方可开展经营活动，具体经营项目以相关部门批准文件或许可证件为准）</t>
  </si>
  <si>
    <t>新乡县市场监督管理局</t>
  </si>
  <si>
    <t>潍坊市中天棉麻有限公司</t>
  </si>
  <si>
    <t>913707057465683219</t>
  </si>
  <si>
    <t>管伟</t>
  </si>
  <si>
    <t>501万元</t>
  </si>
  <si>
    <t>2003-01-28</t>
  </si>
  <si>
    <t>潍坊市奎文区道口北街56号</t>
  </si>
  <si>
    <t>奎文区</t>
  </si>
  <si>
    <t>0536-8503148</t>
  </si>
  <si>
    <t>0536-8503236;13666366160;13356782079</t>
  </si>
  <si>
    <t>mmgs-wf@163.com</t>
  </si>
  <si>
    <t>370700228037528</t>
  </si>
  <si>
    <t>74656832-1</t>
  </si>
  <si>
    <t>2003-01-28 至 2053-01-28</t>
  </si>
  <si>
    <t>Weifang Zhongtian Cotton &amp; Jute Co., Ltd.</t>
  </si>
  <si>
    <t>潍坊市中天棉麻有限公司成立于2003-01-28，法定代表人为管伟，注册资本为501万元，统一社会信用代码为913707057465683219，企业注册地址位于潍坊市奎文区道口北街56号，所属行业为批发业，经营范围包含：一般项目：棉、麻销售；针纺织品及原料销售；金属材料销售；建筑材料销售；普通货物仓储服务（不含危险化学品等需许可审批的项目）；停车场服务；国内货物运输代理；货物进出口；技术进出口。（除依法须经批准的项目外，凭营业执照依法自主开展经营活动）。企业当前经营状态为在业。</t>
  </si>
  <si>
    <t>一般项目：棉、麻销售；针纺织品及原料销售；金属材料销售；建筑材料销售；普通货物仓储服务（不含危险化学品等需许可审批的项目）；停车场服务；国内货物运输代理；货物进出口；技术进出口。（除依法须经批准的项目外，凭营业执照依法自主开展经营活动）</t>
  </si>
  <si>
    <t>潍坊市奎文区市场监督管理局</t>
  </si>
  <si>
    <t>江苏倍力达新材料有限公司</t>
  </si>
  <si>
    <t>91320282593912602N</t>
  </si>
  <si>
    <t>谢鸣</t>
  </si>
  <si>
    <t>2012-04-09</t>
  </si>
  <si>
    <t>宜兴市芳桥镇龙眼村杨巷组</t>
  </si>
  <si>
    <t>宜兴市</t>
  </si>
  <si>
    <t>13961587218</t>
  </si>
  <si>
    <t>0510-87586686</t>
  </si>
  <si>
    <t>tonghuanzjf@163.com</t>
  </si>
  <si>
    <t>320282000293703</t>
  </si>
  <si>
    <t>59391260-2</t>
  </si>
  <si>
    <t>2012-04-09 至 无固定期限</t>
  </si>
  <si>
    <t>Jiangsu Beilida New Materials Co., Ltd.</t>
  </si>
  <si>
    <t>江苏倍力达新材料有限公司成立于2012-04-09，法定代表人为谢鸣，注册资本为3000万元，统一社会信用代码为91320282593912602N，企业注册地址位于宜兴市芳桥镇龙眼村杨巷组，所属行业为研究和试验发展，经营范围包含：高分子新材料技术的研究、开发；高强纤维制品的制造、销售。（依法须经批准的项目，经相关部门批准后方可开展经营活动）。企业当前经营状态为在业。</t>
  </si>
  <si>
    <t>高分子新材料技术的研究、开发；高强纤维制品的制造、销售。（依法须经批准的项目，经相关部门批准后方可开展经营活动）</t>
  </si>
  <si>
    <t>宜兴市行政审批局</t>
  </si>
  <si>
    <t>新疆胡杨河宝达棉业有限公司</t>
  </si>
  <si>
    <t>91650203MA78GHEG00</t>
  </si>
  <si>
    <t>王志刚</t>
  </si>
  <si>
    <t>2019-08-26</t>
  </si>
  <si>
    <t>新疆胡杨河市130团安康里120号楼162号</t>
  </si>
  <si>
    <t>胡杨河市</t>
  </si>
  <si>
    <t>13319923773</t>
  </si>
  <si>
    <t>919466452@qq.com</t>
  </si>
  <si>
    <t>650203050024095</t>
  </si>
  <si>
    <t>MA78GHEG-0</t>
  </si>
  <si>
    <t>2019-08-26 至 无固定期限</t>
  </si>
  <si>
    <t>Xinjiang Huyanghe Baoda Cotton Industry Co., Ltd.</t>
  </si>
  <si>
    <t>新疆胡杨河宝达棉业有限公司成立于2019-08-26，法定代表人为王志刚，注册资本为1000万元，统一社会信用代码为91650203MA78GHEG00，企业注册地址位于新疆胡杨河市130团安康里120号楼162号，所属行业为农、林、牧、渔专业及辅助性活动，经营范围包含：棉、麻销售；农产品初加工活动；棉纺织及印染精加工；农林牧渔技术推广服务； 棉、麻、糖、烟草、蔬菜、食用菌及园艺作物、水果种植；畜牧业；制糖业；其他农副食品加工业； 农、林、牧产品销售；设备和场地租赁；其他组织管理服务；货物与技术的进出口业务；棉花仓储。（依法须经批准的项目，经相关部门批准后方可开展经营活动）。企业当前经营状态为存续。</t>
  </si>
  <si>
    <t>棉、麻销售；农产品初加工活动；棉纺织及印染精加工；农林牧渔技术推广服务； 棉、麻、糖、烟草、蔬菜、食用菌及园艺作物、水果种植；畜牧业；制糖业；其他农副食品加工业； 农、林、牧产品销售；设备和场地租赁；其他组织管理服务；货物与技术的进出口业务；棉花仓储。（依法须经批准的项目，经相关部门批准后方可开展经营活动）</t>
  </si>
  <si>
    <t>天津市新天钢特钢有限公司</t>
  </si>
  <si>
    <t>91120110681872196W</t>
  </si>
  <si>
    <t>天津天钢联钢铁有限公司</t>
  </si>
  <si>
    <t>145474.837231万元</t>
  </si>
  <si>
    <t>2008-12-05</t>
  </si>
  <si>
    <t>022-24706800;022-24706660;022-24706683;022-24706669;022-24706663</t>
  </si>
  <si>
    <t>tgcwzjk24706676@126.com</t>
  </si>
  <si>
    <t>longkangguomao@126.com;lixiufeng2006318@163.com;zgycaiwu212@126.com</t>
  </si>
  <si>
    <t>120110000055819</t>
  </si>
  <si>
    <t>68187219-6</t>
  </si>
  <si>
    <t>2008-12-05 至 2038-12-04</t>
  </si>
  <si>
    <t>Tianjin Xintian Steel Special Steel Co., Ltd.</t>
  </si>
  <si>
    <t>天津市新天钢特钢有限公司成立于2008-12-05，法定代表人为张纪星，注册资本为145474.837231万元，统一社会信用代码为91120110681872196W，企业注册地址位于天津市东丽区津塘公路398号，所属行业为金属制品业，经营范围包含：为母公司产品提供高尖端化、精品化配套；金属材料研究开发；冶金工艺、理化检测技术咨询服务；从事国家法律、法规允许的进出口业务；冶金炉料批发零售。（涉及国家有专项专营规定的，按规定执行；涉及行业许可的，凭许可证或批准文件经营）。企业当前经营状态为存续。</t>
  </si>
  <si>
    <t>为母公司产品提供高尖端化、精品化配套；金属材料研究开发；冶金工艺、理化检测技术咨询服务；从事国家法律、法规允许的进出口业务；冶金炉料批发零售。（涉及国家有专项专营规定的，按规定执行；涉及行业许可的，凭许可证或批准文件经营）</t>
  </si>
  <si>
    <t>青岛中泽运丰国际贸易有限公司</t>
  </si>
  <si>
    <t>91370220MA3DEKM64L</t>
  </si>
  <si>
    <t>闻光明</t>
  </si>
  <si>
    <t>山东省青岛市保税港区北京路45号东办公楼一楼-300（商务秘书公司托管地址）（A）</t>
  </si>
  <si>
    <t>0532-80981571</t>
  </si>
  <si>
    <t>0532-80987223</t>
  </si>
  <si>
    <t>18663925926@163.com</t>
  </si>
  <si>
    <t>840414083@qq.com</t>
  </si>
  <si>
    <t>370220230051348</t>
  </si>
  <si>
    <t>MA3DEKM6-4</t>
  </si>
  <si>
    <t>Qingdao Zhongze Yunfeng International Trading Co., Ltd.</t>
  </si>
  <si>
    <t>青岛中泽运丰国际贸易有限公司成立于2017-03-31，法定代表人为闻光明，注册资本为500万元，统一社会信用代码为91370220MA3DEKM64L，企业注册地址位于山东省青岛市保税港区北京路45号东办公楼一楼-300（商务秘书公司托管地址）（A），所属行业为批发业，经营范围包含：国际贸易、转口贸易、区内企业之间贸易及贸易项下加工整理，自营和代理各类商品和技术进出口（国家禁止或涉及行政审批的货物和技术进出口除外）。（依法须经批准的项目，经相关部门批准后方可开展经营活动）。企业当前经营状态为在业。</t>
  </si>
  <si>
    <t>五得利集团商丘面粉有限公司</t>
  </si>
  <si>
    <t>91411402599141298R</t>
  </si>
  <si>
    <t>李建国</t>
  </si>
  <si>
    <t>32000万元</t>
  </si>
  <si>
    <t>商丘市梁园区产业集聚区农副产品加工园区（310国道与水源路交叉口东南角）</t>
  </si>
  <si>
    <t>0370-6011801</t>
  </si>
  <si>
    <t>0370-3666006</t>
  </si>
  <si>
    <t>shangqiu@wudeli.com</t>
  </si>
  <si>
    <t>wdlsqgs@163.com</t>
  </si>
  <si>
    <t>411402000031754</t>
  </si>
  <si>
    <t>59914129-8</t>
  </si>
  <si>
    <t>330</t>
  </si>
  <si>
    <t>2012-07-11 至 2062-07-10</t>
  </si>
  <si>
    <t>WUDELI Group Shangqiu Flour Co., Ltd.</t>
  </si>
  <si>
    <t>五得利集团商丘面粉有限公司为五得利集团投资的第14个全资子公司，位于河南省商丘市高新技术产业开发区农副产品加工园区，占地200亩，设计日加工小麦6000吨，年加工小麦达180多万吨。一期3000吨生产线已于2014投产运营；二期工程已开工建设，预计2019年可投入生产，该项目包括日加工小麦2000吨的通用面粉生产线和日加工小麦1000吨的专用粉生产线。整个项目建成后，每年可直接创造50亿多元的产值，将是全球较大的单体面粉加工企业。</t>
  </si>
  <si>
    <t>小麦粉、小麦麸、次粉、麦胚的生产、销售；粮食收购、销售；预包装食品销售；自产商品的进出口业务；房屋租赁。</t>
  </si>
  <si>
    <t>商丘市梁园区市场监督管理局</t>
  </si>
  <si>
    <t>浙江科丝龙实业有限公司</t>
  </si>
  <si>
    <t>91330109723636731H</t>
  </si>
  <si>
    <t>洪彩芬</t>
  </si>
  <si>
    <t>2528万元</t>
  </si>
  <si>
    <t>2000-12-07</t>
  </si>
  <si>
    <t>萧山区红山农场</t>
  </si>
  <si>
    <t>0571-82640126</t>
  </si>
  <si>
    <t>15268519818</t>
  </si>
  <si>
    <t>363900521@qq.com</t>
  </si>
  <si>
    <t>330181000022132</t>
  </si>
  <si>
    <t>72363673-1</t>
  </si>
  <si>
    <t>2000-12-07 至 无固定期限</t>
  </si>
  <si>
    <t>Zhejiang Kesilong Industry Co., Ltd.</t>
  </si>
  <si>
    <t>浙江科丝龙实业有限公司成立于2000-12-07，法定代表人为洪彩芬，注册资本为2528万元，统一社会信用代码为91330109723636731H，企业注册地址位于萧山区红山农场，所属行业为纺织业，经营范围包含：生产：直纺尼龙6短纤维；羽绒、羽毛及制品；床上用品；服装；羽毛收购；化纤布织造；制造、加工：麻将机、麻将牌、机械配件、五金配件；销售：轻纺原料及产成品;经营本企业自产产品及技术的出口业务；经营本企业生产、科研所需的原辅材料、机械设备、仪器仪表、零配件及技术的进口业务（国家限定公司经营和国家禁止进出口的商品及技术除外）；经营进料加工和“三来一补”业务。企业当前经营状态为存续。</t>
  </si>
  <si>
    <t>生产：直纺尼龙6短纤维；羽绒、羽毛及制品；床上用品；服装；羽毛收购；化纤布织造；制造、加工：麻将机、麻将牌、机械配件、五金配件；销售：轻纺原料及产成品;经营本企业自产产品及技术的出口业务；经营本企业生产、科研所需的原辅材料、机械设备、仪器仪表、零配件及技术的进口业务（国家限定公司经营和国家禁止进出口的商品及技术除外）；经营进料加工和“三来一补”业务</t>
  </si>
  <si>
    <t>江阴市泓茂达新材料科技有限公司</t>
  </si>
  <si>
    <t>91320281MA1X13AW8L</t>
  </si>
  <si>
    <t>薛妙</t>
  </si>
  <si>
    <t>2018-08-08</t>
  </si>
  <si>
    <t>江阴市徐霞客镇璜塘工业园区江海路2号</t>
  </si>
  <si>
    <t>0510-86100643</t>
  </si>
  <si>
    <t>13921200902</t>
  </si>
  <si>
    <t>3528777200@qq.com</t>
  </si>
  <si>
    <t>MA1X13AW-8</t>
  </si>
  <si>
    <t>2018-08-08 至 2038-08-07</t>
  </si>
  <si>
    <t>Jiangyin HONG MAO DA New Material Technology Co., Ltd.</t>
  </si>
  <si>
    <t>江阴市泓茂达新材料科技有限公司成立于2018-08-08，法定代表人为薛妙，注册资本为500万元，统一社会信用代码为91320281MA1X13AW8L，企业注册地址位于江阴市徐霞客镇璜塘工业园区江海路2号，所属行业为研究和试验发展，经营范围包含：许可项目：货物进出口；技术进出口；进出口代理（依法须经批准的项目，经相关部门批准后方可开展经营活动，具体经营项目以审批结果为准）一般项目：工程和技术研究和试验发展；技术服务、技术开发、技术咨询、技术交流、技术转让、技术推广；合成纤维制造；合成纤维销售；面料纺织加工；家用纺织制成品制造；针纺织品及原料销售；服装辅料销售；化工产品销售（不含许可类化工产品）（除依法须经批准的项目外，凭营业执照依法自主开展经营活动）。企业当前经营状态为存续。</t>
  </si>
  <si>
    <t>许可项目：货物进出口；技术进出口；进出口代理（依法须经批准的项目，经相关部门批准后方可开展经营活动，具体经营项目以审批结果为准）一般项目：工程和技术研究和试验发展；技术服务、技术开发、技术咨询、技术交流、技术转让、技术推广；合成纤维制造；合成纤维销售；面料纺织加工；家用纺织制成品制造；针纺织品及原料销售；服装辅料销售；化工产品销售（不含许可类化工产品）（除依法须经批准的项目外，凭营业执照依法自主开展经营活动）</t>
  </si>
  <si>
    <t>广州顺洲纺织品有限公司</t>
  </si>
  <si>
    <t>91440101MA9W1B2F31</t>
  </si>
  <si>
    <t>刘曼梨</t>
  </si>
  <si>
    <t>2020-12-02</t>
  </si>
  <si>
    <t>广州市增城区新塘镇荔新十二路96号10幢104号</t>
  </si>
  <si>
    <t>13580307778</t>
  </si>
  <si>
    <t>MA9W1B2F-3</t>
  </si>
  <si>
    <t>2020-12-02 至 无固定期限</t>
  </si>
  <si>
    <t>Guangzhou Shunzhou Textile Co., Ltd.</t>
  </si>
  <si>
    <t>广州顺洲纺织品有限公司成立于2020-12-02，法定代表人为刘曼梨，注册资本为50万元，统一社会信用代码为91440101MA9W1B2F31，企业注册地址位于广州市增城区新塘镇荔新十二路96号10幢104号，所属行业为批发业，经营范围包含：针纺织品销售;针纺织品及原料销售;服装服饰零售;服装辅料销售;服装服饰批发。企业当前经营状态为存续。</t>
  </si>
  <si>
    <t>针纺织品销售;针纺织品及原料销售;服装服饰零售;服装辅料销售;服装服饰批发</t>
  </si>
  <si>
    <t>沧州大化股份有限公司聚海分公司</t>
  </si>
  <si>
    <t>9113093168572721X0</t>
  </si>
  <si>
    <t>班洪胜</t>
  </si>
  <si>
    <t>2009-02-24</t>
  </si>
  <si>
    <t>河北省沧州市渤海新区沧州临港化工园区东区军盐路北侧</t>
  </si>
  <si>
    <t>0317-5262720</t>
  </si>
  <si>
    <t>0317-5262787;13833753157;15130725855;0317-3556643;13930718326;0317-3557392</t>
  </si>
  <si>
    <t>jhzhb@czdh.com.cn</t>
  </si>
  <si>
    <t>siliya@czdh.com.cn;1403827165@qq.com;wzd_cz@sina.com</t>
  </si>
  <si>
    <t>130931300000171</t>
  </si>
  <si>
    <t>68572721-X</t>
  </si>
  <si>
    <t>665</t>
  </si>
  <si>
    <t>2009-02-24 至 无固定期限</t>
  </si>
  <si>
    <t>专用化学产品制造</t>
  </si>
  <si>
    <t>其他专用化学产品制造</t>
  </si>
  <si>
    <t>Cangzhou Dahua Co., Ltd. Juhai Branch</t>
  </si>
  <si>
    <t>沧州大化股份有限公司聚海分公司成立于2009-02-24，负责人为班洪胜，统一社会信用代码为9113093168572721X0，企业注册地址位于河北省沧州市渤海新区沧州临港化工园区东区军盐路北侧，所属行业为化学原料和化学制品制造业，经营范围包含：许可项目：危险化学品生产；道路危险货物运输；道路货物运输（不含危险货物）；燃气经营。（依法须经批准的项目，经相关部门批准后方可开展经营活动，具体经营项目以相关部门批准文件或许可证件为准）一般项目：化工产品生产（不含许可类化工产品）；水污染治理；非居住房地产租赁；货物进出口。（除依法须经批准的项目外，凭营业执照依法自主开展经营活动）。企业当前经营状态为存续。</t>
  </si>
  <si>
    <t>许可项目：危险化学品生产；道路危险货物运输；道路货物运输（不含危险货物）；燃气经营。（依法须经批准的项目，经相关部门批准后方可开展经营活动，具体经营项目以相关部门批准文件或许可证件为准）一般项目：化工产品生产（不含许可类化工产品）；水污染治理；非居住房地产租赁；货物进出口。（除依法须经批准的项目外，凭营业执照依法自主开展经营活动）</t>
  </si>
  <si>
    <t>深圳市华联粮油贸易有限公司</t>
  </si>
  <si>
    <t>91440300192195980G</t>
  </si>
  <si>
    <t>深圳华联粮油贸易公司</t>
  </si>
  <si>
    <t>杜建国</t>
  </si>
  <si>
    <t>1985-08-30</t>
  </si>
  <si>
    <t>深圳市福田区福田街道福南社区福虹路9号世贸广场C座2001</t>
  </si>
  <si>
    <t>深圳市</t>
  </si>
  <si>
    <t>福田区</t>
  </si>
  <si>
    <t>0755-82351088</t>
  </si>
  <si>
    <t>0755-82355968;0755-26628668;4001124001;13332995918;0755-82355955</t>
  </si>
  <si>
    <t>hlly01@szhlgs.com</t>
  </si>
  <si>
    <t>385294561@qq.com;hualian201618@163.com</t>
  </si>
  <si>
    <t>440301102788719</t>
  </si>
  <si>
    <t>19219598-0</t>
  </si>
  <si>
    <t>51</t>
  </si>
  <si>
    <t>1985-08-30 至 无固定期限</t>
  </si>
  <si>
    <t>Shen ZHEN HUA LIAN Grains and OILS Trading Company</t>
  </si>
  <si>
    <t>https://www.zglsjy.com.cn</t>
  </si>
  <si>
    <t>深圳市福田区福虹路世贸广场C座20楼</t>
  </si>
  <si>
    <t>深圳市华联粮油贸易有限公司成立于1985-08-30，法定代表人为杜建国，注册资本为30000万元，统一社会信用代码为91440300192195980G，企业注册地址位于深圳市福田区福田街道福南社区福虹路9号世贸广场C座2001，所属行业为批发业，经营范围包含：国内贸易（法律、行政法规、国务院决定规定在登记前须经批准的项目除外）；经营进出口业务（法律、行政法规、国务院决定禁止的项目除外，限制的项目须取得许可后方可经营）；网上销售饲料；信息咨询、自有房屋租赁（不含人才中介服务及其它限制项目）；国际货运代理、国内货运代理（法律、行政法规、国务院决定需交通部门审批的，需交通部门审批后方可经营）。^粮油的购销、网上销售粮油；信息服务业务（仅限互联网信息服务业务）。企业当前经营状态为存续。</t>
  </si>
  <si>
    <t>国内贸易（法律、行政法规、国务院决定规定在登记前须经批准的项目除外）；经营进出口业务（法律、行政法规、国务院决定禁止的项目除外，限制的项目须取得许可后方可经营）；网上销售饲料；信息咨询、自有房屋租赁（不含人才中介服务及其它限制项目）；国际货运代理、国内货运代理（法律、行政法规、国务院决定需交通部门审批的，需交通部门审批后方可经营）。^粮油的购销、网上销售粮油；信息服务业务（仅限互联网信息服务业务）。</t>
  </si>
  <si>
    <t>深圳市市场监督管理局</t>
  </si>
  <si>
    <t>广西储银糖业有限公司</t>
  </si>
  <si>
    <t>91450100MA5NXDLKXG</t>
  </si>
  <si>
    <t>阮春华</t>
  </si>
  <si>
    <t>1333万元</t>
  </si>
  <si>
    <t>1093.05万元</t>
  </si>
  <si>
    <t>2019-07-05</t>
  </si>
  <si>
    <t>南宁市壮锦大道39号北部湾科技园总部基地B-3办公楼1906房</t>
  </si>
  <si>
    <t>江南区</t>
  </si>
  <si>
    <t>0771-3218606</t>
  </si>
  <si>
    <t>19163881933;18177165652;0771-4988118;15678917958</t>
  </si>
  <si>
    <t>1131889993@qq.com</t>
  </si>
  <si>
    <t>59960716@qq.com</t>
  </si>
  <si>
    <t>450112000239186</t>
  </si>
  <si>
    <t>MA5NXDLK-X</t>
  </si>
  <si>
    <t>2019-07-05 至 无固定期限</t>
  </si>
  <si>
    <t>制糖业</t>
  </si>
  <si>
    <t>Guangxi Chuyin Sugar Industry Co., Ltd.</t>
  </si>
  <si>
    <t>广西储银糖业有限公司成立于2019-07-05，法定代表人为阮春华，注册资本为1333万元，统一社会信用代码为91450100MA5NXDLKXG，企业注册地址位于南宁市壮锦大道39号北部湾科技园总部基地B-3办公楼1906房，所属行业为农副食品加工业，经营范围包含：生产：食品（凭许可证在有效期内经营，具体项目以审批部门批准的为准）；批发兼零售与网上销售：食品（凭许可证在有效期内经营，具体项目以审批部门批准的为准）；糖业信息咨询；食品加工技术的技术开发、技术咨询、技术转让、技术服务；国内货运代理；普通道路货物运输（凭许可证在有效期内经营，具体项目以审批部门批准的为准）；仓储服务（除危险化学品）；仓储信息咨询服务；物流信息咨询，搬运装卸服务，报关代理服务；供应链管理；数据处理及储存服务；货物及技术进出口业务（国家禁止或涉及行政审批的货物和技术进出口除外）。（依法须经批准的项目，经相关部门批准后方可开展经营活动。）。企业当前经营状态为存续。</t>
  </si>
  <si>
    <t>生产：食品（凭许可证在有效期内经营，具体项目以审批部门批准的为准）；批发兼零售与网上销售：食品（凭许可证在有效期内经营，具体项目以审批部门批准的为准）；糖业信息咨询；食品加工技术的技术开发、技术咨询、技术转让、技术服务；国内货运代理；普通道路货物运输（凭许可证在有效期内经营，具体项目以审批部门批准的为准）；仓储服务（除危险化学品）；仓储信息咨询服务；物流信息咨询，搬运装卸服务，报关代理服务；供应链管理；数据处理及储存服务；货物及技术进出口业务（国家禁止或涉及行政审批的货物和技术进出口除外）。（依法须经批准的项目，经相关部门批准后方可开展经营活动。）</t>
  </si>
  <si>
    <t>南宁市市场监督管理局经济技术开发区分局</t>
  </si>
  <si>
    <t>中石油燃料油有限责任公司东北销售分公司</t>
  </si>
  <si>
    <t>912101036833118519</t>
  </si>
  <si>
    <t>中油燃料油股份有限公司东北销售公司</t>
  </si>
  <si>
    <t>江发强</t>
  </si>
  <si>
    <t>2009-01-15</t>
  </si>
  <si>
    <t>沈阳市沈河区青年大街167号</t>
  </si>
  <si>
    <t>024-23182801</t>
  </si>
  <si>
    <t>024-23182557</t>
  </si>
  <si>
    <t>912101036833118519@inpost.com</t>
  </si>
  <si>
    <t>210103100007297@inpost.com;210103100007297@lnpost.cn</t>
  </si>
  <si>
    <t>210103100007297</t>
  </si>
  <si>
    <t>68331185-1</t>
  </si>
  <si>
    <t>88</t>
  </si>
  <si>
    <t>2009-01-15 至 无固定期限</t>
  </si>
  <si>
    <t>PetroChina Fuel Oil Co., Ltd. Northeast Sales Branch</t>
  </si>
  <si>
    <t>中石油燃料油有限责任公司东北销售分公司成立于2009-01-15，负责人为江发强，统一社会信用代码为912101036833118519，企业注册地址位于沈阳市沈河区青年大街167号，所属行业为批发业，经营范围包含：许可项目：危险化学品经营，道路货物运输（不含危险货物）（依法须经批准的项目，经相关部门批准后方可开展经营活动，具体经营项目以审批结果为准）一般项目：石油制品销售（不含危险化学品），化工产品销售（不含许可类化工产品），普通货物仓储服务（不含危险化学品等需许可审批的项目），国内货物运输代理，技术进出口，货物进出口，进出口代理（除依法须经批准的项目外，凭营业执照依法自主开展经营活动）。企业当前经营状态为存续。</t>
  </si>
  <si>
    <t>许可项目：危险化学品经营，道路货物运输（不含危险货物）（依法须经批准的项目，经相关部门批准后方可开展经营活动，具体经营项目以审批结果为准）一般项目：石油制品销售（不含危险化学品），化工产品销售（不含许可类化工产品），普通货物仓储服务（不含危险化学品等需许可审批的项目），国内货物运输代理，技术进出口，货物进出口，进出口代理（除依法须经批准的项目外，凭营业执照依法自主开展经营活动）</t>
  </si>
  <si>
    <t>中化石化电子商务（上海）有限公司</t>
  </si>
  <si>
    <t>91310105MA1FWHPG39</t>
  </si>
  <si>
    <t>夏尚</t>
  </si>
  <si>
    <t>2020-01-22</t>
  </si>
  <si>
    <t>上海市长宁区协和路1158号209室</t>
  </si>
  <si>
    <t>长宁区</t>
  </si>
  <si>
    <t>010-59568292</t>
  </si>
  <si>
    <t>13840920924;18121217080;021-62781635</t>
  </si>
  <si>
    <t>zhangsen02@sinochem.com</t>
  </si>
  <si>
    <t>wangjill@sinochem.com;distribution@sinochem.com</t>
  </si>
  <si>
    <t>MA1FWHPG-3</t>
  </si>
  <si>
    <t>2020-01-22 至 2070-01-21</t>
  </si>
  <si>
    <t>Sinopec E-commerce (Shanghai) Co., Ltd.</t>
  </si>
  <si>
    <t>https://www.1chemic.com</t>
  </si>
  <si>
    <t>中化石化电子商务（上海）有限公司成立于2020-01-22，法定代表人为夏尚，注册资本为4000万元，统一社会信用代码为91310105MA1FWHPG39，企业注册地址位于上海市长宁区协和路1158号209室，所属行业为商务服务业，经营范围包含：许可项目：电信业务。（依法须经批准的项目，经相关部门批准后方可开展经营活动，具体经营项目以相关部门批准文件或许可证件为准）一般项目：电子商务（不得从事金融业务），销售成品油、燃料油、航空油料、化工原料及产品（危险化学品经营范围详见许可证），货物或技术进出口（国家禁止或涉及行政审批的货物和技术进出口除外），从事计算机技术、计算机软件领域内的技术开发、技术转让、技术咨询、技术服务，仓储服务（除危险品），国内货物运输代理，无船承运业务。（除依法须经批准的项目外，凭营业执照依法自主开展经营活动）。企业当前经营状态为存续。</t>
  </si>
  <si>
    <t>许可项目：电信业务。（依法须经批准的项目，经相关部门批准后方可开展经营活动，具体经营项目以相关部门批准文件或许可证件为准）一般项目：电子商务（不得从事金融业务），销售成品油、燃料油、航空油料、化工原料及产品（危险化学品经营范围详见许可证），货物或技术进出口（国家禁止或涉及行政审批的货物和技术进出口除外），从事计算机技术、计算机软件领域内的技术开发、技术转让、技术咨询、技术服务，仓储服务（除危险品），国内货物运输代理，无船承运业务。（除依法须经批准的项目外，凭营业执照依法自主开展经营活动）</t>
  </si>
  <si>
    <t>长宁区市场监督管理局</t>
  </si>
  <si>
    <t>扎赉特旗民升粮贸有限责任公司</t>
  </si>
  <si>
    <t>91152223793600160C</t>
  </si>
  <si>
    <t>王春蒙</t>
  </si>
  <si>
    <t>2006-09-07</t>
  </si>
  <si>
    <t>内蒙古自治区兴安盟扎赉特旗巴彦高勒镇巴彦高勒村</t>
  </si>
  <si>
    <t>18748217771</t>
  </si>
  <si>
    <t>13948897002;0482-6765866;0482-6768118;0482-6765118</t>
  </si>
  <si>
    <t>2658919949@qq.com</t>
  </si>
  <si>
    <t>912314723@qq.com</t>
  </si>
  <si>
    <t>152223000005537</t>
  </si>
  <si>
    <t>79360016-0</t>
  </si>
  <si>
    <t>2006-09-07 至 2036-09-06</t>
  </si>
  <si>
    <t>Jalaid Qi Minsheng Grain Trade Co., Ltd.</t>
  </si>
  <si>
    <t>扎赉特旗民升粮贸有限责任公司成立于2006-09-07，法定代表人为王春蒙，注册资本为4000万元，统一社会信用代码为91152223793600160C，企业注册地址位于内蒙古自治区兴安盟扎赉特旗巴彦高勒镇巴彦高勒村，所属行业为批发业，经营范围包含：许可经营项目：无 一般经营项目：粮食收购、粮食仓储、销售，药材收购（国家限制品种除外）、销售。企业当前经营状态为存续。</t>
  </si>
  <si>
    <t>许可经营项目：无 一般经营项目：粮食收购、粮食仓储、销售，药材收购（国家限制品种除外）、销售</t>
  </si>
  <si>
    <t>五得利集团兴化面粉有限公司</t>
  </si>
  <si>
    <t>913212816725470250</t>
  </si>
  <si>
    <t>张博</t>
  </si>
  <si>
    <t>2008-04-22</t>
  </si>
  <si>
    <t>兴化市经济开发区丰收路南端西侧</t>
  </si>
  <si>
    <t>兴化市</t>
  </si>
  <si>
    <t>0523-82303608</t>
  </si>
  <si>
    <t>18252622223</t>
  </si>
  <si>
    <t>xinghua@wudeli.com</t>
  </si>
  <si>
    <t>321281000070171</t>
  </si>
  <si>
    <t>67254702-5</t>
  </si>
  <si>
    <t>455</t>
  </si>
  <si>
    <t>2008-04-22 至 无固定期限</t>
  </si>
  <si>
    <t>Wudeli Group Xinghua Flour Co., Ltd.</t>
  </si>
  <si>
    <t>五得利集团兴化面粉有限公司成立于2008-04-22，法定代表人为张博，注册资本为60000万元，统一社会信用代码为913212816725470250，企业注册地址位于兴化市经济开发区丰收路南端西侧，所属行业为农副食品加工业，经营范围包含：小麦粉（通用、专用）加工、销售，粮食收购、销售，麸皮、次粉、麦胚加工、销售，自有房屋租赁，各类商品和技术的进出口业务（国家限制企业经营和禁止进出口的商品和技术除外）。（依法须经批准的项目，经相关部门批准后方可开展经营活动）。企业当前经营状态为在业。</t>
  </si>
  <si>
    <t>小麦粉（通用、专用）加工、销售，粮食收购、销售，麸皮、次粉、麦胚加工、销售，自有房屋租赁，各类商品和技术的进出口业务（国家限制企业经营和禁止进出口的商品和技术除外）。（依法须经批准的项目，经相关部门批准后方可开展经营活动）</t>
  </si>
  <si>
    <t>兴化市数据局</t>
  </si>
  <si>
    <t>双辽市中盛粮食收购有限公司</t>
  </si>
  <si>
    <t>91220382MA7CJU4R24</t>
  </si>
  <si>
    <t>高洪文</t>
  </si>
  <si>
    <t>2021-11-25</t>
  </si>
  <si>
    <t>四平市双辽市那木乡那木村（宝地粮贸）等2处</t>
  </si>
  <si>
    <t>四平市</t>
  </si>
  <si>
    <t>双辽市</t>
  </si>
  <si>
    <t>13944431090</t>
  </si>
  <si>
    <t>ch@qq.com</t>
  </si>
  <si>
    <t>13944431090@qq.com;940659787@qq.com;1191918707@qq.com</t>
  </si>
  <si>
    <t>MA7CJU4R-2</t>
  </si>
  <si>
    <t>2021-11-25 至 无固定期限</t>
  </si>
  <si>
    <t>Shuangliao Zhongsheng Grain Purchase Co., Ltd.</t>
  </si>
  <si>
    <t>双辽市红旗镇敖卜村四屯</t>
  </si>
  <si>
    <t>双辽市中盛粮食收购有限公司成立于2021-11-25，法定代表人为高洪文，注册资本为500万元，统一社会信用代码为91220382MA7CJU4R24，企业注册地址位于四平市双辽市那木乡那木村（宝地粮贸）等2处，所属行业为批发业，经营范围包含：一般项目：粮食收购；农副产品销售；肥料销售；农业机械服务；技术服务、技术开发、技术咨询、技术交流、技术转让、技术推广；初级农产品收购。（除依法须经批准的项目外，凭营业执照依法自主开展经营活动）。企业当前经营状态为存续。</t>
  </si>
  <si>
    <t>一般项目：粮食收购；农副产品销售；肥料销售；农业机械服务；技术服务、技术开发、技术咨询、技术交流、技术转让、技术推广；初级农产品收购。（除依法须经批准的项目外，凭营业执照依法自主开展经营活动）</t>
  </si>
  <si>
    <t>双辽市市场监督管理局</t>
  </si>
  <si>
    <t>沧州渤海新区安盛国际贸易有限公司</t>
  </si>
  <si>
    <t>91130992MA0FU5AJ7D</t>
  </si>
  <si>
    <t>刘超</t>
  </si>
  <si>
    <t>2020-12-11</t>
  </si>
  <si>
    <t>河北省沧州市渤海新区开创路01号</t>
  </si>
  <si>
    <t>13803021918</t>
  </si>
  <si>
    <t>130992000038533</t>
  </si>
  <si>
    <t>MA0FU5AJ-7</t>
  </si>
  <si>
    <t>2020-12-11 至 无固定期限</t>
  </si>
  <si>
    <t>Cangzhou Bohai New Area Ansheng International Trade Co., Ltd.</t>
  </si>
  <si>
    <t>沧州渤海新区安盛国际贸易有限公司成立于2020-12-11，法定代表人为刘超，注册资本为1000万元，统一社会信用代码为91130992MA0FU5AJ7D，企业注册地址位于河北省沧州市渤海新区开创路01号，所属行业为批发业，经营范围包含：许可项目：食品生产；食品销售。（依法须经批准的项目，经相关部门批准后方可开展经营活动，具体经营项目以相关部门批准文件或许可证件为准）一般项目：农副产品销售；初级农产品收购；技术进出口；货物进出口；食用农产品初加工；食用农产品批发；食用农产品零售。（除依法须经批准的项目外，凭营业执照依法自主开展经营活动）。企业当前经营状态为存续。</t>
  </si>
  <si>
    <t>许可项目：食品生产；食品销售。（依法须经批准的项目，经相关部门批准后方可开展经营活动，具体经营项目以相关部门批准文件或许可证件为准）一般项目：农副产品销售；初级农产品收购；技术进出口；货物进出口；食用农产品初加工；食用农产品批发；食用农产品零售。（除依法须经批准的项目外，凭营业执照依法自主开展经营活动）</t>
  </si>
  <si>
    <t>五得利集团遂平面粉有限公司</t>
  </si>
  <si>
    <t>91411728MA444JB01E</t>
  </si>
  <si>
    <t>范艳萍</t>
  </si>
  <si>
    <t>2017-07-03</t>
  </si>
  <si>
    <t>中国（驻马店）国际农产品加工产业园（遂平县北环路与经六路交叉口）</t>
  </si>
  <si>
    <t>0396-4665177</t>
  </si>
  <si>
    <t>0396-2310928</t>
  </si>
  <si>
    <t>suipinggs@wudeli.com</t>
  </si>
  <si>
    <t>411728000026786</t>
  </si>
  <si>
    <t>MA444JB0-1</t>
  </si>
  <si>
    <t>259</t>
  </si>
  <si>
    <t>2017-07-03 至 无固定期限</t>
  </si>
  <si>
    <t>Wudeli Group Suiping Flour Co., Ltd.</t>
  </si>
  <si>
    <t>五得利集团遂平面粉有限公司占地207亩，建筑面积12万平方米，主要建设包括原粮仓、成品库、粉仓、研发楼及其配套设施。设备采用国际上先进的布勒生产设备和瑞典、德国进口的检测设备。具有国际先进水平全自动控制，长粉路、高精度，封闭无尘面粉生产新工艺项目，形成日加工小麦6000吨，年加工小麦190万吨的生产能力。五得利目前正在建设的“数字化工厂项目”，将企业资源管理系统（SAP）、设备管理系统（EAM系统）、客户关系管理系统（CRM)、OA协同办公系统引入到企业的生产经营管理中，并搭建了具有独立知识产权的物流信息平台，努力打造为信息化、数字化工厂，成为我国面粉行业“数字化工厂”的示范标杆，对标“德国工业4.0”和“中国制造2025”，做中国面粉行业转型升级的探路者。</t>
  </si>
  <si>
    <t>小麦粉（通用、专用）生产销售；粮食收购、销售；饲料原料（小麦次粉、小麦麸、小麦胚）的生产销售；自有房屋租赁、自营货物进出口业务</t>
  </si>
  <si>
    <t>广东中南钢铁股份有限公司</t>
  </si>
  <si>
    <t>914402002311293467</t>
  </si>
  <si>
    <t>广东韶钢松山股份有限公司</t>
  </si>
  <si>
    <t>兰银</t>
  </si>
  <si>
    <t>242384.559万元</t>
  </si>
  <si>
    <t>1997-04-29</t>
  </si>
  <si>
    <t>广东省韶关市曲江区马坝</t>
  </si>
  <si>
    <t>0751-8791201</t>
  </si>
  <si>
    <t>0751-8785789;0751-8786374;0751-8787265;13922590353;15012401192;13631373180;13640003443;18664733500;13826319506</t>
  </si>
  <si>
    <t>a30331@baosteel.com</t>
  </si>
  <si>
    <t>a30331@baost.com;sgss@baosteel.com</t>
  </si>
  <si>
    <t>股份有限公司（上市、国有控股）</t>
  </si>
  <si>
    <t>440000000023546</t>
  </si>
  <si>
    <t>23112934-6</t>
  </si>
  <si>
    <t>5445</t>
  </si>
  <si>
    <t>1997-04-29 至 无固定期限</t>
  </si>
  <si>
    <t>Guangdong Zhongnan Iron and Steel Co., Ltd.</t>
  </si>
  <si>
    <t>http://www.sgyxzx.com</t>
  </si>
  <si>
    <t>广东中南钢铁股份有限公司(2022年10月22日由韶钢松山更名，以下简称“中南股份”或“公司”)是宝武集团中南钢铁有限公司控股子公司，位于广东省韶关市曲江区。位列2023年《财富》中国上市公司500强第325位。公司于1997年在深圳证券交易所挂牌上市，是中国宝武集团在广东省重要的钢铁制造基地之一。产品主要包括特棒、工业线材、建筑材、板材，广泛应用于汽车、机械制造、能源交通、航天航空、核电等行业。公司先后获评国家工信部“绿色工厂”、国家3A级旅游景区和广东省知识产权示范企业称号，被认定为国家技术企业，拥有省级企业技术中心和省级重点工程技术研究开发中心，设立了国家级博士后科研工作站和广东省博士工作站。公司致力于打造成为华南地区最具竞争力的钢铁产品和服务供应商，成为中南地区优特钢长材精品制造基地。近年来，公司坚持以***新时代中国特色社会主义思想为指导，深入贯彻落实***总书记关于做强做优做大国有企业的重要指示精神，坚决贯彻落实***总书记考察调研中国宝武和广东省重要讲话和指示批示精神，坚持走“高端化、智能化、绿色化、高效化”高质量发展之路。立足新发展阶段，贯彻新发展理念，构建新发展格局，公司深入推进“三高两化”,坚持宝武集团“四化”“四有”经营方针，锚定“98135”战略发展目标，强化算账经营和精益运营，构建极致高效、极致成本、绿色低碳、创新引领的钢铁基地。持续深化改革创新，发挥钢铁产业链链长优势，不断提升制造体系能力，全面开创转型升级高质量发展新局面。</t>
  </si>
  <si>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</si>
  <si>
    <t>韶关市市场监督管理局</t>
  </si>
  <si>
    <t>江西省粮油集团有限公司深圳分公司</t>
  </si>
  <si>
    <t>91440300MA5FYWR8XR</t>
  </si>
  <si>
    <t>杨卫东</t>
  </si>
  <si>
    <t>2019-12-05</t>
  </si>
  <si>
    <t>深圳市罗湖区桂园街道大塘龙社区宝安南路3042号松园南小区18栋102</t>
  </si>
  <si>
    <t>罗湖区</t>
  </si>
  <si>
    <t>15279181196</t>
  </si>
  <si>
    <t>540800201@qq.com</t>
  </si>
  <si>
    <t>有限责任公司分公司</t>
  </si>
  <si>
    <t>440300208873649</t>
  </si>
  <si>
    <t>MA5FYWR8-X</t>
  </si>
  <si>
    <t>2019-12-05 至 无固定期限</t>
  </si>
  <si>
    <t>Jiangxi Grain and Oil Group Co., Ltd. Shenzhen Branch</t>
  </si>
  <si>
    <t>江西省粮油集团有限公司深圳分公司成立于2019-12-05，负责人为杨卫东，统一社会信用代码为91440300MA5FYWR8XR，企业注册地址位于深圳市罗湖区桂园街道大塘龙社区宝安南路3042号松园南小区18栋102，所属行业为批发业，经营范围包含：仓储（不含易燃易爆化学危险品）；粮食、饲料、普通机械、建筑材料、粮油包装器材、家具的批发、零售；棉花销售；棉、麻销售。（企业经营涉及行政许可的，须取得行政许可文件后方可经营）^食用油的批发、零售。企业当前经营状态为存续。</t>
  </si>
  <si>
    <t>仓储（不含易燃易爆化学危险品）；粮食、饲料、普通机械、建筑材料、粮油包装器材、家具的批发、零售；棉花销售；棉、麻销售。（企业经营涉及行政许可的，须取得行政许可文件后方可经营）^食用油的批发、零售。</t>
  </si>
  <si>
    <t>吉林市荣骐粮业有限公司</t>
  </si>
  <si>
    <t>91220221598837218H</t>
  </si>
  <si>
    <t>张永锋</t>
  </si>
  <si>
    <t>2012-08-27</t>
  </si>
  <si>
    <t>永吉县金家乡金家村三社</t>
  </si>
  <si>
    <t>15567447777</t>
  </si>
  <si>
    <t>15124337567;13578563777;13261114447;0432-64142777;13944240399</t>
  </si>
  <si>
    <t>2422788331@qq.com</t>
  </si>
  <si>
    <t>670029788@qq.com;529805638@qq.com;yinchengshu2008@163.com;649111257@qq.com</t>
  </si>
  <si>
    <t>220221000100486</t>
  </si>
  <si>
    <t>59883721-8</t>
  </si>
  <si>
    <t>2012-08-27 至 无固定期限</t>
  </si>
  <si>
    <t>Jilin Rongqi Grain Industry Co., Ltd.</t>
  </si>
  <si>
    <t>吉林市荣骐粮业有限公司成立于2012-08-27，法定代表人为张永锋，注册资本为1000万元，统一社会信用代码为91220221598837218H，企业注册地址位于永吉县金家乡金家村三社，所属行业为批发业，经营范围包含：粮食购销、烘干、仓储、保管服务；机械设备、厂房、场地租赁；装卸、搬运服务；农副产品销售；冷冻服务；家禽、家畜、鸽子养殖、销售（依法须经批准的项目，经相关部门批准后方可开展经营活动）。企业当前经营状态为存续。</t>
  </si>
  <si>
    <t>粮食购销、烘干、仓储、保管服务；机械设备、厂房、场地租赁；装卸、搬运服务；农副产品销售；冷冻服务；家禽、家畜、鸽子养殖、销售（依法须经批准的项目，经相关部门批准后方可开展经营活动）。</t>
  </si>
  <si>
    <t>五得利集团周口面粉有限公司</t>
  </si>
  <si>
    <t>914116007662045767</t>
  </si>
  <si>
    <t>闫福俊</t>
  </si>
  <si>
    <t>2005-10-14</t>
  </si>
  <si>
    <t>河南省周口市周口大道南段1号</t>
  </si>
  <si>
    <t>淮阳区</t>
  </si>
  <si>
    <t>13938085436</t>
  </si>
  <si>
    <t>0394-8312665</t>
  </si>
  <si>
    <t>zhoukou@wudeli.com</t>
  </si>
  <si>
    <t>wdlzkb@163.com</t>
  </si>
  <si>
    <t>411600100002204</t>
  </si>
  <si>
    <t>76620457-6</t>
  </si>
  <si>
    <t>2005-10-14 至 无固定期限</t>
  </si>
  <si>
    <t>WUDELI Group Zhoukou Flour Co., Ltd.</t>
  </si>
  <si>
    <t>五得利集团周口面粉有限公司成立于2005-10-14，法定代表人为闫福俊，注册资本为2000万元，统一社会信用代码为914116007662045767，企业注册地址位于河南省周口市周口大道南段1号，所属行业为批发业，经营范围包含：小麦粉（专用、通用）及其制品生产、销售；小麦麸、小麦次粉、小麦胚、预拌粉生产、销售；粮食收购、销售；出租自有办公用房、商业用房；自营和代理货物及技术的进出口业务。（涉及许可经营项目，应取得相关部门许可后方可经营）。企业当前经营状态为存续。</t>
  </si>
  <si>
    <t>小麦粉（专用、通用）及其制品生产、销售；小麦麸、小麦次粉、小麦胚、预拌粉生产、销售；粮食收购、销售；出租自有办公用房、商业用房；自营和代理货物及技术的进出口业务。（涉及许可经营项目，应取得相关部门许可后方可经营）</t>
  </si>
  <si>
    <t>周口市市场监督管理局</t>
  </si>
  <si>
    <t>宜城市广惠生物科技有限公司</t>
  </si>
  <si>
    <t>91420684MA49JPXF7R</t>
  </si>
  <si>
    <t>张中阳</t>
  </si>
  <si>
    <t>湖北省襄阳市宜城市鄢城街道随南路68号</t>
  </si>
  <si>
    <t>13907272731</t>
  </si>
  <si>
    <t>1282070843@cc.com</t>
  </si>
  <si>
    <t>1282070843@qq.com</t>
  </si>
  <si>
    <t>420684000135730</t>
  </si>
  <si>
    <t>MA49JPXF-7</t>
  </si>
  <si>
    <t>2020-08-24 至 无固定期限</t>
  </si>
  <si>
    <t>Yicheng Guanghui Biotechnology Co., Ltd.</t>
  </si>
  <si>
    <t>宜城市广惠生物科技有限公司成立于2020-08-24，法定代表人为张中阳，注册资本为500万元，统一社会信用代码为91420684MA49JPXF7R，企业注册地址位于湖北省襄阳市宜城市鄢城街道随南路68号，所属行业为科技推广和应用服务业，经营范围包含：废弃动植物油脂、非食用油脂、动植物油脂、工业级混合油、脂肪酸、工业油脂的收购、仓储、加工、销售；油脂化工产品（不含危险化学品）的销售；油脂化工技术研发及服务；货物及技术进出口业务。（依法须经批准的项目，经相关部门批准后方可开展经营活动）（涉及许可经营项目，应取得相关部门许可后方可经营）。企业当前经营状态为存续。</t>
  </si>
  <si>
    <t>废弃动植物油脂、非食用油脂、动植物油脂、工业级混合油、脂肪酸、工业油脂的收购、仓储、加工、销售；油脂化工产品（不含危险化学品）的销售；油脂化工技术研发及服务；货物及技术进出口业务。（依法须经批准的项目，经相关部门批准后方可开展经营活动）（涉及许可经营项目，应取得相关部门许可后方可经营）</t>
  </si>
  <si>
    <t>江苏国泰汉帛实业发展有限公司</t>
  </si>
  <si>
    <t>91320582060245579N</t>
  </si>
  <si>
    <t>江苏国泰汉帛贸易有限公司</t>
  </si>
  <si>
    <t>张斌</t>
  </si>
  <si>
    <t>张家港市杨舍镇滨河路1号国泰金融广场B幢16-30楼</t>
  </si>
  <si>
    <t>0512-58180062</t>
  </si>
  <si>
    <t>0512-58696400;0512-58696460;13913299666</t>
  </si>
  <si>
    <t>lindazxf@gtighl.com.cn</t>
  </si>
  <si>
    <t>lindazxf@163.com;zhwhl@gtig.com;hr@gtighl.com.cn</t>
  </si>
  <si>
    <t>320582000276648</t>
  </si>
  <si>
    <t>06024557-9</t>
  </si>
  <si>
    <t>795</t>
  </si>
  <si>
    <t>2013-01-08 至 无固定期限</t>
  </si>
  <si>
    <t>Gtig Hubo Industrial Co., Ltd.</t>
  </si>
  <si>
    <t>http://www.gtighubo.com</t>
  </si>
  <si>
    <t>江苏国泰汉帛实业发展有限公司成立于2013-01-08，法定代表人为张斌，注册资本为20000万元，统一社会信用代码为91320582060245579N，企业注册地址位于张家港市杨舍镇滨河路1号国泰金融广场B幢16-30楼，所属行业为批发业，经营范围包含：商业物资供销业；货物或技术进出口（国家禁止或涉及行政审批的货物和技术进出口除外）；纺织品、服装生产加工（限分支机构经营）；纺织原料、服装、面料的技术研发；汽车及汽车零部件购销；企业咨询管理服务、国际货运代理、食品销售（按许可证所列范围经营）。第一类医疗器械销售；第二类医疗器械销售；卫生用品和一次性使用医疗用品销售；医用口罩零售；医用口罩批发（依法须经批准的项目，经相关部门批准后方可开展经营活动）
一般项目：家居用品销售；茶具销售；日用玻璃制品销售；搪瓷制品销售；日用陶瓷制品销售；日用品销售；木制容器销售；金属包装容器及材料销售（除依法须经批准的项目外，凭营业执照依法自主开展经营活动）。企业当前经营状态为在业。</t>
  </si>
  <si>
    <t>商业物资供销业；货物或技术进出口（国家禁止或涉及行政审批的货物和技术进出口除外）；纺织品、服装生产加工（限分支机构经营）；纺织原料、服装、面料的技术研发；汽车及汽车零部件购销；企业咨询管理服务、国际货运代理、食品销售（按许可证所列范围经营）。第一类医疗器械销售；第二类医疗器械销售；卫生用品和一次性使用医疗用品销售；医用口罩零售；医用口罩批发（依法须经批准的项目，经相关部门批准后方可开展经营活动）
一般项目：家居用品销售；茶具销售；日用玻璃制品销售；搪瓷制品销售；日用陶瓷制品销售；日用品销售；木制容器销售；金属包装容器及材料销售（除依法须经批准的项目外，凭营业执照依法自主开展经营活动）</t>
  </si>
  <si>
    <t>新和金泰实业有限公司</t>
  </si>
  <si>
    <t>91652925556457997W</t>
  </si>
  <si>
    <t>金光汉</t>
  </si>
  <si>
    <t>2010-06-06</t>
  </si>
  <si>
    <t>新疆阿克苏地区新和县314国道797公里处南侧</t>
  </si>
  <si>
    <t>新和县</t>
  </si>
  <si>
    <t>15899359573</t>
  </si>
  <si>
    <t>18909974102;13899266266;0997-8211211;0997-8211168</t>
  </si>
  <si>
    <t>380181808@qq.com</t>
  </si>
  <si>
    <t>563364480@qq.com</t>
  </si>
  <si>
    <t>652925050000690</t>
  </si>
  <si>
    <t>55645799-7</t>
  </si>
  <si>
    <t>2010-06-06 至 无固定期限</t>
  </si>
  <si>
    <t>Xinhe Jintai Industrial Co., Ltd.</t>
  </si>
  <si>
    <t>新和金泰实业有限公司成立于2010-06-06，法定代表人为金光汉，注册资本为3000万元，统一社会信用代码为91652925556457997W，企业注册地址位于新疆阿克苏地区新和县314国道797公里处南侧，所属行业为农、林、牧、渔专业及辅助性活动，经营范围包含：棉花收购加工；棉、化纤加工及销售。（依法须经批准的项目，经相关部门批准后方可开展经营活动）。企业当前经营状态为存续。</t>
  </si>
  <si>
    <t>棉花收购加工；棉、化纤加工及销售。（依法须经批准的项目，经相关部门批准后方可开展经营活动）</t>
  </si>
  <si>
    <t>新和县市场监督管理局</t>
  </si>
  <si>
    <t>苏州恒丽帆贸易有限公司</t>
  </si>
  <si>
    <t>91320592MA1YBGAW93</t>
  </si>
  <si>
    <t>殷卫</t>
  </si>
  <si>
    <t>2019-05-05</t>
  </si>
  <si>
    <t>张家港保税区纺织原料市场216-2902室</t>
  </si>
  <si>
    <t>13358030617</t>
  </si>
  <si>
    <t>278839794@qq.com</t>
  </si>
  <si>
    <t>MA1YBGAW-9</t>
  </si>
  <si>
    <t>2019-05-05 至 无固定期限</t>
  </si>
  <si>
    <t>Suzhou Henglifan Trading Co., Ltd.</t>
  </si>
  <si>
    <t>苏州恒丽帆贸易有限公司成立于2019-05-05，法定代表人为殷卫，注册资本为500万元，统一社会信用代码为91320592MA1YBGAW93，企业注册地址位于张家港保税区纺织原料市场216-2902室，所属行业为批发业，经营范围包含：一般项目：针纺织品及原料销售；纺织、服装及家庭用品批发；棉、麻销售；服装辅料销售；包装材料及制品销售；五金产品批发；电子元器件与机电组件设备销售；建筑材料销售；轻质建筑材料销售；办公用品销售；金属材料销售；电子产品销售；日用百货销售；机械设备销售；机械零件、零部件销售；化工产品销售（不含许可类化工产品）；非金属矿及制品销售；金属矿石销售；橡胶制品销售；塑料制品销售；信息咨询服务（不含许可类信息咨询服务）；货物进出口；技术进出口（除依法须经批准的项目外，凭营业执照依法自主开展经营活动）。企业当前经营状态为存续。</t>
  </si>
  <si>
    <t>一般项目：针纺织品及原料销售；纺织、服装及家庭用品批发；棉、麻销售；服装辅料销售；包装材料及制品销售；五金产品批发；电子元器件与机电组件设备销售；建筑材料销售；轻质建筑材料销售；办公用品销售；金属材料销售；电子产品销售；日用百货销售；机械设备销售；机械零件、零部件销售；化工产品销售（不含许可类化工产品）；非金属矿及制品销售；金属矿石销售；橡胶制品销售；塑料制品销售；信息咨询服务（不含许可类信息咨询服务）；货物进出口；技术进出口（除依法须经批准的项目外，凭营业执照依法自主开展经营活动）</t>
  </si>
  <si>
    <t>安美桥（南宫）羊绒制品有限公司</t>
  </si>
  <si>
    <t>91130500079985278B</t>
  </si>
  <si>
    <t>高瑞星</t>
  </si>
  <si>
    <t>1200万美元</t>
  </si>
  <si>
    <t>239.999万美元</t>
  </si>
  <si>
    <t>2013-10-28</t>
  </si>
  <si>
    <t>河北省邢台市南宫市工业聚集区内通达街以北、大庆街以南、经一路以东、经二路以西</t>
  </si>
  <si>
    <t>0319-5220108</t>
  </si>
  <si>
    <t>0319-5220105;13930161178;0319-5220126</t>
  </si>
  <si>
    <t>610980473@qq.com</t>
  </si>
  <si>
    <t>18831916254@163.com</t>
  </si>
  <si>
    <t>130500400003188</t>
  </si>
  <si>
    <t>07998527-8</t>
  </si>
  <si>
    <t>220</t>
  </si>
  <si>
    <t>2013-10-28 至 2063-10-27</t>
  </si>
  <si>
    <t>Amicale(Nangong)Cashmere Products Co., Ltd.</t>
  </si>
  <si>
    <t>https://www.amicale.cn</t>
  </si>
  <si>
    <t>安美桥（南宫）羊绒制品有限公司成立于2013-10-28，法定代表人为高瑞星，注册资本为1200万美元，统一社会信用代码为91130500079985278B，企业注册地址位于河北省邢台市南宫市工业聚集区内通达街以北、大庆街以南、经一路以东、经二路以西，所属行业为纺织服装、服饰业，经营范围包含：一般项目：面料纺织加工；面料印染加工；绣花加工；毛皮制品加工；皮革制品制造；服装制造；服饰制造；服装服饰零售；服装服饰批发；服装辅料制造；服装辅料销售；针织或钩针编织物及其制品制造；针纺织品销售；染料制造；染料销售；针纺织品及原料销售；服饰研发；皮革制品销售；产业用纺织制成品销售；新型催化材料及助剂销售；专业设计服务；技术服务、技术开发、技术咨询、技术交流、技术转让、技术推广；新材料技术研发；碳纤维再生利用技术研发；普通货物仓储服务（不含危险化学品等需许可审批的项目）；机械设备租赁；非居住房地产租赁；初级农产品收购。（除依法须经批准的项目外，凭营业执照依法自主开展经营活动）许可项目：道路货物运输（不含危险货物）；发电业务、输电业务、供（配）电业务。（依法须经批准的项目，经相关部门批准后方可开展经营活动，具体经营项目以相关部门批准文件或许可证件为准）。企业当前经营状态为存续。</t>
  </si>
  <si>
    <t>一般项目：面料纺织加工；面料印染加工；绣花加工；毛皮制品加工；皮革制品制造；服装制造；服饰制造；服装服饰零售；服装服饰批发；服装辅料制造；服装辅料销售；针织或钩针编织物及其制品制造；针纺织品销售；染料制造；染料销售；针纺织品及原料销售；服饰研发；皮革制品销售；产业用纺织制成品销售；新型催化材料及助剂销售；专业设计服务；技术服务、技术开发、技术咨询、技术交流、技术转让、技术推广；新材料技术研发；碳纤维再生利用技术研发；普通货物仓储服务（不含危险化学品等需许可审批的项目）；机械设备租赁；非居住房地产租赁；初级农产品收购。（除依法须经批准的项目外，凭营业执照依法自主开展经营活动）许可项目：道路货物运输（不含危险货物）；发电业务、输电业务、供（配）电业务。（依法须经批准的项目，经相关部门批准后方可开展经营活动，具体经营项目以相关部门批准文件或许可证件为准）</t>
  </si>
  <si>
    <t>邢台市市场监督管理局</t>
  </si>
  <si>
    <t>上海纺投贸易有限公司</t>
  </si>
  <si>
    <t>91310000MA1K380B52</t>
  </si>
  <si>
    <t>盛一鸣</t>
  </si>
  <si>
    <t>75000万元</t>
  </si>
  <si>
    <t>2016-02-16</t>
  </si>
  <si>
    <t>中国（上海）自由贸易试验区临港新片区顺通路5号B座405B室</t>
  </si>
  <si>
    <t>021-62102600</t>
  </si>
  <si>
    <t>zhangjie@cottonsh.com</t>
  </si>
  <si>
    <t>310141000271867</t>
  </si>
  <si>
    <t>MA1K380B-5</t>
  </si>
  <si>
    <t>2016-02-16 至 无固定期限</t>
  </si>
  <si>
    <t>Shangtex Investment &amp; Trading Co., Ltd.</t>
  </si>
  <si>
    <t>上海市中山北路2900号C栋1层</t>
  </si>
  <si>
    <t>上海纺投贸易有限公司成立于2016-02-16，法定代表人为盛一鸣，注册资本为75000万元，统一社会信用代码为91310000MA1K380B52，企业注册地址位于中国（上海）自由贸易试验区临港新片区顺通路5号B座405B室，所属行业为零售业，经营范围包含：一般项目：食品销售（仅销售预包装食品）；食品互联网销售（仅销售预包装食品）；技术进出口；货物进出口；国内贸易代理；信息咨询服务（不含许可类信息咨询服务）；供应链管理服务；针纺织品及原料销售；化工产品销售（不含许可类化工产品）；再生资源销售；生物化工产品技术研发；皮革制品销售；包装材料及制品销售；日用品销售；个人卫生用品销售；日用百货销售；五金产品批发；五金产品零售；机械设备销售；机械设备租赁；家用电器销售；电子元器件与机电组件设备销售；电工仪器仪表销售；智能仪器仪表销售；第一类医疗器械销售；建筑材料销售；金属材料销售；石油制品销售（不含危险化学品）；橡胶制品销售；纸浆销售；纸制品销售；煤炭及制品销售；有色金属合金销售；非金属矿及制品销售；木材销售；日用木制品销售；金属矿石销售；食用农产品批发。（除依法须经批准的项目外，凭营业执照依法自主开展经营活动）许可项目：危险化学品经营；食品销售。（依法须经批准的项目，经相关部门批准后方可开展经营活动，具体经营项目以相关部门批准文件或许可证件为准）。企业当前经营状态为存续。</t>
  </si>
  <si>
    <t>一般项目：食品销售（仅销售预包装食品）；食品互联网销售（仅销售预包装食品）；技术进出口；货物进出口；国内贸易代理；信息咨询服务（不含许可类信息咨询服务）；供应链管理服务；针纺织品及原料销售；化工产品销售（不含许可类化工产品）；再生资源销售；生物化工产品技术研发；皮革制品销售；包装材料及制品销售；日用品销售；个人卫生用品销售；日用百货销售；五金产品批发；五金产品零售；机械设备销售；机械设备租赁；家用电器销售；电子元器件与机电组件设备销售；电工仪器仪表销售；智能仪器仪表销售；第一类医疗器械销售；建筑材料销售；金属材料销售；石油制品销售（不含危险化学品）；橡胶制品销售；纸浆销售；纸制品销售；煤炭及制品销售；有色金属合金销售；非金属矿及制品销售；木材销售；日用木制品销售；金属矿石销售；食用农产品批发。（除依法须经批准的项目外，凭营业执照依法自主开展经营活动）许可项目：危险化学品经营；食品销售。（依法须经批准的项目，经相关部门批准后方可开展经营活动，具体经营项目以相关部门批准文件或许可证件为准）</t>
  </si>
  <si>
    <t>萍乡浏阳河饲料有限公司</t>
  </si>
  <si>
    <t>91360301696084168R</t>
  </si>
  <si>
    <t>万立恒</t>
  </si>
  <si>
    <t>江西省萍乡市萍乡经济开发区上柳源管理处</t>
  </si>
  <si>
    <t>萍乡市</t>
  </si>
  <si>
    <t>安源区</t>
  </si>
  <si>
    <t>0799-2191666</t>
  </si>
  <si>
    <t>15084835742;0799-2191881</t>
  </si>
  <si>
    <t>66440626@qq.com</t>
  </si>
  <si>
    <t>54096877@qq.com;82177493@qq.com;554055028@qq.com;568371981@qq.com</t>
  </si>
  <si>
    <t>360301020000166</t>
  </si>
  <si>
    <t>69608416-8</t>
  </si>
  <si>
    <t>2009-11-05 至 2029-11-05</t>
  </si>
  <si>
    <t>Pingxiang Liuyanghe Feed Co., Ltd.</t>
  </si>
  <si>
    <t>萍乡浏阳河饲料有限公司成立于2009-11-05，法定代表人为万立恒，注册资本为1500万元，统一社会信用代码为91360301696084168R，企业注册地址位于江西省萍乡市萍乡经济开发区上柳源管理处，所属行业为农副食品加工业，经营范围包含：饲料生产、销售，养殖技术服务，水产品经营。（上述项目中国家法律法规规定的前置许可项目除外）。企业当前经营状态为存续。</t>
  </si>
  <si>
    <t>饲料生产、销售，养殖技术服务，水产品经营。（上述项目中国家法律法规规定的前置许可项目除外）</t>
  </si>
  <si>
    <t>萍乡经济技术开发区市场监督管理局</t>
  </si>
  <si>
    <t>揭阳市美其居家具有限公司</t>
  </si>
  <si>
    <t>91445200MA4ULC340F</t>
  </si>
  <si>
    <t>注销（2019-07-26）</t>
  </si>
  <si>
    <t>陈伟明</t>
  </si>
  <si>
    <t>168万元</t>
  </si>
  <si>
    <t>2016-01-08</t>
  </si>
  <si>
    <t>揭阳市揭东区206国道华清路段深水井</t>
  </si>
  <si>
    <t>0663-3904892</t>
  </si>
  <si>
    <t>15975238077</t>
  </si>
  <si>
    <t>445200000085322</t>
  </si>
  <si>
    <t>MA4ULC34-0</t>
  </si>
  <si>
    <t>2016-01-08 至 无固定期限</t>
  </si>
  <si>
    <t>Jieyang Meiqiju Furniture Co., Ltd.</t>
  </si>
  <si>
    <t>揭阳市美其居家具有限公司成立于2016-01-08，法定代表人为陈伟明，注册资本为168万元，统一社会信用代码为91445200MA4ULC340F，企业注册地址位于揭阳市揭东区206国道华清路段深水井，所属行业为木材加工和木、竹、藤、棕、草制品业，经营范围包含：生产、加工、销售木制品、胶合板、家具；货物进出口、技术进出口。（依法须经批准的项目，经相关部门批准后方可开展经营活动）。企业当前经营状态为注销。</t>
  </si>
  <si>
    <t>生产、加工、销售木制品、胶合板、家具；货物进出口、技术进出口。（依法须经批准的项目，经相关部门批准后方可开展经营活动）</t>
  </si>
  <si>
    <t>揭阳市晟森家具有限公司</t>
  </si>
  <si>
    <t>91445200351908133W</t>
  </si>
  <si>
    <t>黄洁鸿</t>
  </si>
  <si>
    <t>250万元</t>
  </si>
  <si>
    <t>2015-08-06</t>
  </si>
  <si>
    <t>揭阳空港经济区中心路以东、东二横路以南</t>
  </si>
  <si>
    <t>13903081776</t>
  </si>
  <si>
    <t>13909081776;0663-8791898</t>
  </si>
  <si>
    <t>shengsen250@163.com</t>
  </si>
  <si>
    <t>445200000077831</t>
  </si>
  <si>
    <t>35190813-3</t>
  </si>
  <si>
    <t>2015-08-06 至 无固定期限</t>
  </si>
  <si>
    <t>Jieyang City Shengsen Furniture Co., Ltd.</t>
  </si>
  <si>
    <t>揭阳市晟森家具有限公司成立于2015-08-06，法定代表人为黄洁鸿，注册资本为250万元，统一社会信用代码为91445200351908133W，企业注册地址位于揭阳空港经济区中心路以东、东二横路以南，所属行业为家具制造业，经营范围包含：生产、加工、销售：家具、五金制品及圣诞工艺品；销售日用百货、建筑材料；货物进出口、技术进出口。（依法须经批准的项目，经相关部门批准后方可开展经营活动）。企业当前经营状态为在业。</t>
  </si>
  <si>
    <t>生产、加工、销售：家具、五金制品及圣诞工艺品；销售日用百货、建筑材料；货物进出口、技术进出口。（依法须经批准的项目，经相关部门批准后方可开展经营活动）</t>
  </si>
  <si>
    <t>揭阳市依彩迪家具有限公司</t>
  </si>
  <si>
    <t>914452003151550158</t>
  </si>
  <si>
    <t>谢锡青</t>
  </si>
  <si>
    <t>2014-10-20</t>
  </si>
  <si>
    <t>揭阳空港经济区砲台镇新丰厝后片</t>
  </si>
  <si>
    <t>13502688065</t>
  </si>
  <si>
    <t>0663-3356065</t>
  </si>
  <si>
    <t>991738829@qq.com</t>
  </si>
  <si>
    <t>445200000065695</t>
  </si>
  <si>
    <t>31515501-5</t>
  </si>
  <si>
    <t>2014-10-20 至 无固定期限</t>
  </si>
  <si>
    <t>Jieyang City Yicaidi Furniture Co., Ltd.</t>
  </si>
  <si>
    <t>揭阳市依彩迪家具有限公司成立于2014-10-20，法定代表人为谢锡青，注册资本为100万元，统一社会信用代码为914452003151550158，企业注册地址位于揭阳空港经济区砲台镇新丰厝后片，所属行业为家具制造业，经营范围包含：生产、加工、销售：家具，床垫，座垫，枕头，蚊帐；货物进出口、技术进出口。（依法须经批准的项目，经相关部门批准后方可开展经营活动）。企业当前经营状态为在业。</t>
  </si>
  <si>
    <t>生产、加工、销售：家具，床垫，座垫，枕头，蚊帐；货物进出口、技术进出口。（依法须经批准的项目，经相关部门批准后方可开展经营活动）</t>
  </si>
  <si>
    <t>揭阳市揭东丰荣胶合板有限公司</t>
  </si>
  <si>
    <t>9144520359892774XE</t>
  </si>
  <si>
    <t>揭东县丰荣胶合板有限公司</t>
  </si>
  <si>
    <t>注销（2019-07-24）</t>
  </si>
  <si>
    <t>刘贵如</t>
  </si>
  <si>
    <t>2012-06-27</t>
  </si>
  <si>
    <t>揭阳市揭东区新亨镇硕联村八亩后联和路中段第18号厂房</t>
  </si>
  <si>
    <t>0663-3432232</t>
  </si>
  <si>
    <t>0663-3446588</t>
  </si>
  <si>
    <t>445221000023620</t>
  </si>
  <si>
    <t>59892774-X</t>
  </si>
  <si>
    <t>2012-06-27 至 无固定期限</t>
  </si>
  <si>
    <t>Jieyang Jiedong Fengrong Plywood Co., Ltd.</t>
  </si>
  <si>
    <t>揭阳市揭东丰荣胶合板有限公司成立于2012-06-27，法定代表人为刘贵如，注册资本为100万元，统一社会信用代码为9144520359892774XE，企业注册地址位于揭阳市揭东区新亨镇硕联村八亩后联和路中段第18号厂房，所属行业为木材加工和木、竹、藤、棕、草制品业，经营范围包含：生产、销售胶合板、家具、木制品,收购国内外木材、竹木;货物进出口、技术进出口。（依法须经批准的项目,经相关部门批准后方可开展经营活动）。企业当前经营状态为注销。</t>
  </si>
  <si>
    <t>生产、销售胶合板、家具、木制品,收购国内外木材、竹木;货物进出口、技术进出口。（依法须经批准的项目,经相关部门批准后方可开展经营活动）</t>
  </si>
  <si>
    <t>湖州久联木业有限公司</t>
  </si>
  <si>
    <t>9133050356440107XR</t>
  </si>
  <si>
    <t>孙夏芳</t>
  </si>
  <si>
    <t>2010-10-29</t>
  </si>
  <si>
    <t>浙江省湖州市南浔区旧馆镇潘家庄村朱家兜</t>
  </si>
  <si>
    <t>13452185546</t>
  </si>
  <si>
    <t>15789986564;13706728711</t>
  </si>
  <si>
    <t>353044318@qq.com</t>
  </si>
  <si>
    <t>353044399@qq.com;1527071705@qq.com</t>
  </si>
  <si>
    <t>330504000033532</t>
  </si>
  <si>
    <t>56440107-X</t>
  </si>
  <si>
    <t>2010-10-29 至 2060-10-28</t>
  </si>
  <si>
    <t>Huzhou Jiulian Wood Industry Co., Ltd.</t>
  </si>
  <si>
    <t>湖州久联木业有限公司成立于2010-10-29，法定代表人为孙夏芳，注册资本为200万元，统一社会信用代码为9133050356440107XR，企业注册地址位于浙江省湖州市南浔区旧馆镇潘家庄村朱家兜，所属行业为木材加工和木、竹、藤、棕、草制品业，经营范围包含：木制品制造、加工、销售。企业当前经营状态为存续。</t>
  </si>
  <si>
    <t>木制品制造、加工、销售。</t>
  </si>
  <si>
    <t>德清县百佳居木业有限公司</t>
  </si>
  <si>
    <t>913305210762251262</t>
  </si>
  <si>
    <t>俞海根</t>
  </si>
  <si>
    <t>210万元</t>
  </si>
  <si>
    <t>2013-07-30</t>
  </si>
  <si>
    <t>德清县洛舍镇东杨树湾工业区</t>
  </si>
  <si>
    <t>0572-8406269</t>
  </si>
  <si>
    <t>ybr8233@163.com</t>
  </si>
  <si>
    <t>ybr2833@163.com</t>
  </si>
  <si>
    <t>330521000080889</t>
  </si>
  <si>
    <t>07622512-6</t>
  </si>
  <si>
    <t>2013-07-30 至 2063-07-29</t>
  </si>
  <si>
    <t>Deqing County Baijiaju Wood Industry Co., Ltd.</t>
  </si>
  <si>
    <t>浙江省湖州市德清县洛舍镇西直街83号</t>
  </si>
  <si>
    <t>德清县百佳居木业有限公司成立于2013-07-30，法定代表人为俞海根，注册资本为210万元，统一社会信用代码为913305210762251262，企业注册地址位于德清县洛舍镇东杨树湾工业区，所属行业为木材加工和木、竹、藤、棕、草制品业，经营范围包含：木皮加工（除蒸煮、油漆、炭化工艺）、销售。企业当前经营状态为存续。</t>
  </si>
  <si>
    <t>木皮加工（除蒸煮、油漆、炭化工艺）、销售。</t>
  </si>
  <si>
    <t>德清县洛舍祥森木皮厂</t>
  </si>
  <si>
    <t>92330521MA2B3FG18C</t>
  </si>
  <si>
    <t>姚国祥</t>
  </si>
  <si>
    <t>2006-07-13</t>
  </si>
  <si>
    <t>德清县洛舍镇雁塘村田湾里</t>
  </si>
  <si>
    <t>13738211008</t>
  </si>
  <si>
    <t>330521600419040</t>
  </si>
  <si>
    <t>MA2B3FG1-8</t>
  </si>
  <si>
    <t>德清县洛舍祥森木皮厂成立于2006-07-13，经营者为姚国祥，统一社会信用代码为92330521MA2B3FG18C，经营场所位于德清县洛舍镇雁塘村田湾里，所属行业为木材加工和木、竹、藤、棕、草制品业，经营范围包含：木皮加工。个体工商户当前经营状态为存续。</t>
  </si>
  <si>
    <t>木皮加工</t>
  </si>
  <si>
    <t>德清沈旺木业有限公司</t>
  </si>
  <si>
    <t>91330521MA28CBXDXP</t>
  </si>
  <si>
    <t>沈其华</t>
  </si>
  <si>
    <t>2016-07-05</t>
  </si>
  <si>
    <t>浙江省德清县钟管镇戈亭村上秧田</t>
  </si>
  <si>
    <t>13957261949</t>
  </si>
  <si>
    <t>455962424@qq.com</t>
  </si>
  <si>
    <t>330521000128643</t>
  </si>
  <si>
    <t>MA28CBXD-X</t>
  </si>
  <si>
    <t>2016-07-05 至 无固定期限</t>
  </si>
  <si>
    <t>Deqing Shenwang Wood Industry Co., Ltd.</t>
  </si>
  <si>
    <t>德清沈旺木业有限公司成立于2016-07-05，法定代表人为沈其华，注册资本为300万元，统一社会信用代码为91330521MA28CBXDXP，企业注册地址位于浙江省德清县钟管镇戈亭村上秧田，所属行业为木材加工和木、竹、藤、棕、草制品业，经营范围包含：木皮、指接皮及木制品加工（除蒸煮、油漆、炭化工艺）、销售。企业当前经营状态为存续。</t>
  </si>
  <si>
    <t>木皮、指接皮及木制品加工（除蒸煮、油漆、炭化工艺）、销售。</t>
  </si>
  <si>
    <t>怀化海大饲料有限公司</t>
  </si>
  <si>
    <t>914312213256290509</t>
  </si>
  <si>
    <t>葛熹凯</t>
  </si>
  <si>
    <t>2014-12-16</t>
  </si>
  <si>
    <t>湖南省怀化市中方县工业园</t>
  </si>
  <si>
    <t>怀化市</t>
  </si>
  <si>
    <t>中方县</t>
  </si>
  <si>
    <t>0745-8669001</t>
  </si>
  <si>
    <t>0745-8669169;0745-2886066;15920425561</t>
  </si>
  <si>
    <t>jiangxl06@haid.com.cn</t>
  </si>
  <si>
    <t>lib01@haid.com.cn</t>
  </si>
  <si>
    <t>431221000008597</t>
  </si>
  <si>
    <t>32562905-0</t>
  </si>
  <si>
    <t>119</t>
  </si>
  <si>
    <t>2014-12-16 至 无固定期限</t>
  </si>
  <si>
    <t>Huaihua Haida Feed Co., Ltd.</t>
  </si>
  <si>
    <t>怀化海大饲料有限公司成立于2014-12-16，法定代表人为葛熹凯，注册资本为1300万元，统一社会信用代码为914312213256290509，企业注册地址位于湖南省怀化市中方县工业园，所属行业为农副食品加工业，经营范围包含：饲料生产（项目筹建）、批发、零售；水产饲料、畜禽饲料、浓缩料、预混料、饲料原料；畜牧产品饲养及其技术开发服务；农副产品、干鲜蔬菜的购销。（依法须经批准的项目，经相关部门批准后方可开展经营活动）。企业当前经营状态为存续。</t>
  </si>
  <si>
    <t>饲料生产（项目筹建）、批发、零售；水产饲料、畜禽饲料、浓缩料、预混料、饲料原料；畜牧产品饲养及其技术开发服务；农副产品、干鲜蔬菜的购销。（依法须经批准的项目，经相关部门批准后方可开展经营活动）</t>
  </si>
  <si>
    <t>中方县市场监督管理局</t>
  </si>
  <si>
    <t>晋江市威仕宝服装织造有限公司</t>
  </si>
  <si>
    <t>9135058274906206XB</t>
  </si>
  <si>
    <t>洪东选</t>
  </si>
  <si>
    <t>720万元</t>
  </si>
  <si>
    <t>2003-05-12</t>
  </si>
  <si>
    <t>福建省泉州市晋江市金井镇玉山村草湖埔区183号</t>
  </si>
  <si>
    <t>0595-85366333</t>
  </si>
  <si>
    <t>13808516458;13808518032</t>
  </si>
  <si>
    <t>350500400021111</t>
  </si>
  <si>
    <t>74906206-X</t>
  </si>
  <si>
    <t>2003-05-12 至 2053-05-12</t>
  </si>
  <si>
    <t>Weishibao Garments &amp; Weaving Co., Ltd.</t>
  </si>
  <si>
    <t>晋江市威仕宝服装织造有限公司成立于2003-05-12，法定代表人为洪东选，注册资本为720万元，统一社会信用代码为9135058274906206XB，企业注册地址位于福建省泉州市晋江市金井镇玉山村草湖埔区183号，所属行业为纺织服装、服饰业，经营范围包含：生产：服装；针织品织造（不含印染、漂染）。（依法须经批准的项目，经相关部门批准后方可开展经营活动）。企业当前经营状态为存续。</t>
  </si>
  <si>
    <t>生产：服装；针织品织造（不含印染、漂染）。（依法须经批准的项目，经相关部门批准后方可开展经营活动）</t>
  </si>
  <si>
    <t>湖南科力嘉纺织股份有限公司</t>
  </si>
  <si>
    <t>914306000558265201</t>
  </si>
  <si>
    <t>蔡先彪</t>
  </si>
  <si>
    <t>2012-11-02</t>
  </si>
  <si>
    <t>湖南省华容县石伏工业园</t>
  </si>
  <si>
    <t>华容县</t>
  </si>
  <si>
    <t>0730-4207729</t>
  </si>
  <si>
    <t>0730-4209729;0730-4207759;13575072896;13077191666;0730-4103889;15607307588</t>
  </si>
  <si>
    <t>wsc88@qq.com</t>
  </si>
  <si>
    <t>wsc7588@qq.com;773969460@qq.com;kelijiafz@126.com</t>
  </si>
  <si>
    <t>430600000072913</t>
  </si>
  <si>
    <t>05582652-0</t>
  </si>
  <si>
    <t>540</t>
  </si>
  <si>
    <t>2012-11-02 至 2062-11-01</t>
  </si>
  <si>
    <t>Hunan Kelijia Textile Co., Ltd.</t>
  </si>
  <si>
    <t>http://www.hnkljfz.com</t>
  </si>
  <si>
    <t>湖南科力嘉纺织股份有限公司2012年11月2日注册成立，坐落于湖南省岳阳市华容县石伏工业园，注册资金11000万元，占地面积162亩，现有标准化厂房约7万平方米，员工560人，主营研发、生产和销售精梳紧密纺、赛络纺无结头高端针织纱。三期工程达产后，公司高端针织纱年产能扩大到3万吨，年可实现销售收入10亿元，规模效益更为凸显，抗风险能力更为增强，稳站国内一类纺织企业地位。公司是岳阳市纺织协会会长单位和中南地区较大的精梳针织纱专业化生产企业，生产设备精良、技术实力雄厚、销售网络完善、管理体系科学，产品质量达到卓越出众水平，主供耐克、阿迪达斯、优衣库、猫人、森马等国内、国际知名服装加工企业。特别是公司与申洲国际全资子公司大千纺织建立长期战略合作，意味着科力嘉进入了全球纺织产业较大的供应链体系。</t>
  </si>
  <si>
    <t>一般项目：纺纱加工；面料纺织加工；服装制造；服饰制造；服饰研发；新材料技术研发；服装服饰零售；服装服饰批发；服装、服饰检验、整理服务；家用纺织制成品制造；互联网销售（除销售需要许可的商品）；针织或钩针编织物及其制品制造；针纺织品及原料销售；棉、麻销售；合成纤维销售；货物进出口；国内贸易代理；初级农产品收购；普通货物仓储服务（不含危险化学品等需许可审批的项目）。（除依法须经批准的项目外，凭营业执照依法自主开展经营活动）</t>
  </si>
  <si>
    <t>岳阳市市场监督管理局</t>
  </si>
  <si>
    <t>安徽裕华纺织有限公司</t>
  </si>
  <si>
    <t>91341802754860701B</t>
  </si>
  <si>
    <t>安徽宣城裕华纺织有限公司,
安徽省宣城裕华纺织有限公司</t>
  </si>
  <si>
    <t>刘国华</t>
  </si>
  <si>
    <t>2003-09-17</t>
  </si>
  <si>
    <t>安徽省宣城市宣州区工业干道52号</t>
  </si>
  <si>
    <t>宣城市</t>
  </si>
  <si>
    <t>宣州区</t>
  </si>
  <si>
    <t>0563-2713800</t>
  </si>
  <si>
    <t>0563-2713610;0563-2713699</t>
  </si>
  <si>
    <t>ahyhfz888@163.com</t>
  </si>
  <si>
    <t>342500000000231</t>
  </si>
  <si>
    <t>75486070-1</t>
  </si>
  <si>
    <t>2003-09-17 至 无固定期限</t>
  </si>
  <si>
    <t>Anhui Yuhua Textile Co., Ltd.</t>
  </si>
  <si>
    <t>http://www.ahyhfz.com</t>
  </si>
  <si>
    <t>宣城市宣州区昭亭北路2号</t>
  </si>
  <si>
    <t>裕华纺织是一家纺织面料生产商，主要产品有各种规格的亚麻粘、亚麻棉混纺纱线及面料，各种规格的天然彩棉纱线及面料，有机棉、BCI棉纱线及面料。</t>
  </si>
  <si>
    <t>棉纺、棉织、毛纺、毛织及其他纺织品制造、销售；纺织工业设备、五金、汽车配件销售。自营和代理各类商品和技术的进出口，但国家限定公司经营或禁止进出口的商品和技术除外。</t>
  </si>
  <si>
    <t>宣城市宣州区市场监督管理局</t>
  </si>
  <si>
    <t>新乡市正元纺织有限公司</t>
  </si>
  <si>
    <t>91410703MA44JQT155</t>
  </si>
  <si>
    <t>田平森</t>
  </si>
  <si>
    <t>190万元</t>
  </si>
  <si>
    <t>2017-11-06</t>
  </si>
  <si>
    <t>新乡市卫滨区平原镇张固城村</t>
  </si>
  <si>
    <t>卫滨区</t>
  </si>
  <si>
    <t>0373-2117999</t>
  </si>
  <si>
    <t>17839975089</t>
  </si>
  <si>
    <t>453752039@qq.com</t>
  </si>
  <si>
    <t>410703000038728</t>
  </si>
  <si>
    <t>MA44JQT1-5</t>
  </si>
  <si>
    <t>2017-11-06 至 无固定期限</t>
  </si>
  <si>
    <t>Xinxiang Zhengyuan Textile Co., Ltd.</t>
  </si>
  <si>
    <t>新乡市正元纺织有限公司成立于2017-11-06，法定代表人为田平森，注册资本为1000万元，统一社会信用代码为91410703MA44JQT155，企业注册地址位于新乡市卫滨区平原镇张固城村，所属行业为纺织业，经营范围包含：纺织加工销售；对外贸易经营。企业当前经营状态为存续。</t>
  </si>
  <si>
    <t>纺织加工销售；对外贸易经营。</t>
  </si>
  <si>
    <t>新乡市卫滨区市场监督管理局</t>
  </si>
  <si>
    <t>玉林双胞胎生物科技有限公司</t>
  </si>
  <si>
    <t>914509000575330001</t>
  </si>
  <si>
    <t>2012-11-23</t>
  </si>
  <si>
    <t>玉林市玉州区人民东路４４９号民主党派机关办公楼１楼东面第一间</t>
  </si>
  <si>
    <t>玉林市</t>
  </si>
  <si>
    <t>玉州区</t>
  </si>
  <si>
    <t>0775-7270690</t>
  </si>
  <si>
    <t>weihong@sbtjt.com;lubq@sbtjt.com;wude@sbtjt.com</t>
  </si>
  <si>
    <t>450900000013951</t>
  </si>
  <si>
    <t>05753300-0</t>
  </si>
  <si>
    <t>2012-11-23 至 无固定期限</t>
  </si>
  <si>
    <t>Yulin Twin Biotechnology Co., Ltd.</t>
  </si>
  <si>
    <t>玉林双胞胎生物科技有限公司成立于2012-11-23，法定代表人为张昭胜，注册资本为300万元，统一社会信用代码为914509000575330001，企业注册地址位于玉林市玉州区人民东路４４９号民主党派机关办公楼１楼东面第一间，所属行业为科技推广和应用服务业，经营范围包含：饲料生产技术推广服务；饲料、饲料原料（除危险品）的销售。（依法须经批准的项目，经相关部门批准后方可开展经营活动。）。企业当前经营状态为注销。</t>
  </si>
  <si>
    <t>饲料生产技术推广服务；饲料、饲料原料（除危险品）的销售。（依法须经批准的项目，经相关部门批准后方可开展经营活动。）</t>
  </si>
  <si>
    <t>玉林市玉州区市场监督管理局</t>
  </si>
  <si>
    <t>韶关金苹果饲料有限公司</t>
  </si>
  <si>
    <t>9144020074917263XY</t>
  </si>
  <si>
    <t>340万美元</t>
  </si>
  <si>
    <t>2003-04-17</t>
  </si>
  <si>
    <t>韶关市浈江区乐园镇长乐村六奇山韶关合成氨厂东侧</t>
  </si>
  <si>
    <t>0751-8287610</t>
  </si>
  <si>
    <t>laixq@sbtjt.com</t>
  </si>
  <si>
    <t>weih@sbtjt.com;weihong@sbtjt.com;lubq@sbtjt.com;hecs@sbtjt.com;taom@sbtjt.com</t>
  </si>
  <si>
    <t>440200400001502</t>
  </si>
  <si>
    <t>74917263-X</t>
  </si>
  <si>
    <t>63</t>
  </si>
  <si>
    <t>2003-04-17 至 无固定期限</t>
  </si>
  <si>
    <t>Shaoguan Golden Apple Feed Co., Ltd.</t>
  </si>
  <si>
    <t>韶关金苹果饲料有限公司成立于2003-04-17，法定代表人为张昭胜，注册资本为340万美元，统一社会信用代码为9144020074917263XY，企业注册地址位于韶关市浈江区乐园镇长乐村六奇山韶关合成氨厂东侧，所属行业为农副食品加工业，经营范围包含：饲料及饲料原料（不含粮食）的批发及相关配套服务（不涉及国营贸易管理商品，涉及配额、许可证管理商品的，按国家有关规定办理申请），猪、鸡、鸭、鱼、奶牛用饲料的研发、生产，提供相关技术咨询与服务；货物或技术进出口（国家禁止或涉及行政审批的货物和技术进出口除外）；兽药经营（以上项目不涉及外商投资准入特别管理措施）。（依法须经批准的项目，经相关部门批准后方可开展经营活动）。企业当前经营状态为在业。</t>
  </si>
  <si>
    <t>饲料及饲料原料（不含粮食）的批发及相关配套服务（不涉及国营贸易管理商品，涉及配额、许可证管理商品的，按国家有关规定办理申请），猪、鸡、鸭、鱼、奶牛用饲料的研发、生产，提供相关技术咨询与服务；货物或技术进出口（国家禁止或涉及行政审批的货物和技术进出口除外）；兽药经营（以上项目不涉及外商投资准入特别管理措施）。（依法须经批准的项目，经相关部门批准后方可开展经营活动）</t>
  </si>
  <si>
    <t>钦州双胞胎饲料有限公司</t>
  </si>
  <si>
    <t>91450700571835183U</t>
  </si>
  <si>
    <t>2011-04-15</t>
  </si>
  <si>
    <t>钦州市皇马工业园四区</t>
  </si>
  <si>
    <t>钦北区</t>
  </si>
  <si>
    <t>0777-5516612</t>
  </si>
  <si>
    <t>weihong@sbtjt.com;lubq@sbtjt.com;chenhanh@sbtjt.com;qzsbt@sbtjt.com;qzsbt@sbt.com</t>
  </si>
  <si>
    <t>450700200035985</t>
  </si>
  <si>
    <t>57183518-3</t>
  </si>
  <si>
    <t>2011-04-15 至 无固定期限</t>
  </si>
  <si>
    <t>Qinzhou Twin Feed Co., Ltd.</t>
  </si>
  <si>
    <t>钦州双胞胎饲料有限公司成立于2011-04-15，法定代表人为张昭胜，注册资本为400万元，统一社会信用代码为91450700571835183U，企业注册地址位于钦州市皇马工业园四区，所属行业为农副食品加工业，经营范围包含：配合饲料（畜禽、幼畜禽、种畜禽）、浓缩饲料（畜禽、幼畜禽、种畜禽）的生产；饲料、饲料原料（除粮食）销售；普通兽药（生物制品除外）销售。（依法须经批准的项目，经相关部门批准后方可开展经营活动。）。企业当前经营状态为存续。</t>
  </si>
  <si>
    <t>配合饲料（畜禽、幼畜禽、种畜禽）、浓缩饲料（畜禽、幼畜禽、种畜禽）的生产；饲料、饲料原料（除粮食）销售；普通兽药（生物制品除外）销售。（依法须经批准的项目，经相关部门批准后方可开展经营活动。）</t>
  </si>
  <si>
    <t>南宁鸿牌饲料科技有限公司</t>
  </si>
  <si>
    <t>914501006851881991</t>
  </si>
  <si>
    <t>谢燕青</t>
  </si>
  <si>
    <t>2009-03-26</t>
  </si>
  <si>
    <t>南宁市沿海经济开发区南北二级公路９公里处</t>
  </si>
  <si>
    <t>0771-4016635</t>
  </si>
  <si>
    <t>weihong@sbtjt.com;lubq@sbtjt.com;linty@sbtjt.com;lih@sbtjt.com</t>
  </si>
  <si>
    <t>450100000015574</t>
  </si>
  <si>
    <t>68518819-9</t>
  </si>
  <si>
    <t>2009-03-26 至 2029-03-26</t>
  </si>
  <si>
    <t>Nanning Hongpai Feed Technology Co., Ltd.</t>
  </si>
  <si>
    <t>南宁鸿牌饲料科技有限公司成立于2009-03-26，法定代表人为谢燕青，注册资本为1000万元，统一社会信用代码为914501006851881991，企业注册地址位于南宁市沿海经济开发区南北二级公路９公里处，所属行业为农副食品加工业，经营范围包含：对畜、禽、水产饲料的研究开发、技术咨询及服务；配合饲料、浓缩饲料、精料补充料的生产销售（凭许可证经营）；饲料原料、兽药、医疗用品、医疗器械（具体项目以审批部门批准的为准）的销售。（依法须经批准的项目，经相关部门批准后方可开展经营活动。）。企业当前经营状态为存续。</t>
  </si>
  <si>
    <t>对畜、禽、水产饲料的研究开发、技术咨询及服务；配合饲料、浓缩饲料、精料补充料的生产销售（凭许可证经营）；饲料原料、兽药、医疗用品、医疗器械（具体项目以审批部门批准的为准）的销售。（依法须经批准的项目，经相关部门批准后方可开展经营活动。）</t>
  </si>
  <si>
    <t>南宁市政务服务局</t>
  </si>
  <si>
    <t>南通齐天纺织有限公司</t>
  </si>
  <si>
    <t>9132068278990847X8</t>
  </si>
  <si>
    <t>李桂芳</t>
  </si>
  <si>
    <t>518万元</t>
  </si>
  <si>
    <t>如皋市桃园镇育华村34组</t>
  </si>
  <si>
    <t>0513-88545108</t>
  </si>
  <si>
    <t>15950824488;13773815188</t>
  </si>
  <si>
    <t>465019557@qq.com</t>
  </si>
  <si>
    <t>320682000097370</t>
  </si>
  <si>
    <t>78990847-X</t>
  </si>
  <si>
    <t>2006-08-03 至 无固定期限</t>
  </si>
  <si>
    <t>Nantong QiTian Textile Co., Ltd.</t>
  </si>
  <si>
    <t>南通齐天纺织有限公司成立于2006-08-03，法定代表人为李桂芳，注册资本为518万元，统一社会信用代码为9132068278990847X8，企业注册地址位于如皋市桃园镇育华村34组，所属行业为纺织业，经营范围包含：混纺纱纺织、销售；软件研发；计算机信息技术咨询；网上销售：混纺纱、皮革服装；布织造、销售；皮革服装生产、销售；自营和代理各类商品及技术的进出口业务（国家限定企业经营或禁止进出口的商品和技术除外）。（依法须经批准的项目，经相关部门批准后方可开展经营活动）。企业当前经营状态为在业。</t>
  </si>
  <si>
    <t>混纺纱纺织、销售；软件研发；计算机信息技术咨询；网上销售：混纺纱、皮革服装；布织造、销售；皮革服装生产、销售；自营和代理各类商品及技术的进出口业务（国家限定企业经营或禁止进出口的商品和技术除外）。（依法须经批准的项目，经相关部门批准后方可开展经营活动）</t>
  </si>
  <si>
    <t>如皋市数据局</t>
  </si>
  <si>
    <t>宜兴市亿康服饰有限公司</t>
  </si>
  <si>
    <t>913202826921413808</t>
  </si>
  <si>
    <t>夏介康</t>
  </si>
  <si>
    <t>352万元</t>
  </si>
  <si>
    <t>2009-07-15</t>
  </si>
  <si>
    <t>宜兴市西渚镇西渚村</t>
  </si>
  <si>
    <t>0510-87378767</t>
  </si>
  <si>
    <t>13063661768</t>
  </si>
  <si>
    <t>738389424@qq.com</t>
  </si>
  <si>
    <t>2438738017@qq.com</t>
  </si>
  <si>
    <t>320282000217187</t>
  </si>
  <si>
    <t>69214138-0</t>
  </si>
  <si>
    <t>2009-07-15 至 无固定期限</t>
  </si>
  <si>
    <t>Yixing Yikang Garment Co., Ltd.</t>
  </si>
  <si>
    <t>宜兴市亿康服饰有限公司成立于2009-07-15，法定代表人为夏介康，注册资本为352万元，统一社会信用代码为913202826921413808，企业注册地址位于宜兴市西渚镇西渚村，所属行业为批发业，经营范围包含：服装、鞋帽、家用纺织品、文具、办公用品、电脑耗材、日用百货、针纺织品、纺织原料的销售；麻纤维纺前加工和纺纱；棉、麻织造加工、销售；道路普通货物运输；装卸、搬运服务；仓储服务；自营和代理各类商品及技术的进出口业务。（国家限定企业经营或禁止进出口的商品和技术除外）。（依法须经批准的项目，经相关部门批准后方可开展经营活动）。企业当前经营状态为存续。</t>
  </si>
  <si>
    <t>服装、鞋帽、家用纺织品、文具、办公用品、电脑耗材、日用百货、针纺织品、纺织原料的销售；麻纤维纺前加工和纺纱；棉、麻织造加工、销售；道路普通货物运输；装卸、搬运服务；仓储服务；自营和代理各类商品及技术的进出口业务。（国家限定企业经营或禁止进出口的商品和技术除外）。（依法须经批准的项目，经相关部门批准后方可开展经营活动）</t>
  </si>
  <si>
    <t>江苏登顺科技有限公司</t>
  </si>
  <si>
    <t>91320282MA1WGBBJ01</t>
  </si>
  <si>
    <t>顾伟</t>
  </si>
  <si>
    <t>2018-05-04</t>
  </si>
  <si>
    <t>宜兴市高塍镇范道村</t>
  </si>
  <si>
    <t>13801535087</t>
  </si>
  <si>
    <t>15852578798</t>
  </si>
  <si>
    <t>695223257@qq.com</t>
  </si>
  <si>
    <t>352037115@qq.com</t>
  </si>
  <si>
    <t>MA1WGBBJ-0</t>
  </si>
  <si>
    <t>2018-05-04 至 无固定期限</t>
  </si>
  <si>
    <t>Jiangsu Dengshun Technology Co., Ltd.</t>
  </si>
  <si>
    <t>江苏登顺科技有限公司成立于2018-05-04，法定代表人为顾伟，注册资本为1000万元，统一社会信用代码为91320282MA1WGBBJ01，企业注册地址位于宜兴市高塍镇范道村，所属行业为研究和试验发展，经营范围包含：防火门、防火窗、隔音门、防盗门的技术研发、制造、安装、销售；金属制品的技术研发、制造、销售；木材、五金及配件、消防器材的销售；道路普通货物运输。（依法须经批准的项目，经相关部门批准后方可开展经营活动）。企业当前经营状态为存续。</t>
  </si>
  <si>
    <t>防火门、防火窗、隔音门、防盗门的技术研发、制造、安装、销售；金属制品的技术研发、制造、销售；木材、五金及配件、消防器材的销售；道路普通货物运输。（依法须经批准的项目，经相关部门批准后方可开展经营活动）</t>
  </si>
  <si>
    <t>徐州湘大骆驼饲料有限公司</t>
  </si>
  <si>
    <t>913203007468105873</t>
  </si>
  <si>
    <t>于红清</t>
  </si>
  <si>
    <t>2003-05-14</t>
  </si>
  <si>
    <t>江苏省邳州市光明路1号</t>
  </si>
  <si>
    <t>邳州市</t>
  </si>
  <si>
    <t>0516-86263308</t>
  </si>
  <si>
    <t>0516-86289408</t>
  </si>
  <si>
    <t>1059661356@qq.com</t>
  </si>
  <si>
    <t>286819567@qq.com;xzxd_rlzy@163.com;xzxd-rlzy@163.com</t>
  </si>
  <si>
    <t>320300400002807</t>
  </si>
  <si>
    <t>74681058-7</t>
  </si>
  <si>
    <t>2003-05-14 至 2028-05-13</t>
  </si>
  <si>
    <t>Xuzhou Xiangda Luotuo FEED Co., Ltd.</t>
  </si>
  <si>
    <t>徐州湘大骆驼饲料有限公司成立于2003-05-14，法定代表人为于红清，注册资本为800万元，统一社会信用代码为913203007468105873，企业注册地址位于江苏省邳州市光明路1号，所属行业为农副食品加工业，经营范围包含：饲料、饲料添加剂的生产、销售；兽药销售；农副产品收购。（依法须经批准的项目，经相关部门批准后方可开展经营活动）。企业当前经营状态为在业。</t>
  </si>
  <si>
    <t>饲料、饲料添加剂的生产、销售；兽药销售；农副产品收购。（依法须经批准的项目，经相关部门批准后方可开展经营活动）</t>
  </si>
  <si>
    <t>邳州市政务服务管理办公室</t>
  </si>
  <si>
    <t>徐州源鑫木业有限公司</t>
  </si>
  <si>
    <t>91320321572583096W</t>
  </si>
  <si>
    <t>徐州华征木业有限公司</t>
  </si>
  <si>
    <t>王广文</t>
  </si>
  <si>
    <t>丰县王沟镇工业园区B-12号</t>
  </si>
  <si>
    <t>13921792888</t>
  </si>
  <si>
    <t>13814409182;15105224722</t>
  </si>
  <si>
    <t>13921792888@163.com</t>
  </si>
  <si>
    <t>320321000080584</t>
  </si>
  <si>
    <t>57258309-6</t>
  </si>
  <si>
    <t>2011-04-12 至 2031-04-12</t>
  </si>
  <si>
    <t>Xuzhou Yuanxin Wood Industry Co., Ltd.</t>
  </si>
  <si>
    <t>徐州源鑫木业有限公司成立于2011-04-12，法定代表人为王广文，注册资本为200万元，统一社会信用代码为91320321572583096W，企业注册地址位于丰县王沟镇工业园区B-12号，所属行业为木材加工和木、竹、藤、棕、草制品业，经营范围包含：木线条、板材、实木门、门套线、包装箱、楼梯、木饰面、橱柜生产及销售。（依法须经批准的项目，经相关部门批准后方可开展经营活动）。企业当前经营状态为存续。</t>
  </si>
  <si>
    <t>木线条、板材、实木门、门套线、包装箱、楼梯、木饰面、橱柜生产及销售。（依法须经批准的项目，经相关部门批准后方可开展经营活动）</t>
  </si>
  <si>
    <t>徐州华阳饲料有限公司</t>
  </si>
  <si>
    <t>913203216816051519</t>
  </si>
  <si>
    <t>楚俊岭</t>
  </si>
  <si>
    <t>1130万元</t>
  </si>
  <si>
    <t>2008-10-24</t>
  </si>
  <si>
    <t>丰县范楼镇丁寨村胡楼</t>
  </si>
  <si>
    <t>0516-67768558</t>
  </si>
  <si>
    <t>0516-89299995;0516-67768555;15162297560;0516-89299216;18366669876;15262093796</t>
  </si>
  <si>
    <t>29577008@qq.com</t>
  </si>
  <si>
    <t>626376869@qq.com;sun490210715@126.com</t>
  </si>
  <si>
    <t>320321000058616</t>
  </si>
  <si>
    <t>68160515-1</t>
  </si>
  <si>
    <t>2008-10-24 至 无固定期限</t>
  </si>
  <si>
    <t>Xuzhou Huayang Stall Food Co., Ltd.</t>
  </si>
  <si>
    <t>徐州华阳饲料有限公司成立于2008-10-24，法定代表人为楚俊岭，注册资本为1130万元，统一社会信用代码为913203216816051519，企业注册地址位于丰县范楼镇丁寨村胡楼，所属行业为农副食品加工业，经营范围包含：配合饲料加工；配合饲料销售。（依法须经批准的项目，经相关部门批准后方可开展经营活动）
一般项目：谷物种植；谷物销售；豆类种植；食用农产品批发；粮食收购（除依法须经批准的项目外，凭营业执照依法自主开展经营活动）。企业当前经营状态为在业。</t>
  </si>
  <si>
    <t>配合饲料加工；配合饲料销售。（依法须经批准的项目，经相关部门批准后方可开展经营活动）
一般项目：谷物种植；谷物销售；豆类种植；食用农产品批发；粮食收购（除依法须经批准的项目外，凭营业执照依法自主开展经营活动）</t>
  </si>
  <si>
    <t>丰县政务服务管理办公室</t>
  </si>
  <si>
    <t>睢宁县恒久纺织有限公司</t>
  </si>
  <si>
    <t>9132032434619560X0</t>
  </si>
  <si>
    <t>吴浩东</t>
  </si>
  <si>
    <t>2015-06-30</t>
  </si>
  <si>
    <t>睢宁县宁江工业园区天虹大道东、北外环路北侧</t>
  </si>
  <si>
    <t>睢宁县</t>
  </si>
  <si>
    <t>18344759162</t>
  </si>
  <si>
    <t>0516-68062336;13775928447</t>
  </si>
  <si>
    <t>suhffz@126.com</t>
  </si>
  <si>
    <t>snhjfz@126.com</t>
  </si>
  <si>
    <t>320324000141576</t>
  </si>
  <si>
    <t>34619560-X</t>
  </si>
  <si>
    <t>2015-06-30 至 2035-06-29</t>
  </si>
  <si>
    <t>Suining Hengjiu Textile Co., Ltd.</t>
  </si>
  <si>
    <t>睢宁县恒久纺织有限公司成立于2015-06-30，法定代表人为吴浩东，注册资本为3000万元，统一社会信用代码为9132032434619560X0，企业注册地址位于睢宁县宁江工业园区天虹大道东、北外环路北侧，所属行业为纺织业，经营范围包含：棉线、棉纱、混纺纱生产、销售；纺织原料销售；纺织机配件销售；自营和代理各类商品及技术的进出口业务（国家限定企业经营或禁止进出口的商品及技术除外）。（依法须经批准的项目，经相关部门批准后方可开展经营活动）。企业当前经营状态为存续。</t>
  </si>
  <si>
    <t>棉线、棉纱、混纺纱生产、销售；纺织原料销售；纺织机配件销售；自营和代理各类商品及技术的进出口业务（国家限定企业经营或禁止进出口的商品及技术除外）。（依法须经批准的项目，经相关部门批准后方可开展经营活动）</t>
  </si>
  <si>
    <t>睢宁县行政审批局</t>
  </si>
  <si>
    <t>徐州温氏畜牧有限公司</t>
  </si>
  <si>
    <t>91320324583757995B</t>
  </si>
  <si>
    <t>张凤永</t>
  </si>
  <si>
    <t>7700万元</t>
  </si>
  <si>
    <t>2011-10-12</t>
  </si>
  <si>
    <t>睢宁县睢城镇徐沙河南、南环路北侧</t>
  </si>
  <si>
    <t>15189029275</t>
  </si>
  <si>
    <t>15851135210;19952366988;18952121068;18932305089;0516-88114008</t>
  </si>
  <si>
    <t>914491213@qq.com</t>
  </si>
  <si>
    <t>136461831@qq.com;1010079990@qq.com</t>
  </si>
  <si>
    <t>320324000064851</t>
  </si>
  <si>
    <t>58375799-5</t>
  </si>
  <si>
    <t>426</t>
  </si>
  <si>
    <t>2011-10-12 至 无固定期限</t>
  </si>
  <si>
    <t>Xuzhou Wenshi Livestock Co., Ltd.</t>
  </si>
  <si>
    <t>徐州温氏畜牧有限公司成立于2011-10-12，法定代表人为张凤永，注册资本为7700万元，统一社会信用代码为91320324583757995B，企业注册地址位于睢宁县睢城镇徐沙河南、南环路北侧，所属行业为畜牧业，经营范围包含：生猪养殖、销售及相关技术服务；配合饲料生产及销售；生鲜肉销售。（依法须经批准的项目，经相关部门批准后方可开展经营活动）
许可项目：货物进出口；技术进出口（依法须经批准的项目，经相关部门批准后方可开展经营活动，具体经营项目以审批结果为准）
一般项目：粮食收购（除依法须经批准的项目外，凭营业执照依法自主开展经营活动）。企业当前经营状态为在业。</t>
  </si>
  <si>
    <t>生猪养殖、销售及相关技术服务；配合饲料生产及销售；生鲜肉销售。（依法须经批准的项目，经相关部门批准后方可开展经营活动）
许可项目：货物进出口；技术进出口（依法须经批准的项目，经相关部门批准后方可开展经营活动，具体经营项目以审批结果为准）
一般项目：粮食收购（除依法须经批准的项目外，凭营业执照依法自主开展经营活动）</t>
  </si>
  <si>
    <t>睢宁县政务服务管理办公室</t>
  </si>
  <si>
    <t>常州市海星家具有限公司</t>
  </si>
  <si>
    <t>91320402251023127B</t>
  </si>
  <si>
    <t>吴海星</t>
  </si>
  <si>
    <t>308.8万元</t>
  </si>
  <si>
    <t>2001-01-15</t>
  </si>
  <si>
    <t>天宁区郑陆镇三河口街</t>
  </si>
  <si>
    <t>0519-88675008</t>
  </si>
  <si>
    <t>26471271@qq.com</t>
  </si>
  <si>
    <t>2334546618@qq.com</t>
  </si>
  <si>
    <t>320483000012704</t>
  </si>
  <si>
    <t>25102312-7</t>
  </si>
  <si>
    <t>2001-01-15 至 无固定期限</t>
  </si>
  <si>
    <t>Changzhou Haixing Furniture Co., Ltd.</t>
  </si>
  <si>
    <t>常州市海星家具有限公司成立于2001-01-15，法定代表人为吴海星，注册资本为308.8万元，统一社会信用代码为91320402251023127B，企业注册地址位于天宁区郑陆镇三河口街，所属行业为家具制造业，经营范围包含：木质、钢质家具、沙发制造，机械零部件加工，木材销售。（依法须经批准的项目，经相关部门批准后方可开展经营活动。）。企业当前经营状态为在业。</t>
  </si>
  <si>
    <t>木质、钢质家具、沙发制造，机械零部件加工，木材销售。（依法须经批准的项目，经相关部门批准后方可开展经营活动。）</t>
  </si>
  <si>
    <t>常州市天宁区行政审批局</t>
  </si>
  <si>
    <t>常州市丹宁纺织有限公司</t>
  </si>
  <si>
    <t>913204026978735050</t>
  </si>
  <si>
    <t>王霞文</t>
  </si>
  <si>
    <t>51万元</t>
  </si>
  <si>
    <t>2009-11-24</t>
  </si>
  <si>
    <t>天宁区茶山街道勤丰工业区丰城村</t>
  </si>
  <si>
    <t>13776809971</t>
  </si>
  <si>
    <t>13806115650;0519-88252959;13961226285</t>
  </si>
  <si>
    <t>1215079220@qq.com</t>
  </si>
  <si>
    <t>320402000131168</t>
  </si>
  <si>
    <t>69787350-5</t>
  </si>
  <si>
    <t>2009-11-24 至 2029-11-23</t>
  </si>
  <si>
    <t>Changzhou Danning Textile Co., Ltd.</t>
  </si>
  <si>
    <t>天宁区茶山街道勤丰工业园丰城村</t>
  </si>
  <si>
    <t>常州市丹宁纺织有限公司成立于2009-11-24，法定代表人为王霞文，注册资本为51万元，统一社会信用代码为913204026978735050，企业注册地址位于天宁区茶山街道勤丰工业区丰城村，所属行业为纺织服装、服饰业，经营范围包含：纺织品、服装制造、加工；纺织原料、纺织品、服装销售。（依法须经批准的项目，经相关部门批准后方可开展经营活动）。企业当前经营状态为在业。</t>
  </si>
  <si>
    <t>纺织品、服装制造、加工；纺织原料、纺织品、服装销售。（依法须经批准的项目，经相关部门批准后方可开展经营活动）</t>
  </si>
  <si>
    <t>南京巨桓电子商务有限公司</t>
  </si>
  <si>
    <t>91320113MA21CART39</t>
  </si>
  <si>
    <t>周春松</t>
  </si>
  <si>
    <t>2020-04-27</t>
  </si>
  <si>
    <t>南京市栖霞区迈皋桥创业园科技研发基地寅春路18号-H664</t>
  </si>
  <si>
    <t>13327974719</t>
  </si>
  <si>
    <t>3429126647@qq.com</t>
  </si>
  <si>
    <t>2368307481@qq.com</t>
  </si>
  <si>
    <t>320113000686416</t>
  </si>
  <si>
    <t>MA21CART-3</t>
  </si>
  <si>
    <t>2020-04-27 至 无固定期限</t>
  </si>
  <si>
    <t>互联网零售</t>
  </si>
  <si>
    <t>Nanjing Juhuan E-commerce Co., Ltd.</t>
  </si>
  <si>
    <t>南京巨桓电子商务有限公司成立于2020-04-27，法定代表人为周春松，注册资本为500万元，统一社会信用代码为91320113MA21CART39，企业注册地址位于南京市栖霞区迈皋桥创业园科技研发基地寅春路18号-H664，所属行业为零售业，经营范围包含：一般项目：互联网销售（除销售需要许可的商品）；软件开发；建筑用钢筋产品销售；建筑材料销售；轻质建筑材料销售；建筑装饰材料销售；保温材料销售；机械设备销售；金属制品研发；金属制品销售；金属材料销售；五金产品批发；五金产品零售；日用百货销售；金属结构销售；卫生陶瓷制品销售；特种陶瓷制品销售；非金属矿及制品销售；金属制品修理；金属链条及其他金属制品销售（除依法须经批准的项目外，凭营业执照依法自主开展经营活动）。企业当前经营状态为存续。</t>
  </si>
  <si>
    <t>一般项目：互联网销售（除销售需要许可的商品）；软件开发；建筑用钢筋产品销售；建筑材料销售；轻质建筑材料销售；建筑装饰材料销售；保温材料销售；机械设备销售；金属制品研发；金属制品销售；金属材料销售；五金产品批发；五金产品零售；日用百货销售；金属结构销售；卫生陶瓷制品销售；特种陶瓷制品销售；非金属矿及制品销售；金属制品修理；金属链条及其他金属制品销售（除依法须经批准的项目外，凭营业执照依法自主开展经营活动）</t>
  </si>
  <si>
    <t>南京市栖霞区行政审批局</t>
  </si>
  <si>
    <t>南京古马工艺制品有限公司</t>
  </si>
  <si>
    <t>913201157360975388</t>
  </si>
  <si>
    <t>纪孝宁</t>
  </si>
  <si>
    <t>2002-03-18</t>
  </si>
  <si>
    <t>南京市江宁区湖熟街道周岗社区同创路99号</t>
  </si>
  <si>
    <t>025-84165108</t>
  </si>
  <si>
    <t>136679051@qq.com</t>
  </si>
  <si>
    <t>461626508@qq.com</t>
  </si>
  <si>
    <t>320121000035617</t>
  </si>
  <si>
    <t>73609753-8</t>
  </si>
  <si>
    <t>2002-03-18 至 2042-03-16</t>
  </si>
  <si>
    <t>Nanjing Guma Arts &amp; Crafts Products Co., Ltd.</t>
  </si>
  <si>
    <t>南京古马工艺制品有限公司成立于2002-03-18，法定代表人为纪孝宁，注册资本为110万元，统一社会信用代码为913201157360975388，企业注册地址位于南京市江宁区湖熟街道周岗社区同创路99号，所属行业为家具制造业，经营范围包含：红木家具、工艺品的制造、实木门窗、实木楼梯的制造、销售；实木制品的制造及销售；进口木材的加工及销售；道路普通货物运输。（依法须经批准的项目，经相关部门批准后方可开展经营活动）。企业当前经营状态为存续。</t>
  </si>
  <si>
    <t>红木家具、工艺品的制造、实木门窗、实木楼梯的制造、销售；实木制品的制造及销售；进口木材的加工及销售；道路普通货物运输。（依法须经批准的项目，经相关部门批准后方可开展经营活动）</t>
  </si>
  <si>
    <t>南京飞利扬贸易有限公司</t>
  </si>
  <si>
    <t>913201166904225926</t>
  </si>
  <si>
    <t>2009-07-21</t>
  </si>
  <si>
    <t>南京市玄武区龙蟠路155号5幢410室</t>
  </si>
  <si>
    <t>玄武区</t>
  </si>
  <si>
    <t>025-87702315</t>
  </si>
  <si>
    <t>025-87702316;025-58933312</t>
  </si>
  <si>
    <t>1337754510@qq.com</t>
  </si>
  <si>
    <t>320105000116857</t>
  </si>
  <si>
    <t>69042259-2</t>
  </si>
  <si>
    <t>2009-07-21 至 2029-07-20</t>
  </si>
  <si>
    <t>Nanjing FLY Trade Co., Ltd.</t>
  </si>
  <si>
    <t>http://www.feiliyang.com</t>
  </si>
  <si>
    <t>南京飞利扬贸易有限公司成立于2009-07-21，法定代表人为王亚，注册资本为500万元，统一社会信用代码为913201166904225926，企业注册地址位于南京市玄武区龙蟠路155号5幢410室，所属行业为批发业，经营范围包含：许可项目：食品销售；危险化学品经营（依法须经批准的项目，经相关部门批准后方可开展经营活动，具体经营项目以审批结果为准）一般项目：化工产品销售（不含许可类化工产品）；食品添加剂销售；货物进出口；技术进出口；计算机软硬件及辅助设备零售；电子元器件零售；仪器仪表销售；机械设备销售；电子产品销售；通讯设备销售；塑料制品销售；日用百货销售；五金产品零售；建筑装饰材料销售（除依法须经批准的项目外，凭营业执照依法自主开展经营活动）。企业当前经营状态为存续。</t>
  </si>
  <si>
    <t>许可项目：食品销售；危险化学品经营（依法须经批准的项目，经相关部门批准后方可开展经营活动，具体经营项目以审批结果为准）一般项目：化工产品销售（不含许可类化工产品）；食品添加剂销售；货物进出口；技术进出口；计算机软硬件及辅助设备零售；电子元器件零售；仪器仪表销售；机械设备销售；电子产品销售；通讯设备销售；塑料制品销售；日用百货销售；五金产品零售；建筑装饰材料销售（除依法须经批准的项目外，凭营业执照依法自主开展经营活动）</t>
  </si>
  <si>
    <t>南京市玄武区市场监督管理局</t>
  </si>
  <si>
    <t>南京迪海供应链管理有限公司</t>
  </si>
  <si>
    <t>91320192302725066A</t>
  </si>
  <si>
    <t>胡钰</t>
  </si>
  <si>
    <t>2015-02-02</t>
  </si>
  <si>
    <t>江苏省南京市栖霞区马群街道紫东路1号F1栋103室</t>
  </si>
  <si>
    <t>025-86756088</t>
  </si>
  <si>
    <t>025-86756066</t>
  </si>
  <si>
    <t>546550076@qq.com</t>
  </si>
  <si>
    <t>dhzhaoyuan@163.com</t>
  </si>
  <si>
    <t>320192000024685</t>
  </si>
  <si>
    <t>30272506-6</t>
  </si>
  <si>
    <t>2015-02-02 至 2035-02-01</t>
  </si>
  <si>
    <t>Nanjing Dihai Supply Chain Management Co., Ltd.</t>
  </si>
  <si>
    <t>南京市马群街道紫东路1号F1栋105</t>
  </si>
  <si>
    <t>南京迪海供应链管理有限公司成立于2015-02-02，法定代表人为胡钰，注册资本为3000万元，统一社会信用代码为91320192302725066A，企业注册地址位于江苏省南京市栖霞区马群街道紫东路1号F1栋103室，所属行业为商务服务业，经营范围包含：许可项目：危险化学品经营；成品油批发；成品油零售；成品油仓储；船舶修理；水路普通货物运输；省际客船、危险品船运输（依法须经批准的项目，经相关部门批准后方可开展经营活动，具体经营项目以审批结果为准）
一般项目：润滑油销售；食品销售（仅销售预包装食品）；日用百货销售；劳动保护用品销售；农产品的生产、销售、加工、运输、贮藏及其他相关服务；水上运输设备零配件销售；家用电器销售；通讯设备销售；船舶港口服务；船舶租赁；进出口代理；雷达、无线电导航设备专业修理；导航终端销售；无船承运业务；煤炭及制品销售；电子产品销售；针纺织品销售；仪器仪表销售；消防器材销售；供应链管理服务；国内货物运输代理；贸易经纪；国内贸易代理；装卸搬运；化工产品销售（不含许可类化工产品）（除依法须经批准的项目外，凭营业执照依法自主开展经营活动）。企业当前经营状态为在业。</t>
  </si>
  <si>
    <t>许可项目：危险化学品经营；成品油批发；成品油零售；成品油仓储；船舶修理；水路普通货物运输；省际客船、危险品船运输（依法须经批准的项目，经相关部门批准后方可开展经营活动，具体经营项目以审批结果为准）
一般项目：润滑油销售；食品销售（仅销售预包装食品）；日用百货销售；劳动保护用品销售；农产品的生产、销售、加工、运输、贮藏及其他相关服务；水上运输设备零配件销售；家用电器销售；通讯设备销售；船舶港口服务；船舶租赁；进出口代理；雷达、无线电导航设备专业修理；导航终端销售；无船承运业务；煤炭及制品销售；电子产品销售；针纺织品销售；仪器仪表销售；消防器材销售；供应链管理服务；国内货物运输代理；贸易经纪；国内贸易代理；装卸搬运；化工产品销售（不含许可类化工产品）（除依法须经批准的项目外，凭营业执照依法自主开展经营活动）</t>
  </si>
  <si>
    <t>江苏阳光股份有限公司</t>
  </si>
  <si>
    <t>913202002503448854</t>
  </si>
  <si>
    <t>吴文荣</t>
  </si>
  <si>
    <t>178334.0326万元</t>
  </si>
  <si>
    <t>1994-02-18</t>
  </si>
  <si>
    <t>江阴市新桥镇马嘶桥</t>
  </si>
  <si>
    <t>0510-86121888</t>
  </si>
  <si>
    <t>0510-6121888;0510-86121688;13857112088</t>
  </si>
  <si>
    <t>jsyg@163.com</t>
  </si>
  <si>
    <t>jsyg88@163.com;jsyg88@pub.wx.jsinfo.net;600220jsyg@163.com</t>
  </si>
  <si>
    <t>股份有限公司（非上市）</t>
  </si>
  <si>
    <t>320200000015092</t>
  </si>
  <si>
    <t>25034488-5</t>
  </si>
  <si>
    <t>1813</t>
  </si>
  <si>
    <t>1994-02-18 至 无固定期限</t>
  </si>
  <si>
    <t>Jiangsu Sunshine Co., Ltd.</t>
  </si>
  <si>
    <t>https://www.china-sunshine.com</t>
  </si>
  <si>
    <t>江苏阳光股份有限公司，由国内较大的精毛纺生产企业——江苏阳光集团有限公司控股，是国家重点技术企业上市公司和国家重点扶持的行业排头兵。涉足毛纺、服装、生物医药、医疗器械、生态农林、房地产、金属制品等产业，年产高档服装350万套、高档精纺呢绒3500万米，是国内规模较大的高支高档薄型面料生产基地。公司在1999年9月27日上交所上市交易（股票名称：江苏阳光，股票代码“600220”）。</t>
  </si>
  <si>
    <t>呢绒、毛纱、毛线、针纺织品、服装、纺织机械及配件制造、销售；毛洗净分梳；纺织原料（不含棉花、蚕茧）、金属材料、建筑用材料、装饰装修材料、五金、电子产品、通讯及广播电视设备（不含卫星电视广播地面接收设施及发射装置）、玻璃销售；自营和代理各类商品和技术的进出口业务（国家限定企业经营或禁止进出口的商品及技术除外）。（依法须经批准的项目，经相关部门批准后方可开展经营活动）</t>
  </si>
  <si>
    <t>无锡市数据局</t>
  </si>
  <si>
    <t>无锡吉纬纺织品有限公司</t>
  </si>
  <si>
    <t>91320206MA1NPGQEX9</t>
  </si>
  <si>
    <t>崔奕</t>
  </si>
  <si>
    <t>130万元</t>
  </si>
  <si>
    <t>2017-04-05</t>
  </si>
  <si>
    <t>无锡市滨湖区科教软件园3-401</t>
  </si>
  <si>
    <t>滨湖区</t>
  </si>
  <si>
    <t>0510-82735939</t>
  </si>
  <si>
    <t>15006171893</t>
  </si>
  <si>
    <t>yummy@gwaystex.com</t>
  </si>
  <si>
    <t>yummy@goodways.com;yummy@dahuagarmnet.com;yummy@dahuagarment.com</t>
  </si>
  <si>
    <t>320206000337506</t>
  </si>
  <si>
    <t>MA1NPGQE-X</t>
  </si>
  <si>
    <t>2017-04-05 至 无固定期限</t>
  </si>
  <si>
    <t>Wuxi Ji Wei Textile Co., Ltd.</t>
  </si>
  <si>
    <t>无锡吉纬纺织品有限公司成立于2017-04-05，法定代表人为崔奕，注册资本为500万元，统一社会信用代码为91320206MA1NPGQEX9，企业注册地址位于无锡市滨湖区科教软件园3-401，所属行业为批发业，经营范围包含：纺织、服装及家庭用品，食用农产品，橡塑制品，文教体育用品，家具，木材，金属制品，建筑材料，电子产品的销售；自营和代理各类商品及技术的进出口业务（国家限定企业经营或禁止进出口的商品和技术除外）。第一类医疗器械销售；第二类医疗器械销售；第三类医疗器械经营；医护人员防护用品批发；医用口罩批发；日用口罩（非医用）销售；劳动保护用品销售；特种劳动防护用品销售；医用口罩零售（依法须经批准的项目，经相关部门批准后方可开展经营活动）。企业当前经营状态为存续。</t>
  </si>
  <si>
    <t>纺织、服装及家庭用品，食用农产品，橡塑制品，文教体育用品，家具，木材，金属制品，建筑材料，电子产品的销售；自营和代理各类商品及技术的进出口业务（国家限定企业经营或禁止进出口的商品和技术除外）。第一类医疗器械销售；第二类医疗器械销售；第三类医疗器械经营；医护人员防护用品批发；医用口罩批发；日用口罩（非医用）销售；劳动保护用品销售；特种劳动防护用品销售；医用口罩零售（依法须经批准的项目，经相关部门批准后方可开展经营活动）</t>
  </si>
  <si>
    <t>无锡市滨湖区行政审批局</t>
  </si>
  <si>
    <t>无锡市红雨纺织原料有限公司</t>
  </si>
  <si>
    <t>91320211MA1NC22B3M</t>
  </si>
  <si>
    <t>朱红雨</t>
  </si>
  <si>
    <t>2017-01-23</t>
  </si>
  <si>
    <t>无锡市滨湖区胡埭镇西溪中心路6号</t>
  </si>
  <si>
    <t>13706180593</t>
  </si>
  <si>
    <t>15852807912</t>
  </si>
  <si>
    <t>2931657655@qq.com</t>
  </si>
  <si>
    <t>320211000381286</t>
  </si>
  <si>
    <t>MA1NC22B-3</t>
  </si>
  <si>
    <t>2017-01-23 至 无固定期限</t>
  </si>
  <si>
    <t>Wuxi Hongyu Textile Raw Materials Co., Ltd.</t>
  </si>
  <si>
    <t>无锡市红雨纺织原料有限公司成立于2017-01-23，法定代表人为朱红雨，注册资本为20万元，统一社会信用代码为91320211MA1NC22B3M，企业注册地址位于无锡市滨湖区胡埭镇西溪中心路6号，所属行业为批发业，经营范围包含：纺织、服装及家庭用品、电气机械及器材、五金产品、塑料制品、通用机械、专用设备、建材、化工产品（不含危险化学品）、工艺美术品、金属材料的销售；自营和代理各类商品及技术的进出口业务（国家限定企业经营或禁止进出口的商品和技术除外）。（依法须经批准的项目，经相关部门批准后方可开展经营活动）。企业当前经营状态为在业。</t>
  </si>
  <si>
    <t>纺织、服装及家庭用品、电气机械及器材、五金产品、塑料制品、通用机械、专用设备、建材、化工产品（不含危险化学品）、工艺美术品、金属材料的销售；自营和代理各类商品及技术的进出口业务（国家限定企业经营或禁止进出口的商品和技术除外）。（依法须经批准的项目，经相关部门批准后方可开展经营活动）</t>
  </si>
  <si>
    <t>无锡海鹏进出口有限公司</t>
  </si>
  <si>
    <t>91320213MA1UUHKW58</t>
  </si>
  <si>
    <t>秦金勇</t>
  </si>
  <si>
    <t>无锡市梁溪区钱皋路168号国联金属市场B栋613室</t>
  </si>
  <si>
    <t>梁溪区</t>
  </si>
  <si>
    <t>17715309198</t>
  </si>
  <si>
    <t>17715309198@163.com</t>
  </si>
  <si>
    <t>320213000396848</t>
  </si>
  <si>
    <t>MA1UUHKW-5</t>
  </si>
  <si>
    <t>Wuxi HaiPeng Import and Export Co., Ltd.</t>
  </si>
  <si>
    <t>无锡海鹏进出口有限公司成立于2018-01-04，法定代表人为秦金勇，注册资本为1000万元，统一社会信用代码为91320213MA1UUHKW58，企业注册地址位于无锡市梁溪区钱皋路168号国联金属市场B栋613室，所属行业为批发业，经营范围包含：自营和代理各类商品及技术的进出口业务（国家限定企业经营或禁止进出口的商品和技术除外）；针纺织品及原料（不含籽棉）、服装、化妆品、工艺品、日用品、办公设备、化工产品及原料（不含危险品）、建筑材料、金属材料、通用机械及配件、电气机械及器材、五金产品、电子产品、橡塑制品、木制品、矿产品的销售；百货的零售。（依法须经批准的项目，经相关部门批准后方可开展经营活动）。企业当前经营状态为在业。</t>
  </si>
  <si>
    <t>自营和代理各类商品及技术的进出口业务（国家限定企业经营或禁止进出口的商品和技术除外）；针纺织品及原料（不含籽棉）、服装、化妆品、工艺品、日用品、办公设备、化工产品及原料（不含危险品）、建筑材料、金属材料、通用机械及配件、电气机械及器材、五金产品、电子产品、橡塑制品、木制品、矿产品的销售；百货的零售。（依法须经批准的项目，经相关部门批准后方可开展经营活动）</t>
  </si>
  <si>
    <t>无锡市梁溪区数据局</t>
  </si>
  <si>
    <t>江阴市鲁泰纺织有限公司</t>
  </si>
  <si>
    <t>91320281060156322Y</t>
  </si>
  <si>
    <t>刘云兴</t>
  </si>
  <si>
    <t>2012-12-20</t>
  </si>
  <si>
    <t>江阴市城东街道胜利村78号F区5幢1、2号</t>
  </si>
  <si>
    <t>13961625627</t>
  </si>
  <si>
    <t>13961621286;0510-84619760</t>
  </si>
  <si>
    <t>13961625627@163.com</t>
  </si>
  <si>
    <t>1529222781@qq.com;15161620909@163.com</t>
  </si>
  <si>
    <t>320281000384087</t>
  </si>
  <si>
    <t>06015632-2</t>
  </si>
  <si>
    <t>2012-12-20 至 2032-12-19</t>
  </si>
  <si>
    <t>Jiangyin Lutai Textile Co., Ltd.</t>
  </si>
  <si>
    <t>江阴市鲁泰纺织有限公司成立于2012-12-20，法定代表人为刘云兴，注册资本为580万元，统一社会信用代码为91320281060156322Y，企业注册地址位于江阴市城东街道胜利村78号F区5幢1、2号，所属行业为批发业，经营范围包含：纺织品、针织品、纺织原料、服装、服装辅料、日用百货的销售。**（以上项目涉及专项审批的，经批准后方可经营）**（依法须经批准的项目，经相关部门批准后方可开展经营活动）一般项目：纸制品销售（除依法须经批准的项目外，凭营业执照依法自主开展经营活动）。企业当前经营状态为存续。</t>
  </si>
  <si>
    <t>纺织品、针织品、纺织原料、服装、服装辅料、日用百货的销售。**（以上项目涉及专项审批的，经批准后方可经营）**（依法须经批准的项目，经相关部门批准后方可开展经营活动）一般项目：纸制品销售（除依法须经批准的项目外，凭营业执照依法自主开展经营活动）</t>
  </si>
  <si>
    <t>江阴市飞耀毛纺织有限公司</t>
  </si>
  <si>
    <t>91320281313859422N</t>
  </si>
  <si>
    <t>马先营</t>
  </si>
  <si>
    <t>2014-08-08</t>
  </si>
  <si>
    <t>江阴市顾山镇赤岸村国民路34号</t>
  </si>
  <si>
    <t>13616162566</t>
  </si>
  <si>
    <t>15961627358@139.com</t>
  </si>
  <si>
    <t>320281000466806</t>
  </si>
  <si>
    <t>31385942-2</t>
  </si>
  <si>
    <t>2014-08-08 至 2034-08-07</t>
  </si>
  <si>
    <t>Jiangyin Feiyao Woolen Textile Co., Ltd.</t>
  </si>
  <si>
    <t>江阴市飞耀毛纺织有限公司成立于2014-08-08，法定代表人为马先营，注册资本为150万元，统一社会信用代码为91320281313859422N，企业注册地址位于江阴市顾山镇赤岸村国民路34号，所属行业为纺织业，经营范围包含：毛纺织品的制造、加工、销售；纺织原料的销售。（依法须经批准的项目，经相关部门批准后方可开展经营活动）。企业当前经营状态为存续。</t>
  </si>
  <si>
    <t>毛纺织品的制造、加工、销售；纺织原料的销售。（依法须经批准的项目，经相关部门批准后方可开展经营活动）</t>
  </si>
  <si>
    <t>江阴市普亿毛纺有限公司</t>
  </si>
  <si>
    <t>91320281571391834K</t>
  </si>
  <si>
    <t>俞永清</t>
  </si>
  <si>
    <t>2011-03-23</t>
  </si>
  <si>
    <t>江阴市顾山镇赤岸村国民路5号</t>
  </si>
  <si>
    <t>0510-86958882</t>
  </si>
  <si>
    <t>320281000315503</t>
  </si>
  <si>
    <t>57139183-4</t>
  </si>
  <si>
    <t>2011-03-23 至 2031-03-22</t>
  </si>
  <si>
    <t>Jiangyin Puyi Woolen Textile Co., Ltd.</t>
  </si>
  <si>
    <t>江阴市顾山镇赤岸村原第一砖瓦厂内</t>
  </si>
  <si>
    <t>江阴市普亿毛纺有限公司成立于2011-03-23，法定代表人为俞永清，注册资本为500万元，统一社会信用代码为91320281571391834K，企业注册地址位于江阴市顾山镇赤岸村国民路5号，所属行业为纺织业，经营范围包含：一般项目：面料纺织加工；家用纺织制成品制造；产业用纺织制成品制造；产业用纺织制成品生产；纺纱加工；针纺织品及原料销售；纺织、服装及家庭用品批发；针纺织品销售；产业用纺织制成品销售；服装服饰批发；纺织专用设备制造；纺织专用设备销售；机械零件、零部件销售（除依法须经批准的项目外，凭营业执照依法自主开展经营活动）。企业当前经营状态为存续。</t>
  </si>
  <si>
    <t>一般项目：面料纺织加工；家用纺织制成品制造；产业用纺织制成品制造；产业用纺织制成品生产；纺纱加工；针纺织品及原料销售；纺织、服装及家庭用品批发；针纺织品销售；产业用纺织制成品销售；服装服饰批发；纺织专用设备制造；纺织专用设备销售；机械零件、零部件销售（除依法须经批准的项目外，凭营业执照依法自主开展经营活动）</t>
  </si>
  <si>
    <t>江阴市北国华达毛条有限公司</t>
  </si>
  <si>
    <t>913202817186541933</t>
  </si>
  <si>
    <t>钱达江</t>
  </si>
  <si>
    <t>2000-04-11</t>
  </si>
  <si>
    <t>0510-86352718</t>
  </si>
  <si>
    <t>320281000047398</t>
  </si>
  <si>
    <t>71865419-3</t>
  </si>
  <si>
    <t>2000-04-11 至 2030-04-10</t>
  </si>
  <si>
    <t>Jiangyin Beiguo Huada Woolen Top Co., Ltd.</t>
  </si>
  <si>
    <t>江阴市北国华达毛条有限公司成立于2000-04-11，法定代表人为钱达江，注册资本为50万元，统一社会信用代码为913202817186541933，企业注册地址位于江阴市顾山镇解放村小河口38号，所属行业为纺织业，经营范围包含：毛条的生产、销售；纺织原料（不含籽棉）的销售；自营和代理各类商品及技术的进出口业务，但国家限定企业经营或禁止进出口的商品和技术除外。家用纺织制成品制造；产业用纺织制成品制造；面料纺织加工；医用口罩零售；医用口罩批发；日用口罩（非医用）生产；日用口罩（非医用）销售；劳动保护用品生产；劳动保护用品销售；医护人员防护用品生产（Ⅰ类医疗器械）；医护人员防护用品批发；特种劳动防护用品生产；特种劳动防护用品销售（依法须经批准的项目，经相关部门批准后方可开展经营活动）。企业当前经营状态为存续。</t>
  </si>
  <si>
    <t>毛条的生产、销售；纺织原料（不含籽棉）的销售；自营和代理各类商品及技术的进出口业务，但国家限定企业经营或禁止进出口的商品和技术除外。家用纺织制成品制造；产业用纺织制成品制造；面料纺织加工；医用口罩零售；医用口罩批发；日用口罩（非医用）生产；日用口罩（非医用）销售；劳动保护用品生产；劳动保护用品销售；医护人员防护用品生产（Ⅰ类医疗器械）；医护人员防护用品批发；特种劳动防护用品生产；特种劳动防护用品销售（依法须经批准的项目，经相关部门批准后方可开展经营活动）</t>
  </si>
  <si>
    <t>中集世联达长江物流有限公司</t>
  </si>
  <si>
    <t>91320100MA1ML2Y64T</t>
  </si>
  <si>
    <t>中集凯通物流发展有限公司</t>
  </si>
  <si>
    <t>王柏林</t>
  </si>
  <si>
    <t>2016-05-18</t>
  </si>
  <si>
    <t>南京市鼓楼区中央路339号南京华贸中心B区13层B1301、B1302-1、B1303-B1309</t>
  </si>
  <si>
    <t>025-83260500</t>
  </si>
  <si>
    <t>025-83591691;025-83260548</t>
  </si>
  <si>
    <t>yangtze-gmo@cimcwetrans.com</t>
  </si>
  <si>
    <t>general@kaitong.net;yangwenzhi@kaitong.net;nanjing@kaitong.net</t>
  </si>
  <si>
    <t>320100001008074</t>
  </si>
  <si>
    <t>MA1ML2Y6-4</t>
  </si>
  <si>
    <t>209</t>
  </si>
  <si>
    <t>2016-05-18 至 2066-05-17</t>
  </si>
  <si>
    <t>CIMC Shilianda Changjiang Logistics Co., Ltd.</t>
  </si>
  <si>
    <t>www.cimc.com</t>
  </si>
  <si>
    <t>中集世联达长江物流有限公司成立于2016-05-18，法定代表人为王柏林，注册资本为15000万元，统一社会信用代码为91320100MA1ML2Y64T，企业注册地址位于南京市鼓楼区中央路339号南京华贸中心B区13层B1301、B1302-1、B1303-B1309，所属行业为多式联运和运输代理业，经营范围包含：物流供应链优化、整合、集成服务，包括：物流供应链解决方案的设计、物流方案的实施、供应链管理咨询服务；承办海运、陆运、空运进出口货物、国际展品、私人物品及过境货物的国际运输代理业务，包括：揽货、订舱、中转、集装箱拼装拆箱、结算运杂费、报关、报验、相关短途运输服务及咨询业务；国际货物多式联运代理业务；无船承运业务；国际船舶代理业务；铁路货物运输代理业务；国内货物运输及多式联运代理业务；普通货物的仓储及仓储配套服务，包括：装卸、加工、包装、配送、相关物流信息咨询和技术咨询服务；道路货物运输。（依法须经批准的项目，经相关部门批准后方可开展经营活动）
一般项目：木材销售；林业产品销售；谷物销售；豆及薯类销售；货物进出口；进出口代理（除依法须经批准的项目外，凭营业执照依法自主开展经营活动）。企业当前经营状态为在业。</t>
  </si>
  <si>
    <t>物流供应链优化、整合、集成服务，包括：物流供应链解决方案的设计、物流方案的实施、供应链管理咨询服务；承办海运、陆运、空运进出口货物、国际展品、私人物品及过境货物的国际运输代理业务，包括：揽货、订舱、中转、集装箱拼装拆箱、结算运杂费、报关、报验、相关短途运输服务及咨询业务；国际货物多式联运代理业务；无船承运业务；国际船舶代理业务；铁路货物运输代理业务；国内货物运输及多式联运代理业务；普通货物的仓储及仓储配套服务，包括：装卸、加工、包装、配送、相关物流信息咨询和技术咨询服务；道路货物运输。（依法须经批准的项目，经相关部门批准后方可开展经营活动）
一般项目：木材销售；林业产品销售；谷物销售；豆及薯类销售；货物进出口；进出口代理（除依法须经批准的项目外，凭营业执照依法自主开展经营活动）</t>
  </si>
  <si>
    <t>江阴金诺纺织有限公司</t>
  </si>
  <si>
    <t>91320281736541184W</t>
  </si>
  <si>
    <t>费新海</t>
  </si>
  <si>
    <t>2002-03-15</t>
  </si>
  <si>
    <t>江阴市纺织市场F1-18</t>
  </si>
  <si>
    <t>0510-86131394</t>
  </si>
  <si>
    <t>13003361216</t>
  </si>
  <si>
    <t>320281000071593</t>
  </si>
  <si>
    <t>73654118-4</t>
  </si>
  <si>
    <t>2002-03-15 至 2032-03-14</t>
  </si>
  <si>
    <t>Jiangyin Jinnuo Textile Co., Ltd.</t>
  </si>
  <si>
    <t>江阴金诺纺织有限公司成立于2002-03-15，法定代表人为费新海，注册资本为50万元，统一社会信用代码为91320281736541184W，企业注册地址位于江阴市纺织市场F1-18，所属行业为批发业，经营范围包含：针纺织品、纺织原料（不含棉花）、服装、鞋帽的销售。（依法须经批准的项目，经相关部门批准后方可开展经营活动）。企业当前经营状态为存续。</t>
  </si>
  <si>
    <t>针纺织品、纺织原料（不含棉花）、服装、鞋帽的销售。（依法须经批准的项目，经相关部门批准后方可开展经营活动）</t>
  </si>
  <si>
    <t>江阴市国忠毛纺有限公司</t>
  </si>
  <si>
    <t>913202817539456741</t>
  </si>
  <si>
    <t>沈国忠</t>
  </si>
  <si>
    <t>52万元</t>
  </si>
  <si>
    <t>2003-10-17</t>
  </si>
  <si>
    <t>江阴市徐霞客镇璜塘新璜路42号</t>
  </si>
  <si>
    <t>0510-86911868</t>
  </si>
  <si>
    <t>0510-86531535</t>
  </si>
  <si>
    <t>baoshang_2011@163.com</t>
  </si>
  <si>
    <t>320281000104917</t>
  </si>
  <si>
    <t>75394567-4</t>
  </si>
  <si>
    <t>2003-10-17 至 2033-10-16</t>
  </si>
  <si>
    <t>Jiangyin Guozhong Wool Spinning Co., Ltd.</t>
  </si>
  <si>
    <t>江阴市国忠毛纺有限公司成立于2003-10-17，法定代表人为沈国忠，注册资本为52万元，统一社会信用代码为913202817539456741，企业注册地址位于江阴市徐霞客镇璜塘新璜路42号，所属行业为纺织业，经营范围包含：毛纺织品、毛条的制造、加工、销售；化纤纺纱；纺织原料（不含籽棉）的销售。（依法须经批准的项目，经相关部门批准后方可开展经营活动）。企业当前经营状态为存续。</t>
  </si>
  <si>
    <t>毛纺织品、毛条的制造、加工、销售；化纤纺纱；纺织原料（不含籽棉）的销售。（依法须经批准的项目，经相关部门批准后方可开展经营活动）</t>
  </si>
  <si>
    <t>江阴市鲁王纺织有限公司</t>
  </si>
  <si>
    <t>91320281MA1MK3PU0B</t>
  </si>
  <si>
    <t>梁翠</t>
  </si>
  <si>
    <t>2016-04-28</t>
  </si>
  <si>
    <t>江阴市城东街道山观金石路5号</t>
  </si>
  <si>
    <t>13812573708</t>
  </si>
  <si>
    <t>320281000569829</t>
  </si>
  <si>
    <t>MA1MK3PU-0</t>
  </si>
  <si>
    <t>2016-04-28 至 2066-04-27</t>
  </si>
  <si>
    <t>Jiangyin Luwang Textile Co., Ltd.</t>
  </si>
  <si>
    <t>江阴市鲁王纺织有限公司成立于2016-04-28，法定代表人为梁翠，注册资本为100万元，统一社会信用代码为91320281MA1MK3PU0B，企业注册地址位于江阴市城东街道山观金石路5号，所属行业为批发业，经营范围包含：纺织品、针织品、纺织原料、服装、服装辅料、机械设备、建材、化工产品（不含危险品）、电子产品、金属材料、日用百货的销售。（依法须经批准的项目，经相关部门批准后方可开展经营活动）。企业当前经营状态为存续。</t>
  </si>
  <si>
    <t>纺织品、针织品、纺织原料、服装、服装辅料、机械设备、建材、化工产品（不含危险品）、电子产品、金属材料、日用百货的销售。（依法须经批准的项目，经相关部门批准后方可开展经营活动）</t>
  </si>
  <si>
    <t>江阴裕民纺织有限公司</t>
  </si>
  <si>
    <t>91320281MA1MP1403D</t>
  </si>
  <si>
    <t>秦裕清</t>
  </si>
  <si>
    <t>2016-07-01</t>
  </si>
  <si>
    <t>江阴市周庄镇陶城村唐家巷78号</t>
  </si>
  <si>
    <t>0510-86996080</t>
  </si>
  <si>
    <t>13812156535</t>
  </si>
  <si>
    <t>327868519@qq.com</t>
  </si>
  <si>
    <t>320281000583546</t>
  </si>
  <si>
    <t>MA1MP140-3</t>
  </si>
  <si>
    <t>2016-07-01 至 2066-06-29</t>
  </si>
  <si>
    <t>Jiangyin Yumin Textile Co., Ltd.</t>
  </si>
  <si>
    <t>江阴裕民纺织有限公司成立于2016-07-01，法定代表人为秦裕清，注册资本为600万元，统一社会信用代码为91320281MA1MP1403D，企业注册地址位于江阴市周庄镇陶城村唐家巷78号，所属行业为纺织业，经营范围包含：一般项目：纺织、服装及家庭用品批发；服饰研发；服装服饰批发；鞋帽批发；日用品销售；互联网销售（除销售需要许可的商品）；劳动保护用品销售；电子产品销售；服装辅料销售；货物进出口；技术进出口；进出口代理；面料纺织加工；产业用纺织制成品生产；产业用纺织制成品销售；针纺织品及原料销售；纺纱加工；纺织专用设备销售；纺织专用测试仪器销售；环境保护专用设备销售；服装制造；非金属废料和碎屑加工处理（除依法须经批准的项目外，凭营业执照依法自主开展经营活动）。企业当前经营状态为在业。</t>
  </si>
  <si>
    <t>一般项目：纺织、服装及家庭用品批发；服饰研发；服装服饰批发；鞋帽批发；日用品销售；互联网销售（除销售需要许可的商品）；劳动保护用品销售；电子产品销售；服装辅料销售；货物进出口；技术进出口；进出口代理；面料纺织加工；产业用纺织制成品生产；产业用纺织制成品销售；针纺织品及原料销售；纺纱加工；纺织专用设备销售；纺织专用测试仪器销售；环境保护专用设备销售；服装制造；非金属废料和碎屑加工处理（除依法须经批准的项目外，凭营业执照依法自主开展经营活动）</t>
  </si>
  <si>
    <t>江阴市巴达林木业有限公司</t>
  </si>
  <si>
    <t>91320281MA1XHXGA5J</t>
  </si>
  <si>
    <t>郑丽烟</t>
  </si>
  <si>
    <t>2018-11-28</t>
  </si>
  <si>
    <t>江阴市周庄镇稷山村王天圩巷65号</t>
  </si>
  <si>
    <t>15151567137</t>
  </si>
  <si>
    <t>13961665986;13962229392;18118150110</t>
  </si>
  <si>
    <t>15151567137@163.com</t>
  </si>
  <si>
    <t>13961665986@163.com</t>
  </si>
  <si>
    <t>320281000802710</t>
  </si>
  <si>
    <t>MA1XHXGA-5</t>
  </si>
  <si>
    <t>2018-11-28 至 无固定期限</t>
  </si>
  <si>
    <t>Jiangyin Badalin Wood Industry Co., Ltd.</t>
  </si>
  <si>
    <t>巴达林.com</t>
  </si>
  <si>
    <t>江阴市巴达林木业有限公司成立于2018-11-28，法定代表人为郑丽烟，注册资本为500万元，统一社会信用代码为91320281MA1XHXGA5J，企业注册地址位于江阴市周庄镇稷山村王天圩巷65号，所属行业为木材加工和木、竹、藤、棕、草制品业，经营范围包含：一般项目：木材加工；木材销售；建筑用木料及木材组件加工；软木制品制造；日用木制品制造；软木制品销售；日用木制品销售；木制容器制造；木制容器销售；地板制造；五金产品批发；五金产品零售；建筑用金属配件销售；日用电器修理；家用电器销售；电器辅件销售；家用电器安装服务；家用电器零配件销售；日用家电零售；金属材料销售；机械设备销售；普通机械设备安装服务；防腐材料销售；建筑装饰材料销售；轻质建筑材料销售；隔热和隔音材料销售；建筑防水卷材产品销售；建筑材料销售；保温材料销售；耐火材料销售（除依法须经批准的项目外，凭营业执照依法自主开展经营活动）。企业当前经营状态为在业。</t>
  </si>
  <si>
    <t>一般项目：木材加工；木材销售；建筑用木料及木材组件加工；软木制品制造；日用木制品制造；软木制品销售；日用木制品销售；木制容器制造；木制容器销售；地板制造；五金产品批发；五金产品零售；建筑用金属配件销售；日用电器修理；家用电器销售；电器辅件销售；家用电器安装服务；家用电器零配件销售；日用家电零售；金属材料销售；机械设备销售；普通机械设备安装服务；防腐材料销售；建筑装饰材料销售；轻质建筑材料销售；隔热和隔音材料销售；建筑防水卷材产品销售；建筑材料销售；保温材料销售；耐火材料销售（除依法须经批准的项目外，凭营业执照依法自主开展经营活动）</t>
  </si>
  <si>
    <t>江阴市百顺船舶设备配件有限公司</t>
  </si>
  <si>
    <t>91320281MA222E9W0X</t>
  </si>
  <si>
    <t>朱坤昌</t>
  </si>
  <si>
    <t>90万元</t>
  </si>
  <si>
    <t>2020-07-24</t>
  </si>
  <si>
    <t>江阴市华士镇连心路19号</t>
  </si>
  <si>
    <t>13127588831</t>
  </si>
  <si>
    <t>1140309492@qq.com</t>
  </si>
  <si>
    <t>MA222E9W-0</t>
  </si>
  <si>
    <t>2020-07-24 至 无固定期限</t>
  </si>
  <si>
    <t>船舶及相关装置制造</t>
  </si>
  <si>
    <t>船用配套设备制造</t>
  </si>
  <si>
    <t>Jiangyin Baishun Shipbuilding Equipment Accessories Co., Ltd.</t>
  </si>
  <si>
    <t>江阴市百顺船舶设备配件有限公司成立于2020-07-24，法定代表人为朱坤昌，注册资本为90万元，统一社会信用代码为91320281MA222E9W0X，企业注册地址位于江阴市华士镇连心路19号，所属行业为铁路、船舶、航空航天和其他运输设备制造业，经营范围包含：一般项目：船用配套设备制造；潜水救捞装备制造；楼梯制造；软木制品制造；日用木制品制造；建筑用木料及木材组件加工；木材加工；潜水救捞装备销售；消防器材销售；劳动保护用品销售；五金产品批发；五金产品零售；机械设备销售；楼梯销售；木材销售；软木制品销售；日用木制品销售；建筑材料销售；园林绿化工程施工；信息咨询服务（不含许可类信息咨询服务）；农林牧副渔业专业机械的安装、维修（除依法须经批准的项目外，凭营业执照依法自主开展经营活动）。企业当前经营状态为在业。</t>
  </si>
  <si>
    <t>一般项目：船用配套设备制造；潜水救捞装备制造；楼梯制造；软木制品制造；日用木制品制造；建筑用木料及木材组件加工；木材加工；潜水救捞装备销售；消防器材销售；劳动保护用品销售；五金产品批发；五金产品零售；机械设备销售；楼梯销售；木材销售；软木制品销售；日用木制品销售；建筑材料销售；园林绿化工程施工；信息咨询服务（不含许可类信息咨询服务）；农林牧副渔业专业机械的安装、维修（除依法须经批准的项目外，凭营业执照依法自主开展经营活动）</t>
  </si>
  <si>
    <t>无锡敬义德纺织科技有限公司</t>
  </si>
  <si>
    <t>91320281MA23AB606D</t>
  </si>
  <si>
    <t>张洪全</t>
  </si>
  <si>
    <t>江阴市滨江西路2号1号楼531室</t>
  </si>
  <si>
    <t>13373607518</t>
  </si>
  <si>
    <t>jydfzwx@163.com</t>
  </si>
  <si>
    <t>13373607518@163.com</t>
  </si>
  <si>
    <t>MA23AB60-6</t>
  </si>
  <si>
    <t>2020-11-24 至 2050-11-23</t>
  </si>
  <si>
    <t>Wuxi Jingyide Textile Technology Co., Ltd.</t>
  </si>
  <si>
    <t>无锡敬义德纺织科技有限公司成立于2020-11-24，法定代表人为张洪全，注册资本为300万元，统一社会信用代码为91320281MA23AB606D，企业注册地址位于江阴市滨江西路2号1号楼531室，所属行业为研究和试验发展，经营范围包含：一般项目：技术服务、技术开发、技术咨询、技术交流、技术转让、技术推广；针纺织品销售；针纺织品及原料销售；服装辅料销售；纺织、服装及家庭用品批发；产业用纺织制成品销售；服装服饰批发；日用品批发；纺织专用设备销售（除依法须经批准的项目外，凭营业执照依法自主开展经营活动）。企业当前经营状态为在业。</t>
  </si>
  <si>
    <t>一般项目：技术服务、技术开发、技术咨询、技术交流、技术转让、技术推广；针纺织品销售；针纺织品及原料销售；服装辅料销售；纺织、服装及家庭用品批发；产业用纺织制成品销售；服装服饰批发；日用品批发；纺织专用设备销售（除依法须经批准的项目外，凭营业执照依法自主开展经营活动）</t>
  </si>
  <si>
    <t>绍兴市东湖毛纺织有限公司</t>
  </si>
  <si>
    <t>91330602145888055K</t>
  </si>
  <si>
    <t>绍兴市东湖毛纺织厂</t>
  </si>
  <si>
    <t>冯正富</t>
  </si>
  <si>
    <t>1984-10-09</t>
  </si>
  <si>
    <t>绍兴市越城区皋埠镇人民东路1415号</t>
  </si>
  <si>
    <t>0575-88608785</t>
  </si>
  <si>
    <t>0575-88627500</t>
  </si>
  <si>
    <t>ggdyd41@126.com</t>
  </si>
  <si>
    <t>397550372@qq.com</t>
  </si>
  <si>
    <t>330600000043903</t>
  </si>
  <si>
    <t>14588805-5</t>
  </si>
  <si>
    <t>1984-10-09 至 2028-12-31</t>
  </si>
  <si>
    <t>Shaoxing Donghu Woolen Textile Co., Ltd.</t>
  </si>
  <si>
    <t>绍兴市东湖毛纺织有限公司成立于1984-10-09，法定代表人为冯正富，注册资本为700万元，统一社会信用代码为91330602145888055K，企业注册地址位于绍兴市越城区皋埠镇人民东路1415号，所属行业为纺织业，经营范围包含：生产、加工：纺毛纱、呢绒、针织品、服装、化纤布；货物进出口、技术进出口。企业当前经营状态为存续。</t>
  </si>
  <si>
    <t>生产、加工：纺毛纱、呢绒、针织品、服装、化纤布；货物进出口、技术进出口。</t>
  </si>
  <si>
    <t>咸阳秦雅纺织有限公司</t>
  </si>
  <si>
    <t>91610400MA6XRUJG9Y</t>
  </si>
  <si>
    <t>李双正</t>
  </si>
  <si>
    <t>85127.34万元</t>
  </si>
  <si>
    <t>2017-11-30</t>
  </si>
  <si>
    <t>陕西省咸阳市兴平市西吴街道办纺织工业园区永昌路1号</t>
  </si>
  <si>
    <t>兴平市</t>
  </si>
  <si>
    <t>029-32085091</t>
  </si>
  <si>
    <t>029-32085088</t>
  </si>
  <si>
    <t>xyqyfz2@163.com</t>
  </si>
  <si>
    <t>xyhrfz@163.com</t>
  </si>
  <si>
    <t>610400100145293</t>
  </si>
  <si>
    <t>MA6XRUJG-9</t>
  </si>
  <si>
    <t>2017-11-30 至 无固定期限</t>
  </si>
  <si>
    <t>Xianyang Qinya Textile Co., Ltd.</t>
  </si>
  <si>
    <t>咸阳秦雅纺织有限公司成立于2017-11-30，法定代表人为李双正，注册资本为100000万元，统一社会信用代码为91610400MA6XRUJG9Y，企业注册地址位于陕西省咸阳市兴平市西吴街道办纺织工业园区永昌路1号，所属行业为批发业，经营范围包含：生产纱、线、布、纺织品、服装、纺织机械设备、零配件，销售自产产品；纺织原料、纺织纤维、丝织品的批发、零售。（依法须经批准的项目，经相关部门批准后方可开展经营活动）。企业当前经营状态为在业。</t>
  </si>
  <si>
    <t>生产纱、线、布、纺织品、服装、纺织机械设备、零配件，销售自产产品；纺织原料、纺织纤维、丝织品的批发、零售。（依法须经批准的项目，经相关部门批准后方可开展经营活动）</t>
  </si>
  <si>
    <t>咸阳市市场监督管理局</t>
  </si>
  <si>
    <t>咸阳金润德纺织有限公司</t>
  </si>
  <si>
    <t>91610424773800632X</t>
  </si>
  <si>
    <t>宇金涛</t>
  </si>
  <si>
    <t>660万元</t>
  </si>
  <si>
    <t>2003-05-28</t>
  </si>
  <si>
    <t>陕西省咸阳市乾县城关镇南门外南仁村</t>
  </si>
  <si>
    <t>乾县</t>
  </si>
  <si>
    <t>029-35534009</t>
  </si>
  <si>
    <t>190795099@qq.com</t>
  </si>
  <si>
    <t>610424100000871</t>
  </si>
  <si>
    <t>77380063-2</t>
  </si>
  <si>
    <t>2003-05-28 至 无固定期限</t>
  </si>
  <si>
    <t>Xianyang Jinrunde Textile Co., Ltd.</t>
  </si>
  <si>
    <t>咸阳金润德纺织有限公司成立于2003-05-28，法定代表人为宇金涛，注册资本为660万元，统一社会信用代码为91610424773800632X，企业注册地址位于陕西省咸阳市乾县城关镇南门外南仁村，所属行业为纺织业，经营范围包含：一般项目：面料纺织加工；家用纺织制成品制造；针纺织品销售；针纺织品及原料销售；产业用纺织制成品销售；产业用纺织制成品制造；棉花加工；棉花收购；仓储设备租赁服务；智能仓储装备销售（除依法须经批准的项目外，凭营业执照依法自主开展经营活动）。企业当前经营状态为在业。</t>
  </si>
  <si>
    <t>一般项目：面料纺织加工；家用纺织制成品制造；针纺织品销售；针纺织品及原料销售；产业用纺织制成品销售；产业用纺织制成品制造；棉花加工；棉花收购；仓储设备租赁服务；智能仓储装备销售（除依法须经批准的项目外，凭营业执照依法自主开展经营活动）。</t>
  </si>
  <si>
    <t>乾县市场监督管理局</t>
  </si>
  <si>
    <t>咸阳温氏畜牧有限公司</t>
  </si>
  <si>
    <t>9161043005212622XE</t>
  </si>
  <si>
    <t>丁志勇</t>
  </si>
  <si>
    <t>2012-08-29</t>
  </si>
  <si>
    <t>陕西省咸阳市淳化县润镇工业园区</t>
  </si>
  <si>
    <t>淳化县</t>
  </si>
  <si>
    <t>029-38983299</t>
  </si>
  <si>
    <t>029-37157669;029-3277803</t>
  </si>
  <si>
    <t>283190919@qq.com</t>
  </si>
  <si>
    <t>329379972@qq.com</t>
  </si>
  <si>
    <t>610430100001471</t>
  </si>
  <si>
    <t>05212622-X</t>
  </si>
  <si>
    <t>2012-08-29 至 无固定期限</t>
  </si>
  <si>
    <t>Xianyang Wenshi Livestock Co., Ltd.</t>
  </si>
  <si>
    <t>咸阳温氏畜牧有限公司成立于2012-08-29，法定代表人为丁志勇，注册资本为3000万元，统一社会信用代码为9161043005212622XE，企业注册地址位于陕西省咸阳市淳化县润镇工业园区，所属行业为畜牧业，经营范围包含：一般项目：牲畜销售；畜牧渔业饲料销售；粮食收购；货物进出口（除依法须经批准的项目外，凭营业执照依法自主开展经营活动）。许可项目：种畜禽生产；饲料生产（依法须经批准的项目，经相关部门批准后方可开展经营活动，具体经营项目以审批结果为准）。企业当前经营状态为在业。</t>
  </si>
  <si>
    <t>一般项目：牲畜销售；畜牧渔业饲料销售；粮食收购；货物进出口（除依法须经批准的项目外，凭营业执照依法自主开展经营活动）。许可项目：种畜禽生产；饲料生产（依法须经批准的项目，经相关部门批准后方可开展经营活动，具体经营项目以审批结果为准）。</t>
  </si>
  <si>
    <t>淳化县市场监督管理局</t>
  </si>
  <si>
    <t>延安恒瑞石油化工有限公司</t>
  </si>
  <si>
    <t>91610600MA6YKJ2U8R</t>
  </si>
  <si>
    <t>申冠忠</t>
  </si>
  <si>
    <t>2019-01-24</t>
  </si>
  <si>
    <t>陕西省延安市宝塔区新区北区轩辕大道5号创业大厦2楼006</t>
  </si>
  <si>
    <t>延安市</t>
  </si>
  <si>
    <t>宝塔区</t>
  </si>
  <si>
    <t>18691123034</t>
  </si>
  <si>
    <t>363556322@qq.com</t>
  </si>
  <si>
    <t>MA6YKJ2U-8</t>
  </si>
  <si>
    <t>2019-01-24 至 无固定期限</t>
  </si>
  <si>
    <t>Yan'an Hengrui Petrochemical Co., Ltd.</t>
  </si>
  <si>
    <t>延安恒瑞石油化工有限公司成立于2019-01-24，法定代表人为申冠忠，注册资本为1000万元，统一社会信用代码为91610600MA6YKJ2U8R，企业注册地址位于陕西省延安市宝塔区新区北区轩辕大道5号创业大厦2楼006，所属行业为批发业，经营范围包含：一般项目：货物进出口；信息咨询服务（不含许可类信息咨询服务）；化工产品销售（不含许可类化工产品）；润滑油销售；常用有色金属冶炼；建筑材料销售；塑料制品销售；机械设备销售；厨具卫具及日用杂品批发；金属材料销售；煤炭及制品销售；石油制品销售（不含危险化学品）；金属矿石销售；汽车零配件批发；轮胎销售；成品油批发（不含危险化学品）（除依法须经批准的项目外，凭营业执照依法自主开展经营活动）。许可项目：危险化学品经营（依法须经批准的项目，经相关部门批准后方可开展经营活动，具体经营项目以审批结果为准）。企业当前经营状态为在业。</t>
  </si>
  <si>
    <t>一般项目：货物进出口；信息咨询服务（不含许可类信息咨询服务）；化工产品销售（不含许可类化工产品）；润滑油销售；常用有色金属冶炼；建筑材料销售；塑料制品销售；机械设备销售；厨具卫具及日用杂品批发；金属材料销售；煤炭及制品销售；石油制品销售（不含危险化学品）；金属矿石销售；汽车零配件批发；轮胎销售；成品油批发（不含危险化学品）（除依法须经批准的项目外，凭营业执照依法自主开展经营活动）。许可项目：危险化学品经营（依法须经批准的项目，经相关部门批准后方可开展经营活动，具体经营项目以审批结果为准）。</t>
  </si>
  <si>
    <t>延安市市场监督管理局</t>
  </si>
  <si>
    <t>青岛中冀亿丰国际贸易有限公司</t>
  </si>
  <si>
    <t>913702200814355232</t>
  </si>
  <si>
    <t>陈伟俊</t>
  </si>
  <si>
    <t>2013-11-28</t>
  </si>
  <si>
    <t>山东省青岛市保税港区北京路45号东办公楼一楼-061（商务秘书公司托管地址）（A）</t>
  </si>
  <si>
    <t>15265289709</t>
  </si>
  <si>
    <t>15931499709</t>
  </si>
  <si>
    <t>15931499709@163.com</t>
  </si>
  <si>
    <t>15265289709@163.com;1589232708@qq.com</t>
  </si>
  <si>
    <t>370220230022230</t>
  </si>
  <si>
    <t>08143552-3</t>
  </si>
  <si>
    <t>2013-11-28 至 无固定期限</t>
  </si>
  <si>
    <t>Qingdao Zhongjiyifeng International Trade Co., Ltd.</t>
  </si>
  <si>
    <t>青岛中冀亿丰国际贸易有限公司成立于2013-11-28，法定代表人为陈伟俊，注册资本为200万元，统一社会信用代码为913702200814355232，企业注册地址位于山东省青岛市保税港区北京路45号东办公楼一楼-061（商务秘书公司托管地址）（A），所属行业为批发业，经营范围包含：一般经营项目:国际贸易、转口贸易、区内企业之间贸易及贸易项下加工整理；自营和代理各类商品和技术的进出口。（以上范围需经许可经营的，须凭许可证经营）。企业当前经营状态为在业。</t>
  </si>
  <si>
    <t>一般经营项目:国际贸易、转口贸易、区内企业之间贸易及贸易项下加工整理；自营和代理各类商品和技术的进出口。（以上范围需经许可经营的，须凭许可证经营）。</t>
  </si>
  <si>
    <t>宁夏宏盛易成纺织科技有限公司</t>
  </si>
  <si>
    <t>91640100MA76D2N40K</t>
  </si>
  <si>
    <t>宁夏宏盛易成商贸有限公司</t>
  </si>
  <si>
    <t>李大志</t>
  </si>
  <si>
    <t>2018-01-09</t>
  </si>
  <si>
    <t>宁夏银川市金凤区长城中路盈华商厦十一层东北角</t>
  </si>
  <si>
    <t>宁夏回族自治区</t>
  </si>
  <si>
    <t>银川市</t>
  </si>
  <si>
    <t>金凤区</t>
  </si>
  <si>
    <t>15378940620</t>
  </si>
  <si>
    <t>454311326@qq.com</t>
  </si>
  <si>
    <t>657220551@qq.com;657220551@163.com;6492623@qq.com</t>
  </si>
  <si>
    <t>640100200428873</t>
  </si>
  <si>
    <t>MA76D2N4-0</t>
  </si>
  <si>
    <t>2018-01-09 至 无固定期限</t>
  </si>
  <si>
    <t>Ningxia Hongsheng Yicheng Textile Technology Co., Ltd.</t>
  </si>
  <si>
    <t>宁夏宏盛易成纺织科技有限公司成立于2018-01-09，法定代表人为李大志，注册资本为1000万元，统一社会信用代码为91640100MA76D2N40K，企业注册地址位于宁夏银川市金凤区长城中路盈华商厦十一层东北角，所属行业为零售业，经营范围包含：一般项目：面料纺织加工；纺纱加工；棉、麻销售；针纺织品及原料销售；合成纤维销售。（除依法须经批准的项目外，凭营业执照依法自主开展经营活动）。企业当前经营状态为存续。</t>
  </si>
  <si>
    <t>一般项目：面料纺织加工；纺纱加工；棉、麻销售；针纺织品及原料销售；合成纤维销售。（除依法须经批准的项目外，凭营业执照依法自主开展经营活动）</t>
  </si>
  <si>
    <t>银川市市场监督管理局</t>
  </si>
  <si>
    <t>夏津县新时棉业有限公司</t>
  </si>
  <si>
    <t>91371427738168440N</t>
  </si>
  <si>
    <t>时传良</t>
  </si>
  <si>
    <t>2002-04-24</t>
  </si>
  <si>
    <t>夏津县宋楼镇时庄村</t>
  </si>
  <si>
    <t>13905442629</t>
  </si>
  <si>
    <t>0534-3581133;13515346516</t>
  </si>
  <si>
    <t>xjxxsmy@163.com</t>
  </si>
  <si>
    <t>1523358179@qq.com;411964606@qq.com</t>
  </si>
  <si>
    <t>371427228050226</t>
  </si>
  <si>
    <t>73816844-0</t>
  </si>
  <si>
    <t>2002-04-24 至 无固定期限</t>
  </si>
  <si>
    <t>Xiajin Xinshi Cotton Industry Co., Ltd.</t>
  </si>
  <si>
    <t>夏津县新时棉业有限公司成立于2002-04-24，法定代表人为时传良，注册资本为1100万元，统一社会信用代码为91371427738168440N，企业注册地址位于夏津县宋楼镇时庄村，所属行业为纺织业，经营范围包含：棉花收购、加工、销售，纺纱 （凭相关批准文件经营）（有效期限以许可证为准）。棉短绒加工、销售；进出口贸易。（依法须经批准的项目，经相关部门批准后方可开展经营活动）。企业当前经营状态为在业。</t>
  </si>
  <si>
    <t>棉花收购、加工、销售，纺纱 （凭相关批准文件经营）（有效期限以许可证为准）。棉短绒加工、销售；进出口贸易。（依法须经批准的项目，经相关部门批准后方可开展经营活动）。</t>
  </si>
  <si>
    <t>阿克苏华孚色纺有限公司</t>
  </si>
  <si>
    <t>91650000564381830U</t>
  </si>
  <si>
    <t>单斐</t>
  </si>
  <si>
    <t>263451.614万元</t>
  </si>
  <si>
    <t>2010-12-14</t>
  </si>
  <si>
    <t>新疆阿克苏地区阿克苏市阿克苏纺织工业城（开发区）温州路西侧</t>
  </si>
  <si>
    <t>18699331238</t>
  </si>
  <si>
    <t>0997-6755668;18399560436;0997-2653760;13677598355</t>
  </si>
  <si>
    <t>liuhyan@e-huafu.com</t>
  </si>
  <si>
    <t>zhaog@e-huafu.com;340243226@qq.com;yangmeng@e-huafu.com;wuxh@e-huafu.com</t>
  </si>
  <si>
    <t>652900050007680</t>
  </si>
  <si>
    <t>56438183-0</t>
  </si>
  <si>
    <t>1662</t>
  </si>
  <si>
    <t>2010-12-14 至 2030-12-13</t>
  </si>
  <si>
    <t>Akesu Huafu Melange Yarn Co., Ltd.</t>
  </si>
  <si>
    <t>http://www.huafu.com</t>
  </si>
  <si>
    <t>阿克苏华孚色纺有限公司成立于2010-12-14，法定代表人为单斐，注册资本为263451.614万元，统一社会信用代码为91650000564381830U，企业注册地址位于新疆阿克苏地区阿克苏市阿克苏纺织工业城（开发区）温州路西侧，所属行业为纺织业，经营范围包含：一般项目：纺纱加工；产业用纺织制成品制造；家用纺织制成品制造；产业用纺织制成品销售；棉、麻销售；针纺织品销售；合成纤维销售；货物进出口；棉花收购；纺织专用设备制造；纺织专用设备销售；仪器仪表销售；机械设备销售；非居住房地产租赁。（除依法须经批准的项目外，凭营业执照依法自主开展经营活动）许可项目：房地产开发经营；供电业务。（依法须经批准的项目，经相关部门批准后方可开展经营活动，具体经营项目以相关部门批准文件或许可证件为准）。企业当前经营状态为存续。</t>
  </si>
  <si>
    <t>一般项目：纺纱加工；产业用纺织制成品制造；家用纺织制成品制造；产业用纺织制成品销售；棉、麻销售；针纺织品销售；合成纤维销售；货物进出口；棉花收购；纺织专用设备制造；纺织专用设备销售；仪器仪表销售；机械设备销售；非居住房地产租赁。（除依法须经批准的项目外，凭营业执照依法自主开展经营活动）许可项目：房地产开发经营；供电业务。（依法须经批准的项目，经相关部门批准后方可开展经营活动，具体经营项目以相关部门批准文件或许可证件为准）</t>
  </si>
  <si>
    <t>新疆海嘉纺织有限公司</t>
  </si>
  <si>
    <t>91650100095505035T</t>
  </si>
  <si>
    <t>杨得权</t>
  </si>
  <si>
    <t>2014-03-27</t>
  </si>
  <si>
    <t>新疆乌鲁木齐经济技术开发区天柱山街88号10栋1单元1202号</t>
  </si>
  <si>
    <t>头屯河区</t>
  </si>
  <si>
    <t>13999115515</t>
  </si>
  <si>
    <t>0991-3769277</t>
  </si>
  <si>
    <t>1187427582@qq.com</t>
  </si>
  <si>
    <t>30215250653@qq.com;3021520653@qq.com</t>
  </si>
  <si>
    <t>650000058034032</t>
  </si>
  <si>
    <t>09550503-5</t>
  </si>
  <si>
    <t>2014-03-27 至 无固定期限</t>
  </si>
  <si>
    <t>Xinjiang Haijia Textile Co., Ltd.</t>
  </si>
  <si>
    <t>新疆海嘉纺织有限公司成立于2014-03-27，法定代表人为杨得权，注册资本为500万元，统一社会信用代码为91650100095505035T，企业注册地址位于新疆乌鲁木齐经济技术开发区天柱山街88号10栋1单元1202号，所属行业为批发业，经营范围包含：棉花、棉纱的加工、销售；销售：针纺织品。。（依法须经批准的项目，经相关部门批准后方可开展经营活动）。企业当前经营状态为存续。</t>
  </si>
  <si>
    <t>棉花、棉纱的加工、销售；销售：针纺织品。。（依法须经批准的项目，经相关部门批准后方可开展经营活动）</t>
  </si>
  <si>
    <t>乌鲁木齐市经济技术开发区（头屯河区）市场监督管理局</t>
  </si>
  <si>
    <t>路易达孚（中国）贸易有限责任公司新疆分公司</t>
  </si>
  <si>
    <t>91650100MA7788NX8H</t>
  </si>
  <si>
    <t>尹清</t>
  </si>
  <si>
    <t>新疆乌鲁木齐市天山区红山路26号时代广场小区1栋13层C座13K室、L室</t>
  </si>
  <si>
    <t>0991-8845286</t>
  </si>
  <si>
    <t>cherry.gu@ldc.com</t>
  </si>
  <si>
    <t>cherry.gu@idc.com</t>
  </si>
  <si>
    <t>650100510004412</t>
  </si>
  <si>
    <t>MA7788NX-8</t>
  </si>
  <si>
    <t>2017-01-04 至 2035-08-14</t>
  </si>
  <si>
    <t>五金产品批发</t>
  </si>
  <si>
    <t>Louis Dreyfus (China) Trading Co., Ltd. Xinjiang Branch</t>
  </si>
  <si>
    <t>路易达孚（中国）贸易有限责任公司新疆分公司成立于2017-01-04，负责人为尹清，统一社会信用代码为91650100MA7788NX8H，企业注册地址位于新疆乌鲁木齐市天山区红山路26号时代广场小区1栋13层C座13K室、L室，所属行业为批发业，经营范围包含：从事橡胶、谷物、农副产品、食品添加剂、有色金属、聚合物和化学产品（不包括化肥、成品油和原油）的批发，提供佣金代理业务及服务（拍卖除外），为总公司所投资的企业和关联企业提供管理及商务咨询，货物进出口，代理进出口。（依法须经批准的项目，经相关部门批准后方可开展经营活动）。企业当前经营状态为存续。</t>
  </si>
  <si>
    <t>从事橡胶、谷物、农副产品、食品添加剂、有色金属、聚合物和化学产品（不包括化肥、成品油和原油）的批发，提供佣金代理业务及服务（拍卖除外），为总公司所投资的企业和关联企业提供管理及商务咨询，货物进出口，代理进出口。（依法须经批准的项目，经相关部门批准后方可开展经营活动）</t>
  </si>
  <si>
    <t>乌鲁木齐市市场监督管理局（乌鲁木齐市知识产权局）</t>
  </si>
  <si>
    <t>新疆农产品交易中心有限公司</t>
  </si>
  <si>
    <t>91650100MA77EGFG22</t>
  </si>
  <si>
    <t>新疆纺织交易中心股份有限公司</t>
  </si>
  <si>
    <t>鲁辉</t>
  </si>
  <si>
    <t>2017-05-09</t>
  </si>
  <si>
    <t>新疆乌鲁木齐市经济技术开发区（头屯河区）阿里山街566号建投大厦10层1018室（中国（新疆）自由贸易试验区）</t>
  </si>
  <si>
    <t>13565800721</t>
  </si>
  <si>
    <t>0991-2662763</t>
  </si>
  <si>
    <t>380100368@qq.com</t>
  </si>
  <si>
    <t>jyjt@xjtcec.onaliyun.com;51251338@qq.com</t>
  </si>
  <si>
    <t>650000068000664</t>
  </si>
  <si>
    <t>MA77EGFG-2</t>
  </si>
  <si>
    <t>2017-05-09 至 无固定期限</t>
  </si>
  <si>
    <t>资源与产权交易服务</t>
  </si>
  <si>
    <t>Xinjiang Agricultural Products Trading Center Co., Ltd.</t>
  </si>
  <si>
    <t>新疆农产品交易中心有限公司成立于2017-05-09，法定代表人为鲁辉，注册资本为10000万元，统一社会信用代码为91650100MA77EGFG22，企业注册地址位于新疆乌鲁木齐市经济技术开发区（头屯河区）阿里山街566号建投大厦10层1018室（中国（新疆）自由贸易试验区），所属行业为商务服务业，经营范围包含：许可项目：交易所业务；道路货物运输（不含危险货物）；食品生产；食品销售；食品互联网销售；农药批发；粮食加工食品生产（依法须经批准的项目，经相关部门批准后方可开展经营活动，具体经营项目以相关部门批准文件或许可证件为准）一般项目：棉、麻销售；针纺织品销售；针纺织品及原料销售；农副产品销售；网络技术服务；集贸市场管理服务；普通货物仓储服务（不含危险化学品等需许可审批的项目）；服装辅料销售；纤维素纤维原料及纤维制造；合成纤维销售；纸浆销售；纸制品销售；供应链管理服务；信息咨询服务（不含许可类信息咨询服务）；国内货物运输代理；会议及展览服务；装卸搬运；陆路国际货物运输代理；化工产品销售（不含许可类化工产品）；初级农产品收购；牲畜销售；畜禽收购；新鲜水果批发；非居住房地产租赁；粮食收购；食用农产品初加工；食用农产品批发；食用农产品零售；谷物销售；棉花收购；畜牧渔业饲料销售；肥料销售；化肥销售；未经加工的坚果、干果销售；林业产品销售；农作物种子经营（仅限不再分装的包装种子）；塑料制品销售；谷物种植；棉花种植；油料种植；机械设备销售；农业机械服务；土地整治服务；土地使用权租赁；农业生产托管服务；饲料原料销售；农作物病虫害防治服务；橡胶制品销售；机械设备租赁；技术服务、技术开发、技术咨询、技术交流、技术转让、技术推广；农业专业及辅助性活动；再生资源销售（除依法须经批准的项目外，凭营业执照依法自主开展经营活动）。企业当前经营状态为存续。</t>
  </si>
  <si>
    <t>许可项目：交易所业务；道路货物运输（不含危险货物）；食品生产；食品销售；食品互联网销售；农药批发；粮食加工食品生产（依法须经批准的项目，经相关部门批准后方可开展经营活动，具体经营项目以相关部门批准文件或许可证件为准）一般项目：棉、麻销售；针纺织品销售；针纺织品及原料销售；农副产品销售；网络技术服务；集贸市场管理服务；普通货物仓储服务（不含危险化学品等需许可审批的项目）；服装辅料销售；纤维素纤维原料及纤维制造；合成纤维销售；纸浆销售；纸制品销售；供应链管理服务；信息咨询服务（不含许可类信息咨询服务）；国内货物运输代理；会议及展览服务；装卸搬运；陆路国际货物运输代理；化工产品销售（不含许可类化工产品）；初级农产品收购；牲畜销售；畜禽收购；新鲜水果批发；非居住房地产租赁；粮食收购；食用农产品初加工；食用农产品批发；食用农产品零售；谷物销售；棉花收购；畜牧渔业饲料销售；肥料销售；化肥销售；未经加工的坚果、干果销售；林业产品销售；农作物种子经营（仅限不再分装的包装种子）；塑料制品销售；谷物种植；棉花种植；油料种植；机械设备销售；农业机械服务；土地整治服务；土地使用权租赁；农业生产托管服务；饲料原料销售；农作物病虫害防治服务；橡胶制品销售；机械设备租赁；技术服务、技术开发、技术咨询、技术交流、技术转让、技术推广；农业专业及辅助性活动；再生资源销售（除依法须经批准的项目外，凭营业执照依法自主开展经营活动）</t>
  </si>
  <si>
    <t>乌鲁木齐市奥信凯商贸有限公司</t>
  </si>
  <si>
    <t>91650105682721154Y</t>
  </si>
  <si>
    <t>乌鲁木齐市嘉丰盛达商贸有限公司</t>
  </si>
  <si>
    <t>王泰钟</t>
  </si>
  <si>
    <t>2009-01-21</t>
  </si>
  <si>
    <t>新疆乌鲁木齐市水磨沟区六道湾路12号</t>
  </si>
  <si>
    <t>18097619423</t>
  </si>
  <si>
    <t>13565835801;0991-4619652;15999446606;18599419376</t>
  </si>
  <si>
    <t>1906099531@qq.com</t>
  </si>
  <si>
    <t>1486224237@qq.com;guop1994@163.com;1002459187@qq.com;842911703@qq.com;1984697857@qq.com;694625594@qq.com</t>
  </si>
  <si>
    <t>650105050020592</t>
  </si>
  <si>
    <t>68272115-4</t>
  </si>
  <si>
    <t>2009-01-21 至 无固定期限</t>
  </si>
  <si>
    <t>Urumqi Aoxinkai Trading Co., Ltd.</t>
  </si>
  <si>
    <t>乌鲁木齐市奥信凯商贸有限公司成立于2009-01-21，法定代表人为王泰钟，注册资本为50万元，统一社会信用代码为91650105682721154Y，企业注册地址位于新疆乌鲁木齐市水磨沟区六道湾路12号，所属行业为批发业，经营范围包含：销售：皮棉、棉籽、棉麻织品、针纺织品、建筑装饰材料、日用百货、纺织配件、羊绒羊毛；航空客运销售代理业务。（依法须经批准的项目，经相关部门批准后方可开展经营活动）。企业当前经营状态为存续。</t>
  </si>
  <si>
    <t>销售：皮棉、棉籽、棉麻织品、针纺织品、建筑装饰材料、日用百货、纺织配件、羊绒羊毛；航空客运销售代理业务。（依法须经批准的项目，经相关部门批准后方可开展经营活动）</t>
  </si>
  <si>
    <t>新疆傲农生物科技有限公司</t>
  </si>
  <si>
    <t>91650106096101710N</t>
  </si>
  <si>
    <t>李金钧</t>
  </si>
  <si>
    <t>2014-03-18</t>
  </si>
  <si>
    <t>新疆昌吉州呼图壁县二十里店镇二十里村</t>
  </si>
  <si>
    <t>18699441501</t>
  </si>
  <si>
    <t>15199064474;0994-4556243;18699422279;0991-3972796;0991-3110978</t>
  </si>
  <si>
    <t>1134722894@qq.com</t>
  </si>
  <si>
    <t>1529611797@qq.com;1041915230@qq.com;1329665198@qq.com;45081679@qq.com</t>
  </si>
  <si>
    <t>652301050032390</t>
  </si>
  <si>
    <t>09610171-0</t>
  </si>
  <si>
    <t>2014-03-18 至 2034-03-17</t>
  </si>
  <si>
    <t>Xinjiang Aonong Biotechnology Co., Ltd.</t>
  </si>
  <si>
    <t>新疆昌吉州呼图壁县东风大街曙光建材城002号门面房（六街3区1院1-1-1）</t>
  </si>
  <si>
    <t>新疆傲农生物科技有限公司成立于2014-03-18，法定代表人为李金钧，注册资本为500万元，统一社会信用代码为91650106096101710N，企业注册地址位于新疆昌吉州呼图壁县二十里店镇二十里村，所属行业为科技推广和应用服务业，经营范围包含：销售：饲料、兽药；生产：配合饲料（畜禽、水产）、浓缩饲料（畜禽、水产）；饲料原料的采购及销售；生物技术的研发；农产品收购。（依法须经批准的项目，经相关部门批准后方可开展经营活动）。企业当前经营状态为存续。</t>
  </si>
  <si>
    <t>销售：饲料、兽药；生产：配合饲料（畜禽、水产）、浓缩饲料（畜禽、水产）；饲料原料的采购及销售；生物技术的研发；农产品收购。（依法须经批准的项目，经相关部门批准后方可开展经营活动）</t>
  </si>
  <si>
    <t>吐鲁番常新纺织有限公司</t>
  </si>
  <si>
    <t>91650402MA775T8DXR</t>
  </si>
  <si>
    <t>葛长玉</t>
  </si>
  <si>
    <t>新疆吐鲁番市高昌区示范区丝绸路与艾丁湖路交叉处南侧区域</t>
  </si>
  <si>
    <t>吐鲁番市</t>
  </si>
  <si>
    <t>高昌区</t>
  </si>
  <si>
    <t>13915011223</t>
  </si>
  <si>
    <t>13861199051;0995-6261193</t>
  </si>
  <si>
    <t>1391501223@163.com</t>
  </si>
  <si>
    <t>13861199051@163.com;1386119051@163.com;961247817@qq.com</t>
  </si>
  <si>
    <t>650402050013708</t>
  </si>
  <si>
    <t>MA775T8D-X</t>
  </si>
  <si>
    <t>Turpan Changxin Textile Co., Ltd.</t>
  </si>
  <si>
    <t>吐鲁番常新纺织有限公司成立于2016-03-30，法定代表人为葛长玉，注册资本为6000万元，统一社会信用代码为91650402MA775T8DXR，企业注册地址位于新疆吐鲁番市高昌区示范区丝绸路与艾丁湖路交叉处南侧区域，所属行业为纺织业，经营范围包含：一般项目：纺纱加工；针纺织品及原料销售；面料纺织加工；家用纺织制成品制造；服装制造；针织或钩针编织物及其制品制造；服装辅料制造；服装辅料销售；劳动保护用品销售；棉花收购；棉花加工；信息咨询服务（不含许可类信息咨询服务）；技术服务、技术开发、技术咨询、技术交流、技术转让、技术推广；旅游开发项目策划咨询。（除依法须经批准的项目外，凭营业执照依法自主开展经营活动）。企业当前经营状态为存续。</t>
  </si>
  <si>
    <t>一般项目：纺纱加工；针纺织品及原料销售；面料纺织加工；家用纺织制成品制造；服装制造；针织或钩针编织物及其制品制造；服装辅料制造；服装辅料销售；劳动保护用品销售；棉花收购；棉花加工；信息咨询服务（不含许可类信息咨询服务）；技术服务、技术开发、技术咨询、技术交流、技术转让、技术推广；旅游开发项目策划咨询。（除依法须经批准的项目外，凭营业执照依法自主开展经营活动）</t>
  </si>
  <si>
    <t>高昌区市场监督管理局</t>
  </si>
  <si>
    <t>呼图壁县万源棉业有限公司</t>
  </si>
  <si>
    <t>91652323754564953F</t>
  </si>
  <si>
    <t>许成光</t>
  </si>
  <si>
    <t>2003-09-26</t>
  </si>
  <si>
    <t>新疆昌吉州呼图壁县大丰镇干河子林场</t>
  </si>
  <si>
    <t>15899067880</t>
  </si>
  <si>
    <t>13999346610;0994-2728765;0994-4271889;13709941118</t>
  </si>
  <si>
    <t>270899086@qq.com</t>
  </si>
  <si>
    <t>652323050001087</t>
  </si>
  <si>
    <t>75456495-3</t>
  </si>
  <si>
    <t>2003-09-26 至 无固定期限</t>
  </si>
  <si>
    <t>Hutubi County Wanyuan Cotton Industry Co., Ltd.</t>
  </si>
  <si>
    <t>呼图壁县万源棉业有限公司成立于2003-09-26，法定代表人为许成光，注册资本为1600万元，统一社会信用代码为91652323754564953F，企业注册地址位于新疆昌吉州呼图壁县大丰镇干河子林场，所属行业为纺织业，经营范围包含：籽棉加工、收购；棉短绒收购加工；日用百货、服装、鞋帽、建筑材料、耐火材料、电线电缆、机械电子设备、开关控制设备、电力设备及配件、电力变压器、箱式变压器、矿山机械、铁矿石和铁精粉及制品、铜矿石和铜精粉及制品、其他金属矿石及制品、非金属矿石及制品、焦炭的销售，普通机械设备的安装及维修，机械零部件加工，仓储，普通货物与技术的进出口业务；纺织品、针织品、棉纱、初级形态的塑料及合成树脂的销售；非居住房地产租赁；农药零售；农业机械服务；农作物栽培服务；农作物收割服务；农作物秸秆处理及加工利用服务。企业当前经营状态为存续。</t>
  </si>
  <si>
    <t>籽棉加工、收购；棉短绒收购加工；日用百货、服装、鞋帽、建筑材料、耐火材料、电线电缆、机械电子设备、开关控制设备、电力设备及配件、电力变压器、箱式变压器、矿山机械、铁矿石和铁精粉及制品、铜矿石和铜精粉及制品、其他金属矿石及制品、非金属矿石及制品、焦炭的销售，普通机械设备的安装及维修，机械零部件加工，仓储，普通货物与技术的进出口业务；纺织品、针织品、棉纱、初级形态的塑料及合成树脂的销售；非居住房地产租赁；农药零售；农业机械服务；农作物栽培服务；农作物收割服务；农作物秸秆处理及加工利用服务。</t>
  </si>
  <si>
    <t>库尔勒惠祥棉种有限公司</t>
  </si>
  <si>
    <t>9165280166668324X3</t>
  </si>
  <si>
    <t>齐翠萍</t>
  </si>
  <si>
    <t>2007-11-08</t>
  </si>
  <si>
    <t>新疆巴州库尔勒市普惠农场</t>
  </si>
  <si>
    <t>18199215552</t>
  </si>
  <si>
    <t>0996-2980161;13779656867</t>
  </si>
  <si>
    <t>125951974@qq.com</t>
  </si>
  <si>
    <t>1259519742@qq.com</t>
  </si>
  <si>
    <t>652801050005544</t>
  </si>
  <si>
    <t>66668324-X</t>
  </si>
  <si>
    <t>2007-11-08 至 2027-11-07</t>
  </si>
  <si>
    <t>Korla Huixiang Cotton Seed Co., Ltd.</t>
  </si>
  <si>
    <t>库尔勒惠祥棉种有限公司成立于2007-11-08，法定代表人为齐翠萍，注册资本为3000万元，统一社会信用代码为9165280166668324X3，企业注册地址位于新疆巴州库尔勒市普惠农场，所属行业为农业，经营范围包含：棉花种子生产；批发零售：各类主要农作物常规种子，籽棉加工、收购；棉花种植，农业技术咨询服务，批发零售：皮棉、棉籽、棉花副产品、其他农畜产品、农用薄膜，零售：化肥；房屋租赁，场地租赁，其他机械设备租赁及维修。（管控要素除外）（依法须经批准的项目，经相关部门批准后方可开展经营活动）。企业当前经营状态为存续。</t>
  </si>
  <si>
    <t>棉花种子生产；批发零售：各类主要农作物常规种子，籽棉加工、收购；棉花种植，农业技术咨询服务，批发零售：皮棉、棉籽、棉花副产品、其他农畜产品、农用薄膜，零售：化肥；房屋租赁，场地租赁，其他机械设备租赁及维修。（管控要素除外）（依法须经批准的项目，经相关部门批准后方可开展经营活动）</t>
  </si>
  <si>
    <t>惠州市宝鑫棉纺有限公司</t>
  </si>
  <si>
    <t>91441303584731260A</t>
  </si>
  <si>
    <t>陈细满</t>
  </si>
  <si>
    <t>910万元</t>
  </si>
  <si>
    <t>2011-11-08</t>
  </si>
  <si>
    <t>惠阳区良井镇矮光村大元坝村民小组</t>
  </si>
  <si>
    <t>惠州市</t>
  </si>
  <si>
    <t>惠阳区</t>
  </si>
  <si>
    <t>18129580009</t>
  </si>
  <si>
    <t>15811914777;0752-3653966;0752-3651966</t>
  </si>
  <si>
    <t>314974094@qq.com</t>
  </si>
  <si>
    <t>583943465@qq.com</t>
  </si>
  <si>
    <t>441381000065311</t>
  </si>
  <si>
    <t>58473126-0</t>
  </si>
  <si>
    <t>2011-11-08 至 无固定期限</t>
  </si>
  <si>
    <t>Huizhou Baoxin Cotton Spinning Co., Ltd.</t>
  </si>
  <si>
    <t>惠州市宝鑫棉纺有限公司成立于2011-11-08，法定代表人为陈细满，注册资本为1000万元，统一社会信用代码为91441303584731260A，企业注册地址位于惠阳区良井镇矮光村大元坝村民小组，所属行业为纺织业，经营范围包含：加工、销售：棉纺制品、金属及非金属制品、机械配件；废旧物资回收；电子设备技术咨询服务。（依法须经批准的项目，经相关部门批准后方可开展经营活动）。企业当前经营状态为存续。</t>
  </si>
  <si>
    <t>加工、销售：棉纺制品、金属及非金属制品、机械配件；废旧物资回收；电子设备技术咨询服务。（依法须经批准的项目，经相关部门批准后方可开展经营活动）</t>
  </si>
  <si>
    <t>惠州市惠阳区市场监督管理局</t>
  </si>
  <si>
    <t>阿克苏昌盛棉业有限责任公司</t>
  </si>
  <si>
    <t>9165290077346179X3</t>
  </si>
  <si>
    <t>吴光泮</t>
  </si>
  <si>
    <t>2002-11-25</t>
  </si>
  <si>
    <t>新疆阿克苏地区阿克苏市314国道1017公里处西侧。</t>
  </si>
  <si>
    <t>15909071222</t>
  </si>
  <si>
    <t>15003015585</t>
  </si>
  <si>
    <t>575312012@qq.com</t>
  </si>
  <si>
    <t>652900050002396</t>
  </si>
  <si>
    <t>77346179-X</t>
  </si>
  <si>
    <t>2002-11-25 至 2052-11-25</t>
  </si>
  <si>
    <t>Aksu Changsheng Cotton Industry Co., Ltd.</t>
  </si>
  <si>
    <t>阿克苏昌盛棉业有限责任公司成立于2002-11-25，法定代表人为吴光泮，注册资本为500万元，统一社会信用代码为9165290077346179X3，企业注册地址位于新疆阿克苏地区阿克苏市314国道1017公里处西侧。，所属行业为农、林、牧、渔专业及辅助性活动，经营范围包含：籽棉加工；籽棉收购；皮棉销售，短绒加工、销售。（依法须经批准的项目，经相关部门批准后方可开展经营活动）。企业当前经营状态为存续。</t>
  </si>
  <si>
    <t>籽棉加工；籽棉收购；皮棉销售，短绒加工、销售。（依法须经批准的项目，经相关部门批准后方可开展经营活动）</t>
  </si>
  <si>
    <t>阿瓦提新雅棉业有限公司</t>
  </si>
  <si>
    <t>91652928560512549Y</t>
  </si>
  <si>
    <t>2010-08-24</t>
  </si>
  <si>
    <t>新疆阿克苏地区阿瓦提县拜什艾日克镇苏格其哈拉塔勒村</t>
  </si>
  <si>
    <t>阿瓦提县</t>
  </si>
  <si>
    <t>18095881987</t>
  </si>
  <si>
    <t>18999062919;0997-5293110;0997-5130552</t>
  </si>
  <si>
    <t>283685386@qq.com</t>
  </si>
  <si>
    <t>542621732@qq.com;yanggy@xj-youngor.com</t>
  </si>
  <si>
    <t>652928050000921</t>
  </si>
  <si>
    <t>56051254-9</t>
  </si>
  <si>
    <t>2010-08-24 至 2030-08-23</t>
  </si>
  <si>
    <t>Avati Xinya Cotton Industry Co., Ltd.</t>
  </si>
  <si>
    <t>www.xj-youngor.com</t>
  </si>
  <si>
    <t>阿瓦提新雅棉业有限公司成立于2010-08-24，法定代表人为朱斌，注册资本为3000万元，统一社会信用代码为91652928560512549Y，企业注册地址位于新疆阿克苏地区阿瓦提县拜什艾日克镇苏格其哈拉塔勒村，所属行业为农业，经营范围包含：籽棉收购、加工；皮棉、棉籽销售；棉花及其他作物的种植、收购与销售、种子销售、种子研发。（依法须经批准的项目，经相关部门批准后方可开展经营活动）。企业当前经营状态为存续。</t>
  </si>
  <si>
    <t>籽棉收购、加工；皮棉、棉籽销售；棉花及其他作物的种植、收购与销售、种子销售、种子研发。（依法须经批准的项目，经相关部门批准后方可开展经营活动）</t>
  </si>
  <si>
    <t>阿瓦提县市场监督管理局</t>
  </si>
  <si>
    <t>佛山市顺德区金领宇纺织有限公司</t>
  </si>
  <si>
    <t>91440606315200824Q</t>
  </si>
  <si>
    <t>郑小刚</t>
  </si>
  <si>
    <t>21万元</t>
  </si>
  <si>
    <t>佛山市顺德区伦教羊额村委会世龙大道5号二楼之一（住所申报）</t>
  </si>
  <si>
    <t>顺德区</t>
  </si>
  <si>
    <t>13798635668</t>
  </si>
  <si>
    <t>13433290206;0757-27883966;0757-27837408</t>
  </si>
  <si>
    <t>635377074@qq.com</t>
  </si>
  <si>
    <t>440681000619775</t>
  </si>
  <si>
    <t>31520082-4</t>
  </si>
  <si>
    <t>Foshan Shunde Jinlingyu Textile Co., Ltd.</t>
  </si>
  <si>
    <t>佛山市顺德区金领宇纺织有限公司成立于2014-11-06，法定代表人为郑小刚，注册资本为50万元，统一社会信用代码为91440606315200824Q，企业注册地址位于佛山市顺德区伦教羊额村委会世龙大道5号二楼之一（住所申报），所属行业为纺织服装、服饰业，经营范围包含：制造、销售：纺织品。（依法须经批准的项目，经相关部门批准后方可开展经营活动）。企业当前经营状态为存续。</t>
  </si>
  <si>
    <t>制造、销售：纺织品。（依法须经批准的项目，经相关部门批准后方可开展经营活动）</t>
  </si>
  <si>
    <t>佛山市顺德区市场监督管理局</t>
  </si>
  <si>
    <t>阿瓦提万隆棉业有限责任公司</t>
  </si>
  <si>
    <t>91652928MA77THB868</t>
  </si>
  <si>
    <t>黄婷婷</t>
  </si>
  <si>
    <t>2018-01-08</t>
  </si>
  <si>
    <t>新疆阿克苏地区阿瓦提县英艾日克乡棉花加工厂内</t>
  </si>
  <si>
    <t>15352777779;0997-2517103</t>
  </si>
  <si>
    <t>1125367320@qq.com</t>
  </si>
  <si>
    <t>1505172670@qq.com;283262332@qq.com;1513863543@qq.com</t>
  </si>
  <si>
    <t>652928050004963</t>
  </si>
  <si>
    <t>MA77THB8-6</t>
  </si>
  <si>
    <t>2018-01-08 至 2028-01-08</t>
  </si>
  <si>
    <t>Avati Bandung Cotton Industry Co., Ltd.</t>
  </si>
  <si>
    <t>阿瓦提万隆棉业有限责任公司成立于2018-01-08，法定代表人为黄婷婷，注册资本为1600万元，统一社会信用代码为91652928MA77THB868，企业注册地址位于新疆阿克苏地区阿瓦提县英艾日克乡棉花加工厂内，所属行业为农、林、牧、渔专业及辅助性活动，经营范围包含：棉花的收购、加工、销售；棉籽的收购、加工、销售；棉短绒的加工、销售；农作物的种植、销售；种子的销售；棉机配件、高碳铁丝、包装布、塑钢带的销售。（依法须经批准的项目，经相关部门批准后方可开展经营活动）。企业当前经营状态为存续。</t>
  </si>
  <si>
    <t>棉花的收购、加工、销售；棉籽的收购、加工、销售；棉短绒的加工、销售；农作物的种植、销售；种子的销售；棉机配件、高碳铁丝、包装布、塑钢带的销售。（依法须经批准的项目，经相关部门批准后方可开展经营活动）</t>
  </si>
  <si>
    <t>新疆前海集团有限责任公司</t>
  </si>
  <si>
    <t>91653100230001914F</t>
  </si>
  <si>
    <t>新疆前海集团公司,
新疆前海供销集团公司,
新疆兵团农三师棉麻公司</t>
  </si>
  <si>
    <t>潘黎</t>
  </si>
  <si>
    <t>1991-03-26</t>
  </si>
  <si>
    <t>新疆图木舒克市兴安街5号办公楼1、2、3号</t>
  </si>
  <si>
    <t>图木舒克市</t>
  </si>
  <si>
    <t>0998-5700377</t>
  </si>
  <si>
    <t>0998-5700388;0998-5703022;18409821245;0998-2502662;0998-2525891</t>
  </si>
  <si>
    <t>qhjtcwk@163.com</t>
  </si>
  <si>
    <t>xjqhzlfz@163.com;736093260@qq.com;553299174@qq.com</t>
  </si>
  <si>
    <t>653100000000869</t>
  </si>
  <si>
    <t>23000191-4</t>
  </si>
  <si>
    <t>1991-03-26 至 无固定期限</t>
  </si>
  <si>
    <t>Xinjiang Corps Nongsan Division Cotton &amp; Hemp Company</t>
  </si>
  <si>
    <t>新疆前海集团有限责任公司成立于1991-03-26，法定代表人为潘黎，注册资本为100000万元，统一社会信用代码为91653100230001914F，企业注册地址位于新疆图木舒克市兴安街5号办公楼1、2、3号，所属行业为批发业，经营范围包含：许可项目：住宿服务；餐饮服务；房地产开发经营（依法须经批准的项目，经相关部门批准后方可开展经营活动，具体经营项目以相关部门批准文件或许可证件为准）一般项目：日用百货销售；会议及展览服务；棉花收购；初级农产品收购；棉花加工；纺纱加工；面料纺织加工；面料印染加工；家用纺织制成品制造；产业用纺织制成品制造；服装辅料制造；针织或钩针编织物及其制品制造；服装制造；食用农产品初加工；非食用农产品初加工；农产品的生产、销售、加工、运输、贮藏及其他相关服务；棉、麻销售；针纺织品销售；针纺织品及原料销售；产业用纺织制成品销售；服装辅料销售；农作物种子经营（仅限不再分装的包装种子）；农副产品销售；食用农产品批发；食用农产品零售；农林牧渔机械配件销售；机械设备销售；五金产品批发；金属材料销售；高品质特种钢铁材料销售；建筑用钢筋产品销售；非居住房地产租赁；住房租赁；普通货物仓储服务（不含危险化学品等需许可审批的项目）；国内货物运输代理（除依法须经批准的项目外，凭营业执照依法自主开展经营活动）。企业当前经营状态为存续。</t>
  </si>
  <si>
    <t>许可项目：住宿服务；餐饮服务；房地产开发经营（依法须经批准的项目，经相关部门批准后方可开展经营活动，具体经营项目以相关部门批准文件或许可证件为准）一般项目：日用百货销售；会议及展览服务；棉花收购；初级农产品收购；棉花加工；纺纱加工；面料纺织加工；面料印染加工；家用纺织制成品制造；产业用纺织制成品制造；服装辅料制造；针织或钩针编织物及其制品制造；服装制造；食用农产品初加工；非食用农产品初加工；农产品的生产、销售、加工、运输、贮藏及其他相关服务；棉、麻销售；针纺织品销售；针纺织品及原料销售；产业用纺织制成品销售；服装辅料销售；农作物种子经营（仅限不再分装的包装种子）；农副产品销售；食用农产品批发；食用农产品零售；农林牧渔机械配件销售；机械设备销售；五金产品批发；金属材料销售；高品质特种钢铁材料销售；建筑用钢筋产品销售；非居住房地产租赁；住房租赁；普通货物仓储服务（不含危险化学品等需许可审批的项目）；国内货物运输代理（除依法须经批准的项目外，凭营业执照依法自主开展经营活动）</t>
  </si>
  <si>
    <t>图木舒克市市场监督管理局</t>
  </si>
  <si>
    <t>麦盖提良种棉业有限公司</t>
  </si>
  <si>
    <t>916531004581392588</t>
  </si>
  <si>
    <t>麦盖提县种子公司良种轧花厂,
麦盖提县良种棉业有限公司</t>
  </si>
  <si>
    <t>郝新民</t>
  </si>
  <si>
    <t>2009-04-16</t>
  </si>
  <si>
    <t>新疆喀什地区麦盖提县央塔克乡</t>
  </si>
  <si>
    <t>麦盖提县</t>
  </si>
  <si>
    <t>13709985098</t>
  </si>
  <si>
    <t>0998-7845159</t>
  </si>
  <si>
    <t>1486659470@qq.com</t>
  </si>
  <si>
    <t>1208335570@qq.com;1481778967@qq.com</t>
  </si>
  <si>
    <t>653100051008189</t>
  </si>
  <si>
    <t>45813925-8</t>
  </si>
  <si>
    <t>2009-04-16 至 2029-04-15</t>
  </si>
  <si>
    <t>Maigaiti Liangzhong Cotton Industry Co., Ltd.</t>
  </si>
  <si>
    <t>麦盖提良种棉业有限公司成立于2009-04-16，法定代表人为郝新民，注册资本为5000万元，统一社会信用代码为916531004581392588，企业注册地址位于新疆喀什地区麦盖提县央塔克乡，所属行业为农、林、牧、渔专业及辅助性活动，经营范围包含：籽棉加工；籽棉收购，棉副产品加工与销售，皮棉销售。（依法须经批准的项目，经相关部门批准后方可开展经营活动）。企业当前经营状态为存续。</t>
  </si>
  <si>
    <t>籽棉加工；籽棉收购，棉副产品加工与销售，皮棉销售。（依法须经批准的项目，经相关部门批准后方可开展经营活动）</t>
  </si>
  <si>
    <t>麦盖提县市场监督管理局</t>
  </si>
  <si>
    <t>喀什君丰农业发展有限公司</t>
  </si>
  <si>
    <t>91653128MA7787E402</t>
  </si>
  <si>
    <t>尤长华</t>
  </si>
  <si>
    <t>新疆喀什地区岳普湖县铁热木镇一村6组001号</t>
  </si>
  <si>
    <t>岳普湖县</t>
  </si>
  <si>
    <t>15894076999</t>
  </si>
  <si>
    <t>15558735737</t>
  </si>
  <si>
    <t>15894076998@139.com</t>
  </si>
  <si>
    <t>15894076999@139.com;15558735737@qq.com;121758415@qq.com</t>
  </si>
  <si>
    <t>653128055403299</t>
  </si>
  <si>
    <t>MA7787E4-0</t>
  </si>
  <si>
    <t>2017-01-04 至 2067-01-02</t>
  </si>
  <si>
    <t>Kashgar Junfeng Agricultural Development Co., Ltd.</t>
  </si>
  <si>
    <t>喀什君丰农业发展有限公司成立于2017-01-04，法定代表人为尤长华，注册资本为1500万元，统一社会信用代码为91653128MA7787E402，企业注册地址位于新疆喀什地区岳普湖县铁热木镇一村6组001号，所属行业为农、林、牧、渔专业及辅助性活动，经营范围包含：棉花收购、销售；皮棉、棉籽、棉短绒、棉粕、棉壳的收购、加工、销售；民族特色工艺品及饰品的设计、加工、销售；棉花种植。（依法须经批准的项目，经相关部门批准后方可开展经营活动）。企业当前经营状态为存续。</t>
  </si>
  <si>
    <t>棉花收购、销售；皮棉、棉籽、棉短绒、棉粕、棉壳的收购、加工、销售；民族特色工艺品及饰品的设计、加工、销售；棉花种植。（依法须经批准的项目，经相关部门批准后方可开展经营活动）</t>
  </si>
  <si>
    <t>岳普湖县市场监督管理局</t>
  </si>
  <si>
    <t>巴楚县银信棉纺有限公司</t>
  </si>
  <si>
    <t>91653130062052527B</t>
  </si>
  <si>
    <t>巴楚县银信包装材料有限公司,
巴楚县银信棉业有限公司</t>
  </si>
  <si>
    <t>朱秀微</t>
  </si>
  <si>
    <t>2013-01-30</t>
  </si>
  <si>
    <t>新疆喀什地区巴楚县迎宾路</t>
  </si>
  <si>
    <t>13779885899</t>
  </si>
  <si>
    <t>0998-6223998</t>
  </si>
  <si>
    <t>452495477@qq.com</t>
  </si>
  <si>
    <t>153877178@qq.com;1538771787@qq.com</t>
  </si>
  <si>
    <t>653100051022693</t>
  </si>
  <si>
    <t>06205252-7</t>
  </si>
  <si>
    <t>2013-01-30 至 2043-01-27</t>
  </si>
  <si>
    <t>Bachu County Yinxin Cotton Textile Co., Ltd.</t>
  </si>
  <si>
    <t>巴楚县银信棉纺有限公司成立于2013-01-30，法定代表人为朱秀微，注册资本为500万元，统一社会信用代码为91653130062052527B，企业注册地址位于新疆喀什地区巴楚县迎宾路，所属行业为批发业，经营范围包含：籽棉加工、收购；皮棉、絮棉、纺纱、梳棉胎、PET塑钢带的生产与销售。（依法须经批准的项目，经相关部门批准后方可开展经营活动）。企业当前经营状态为存续。</t>
  </si>
  <si>
    <t>籽棉加工、收购；皮棉、絮棉、纺纱、梳棉胎、PET塑钢带的生产与销售。（依法须经批准的项目，经相关部门批准后方可开展经营活动）</t>
  </si>
  <si>
    <t>广州市卓伟纺织品有限公司</t>
  </si>
  <si>
    <t>91440183070190903E</t>
  </si>
  <si>
    <t>曾广夫</t>
  </si>
  <si>
    <t>2013-06-18</t>
  </si>
  <si>
    <t>广州市增城新塘镇牛仔路67号首层</t>
  </si>
  <si>
    <t>13662518777</t>
  </si>
  <si>
    <t>020-82675833;13928717173</t>
  </si>
  <si>
    <t>425567550@qq.com</t>
  </si>
  <si>
    <t>440125000118930</t>
  </si>
  <si>
    <t>07019090-3</t>
  </si>
  <si>
    <t>2013-06-18 至 无固定期限</t>
  </si>
  <si>
    <t>Guangzhou Zhuowei Textile Co., Ltd.</t>
  </si>
  <si>
    <t>广州市卓伟纺织品有限公司成立于2013-06-18，法定代表人为曾广夫，注册资本为100万元，统一社会信用代码为91440183070190903E，企业注册地址位于广州市增城新塘镇牛仔路67号首层，所属行业为批发业，经营范围包含：纺织品、针织品及原料批发;服装辅料批发;纺织品及针织品零售;服装辅料零售。企业当前经营状态为存续。</t>
  </si>
  <si>
    <t>纺织品、针织品及原料批发;服装辅料批发;纺织品及针织品零售;服装辅料零售</t>
  </si>
  <si>
    <t>巴楚县济舟棉业有限责任公司</t>
  </si>
  <si>
    <t>91653130MA78CR3W7H</t>
  </si>
  <si>
    <t>林瑛</t>
  </si>
  <si>
    <t>1218万元</t>
  </si>
  <si>
    <t>2019-05-21</t>
  </si>
  <si>
    <t>新疆喀什巴楚县巴莎路93公里处阿拉根乡</t>
  </si>
  <si>
    <t>13801731992</t>
  </si>
  <si>
    <t>13801731992@qq.com</t>
  </si>
  <si>
    <t>653130056615525</t>
  </si>
  <si>
    <t>MA78CR3W-7</t>
  </si>
  <si>
    <t>2019-05-21 至 无固定期限</t>
  </si>
  <si>
    <t>Bachu County Jizhou Cotton Industry Co., Ltd.</t>
  </si>
  <si>
    <t>巴楚县济舟棉业有限责任公司成立于2019-05-21，法定代表人为林瑛，注册资本为1218万元，统一社会信用代码为91653130MA78CR3W7H，企业注册地址位于新疆喀什巴楚县巴莎路93公里处阿拉根乡，所属行业为批发业，经营范围包含：棉花收购及销售、皮棉批发及销售，农产品初加工服务（皮棉加工服务）、棉花仓储、农业技术推广服务（依法须经批准的项目，经相关部门批准后方可开展经营活动）。企业当前经营状态为存续。</t>
  </si>
  <si>
    <t>棉花收购及销售、皮棉批发及销售，农产品初加工服务（皮棉加工服务）、棉花仓储、农业技术推广服务（依法须经批准的项目，经相关部门批准后方可开展经营活动）</t>
  </si>
  <si>
    <t>巴楚县亿昌棉业有限公司</t>
  </si>
  <si>
    <t>91653130MA78GQU57R</t>
  </si>
  <si>
    <t>季莲妹</t>
  </si>
  <si>
    <t>2889万元</t>
  </si>
  <si>
    <t>2019-08-30</t>
  </si>
  <si>
    <t>新疆喀什地区巴楚县阿瓦提镇跃进吾斯坦博依五村003号</t>
  </si>
  <si>
    <t>13396565886</t>
  </si>
  <si>
    <t>17759489555;18999086788</t>
  </si>
  <si>
    <t>13396565886@qq.com</t>
  </si>
  <si>
    <t>17759489555@qq.com;18999086788@qq.com</t>
  </si>
  <si>
    <t>653130056616421</t>
  </si>
  <si>
    <t>MA78GQU5-7</t>
  </si>
  <si>
    <t>2019-08-30 至 无固定期限</t>
  </si>
  <si>
    <t>Bachu County Yichang Cotton Industry Co., Ltd.</t>
  </si>
  <si>
    <t>巴楚县亿昌棉业有限公司成立于2019-08-30，法定代表人为季莲妹，注册资本为5000万元，统一社会信用代码为91653130MA78GQU57R，企业注册地址位于新疆喀什地区巴楚县阿瓦提镇跃进吾斯坦博依五村003号，所属行业为农、林、牧、渔专业及辅助性活动，经营范围包含：籽棉收购加工，皮棉、棉籽、棉短绒、不孕籽、副产品的销售。（依法须经批准的项目，经相关部门批准后方可开展经营活动）。企业当前经营状态为存续。</t>
  </si>
  <si>
    <t>籽棉收购加工，皮棉、棉籽、棉短绒、不孕籽、副产品的销售。（依法须经批准的项目，经相关部门批准后方可开展经营活动）</t>
  </si>
  <si>
    <t>巴楚县震华棉纺有限公司</t>
  </si>
  <si>
    <t>91653130MA78U9Y87N</t>
  </si>
  <si>
    <t>李云新</t>
  </si>
  <si>
    <t>新疆喀什地区巴楚县巴莎公路93公里处（阿拉根乡）</t>
  </si>
  <si>
    <t>15957106257</t>
  </si>
  <si>
    <t>15957106257@qq.com</t>
  </si>
  <si>
    <t>MA78U9Y8-7</t>
  </si>
  <si>
    <t>Bachu County Zhenhua Cotton Textile Co., Ltd.</t>
  </si>
  <si>
    <t>巴楚县震华棉纺有限公司成立于2020-07-14，法定代表人为李云新，注册资本为1000万元，统一社会信用代码为91653130MA78U9Y87N，企业注册地址位于新疆喀什地区巴楚县巴莎公路93公里处（阿拉根乡），所属行业为纺织业，经营范围包含：棉花加工；纺纱加工；棉花收购；农产品的生产、销售、加工、运输、贮藏及其他相关服务；技术服务、技术开发、技术咨询、技术交流、技术转让、技术推广。企业当前经营状态为存续。</t>
  </si>
  <si>
    <t>棉花加工；纺纱加工；棉花收购；农产品的生产、销售、加工、运输、贮藏及其他相关服务；技术服务、技术开发、技术咨询、技术交流、技术转让、技术推广</t>
  </si>
  <si>
    <t>奎屯创锦棉业有限公司</t>
  </si>
  <si>
    <t>91654003742239942C</t>
  </si>
  <si>
    <t>1438万元</t>
  </si>
  <si>
    <t>2002-11-06</t>
  </si>
  <si>
    <t>新疆伊犁州奎屯市开干齐乡开干齐村10-1幢</t>
  </si>
  <si>
    <t>奎屯市</t>
  </si>
  <si>
    <t>18997570777</t>
  </si>
  <si>
    <t>13109065249;0992-3252333</t>
  </si>
  <si>
    <t>1289601465@qq.com</t>
  </si>
  <si>
    <t>529210147@qq.com</t>
  </si>
  <si>
    <t>654003050001433</t>
  </si>
  <si>
    <t>74223994-2</t>
  </si>
  <si>
    <t>2002-11-06 至 无固定期限</t>
  </si>
  <si>
    <t>Kuitun Chuangjin Cotton Industry Co., Ltd.</t>
  </si>
  <si>
    <t>奎屯创锦棉业有限公司成立于2002-11-06，法定代表人为李强，注册资本为1438万元，统一社会信用代码为91654003742239942C，企业注册地址位于新疆伊犁州奎屯市开干齐乡开干齐村10-1幢，所属行业为农、林、牧、渔专业及辅助性活动，经营范围包含：一般项目：非食用农产品初加工；棉花收购；棉花加工；棉、麻销售；农副产品销售。（除依法须经批准的项目外，凭营业执照依法自主开展经营活动）。企业当前经营状态为存续。</t>
  </si>
  <si>
    <t>一般项目：非食用农产品初加工；棉花收购；棉花加工；棉、麻销售；农副产品销售。（除依法须经批准的项目外，凭营业执照依法自主开展经营活动）</t>
  </si>
  <si>
    <t>奎屯市市场监督管理局</t>
  </si>
  <si>
    <t>新疆生产建设兵团第四师创锦棉业有限公司</t>
  </si>
  <si>
    <t>916540232305427967</t>
  </si>
  <si>
    <t>新疆生产建设兵团农四师棉麻公司</t>
  </si>
  <si>
    <t>王晓峰</t>
  </si>
  <si>
    <t>1991-04-10</t>
  </si>
  <si>
    <t>新疆可克达拉市北固山西路583号（第三层）</t>
  </si>
  <si>
    <t>可克达拉市</t>
  </si>
  <si>
    <t>18999395042</t>
  </si>
  <si>
    <t>18299229194;13579738395;0999-8182671</t>
  </si>
  <si>
    <t>9792946@qq.com</t>
  </si>
  <si>
    <t>772809572@qq.com;284450929@qq.com</t>
  </si>
  <si>
    <t>654101000000206</t>
  </si>
  <si>
    <t>23054279-6</t>
  </si>
  <si>
    <t>1991-04-10 至 无固定期限</t>
  </si>
  <si>
    <t>Xinjiang Production and Construction Corps Fourth Division Chuangjin Cotton Industry Co., Ltd.</t>
  </si>
  <si>
    <t>新疆生产建设兵团第四师创锦棉业有限公司成立于1991-04-10，法定代表人为王晓峰，注册资本为30000万元，统一社会信用代码为916540232305427967，企业注册地址位于新疆可克达拉市北固山西路583号（第三层），所属行业为纺织业，经营范围包含：棉花、麻类、籽棉收购，麻类加工机械销售；机械配件、五金交电、百货、农副产品（粮油除外）、畜产品、针纺织品、建筑材料，焦炭销售；农作物种子经营（仅限不再分装的包装种子）（依法须经批准的项目，经相关部门批准后方可开展经营活动）。企业当前经营状态为存续。</t>
  </si>
  <si>
    <t>棉花、麻类、籽棉收购，麻类加工机械销售；机械配件、五金交电、百货、农副产品（粮油除外）、畜产品、针纺织品、建筑材料，焦炭销售；农作物种子经营（仅限不再分装的包装种子）（依法须经批准的项目，经相关部门批准后方可开展经营活动）</t>
  </si>
  <si>
    <t>新疆生产建设兵团第四师市场监督管理局</t>
  </si>
  <si>
    <t>文昌市歌颂畜禽发展有限公司</t>
  </si>
  <si>
    <t>914690057088331989</t>
  </si>
  <si>
    <t>颜为乾</t>
  </si>
  <si>
    <t>1998-12-02</t>
  </si>
  <si>
    <t>文昌市锦山镇侨光路28号</t>
  </si>
  <si>
    <t>文昌市</t>
  </si>
  <si>
    <t>0898-63691217</t>
  </si>
  <si>
    <t>0898-63691128</t>
  </si>
  <si>
    <t>wcgs_1998@163.com</t>
  </si>
  <si>
    <t>xiaotong_820912@sina.com</t>
  </si>
  <si>
    <t>469005000008424</t>
  </si>
  <si>
    <t>70883319-8</t>
  </si>
  <si>
    <t>1998-12-02 至 无固定期限</t>
  </si>
  <si>
    <t>Wenchang Gesong Livestock and Poultry Development Co., Ltd.</t>
  </si>
  <si>
    <t>文昌市歌颂畜禽发展有限公司成立于1998-12-02，法定代表人为颜为乾，注册资本为1000万元，统一社会信用代码为914690057088331989，企业注册地址位于文昌市锦山镇侨光路28号，所属行业为农副食品加工业，经营范围包含：畜禽饲料生产、销售，种鸡、种鸭、肉鸡、饲料添加剂销售，进出口业务，粮食收购。企业当前经营状态为存续。</t>
  </si>
  <si>
    <t>畜禽饲料生产、销售，种鸡、种鸭、肉鸡、饲料添加剂销售，进出口业务，粮食收购。</t>
  </si>
  <si>
    <t>文昌市市场监督管理局</t>
  </si>
  <si>
    <t>嘉吉饲料（重庆）有限公司</t>
  </si>
  <si>
    <t>91500000790716977C</t>
  </si>
  <si>
    <t>农标普瑞纳（重庆）饲料有限公司</t>
  </si>
  <si>
    <t>权太勇</t>
  </si>
  <si>
    <t>400万美元</t>
  </si>
  <si>
    <t>重庆市荣昌区昌州街道嘉吉普瑞纳大道7号</t>
  </si>
  <si>
    <t>荣昌区</t>
  </si>
  <si>
    <t>023-46761607</t>
  </si>
  <si>
    <t>023-46761609;023-46761580;023-46761608</t>
  </si>
  <si>
    <t>kunzhen_jiang@cargill.com</t>
  </si>
  <si>
    <t>nydia_liu@cargill.com;cathy_jiang@cargill.com</t>
  </si>
  <si>
    <t>500000400027219</t>
  </si>
  <si>
    <t>79071697-7</t>
  </si>
  <si>
    <t>2006-08-03 至 2056-08-02</t>
  </si>
  <si>
    <t>Cargill Animal Nutrition (Chongqing) Co., Ltd.</t>
  </si>
  <si>
    <t>https://www.purinafeed.com.cn</t>
  </si>
  <si>
    <t>嘉吉饲料（重庆）有限公司成立于2006-08-03，法定代表人为权太勇，注册资本为400万美元，统一社会信用代码为91500000790716977C，企业注册地址位于重庆市荣昌区昌州街道嘉吉普瑞纳大道7号，所属行业为农副食品加工业，经营范围包含：许可项目：饲料生产，饲料添加剂生产，兽药生产，兽药经营，粮食收购，货物进出口，种畜禽生产，种畜禽经营，牲畜饲养，家禽饲养，水产养殖，活禽销售（依法须经批准的项目，经相关部门批准后方可开展经营活动，具体经营项目以相关部门批准文件或许可证件为准）一般项目：饲料原料销售，饲料添加剂销售，畜牧渔业饲料销售，宠物食品及用品批发，牲畜销售，水产品批发，农、林、牧、副、渔业专业机械的销售，畜牧机械销售，饲料生产专用设备销售，农林牧渔机械配件销售，农林牧渔专用仪器仪表销售，电气设备销售，农副产品销售，中草药收购，普通货物仓储服务（不含危险化学品等需许可审批的项目），技术服务、技术开发、技术咨询、技术交流、技术转让、技术推广，软件销售，软件开发，采购代理服务（除依法须经批准的项目外，凭营业执照依法自主开展经营活动）。企业当前经营状态为存续。</t>
  </si>
  <si>
    <t>许可项目：饲料生产，饲料添加剂生产，兽药生产，兽药经营，粮食收购，货物进出口，种畜禽生产，种畜禽经营，牲畜饲养，家禽饲养，水产养殖，活禽销售（依法须经批准的项目，经相关部门批准后方可开展经营活动，具体经营项目以相关部门批准文件或许可证件为准）一般项目：饲料原料销售，饲料添加剂销售，畜牧渔业饲料销售，宠物食品及用品批发，牲畜销售，水产品批发，农、林、牧、副、渔业专业机械的销售，畜牧机械销售，饲料生产专用设备销售，农林牧渔机械配件销售，农林牧渔专用仪器仪表销售，电气设备销售，农副产品销售，中草药收购，普通货物仓储服务（不含危险化学品等需许可审批的项目），技术服务、技术开发、技术咨询、技术交流、技术转让、技术推广，软件销售，软件开发，采购代理服务（除依法须经批准的项目外，凭营业执照依法自主开展经营活动）</t>
  </si>
  <si>
    <t>重庆市荣昌区市场监督管理局</t>
  </si>
  <si>
    <t>乌苏市皇宫银海棉业有限公司</t>
  </si>
  <si>
    <t>9165420223079597X6</t>
  </si>
  <si>
    <t>乌苏市皇宫镇棉花加工厂</t>
  </si>
  <si>
    <t>李国冀</t>
  </si>
  <si>
    <t>1997-10-08</t>
  </si>
  <si>
    <t>新疆塔城地区乌苏市皇宫镇（019号）</t>
  </si>
  <si>
    <t>15739759677</t>
  </si>
  <si>
    <t>15199950319;13899547988;0992-8921860</t>
  </si>
  <si>
    <t>837590799@qq.com</t>
  </si>
  <si>
    <t>654202010000067</t>
  </si>
  <si>
    <t>23079597-X</t>
  </si>
  <si>
    <t>1997-10-08 至 无固定期限</t>
  </si>
  <si>
    <t>Wusu Imperial Palace Yinhai Cotton Industry Co., Ltd.</t>
  </si>
  <si>
    <t>乌苏市皇宫银海棉业有限公司成立于1997-10-08，法定代表人为李国冀，注册资本为1000万元，统一社会信用代码为9165420223079597X6，企业注册地址位于新疆塔城地区乌苏市皇宫镇（019号），所属行业为纺织业，经营范围包含：许可经营项目：籽棉加工。一般经营项目：籽棉收购销售；棉短绒加工；棉机配件销售。（依法须经批准的项目，经相关部门批准后方可开展经营活动）。企业当前经营状态为存续。</t>
  </si>
  <si>
    <t>许可经营项目：籽棉加工。一般经营项目：籽棉收购销售；棉短绒加工；棉机配件销售。（依法须经批准的项目，经相关部门批准后方可开展经营活动）</t>
  </si>
  <si>
    <t>乌苏市甘河子恒丰棉业有限公司</t>
  </si>
  <si>
    <t>91654202679254022L</t>
  </si>
  <si>
    <t>徐良敏</t>
  </si>
  <si>
    <t>2008-09-01</t>
  </si>
  <si>
    <t>新疆塔城地区乌苏市甘河子镇王乡庄子村二组94号</t>
  </si>
  <si>
    <t>18935886988</t>
  </si>
  <si>
    <t>0992-8912288;13565576681;13119920888;18399232888</t>
  </si>
  <si>
    <t>673017387@qq.com</t>
  </si>
  <si>
    <t>654202050001239</t>
  </si>
  <si>
    <t>67925402-2</t>
  </si>
  <si>
    <t>2008-09-01 至 无固定期限</t>
  </si>
  <si>
    <t>Wusu Ganhezi Hengfeng Cotton Industry Co., Ltd.</t>
  </si>
  <si>
    <t>乌苏市甘河子恒丰棉业有限公司成立于2008-09-01，法定代表人为徐良敏，注册资本为1000万元，统一社会信用代码为91654202679254022L，企业注册地址位于新疆塔城地区乌苏市甘河子镇王乡庄子村二组94号，所属行业为纺织业，经营范围包含：许可经营项目：籽棉加工。一般经营项目：籽棉收购；棉短绒加工；皮棉购销；棉籽等副产品销售。（依法须经批准的项目，经相关部门批准后方可开展经营活动）。企业当前经营状态为存续。</t>
  </si>
  <si>
    <t>许可经营项目：籽棉加工。一般经营项目：籽棉收购；棉短绒加工；皮棉购销；棉籽等副产品销售。（依法须经批准的项目，经相关部门批准后方可开展经营活动）</t>
  </si>
  <si>
    <t>乌苏市创锦棉业有限公司</t>
  </si>
  <si>
    <t>916542027545788107</t>
  </si>
  <si>
    <t>乌苏市宝鑫棉业有限公司</t>
  </si>
  <si>
    <t>1285万元</t>
  </si>
  <si>
    <t>2003-10-27</t>
  </si>
  <si>
    <t>新疆塔城地区乌苏市车排子镇苇湖村006号</t>
  </si>
  <si>
    <t>13579169512</t>
  </si>
  <si>
    <t>13899731781;13109065249;0992-8991068;15299257860;18999589187</t>
  </si>
  <si>
    <t>1398992163@qq.com</t>
  </si>
  <si>
    <t>377234062@qq.com;529210147@qq.com;574510537@qq.com;772809572@qq.com;7359126@qq.com</t>
  </si>
  <si>
    <t>654202050000475</t>
  </si>
  <si>
    <t>75457881-0</t>
  </si>
  <si>
    <t>2003-10-27 至 无固定期限</t>
  </si>
  <si>
    <t>Wusu Chuangjin Cotton Industry Co., Ltd.</t>
  </si>
  <si>
    <t>乌苏市创锦棉业有限公司成立于2003-10-27，法定代表人为李强，注册资本为1285万元，统一社会信用代码为916542027545788107，企业注册地址位于新疆塔城地区乌苏市车排子镇苇湖村006号，所属行业为纺织业，经营范围包含：籽棉收购、加工，皮棉销售，棉短绒加工、销售（依法须经批准的项目，经相关部门批准后方可开展经营活动）。企业当前经营状态为存续。</t>
  </si>
  <si>
    <t>籽棉收购、加工，皮棉销售，棉短绒加工、销售（依法须经批准的项目，经相关部门批准后方可开展经营活动）</t>
  </si>
  <si>
    <t>乌苏市汇康棉业有限责任公司</t>
  </si>
  <si>
    <t>916542027789774378</t>
  </si>
  <si>
    <t>罗玲</t>
  </si>
  <si>
    <t>2005-09-12</t>
  </si>
  <si>
    <t>乌苏市古尔图镇（古尔图高速收费站以西300米）</t>
  </si>
  <si>
    <t>18999760100</t>
  </si>
  <si>
    <t>13519976941;15001663636;18096898986;15209097333;13565725265</t>
  </si>
  <si>
    <t>379080228@qq.com</t>
  </si>
  <si>
    <t>574098113@qq.com;1289171590@qq.com</t>
  </si>
  <si>
    <t>654202050000112</t>
  </si>
  <si>
    <t>77897743-7</t>
  </si>
  <si>
    <t>2005-09-12 至 无固定期限</t>
  </si>
  <si>
    <t>Wusu Huikang Cotton Industry Co., Ltd.</t>
  </si>
  <si>
    <t>乌苏市汇康棉业有限责任公司成立于2005-09-12，法定代表人为罗玲，注册资本为500万元，统一社会信用代码为916542027789774378，企业注册地址位于乌苏市古尔图镇（古尔图高速收费站以西300米），所属行业为纺织业，经营范围包含：一般项目：棉花收购；棉花加工；棉花种植；初级农产品收购；农副产品销售；金属工具销售；建筑材料销售；肥料销售；棉、麻销售；农业机械服务；普通货物仓储服务（不含危险化学品等需许可审批的项目）；农作物栽培服务；农作物种子经营（仅限不再分装的包装种子）；农用薄膜销售；机械零件、零部件销售；五金产品零售；电子过磅服务；金属制品销售；农副食品加工专用设备销售；包装材料及制品销售。（除依法须经批准的项目外，凭营业执照依法自主开展经营活动）许可项目：农药零售；农作物种子经营。（依法须经批准的项目，经相关部门批准后方可开展经营活动，具体经营项目以相关部门批准文件或许可证件为准）。企业当前经营状态为存续。</t>
  </si>
  <si>
    <t>一般项目：棉花收购；棉花加工；棉花种植；初级农产品收购；农副产品销售；金属工具销售；建筑材料销售；肥料销售；棉、麻销售；农业机械服务；普通货物仓储服务（不含危险化学品等需许可审批的项目）；农作物栽培服务；农作物种子经营（仅限不再分装的包装种子）；农用薄膜销售；机械零件、零部件销售；五金产品零售；电子过磅服务；金属制品销售；农副食品加工专用设备销售；包装材料及制品销售。（除依法须经批准的项目外，凭营业执照依法自主开展经营活动）许可项目：农药零售；农作物种子经营。（依法须经批准的项目，经相关部门批准后方可开展经营活动，具体经营项目以相关部门批准文件或许可证件为准）</t>
  </si>
  <si>
    <t>石河子市银宏棉业有限公司</t>
  </si>
  <si>
    <t>91659001MA781QR13Y</t>
  </si>
  <si>
    <t>陆健</t>
  </si>
  <si>
    <t>新疆石河子市红光镇132团8小区33栋处</t>
  </si>
  <si>
    <t>0993-5830509</t>
  </si>
  <si>
    <t>864156370@qq.com</t>
  </si>
  <si>
    <t>1151749537@qq.com</t>
  </si>
  <si>
    <t>MA781QR1-3</t>
  </si>
  <si>
    <t>2018-07-19 至 无固定期限</t>
  </si>
  <si>
    <t>Shihezi Yinhong Cotton Industry Co., Ltd.</t>
  </si>
  <si>
    <t>石河子市银宏棉业有限公司成立于2018-07-19，法定代表人为陆健，注册资本为1000万元，统一社会信用代码为91659001MA781QR13Y，企业注册地址位于新疆石河子市红光镇132团8小区33栋处，所属行业为批发业，经营范围包含：籽棉收购及加工；棉花机械设备及配件、棉花、棉籽、棉短绒、棉渣的销售。（依法须经批准的项目，经相关部门批准后方可开展经营活动）。企业当前经营状态为存续。</t>
  </si>
  <si>
    <t>籽棉收购及加工；棉花机械设备及配件、棉花、棉籽、棉短绒、棉渣的销售。（依法须经批准的项目，经相关部门批准后方可开展经营活动）</t>
  </si>
  <si>
    <t>石河子市银沙棉业有限公司</t>
  </si>
  <si>
    <t>91659001MA781QW231</t>
  </si>
  <si>
    <t>赵广义</t>
  </si>
  <si>
    <t>2018-07-20</t>
  </si>
  <si>
    <t>新疆石河子市134团沙门子镇14小区4栋处</t>
  </si>
  <si>
    <t>0993-5845556</t>
  </si>
  <si>
    <t>1401372541@qq.com</t>
  </si>
  <si>
    <t>659001032001565</t>
  </si>
  <si>
    <t>MA781QW2-3</t>
  </si>
  <si>
    <t>2018-07-20 至 无固定期限</t>
  </si>
  <si>
    <t>Shihezi Yinsha Cotton Industry Co., Ltd.</t>
  </si>
  <si>
    <t>石河子市银沙棉业有限公司成立于2018-07-20，法定代表人为赵广义，注册资本为1000万元，统一社会信用代码为91659001MA781QW231，企业注册地址位于新疆石河子市134团沙门子镇14小区4栋处，所属行业为批发业，经营范围包含：籽棉收购及加工；棉花机械设备及配件、棉花、棉籽、棉短绒、棉渣的销售。（依法须经批准的项目，经相关部门批准后方可开展经营活动）。企业当前经营状态为存续。</t>
  </si>
  <si>
    <t>厦门宝达纺织有限公司石河子分公司</t>
  </si>
  <si>
    <t>91659001MA7860QW7T</t>
  </si>
  <si>
    <t>2018-12-11</t>
  </si>
  <si>
    <t>新疆石河子市城区北三路23小区79号银力大厦四楼418室</t>
  </si>
  <si>
    <t>13708937172</t>
  </si>
  <si>
    <t>1275848627@qq.com</t>
  </si>
  <si>
    <t>其他有限责任公司分公司</t>
  </si>
  <si>
    <t>MA7860QW-7</t>
  </si>
  <si>
    <t>2018-12-11 至 无固定期限</t>
  </si>
  <si>
    <t>Xiamen Baoda Textile Co., Ltd. Shihezi Branch</t>
  </si>
  <si>
    <t>厦门宝达纺织有限公司石河子分公司成立于2018-12-11，负责人为王志刚，统一社会信用代码为91659001MA7860QW7T，企业注册地址位于新疆石河子市城区北三路23小区79号银力大厦四楼418室，所属行业为批发业，经营范围包含：纺织品的销售。（依法须经批准的项目，经相关部门批准后方可开展经营活动）。企业当前经营状态为存续。</t>
  </si>
  <si>
    <t>纺织品的销售。（依法须经批准的项目，经相关部门批准后方可开展经营活动）</t>
  </si>
  <si>
    <t>石河子市城区市场监督管理局</t>
  </si>
  <si>
    <t>新疆鑫鼎泰棉业有限公司</t>
  </si>
  <si>
    <t>91659001MA78EKRMXL</t>
  </si>
  <si>
    <t>陈晓座</t>
  </si>
  <si>
    <t>2019-07-04</t>
  </si>
  <si>
    <t>新疆石河子市下野地一四二团22连柳树村6栋2号</t>
  </si>
  <si>
    <t>13771112688</t>
  </si>
  <si>
    <t>997403395@qq.com</t>
  </si>
  <si>
    <t>13771112688@qq.com</t>
  </si>
  <si>
    <t>MA78EKRM-X</t>
  </si>
  <si>
    <t>2019-07-04 至 无固定期限</t>
  </si>
  <si>
    <t>Xinjiang Xindingtai Cotton Industry Co., Ltd.</t>
  </si>
  <si>
    <t>新疆石河子市一四二团9小区37栋107室</t>
  </si>
  <si>
    <t>新疆鑫鼎泰棉业有限公司成立于2019-07-04，法定代表人为陈晓座，注册资本为2000万元，统一社会信用代码为91659001MA78EKRMXL，企业注册地址位于新疆石河子市下野地一四二团22连柳树村6栋2号，所属行业为纺织业，经营范围包含：籽棉收购与加工；皮棉、棉籽、棉短绒、针纺织品销售；棉、麻种植及销售；棉花仓储；五金产品批发；食用植物油加工；窗帘、布艺类产品制造。（依法须经批准的项目，经相关部门批准后方可开展经营活动）。企业当前经营状态为存续。</t>
  </si>
  <si>
    <t>籽棉收购与加工；皮棉、棉籽、棉短绒、针纺织品销售；棉、麻种植及销售；棉花仓储；五金产品批发；食用植物油加工；窗帘、布艺类产品制造。（依法须经批准的项目，经相关部门批准后方可开展经营活动）</t>
  </si>
  <si>
    <t>潼南温氏畜牧有限公司</t>
  </si>
  <si>
    <t>91500223569917921G</t>
  </si>
  <si>
    <t>2011-03-02</t>
  </si>
  <si>
    <t>重庆市潼南区梓潼街道办事处创业大道128号</t>
  </si>
  <si>
    <t>潼南区</t>
  </si>
  <si>
    <t>023-44776666</t>
  </si>
  <si>
    <t>023-44772222;18308406943</t>
  </si>
  <si>
    <t>xntnwscw@wens.com.cn</t>
  </si>
  <si>
    <t>1025136810@qq.com</t>
  </si>
  <si>
    <t>500223000008207</t>
  </si>
  <si>
    <t>56991792-1</t>
  </si>
  <si>
    <t>223</t>
  </si>
  <si>
    <t>2011-03-02 至 无固定期限</t>
  </si>
  <si>
    <t>Tongnan Wens Animal Husbandry Co</t>
  </si>
  <si>
    <t>潼南温氏畜牧有限公司成立于2011-03-02，法定代表人为董荣华，注册资本为4900万元，统一社会信用代码为91500223569917921G，企业注册地址位于重庆市潼南区梓潼街道办事处创业大道128号，所属行业为批发业，经营范围包含：许可项目：种猪养殖，肉猪养殖；饲料生产（仅提供给委托养殖户使用，不对外销售）。（依法须经批准的项目，经相关部门批准后方可开展经营活动，具体经营项目以相关部门批准文件或许可证件为准） 一般项目：货物进出口，肉猪销售；生猪精液销售。（除依法须经批准的项目外，凭营业执照依法自主开展经营活动）。企业当前经营状态为存续。</t>
  </si>
  <si>
    <t>许可项目：种猪养殖，肉猪养殖；饲料生产（仅提供给委托养殖户使用，不对外销售）。（依法须经批准的项目，经相关部门批准后方可开展经营活动，具体经营项目以相关部门批准文件或许可证件为准） 一般项目：货物进出口，肉猪销售；生猪精液销售。（除依法须经批准的项目外，凭营业执照依法自主开展经营活动）</t>
  </si>
  <si>
    <t>重庆市潼南区市场监督管理局</t>
  </si>
  <si>
    <t>梁平双胞胎饲料有限公司</t>
  </si>
  <si>
    <t>91500228588925564N</t>
  </si>
  <si>
    <t>2012-01-11</t>
  </si>
  <si>
    <t>重庆市梁平工业园区A区</t>
  </si>
  <si>
    <t>梁平区</t>
  </si>
  <si>
    <t>023-81170129;15802309268</t>
  </si>
  <si>
    <t>weihong@sbtjt.com;lubq@sbtjt.com;changbm@sbtjt.com;chenyi@sbtjt.com</t>
  </si>
  <si>
    <t>500228000009864</t>
  </si>
  <si>
    <t>58892556-4</t>
  </si>
  <si>
    <t>2012-01-11 至 无固定期限</t>
  </si>
  <si>
    <t>Liangping Twin Feed Co., Ltd.</t>
  </si>
  <si>
    <t>梁平双胞胎饲料有限公司成立于2012-01-11，法定代表人为张昭胜，注册资本为400万元，统一社会信用代码为91500228588925564N，企业注册地址位于重庆市梁平工业园区A区，所属行业为农副食品加工业，经营范围包含：许可项目：兽药经营，饲料生产（依法须经批准的项目，经相关部门批准后方可开展经营活动，具体经营项目以相关部门批准文件或许可证件为准）一般项目：畜牧渔业饲料销售，饲料原料销售，技术服务、技术开发、技术咨询、技术交流、技术转让、技术推广（除依法须经批准的项目外，凭营业执照依法自主开展经营活动）。企业当前经营状态为存续。</t>
  </si>
  <si>
    <t>许可项目：兽药经营，饲料生产（依法须经批准的项目，经相关部门批准后方可开展经营活动，具体经营项目以相关部门批准文件或许可证件为准）一般项目：畜牧渔业饲料销售，饲料原料销售，技术服务、技术开发、技术咨询、技术交流、技术转让、技术推广（除依法须经批准的项目外，凭营业执照依法自主开展经营活动）</t>
  </si>
  <si>
    <t>新疆扬子江纺织有限公司</t>
  </si>
  <si>
    <t>91659003MABKXCF2XU</t>
  </si>
  <si>
    <t>陈宥融</t>
  </si>
  <si>
    <t>6617.98万元</t>
  </si>
  <si>
    <t>2021-02-26</t>
  </si>
  <si>
    <t>新疆图木舒克市前海西街27号</t>
  </si>
  <si>
    <t>17799321786</t>
  </si>
  <si>
    <t>18799523615;13983931398</t>
  </si>
  <si>
    <t>360048387@qq.com</t>
  </si>
  <si>
    <t>1156709960@qq.com;13983931398@163.com;940307257@qq.com</t>
  </si>
  <si>
    <t>659300039008383</t>
  </si>
  <si>
    <t>MABKXCF2-X</t>
  </si>
  <si>
    <t>2021-02-26 至 无固定期限</t>
  </si>
  <si>
    <t>Xinjiang Yangtze River Textile Co., Ltd.</t>
  </si>
  <si>
    <t>图木舒克市唐王城路</t>
  </si>
  <si>
    <t>扬子江纺织成立于2021年，位于新疆图木舒克市，建设拥有56.6万锭纺纱、1100台喷气织机、4条全自动医用敷料生产线等全产业链项目，致力于开拓国内外市场的纺织企业。</t>
  </si>
  <si>
    <t>面料纺织加工；棉花加工；棉花加工机械制造；棉花加工机械销售；产业用纺织制成品生产；面料印染加工；纺纱加工；针织或钩针编织物及其制品制造；服装制造；服饰制造；棉花收购；家用纺织制成品制造；劳动保护用品生产；鞋制造；人力资源服务（不含职业中介活动、劳务派遣服务）；货物进出口；技术进出口；机械设备租赁；非居住房地产租赁；租赁服务（不含许可类租赁服务）（依法须经批准的项目，经相关部门批准后方可开展经营活动）</t>
  </si>
  <si>
    <t>新疆鹏飞棉业有限公司</t>
  </si>
  <si>
    <t>91659004792261603E</t>
  </si>
  <si>
    <t>五家渠鹏飞棉业有限责任公司</t>
  </si>
  <si>
    <t>王永武</t>
  </si>
  <si>
    <t>2006-08-24</t>
  </si>
  <si>
    <t>新疆五家渠市工业园区</t>
  </si>
  <si>
    <t>13009666866</t>
  </si>
  <si>
    <t>18189608680;0994-5827017</t>
  </si>
  <si>
    <t>584635063@qq.com</t>
  </si>
  <si>
    <t>1732676480@qq.com;1320694224@qq.com;www.1320694224@qq.com;www.1422891861@qq.com;694625594@qq.com</t>
  </si>
  <si>
    <t>659004050001541</t>
  </si>
  <si>
    <t>79226160-3</t>
  </si>
  <si>
    <t>2006-08-24 至 无固定期限</t>
  </si>
  <si>
    <t>Xinjiang Pengfei Cotton Industry Co., Ltd.</t>
  </si>
  <si>
    <t>新疆鹏飞棉业有限公司成立于2006-08-24，法定代表人为王永武，注册资本为5000万元，统一社会信用代码为91659004792261603E，企业注册地址位于新疆五家渠市工业园区，所属行业为纺织业，经营范围包含：棉花加工；收购棉花;棉短绒加工；皮棉购销；回收棉加工、销售；棉籽，棉短绒，包皮布，针纺织品,棉机配件、设备的购销；日用百货，五金交电，建材，金属材料，土畜产品销售。（依法须经批准的项目，经相关部门批准后方可开展经营活动）。企业当前经营状态为存续。</t>
  </si>
  <si>
    <t>棉花加工；收购棉花;棉短绒加工；皮棉购销；回收棉加工、销售；棉籽，棉短绒，包皮布，针纺织品,棉机配件、设备的购销；日用百货，五金交电，建材，金属材料，土畜产品销售。（依法须经批准的项目，经相关部门批准后方可开展经营活动）</t>
  </si>
  <si>
    <t>五家渠嘉立棉业有限公司</t>
  </si>
  <si>
    <t>91659004MA78NEBU69</t>
  </si>
  <si>
    <t>张世金</t>
  </si>
  <si>
    <t>2020-04-22</t>
  </si>
  <si>
    <t>新疆五家渠新湖农场4连</t>
  </si>
  <si>
    <t>18899042888</t>
  </si>
  <si>
    <t>13899632883</t>
  </si>
  <si>
    <t>184334923@qq.com</t>
  </si>
  <si>
    <t>595379815@qq.com</t>
  </si>
  <si>
    <t>MA78NEBU-6</t>
  </si>
  <si>
    <t>2020-04-22 至 无固定期限</t>
  </si>
  <si>
    <t>Wujiaqu Jiali Cotton Industry Co., Ltd.</t>
  </si>
  <si>
    <t>五家渠嘉立棉业有限公司成立于2020-04-22，法定代表人为张世金，注册资本为3000万元，统一社会信用代码为91659004MA78NEBU69，企业注册地址位于新疆五家渠新湖农场4连，所属行业为农、林、牧、渔专业及辅助性活动，经营范围包含：籽棉加工、销售；皮棉、棉籽、棉短绒、农畜产品销售；纺织品制造；农业开发及种植。（依法须经批准的项目，经相关部门批准后方可开展经营活动）。企业当前经营状态为存续。</t>
  </si>
  <si>
    <t>籽棉加工、销售；皮棉、棉籽、棉短绒、农畜产品销售；纺织品制造；农业开发及种植。（依法须经批准的项目，经相关部门批准后方可开展经营活动）</t>
  </si>
  <si>
    <t>成都双胞胎饲料有限公司</t>
  </si>
  <si>
    <t>915101007854114073</t>
  </si>
  <si>
    <t>2006-07-11</t>
  </si>
  <si>
    <t>四川省成都市新津县川浙合作工业园</t>
  </si>
  <si>
    <t>新津区</t>
  </si>
  <si>
    <t>18170804444;18170807352;18202893544;028-82555196;13879895701</t>
  </si>
  <si>
    <t>weih@sbtjt.com;weihong@sbtjt.com;lubq@sbtjt.com;zhaomy@sbtjt.com</t>
  </si>
  <si>
    <t>510100400010394</t>
  </si>
  <si>
    <t>78541140-7</t>
  </si>
  <si>
    <t>167</t>
  </si>
  <si>
    <t>2006-07-11 至 2036-07-10</t>
  </si>
  <si>
    <t>Chengdu Shuangbaotai Feed Co., Ltd.</t>
  </si>
  <si>
    <t>成都双胞胎饲料有限公司成立于2006-07-11，法定代表人为陈衍明，注册资本为1800万元，统一社会信用代码为915101007854114073，企业注册地址位于四川省成都市新津县川浙合作工业园，所属行业为农副食品加工业，经营范围包含：许可项目：饲料生产；粮食收购；农业转基因生物加工；兽药经营（依法须经批准的项目，经相关部门批准后方可开展经营活动，具体经营项目以相关部门批准文件或许可证件为准）一般项目：畜牧渔业饲料销售；信息咨询服务（不含许可类信息咨询服务）；饲料原料销售（除依法须经批准的项目外，凭营业执照依法自主开展经营活动）。（涉及国家规定实施准入特别管理措施的除外）。企业当前经营状态为存续。</t>
  </si>
  <si>
    <t>许可项目：饲料生产；粮食收购；农业转基因生物加工；兽药经营（依法须经批准的项目，经相关部门批准后方可开展经营活动，具体经营项目以相关部门批准文件或许可证件为准）一般项目：畜牧渔业饲料销售；信息咨询服务（不含许可类信息咨询服务）；饲料原料销售（除依法须经批准的项目外，凭营业执照依法自主开展经营活动）。（涉及国家规定实施准入特别管理措施的除外）</t>
  </si>
  <si>
    <t>铁门关市泓昌农业科技有限公司</t>
  </si>
  <si>
    <t>91659006MA78M4729Y</t>
  </si>
  <si>
    <t>李世明</t>
  </si>
  <si>
    <t>1700万元</t>
  </si>
  <si>
    <t>2020-04-03</t>
  </si>
  <si>
    <t>新疆铁门关市三十三团十六连办公室102室</t>
  </si>
  <si>
    <t>铁门关市</t>
  </si>
  <si>
    <t>15999012092</t>
  </si>
  <si>
    <t>15199012092</t>
  </si>
  <si>
    <t>1021459297@qq.com</t>
  </si>
  <si>
    <t>659600029001180</t>
  </si>
  <si>
    <t>MA78M472-9</t>
  </si>
  <si>
    <t>2020-04-03 至 无固定期限</t>
  </si>
  <si>
    <t>Tiemenguan Hongchang Agricultural Technology Co., Ltd.</t>
  </si>
  <si>
    <t>铁门关市泓昌农业科技有限公司成立于2020-04-03，法定代表人为李世明，注册资本为3000万元，统一社会信用代码为91659006MA78M4729Y，企业注册地址位于新疆铁门关市三十三团十六连办公室102室，所属行业为农、林、牧、渔专业及辅助性活动，经营范围包含：籽棉收购、加工；皮棉、棉籽、不孕籽销售；网套加工及销售。 生物育种；农作物种子种苗培育、生产、销售。（依法须经批准的项目，经相关部门批准后方可开展经营活动）。企业当前经营状态为存续。</t>
  </si>
  <si>
    <t>籽棉收购、加工；皮棉、棉籽、不孕籽销售；网套加工及销售。 生物育种；农作物种子种苗培育、生产、销售。（依法须经批准的项目，经相关部门批准后方可开展经营活动）</t>
  </si>
  <si>
    <t>新疆生产建设兵团第二师市场监督管理局</t>
  </si>
  <si>
    <t>江阴市祝塘绿逸木制品厂</t>
  </si>
  <si>
    <t>92320281MA1NE0Q1X3</t>
  </si>
  <si>
    <t>陆虎</t>
  </si>
  <si>
    <t>1万元</t>
  </si>
  <si>
    <t>2007-05-09</t>
  </si>
  <si>
    <t>江阴市祝塘镇金庄村缪家墩</t>
  </si>
  <si>
    <t>0510-86392561</t>
  </si>
  <si>
    <t>13812578561</t>
  </si>
  <si>
    <t>320281600371258</t>
  </si>
  <si>
    <t>MA1NE0Q1-X</t>
  </si>
  <si>
    <t>江阴市祝塘绿逸木制品厂成立于2007-05-09，经营者为陆虎，资金数额为1万元，统一社会信用代码为92320281MA1NE0Q1X3，经营场所位于江阴市祝塘镇金庄村缪家墩，所属行业为木材加工和木、竹、藤、棕、草制品业，经营范围包含：木制品的制造、加工、销售。（依法须经批准的项目，经相关部门批准后方可开展经营活动）。个体工商户当前经营状态为存续。</t>
  </si>
  <si>
    <t>木制品的制造、加工、销售。（依法须经批准的项目，经相关部门批准后方可开展经营活动）</t>
  </si>
  <si>
    <t>太仓市浮桥镇聚贤木制品加工厂</t>
  </si>
  <si>
    <t>92320585MA1PL9H09P</t>
  </si>
  <si>
    <t>郑建辉</t>
  </si>
  <si>
    <t>2010-09-26</t>
  </si>
  <si>
    <t>浮桥镇金浪沪浮璜公路（浙申公司内）</t>
  </si>
  <si>
    <t>13812922266</t>
  </si>
  <si>
    <t>320585600346186</t>
  </si>
  <si>
    <t>MA1PL9H0-9</t>
  </si>
  <si>
    <t>太仓市浮桥镇聚贤木制品加工厂成立于2010-09-26，经营者为郑建辉，资金数额为3万元，统一社会信用代码为92320585MA1PL9H09P，经营场所位于浮桥镇金浪沪浮璜公路（浙申公司内），所属行业为木材加工和木、竹、藤、棕、草制品业，经营范围包含：加工木制品,批发、零售木材。（依法须经批准的项目,经相关部门批准后方可开展经营活动）。个体工商户当前经营状态为存续。</t>
  </si>
  <si>
    <t>加工木制品,批发、零售木材。（依法须经批准的项目,经相关部门批准后方可开展经营活动）</t>
  </si>
  <si>
    <t>太仓市行政审批局</t>
  </si>
  <si>
    <t>德清洛舍博彦木皮厂</t>
  </si>
  <si>
    <t>92330521MA29J87K2M</t>
  </si>
  <si>
    <t>姚建忠</t>
  </si>
  <si>
    <t>2017-03-23</t>
  </si>
  <si>
    <t>浙江省湖州市德清县洛舍镇木皮市场二期3号</t>
  </si>
  <si>
    <t>13735196931</t>
  </si>
  <si>
    <t>330521600805205</t>
  </si>
  <si>
    <t>MA29J87K-2</t>
  </si>
  <si>
    <t>德清洛舍博彦木皮厂成立于2017-03-23，经营者为姚建忠，统一社会信用代码为92330521MA29J87K2M，经营场所位于浙江省湖州市德清县洛舍镇木皮市场二期3号，所属行业为木材加工和木、竹、藤、棕、草制品业，经营范围包含：木皮、木制品加工及销售；原木销售。（依法须经批准的项目，经相关部门批准后方可开展经营活动）。个体工商户当前经营状态为存续。</t>
  </si>
  <si>
    <t>木皮、木制品加工及销售；原木销售。（依法须经批准的项目，经相关部门批准后方可开展经营活动）</t>
  </si>
  <si>
    <t>徐州锦丰纺织有限公司</t>
  </si>
  <si>
    <t>91320322665795477A</t>
  </si>
  <si>
    <t>孙淑华</t>
  </si>
  <si>
    <t>2007-08-16</t>
  </si>
  <si>
    <t>沛县敬安镇北侧1＃-27＃房</t>
  </si>
  <si>
    <t>0516-89776723</t>
  </si>
  <si>
    <t>13056268909</t>
  </si>
  <si>
    <t>603217951@qq.com</t>
  </si>
  <si>
    <t>320322000039524</t>
  </si>
  <si>
    <t>66579547-7</t>
  </si>
  <si>
    <t>55</t>
  </si>
  <si>
    <t>2007-08-16 至 无固定期限</t>
  </si>
  <si>
    <t>Xuzhou Jinfeng Textile Co., Ltd.</t>
  </si>
  <si>
    <t>徐州锦丰纺织有限公司成立于2007-08-16，法定代表人为孙淑华，注册资本为800万元，统一社会信用代码为91320322665795477A，企业注册地址位于沛县敬安镇北侧1＃-27＃房，所属行业为纺织业，经营范围包含：棉纱、纯化纤纱、混纺纱、棉布、纸管加工、销售，棉花收购，纺织机械配件销售，棉花销售，光伏发电，自营和代理各类商品及技术的进出口业务（国家限定企业经营或禁止进出口的商品和技术除外）。（依法须经批准的项目，经相关部门批准后方可开展经营活动）。企业当前经营状态为存续。</t>
  </si>
  <si>
    <t>棉纱、纯化纤纱、混纺纱、棉布、纸管加工、销售，棉花收购，纺织机械配件销售，棉花销售，光伏发电，自营和代理各类商品及技术的进出口业务（国家限定企业经营或禁止进出口的商品和技术除外）。（依法须经批准的项目，经相关部门批准后方可开展经营活动）</t>
  </si>
  <si>
    <t>沛县行政审批局</t>
  </si>
  <si>
    <t>青岛东方宏祥国际贸易有限公司</t>
  </si>
  <si>
    <t>9137022039707279XD</t>
  </si>
  <si>
    <t>赵朝阳</t>
  </si>
  <si>
    <t>2014-06-10</t>
  </si>
  <si>
    <t>中国（山东）自由贸易试验区青岛片区前湾保税港区鹏湾路45号东办公楼一楼102室2025-0021（A）</t>
  </si>
  <si>
    <t>13937257739</t>
  </si>
  <si>
    <t>13937257739@163.com</t>
  </si>
  <si>
    <t>370220230026549</t>
  </si>
  <si>
    <t>39707279-X</t>
  </si>
  <si>
    <t>2014-06-10 至 无固定期限</t>
  </si>
  <si>
    <t>Qingdao Oriental Hongxiang International Trading Co., Ltd.</t>
  </si>
  <si>
    <t>山东省青岛市保税区东京路64号5563号</t>
  </si>
  <si>
    <t>青岛东方宏祥国际贸易有限公司成立于2014-06-10，法定代表人为赵朝阳，注册资本为500万元，统一社会信用代码为9137022039707279XD，企业注册地址位于中国（山东）自由贸易试验区青岛片区前湾保税港区鹏湾路45号东办公楼一楼102室2025-0021（A），所属行业为批发业，经营范围包含：一般项目：货物进出口；技术进出口；针纺织品及原料销售。（除依法须经批准的项目外，凭营业执照依法自主开展经营活动）。企业当前经营状态为在业。</t>
  </si>
  <si>
    <t>一般项目：货物进出口；技术进出口；针纺织品及原料销售。（除依法须经批准的项目外，凭营业执照依法自主开展经营活动）</t>
  </si>
  <si>
    <t>嘉兴市恒亨毛纺原料有限公司</t>
  </si>
  <si>
    <t>91330483093108650Q</t>
  </si>
  <si>
    <t>黄世乾</t>
  </si>
  <si>
    <t>2014-03-06</t>
  </si>
  <si>
    <t>浙江省嘉兴市桐乡市濮院镇濮院大道3765号濮院外贸大厦1幢1505号</t>
  </si>
  <si>
    <t>0573-88899690</t>
  </si>
  <si>
    <t>0573-88812122;18867677430;0573-88899670</t>
  </si>
  <si>
    <t>972012513@qq.com</t>
  </si>
  <si>
    <t>972002513@qq.com</t>
  </si>
  <si>
    <t>330483000135577</t>
  </si>
  <si>
    <t>09310865-0</t>
  </si>
  <si>
    <t>2014-03-06 至 2034-03-05</t>
  </si>
  <si>
    <t>Jiaxing Hengheng Woolen Raw Materials Co., Ltd.</t>
  </si>
  <si>
    <t>嘉兴市恒亨毛纺原料有限公司成立于2014-03-06，法定代表人为黄世乾，注册资本为100万元，统一社会信用代码为91330483093108650Q，企业注册地址位于浙江省嘉兴市桐乡市濮院镇濮院大道3765号濮院外贸大厦1幢1505号，所属行业为批发业，经营范围包含：一般项目：针纺织品及原料销售；针纺织品销售；皮革、毛皮及其制品加工专用设备销售；服装服饰批发；服装服饰零售；皮革制品销售；羽毛（绒）及制品销售；化工产品销售（不含许可类化工产品）；电子产品销售；纺织专用设备销售；金属链条及其他金属制品销售；家居用品销售；国内贸易代理；货物进出口；技术进出口；互联网销售（除销售需要许可的商品）（除依法须经批准的项目外，凭营业执照依法自主开展经营活动）。许可项目：互联网直播技术服务（依法须经批准的项目，经相关部门批准后方可开展经营活动，具体经营项目以审批结果为准）。企业当前经营状态为存续。</t>
  </si>
  <si>
    <t>一般项目：针纺织品及原料销售；针纺织品销售；皮革、毛皮及其制品加工专用设备销售；服装服饰批发；服装服饰零售；皮革制品销售；羽毛（绒）及制品销售；化工产品销售（不含许可类化工产品）；电子产品销售；纺织专用设备销售；金属链条及其他金属制品销售；家居用品销售；国内贸易代理；货物进出口；技术进出口；互联网销售（除销售需要许可的商品）（除依法须经批准的项目外，凭营业执照依法自主开展经营活动）。许可项目：互联网直播技术服务（依法须经批准的项目，经相关部门批准后方可开展经营活动，具体经营项目以审批结果为准）。</t>
  </si>
  <si>
    <t>成都市新津希望饲料厂</t>
  </si>
  <si>
    <t>915101327092439907</t>
  </si>
  <si>
    <t>2050万元</t>
  </si>
  <si>
    <t>1996-10-12</t>
  </si>
  <si>
    <t>成都市新津区五津街道希望西路22号</t>
  </si>
  <si>
    <t>028-82551219</t>
  </si>
  <si>
    <t>028-82551122;18628906299</t>
  </si>
  <si>
    <t>309069105@qq.com</t>
  </si>
  <si>
    <t>xjzongchang@126.com</t>
  </si>
  <si>
    <t>510132000037826</t>
  </si>
  <si>
    <t>70924399-0</t>
  </si>
  <si>
    <t>80</t>
  </si>
  <si>
    <t>1996-10-12 至 无固定期限</t>
  </si>
  <si>
    <t>Chengdu Xinjin Xiwang Feedstuff Factory</t>
  </si>
  <si>
    <t>成都市新津希望饲料厂成立于1996-10-12，法定代表人为鲁力，注册资本为2050万元，统一社会信用代码为915101327092439907，企业注册地址位于成都市新津区五津街道希望西路22号，所属行业为农副食品加工业，经营范围包含：许可项目：饲料生产；饲料添加剂生产；种畜禽经营；兽药经营；食品销售。（依法须经批准的项目，经相关部门批准后方可开展经营活动，具体经营项目以相关部门批准文件或许可证件为准）一般项目：货物进出口；技术进出口；饲料添加剂销售；畜牧渔业饲料销售；生物饲料研发；农业科学研究和试验发展；牲畜销售；农、林、牧、副、渔业专业机械的销售；农用薄膜销售；宠物食品及用品批发；机动车充电销售。（除依法须经批准的项目外，凭营业执照依法自主开展经营活动）。企业当前经营状态为存续。</t>
  </si>
  <si>
    <t>许可项目：饲料生产；饲料添加剂生产；种畜禽经营；兽药经营；食品销售。（依法须经批准的项目，经相关部门批准后方可开展经营活动，具体经营项目以相关部门批准文件或许可证件为准）一般项目：货物进出口；技术进出口；饲料添加剂销售；畜牧渔业饲料销售；生物饲料研发；农业科学研究和试验发展；牲畜销售；农、林、牧、副、渔业专业机械的销售；农用薄膜销售；宠物食品及用品批发；机动车充电销售。（除依法须经批准的项目外，凭营业执照依法自主开展经营活动）</t>
  </si>
  <si>
    <t>新津县市场监督管理局</t>
  </si>
  <si>
    <t>成都嘉瑞达木业有限公司</t>
  </si>
  <si>
    <t>91510182MA61TE9L4L</t>
  </si>
  <si>
    <t>熊学礼</t>
  </si>
  <si>
    <t>2016-01-27</t>
  </si>
  <si>
    <t>四川省彭州市桂花镇利济村4组</t>
  </si>
  <si>
    <t>彭州市</t>
  </si>
  <si>
    <t>13547969868</t>
  </si>
  <si>
    <t>5274981@qq.com</t>
  </si>
  <si>
    <t>28193842@qq.com;281938482@qq.com</t>
  </si>
  <si>
    <t>510182000116064</t>
  </si>
  <si>
    <t>MA61TE9L-4</t>
  </si>
  <si>
    <t>2016-01-27 至 3999-01-01</t>
  </si>
  <si>
    <t>Chengdu Jiaruida Wood Industry Co., Ltd.</t>
  </si>
  <si>
    <t>四川省彭州市桂花镇利济村1组18号</t>
  </si>
  <si>
    <t>成都嘉瑞达木业有限公司成立于2016-01-27，法定代表人为熊学礼，注册资本为100万元，统一社会信用代码为91510182MA61TE9L4L，企业注册地址位于四川省彭州市桂花镇利济村4组，所属行业为木材加工和木、竹、藤、棕、草制品业，经营范围包含：木质板材、竹材、木制品、家具生产、销售（依法须经批准的项目，经相关部门批准后方可开展经营活动）。企业当前经营状态为存续。</t>
  </si>
  <si>
    <t>木质板材、竹材、木制品、家具生产、销售（依法须经批准的项目，经相关部门批准后方可开展经营活动）。</t>
  </si>
  <si>
    <t>彭州市市场和质量监督管理局</t>
  </si>
  <si>
    <t>四川省旺达生物饲料股份有限公司</t>
  </si>
  <si>
    <t>915101842026313887</t>
  </si>
  <si>
    <t>四川省旺达饲料有限公司,
崇州市旺达饲料有限公司</t>
  </si>
  <si>
    <t>余大军</t>
  </si>
  <si>
    <t>6220.9465万元</t>
  </si>
  <si>
    <t>1995-08-29</t>
  </si>
  <si>
    <t>崇州市三江镇顺金西街728号</t>
  </si>
  <si>
    <t>028-82219120</t>
  </si>
  <si>
    <t>028-82249643;0817-8616366;028-26087088;0831-5357198;028-82249315</t>
  </si>
  <si>
    <t>scwdjtzp@163.com</t>
  </si>
  <si>
    <t>www.scwdjtzp@163.com</t>
  </si>
  <si>
    <t>510184000022395</t>
  </si>
  <si>
    <t>20263138-8</t>
  </si>
  <si>
    <t>102</t>
  </si>
  <si>
    <t>1995-08-29 至 无固定期限</t>
  </si>
  <si>
    <t>Sichuan Wangda Biological Feed Co., Ltd.</t>
  </si>
  <si>
    <t>http://www.scwdjt.com</t>
  </si>
  <si>
    <t>四川省旺达生物饲料股份有限公司是一家专业研发、生产优质安全猪饲料、禽饲料的企业，经营范围涉及饲料研发、生产、销售等。其拥有“旺达”和“金旺达”两大饲料系列品牌，产品包括浓缩饲料、猪用配合饲料、预混料等。2024年国家级农业产业化重点龙头企业、2024年省级农业产业化重点龙头企业、2023年国家级技术企业。2021年7月获得生产许可证，2022年8月获得质量管理体系认证（ISO9001），2024年4月资质范围内添加剂预混合饲料的研发、生产、销售的知识产权管理获得企业知识产权管理体系认证。</t>
  </si>
  <si>
    <t>添加剂预混合饲料、配合饲料、浓缩饲料生产、销售；畜禽饲养技术开发、咨询、交流、转让、推广服务；猪的疾病诊断与治疗指导；饲料原料进出口贸易业务（依法须经批准的项目，经相关部门批准后方可开展经营活动）。</t>
  </si>
  <si>
    <t>德清洛舍新宏利木皮厂</t>
  </si>
  <si>
    <t>92330521MA29KR327F</t>
  </si>
  <si>
    <t>蔡国伟</t>
  </si>
  <si>
    <t>德清县洛舍镇雁塘村蔡介里27号</t>
  </si>
  <si>
    <t>15968213516</t>
  </si>
  <si>
    <t>0572-8406556</t>
  </si>
  <si>
    <t>330521600410770</t>
  </si>
  <si>
    <t>MA29KR32-7</t>
  </si>
  <si>
    <t>德清洛舍新宏利木皮厂成立于2008-10-24，经营者为蔡国伟，统一社会信用代码为92330521MA29KR327F，经营场所位于德清县洛舍镇雁塘村蔡介里27号，所属行业为木材加工和木、竹、藤、棕、草制品业，经营范围包含：木皮加工、销售（经营范围中涉及行政许可的项目凭行政许可证件经营）。个体工商户当前经营状态为存续。</t>
  </si>
  <si>
    <t>木皮加工、销售（经营范围中涉及行政许可的项目凭行政许可证件经营）</t>
  </si>
  <si>
    <t>东阳市南市星丽红木家具厂</t>
  </si>
  <si>
    <t>92330783MA29Q33R99</t>
  </si>
  <si>
    <t>杜军星</t>
  </si>
  <si>
    <t>2012-08-01</t>
  </si>
  <si>
    <t>东阳市南市南溪村</t>
  </si>
  <si>
    <t>东阳市</t>
  </si>
  <si>
    <t>13858953745</t>
  </si>
  <si>
    <t>330783610096679</t>
  </si>
  <si>
    <t>MA29Q33R-9</t>
  </si>
  <si>
    <t>其他家具制造</t>
  </si>
  <si>
    <t>东阳市南市星丽红木家具厂成立于2012-08-01，经营者为杜军星，统一社会信用代码为92330783MA29Q33R99，经营场所位于东阳市南市南溪村，所属行业为家具制造业，经营范围包含：家具加工、批发、零售。（依法须经批准的项目,经相关部门批准后方可开展经营活动）。个体工商户当前经营状态为存续。</t>
  </si>
  <si>
    <t>家具加工、批发、零售。（依法须经批准的项目,经相关部门批准后方可开展经营活动）</t>
  </si>
  <si>
    <t>东阳市市场监督管理局</t>
  </si>
  <si>
    <t>汕头市潮南区两英华达舒制衣厂</t>
  </si>
  <si>
    <t>92440514L30714381B</t>
  </si>
  <si>
    <t>潮阳市两英华达舒制衣厂</t>
  </si>
  <si>
    <t>陈绍廷</t>
  </si>
  <si>
    <t>2001-07-11</t>
  </si>
  <si>
    <t>汕头市潮南区两英东北一片</t>
  </si>
  <si>
    <t>0754-85614957</t>
  </si>
  <si>
    <t>440581600160964</t>
  </si>
  <si>
    <t>L3071438-1</t>
  </si>
  <si>
    <t>汕头市潮南区两英华达舒制衣厂成立于2001-07-11，经营者为陈绍廷，统一社会信用代码为92440514L30714381B，经营场所位于汕头市潮南区两英东北一片，所属行业为纺织服装、服饰业，经营范围包含：加工、销售:服装。个体工商户当前经营状态为在业。</t>
  </si>
  <si>
    <t>加工、销售:服装。</t>
  </si>
  <si>
    <t>汕头市潮南区两英大宏针织厂</t>
  </si>
  <si>
    <t>92440514L508043416</t>
  </si>
  <si>
    <t>陈泽武</t>
  </si>
  <si>
    <t>2012-06-26</t>
  </si>
  <si>
    <t>汕头市潮南区两英镇东北村二片</t>
  </si>
  <si>
    <t>0754-85580938</t>
  </si>
  <si>
    <t>13829528788</t>
  </si>
  <si>
    <t>440581600237257</t>
  </si>
  <si>
    <t>L5080434-1</t>
  </si>
  <si>
    <t>汕头市潮南区两英大宏针织厂成立于2012-06-26，经营者为陈泽武，资金数额为20万元，统一社会信用代码为92440514L508043416，经营场所位于汕头市潮南区两英镇东北村二片，所属行业为纺织业，经营范围包含：生产、加工、销售：针织品，纺织品。个体工商户当前经营状态为在业。</t>
  </si>
  <si>
    <t>生产、加工、销售：针织品，纺织品。</t>
  </si>
  <si>
    <t>汕头市潮南区两英协民针织厂</t>
  </si>
  <si>
    <t>92440514L540538807</t>
  </si>
  <si>
    <t>陈铃喜</t>
  </si>
  <si>
    <t>2007-06-28</t>
  </si>
  <si>
    <t>汕头市潮南区两英镇东北一片</t>
  </si>
  <si>
    <t>0754-85614950</t>
  </si>
  <si>
    <t>440581600241721</t>
  </si>
  <si>
    <t>L5405388-0</t>
  </si>
  <si>
    <t>汕头市潮南区两英协民针织厂成立于2007-06-28，经营者为陈铃喜，统一社会信用代码为92440514L540538807，经营场所位于汕头市潮南区两英镇东北一片，所属行业为纺织服装、服饰业，经营范围包含：一般项目:面料纺织加工,服装制造,针纺织品销售。个体工商户当前经营状态为在业。</t>
  </si>
  <si>
    <t>一般项目:面料纺织加工,服装制造,针纺织品销售</t>
  </si>
  <si>
    <t>佛山市顺德区启步纺织有限公司</t>
  </si>
  <si>
    <t>914406060867577679</t>
  </si>
  <si>
    <t>欧阳伟强</t>
  </si>
  <si>
    <t>2013-12-09</t>
  </si>
  <si>
    <t>佛山市顺德区均安镇天连沙涌北路1号之三</t>
  </si>
  <si>
    <t>13392236166</t>
  </si>
  <si>
    <t>0757-25388660;13450541283;18144708177;0757-25519000;0757-25518000;13600326188;13500272399;0757-25590030</t>
  </si>
  <si>
    <t>xrck2006@163.com</t>
  </si>
  <si>
    <t>790150421@qq.com</t>
  </si>
  <si>
    <t>440681000502327</t>
  </si>
  <si>
    <t>08675776-7</t>
  </si>
  <si>
    <t>2013-12-09 至 无固定期限</t>
  </si>
  <si>
    <t>Foshan Shunde Qibu Textile Co., Ltd.</t>
  </si>
  <si>
    <t>佛山市顺德区启步纺织有限公司成立于2013-12-09，法定代表人为欧阳伟强，注册资本为50万元，统一社会信用代码为914406060867577679，企业注册地址位于佛山市顺德区均安镇天连沙涌北路1号之三，所属行业为纺织业，经营范围包含：制造牛仔布、色织布、针织布。（依法须经批准的项目，经相关部门批准后方可开展经营活动）。企业当前经营状态为存续。</t>
  </si>
  <si>
    <t>制造牛仔布、色织布、针织布。（依法须经批准的项目，经相关部门批准后方可开展经营活动）</t>
  </si>
  <si>
    <t>运城泓顺矿产品有限公司</t>
  </si>
  <si>
    <t>91140823MAEA3M2867</t>
  </si>
  <si>
    <t>杨占锋</t>
  </si>
  <si>
    <t>2025-02-17</t>
  </si>
  <si>
    <t>山西省运城市闻喜县桐城镇光明路53号物资大楼5楼508</t>
  </si>
  <si>
    <t>14082300A027336</t>
  </si>
  <si>
    <t>MAEA3M28-6</t>
  </si>
  <si>
    <t>2025-02-17 至 无固定期限</t>
  </si>
  <si>
    <t>Yuncheng Hongshun Mineral Products Co., Ltd.</t>
  </si>
  <si>
    <t>运城泓顺矿产品有限公司成立于2025-02-17，法定代表人为杨占锋，注册资本为100万元，统一社会信用代码为91140823MAEA3M2867，企业注册地址位于山西省运城市闻喜县桐城镇光明路53号物资大楼5楼508，所属行业为批发业，经营范围包含：一般项目：金属矿石销售；金属制品销售；金属材料销售；有色金属合金销售；高性能有色金属及合金材料销售；非金属矿及制品销售；建筑材料销售；矿山机械销售；建筑工程机械与设备租赁。（除依法须经批准的项目外，凭营业执照依法自主开展经营活动）。企业当前经营状态为存续。</t>
  </si>
  <si>
    <t>一般项目：金属矿石销售；金属制品销售；金属材料销售；有色金属合金销售；高性能有色金属及合金材料销售；非金属矿及制品销售；建筑材料销售；矿山机械销售；建筑工程机械与设备租赁。（除依法须经批准的项目外，凭营业执照依法自主开展经营活动）</t>
  </si>
  <si>
    <t>闻喜县市场监督管理局</t>
  </si>
  <si>
    <t>国投生物能源（海伦）有限公司</t>
  </si>
  <si>
    <t>91231283MA1B021M0T</t>
  </si>
  <si>
    <t>贾成国</t>
  </si>
  <si>
    <t>2018-02-10</t>
  </si>
  <si>
    <t>海伦市轻工产业园1号</t>
  </si>
  <si>
    <t>海伦市</t>
  </si>
  <si>
    <t>0455-5791677</t>
  </si>
  <si>
    <t>jiajinghang@sdic.com.cn</t>
  </si>
  <si>
    <t>zhouliduo@sdic.com.cn</t>
  </si>
  <si>
    <t>231283110029890</t>
  </si>
  <si>
    <t>MA1B021M-0</t>
  </si>
  <si>
    <t>2018-02-10 至 无固定期限</t>
  </si>
  <si>
    <t>生物质燃料加工</t>
  </si>
  <si>
    <t>生物质液体燃料生产</t>
  </si>
  <si>
    <t>Sdic Bioenergy (Helen) Co., Ltd.</t>
  </si>
  <si>
    <t>https://www.sdichl.com</t>
  </si>
  <si>
    <t>国投海伦能源成立于2018年2月，位于海伦市，主要业务范围为粮食收购、加工、销售，酒精、DDGS生产、销售等。以先进的生产工艺、丰富的管理经验、低能耗、低物耗引导燃料乙醇产业发展方向。</t>
  </si>
  <si>
    <t>C16-危险化学品生产许可项目：危险化学品生产；饲料生产；食品生产；食品销售；食品添加剂生产；饲料添加剂生产；道路危险货物运输；消毒剂生产（不含危险化学品）；用于传染病防治的消毒产品生产；肥料生产；农业转基因生物加工；酒制品生产；酒类经营；粮食加工食品生产。一般项目：饲料原料销售；畜牧渔业饲料销售；食品添加剂销售；消毒剂销售（不含危险化学品）；粮食收购；谷物销售；货物进出口；饲料添加剂销售；初级农产品收购；食用农产品初加工；化工产品生产（不含许可类化工产品）；技术服务、技术开发、技术咨询、技术交流、技术转让、技术推广；肥料销售；碳减排、碳转化、碳捕捉、碳封存技术研发；生物饲料研发；生物有机肥料研发。</t>
  </si>
  <si>
    <t>海伦市市场监督管理局</t>
  </si>
  <si>
    <t>灵宝市盛宏贸易有限公司</t>
  </si>
  <si>
    <t>91411282MAEX60E39K</t>
  </si>
  <si>
    <t>薛海蛟</t>
  </si>
  <si>
    <t>2025-10-11</t>
  </si>
  <si>
    <t>河南省三门峡市灵宝市苏村乡西村东沟组262号</t>
  </si>
  <si>
    <t>MAEX60E3-9</t>
  </si>
  <si>
    <t>2025-10-11 至 无固定期限</t>
  </si>
  <si>
    <t>Lingbao Shenghong Trading Co., Ltd.</t>
  </si>
  <si>
    <t>灵宝市盛宏贸易有限公司成立于2025-10-11，法定代表人为薛海蛟，注册资本为100万元，统一社会信用代码为91411282MAEX60E39K，企业注册地址位于河南省三门峡市灵宝市苏村乡西村东沟组262号，所属行业为批发业，经营范围包含：一般项目：金属矿石销售；非金属矿及制品销售（除依法须经批准的项目外，凭营业执照依法自主开展经营活动）。企业当前经营状态为存续。</t>
  </si>
  <si>
    <t>一般项目：金属矿石销售；非金属矿及制品销售（除依法须经批准的项目外，凭营业执照依法自主开展经营活动）</t>
  </si>
  <si>
    <t>江西天裕再生资源有限公司</t>
  </si>
  <si>
    <t>91360102MA396UYU7W</t>
  </si>
  <si>
    <t>龚宏达</t>
  </si>
  <si>
    <t>2020-04-08</t>
  </si>
  <si>
    <t>江西省景德镇市乐平市金山工业园（新科技产业园）</t>
  </si>
  <si>
    <t>景德镇市</t>
  </si>
  <si>
    <t>乐平市</t>
  </si>
  <si>
    <t>18857206663</t>
  </si>
  <si>
    <t>19857251538</t>
  </si>
  <si>
    <t>294081838@qq.com</t>
  </si>
  <si>
    <t>360102110006354</t>
  </si>
  <si>
    <t>MA396UYU-7</t>
  </si>
  <si>
    <t>2020-04-08 至 无固定期限</t>
  </si>
  <si>
    <t>居民服务、修理和其他服务业</t>
  </si>
  <si>
    <t>其他服务业</t>
  </si>
  <si>
    <t>其他未列明服务业</t>
  </si>
  <si>
    <t>Jiangxi Tianyu Renewable Resources Co., Ltd.</t>
  </si>
  <si>
    <t>江西天裕再生资源有限公司成立于2020-04-08，法定代表人为龚宏达，注册资本为1000万元，统一社会信用代码为91360102MA396UYU7W，企业注册地址位于江西省景德镇市乐平市金山工业园（新科技产业园），所属行业为其他服务业，经营范围包含：许可项目：危险废物经营，道路货物运输（不含危险货物）（依法须经批准的项目，经相关部门批准后在许可有效期内方可开展经营活动，具体经营项目和许可期限以相关部门批准文件或许可证件为准）一般项目：再生资源销售，再生资源回收（除生产性废旧金属），普通货物仓储服务（不含危险化学品等需许可审批的项目），货物进出口，广告发布，电池销售，电池零配件销售，蓄电池租赁，电动自行车销售，企业管理咨询，软件开发，有色金属合金销售，新能源汽车废旧动力蓄电池回收及梯次利用（不含危险废物经营），信息技术咨询服务，化工产品销售（不含许可类化工产品），专用化学产品销售（不含危险化学品），电子专用材料销售（除依法须经批准的项目外，凭营业执照依法自主开展经营活动）。企业当前经营状态为存续。</t>
  </si>
  <si>
    <t>许可项目：危险废物经营，道路货物运输（不含危险货物）（依法须经批准的项目，经相关部门批准后在许可有效期内方可开展经营活动，具体经营项目和许可期限以相关部门批准文件或许可证件为准）一般项目：再生资源销售，再生资源回收（除生产性废旧金属），普通货物仓储服务（不含危险化学品等需许可审批的项目），货物进出口，广告发布，电池销售，电池零配件销售，蓄电池租赁，电动自行车销售，企业管理咨询，软件开发，有色金属合金销售，新能源汽车废旧动力蓄电池回收及梯次利用（不含危险废物经营），信息技术咨询服务，化工产品销售（不含许可类化工产品），专用化学产品销售（不含危险化学品），电子专用材料销售（除依法须经批准的项目外，凭营业执照依法自主开展经营活动）</t>
  </si>
  <si>
    <t>乐平市市场监督管理局</t>
  </si>
  <si>
    <t>广东一粮饲料有限公司</t>
  </si>
  <si>
    <t>91445321MA57678W7Y</t>
  </si>
  <si>
    <t>廖卓坚</t>
  </si>
  <si>
    <t>2021-09-18</t>
  </si>
  <si>
    <t>新兴县六祖镇西睦社区居委会水湄村的白马岗地块</t>
  </si>
  <si>
    <t>13600238800</t>
  </si>
  <si>
    <t>465112809@qq.com</t>
  </si>
  <si>
    <t>MA57678W-7</t>
  </si>
  <si>
    <t>2021-09-18 至 无固定期限</t>
  </si>
  <si>
    <t>Guangdong Yiliang Feed Co., Ltd.</t>
  </si>
  <si>
    <t>广东一粮饲料有限公司成立于2021-09-18，法定代表人为廖卓坚，注册资本为500万元，统一社会信用代码为91445321MA57678W7Y，企业注册地址位于新兴县六祖镇西睦社区居委会水湄村的白马岗地块，所属行业为批发业，经营范围包含：一般项目：畜牧渔业饲料销售；饲料原料销售；食用农产品初加工；农副产品销售；粮食收购。（除依法须经批准的项目外，凭营业执照依法自主开展经营活动）。企业当前经营状态为在业。</t>
  </si>
  <si>
    <t>一般项目：畜牧渔业饲料销售；饲料原料销售；食用农产品初加工；农副产品销售；粮食收购。（除依法须经批准的项目外，凭营业执照依法自主开展经营活动）</t>
  </si>
  <si>
    <t>科德宝.宝翎无纺布（苏州）有限公司</t>
  </si>
  <si>
    <t>913205056082357995</t>
  </si>
  <si>
    <t>宝翎无纺布（苏州）有限公司</t>
  </si>
  <si>
    <t>朱跃新</t>
  </si>
  <si>
    <t>2274万美元</t>
  </si>
  <si>
    <t>1995-02-28</t>
  </si>
  <si>
    <t>江苏省苏州高新区滨河路1588号</t>
  </si>
  <si>
    <t>虎丘区</t>
  </si>
  <si>
    <t>0512-68251586</t>
  </si>
  <si>
    <t>0512-68315719</t>
  </si>
  <si>
    <t>shaohua.wu@freudenberg-filter.com</t>
  </si>
  <si>
    <t>trista.tang@freudenberg-filter.com;yan.yu@fvcsz.com;helen.zhang@fvcsz.com</t>
  </si>
  <si>
    <t>320500400002854</t>
  </si>
  <si>
    <t>60823579-9</t>
  </si>
  <si>
    <t>410</t>
  </si>
  <si>
    <t>1995-02-28 至 2045-02-27</t>
  </si>
  <si>
    <t>纤维素纤维原料及纤维制造</t>
  </si>
  <si>
    <t>Freudenberg &amp;Vilene Nonwovens (Suzhou) Co., Ltd.</t>
  </si>
  <si>
    <t>http://www.micronair.com.cn</t>
  </si>
  <si>
    <t>科德宝.宝翎无纺布（苏州）有限公司成立于1995-02-28，法定代表人为朱跃新，注册资本为2274万美元，统一社会信用代码为913205056082357995，企业注册地址位于江苏省苏州高新区滨河路1588号，所属行业为化学纤维制造业，经营范围包含：设计、生产、销售完整系列的过滤器及过滤设备、工业有机废气净化设备，设计、生产、销售采用非织造及其复合工艺技术的轻质、高强、耐高温、耐光等多功能化的产业用纺织品，以及同类产品的采购及批发业务（不涉及国营贸易管理商品，涉及配额、许可证管理商品的，按国家有关规定办理申请）。 （依法须经批准的项目，经相关部门批准后方可开展经营活动）
一般项目：日用口罩（非医用）生产；日用口罩（非医用）销售（除依法须经批准的项目外，凭营业执照依法自主开展经营活动）。企业当前经营状态为在业。</t>
  </si>
  <si>
    <t>设计、生产、销售完整系列的过滤器及过滤设备、工业有机废气净化设备，设计、生产、销售采用非织造及其复合工艺技术的轻质、高强、耐高温、耐光等多功能化的产业用纺织品，以及同类产品的采购及批发业务（不涉及国营贸易管理商品，涉及配额、许可证管理商品的，按国家有关规定办理申请）。 （依法须经批准的项目，经相关部门批准后方可开展经营活动）
一般项目：日用口罩（非医用）生产；日用口罩（非医用）销售（除依法须经批准的项目外，凭营业执照依法自主开展经营活动）</t>
  </si>
  <si>
    <t>苏州高新区（虎丘区）市场监督管理局</t>
  </si>
  <si>
    <t>湖南都得利新能源有限公司</t>
  </si>
  <si>
    <t>91431000MAEKTPF29L</t>
  </si>
  <si>
    <t>李林军</t>
  </si>
  <si>
    <t>2025-05-19</t>
  </si>
  <si>
    <t>中国（湖南）自由贸易试验区郴州片区郴州市白露塘镇林邑大道东侧郴州市战略性新兴产业园1.2栋201-X02</t>
  </si>
  <si>
    <t>苏仙区</t>
  </si>
  <si>
    <t>431091000118460</t>
  </si>
  <si>
    <t>MAEKTPF2-9</t>
  </si>
  <si>
    <t>2025-05-19 至 无固定期限</t>
  </si>
  <si>
    <t>Hunan Dudeli New Energy Co., Ltd.</t>
  </si>
  <si>
    <t>湖南都得利新能源有限公司成立于2025-05-19，法定代表人为李林军，注册资本为200万元，统一社会信用代码为91431000MAEKTPF29L，企业注册地址位于中国（湖南）自由贸易试验区郴州片区郴州市白露塘镇林邑大道东侧郴州市战略性新兴产业园1.2栋201-X02，所属行业为科技推广和应用服务业，经营范围包含：一般项目：技术服务、技术开发、技术咨询、技术交流、技术转让、技术推广;金属矿石销售;非金属矿及制品销售;化工产品销售（不含许可类化工产品）;机械设备销售;普通机械设备安装服务;电子产品销售;工程和技术研究和试验发展（除依法须经批准的项目外，自主开展法律法规未禁止、未限制的经营活动）。企业当前经营状态为存续。</t>
  </si>
  <si>
    <t>一般项目：技术服务、技术开发、技术咨询、技术交流、技术转让、技术推广;金属矿石销售;非金属矿及制品销售;化工产品销售（不含许可类化工产品）;机械设备销售;普通机械设备安装服务;电子产品销售;工程和技术研究和试验发展（除依法须经批准的项目外，自主开展法律法规未禁止、未限制的经营活动）</t>
  </si>
  <si>
    <t>郴州市市场监督管理局高新技术产业开发区分局</t>
  </si>
  <si>
    <t>湖南华铭矿业有限公司</t>
  </si>
  <si>
    <t>91431002MAEC6JWF48</t>
  </si>
  <si>
    <t>黄博文</t>
  </si>
  <si>
    <t>2025-03-03</t>
  </si>
  <si>
    <t>湖南省郴州市北湖区郴江街道青年大道10号万宝国际B4栋137号</t>
  </si>
  <si>
    <t>北湖区</t>
  </si>
  <si>
    <t>431002000194835</t>
  </si>
  <si>
    <t>MAEC6JWF-4</t>
  </si>
  <si>
    <t>2025-03-03 至 无固定期限</t>
  </si>
  <si>
    <t>非金属矿采选业</t>
  </si>
  <si>
    <t>土砂石开采</t>
  </si>
  <si>
    <t>粘土及其他土砂石开采</t>
  </si>
  <si>
    <t>Hunan Huaming Mining Co., Ltd.</t>
  </si>
  <si>
    <t>湖南华铭矿业有限公司成立于2025-03-03，法定代表人为黄博文，注册资本为200万元，统一社会信用代码为91431002MAEC6JWF48，企业注册地址位于湖南省郴州市北湖区郴江街道青年大道10号万宝国际B4栋137号，所属行业为非金属矿采选业，经营范围包含：一般项目：金属结构制造;金属结构销售;新型金属功能材料销售;金属矿石销售;金属链条及其他金属制品制造;金属链条及其他金属制品销售;高性能有色金属及合金材料销售;金属制品销售;非金属矿及制品销售;金属材料销售;高性能纤维及复合材料销售;石墨及碳素制品销售;金属工具销售;高品质特种钢铁材料销售;金属包装容器及材料销售;有色金属合金销售;五金产品零售;稀土功能材料销售;高性能密封材料销售;合成材料制造（不含危险化学品）;合成材料销售;常用有色金属冶炼;贵金属冶炼;有色金属压延加工;工程和技术研究和试验发展（除依法须经批准的项目外，自主开展法律法规未禁止、未限制的经营活动）。企业当前经营状态为存续。</t>
  </si>
  <si>
    <t>一般项目：金属结构制造;金属结构销售;新型金属功能材料销售;金属矿石销售;金属链条及其他金属制品制造;金属链条及其他金属制品销售;高性能有色金属及合金材料销售;金属制品销售;非金属矿及制品销售;金属材料销售;高性能纤维及复合材料销售;石墨及碳素制品销售;金属工具销售;高品质特种钢铁材料销售;金属包装容器及材料销售;有色金属合金销售;五金产品零售;稀土功能材料销售;高性能密封材料销售;合成材料制造（不含危险化学品）;合成材料销售;常用有色金属冶炼;贵金属冶炼;有色金属压延加工;工程和技术研究和试验发展（除依法须经批准的项目外，自主开展法律法规未禁止、未限制的经营活动）</t>
  </si>
  <si>
    <t>郴州市北湖区市场监督管理局</t>
  </si>
  <si>
    <t>福州德群源工艺品有限公司</t>
  </si>
  <si>
    <t>91350104MA2YMN6Q54</t>
  </si>
  <si>
    <t>焦贵德</t>
  </si>
  <si>
    <t>福建省福州市仓山区盖山镇齐安村齐安72号</t>
  </si>
  <si>
    <t>仓山区</t>
  </si>
  <si>
    <t>15080470372</t>
  </si>
  <si>
    <t>15080470372@qq.com</t>
  </si>
  <si>
    <t>350104100366500</t>
  </si>
  <si>
    <t>MA2YMN6Q-5</t>
  </si>
  <si>
    <t>2017-10-18 至 2037-10-17</t>
  </si>
  <si>
    <t>竹制品制造</t>
  </si>
  <si>
    <t>Fuzhou Dequnyuan Crafts Co., Ltd.</t>
  </si>
  <si>
    <t>福州德群源工艺品有限公司成立于2017-10-18，法定代表人为焦贵德，注册资本为100万元，统一社会信用代码为91350104MA2YMN6Q54，企业注册地址位于福建省福州市仓山区盖山镇齐安村齐安72号，所属行业为木材加工和木、竹、藤、棕、草制品业，经营范围包含：工艺品（象牙及其制品除外）的加工、生产、销售；自营和代理各类商品和技术的进出口，但国家限定公司经营或禁止进出口的商品和技术除外；服装、鞋帽、箱包、日用品、化妆品、家居用品、文化用品、办公用品、体育用品、家具、五金、装饰材料（不含危险化学品）的批发、代购代销。（依法须经批准的项目，经相关部门批准后方可开展经营活动）。企业当前经营状态为存续。</t>
  </si>
  <si>
    <t>工艺品（象牙及其制品除外）的加工、生产、销售；自营和代理各类商品和技术的进出口，但国家限定公司经营或禁止进出口的商品和技术除外；服装、鞋帽、箱包、日用品、化妆品、家居用品、文化用品、办公用品、体育用品、家具、五金、装饰材料（不含危险化学品）的批发、代购代销。（依法须经批准的项目，经相关部门批准后方可开展经营活动）</t>
  </si>
  <si>
    <t>福州市仓山区市场监督管理局</t>
  </si>
  <si>
    <t>常州卓顺国际贸易有限公司</t>
  </si>
  <si>
    <t>913204027890515848</t>
  </si>
  <si>
    <t>姜元明</t>
  </si>
  <si>
    <t>2006-06-14</t>
  </si>
  <si>
    <t>天宁区天宁时代广场A座办公楼701号</t>
  </si>
  <si>
    <t>0519-88172006</t>
  </si>
  <si>
    <t>13861001207;13057198148</t>
  </si>
  <si>
    <t>1103777064@qq.com</t>
  </si>
  <si>
    <t>616367577@qq.com;1355711367@qq.com;jiangym74@hotmail.com</t>
  </si>
  <si>
    <t>320402000068552</t>
  </si>
  <si>
    <t>78905158-4</t>
  </si>
  <si>
    <t>2006-06-14 至 无固定期限</t>
  </si>
  <si>
    <t>Changzhou Zhuoshun International Trading Co., Ltd.</t>
  </si>
  <si>
    <t>常州卓顺国际贸易有限公司成立于2006-06-14，法定代表人为姜元明，注册资本为500万元，统一社会信用代码为913204027890515848，企业注册地址位于天宁区天宁时代广场A座办公楼701号，所属行业为批发业，经营范围包含：自营和代理各类商品及技术的进出口业务，针纺织品、纺织原料、橡塑制品、建筑材料、装饰材料、五金、交电、普通机械及配件、金属材料、计算机及配件、百货、化工、劳保用品、电子产品、仪器仪表、电线电缆、工艺美术品的销售；太阳能设备及配件的销售及安装。（依法须经批准的项目，经相关部门批准后方可开展经营活动）
一般项目：软件开发（除依法须经批准的项目外，凭营业执照依法自主开展经营活动）。企业当前经营状态为在业。</t>
  </si>
  <si>
    <t>自营和代理各类商品及技术的进出口业务，针纺织品、纺织原料、橡塑制品、建筑材料、装饰材料、五金、交电、普通机械及配件、金属材料、计算机及配件、百货、化工、劳保用品、电子产品、仪器仪表、电线电缆、工艺美术品的销售；太阳能设备及配件的销售及安装。（依法须经批准的项目，经相关部门批准后方可开展经营活动）
一般项目：软件开发（除依法须经批准的项目外，凭营业执照依法自主开展经营活动）</t>
  </si>
  <si>
    <t>上海璞硕机械设备有限公司</t>
  </si>
  <si>
    <t>91310116301644205M</t>
  </si>
  <si>
    <t>庄力源</t>
  </si>
  <si>
    <t>11万元</t>
  </si>
  <si>
    <t>2014-05-05</t>
  </si>
  <si>
    <t>上海市金山区石化金一东路77弄58号（临海经济小区）</t>
  </si>
  <si>
    <t>金山区</t>
  </si>
  <si>
    <t>021-39963795</t>
  </si>
  <si>
    <t>18017535821;021-60277298;13390766500</t>
  </si>
  <si>
    <t>60277298@126.com</t>
  </si>
  <si>
    <t>310116003083073</t>
  </si>
  <si>
    <t>30164420-5</t>
  </si>
  <si>
    <t>2014-05-05 至 2064-05-04</t>
  </si>
  <si>
    <t>Shanghai Pushuo Machinery Equipment Co., Ltd.</t>
  </si>
  <si>
    <t>上海市金山区清漕泾镇亭卫公路3688号5幢二层137室</t>
  </si>
  <si>
    <t>上海璞硕机械设备有限公司成立于2014-05-05，法定代表人为庄力源，注册资本为3000万元，统一社会信用代码为91310116301644205M，企业注册地址位于上海市金山区石化金一东路77弄58号（临海经济小区），所属行业为批发业，经营范围包含：一般项目：机械设备销售；技术服务、技术开发、技术咨询、技术交流、技术转让、技术推广；货物进出口；有色金属合金销售；高性能有色金属及合金材料销售；金属材料销售；金属制品销售；金银制品销售；金属矿石销售；非金属矿及制品销售；合成材料销售；信息咨询服务（不含许可类信息咨询服务）；矿山机械销售；轴承、齿轮和传动部件销售；阀门和旋塞销售；泵及真空设备销售；紧固件销售；汽车零配件批发；汽车零配件零售；五金产品零售；五金产品批发；电子专用设备销售；电力电子元器件销售；电子产品销售；机械零件、零部件销售；通讯设备销售；电子元器件零售；电子元器件批发；建筑材料销售；塑料制品销售；第一类医疗器械销售；化工产品销售（不含许可类化工产品）；化妆品批发；化妆品零售；针纺织品销售；服装服饰批发；服装服饰零售；日用品批发；日用品销售；劳动保护用品销售；体育用品及器材批发；体育用品及器材零售；办公用品销售；仪器仪表销售；橡胶制品销售；复印和胶印设备销售；包装材料及制品销售；制冷、空调设备销售；气体压缩机械销售；技术进出口。（除依法须经批准的项目外，凭营业执照依法自主开展经营活动）。企业当前经营状态为存续。</t>
  </si>
  <si>
    <t>一般项目：机械设备销售；技术服务、技术开发、技术咨询、技术交流、技术转让、技术推广；货物进出口；有色金属合金销售；高性能有色金属及合金材料销售；金属材料销售；金属制品销售；金银制品销售；金属矿石销售；非金属矿及制品销售；合成材料销售；信息咨询服务（不含许可类信息咨询服务）；矿山机械销售；轴承、齿轮和传动部件销售；阀门和旋塞销售；泵及真空设备销售；紧固件销售；汽车零配件批发；汽车零配件零售；五金产品零售；五金产品批发；电子专用设备销售；电力电子元器件销售；电子产品销售；机械零件、零部件销售；通讯设备销售；电子元器件零售；电子元器件批发；建筑材料销售；塑料制品销售；第一类医疗器械销售；化工产品销售（不含许可类化工产品）；化妆品批发；化妆品零售；针纺织品销售；服装服饰批发；服装服饰零售；日用品批发；日用品销售；劳动保护用品销售；体育用品及器材批发；体育用品及器材零售；办公用品销售；仪器仪表销售；橡胶制品销售；复印和胶印设备销售；包装材料及制品销售；制冷、空调设备销售；气体压缩机械销售；技术进出口。（除依法须经批准的项目外，凭营业执照依法自主开展经营活动）</t>
  </si>
  <si>
    <t>金山区市场监督管理局</t>
  </si>
  <si>
    <t>湖南融望工贸有限公司</t>
  </si>
  <si>
    <t>91430105MAD445TW6C</t>
  </si>
  <si>
    <t>赵海</t>
  </si>
  <si>
    <t>2023-11-27</t>
  </si>
  <si>
    <t>湖南省长沙市开福区湘雅路街道芙蓉中路一段416号泊富商业广场14025房</t>
  </si>
  <si>
    <t>开福区</t>
  </si>
  <si>
    <t>0731-85050242</t>
  </si>
  <si>
    <t>0731-85210640</t>
  </si>
  <si>
    <t>zhaohai@hnjnhr.com</t>
  </si>
  <si>
    <t>430105000949443</t>
  </si>
  <si>
    <t>MAD445TW-6</t>
  </si>
  <si>
    <t>2023-11-27 至 无固定期限</t>
  </si>
  <si>
    <t>Hunan Rongwang Industry and Trade Co., Ltd.</t>
  </si>
  <si>
    <t>hnrwgm.com</t>
  </si>
  <si>
    <t>湖南融望工贸有限公司成立于2023-11-27，法定代表人为赵海，注册资本为500万元，统一社会信用代码为91430105MAD445TW6C，企业注册地址位于湖南省长沙市开福区湘雅路街道芙蓉中路一段416号泊富商业广场14025房，所属行业为批发业，经营范围包含：一般项目：金属矿石销售;非金属矿及制品销售;货物进出口;技术进出口;进出口代理;销售代理;采购代理服务;国内贸易代理（除依法须经批准的项目外，自主开展法律法规未禁止、未限制的经营活动）。企业当前经营状态为存续。</t>
  </si>
  <si>
    <t>一般项目：金属矿石销售;非金属矿及制品销售;货物进出口;技术进出口;进出口代理;销售代理;采购代理服务;国内贸易代理（除依法须经批准的项目外，自主开展法律法规未禁止、未限制的经营活动）</t>
  </si>
  <si>
    <t>长沙市开福区市场监督管理局</t>
  </si>
  <si>
    <t>灵宝汇通恒昌贸易有限公司</t>
  </si>
  <si>
    <t>91411282MA9LLYH59M</t>
  </si>
  <si>
    <t>严文强</t>
  </si>
  <si>
    <t>336.55万元</t>
  </si>
  <si>
    <t>2022-07-14</t>
  </si>
  <si>
    <t>河南省三门峡市灵宝市函古北路灵金广场2楼</t>
  </si>
  <si>
    <t>13525886255</t>
  </si>
  <si>
    <t>13781004697;0398-8869001</t>
  </si>
  <si>
    <t>447855914@qq.com</t>
  </si>
  <si>
    <t>13781004697@139.com;gzj@163.com</t>
  </si>
  <si>
    <t>411282000115181</t>
  </si>
  <si>
    <t>MA9LLYH5-9</t>
  </si>
  <si>
    <t>2022-07-14 至 无固定期限</t>
  </si>
  <si>
    <t>Lingbao Huitong Hengchang Trading Co., Ltd.</t>
  </si>
  <si>
    <t>灵宝汇通恒昌贸易有限公司成立于2022-07-14，法定代表人为严文强，注册资本为3000万元，统一社会信用代码为91411282MA9LLYH59M，企业注册地址位于河南省三门峡市灵宝市函古北路灵金广场2楼，所属行业为批发业，经营范围包含：一般项目：金属矿石销售；高性能有色金属及合金材料销售；金属制品销售；金属链条及其他金属制品销售；有色金属合金销售；金银制品销售；国内贸易代理；日用百货销售；非金属矿及制品销售；金属材料销售；机械设备销售；信息技术咨询服务；建筑装饰材料销售；农业机械销售；智能农机装备销售；农、林、牧、副、渔业专业机械的销售；农产品的生产、销售、加工、运输、贮藏及其他相关服务；化肥销售；货物进出口；技术进出口（除依法须经批准的项目外，凭营业执照依法自主开展经营活动）许可项目：黄金及其制品进出口；白银进出口（依法须经批准的项目，经相关部门批准后方可开展经营活动，具体经营项目以相关部门批准文件或许可证件为准）。企业当前经营状态为存续。</t>
  </si>
  <si>
    <t>一般项目：金属矿石销售；高性能有色金属及合金材料销售；金属制品销售；金属链条及其他金属制品销售；有色金属合金销售；金银制品销售；国内贸易代理；日用百货销售；非金属矿及制品销售；金属材料销售；机械设备销售；信息技术咨询服务；建筑装饰材料销售；农业机械销售；智能农机装备销售；农、林、牧、副、渔业专业机械的销售；农产品的生产、销售、加工、运输、贮藏及其他相关服务；化肥销售；货物进出口；技术进出口（除依法须经批准的项目外，凭营业执照依法自主开展经营活动）许可项目：黄金及其制品进出口；白银进出口（依法须经批准的项目，经相关部门批准后方可开展经营活动，具体经营项目以相关部门批准文件或许可证件为准）</t>
  </si>
  <si>
    <t>上海辉歌纺织品有限公司</t>
  </si>
  <si>
    <t>913101160886846459</t>
  </si>
  <si>
    <t>程墨涛</t>
  </si>
  <si>
    <t>2014-02-27</t>
  </si>
  <si>
    <t>上海市金山区朱泾镇仙居路115号4幢2层</t>
  </si>
  <si>
    <t>021-57323189</t>
  </si>
  <si>
    <t>021-57230561;13761562794;021-57232430</t>
  </si>
  <si>
    <t>huixumail@126.com</t>
  </si>
  <si>
    <t>310116003039026</t>
  </si>
  <si>
    <t>08868464-5</t>
  </si>
  <si>
    <t>2014-02-27 至 无固定期限</t>
  </si>
  <si>
    <t>Shanghai Hui Ge Textile Co., Ltd.</t>
  </si>
  <si>
    <t>上海辉歌纺织品有限公司成立于2014-02-27，法定代表人为程墨涛，注册资本为100万元，统一社会信用代码为913101160886846459，企业注册地址位于上海市金山区朱泾镇仙居路115号4幢2层，所属行业为批发业，经营范围包含：一般项目：针纺织品，服装服饰及辅料，鞋帽，皮革制品，箱包，日用百货，家居用品，床上用品，劳防用品，洗涤用品，清洁用品，酒店用品，金属材料，建筑材料，建筑装潢材料，防水材料，保温材料，隔热材料，隔音材料，纺织助剂（除危险化学品），化纤，化纤原料，化纤制品，第一类医疗器械，第二类医疗器械，日用口罩（非医用），纺织品及原料，产业用纺织制成品销售，互联网销售（除销售需要许可的商品），商务信息咨询（除经纪），商务咨询（除经纪），自有办公设备租赁，自有设备租赁（不得从事金融租赁），从事货物进出口及技术进出口业务。（除依法须经批准的项目外，凭营业执照依法自主开展经营活动）。企业当前经营状态为存续。</t>
  </si>
  <si>
    <t>一般项目：针纺织品，服装服饰及辅料，鞋帽，皮革制品，箱包，日用百货，家居用品，床上用品，劳防用品，洗涤用品，清洁用品，酒店用品，金属材料，建筑材料，建筑装潢材料，防水材料，保温材料，隔热材料，隔音材料，纺织助剂（除危险化学品），化纤，化纤原料，化纤制品，第一类医疗器械，第二类医疗器械，日用口罩（非医用），纺织品及原料，产业用纺织制成品销售，互联网销售（除销售需要许可的商品），商务信息咨询（除经纪），商务咨询（除经纪），自有办公设备租赁，自有设备租赁（不得从事金融租赁），从事货物进出口及技术进出口业务。（除依法须经批准的项目外，凭营业执照依法自主开展经营活动）</t>
  </si>
  <si>
    <t>无锡润灏纺织品有限公司</t>
  </si>
  <si>
    <t>91320206MADGCBA63J</t>
  </si>
  <si>
    <t>徐振杰</t>
  </si>
  <si>
    <t>2024-03-28</t>
  </si>
  <si>
    <t>无锡市惠山区洛社镇枫杨路23-1</t>
  </si>
  <si>
    <t>惠山区</t>
  </si>
  <si>
    <t>15251520083</t>
  </si>
  <si>
    <t>657210364@qq.com</t>
  </si>
  <si>
    <t>320206000659353</t>
  </si>
  <si>
    <t>MADGCBA6-3</t>
  </si>
  <si>
    <t>2024-03-28 至 无固定期限</t>
  </si>
  <si>
    <t>Wuxi Runhao Textile Co., Ltd.</t>
  </si>
  <si>
    <t>无锡润灏纺织品有限公司成立于2024-03-28，法定代表人为徐振杰，注册资本为100万元，统一社会信用代码为91320206MADGCBA63J，企业注册地址位于无锡市惠山区洛社镇枫杨路23-1，所属行业为批发业，经营范围包含：一般项目：针纺织品及原料销售；产业用纺织制成品制造；产业用纺织制成品生产；产业用纺织制成品销售（除依法须经批准的项目外，凭营业执照依法自主开展经营活动）。企业当前经营状态为在业。</t>
  </si>
  <si>
    <t>一般项目：针纺织品及原料销售；产业用纺织制成品制造；产业用纺织制成品生产；产业用纺织制成品销售（除依法须经批准的项目外，凭营业执照依法自主开展经营活动）</t>
  </si>
  <si>
    <t>无锡市惠山区数据局</t>
  </si>
  <si>
    <t>江阴市永泉毛纺织品有限公司</t>
  </si>
  <si>
    <t>91320281MA20FRUJ2Y</t>
  </si>
  <si>
    <t>夏天灏</t>
  </si>
  <si>
    <t>2019-11-22</t>
  </si>
  <si>
    <t>江阴市华士镇穿山路91号</t>
  </si>
  <si>
    <t>15251586568</t>
  </si>
  <si>
    <t>605765634@qq.com</t>
  </si>
  <si>
    <t>320281000910539</t>
  </si>
  <si>
    <t>MA20FRUJ-2</t>
  </si>
  <si>
    <t>2019-11-22 至 无固定期限</t>
  </si>
  <si>
    <t>Jiangyin Yongquan Woolen Textile Co., Ltd.</t>
  </si>
  <si>
    <t>江阴市永泉毛纺织品有限公司成立于2019-11-22，法定代表人为夏天灏，注册资本为200万元，统一社会信用代码为91320281MA20FRUJ2Y，企业注册地址位于江阴市华士镇穿山路91号，所属行业为纺织业，经营范围包含：一般项目：面料纺织加工；家用纺织制成品制造；产业用纺织制成品生产；产业用纺织制成品制造；非金属废料和碎屑加工处理；服装制造；服装辅料制造；针纺织品销售；产业用纺织制成品销售；针纺织品及原料销售；服装辅料销售；服装服饰零售；服装服饰批发；纺织、服装及家庭用品批发；货物进出口；技术进出口；进出口代理（除依法须经批准的项目外，凭营业执照依法自主开展经营活动）。企业当前经营状态为在业。</t>
  </si>
  <si>
    <t>一般项目：面料纺织加工；家用纺织制成品制造；产业用纺织制成品生产；产业用纺织制成品制造；非金属废料和碎屑加工处理；服装制造；服装辅料制造；针纺织品销售；产业用纺织制成品销售；针纺织品及原料销售；服装辅料销售；服装服饰零售；服装服饰批发；纺织、服装及家庭用品批发；货物进出口；技术进出口；进出口代理（除依法须经批准的项目外，凭营业执照依法自主开展经营活动）</t>
  </si>
  <si>
    <t>张家港昊华国际货运代理有限公司</t>
  </si>
  <si>
    <t>9132058279199176XN</t>
  </si>
  <si>
    <t>蔡高红</t>
  </si>
  <si>
    <t>2006-09-05</t>
  </si>
  <si>
    <t>金港镇长江润发国际大厦</t>
  </si>
  <si>
    <t>0512-58320876</t>
  </si>
  <si>
    <t>0512-58329906</t>
  </si>
  <si>
    <t>haohuahuodai@vip.163.com</t>
  </si>
  <si>
    <t>haohuahuodai@163.com</t>
  </si>
  <si>
    <t>320582000099318</t>
  </si>
  <si>
    <t>79199176-X</t>
  </si>
  <si>
    <t>2006-09-05 至 2026-09-04</t>
  </si>
  <si>
    <t>Zhangjiagang Haohua International Freight Forwarding Co., Ltd.</t>
  </si>
  <si>
    <t>张家港市金港镇殷家埭路116号3楼303室</t>
  </si>
  <si>
    <t>张家港昊华国际货运代理有限公司成立于2006-09-05，法定代表人为蔡高红，注册资本为500万元，统一社会信用代码为9132058279199176XN，企业注册地址位于金港镇长江润发国际大厦，所属行业为多式联运和运输代理业，经营范围包含：承办海运、陆运、空运进出口货物的国际运输代理业务（涉及行政许可的，取得许可后方可经营），普通货运。（依法须经批准的项目，经相关部门批准后方可开展经营活动）。企业当前经营状态为存续。</t>
  </si>
  <si>
    <t>承办海运、陆运、空运进出口货物的国际运输代理业务（涉及行政许可的，取得许可后方可经营），普通货运。（依法须经批准的项目，经相关部门批准后方可开展经营活动）</t>
  </si>
  <si>
    <t>力量冷链（广州）仓储有限公司</t>
  </si>
  <si>
    <t>9144010131059254X2</t>
  </si>
  <si>
    <t>黎亮</t>
  </si>
  <si>
    <t>2014-08-20</t>
  </si>
  <si>
    <t>广州市黄埔区丰乐北路888号2号楼601房</t>
  </si>
  <si>
    <t>020-82055688</t>
  </si>
  <si>
    <t>020-82574506</t>
  </si>
  <si>
    <t>sales@coolmaxx.com</t>
  </si>
  <si>
    <t>financial@coolmaxx.com;654211307@qq.com;coolmaxx@126.com</t>
  </si>
  <si>
    <t>有限责任公司（港澳台与境内合资）</t>
  </si>
  <si>
    <t>440101400157787</t>
  </si>
  <si>
    <t>31059254-X</t>
  </si>
  <si>
    <t>50</t>
  </si>
  <si>
    <t>2014-08-20 至 2034-08-20</t>
  </si>
  <si>
    <t>Power Cold Chain (Guangzhou) Warehousing Co., Ltd.</t>
  </si>
  <si>
    <t>力量冷链是一家冷链服务提供商，以冷冻仓储为基础，打造涵盖冷链运输配送、冻品跨境贸易、冷库管理技术输出等上下游产业的新型冷链服务。致力成为华南地区全能型第三方冷链服务供应商，为客户提供先进、前沿的全温控仓储以及全面的冷链服务。</t>
  </si>
  <si>
    <t>其他仓储业（不含原油、成品油仓储、燃气仓储、危险品仓储）（仅限分支机构经营）;装卸搬运（仅限分支机构经营）;物业管理;房屋租赁;水产品批发;冷冻肉批发</t>
  </si>
  <si>
    <t>青岛海顺食品有限公司</t>
  </si>
  <si>
    <t>91370282718053857F</t>
  </si>
  <si>
    <t>仇吉帅</t>
  </si>
  <si>
    <t>2000-04-03</t>
  </si>
  <si>
    <t>即墨市通济办事处城马路77号乙（城阳火车站北二公里）</t>
  </si>
  <si>
    <t>即墨区</t>
  </si>
  <si>
    <t>0532-82513777</t>
  </si>
  <si>
    <t>0532-82513778;0532-82525555;0532-82525676;0532-82513888</t>
  </si>
  <si>
    <t>haishun568@163.com</t>
  </si>
  <si>
    <t>1151498749@qq.com;haishun568@126.com</t>
  </si>
  <si>
    <t>370282228010007</t>
  </si>
  <si>
    <t>71805385-7</t>
  </si>
  <si>
    <t>2000-04-03 至 无固定期限</t>
  </si>
  <si>
    <t>水产品加工</t>
  </si>
  <si>
    <t>水产品冷冻加工</t>
  </si>
  <si>
    <t>Qingdao Haishun FOODS Co., Ltd.</t>
  </si>
  <si>
    <t>http://www.hsfoods.com</t>
  </si>
  <si>
    <t>青岛海顺食品有限公司成立于2000-04-03，法定代表人为仇吉帅，注册资本为1000万元，统一社会信用代码为91370282718053857F，企业注册地址位于即墨市通济办事处城马路77号乙（城阳火车站北二公里），所属行业为农副食品加工业，经营范围包含：生产、加工食品（依据食药部门核发的《全国工业产品生产许可证》开展经营活动）；销售生鲜肉；货物装卸、货物仓储（不含货物运输、不含危险品）；货物进出口，技术进出口（法律、行政法规禁止的项目除外，法律、行政法规限制的项目取得许可后方可经营）。（依法须经批准的项目，经相关部门批准后方可开展经营活动）。企业当前经营状态为在业。</t>
  </si>
  <si>
    <t>生产、加工食品（依据食药部门核发的《全国工业产品生产许可证》开展经营活动）；销售生鲜肉；货物装卸、货物仓储（不含货物运输、不含危险品）；货物进出口，技术进出口（法律、行政法规禁止的项目除外，法律、行政法规限制的项目取得许可后方可经营）。（依法须经批准的项目，经相关部门批准后方可开展经营活动）。</t>
  </si>
  <si>
    <t>青岛市即墨区市场监督管理局</t>
  </si>
  <si>
    <t>东莞市铂逸报关报检有限公司</t>
  </si>
  <si>
    <t>91441900303830466R</t>
  </si>
  <si>
    <t>张惠玲</t>
  </si>
  <si>
    <t>东莞市沙田镇横流中心区恒福大厦幸福阁B座203房</t>
  </si>
  <si>
    <t>13412718379</t>
  </si>
  <si>
    <t>13533220180</t>
  </si>
  <si>
    <t>2463039631@qq.com</t>
  </si>
  <si>
    <t>441900001943513</t>
  </si>
  <si>
    <t>30383046-6</t>
  </si>
  <si>
    <t>其他运输代理业</t>
  </si>
  <si>
    <t>Dongguan Boyi Customs Declaration and Inspection Co., Ltd.</t>
  </si>
  <si>
    <t>东莞市铂逸报关报检有限公司成立于2014-04-29，法定代表人为张惠玲，注册资本为150万元，统一社会信用代码为91441900303830466R，企业注册地址位于东莞市沙田镇横流中心区恒福大厦幸福阁B座203房，所属行业为多式联运和运输代理业，经营范围包含：代理报关、报检业务，国内货运代理。（依法须经批准的项目，经相关部门批准后方可开展经营活动）。企业当前经营状态为在业。</t>
  </si>
  <si>
    <t>代理报关、报检业务，国内货运代理。（依法须经批准的项目，经相关部门批准后方可开展经营活动）</t>
  </si>
  <si>
    <t>丰益生物科技（上海）有限公司</t>
  </si>
  <si>
    <t>91310115MA7AGFUT5W</t>
  </si>
  <si>
    <t>朱俊</t>
  </si>
  <si>
    <t>2021-09-01</t>
  </si>
  <si>
    <t>上海市浦东新区高东路118号D区1幢103室、D区2幢东侧、D区7幢</t>
  </si>
  <si>
    <t>021-58487988</t>
  </si>
  <si>
    <t>houweilun@cn.wilmar-intl.com</t>
  </si>
  <si>
    <t>310115400325433</t>
  </si>
  <si>
    <t>MA7AGFUT-5</t>
  </si>
  <si>
    <t>78</t>
  </si>
  <si>
    <t>2021-09-01 至 2071-08-31</t>
  </si>
  <si>
    <t>Wilmar Biotechnology (Shanghai) Co., Ltd.</t>
  </si>
  <si>
    <t>https://www.yihaikerry.net.cn</t>
  </si>
  <si>
    <t>丰益生物科技（上海）有限公司成立于2021-09-01，法定代表人为朱俊，注册资本为3000万元，统一社会信用代码为91310115MA7AGFUT5W，企业注册地址位于上海市浦东新区高东路118号D区1幢103室、D区2幢东侧、D区7幢，所属行业为科技推广和应用服务业，经营范围包含：许可项目：药品生产；食品生产；食品用洗涤剂生产；饲料添加剂生产；进出口业务。（依法须经批准的项目，经相关部门批准后方可开展经营活动，具体经营项目以相关部门批准文件或许可证件为准）一般项目：生物化工产品技术研发（人体干细胞、基因诊断与治疗技术开发和应用除外）；化工产品生产（不含许可类化工产品）；日用化学产品制造；专用化学产品制造（不含危险化学品）；化工产品（不含许可类化工产品）、食品用洗涤剂、专用化学产品（不含危险化学品）、日用化学产品的批发、佣金代理，并提供相关的配套业务；粮油仓储服务；普通货物仓储服务（不含危险化学品等需许可审批的项目）。（除依法须经批准的项目外，凭营业执照依法自主开展经营活动）。企业当前经营状态为存续。</t>
  </si>
  <si>
    <t>许可项目：药品生产；食品生产；食品用洗涤剂生产；饲料添加剂生产；进出口业务。（依法须经批准的项目，经相关部门批准后方可开展经营活动，具体经营项目以相关部门批准文件或许可证件为准）一般项目：生物化工产品技术研发（人体干细胞、基因诊断与治疗技术开发和应用除外）；化工产品生产（不含许可类化工产品）；日用化学产品制造；专用化学产品制造（不含危险化学品）；化工产品（不含许可类化工产品）、食品用洗涤剂、专用化学产品（不含危险化学品）、日用化学产品的批发、佣金代理，并提供相关的配套业务；粮油仓储服务；普通货物仓储服务（不含危险化学品等需许可审批的项目）。（除依法须经批准的项目外，凭营业执照依法自主开展经营活动）。</t>
  </si>
  <si>
    <t>丰益油脂科技（东莞）有限公司</t>
  </si>
  <si>
    <t>91441900796298243E</t>
  </si>
  <si>
    <t>丰益油脂化学（东莞）有限公司,
益海（东莞）油化工业有限公司</t>
  </si>
  <si>
    <t>刘佐</t>
  </si>
  <si>
    <t>2450万美元</t>
  </si>
  <si>
    <t>2007-02-09</t>
  </si>
  <si>
    <t>广东省东莞市麻涌镇文武涌路6号</t>
  </si>
  <si>
    <t>0769-88238703</t>
  </si>
  <si>
    <t>13580852327;0769-88238767;0769-81297805;0769-88238700;0769-88238736;0769-88235661;13926806755</t>
  </si>
  <si>
    <t>893925178@qq.com</t>
  </si>
  <si>
    <t>393540618@qq.com;yanghua@wilmar-intl.com</t>
  </si>
  <si>
    <t>441900400063938</t>
  </si>
  <si>
    <t>79629824-3</t>
  </si>
  <si>
    <t>265</t>
  </si>
  <si>
    <t>2007-02-09 至 2057-02-09</t>
  </si>
  <si>
    <t>Wilmar Oleo (Dongguan) Co., Ltd.</t>
  </si>
  <si>
    <t>丰益油脂化学（东莞）有限公司投资总额约6000万美元，占地总面积约11万平方米，是中国油脂化工行业颇具规模的生产企业之一。公司拥有目前国内产量规模可观、加工工艺先进的进口德国鲁奇公司的生产设备。公司主要生产“锐龙”和“龙旗”牌硬脂酸、皂粒、甘油等系列油脂化工产品，供应中国各个市场，为客户提供优质的产品，广泛应用于橡胶、塑料、纺织、造纸、医药、日化、食品等行业。公司拥有稳定的原料供应商，得天独厚的地理位置，完善的物流系统，健全的销售网络，充满活力的市场营销团队及高素质的工程技术人员，公司建立了独特的原材料分析数据库，为质量稳定及新产品研发提供了雄厚的资源保障。公司于2008年10月顺利通过了ISO9001：2000国际质量体系的认证。公司本着以“满足和引导顾客的健康需求，并以其利益为导向，实现股东、员工以及合作伙伴的社会价值与经济价值的最大化”为使命。竭诚为客户提供优质的产品和完善的售后服务。</t>
  </si>
  <si>
    <t>一般项目：专用化学产品制造（不含危险化学品）；专用化学产品销售（不含危险化学品）；技术服务、技术开发、技术咨询、技术交流、技术转让、技术推广；食品添加剂销售；日用化学产品制造；日用化学产品销售；食品用洗涤剂销售；饲料原料销售；饲料添加剂销售；货物进出口；技术进出口；销售代理；普通货物仓储服务（不含危险化学品等需许可审批的项目）；消毒剂销售（不含危险化学品）。（除依法须经批准的项目外，凭营业执照依法自主开展经营活动）许可项目：食品添加剂生产；食品用洗涤剂生产；饲料生产；饲料添加剂生产；消毒剂生产（不含危险化学品）。（依法须经批准的项目，经相关部门批准后方可开展经营活动，具体经营项目以相关部门批准文件或许可证件为准）</t>
  </si>
  <si>
    <t>丰益油脂科技（连云港）有限公司</t>
  </si>
  <si>
    <t>913207007558715172</t>
  </si>
  <si>
    <t>丰益油脂化学（连云港）有限公司,
益海（连云港）油化工业有限公司</t>
  </si>
  <si>
    <t>刘均</t>
  </si>
  <si>
    <t>38806万元</t>
  </si>
  <si>
    <t>中国（江苏）自由贸易试验区连云港片区经济技术开发区黄海大道1号（经营场所:中国（江苏）自由贸易试验区连云港片区连云区大港路北港区）</t>
  </si>
  <si>
    <t>连云港经济技术开发区</t>
  </si>
  <si>
    <t>13951256615</t>
  </si>
  <si>
    <t>0518-86099392;0518-82388382;0518-86099382;0518-86099411;0518-82387298;18205131829</t>
  </si>
  <si>
    <t>zhujiaben7@cn.wilmar-intl.com</t>
  </si>
  <si>
    <t>yangming@cn.wilmar-intl.com;liufanglin@cn.wilmar-intl.com;hanxiaojing@wilmar-intl.com</t>
  </si>
  <si>
    <t>320700400002963</t>
  </si>
  <si>
    <t>75587151-7</t>
  </si>
  <si>
    <t>284</t>
  </si>
  <si>
    <t>2003-11-25 至 2053-11-24</t>
  </si>
  <si>
    <t>Wilmar Oleo (Lianyungang) Co., Ltd.</t>
  </si>
  <si>
    <t>丰益油脂科技（连云港）有限公司成立于2003-11-25，法定代表人为刘均，注册资本为38806万元，统一社会信用代码为913207007558715172，企业注册地址位于中国（江苏）自由贸易试验区连云港片区经济技术开发区黄海大道1号（经营场所:中国（江苏）自由贸易试验区连云港片区连云区大港路北港区），所属行业为化学原料和化学制品制造业，经营范围包含：饲料添加剂丙三醇（I）和饲料添加剂液态甘油脂肪酸酯的生产（危险化学品除外）；中间体表面活性剂产品（日用化学品）、合成香料、食品添加剂（甘油）的生产；脂肪酸甲酯（危险化学品除外）、日化产品、食品及食品添加剂的进出口及批发业务；仓储服务（不设店铺，以上商品不涉及国营贸易管理商品，涉及配额、许可证管理商品的，按国家有关规定申请办理）。（依法须经批准的项目，经相关部门批准后方可开展经营活动）***
许可项目：饲料生产（依法须经批准的项目，经相关部门批准后方可开展经营活动，具体经营项目以审批结果为准）
一般项目：饲料原料销售（除依法须经批准的项目外，凭营业执照依法自主开展经营活动）。企业当前经营状态为在业。</t>
  </si>
  <si>
    <t>饲料添加剂丙三醇（I）和饲料添加剂液态甘油脂肪酸酯的生产（危险化学品除外）；中间体表面活性剂产品（日用化学品）、合成香料、食品添加剂（甘油）的生产；脂肪酸甲酯（危险化学品除外）、日化产品、食品及食品添加剂的进出口及批发业务；仓储服务（不设店铺，以上商品不涉及国营贸易管理商品，涉及配额、许可证管理商品的，按国家有关规定申请办理）。（依法须经批准的项目，经相关部门批准后方可开展经营活动）***
许可项目：饲料生产（依法须经批准的项目，经相关部门批准后方可开展经营活动，具体经营项目以审批结果为准）
一般项目：饲料原料销售（除依法须经批准的项目外，凭营业执照依法自主开展经营活动）</t>
  </si>
  <si>
    <t>连云港经济技术开发区市场监督管理局</t>
  </si>
  <si>
    <t>丰益油脂科技（天津）有限公司</t>
  </si>
  <si>
    <t>91120118764308670A</t>
  </si>
  <si>
    <t>丰益油脂化学（天津）有限公司,
嘉里油脂化学工业（天津）有限公司</t>
  </si>
  <si>
    <t>邰卫星</t>
  </si>
  <si>
    <t>2400万美元</t>
  </si>
  <si>
    <t>2004-07-16</t>
  </si>
  <si>
    <t>天津自贸试验区（天津港保税区）津滨大道158号</t>
  </si>
  <si>
    <t>18622351350</t>
  </si>
  <si>
    <t>022-66271750;022-66271715;022-66271288;13682038428;13652133898</t>
  </si>
  <si>
    <t>wangping5@cn.wilmar-intl.com</t>
  </si>
  <si>
    <t>wangdan1@cn.wilmar-intl.com;qujianhua@cn.wilmar-intl.com;wangdan1@wilmar-intl.com;2569666066@qq.com</t>
  </si>
  <si>
    <t>120000400021212</t>
  </si>
  <si>
    <t>76430867-0</t>
  </si>
  <si>
    <t>2004-07-16 至 2054-07-15</t>
  </si>
  <si>
    <t>Wilmar OLEO (TIANJIN) Co., Ltd.</t>
  </si>
  <si>
    <t>丰益油脂科技（天津）有限公司成立于2004-07-16，法定代表人为邰卫星，注册资本为2400万美元，统一社会信用代码为91120118764308670A，企业注册地址位于天津自贸试验区（天津港保税区）津滨大道158号，所属行业为专业技术服务业，经营范围包含：开发、生产、销售精细化工产品（助剂、食品添加剂、皮革化学品、油田助剂、表面活性剂等，易制毒及化学危险品除外）、油剂、工业油脂、原料药、药用辅料、日用百货、饲料及饲料原料、饲料添加剂，提供相关的技术和售后服务；国际贸易及物流分拨；保税仓储；油脂、化工产品（易燃、易爆、易制毒除外）、原料药、药用辅料、日用百货、饲料及饲料原料、饲料添加剂的批发、佣金代理（拍卖除外）及进出口；餐厨废弃油脂回收利用（取得许可证后方可经营）（依法须经批准的项目，经相关部门批准后方可开展经营活动）。企业当前经营状态为存续。</t>
  </si>
  <si>
    <t>开发、生产、销售精细化工产品（助剂、食品添加剂、皮革化学品、油田助剂、表面活性剂等，易制毒及化学危险品除外）、油剂、工业油脂、原料药、药用辅料、日用百货、饲料及饲料原料、饲料添加剂，提供相关的技术和售后服务；国际贸易及物流分拨；保税仓储；油脂、化工产品（易燃、易爆、易制毒除外）、原料药、药用辅料、日用百货、饲料及饲料原料、饲料添加剂的批发、佣金代理（拍卖除外）及进出口；餐厨废弃油脂回收利用（取得许可证后方可经营）（依法须经批准的项目，经相关部门批准后方可开展经营活动）</t>
  </si>
  <si>
    <t>福州源鸿达报关有限公司</t>
  </si>
  <si>
    <t>91350105MA346P998K</t>
  </si>
  <si>
    <t>翁祖勇</t>
  </si>
  <si>
    <t>2016-03-22</t>
  </si>
  <si>
    <t>福建省福州市马尾区罗星街道建设路12-1号研发楼4楼103室（自贸试验区内）</t>
  </si>
  <si>
    <t>13850103992</t>
  </si>
  <si>
    <t>13805059136</t>
  </si>
  <si>
    <t>1411202@qq.com</t>
  </si>
  <si>
    <t>350105100128867</t>
  </si>
  <si>
    <t>MA346P99-8</t>
  </si>
  <si>
    <t>2016-03-22 至 无固定期限</t>
  </si>
  <si>
    <t>Fuzhou Yuanhongda Customs Declaration Co., Ltd.</t>
  </si>
  <si>
    <t>福州源鸿达报关有限公司成立于2016-03-22，法定代表人为翁祖勇，注册资本为200万元，统一社会信用代码为91350105MA346P998K，企业注册地址位于福建省福州市马尾区罗星街道建设路12-1号研发楼4楼103室（自贸试验区内），所属行业为商务服务业，经营范围包含：货物检验代理服务、货物报关代理服务。（依法须经批准的项目，经相关部门批准后方可开展经营活动）。企业当前经营状态为存续。</t>
  </si>
  <si>
    <t>货物检验代理服务、货物报关代理服务。（依法须经批准的项目，经相关部门批准后方可开展经营活动）</t>
  </si>
  <si>
    <t>广东海阔国际货物运输代理有限公司</t>
  </si>
  <si>
    <t>91440101MA9UQ2X91C</t>
  </si>
  <si>
    <t>王伟</t>
  </si>
  <si>
    <t>广州市南沙区进港大道577号810房（部位：之五）</t>
  </si>
  <si>
    <t>020-34973802</t>
  </si>
  <si>
    <t>cargo@seasky-logistics.com</t>
  </si>
  <si>
    <t>MA9UQ2X9-1</t>
  </si>
  <si>
    <t>Sea Sky International Freight Forwarder(GuangDong) Co., Ltd.</t>
  </si>
  <si>
    <t>广东海阔国际货物运输代理有限公司成立于2020-07-31，法定代表人为王伟，注册资本为500万元，统一社会信用代码为91440101MA9UQ2X91C，企业注册地址位于广州市南沙区进港大道577号810房（部位：之五），所属行业为多式联运和运输代理业，经营范围包含：装卸搬运;普通货物仓储服务（不含危险化学品等需许可审批的项目）;国内贸易代理;国际船舶代理;信息咨询服务（不含许可类信息咨询服务）;国际货物运输代理;国内船舶代理;国内货物运输代理;无船承运业务;技术进出口;货物进出口;报关业务。企业当前经营状态为存续。</t>
  </si>
  <si>
    <t>装卸搬运;普通货物仓储服务（不含危险化学品等需许可审批的项目）;国内贸易代理;国际船舶代理;信息咨询服务（不含许可类信息咨询服务）;国际货物运输代理;国内船舶代理;国内货物运输代理;无船承运业务;技术进出口;货物进出口;报关业务</t>
  </si>
  <si>
    <t>广州发展碧辟油品有限公司</t>
  </si>
  <si>
    <t>91440115724826684E</t>
  </si>
  <si>
    <t>广州发展碧壁油品有限公司,
广州发展油品经营有限公司</t>
  </si>
  <si>
    <t>邱华钊</t>
  </si>
  <si>
    <t>广州市南沙区龙穴大道中13号526室（仅限办公）</t>
  </si>
  <si>
    <t>020-84686120</t>
  </si>
  <si>
    <t>020-84686670;18702026626</t>
  </si>
  <si>
    <t>huqingzhou@bpgdop.com</t>
  </si>
  <si>
    <t>fengminyi@bpgdop.com;shumin@bpgdop.com</t>
  </si>
  <si>
    <t>440110400001682</t>
  </si>
  <si>
    <t>72482668-4</t>
  </si>
  <si>
    <t>2003-12-19 至 2033-12-19</t>
  </si>
  <si>
    <t>BP Guangzhou Development Oil Products Co., Ltd.</t>
  </si>
  <si>
    <t>广州发展碧辟油品有限公司是一家油库建设运营商，公司经营范围是建造、经营、出租和管理油库及其配套设施服务；从事成品油的储存及其配套服务；从事危险化学品的储存及其配套服务；及相关领域提供技术、经营管理方面的咨询服务；从事燃料油的批发和进口业务。</t>
  </si>
  <si>
    <t>普通货物仓储服务（不含危险化学品等需许可审批的项目）;成品油仓储（不含危险化学品）;石油制品销售（不含危险化学品）;成品油批发（不含危险化学品）;物业管理;化工产品销售（不含许可类化工产品）;工程管理服务;保税仓库经营;海关监管货物仓储服务（不含危险化学品）;出口监管仓库经营;危险化学品仓储;成品油仓储（限危险化学品）;成品油批发（限危险化学品）;货物进出口;危险化学品经营</t>
  </si>
  <si>
    <t>广州港发石油化工码头有限公司</t>
  </si>
  <si>
    <t>91440115743593978H</t>
  </si>
  <si>
    <t>2002-10-17</t>
  </si>
  <si>
    <t>广州市南沙区南沙街港前大道南162号第十七层自编1812单元</t>
  </si>
  <si>
    <t>13318712598</t>
  </si>
  <si>
    <t>020-34681639;020-34681621;020-84688602-2181</t>
  </si>
  <si>
    <t>645266815@qq.com</t>
  </si>
  <si>
    <t>xz-wxm@gfot.com.cn;xz-zj@gfot.com.cn</t>
  </si>
  <si>
    <t>440110000006392</t>
  </si>
  <si>
    <t>74359397-8</t>
  </si>
  <si>
    <t>2002-10-17 至 无固定期限</t>
  </si>
  <si>
    <t>装卸搬运</t>
  </si>
  <si>
    <t>Guangzhou Gangfa Petroleum Chemical Dock Co., Ltd.</t>
  </si>
  <si>
    <t>广州港发石油化工码头有限公司成立于2002-10-17，法定代表人为邱华钊，注册资本为7000万元，统一社会信用代码为91440115743593978H，企业注册地址位于广州市南沙区南沙街港前大道南162号第十七层自编1812单元，所属行业为装卸搬运和仓储业，经营范围包含：装卸搬运;港口危险货物作业;为船舶提供码头、过驳锚地、浮筒等设施;提供港口货物装卸（含过驳）、仓储、港内驳运、集装箱装卸、堆存、及装拆箱等简单加工处理服务。企业当前经营状态为存续。</t>
  </si>
  <si>
    <t>装卸搬运;港口危险货物作业;为船舶提供码头、过驳锚地、浮筒等设施;提供港口货物装卸（含过驳）、仓储、港内驳运、集装箱装卸、堆存、及装拆箱等简单加工处理服务</t>
  </si>
  <si>
    <t>广州恒海国际货运代理有限公司</t>
  </si>
  <si>
    <t>914401056986762128</t>
  </si>
  <si>
    <t>曾海翔</t>
  </si>
  <si>
    <t>2009-12-23</t>
  </si>
  <si>
    <t>广州市海珠区会展南五路1号5号1019房（仅限办公）</t>
  </si>
  <si>
    <t>020-28087102</t>
  </si>
  <si>
    <t>cn@eversea.com.cn</t>
  </si>
  <si>
    <t>kj-2@eversea.com.cn</t>
  </si>
  <si>
    <t>440106000114794</t>
  </si>
  <si>
    <t>69867621-2</t>
  </si>
  <si>
    <t>2009-12-23 至 无固定期限</t>
  </si>
  <si>
    <t>Eversea International Logistics Co., Ltd.</t>
  </si>
  <si>
    <t>广州恒海国际货运代理有限公司成立于2009-12-23，法定代表人为曾海翔，注册资本为500万元，统一社会信用代码为914401056986762128，企业注册地址位于广州市海珠区会展南五路1号5号1019房（仅限办公），所属行业为多式联运和运输代理业，经营范围包含：货物报关代理服务;联合运输代理服务;打包、装卸、运输全套服务代理;物流代理服务;仓储代理服务;国际货运代理;装卸搬运;道路货物运输代理;货物检验代理服务;无船承运。企业当前经营状态为存续。</t>
  </si>
  <si>
    <t>货物报关代理服务;联合运输代理服务;打包、装卸、运输全套服务代理;物流代理服务;仓储代理服务;国际货运代理;装卸搬运;道路货物运输代理;货物检验代理服务;无船承运</t>
  </si>
  <si>
    <t>广州惠尔通物流有限公司</t>
  </si>
  <si>
    <t>9144010172562390XN</t>
  </si>
  <si>
    <t>广州市惠尔通货运服务有限公司,
广州惠尔通货运服务有限公司</t>
  </si>
  <si>
    <t>周雄</t>
  </si>
  <si>
    <t>2000-12-26</t>
  </si>
  <si>
    <t>广州市黄埔区黄埔大道东983号910房（仅限办公）</t>
  </si>
  <si>
    <t>020-82285653</t>
  </si>
  <si>
    <t>020-82298995</t>
  </si>
  <si>
    <t>chinawnt@126.com</t>
  </si>
  <si>
    <t>chinawnt@163.com;scyhouse@163.com</t>
  </si>
  <si>
    <t>440101000115727</t>
  </si>
  <si>
    <t>72562390-X</t>
  </si>
  <si>
    <t>2000-12-26 至 无固定期限</t>
  </si>
  <si>
    <t>Guangzhou W&amp;T Logistics Co., Ltd.</t>
  </si>
  <si>
    <t>广州惠尔通物流有限公司成立于2000-12-26，法定代表人为周雄，注册资本为500万元，统一社会信用代码为9144010172562390XN，企业注册地址位于广州市黄埔区黄埔大道东983号910房（仅限办公），所属行业为多式联运和运输代理业，经营范围包含：其他仓储业（不含原油、成品油仓储、燃气仓储、危险品仓储）;装卸搬运;国际货运代理;货物检验代理服务;货物报关代理服务;货物运输代理;仓储代理服务;供应链管理;商品信息咨询服务;交通运输咨询服务;仓储咨询服务;道路货物运输。企业当前经营状态为存续。</t>
  </si>
  <si>
    <t>其他仓储业（不含原油、成品油仓储、燃气仓储、危险品仓储）;装卸搬运;国际货运代理;货物检验代理服务;货物报关代理服务;货物运输代理;仓储代理服务;供应链管理;商品信息咨询服务;交通运输咨询服务;仓储咨询服务;道路货物运输</t>
  </si>
  <si>
    <t>广州南沙弘达仓储有限公司</t>
  </si>
  <si>
    <t>914401017594469804</t>
  </si>
  <si>
    <t>广州元亨仓储有限公司,
广州南沙振戎仓储有限公司,
南方石化仓储（广州南沙）有限公司,
广州南沙泰山石化发展有限公司</t>
  </si>
  <si>
    <t>刘威</t>
  </si>
  <si>
    <t>64743.280871万元</t>
  </si>
  <si>
    <t>2004-05-17</t>
  </si>
  <si>
    <t>广州市南沙区黄阁镇小虎岛石化工区</t>
  </si>
  <si>
    <t>020-34688888</t>
  </si>
  <si>
    <t>020-34689500</t>
  </si>
  <si>
    <t>xiaot@circlestor.com</t>
  </si>
  <si>
    <t>357441325@qq.com;caoy@gdzrstor.com;liyn@gdzrstor.com</t>
  </si>
  <si>
    <t>440101400033431</t>
  </si>
  <si>
    <t>75944698-0</t>
  </si>
  <si>
    <t>2004-05-17 至 无固定期限</t>
  </si>
  <si>
    <t>Guangzhou Nansha Hongda Storage Co., Ltd.</t>
  </si>
  <si>
    <t>广州南沙弘达仓储有限公司成立于2004-05-17，法定代表人为刘威，注册资本为64743.280871万元，统一社会信用代码为914401017594469804，企业注册地址位于广州市南沙区黄阁镇小虎岛石化工区，所属行业为装卸搬运和仓储业，经营范围包含：国内货物运输代理;煤炭及制品销售;石油制品制造（不含危险化学品）;普通货物仓储服务（不含危险化学品等需许可审批的项目）;成品油仓储（不含危险化学品）;润滑油销售;石油制品销售（不含危险化学品）;成品油批发（不含危险化学品）;化工产品销售（不含许可类化工产品）;新兴能源技术研发;非居住房地产租赁;成品油批发（限危险化学品）;危险化学品经营;成品油仓储（限危险化学品）;危险化学品仓储;出口监管仓库经营;保税仓库经营;海关监管货物仓储服务（不含危险化学品）;货物进出口;燃气经营。企业当前经营状态为存续。</t>
  </si>
  <si>
    <t>国内货物运输代理;煤炭及制品销售;石油制品制造（不含危险化学品）;普通货物仓储服务（不含危险化学品等需许可审批的项目）;成品油仓储（不含危险化学品）;润滑油销售;石油制品销售（不含危险化学品）;成品油批发（不含危险化学品）;化工产品销售（不含许可类化工产品）;新兴能源技术研发;非居住房地产租赁;成品油批发（限危险化学品）;危险化学品经营;成品油仓储（限危险化学品）;危险化学品仓储;出口监管仓库经营;保税仓库经营;海关监管货物仓储服务（不含危险化学品）;货物进出口;燃气经营</t>
  </si>
  <si>
    <t>广州市海诚国际货运代理有限公司</t>
  </si>
  <si>
    <t>91440115569790254D</t>
  </si>
  <si>
    <t>广州市海诚货运代理有限公司</t>
  </si>
  <si>
    <t>曾令教</t>
  </si>
  <si>
    <t>2011-03-18</t>
  </si>
  <si>
    <t>广州市南沙区南沙街天后路21号15栋2层204室</t>
  </si>
  <si>
    <t>020-84528598</t>
  </si>
  <si>
    <t>020-84529598;020-39059916;13580490243;13600034350;13682214868;13924113376;020-34661626;13751855344;13922261789</t>
  </si>
  <si>
    <t>hcgjmyd@126.com</t>
  </si>
  <si>
    <t>luolq@gzxcwl.com;675993027@qq.com;fengjl@gzxcwl.com;yangx@gzcwl.com;yangx@gzxcwl.com</t>
  </si>
  <si>
    <t>440110000011093</t>
  </si>
  <si>
    <t>56979025-4</t>
  </si>
  <si>
    <t>461</t>
  </si>
  <si>
    <t>2011-03-18 至 无固定期限</t>
  </si>
  <si>
    <t>Guangzhou Haicheng International Freight Forwarding Co., Ltd.</t>
  </si>
  <si>
    <t>广州市海诚国际货运代理有限公司成立于2011-03-18，法定代表人为曾令教，注册资本为3000万元，统一社会信用代码为91440115569790254D，企业注册地址位于广州市南沙区南沙街天后路21号15栋2层204室，所属行业为多式联运和运输代理业，经营范围包含：国际货运代理;货物检验代理服务;货物运输代理;商品信息咨询服务;投资咨询服务;其他仓储业（不含原油、成品油仓储、燃气仓储、危险品仓储）;货物报关代理服务;打包、装卸、运输全套服务代理;无船承运;道路货物运输。企业当前经营状态为存续。</t>
  </si>
  <si>
    <t>国际货运代理;货物检验代理服务;货物运输代理;商品信息咨询服务;投资咨询服务;其他仓储业（不含原油、成品油仓储、燃气仓储、危险品仓储）;货物报关代理服务;打包、装卸、运输全套服务代理;无船承运;道路货物运输</t>
  </si>
  <si>
    <t>广州翔帆物流有限公司</t>
  </si>
  <si>
    <t>91440101MA59JYLT1F</t>
  </si>
  <si>
    <t>梁大铿</t>
  </si>
  <si>
    <t>广州市南沙区龙穴大道中125号之四4栋507室（仅限办公）</t>
  </si>
  <si>
    <t>13928873464</t>
  </si>
  <si>
    <t>18927555930</t>
  </si>
  <si>
    <t>190713884@qq.com</t>
  </si>
  <si>
    <t>3170835092@qq.com</t>
  </si>
  <si>
    <t>440110000273509</t>
  </si>
  <si>
    <t>MA59JYLT-1</t>
  </si>
  <si>
    <t>Guangzhou Xiangfan Logistics Co., Ltd.</t>
  </si>
  <si>
    <t>广州翔帆物流有限公司成立于2017-03-03，法定代表人为梁大铿，注册资本为500万元，统一社会信用代码为91440101MA59JYLT1F，企业注册地址位于广州市南沙区龙穴大道中125号之四4栋507室（仅限办公），所属行业为道路运输业，经营范围包含：道路货物运输;道路货物运输代理;物流代理服务;仓储咨询服务;仓储代理服务;其他仓储业（不含原油、成品油仓储、燃气仓储、危险品仓储）;货物进出口（专营专控商品除外）;货物检验代理服务;货物报关代理服务;技术进出口;打包、装卸、运输全套服务代理;水上货物运输代理;国际货运代理。企业当前经营状态为存续。</t>
  </si>
  <si>
    <t>道路货物运输;道路货物运输代理;物流代理服务;仓储咨询服务;仓储代理服务;其他仓储业（不含原油、成品油仓储、燃气仓储、危险品仓储）;货物进出口（专营专控商品除外）;货物检验代理服务;货物报关代理服务;技术进出口;打包、装卸、运输全套服务代理;水上货物运输代理;国际货运代理</t>
  </si>
  <si>
    <t>广州小虎石化码头有限公司</t>
  </si>
  <si>
    <t>914401157619349085</t>
  </si>
  <si>
    <t>邓顺盛</t>
  </si>
  <si>
    <t>15750万元</t>
  </si>
  <si>
    <t>2004-05-25</t>
  </si>
  <si>
    <t>广州南沙区小虎南二路38号</t>
  </si>
  <si>
    <t>020-34688690</t>
  </si>
  <si>
    <t>020-34688689</t>
  </si>
  <si>
    <t>zhangbei@xiaohuterminal.com</t>
  </si>
  <si>
    <t>440101400038270</t>
  </si>
  <si>
    <t>76193490-8</t>
  </si>
  <si>
    <t>84</t>
  </si>
  <si>
    <t>2004-05-25 至 无固定期限</t>
  </si>
  <si>
    <t>Guangzhou Xiaohu Petrochemical Terminal Co., Ltd.</t>
  </si>
  <si>
    <t>广州小虎石化码头有限公司成立于2004-05-25，法定代表人为邓顺盛，注册资本为15750万元，统一社会信用代码为914401157619349085，企业注册地址位于广州南沙区小虎南二路38号，所属行业为水上运输业，经营范围包含：港口及航运设施工程建筑;为船舶提供码头、过驳锚地、浮筒等设施;提供港口货物装卸（含过驳）、仓储、港内驳运、集装箱装卸、堆存、及装拆箱等简单加工处理服务;港口危险货物作业;收集、贮存、处理（港口、船舶）含油废水。企业当前经营状态为存续。</t>
  </si>
  <si>
    <t>港口及航运设施工程建筑;为船舶提供码头、过驳锚地、浮筒等设施;提供港口货物装卸（含过驳）、仓储、港内驳运、集装箱装卸、堆存、及装拆箱等简单加工处理服务;港口危险货物作业;收集、贮存、处理（港口、船舶）含油废水</t>
  </si>
  <si>
    <t>海程邦达国际物流有限公司</t>
  </si>
  <si>
    <t>91370200614325643Q</t>
  </si>
  <si>
    <t>海程邦达国际货运代理有限公司</t>
  </si>
  <si>
    <t>唐海</t>
  </si>
  <si>
    <t>1996-05-14</t>
  </si>
  <si>
    <t>青岛市市南区香港中路18号福泰广场18楼</t>
  </si>
  <si>
    <t>市南区</t>
  </si>
  <si>
    <t>0532-85771532</t>
  </si>
  <si>
    <t>0532-80978888;021-36398662;020-87313661</t>
  </si>
  <si>
    <t>ruru.li@bondex.com.cn</t>
  </si>
  <si>
    <t>yekki@bondex.com.cn;sophyzhang@bondex.com.cn;clemency@bondex.com.cn;wdl@bondex.com.cn;wangxiaofusoufun@163.com</t>
  </si>
  <si>
    <t>370200400045466</t>
  </si>
  <si>
    <t>61432564-3</t>
  </si>
  <si>
    <t>282</t>
  </si>
  <si>
    <t>1996-05-14 至 2032-05-14</t>
  </si>
  <si>
    <t>Haicheng Bangda International Logistics Co., Ltd.</t>
  </si>
  <si>
    <t>https://www.bondex.com.cn</t>
  </si>
  <si>
    <t>海程邦达国际物流有限公司成立于1993年，是FIATA和IATA国际运输协会会员，于1999年通过ISO9001质量体系认证，与全球200余家代理公司保持着长期友好的合作关系。海程邦达现已发展为年营业额近30亿人民币、拥有各类人才3000余人、网络遍及全国70余个港口和内陆城市的综合物流服务商。      海程邦达秉承不断创新、持续发展的经营理念，在海运、空运、通关服务、展览运输、项目与工程物流、保税物流、仓储管理、电商物流、国际铁路联运、物流配送、资金流服务、关务一站式平台-捷报网及供应链管理等领域异军突起。为了给客户提供更加专业和精细化的服务，海程邦达建立了先进的物流信息协作平台，实现了物流供应链各环节的无缝对接。海程邦达在市场的竞争中准确定位，锐意进取，成就卓著，以其完善的服务体系、多元化的服务产品、创新的服务理念，为客户提供并实现全程供应链解决方案的设计和实施，全力推动客户走向成功。公司资质及荣誉：•       中国国际物流百强企业 •       中国最佳货代企业综合服务十佳企业 •       中国百优报关企业 •       FIATA、IATA国际运输协会成员 •       中国交通部、美国FMC注册的无船承运人(NVOCC） •       中国民用航空运输销售代理资格认可证书（空运一代） •       ISO9001:2008质量管理体系认证 •       首批中国货代物流企业最高信用等级“AAA级”信用企业 •       中国进出口商品交易会（广交会）指定物流服务商 •       2008北京奥运会帆船赛赛事物流服务商 •       沃尔沃环球帆船赛赛事物流服务商 •       中国2010年上海世博会指定物流服务商 •       2014年青岛世界园艺博览会物流服务独家供应商 •       1995年参加由青岛教育委员会举办的“结对资助行动”，资助特困大学生 •       2003年成为青岛慈善总会的创始会员，积极参与社会公益活动，救助特困家庭 •       2007年成立海程邦达慈善基金会，捐助患病儿童，资助贫困大学生 •       2008年为四川汶川地震的受灾同胞募捐逾百万元的善款和救灾物资，捐建四川        德阳黄许学校 •       2009年荣获“青岛慈善奖——最具爱心慈善捐赠企业”称号</t>
  </si>
  <si>
    <t>一般项目：海上国际货物运输代理；陆路国际货物运输代理；国际货物运输代理；国内货物运输代理；国内集装箱货物运输代理；无船承运业务；国际船舶代理；报关业务；报检业务；普通货物仓储服务（不含危险化学品等需许可审批的项目）；低温仓储（不含危险化学品等需许可审批的项目）；供应链管理服务；纸制品销售；木制容器销售；金属包装容器及材料销售；包装材料及制品销售；包装服务。（除依法须经批准的项目外，凭营业执照依法自主开展经营活动）许可项目：第二类增值电信业务；道路货物运输（不含危险货物）；国际道路货物运输。（依法须经批准的项目，经相关部门批准后方可开展经营活动，具体经营项目以相关部门批准文件或许可证件为准）</t>
  </si>
  <si>
    <t>惠州市杰创生物能源科技有限公司</t>
  </si>
  <si>
    <t>91441322314980937L</t>
  </si>
  <si>
    <t>赵文明</t>
  </si>
  <si>
    <t>2014-09-03</t>
  </si>
  <si>
    <t>博罗县龙华镇仕塘村仕塘小组</t>
  </si>
  <si>
    <t>博罗县</t>
  </si>
  <si>
    <t>13392043838</t>
  </si>
  <si>
    <t>13580867923;13415854888;0752-6868558</t>
  </si>
  <si>
    <t>13580867923@qq.com</t>
  </si>
  <si>
    <t>441322000100829</t>
  </si>
  <si>
    <t>31498093-7</t>
  </si>
  <si>
    <t>67</t>
  </si>
  <si>
    <t>2014-09-03 至 无固定期限</t>
  </si>
  <si>
    <t>Huizhou EXCELLENT and INNOVATION Bioenergy Technology Co., Ltd.</t>
  </si>
  <si>
    <t>jiechuangbe.com</t>
  </si>
  <si>
    <t>惠州市杰创生物能源科技有限公司座落在惠州市博罗县龙华镇仕塘村, .位于风景秀丽的国家五A级罗浮山风景区附近。公司成立于2014年9月，占地面积30000平方米，建筑面积8333平方米，注册资金6000万元人民币。是一家集新能源、替代能源、生物柴油产品研发、生产、销售于一体的技术企业。公司采用先进的工艺技术和现代化的生产设备，利用净化动、植物混合油脂提炼、加工生产绿色环保能源一-生物柴油、 工业油脂、甘油等化工产品，年产生物柴油100000吨、甘油20000吨、植物沥青10000吨。公司秉承着“规范、诚信、进取”的理念，立志于将公司建设成全国性的标杆生物能源企业。</t>
  </si>
  <si>
    <t>一般项目：专用化学产品制造（不含危险化学品）；工业用动物油脂化学品制造；再生资源回收（除生产性废旧金属）；非食用植物油加工；非食用植物油销售；生物质燃料加工；生物质液体燃料生产工艺研发；普通货物仓储服务（不含危险化学品等需许可审批的项目）；小微型客车租赁经营服务；电子过磅服务；食品进出口；非居住房地产租赁；货物进出口；技术进出口。（除依法须经批准的项目外，凭营业执照依法自主开展经营活动）</t>
  </si>
  <si>
    <t>博罗县市场监督管理局</t>
  </si>
  <si>
    <t>连云港腾邦国际货运代理有限公司</t>
  </si>
  <si>
    <t>91320703660076107W</t>
  </si>
  <si>
    <t>黄碧玉</t>
  </si>
  <si>
    <t>2007-03-29</t>
  </si>
  <si>
    <t>连云港市连云区院前路180号楼1-2401</t>
  </si>
  <si>
    <t>连云区</t>
  </si>
  <si>
    <t>0518-81198666</t>
  </si>
  <si>
    <t>13705135711</t>
  </si>
  <si>
    <t>hong-5337@163.com</t>
  </si>
  <si>
    <t>1193634389@qq.com</t>
  </si>
  <si>
    <t>320700000063676</t>
  </si>
  <si>
    <t>66007610-7</t>
  </si>
  <si>
    <t>2007-03-29 至 2027-03-28</t>
  </si>
  <si>
    <t>LYG Tengbang International Freight &amp;FORWARDING Co., Ltd.</t>
  </si>
  <si>
    <t>连云港市连云区院前路180号B1楼2401室</t>
  </si>
  <si>
    <t>连云港腾邦国际货运代理有限公司成立于2007-03-29，法定代表人为黄碧玉，注册资本为1000万元，统一社会信用代码为91320703660076107W，企业注册地址位于连云港市连云区院前路180号楼1-2401，所属行业为多式联运和运输代理业，经营范围包含：一般经营项目：承办海运、陆运、空运及快递进出口货物的国际运输代理业务，包括：揽货、托运、订舱、仓储、中转、集装箱拼装拆箱、结算运杂费、报关、报验、保险、相关的短途运输服务及运输咨询业务；国际物流信息咨询服务；国内货物运输代理；国内船舶代理；焦炭、矿产品、钢材、木材、机械配件、农副产品的销售；自营和代理各类商品和技术的进出口业务，但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一般项目：无船承运业务（除依法须经批准的项目外，凭营业执照依法自主开展经营活动）。企业当前经营状态为存续。</t>
  </si>
  <si>
    <t>一般经营项目：承办海运、陆运、空运及快递进出口货物的国际运输代理业务，包括：揽货、托运、订舱、仓储、中转、集装箱拼装拆箱、结算运杂费、报关、报验、保险、相关的短途运输服务及运输咨询业务；国际物流信息咨询服务；国内货物运输代理；国内船舶代理；焦炭、矿产品、钢材、木材、机械配件、农副产品的销售；自营和代理各类商品和技术的进出口业务，但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一般项目：无船承运业务（除依法须经批准的项目外，凭营业执照依法自主开展经营活动）</t>
  </si>
  <si>
    <t>连云区市场监督管理局</t>
  </si>
  <si>
    <t>南京润桥货运代理有限公司</t>
  </si>
  <si>
    <t>91320105053294532P</t>
  </si>
  <si>
    <t>袁林志</t>
  </si>
  <si>
    <t>2012-11-05</t>
  </si>
  <si>
    <t>南京市建邺区奥体大街128号306室（CBD）</t>
  </si>
  <si>
    <t>建邺区</t>
  </si>
  <si>
    <t>025-87781855</t>
  </si>
  <si>
    <t>025-85805077</t>
  </si>
  <si>
    <t>yuanlinzhi@sina.com</t>
  </si>
  <si>
    <t>320105000160827</t>
  </si>
  <si>
    <t>05329453-2</t>
  </si>
  <si>
    <t>2012-11-05 至 无固定期限</t>
  </si>
  <si>
    <t>Nanjing Runqiao Freight Forwarding Co., Ltd.</t>
  </si>
  <si>
    <t>www.rayjoyscm.com</t>
  </si>
  <si>
    <t>奥体大街128号宋都奥体名座G座306室</t>
  </si>
  <si>
    <t>南京润桥货运代理有限公司成立于2012-11-05，法定代表人为袁林志，注册资本为500万元，统一社会信用代码为91320105053294532P，企业注册地址位于南京市建邺区奥体大街128号306室（CBD），所属行业为多式联运和运输代理业，经营范围包含：货运代理（代办）、承办海运、陆运、空运进出口货物的国际运输代理业务（包括：揽货、订舱、中转、集装箱、拼装拆箱、报关、报检、短途运输咨询服务）。（依法须经批准的项目，经相关部门批准后方可开展经营活动）
一般项目：无船承运业务（除依法须经批准的项目外，凭营业执照依法自主开展经营活动）。企业当前经营状态为在业。</t>
  </si>
  <si>
    <t>货运代理（代办）、承办海运、陆运、空运进出口货物的国际运输代理业务（包括：揽货、订舱、中转、集装箱、拼装拆箱、报关、报检、短途运输咨询服务）。（依法须经批准的项目，经相关部门批准后方可开展经营活动）
一般项目：无船承运业务（除依法须经批准的项目外，凭营业执照依法自主开展经营活动）</t>
  </si>
  <si>
    <t>南京市建邺区市场监督管理局</t>
  </si>
  <si>
    <t>青岛诚锐货运代理有限公司</t>
  </si>
  <si>
    <t>91370200783709699U</t>
  </si>
  <si>
    <t>王秀云</t>
  </si>
  <si>
    <t>2006-01-19</t>
  </si>
  <si>
    <t>山东省青岛市市南区瞿塘峡路63号102户</t>
  </si>
  <si>
    <t>0532-86886728</t>
  </si>
  <si>
    <t>xuhui8329@126.com</t>
  </si>
  <si>
    <t>sunny@reachingfreight.com</t>
  </si>
  <si>
    <t>370200228072795</t>
  </si>
  <si>
    <t>78370969-9</t>
  </si>
  <si>
    <t>2006-01-19 至 无固定期限</t>
  </si>
  <si>
    <t>Qingdao Chengrui Freight Forwarding Co., Ltd.</t>
  </si>
  <si>
    <t>青岛诚锐货运代理有限公司成立于2006-01-19，法定代表人为王秀云，注册资本为600万元，统一社会信用代码为91370200783709699U，企业注册地址位于山东省青岛市市南区瞿塘峡路63号102户，所属行业为多式联运和运输代理业，经营范围包含：一般项目：国际货物运输代理；报关业务；报检业务；无船承运业务；普通货物仓储服务（不含危险化学品等需许可审批的项目）；包装服务；装卸搬运；货物进出口；认证咨询；咨询策划服务；信息咨询服务（不含许可类信息咨询服务）；社会经济咨询服务；国内货物运输代理；国内贸易代理；国内集装箱货物运输代理；运输货物打包服务；智能仓储装备销售。（除依法须经批准的项目外，凭营业执照依法自主开展经营活动）。企业当前经营状态为在业。</t>
  </si>
  <si>
    <t>一般项目：国际货物运输代理；报关业务；报检业务；无船承运业务；普通货物仓储服务（不含危险化学品等需许可审批的项目）；包装服务；装卸搬运；货物进出口；认证咨询；咨询策划服务；信息咨询服务（不含许可类信息咨询服务）；社会经济咨询服务；国内货物运输代理；国内贸易代理；国内集装箱货物运输代理；运输货物打包服务；智能仓储装备销售。（除依法须经批准的项目外，凭营业执照依法自主开展经营活动）</t>
  </si>
  <si>
    <t>青岛市市南区市场监督管理局</t>
  </si>
  <si>
    <t>青岛汇胜供应链服务有限公司</t>
  </si>
  <si>
    <t>91370211MA3WPXLU7H</t>
  </si>
  <si>
    <t>徐惠</t>
  </si>
  <si>
    <t>281.52万元</t>
  </si>
  <si>
    <t>2021-04-26</t>
  </si>
  <si>
    <t>山东省青岛市黄岛区阿里山路11号东方梅地亚酒店501室</t>
  </si>
  <si>
    <t>13335058127</t>
  </si>
  <si>
    <t>19862823663</t>
  </si>
  <si>
    <t>271325528@qq.com</t>
  </si>
  <si>
    <t>MA3WPXLU-7</t>
  </si>
  <si>
    <t>2021-04-26 至 无固定期限</t>
  </si>
  <si>
    <t>Qingdao Huisheng Supply Chain Service Co., Ltd.</t>
  </si>
  <si>
    <t>青岛汇胜供应链服务有限公司成立于2021-04-26，法定代表人为徐惠，注册资本为500万元，统一社会信用代码为91370211MA3WPXLU7H，企业注册地址位于山东省青岛市黄岛区阿里山路11号东方梅地亚酒店501室，所属行业为商务服务业，经营范围包含：一般项目：供应链管理服务；报检业务；普通货物仓储服务（不含危险化学品等需许可审批的项目）；包装服务；装卸搬运；国内贸易代理；计算机软硬件及辅助设备零售；社会经济咨询服务；通讯设备销售；日用百货销售；化妆品零售；化妆品批发；厨具卫具及日用杂品批发；家居用品销售；针纺织品销售；文具用品批发；文具用品零售；五金产品零售；五金产品批发；机械设备销售；橡胶制品销售；塑料制品销售；包装材料及制品销售；工艺美术品及收藏品零售（象牙及其制品除外）；皮革制品销售；特种劳动防护用品销售；初级农产品收购。（除依法须经批准的项目外，凭营业执照依法自主开展经营活动）许可项目：报关业务；进出口代理；货物进出口；技术进出口。（依法须经批准的项目，经相关部门批准后方可开展经营活动，具体经营项目以相关部门批准文件或许可证件为准）。企业当前经营状态为在业。</t>
  </si>
  <si>
    <t>一般项目：供应链管理服务；报检业务；普通货物仓储服务（不含危险化学品等需许可审批的项目）；包装服务；装卸搬运；国内贸易代理；计算机软硬件及辅助设备零售；社会经济咨询服务；通讯设备销售；日用百货销售；化妆品零售；化妆品批发；厨具卫具及日用杂品批发；家居用品销售；针纺织品销售；文具用品批发；文具用品零售；五金产品零售；五金产品批发；机械设备销售；橡胶制品销售；塑料制品销售；包装材料及制品销售；工艺美术品及收藏品零售（象牙及其制品除外）；皮革制品销售；特种劳动防护用品销售；初级农产品收购。（除依法须经批准的项目外，凭营业执照依法自主开展经营活动）许可项目：报关业务；进出口代理；货物进出口；技术进出口。（依法须经批准的项目，经相关部门批准后方可开展经营活动，具体经营项目以相关部门批准文件或许可证件为准）</t>
  </si>
  <si>
    <t>青岛乾迅国际货运代理有限公司</t>
  </si>
  <si>
    <t>91370200780359689L</t>
  </si>
  <si>
    <t>崔健</t>
  </si>
  <si>
    <t>780万元</t>
  </si>
  <si>
    <t>青岛市市南区东海西路19号C栋三单元702户</t>
  </si>
  <si>
    <t>13626397816</t>
  </si>
  <si>
    <t>0532-81977505</t>
  </si>
  <si>
    <t>13626397816@163.com</t>
  </si>
  <si>
    <t>15820035853@163.com;81977505@163.com;17911021258@qq.com</t>
  </si>
  <si>
    <t>370200228071497</t>
  </si>
  <si>
    <t>78035968-9</t>
  </si>
  <si>
    <t>2005-10-12 至 无固定期限</t>
  </si>
  <si>
    <t>Qingdao Qianxun International Logistics Co., Ltd.</t>
  </si>
  <si>
    <t>青岛乾迅国际货运代理有限公司成立于2005-10-12，法定代表人为崔健，注册资本为780万元，统一社会信用代码为91370200780359689L，企业注册地址位于青岛市市南区东海西路19号C栋三单元702户，所属行业为多式联运和运输代理业，经营范围包含：国际货运代理；仓储服务；装卸服务；货物及技术进出口（依法须经批准的项目，经相关部门批准后方可开展经营活动）。企业当前经营状态为在业。</t>
  </si>
  <si>
    <t>国际货运代理；仓储服务；装卸服务；货物及技术进出口（依法须经批准的项目，经相关部门批准后方可开展经营活动）</t>
  </si>
  <si>
    <t>张家港保税区浩阳报关有限公司</t>
  </si>
  <si>
    <t>913205920879291374</t>
  </si>
  <si>
    <t>杨波</t>
  </si>
  <si>
    <t>2014-03-07</t>
  </si>
  <si>
    <t>张家港保税区纺织原料市场216-761室</t>
  </si>
  <si>
    <t>18915686716</t>
  </si>
  <si>
    <t>0512-58674236</t>
  </si>
  <si>
    <t>631065802@qq.com</t>
  </si>
  <si>
    <t>1942502774@qq.com</t>
  </si>
  <si>
    <t>320592000077307</t>
  </si>
  <si>
    <t>08792913-7</t>
  </si>
  <si>
    <t>2014-03-07 至 无固定期限</t>
  </si>
  <si>
    <t>Zhangjiagang Bonded Zone Haoyang Customs Declaration Co., Ltd.</t>
  </si>
  <si>
    <t>张家港金港镇滨江大厦B座2402室</t>
  </si>
  <si>
    <t>张家港保税区浩阳报关有限公司成立于2014-03-07，法定代表人为杨波，注册资本为500万元，统一社会信用代码为913205920879291374，企业注册地址位于张家港保税区纺织原料市场216-761室，所属行业为商务服务业，经营范围包含：国际货运代理，代理报关报检业务（经海关批准后方可经营报关业务），与报关报检业务相关的咨询服务，普通货物仓储。国际船舶代理，装卸、搬运服务，汽车及零部件、金属材料及制品、矿产品、化工原料及产品（危险品除外）、机械设备、机电设备、计算机及配件、木材、装饰材料、包装材料、建材、五金交电、电子产品、针纺织品、日用品、工艺品、煤炭（无储存）的批发（含网上销售），企业形象设计，企业文化艺术交流组织策划，展览展示服务，广告设计、制作、发布，商品信息咨询，物流信息咨询，企业管理咨询，自营和代理各类商品及技术的进出口业务（国家限定公司经营或禁止进出口的商品及技术除外）。（依法须经批准的项目，经相关部门批准后方可开展经营活动）。企业当前经营状态为存续。</t>
  </si>
  <si>
    <t>国际货运代理，代理报关报检业务（经海关批准后方可经营报关业务），与报关报检业务相关的咨询服务，普通货物仓储。国际船舶代理，装卸、搬运服务，汽车及零部件、金属材料及制品、矿产品、化工原料及产品（危险品除外）、机械设备、机电设备、计算机及配件、木材、装饰材料、包装材料、建材、五金交电、电子产品、针纺织品、日用品、工艺品、煤炭（无储存）的批发（含网上销售），企业形象设计，企业文化艺术交流组织策划，展览展示服务，广告设计、制作、发布，商品信息咨询，物流信息咨询，企业管理咨询，自营和代理各类商品及技术的进出口业务（国家限定公司经营或禁止进出口的商品及技术除外）。（依法须经批准的项目，经相关部门批准后方可开展经营活动）</t>
  </si>
  <si>
    <t>荣成市石岛新港报关有限公司</t>
  </si>
  <si>
    <t>913710827823324474</t>
  </si>
  <si>
    <t>闫玉朋</t>
  </si>
  <si>
    <t>2005-11-18</t>
  </si>
  <si>
    <t>荣成市石岛海港路19号</t>
  </si>
  <si>
    <t>荣成市</t>
  </si>
  <si>
    <t>0631-7286616</t>
  </si>
  <si>
    <t>0631-7286636</t>
  </si>
  <si>
    <t>2457231908@qq.com</t>
  </si>
  <si>
    <t>2457131908@qq.com;zy790409@hotmail.com</t>
  </si>
  <si>
    <t>371082018020371</t>
  </si>
  <si>
    <t>78233244-7</t>
  </si>
  <si>
    <t>2005-11-18 至 无固定期限</t>
  </si>
  <si>
    <t>Rongcheng City Shidao New Port Customs Broker Co., Ltd.</t>
  </si>
  <si>
    <t>荣成市石岛新港报关有限公司成立于2005-11-18，法定代表人为闫玉朋，注册资本为500万元，统一社会信用代码为913710827823324474，企业注册地址位于荣成市石岛海港路19号，所属行业为商务服务业，经营范围包含：代理委托人办理进出口货物的报关、纳税；代办通关手续；提供通关业务咨询；提供电脑录入制单服务；代办进出口货物的报验、报检业务；国际货运代理、监管仓储、监管运输代理；经营进出口业务；进出国内港口货物运输的无船承运业务（依法须经批准的项目，经相关部门批准后方可开展经营活动）。企业当前经营状态为在业。</t>
  </si>
  <si>
    <t>代理委托人办理进出口货物的报关、纳税；代办通关手续；提供通关业务咨询；提供电脑录入制单服务；代办进出口货物的报验、报检业务；国际货运代理、监管仓储、监管运输代理；经营进出口业务；进出国内港口货物运输的无船承运业务（依法须经批准的项目，经相关部门批准后方可开展经营活动）。</t>
  </si>
  <si>
    <t>荣成市市场监督管理局</t>
  </si>
  <si>
    <t>上海成泽企业发展有限公司</t>
  </si>
  <si>
    <t>91310114MA1GXC3M5A</t>
  </si>
  <si>
    <t>浦毅</t>
  </si>
  <si>
    <t>2020-10-09</t>
  </si>
  <si>
    <t>上海市嘉定区沪宜公路5888号7幢6层611室</t>
  </si>
  <si>
    <t>021-56411355</t>
  </si>
  <si>
    <t>czqy_puyi@163.com</t>
  </si>
  <si>
    <t>310114003961634</t>
  </si>
  <si>
    <t>MA1GXC3M-5</t>
  </si>
  <si>
    <t>2020-10-09 至 2040-10-08</t>
  </si>
  <si>
    <t>Shanghai ChengZe Enterprise Development Co., Ltd.</t>
  </si>
  <si>
    <t>上海成泽企业发展有限公司成立于2020-10-09，法定代表人为浦毅，注册资本为500万元，统一社会信用代码为91310114MA1GXC3M5A，企业注册地址位于上海市嘉定区沪宜公路5888号7幢6层611室，所属行业为商务服务业，经营范围包含：许可项目：货物进出口；技术进出口；进出口代理；报关业务；食品经营（依法须经批准的项目，经相关部门批准后方可开展经营活动，具体经营项目以相关部门批准文件或许可证件为准）一般项目：企业管理；供应链管理服务；国际货物运输代理；技术服务、技术开发、技术咨询、技术交流、技术转让、技术推广；日用百货销售；食用农产品批发（除依法须经批准的项目外，凭营业执照依法自主开展经营活动）。企业当前经营状态为存续。</t>
  </si>
  <si>
    <t>许可项目：货物进出口；技术进出口；进出口代理；报关业务；食品经营（依法须经批准的项目，经相关部门批准后方可开展经营活动，具体经营项目以相关部门批准文件或许可证件为准）一般项目：企业管理；供应链管理服务；国际货物运输代理；技术服务、技术开发、技术咨询、技术交流、技术转让、技术推广；日用百货销售；食用农产品批发（除依法须经批准的项目外，凭营业执照依法自主开展经营活动）。</t>
  </si>
  <si>
    <t>嘉定区市场监督管理局</t>
  </si>
  <si>
    <t>上海存远国际物流有限公司</t>
  </si>
  <si>
    <t>913101096762645321</t>
  </si>
  <si>
    <t>上海存远物流有限公司</t>
  </si>
  <si>
    <t>杨东亚</t>
  </si>
  <si>
    <t>2008-06-18</t>
  </si>
  <si>
    <t>上海市虹口区公平路369号1幢4023室</t>
  </si>
  <si>
    <t>13817221322</t>
  </si>
  <si>
    <t>021-51612981;021-51821057;021-51821231;021-51821221;021-51821223</t>
  </si>
  <si>
    <t>1795581841@qq.com</t>
  </si>
  <si>
    <t>421716205@qq.com;bruce-wong@beingfar.com;bruce_wong@beingfar.com</t>
  </si>
  <si>
    <t>310109000484120</t>
  </si>
  <si>
    <t>67626453-2</t>
  </si>
  <si>
    <t>2008-06-18 至 2028-06-17</t>
  </si>
  <si>
    <t>Shanghai Cunyuan International Logistics Co., Ltd.</t>
  </si>
  <si>
    <t>公平路761号4B</t>
  </si>
  <si>
    <t>上海存远国际物流有限公司成立于2008-06-18，法定代表人为杨东亚，注册资本为500万元，统一社会信用代码为913101096762645321，企业注册地址位于上海市虹口区公平路369号1幢4023室，所属行业为多式联运和运输代理业，经营范围包含：海上、航空、陆路国际货物运输代理业务，代理出入境检验检疫报检，道路搬运装卸，道路货物运输代理，商务咨询，货物仓储（除危险化学品），报关。【依法须经批准的项目，经相关部门批准后方可开展经营活动】。企业当前经营状态为存续。</t>
  </si>
  <si>
    <t>海上、航空、陆路国际货物运输代理业务，代理出入境检验检疫报检，道路搬运装卸，道路货物运输代理，商务咨询，货物仓储（除危险化学品），报关。【依法须经批准的项目，经相关部门批准后方可开展经营活动】</t>
  </si>
  <si>
    <t>上海良友新港储运有限公司</t>
  </si>
  <si>
    <t>91310115760575448F</t>
  </si>
  <si>
    <t>古明新</t>
  </si>
  <si>
    <t>2004-03-23</t>
  </si>
  <si>
    <t>上海市浦东新区人民塘路659号</t>
  </si>
  <si>
    <t>021-68722222</t>
  </si>
  <si>
    <t>xg_xz@shliangyou.com</t>
  </si>
  <si>
    <t>cl@shlyxg.com</t>
  </si>
  <si>
    <t>310115000824166</t>
  </si>
  <si>
    <t>76057544-8</t>
  </si>
  <si>
    <t>179</t>
  </si>
  <si>
    <t>2004-03-23 至 无固定期限</t>
  </si>
  <si>
    <t>Shanghai Liangyou New Port Storage &amp; Transport Co., Ltd.</t>
  </si>
  <si>
    <t>上海市东靖路5755号</t>
  </si>
  <si>
    <t>上海良友新港储运有限公司成立于2004-03-23，法定代表人为古明新，注册资本为3000万元，统一社会信用代码为91310115760575448F，企业注册地址位于上海市浦东新区人民塘路659号，所属行业为批发业，经营范围包含：一般项目：粮油装具、检化仪器的收购、销售、加工，仓储（除危险品），装卸服务，储运设备安装调试，物业管理，建筑材料销售，粮油专业领域内的技术开发、技术转让、技术咨询、技术培训，食用农产品的销售，食用农产品初加工，国内货物运输代理。（除依法须经批准的项目外，凭营业执照依法自主开展经营活动）。企业当前经营状态为存续。</t>
  </si>
  <si>
    <t>一般项目：粮油装具、检化仪器的收购、销售、加工，仓储（除危险品），装卸服务，储运设备安装调试，物业管理，建筑材料销售，粮油专业领域内的技术开发、技术转让、技术咨询、技术培训，食用农产品的销售，食用农产品初加工，国内货物运输代理。（除依法须经批准的项目外，凭营业执照依法自主开展经营活动）</t>
  </si>
  <si>
    <t>上海亚捷报关有限公司</t>
  </si>
  <si>
    <t>91310109570811964K</t>
  </si>
  <si>
    <t>余毅锋</t>
  </si>
  <si>
    <t>2011-03-24</t>
  </si>
  <si>
    <t>上海市虹口区东大名路1191号17136室</t>
  </si>
  <si>
    <t>021-35329202</t>
  </si>
  <si>
    <t>13512145354;13817685232</t>
  </si>
  <si>
    <t>450743972@qq.com</t>
  </si>
  <si>
    <t>yuyifeng0912@hotmail.com</t>
  </si>
  <si>
    <t>310109000551901</t>
  </si>
  <si>
    <t>57081196-4</t>
  </si>
  <si>
    <t>2011-03-24 至 2031-03-23</t>
  </si>
  <si>
    <t>Shanghai Yajie Customs Declaration Co., Ltd.</t>
  </si>
  <si>
    <t>平凉路199号308室</t>
  </si>
  <si>
    <t>上海亚捷报关有限公司成立于2011-03-24，法定代表人为余毅锋，注册资本为150万元，统一社会信用代码为91310109570811964K，企业注册地址位于上海市虹口区东大名路1191号17136室，所属行业为多式联运和运输代理业，经营范围包含：在上海海关关区各口岸或监管业务集中地从事报关业务。【依法须经批准的项目，经相关部门批准后方可开展经营活动】。企业当前经营状态为存续。</t>
  </si>
  <si>
    <t>在上海海关关区各口岸或监管业务集中地从事报关业务。【依法须经批准的项目，经相关部门批准后方可开展经营活动】</t>
  </si>
  <si>
    <t>虹口区市场监管局</t>
  </si>
  <si>
    <t>天津海河农业科技有限公司</t>
  </si>
  <si>
    <t>91120118MA05JTJL7J</t>
  </si>
  <si>
    <t>黄亚亮</t>
  </si>
  <si>
    <t>天津自贸试验区（天津港保税区）海滨三路48号（存在多址信息）</t>
  </si>
  <si>
    <t>022-25761678</t>
  </si>
  <si>
    <t>373272249@qq.com</t>
  </si>
  <si>
    <t>120118000139878</t>
  </si>
  <si>
    <t>MA05JTJL-7</t>
  </si>
  <si>
    <t>2016-05-18 至 无固定期限</t>
  </si>
  <si>
    <t>Tianjin Haihe Agricultural Technology Co., Ltd.</t>
  </si>
  <si>
    <t>天津海河农业科技有限公司成立于2016-05-18，法定代表人为黄亚亮，注册资本为2000万元，统一社会信用代码为91120118MA05JTJL7J，企业注册地址位于天津自贸试验区（天津港保税区）海滨三路48号（存在多址信息），所属行业为科技推广和应用服务业，经营范围包含：许可项目：货物进出口；技术进出口；食品经营（销售预包装食品）；粮食加工食品生产。（依法须经批准的项目，经相关部门批准后方可开展经营活动，具体经营项目以相关部门批准文件或许可证件为准）。一般项目：技术服务、技术开发、技术咨询、技术交流、技术转让、技术推广；农业机械销售；农副产品销售；信息咨询服务（不含许可类信息咨询服务）；广告设计、代理；会议及展览服务；食用农产品批发；畜牧渔业饲料销售；非居住房地产租赁；住房租赁；仓储设备租赁服务；粮油仓储服务；园区管理服务。（除依法须经批准的项目外，凭营业执照依法自主开展经营活动）。企业当前经营状态为存续。</t>
  </si>
  <si>
    <t>许可项目：货物进出口；技术进出口；食品经营（销售预包装食品）；粮食加工食品生产。（依法须经批准的项目，经相关部门批准后方可开展经营活动，具体经营项目以相关部门批准文件或许可证件为准）。一般项目：技术服务、技术开发、技术咨询、技术交流、技术转让、技术推广；农业机械销售；农副产品销售；信息咨询服务（不含许可类信息咨询服务）；广告设计、代理；会议及展览服务；食用农产品批发；畜牧渔业饲料销售；非居住房地产租赁；住房租赁；仓储设备租赁服务；粮油仓储服务；园区管理服务。（除依法须经批准的项目外，凭营业执照依法自主开展经营活动）。</t>
  </si>
  <si>
    <t>武汉和佰泰报关报检服务有限公司</t>
  </si>
  <si>
    <t>91420111096682172G</t>
  </si>
  <si>
    <t>陈奇峰</t>
  </si>
  <si>
    <t>620万元</t>
  </si>
  <si>
    <t>2014-04-09</t>
  </si>
  <si>
    <t>武汉市洪山区苫风咀8号泰然·南湖玫瑰湾二期A1栋6层16号</t>
  </si>
  <si>
    <t>洪山区</t>
  </si>
  <si>
    <t>13808666485</t>
  </si>
  <si>
    <t>027-89088177;18771992963</t>
  </si>
  <si>
    <t>381658035@qq.com</t>
  </si>
  <si>
    <t>13808666485@qq.com;258345044@qq.com;2174161563@qq.com;398379171@qq.com</t>
  </si>
  <si>
    <t>420111000322840</t>
  </si>
  <si>
    <t>09668217-2</t>
  </si>
  <si>
    <t>2014-04-09 至 无固定期限</t>
  </si>
  <si>
    <t>Wuhan Hebaitai Customs Service Co., Ltd.</t>
  </si>
  <si>
    <t>武汉和佰泰报关报检服务有限公司成立于2014-04-09，法定代表人为陈奇峰，注册资本为620万元，统一社会信用代码为91420111096682172G，企业注册地址位于武汉市洪山区苫风咀8号泰然·南湖玫瑰湾二期A1栋6层16号，所属行业为商务服务业，经营范围包含：一般项目：报关业务,航空国际货物运输代理,国际货物运输代理,进出口代理,进出口商品检验鉴定,货物进出口。（除许可业务外，可自主依法经营法律法规非禁止或限制的项目）。企业当前经营状态为存续。</t>
  </si>
  <si>
    <t>一般项目：报关业务,航空国际货物运输代理,国际货物运输代理,进出口代理,进出口商品检验鉴定,货物进出口。（除许可业务外，可自主依法经营法律法规非禁止或限制的项目）</t>
  </si>
  <si>
    <t>武汉市洪山区市场监督管理局</t>
  </si>
  <si>
    <t>雅得美国际货运代理（深圳）有限公司长沙分公司</t>
  </si>
  <si>
    <t>9143010059326676XL</t>
  </si>
  <si>
    <t>肖雄</t>
  </si>
  <si>
    <t>2012-03-31</t>
  </si>
  <si>
    <t>湖南省长沙市芙蓉区五里牌街道五一大道318号佳兆广场25层2501房</t>
  </si>
  <si>
    <t>13975197305</t>
  </si>
  <si>
    <t>430100500011164</t>
  </si>
  <si>
    <t>59326676-X</t>
  </si>
  <si>
    <t>2012-03-31 至 无固定期限</t>
  </si>
  <si>
    <t>Yademei International Freight Forwarding (Shenzhen) Co., Ltd. Changsha Branch</t>
  </si>
  <si>
    <t>http://www.tufmcs.com</t>
  </si>
  <si>
    <t>雅得美国际货运代理（深圳）有限公司长沙分公司成立于2012-03-31，负责人为肖雄，统一社会信用代码为9143010059326676XL，企业注册地址位于湖南省长沙市芙蓉区五里牌街道五一大道318号佳兆广场25层2501房，所属行业为多式联运和运输代理业，经营范围包含：一般项目：凭总公司授权开展经营活动（除依法须经批准的项目外，凭营业执照依法自主开展经营活动）。企业当前经营状态为存续。</t>
  </si>
  <si>
    <t>一般项目：凭总公司授权开展经营活动（除依法须经批准的项目外，凭营业执照依法自主开展经营活动）。</t>
  </si>
  <si>
    <t>长沙市市场监督管理局</t>
  </si>
  <si>
    <t>湛江祥浩国际货运代理有限公司</t>
  </si>
  <si>
    <t>91440800696427546K</t>
  </si>
  <si>
    <t>湛江市禄鑫贸易有限公司</t>
  </si>
  <si>
    <t>蔡春荣</t>
  </si>
  <si>
    <t>2009-10-28</t>
  </si>
  <si>
    <t>湛江市霞山区宝港大道6号宝满政务中心办公楼一层第12号房</t>
  </si>
  <si>
    <t>霞山区</t>
  </si>
  <si>
    <t>13336505196</t>
  </si>
  <si>
    <t>2296112941@qq.com</t>
  </si>
  <si>
    <t>440800000040592</t>
  </si>
  <si>
    <t>69642754-6</t>
  </si>
  <si>
    <t>2009-10-28 至 无固定期限</t>
  </si>
  <si>
    <t>Zhanjiang Xianghao International Freight Forwarding Co., Ltd.</t>
  </si>
  <si>
    <t>湛江祥浩国际货运代理有限公司成立于2009-10-28，法定代表人为蔡春荣，注册资本为200万元，统一社会信用代码为91440800696427546K，企业注册地址位于湛江市霞山区宝港大道6号宝满政务中心办公楼一层第12号房，所属行业为批发业，经营范围包含：陆路国际货运代理；代理进出口货物的报关、报检、拖车及订舱业务。（依法须经批准的项目，经相关部门批准后方可开展经营活动）。企业当前经营状态为在业。</t>
  </si>
  <si>
    <t>陆路国际货运代理；代理进出口货物的报关、报检、拖车及订舱业务。（依法须经批准的项目，经相关部门批准后方可开展经营活动）</t>
  </si>
  <si>
    <t>湛江市霞山区市场监督管理局</t>
  </si>
  <si>
    <t>张家港保税区昊杰通物流有限公司</t>
  </si>
  <si>
    <t>91320592MA1WH09B8E</t>
  </si>
  <si>
    <t>徐忠芳</t>
  </si>
  <si>
    <t>2018-05-08</t>
  </si>
  <si>
    <t>张家港保税区天津路1号1号楼105室</t>
  </si>
  <si>
    <t>0512-58329912</t>
  </si>
  <si>
    <t>MA1WH09B-8</t>
  </si>
  <si>
    <t>2018-05-08 至 无固定期限</t>
  </si>
  <si>
    <t>Zhangjiagang Free Trade Zone Hao Jie Tong Logistics Co., Ltd.</t>
  </si>
  <si>
    <t>张家港保税区昊杰通物流有限公司成立于2018-05-08，法定代表人为徐忠芳，注册资本为500万元，统一社会信用代码为91320592MA1WH09B8E，企业注册地址位于张家港保税区天津路1号1号楼105室，所属行业为多式联运和运输代理业，经营范围包含：货运代办，普通货物仓储，货物或技术进出口（国际禁止或涉及行政审批的货物和技术进出口除外），商务咨询服务，装卸服务。（依法须经批准的项目，经相关部门批准后方可开展经营活动）。企业当前经营状态为存续。</t>
  </si>
  <si>
    <t>货运代办，普通货物仓储，货物或技术进出口（国际禁止或涉及行政审批的货物和技术进出口除外），商务咨询服务，装卸服务。（依法须经批准的项目，经相关部门批准后方可开展经营活动）</t>
  </si>
  <si>
    <t>张家港保税区中融物流有限公司</t>
  </si>
  <si>
    <t>91320592765133390N</t>
  </si>
  <si>
    <t>周如霆</t>
  </si>
  <si>
    <t>3775万元</t>
  </si>
  <si>
    <t>2004-08-19</t>
  </si>
  <si>
    <t>张家港保税区福建路10号</t>
  </si>
  <si>
    <t>0512-58322775</t>
  </si>
  <si>
    <t>0512-5832277;0512-58321527</t>
  </si>
  <si>
    <t>61027310@qq.com</t>
  </si>
  <si>
    <t>wd01789@sina.com</t>
  </si>
  <si>
    <t>320592000018948</t>
  </si>
  <si>
    <t>76513339-0</t>
  </si>
  <si>
    <t>2004-08-19 至 无固定期限</t>
  </si>
  <si>
    <t>Zhangjiagang Free Trade ZONE Zhongrong Logistics Co., Ltd.</t>
  </si>
  <si>
    <t>张家港保税区中融物流有限公司成立于2004-08-19，法定代表人为周如霆，注册资本为3775万元，统一社会信用代码为91320592765133390N，企业注册地址位于张家港保税区福建路10号，所属行业为装卸搬运和仓储业，经营范围包含：普通货运、大型物件运输（1）、货物专用运输（集装箱）、货运代理（代办）（限按许可证所列项目经营）；自营和代理各类商品的进出口业务（国家限定公司经营或禁止进出口的商品除外）；仓储（待消防验收合格后方可经营）、中转、分拨配送；国际货运代理；化工原料及产品（危险化学品除外）、金属材料、机电设备、五金交电、橡塑制品、木材、建筑材料、装潢材料、汽车及摩托车配件、家用电器、办公用品的转口贸易，国内保税区企业间的贸易，与区外有进出口经营权的企业间的贸易，与贸易有关的代理、信息咨询服务。（依法须经批准的项目，经相关部门批准后方可开展经营活动）。企业当前经营状态为存续。</t>
  </si>
  <si>
    <t>普通货运、大型物件运输（1）、货物专用运输（集装箱）、货运代理（代办）（限按许可证所列项目经营）；自营和代理各类商品的进出口业务（国家限定公司经营或禁止进出口的商品除外）；仓储（待消防验收合格后方可经营）、中转、分拨配送；国际货运代理；化工原料及产品（危险化学品除外）、金属材料、机电设备、五金交电、橡塑制品、木材、建筑材料、装潢材料、汽车及摩托车配件、家用电器、办公用品的转口贸易，国内保税区企业间的贸易，与区外有进出口经营权的企业间的贸易，与贸易有关的代理、信息咨询服务。（依法须经批准的项目，经相关部门批准后方可开展经营活动）</t>
  </si>
  <si>
    <t>中储粮油脂工业东莞有限公司</t>
  </si>
  <si>
    <t>91441900754510541L</t>
  </si>
  <si>
    <t>东莞市中储粮粮油有限公司,
中盛粮油工业（东莞）有限公司</t>
  </si>
  <si>
    <t>张志寰</t>
  </si>
  <si>
    <t>39171.33433万元</t>
  </si>
  <si>
    <t>34800万元</t>
  </si>
  <si>
    <t>2003-09-25</t>
  </si>
  <si>
    <t>广东省东莞市麻涌镇水乡大道麻涌段106号</t>
  </si>
  <si>
    <t>0769-88236688</t>
  </si>
  <si>
    <t>chen_kai@cofco.com</t>
  </si>
  <si>
    <t>hr@zcldg.com;chenkaie@sinograin.com.cn;sinograindg@163.com;liao.dongdi@zcldg.com</t>
  </si>
  <si>
    <t>441900000184152</t>
  </si>
  <si>
    <t>75451054-1</t>
  </si>
  <si>
    <t>385</t>
  </si>
  <si>
    <t>2003-09-25 至 无固定期限</t>
  </si>
  <si>
    <t>Sinograin Oils &amp; Fats Lndustrial Dongguan Co., Ltd.</t>
  </si>
  <si>
    <t>中国储备粮管理总公司是经国务院批准，组建的中央直属大型国有企业，到2009年底，资产总额3774多亿元。目前公司规模在全国31个省、自治区、直辖市建有直属企业，设有24个分公司、4个子公司、500余个直属库。中储粮油脂工业东莞有限公司成立于2006年8月31日，占地面积300余亩，注册资本3.48亿元，总资产50亿元。公司地处东莞市麻涌镇新沙港工业园内，与广州经济开发区仅一江之隔，区位条件优越，交通网络便捷。中储粮油脂工业东莞有限公司是中国储备粮管理总公司直属骨干企业中储粮油脂有限公司的全资子公司，专业从事大豆压榨、食用植物油生产、加工、仓储及销售，同时承担华南地区中央储备油脂油料储存轮换、粮油市场稳定供应以及国家宏观调控等任务和社会责任。公司拥有国际设备设施和世界一流的加工技术，共有压榨、精炼、分提加工生产线、包装油灌装生产线10条，年油脂加工量达85万吨，年大豆加工量达100万吨。公司拥有油罐52座，总罐容31万吨，拥有全国较大的发油平台，占地面积1万平方米，年油脂中转能力达100万吨。秉承品质一流、客户满意、信誉卓越的质量方针，立足先进的技术设施，推行现代化、系统化和国际化的质量管理机制，公司致力于为消费者提供可靠的产品和优质的服务，现已通过ISO9001质量体系认证、HACCP食品安全管理体系认证，以及OHSAS18001职业健康安全管理体系认证，为保障公司产品质量打下坚实基础，公司现已被确定为大连商品期货交易所指定交割油品质量检验单位。</t>
  </si>
  <si>
    <t>一般项目：农产品的生产、销售、加工、运输、贮藏及其他相关服务；食用农产品零售；食品销售（仅销售预包装食品）；粮油仓储服务；食品进出口。（除依法须经批准的项目外，凭营业执照依法自主开展经营活动）许可项目：食品生产；农业转基因生物加工；饲料生产；食品销售。（依法须经批准的项目，经相关部门批准后方可开展经营活动，具体经营项目以相关部门批准文件或许可证件为准）</t>
  </si>
  <si>
    <t>中国南京外轮代理有限公司</t>
  </si>
  <si>
    <t>91320000134766802R</t>
  </si>
  <si>
    <t>中国南京外轮代理公司,
中国外轮代理公司南京分公司</t>
  </si>
  <si>
    <t>杨兆宏</t>
  </si>
  <si>
    <t>1155万元</t>
  </si>
  <si>
    <t>1981-08-29</t>
  </si>
  <si>
    <t>南京市中山北路３３０号</t>
  </si>
  <si>
    <t>025-58779068</t>
  </si>
  <si>
    <t>xu.ying4@coscoshipping.com</t>
  </si>
  <si>
    <t>xuying.js@penavico.js.cn;xuying@penavico.js.cn;pangxh@penavico.js.cn</t>
  </si>
  <si>
    <t>320000000005105</t>
  </si>
  <si>
    <t>13476680-2</t>
  </si>
  <si>
    <t>1981-08-29 至 2041-08-28</t>
  </si>
  <si>
    <t>China Nanjing Ocean Shipping Agency Co., Ltd.</t>
  </si>
  <si>
    <t>http://www.coscologistics.js.cn</t>
  </si>
  <si>
    <t>中国南京外轮代理有限公司成立于1981-08-29，法定代表人为杨兆宏，注册资本为1155万元，统一社会信用代码为91320000134766802R，企业注册地址位于南京市中山北路３３０号，所属行业为批发业，经营范围包含：国际船舶代理业务，无船承运业务；承办海运、陆运、空运进出口货物的国际运输代理业务；国内船舶代理业务；国内水路货物运输代理业务，代理报关业务，行邮物品报关业务；报关业务咨询。（依法须经批准的项目，经相关部门批准后方可开展经营活动）。企业当前经营状态为在业。</t>
  </si>
  <si>
    <t>国际船舶代理业务，无船承运业务；承办海运、陆运、空运进出口货物的国际运输代理业务；国内船舶代理业务；国内水路货物运输代理业务，代理报关业务，行邮物品报关业务；报关业务咨询。（依法须经批准的项目，经相关部门批准后方可开展经营活动）</t>
  </si>
  <si>
    <t>中国日照外轮代理有限公司</t>
  </si>
  <si>
    <t>913711001683713749</t>
  </si>
  <si>
    <t>中国日照外轮代理公司</t>
  </si>
  <si>
    <t>付志强</t>
  </si>
  <si>
    <t>1993-03-17</t>
  </si>
  <si>
    <t>黄海一路106号</t>
  </si>
  <si>
    <t>东港区</t>
  </si>
  <si>
    <t>0633-8320765</t>
  </si>
  <si>
    <t>0633-8321752</t>
  </si>
  <si>
    <t>zhouxl@penavicorz.com</t>
  </si>
  <si>
    <t>xiaying@penavicorz.com;xiaying@penavciorz.com</t>
  </si>
  <si>
    <t>371100018050565</t>
  </si>
  <si>
    <t>16837137-4</t>
  </si>
  <si>
    <t>200</t>
  </si>
  <si>
    <t>1993-03-17 至 无固定期限</t>
  </si>
  <si>
    <t>China Ocean SHIPPING Agency Rizhao Co., Ltd.</t>
  </si>
  <si>
    <t>中国日照外轮代理有限公司成立于1993-03-17，法定代表人为付志强，注册资本为2000万元，统一社会信用代码为913711001683713749，企业注册地址位于黄海一路106号，所属行业为多式联运和运输代理业，经营范围包含：一般项目：国际船舶代理；国际货物运输代理；国内船舶代理；国内货物运输代理；普通货物仓储服务（不含危险化学品等需许可审批的项目）；装卸搬运；港口理货；运输设备租赁服务；非居住房地产租赁；无船承运业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在业。</t>
  </si>
  <si>
    <t>一般项目：国际船舶代理；国际货物运输代理；国内船舶代理；国内货物运输代理；普通货物仓储服务（不含危险化学品等需许可审批的项目）；装卸搬运；港口理货；运输设备租赁服务；非居住房地产租赁；无船承运业务。（除依法须经批准的项目外，凭营业执照依法自主开展经营活动）许可项目：道路货物运输（不含危险货物）。（依法须经批准的项目，经相关部门批准后方可开展经营活动，具体经营项目以相关部门批准文件或许可证件为准）</t>
  </si>
  <si>
    <t>日照市东港区市场监督管理局</t>
  </si>
  <si>
    <t>中粮东海粮油工业（张家港）有限公司</t>
  </si>
  <si>
    <t>913205926082583175</t>
  </si>
  <si>
    <t>张家港保税区长江粮油工业有限公司,
东海粮油工业（张家港）有限公司</t>
  </si>
  <si>
    <t>张传许</t>
  </si>
  <si>
    <t>19500万美元</t>
  </si>
  <si>
    <t>1993-06-05</t>
  </si>
  <si>
    <t>张家港市金港镇</t>
  </si>
  <si>
    <t>0512-58381018</t>
  </si>
  <si>
    <t>13505210906</t>
  </si>
  <si>
    <t>zhujunjie@cofco.com</t>
  </si>
  <si>
    <t>320592400000049</t>
  </si>
  <si>
    <t>60825831-7</t>
  </si>
  <si>
    <t>1682</t>
  </si>
  <si>
    <t>1993-06-05 至 2043-06-05</t>
  </si>
  <si>
    <t>COFCO Eastocean Oils &amp; Grains Industries(Zhangjiagang) Co., Ltd.</t>
  </si>
  <si>
    <t>中粮东海粮油工业（张家港）有限公司成立于1993-06-05，法定代表人为张传许，注册资本为19500万美元，统一社会信用代码为913205926082583175，企业注册地址位于张家港市金港镇，所属行业为农副食品加工业，经营范围包含：粮食收购，生产加工和经营各种油籽、油料、动植物油脂、植物蛋白、面粉、麦芽、大米、饲料和大麦等粮油产品及其深加工产品，生产经营各种规格的油脂、粮油食品、饲料和深加工产品的包装材料，并从事上述商品的运输、批发、进出口及佣金代理（不含拍卖），自有码头和其他港口设施经营；在港区内从事货物装卸、驳运、仓储经营；港口机械、设施、设备租赁经营。（限按许可证所列项目经营）（依法须经批准的项目，经相关部门批准后方可开展经营活动）
许可项目：食品添加剂生产；食品经营（依法须经批准的项目，经相关部门批准后方可开展经营活动，具体经营项目以审批结果为准）
一般项目：日用化学产品销售（除依法须经批准的项目外，凭营业执照依法自主开展经营活动）。企业当前经营状态为在业。</t>
  </si>
  <si>
    <t>粮食收购，生产加工和经营各种油籽、油料、动植物油脂、植物蛋白、面粉、麦芽、大米、饲料和大麦等粮油产品及其深加工产品，生产经营各种规格的油脂、粮油食品、饲料和深加工产品的包装材料，并从事上述商品的运输、批发、进出口及佣金代理（不含拍卖），自有码头和其他港口设施经营；在港区内从事货物装卸、驳运、仓储经营；港口机械、设施、设备租赁经营。（限按许可证所列项目经营）（依法须经批准的项目，经相关部门批准后方可开展经营活动）
许可项目：食品添加剂生产；食品经营（依法须经批准的项目，经相关部门批准后方可开展经营活动，具体经营项目以审批结果为准）
一般项目：日用化学产品销售（除依法须经批准的项目外，凭营业执照依法自主开展经营活动）</t>
  </si>
  <si>
    <t>中粮油脂（泰兴）有限公司</t>
  </si>
  <si>
    <t>913212837682567751</t>
  </si>
  <si>
    <t>明发国际油脂化工（泰兴）有限公司</t>
  </si>
  <si>
    <t>李万平</t>
  </si>
  <si>
    <t>5000万美元</t>
  </si>
  <si>
    <t>2004-12-22</t>
  </si>
  <si>
    <t>江苏省泰兴市滨江北路3号</t>
  </si>
  <si>
    <t>0523-87671066</t>
  </si>
  <si>
    <t>0523-87679259</t>
  </si>
  <si>
    <t>fengjinjiang@cofco.com</t>
  </si>
  <si>
    <t>jinjiangfeng@cofcointernational.com;jinjiangfeng@cofcoagri.com;jinjiangfeng@nobleagri.com</t>
  </si>
  <si>
    <t>321200400005282</t>
  </si>
  <si>
    <t>76825677-5</t>
  </si>
  <si>
    <t>58</t>
  </si>
  <si>
    <t>2004-12-22 至 2054-12-21</t>
  </si>
  <si>
    <t>COFCO Oils (Taixing) Co., Ltd.</t>
  </si>
  <si>
    <t>中粮油脂（泰兴）有限公司成立于2004-12-22，法定代表人为李万平，注册资本为5000万美元，统一社会信用代码为913212837682567751，企业注册地址位于江苏省泰兴市滨江北路3号，所属行业为农副食品加工业，经营范围包含：许可项目：食品生产；食品经营；食品经营（销售散装食品）；食品经营（销售预包装食品）；食品用塑料包装容器工具制品生产；货物进出口（依法须经批准的项目，经相关部门批准后方可开展经营活动，具体经营项目以审批结果为准）
一般项目：非食用植物油加工；农产品的生产、销售、加工、运输、贮藏及其他相关服务；国内贸易代理；装卸搬运；粮油仓储服务；食品用洗涤剂销售（除依法须经批准的项目外，凭营业执照依法自主开展经营活动）。企业当前经营状态为在业。</t>
  </si>
  <si>
    <t>许可项目：食品生产；食品经营；食品经营（销售散装食品）；食品经营（销售预包装食品）；食品用塑料包装容器工具制品生产；货物进出口（依法须经批准的项目，经相关部门批准后方可开展经营活动，具体经营项目以审批结果为准）
一般项目：非食用植物油加工；农产品的生产、销售、加工、运输、贮藏及其他相关服务；国内贸易代理；装卸搬运；粮油仓储服务；食品用洗涤剂销售（除依法须经批准的项目外，凭营业执照依法自主开展经营活动）</t>
  </si>
  <si>
    <t>泰兴市市场监督管理局</t>
  </si>
  <si>
    <t>阿克苏银星物流有限公司</t>
  </si>
  <si>
    <t>91652900715590841F</t>
  </si>
  <si>
    <t>新疆维吾尔自治区棉麻公司阿克苏棉麻站</t>
  </si>
  <si>
    <t>孙小挺</t>
  </si>
  <si>
    <t>1999-10-21</t>
  </si>
  <si>
    <t>新疆阿克苏地区阿克苏市实验林场管委会兴林社区5组2巷022号</t>
  </si>
  <si>
    <t>15158871088</t>
  </si>
  <si>
    <t>13199978188;0997-6713204;0997-6713201;0997-2663102</t>
  </si>
  <si>
    <t>1454319430@qq.com</t>
  </si>
  <si>
    <t>652900010000013</t>
  </si>
  <si>
    <t>71559084-1</t>
  </si>
  <si>
    <t>1999-10-21 至 无固定期限</t>
  </si>
  <si>
    <t>Aksu Yinxing Logistics Co., Ltd.</t>
  </si>
  <si>
    <t>阿克苏银星物流有限公司成立于1999-10-21，法定代表人为孙小挺，注册资本为2000万元，统一社会信用代码为91652900715590841F，企业注册地址位于新疆阿克苏地区阿克苏市实验林场管委会兴林社区5组2巷022号，所属行业为农、林、牧、渔专业及辅助性活动，经营范围包含：许可项目：公共铁路运输；道路货物运输（不含危险货物）。（依法须经批准的项目，经相关部门批准后方可开展经营活动，具体经营项目以相关部门批准文件或许可证件为准）一般项目：棉花加工；棉花收购；棉花加工机械销售；道路货物运输站经营；棉、麻销售；食用农产品批发；食用农产品零售；农、林、牧、副、渔业专业机械的销售；产业用纺织制成品销售；日用杂品销售；普通货物仓储服务（不含危险化学品等需许可审批的项目）；国内货物运输代理；运输货物打包服务；国内集装箱货物运输代理；装卸搬运；租赁服务（不含许可类租赁服务）；日用百货销售；水产品批发；水产品零售；家用电器零配件销售；金属丝绳及其制品销售。（除依法须经批准的项目外，凭营业执照依法自主开展经营活动）。企业当前经营状态为存续。</t>
  </si>
  <si>
    <t>许可项目：公共铁路运输；道路货物运输（不含危险货物）。（依法须经批准的项目，经相关部门批准后方可开展经营活动，具体经营项目以相关部门批准文件或许可证件为准）一般项目：棉花加工；棉花收购；棉花加工机械销售；道路货物运输站经营；棉、麻销售；食用农产品批发；食用农产品零售；农、林、牧、副、渔业专业机械的销售；产业用纺织制成品销售；日用杂品销售；普通货物仓储服务（不含危险化学品等需许可审批的项目）；国内货物运输代理；运输货物打包服务；国内集装箱货物运输代理；装卸搬运；租赁服务（不含许可类租赁服务）；日用百货销售；水产品批发；水产品零售；家用电器零配件销售；金属丝绳及其制品销售。（除依法须经批准的项目外，凭营业执照依法自主开展经营活动）</t>
  </si>
  <si>
    <t>阿拉尔市鹏宇棉花仓储物流有限责任公司</t>
  </si>
  <si>
    <t>91659002MA77KRU69G</t>
  </si>
  <si>
    <t>鲍国洋</t>
  </si>
  <si>
    <t>新疆阿拉尔市阿绿线（X*********）西1658号3号楼（业务用房）101室</t>
  </si>
  <si>
    <t>13565688529</t>
  </si>
  <si>
    <t>0997-4921019;0997-4673019</t>
  </si>
  <si>
    <t>13565688529@qq.com</t>
  </si>
  <si>
    <t>1577424369@qq.com;157742436@qq.com;93608105@qq.com</t>
  </si>
  <si>
    <t>659002038001398</t>
  </si>
  <si>
    <t>MA77KRU6-9</t>
  </si>
  <si>
    <t>2017-08-14 至 无固定期限</t>
  </si>
  <si>
    <t>其他道路货物运输</t>
  </si>
  <si>
    <t>Alar Pengyu Cotton Warehousing and Logistics Co., Ltd.</t>
  </si>
  <si>
    <t>阿拉尔市鹏宇棉花仓储物流有限责任公司成立于2017-08-14，法定代表人为鲍国洋，注册资本为3000万元，统一社会信用代码为91659002MA77KRU69G，企业注册地址位于新疆阿拉尔市阿绿线（X*********）西1658号3号楼（业务用房）101室，所属行业为道路运输业，经营范围包含：普通货物道路运输服务；棉花仓储服务；装卸搬运服务；仓库库房出租服务；货物报关代理服务；国际贸易代理服务；电子商务服务；铁路货物运输代理活动；道路货物运输代理活动；集装箱、大型货物道路运输活动；棉花、棉纱、棉布、麻织品、棉花加工成套设备及配件，棉花包装材料、包装专用设备、农副产品收购、销售；日用百货销售；自营和代理各类商品和技术的进出口业务。（依法须经批准的项目，经相关部门批准后方可开展经营活动）。企业当前经营状态为存续。</t>
  </si>
  <si>
    <t>普通货物道路运输服务；棉花仓储服务；装卸搬运服务；仓库库房出租服务；货物报关代理服务；国际贸易代理服务；电子商务服务；铁路货物运输代理活动；道路货物运输代理活动；集装箱、大型货物道路运输活动；棉花、棉纱、棉布、麻织品、棉花加工成套设备及配件，棉花包装材料、包装专用设备、农副产品收购、销售；日用百货销售；自营和代理各类商品和技术的进出口业务。（依法须经批准的项目，经相关部门批准后方可开展经营活动）</t>
  </si>
  <si>
    <t>新疆诸天大地物流有限公司</t>
  </si>
  <si>
    <t>91650109072234615E</t>
  </si>
  <si>
    <t>马永清</t>
  </si>
  <si>
    <t>2013-07-25</t>
  </si>
  <si>
    <t>新疆乌鲁木齐市米东区柏杨河乡通向102团1号路以西草原监理站治蝗办以北</t>
  </si>
  <si>
    <t>米东区</t>
  </si>
  <si>
    <t>0991-6928755</t>
  </si>
  <si>
    <t>0991-3311387;13565952617</t>
  </si>
  <si>
    <t>286385549@qq.com</t>
  </si>
  <si>
    <t>1687609924@qq.com;498872368@qq.com</t>
  </si>
  <si>
    <t>650000057028960</t>
  </si>
  <si>
    <t>07223461-5</t>
  </si>
  <si>
    <t>2013-07-25 至 无固定期限</t>
  </si>
  <si>
    <t>Xinjiang Zhutian Dadi Logistics Co., Ltd.</t>
  </si>
  <si>
    <t>新疆诸天大地物流有限公司成立于2013-07-25，法定代表人为马永清，注册资本为1000万元，统一社会信用代码为91650109072234615E，企业注册地址位于新疆乌鲁木齐市米东区柏杨河乡通向102团1号路以西草原监理站治蝗办以北，所属行业为装卸搬运和仓储业，经营范围包含：仓储服务、物流服务、搬运装卸。（依法须经批准的项目，经相关部门批准后方可开展经营活动）。企业当前经营状态为存续。</t>
  </si>
  <si>
    <t>仓储服务、物流服务、搬运装卸。（依法须经批准的项目，经相关部门批准后方可开展经营活动）</t>
  </si>
  <si>
    <t>米东区市场监督管理局</t>
  </si>
  <si>
    <t>滨州中纺银泰实业有限公司</t>
  </si>
  <si>
    <t>91371600757454784F</t>
  </si>
  <si>
    <t>万晓明</t>
  </si>
  <si>
    <t>1258万元</t>
  </si>
  <si>
    <t>滨城区小营镇兴营路148号</t>
  </si>
  <si>
    <t>0543-3613889</t>
  </si>
  <si>
    <t>0543-3613708</t>
  </si>
  <si>
    <t>bzyt@163.com</t>
  </si>
  <si>
    <t>371600018010464</t>
  </si>
  <si>
    <t>75745478-4</t>
  </si>
  <si>
    <t>64</t>
  </si>
  <si>
    <t>2003-11-25 至 无固定期限</t>
  </si>
  <si>
    <t>Binzhou Chinatex Yintai Industrial Co., Ltd.</t>
  </si>
  <si>
    <t>滨州中纺银泰实业有限公司成立于2003-11-25，法定代表人为万晓明，注册资本为1258万元，统一社会信用代码为91371600757454784F，企业注册地址位于滨城区小营镇兴营路148号，所属行业为批发业，经营范围包含：仓储物流业务（不含危险品），皮棉、棉短绒、棉副产品、纺织原料（不含籽棉）、纺织品、纺织机械、配件、钢材、建筑材料、农副产品的购销（依法须经批准的项目，经相关部门批准后方可开展经营活动）。企业当前经营状态为在业。</t>
  </si>
  <si>
    <t>仓储物流业务（不含危险品），皮棉、棉短绒、棉副产品、纺织原料（不含籽棉）、纺织品、纺织机械、配件、钢材、建筑材料、农副产品的购销（依法须经批准的项目，经相关部门批准后方可开展经营活动）</t>
  </si>
  <si>
    <t>滨州高新技术产业开发区市场监督管理局</t>
  </si>
  <si>
    <t>新疆中新建现代物流股份有限公司</t>
  </si>
  <si>
    <t>916531007876364908</t>
  </si>
  <si>
    <t>新疆兵团巴楚棉花储运有限公司</t>
  </si>
  <si>
    <t>薛绍军</t>
  </si>
  <si>
    <t>4600万元</t>
  </si>
  <si>
    <t>2006-05-16</t>
  </si>
  <si>
    <t>新疆喀什地区巴楚县火车站（巴莎公路以西）</t>
  </si>
  <si>
    <t>13809943316</t>
  </si>
  <si>
    <t>0998-6175216</t>
  </si>
  <si>
    <t>765252565@qq.com</t>
  </si>
  <si>
    <t>653130036600148</t>
  </si>
  <si>
    <t>78763649-0</t>
  </si>
  <si>
    <t>2006-05-16 至 无固定期限</t>
  </si>
  <si>
    <t>棉花仓储</t>
  </si>
  <si>
    <t>Xinjiang Zhongjian Modern Logistics Co., Ltd.</t>
  </si>
  <si>
    <t>新疆中新建现代物流股份有限公司成立于2006-05-16，法定代表人为薛绍军，注册资本为4600万元，统一社会信用代码为916531007876364908，企业注册地址位于新疆喀什地区巴楚县火车站（巴莎公路以西），所属行业为装卸搬运和仓储业，经营范围包含：一般项目：普通货物仓储服务（不含危险化学品等需许可审批的项目）；国内集装箱货物运输代理；棉花收购；棉、麻销售；农副产品销售；非食用农产品初加工；道路货物运输站经营；机械设备租赁；针纺织品及原料销售；铁路运输辅助活动；停车场服务；住房租赁；农业机械销售；包装材料及制品销售；日用百货销售；电子产品销售；信息咨询服务（不含许可类信息咨询服务）；有色金属合金销售；建筑材料销售；建筑用钢筋产品销售；小微型客车租赁经营服务；技术服务、技术开发、技术咨询、技术交流、技术转让、技术推广。（除依法须经批准的项目外，凭营业执照依法自主开展经营活动）许可项目：住宿服务；餐饮服务；道路货物运输（不含危险货物）。（依法须经批准的项目，经相关部门批准后方可开展经营活动，具体经营项目以相关部门批准文件或许可证件为准）。企业当前经营状态为存续。</t>
  </si>
  <si>
    <t>一般项目：普通货物仓储服务（不含危险化学品等需许可审批的项目）；国内集装箱货物运输代理；棉花收购；棉、麻销售；农副产品销售；非食用农产品初加工；道路货物运输站经营；机械设备租赁；针纺织品及原料销售；铁路运输辅助活动；停车场服务；住房租赁；农业机械销售；包装材料及制品销售；日用百货销售；电子产品销售；信息咨询服务（不含许可类信息咨询服务）；有色金属合金销售；建筑材料销售；建筑用钢筋产品销售；小微型客车租赁经营服务；技术服务、技术开发、技术咨询、技术交流、技术转让、技术推广。（除依法须经批准的项目外，凭营业执照依法自主开展经营活动）许可项目：住宿服务；餐饮服务；道路货物运输（不含危险货物）。（依法须经批准的项目，经相关部门批准后方可开展经营活动，具体经营项目以相关部门批准文件或许可证件为准）</t>
  </si>
  <si>
    <t>喀什地区市场监督管理局</t>
  </si>
  <si>
    <t>国家粮食和物资储备局湖北局三三八处</t>
  </si>
  <si>
    <t>91420921MA48K0QA8H</t>
  </si>
  <si>
    <t>湖北储备物资管理局三三八处,
湖北省储备物资局三三八处仓储服务部</t>
  </si>
  <si>
    <t>魏三忠</t>
  </si>
  <si>
    <t>1990-06-10</t>
  </si>
  <si>
    <t>孝昌县卫店镇</t>
  </si>
  <si>
    <t>孝感市</t>
  </si>
  <si>
    <t>孝昌县</t>
  </si>
  <si>
    <t>0712-4835338</t>
  </si>
  <si>
    <t>0712-4835149;0724-2369531</t>
  </si>
  <si>
    <t>824279382@qq.com</t>
  </si>
  <si>
    <t>824249382@qq.com</t>
  </si>
  <si>
    <t>全民所有制分支机构（非法人）</t>
  </si>
  <si>
    <t>420921108501174</t>
  </si>
  <si>
    <t>MA48K0QA-8</t>
  </si>
  <si>
    <t>2006-11-24 至 无固定期限</t>
  </si>
  <si>
    <t>338 Division of Hubei Bureau of The State Administration of Grain and Material Reserves</t>
  </si>
  <si>
    <t>许可项目：道路货物运输（不含危险货物）（依法须经批准的项目，经相关部门批准后方可开展经营活动，具体经营项目以相关部门批准文件或许可证件为准）一般项目：普通货物仓储服务（不含危险化学品等需许可审批的项目）；租赁服务（不含许可类租赁服务）；装卸搬运（除许可业务外，可自主依法经营法律法规非禁止或限制的项目）</t>
  </si>
  <si>
    <t>孝昌县市场监督管理局</t>
  </si>
  <si>
    <t>河南豫棉物流有限公司</t>
  </si>
  <si>
    <t>91410104769499074R</t>
  </si>
  <si>
    <t>李波</t>
  </si>
  <si>
    <t>2004-12-29</t>
  </si>
  <si>
    <t>郑州市管城回族区南郊小李庄车站</t>
  </si>
  <si>
    <t>管城回族区</t>
  </si>
  <si>
    <t>0371-66711395</t>
  </si>
  <si>
    <t>ymjt841@126.com</t>
  </si>
  <si>
    <t>410000100019005</t>
  </si>
  <si>
    <t>76949907-4</t>
  </si>
  <si>
    <t>2004-12-29 至 无固定期限</t>
  </si>
  <si>
    <t>Henan Yumian Logistics Co., Ltd.</t>
  </si>
  <si>
    <t>hnymwl.cn</t>
  </si>
  <si>
    <t>河南豫棉物流有限公司成立于2004-12-29，法定代表人为李波，注册资本为1000万元，统一社会信用代码为91410104769499074R，企业注册地址位于郑州市管城回族区南郊小李庄车站，所属行业为装卸搬运和仓储业，经营范围包含：一般项目：铁路运输辅助活动；普通货物仓储服务（不含危险化学品等需许可审批的项目）；装卸搬运；棉花收购；棉花加工；纺纱加工；棉、麻销售；针纺织品及原料销售；针纺织品销售；面料纺织加工；化肥销售；肥料销售；谷物种植；中草药种植；豆类种植；薯类种植；油料种植；蔬菜种植；树木种植经营；棉花种植；畜牧专业及辅助性活动；农业专业及辅助性活动；农业生产托管服务；农业机械服务；初级农产品收购；食用农产品初加工；农副产品销售；技术服务、技术开发、技术咨询、技术交流、技术转让、技术推广；会议及展览服务；粮食收购；农作物种子经营（仅限不再分装的包装种子）；谷物销售；机械设备销售；农作物病虫害防治服务；农作物秸秆处理及加工利用服务；农林废物资源化无害化利用技术研发；豆及薯类销售（除依法须经批准的项目外，凭营业执照依法自主开展经营活动）许可项目：农药批发；农药零售；食品销售；食品互联网销售（依法须经批准的项目，经相关部门批准后方可开展经营活动，具体经营项目以相关部门批准文件或许可证件为准）。企业当前经营状态为存续。</t>
  </si>
  <si>
    <t>一般项目：铁路运输辅助活动；普通货物仓储服务（不含危险化学品等需许可审批的项目）；装卸搬运；棉花收购；棉花加工；纺纱加工；棉、麻销售；针纺织品及原料销售；针纺织品销售；面料纺织加工；化肥销售；肥料销售；谷物种植；中草药种植；豆类种植；薯类种植；油料种植；蔬菜种植；树木种植经营；棉花种植；畜牧专业及辅助性活动；农业专业及辅助性活动；农业生产托管服务；农业机械服务；初级农产品收购；食用农产品初加工；农副产品销售；技术服务、技术开发、技术咨询、技术交流、技术转让、技术推广；会议及展览服务；粮食收购；农作物种子经营（仅限不再分装的包装种子）；谷物销售；机械设备销售；农作物病虫害防治服务；农作物秸秆处理及加工利用服务；农林废物资源化无害化利用技术研发；豆及薯类销售（除依法须经批准的项目外，凭营业执照依法自主开展经营活动）许可项目：农药批发；农药零售；食品销售；食品互联网销售（依法须经批准的项目，经相关部门批准后方可开展经营活动，具体经营项目以相关部门批准文件或许可证件为准）</t>
  </si>
  <si>
    <t>郑州市管城区市场监督管理局</t>
  </si>
  <si>
    <t>菏泽市棉麻公司菏泽转运站</t>
  </si>
  <si>
    <t>91371700868851248Q</t>
  </si>
  <si>
    <t>菏泽市棉麻公司菏泽站,
山东省菏泽地区棉麻公司菏泽转运站</t>
  </si>
  <si>
    <t>曹磊</t>
  </si>
  <si>
    <t>816万元</t>
  </si>
  <si>
    <t>1999-12-02</t>
  </si>
  <si>
    <t>菏泽市南平路东段（地区供销储运公司东邻）</t>
  </si>
  <si>
    <t>0530-6203668</t>
  </si>
  <si>
    <t>0530-7389965;0530-6201596</t>
  </si>
  <si>
    <t>hzmmzyzcwk@163.com</t>
  </si>
  <si>
    <t>371700018008040</t>
  </si>
  <si>
    <t>86885124-8</t>
  </si>
  <si>
    <t>Heze Cotton and Hemp Company Heze Transfer Station</t>
  </si>
  <si>
    <t>黄河西路5566号</t>
  </si>
  <si>
    <t>皮棉，包装物料，棉纺织品，棉机配件，建筑材料的销售，纺织品及化工原料（危险品除外）的销售，仓储运输服务，棉短绒的经销。*（依法须经批准的项目，经相关部门批准后方可开展经营活动）。</t>
  </si>
  <si>
    <t>菏泽市棉麻公司巨野棉麻站</t>
  </si>
  <si>
    <t>91371700168850893R</t>
  </si>
  <si>
    <t>山东省菏泽地区棉麻公司巨野转运站</t>
  </si>
  <si>
    <t>梁运建</t>
  </si>
  <si>
    <t>718万元</t>
  </si>
  <si>
    <t>1994-04-08</t>
  </si>
  <si>
    <t>巨野新华南路西侧35号</t>
  </si>
  <si>
    <t>巨野县</t>
  </si>
  <si>
    <t>0530-8217002</t>
  </si>
  <si>
    <t>18661556556</t>
  </si>
  <si>
    <t>jyzcwk@163.com</t>
  </si>
  <si>
    <t>xxl9595@163.com</t>
  </si>
  <si>
    <t>371700018000720</t>
  </si>
  <si>
    <t>16885089-3</t>
  </si>
  <si>
    <t>143</t>
  </si>
  <si>
    <t>1994-04-08 至 无固定期限</t>
  </si>
  <si>
    <t>Juye Cotton and Linen Station of the Heze Cotton and Linen Corporation</t>
  </si>
  <si>
    <t>棉花、短绒的购销；麻类、棉副产品、针纺织品、农副产品（国家控购的粮食除外）销售；小化肥、生态有机肥的零售；仓储（不含危险化学品）；房屋租赁。（依法须经批准的项目，经相关部门批准后方可开展经营活动）。</t>
  </si>
  <si>
    <t>菏泽市棉麻经贸开发总公司</t>
  </si>
  <si>
    <t>91371700168856427K</t>
  </si>
  <si>
    <t>山东省菏泽棉麻经贸开发总公司</t>
  </si>
  <si>
    <t>1994-04-28</t>
  </si>
  <si>
    <t>菏泽市黄河西路5566号</t>
  </si>
  <si>
    <t>371700018002725</t>
  </si>
  <si>
    <t>16885642-7</t>
  </si>
  <si>
    <t>1994-04-28 至 无固定期限</t>
  </si>
  <si>
    <t>Heze Cotton and Linen Economic and Trade Development Corporation</t>
  </si>
  <si>
    <t>皮棉、棉短绒、针纺织品、农副产品、建筑材料、棉机配件、畜产品、百货、家用电器的销售、代转、代储；化肥的中介服务和小化肥经营；铁路专用线共用仅限棉花、农副产品、粮食、饲料、化肥，上述项目的铁路专线中转服务；仓储（危险化学品除外）。（依法须经批准的项目，经相关部门批准后方可开展经营活动）。</t>
  </si>
  <si>
    <t>衡水市棉麻总公司储备库</t>
  </si>
  <si>
    <t>91131182809872997Y</t>
  </si>
  <si>
    <t>李朝亮</t>
  </si>
  <si>
    <t>1990-07-02</t>
  </si>
  <si>
    <t>深州市前么头</t>
  </si>
  <si>
    <t>衡水市</t>
  </si>
  <si>
    <t>深州市</t>
  </si>
  <si>
    <t>0318-2149819</t>
  </si>
  <si>
    <t>0318-2398258;0318-2029819</t>
  </si>
  <si>
    <t>hsmmcbk@126.com</t>
  </si>
  <si>
    <t>集体分支机构（非法人）</t>
  </si>
  <si>
    <t>131182300003485</t>
  </si>
  <si>
    <t>80987299-7</t>
  </si>
  <si>
    <t>1990-07-02 至 无固定期限</t>
  </si>
  <si>
    <t>Hengshui Cotton and Linen Corporation Reserve Library</t>
  </si>
  <si>
    <t>深州市前磨头</t>
  </si>
  <si>
    <t>一般项目：棉、麻销售；化工产品销售（不含许可类化工产品）；化肥销售；粮油仓储服务；非居住房地产租赁；针纺织品销售；普通货物仓储服务（不含危险化学品等需许可审批的项目）；道路货物运输站经营；五金产品零售；谷物销售；厨具卫具及日用杂品零售；服装服饰零售；贸易经纪；建筑材料销售；金属材料销售；塑料制品销售。（除依法须经批准的项目外，凭营业执照依法自主开展经营活动）</t>
  </si>
  <si>
    <t>衡水市深州市市场监督管理局</t>
  </si>
  <si>
    <t>湖北景元物流有限公司</t>
  </si>
  <si>
    <t>91420100MA4L0AEK30</t>
  </si>
  <si>
    <t>湖北骏贺通物流有限公司,
湖北省鸿锐翰林科技有限公司</t>
  </si>
  <si>
    <t>霍向丽</t>
  </si>
  <si>
    <t>2018-07-26</t>
  </si>
  <si>
    <t>湖北省武汉市东西湖区107国道东、南十支沟南信息交易中心栋0单元1层D1-058室</t>
  </si>
  <si>
    <t>18666359836</t>
  </si>
  <si>
    <t>18171279185</t>
  </si>
  <si>
    <t>2556257014@qq.com</t>
  </si>
  <si>
    <t>420100001030641</t>
  </si>
  <si>
    <t>MA4L0AEK-3</t>
  </si>
  <si>
    <t>2018-07-26 至 无固定期限</t>
  </si>
  <si>
    <t>Hubei Jingyuan Logistics Co., Ltd.</t>
  </si>
  <si>
    <t>湖北景元物流有限公司成立于2018-07-26，法定代表人为霍向丽，注册资本为2000万元，统一社会信用代码为91420100MA4L0AEK30，企业注册地址位于湖北省武汉市东西湖区107国道东、南十支沟南信息交易中心栋0单元1层D1-058室，所属行业为多式联运和运输代理业，经营范围包含：许可项目：道路货物运输（不含危险货物）,城市配送运输服务（不含危险货物）,水路普通货物运输,保税仓库经营。（依法须经批准的项目，经相关部门批准后方可开展经营活动，具体经营项目以相关部门批准文件或许可证件为准）一般项目：装卸搬运,运输货物打包服务,国内货物运输代理,普通货物仓储服务（不含危险化学品等需许可审批的项目）,国内集装箱货物运输代理,信息咨询服务（不含许可类信息咨询服务）,供应链管理服务,机械设备租赁,运输设备租赁服务。（除许可业务外，可自主依法经营法律法规非禁止或限制的项目）。企业当前经营状态为存续。</t>
  </si>
  <si>
    <t>许可项目：道路货物运输（不含危险货物）,城市配送运输服务（不含危险货物）,水路普通货物运输,保税仓库经营。（依法须经批准的项目，经相关部门批准后方可开展经营活动，具体经营项目以相关部门批准文件或许可证件为准）一般项目：装卸搬运,运输货物打包服务,国内货物运输代理,普通货物仓储服务（不含危险化学品等需许可审批的项目）,国内集装箱货物运输代理,信息咨询服务（不含许可类信息咨询服务）,供应链管理服务,机械设备租赁,运输设备租赁服务。（除许可业务外，可自主依法经营法律法规非禁止或限制的项目）</t>
  </si>
  <si>
    <t>吉安供应链管理淮安有限公司</t>
  </si>
  <si>
    <t>91320804741306832T</t>
  </si>
  <si>
    <t>淮安市吉安物流有限公司,
淮安市吉安运输有限公司</t>
  </si>
  <si>
    <t>凌强</t>
  </si>
  <si>
    <t>13520万元</t>
  </si>
  <si>
    <t>2002-08-20</t>
  </si>
  <si>
    <t>淮安市淮阴区丁集镇</t>
  </si>
  <si>
    <t>0517-84996699</t>
  </si>
  <si>
    <t>18936536306;13382333777;18936501950;18936509998;0517-3215058</t>
  </si>
  <si>
    <t>470354626@qq.com</t>
  </si>
  <si>
    <t>223344@qq.com;284171123@qq.com</t>
  </si>
  <si>
    <t>320804000000726</t>
  </si>
  <si>
    <t>74130683-2</t>
  </si>
  <si>
    <t>2002-08-20 至 2037-08-19</t>
  </si>
  <si>
    <t>Huai'an Ji'an Logistics Co., Ltd.</t>
  </si>
  <si>
    <t>www.jagyl.top</t>
  </si>
  <si>
    <t>吉安供应链管理淮安有限公司成立于2002-08-20，法定代表人为凌强，注册资本为13520万元，统一社会信用代码为91320804741306832T，企业注册地址位于淮安市淮阴区丁集镇，所属行业为商务服务业，经营范围包含：供应链管理，道路普通货物运输，货物专业运输（集装箱），大型物件运输（一类），综合货运站（场）（仓储），物流货架加工，车辆租赁，物流信息咨询服务，棉花、棉纱收购与销售，化工产品（不含危险化学品和易制毒品），服装、服饰、服装原材料销售，仓储服务（不含危险品），家电销售，煤炭销售，包装服务，搬运装卸服务，货物运输代理服务，国际货运代理，自营和代理各类商品及技术的进出口业务（国家限定企业经营和禁止进出口的商品和技术除外），水路货物运输。（依法须经批准的项目，经相关部门批准后方可开展经营活动）
许可项目：第二类增值电信业务；道路货物运输（网络货运）；供电业务；发电业务、输电业务、供（配）电业务（依法须经批准的项目，经相关部门批准后方可开展经营活动，具体经营项目以审批结果为准）
一般项目：食品销售（仅销售预包装食品）；太阳能发电技术服务；太阳能热利用产品销售；风机、风扇制造；风机、风扇销售；机械电气设备制造；机械电气设备销售；非居住房地产租赁（除依法须经批准的项目外，凭营业执照依法自主开展经营活动）。企业当前经营状态为在业。</t>
  </si>
  <si>
    <t>供应链管理，道路普通货物运输，货物专业运输（集装箱），大型物件运输（一类），综合货运站（场）（仓储），物流货架加工，车辆租赁，物流信息咨询服务，棉花、棉纱收购与销售，化工产品（不含危险化学品和易制毒品），服装、服饰、服装原材料销售，仓储服务（不含危险品），家电销售，煤炭销售，包装服务，搬运装卸服务，货物运输代理服务，国际货运代理，自营和代理各类商品及技术的进出口业务（国家限定企业经营和禁止进出口的商品和技术除外），水路货物运输。（依法须经批准的项目，经相关部门批准后方可开展经营活动）
许可项目：第二类增值电信业务；道路货物运输（网络货运）；供电业务；发电业务、输电业务、供（配）电业务（依法须经批准的项目，经相关部门批准后方可开展经营活动，具体经营项目以审批结果为准）
一般项目：食品销售（仅销售预包装食品）；太阳能发电技术服务；太阳能热利用产品销售；风机、风扇制造；风机、风扇销售；机械电气设备制造；机械电气设备销售；非居住房地产租赁（除依法须经批准的项目外，凭营业执照依法自主开展经营活动）</t>
  </si>
  <si>
    <t>新疆益美达棉花仓储有限公司</t>
  </si>
  <si>
    <t>91652923MA78G9DYXL</t>
  </si>
  <si>
    <t>刘少杰</t>
  </si>
  <si>
    <t>2019-08-16</t>
  </si>
  <si>
    <t>新疆阿克苏地区库车市新城街道天福社区江南御住宅小区41号楼1层3A号商铺</t>
  </si>
  <si>
    <t>15886856668</t>
  </si>
  <si>
    <t>0997-7306218</t>
  </si>
  <si>
    <t>1257022317@qq.com</t>
  </si>
  <si>
    <t>ymd@163.com</t>
  </si>
  <si>
    <t>652923050038897</t>
  </si>
  <si>
    <t>MA78G9DY-X</t>
  </si>
  <si>
    <t>2019-08-16 至 无固定期限</t>
  </si>
  <si>
    <t>Xinjiang Yimeida Cotton Storage Co., Ltd.</t>
  </si>
  <si>
    <t>新疆益美达棉花仓储有限公司成立于2019-08-16，法定代表人为刘少杰，注册资本为5000万元，统一社会信用代码为91652923MA78G9DYXL，企业注册地址位于新疆阿克苏地区库车市新城街道天福社区江南御住宅小区41号楼1层3A号商铺，所属行业为装卸搬运和仓储业，经营范围包含：一般项目：普通货物仓储服务（不含危险化学品等需许可审批的项目）；道路货物运输站经营；总质量4.5吨及以下普通货运车辆道路货物运输（除网络货运和危险货物）。（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企业当前经营状态为存续。</t>
  </si>
  <si>
    <t>一般项目：普通货物仓储服务（不含危险化学品等需许可审批的项目）；道路货物运输站经营；总质量4.5吨及以下普通货运车辆道路货物运输（除网络货运和危险货物）。（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</si>
  <si>
    <t>新疆象道物流有限公司</t>
  </si>
  <si>
    <t>91652300057710548H</t>
  </si>
  <si>
    <t>新疆连运物流有限责任公司</t>
  </si>
  <si>
    <t>孙刚</t>
  </si>
  <si>
    <t>2012-11-21</t>
  </si>
  <si>
    <t>新疆昌吉回族自治州昌吉市三工镇（昌吉市火车站南侧）</t>
  </si>
  <si>
    <t>0994-2594917</t>
  </si>
  <si>
    <t>0994-2367700;0994-7958536</t>
  </si>
  <si>
    <t>lyjiang@xiangyu.cn</t>
  </si>
  <si>
    <t>wdan2@xiangyu.cn;61612763@qq.com;457903971@qq.com;5717610@qq.com;9691052@qq.com</t>
  </si>
  <si>
    <t>652300030000860</t>
  </si>
  <si>
    <t>05771054-8</t>
  </si>
  <si>
    <t>2012-11-21 至 无固定期限</t>
  </si>
  <si>
    <t>林业</t>
  </si>
  <si>
    <t>木材和竹材采运</t>
  </si>
  <si>
    <t>木材采运</t>
  </si>
  <si>
    <t>Xinjiang Xiangdao Logistics Co., Ltd.</t>
  </si>
  <si>
    <t>新疆象道物流有限公司成立于2012-11-21，法定代表人为孙刚，注册资本为40000万元，统一社会信用代码为91652300057710548H，企业注册地址位于新疆昌吉回族自治州昌吉市三工镇（昌吉市火车站南侧），所属行业为林业，经营范围包含：仓储，配送，装卸搬运，货物运输代理，联合运输代理服务，仓储代理服务，打包、装卸、运输全套服务代理，粮食、食用油、棉花、棉纱、棉籽、棉籽绒、油渣饼及其他食用油加工的副产品、其他油料、饲料，百货仓储服务，批发谷物、豆及薯类、棉麻、果品、蔬菜、金属及金属矿、非金属矿及制品、建材、机械设备、五金产品及电子产品，贸易代理，房屋场地租赁，停车场服务，冷库服务，机械设备租赁，道路货物运输；焦炭、煤炭及制品批发；盐及调味品批发；建筑用石加工；化肥批发；其他化工批发（危化品除外）。陆路国际货物运输代理；国际货物运输代理；纸浆制造；纸制品制造；纸浆销售；石棉制品制造。；食品经营；公共铁路运输；铁路运输辅助活动；日用杂品销售；第一类医疗器械销售；家用电器销售；针纺织品销售；轮胎销售；电线、电缆经营；木材采运；建筑用木料及木材组件加工；建筑用石加工；金属链条及其他金属制品销售；耐火材料销售（依法须经批准的项目，经相关部门批准后方可开展经营活动）。企业当前经营状态为存续。</t>
  </si>
  <si>
    <t>仓储，配送，装卸搬运，货物运输代理，联合运输代理服务，仓储代理服务，打包、装卸、运输全套服务代理，粮食、食用油、棉花、棉纱、棉籽、棉籽绒、油渣饼及其他食用油加工的副产品、其他油料、饲料，百货仓储服务，批发谷物、豆及薯类、棉麻、果品、蔬菜、金属及金属矿、非金属矿及制品、建材、机械设备、五金产品及电子产品，贸易代理，房屋场地租赁，停车场服务，冷库服务，机械设备租赁，道路货物运输；焦炭、煤炭及制品批发；盐及调味品批发；建筑用石加工；化肥批发；其他化工批发（危化品除外）。陆路国际货物运输代理；国际货物运输代理；纸浆制造；纸制品制造；纸浆销售；石棉制品制造。；食品经营；公共铁路运输；铁路运输辅助活动；日用杂品销售；第一类医疗器械销售；家用电器销售；针纺织品销售；轮胎销售；电线、电缆经营；木材采运；建筑用木料及木材组件加工；建筑用石加工；金属链条及其他金属制品销售；耐火材料销售（依法须经批准的项目，经相关部门批准后方可开展经营活动）</t>
  </si>
  <si>
    <t>宁夏供销金桥物流有限公司</t>
  </si>
  <si>
    <t>91641100694307866X</t>
  </si>
  <si>
    <t>宁夏金桥物流有限公司</t>
  </si>
  <si>
    <t>李建文</t>
  </si>
  <si>
    <t>5163.046262万元</t>
  </si>
  <si>
    <t>2009-10-10</t>
  </si>
  <si>
    <t>银川西夏区经天东路76号</t>
  </si>
  <si>
    <t>西夏区</t>
  </si>
  <si>
    <t>18109595021</t>
  </si>
  <si>
    <t>14709699625;0951-5029856</t>
  </si>
  <si>
    <t>nxjqwl@163.com</t>
  </si>
  <si>
    <t>2302527617@qq.com</t>
  </si>
  <si>
    <t>641100000006726</t>
  </si>
  <si>
    <t>69430786-6</t>
  </si>
  <si>
    <t>2009-10-10 至 无固定期限</t>
  </si>
  <si>
    <t>Ningxia Supply and Marketing Jinqiao Logistics Co., Ltd.</t>
  </si>
  <si>
    <t>宁夏银川市西夏区文萃南街296号金桥物流</t>
  </si>
  <si>
    <t>宁夏供销金桥物流有限公司成立于2009-10-10，法定代表人为李建文，注册资本为5163.046262万元，统一社会信用代码为91641100694307866X，企业注册地址位于银川西夏区经天东路76号，所属行业为道路运输业，经营范围包含：许可项目：公共铁路运输；道路货物运输（不含危险货物）；道路货物运输（网络货运）；食品销售；酒类经营；农药零售；烟花爆竹零售。（依法须经批准的项目，经相关部门批准后方可开展经营活动，具体经营项目以相关部门批准文件或许可证件为准）一般项目：货物进出口；国内货物运输代理；普通货物仓储服务（不含危险化学品等需许可审批的项目）；物业管理；非居住房地产租赁；国内集装箱货物运输代理；电子过磅服务；装卸搬运；初级农产品收购；农副产品销售；食用农产品零售；日用杂品销售；日用百货销售；棉、麻销售；建筑材料销售；化工产品销售（不含许可类化工产品）；金属材料销售；汽车零配件零售；化肥销售；塑料制品销售；鲜肉零售；鲜肉批发；电动汽车充电基础设施运营；机动车充电销售；动产质押物管理服务；供应链管理服务。（除依法须经批准的项目外，凭营业执照依法自主开展经营活动）。企业当前经营状态为存续。</t>
  </si>
  <si>
    <t>许可项目：公共铁路运输；道路货物运输（不含危险货物）；道路货物运输（网络货运）；食品销售；酒类经营；农药零售；烟花爆竹零售。（依法须经批准的项目，经相关部门批准后方可开展经营活动，具体经营项目以相关部门批准文件或许可证件为准）一般项目：货物进出口；国内货物运输代理；普通货物仓储服务（不含危险化学品等需许可审批的项目）；物业管理；非居住房地产租赁；国内集装箱货物运输代理；电子过磅服务；装卸搬运；初级农产品收购；农副产品销售；食用农产品零售；日用杂品销售；日用百货销售；棉、麻销售；建筑材料销售；化工产品销售（不含许可类化工产品）；金属材料销售；汽车零配件零售；化肥销售；塑料制品销售；鲜肉零售；鲜肉批发；电动汽车充电基础设施运营；机动车充电销售；动产质押物管理服务；供应链管理服务。（除依法须经批准的项目外，凭营业执照依法自主开展经营活动）</t>
  </si>
  <si>
    <t>厦门象屿速传供应链发展股份有限公司</t>
  </si>
  <si>
    <t>91350200705491866J</t>
  </si>
  <si>
    <t>厦门速传物流发展股份有限公司</t>
  </si>
  <si>
    <t>吴捷</t>
  </si>
  <si>
    <t>2001-12-31</t>
  </si>
  <si>
    <t>中国（福建）自由贸易试验区厦门片区象屿路85号象屿集团大厦B栋6层01单元之一</t>
  </si>
  <si>
    <t>0592-5657666</t>
  </si>
  <si>
    <t>0592-5609506;18906033206;0592-2652266;0592-5627090;0592-2650377</t>
  </si>
  <si>
    <t>liult@xiangyu.cn</t>
  </si>
  <si>
    <t>cqq@xiangyu.cn;zhangwn@super-chain.com;sc@super-chain.com</t>
  </si>
  <si>
    <t>股份有限公司（港澳台投资、未上市）</t>
  </si>
  <si>
    <t>350200400025397</t>
  </si>
  <si>
    <t>70549186-6</t>
  </si>
  <si>
    <t>2001-12-31 至 无固定期限</t>
  </si>
  <si>
    <t>Xiamen Xiangyu Supply CHAIN Development Co., Ltd.</t>
  </si>
  <si>
    <t>www.xiangyusc.com</t>
  </si>
  <si>
    <t>厦门象屿速传供应链发展股份有限公司成立于2001-12-31，法定代表人为吴捷，注册资本为30000万元，统一社会信用代码为91350200705491866J，企业注册地址位于中国（福建）自由贸易试验区厦门片区象屿路85号象屿集团大厦B栋6层01单元之一，所属行业为多式联运和运输代理业，经营范围包含：许可项目：道路货物运输（不含危险货物）；道路货物运输（网络货运）；第三类医疗设备租赁；农药批发。（依法须经批准的项目，经相关部门批准后方可开展经营活动，具体经营项目以相关部门批准文件或许可证件为准）一般项目：国际货物运输代理；国内货物运输代理；粮油仓储服务；普通货物仓储服务（不含危险化学品等需许可审批的项目）；国内船舶代理；国际船舶代理；第一类医疗器械销售；第二类医疗设备租赁；运输设备租赁服务；国际船舶管理业务；供应链管理服务；木材销售；建筑材料销售；豆及薯类销售；谷物销售；棉、麻销售；棉花收购；农副产品销售；林业产品销售；煤炭及制品销售；化工产品销售（不含许可类化工产品）；非金属矿及制品销售；饲料原料销售；畜牧渔业饲料销售；饲料添加剂销售；新型陶瓷材料销售；稀土功能材料销售；新型金属功能材料销售；高性能有色金属及合金材料销售；金属材料销售；高品质特种钢铁材料销售；民用航空材料销售；金属矿石销售；肥料销售；农用薄膜销售；畜牧机械销售；机械设备销售；农林牧渔机械配件销售；渔业机械销售；农、林、牧、副、渔业专业机械的销售；木竹材加工机械销售；农业机械服务；汽车零配件批发；机械电气设备销售；电气设备销售；五金产品批发；运输货物打包服务；卫生用杀虫剂销售；港口设施设备和机械租赁维修业务；国内贸易代理；销售代理；寄卖服务；贸易经纪；石墨及碳素制品销售；软木制品销售；人造板销售；机械零件、零部件销售；锻件及粉末冶金制品销售；制浆和造纸专用设备销售；新能源原动设备销售；新能源汽车生产测试设备销售；金属链条及其他金属制品销售；有色金属合金销售；金属结构销售；金属制品销售；金属基复合材料和陶瓷基复合材料销售；集装箱销售；集装箱租赁服务；机械设备租赁；水上运输设备销售；超导材料销售；微特电机及组件销售；信息系统集成服务；信息技术咨询服务；软件开发；集成电路设计；摩托车及零配件批发；石墨烯材料销售；金属包装容器及材料销售；高性能纤维及复合材料销售；工程塑料及合成树脂销售；油墨销售（不含危险化学品）；新型有机活性材料销售；生态环境材料销售；软磁复合材料销售；高性能密封材料销售；新型膜材料销售；货物进出口；技术进出口；进出口代理；无船承运业务。（除依法须经批准的项目外，凭营业执照依法自主开展经营活动）。企业当前经营状态为存续。</t>
  </si>
  <si>
    <t>许可项目：道路货物运输（不含危险货物）；道路货物运输（网络货运）；第三类医疗设备租赁；农药批发。（依法须经批准的项目，经相关部门批准后方可开展经营活动，具体经营项目以相关部门批准文件或许可证件为准）一般项目：国际货物运输代理；国内货物运输代理；粮油仓储服务；普通货物仓储服务（不含危险化学品等需许可审批的项目）；国内船舶代理；国际船舶代理；第一类医疗器械销售；第二类医疗设备租赁；运输设备租赁服务；国际船舶管理业务；供应链管理服务；木材销售；建筑材料销售；豆及薯类销售；谷物销售；棉、麻销售；棉花收购；农副产品销售；林业产品销售；煤炭及制品销售；化工产品销售（不含许可类化工产品）；非金属矿及制品销售；饲料原料销售；畜牧渔业饲料销售；饲料添加剂销售；新型陶瓷材料销售；稀土功能材料销售；新型金属功能材料销售；高性能有色金属及合金材料销售；金属材料销售；高品质特种钢铁材料销售；民用航空材料销售；金属矿石销售；肥料销售；农用薄膜销售；畜牧机械销售；机械设备销售；农林牧渔机械配件销售；渔业机械销售；农、林、牧、副、渔业专业机械的销售；木竹材加工机械销售；农业机械服务；汽车零配件批发；机械电气设备销售；电气设备销售；五金产品批发；运输货物打包服务；卫生用杀虫剂销售；港口设施设备和机械租赁维修业务；国内贸易代理；销售代理；寄卖服务；贸易经纪；石墨及碳素制品销售；软木制品销售；人造板销售；机械零件、零部件销售；锻件及粉末冶金制品销售；制浆和造纸专用设备销售；新能源原动设备销售；新能源汽车生产测试设备销售；金属链条及其他金属制品销售；有色金属合金销售；金属结构销售；金属制品销售；金属基复合材料和陶瓷基复合材料销售；集装箱销售；集装箱租赁服务；机械设备租赁；水上运输设备销售；超导材料销售；微特电机及组件销售；信息系统集成服务；信息技术咨询服务；软件开发；集成电路设计；摩托车及零配件批发；石墨烯材料销售；金属包装容器及材料销售；高性能纤维及复合材料销售；工程塑料及合成树脂销售；油墨销售（不含危险化学品）；新型有机活性材料销售；生态环境材料销售；软磁复合材料销售；高性能密封材料销售；新型膜材料销售；货物进出口；技术进出口；进出口代理；无船承运业务。（除依法须经批准的项目外，凭营业执照依法自主开展经营活动）</t>
  </si>
  <si>
    <t>山东省棉麻公司平原采购供应站</t>
  </si>
  <si>
    <t>91371426167412955N</t>
  </si>
  <si>
    <t>靖永杰</t>
  </si>
  <si>
    <t>1234万元</t>
  </si>
  <si>
    <t>1991-08-28</t>
  </si>
  <si>
    <t>平原县兴平路</t>
  </si>
  <si>
    <t>平原县</t>
  </si>
  <si>
    <t>0534-2160016</t>
  </si>
  <si>
    <t>0534-2160152</t>
  </si>
  <si>
    <t>ppmmz0016@126.com</t>
  </si>
  <si>
    <t>nfy002@163.com</t>
  </si>
  <si>
    <t>371426018012951</t>
  </si>
  <si>
    <t>16741295-5</t>
  </si>
  <si>
    <t>1991-08-28 至 无固定期限</t>
  </si>
  <si>
    <t>Shandong Cotton and Hemp Company Pingyuan Procurement Supply Station</t>
  </si>
  <si>
    <t>一般项目：棉、麻销售；针纺织品及原料销售；建筑材料销售；饲料原料销售；装卸搬运；普通货物仓储服务（不含危险化学品等需许可审批的项目）；化肥销售；肥料销售；纸制品销售；纸浆销售。（除依法须经批准的项目外，凭营业执照依法自主开展经营活动）</t>
  </si>
  <si>
    <t>平原县市场监督管理局</t>
  </si>
  <si>
    <t>新疆兵棉润泽物流有限公司</t>
  </si>
  <si>
    <t>91652801MA78U5W081</t>
  </si>
  <si>
    <t>王东</t>
  </si>
  <si>
    <t>2020-07-10</t>
  </si>
  <si>
    <t>新疆巴州库尔勒市天山辖区乌喀公路南侧1栋</t>
  </si>
  <si>
    <t>13309912196</t>
  </si>
  <si>
    <t>0996-2061088;0996-2061858</t>
  </si>
  <si>
    <t>863467613@qq.com</t>
  </si>
  <si>
    <t>936995249@qq.com;1059107246@qq.com</t>
  </si>
  <si>
    <t>652801029025231</t>
  </si>
  <si>
    <t>MA78U5W0-8</t>
  </si>
  <si>
    <t>2020-07-10 至 无固定期限</t>
  </si>
  <si>
    <t>Xinjiang Bingmian Runze Logistics Co., Ltd.</t>
  </si>
  <si>
    <t>新疆兵棉润泽物流有限公司成立于2020-07-10，法定代表人为王东，注册资本为1000万元，统一社会信用代码为91652801MA78U5W081，企业注册地址位于新疆巴州库尔勒市天山辖区乌喀公路南侧1栋，所属行业为装卸搬运和仓储业，经营范围包含：许可项目：道路货物运输（不含危险货物）（依法须经批准的项目，经相关部门批准后方可开展经营活动）一般项目：普通货物仓储服务（不含危险化学品等需许可审批的项目）；铁路运输辅助活动；农产品的生产、销售、加工、运输、贮藏及其他相关服务；销售；棉、麻、针纺织品；棉花收购；装卸搬运。；技术服务、技术开发、技术咨询、技术交流、技术转让、技术推广；道路货物运输站经营；国内货物运输代理；停车场服务（除许可业务外，可自主依法经营法律法规非禁止或限制的项目）。企业当前经营状态为存续。</t>
  </si>
  <si>
    <t>许可项目：道路货物运输（不含危险货物）（依法须经批准的项目，经相关部门批准后方可开展经营活动）一般项目：普通货物仓储服务（不含危险化学品等需许可审批的项目）；铁路运输辅助活动；农产品的生产、销售、加工、运输、贮藏及其他相关服务；销售；棉、麻、针纺织品；棉花收购；装卸搬运。；技术服务、技术开发、技术咨询、技术交流、技术转让、技术推广；道路货物运输站经营；国内货物运输代理；停车场服务（除许可业务外，可自主依法经营法律法规非禁止或限制的项目）</t>
  </si>
  <si>
    <t>新疆大陆桥集团有限责任公司</t>
  </si>
  <si>
    <t>916501007223655463</t>
  </si>
  <si>
    <t>高磊</t>
  </si>
  <si>
    <t>10430.66万元</t>
  </si>
  <si>
    <t>10430万元</t>
  </si>
  <si>
    <t>新疆乌鲁木齐高新区（新市区）北纬三路163号</t>
  </si>
  <si>
    <t>13999110662</t>
  </si>
  <si>
    <t>0991-7943009;0991-7952720;0991-7564529;0991-7928507;0991-7924842</t>
  </si>
  <si>
    <t>505225366@qq.com</t>
  </si>
  <si>
    <t>354896752@qq.com;326547895@qq.com;895778500@qq.com</t>
  </si>
  <si>
    <t>650100030007144</t>
  </si>
  <si>
    <t>72236554-6</t>
  </si>
  <si>
    <t>118</t>
  </si>
  <si>
    <t>Xinjiang Great Land Bridge Group Co., Ltd.</t>
  </si>
  <si>
    <t>新疆大陆桥集团有限责任公司成立于2000-12-27，法定代表人为高磊，注册资本为10430.66万元，统一社会信用代码为916501007223655463，企业注册地址位于新疆乌鲁木齐高新区（新市区）北纬三路163号，所属行业为商务服务业，经营范围包含：许可项目：危险化学品经营；道路货物运输（不含危险货物）；城市配送运输服务（不含危险货物）；住宿服务；餐饮服务。（依法须经批准的项目，经相关部门批准后方可开展经营活动，具体经营项目以相关部门批准文件或许可证件为准）一般项目：陆路国际货物运输代理；国内货物运输代理；国内集装箱货物运输代理；集装箱租赁服务；煤炭及制品销售；粮食收购；货物进出口；技术进出口；普通货物仓储服务（不含危险化学品等需许可审批的项目）；化工产品销售（不含许可类化工产品）；建筑材料销售；石油制品销售（不含危险化学品）；金属材料销售；金属矿石销售；非金属矿及制品销售；农副产品销售；棉花收购；棉、麻销售；肥料销售；饲料原料销售；化肥销售；信息咨询服务（不含许可类信息咨询服务）；铁路运输辅助活动；装卸搬运；住房租赁；非居住房地产租赁；机械设备租赁；生物基材料销售；农业机械销售；农林牧渔机械配件销售；五金产品批发；电气设备销售；颜料销售；机械电气设备销售；家用电器销售；日用品销售；办公用品销售；汽车零配件批发；塑料制品销售；日用陶瓷制品销售；通用设备制造（不含特种设备制造）；电子过磅服务；包装服务；停车场服务；打字复印；木材加工。（除依法须经批准的项目外，凭营业执照依法自主开展经营活动）。企业当前经营状态为存续。</t>
  </si>
  <si>
    <t>许可项目：危险化学品经营；道路货物运输（不含危险货物）；城市配送运输服务（不含危险货物）；住宿服务；餐饮服务。（依法须经批准的项目，经相关部门批准后方可开展经营活动，具体经营项目以相关部门批准文件或许可证件为准）一般项目：陆路国际货物运输代理；国内货物运输代理；国内集装箱货物运输代理；集装箱租赁服务；煤炭及制品销售；粮食收购；货物进出口；技术进出口；普通货物仓储服务（不含危险化学品等需许可审批的项目）；化工产品销售（不含许可类化工产品）；建筑材料销售；石油制品销售（不含危险化学品）；金属材料销售；金属矿石销售；非金属矿及制品销售；农副产品销售；棉花收购；棉、麻销售；肥料销售；饲料原料销售；化肥销售；信息咨询服务（不含许可类信息咨询服务）；铁路运输辅助活动；装卸搬运；住房租赁；非居住房地产租赁；机械设备租赁；生物基材料销售；农业机械销售；农林牧渔机械配件销售；五金产品批发；电气设备销售；颜料销售；机械电气设备销售；家用电器销售；日用品销售；办公用品销售；汽车零配件批发；塑料制品销售；日用陶瓷制品销售；通用设备制造（不含特种设备制造）；电子过磅服务；包装服务；停车场服务；打字复印；木材加工。（除依法须经批准的项目外，凭营业执照依法自主开展经营活动）</t>
  </si>
  <si>
    <t>新疆西部海祥棉花有限公司</t>
  </si>
  <si>
    <t>91652722MA78E8M64C</t>
  </si>
  <si>
    <t>任斌</t>
  </si>
  <si>
    <t>2019-06-25</t>
  </si>
  <si>
    <t>新疆博尔塔拉蒙古自治州精河县国际公铁联运综合物流园进站道路西四号104室</t>
  </si>
  <si>
    <t>博尔塔拉蒙古自治州</t>
  </si>
  <si>
    <t>精河县</t>
  </si>
  <si>
    <t>13999768333</t>
  </si>
  <si>
    <t>13909936187;15109095006</t>
  </si>
  <si>
    <t>9483594052@qq.com</t>
  </si>
  <si>
    <t>948359405@qq.com</t>
  </si>
  <si>
    <t>MA78E8M6-4</t>
  </si>
  <si>
    <t>2019-06-25 至 无固定期限</t>
  </si>
  <si>
    <t>Xinjiang Western Haixiang Cotton Co., Ltd.</t>
  </si>
  <si>
    <t>新疆西部海祥棉花有限公司成立于2019-06-25，法定代表人为任斌，注册资本为5000万元，统一社会信用代码为91652722MA78E8M64C，企业注册地址位于新疆博尔塔拉蒙古自治州精河县国际公铁联运综合物流园进站道路西四号104室，所属行业为纺织业，经营范围包含：纺织品、棉麻制品、棉制品、绒毛制品、网套加工、销售，皮棉、棉籽、棉粕、短绒、纺织原料购销，物流仓储服务，货物运输代理服务，商务代理代办服务，房屋、场地及设备租赁，货物与技术的进出口贸易，装卸搬运。（依法须经批准的项目，经相关部门批准后方可开展经营活动）。企业当前经营状态为存续。</t>
  </si>
  <si>
    <t>纺织品、棉麻制品、棉制品、绒毛制品、网套加工、销售，皮棉、棉籽、棉粕、短绒、纺织原料购销，物流仓储服务，货物运输代理服务，商务代理代办服务，房屋、场地及设备租赁，货物与技术的进出口贸易，装卸搬运。（依法须经批准的项目，经相关部门批准后方可开展经营活动）</t>
  </si>
  <si>
    <t>精河县市场监督管理局</t>
  </si>
  <si>
    <t>新疆生产建设兵团棉麻有限公司驻阿克苏储运经销站</t>
  </si>
  <si>
    <t>9165290071089722XD</t>
  </si>
  <si>
    <t>新疆生产建设兵团棉麻公司驻阿克苏储运经销站</t>
  </si>
  <si>
    <t>李峰</t>
  </si>
  <si>
    <t>2009-08-11</t>
  </si>
  <si>
    <t>新疆阿克苏地区阿克苏市火车站东</t>
  </si>
  <si>
    <t>18699708885</t>
  </si>
  <si>
    <t>0997-2663158</t>
  </si>
  <si>
    <t>1435002191@qq.com</t>
  </si>
  <si>
    <t>704493448@qq.com</t>
  </si>
  <si>
    <t>有限责任公司分公司（国有独资）</t>
  </si>
  <si>
    <t>652900100001702</t>
  </si>
  <si>
    <t>71089722-X</t>
  </si>
  <si>
    <t>2009-08-11 至 无固定期限</t>
  </si>
  <si>
    <t>Xinjiang Production and Construction Corps Cotton and Hemp Co., Ltd. Stationed At Aksu Storage and Transportation Distribution Station</t>
  </si>
  <si>
    <t>新疆生产建设兵团棉麻有限公司驻阿克苏储运经销站成立于2009-08-11，负责人为李峰，统一社会信用代码为9165290071089722XD，企业注册地址位于新疆阿克苏地区阿克苏市火车站东，所属行业为批发业，经营范围包含：一般项目：棉花收购；棉、麻销售；普通货物仓储服务（不含危险化学品等需许可审批的项目）；包装材料及制品销售；餐饮管理；农业机械销售；针纺织品及原料销售；针纺织品销售；销售代理；国内货物运输代理；机械电气设备销售；物料搬运装备销售；国内集装箱货物运输代理；仓储设备租赁服务；农副产品销售；初级农产品收购；面料纺织加工；纺纱加工；特种设备销售；农业机械租赁；非居住房地产租赁；运输设备租赁服务；装卸搬运；停车场服务；技术服务、技术开发、技术咨询、技术交流、技术转让、技术推广；租赁服务（不含许可类租赁服务）；机械设备租赁；机动车修理和维护。（除依法须经批准的项目外，凭营业执照依法自主开展经营活动）许可项目：道路货物运输（不含危险货物）；输电、供电、受电电力设施的安装、维修和试验。（依法须经批准的项目，经相关部门批准后方可开展经营活动，具体经营项目以相关部门批准文件或许可证件为准）。企业当前经营状态为存续。</t>
  </si>
  <si>
    <t>一般项目：棉花收购；棉、麻销售；普通货物仓储服务（不含危险化学品等需许可审批的项目）；包装材料及制品销售；餐饮管理；农业机械销售；针纺织品及原料销售；针纺织品销售；销售代理；国内货物运输代理；机械电气设备销售；物料搬运装备销售；国内集装箱货物运输代理；仓储设备租赁服务；农副产品销售；初级农产品收购；面料纺织加工；纺纱加工；特种设备销售；农业机械租赁；非居住房地产租赁；运输设备租赁服务；装卸搬运；停车场服务；技术服务、技术开发、技术咨询、技术交流、技术转让、技术推广；租赁服务（不含许可类租赁服务）；机械设备租赁；机动车修理和维护。（除依法须经批准的项目外，凭营业执照依法自主开展经营活动）许可项目：道路货物运输（不含危险货物）；输电、供电、受电电力设施的安装、维修和试验。（依法须经批准的项目，经相关部门批准后方可开展经营活动，具体经营项目以相关部门批准文件或许可证件为准）</t>
  </si>
  <si>
    <t>新疆铁农物流有限责任公司</t>
  </si>
  <si>
    <t>916529007922877079</t>
  </si>
  <si>
    <t>王立志</t>
  </si>
  <si>
    <t>2458.0199万元</t>
  </si>
  <si>
    <t>2457万元</t>
  </si>
  <si>
    <t>2006-10-23</t>
  </si>
  <si>
    <t>新疆阿克苏地区阿克苏市南城街道火车站社区交通路南侧（浦东假日酒店东侧200米）</t>
  </si>
  <si>
    <t>13909910619</t>
  </si>
  <si>
    <t>0997-6635129;0997-6635869;0997-6635669;13779779099</t>
  </si>
  <si>
    <t>525972206@qq.com</t>
  </si>
  <si>
    <t>1124740828@qq.com</t>
  </si>
  <si>
    <t>652900050000569</t>
  </si>
  <si>
    <t>79228770-7</t>
  </si>
  <si>
    <t>2006-10-23 至 无固定期限</t>
  </si>
  <si>
    <t>Xinjiang Tienong Logistics Co., Ltd.</t>
  </si>
  <si>
    <t>新疆铁农物流有限责任公司成立于2006-10-23，法定代表人为王立志，注册资本为2458.0199万元，统一社会信用代码为916529007922877079，企业注册地址位于新疆阿克苏地区阿克苏市南城街道火车站社区交通路南侧（浦东假日酒店东侧200米），所属行业为多式联运和运输代理业，经营范围包含：许可项目：危险化学品经营。（依法须经批准的项目，经相关部门批准后方可开展经营活动，具体经营项目以相关部门批准文件或许可证件为准）一般项目：铁路运输辅助活动；普通货物仓储服务（不含危险化学品等需许可审批的项目）；棉、麻销售；棉花收购；针纺织品及原料销售；国内货物运输代理；国内集装箱货物运输代理；农副产品销售；谷物销售；国内贸易代理；电子过磅服务；非居住房地产租赁；金属材料销售；石油制品销售（不含危险化学品）；化工产品销售（不含许可类化工产品）；防火封堵材料销售；金属制品销售；纸浆销售；建筑材料销售；地板销售；合成材料销售；日用品销售；家用电器销售。（除依法须经批准的项目外，凭营业执照依法自主开展经营活动）。企业当前经营状态为存续。</t>
  </si>
  <si>
    <t>许可项目：危险化学品经营。（依法须经批准的项目，经相关部门批准后方可开展经营活动，具体经营项目以相关部门批准文件或许可证件为准）一般项目：铁路运输辅助活动；普通货物仓储服务（不含危险化学品等需许可审批的项目）；棉、麻销售；棉花收购；针纺织品及原料销售；国内货物运输代理；国内集装箱货物运输代理；农副产品销售；谷物销售；国内贸易代理；电子过磅服务；非居住房地产租赁；金属材料销售；石油制品销售（不含危险化学品）；化工产品销售（不含许可类化工产品）；防火封堵材料销售；金属制品销售；纸浆销售；建筑材料销售；地板销售；合成材料销售；日用品销售；家用电器销售。（除依法须经批准的项目外，凭营业执照依法自主开展经营活动）</t>
  </si>
  <si>
    <t>新疆维吾尔自治区棉麻公司乌鲁木齐棉麻站</t>
  </si>
  <si>
    <t>916501002286707567</t>
  </si>
  <si>
    <t>侯瑞刚</t>
  </si>
  <si>
    <t>2010.8万元</t>
  </si>
  <si>
    <t>1984-06-19</t>
  </si>
  <si>
    <t>新疆乌鲁木齐市头屯河区北站四路38号</t>
  </si>
  <si>
    <t>18690898911</t>
  </si>
  <si>
    <t>0991-3873241</t>
  </si>
  <si>
    <t>178031672@qq.com</t>
  </si>
  <si>
    <t>650100010000105</t>
  </si>
  <si>
    <t>22867075-6</t>
  </si>
  <si>
    <t>1984-06-19 至 无固定期限</t>
  </si>
  <si>
    <t>Xinjiang Uygur Autonomous Region Cotton and Hemp Company Urumqi Cotton and Hemp Station</t>
  </si>
  <si>
    <t>销售：棉籽、棉粕、有色金属、铝制品、金属材料、金属制品、建筑材料、机电产品及配件、化肥、粮食、棉花及棉副产品、包皮布、五交化产品、水暖器材、农业机械及配件、农副产品、棉纺织品；籽棉收购、委托加工，打包服务，搬运、装卸服务，房屋、库房、仓库、场地租赁,铁路货物运输代理；仓储服务；道路普通货运；货物运输代理及咨询；集装箱物资代发；地磅服务；停车场经营管理；物业管理。（依法须经批准的项目，经相关部门批准后方可开展经营活动）</t>
  </si>
  <si>
    <t>新疆农资（集团）有限责任公司奎屯西库棉花储运分公司</t>
  </si>
  <si>
    <t>91654003MA783HUU6A</t>
  </si>
  <si>
    <t>朱海颜</t>
  </si>
  <si>
    <t>2018-09-18</t>
  </si>
  <si>
    <t>新疆伊犁州奎屯市60-A区翠竹园3-1号</t>
  </si>
  <si>
    <t>13579150318</t>
  </si>
  <si>
    <t>0992-3290289</t>
  </si>
  <si>
    <t>253130824@qq.com</t>
  </si>
  <si>
    <t>654003130001564</t>
  </si>
  <si>
    <t>MA783HUU-6</t>
  </si>
  <si>
    <t>2018-09-18 至 无固定期限</t>
  </si>
  <si>
    <t>Xinjiang Agricultural Materials (Group) Co., Ltd. Kuitun Xiku Cotton Storage and Transportation Branch</t>
  </si>
  <si>
    <t>新疆农资（集团）有限责任公司奎屯西库棉花储运分公司成立于2018-09-18，负责人为朱海颜，统一社会信用代码为91654003MA783HUU6A，企业注册地址位于新疆伊犁州奎屯市60-A区翠竹园3-1号，所属行业为批发业，经营范围包含：一般项目：普通货物仓储服务（不含危险化学品等需许可审批的项目）；装卸搬运；非居住房地产租赁；化肥销售；农作物种子经营（仅限不再分装的包装种子）；塑料制品销售；农副产品销售；畜牧渔业饲料销售；肥料销售；五金产品零售；日用百货销售；农业机械销售；汽车零配件批发；建筑用钢筋产品销售；木材销售；环境保护专用设备销售；化工产品销售（不含许可类化工产品）；建筑材料销售；水泥制品销售；棉、麻销售；新鲜蔬菜零售；针纺织品销售；化妆品零售；服装服饰零售；塑料制品制造；国内货物运输代理；技术进出口。（除依法须经批准的项目外，凭营业执照依法自主开展经营活动）。企业当前经营状态为存续。</t>
  </si>
  <si>
    <t>一般项目：普通货物仓储服务（不含危险化学品等需许可审批的项目）；装卸搬运；非居住房地产租赁；化肥销售；农作物种子经营（仅限不再分装的包装种子）；塑料制品销售；农副产品销售；畜牧渔业饲料销售；肥料销售；五金产品零售；日用百货销售；农业机械销售；汽车零配件批发；建筑用钢筋产品销售；木材销售；环境保护专用设备销售；化工产品销售（不含许可类化工产品）；建筑材料销售；水泥制品销售；棉、麻销售；新鲜蔬菜零售；针纺织品销售；化妆品零售；服装服饰零售；塑料制品制造；国内货物运输代理；技术进出口。（除依法须经批准的项目外，凭营业执照依法自主开展经营活动）</t>
  </si>
  <si>
    <t>新疆伊犁州陆德棉麻有限责任公司</t>
  </si>
  <si>
    <t>916540030978602411</t>
  </si>
  <si>
    <t>鲁亚军</t>
  </si>
  <si>
    <t>8500万元</t>
  </si>
  <si>
    <t>2014-03-26</t>
  </si>
  <si>
    <t>新疆伊犁州奎屯市翠竹园1-40幢</t>
  </si>
  <si>
    <t>0992-3288792</t>
  </si>
  <si>
    <t>0992-3276672</t>
  </si>
  <si>
    <t>1074153298@qq.com</t>
  </si>
  <si>
    <t>416033639@qq.com</t>
  </si>
  <si>
    <t>654003050017545</t>
  </si>
  <si>
    <t>09786024-1</t>
  </si>
  <si>
    <t>2014-03-26 至 2044-03-25</t>
  </si>
  <si>
    <t>Xinjiang Yili Prefecture Lude Cotton and Hemp Co., Ltd.</t>
  </si>
  <si>
    <t>新疆伊犁州陆德棉麻有限责任公司成立于2014-03-26，法定代表人为鲁亚军，注册资本为8500万元，统一社会信用代码为916540030978602411，企业注册地址位于新疆伊犁州奎屯市翠竹园1-40幢，所属行业为批发业，经营范围包含：皮棉，棉短绒，棉粕，化肥的零售；铁路货物代理服务；仓储服务（有毒危险品除外）；装卸、搬运服务；房屋租赁；货物与技术的进出口业务。（依法须经批准的项目，经相关部门批准后方可开展经营活动）。企业当前经营状态为存续。</t>
  </si>
  <si>
    <t>皮棉，棉短绒，棉粕，化肥的零售；铁路货物代理服务；仓储服务（有毒危险品除外）；装卸、搬运服务；房屋租赁；货物与技术的进出口业务。（依法须经批准的项目，经相关部门批准后方可开展经营活动）</t>
  </si>
  <si>
    <t>新疆锦葵仓储有限责任公司</t>
  </si>
  <si>
    <t>91659004MADCN2JY1D</t>
  </si>
  <si>
    <t>吴丽双</t>
  </si>
  <si>
    <t>2024-02-28</t>
  </si>
  <si>
    <t>新疆昌吉回族自治州呼图壁县芳草湖农场天星南路1号芳草湖农场机关办公楼515室</t>
  </si>
  <si>
    <t>18969786789</t>
  </si>
  <si>
    <t>13486733099</t>
  </si>
  <si>
    <t>18969786789@163.com</t>
  </si>
  <si>
    <t>MADCN2JY-1</t>
  </si>
  <si>
    <t>2024-02-28 至 无固定期限</t>
  </si>
  <si>
    <t>Xinjiang Jinkui Storage Co., Ltd.</t>
  </si>
  <si>
    <t>新疆锦葵仓储有限责任公司成立于2024-02-28，法定代表人为吴丽双，注册资本为3000万元，统一社会信用代码为91659004MADCN2JY1D，企业注册地址位于新疆昌吉回族自治州呼图壁县芳草湖农场天星南路1号芳草湖农场机关办公楼515室，所属行业为装卸搬运和仓储业，经营范围包含：一般项目：陆路国际货物运输代理；装卸搬运；普通货物仓储服务（不含危险化学品等需许可审批的项目）（除依法须经批准的项目外，凭营业执照依法自主开展经营活动）。企业当前经营状态为存续。</t>
  </si>
  <si>
    <t>一般项目：陆路国际货物运输代理；装卸搬运；普通货物仓储服务（不含危险化学品等需许可审批的项目）（除依法须经批准的项目外，凭营业执照依法自主开展经营活动）</t>
  </si>
  <si>
    <t>新疆银棉储运有限公司</t>
  </si>
  <si>
    <t>91654003754573761R</t>
  </si>
  <si>
    <t>奎屯天凯棉业加工有限责任公司</t>
  </si>
  <si>
    <t>阮浩哲</t>
  </si>
  <si>
    <t>11072.22531万元</t>
  </si>
  <si>
    <t>2003-09-01</t>
  </si>
  <si>
    <t>新疆伊犁州奎屯市胡杨园2号</t>
  </si>
  <si>
    <t>0992-3377256</t>
  </si>
  <si>
    <t>0992-3377868;0992-3377871;0992-7389915</t>
  </si>
  <si>
    <t>119338860@qq.com</t>
  </si>
  <si>
    <t>1908723565@qq.com;1505056955@qq.com</t>
  </si>
  <si>
    <t>654003030000621</t>
  </si>
  <si>
    <t>75457376-1</t>
  </si>
  <si>
    <t>2003-09-01 至 无固定期限</t>
  </si>
  <si>
    <t>Xinjiang Silver Cotton Storage and Transportation Co., Ltd.</t>
  </si>
  <si>
    <t>新疆银棉储运有限公司成立于2003-09-01，法定代表人为阮浩哲，注册资本为11072.22531万元，统一社会信用代码为91654003754573761R，企业注册地址位于新疆伊犁州奎屯市胡杨园2号，所属行业为农、林、牧、渔专业及辅助性活动，经营范围包含：一般项目：普通货物仓储服务（不含危险化学品等需许可审批的项目）；装卸搬运；道路货物运输站经营；国内集装箱货物运输代理；国内货物运输代理；仓储设备租赁服务；运输货物打包服务；物料搬运装备销售；机械设备租赁；农副产品销售；专用化学产品销售（不含危险化学品）；有色金属合金销售；金属工具销售；租赁服务（不含许可类租赁服务）；针纺织品销售；汽车零配件批发；塑料制品销售；肥料销售；住房租赁；棉花收购；棉花加工机械销售；棉花加工；棉、麻销售；包装材料及制品销售；农、林、牧、副、渔业专业机械的销售；纺织专用设备销售；风动和电动工具销售；建筑用钢筋产品销售；轻质建筑材料销售；建筑材料销售；电线、电缆经营；仪器仪表销售；铁路运输设备销售；五金产品零售；包装服务；柜台、摊位出租；小微型客车租赁经营服务；国际货物运输代理；停车场服务；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</si>
  <si>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普通货物仓储服务（不含危险化学品等需许可审批的项目）；装卸搬运；道路货物运输站经营；国内集装箱货物运输代理；国内货物运输代理；仓储设备租赁服务；运输货物打包服务；物料搬运装备销售；机械设备租赁；农副产品销售；专用化学产品销售（不含危险化学品）；有色金属合金销售；金属工具销售；租赁服务（不含许可类租赁服务）；针纺织品销售；汽车零配件批发；塑料制品销售；肥料销售；住房租赁；棉花收购；棉花加工机械销售；棉花加工；棉、麻销售；包装材料及制品销售；农、林、牧、副、渔业专业机械的销售；纺织专用设备销售；风动和电动工具销售；建筑用钢筋产品销售；轻质建筑材料销售；建筑材料销售；电线、电缆经营；仪器仪表销售；铁路运输设备销售；五金产品零售；包装服务；柜台、摊位出租；小微型客车租赁经营服务；国际货物运输代理；停车场服务；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</si>
  <si>
    <t>新疆永瑞恒兴物流有限公司</t>
  </si>
  <si>
    <t>91652801068848921L</t>
  </si>
  <si>
    <t>新疆生产建设兵团第二师永兴物流有限公司,
巴州冠农物流有限公司</t>
  </si>
  <si>
    <t>叶挺</t>
  </si>
  <si>
    <t>2013-06-24</t>
  </si>
  <si>
    <t>新疆铁门关市库西工业园纬五路1号河北创业服务大厦228号</t>
  </si>
  <si>
    <t>18609961337</t>
  </si>
  <si>
    <t>13779686816;0996-8693789;0996-2022690;0996-8693801;13899009155;0996-8693802;13309962264</t>
  </si>
  <si>
    <t>497519386@qq.com</t>
  </si>
  <si>
    <t>3555655340@qq.com;nesyzt@126.com;nesyzt@163.com;1472092204@qq.com;1094746358@qq.com</t>
  </si>
  <si>
    <t>652801030002037</t>
  </si>
  <si>
    <t>06884892-1</t>
  </si>
  <si>
    <t>2013-06-24 至 2033-06-23</t>
  </si>
  <si>
    <t>通用仓储</t>
  </si>
  <si>
    <t>Xinjiang Yongrui Hengxing Logistics Co., Ltd.</t>
  </si>
  <si>
    <t>新疆永瑞恒兴物流有限公司成立于2013-06-24，法定代表人为叶挺，注册资本为1600万元，统一社会信用代码为91652801068848921L，企业注册地址位于新疆铁门关市库西工业园纬五路1号河北创业服务大厦228号，所属行业为装卸搬运和仓储业，经营范围包含：许可项目：道路货物运输（不含危险货物）；餐饮服务（依法须经批准的项目，经相关部门批准后方可开展经营活动，具体经营项目以相关部门批准文件或许可证件为准）一般项目：普通货物仓储服务（不含危险化学品等需许可审批的项目）；棉、麻销售；棉花收购；农副产品销售；棉花加工；集装箱租赁服务；初级农产品收购；针纺织品及原料销售；机械设备销售（除依法须经批准的项目外，凭营业执照依法自主开展经营活动）。企业当前经营状态为存续。</t>
  </si>
  <si>
    <t>许可项目：道路货物运输（不含危险货物）；餐饮服务（依法须经批准的项目，经相关部门批准后方可开展经营活动，具体经营项目以相关部门批准文件或许可证件为准）一般项目：普通货物仓储服务（不含危险化学品等需许可审批的项目）；棉、麻销售；棉花收购；农副产品销售；棉花加工；集装箱租赁服务；初级农产品收购；针纺织品及原料销售；机械设备销售（除依法须经批准的项目外，凭营业执照依法自主开展经营活动）</t>
  </si>
  <si>
    <t>新疆汇锦物流有限公司</t>
  </si>
  <si>
    <t>91652800068813032U</t>
  </si>
  <si>
    <t>陈哲纯</t>
  </si>
  <si>
    <t>2013-05-21</t>
  </si>
  <si>
    <t>新疆巴州库尔勒市上库综合产业园区内、库库高速公路北侧</t>
  </si>
  <si>
    <t>13709965277</t>
  </si>
  <si>
    <t>0996-2611061;0996-2937861;0996-2937851</t>
  </si>
  <si>
    <t>521202972@qq.com</t>
  </si>
  <si>
    <t>2319033188@qq.com;34873839@qq.com</t>
  </si>
  <si>
    <t>652800050002417</t>
  </si>
  <si>
    <t>06881303-2</t>
  </si>
  <si>
    <t>2013-05-21 至 无固定期限</t>
  </si>
  <si>
    <t>Xinjiang Huijin Logistics Co., Ltd.</t>
  </si>
  <si>
    <t>新疆汇锦物流有限公司成立于2013-05-21，法定代表人为陈哲纯，注册资本为10000万元，统一社会信用代码为91652800068813032U，企业注册地址位于新疆巴州库尔勒市上库综合产业园区内、库库高速公路北侧，所属行业为装卸搬运和仓储业，经营范围包含：许可项目：道路货物运输（不含危险货物）；道路货物运输（网络货运）。（依法须经批准的项目，经相关部门批准后方可开展经营活动，具体经营项目以相关部门批准文件或许可证件为准）一般项目：普通货物仓储服务（不含危险化学品等需许可审批的项目）；棉、麻销售；农副产品销售；道路货物运输站经营；包装服务；货物进出口；集贸市场管理服务；互联网销售（除销售需要许可的商品）；装卸搬运；化肥销售；煤炭及制品销售；日用百货销售；食用农产品批发；住房租赁；仓储设备租赁服务；租赁服务（不含许可类租赁服务）；土地使用权租赁；机械设备租赁；停车场服务；供应链管理服务；信息技术咨询服务。（除依法须经批准的项目外，凭营业执照依法自主开展经营活动）。企业当前经营状态为存续。</t>
  </si>
  <si>
    <t>许可项目：道路货物运输（不含危险货物）；道路货物运输（网络货运）。（依法须经批准的项目，经相关部门批准后方可开展经营活动，具体经营项目以相关部门批准文件或许可证件为准）一般项目：普通货物仓储服务（不含危险化学品等需许可审批的项目）；棉、麻销售；农副产品销售；道路货物运输站经营；包装服务；货物进出口；集贸市场管理服务；互联网销售（除销售需要许可的商品）；装卸搬运；化肥销售；煤炭及制品销售；日用百货销售；食用农产品批发；住房租赁；仓储设备租赁服务；租赁服务（不含许可类租赁服务）；土地使用权租赁；机械设备租赁；停车场服务；供应链管理服务；信息技术咨询服务。（除依法须经批准的项目外，凭营业执照依法自主开展经营活动）</t>
  </si>
  <si>
    <t>中储棉库尔勒有限责任公司</t>
  </si>
  <si>
    <t>916528015564564098</t>
  </si>
  <si>
    <t>王祥</t>
  </si>
  <si>
    <t>2010-06-02</t>
  </si>
  <si>
    <t>新疆巴州库尔勒市火车西站原农资二级站院内</t>
  </si>
  <si>
    <t>0996-6878078</t>
  </si>
  <si>
    <t>0996-6878086</t>
  </si>
  <si>
    <t>lisijia199606@163.com</t>
  </si>
  <si>
    <t>1933195247@qq.com;32555424@qq.com;2962663688@qq.com</t>
  </si>
  <si>
    <t>652801030001606</t>
  </si>
  <si>
    <t>55645640-9</t>
  </si>
  <si>
    <t>2010-06-02 至 2060-06-01</t>
  </si>
  <si>
    <t>Zhongchu Cotton Korla Co., Ltd.</t>
  </si>
  <si>
    <t>中储棉库尔勒有限责任公司成立于2010-06-02，法定代表人为王祥，注册资本为1000万元，统一社会信用代码为916528015564564098，企业注册地址位于新疆巴州库尔勒市火车西站原农资二级站院内，所属行业为装卸搬运和仓储业，经营范围包含：棉花收购，批发零售：棉花、化肥、塑料薄膜、其他化工产品、其他农畜产品，仓储服务，机械设备租赁，铁路运输代理服务，货物进出口业务，经济贸易咨询。（管控要素除外）（依法须经批准的项目，经相关部门批准后方可开展经营活动）。企业当前经营状态为存续。</t>
  </si>
  <si>
    <t>棉花收购，批发零售：棉花、化肥、塑料薄膜、其他化工产品、其他农畜产品，仓储服务，机械设备租赁，铁路运输代理服务，货物进出口业务，经济贸易咨询。（管控要素除外）（依法须经批准的项目，经相关部门批准后方可开展经营活动）</t>
  </si>
  <si>
    <t>中棉集团山东物流园有限公司</t>
  </si>
  <si>
    <t>9137070055788670XN</t>
  </si>
  <si>
    <t>36700万元</t>
  </si>
  <si>
    <t>2010-07-01</t>
  </si>
  <si>
    <t>山东潍坊滨海经济开发区汉江西街000666号</t>
  </si>
  <si>
    <t>潍坊滨海经济技术开发区</t>
  </si>
  <si>
    <t>15866114665</t>
  </si>
  <si>
    <t>0536-7572912</t>
  </si>
  <si>
    <t>zmsdwly@163.com</t>
  </si>
  <si>
    <t>zmsdwly@126.com;zmwl123@126.com</t>
  </si>
  <si>
    <t>370727000000313</t>
  </si>
  <si>
    <t>55788670-X</t>
  </si>
  <si>
    <t>2010-07-01 至 2030-07-01</t>
  </si>
  <si>
    <t>China Cotton Group Shandong Logistics Park Co., Ltd.</t>
  </si>
  <si>
    <t>中棉集团山东物流园有限公司成立于2010-07-01，法定代表人为刘平，注册资本为36700万元，统一社会信用代码为9137070055788670XN，企业注册地址位于山东潍坊滨海经济开发区汉江西街000666号，所属行业为装卸搬运和仓储业，经营范围包含：棉花及其它物资的储存（不含许可产品）；市场管理；销售：棉花（不含收购、加工）、麻类、棉短绒及副产品、棉纱、饲料、服装、针纺织品、农用机械、普通机械、电子产品、仪器仪表、皮革制品、木材、钢铁、金属制品、汽车配件、化工原料及产品（不含许可产品）；房屋租赁；房地产开发经营；国家允许的货物及技术进出口业务；（以上依法须经批准的项目，经相关部门批准后方可开展经营活动）。收购、销售粮食（粮食收购许可证有效期以许可证为准）。企业当前经营状态为在业。</t>
  </si>
  <si>
    <t>棉花及其它物资的储存（不含许可产品）；市场管理；销售：棉花（不含收购、加工）、麻类、棉短绒及副产品、棉纱、饲料、服装、针纺织品、农用机械、普通机械、电子产品、仪器仪表、皮革制品、木材、钢铁、金属制品、汽车配件、化工原料及产品（不含许可产品）；房屋租赁；房地产开发经营；国家允许的货物及技术进出口业务；（以上依法须经批准的项目，经相关部门批准后方可开展经营活动）。收购、销售粮食（粮食收购许可证有效期以许可证为准）。</t>
  </si>
  <si>
    <t>潍坊滨海经济技术开发区市场监督管理局</t>
  </si>
  <si>
    <t>新疆华嵘电子商务有限责任公司</t>
  </si>
  <si>
    <t>91652301313466573Y</t>
  </si>
  <si>
    <t>姚明江</t>
  </si>
  <si>
    <t>6370万元</t>
  </si>
  <si>
    <t>新疆昌吉州昌吉市三工镇区火车站物流园丘18栋</t>
  </si>
  <si>
    <t>13999295397</t>
  </si>
  <si>
    <t>0994-2711618;0994-2325933;0994-2364033</t>
  </si>
  <si>
    <t>158148584@qq.com</t>
  </si>
  <si>
    <t>1577154193@qq.com</t>
  </si>
  <si>
    <t>652301050036472</t>
  </si>
  <si>
    <t>31346657-3</t>
  </si>
  <si>
    <t>互联网和相关服务</t>
  </si>
  <si>
    <t>互联网信息服务</t>
  </si>
  <si>
    <t>互联网其他信息服务</t>
  </si>
  <si>
    <t>Xinjiang Huarong E-commerce Co., Ltd.</t>
  </si>
  <si>
    <t>新疆华嵘电子商务有限责任公司成立于2014-07-29，法定代表人为姚明江，注册资本为6370万元，统一社会信用代码为91652301313466573Y，企业注册地址位于新疆昌吉州昌吉市三工镇区火车站物流园丘18栋，所属行业为互联网和相关服务，经营范围包含：贸易代理；棉花仓储；其他农产品仓储、其他仓储服务；装卸搬运；货物运输代理；批发：棉、麻、金属及金属矿、建材（依法须经批准的项目，经相关部门批准后方可开展经营活动）。企业当前经营状态为存续。</t>
  </si>
  <si>
    <t>贸易代理；棉花仓储；其他农产品仓储、其他仓储服务；装卸搬运；货物运输代理；批发：棉、麻、金属及金属矿、建材（依法须经批准的项目，经相关部门批准后方可开展经营活动）</t>
  </si>
  <si>
    <t>昌吉市市场监督管理局</t>
  </si>
  <si>
    <t>张家港保税区东方华垦仓储有限公司</t>
  </si>
  <si>
    <t>913205926696478348</t>
  </si>
  <si>
    <t>张家港保税区昊康仓储有限公司</t>
  </si>
  <si>
    <t>朱晨雨</t>
  </si>
  <si>
    <t>6500万元</t>
  </si>
  <si>
    <t>2007-12-06</t>
  </si>
  <si>
    <t>张家港保税物流园西区</t>
  </si>
  <si>
    <t>0512-58320608</t>
  </si>
  <si>
    <t>339457458@qq.com</t>
  </si>
  <si>
    <t>huakengcangchu@aliyun.com</t>
  </si>
  <si>
    <t>320592000032452</t>
  </si>
  <si>
    <t>66964783-4</t>
  </si>
  <si>
    <t>2007-12-06 至 2027-12-05</t>
  </si>
  <si>
    <t>Zhang Jia Gang Free Trade Zone Orient-Hua Ken Storage Co., Ltd.</t>
  </si>
  <si>
    <t>张家港保税区东方华垦仓储有限公司成立于2007-12-06，法定代表人为朱晨雨，注册资本为6500万元，统一社会信用代码为913205926696478348，企业注册地址位于张家港保税物流园西区，所属行业为装卸搬运和仓储业，经营范围包含：食品销售（待取得许可证后方可经营）；普货仓储业务（待消防验收合格后方可经营）；自营和代理各类商品的进出口业务（国家限定公司经营或禁止进出口的商品除外），工业油脂的销售。（依法须经批准的项目，经相关部门批准后方可开展经营活动）。企业当前经营状态为在业。</t>
  </si>
  <si>
    <t>食品销售（待取得许可证后方可经营）；普货仓储业务（待消防验收合格后方可经营）；自营和代理各类商品的进出口业务（国家限定公司经营或禁止进出口的商品除外），工业油脂的销售。（依法须经批准的项目，经相关部门批准后方可开展经营活动）</t>
  </si>
  <si>
    <t>国投裕廊洋浦港口有限公司</t>
  </si>
  <si>
    <t>91460300051077681D</t>
  </si>
  <si>
    <t>何侃</t>
  </si>
  <si>
    <t>76521.875882万元</t>
  </si>
  <si>
    <t>76521.88万元</t>
  </si>
  <si>
    <t>2012-09-18</t>
  </si>
  <si>
    <t>海南省洋浦经济开发区新英湾区新浦大厦8层</t>
  </si>
  <si>
    <t>0898-36996315</t>
  </si>
  <si>
    <t>gtyl@sdic.com.cn</t>
  </si>
  <si>
    <t>zhangxiaojing@sdic.com.cn;10017708@sdic.com.cn;zxj@sjyport.com</t>
  </si>
  <si>
    <t>460300400000891</t>
  </si>
  <si>
    <t>05107768-1</t>
  </si>
  <si>
    <t>340</t>
  </si>
  <si>
    <t>2012-09-18 至 2062-09-18</t>
  </si>
  <si>
    <t>SDIC Jurong Yangpu Port Co., Ltd.</t>
  </si>
  <si>
    <t>国投裕廊洋浦港口有限公司成立于2012-09-18，法定代表人为何侃，注册资本为76521.875882万元，统一社会信用代码为91460300051077681D，企业注册地址位于海南省洋浦经济开发区新英湾区新浦大厦8层，所属行业为其他服务业，经营范围包含：码头和其他港口设施经营，在港区内从事货物装卸、驳运、仓储经营（危险品除外），港口拖轮经营，船舶港口服务业务经营，港口机械、设施、设备租赁经营、维修服务，电力供应，自来水生产和供应。企业当前经营状态为存续。</t>
  </si>
  <si>
    <t>码头和其他港口设施经营，在港区内从事货物装卸、驳运、仓储经营（危险品除外），港口拖轮经营，船舶港口服务业务经营，港口机械、设施、设备租赁经营、维修服务，电力供应，自来水生产和供应。</t>
  </si>
  <si>
    <t>滨州市滨城区滨粮国家粮食储备库有限公司</t>
  </si>
  <si>
    <t>913716027286103461</t>
  </si>
  <si>
    <t>山东滨城国家粮食储备库</t>
  </si>
  <si>
    <t>张亮亮</t>
  </si>
  <si>
    <t>1734.15万元</t>
  </si>
  <si>
    <t>2003-01-09</t>
  </si>
  <si>
    <t>山东省滨州市滨城区滨北镇凤凰三路99号</t>
  </si>
  <si>
    <t>0543-2213717</t>
  </si>
  <si>
    <t>yxw080606@126.com</t>
  </si>
  <si>
    <t>371602018015859</t>
  </si>
  <si>
    <t>72861034-6</t>
  </si>
  <si>
    <t>2003-01-09 至 无固定期限</t>
  </si>
  <si>
    <t>Binzhou Bincheng District Binliang National Grain Reserve Co., Ltd.</t>
  </si>
  <si>
    <t>滨州市滨城区滨北镇经三路</t>
  </si>
  <si>
    <t>滨州市滨城区滨粮国家粮食储备库有限公司成立于2003-01-09，法定代表人为张亮亮，注册资本为1734.15万元，统一社会信用代码为913716027286103461，企业注册地址位于山东省滨州市滨城区滨北镇凤凰三路99号，所属行业为零售业，经营范围包含：许可项目：粮食收购。（依法须经批准的项目，经相关部门批准后方可开展经营活动，具体经营项目以相关部门批准文件或许可证件为准）一般项目：粮油仓储服务；非居住房地产租赁；装卸搬运；谷物销售。（除依法须经批准的项目外，凭营业执照依法自主开展经营活动）。企业当前经营状态为在业。</t>
  </si>
  <si>
    <t>许可项目：粮食收购。（依法须经批准的项目，经相关部门批准后方可开展经营活动，具体经营项目以相关部门批准文件或许可证件为准）一般项目：粮油仓储服务；非居住房地产租赁；装卸搬运；谷物销售。（除依法须经批准的项目外，凭营业执照依法自主开展经营活动）</t>
  </si>
  <si>
    <t>山东滨州黄河三角洲粮食批发市场有限公司</t>
  </si>
  <si>
    <t>91371602166940166E</t>
  </si>
  <si>
    <t>滨州市滨城区粮食批发市场,
滨州市粮食批发市场,
山东滨州黄河三角洲粮食批发市场</t>
  </si>
  <si>
    <t>毛立志</t>
  </si>
  <si>
    <t>1140万元</t>
  </si>
  <si>
    <t>1998-08-14</t>
  </si>
  <si>
    <t>山东省滨州市滨城区黄河五路543-6号</t>
  </si>
  <si>
    <t>0543-2213729</t>
  </si>
  <si>
    <t>0543-3316972</t>
  </si>
  <si>
    <t>sdbz-liangshi@163.com</t>
  </si>
  <si>
    <t>371602018015658</t>
  </si>
  <si>
    <t>16694016-6</t>
  </si>
  <si>
    <t>1998-08-14 至 无固定期限</t>
  </si>
  <si>
    <t>Shandong Binzhou Yellow River Delta Grain Wholesale Market Co., Ltd.</t>
  </si>
  <si>
    <t>山东滨州黄河三角洲粮食批发市场有限公司成立于1998-08-14，法定代表人为毛立志，注册资本为1140万元，统一社会信用代码为91371602166940166E，企业注册地址位于山东省滨州市滨城区黄河五路543-6号，所属行业为批发业，经营范围包含：一般项目：粮油仓储服务；初级农产品收购；粮食收购；食用农产品批发；普通货物仓储服务（不含危险化学品等需许可审批的项目）；装卸搬运；非居住房地产租赁；食品添加剂销售；饲料原料销售；货物进出口；技术进出口；进出口代理；食品进出口；食品销售（仅销售预包装食品）。（除依法须经批准的项目外，凭营业执照依法自主开展经营活动）许可项目：危险化学品经营；食品销售。（依法须经批准的项目，经相关部门批准后方可开展经营活动，具体经营项目以相关部门批准文件或许可证件为准）。企业当前经营状态为在业。</t>
  </si>
  <si>
    <t>一般项目：粮油仓储服务；初级农产品收购；粮食收购；食用农产品批发；普通货物仓储服务（不含危险化学品等需许可审批的项目）；装卸搬运；非居住房地产租赁；食品添加剂销售；饲料原料销售；货物进出口；技术进出口；进出口代理；食品进出口；食品销售（仅销售预包装食品）。（除依法须经批准的项目外，凭营业执照依法自主开展经营活动）许可项目：危险化学品经营；食品销售。（依法须经批准的项目，经相关部门批准后方可开展经营活动，具体经营项目以相关部门批准文件或许可证件为准）</t>
  </si>
  <si>
    <t>洋浦国际船舶代理有限公司</t>
  </si>
  <si>
    <t>914603007742507405</t>
  </si>
  <si>
    <t>何明强</t>
  </si>
  <si>
    <t>2005-05-12</t>
  </si>
  <si>
    <t>洋浦新浦大厦0502号</t>
  </si>
  <si>
    <t>三沙市</t>
  </si>
  <si>
    <t>0898-36982900</t>
  </si>
  <si>
    <t>0898-36982909;0898-36982903</t>
  </si>
  <si>
    <t>gosa@vip.sina.com</t>
  </si>
  <si>
    <t>gosa@vip.sian.com;gosa@sina.com</t>
  </si>
  <si>
    <t>460300000011535</t>
  </si>
  <si>
    <t>77425074-0</t>
  </si>
  <si>
    <t>2005-05-12 至 无固定期限</t>
  </si>
  <si>
    <t>Yangpu International Ship Agency Co., Ltd.</t>
  </si>
  <si>
    <t>洋浦国际船舶代理有限公司成立于2005-05-12，法定代表人为何明强，注册资本为600万元，统一社会信用代码为914603007742507405，企业注册地址位于洋浦新浦大厦0502号，所属行业为水上运输业，经营范围包含：许可项目：报关业务（依法须经批准的项目，经相关部门批准后方可开展经营活动）一般项目：国际船舶代理；国内船舶代理；船舶租赁；无船承运业务；从事国际集装箱船、普通货船运输；从事内地与港澳间集装箱船、普通货船运输；海上国际货物运输代理；国内货物运输代理；国际货物运输代理；航空国际货物运输代理；陆路国际货物运输代理；国内集装箱货物运输代理；海洋船员事务代理代办服务；内河船员事务代理代办服务；港口理货；劳务服务（不含劳务派遣）；报检业务（除许可业务外，可自主依法经营法律法规非禁止或限制的项目）。企业当前经营状态为存续。</t>
  </si>
  <si>
    <t>许可项目：报关业务（依法须经批准的项目，经相关部门批准后方可开展经营活动）一般项目：国际船舶代理；国内船舶代理；船舶租赁；无船承运业务；从事国际集装箱船、普通货船运输；从事内地与港澳间集装箱船、普通货船运输；海上国际货物运输代理；国内货物运输代理；国际货物运输代理；航空国际货物运输代理；陆路国际货物运输代理；国内集装箱货物运输代理；海洋船员事务代理代办服务；内河船员事务代理代办服务；港口理货；劳务服务（不含劳务派遣）；报检业务（除许可业务外，可自主依法经营法律法规非禁止或限制的项目）</t>
  </si>
  <si>
    <t>江苏华夏国际货运代理有限公司</t>
  </si>
  <si>
    <t>9132058277468029X5</t>
  </si>
  <si>
    <t>张家港市华夏国际货运代理有限公司</t>
  </si>
  <si>
    <t>宋建国</t>
  </si>
  <si>
    <t>2005-05-24</t>
  </si>
  <si>
    <t>张家港市金港镇长江润发国际大厦A1102室</t>
  </si>
  <si>
    <t>0512-58323263</t>
  </si>
  <si>
    <t>shirley.li@sinoinspect.com</t>
  </si>
  <si>
    <t>shirley.li@inspect.com</t>
  </si>
  <si>
    <t>320582000081211</t>
  </si>
  <si>
    <t>77468029-X</t>
  </si>
  <si>
    <t>2005-05-24 至 无固定期限</t>
  </si>
  <si>
    <t>Jiangsu Huaxia International Freight Forward Co., Ltd.</t>
  </si>
  <si>
    <t>金港镇长江润发国际大厦A座6楼</t>
  </si>
  <si>
    <t>江苏华夏国际货运代理有限公司成立于2005-05-24，法定代表人为宋建国，注册资本为500万元，统一社会信用代码为9132058277468029X5，企业注册地址位于张家港市金港镇长江润发国际大厦A1102室，所属行业为多式联运和运输代理业，经营范围包含：国际货物运输代理业务，包括：报关、报检、仓储中转（除危险品）、集装箱拼装拆箱、结算运杂费及运输咨询业务。（依法须经批准的项目，经相关部门批准后方可开展经营活动）。企业当前经营状态为存续。</t>
  </si>
  <si>
    <t>国际货物运输代理业务，包括：报关、报检、仓储中转（除危险品）、集装箱拼装拆箱、结算运杂费及运输咨询业务。（依法须经批准的项目，经相关部门批准后方可开展经营活动）</t>
  </si>
  <si>
    <t>江苏益禾雨粮油食品有限公司</t>
  </si>
  <si>
    <t>91321084MA24Y8QM7H</t>
  </si>
  <si>
    <t>时玉兵</t>
  </si>
  <si>
    <t>2021-01-04</t>
  </si>
  <si>
    <t>高邮市临泽镇周巷工业园区朝晖路8号</t>
  </si>
  <si>
    <t>高邮市</t>
  </si>
  <si>
    <t>0514-84364168</t>
  </si>
  <si>
    <t>13655259082</t>
  </si>
  <si>
    <t>805007251@qq.com</t>
  </si>
  <si>
    <t>321084000447905</t>
  </si>
  <si>
    <t>MA24Y8QM-7</t>
  </si>
  <si>
    <t>2021-01-04 至 无固定期限</t>
  </si>
  <si>
    <t>Jiangsu Yiheyu Grain, Oil and Food Co., Ltd.</t>
  </si>
  <si>
    <t>江苏益禾雨粮油食品有限公司成立于2021-01-04，法定代表人为时玉兵，注册资本为1000万元，统一社会信用代码为91321084MA24Y8QM7H，企业注册地址位于高邮市临泽镇周巷工业园区朝晖路8号，所属行业为零售业，经营范围包含：许可项目：粮食加工食品生产；粮食收购；食品经营；农作物种子经营；饲料生产；农药批发；农药零售（依法须经批准的项目，经相关部门批准后方可开展经营活动，具体经营项目以审批结果为准）
一般项目：粮油仓储服务；农产品的生产、销售、加工、运输、贮藏及其他相关服务；谷物种植；饲料原料销售；化肥销售；货物进出口；技术进出口；进出口代理（除依法须经批准的项目外，凭营业执照依法自主开展经营活动）。企业当前经营状态为在业。</t>
  </si>
  <si>
    <t>许可项目：粮食加工食品生产；粮食收购；食品经营；农作物种子经营；饲料生产；农药批发；农药零售（依法须经批准的项目，经相关部门批准后方可开展经营活动，具体经营项目以审批结果为准）
一般项目：粮油仓储服务；农产品的生产、销售、加工、运输、贮藏及其他相关服务；谷物种植；饲料原料销售；化肥销售；货物进出口；技术进出口；进出口代理（除依法须经批准的项目外，凭营业执照依法自主开展经营活动）</t>
  </si>
  <si>
    <t>高邮市数据局</t>
  </si>
  <si>
    <t>大连华正检验有限公司</t>
  </si>
  <si>
    <t>912102427873361055</t>
  </si>
  <si>
    <t>大连北良检验有限公司</t>
  </si>
  <si>
    <t>夏然</t>
  </si>
  <si>
    <t>213.91万元</t>
  </si>
  <si>
    <t>2006-06-27</t>
  </si>
  <si>
    <t>辽宁省大连保税区北良港区良港路150-19号</t>
  </si>
  <si>
    <t>金州区</t>
  </si>
  <si>
    <t>0411-39898321</t>
  </si>
  <si>
    <t>0411-39897019</t>
  </si>
  <si>
    <t>houzhijin@cofco.com</t>
  </si>
  <si>
    <t>lab@beiliang.com;houzhijin@dlhuazheng.com;wangbeili@beiliang.com;lab@dlhuazheng.com</t>
  </si>
  <si>
    <t>210242000014433</t>
  </si>
  <si>
    <t>78733610-5</t>
  </si>
  <si>
    <t>2006-06-27 至 无固定期限</t>
  </si>
  <si>
    <t>质检技术服务</t>
  </si>
  <si>
    <t>Dalian Huazheng Inspection Co., Ltd.</t>
  </si>
  <si>
    <t>大连华正检验有限公司为通过CMA、CNAS、GAFTA、辽宁商检备案实验室资质的第三方检验机构，可开展粮油、饲料、食品的转基因、重金属、农残、微生物、理化检验，承揽港口粮食监装业务。</t>
  </si>
  <si>
    <t>受客户委托承担检验、检测、检查、鉴定服务；货物查验、评定、理货服务；粮食熏蒸；有害生物防治技术开发、技术咨询、技术服务、技术转让。（依法须经批准的项目，经相关部门批准后方可开展经营活动。）</t>
  </si>
  <si>
    <t>大连保税区市场监督管理局</t>
  </si>
  <si>
    <t>青岛旭丰物流有限公司</t>
  </si>
  <si>
    <t>91370220697163036C</t>
  </si>
  <si>
    <t>李培合</t>
  </si>
  <si>
    <t>2009-11-30</t>
  </si>
  <si>
    <t>山东省青岛市保税港区北京路45号东办公楼一楼-046（商务秘书公司托管地址）（A）</t>
  </si>
  <si>
    <t>0532-86760083</t>
  </si>
  <si>
    <t>wangxue@xufengcn.com</t>
  </si>
  <si>
    <t>670308510@qq.com;sunxin@xufengcn.com;sunxin@xufeng.com;1034535571@qq.com</t>
  </si>
  <si>
    <t>370220230006272</t>
  </si>
  <si>
    <t>69716303-6</t>
  </si>
  <si>
    <t>2009-11-30 至 2059-11-30</t>
  </si>
  <si>
    <t>Qingdao Xufeng Logistics Co., Ltd.</t>
  </si>
  <si>
    <t>青岛旭丰物流有限公司成立于2009-11-30，法定代表人为李培合，注册资本为2000万元，统一社会信用代码为91370220697163036C，企业注册地址位于山东省青岛市保税港区北京路45号东办公楼一楼-046（商务秘书公司托管地址）（A），所属行业为多式联运和运输代理业，经营范围包含：一般经营项目:国际货运代理；代理报关报检业务；货物装卸、分拆、集拼、中转、配送分拨（不含运输）。（以上范围需经许可经营的，须凭许可证经营）。企业当前经营状态为在业。</t>
  </si>
  <si>
    <t>一般经营项目:国际货运代理；代理报关报检业务；货物装卸、分拆、集拼、中转、配送分拨（不含运输）。（以上范围需经许可经营的，须凭许可证经营）。</t>
  </si>
  <si>
    <t>新疆兵棉宏泰物流有限公司</t>
  </si>
  <si>
    <t>91659001MA78LHD6X1</t>
  </si>
  <si>
    <t>陈俊杰</t>
  </si>
  <si>
    <t>17431.82万元</t>
  </si>
  <si>
    <t>2020-03-27</t>
  </si>
  <si>
    <t>新疆石河子市花园镇10连</t>
  </si>
  <si>
    <t>15001625662</t>
  </si>
  <si>
    <t>13579754066</t>
  </si>
  <si>
    <t>835950090@qq.com</t>
  </si>
  <si>
    <t>659101029001695</t>
  </si>
  <si>
    <t>MA78LHD6-X</t>
  </si>
  <si>
    <t>2020-03-27 至 无固定期限</t>
  </si>
  <si>
    <t>Xinjiang Bingmian Hongtai Logistics Co., Ltd.</t>
  </si>
  <si>
    <t>新疆兵棉宏泰物流有限公司成立于2020-03-27，法定代表人为陈俊杰，注册资本为17431.82万元，统一社会信用代码为91659001MA78LHD6X1，企业注册地址位于新疆石河子市花园镇10连，所属行业为道路运输业，经营范围包含：一般项目：普通货物仓储服务（不含危险化学品等需许可审批的项目）；装卸搬运；国内货物运输代理；棉花收购；棉、麻销售；包装材料及制品销售；包装专用设备销售；针纺织品销售；建筑材料销售；五金产品零售；电线、电缆经营；化工产品销售（不含许可类化工产品）；新鲜蔬菜批发；新鲜水果批发；农副产品销售；棉花加工；住房租赁；租赁服务（不含许可类租赁服务）（除依法须经批准的项目外，凭营业执照依法自主开展经营活动）许可项目：公共铁路运输；道路货物运输（不含危险货物）（依法须经批准的项目，经相关部门批准后方可开展经营活动，具体经营项目以相关部门批准文件或许可证件为准）。企业当前经营状态为存续。</t>
  </si>
  <si>
    <t>一般项目：普通货物仓储服务（不含危险化学品等需许可审批的项目）；装卸搬运；国内货物运输代理；棉花收购；棉、麻销售；包装材料及制品销售；包装专用设备销售；针纺织品销售；建筑材料销售；五金产品零售；电线、电缆经营；化工产品销售（不含许可类化工产品）；新鲜蔬菜批发；新鲜水果批发；农副产品销售；棉花加工；住房租赁；租赁服务（不含许可类租赁服务）（除依法须经批准的项目外，凭营业执照依法自主开展经营活动）许可项目：公共铁路运输；道路货物运输（不含危险货物）（依法须经批准的项目，经相关部门批准后方可开展经营活动，具体经营项目以相关部门批准文件或许可证件为准）</t>
  </si>
  <si>
    <t>莫索湾市场监督管理局</t>
  </si>
  <si>
    <t>江苏万红国际货运代理有限公司</t>
  </si>
  <si>
    <t>91320402669614047P</t>
  </si>
  <si>
    <t>谭根龙</t>
  </si>
  <si>
    <t>2007-11-27</t>
  </si>
  <si>
    <t>常州市博爱花苑5幢丙单元201室</t>
  </si>
  <si>
    <t>0519-82969220</t>
  </si>
  <si>
    <t>0519-82969376;0519-82969223;0519-83010001</t>
  </si>
  <si>
    <t>zhs_jswanhong@163.com</t>
  </si>
  <si>
    <t>xwy_jswanhong@163.com</t>
  </si>
  <si>
    <t>320400000021200</t>
  </si>
  <si>
    <t>66961404-7</t>
  </si>
  <si>
    <t>2007-11-27 至 无固定期限</t>
  </si>
  <si>
    <t>Jiangsu Wanhong International Freight Forwarding Co., Ltd.</t>
  </si>
  <si>
    <t>江苏万红国际货运代理有限公司成立于2007-11-27，法定代表人为谭根龙，注册资本为500万元，统一社会信用代码为91320402669614047P，企业注册地址位于常州市博爱花苑5幢丙单元201室，所属行业为多式联运和运输代理业，经营范围包含：承办海运、陆运、空运、快递（除私人信件）进出口货物的国际货运代理业务，信息咨询服务；代理进出口货物的报关、通关、转关业务及代理出入境检疫、检验、报检服务。（依法须经批准的项目，经相关部门批准后方可开展经营活动）。企业当前经营状态为存续。</t>
  </si>
  <si>
    <t>承办海运、陆运、空运、快递（除私人信件）进出口货物的国际货运代理业务，信息咨询服务；代理进出口货物的报关、通关、转关业务及代理出入境检疫、检验、报检服务。（依法须经批准的项目，经相关部门批准后方可开展经营活动）</t>
  </si>
  <si>
    <t>江苏锦晟国际货运代理有限公司</t>
  </si>
  <si>
    <t>9132059208934591X3</t>
  </si>
  <si>
    <t>尹连福</t>
  </si>
  <si>
    <t>2014-01-08</t>
  </si>
  <si>
    <t>张家港保税区纺织原料市场208室</t>
  </si>
  <si>
    <t>0512-58327737</t>
  </si>
  <si>
    <t>rowleyyin@jstrans.cn</t>
  </si>
  <si>
    <t>jsjs208@126.com</t>
  </si>
  <si>
    <t>320592000075758</t>
  </si>
  <si>
    <t>08934591-X</t>
  </si>
  <si>
    <t>2014-01-08 至 无固定期限</t>
  </si>
  <si>
    <t>Jiangsu Jinsheng International Freight Forwarding Co., Ltd.</t>
  </si>
  <si>
    <t>江苏锦晟国际货运代理有限公司成立于2014-01-08，法定代表人为尹连福，注册资本为1000万元，统一社会信用代码为9132059208934591X3，企业注册地址位于张家港保税区纺织原料市场208室，所属行业为多式联运和运输代理业，经营范围包含：国际货运代理。（依法须经批准的项目，经相关部门批准后方可开展经营活动）。企业当前经营状态为存续。</t>
  </si>
  <si>
    <t>国际货运代理。（依法须经批准的项目，经相关部门批准后方可开展经营活动）</t>
  </si>
  <si>
    <t>襄阳吉顺永通物流有限公司</t>
  </si>
  <si>
    <t>91420607559743884E</t>
  </si>
  <si>
    <t>襄樊吉顺永通物流有限公司</t>
  </si>
  <si>
    <t>杨佩</t>
  </si>
  <si>
    <t>1206万元</t>
  </si>
  <si>
    <t>2010-09-15</t>
  </si>
  <si>
    <t>襄阳市襄州区航空路86号（种子公司1幢2单元2304号）</t>
  </si>
  <si>
    <t>襄州区</t>
  </si>
  <si>
    <t>18327526633</t>
  </si>
  <si>
    <t>15271080668;0710-2769910;18307210423;18972227171;13774180668</t>
  </si>
  <si>
    <t>1035710806@qq.com</t>
  </si>
  <si>
    <t>282913136@qq.com;2454562468@qq.com;493037176@qq.com;2822841769@qq.com</t>
  </si>
  <si>
    <t>420621000021288</t>
  </si>
  <si>
    <t>55974388-4</t>
  </si>
  <si>
    <t>2010-09-15 至 无固定期限</t>
  </si>
  <si>
    <t>Xiangyang Jishun Yongtong Logistics Co., Ltd.</t>
  </si>
  <si>
    <t>www.xyjsyt.cn</t>
  </si>
  <si>
    <t>襄阳吉顺永通物流有限公司成立于2010-09-15，法定代表人为杨佩，注册资本为3000万元，统一社会信用代码为91420607559743884E，企业注册地址位于襄阳市襄州区航空路86号（种子公司1幢2单元2304号），所属行业为道路运输业，经营范围包含：许可项目：道路货物运输（不含危险货物）,国际道路货物运输。（依法须经批准的项目，经相关部门批准后方可开展经营活动，具体经营项目以相关部门批准文件或许可证件为准）一般项目：信息咨询服务（不含许可类信息咨询服务）,普通货物仓储服务（不含危险化学品等需许可审批的项目）,汽车零配件批发,汽车零配件零售,汽车销售,棉、麻销售,农副产品销售,服装服饰批发,服装服饰零售,产业用纺织制成品销售,针纺织品及原料销售,装卸搬运,劳务服务（不含劳务派遣）,国际货物运输代理,国内货物运输代理,报关业务,报检业务,货物进出口,进出口代理。（除许可业务外，可自主依法经营法律法规非禁止或限制的项目）。企业当前经营状态为存续。</t>
  </si>
  <si>
    <t>许可项目：道路货物运输（不含危险货物）,国际道路货物运输。（依法须经批准的项目，经相关部门批准后方可开展经营活动，具体经营项目以相关部门批准文件或许可证件为准）一般项目：信息咨询服务（不含许可类信息咨询服务）,普通货物仓储服务（不含危险化学品等需许可审批的项目）,汽车零配件批发,汽车零配件零售,汽车销售,棉、麻销售,农副产品销售,服装服饰批发,服装服饰零售,产业用纺织制成品销售,针纺织品及原料销售,装卸搬运,劳务服务（不含劳务派遣）,国际货物运输代理,国内货物运输代理,报关业务,报检业务,货物进出口,进出口代理。（除许可业务外，可自主依法经营法律法规非禁止或限制的项目）</t>
  </si>
  <si>
    <t>襄阳市襄州区市场监督管理局</t>
  </si>
  <si>
    <t>山东兴隆盛物流有限公司</t>
  </si>
  <si>
    <t>91370685580442103P</t>
  </si>
  <si>
    <t>王琳</t>
  </si>
  <si>
    <t>7400万元</t>
  </si>
  <si>
    <t>2011-08-16</t>
  </si>
  <si>
    <t>山东省招远市招金路777号</t>
  </si>
  <si>
    <t>烟台市</t>
  </si>
  <si>
    <t>招远市</t>
  </si>
  <si>
    <t>0535-8242215</t>
  </si>
  <si>
    <t>0535-3600920</t>
  </si>
  <si>
    <t>zhihui_wang@linglong.cn</t>
  </si>
  <si>
    <t>925270962@qq.com;xinglongshengwuliu@163.com</t>
  </si>
  <si>
    <t>370685200008157</t>
  </si>
  <si>
    <t>58044210-3</t>
  </si>
  <si>
    <t>2011-08-16 至 2031-08-16</t>
  </si>
  <si>
    <t>Shandong Xinglongsheng Logistics Company</t>
  </si>
  <si>
    <t>xingls56.cn</t>
  </si>
  <si>
    <t>山东兴隆盛物流有限公司成立于2011-08-16，法定代表人为王琳，注册资本为7400万元，统一社会信用代码为91370685580442103P，企业注册地址位于山东省招远市招金路777号，所属行业为道路运输业，经营范围包含：许可项目：道路货物运输（不含危险货物）。（依法须经批准的项目，经相关部门批准后方可开展经营活动，具体经营项目以相关部门批准文件或许可证件为准）一般项目：货物进出口；道路货物运输站经营；国际货物运输代理；非居住房地产租赁；特种设备出租；普通货物仓储服务（不含危险化学品等需许可审批的项目）；国内货物运输代理；装卸搬运；电线、电缆经营；矿山机械销售；发电机及发电机组销售；泵及真空设备销售；机械电气设备销售。（除依法须经批准的项目外，凭营业执照依法自主开展经营活动）。企业当前经营状态为在业。</t>
  </si>
  <si>
    <t>许可项目：道路货物运输（不含危险货物）。（依法须经批准的项目，经相关部门批准后方可开展经营活动，具体经营项目以相关部门批准文件或许可证件为准）一般项目：货物进出口；道路货物运输站经营；国际货物运输代理；非居住房地产租赁；特种设备出租；普通货物仓储服务（不含危险化学品等需许可审批的项目）；国内货物运输代理；装卸搬运；电线、电缆经营；矿山机械销售；发电机及发电机组销售；泵及真空设备销售；机械电气设备销售。（除依法须经批准的项目外，凭营业执照依法自主开展经营活动）</t>
  </si>
  <si>
    <t>招远市市场监督管理局</t>
  </si>
  <si>
    <t>青岛宏川物流有限公司</t>
  </si>
  <si>
    <t>91370000750409243J</t>
  </si>
  <si>
    <t>潘维国</t>
  </si>
  <si>
    <t>中国（山东）自由贸易试验区青岛片区前湾保税港区漩湾路69号（B）</t>
  </si>
  <si>
    <t>0532-86767839</t>
  </si>
  <si>
    <t>0532-82972585</t>
  </si>
  <si>
    <t>lxj@trade-oriental.com</t>
  </si>
  <si>
    <t>370220018000677</t>
  </si>
  <si>
    <t>75040924-3</t>
  </si>
  <si>
    <t>2003-06-06 至 无固定期限</t>
  </si>
  <si>
    <t>Qingdao Hongchuan Logistics Co., Ltd.</t>
  </si>
  <si>
    <t>青岛宏川物流有限公司成立于2003-06-06，法定代表人为潘维国，注册资本为3000万元，统一社会信用代码为91370000750409243J，企业注册地址位于中国（山东）自由贸易试验区青岛片区前湾保税港区漩湾路69号（B），所属行业为装卸搬运和仓储业，经营范围包含：仓储（不含冷冻、冷藏、制冷及危险化学品储存），物流分拨（不含运输），国际货运代理，国内公路、铁路货运代理；国际贸易、转口贸易、区内企业之间贸易及贸易项下加工整理；企业管理咨询服务；商品信息咨询服务。（依法须经批准的项目，经相关部门批准后方可开展经营活动）。企业当前经营状态为在业。</t>
  </si>
  <si>
    <t>仓储（不含冷冻、冷藏、制冷及危险化学品储存），物流分拨（不含运输），国际货运代理，国内公路、铁路货运代理；国际贸易、转口贸易、区内企业之间贸易及贸易项下加工整理；企业管理咨询服务；商品信息咨询服务。（依法须经批准的项目，经相关部门批准后方可开展经营活动）</t>
  </si>
  <si>
    <t>青岛宏桥市场经营有限公司</t>
  </si>
  <si>
    <t>913700007875794816</t>
  </si>
  <si>
    <t>1500万美元</t>
  </si>
  <si>
    <t>2006-06-29</t>
  </si>
  <si>
    <t>山东省青岛市黄岛区茂山路1323号</t>
  </si>
  <si>
    <t>0532-86931366</t>
  </si>
  <si>
    <t>370200400153105</t>
  </si>
  <si>
    <t>78757948-1</t>
  </si>
  <si>
    <t>2006-06-29 至 2036-06-29</t>
  </si>
  <si>
    <t>Qingdao Honjon Market Trading,ltd</t>
  </si>
  <si>
    <t>青岛宏桥市场经营有限公司成立于2006-06-29，法定代表人为潘维国，注册资本为1500万美元，统一社会信用代码为913700007875794816，企业注册地址位于山东省青岛市黄岛区茂山路1323号，所属行业为装卸搬运和仓储业，经营范围包含：许可项目：海关监管货物仓储服务（不含危险化学品、危险货物）；道路货物运输（不含危险货物）。（依法须经批准的项目，经相关部门批准后方可开展经营活动，具体经营项目以相关部门批准文件或许可证件为准）一般项目：普通货物仓储服务（不含危险化学品等需许可审批的项目）；装卸搬运；货物进出口；进出口代理。（除依法须经批准的项目外，凭营业执照依法自主开展经营活动）。企业当前经营状态为在业。</t>
  </si>
  <si>
    <t>许可项目：海关监管货物仓储服务（不含危险化学品、危险货物）；道路货物运输（不含危险货物）。（依法须经批准的项目，经相关部门批准后方可开展经营活动，具体经营项目以相关部门批准文件或许可证件为准）一般项目：普通货物仓储服务（不含危险化学品等需许可审批的项目）；装卸搬运；货物进出口；进出口代理。（除依法须经批准的项目外，凭营业执照依法自主开展经营活动）</t>
  </si>
  <si>
    <t>青岛世纪海岸国际物流有限公司</t>
  </si>
  <si>
    <t>913702203956826668</t>
  </si>
  <si>
    <t>孟祥</t>
  </si>
  <si>
    <t>160万元</t>
  </si>
  <si>
    <t>9万元</t>
  </si>
  <si>
    <t>中国（山东）自由贸易试验区青岛片区西海岸综合保税区成业路9号办公楼3楼306室2023-0009（集中登记）</t>
  </si>
  <si>
    <t>18669851229</t>
  </si>
  <si>
    <t>18661883122</t>
  </si>
  <si>
    <t>67858448@qq.com</t>
  </si>
  <si>
    <t>400181@qq.com</t>
  </si>
  <si>
    <t>370220230028591</t>
  </si>
  <si>
    <t>39568266-6</t>
  </si>
  <si>
    <t>2014-08-20 至 无固定期限</t>
  </si>
  <si>
    <t>Qingdao Century Coast International Logistics Co., Ltd.</t>
  </si>
  <si>
    <t>中国（山东）自由贸易试验区青岛片区西海岸综合保税区内（红石崖十一号线以西,十四号线以北）0305室</t>
  </si>
  <si>
    <t>青岛世纪海岸国际物流有限公司成立于2014-08-20，法定代表人为孟祥，注册资本为160万元，统一社会信用代码为913702203956826668，企业注册地址位于中国（山东）自由贸易试验区青岛片区西海岸综合保税区成业路9号办公楼3楼306室2023-0009（集中登记），所属行业为多式联运和运输代理业，经营范围包含：国际货运代理；国内公路、铁路货运代理；集装箱拆箱、拼箱；货物装卸服务；代理报关、报检；国际贸易、转口贸易、区内企业之间贸易、贸易项下加工整理及相关业务代理；自营和代理商品和技术进出口；仓储服务（不含冷冻、冷藏、制冷、危化品储存）。（依法须经批准的项目，经相关部门批准后方可开展经营活动）。企业当前经营状态为在业。</t>
  </si>
  <si>
    <t>国际货运代理；国内公路、铁路货运代理；集装箱拆箱、拼箱；货物装卸服务；代理报关、报检；国际贸易、转口贸易、区内企业之间贸易、贸易项下加工整理及相关业务代理；自营和代理商品和技术进出口；仓储服务（不含冷冻、冷藏、制冷、危化品储存）。（依法须经批准的项目，经相关部门批准后方可开展经营活动）。</t>
  </si>
  <si>
    <t>青岛金利达仓储有限公司</t>
  </si>
  <si>
    <t>913702110572566804</t>
  </si>
  <si>
    <t>范瑞琴</t>
  </si>
  <si>
    <t>2012-11-14</t>
  </si>
  <si>
    <t>山东省青岛市黄岛区红石崖街道办事处大殷社区居委会106室</t>
  </si>
  <si>
    <t>13805429770</t>
  </si>
  <si>
    <t>18866258008</t>
  </si>
  <si>
    <t>2005play2005@163.com</t>
  </si>
  <si>
    <t>370211230096743</t>
  </si>
  <si>
    <t>05725668-0</t>
  </si>
  <si>
    <t>2012-11-14 至 无固定期限</t>
  </si>
  <si>
    <t>Qingdao Jin Lida Storage Co., Ltd.</t>
  </si>
  <si>
    <t>青岛金利达仓储有限公司成立于2012-11-14，法定代表人为范瑞琴，注册资本为500万元，统一社会信用代码为913702110572566804，企业注册地址位于山东省青岛市黄岛区红石崖街道办事处大殷社区居委会106室，所属行业为装卸搬运和仓储业，经营范围包含：仓储（不含冷库、不含危险化学品及一类易制毒化学品）；普通货物装卸服务；货物进出口、技术进出口（法律、行政法规禁止的不得经营，法律、行政法规限制经营的，取得许可证后方可经营）；经营其它无需行政审批即可经营的一般经营项目。（依法须经批准的项目，经相关部门批准后方可开展经营活动）。企业当前经营状态为在业。</t>
  </si>
  <si>
    <t>仓储（不含冷库、不含危险化学品及一类易制毒化学品）；普通货物装卸服务；货物进出口、技术进出口（法律、行政法规禁止的不得经营，法律、行政法规限制经营的，取得许可证后方可经营）；经营其它无需行政审批即可经营的一般经营项目。（依法须经批准的项目，经相关部门批准后方可开展经营活动）。</t>
  </si>
  <si>
    <t>青岛骏玛纺织实业有限公司</t>
  </si>
  <si>
    <t>91370281776835275E</t>
  </si>
  <si>
    <t>山东中富润投资有限公司</t>
  </si>
  <si>
    <t>孔子升</t>
  </si>
  <si>
    <t>2005-08-22</t>
  </si>
  <si>
    <t>上合示范区长江一路2号上合国际贸易大厦（经营地址:青岛胶州市里岔镇诸黄路南、工业园道路北侧）</t>
  </si>
  <si>
    <t>0532-68974630</t>
  </si>
  <si>
    <t>13969899896@163.com</t>
  </si>
  <si>
    <t>2502775774@qq.com;wangshuo@lucot.cn</t>
  </si>
  <si>
    <t>370200228071034</t>
  </si>
  <si>
    <t>77683527-5</t>
  </si>
  <si>
    <t>2005-08-22 至 无固定期限</t>
  </si>
  <si>
    <t>Qingdao JunMa Textile Industrial Company Limited</t>
  </si>
  <si>
    <t>青岛骏玛纺织实业有限公司成立于2005-08-22，法定代表人为孔子升，注册资本为1000万元，统一社会信用代码为91370281776835275E，企业注册地址位于上合示范区长江一路2号上合国际贸易大厦（经营地址:青岛胶州市里岔镇诸黄路南、工业园道路北侧），所属行业为批发业，经营范围包含：一般经营项目:自营和代理一般经营项目商品和技术的进出口业务；许可经营项目商品和技术的进出口业务须取得国家专项审批后方可经营（国家限定公司经营或禁止进出口的商品与技术除外），批发、零售：纺织原料、纺织品、化工产品（不含危险化学品等限制或禁止经营的产品）、冶金炉料、钢材、机械设备及零配件，仓库租赁，货运配载（不含运输），仓储理货（不含国家违禁物品和易燃易爆物品）。（以上范围需经许可经营的，须凭许可证经营）。企业当前经营状态为在业。</t>
  </si>
  <si>
    <t>一般经营项目:自营和代理一般经营项目商品和技术的进出口业务；许可经营项目商品和技术的进出口业务须取得国家专项审批后方可经营（国家限定公司经营或禁止进出口的商品与技术除外），批发、零售：纺织原料、纺织品、化工产品（不含危险化学品等限制或禁止经营的产品）、冶金炉料、钢材、机械设备及零配件，仓库租赁，货运配载（不含运输），仓储理货（不含国家违禁物品和易燃易爆物品）。（以上范围需经许可经营的，须凭许可证经营）。</t>
  </si>
  <si>
    <t>青岛鑫璘国际物流有限公司</t>
  </si>
  <si>
    <t>91370220MA3WA8WA3M</t>
  </si>
  <si>
    <t>丁璘</t>
  </si>
  <si>
    <t>180万元</t>
  </si>
  <si>
    <t>中国（山东）自由贸易试验区青岛片区西海岸综合保税区内（红石崖十一号线以西，十四号线以北）1032室</t>
  </si>
  <si>
    <t>18561998692</t>
  </si>
  <si>
    <t>181744041@qq.com</t>
  </si>
  <si>
    <t>MA3WA8WA-3</t>
  </si>
  <si>
    <t>Qingdao Xinlin International Logistics Co., Ltd.</t>
  </si>
  <si>
    <t>青岛鑫璘国际物流有限公司成立于2021-03-04，法定代表人为丁璘，注册资本为180万元，统一社会信用代码为91370220MA3WA8WA3M，企业注册地址位于中国（山东）自由贸易试验区青岛片区西海岸综合保税区内（红石崖十一号线以西，十四号线以北）1032室，所属行业为装卸搬运和仓储业，经营范围包含：一般项目：国际货物运输代理；海上国际货物运输代理；从事内地与港澳间集装箱船、普通货船运输；从事国际集装箱船、普通货船运输；进出口代理；非主要农作物种子生产；农作物种子经营（仅限不再分装的包装种子）；普通货物仓储服务（不含危险化学品等需许可审批的项目）；道路货物运输站经营；智能仓储装备销售；低温仓储（不含危险化学品等需许可审批的项目）；粮油仓储服务；仓储设备租赁服务；成品油仓储（不含危险化学品）；特种设备销售；国内货物运输代理；物料搬运装备销售；智能物料搬运装备销售；棉花加工；棉花加工机械销售；棉花加工机械制造；畜牧渔业饲料销售；饲料原料销售；生物饲料研发；饲料生产专用设备销售；专用设备制造（不含许可类专业设备制造）；园艺产品种植；宠物食品及用品批发；运输货物打包服务；航空运输货物打包服务；港口货物装卸搬运活动；棉花种植；装卸搬运；初级农产品收购；食用农产品批发；食品添加剂销售；农副产品销售；互联网销售（除销售需要许可的商品）；农副食品加工专用设备销售；蔬菜种植；食用农产品初加工；非食用农产品初加工；谷物种植；非食用植物油销售；国际船舶代理；智能港口装卸设备销售；报检业务。（除依法须经批准的项目外，凭营业执照依法自主开展经营活动）许可项目：海关监管货物仓储服务（不含危险化学品）；保税仓库经营；主要农作物种子生产；转基因棉花种子生产；转基因棉花种子经营；农作物种子质量检验；饲料生产；饲料添加剂生产；粮食收购；国营贸易管理货物的进出口；保税物流中心经营；粮食加工食品生产；食品经营（销售散装食品）；食品经营；食品经营（销售预包装食品）；食品互联网销售（销售预包装食品）；食品生产；饮料生产；酒制品生产；食品添加剂生产；农业转基因生物产品加工；农业转基因生物加工；农作物种子经营。（依法须经批准的项目，经相关部门批准后方可开展经营活动，具体经营项目以相关部门批准文件或许可证件为准）。企业当前经营状态为在业。</t>
  </si>
  <si>
    <t>一般项目：国际货物运输代理；海上国际货物运输代理；从事内地与港澳间集装箱船、普通货船运输；从事国际集装箱船、普通货船运输；进出口代理；非主要农作物种子生产；农作物种子经营（仅限不再分装的包装种子）；普通货物仓储服务（不含危险化学品等需许可审批的项目）；道路货物运输站经营；智能仓储装备销售；低温仓储（不含危险化学品等需许可审批的项目）；粮油仓储服务；仓储设备租赁服务；成品油仓储（不含危险化学品）；特种设备销售；国内货物运输代理；物料搬运装备销售；智能物料搬运装备销售；棉花加工；棉花加工机械销售；棉花加工机械制造；畜牧渔业饲料销售；饲料原料销售；生物饲料研发；饲料生产专用设备销售；专用设备制造（不含许可类专业设备制造）；园艺产品种植；宠物食品及用品批发；运输货物打包服务；航空运输货物打包服务；港口货物装卸搬运活动；棉花种植；装卸搬运；初级农产品收购；食用农产品批发；食品添加剂销售；农副产品销售；互联网销售（除销售需要许可的商品）；农副食品加工专用设备销售；蔬菜种植；食用农产品初加工；非食用农产品初加工；谷物种植；非食用植物油销售；国际船舶代理；智能港口装卸设备销售；报检业务。（除依法须经批准的项目外，凭营业执照依法自主开展经营活动）许可项目：海关监管货物仓储服务（不含危险化学品）；保税仓库经营；主要农作物种子生产；转基因棉花种子生产；转基因棉花种子经营；农作物种子质量检验；饲料生产；饲料添加剂生产；粮食收购；国营贸易管理货物的进出口；保税物流中心经营；粮食加工食品生产；食品经营（销售散装食品）；食品经营；食品经营（销售预包装食品）；食品互联网销售（销售预包装食品）；食品生产；饮料生产；酒制品生产；食品添加剂生产；农业转基因生物产品加工；农业转基因生物加工；农作物种子经营。（依法须经批准的项目，经相关部门批准后方可开展经营活动，具体经营项目以相关部门批准文件或许可证件为准）</t>
  </si>
  <si>
    <t>青岛烟嘉投资发展有限公司</t>
  </si>
  <si>
    <t>91370281396052682Q</t>
  </si>
  <si>
    <t>姜兵</t>
  </si>
  <si>
    <t>2014-06-27</t>
  </si>
  <si>
    <t>青岛胶州市开发区尚德大道东侧</t>
  </si>
  <si>
    <t>18678913327</t>
  </si>
  <si>
    <t>13606303786;0532-87282952;18663982816</t>
  </si>
  <si>
    <t>691373100@qq.com</t>
  </si>
  <si>
    <t>631373100@qq.com;116635064@qq.com</t>
  </si>
  <si>
    <t>370281230100215</t>
  </si>
  <si>
    <t>39605268-2</t>
  </si>
  <si>
    <t>2014-06-27 至 无固定期限</t>
  </si>
  <si>
    <t>Qingdao Yanjia Investment Development Co., Ltd.</t>
  </si>
  <si>
    <t>青岛烟嘉投资发展有限公司成立于2014-06-27，法定代表人为姜兵，注册资本为5000万元，统一社会信用代码为91370281396052682Q，企业注册地址位于青岛胶州市开发区尚德大道东侧，所属行业为商务服务业，经营范围包含：一般项目：以自有资金从事投资活动；农副产品销售；食用农产品批发；国内贸易代理；水产品批发；水产品零售；纸浆销售；普通货物仓储服务（不含危险化学品等需许可审批的项目）；低温仓储（不含危险化学品等需许可审批的项目）；国际货物运输代理；国际船舶代理。（除依法须经批准的项目外，凭营业执照依法自主开展经营活动）许可项目：海关监管货物仓储服务（不含危险化学品、危险货物）。（依法须经批准的项目，经相关部门批准后方可开展经营活动，具体经营项目以相关部门批准文件或许可证件为准）。企业当前经营状态为在业。</t>
  </si>
  <si>
    <t>一般项目：以自有资金从事投资活动；农副产品销售；食用农产品批发；国内贸易代理；水产品批发；水产品零售；纸浆销售；普通货物仓储服务（不含危险化学品等需许可审批的项目）；低温仓储（不含危险化学品等需许可审批的项目）；国际货物运输代理；国际船舶代理。（除依法须经批准的项目外，凭营业执照依法自主开展经营活动）许可项目：海关监管货物仓储服务（不含危险化学品、危险货物）。（依法须经批准的项目，经相关部门批准后方可开展经营活动，具体经营项目以相关部门批准文件或许可证件为准）</t>
  </si>
  <si>
    <t>青岛沃尔德物流集团有限公司</t>
  </si>
  <si>
    <t>91370220753787696T</t>
  </si>
  <si>
    <t>青岛沃尔德现代物流有限公司</t>
  </si>
  <si>
    <t>林擘</t>
  </si>
  <si>
    <t>2003-10-29</t>
  </si>
  <si>
    <t>山东省青岛市保税港区曼谷路36号（A）</t>
  </si>
  <si>
    <t>0532-86769536</t>
  </si>
  <si>
    <t>0532-86768368;0532-86959879</t>
  </si>
  <si>
    <t>worldqingdao@126.com</t>
  </si>
  <si>
    <t>370220228004057</t>
  </si>
  <si>
    <t>75378769-6</t>
  </si>
  <si>
    <t>2003-10-29 至 无固定期限</t>
  </si>
  <si>
    <t>Qingdao WORLD Logistics Group Co., Ltd.</t>
  </si>
  <si>
    <t>http://www.qingdaoworld.com</t>
  </si>
  <si>
    <t>青岛沃尔德物流集团有限公司成立于2003-10-29，法定代表人为林擘，注册资本为1000万元，统一社会信用代码为91370220753787696T，企业注册地址位于山东省青岛市保税港区曼谷路36号（A），所属行业为多式联运和运输代理业，经营范围包含：物流分拨、仓储（不含冷冻、冷藏、制冷及危化品），报关报检，国际货运代理，搬运装卸，物流咨询服务；物流软件开发；国际贸易、转口贸易、区内企业之间贸易及贸易项下加工整理，自营和代理各类商品和技术的进出口（国家禁止或涉及行政审批的货物和技术进出口除外）；会议及展览展示服务；纺织品、服装、日用品、文具用品、体育用品、矿产品（不含稀贵矿种）、电子产品、建材、化工产品（不含危险化学品）、五金交电、机械设备、金属材料、塑料制品、初级农产品、化妆品、橡胶、棉花的贸易；设计、制作、代理、发布国内广告；自有房屋租赁（不含住宿）、仓库租赁。（依法须经批准的项目，经相关部门批准后方可开展经营活动）。企业当前经营状态为在业。</t>
  </si>
  <si>
    <t>物流分拨、仓储（不含冷冻、冷藏、制冷及危化品），报关报检，国际货运代理，搬运装卸，物流咨询服务；物流软件开发；国际贸易、转口贸易、区内企业之间贸易及贸易项下加工整理，自营和代理各类商品和技术的进出口（国家禁止或涉及行政审批的货物和技术进出口除外）；会议及展览展示服务；纺织品、服装、日用品、文具用品、体育用品、矿产品（不含稀贵矿种）、电子产品、建材、化工产品（不含危险化学品）、五金交电、机械设备、金属材料、塑料制品、初级农产品、化妆品、橡胶、棉花的贸易；设计、制作、代理、发布国内广告；自有房屋租赁（不含住宿）、仓库租赁。（依法须经批准的项目，经相关部门批准后方可开展经营活动）</t>
  </si>
  <si>
    <t>青岛中投国际物流有限公司</t>
  </si>
  <si>
    <t>91370220MA3PN2L776</t>
  </si>
  <si>
    <t>张洪文</t>
  </si>
  <si>
    <t>2019-04-29</t>
  </si>
  <si>
    <t>中国（山东）自由贸易试验区青岛片区西海岸综合保税区成业路9号办公楼3楼306室2023-0004（集中登记）</t>
  </si>
  <si>
    <t>13953866259</t>
  </si>
  <si>
    <t>13780798800;13455244567</t>
  </si>
  <si>
    <t>qingdaozhongtou@163.com</t>
  </si>
  <si>
    <t>3394705571@qq.com</t>
  </si>
  <si>
    <t>MA3PN2L7-7</t>
  </si>
  <si>
    <t>2019-04-29 至 无固定期限</t>
  </si>
  <si>
    <t>Qingdao Zhongtou International Logistics Co., Ltd.</t>
  </si>
  <si>
    <t>青岛中投国际物流有限公司成立于2019-04-29，法定代表人为张洪文，注册资本为500万元，统一社会信用代码为91370220MA3PN2L776，企业注册地址位于中国（山东）自由贸易试验区青岛片区西海岸综合保税区成业路9号办公楼3楼306室2023-0004（集中登记），所属行业为道路运输业，经营范围包含：一般项目：国际货物运输代理；国内货物运输代理；报检业务；贸易经纪；化妆品批发；货物进出口；技术进出口；食品经营（销售预包装食品）；装卸搬运；普通货物仓储服务（不含危险化学品等需许可审批的项目）；信息咨询服务（不含许可类信息咨询服务）。（除依法须经批准的项目外，凭营业执照依法自主开展经营活动）。企业当前经营状态为在业。</t>
  </si>
  <si>
    <t>一般项目：国际货物运输代理；国内货物运输代理；报检业务；贸易经纪；化妆品批发；货物进出口；技术进出口；食品经营（销售预包装食品）；装卸搬运；普通货物仓储服务（不含危险化学品等需许可审批的项目）；信息咨询服务（不含许可类信息咨询服务）。（除依法须经批准的项目外，凭营业执照依法自主开展经营活动）</t>
  </si>
  <si>
    <t>舞钢市中昌物流有限责任公司</t>
  </si>
  <si>
    <t>914104810808243408</t>
  </si>
  <si>
    <t>何二琴</t>
  </si>
  <si>
    <t>2013-10-17</t>
  </si>
  <si>
    <t>河南省平顶山市舞钢市铁山乡建设路西段北侧公铁智慧物流港办公楼二楼201</t>
  </si>
  <si>
    <t>平顶山市</t>
  </si>
  <si>
    <t>舞钢市</t>
  </si>
  <si>
    <t>13937569200</t>
  </si>
  <si>
    <t>0375-7230069;0375-7281333;0375-8136929</t>
  </si>
  <si>
    <t>1418336057@qq.com</t>
  </si>
  <si>
    <t>527691863@qq.com;gongsichaoqi123@163.com</t>
  </si>
  <si>
    <t>410481000011947</t>
  </si>
  <si>
    <t>08082434-0</t>
  </si>
  <si>
    <t>2013-10-17 至 无固定期限</t>
  </si>
  <si>
    <t>货运枢纽（站）</t>
  </si>
  <si>
    <t>Wugang Zhongchang Logistics Co., Ltd.</t>
  </si>
  <si>
    <t>舞钢市中昌物流有限责任公司成立于2013-10-17，法定代表人为何二琴，注册资本为8000万元，统一社会信用代码为914104810808243408，企业注册地址位于河南省平顶山市舞钢市铁山乡建设路西段北侧公铁智慧物流港办公楼二楼201，所属行业为道路运输业，经营范围包含：一般项目：道路货物运输站经营；普通货物仓储服务（不含危险化学品等需许可审批的项目）；停车场服务；电子过磅服务；国内货物运输代理；国内集装箱货物运输代理；装卸搬运；机械设备租赁；运输设备租赁服务；仓储设备租赁服务；租赁服务（不含许可类租赁服务）；非居住房地产租赁；棉、麻销售；棉花收购；针纺织品及原料销售；针纺织品销售；食品销售（仅销售预包装食品）；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</si>
  <si>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道路货物运输站经营；普通货物仓储服务（不含危险化学品等需许可审批的项目）；停车场服务；电子过磅服务；国内货物运输代理；国内集装箱货物运输代理；装卸搬运；机械设备租赁；运输设备租赁服务；仓储设备租赁服务；租赁服务（不含许可类租赁服务）；非居住房地产租赁；棉、麻销售；棉花收购；针纺织品及原料销售；针纺织品销售；食品销售（仅销售预包装食品）；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</si>
  <si>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平顶山市舞钢市市场监督管理局</t>
  </si>
  <si>
    <t>甘肃省敦煌种业集团股份有限公司金塔县棉花公司</t>
  </si>
  <si>
    <t>9162090071909452XN</t>
  </si>
  <si>
    <t>甘肃省敦煌种业股份有限公司金塔县棉花公司</t>
  </si>
  <si>
    <t>李象春</t>
  </si>
  <si>
    <t>1998-12-30</t>
  </si>
  <si>
    <t>甘肃省酒泉市金塔县西城路10号</t>
  </si>
  <si>
    <t>酒泉市</t>
  </si>
  <si>
    <t>金塔县</t>
  </si>
  <si>
    <t>18893379111</t>
  </si>
  <si>
    <t>0937-5900509;0937-5900510;0937-4424649;13369370333;0937-3890562</t>
  </si>
  <si>
    <t>920414076@qq.com</t>
  </si>
  <si>
    <t>2143775498@qq.com;21437754498@qq.com;807493968@qq.com;luoym@dhseed.com;mzccw@163.com</t>
  </si>
  <si>
    <t>620900000001968</t>
  </si>
  <si>
    <t>71909452-X</t>
  </si>
  <si>
    <t>1998-12-30 至 无固定期限</t>
  </si>
  <si>
    <t>Gansu Dunhuang Seed Industry Co.,ltd. Jinta County Cotton Company</t>
  </si>
  <si>
    <t>甘肃省敦煌种业集团股份有限公司金塔县棉花公司成立于1998-12-30，负责人为李象春，统一社会信用代码为9162090071909452XN，企业注册地址位于甘肃省酒泉市金塔县西城路10号，所属行业为农副食品加工业，经营范围包含：棉花、棉籽油、棉絮的生产、收购、加工、销售；棉花种子的引进、储藏、销售：化肥、地膜等农业生产资料的销售（除农药）：其它农产品收购、销售。（依法须经批准的项目，经相关部门批准后方可开展经营活动）。企业当前经营状态为存续。</t>
  </si>
  <si>
    <t>棉花、棉籽油、棉絮的生产、收购、加工、销售；棉花种子的引进、储藏、销售：化肥、地膜等农业生产资料的销售（除农药）：其它农产品收购、销售。（依法须经批准的项目，经相关部门批准后方可开展经营活动）</t>
  </si>
  <si>
    <t>酒泉市市场监督管理局</t>
  </si>
  <si>
    <t>天津秦洋国际货运代理有限公司</t>
  </si>
  <si>
    <t>9112011659291872X2</t>
  </si>
  <si>
    <t>天津开发区连湖商贸有限公司</t>
  </si>
  <si>
    <t>汪雯娟</t>
  </si>
  <si>
    <t>2012-03-27</t>
  </si>
  <si>
    <t>天津经济技术开发区南海路11号B座2门1102室</t>
  </si>
  <si>
    <t>022-66629911</t>
  </si>
  <si>
    <t>13821660133</t>
  </si>
  <si>
    <t>whuizhu@163.com</t>
  </si>
  <si>
    <t>872436998@qq.com;15582903@qq.com;15900213110@163.com;18649161050@163.com</t>
  </si>
  <si>
    <t>120116000095833</t>
  </si>
  <si>
    <t>59291872-X</t>
  </si>
  <si>
    <t>2012-03-27 至 2032-03-26</t>
  </si>
  <si>
    <t>Tianjin Qinyang International Freight Forwarding Co., Ltd.</t>
  </si>
  <si>
    <t>天津秦洋国际货运代理有限公司成立于2012-03-27，法定代表人为汪雯娟，注册资本为1000万元，统一社会信用代码为9112011659291872X2，企业注册地址位于天津经济技术开发区南海路11号B座2门1102室，所属行业为多式联运和运输代理业，经营范围包含：一般项目：国际货物运输代理；国内货物运输代理；国内集装箱货物运输代理；海上国际货物运输代理；报检业务；报关业务；普通货物仓储服务（不含危险化学品等需许可审批的项目）；粮食收购；谷物销售。（除依法须经批准的项目外，凭营业执照依法自主开展经营活动）。企业当前经营状态为存续。</t>
  </si>
  <si>
    <t>一般项目：国际货物运输代理；国内货物运输代理；国内集装箱货物运输代理；海上国际货物运输代理；报检业务；报关业务；普通货物仓储服务（不含危险化学品等需许可审批的项目）；粮食收购；谷物销售。（除依法须经批准的项目外，凭营业执照依法自主开展经营活动）</t>
  </si>
  <si>
    <t>天津津悦农产品有限公司</t>
  </si>
  <si>
    <t>9112011671825689XQ</t>
  </si>
  <si>
    <t>天津市塘沽区津悦货运代理有限公司</t>
  </si>
  <si>
    <t>张修和</t>
  </si>
  <si>
    <t>1999-12-27</t>
  </si>
  <si>
    <t>天津市滨海新区北塘街道贻成物流园内C37</t>
  </si>
  <si>
    <t>022-25206782</t>
  </si>
  <si>
    <t>022-25206768;022-25206878</t>
  </si>
  <si>
    <t>liuzhenfeng_1176@163.com</t>
  </si>
  <si>
    <t>120107000052318</t>
  </si>
  <si>
    <t>71825689-X</t>
  </si>
  <si>
    <t>1999-12-27 至 2029-12-26</t>
  </si>
  <si>
    <t>Tianjin Jinyue AGRO-PRODUCTS Co., Ltd.</t>
  </si>
  <si>
    <t>天津市开发区第三大街泰达中心酒店2106B</t>
  </si>
  <si>
    <t>天津津悦农产品有限公司成立于1999-12-27，法定代表人为张修和，注册资本为800万元，统一社会信用代码为9112011671825689XQ，企业注册地址位于天津市滨海新区北塘街道贻成物流园内C37，所属行业为多式联运和运输代理业，经营范围包含：一般项目：食用农产品批发；食用农产品零售；食用农产品初加工；农副产品销售；初级农产品收购；畜牧渔业饲料销售；饲料原料销售；饲料添加剂销售；低温仓储（不含危险化学品等需许可审批的项目）；普通货物仓储服务（不含危险化学品等需许可审批的项目）；国内货物运输代理；国内集装箱货物运输代理；国内贸易代理；国际货物运输代理；海上国际货物运输代理；陆路国际货物运输代理；航空国际货物运输代理；货物进出口；进出口代理；劳务服务（不含劳务派遣）；装卸搬运；非食用农产品初加工。（除依法须经批准的项目外，凭营业执照依法自主开展经营活动）。企业当前经营状态为存续。</t>
  </si>
  <si>
    <t>一般项目：食用农产品批发；食用农产品零售；食用农产品初加工；农副产品销售；初级农产品收购；畜牧渔业饲料销售；饲料原料销售；饲料添加剂销售；低温仓储（不含危险化学品等需许可审批的项目）；普通货物仓储服务（不含危险化学品等需许可审批的项目）；国内货物运输代理；国内集装箱货物运输代理；国内贸易代理；国际货物运输代理；海上国际货物运输代理；陆路国际货物运输代理；航空国际货物运输代理；货物进出口；进出口代理；劳务服务（不含劳务派遣）；装卸搬运；非食用农产品初加工。（除依法须经批准的项目外，凭营业执照依法自主开展经营活动）</t>
  </si>
  <si>
    <t>天津市滨海新区市场监督管理局</t>
  </si>
  <si>
    <t>青岛中外运供应链管理有限公司</t>
  </si>
  <si>
    <t>91370220MA3CERE884</t>
  </si>
  <si>
    <t>王丽梅</t>
  </si>
  <si>
    <t>2016-08-05</t>
  </si>
  <si>
    <t>中国（山东）自由贸易试验区青岛片区前湾保税港区莫斯科路46号5号仓库办公楼202室（A）</t>
  </si>
  <si>
    <t>0532-85818266</t>
  </si>
  <si>
    <t>0532-85818277;0532-82873209;0532-82897787</t>
  </si>
  <si>
    <t>gfhz_chanyewuliu@sinotrans.com</t>
  </si>
  <si>
    <t>gfsdqd_lianfeng@sinotrans.com;limei.sd@sinotrans.com</t>
  </si>
  <si>
    <t>370220020000965</t>
  </si>
  <si>
    <t>MA3CERE8-8</t>
  </si>
  <si>
    <t>2016-08-05 至 无固定期限</t>
  </si>
  <si>
    <t>Qingdao Sinotrans Supply Chain Management Co., Ltd.</t>
  </si>
  <si>
    <t>青岛中外运供应链管理有限公司成立于2016-08-05，法定代表人为王丽梅，注册资本为3000万元，统一社会信用代码为91370220MA3CERE884，企业注册地址位于中国（山东）自由贸易试验区青岛片区前湾保税港区莫斯科路46号5号仓库办公楼202室（A），所属行业为商务服务业，经营范围包含：许可项目：道路货物运输（不含危险货物）；货物进出口；进出口代理。（依法须经批准的项目，经相关部门批准后方可开展经营活动，具体经营项目以相关部门批准文件或许可证件为准）一般项目：供应链管理服务；国内贸易代理；国际货物运输代理；普通货物仓储服务（不含危险化学品等需许可审批的项目）；互联网销售（除销售需要许可的商品）。（除依法须经批准的项目外，凭营业执照依法自主开展经营活动）。企业当前经营状态为在业。</t>
  </si>
  <si>
    <t>许可项目：道路货物运输（不含危险货物）；货物进出口；进出口代理。（依法须经批准的项目，经相关部门批准后方可开展经营活动，具体经营项目以相关部门批准文件或许可证件为准）一般项目：供应链管理服务；国内贸易代理；国际货物运输代理；普通货物仓储服务（不含危险化学品等需许可审批的项目）；互联网销售（除销售需要许可的商品）。（除依法须经批准的项目外，凭营业执照依法自主开展经营活动）</t>
  </si>
  <si>
    <t>奎屯新亚科工贸有限公司</t>
  </si>
  <si>
    <t>916540036827094384</t>
  </si>
  <si>
    <t>杜保新</t>
  </si>
  <si>
    <t>2008-12-12</t>
  </si>
  <si>
    <t>新疆伊犁州奎屯市北京西路288号</t>
  </si>
  <si>
    <t>0992-7376082</t>
  </si>
  <si>
    <t>0992-7376028</t>
  </si>
  <si>
    <t>896576604@qq.com</t>
  </si>
  <si>
    <t>1527715896@qq.com</t>
  </si>
  <si>
    <t>654003050005070</t>
  </si>
  <si>
    <t>68270943-8</t>
  </si>
  <si>
    <t>2008-12-12 至 无固定期限</t>
  </si>
  <si>
    <t>Kuitun Xinya S&amp;C&amp;T Co., Ltd.</t>
  </si>
  <si>
    <t>xinyacn.com.cn</t>
  </si>
  <si>
    <t>奎屯新亚科工贸有限公司成立于2008-12-12，法定代表人为杜保新，注册资本为6000万元，统一社会信用代码为916540036827094384，企业注册地址位于新疆伊犁州奎屯市北京西路288号，所属行业为装卸搬运和仓储业，经营范围包含：一般项目：普通货物仓储服务（不含危险化学品等需许可审批的项目）；道路货物运输站经营；国内货物运输代理；国内集装箱货物运输代理；装卸搬运；离岸贸易经营；技术进出口；货物进出口；信息咨询服务（不含许可类信息咨询服务）；专业保洁、清洗、消毒服务；非居住房地产租赁；土地使用权租赁；棉、麻销售；汽车零配件批发；五金产品批发；食用农产品批发；煤炭及制品销售；化工产品销售（不含许可类化工产品）；机械设备销售；农副产品销售；金属矿石销售；非金属矿及制品销售；建筑材料销售；金属结构销售；金属材料销售；水泥制品销售；化肥销售；肥料销售；五金产品零售；铁路运输辅助活动。（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</si>
  <si>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普通货物仓储服务（不含危险化学品等需许可审批的项目）；道路货物运输站经营；国内货物运输代理；国内集装箱货物运输代理；装卸搬运；离岸贸易经营；技术进出口；货物进出口；信息咨询服务（不含许可类信息咨询服务）；专业保洁、清洗、消毒服务；非居住房地产租赁；土地使用权租赁；棉、麻销售；汽车零配件批发；五金产品批发；食用农产品批发；煤炭及制品销售；化工产品销售（不含许可类化工产品）；机械设备销售；农副产品销售；金属矿石销售；非金属矿及制品销售；建筑材料销售；金属结构销售；金属材料销售；水泥制品销售；化肥销售；肥料销售；五金产品零售；铁路运输辅助活动。（除依法须经批准的项目外，凭营业执照依法自主开展经营活动）许可项目：道路货物运输（不含危险货物）。（依法须经批准的项目，经相关部门批准后方可开展经营活动，具体经营项目以相关部门批准文件或许可证件为准）</t>
  </si>
  <si>
    <t>青岛全世物流有限公司</t>
  </si>
  <si>
    <t>913702206678970636</t>
  </si>
  <si>
    <t>林志鑫</t>
  </si>
  <si>
    <t>2008-01-16</t>
  </si>
  <si>
    <t>中国（山东）自由贸易试验区青岛片区前湾保税港区曼谷路55号瑞华写字楼324#（B）</t>
  </si>
  <si>
    <t>0532-86766536</t>
  </si>
  <si>
    <t>0532-86760626;15863016088</t>
  </si>
  <si>
    <t>745817580@qq.com</t>
  </si>
  <si>
    <t>3090828894@qq.com;gkun919@163.com</t>
  </si>
  <si>
    <t>370220230000217</t>
  </si>
  <si>
    <t>66789706-3</t>
  </si>
  <si>
    <t>2008-01-16 至 无固定期限</t>
  </si>
  <si>
    <t>Qingdao Quanshi Logistics Co., Ltd.</t>
  </si>
  <si>
    <t>青岛全世物流有限公司成立于2008-01-16，法定代表人为林志鑫，注册资本为1000万元，统一社会信用代码为913702206678970636，企业注册地址位于中国（山东）自由贸易试验区青岛片区前湾保税港区曼谷路55号瑞华写字楼324#（B），所属行业为道路运输业，经营范围包含：许可项目：道路货物运输（不含危险货物）。（依法须经批准的项目，经相关部门批准后方可开展经营活动，具体经营项目以相关部门批准文件或许可证件为准）一般项目：国内船舶代理；国际货物运输代理；装卸搬运；国内货物运输代理；报关业务；航空国际货物运输代理；海上国际货物运输代理；陆路国际货物运输代理；报检业务；普通货物仓储服务（不含危险化学品等需许可审批的项目）；港口货物装卸搬运活动；国际船舶代理；无船承运业务。（除依法须经批准的项目外，凭营业执照依法自主开展经营活动）。企业当前经营状态为在业。</t>
  </si>
  <si>
    <t>许可项目：道路货物运输（不含危险货物）。（依法须经批准的项目，经相关部门批准后方可开展经营活动，具体经营项目以相关部门批准文件或许可证件为准）一般项目：国内船舶代理；国际货物运输代理；装卸搬运；国内货物运输代理；报关业务；航空国际货物运输代理；海上国际货物运输代理；陆路国际货物运输代理；报检业务；普通货物仓储服务（不含危险化学品等需许可审批的项目）；港口货物装卸搬运活动；国际船舶代理；无船承运业务。（除依法须经批准的项目外，凭营业执照依法自主开展经营活动）</t>
  </si>
  <si>
    <t>新疆中锦胡杨河仓储物流有限公司</t>
  </si>
  <si>
    <t>91650200MA7824FD0W</t>
  </si>
  <si>
    <t>白耀武</t>
  </si>
  <si>
    <t>3956万元</t>
  </si>
  <si>
    <t>新疆胡杨河市130团太行山路（东）187号-4号</t>
  </si>
  <si>
    <t>0992-3930616</t>
  </si>
  <si>
    <t>0992-3930612</t>
  </si>
  <si>
    <t>1520207029@qq.com</t>
  </si>
  <si>
    <t>5414333@qq.com;782567314@qq.com;444563561@qq.com</t>
  </si>
  <si>
    <t>MA7824FD-0</t>
  </si>
  <si>
    <t>Xinjiang Zhongjin Huyanghe Warehousing Logistics Co., Ltd.</t>
  </si>
  <si>
    <t>新疆中锦胡杨河仓储物流有限公司成立于2018-08-01，法定代表人为白耀武，注册资本为3956万元，统一社会信用代码为91650200MA7824FD0W，企业注册地址位于新疆胡杨河市130团太行山路（东）187号-4号，所属行业为装卸搬运和仓储业，经营范围包含：仓储服务、农业服务业；铁路运输、道路货物运输；农产品、机械设备、五金产品、电子产品、家庭用品、建材、钢材、矿产品、化工产品、针纺织品、石油制品销售；场地租赁；装卸搬运。（依法须经批准的项目，经相关部门批准后方可开展经营活动）。企业当前经营状态为存续。</t>
  </si>
  <si>
    <t>仓储服务、农业服务业；铁路运输、道路货物运输；农产品、机械设备、五金产品、电子产品、家庭用品、建材、钢材、矿产品、化工产品、针纺织品、石油制品销售；场地租赁；装卸搬运。（依法须经批准的项目，经相关部门批准后方可开展经营活动）</t>
  </si>
  <si>
    <t>石河子市通达仓储服务有限公司</t>
  </si>
  <si>
    <t>91659001MABKXRJ0XU</t>
  </si>
  <si>
    <t>王科亮</t>
  </si>
  <si>
    <t>2021-05-17</t>
  </si>
  <si>
    <t>新疆石河子市开发区天山路6-4号南3号车间</t>
  </si>
  <si>
    <t>18999537980</t>
  </si>
  <si>
    <t>0993-2706735;15886935384</t>
  </si>
  <si>
    <t>1509451201@qq.com</t>
  </si>
  <si>
    <t>452560314@qq.com;1468572063@qq.com</t>
  </si>
  <si>
    <t>MABKXRJ0-X</t>
  </si>
  <si>
    <t>2021-05-17 至 无固定期限</t>
  </si>
  <si>
    <t>Shihezi Tongda Warehouse Service Co., Ltd.</t>
  </si>
  <si>
    <t>石河子市通达仓储服务有限公司成立于2021-05-17，法定代表人为王科亮，注册资本为2000万元，统一社会信用代码为91659001MABKXRJ0XU，企业注册地址位于新疆石河子市开发区天山路6-4号南3号车间，所属行业为装卸搬运和仓储业，经营范围包含：普通货物仓储服务（不含危险化学品等需许可审批的项目）；装卸搬运；棉、麻销售；劳务服务（不含劳务派遣）（依法须经批准的项目，经相关部门批准后方可开展经营活动）。企业当前经营状态为存续。</t>
  </si>
  <si>
    <t>普通货物仓储服务（不含危险化学品等需许可审批的项目）；装卸搬运；棉、麻销售；劳务服务（不含劳务派遣）（依法须经批准的项目，经相关部门批准后方可开展经营活动）</t>
  </si>
  <si>
    <t>库尔勒银星物流有限责任公司</t>
  </si>
  <si>
    <t>91652801766818383T</t>
  </si>
  <si>
    <t>杜园先</t>
  </si>
  <si>
    <t>743万元</t>
  </si>
  <si>
    <t>2004-10-26</t>
  </si>
  <si>
    <t>新疆巴州库尔勒市火车西站</t>
  </si>
  <si>
    <t>13909968689</t>
  </si>
  <si>
    <t>0996-2060409;0996-2060406;0996-2060408</t>
  </si>
  <si>
    <t>1106427164@qq.com</t>
  </si>
  <si>
    <t>496375756@qq.com</t>
  </si>
  <si>
    <t>652801030000113</t>
  </si>
  <si>
    <t>76681838-3</t>
  </si>
  <si>
    <t>2004-10-26 至 无固定期限</t>
  </si>
  <si>
    <t>Korla Silver Star Logistics Co., Ltd.</t>
  </si>
  <si>
    <t>库尔勒银星物流有限责任公司成立于2004-10-26，法定代表人为杜园先，注册资本为743万元，统一社会信用代码为91652801766818383T，企业注册地址位于新疆巴州库尔勒市火车西站，所属行业为道路运输业，经营范围包含：普通货物运输；仓储及装卸服务，货运信息服务，批发零售：其他农畜产品、日用杂货、棉花及棉花副产品、化肥、塑料薄膜、其他化工产品、汽车配件、其他日用品、五金交电，籽棉收购，房屋租赁。（依法须经批准的项目，经相关部门批准后方可开展经营活动）。企业当前经营状态为存续。</t>
  </si>
  <si>
    <t>普通货物运输；仓储及装卸服务，货运信息服务，批发零售：其他农畜产品、日用杂货、棉花及棉花副产品、化肥、塑料薄膜、其他化工产品、汽车配件、其他日用品、五金交电，籽棉收购，房屋租赁。（依法须经批准的项目，经相关部门批准后方可开展经营活动）</t>
  </si>
  <si>
    <t>新疆农资（集团）有限责任公司奎屯储运分公司</t>
  </si>
  <si>
    <t>91654003742217305H</t>
  </si>
  <si>
    <t>新疆农资（集团）有限公司奎屯储运分公司</t>
  </si>
  <si>
    <t>2002-09-12</t>
  </si>
  <si>
    <t>新疆伊犁州奎屯市南环路翠竹园50-A区</t>
  </si>
  <si>
    <t>0992-3290289;0992-3292237;13709935311</t>
  </si>
  <si>
    <t>zwh@xjktnongjiale.com</t>
  </si>
  <si>
    <t>有限责任公司分公司（国有控股）</t>
  </si>
  <si>
    <t>654003130000311</t>
  </si>
  <si>
    <t>74221730-5</t>
  </si>
  <si>
    <t>2002-09-12 至 无固定期限</t>
  </si>
  <si>
    <t>Xinjiang Agricultural Materials (Group) Co., Ltd. Kuitun Storage and Transportation Branch</t>
  </si>
  <si>
    <t>新疆农资（集团）有限责任公司奎屯储运分公司成立于2002-09-12，负责人为朱海颜，统一社会信用代码为91654003742217305H，企业注册地址位于新疆伊犁州奎屯市南环路翠竹园50-A区，所属行业为装卸搬运和仓储业，经营范围包含：仓储运输；货物装卸；农副产品，化工产品，棉花，化肥，农膜的销售。（依法须经批准的项目，经相关部门批准后方可开展经营活动）。企业当前经营状态为存续。</t>
  </si>
  <si>
    <t>仓储运输；货物装卸；农副产品，化工产品，棉花，化肥，农膜的销售。（依法须经批准的项目，经相关部门批准后方可开展经营活动）</t>
  </si>
  <si>
    <t>江阴市协丰棉麻有限公司</t>
  </si>
  <si>
    <t>91320281792313688B</t>
  </si>
  <si>
    <t>桑爱春</t>
  </si>
  <si>
    <t>江阴市华士镇华西新市村商贸城公寓150号</t>
  </si>
  <si>
    <t>0510-86060885</t>
  </si>
  <si>
    <t>0510-86216368</t>
  </si>
  <si>
    <t>276567575@qq.com</t>
  </si>
  <si>
    <t>20044033@qq.com</t>
  </si>
  <si>
    <t>320281000018351</t>
  </si>
  <si>
    <t>79231368-8</t>
  </si>
  <si>
    <t>2006-09-25 至 无固定期限</t>
  </si>
  <si>
    <t>Jiangyin Xiefeng Cotton and Linen Co., Ltd.</t>
  </si>
  <si>
    <t>江阴市协丰棉麻有限公司成立于2006-09-25，法定代表人为桑爱春，注册资本为1000万元，统一社会信用代码为91320281792313688B，企业注册地址位于江阴市华士镇华西新市村商贸城公寓150号，所属行业为批发业，经营范围包含：一般项目：针纺织品及原料销售；纺织专用设备销售；普通货物仓储服务（不含危险化学品等需许可审批的项目）；装卸搬运；货物进出口；技术进出口；进出口代理（除依法须经批准的项目外，凭营业执照依法自主开展经营活动）。企业当前经营状态为在业。</t>
  </si>
  <si>
    <t>一般项目：针纺织品及原料销售；纺织专用设备销售；普通货物仓储服务（不含危险化学品等需许可审批的项目）；装卸搬运；货物进出口；技术进出口；进出口代理（除依法须经批准的项目外，凭营业执照依法自主开展经营活动）</t>
  </si>
  <si>
    <t>阿克苏益康仓储物流有限公司</t>
  </si>
  <si>
    <t>91652925072224716N</t>
  </si>
  <si>
    <t>3600万元</t>
  </si>
  <si>
    <t>2013-07-17</t>
  </si>
  <si>
    <t>新疆阿克苏地区新和县北工业园区北侧</t>
  </si>
  <si>
    <t>0997-8123116;0997-8123615;18299597038;0997-6726664</t>
  </si>
  <si>
    <t>591319030@qq.com</t>
  </si>
  <si>
    <t>1430433482@qq.mon;1341792676@qq.com;1430433485@qq.com</t>
  </si>
  <si>
    <t>652925050002152</t>
  </si>
  <si>
    <t>07222471-6</t>
  </si>
  <si>
    <t>2013-07-17 至 无固定期限</t>
  </si>
  <si>
    <t>Aksu Yikang Warehousing and Logistics Co., Ltd.</t>
  </si>
  <si>
    <t>阿克苏益康仓储物流有限公司成立于2013-07-17，法定代表人为陈哲纯，注册资本为3600万元，统一社会信用代码为91652925072224716N，企业注册地址位于新疆阿克苏地区新和县北工业园区北侧，所属行业为装卸搬运和仓储业，经营范围包含：货物及棉花仓储；货物包装、搬运、装卸、保管；物流信息查询服务；农产品购销；普通货物道路运输，货运代理；房屋租赁（不含住宿），场地租赁，农产品综合市场管理，货物与技术进出口业务（依法须经批准的项目，经相关部门批准后方可开展经营活动）。企业当前经营状态为存续。</t>
  </si>
  <si>
    <t>货物及棉花仓储；货物包装、搬运、装卸、保管；物流信息查询服务；农产品购销；普通货物道路运输，货运代理；房屋租赁（不含住宿），场地租赁，农产品综合市场管理，货物与技术进出口业务（依法须经批准的项目，经相关部门批准后方可开展经营活动）</t>
  </si>
  <si>
    <t>新疆瑞利达仓储有限公司</t>
  </si>
  <si>
    <t>916531293330955111</t>
  </si>
  <si>
    <t>贾芝荣</t>
  </si>
  <si>
    <t>967.9797万元</t>
  </si>
  <si>
    <t>2015-03-23</t>
  </si>
  <si>
    <t>新疆喀什地区伽师县克孜勒博依乡桥拉克村1组78号</t>
  </si>
  <si>
    <t>伽师县</t>
  </si>
  <si>
    <t>15003089666</t>
  </si>
  <si>
    <t>13602681923;18199518905;13579300223;18299868741;0998-6739580</t>
  </si>
  <si>
    <t>1139859827@qq.com</t>
  </si>
  <si>
    <t>290871448@qq.com;1853203404@qq.com;542409396@qq.com</t>
  </si>
  <si>
    <t>653129056002529</t>
  </si>
  <si>
    <t>33309551-1</t>
  </si>
  <si>
    <t>2015-03-23 至 2030-03-22</t>
  </si>
  <si>
    <t>Xinjiang Ruilida Warehousing Co., Ltd.</t>
  </si>
  <si>
    <t>新疆瑞利达仓储有限公司成立于2015-03-23，法定代表人为贾芝荣，注册资本为1000万元，统一社会信用代码为916531293330955111，企业注册地址位于新疆喀什地区伽师县克孜勒博依乡桥拉克村1组78号，所属行业为装卸搬运和仓储业，经营范围包含：一般项目：普通货物仓储服务（不含危险化学品等需许可审批的项目）；国内货物运输代理；非居住房地产租赁。（除依法须经批准的项目外，凭营业执照依法自主开展经营活动）。企业当前经营状态为存续。</t>
  </si>
  <si>
    <t>一般项目：普通货物仓储服务（不含危险化学品等需许可审批的项目）；国内货物运输代理；非居住房地产租赁。（除依法须经批准的项目外，凭营业执照依法自主开展经营活动）</t>
  </si>
  <si>
    <t>伽师县市场监督管理局</t>
  </si>
  <si>
    <t>江阴市泾阳毛纺有限公司</t>
  </si>
  <si>
    <t>913202812503652563</t>
  </si>
  <si>
    <t>江阴市长泾毛条厂</t>
  </si>
  <si>
    <t>王志阳</t>
  </si>
  <si>
    <t>1993-10-12</t>
  </si>
  <si>
    <t>江阴市长泾镇共青路21号</t>
  </si>
  <si>
    <t>0510-86305878</t>
  </si>
  <si>
    <t>0510-86301561;0510-86315370;13771607382</t>
  </si>
  <si>
    <t>wiy-5@163.com</t>
  </si>
  <si>
    <t>253821602@qq.com;724431529@qq.com</t>
  </si>
  <si>
    <t>320281000044172</t>
  </si>
  <si>
    <t>25036525-6</t>
  </si>
  <si>
    <t>1993-10-12 至 无固定期限</t>
  </si>
  <si>
    <t>Jiangyin City Jinyang Wool Spinning Co., Ltd.</t>
  </si>
  <si>
    <t>http://www.jyjymf.com</t>
  </si>
  <si>
    <t>江阴市泾阳毛纺有限公司成立于1993-10-12，法定代表人为王志阳，注册资本为1200万元，统一社会信用代码为913202812503652563，企业注册地址位于江阴市长泾镇共青路21号，所属行业为纺织业，经营范围包含：毛纺织品、毛条的制造、加工、销售；毛纺；羊毛清洗加工；羊毛油脂回收；原毛、洗净毛的销售；自营和代理各类商品及技术的进出口业务，但国家限定企业经营或禁止进出口的商品和技术除外；道路货物运输。（依法须经批准的项目，经相关部门批准后方可开展经营活动）。企业当前经营状态为存续。</t>
  </si>
  <si>
    <t>毛纺织品、毛条的制造、加工、销售；毛纺；羊毛清洗加工；羊毛油脂回收；原毛、洗净毛的销售；自营和代理各类商品及技术的进出口业务，但国家限定企业经营或禁止进出口的商品和技术除外；道路货物运输。（依法须经批准的项目，经相关部门批准后方可开展经营活动）</t>
  </si>
  <si>
    <t>乌苏市亿佳物流有限责任公司</t>
  </si>
  <si>
    <t>91654202MA77501T7N</t>
  </si>
  <si>
    <t>李占春</t>
  </si>
  <si>
    <t>5180万元</t>
  </si>
  <si>
    <t>2013-03-13</t>
  </si>
  <si>
    <t>新疆塔城地区乌苏市新市区办事处北京东路南侧（东工业区）</t>
  </si>
  <si>
    <t>19199138809</t>
  </si>
  <si>
    <t>0992-8501821;0992-8026188;0992-8509977;0992-7261997;13999726738</t>
  </si>
  <si>
    <t>19199138809@123.com</t>
  </si>
  <si>
    <t>2214202782@qq.com;759106298@qq.com;26982399@qq.com;wsyjwlyxgd@126.com</t>
  </si>
  <si>
    <t>654202050007091</t>
  </si>
  <si>
    <t>MA77501T-7</t>
  </si>
  <si>
    <t>2013-03-13 至 无固定期限</t>
  </si>
  <si>
    <t>WuSu Yijia Logistics Limited Liability Company</t>
  </si>
  <si>
    <t>乌苏市亿佳物流有限责任公司成立于2013-03-13，法定代表人为李占春，注册资本为5180万元，统一社会信用代码为91654202MA77501T7N，企业注册地址位于新疆塔城地区乌苏市新市区办事处北京东路南侧（东工业区），所属行业为装卸搬运和仓储业，经营范围包含：道路普通货物运输,皮棉及农副产品仓储，皮棉销售，物流信息咨询服务,进出口贸易（依法须经批准的项目，经相关部门批准后方可开展经营活动）。企业当前经营状态为存续。</t>
  </si>
  <si>
    <t>道路普通货物运输,皮棉及农副产品仓储，皮棉销售，物流信息咨询服务,进出口贸易（依法须经批准的项目，经相关部门批准后方可开展经营活动）</t>
  </si>
  <si>
    <t>张家港保税区大六湖运输有限公司</t>
  </si>
  <si>
    <t>91320592MA1MMT2P5J</t>
  </si>
  <si>
    <t>李海亭</t>
  </si>
  <si>
    <t>123万元</t>
  </si>
  <si>
    <t>2016-06-15</t>
  </si>
  <si>
    <t>张家港保税区京港大厦816室</t>
  </si>
  <si>
    <t>0512-58305576</t>
  </si>
  <si>
    <t>13601566569;18751150302;13915720769;13862220290</t>
  </si>
  <si>
    <t>812834283@qq.com</t>
  </si>
  <si>
    <t>320592000102768</t>
  </si>
  <si>
    <t>MA1MMT2P-5</t>
  </si>
  <si>
    <t>2016-06-15 至 无固定期限</t>
  </si>
  <si>
    <t>Zhangjiagang Bonded Zone Daliuhu Transportation Co., Ltd.</t>
  </si>
  <si>
    <t>张家港保税区纺织原料市场816室</t>
  </si>
  <si>
    <t>张家港保税区大六湖运输有限公司成立于2016-06-15，法定代表人为李海亭，注册资本为123万元，统一社会信用代码为91320592MA1MMT2P5J，企业注册地址位于张家港保税区京港大厦816室，所属行业为道路运输业，经营范围包含：货运经营（待取得许可证后方可经营）。纺织原料及产品、服装及辅料、五金机电、建筑材料、办公用品、金属材料、电子产品、日用百货、机械产品及配件、化工产品（危化品除外）、矿产品、橡胶制品、塑料制品、木材及制品的购销，自营和代理各类商品和技术的进出口业务（国家限定公司经营或禁止进出口的商品及技术除外）。 （依法须经批准的项目，经相关部门批准后方可开展经营活动）。企业当前经营状态为在业。</t>
  </si>
  <si>
    <t>货运经营（待取得许可证后方可经营）。纺织原料及产品、服装及辅料、五金机电、建筑材料、办公用品、金属材料、电子产品、日用百货、机械产品及配件、化工产品（危化品除外）、矿产品、橡胶制品、塑料制品、木材及制品的购销，自营和代理各类商品和技术的进出口业务（国家限定公司经营或禁止进出口的商品及技术除外）。 （依法须经批准的项目，经相关部门批准后方可开展经营活动）</t>
  </si>
  <si>
    <t>湖北易得物流有限公司</t>
  </si>
  <si>
    <t>914209210581215771</t>
  </si>
  <si>
    <t>刘茂芬</t>
  </si>
  <si>
    <t>2012-12-11</t>
  </si>
  <si>
    <t>孝感市孝昌县卫店镇战备路1号</t>
  </si>
  <si>
    <t>18986195710</t>
  </si>
  <si>
    <t>15971437803</t>
  </si>
  <si>
    <t>782321532@qq.com</t>
  </si>
  <si>
    <t>57680169@qq.com;407079792@qq.com</t>
  </si>
  <si>
    <t>420921000013646</t>
  </si>
  <si>
    <t>05812157-7</t>
  </si>
  <si>
    <t>2012-12-11 至 2026-07-31</t>
  </si>
  <si>
    <t>Hubei Yide Logistics Co., Ltd.</t>
  </si>
  <si>
    <t>武汉市东西湖区临空港大道416融园国际网安大厦2108室</t>
  </si>
  <si>
    <t>湖北易得物流有限公司成立于2012-12-11，法定代表人为刘茂芬，注册资本为600万元，统一社会信用代码为914209210581215771，企业注册地址位于孝感市孝昌县卫店镇战备路1号，所属行业为装卸搬运和仓储业，经营范围包含：许可项目：道路货物运输（不含危险货物）；第一类增值电信业务；第二类增值电信业务；道路货物运输（网络货运）（依法须经批准的项目，经相关部门批准后方可开展经营活动，具体经营项目以相关部门批准文件或许可证件为准）一般项目：普通货物仓储服务（不含危险化学品等需许可审批的项目）；信息咨询服务（不含许可类信息咨询服务）（除许可业务外，可自主依法经营法律法规非禁止或限制的项目）。企业当前经营状态为存续。</t>
  </si>
  <si>
    <t>许可项目：道路货物运输（不含危险货物）；第一类增值电信业务；第二类增值电信业务；道路货物运输（网络货运）（依法须经批准的项目，经相关部门批准后方可开展经营活动，具体经营项目以相关部门批准文件或许可证件为准）一般项目：普通货物仓储服务（不含危险化学品等需许可审批的项目）；信息咨询服务（不含许可类信息咨询服务）（除许可业务外，可自主依法经营法律法规非禁止或限制的项目）</t>
  </si>
  <si>
    <t>武城县德通物流有限公司</t>
  </si>
  <si>
    <t>91371428358630787J</t>
  </si>
  <si>
    <t>王桂行</t>
  </si>
  <si>
    <t>2015-09-21</t>
  </si>
  <si>
    <t>山东省德州市武城县向阳南路东侧（金马商城）</t>
  </si>
  <si>
    <t>13583483229</t>
  </si>
  <si>
    <t>1014430080@qq.com</t>
  </si>
  <si>
    <t>253097065@qq.com;11508381@qq.com</t>
  </si>
  <si>
    <t>371428200012133</t>
  </si>
  <si>
    <t>35863078-7</t>
  </si>
  <si>
    <t>2015-09-21 至 无固定期限</t>
  </si>
  <si>
    <t>Wucheng County Detong Logistics Co., Ltd.</t>
  </si>
  <si>
    <t>武城县德通物流有限公司成立于2015-09-21，法定代表人为王桂行，注册资本为500万元，统一社会信用代码为91371428358630787J，企业注册地址位于山东省德州市武城县向阳南路东侧（金马商城），所属行业为道路运输业，经营范围包含：许可项目：道路货物运输（不含危险货物）。（依法须经批准的项目，经相关部门批准后方可开展经营活动，具体经营项目以相关部门批准文件或许可证件为准）一般项目：国内货物运输代理；装卸搬运。（除依法须经批准的项目外，凭营业执照依法自主开展经营活动）。企业当前经营状态为在业。</t>
  </si>
  <si>
    <t>许可项目：道路货物运输（不含危险货物）。（依法须经批准的项目，经相关部门批准后方可开展经营活动，具体经营项目以相关部门批准文件或许可证件为准）一般项目：国内货物运输代理；装卸搬运。（除依法须经批准的项目外，凭营业执照依法自主开展经营活动）</t>
  </si>
  <si>
    <t>无锡润行物流有限公司</t>
  </si>
  <si>
    <t>91320281MA1T5AXU50</t>
  </si>
  <si>
    <t>张卫锋</t>
  </si>
  <si>
    <t>208万元</t>
  </si>
  <si>
    <t>2017-10-23</t>
  </si>
  <si>
    <t>江阴市顾山镇锡张路268号B幢111-03号</t>
  </si>
  <si>
    <t>13382898088</t>
  </si>
  <si>
    <t>18001524433;18014240566</t>
  </si>
  <si>
    <t>446856740@qq.com</t>
  </si>
  <si>
    <t>320281000692076</t>
  </si>
  <si>
    <t>MA1T5AXU-5</t>
  </si>
  <si>
    <t>2017-10-23 至 2037-10-22</t>
  </si>
  <si>
    <t>Wuxi Runxing Logistics Co., Ltd.</t>
  </si>
  <si>
    <t>无锡润行物流有限公司成立于2017-10-23，法定代表人为张卫锋，注册资本为208万元，统一社会信用代码为91320281MA1T5AXU50，企业注册地址位于江阴市顾山镇锡张路268号B幢111-03号，所属行业为道路运输业，经营范围包含：许可项目：道路货物运输（不含危险货物）；水路普通货物运输（依法须经批准的项目，经相关部门批准后方可开展经营活动，具体经营项目以审批结果为准）
一般项目：装卸搬运；普通货物仓储服务（不含危险化学品等需许可审批的项目）；国内货物运输代理；城市绿化管理；花卉种植；园艺产品种植；树木种植经营；防洪除涝设施管理；土石方工程施工；园林绿化工程施工（除依法须经批准的项目外，凭营业执照依法自主开展经营活动）。企业当前经营状态为在业。</t>
  </si>
  <si>
    <t>许可项目：道路货物运输（不含危险货物）；水路普通货物运输（依法须经批准的项目，经相关部门批准后方可开展经营活动，具体经营项目以审批结果为准）
一般项目：装卸搬运；普通货物仓储服务（不含危险化学品等需许可审批的项目）；国内货物运输代理；城市绿化管理；花卉种植；园艺产品种植；树木种植经营；防洪除涝设施管理；土石方工程施工；园林绿化工程施工（除依法须经批准的项目外，凭营业执照依法自主开展经营活动）</t>
  </si>
  <si>
    <t>石河子市天昊货运有限责任公司</t>
  </si>
  <si>
    <t>91659001599199131N</t>
  </si>
  <si>
    <t>白雪</t>
  </si>
  <si>
    <t>新疆石河子市乌伊东路北11-6号</t>
  </si>
  <si>
    <t>13239934888</t>
  </si>
  <si>
    <t>15699323388;15999290588;13279938608;13201092786;18999730082</t>
  </si>
  <si>
    <t>2453394085@qq.com</t>
  </si>
  <si>
    <t>245339408@qq.com;mxm218@163.com</t>
  </si>
  <si>
    <t>659001052014655</t>
  </si>
  <si>
    <t>59919913-1</t>
  </si>
  <si>
    <t>Shihezi Tianhao Freight Co., Ltd.</t>
  </si>
  <si>
    <t>石河子市天昊货运有限责任公司成立于2012-08-27，法定代表人为白雪，注册资本为300万元，统一社会信用代码为91659001599199131N，企业注册地址位于新疆石河子市乌伊东路北11-6号，所属行业为道路运输业，经营范围包含：许可项目：道路货物运输（不含危险货物）（依法须经批准的项目，经相关部门批准后方可开展经营活动，具体经营项目以相关部门批准文件或许可证件为准）一般项目：运输货物打包服务；汽车拖车、求援、清障服务；普通货物仓储服务（不含危险化学品等需许可审批的项目）；机械设备租赁；道路货物运输站经营；装卸搬运；二手车经纪；低温仓储（不含危险化学品等需许可审批的项目）；国内货物运输代理；日用百货销售；塑料制品销售；橡胶制品销售；机械设备销售；化工产品销售（不含许可类化工产品）；润滑油销售；金属制品销售；电子产品销售；办公用品销售；汽车零配件零售；电线、电缆经营；五金产品批发（除依法须经批准的项目外，凭营业执照依法自主开展经营活动）。企业当前经营状态为存续。</t>
  </si>
  <si>
    <t>许可项目：道路货物运输（不含危险货物）（依法须经批准的项目，经相关部门批准后方可开展经营活动，具体经营项目以相关部门批准文件或许可证件为准）一般项目：运输货物打包服务；汽车拖车、求援、清障服务；普通货物仓储服务（不含危险化学品等需许可审批的项目）；机械设备租赁；道路货物运输站经营；装卸搬运；二手车经纪；低温仓储（不含危险化学品等需许可审批的项目）；国内货物运输代理；日用百货销售；塑料制品销售；橡胶制品销售；机械设备销售；化工产品销售（不含许可类化工产品）；润滑油销售；金属制品销售；电子产品销售；办公用品销售；汽车零配件零售；电线、电缆经营；五金产品批发（除依法须经批准的项目外，凭营业执照依法自主开展经营活动）</t>
  </si>
  <si>
    <t>巴楚县顺安物流服务有限公司</t>
  </si>
  <si>
    <t>91653130MA776Y4T4Y</t>
  </si>
  <si>
    <t>余玲玲</t>
  </si>
  <si>
    <t>2016-09-22</t>
  </si>
  <si>
    <t>新疆喀什地区巴楚县光明北路（新兴建材厂南侧）</t>
  </si>
  <si>
    <t>15292923888</t>
  </si>
  <si>
    <t>18299620181</t>
  </si>
  <si>
    <t>15292923888@qq.com</t>
  </si>
  <si>
    <t>18299620181@qq.com</t>
  </si>
  <si>
    <t>653130056608891</t>
  </si>
  <si>
    <t>MA776Y4T-4</t>
  </si>
  <si>
    <t>2016-09-22 至 无固定期限</t>
  </si>
  <si>
    <t>Bachu County Shun'an Logistics Service Co., Ltd.</t>
  </si>
  <si>
    <t>巴楚县顺安物流服务有限公司成立于2016-09-22，法定代表人为余玲玲，注册资本为50万元，统一社会信用代码为91653130MA776Y4T4Y，企业注册地址位于新疆喀什地区巴楚县光明北路（新兴建材厂南侧），所属行业为道路运输业，经营范围包含：普通货物运输、仓储服务（依法须经批准的项目，经相关部门批准后方可开展经营活动）。企业当前经营状态为存续。</t>
  </si>
  <si>
    <t>普通货物运输、仓储服务（依法须经批准的项目，经相关部门批准后方可开展经营活动）</t>
  </si>
  <si>
    <t>武汉罗仕顺达物流有限公司</t>
  </si>
  <si>
    <t>91420112MA4KR2R15K</t>
  </si>
  <si>
    <t>罗秋争</t>
  </si>
  <si>
    <t>2017-02-21</t>
  </si>
  <si>
    <t>武汉市东西湖区辛安渡办事处徐家台1号（15）</t>
  </si>
  <si>
    <t>18971641646</t>
  </si>
  <si>
    <t>027-83235872;15527491211</t>
  </si>
  <si>
    <t>695492590@qq.com</t>
  </si>
  <si>
    <t>675492590@qq.com</t>
  </si>
  <si>
    <t>420112000406648</t>
  </si>
  <si>
    <t>MA4KR2R1-5</t>
  </si>
  <si>
    <t>2017-02-21 至 2047-02-20</t>
  </si>
  <si>
    <t>Wuhan Luoshi Shunda Logistics Co., Ltd.</t>
  </si>
  <si>
    <t>东西湖区新城11路东谷大厦</t>
  </si>
  <si>
    <t>武汉罗仕顺达物流有限公司成立于2017-02-21，法定代表人为罗秋争，注册资本为600万元，统一社会信用代码为91420112MA4KR2R15K，企业注册地址位于武汉市东西湖区辛安渡办事处徐家台1号（15），所属行业为道路运输业，经营范围包含：普通货运、货运代理、装卸搬运、货运信息服务。（依法须经审批的项目，经相关部门审批后方可开展经营活动）。企业当前经营状态为存续。</t>
  </si>
  <si>
    <t>普通货运、货运代理、装卸搬运、货运信息服务。（依法须经审批的项目，经相关部门审批后方可开展经营活动）</t>
  </si>
  <si>
    <t>北京全国棉花交易市场棉花配送有限公司</t>
  </si>
  <si>
    <t>91110000722616579G</t>
  </si>
  <si>
    <t>王军权</t>
  </si>
  <si>
    <t>2000-09-28</t>
  </si>
  <si>
    <t>北京市北京经济技术开发区天华东路5号院2号楼-1层015-272</t>
  </si>
  <si>
    <t>大兴区</t>
  </si>
  <si>
    <t>110102001696595</t>
  </si>
  <si>
    <t>72261657-9</t>
  </si>
  <si>
    <t>2000-09-28 至 2049-09-27</t>
  </si>
  <si>
    <t>Beijing Whole Nation Cotton Trade Market Cotton Distribution Co., Ltd.</t>
  </si>
  <si>
    <t>北京全国棉花交易市场棉花配送有限公司成立于2000-09-28，法定代表人为王军权，注册资本为1500万元，统一社会信用代码为91110000722616579G，企业注册地址位于北京市北京经济技术开发区天华东路5号院2号楼-1层015-272，所属行业为批发业，经营范围包含：一般项目：棉、麻销售；棉花加工；商务代理代办服务；国内货物运输代理；棉花收购；棉花种植；棉花加工机械销售；棉花加工机械制造；技术服务、技术开发、技术咨询、技术交流、技术转让、技术推广；会议及展览服务。（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企业当前经营状态为存续。</t>
  </si>
  <si>
    <t>一般项目：棉、麻销售；棉花加工；商务代理代办服务；国内货物运输代理；棉花收购；棉花种植；棉花加工机械销售；棉花加工机械制造；技术服务、技术开发、技术咨询、技术交流、技术转让、技术推广；会议及展览服务。（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</si>
  <si>
    <t>北京经济技术开发区市场监督管理局</t>
  </si>
  <si>
    <t>广州德正货运代理有限公司</t>
  </si>
  <si>
    <t>91440115054516889G</t>
  </si>
  <si>
    <t>郭赋</t>
  </si>
  <si>
    <t>2012-09-27</t>
  </si>
  <si>
    <t>广州市南沙区龙穴大道中13号1502室</t>
  </si>
  <si>
    <t>020-84529899</t>
  </si>
  <si>
    <t>020-39390823</t>
  </si>
  <si>
    <t>wmf@gzmxdz.net</t>
  </si>
  <si>
    <t>llz@gzmxdz.net;lxc@gzmxdz.net</t>
  </si>
  <si>
    <t>440110000020166</t>
  </si>
  <si>
    <t>05451688-9</t>
  </si>
  <si>
    <t>2012-09-27 至 无固定期限</t>
  </si>
  <si>
    <t>Guangzhou Dezheng Freight Forwarding Co., Ltd.</t>
  </si>
  <si>
    <t>广州德正货运代理有限公司成立于2012-09-27，法定代表人为郭赋，注册资本为200万元，统一社会信用代码为91440115054516889G，企业注册地址位于广州市南沙区龙穴大道中13号1502室，所属行业为多式联运和运输代理业，经营范围包含：国际货运代理;物流代理服务;仓储代理服务;货物报关代理服务;联合运输代理服务;货物检验代理服务;打包、装卸、运输全套服务代理;道路货物运输代理;装卸搬运;钢材批发;贸易咨询服务。企业当前经营状态为存续。</t>
  </si>
  <si>
    <t>国际货运代理;物流代理服务;仓储代理服务;货物报关代理服务;联合运输代理服务;货物检验代理服务;打包、装卸、运输全套服务代理;道路货物运输代理;装卸搬运;钢材批发;贸易咨询服务</t>
  </si>
  <si>
    <t>江苏杰恒国际货运代理有限公司</t>
  </si>
  <si>
    <t>91320585MA1UYQ0C0Y</t>
  </si>
  <si>
    <t>李岗</t>
  </si>
  <si>
    <t>1111.1111万元</t>
  </si>
  <si>
    <t>651万元</t>
  </si>
  <si>
    <t>太仓市浮桥镇北环路3号</t>
  </si>
  <si>
    <t>0512-53970230</t>
  </si>
  <si>
    <t>13952420633</t>
  </si>
  <si>
    <t>632910034@qq.com</t>
  </si>
  <si>
    <t>320585000363072</t>
  </si>
  <si>
    <t>MA1UYQ0C-0</t>
  </si>
  <si>
    <t>2018-01-26 至 2048-01-25</t>
  </si>
  <si>
    <t>Jiangsu Jieheng International Freight Forwarding Co., Ltd.</t>
  </si>
  <si>
    <t>江苏杰恒国际货运代理有限公司成立于2018-01-26，法定代表人为李岗，注册资本为1111.1111万元，统一社会信用代码为91320585MA1UYQ0C0Y，企业注册地址位于太仓市浮桥镇北环路3号，所属行业为多式联运和运输代理业，经营范围包含：承办空运进出口货物的国际运输代理业务，包括：揽货、订舱、中转、集装箱拼装拆箱、结算运杂费、报关、保险、报检、相关的短途运输服务及咨询业务；仓储服务；装卸搬运；自营和代理各类商品和技术的进出口（国家限定公司经营或禁止进出口的商品和技术除外）。（依法须经批准的项目，经相关部门批准后方可开展经营活动）。企业当前经营状态为在业。</t>
  </si>
  <si>
    <t>承办空运进出口货物的国际运输代理业务，包括：揽货、订舱、中转、集装箱拼装拆箱、结算运杂费、报关、保险、报检、相关的短途运输服务及咨询业务；仓储服务；装卸搬运；自营和代理各类商品和技术的进出口（国家限定公司经营或禁止进出口的商品和技术除外）。（依法须经批准的项目，经相关部门批准后方可开展经营活动）</t>
  </si>
  <si>
    <t>江苏欣海长阳仓储有限公司</t>
  </si>
  <si>
    <t>91320592MA1WQFBM0X</t>
  </si>
  <si>
    <t>杨爱良</t>
  </si>
  <si>
    <t>2018-06-20</t>
  </si>
  <si>
    <t>张家港保税区天津路1号的1号库D区</t>
  </si>
  <si>
    <t>0512-58327068</t>
  </si>
  <si>
    <t>13801566100</t>
  </si>
  <si>
    <t>agency@xinhailogistics.com</t>
  </si>
  <si>
    <t>320592000130734</t>
  </si>
  <si>
    <t>MA1WQFBM-0</t>
  </si>
  <si>
    <t>2018-06-20 至 无固定期限</t>
  </si>
  <si>
    <t>Jiangsu Xinhai Changyang Storage Co., Ltd.</t>
  </si>
  <si>
    <t>江苏欣海长阳仓储有限公司成立于2018-06-20，法定代表人为杨爱良，注册资本为1000万元，统一社会信用代码为91320592MA1WQFBM0X，企业注册地址位于张家港保税区天津路1号的1号库D区，所属行业为装卸搬运和仓储业，经营范围包含：货物仓储服务（除危险化学品），货物或技术进出口（国家禁止或涉及行政审批的货物和技术进出口除外）。（依法须经批准的项目，经相关部门批准后方可开展经营活动）
一般项目：国内货物运输代理；炼油、化工生产专用设备销售；有色金属合金销售；锻件及粉末冶金制品销售；冶金专用设备销售；金属材料销售；金属制品销售；机械设备销售；机械零件、零部件销售；仪器仪表销售；电子产品销售；五金产品零售；建筑材料销售；耐火材料销售（除依法须经批准的项目外，凭营业执照依法自主开展经营活动）。企业当前经营状态为在业。</t>
  </si>
  <si>
    <t>货物仓储服务（除危险化学品），货物或技术进出口（国家禁止或涉及行政审批的货物和技术进出口除外）。（依法须经批准的项目，经相关部门批准后方可开展经营活动）
一般项目：国内货物运输代理；炼油、化工生产专用设备销售；有色金属合金销售；锻件及粉末冶金制品销售；冶金专用设备销售；金属材料销售；金属制品销售；机械设备销售；机械零件、零部件销售；仪器仪表销售；电子产品销售；五金产品零售；建筑材料销售；耐火材料销售（除依法须经批准的项目外，凭营业执照依法自主开展经营活动）</t>
  </si>
  <si>
    <t>江苏新民洲港务有限公司</t>
  </si>
  <si>
    <t>913211007910964745</t>
  </si>
  <si>
    <t>新宇国际（镇江）港务有限公司</t>
  </si>
  <si>
    <t>徐海平</t>
  </si>
  <si>
    <t>110000万元</t>
  </si>
  <si>
    <t>2006-08-25</t>
  </si>
  <si>
    <t>镇江市京口区新民洲临港产业园青春路58号</t>
  </si>
  <si>
    <t>0511-85939900</t>
  </si>
  <si>
    <t>0511-85939901;0511-85939902;0511-85939906;0511-83361156;0511-85939998</t>
  </si>
  <si>
    <t>yuting.lu@cfth.cn</t>
  </si>
  <si>
    <t>lei.sun@golden-coast.cn;yuting.lu@golden-coast.cn;jsxmzzp@163.com</t>
  </si>
  <si>
    <t>321100400010583</t>
  </si>
  <si>
    <t>79109647-4</t>
  </si>
  <si>
    <t>168</t>
  </si>
  <si>
    <t>2006-08-25 至 2056-08-24</t>
  </si>
  <si>
    <t>Jiangsu Xinmin Chau Port Co., Ltd.</t>
  </si>
  <si>
    <t>https://www.zlxmzg.com</t>
  </si>
  <si>
    <t>江苏新民洲港务有限公司成立于2006-08-25，法定代表人为徐海平，注册资本为160000万元，统一社会信用代码为913211007910964745，企业注册地址位于镇江市京口区新民洲临港产业园青春路58号，所属行业为水上运输业，经营范围包含：码头和其他港口设施服务；为船舶提供码头设施；在港区内从事货物装卸、仓储经营（危险化学品除外）、木材加工；港口机械、设施、设备租赁、维修经营；对港口装卸、货物贮存、轮驳、协靠、机械修理的咨询服务；木材、粮油、煤炭、钢材、矿石、焦炭、有色金属、棉花、建筑工程设备、建材、塑钢材料、给排水管、日用百货、服装鞋帽、针纺织品、文体用品、办公用品、计算机及配件、五金交电的批发零售；自营和代理各类商品及技术的进出口业务（国家限定企业经营或禁止进出口的商品和技术除外）。（依法须经批准的项目，经相关部门批准后方可开展经营活动）
许可项目：道路货物运输（不含危险货物）（依法须经批准的项目，经相关部门批准后方可开展经营活动，具体经营项目以审批结果为准）
一般项目：国内货物运输代理；无船承运业务；国内船舶代理；运输货物打包服务；物业管理（除依法须经批准的项目外，凭营业执照依法自主开展经营活动）。企业当前经营状态为在业。</t>
  </si>
  <si>
    <t>码头和其他港口设施服务；为船舶提供码头设施；在港区内从事货物装卸、仓储经营（危险化学品除外）、木材加工；港口机械、设施、设备租赁、维修经营；对港口装卸、货物贮存、轮驳、协靠、机械修理的咨询服务；木材、粮油、煤炭、钢材、矿石、焦炭、有色金属、棉花、建筑工程设备、建材、塑钢材料、给排水管、日用百货、服装鞋帽、针纺织品、文体用品、办公用品、计算机及配件、五金交电的批发零售；自营和代理各类商品及技术的进出口业务（国家限定企业经营或禁止进出口的商品和技术除外）。（依法须经批准的项目，经相关部门批准后方可开展经营活动）
许可项目：道路货物运输（不含危险货物）（依法须经批准的项目，经相关部门批准后方可开展经营活动，具体经营项目以审批结果为准）
一般项目：国内货物运输代理；无船承运业务；国内船舶代理；运输货物打包服务；物业管理（除依法须经批准的项目外，凭营业执照依法自主开展经营活动）</t>
  </si>
  <si>
    <t>江苏鑫亿隆港务集团有限公司</t>
  </si>
  <si>
    <t>91320592313769013L</t>
  </si>
  <si>
    <t>张家港保税区锦隆鑫港物流有限公司</t>
  </si>
  <si>
    <t>王再昌</t>
  </si>
  <si>
    <t>2574万元</t>
  </si>
  <si>
    <t>张家港市金港镇长山村（久盛船厂旁）</t>
  </si>
  <si>
    <t>0512-89595988</t>
  </si>
  <si>
    <t>0512-89595399;15150250555;18915710235</t>
  </si>
  <si>
    <t>453797160@qq.com</t>
  </si>
  <si>
    <t>467739047@qq.com;736068041@qq.com;zjgjlxg@126.com</t>
  </si>
  <si>
    <t>320592000084017</t>
  </si>
  <si>
    <t>31376901-3</t>
  </si>
  <si>
    <t>81</t>
  </si>
  <si>
    <t>Jiangsu Xinyilong Port Group Co., Ltd.</t>
  </si>
  <si>
    <t>金港镇临江路10号</t>
  </si>
  <si>
    <t>江苏鑫亿隆港务集团有限公司成立于2014-09-03，法定代表人为王再昌，注册资本为6000万元，统一社会信用代码为91320592313769013L，企业注册地址位于张家港市金港镇长山村（久盛船厂旁），所属行业为道路运输业，经营范围包含：许可项目：道路货物运输（不含危险货物）（依法须经批准的项目，经相关部门批准后方可开展经营活动，具体经营项目以审批结果为准）一般项目：船舶港口服务；港口理货；装卸搬运；普通货物仓储服务（不含危险化学品等需许可审批的项目）；国内货物运输代理；国际货物运输代理；打捞服务；运输货物打包服务；包装服务；国内船舶代理；国际船舶代理；人力资源服务（不含职业中介活动、劳务派遣服务）；林业产品销售；成品油批发（不含危险化学品）；建筑材料销售；机械设备销售；金属制品销售；塑料制品销售；五金产品批发；仪器仪表销售；化工产品销售（不含许可类化工产品）；日用木制品销售；土地使用权租赁；非居住房地产租赁；机械设备租赁（除依法须经批准的项目外，凭营业执照依法自主开展经营活动）。企业当前经营状态为存续。</t>
  </si>
  <si>
    <t>许可项目：道路货物运输（不含危险货物）（依法须经批准的项目，经相关部门批准后方可开展经营活动，具体经营项目以审批结果为准）一般项目：船舶港口服务；港口理货；装卸搬运；普通货物仓储服务（不含危险化学品等需许可审批的项目）；国内货物运输代理；国际货物运输代理；打捞服务；运输货物打包服务；包装服务；国内船舶代理；国际船舶代理；人力资源服务（不含职业中介活动、劳务派遣服务）；林业产品销售；成品油批发（不含危险化学品）；建筑材料销售；机械设备销售；金属制品销售；塑料制品销售；五金产品批发；仪器仪表销售；化工产品销售（不含许可类化工产品）；日用木制品销售；土地使用权租赁；非居住房地产租赁；机械设备租赁（除依法须经批准的项目外，凭营业执照依法自主开展经营活动）</t>
  </si>
  <si>
    <t>江苏正悦国际货运代理有限公司</t>
  </si>
  <si>
    <t>913205926921495771</t>
  </si>
  <si>
    <t>严健</t>
  </si>
  <si>
    <t>2009-07-20</t>
  </si>
  <si>
    <t>张家港保税区纺织原料市场1402室</t>
  </si>
  <si>
    <t>0512-58709792</t>
  </si>
  <si>
    <t>0512-58319218</t>
  </si>
  <si>
    <t>jiangsutengrui@163.com</t>
  </si>
  <si>
    <t>350257527@qq.com</t>
  </si>
  <si>
    <t>320592000041436</t>
  </si>
  <si>
    <t>69214957-7</t>
  </si>
  <si>
    <t>2009-07-20 至 2029-07-19</t>
  </si>
  <si>
    <t>Jiangsu Zhengyue International Freight Forwarding Co., Ltd.</t>
  </si>
  <si>
    <t>张家港市金港镇长江中路309号汇金苑604室</t>
  </si>
  <si>
    <t>江苏正悦国际货运代理有限公司成立于2009-07-20，法定代表人为严健，注册资本为500万元，统一社会信用代码为913205926921495771，企业注册地址位于张家港保税区纺织原料市场1402室，所属行业为道路运输业，经营范围包含：国际货运代理。（依法须经批准的项目，经相关部门批准后方可开展经营活动）。企业当前经营状态为存续。</t>
  </si>
  <si>
    <t>靖江盈利港务有限公司</t>
  </si>
  <si>
    <t>91321282773233797Q</t>
  </si>
  <si>
    <t>盈利（靖江）开发建设有限公司</t>
  </si>
  <si>
    <t>黄智华</t>
  </si>
  <si>
    <t>24700.7377万元</t>
  </si>
  <si>
    <t>2005-04-18</t>
  </si>
  <si>
    <t>江苏省靖江经济开发区新港园区六助港路1号</t>
  </si>
  <si>
    <t>靖江市</t>
  </si>
  <si>
    <t>0523-84099006</t>
  </si>
  <si>
    <t>ylgw@china-wanlin.com</t>
  </si>
  <si>
    <t>321200400005678</t>
  </si>
  <si>
    <t>77323379-7</t>
  </si>
  <si>
    <t>401</t>
  </si>
  <si>
    <t>2005-04-18 至 2055-04-17</t>
  </si>
  <si>
    <t>Jingjiang Yili Port Co., Ltd.</t>
  </si>
  <si>
    <t>靖江盈利港务有限公司成立于2005-04-18，法定代表人为黄智华，注册资本为24700.7377万元，统一社会信用代码为91321282773233797Q，企业注册地址位于江苏省靖江经济开发区新港园区六助港路1号，所属行业为水上运输业，经营范围包含：港口公用码头设施的建设、经营；仓储（不含危险品）及其配套设施的建设与经营。（依法须经批准的项目，经相关部门批准后方可开展经营活动）。企业当前经营状态为在业。</t>
  </si>
  <si>
    <t>港口公用码头设施的建设、经营；仓储（不含危险品）及其配套设施的建设与经营。（依法须经批准的项目，经相关部门批准后方可开展经营活动）</t>
  </si>
  <si>
    <t>靖江市数据局</t>
  </si>
  <si>
    <t>靖江远东国际船舶代理有限公司</t>
  </si>
  <si>
    <t>91321282560271896G</t>
  </si>
  <si>
    <t>周万青</t>
  </si>
  <si>
    <t>2010-08-05</t>
  </si>
  <si>
    <t>靖江市新港园区六助港1号</t>
  </si>
  <si>
    <t>15189968591</t>
  </si>
  <si>
    <t>tzfareast@163.com</t>
  </si>
  <si>
    <t>321282000103503</t>
  </si>
  <si>
    <t>56027189-6</t>
  </si>
  <si>
    <t>2010-08-05 至 2030-08-04</t>
  </si>
  <si>
    <t>Jingjiang Fareast Int'l Shipping Agency Ltd.</t>
  </si>
  <si>
    <t>靖江市滨江国际C幢1707室</t>
  </si>
  <si>
    <t>靖江远东国际船舶代理有限公司成立于2010-08-05，法定代表人为周万青，注册资本为500万元，统一社会信用代码为91321282560271896G，企业注册地址位于靖江市新港园区六助港1号，所属行业为多式联运和运输代理业，经营范围包含：在泰州口岸接受船舶所有人或者船舶承租人、船舶经营人的委托，经营中外籍国际船舶代理及相关业务；办理船舶进出港口手续，联系安排引航、靠泊和装卸；代签提单、运输合同，代办接受订舱业务；办理船舶、集装箱以及货物的报关手续；承揽货物、组织货载，办理货物、集装箱的托运和中转；代收运费，代办结算；组织客源，办理有关海上旅客运输业务；其他相关业务。（不含国际航线客船代理）。（依法须经批准的项目，经相关部门批准后方可开展经营活动）。企业当前经营状态为存续。</t>
  </si>
  <si>
    <t>在泰州口岸接受船舶所有人或者船舶承租人、船舶经营人的委托，经营中外籍国际船舶代理及相关业务；办理船舶进出港口手续，联系安排引航、靠泊和装卸；代签提单、运输合同，代办接受订舱业务；办理船舶、集装箱以及货物的报关手续；承揽货物、组织货载，办理货物、集装箱的托运和中转；代收运费，代办结算；组织客源，办理有关海上旅客运输业务；其他相关业务。（不含国际航线客船代理）。（依法须经批准的项目，经相关部门批准后方可开展经营活动）</t>
  </si>
  <si>
    <t>靖江市行政审批局</t>
  </si>
  <si>
    <t>青岛川泽仓储有限公司</t>
  </si>
  <si>
    <t>913702115878226861</t>
  </si>
  <si>
    <t>刘琳</t>
  </si>
  <si>
    <t>510万元</t>
  </si>
  <si>
    <t>381.8万元</t>
  </si>
  <si>
    <t>2012-01-06</t>
  </si>
  <si>
    <t>山东省青岛市黄岛区红柳河路243号</t>
  </si>
  <si>
    <t>13853228333</t>
  </si>
  <si>
    <t>13375576277;18562592333</t>
  </si>
  <si>
    <t>34165465@qq.com</t>
  </si>
  <si>
    <t>521511525@qq.com;54654654@qq.com;564854968@qq.com;bizude@126.com</t>
  </si>
  <si>
    <t>370211230078696</t>
  </si>
  <si>
    <t>58782268-6</t>
  </si>
  <si>
    <t>2012-01-06 至 无固定期限</t>
  </si>
  <si>
    <t>Qingdao Chuanze Storage Co., Ltd.</t>
  </si>
  <si>
    <t>青岛川泽仓储有限公司成立于2012-01-06，法定代表人为刘琳，注册资本为510万元，统一社会信用代码为913702115878226861，企业注册地址位于山东省青岛市黄岛区红柳河路243号，所属行业为装卸搬运和仓储业，经营范围包含：仓储服务（不含冷库、不含危险化学品及一类易制毒化学品）；普通货物装卸服务；以自有场地租赁；国内公路、铁路货运代理；国际货运代理；代理报关、报检；批发：汽车配件、日用品、五金配件、建筑材料、装饰装潢材料、木材、板材、木制品、纸制品、纸浆、工艺品、橡胶制品、地板；木材加工；货物进出口、技术进出口；经营其它无需行政审批即可经营的一般经营项目。（依法须经批准的项目，经相关部门批准后方可开展经营活动）。企业当前经营状态为在业。</t>
  </si>
  <si>
    <t>仓储服务（不含冷库、不含危险化学品及一类易制毒化学品）；普通货物装卸服务；以自有场地租赁；国内公路、铁路货运代理；国际货运代理；代理报关、报检；批发：汽车配件、日用品、五金配件、建筑材料、装饰装潢材料、木材、板材、木制品、纸制品、纸浆、工艺品、橡胶制品、地板；木材加工；货物进出口、技术进出口；经营其它无需行政审批即可经营的一般经营项目。（依法须经批准的项目，经相关部门批准后方可开展经营活动）</t>
  </si>
  <si>
    <t>青岛中林投资发展有限公司</t>
  </si>
  <si>
    <t>91370211564714295M</t>
  </si>
  <si>
    <t>林开宗</t>
  </si>
  <si>
    <t>2010-11-22</t>
  </si>
  <si>
    <t>中国（山东）自由贸易试验区青岛片区黄河东路18号</t>
  </si>
  <si>
    <t>0532-86856108</t>
  </si>
  <si>
    <t>0532-86856160</t>
  </si>
  <si>
    <t>zhonglintouzi@163.com</t>
  </si>
  <si>
    <t>hjp888666@126.com;zhonglintouzi@126.com;fd@n-timbertrading.com</t>
  </si>
  <si>
    <t>370211020000942</t>
  </si>
  <si>
    <t>56471429-5</t>
  </si>
  <si>
    <t>2010-11-22 至 无固定期限</t>
  </si>
  <si>
    <t>Qingdao Zhonglin Investment Development Co., Ltd.</t>
  </si>
  <si>
    <t>http://www.n-timbertrading.com</t>
  </si>
  <si>
    <t>青岛中林投资发展有限公司成立于2010-11-22，法定代表人为林开宗，注册资本为5000万元，统一社会信用代码为91370211564714295M，企业注册地址位于中国（山东）自由贸易试验区青岛片区黄河东路18号，所属行业为商务服务业，经营范围包含：一般项目：以自有资金从事投资活动；货物进出口；信息咨询服务（不含许可类信息咨询服务）；物业管理；集贸市场管理服务；机械设备租赁；汽车零配件批发；建筑材料销售；五金产品批发；日用百货销售；木材销售；木材加工；建筑用木料及木材组件加工；金属材料销售；涂料销售（不含危险化学品）；装卸搬运；陆路国际货物运输代理；非居住房地产租赁；土地使用权租赁；软件开发；技术服务、技术开发、技术咨询、技术交流、技术转让、技术推广；广告设计、代理；广告制作；食用农产品零售；蔬菜种植；水产品批发；食用农产品批发；非主要农作物种子生产；道路货物运输站经营；国内货物运输代理；国际货物运输代理；普通货物仓储服务（不含危险化学品等需许可审批的项目）；树木种植经营；生物质成型燃料销售；林业产品销售；餐饮管理；国内集装箱货物运输代理；停车场服务；电动汽车充电基础设施运营；租赁服务（不含许可类租赁服务）；建筑工程机械与设备租赁；金属结构销售；建筑用金属配件销售。（除依法须经批准的项目外，凭营业执照依法自主开展经营活动）许可项目：房地产开发经营；互联网信息服务；主要农作物种子生产；动物饲养；牲畜饲养；种畜禽生产；水产养殖；林木种子生产经营；餐饮服务；国际道路货物运输；道路货物运输（不含危险货物）。（依法须经批准的项目，经相关部门批准后方可开展经营活动，具体经营项目以相关部门批准文件或许可证件为准）。企业当前经营状态为在业。</t>
  </si>
  <si>
    <t>一般项目：以自有资金从事投资活动；货物进出口；信息咨询服务（不含许可类信息咨询服务）；物业管理；集贸市场管理服务；机械设备租赁；汽车零配件批发；建筑材料销售；五金产品批发；日用百货销售；木材销售；木材加工；建筑用木料及木材组件加工；金属材料销售；涂料销售（不含危险化学品）；装卸搬运；陆路国际货物运输代理；非居住房地产租赁；土地使用权租赁；软件开发；技术服务、技术开发、技术咨询、技术交流、技术转让、技术推广；广告设计、代理；广告制作；食用农产品零售；蔬菜种植；水产品批发；食用农产品批发；非主要农作物种子生产；道路货物运输站经营；国内货物运输代理；国际货物运输代理；普通货物仓储服务（不含危险化学品等需许可审批的项目）；树木种植经营；生物质成型燃料销售；林业产品销售；餐饮管理；国内集装箱货物运输代理；停车场服务；电动汽车充电基础设施运营；租赁服务（不含许可类租赁服务）；建筑工程机械与设备租赁；金属结构销售；建筑用金属配件销售。（除依法须经批准的项目外，凭营业执照依法自主开展经营活动）许可项目：房地产开发经营；互联网信息服务；主要农作物种子生产；动物饲养；牲畜饲养；种畜禽生产；水产养殖；林木种子生产经营；餐饮服务；国际道路货物运输；道路货物运输（不含危险货物）。（依法须经批准的项目，经相关部门批准后方可开展经营活动，具体经营项目以相关部门批准文件或许可证件为准）</t>
  </si>
  <si>
    <t>上海凡诺国际物流有限公司</t>
  </si>
  <si>
    <t>91310113312244426Q</t>
  </si>
  <si>
    <t>孟庆明</t>
  </si>
  <si>
    <t>上海市宝山区月罗路310号F东2-G765室</t>
  </si>
  <si>
    <t>021-50875197</t>
  </si>
  <si>
    <t>310113001202131</t>
  </si>
  <si>
    <t>31224442-6</t>
  </si>
  <si>
    <t>Shanghai Fannuo International Logistics Co., Ltd.</t>
  </si>
  <si>
    <t>上海市自由贸易试验区华申路80号819室</t>
  </si>
  <si>
    <t>上海凡诺国际物流有限公司成立于2014-07-24，法定代表人为孟庆明，注册资本为600万元，统一社会信用代码为91310113312244426Q，企业注册地址位于上海市宝山区月罗路310号F东2-G765室，所属行业为道路运输业，经营范围包含：许可项目：道路货物运输（不含危险货物）；道路货物运输（网络货运）。（依法须经批准的项目，经相关部门批准后方可开展经营活动，具体经营项目以相关部门批准文件或许可证件为准）一般项目：货物进出口；技术进出口；报关业务；海上国际货物运输代理；航空国际货物运输代理；陆路国际货物运输代理；国内货物运输代理；信息咨询服务（不含许可类信息咨询服务）；装卸搬运；无船承运业务；租赁服务（不含许可类租赁服务）；特种设备出租；电池销售；电池零配件销售；蓄电池租赁；特种设备销售；普通货物仓储服务（不含危险化学品等需许可审批的项目）；停车场服务；道路货物运输站经营。（除依法须经批准的项目外，凭营业执照依法自主开展经营活动）。企业当前经营状态为存续。</t>
  </si>
  <si>
    <t>许可项目：道路货物运输（不含危险货物）；道路货物运输（网络货运）。（依法须经批准的项目，经相关部门批准后方可开展经营活动，具体经营项目以相关部门批准文件或许可证件为准）一般项目：货物进出口；技术进出口；报关业务；海上国际货物运输代理；航空国际货物运输代理；陆路国际货物运输代理；国内货物运输代理；信息咨询服务（不含许可类信息咨询服务）；装卸搬运；无船承运业务；租赁服务（不含许可类租赁服务）；特种设备出租；电池销售；电池零配件销售；蓄电池租赁；特种设备销售；普通货物仓储服务（不含危险化学品等需许可审批的项目）；停车场服务；道路货物运输站经营。（除依法须经批准的项目外，凭营业执照依法自主开展经营活动）</t>
  </si>
  <si>
    <t>深圳市全运通物流发展有限公司</t>
  </si>
  <si>
    <t>91440300752522901M</t>
  </si>
  <si>
    <t>赖清波</t>
  </si>
  <si>
    <t>2003-07-22</t>
  </si>
  <si>
    <t>深圳市盐田区盐田街道盐田路与东海道交界西南金港盛世华庭6栋18层A、B、C、D室</t>
  </si>
  <si>
    <t>盐田区</t>
  </si>
  <si>
    <t>0755-22327089</t>
  </si>
  <si>
    <t>18988773111;0755-82637480;18988775705;0755-25252866</t>
  </si>
  <si>
    <t>ad2@cld.net.cn</t>
  </si>
  <si>
    <t>ad@cld.net.cn</t>
  </si>
  <si>
    <t>440301102885053</t>
  </si>
  <si>
    <t>75252290-1</t>
  </si>
  <si>
    <t>2003-07-22 至 5000-01-01</t>
  </si>
  <si>
    <t>Shenzhen Channelton Logistics Development Co., Ltd.</t>
  </si>
  <si>
    <t>http://www.cld.net.cn</t>
  </si>
  <si>
    <t>深圳市全运通物流发展有限公司成立于2003-07-22，法定代表人为赖清波，注册资本为5000万元，统一社会信用代码为91440300752522901M，企业注册地址位于深圳市盐田区盐田街道盐田路与东海道交界西南金港盛世华庭6栋18层A、B、C、D室，所属行业为道路运输业，经营范围包含：一般经营项目是：承办海运、陆运、空运进出口货物的国际运输代理业务，包括：揽货、托运、订舱、仓储、中转、集装箱拼装拆箱、结算运杂费、报关、报验、保险、相关的短途运输服务及运输咨询业务；国产汽车（不含小轿车）及配件的销售；其他国内商业、物资供销业（不含专营、专控、专卖商品）；国际船舶代理；无船承运业务；经营进出口业务；物流报关；物流配送信息系统的技术开发、仓储管理软件系统的技术开发、物流方案设计、物流信息咨询、供应链管理、计算机软硬件的技术开发与销售、物流供应链规划与设计。，许可经营项目是：普通货运，货物专用运输（集装箱）；公路、铁路货运代办、零担货物运输、道路普通货物装卸、仓储服务及货物配送业务（上述业务均不含危险化学品业务）。道路货物运输（不含危险货物）。（依法须经批准的项目，经相关部门批准后方可开展经营活动，具体经营项目以相关部门批准文件或许可证件为准）。企业当前经营状态为存续。</t>
  </si>
  <si>
    <t>一般经营项目是：承办海运、陆运、空运进出口货物的国际运输代理业务，包括：揽货、托运、订舱、仓储、中转、集装箱拼装拆箱、结算运杂费、报关、报验、保险、相关的短途运输服务及运输咨询业务；国产汽车（不含小轿车）及配件的销售；其他国内商业、物资供销业（不含专营、专控、专卖商品）；国际船舶代理；无船承运业务；经营进出口业务；物流报关；物流配送信息系统的技术开发、仓储管理软件系统的技术开发、物流方案设计、物流信息咨询、供应链管理、计算机软硬件的技术开发与销售、物流供应链规划与设计。，许可经营项目是：普通货运，货物专用运输（集装箱）；公路、铁路货运代办、零担货物运输、道路普通货物装卸、仓储服务及货物配送业务（上述业务均不含危险化学品业务）。道路货物运输（不含危险货物）。（依法须经批准的项目，经相关部门批准后方可开展经营活动，具体经营项目以相关部门批准文件或许可证件为准）</t>
  </si>
  <si>
    <t>苏州港航国际物流有限公司</t>
  </si>
  <si>
    <t>91320582251503200P</t>
  </si>
  <si>
    <t>张家港港航国际物流有限公司,
张家港港航国际船舶货物代理有限公司,
张家港港航船舶货物代理有限公司</t>
  </si>
  <si>
    <t>黄英凯</t>
  </si>
  <si>
    <t>1996-12-23</t>
  </si>
  <si>
    <t>金港镇香山路</t>
  </si>
  <si>
    <t>0512-58319902</t>
  </si>
  <si>
    <t>0512-58319959</t>
  </si>
  <si>
    <t>624914071@qq.com</t>
  </si>
  <si>
    <t>pisfaco@vip.163.com</t>
  </si>
  <si>
    <t>320582000003003</t>
  </si>
  <si>
    <t>25150320-0</t>
  </si>
  <si>
    <t>1996-12-23 至 无固定期限</t>
  </si>
  <si>
    <t>Zhangjiagang Port and Waterway Shipping Agency Co., Ltd.</t>
  </si>
  <si>
    <t>苏州港航国际物流有限公司成立于1996-12-23，法定代表人为黄英凯，注册资本为500万元，统一社会信用代码为91320582251503200P，企业注册地址位于金港镇香山路，所属行业为水上运输业，经营范围包含：国际国内船舶代理业务、船舶租赁、国际货运代理业务、仓储业务、集装箱拆装箱、订箱服务；搬运装卸、货运代理（代办）、货运配载；国内水路货物运输代理；普通货运、货物专用运输（集装箱）、国内沿海普通运输、长江及支流省际普通货船运输。（依法须经批准的项目，经相关部门批准后方可开展经营活动）。企业当前经营状态为在业。</t>
  </si>
  <si>
    <t>国际国内船舶代理业务、船舶租赁、国际货运代理业务、仓储业务、集装箱拆装箱、订箱服务；搬运装卸、货运代理（代办）、货运配载；国内水路货物运输代理；普通货运、货物专用运输（集装箱）、国内沿海普通运输、长江及支流省际普通货船运输。（依法须经批准的项目，经相关部门批准后方可开展经营活动）</t>
  </si>
  <si>
    <t>苏州龙达国际货运代理有限公司</t>
  </si>
  <si>
    <t>91320585793842020N</t>
  </si>
  <si>
    <t>魏德强</t>
  </si>
  <si>
    <t>1750万元</t>
  </si>
  <si>
    <t>2006-10-27</t>
  </si>
  <si>
    <t>太仓港经济技术开发区北环路20号港城广场4号楼1004、1005、1006、1007、1008、1009、1010室</t>
  </si>
  <si>
    <t>0512-53998167</t>
  </si>
  <si>
    <t>zh@gangxingsz-js.com</t>
  </si>
  <si>
    <t>yxjhr@gangxingsz-js.com;zh@longdasz-js.com</t>
  </si>
  <si>
    <t>320585000052496</t>
  </si>
  <si>
    <t>79384202-0</t>
  </si>
  <si>
    <t>2006-10-27 至 2036-10-26</t>
  </si>
  <si>
    <t>Suzhou Longda International Freight Forwarding Co., Ltd.</t>
  </si>
  <si>
    <t>江苏省太仓市港口开发区北环路20号港城广场4号楼10楼</t>
  </si>
  <si>
    <t>苏州龙达国际货运代理有限公司成立于2006-10-27，法定代表人为魏德强，注册资本为1750万元，统一社会信用代码为91320585793842020N，企业注册地址位于太仓港经济技术开发区北环路20号港城广场4号楼1004、1005、1006、1007、1008、1009、1010室，所属行业为多式联运和运输代理业，经营范围包含：承办海运、空运、陆运进出口货物的国际运输代理业务；仓储。（依法须经批准的项目，经相关部门批准后方可开展经营活动）
许可项目：道路货物运输（不含危险货物）（依法须经批准的项目，经相关部门批准后方可开展经营活动，具体经营项目以审批结果为准）
一般项目：国内船舶代理；国际船舶代理；国内货物运输代理；装卸搬运；港口货物装卸搬运活动；船舶港口服务（除依法须经批准的项目外，凭营业执照依法自主开展经营活动）。企业当前经营状态为在业。</t>
  </si>
  <si>
    <t>承办海运、空运、陆运进出口货物的国际运输代理业务；仓储。（依法须经批准的项目，经相关部门批准后方可开展经营活动）
许可项目：道路货物运输（不含危险货物）（依法须经批准的项目，经相关部门批准后方可开展经营活动，具体经营项目以审批结果为准）
一般项目：国内船舶代理；国际船舶代理；国内货物运输代理；装卸搬运；港口货物装卸搬运活动；船舶港口服务（除依法须经批准的项目外，凭营业执照依法自主开展经营活动）</t>
  </si>
  <si>
    <t>苏州萨哈林仓储物流有限公司</t>
  </si>
  <si>
    <t>91320585MA20A6P86K</t>
  </si>
  <si>
    <t>王国臣</t>
  </si>
  <si>
    <t>335万元</t>
  </si>
  <si>
    <t>2019-10-25</t>
  </si>
  <si>
    <t>太仓市浮桥镇永辂街2号</t>
  </si>
  <si>
    <t>15150313678</t>
  </si>
  <si>
    <t>18936158298</t>
  </si>
  <si>
    <t>327834849@qq.com</t>
  </si>
  <si>
    <t>MA20A6P8-6</t>
  </si>
  <si>
    <t>2019-10-25 至 无固定期限</t>
  </si>
  <si>
    <t>Suzhou Sakhalin Warehousing and Logistics Co., Ltd.</t>
  </si>
  <si>
    <t>苏州萨哈林仓储物流有限公司成立于2019-10-25，法定代表人为王国臣，注册资本为500万元，统一社会信用代码为91320585MA20A6P86K，企业注册地址位于太仓市浮桥镇永辂街2号，所属行业为装卸搬运和仓储业，经营范围包含：仓储服务、承办海运、空运、陆运进出口货物的国际运输代理业务、普通货物道路运输、供应链管理服务、装卸服务、国内货运代理；集装箱拆拼箱服务；经销建筑材料、金属材料、五金交电、日用百货；自营和代理各类商品及技术的进出口业务（国家限定企业经营或禁止进出口的商品和技术除外）。（依法须经批准的项目，经相关部门批准后方可开展经营活动）一般项目：木材加工；建筑用木料及木材组件加工；木制容器制造；软木制品制造；日用木制品制造；木材销售；日用木制品销售；软木制品销售；木制容器销售（除依法须经批准的项目外，凭营业执照依法自主开展经营活动）。企业当前经营状态为存续。</t>
  </si>
  <si>
    <t>仓储服务、承办海运、空运、陆运进出口货物的国际运输代理业务、普通货物道路运输、供应链管理服务、装卸服务、国内货运代理；集装箱拆拼箱服务；经销建筑材料、金属材料、五金交电、日用百货；自营和代理各类商品及技术的进出口业务（国家限定企业经营或禁止进出口的商品和技术除外）。（依法须经批准的项目，经相关部门批准后方可开展经营活动）一般项目：木材加工；建筑用木料及木材组件加工；木制容器制造；软木制品制造；日用木制品制造；木材销售；日用木制品销售；软木制品销售；木制容器销售（除依法须经批准的项目外，凭营业执照依法自主开展经营活动）</t>
  </si>
  <si>
    <t>苏州洋森供应链有限公司</t>
  </si>
  <si>
    <t>91320585MA1T6AKW46</t>
  </si>
  <si>
    <t>王军</t>
  </si>
  <si>
    <t>58万元</t>
  </si>
  <si>
    <t>2017-10-26</t>
  </si>
  <si>
    <t>太仓市港口开发区北环路8号联检大楼1幢911室</t>
  </si>
  <si>
    <t>320585000347440</t>
  </si>
  <si>
    <t>MA1T6AKW-4</t>
  </si>
  <si>
    <t>2017-10-26 至 无固定期限</t>
  </si>
  <si>
    <t>Suzhou Yangsen Supply Chain Co., Ltd.</t>
  </si>
  <si>
    <t>苏州洋森供应链有限公司成立于2017-10-26，法定代表人为王军，注册资本为500万元，统一社会信用代码为91320585MA1T6AKW46，企业注册地址位于太仓市港口开发区北环路8号联检大楼1幢911室，所属行业为商务服务业，经营范围包含：供应链管理服务、仓储服务、装卸服务，国内货运代理；承办海运、空运、陆运进出口货物的国际运输代理业务，集装箱拆拼箱服务；经销建筑材料、金属材料、五金交电、日用百货；自营和代理各类商品及技术的进出口业务（国家限定企业经营或禁止进出口的商品和技术除外）。（依法须经批准的项目，经相关部门批准后方可开展经营活动）。企业当前经营状态为存续。</t>
  </si>
  <si>
    <t>供应链管理服务、仓储服务、装卸服务，国内货运代理；承办海运、空运、陆运进出口货物的国际运输代理业务，集装箱拆拼箱服务；经销建筑材料、金属材料、五金交电、日用百货；自营和代理各类商品及技术的进出口业务（国家限定企业经营或禁止进出口的商品和技术除外）。（依法须经批准的项目，经相关部门批准后方可开展经营活动）</t>
  </si>
  <si>
    <t>太仓港福人林产品开发有限公司</t>
  </si>
  <si>
    <t>913205857724881490</t>
  </si>
  <si>
    <t>郭柳</t>
  </si>
  <si>
    <t>2005-04-01</t>
  </si>
  <si>
    <t>太仓市浮桥镇金浪吴淞浜路88号</t>
  </si>
  <si>
    <t>0512-53789538</t>
  </si>
  <si>
    <t>0512-53789588;13732612973</t>
  </si>
  <si>
    <t>manda0902@126.com</t>
  </si>
  <si>
    <t>76878381@qq.com;641312453@qq.com</t>
  </si>
  <si>
    <t>320585000040686</t>
  </si>
  <si>
    <t>77248814-9</t>
  </si>
  <si>
    <t>2005-04-01 至 2035-03-31</t>
  </si>
  <si>
    <t>TaiCang Port Furen Forest Product Development Ltd.</t>
  </si>
  <si>
    <t>太仓港福人林产品开发有限公司成立于2005-04-01，法定代表人为郭柳，注册资本为4000万元，统一社会信用代码为913205857724881490，企业注册地址位于太仓市浮桥镇金浪吴淞浜路88号，所属行业为科技推广和应用服务业，经营范围包含：林产品开发；木材加工、销售；物流中心（仓储）；经销木材、建筑装潢材料；技术咨询、信息服务；物业管理（凭资质证经营）；自有房屋出租；搬运装卸，货运代理（代办），货运配载；自营和代理各类商品及技术的进出口业务（国家限定企业经营或禁止进出口的商品和技术除外）。（依法须经批准的项目，经相关部门批准后方可开展经营活动）。企业当前经营状态为在业。</t>
  </si>
  <si>
    <t>林产品开发；木材加工、销售；物流中心（仓储）；经销木材、建筑装潢材料；技术咨询、信息服务；物业管理（凭资质证经营）；自有房屋出租；搬运装卸，货运代理（代办），货运配载；自营和代理各类商品及技术的进出口业务（国家限定企业经营或禁止进出口的商品和技术除外）。（依法须经批准的项目，经相关部门批准后方可开展经营活动）</t>
  </si>
  <si>
    <t>太仓捷诚物流有限公司</t>
  </si>
  <si>
    <t>91320585789069311A</t>
  </si>
  <si>
    <t>石洪源</t>
  </si>
  <si>
    <t>2006-06-15</t>
  </si>
  <si>
    <t>太仓市浮桥镇浏家港龙江路379号</t>
  </si>
  <si>
    <t>0512-53569953</t>
  </si>
  <si>
    <t>0512-82011726</t>
  </si>
  <si>
    <t>2237726319@qq.com</t>
  </si>
  <si>
    <t>2325175257@qq.com;2325175357@qq.com;yaping227@163.com</t>
  </si>
  <si>
    <t>320585000049249</t>
  </si>
  <si>
    <t>78906931-1</t>
  </si>
  <si>
    <t>2006-06-15 至 2036-06-14</t>
  </si>
  <si>
    <t>Taicang Jiecheng Logistics Co., Ltd.</t>
  </si>
  <si>
    <t>太仓捷诚物流有限公司成立于2006-06-15，法定代表人为石洪源，注册资本为500万元，统一社会信用代码为91320585789069311A，企业注册地址位于太仓市浮桥镇浏家港龙江路379号，所属行业为多式联运和运输代理业，经营范围包含：普通货运。承办海运、空运进出口货物的国际运输代理业务，包括：揽货、托运、订舱、仓储、中转、集装箱拼装拆箱、结算运杂费、报关、报验、保险、相关的短途运输服务及运输咨询业务。（涉及许可经营的凭许可证经营）。（依法须经批准的项目，经相关部门批准后方可开展经营活动）。企业当前经营状态为存续。</t>
  </si>
  <si>
    <t>普通货运。承办海运、空运进出口货物的国际运输代理业务，包括：揽货、托运、订舱、仓储、中转、集装箱拼装拆箱、结算运杂费、报关、报验、保险、相关的短途运输服务及运输咨询业务。（涉及许可经营的凭许可证经营）。（依法须经批准的项目，经相关部门批准后方可开展经营活动）</t>
  </si>
  <si>
    <t>太仓铭豪市场管理有限公司</t>
  </si>
  <si>
    <t>91320585MA1RAG9J4T</t>
  </si>
  <si>
    <t>李剑乐</t>
  </si>
  <si>
    <t>11224.5万元</t>
  </si>
  <si>
    <t>2017-10-16</t>
  </si>
  <si>
    <t>太仓市浮桥镇平江路666号</t>
  </si>
  <si>
    <t>13915765280</t>
  </si>
  <si>
    <t>0512-53845290;0512-53844039;0512-53997001</t>
  </si>
  <si>
    <t>1274852903@qq.com</t>
  </si>
  <si>
    <t>320585000345430</t>
  </si>
  <si>
    <t>MA1RAG9J-4</t>
  </si>
  <si>
    <t>2017-10-16 至 2047-10-15</t>
  </si>
  <si>
    <t>商业综合体管理服务</t>
  </si>
  <si>
    <t>Taicang Minghao Market Management Co., Ltd.</t>
  </si>
  <si>
    <t>http://www.tc-mh.com</t>
  </si>
  <si>
    <t>太仓铭豪市场管理有限公司成立于2017年10月16日，公司住所位于浮桥镇时思区镇东路；公司经营范围：房屋租赁服务；物业管理；停车场经营；经销五金交电、机电设备、金属材料、橡胶制品、陶瓷制品、卫生洁具、工艺礼品、针纺织品、玻璃制品、灯具、玩具、建筑装饰装潢材料、日用百货、汽车配件、文化办公用品、包装材料；广告设计、制作、代理、发布；供应链管理；商务咨询服务、财务咨询服务、企业管理咨询；会计服务；从事计算机科技、软件科技领域内的技术开发、技术咨询、技术服务、技术转让。公司依据江苏太仓市太仓港开发区总规划，由太仓港管委会大力扶持打造华东区专业的建材交易中心。秉承“培养技术人才、实施效率管理、打造品质精品、抓好用心服务、创造品牌企业”的经营目标，奉行“装点靓丽城市、建设品牌市场”的企业宗旨，实施现代化管理模式，倾注真情，旨在把本项目建造成一个“方便群众、交易活跃、经营规范”的良好市场环境。</t>
  </si>
  <si>
    <t>市场管理服务；房屋租赁服务；物业管理；停车场经营；经销五金交电、机电设备、金属材料、橡胶制品、陶瓷制品、卫生洁具、工艺礼品、针纺织品、玻璃制品、灯具、玩具、建筑装饰装潢材料、日用百货、汽车配件、文化办公用品、包装材料；广告设计、制作、代理、发布；供应链管理；商务咨询服务、财务咨询服务、企业管理咨询；会展服务；从事计算机科技、软件科技领域内的技术开发、技术咨询、技术服务、技术转让；仓储服务（不含危险品）；家具展览展示服务；搬运装卸；自营和代理各类商品及技术的进出口业务（国家限定企业经营或禁止进出口的商品和技术除外）。（依法须经批准的项目，经相关部门批准后方可开展经营活动）
一般项目：木材销售；木材加工；国际货物运输代理；航空国际货物运输代理；陆路国际货物运输代理；国内货物运输代理；国内船舶代理；无船承运业务（除依法须经批准的项目外，凭营业执照依法自主开展经营活动）</t>
  </si>
  <si>
    <t>张家港保税区沁润国际货运代理有限公司</t>
  </si>
  <si>
    <t>91320592339062008P</t>
  </si>
  <si>
    <t>周明</t>
  </si>
  <si>
    <t>223万元</t>
  </si>
  <si>
    <t>2015-05-11</t>
  </si>
  <si>
    <t>张家港保税区长江润发国际大厦B座1105A室</t>
  </si>
  <si>
    <t>0512-56359867</t>
  </si>
  <si>
    <t>jszjgzm@163.com</t>
  </si>
  <si>
    <t>zjgzm@163.com</t>
  </si>
  <si>
    <t>320592000090811</t>
  </si>
  <si>
    <t>33906200-8</t>
  </si>
  <si>
    <t>2015-05-11 至 无固定期限</t>
  </si>
  <si>
    <t>Zhangjiagang Bonded Zone Qinrun International Freight Forwarding Co., Ltd.</t>
  </si>
  <si>
    <t>张家港市金港镇滨江大厦B座2105室</t>
  </si>
  <si>
    <t>张家港保税区沁润国际货运代理有限公司成立于2015-05-11，法定代表人为周明，注册资本为500万元，统一社会信用代码为91320592339062008P，企业注册地址位于张家港保税区长江润发国际大厦B座1105A室，所属行业为多式联运和运输代理业，经营范围包含：承办海运、陆运、空运进出口货物的国际运输代理业务，自营和代理各类商品及技术的进出口业务 （国家限定公司经营或禁止进出口的商品及技术除外） 。（依法须经批准的项目，经相关部门批准后方可开展经营活动）。企业当前经营状态为存续。</t>
  </si>
  <si>
    <t>承办海运、陆运、空运进出口货物的国际运输代理业务，自营和代理各类商品及技术的进出口业务 （国家限定公司经营或禁止进出口的商品及技术除外） 。（依法须经批准的项目，经相关部门批准后方可开展经营活动）</t>
  </si>
  <si>
    <t>张家港东远国际物流有限公司</t>
  </si>
  <si>
    <t>91320582MA1WLNF27T</t>
  </si>
  <si>
    <t>王强</t>
  </si>
  <si>
    <t>300.979万元</t>
  </si>
  <si>
    <t>2018-05-28</t>
  </si>
  <si>
    <t>张家港市金港镇江海北路30号</t>
  </si>
  <si>
    <t>0512-58331955</t>
  </si>
  <si>
    <t>15895680166</t>
  </si>
  <si>
    <t>agent@fareastzjg.com</t>
  </si>
  <si>
    <t>MA1WLNF2-7</t>
  </si>
  <si>
    <t>2018-05-28 至 无固定期限</t>
  </si>
  <si>
    <t>Zhangjiagang Dongyuan International Logistics Co., Ltd.</t>
  </si>
  <si>
    <t>张家港市金港镇殷家埭路116号马桥商务楼6楼638室</t>
  </si>
  <si>
    <t>张家港东远国际物流有限公司成立于2018-05-28，法定代表人为王强，注册资本为500万元，统一社会信用代码为91320582MA1WLNF27T，企业注册地址位于张家港市金港镇江海北路30号，所属行业为多式联运和运输代理业，经营范围包含：国际货运代理业务、国内货运代理、仓储服务、信息咨询服务（不含投资咨询，金融信息咨询）。（依法须经批准的项目，经相关部门批准后方可开展经营活动）。企业当前经营状态为存续。</t>
  </si>
  <si>
    <t>国际货运代理业务、国内货运代理、仓储服务、信息咨询服务（不含投资咨询，金融信息咨询）。（依法须经批准的项目，经相关部门批准后方可开展经营活动）</t>
  </si>
  <si>
    <t>张家港港务集团有限公司物流中心</t>
  </si>
  <si>
    <t>913205828421899623</t>
  </si>
  <si>
    <t>张家港市港务局货运服务中心,
张家港市港务具货运服务中心</t>
  </si>
  <si>
    <t>1995-02-27</t>
  </si>
  <si>
    <t>320582000012838</t>
  </si>
  <si>
    <t>84218996-2</t>
  </si>
  <si>
    <t>1995-02-27 至 无固定期限</t>
  </si>
  <si>
    <t>Zhangjiagang Port Group Co., Ltd.</t>
  </si>
  <si>
    <t>张家港港务集团有限公司物流中心成立于1995-02-27，负责人为黄英凯，统一社会信用代码为913205828421899623，所属行业为装卸搬运和仓储业，经营范围包含：船舶货物运输代理。（依法须经批准的项目，经相关部门批准后方可开展经营活动）。企业当前经营状态为在业。</t>
  </si>
  <si>
    <t>船舶货物运输代理。（依法须经批准的项目，经相关部门批准后方可开展经营活动）</t>
  </si>
  <si>
    <t>张家港市港兴报关行</t>
  </si>
  <si>
    <t>91320582251539027N</t>
  </si>
  <si>
    <t>周黎明</t>
  </si>
  <si>
    <t>1996-11-20</t>
  </si>
  <si>
    <t>张家港市金港镇江海路西侧弘源商业用房M03</t>
  </si>
  <si>
    <t>0512-58315288</t>
  </si>
  <si>
    <t>0512-58332657</t>
  </si>
  <si>
    <t>gangxingbgh@163.com</t>
  </si>
  <si>
    <t>328165469@qq.com;gangxingbaoguanhang@163.com;403076944@qq.com</t>
  </si>
  <si>
    <t>320582000004887</t>
  </si>
  <si>
    <t>25153902-7</t>
  </si>
  <si>
    <t>1996-11-20 至 无固定期限</t>
  </si>
  <si>
    <t>Zhangjiagang Gangxing Customs Broker</t>
  </si>
  <si>
    <t>港区镇长江中路</t>
  </si>
  <si>
    <t>代理报关、报检业务。（依法须经批准的项目，经相关部门批准后方可开展经营活动）</t>
  </si>
  <si>
    <t>江苏经典国际货运代理有限公司</t>
  </si>
  <si>
    <t>91320592798308003G</t>
  </si>
  <si>
    <t>侯洪宝</t>
  </si>
  <si>
    <t>2007-01-22</t>
  </si>
  <si>
    <t>张家港市金港镇滨江大厦B座21楼2106室</t>
  </si>
  <si>
    <t>0512-58329915</t>
  </si>
  <si>
    <t>0512-58323330</t>
  </si>
  <si>
    <t>jhfjhf58889355@126.com</t>
  </si>
  <si>
    <t>391254634@qq.com;zjp871228@126.com</t>
  </si>
  <si>
    <t>320592000028146</t>
  </si>
  <si>
    <t>79830800-3</t>
  </si>
  <si>
    <t>2007-01-22 至 无固定期限</t>
  </si>
  <si>
    <t>Jiangsu Jingdian International Freight &amp; Forwarding Co., Ltd.</t>
  </si>
  <si>
    <t>张家港市金港镇滨江道大厦B2106</t>
  </si>
  <si>
    <t>江苏经典国际货运代理有限公司成立于2007-01-22，法定代表人为侯洪宝，注册资本为500万元，统一社会信用代码为91320592798308003G，企业注册地址位于张家港市金港镇滨江大厦B座21楼2106室，所属行业为多式联运和运输代理业，经营范围包含：国际货运代理。（依法须经批准的项目，经相关部门批准后方可开展经营活动）。企业当前经营状态为在业。</t>
  </si>
  <si>
    <t>中艺储运江苏有限责任公司</t>
  </si>
  <si>
    <t>91320000134775100C</t>
  </si>
  <si>
    <t>中艺国际储运公司江苏公司</t>
  </si>
  <si>
    <t>尤德林</t>
  </si>
  <si>
    <t>1994-01-07</t>
  </si>
  <si>
    <t>南京市中山东路300号长发中心02幢706室</t>
  </si>
  <si>
    <t>秦淮区</t>
  </si>
  <si>
    <t>025-86988867</t>
  </si>
  <si>
    <t>wangjian@js-chinaarts.com</t>
  </si>
  <si>
    <t>liuyan@js-chinaarts.com;liuyan@js-chinaart.com;liuyan@chinaarts.com;admin@js-chinaarts.com</t>
  </si>
  <si>
    <t>320000000006479</t>
  </si>
  <si>
    <t>13477510-0</t>
  </si>
  <si>
    <t>1994-01-07 至 无固定期限</t>
  </si>
  <si>
    <t>Zhongyi Storage and Transportation Jiangsu Co., Ltd.</t>
  </si>
  <si>
    <t>http://www.js-chinaarts.com</t>
  </si>
  <si>
    <t>中艺储运江苏有限责任公司成立于1994-01-07，法定代表人为尤德林，注册资本为3000万元，统一社会信用代码为91320000134775100C，企业注册地址位于南京市中山东路300号长发中心02幢706室，所属行业为多式联运和运输代理业，经营范围包含：许可项目：水路普通货物运输；道路货物运输（不含危险货物）（依法须经批准的项目，经相关部门批准后方可开展经营活动，具体经营项目以审批结果为准）
一般项目：国内货物运输代理；国内集装箱货物运输代理；国际货物运输代理；海上国际货物运输代理；国际船舶代理；国内船舶代理；航空国际货物运输代理；陆路国际货物运输代理；无船承运业务；报关业务；进出口代理；从事国际集装箱船、普通货船运输；技术进出口；日用百货销售；工艺美术品及礼仪用品销售（象牙及其制品除外）；针纺织品销售；石油制品销售（不含危险化学品）；电子产品销售；五金产品零售；农业机械销售；缝制机械销售；畜牧机械销售；铸造机械销售；渔业机械销售；棉花加工机械销售；建筑工程用机械销售；气体压缩机械销售；木竹材加工机械销售；洗涤机械销售（除依法须经批准的项目外，凭营业执照依法自主开展经营活动）。企业当前经营状态为在业。</t>
  </si>
  <si>
    <t>许可项目：水路普通货物运输；道路货物运输（不含危险货物）（依法须经批准的项目，经相关部门批准后方可开展经营活动，具体经营项目以审批结果为准）
一般项目：国内货物运输代理；国内集装箱货物运输代理；国际货物运输代理；海上国际货物运输代理；国际船舶代理；国内船舶代理；航空国际货物运输代理；陆路国际货物运输代理；无船承运业务；报关业务；进出口代理；从事国际集装箱船、普通货船运输；技术进出口；日用百货销售；工艺美术品及礼仪用品销售（象牙及其制品除外）；针纺织品销售；石油制品销售（不含危险化学品）；电子产品销售；五金产品零售；农业机械销售；缝制机械销售；畜牧机械销售；铸造机械销售；渔业机械销售；棉花加工机械销售；建筑工程用机械销售；气体压缩机械销售；木竹材加工机械销售；洗涤机械销售（除依法须经批准的项目外，凭营业执照依法自主开展经营活动）</t>
  </si>
  <si>
    <t>南京市秦淮区政务服务管理办公室</t>
  </si>
  <si>
    <t>太仓万方国际码头有限公司</t>
  </si>
  <si>
    <t>913205857481702374</t>
  </si>
  <si>
    <t>万方（太仓）开发建设有限公司</t>
  </si>
  <si>
    <t>蔡飞</t>
  </si>
  <si>
    <t>2003-05-21</t>
  </si>
  <si>
    <t>太仓港港口开发区</t>
  </si>
  <si>
    <t>0512-53186750</t>
  </si>
  <si>
    <t>0512-53660622;0512-53660621;0512-53660606;0512-53660610;0512-53660555</t>
  </si>
  <si>
    <t>business@tcwfport.com</t>
  </si>
  <si>
    <t>zjl@tcwfport.com</t>
  </si>
  <si>
    <t>320585400005695</t>
  </si>
  <si>
    <t>74817023-7</t>
  </si>
  <si>
    <t>2003-05-21 至 无固定期限</t>
  </si>
  <si>
    <t>Wanfang (Taicang) Development Construction Co., Ltd.</t>
  </si>
  <si>
    <t>http://www.wanfang-nbport.com.cn</t>
  </si>
  <si>
    <t>太仓市璜泾镇荡茜村万方路1号</t>
  </si>
  <si>
    <t>太仓万方国际码头有限公司成立于2003-05-21，法定代表人为蔡飞，注册资本为90000万元，统一社会信用代码为913205857481702374，企业注册地址位于太仓港港口开发区，所属行业为水上运输业，经营范围包含：许可项目：港口经营；海关监管货物仓储服务（不含危险化学品、危险货物）；建设工程施工（除核电站建设经营、民用机场建设）（依法须经批准的项目，经相关部门批准后方可开展经营活动，具体经营项目以审批结果为准）一般项目：港口货物装卸搬运活动；船舶港口服务；普通货物仓储服务（不含危险化学品等需许可审批的项目）（除依法须经批准的项目外，凭营业执照依法自主开展经营活动）。企业当前经营状态为存续。</t>
  </si>
  <si>
    <t>许可项目：港口经营；海关监管货物仓储服务（不含危险化学品、危险货物）；建设工程施工（除核电站建设经营、民用机场建设）（依法须经批准的项目，经相关部门批准后方可开展经营活动，具体经营项目以审批结果为准）一般项目：港口货物装卸搬运活动；船舶港口服务；普通货物仓储服务（不含危险化学品等需许可审批的项目）（除依法须经批准的项目外，凭营业执照依法自主开展经营活动）</t>
  </si>
  <si>
    <t>扬州远扬国际码头有限公司江都分公司</t>
  </si>
  <si>
    <t>91321000669641774M</t>
  </si>
  <si>
    <t>费爱国</t>
  </si>
  <si>
    <t>2007-11-23</t>
  </si>
  <si>
    <t>扬州市江都区大桥镇兴港路（三江营港区）</t>
  </si>
  <si>
    <t>0514-86489988</t>
  </si>
  <si>
    <t>327458928@qq.com</t>
  </si>
  <si>
    <t>321000500005986</t>
  </si>
  <si>
    <t>66964177-4</t>
  </si>
  <si>
    <t>2007-11-23 至 无固定期限</t>
  </si>
  <si>
    <t>Yangzhou Yuanyang International Wharf Co., Ltd. Jiangdu Branch</t>
  </si>
  <si>
    <t>扬州市江都区沿江开发区三果路江都港2#泊位</t>
  </si>
  <si>
    <t>扬州远扬国际码头有限公司江都分公司成立于2007-11-23，负责人为费爱国，统一社会信用代码为91321000669641774M，企业注册地址位于扬州市江都区大桥镇兴港路（三江营港区），所属行业为水上运输业，经营范围包含：为船舶提供码头设施服务，在港区内提供货物装卸、仓储服务。（依法须经批准的项目，经相关部门批准后方可开展经营活动）。企业当前经营状态为在业。</t>
  </si>
  <si>
    <t>为船舶提供码头设施服务，在港区内提供货物装卸、仓储服务。（依法须经批准的项目，经相关部门批准后方可开展经营活动）</t>
  </si>
  <si>
    <t>扬州市江都区市场监督管理局</t>
  </si>
  <si>
    <t>日照临港国际物流有限公司</t>
  </si>
  <si>
    <t>913711037915002971</t>
  </si>
  <si>
    <t>刘鑫</t>
  </si>
  <si>
    <t>6846.62万元</t>
  </si>
  <si>
    <t>2006-07-04</t>
  </si>
  <si>
    <t>山东省日照市岚山区临港工业园区园区二路</t>
  </si>
  <si>
    <t>0633-2605578</t>
  </si>
  <si>
    <t>0633-7383601;0633-7386018;0633-2239109</t>
  </si>
  <si>
    <t>lgwl@sdland-sea.com</t>
  </si>
  <si>
    <t>lsportlinkong@126.com;385578977@qq.com;lsg-dxl@163.com</t>
  </si>
  <si>
    <t>371103228002409</t>
  </si>
  <si>
    <t>79150029-7</t>
  </si>
  <si>
    <t>2006-07-04 至 2036-07-03</t>
  </si>
  <si>
    <t>Rizhao Linkong International Logistics Co., Ltd.</t>
  </si>
  <si>
    <t>日照临港国际物流有限公司成立于2006-07-04，法定代表人为刘鑫，注册资本为6846.62万元，统一社会信用代码为913711037915002971，企业注册地址位于山东省日照市岚山区临港工业园区园区二路，所属行业为装卸搬运和仓储业，经营范围包含：许可项目：国际道路货物运输；道路货物运输（不含危险货物）；道路货物运输（网络货运）；保险代理业务；互联网信息服务；食品销售。（依法须经批准的项目，经相关部门批准后方可开展经营活动，具体经营项目以相关部门批准文件或许可证件为准）一般项目：装卸搬运；国内船舶代理；国际船舶代理；无船承运业务；国内货物运输代理；国际货物运输代理；国内贸易代理；贸易经纪；销售代理；木材销售；建筑材料销售；互联网销售（除销售需要许可的商品）；普通货物仓储服务（不含危险化学品等需许可审批的项目）；供应链管理服务；非居住房地产租赁；园区管理服务；进出口代理；货物进出口；技术进出口；道路货物运输站经营；纸制品销售；物业管理；信息咨询服务（不含许可类信息咨询服务）；家具销售；办公用品销售；单位后勤管理服务；餐饮管理；机械设备租赁；智能仓储装备销售；住房租赁；信息系统集成服务；工业互联网数据服务；信息技术咨询服务；人工智能行业应用系统集成服务；物联网应用服务。（除依法须经批准的项目外，凭营业执照依法自主开展经营活动）。企业当前经营状态为在业。</t>
  </si>
  <si>
    <t>许可项目：国际道路货物运输；道路货物运输（不含危险货物）；道路货物运输（网络货运）；保险代理业务；互联网信息服务；食品销售。（依法须经批准的项目，经相关部门批准后方可开展经营活动，具体经营项目以相关部门批准文件或许可证件为准）一般项目：装卸搬运；国内船舶代理；国际船舶代理；无船承运业务；国内货物运输代理；国际货物运输代理；国内贸易代理；贸易经纪；销售代理；木材销售；建筑材料销售；互联网销售（除销售需要许可的商品）；普通货物仓储服务（不含危险化学品等需许可审批的项目）；供应链管理服务；非居住房地产租赁；园区管理服务；进出口代理；货物进出口；技术进出口；道路货物运输站经营；纸制品销售；物业管理；信息咨询服务（不含许可类信息咨询服务）；家具销售；办公用品销售；单位后勤管理服务；餐饮管理；机械设备租赁；智能仓储装备销售；住房租赁；信息系统集成服务；工业互联网数据服务；信息技术咨询服务；人工智能行业应用系统集成服务；物联网应用服务。（除依法须经批准的项目外，凭营业执照依法自主开展经营活动）</t>
  </si>
  <si>
    <t>日照瀚嘉国际物流有限公司</t>
  </si>
  <si>
    <t>91371102334331539M</t>
  </si>
  <si>
    <t>秦丽红</t>
  </si>
  <si>
    <t>2015-04-15</t>
  </si>
  <si>
    <t>山东省日照市东港区石臼街道黄海二路45号海洋国际905室</t>
  </si>
  <si>
    <t>0633-8592059</t>
  </si>
  <si>
    <t>18663309687;13963037770</t>
  </si>
  <si>
    <t>ops_hanjia@163.com</t>
  </si>
  <si>
    <t>1341993029@qq.com;zcy_19850511@126.com</t>
  </si>
  <si>
    <t>371102200108800</t>
  </si>
  <si>
    <t>33433153-9</t>
  </si>
  <si>
    <t>2015-04-15 至 无固定期限</t>
  </si>
  <si>
    <t>Rizhao HANJIA International Logistics Co., Ltd.</t>
  </si>
  <si>
    <t>日照瀚嘉国际物流有限公司成立于2015-04-15，法定代表人为秦丽红，注册资本为500万元，统一社会信用代码为91371102334331539M，企业注册地址位于山东省日照市东港区石臼街道黄海二路45号海洋国际905室，所属行业为水上运输业，经营范围包含：国际船舶代理、代理报关报检、国际货运代理、国内船舶代理；普通货物进出口（法律法规禁止项目除外，须取得许可证方可经营）；仓储服务（依法须经批准的项目，经相关部门批准后方可开展经营活动）。企业当前经营状态为在业。</t>
  </si>
  <si>
    <t>国际船舶代理、代理报关报检、国际货运代理、国内船舶代理；普通货物进出口（法律法规禁止项目除外，须取得许可证方可经营）；仓储服务（依法须经批准的项目，经相关部门批准后方可开展经营活动）。</t>
  </si>
  <si>
    <t>张家港宇新羊毛工业有限公司</t>
  </si>
  <si>
    <t>91320582770503130U</t>
  </si>
  <si>
    <t>闻青南</t>
  </si>
  <si>
    <t>920万美元</t>
  </si>
  <si>
    <t>2005-01-24</t>
  </si>
  <si>
    <t>张家港市大新镇</t>
  </si>
  <si>
    <t>0512-58716965</t>
  </si>
  <si>
    <t>1093118747@qq.com</t>
  </si>
  <si>
    <t>320582400007159</t>
  </si>
  <si>
    <t>77050313-0</t>
  </si>
  <si>
    <t>148</t>
  </si>
  <si>
    <t>2005-01-24 至 2055-01-23</t>
  </si>
  <si>
    <t>Zhangjiagang YUXIN Wool Industry Co., Ltd.</t>
  </si>
  <si>
    <t>张家港宇新羊毛工业有限公司成立于2005-01-24，法定代表人为闻青南，注册资本为920万美元，统一社会信用代码为91320582770503130U，企业注册地址位于张家港市大新镇，所属行业为纺织业，经营范围包含：羊毛洗毛、羊毛炭化及加工销售羊毛脂，毛条的生产、加工，销售自产产品。（依法须经批准的项目，经相关部门批准后方可开展经营活动）许可项目：发电业务、输电业务、供（配）电业务（依法须经批准的项目，经相关部门批准后方可开展经营活动，具体经营项目以审批结果为准）一般项目：货物进出口（除依法须经批准的项目外，凭营业执照依法自主开展经营活动）。企业当前经营状态为存续。</t>
  </si>
  <si>
    <t>羊毛洗毛、羊毛炭化及加工销售羊毛脂，毛条的生产、加工，销售自产产品。（依法须经批准的项目，经相关部门批准后方可开展经营活动）许可项目：发电业务、输电业务、供（配）电业务（依法须经批准的项目，经相关部门批准后方可开展经营活动，具体经营项目以审批结果为准）一般项目：货物进出口（除依法须经批准的项目外，凭营业执照依法自主开展经营活动）</t>
  </si>
  <si>
    <t>张家港市市场监督管理局</t>
  </si>
  <si>
    <t>常熟市新光毛条处理有限公司</t>
  </si>
  <si>
    <t>913205817235312001</t>
  </si>
  <si>
    <t>常熟市克劳依羊毛条丝光防缩有限公司</t>
  </si>
  <si>
    <t>瞿建德</t>
  </si>
  <si>
    <t>2000-11-08</t>
  </si>
  <si>
    <t>常熟市古里镇陈塘村</t>
  </si>
  <si>
    <t>常熟市</t>
  </si>
  <si>
    <t>0512-52837600</t>
  </si>
  <si>
    <t>605954590@qq.com</t>
  </si>
  <si>
    <t>320581000032962</t>
  </si>
  <si>
    <t>72353120-0</t>
  </si>
  <si>
    <t>65</t>
  </si>
  <si>
    <t>2000-11-08 至 无固定期限</t>
  </si>
  <si>
    <t>Changshu Xinguang Wool Specialist Processor Co., Ltd.</t>
  </si>
  <si>
    <t>www.xinguangwooltop.cn</t>
  </si>
  <si>
    <t>常熟市新光毛条处理有限公司成立于2000-11-08，法定代表人为瞿建德，注册资本为5000万元，统一社会信用代码为913205817235312001，企业注册地址位于常熟市古里镇陈塘村，所属行业为纺织业，经营范围包含：丝光羊毛条、防缩羊毛条、巴素兰羊毛条、毛纱制造、加工、销售；配套助剂研发（不含危险品）；从事货物进出口业务及技术进出口业务，但国家限定公司经营或禁止进出口的商品及技术除外；毛纺机械制造、销售；纺织原料销售；道路普通货物运输。（依法须经批准的项目，经相关部门批准后方可开展经营活动）。企业当前经营状态为存续。</t>
  </si>
  <si>
    <t>丝光羊毛条、防缩羊毛条、巴素兰羊毛条、毛纱制造、加工、销售；配套助剂研发（不含危险品）；从事货物进出口业务及技术进出口业务，但国家限定公司经营或禁止进出口的商品及技术除外；毛纺机械制造、销售；纺织原料销售；道路普通货物运输。（依法须经批准的项目，经相关部门批准后方可开展经营活动）</t>
  </si>
  <si>
    <t>常熟市行政审批局</t>
  </si>
  <si>
    <t>米歇尔（苏州）羊毛工业有限公司</t>
  </si>
  <si>
    <t>91320509788361871J</t>
  </si>
  <si>
    <t>大卫.米歇尔（DAVID RONALD MICHELL）</t>
  </si>
  <si>
    <t>300万美元</t>
  </si>
  <si>
    <t>2006-06-28</t>
  </si>
  <si>
    <t>江苏省吴江市临沪经济区临沪大道</t>
  </si>
  <si>
    <t>0512-63228900</t>
  </si>
  <si>
    <t>13584409379</t>
  </si>
  <si>
    <t>thomas_tang@michell.com.au</t>
  </si>
  <si>
    <t>thomas_tang@michell.cm.au;thomas.tang@michell.com.au</t>
  </si>
  <si>
    <t>320584400000379</t>
  </si>
  <si>
    <t>78836187-1</t>
  </si>
  <si>
    <t>2006-06-28 至 2056-06-27</t>
  </si>
  <si>
    <t>MICHELL(Suzhou) Wool Co., Ltd.</t>
  </si>
  <si>
    <t>https://www.michell.com.au</t>
  </si>
  <si>
    <t>米歇尔（苏州）羊毛工业有限公司成立于2006-06-28，法定代表人为大卫.米歇尔（DAVID RONALD MICHELL），注册资本为300万美元，统一社会信用代码为91320509788361871J，企业注册地址位于江苏省吴江市临沪经济区临沪大道，所属行业为皮革、毛皮、羽毛及其制品和制鞋业，经营范围包含：畜产品的加工（羊毛的研发和加工处理），本公司自产产品的销售；污水治理设施的建设、经营；从事与本公司生产产品同类商品的批发及进出口业务（不涉及国营贸易管理商品，涉及配额、许可证管理商品的，按国家有关规定办理申请）。（依法须经批准的项目，经相关部门批准后方可开展经营活动）。企业当前经营状态为存续。</t>
  </si>
  <si>
    <t>畜产品的加工（羊毛的研发和加工处理），本公司自产产品的销售；污水治理设施的建设、经营；从事与本公司生产产品同类商品的批发及进出口业务（不涉及国营贸易管理商品，涉及配额、许可证管理商品的，按国家有关规定办理申请）。（依法须经批准的项目，经相关部门批准后方可开展经营活动）</t>
  </si>
  <si>
    <t>苏州市吴江区市场监督管理局</t>
  </si>
  <si>
    <t>无锡市长阳洗毛有限公司</t>
  </si>
  <si>
    <t>913202066754926480</t>
  </si>
  <si>
    <t>王仙友</t>
  </si>
  <si>
    <t>2008-05-23</t>
  </si>
  <si>
    <t>无锡市惠山区长安街道长安东七路</t>
  </si>
  <si>
    <t>0510-83769025</t>
  </si>
  <si>
    <t>0510-53769028;0510-83769028</t>
  </si>
  <si>
    <t>402371140@qq.com</t>
  </si>
  <si>
    <t>qianjd1972@126.com</t>
  </si>
  <si>
    <t>320206000125059</t>
  </si>
  <si>
    <t>67549264-8</t>
  </si>
  <si>
    <t>2008-05-23 至 无固定期限</t>
  </si>
  <si>
    <t>Wuxi City Changyang Washing Wool Co., Ltd.</t>
  </si>
  <si>
    <t>无锡市长阳洗毛有限公司成立于2008-05-23，法定代表人为王仙友，注册资本为500万元，统一社会信用代码为913202066754926480，企业注册地址位于无锡市惠山区长安街道长安东七路，所属行业为纺织业，经营范围包含：一般项目：纺纱加工；面料纺织加工；机械设备租赁；合成材料销售；针纺织品销售；针纺织品及原料销售；货物进出口；技术进出口；进出口代理（除依法须经批准的项目外，凭营业执照依法自主开展经营活动）。企业当前经营状态为存续。</t>
  </si>
  <si>
    <t>一般项目：纺纱加工；面料纺织加工；机械设备租赁；合成材料销售；针纺织品销售；针纺织品及原料销售；货物进出口；技术进出口；进出口代理（除依法须经批准的项目外，凭营业执照依法自主开展经营活动）</t>
  </si>
  <si>
    <t>无锡市惠山区行政审批局</t>
  </si>
  <si>
    <t>无锡市澳新洗毛有限公司</t>
  </si>
  <si>
    <t>91320205MA1WPTWR8K</t>
  </si>
  <si>
    <t>邹培根</t>
  </si>
  <si>
    <t>2018-06-14</t>
  </si>
  <si>
    <t>无锡市锡山区锡北镇光明村</t>
  </si>
  <si>
    <t>0510-83910050</t>
  </si>
  <si>
    <t>652423835@qq.com</t>
  </si>
  <si>
    <t>320205000326945</t>
  </si>
  <si>
    <t>MA1WPTWR-8</t>
  </si>
  <si>
    <t>2018-06-14 至 无固定期限</t>
  </si>
  <si>
    <t>Wuxi Aoxin Wool Washing Co., Ltd.</t>
  </si>
  <si>
    <t>无锡市澳新洗毛有限公司成立于2018-06-14，法定代表人为邹培根，注册资本为500万元，统一社会信用代码为91320205MA1WPTWR8K，企业注册地址位于无锡市锡山区锡北镇光明村，所属行业为皮革、毛皮、羽毛及其制品和制鞋业，经营范围包含：许可项目：发电业务、输电业务、供（配）电业务（依法须经批准的项目，经相关部门批准后方可开展经营活动，具体经营项目以审批结果为准）
一般项目：面料纺织加工；货物进出口；技术进出口；进出口代理（除依法须经批准的项目外，凭营业执照依法自主开展经营活动）。企业当前经营状态为在业。</t>
  </si>
  <si>
    <t>许可项目：发电业务、输电业务、供（配）电业务（依法须经批准的项目，经相关部门批准后方可开展经营活动，具体经营项目以审批结果为准）
一般项目：面料纺织加工；货物进出口；技术进出口；进出口代理（除依法须经批准的项目外，凭营业执照依法自主开展经营活动）</t>
  </si>
  <si>
    <t>无锡市锡山区行政审批局</t>
  </si>
  <si>
    <t>江阴市河塘精洗毛条有限公司</t>
  </si>
  <si>
    <t>91320281142292694M</t>
  </si>
  <si>
    <t>江阴市河塘精洗毛条厂</t>
  </si>
  <si>
    <t>蔡秋蓉</t>
  </si>
  <si>
    <t>1425万元</t>
  </si>
  <si>
    <t>1992-03-27</t>
  </si>
  <si>
    <t>江阴市长泾镇蔡桥村朱家宕26号</t>
  </si>
  <si>
    <t>0510-86331726</t>
  </si>
  <si>
    <t>13395151726</t>
  </si>
  <si>
    <t>815311437@qq.com</t>
  </si>
  <si>
    <t>320281000067773</t>
  </si>
  <si>
    <t>14229269-4</t>
  </si>
  <si>
    <t>2001-12-20 至 2031-12-11</t>
  </si>
  <si>
    <t>Jiangyin Hetang Washing Tops Co., Ltd.</t>
  </si>
  <si>
    <t>江阴市河塘精洗毛条有限公司成立于1992-03-27，法定代表人为蔡秋蓉，注册资本为1425万元，统一社会信用代码为91320281142292694M，企业注册地址位于江阴市长泾镇蔡桥村朱家宕26号，所属行业为纺织业，经营范围包含：羊毛精洗（含羊毛油脂的回收、销售）；毛条的制造、加工；纺织原料（不含籽棉）的销售；自营和代理各类商品及技术的进出口业务，但国家限定企业经营或禁止进出口的商品和技术除外。（依法须经批准的项目，经相关部门批准后方可开展经营活动）。企业当前经营状态为在业。</t>
  </si>
  <si>
    <t>羊毛精洗（含羊毛油脂的回收、销售）；毛条的制造、加工；纺织原料（不含籽棉）的销售；自营和代理各类商品及技术的进出口业务，但国家限定企业经营或禁止进出口的商品和技术除外。（依法须经批准的项目，经相关部门批准后方可开展经营活动）</t>
  </si>
  <si>
    <t>江阴澄扬洗毛有限公司</t>
  </si>
  <si>
    <t>91320281767396012U</t>
  </si>
  <si>
    <t>江阴韵莱雅洗毛有限公司</t>
  </si>
  <si>
    <t>杨庆华</t>
  </si>
  <si>
    <t>2004-10-29</t>
  </si>
  <si>
    <t>江阴市顾山镇北国锡张公路572号</t>
  </si>
  <si>
    <t>0510-86350619</t>
  </si>
  <si>
    <t>0510-6350619;15052171809</t>
  </si>
  <si>
    <t>386065834@qq.com</t>
  </si>
  <si>
    <t>320281000122940</t>
  </si>
  <si>
    <t>76739601-2</t>
  </si>
  <si>
    <t>2004-10-29 至 2034-10-28</t>
  </si>
  <si>
    <t>Jiangyin Yunlaiyaximao Co., Ltd.</t>
  </si>
  <si>
    <t>江阴澄扬洗毛有限公司成立于2004-10-29，法定代表人为杨庆华，注册资本为300万元，统一社会信用代码为91320281767396012U，企业注册地址位于江阴市顾山镇北国锡张公路572号，所属行业为纺织业，经营范围包含：羊毛清洗加工；羊毛油脂回收、加工；原毛、洗净毛、毛条、毛纺织品的销售；道路货物运输。（依法须经批准的项目，经相关部门批准后方可开展经营活动）
一般项目：货物进出口；技术进出口；进出口代理；普通货物仓储服务（不含危险化学品等需许可审批的项目）（除依法须经批准的项目外，凭营业执照依法自主开展经营活动）。企业当前经营状态为在业。</t>
  </si>
  <si>
    <t>羊毛清洗加工；羊毛油脂回收、加工；原毛、洗净毛、毛条、毛纺织品的销售；道路货物运输。（依法须经批准的项目，经相关部门批准后方可开展经营活动）
一般项目：货物进出口；技术进出口；进出口代理；普通货物仓储服务（不含危险化学品等需许可审批的项目）（除依法须经批准的项目外，凭营业执照依法自主开展经营活动）</t>
  </si>
  <si>
    <t>江阴市协达纺织有限公司</t>
  </si>
  <si>
    <t>91320281726565318P</t>
  </si>
  <si>
    <t>李康达</t>
  </si>
  <si>
    <t>2001-02-19</t>
  </si>
  <si>
    <t>江阴市周庄镇山泉路8号</t>
  </si>
  <si>
    <t>13915229685</t>
  </si>
  <si>
    <t>0510-86901112</t>
  </si>
  <si>
    <t>1208879220@qq.com</t>
  </si>
  <si>
    <t>320281000055690</t>
  </si>
  <si>
    <t>72656531-8</t>
  </si>
  <si>
    <t>2001-02-19 至 2031-02-18</t>
  </si>
  <si>
    <t>Jiangyin Xieda Textile Co., Ltd.</t>
  </si>
  <si>
    <t>江阴市协达纺织有限公司成立于2001-02-19，法定代表人为李康达，注册资本为500万元，统一社会信用代码为91320281726565318P，企业注册地址位于江阴市周庄镇山泉路8号，所属行业为纺织业，经营范围包含：色织布、毛纺织品、服装的制造、加工、销售；毛纺羊毛炭化的加工；纺织品、针织品、纺织原料的销售。产业用纺织制成品制造；日用口罩（非医用）生产；劳动保护用品生产；家用纺织制成品制造；产业用纺织制成品销售；日用口罩（非医用）销售；医用口罩批发；医护人员防护用品批发；劳动保护用品销售；特种劳动防护用品销售；消毒剂销售（不含危险化学品）；化工产品销售（不含许可类化工产品）；日用百货销售；太阳能发电技术服务（依法须经批准的项目，经相关部门批准后方可开展经营活动）。企业当前经营状态为存续。</t>
  </si>
  <si>
    <t>色织布、毛纺织品、服装的制造、加工、销售；毛纺羊毛炭化的加工；纺织品、针织品、纺织原料的销售。产业用纺织制成品制造；日用口罩（非医用）生产；劳动保护用品生产；家用纺织制成品制造；产业用纺织制成品销售；日用口罩（非医用）销售；医用口罩批发；医护人员防护用品批发；劳动保护用品销售；特种劳动防护用品销售；消毒剂销售（不含危险化学品）；化工产品销售（不含许可类化工产品）；日用百货销售；太阳能发电技术服务（依法须经批准的项目，经相关部门批准后方可开展经营活动）</t>
  </si>
  <si>
    <t>江苏银隆仓储物流有限公司</t>
  </si>
  <si>
    <t>91320621MA1MDDL33C</t>
  </si>
  <si>
    <t>石永生</t>
  </si>
  <si>
    <t>2015-12-28</t>
  </si>
  <si>
    <t>海安市城东镇银联路3号</t>
  </si>
  <si>
    <t>0513-69898299</t>
  </si>
  <si>
    <t>0513-69898290;13921626799;18109912286</t>
  </si>
  <si>
    <t>459361371@qq.com</t>
  </si>
  <si>
    <t>1779065969@qq.com;48272780@163.com</t>
  </si>
  <si>
    <t>320621000395629</t>
  </si>
  <si>
    <t>MA1MDDL3-3</t>
  </si>
  <si>
    <t>2015-12-28 至 无固定期限</t>
  </si>
  <si>
    <t>Jiangsu Yinlong Warehousing Logistics Co., Ltd.</t>
  </si>
  <si>
    <t>江苏银隆仓储物流有限公司成立于2015-12-28，法定代表人为石永生，注册资本为2000万元，统一社会信用代码为91320621MA1MDDL33C，企业注册地址位于海安市城东镇银联路3号，所属行业为装卸搬运和仓储业，经营范围包含：棉花、棉纱仓储、销售；普通货物仓储；普通货物装卸搬运服务；普通货物运输；自营和代理各类商品的进出口业务。（依法须经批准的项目，经相关部门批准后方可开展经营活动）。企业当前经营状态为在业。</t>
  </si>
  <si>
    <t>棉花、棉纱仓储、销售；普通货物仓储；普通货物装卸搬运服务；普通货物运输；自营和代理各类商品的进出口业务。（依法须经批准的项目，经相关部门批准后方可开展经营活动）</t>
  </si>
  <si>
    <t>江阴市林亿达毛料有限公司</t>
  </si>
  <si>
    <t>91320281750047502J</t>
  </si>
  <si>
    <t>邵林福</t>
  </si>
  <si>
    <t>2003-06-04</t>
  </si>
  <si>
    <t>江阴市周庄镇电厂路39号</t>
  </si>
  <si>
    <t>13912453434</t>
  </si>
  <si>
    <t>13921266888</t>
  </si>
  <si>
    <t>413076340@qq.com</t>
  </si>
  <si>
    <t>320281000097866</t>
  </si>
  <si>
    <t>75004750-2</t>
  </si>
  <si>
    <t>2003-06-04 至 无固定期限</t>
  </si>
  <si>
    <t>Jiangyin Linyida Wool Co., Ltd.</t>
  </si>
  <si>
    <t>江阴市林亿达毛料有限公司成立于2003-06-04，法定代表人为邵林福，注册资本为500万元，统一社会信用代码为91320281750047502J，企业注册地址位于江阴市周庄镇电厂路39号，所属行业为纺织业，经营范围包含：一般项目：面料纺织加工；纺纱加工；针纺织品及原料销售（除依法须经批准的项目外，凭营业执照依法自主开展经营活动）。企业当前经营状态为存续。</t>
  </si>
  <si>
    <t>一般项目：面料纺织加工；纺纱加工；针纺织品及原料销售（除依法须经批准的项目外，凭营业执照依法自主开展经营活动）</t>
  </si>
  <si>
    <t>常州市金坛区润辉羊毛碳化原料有限公司</t>
  </si>
  <si>
    <t>913204135502718922</t>
  </si>
  <si>
    <t>金坛市润辉纺织服饰有限公司,
金坛市润辉进出口有限公司</t>
  </si>
  <si>
    <t>韩育典</t>
  </si>
  <si>
    <t>2010-01-29</t>
  </si>
  <si>
    <t>常州市金坛区华阳北路100号</t>
  </si>
  <si>
    <t>金坛区</t>
  </si>
  <si>
    <t>0519-82309618</t>
  </si>
  <si>
    <t>0519-82309611</t>
  </si>
  <si>
    <t>992317052@qq.com</t>
  </si>
  <si>
    <t>lynda_li@runbo-woolen.com</t>
  </si>
  <si>
    <t>320482000071853</t>
  </si>
  <si>
    <t>55027189-2</t>
  </si>
  <si>
    <t>2010-01-29 至 2030-01-28</t>
  </si>
  <si>
    <t>Changzhou Jintan District Runhui Wool Carbonization Raw Materials Co., Ltd.</t>
  </si>
  <si>
    <t>常州市金坛区润辉羊毛碳化原料有限公司成立于2010-01-29，法定代表人为韩育典，注册资本为500万元，统一社会信用代码为913204135502718922，企业注册地址位于常州市金坛区华阳北路100号，所属行业为批发业，经营范围包含：羊毛脱脂、碳化加工；羊毛的销售；羊毛脂、纺织原材料、羊毛原材料的加工及销售；纺织品、服装、鞋帽、床上用品、皮革制品、箱包、包装材料、日用百货、玩具、电子产品、酒店用品、工艺品、办公用品、化妆用品的销售；自营和代理各类商品及技术的进出口业务。（依法须经批准的项目，经相关部门批准后方可开展经营活动）。企业当前经营状态为在业。</t>
  </si>
  <si>
    <t>羊毛脱脂、碳化加工；羊毛的销售；羊毛脂、纺织原材料、羊毛原材料的加工及销售；纺织品、服装、鞋帽、床上用品、皮革制品、箱包、包装材料、日用百货、玩具、电子产品、酒店用品、工艺品、办公用品、化妆用品的销售；自营和代理各类商品及技术的进出口业务。（依法须经批准的项目，经相关部门批准后方可开展经营活动）</t>
  </si>
  <si>
    <t>常州市金坛区行政审批局</t>
  </si>
  <si>
    <t>浙江中沃羊毛股份有限公司</t>
  </si>
  <si>
    <t>91330411MA28AF361Y</t>
  </si>
  <si>
    <t>嘉兴市中沃羊毛有限公司</t>
  </si>
  <si>
    <t>杜全海</t>
  </si>
  <si>
    <t>2016-06-07</t>
  </si>
  <si>
    <t>浙江省嘉兴市秀洲区洪合镇西村埭路399号</t>
  </si>
  <si>
    <t>秀洲区</t>
  </si>
  <si>
    <t>13819045678</t>
  </si>
  <si>
    <t>13819373318;15157345014</t>
  </si>
  <si>
    <t>2209935095@qq.com</t>
  </si>
  <si>
    <t>330411000127192</t>
  </si>
  <si>
    <t>MA28AF36-1</t>
  </si>
  <si>
    <t>2016-06-07 至 无固定期限</t>
  </si>
  <si>
    <t>Zhejiang Zhongwo Wool Co., Ltd.</t>
  </si>
  <si>
    <t>浙江中沃羊毛股份有限公司成立于2016-06-07，法定代表人为杜全海，注册资本为2000万元，统一社会信用代码为91330411MA28AF361Y，企业注册地址位于浙江省嘉兴市秀洲区洪合镇西村埭路399号，所属行业为零售业，经营范围包含：羊毛、毛条、精短毛、羊绒、绒毛、兔毛、化纤原料、化纤织品、棉条、纱线、纺织面料、针织服饰、纺织机械及配件的销售；服装设计；从事进出口业务；毛条加工、制造。（依法须经批准的项目，经相关部门批准后方可开展经营活动）。企业当前经营状态为存续。</t>
  </si>
  <si>
    <t>羊毛、毛条、精短毛、羊绒、绒毛、兔毛、化纤原料、化纤织品、棉条、纱线、纺织面料、针织服饰、纺织机械及配件的销售；服装设计；从事进出口业务；毛条加工、制造。（依法须经批准的项目，经相关部门批准后方可开展经营活动）</t>
  </si>
  <si>
    <t>张家港扬子精梳毛条有限公司</t>
  </si>
  <si>
    <t>913205826082588866</t>
  </si>
  <si>
    <t>米歇尔.纪</t>
  </si>
  <si>
    <t>1561.69万美元</t>
  </si>
  <si>
    <t>1561.6797万美元</t>
  </si>
  <si>
    <t>1995-06-10</t>
  </si>
  <si>
    <t>江苏省张家港市杨舍镇塘市街道</t>
  </si>
  <si>
    <t>0512-58592301</t>
  </si>
  <si>
    <t>0512-58599755</t>
  </si>
  <si>
    <t>yangtsetops@chargeurs-luxury.com</t>
  </si>
  <si>
    <t>yangtsetops@chargeurs-wool.com;yangtsetops@chargeurs-woo.com</t>
  </si>
  <si>
    <t>320000400002904</t>
  </si>
  <si>
    <t>60825888-6</t>
  </si>
  <si>
    <t>155</t>
  </si>
  <si>
    <t>1995-06-10 至 2045-06-09</t>
  </si>
  <si>
    <t>Zhangjiagang Yangtse Wool Combing Co., Ltd.</t>
  </si>
  <si>
    <t>张家港扬子精梳毛条有限公司成立于1995-06-10，法定代表人为米歇尔.纪，注册资本为1561.69万美元，统一社会信用代码为913205826082588866，企业注册地址位于江苏省张家港市杨舍镇塘市街道，所属行业为纺织业，经营范围包含：生产、加工、销售毛条、短毛及其它纤维类产品与相关产品。 从事与本企业生产同类产品的商业批发、佣金代理（拍卖品除外）及进出口业务（涉及配额许可证管理、专项规定管理的商品应按国家有关规定办理）。（依法须经批准的项目，经相关部门批准后方可开展经营活动）一般项目：棉花加工；棉花收购；棉、麻销售；针纺织品销售（除依法须经批准的项目外，凭营业执照依法自主开展经营活动）。企业当前经营状态为存续。</t>
  </si>
  <si>
    <t>生产、加工、销售毛条、短毛及其它纤维类产品与相关产品。 从事与本企业生产同类产品的商业批发、佣金代理（拍卖品除外）及进出口业务（涉及配额许可证管理、专项规定管理的商品应按国家有关规定办理）。（依法须经批准的项目，经相关部门批准后方可开展经营活动）一般项目：棉花加工；棉花收购；棉、麻销售；针纺织品销售（除依法须经批准的项目外，凭营业执照依法自主开展经营活动）</t>
  </si>
  <si>
    <t>江苏海顺捷运国际货运代理有限公司</t>
  </si>
  <si>
    <t>91320592663255223U</t>
  </si>
  <si>
    <t>蒋海</t>
  </si>
  <si>
    <t>2007-06-19</t>
  </si>
  <si>
    <t>张家港保税区华尔润大厦207室</t>
  </si>
  <si>
    <t>0512-58376127</t>
  </si>
  <si>
    <t>13812992779</t>
  </si>
  <si>
    <t>34140322@qq.com</t>
  </si>
  <si>
    <t>343063363@qq.com</t>
  </si>
  <si>
    <t>320582000111868</t>
  </si>
  <si>
    <t>66325522-3</t>
  </si>
  <si>
    <t>2007-06-19 至 无固定期限</t>
  </si>
  <si>
    <t>Jiangsu Haishun Jieyun International Forwarding Co., Ltd.</t>
  </si>
  <si>
    <t>张家港市金港镇南沙大桥下清河坊</t>
  </si>
  <si>
    <t>江苏海顺捷运国际货运代理有限公司成立于2007-06-19，法定代表人为蒋海，注册资本为500万元，统一社会信用代码为91320592663255223U，企业注册地址位于张家港保税区华尔润大厦207室，所属行业为水上运输业，经营范围包含：国际货运代理。（依法须经批准的项目，经相关部门批准后方可开展经营活动）。企业当前经营状态为存续。</t>
  </si>
  <si>
    <t>湖州恒瑜纺织有限公司</t>
  </si>
  <si>
    <t>91330502MA2B77J5XL</t>
  </si>
  <si>
    <t>王一</t>
  </si>
  <si>
    <t>2019-07-29</t>
  </si>
  <si>
    <t>浙江省湖州市吴兴区织里镇大港路888号</t>
  </si>
  <si>
    <t>15962608532</t>
  </si>
  <si>
    <t>309508979@qq.com</t>
  </si>
  <si>
    <t>330503000331305</t>
  </si>
  <si>
    <t>MA2B77J5-X</t>
  </si>
  <si>
    <t>2019-07-29 至 无固定期限</t>
  </si>
  <si>
    <t>Huzhou Hengyu Textile Co., Ltd.</t>
  </si>
  <si>
    <t>湖州恒瑜纺织有限公司成立于2019-07-29，法定代表人为王一，注册资本为600万元，统一社会信用代码为91330502MA2B77J5XL，企业注册地址位于浙江省湖州市吴兴区织里镇大港路888号，所属行业为批发业，经营范围包含：毛条加工，毛条后处理，道路普通货物运输，货物及技术进出口业务。（依法须经批准的项目，经相关部门批准后方可开展经营活动）。企业当前经营状态为存续。</t>
  </si>
  <si>
    <t>毛条加工，毛条后处理，道路普通货物运输，货物及技术进出口业务。（依法须经批准的项目，经相关部门批准后方可开展经营活动）</t>
  </si>
  <si>
    <t>湖州市吴兴区市场监督管理局</t>
  </si>
  <si>
    <t>张家港泰达物流有限公司</t>
  </si>
  <si>
    <t>9132058255705476XC</t>
  </si>
  <si>
    <t>高峰</t>
  </si>
  <si>
    <t>2010-06-03</t>
  </si>
  <si>
    <t>江苏省苏州市张家港市杨舍镇扬子路18号鑫澳大厦B座1912室</t>
  </si>
  <si>
    <t>15851613222</t>
  </si>
  <si>
    <t>13706228600;0512-56762611</t>
  </si>
  <si>
    <t>105414037@qq.com</t>
  </si>
  <si>
    <t>320582000208611</t>
  </si>
  <si>
    <t>55705476-X</t>
  </si>
  <si>
    <t>2010-06-03 至 2060-06-02</t>
  </si>
  <si>
    <t>Zhangjiagang Teda Logistics Co., Ltd.</t>
  </si>
  <si>
    <t>张家港泰达物流有限公司成立于2010-06-03，法定代表人为高峰，注册资本为500万元，统一社会信用代码为9132058255705476XC，企业注册地址位于江苏省苏州市张家港市杨舍镇扬子路18号鑫澳大厦B座1912室，所属行业为道路运输业，经营范围包含：普通货运，国内船舶代理、国内水路货物运输代理；货运代理（代办）；仓储（除危险品）服务；国际货代；大件运输；钢材、玻璃、金属材料、五金交电、矿产品、机械设备及零部件、化工原料及产品（危险化学品除外）、建筑材料购销；自营和代理各类商品及技术的进出口业务（国家限定企业经营或禁止进出口的商品及技术除外）。（依法须经批准的项目，经相关部门批准后方可开展经营活动）
一般项目：装卸搬运（除依法须经批准的项目外，凭营业执照依法自主开展经营活动）。企业当前经营状态为在业。</t>
  </si>
  <si>
    <t>普通货运，国内船舶代理、国内水路货物运输代理；货运代理（代办）；仓储（除危险品）服务；国际货代；大件运输；钢材、玻璃、金属材料、五金交电、矿产品、机械设备及零部件、化工原料及产品（危险化学品除外）、建筑材料购销；自营和代理各类商品及技术的进出口业务（国家限定企业经营或禁止进出口的商品及技术除外）。（依法须经批准的项目，经相关部门批准后方可开展经营活动）
一般项目：装卸搬运（除依法须经批准的项目外，凭营业执照依法自主开展经营活动）</t>
  </si>
  <si>
    <t>无锡运吉运输有限公司</t>
  </si>
  <si>
    <t>9132020608697856XA</t>
  </si>
  <si>
    <t>汪友明</t>
  </si>
  <si>
    <t>2013-12-25</t>
  </si>
  <si>
    <t>无锡市惠山区洛社镇石塘湾梅泾村成达物流4区37</t>
  </si>
  <si>
    <t>13771405500</t>
  </si>
  <si>
    <t>0510-83262165;13961866026</t>
  </si>
  <si>
    <t>522156835@qq.com</t>
  </si>
  <si>
    <t>2650209468@qq.com;821496650@qq.com</t>
  </si>
  <si>
    <t>320206000234036</t>
  </si>
  <si>
    <t>08697856-X</t>
  </si>
  <si>
    <t>2013-12-25 至 无固定期限</t>
  </si>
  <si>
    <t>Wuxi Yunji Transportation Co., Ltd.</t>
  </si>
  <si>
    <t>无锡运吉运输有限公司成立于2013-12-25，法定代表人为汪友明，注册资本为150万元，统一社会信用代码为9132020608697856XA，企业注册地址位于无锡市惠山区洛社镇石塘湾梅泾村成达物流4区37，所属行业为道路运输业，经营范围包含：道路普通货物运输。（依法须经批准的项目，经相关部门批准后方可开展经营活动）。企业当前经营状态为在业。</t>
  </si>
  <si>
    <t>道路普通货物运输。（依法须经批准的项目，经相关部门批准后方可开展经营活动）</t>
  </si>
  <si>
    <t>湖北时进国际货运代理有限公司</t>
  </si>
  <si>
    <t>91420100768093574L</t>
  </si>
  <si>
    <t>邹红星</t>
  </si>
  <si>
    <t>2005-01-10</t>
  </si>
  <si>
    <t>武汉市江汉区新华路186号福星城市花园4栋21层21-10、11、12、13、14号房</t>
  </si>
  <si>
    <t>0728-85554182</t>
  </si>
  <si>
    <t>027-85554190;027-85554120;15972963966;027-85554100;13628690287;0728-85554101;13986167473</t>
  </si>
  <si>
    <t>houguohong@shijinfreight.com</t>
  </si>
  <si>
    <t>account.department@shijinfreight.com;1627994699@qq.com;yeahyliu@shijinfreight.com;hbsjhydlyx@max56.com</t>
  </si>
  <si>
    <t>420100000125609</t>
  </si>
  <si>
    <t>76809357-4</t>
  </si>
  <si>
    <t>2005-01-10 至 2035-01-08</t>
  </si>
  <si>
    <t>Hubei Shijin International Freight &amp; Forwarding Co., Ltd.</t>
  </si>
  <si>
    <t>湖北时进国际货运代理有限公司成立于2005-01-10，法定代表人为邹红星，注册资本为500万元，统一社会信用代码为91420100768093574L，企业注册地址位于武汉市江汉区新华路186号福星城市花园4栋21层21-10、11、12、13、14号房，所属行业为多式联运和运输代理业，经营范围包含：承办海上、航空、陆路国际货运代理业务；承办进出口报关、报验业务；承办国内航空货运代理业务（经营范围、经营期限与许可证核定的经营范围、经营期限一致）。企业当前经营状态为存续。</t>
  </si>
  <si>
    <t>承办海上、航空、陆路国际货运代理业务；承办进出口报关、报验业务；承办国内航空货运代理业务（经营范围、经营期限与许可证核定的经营范围、经营期限一致）。</t>
  </si>
  <si>
    <t>上海华威国际货运有限公司</t>
  </si>
  <si>
    <t>913101106076612278</t>
  </si>
  <si>
    <t>上海华威货运有限公司,
上海华威运输有限公司</t>
  </si>
  <si>
    <t>袁艺</t>
  </si>
  <si>
    <t>1993-12-11</t>
  </si>
  <si>
    <t>上海市杨浦区宁国路313弄2号1502室</t>
  </si>
  <si>
    <t>杨浦区</t>
  </si>
  <si>
    <t>021-55397966</t>
  </si>
  <si>
    <t>hxw_118@live.cn</t>
  </si>
  <si>
    <t>310110000076037</t>
  </si>
  <si>
    <t>60766122-7</t>
  </si>
  <si>
    <t>1993-12-11 至 无固定期限</t>
  </si>
  <si>
    <t>Shanghai Huawei International Freight Co., Ltd.</t>
  </si>
  <si>
    <t>上海华威国际货运有限公司成立于1993-12-11，法定代表人为袁艺，注册资本为500万元，统一社会信用代码为913101106076612278，企业注册地址位于上海市杨浦区宁国路313弄2号1502室，所属行业为道路运输业，经营范围包含：国际集装箱运输；道路货物运输；承办海运、空运进出口货物的国际运输代理业务，包括揽货、订舱、仓储、中转、集装箱拼装拆箱、结算运杂费、报关、报验、保险、相关的短途运输服务及运输咨询业务；从事货物进出口和技术进出口业务；在上海海关关区内从事报关业务。【依法须经批准的项目，经相关部门批准后方可开展经营活动】。企业当前经营状态为存续。</t>
  </si>
  <si>
    <t>国际集装箱运输；道路货物运输；承办海运、空运进出口货物的国际运输代理业务，包括揽货、订舱、仓储、中转、集装箱拼装拆箱、结算运杂费、报关、报验、保险、相关的短途运输服务及运输咨询业务；从事货物进出口和技术进出口业务；在上海海关关区内从事报关业务。【依法须经批准的项目，经相关部门批准后方可开展经营活动】</t>
  </si>
  <si>
    <t>杨浦区市场监督管理局</t>
  </si>
  <si>
    <t>天津北海世纪物流有限公司</t>
  </si>
  <si>
    <t>91120116660345231T</t>
  </si>
  <si>
    <t>天津北海世纪国际货运代理有限公司</t>
  </si>
  <si>
    <t>张世民</t>
  </si>
  <si>
    <t>2007-05-30</t>
  </si>
  <si>
    <t>天津开发区黄海路98号一区B座5门101室</t>
  </si>
  <si>
    <t>13920414897</t>
  </si>
  <si>
    <t>13920906585;022-65290386;022-65292386;022-65299193</t>
  </si>
  <si>
    <t>fengyue@126.com</t>
  </si>
  <si>
    <t>fengyue0701@126.com</t>
  </si>
  <si>
    <t>120191000010420</t>
  </si>
  <si>
    <t>66034523-1</t>
  </si>
  <si>
    <t>2007-05-30 至 无固定期限</t>
  </si>
  <si>
    <t>Tianjin Beihai Shiji Logistics Co., Ltd.</t>
  </si>
  <si>
    <t>天津北海世纪物流有限公司成立于2007-05-30，法定代表人为张世民，注册资本为500万元，统一社会信用代码为91120116660345231T，企业注册地址位于天津开发区黄海路98号一区B座5门101室，所属行业为装卸搬运和仓储业，经营范围包含：许可项目：食品销售；国营贸易管理货物的进出口。（依法须经批准的项目，经相关部门批准后方可开展经营活动，具体经营项目以相关部门批准文件或许可证件为准）一般项目：国际货物运输代理；航空国际货物运输代理；海上国际货物运输代理；陆路国际货物运输代理；国内货物运输代理；国内集装箱货物运输代理；国际船舶代理；国际船舶管理业务；国内船舶代理；信息技术咨询服务；货物进出口；技术进出口；进出口代理；针纺织品及原料销售；农副产品销售。（除依法须经批准的项目外，凭营业执照依法自主开展经营活动）。企业当前经营状态为存续。</t>
  </si>
  <si>
    <t>许可项目：食品销售；国营贸易管理货物的进出口。（依法须经批准的项目，经相关部门批准后方可开展经营活动，具体经营项目以相关部门批准文件或许可证件为准）一般项目：国际货物运输代理；航空国际货物运输代理；海上国际货物运输代理；陆路国际货物运输代理；国内货物运输代理；国内集装箱货物运输代理；国际船舶代理；国际船舶管理业务；国内船舶代理；信息技术咨询服务；货物进出口；技术进出口；进出口代理；针纺织品及原料销售；农副产品销售。（除依法须经批准的项目外，凭营业执照依法自主开展经营活动）</t>
  </si>
  <si>
    <t>东莞三江港口储罐有限公司</t>
  </si>
  <si>
    <t>91441900760641126M</t>
  </si>
  <si>
    <t>李小力</t>
  </si>
  <si>
    <t>1446万美元</t>
  </si>
  <si>
    <t>2004-04-22</t>
  </si>
  <si>
    <t>广东省东莞市沙田镇䲞沙大道15号</t>
  </si>
  <si>
    <t>0769-88862888</t>
  </si>
  <si>
    <t>0769-88863182;13532697369;0769-88682381;0769-88680138</t>
  </si>
  <si>
    <t>723800297@qq.com</t>
  </si>
  <si>
    <t>why@grgroup.cc;llx@grgroup.cc</t>
  </si>
  <si>
    <t>441900400084225</t>
  </si>
  <si>
    <t>76064112-6</t>
  </si>
  <si>
    <t>145</t>
  </si>
  <si>
    <t>2004-04-22 至 无固定期限</t>
  </si>
  <si>
    <t>Dongguan Evergrowing Terminal Co., Ltd.</t>
  </si>
  <si>
    <t>东莞三江港口储罐有限公司成立于2004-04-22，法定代表人为李小力，注册资本为1446万美元，统一社会信用代码为91441900760641126M，企业注册地址位于广东省东莞市沙田镇䲞沙大道15号，所属行业为装卸搬运和仓储业，经营范围包含：许可项目：危险化学品仓储；港口经营；成品油仓储；保税仓库经营。（依法须经批准的项目，经相关部门批准后方可开展经营活动，具体经营项目以相关部门批准文件或许可证件为准）一般项目：船舶港口服务；港口货物装卸搬运活动；国际货物运输代理；国内货物运输代理；安全咨询服务；仓储设备租赁服务；非居住房地产租赁；物联网应用服务；包装服务；停车场服务；货物进出口；技术进出口；报关业务；报检业务。（除依法须经批准的项目外，凭营业执照依法自主开展经营活动）。企业当前经营状态为存续。</t>
  </si>
  <si>
    <t>许可项目：危险化学品仓储；港口经营；成品油仓储；保税仓库经营。（依法须经批准的项目，经相关部门批准后方可开展经营活动，具体经营项目以相关部门批准文件或许可证件为准）一般项目：船舶港口服务；港口货物装卸搬运活动；国际货物运输代理；国内货物运输代理；安全咨询服务；仓储设备租赁服务；非居住房地产租赁；物联网应用服务；包装服务；停车场服务；货物进出口；技术进出口；报关业务；报检业务。（除依法须经批准的项目外，凭营业执照依法自主开展经营活动）</t>
  </si>
  <si>
    <t>大连港石化有限公司</t>
  </si>
  <si>
    <t>91210242740945771E</t>
  </si>
  <si>
    <t>大连北良石化有限公司</t>
  </si>
  <si>
    <t>陈富廷</t>
  </si>
  <si>
    <t>2002-10-09</t>
  </si>
  <si>
    <t>辽宁省大连保税区北良港</t>
  </si>
  <si>
    <t>0411-87595680</t>
  </si>
  <si>
    <t>0411-87565680;0411-87595607;0411-87595670</t>
  </si>
  <si>
    <t>zhaorui6@cmhk.com</t>
  </si>
  <si>
    <t>caozuoda@dalianport.com;liuqingmei@portdalian.com;lqm_1977@163.com;czd_yp@portdalian.com;czd6343@163.com</t>
  </si>
  <si>
    <t>210242000004520</t>
  </si>
  <si>
    <t>74094577-1</t>
  </si>
  <si>
    <t>91</t>
  </si>
  <si>
    <t>2002-10-09 至 无固定期限</t>
  </si>
  <si>
    <t>Dalian Port Petrochemical Co., Ltd.</t>
  </si>
  <si>
    <t>大连港石化有限公司成立于2002-10-09，法定代表人为陈富廷，注册资本为35000万元，统一社会信用代码为91210242740945771E，企业注册地址位于辽宁省大连保税区北良港，所属行业为装卸搬运和仓储业，经营范围包含：为船舶提供码头设施服务；在港区内从事货物装卸、仓储、物流服务；港口危险货物作业（以资质证书核定的经营范围为准，并凭资质证书经营）；货物及技术进出口（法律、行政法规禁止的项目除外；法律、行政法规限制的项目，取得许可证后方可经营）。***（依法须经批准的项目，经相关部门批准后方可开展经营活动。）。企业当前经营状态为存续。</t>
  </si>
  <si>
    <t>为船舶提供码头设施服务；在港区内从事货物装卸、仓储、物流服务；港口危险货物作业（以资质证书核定的经营范围为准，并凭资质证书经营）；货物及技术进出口（法律、行政法规禁止的项目除外；法律、行政法规限制的项目，取得许可证后方可经营）。***（依法须经批准的项目，经相关部门批准后方可开展经营活动。）</t>
  </si>
  <si>
    <t>东莞市众兴物流有限公司</t>
  </si>
  <si>
    <t>91441900303929511N</t>
  </si>
  <si>
    <t>王助兵</t>
  </si>
  <si>
    <t>广东省东莞市道滘镇李洲角二路16号2号楼101房</t>
  </si>
  <si>
    <t>13925059099</t>
  </si>
  <si>
    <t>13392308901;18046900228</t>
  </si>
  <si>
    <t>1316538412@qq.com</t>
  </si>
  <si>
    <t>1359509278@qq.com</t>
  </si>
  <si>
    <t>441900001944629</t>
  </si>
  <si>
    <t>30392951-1</t>
  </si>
  <si>
    <t>Dongguan Zhongxing Logistics Co., Ltd.</t>
  </si>
  <si>
    <t>东莞市众兴物流有限公司成立于2014-04-29，法定代表人为王助兵，注册资本为1000万元，统一社会信用代码为91441900303929511N，企业注册地址位于广东省东莞市道滘镇李洲角二路16号2号楼101房，所属行业为道路运输业，经营范围包含：道路货物运输，危险化学品运输；国内货运代理。（依法须经批准的项目，经相关部门批准后方可开展经营活动）。企业当前经营状态为存续。</t>
  </si>
  <si>
    <t>道路货物运输，危险化学品运输；国内货运代理。（依法须经批准的项目，经相关部门批准后方可开展经营活动）</t>
  </si>
  <si>
    <t>岳阳恒阳化工储运有限公司</t>
  </si>
  <si>
    <t>91430600570266409J</t>
  </si>
  <si>
    <t>唐文平</t>
  </si>
  <si>
    <t>26500万元</t>
  </si>
  <si>
    <t>2011-03-22</t>
  </si>
  <si>
    <t>湖南省岳阳市城陵矶新港区樟树路1号办公楼</t>
  </si>
  <si>
    <t>云溪区</t>
  </si>
  <si>
    <t>0730-8422861</t>
  </si>
  <si>
    <t>0730-8422870;0730-8422863</t>
  </si>
  <si>
    <t>yyxzb@hyplc.com</t>
  </si>
  <si>
    <t>yueyang@hyplc.com</t>
  </si>
  <si>
    <t>430600400001684</t>
  </si>
  <si>
    <t>57026640-9</t>
  </si>
  <si>
    <t>2011-03-22 至 2061-03-21</t>
  </si>
  <si>
    <t>Yueyang Hengyang Chemical Storage and Transportation Co., Ltd.</t>
  </si>
  <si>
    <t>湖南省城陵矶临港产业新区新材料产业区</t>
  </si>
  <si>
    <t>岳阳恒阳化工储运有限公司成立于2011-03-22，法定代表人为唐文平，注册资本为26500万元，统一社会信用代码为91430600570266409J，企业注册地址位于湖南省岳阳市城陵矶新港区樟树路1号办公楼，所属行业为装卸搬运和仓储业，经营范围包含：许可项目：危险化学品仓储；成品油仓储；港口经营。（依法须经批准的项目，经相关部门批准后方可开展经营活动，具体经营项目以相关部门批准文件或许可证件为准）一般项目：船舶港口服务；港口货物装卸搬运活动；国内货物运输代理；社会经济咨询服务。（除依法须经批准的项目外，凭营业执照依法自主开展经营活动）。企业当前经营状态为存续。</t>
  </si>
  <si>
    <t>许可项目：危险化学品仓储；成品油仓储；港口经营。（依法须经批准的项目，经相关部门批准后方可开展经营活动，具体经营项目以相关部门批准文件或许可证件为准）一般项目：船舶港口服务；港口货物装卸搬运活动；国内货物运输代理；社会经济咨询服务。（除依法须经批准的项目外，凭营业执照依法自主开展经营活动）</t>
  </si>
  <si>
    <t>岳阳君时达货运有限公司</t>
  </si>
  <si>
    <t>91430600680320111F</t>
  </si>
  <si>
    <t>谭久林</t>
  </si>
  <si>
    <t>2008-10-13</t>
  </si>
  <si>
    <t>岳阳经济技术开发区巴陵东路时代东风汽车服务公司展厅2楼</t>
  </si>
  <si>
    <t>13875743088</t>
  </si>
  <si>
    <t>15675001099;13707302349</t>
  </si>
  <si>
    <t>430600000045426</t>
  </si>
  <si>
    <t>68032011-1</t>
  </si>
  <si>
    <t>2008-10-13 至 2028-10-12</t>
  </si>
  <si>
    <t>Yueyang Junshida Freight Co., Ltd.</t>
  </si>
  <si>
    <t>岳阳君时达货运有限公司成立于2008-10-13，法定代表人为谭久林，注册资本为1000万元，统一社会信用代码为91430600680320111F，企业注册地址位于岳阳经济技术开发区巴陵东路时代东风汽车服务公司展厅2楼，所属行业为道路运输业，经营范围包含：普通货运，危险货物运输，道路货物运输代理，船舶水运货物代理，经营保险代理业务。（依法须经批准的项目，经相关部门批准后方可开展经营活动）。企业当前经营状态为存续。</t>
  </si>
  <si>
    <t>普通货运，危险货物运输，道路货物运输代理，船舶水运货物代理，经营保险代理业务。（依法须经批准的项目，经相关部门批准后方可开展经营活动）</t>
  </si>
  <si>
    <t>山东海旺达现代物流有限公司</t>
  </si>
  <si>
    <t>91370303797324992K</t>
  </si>
  <si>
    <t>淄博海旺达货运代理有限公司</t>
  </si>
  <si>
    <t>田茂程</t>
  </si>
  <si>
    <t>2007-01-08</t>
  </si>
  <si>
    <t>山东省淄博市高新区鲁泰大道1号生物医药创新园A座26层</t>
  </si>
  <si>
    <t>张店区</t>
  </si>
  <si>
    <t>0533-3190191</t>
  </si>
  <si>
    <t>15865331372;15865331229;15865331063;15762809180;15865331330;15865331376;15865331195;15305364378;15866271850</t>
  </si>
  <si>
    <t>haiwd@haiwd.com</t>
  </si>
  <si>
    <t>caoli@haiwd.com;zhangd@haiwd.com;hwdsy99@sina.com</t>
  </si>
  <si>
    <t>370303228837997</t>
  </si>
  <si>
    <t>79732499-2</t>
  </si>
  <si>
    <t>2007-01-08 至 无固定期限</t>
  </si>
  <si>
    <t>Shandong Saewealth Modern Logistics Co., Ltd.</t>
  </si>
  <si>
    <t>http://www.haiwd.com</t>
  </si>
  <si>
    <t>山东海旺达现代物流有限公司主营第三方物流外包服务，以石化物流信息平台为依托开展供应链管理。业务包括石油沥青物流、国内货运代理、互联网信息服务、国内船舶代理等，也可为炼化企业提供供应链管理服务，在潍坊港提供多种油品和化工品的中转储存服务，业务还涵盖船舶相关服务等。2024年9月和2021年10月获得危险化学品经营许可证，入选大众报业集团等单位评选的山东社会责任企业，还入选淄博市企业联合会等评选的2021淄博市综合百强企业。</t>
  </si>
  <si>
    <t>一般项目：国内货物运输代理；国内船舶代理；国际货物运输代理；无船承运业务；报关业务；报检业务；货物进出口；国内贸易代理；国际船舶代理；从事国际集装箱船、普通货船运输；从事内地与港澳间集装箱船、普通货船运输；海上国际货物运输代理；陆路国际货物运输代理；国内集装箱货物运输代理；国际船舶管理业务；进出口代理；技术进出口；集装箱维修；供应链管理服务；普通货物仓储服务（不含危险化学品等需许可审批的项目）；运输货物打包服务；装卸搬运；港口货物装卸搬运活动；销售代理；贸易经纪；信息咨询服务（不含许可类信息咨询服务）；劳务服务（不含劳务派遣）；船舶销售；船舶租赁；船舶港口服务；海洋服务；水上运输设备零配件销售；运输设备租赁服务；煤炭及制品销售；机械设备销售；炼油、化工生产专用设备销售；海洋环境服务；采购代理服务；化工产品销售（不含许可类化工产品）；专用化学产品销售（不含危险化学品）；港口理货；石油制品销售（不含危险化学品）；润滑油销售；工业互联网数据服务；互联网数据服务；技术服务、技术开发、技术咨询、技术交流、技术转让、技术推广；标准化服务；信息系统集成服务；软件开发；信息技术咨询服务；数据处理服务；人工智能公共服务平台技术咨询服务；数据处理和存储支持服务；社会经济咨询服务；会议及展览服务；互联网销售（除销售需要许可的商品）；物联网技术研发；物联网设备销售；企业管理咨询。（除依法须经批准的项目外，凭营业执照依法自主开展经营活动）许可项目：互联网信息服务；港口经营；危险化学品经营。（依法须经批准的项目，经相关部门批准后方可开展经营活动，具体经营项目以相关部门批准文件或许可证件为准）</t>
  </si>
  <si>
    <t>淄博高新技术产业开发区市场监督管理局</t>
  </si>
  <si>
    <t>山东佳邦国际物流有限公司</t>
  </si>
  <si>
    <t>91371102493793933J</t>
  </si>
  <si>
    <t>日照佳邦国际物流有限公司</t>
  </si>
  <si>
    <t>蒋亚林</t>
  </si>
  <si>
    <t>山东省日照市东港区黄海二路北、海滨五路东277号</t>
  </si>
  <si>
    <t>0633-7072221</t>
  </si>
  <si>
    <t>13506338821;18063386783;18963302715</t>
  </si>
  <si>
    <t>1185587764@qq.com</t>
  </si>
  <si>
    <t>3450834@qq.com;linhaowei2011@163.com</t>
  </si>
  <si>
    <t>371102200074373</t>
  </si>
  <si>
    <t>49379393-3</t>
  </si>
  <si>
    <t>水上货物运输</t>
  </si>
  <si>
    <t>沿海货物运输</t>
  </si>
  <si>
    <t>Shandong Jiabang International Logistics Co., Ltd.</t>
  </si>
  <si>
    <t>山东佳邦国际物流有限公司成立于2014-04-29，法定代表人为蒋亚林，注册资本为2000万元，统一社会信用代码为91371102493793933J，企业注册地址位于山东省日照市东港区黄海二路北、海滨五路东277号，所属行业为水上运输业，经营范围包含：国际、国内船舶代理服务，国际、国内货运代理服务，中华人民共和国港口货物运输的无船承运业务，船舶配件、装饰材料、建筑材料、润滑油销售；普通货物进出口（依法须经批准的项目，经相关部门批准后方可开展经营活动）。企业当前经营状态为在业。</t>
  </si>
  <si>
    <t>国际、国内船舶代理服务，国际、国内货运代理服务，中华人民共和国港口货物运输的无船承运业务，船舶配件、装饰材料、建筑材料、润滑油销售；普通货物进出口（依法须经批准的项目，经相关部门批准后方可开展经营活动）。</t>
  </si>
  <si>
    <t>南通宏智石化仓储有限公司</t>
  </si>
  <si>
    <t>91320682756417930H</t>
  </si>
  <si>
    <t>易联能源（南通）有限公司,
南通诚晖石油化工有限公司</t>
  </si>
  <si>
    <t>王健</t>
  </si>
  <si>
    <t>87400万元</t>
  </si>
  <si>
    <t>2004-02-23</t>
  </si>
  <si>
    <t>江苏省如皋市长江镇（如皋港区）香江路28号</t>
  </si>
  <si>
    <t>0513-87688011</t>
  </si>
  <si>
    <t>0513-85225923;0513-83578275;0513-80778856;0513-80778859</t>
  </si>
  <si>
    <t>hll@grgroup.cc</t>
  </si>
  <si>
    <t>haolili@winsway.com;guying@winsway.com;2512153647@qq.com;zhangjianyong@winsway.com</t>
  </si>
  <si>
    <t>320600400009006</t>
  </si>
  <si>
    <t>75641793-0</t>
  </si>
  <si>
    <t>2004-02-23 至 2034-02-22</t>
  </si>
  <si>
    <t>Nantong Hongzhi Petrochemical Storage Co., Ltd.</t>
  </si>
  <si>
    <t>南通宏智石化仓储有限公司成立于2004-02-23，法定代表人为王健，注册资本为87400万元，统一社会信用代码为91320682756417930H，企业注册地址位于江苏省如皋市长江镇（如皋港区）香江路28号，所属行业为装卸搬运和仓储业，经营范围包含：石油化工产品及食用油品的装卸（通过管道输送装卸,危险货物装卸按《港口危险货物作业附证》载明的种类进行）、仓储服务（集装箱除外，危险货物装卸按《港口危险货物作业附证》载明的种类进行）、进出口及批发业务（商品类别按照危险化学品经营许可证和港口经营许可证核定的品种和项目从事经营；不涉及国营贸易管理商品，涉及配额、许可证管理商品的，按国家有关规定办理）；受托从事动产监管服务（国家限制、禁止的项目除外，凡涉及国家专项规定的，取得专项许可手续后经营）；到港物资中转服务、港口作业辅助服务、到港船舶代供电、水服务和生活资料代理服务；港口设施和库区设备出租服务；石化物流供应链咨询、管理服务；危险货物道路运输业务；煤炭、焦炭和铁矿石销售。（依法须经批准的项目，经相关部门批准的方可开展经营活动）
许可项目：成品油仓储（依法须经批准的项目，经相关部门批准后方可开展经营活动，具体经营项目以审批结果为准）。企业当前经营状态为在业。</t>
  </si>
  <si>
    <t>石油化工产品及食用油品的装卸（通过管道输送装卸,危险货物装卸按《港口危险货物作业附证》载明的种类进行）、仓储服务（集装箱除外，危险货物装卸按《港口危险货物作业附证》载明的种类进行）、进出口及批发业务（商品类别按照危险化学品经营许可证和港口经营许可证核定的品种和项目从事经营；不涉及国营贸易管理商品，涉及配额、许可证管理商品的，按国家有关规定办理）；受托从事动产监管服务（国家限制、禁止的项目除外，凡涉及国家专项规定的，取得专项许可手续后经营）；到港物资中转服务、港口作业辅助服务、到港船舶代供电、水服务和生活资料代理服务；港口设施和库区设备出租服务；石化物流供应链咨询、管理服务；危险货物道路运输业务；煤炭、焦炭和铁矿石销售。（依法须经批准的项目，经相关部门批准的方可开展经营活动）
许可项目：成品油仓储（依法须经批准的项目，经相关部门批准后方可开展经营活动，具体经营项目以审批结果为准）</t>
  </si>
  <si>
    <t>东莞市宏川化工仓储有限公司</t>
  </si>
  <si>
    <t>91441900090152664Q</t>
  </si>
  <si>
    <t>32778.235864万元</t>
  </si>
  <si>
    <t>2014-01-09</t>
  </si>
  <si>
    <t>广东省东莞市沙田镇䲞沙大道15号201室</t>
  </si>
  <si>
    <t>0769-88680331</t>
  </si>
  <si>
    <t>0769-88862187;0769-88682381</t>
  </si>
  <si>
    <t>104505922@qq.com</t>
  </si>
  <si>
    <t>llx@grgroup.cc</t>
  </si>
  <si>
    <t>441900001822263</t>
  </si>
  <si>
    <t>09015266-4</t>
  </si>
  <si>
    <t>69</t>
  </si>
  <si>
    <t>2014-01-09 至 无固定期限</t>
  </si>
  <si>
    <t>Dongguan Hongchuan Chemical Warehousing Co., Ltd.</t>
  </si>
  <si>
    <t>东莞市宏川化工仓储有限公司成立于2014-01-09，法定代表人为李小力，注册资本为32778.235864万元，统一社会信用代码为91441900090152664Q，企业注册地址位于广东省东莞市沙田镇䲞沙大道15号201室，所属行业为装卸搬运和仓储业，经营范围包含：港口经营（在港区内从事货物的装卸、仓储服务）；危险货物港口作业（在港口内装卸、过驳、储存、包装危险货物，装拆危险货物集装箱）；国际货物运输代理；国内货运代理，仓储代理；商业贸易咨询，企业管理咨询，投资管理咨询。（依法须经批准的项目，经相关部门批准后方可开展经营活动）。企业当前经营状态为在业。</t>
  </si>
  <si>
    <t>港口经营（在港区内从事货物的装卸、仓储服务）；危险货物港口作业（在港口内装卸、过驳、储存、包装危险货物，装拆危险货物集装箱）；国际货物运输代理；国内货运代理，仓储代理；商业贸易咨询，企业管理咨询，投资管理咨询。（依法须经批准的项目，经相关部门批准后方可开展经营活动）</t>
  </si>
  <si>
    <t>常州宏川石化仓储有限公司</t>
  </si>
  <si>
    <t>913204116913466167</t>
  </si>
  <si>
    <t>常州华润化工仓储有限公司,
常州新润石化仓储有限公司</t>
  </si>
  <si>
    <t>黄韵涛</t>
  </si>
  <si>
    <t>2009-07-03</t>
  </si>
  <si>
    <t>常州市新北区春江镇圩塘江边工业园龙江北路1585号</t>
  </si>
  <si>
    <t>新北区</t>
  </si>
  <si>
    <t>0519-81697777</t>
  </si>
  <si>
    <t>0519-81697828;0519-81687858;0519-81687828;18015858086;0519-81696018;15961625012</t>
  </si>
  <si>
    <t>zhouly@grgroup.cc</t>
  </si>
  <si>
    <t>zyj@grgroup.cc;zhouliyang@crcchem.com;hrcc@crcchem.com</t>
  </si>
  <si>
    <t>320407000119650</t>
  </si>
  <si>
    <t>69134661-6</t>
  </si>
  <si>
    <t>175</t>
  </si>
  <si>
    <t>2009-07-03 至 无固定期限</t>
  </si>
  <si>
    <t>Changzhou GreatRiver Petrochemical Terminal Co., Ltd.</t>
  </si>
  <si>
    <t>http://61.132.111.27</t>
  </si>
  <si>
    <t>常州宏川石化仓储有限公司成立于2009-07-03，法定代表人为黄韵涛，注册资本为35000万元，统一社会信用代码为913204116913466167，企业注册地址位于常州市新北区春江镇圩塘江边工业园龙江北路1585号，所属行业为装卸搬运和仓储业，经营范围包含：许可项目：危险化学品仓储；港口经营；建设工程施工（除核电站建设经营、民用机场建设）；成品油仓储（依法须经批准的项目，经相关部门批准后方可开展经营活动，具体经营项目以审批结果为准）
一般项目：港口货物装卸搬运活动；化工产品销售（不含许可类化工产品）；港口设施设备和机械租赁维修业务；货物进出口；技术进出口；石油制品销售（不含危险化学品）；润滑油销售（除依法须经批准的项目外，凭营业执照依法自主开展经营活动）。企业当前经营状态为在业。</t>
  </si>
  <si>
    <t>许可项目：危险化学品仓储；港口经营；建设工程施工（除核电站建设经营、民用机场建设）；成品油仓储（依法须经批准的项目，经相关部门批准后方可开展经营活动，具体经营项目以审批结果为准）
一般项目：港口货物装卸搬运活动；化工产品销售（不含许可类化工产品）；港口设施设备和机械租赁维修业务；货物进出口；技术进出口；石油制品销售（不含危险化学品）；润滑油销售（除依法须经批准的项目外，凭营业执照依法自主开展经营活动）</t>
  </si>
  <si>
    <t>常州高新技术产业开发区（新北区）政务服务管理办公室</t>
  </si>
  <si>
    <t>中化天津港石化仓储有限公司</t>
  </si>
  <si>
    <t>91120116797283211K</t>
  </si>
  <si>
    <t>李岐东</t>
  </si>
  <si>
    <t>62806万元</t>
  </si>
  <si>
    <t>2007-02-28</t>
  </si>
  <si>
    <t>天津自贸试验区（天津港保税区）海滨五路92号三楼309号、310号（天津晟鑫商务秘书有限公司托管第202410240号）（存在多址信息）</t>
  </si>
  <si>
    <t>022-25607055</t>
  </si>
  <si>
    <t>022-25607025;022-25607018</t>
  </si>
  <si>
    <t>hangsuping@sinochem.com</t>
  </si>
  <si>
    <t>qinnan@sinochem.com</t>
  </si>
  <si>
    <t>120000400035266</t>
  </si>
  <si>
    <t>79728321-1</t>
  </si>
  <si>
    <t>134</t>
  </si>
  <si>
    <t>2007-02-28 至 2057-02-27</t>
  </si>
  <si>
    <t>Sinochem Tianjin Port Petrochemical Terminal Co., Ltd.</t>
  </si>
  <si>
    <t>天津市滨海新区天津港南疆港区南航路3262号</t>
  </si>
  <si>
    <t>中化天津港石化仓储有限公司成立于2007-02-28，法定代表人为李岐东，注册资本为62806万元，统一社会信用代码为91120116797283211K，企业注册地址位于天津自贸试验区（天津港保税区）海滨五路92号三楼309号、310号（天津晟鑫商务秘书有限公司托管第202410240号）（存在多址信息），所属行业为装卸搬运和仓储业，经营范围包含：在港区内从事货物仓储经营（以《中华人民共和国港口经营许可证》及其附证核定的内容为准）；货物装卸服务；仓储管理、咨询服务；租赁业。（依法须经批准的项目，经相关部门批准后方可开展经营活动）。企业当前经营状态为存续。</t>
  </si>
  <si>
    <t>在港区内从事货物仓储经营（以《中华人民共和国港口经营许可证》及其附证核定的内容为准）；货物装卸服务；仓储管理、咨询服务；租赁业。（依法须经批准的项目，经相关部门批准后方可开展经营活动）</t>
  </si>
  <si>
    <t>天津北方港航石化码头有限公司</t>
  </si>
  <si>
    <t>91120116666130960N</t>
  </si>
  <si>
    <t>赵东</t>
  </si>
  <si>
    <t>22714.98万元</t>
  </si>
  <si>
    <t>2007-08-23</t>
  </si>
  <si>
    <t>天津市滨海新区新港街道南疆路1118号</t>
  </si>
  <si>
    <t>022-25706800</t>
  </si>
  <si>
    <t>bfgh928@163.com</t>
  </si>
  <si>
    <t>120191000005585</t>
  </si>
  <si>
    <t>66613096-0</t>
  </si>
  <si>
    <t>2007-08-23 至 2057-08-22</t>
  </si>
  <si>
    <t>TianjinNorthernPetrochemicalsTerminal Co., Ltd.</t>
  </si>
  <si>
    <t>天津北方港航石化码头有限公司于2007年8月由天津北方石油有限公司、中交天津航道局有限公司共同投资组建，项目总投资约6亿元。主营业务为码头、罐区、装卸车栈台等于一体的综合性石化物流企业，实现原油、成品油、液体化工品等叁大类近20种石化产品装卸车、装卸船、管线外输等功能，是一家全方位的石油化工服务型企业。</t>
  </si>
  <si>
    <t>一般项目：成品油仓储（不含危险化学品）；普通货物仓储服务（不含危险化学品等需许可审批的项目）；信息咨询服务（不含许可类信息咨询服务）；船舶港口服务；石油制品销售（不含危险化学品）；煤炭及制品销售；货物进出口；国内船舶代理；国际船舶代理；国内货物运输代理；国际货物运输代理；仓储设备租赁服务；润滑油销售；金属矿石销售；金属材料销售；高性能有色金属及合金材料销售；新型金属功能材料销售；金属链条及其他金属制品销售；油墨销售（不含危险化学品）；专用化学产品销售（不含危险化学品）；纸浆销售；化工产品销售（不含许可类化工产品）；建筑材料销售。（除依法须经批准的项目外，凭营业执照依法自主开展经营活动）许可项目：原油批发；港口经营；危险化学品经营；成品油批发；燃气经营。（依法须经批准的项目，经相关部门批准后方可开展经营活动，具体经营项目以相关部门批准文件或许可证件为准）</t>
  </si>
  <si>
    <t>江阴华西化工码头有限公司</t>
  </si>
  <si>
    <t>913202817357138107</t>
  </si>
  <si>
    <t>江阴诚信储运有限公司</t>
  </si>
  <si>
    <t>赵少丰</t>
  </si>
  <si>
    <t>20442.1913万元</t>
  </si>
  <si>
    <t>2002-04-12</t>
  </si>
  <si>
    <t>江阴临港新城石庄办事处诚信路1号</t>
  </si>
  <si>
    <t>0510-86668568</t>
  </si>
  <si>
    <t>0510-86809116;0510-86809182;0510-86809161;0510-86801908;13961614200;13921202230;13921259818;13815122266;15852583377</t>
  </si>
  <si>
    <t>dingyuehao@jyhxhgmt.cn</t>
  </si>
  <si>
    <t>tgz@jyhxhgmt.cn</t>
  </si>
  <si>
    <t>320281400004685</t>
  </si>
  <si>
    <t>73571381-0</t>
  </si>
  <si>
    <t>182</t>
  </si>
  <si>
    <t>2002-04-12 至 无固定期限</t>
  </si>
  <si>
    <t>Jiangyin Huaxi Chemical WHARF Co., Ltd.</t>
  </si>
  <si>
    <t>http://www.jyhxhgmt.cn</t>
  </si>
  <si>
    <t>江阴华西化工码头有限公司，主营专业从事液体化工品仓储业务。2024年省级创新型中小企业、2023年市级工程技术研究中心、2024年省级民营科技企业、2023年国家级技术企业。2023年01月港口经营许可证范围内的液体化学品的仓储服务获得中国职业健康安全管理体系认证、质量管理体系认证（ISO9001）、环境管理体系认证，2023年02月获得食品经营许可证，2023年01月港口经营许可证范围内的液体化学品的仓储服务获得港口经营许可证。提供港务管理、船舶港口服务、普通货运及仓储服务、出口监管仓库经营、油品仓储等服务。</t>
  </si>
  <si>
    <t>许可项目：港口经营；保税仓库经营；出口监管仓库经营；海关监管货物仓储服务（不含危险化学品、危险货物）（依法须经批准的项目，经相关部门批准后方可开展经营活动，具体经营项目以审批结果为准）
一般项目：船舶港口服务；普通货物仓储服务（不含危险化学品等需许可审批的项目）；成品油仓储（不含危险化学品）；装卸搬运；污水处理及其再生利用；仓单登记服务；包装材料及制品销售；信息咨询服务（不含许可类信息咨询服务）；货物进出口；技术进出口；进出口代理（除依法须经批准的项目外，凭营业执照依法自主开展经营活动）</t>
  </si>
  <si>
    <t>山东启轩运输有限公司</t>
  </si>
  <si>
    <t>91370112MA3CC9RD17</t>
  </si>
  <si>
    <t>崔节超</t>
  </si>
  <si>
    <t>843.1133万元</t>
  </si>
  <si>
    <t>2016-06-16</t>
  </si>
  <si>
    <t>山东省济南市天桥区济南新材料交易中心南区20号楼317室</t>
  </si>
  <si>
    <t>天桥区</t>
  </si>
  <si>
    <t>13854160686</t>
  </si>
  <si>
    <t>13953169486</t>
  </si>
  <si>
    <t>603467312@qq.com</t>
  </si>
  <si>
    <t>55557777@163.com</t>
  </si>
  <si>
    <t>370112200217214</t>
  </si>
  <si>
    <t>MA3CC9RD-1</t>
  </si>
  <si>
    <t>2016-06-16 至 无固定期限</t>
  </si>
  <si>
    <t>Shandong Qixuan Transportation Co., Ltd.</t>
  </si>
  <si>
    <t>山东启轩运输有限公司成立于2016-06-16，法定代表人为崔节超，注册资本为1000万元，统一社会信用代码为91370112MA3CC9RD17，企业注册地址位于山东省济南市天桥区济南新材料交易中心南区20号楼317室，所属行业为道路运输业，经营范围包含：许可项目：道路货物运输（含危险货物）；道路货物运输（不含危险货物）；成品油零售（不含危险化学品）。（依法须经批准的项目，经相关部门批准后方可开展经营活动，具体经营项目以相关部门批准文件或许可证件为准）一般项目：成品油批发（不含危险化学品）；成品油仓储（不含危险化学品）；装卸搬运；普通货物仓储服务（不含危险化学品等需许可审批的项目）；道路货物运输站经营；商务代理代办服务；五金产品批发；五金产品零售；轮胎销售；汽车零配件零售；汽车零配件批发；汽车拖车、求援、清障服务；国内货物运输代理；机动车修理和维护；专业保洁、清洗、消毒服务；办公用品销售。（除依法须经批准的项目外，凭营业执照依法自主开展经营活动）。企业当前经营状态为在业。</t>
  </si>
  <si>
    <t>许可项目：道路货物运输（含危险货物）；道路货物运输（不含危险货物）；成品油零售（不含危险化学品）。（依法须经批准的项目，经相关部门批准后方可开展经营活动，具体经营项目以相关部门批准文件或许可证件为准）一般项目：成品油批发（不含危险化学品）；成品油仓储（不含危险化学品）；装卸搬运；普通货物仓储服务（不含危险化学品等需许可审批的项目）；道路货物运输站经营；商务代理代办服务；五金产品批发；五金产品零售；轮胎销售；汽车零配件零售；汽车零配件批发；汽车拖车、求援、清障服务；国内货物运输代理；机动车修理和维护；专业保洁、清洗、消毒服务；办公用品销售。（除依法须经批准的项目外，凭营业执照依法自主开展经营活动）</t>
  </si>
  <si>
    <t>济南市天桥区市场监督管理局</t>
  </si>
  <si>
    <t>广州弘誉供应链管理有限公司</t>
  </si>
  <si>
    <t>91440112MA59CJHT7R</t>
  </si>
  <si>
    <t>柯以</t>
  </si>
  <si>
    <t>108.6969万元</t>
  </si>
  <si>
    <t>2016-04-20</t>
  </si>
  <si>
    <t>广州市黄埔区荔香路10号901房（仅限办公用途）</t>
  </si>
  <si>
    <t>020-82515633</t>
  </si>
  <si>
    <t>020-82512920;020-66630480;13427543046</t>
  </si>
  <si>
    <t>2151918@qq.com</t>
  </si>
  <si>
    <t>440112000147881</t>
  </si>
  <si>
    <t>MA59CJHT-7</t>
  </si>
  <si>
    <t>2016-04-20 至 无固定期限</t>
  </si>
  <si>
    <t>Guangzhou H&amp;Y Supply Chain Management Co., Ltd.</t>
  </si>
  <si>
    <t>广州弘誉供应链管理有限公司成立于2016-04-20，法定代表人为柯以，注册资本为1000万元，统一社会信用代码为91440112MA59CJHT7R，企业注册地址位于广州市黄埔区荔香路10号901房（仅限办公用途），所属行业为商务服务业，经营范围包含：供应链管理;国际货运代理;仓储代理服务;商品信息咨询服务;物流代理服务;装卸搬运;道路货物运输代理;旅客票务代理;货物检验代理服务;货物报关代理服务;联合运输代理服务;打包、装卸、运输全套服务代理;航空货运代理服务;谷物仓储;棉花仓储;其他农产品仓储;其他仓储业（不含原油、成品油仓储、燃气仓储、危险品仓储）;货物进出口（专营专控商品除外）;技术进出口;商品批发贸易（许可审批类商品除外）;商品零售贸易（许可审批类商品除外）。企业当前经营状态为存续。</t>
  </si>
  <si>
    <t>供应链管理;国际货运代理;仓储代理服务;商品信息咨询服务;物流代理服务;装卸搬运;道路货物运输代理;旅客票务代理;货物检验代理服务;货物报关代理服务;联合运输代理服务;打包、装卸、运输全套服务代理;航空货运代理服务;谷物仓储;棉花仓储;其他农产品仓储;其他仓储业（不含原油、成品油仓储、燃气仓储、危险品仓储）;货物进出口（专营专控商品除外）;技术进出口;商品批发贸易（许可审批类商品除外）;商品零售贸易（许可审批类商品除外）</t>
  </si>
  <si>
    <t>张家港保税港区中外运长江国际物流有限公司</t>
  </si>
  <si>
    <t>913205923464213633</t>
  </si>
  <si>
    <t>李金伟</t>
  </si>
  <si>
    <t>2015-07-30</t>
  </si>
  <si>
    <t>张家港保税区北区长江国际港务大厦302室</t>
  </si>
  <si>
    <t>0512-80158987</t>
  </si>
  <si>
    <t>0512-58313179;13862239008</t>
  </si>
  <si>
    <t>929130438@qq.com</t>
  </si>
  <si>
    <t>929130437@qq.com;caic@sinotrans-cjgj.com;sinoagent@sinotrans-cjgj.com</t>
  </si>
  <si>
    <t>320592000093088</t>
  </si>
  <si>
    <t>34642136-3</t>
  </si>
  <si>
    <t>2015-07-30 至 2035-07-29</t>
  </si>
  <si>
    <t>Zhangjiagang Bonded Port Area Zhongwaiyun Changjiang International Logistics Co., Ltd.</t>
  </si>
  <si>
    <t>保税区石化交易大厦</t>
  </si>
  <si>
    <t>张家港保税港区中外运长江国际物流有限公司成立于2015-07-30，法定代表人为李金伟，注册资本为500万元，统一社会信用代码为913205923464213633，企业注册地址位于张家港保税区北区长江国际港务大厦302室，所属行业为多式联运和运输代理业，经营范围包含：经营中外籍国际船舶代理业务；缮制单证，代签提单、运输合同、速遣滞期协议，代收代付款项；办理船舶进出港手续，联系安排引水、靠泊。装卸；报关，办理货物的托运和中转；揽货和组织客源，洽定舱位。联系水上救助。协助处理海商海事；代为处理船舶、船员、旅客或货物的有关事项（凭批准证书经营）；承办海运、陆运、空运进出口获取、国际展品、私人物品和过境货物的国际运输代理业务，包括：揽货、订舱、仓储、流通加工、包装、中转、集装箱拼装拆箱，结算运杂费、报关、报验、保险、相关的短途运输服务及运输咨询业务；办理国际多式联运业务。（依法须经批准的项目，经相关部门批准后方可开展经营活动）。企业当前经营状态为在业。</t>
  </si>
  <si>
    <t>经营中外籍国际船舶代理业务；缮制单证，代签提单、运输合同、速遣滞期协议，代收代付款项；办理船舶进出港手续，联系安排引水、靠泊。装卸；报关，办理货物的托运和中转；揽货和组织客源，洽定舱位。联系水上救助。协助处理海商海事；代为处理船舶、船员、旅客或货物的有关事项（凭批准证书经营）；承办海运、陆运、空运进出口获取、国际展品、私人物品和过境货物的国际运输代理业务，包括：揽货、订舱、仓储、流通加工、包装、中转、集装箱拼装拆箱，结算运杂费、报关、报验、保险、相关的短途运输服务及运输咨询业务；办理国际多式联运业务。（依法须经批准的项目，经相关部门批准后方可开展经营活动）</t>
  </si>
  <si>
    <t>博州新棉物流有限责任公司</t>
  </si>
  <si>
    <t>91652700710794028E</t>
  </si>
  <si>
    <t>新疆维吾尔自治区棉麻公司博乐棉麻站</t>
  </si>
  <si>
    <t>李建杰</t>
  </si>
  <si>
    <t>新疆博州博乐市火车站南侧</t>
  </si>
  <si>
    <t>博乐市</t>
  </si>
  <si>
    <t>13909968803</t>
  </si>
  <si>
    <t>0909-7720168;13399071393;0992-7325864</t>
  </si>
  <si>
    <t>1423934530@qq.com</t>
  </si>
  <si>
    <t>1486229033@qq.com;772556278@qq.com</t>
  </si>
  <si>
    <t>652700010000025</t>
  </si>
  <si>
    <t>71079402-8</t>
  </si>
  <si>
    <t>2002-04-23 至 无固定期限</t>
  </si>
  <si>
    <t>Bozhou Xinmian Logistics Co., Ltd.</t>
  </si>
  <si>
    <t>博州新棉物流有限责任公司成立于2002-04-23，法定代表人为李建杰，注册资本为2600万元，统一社会信用代码为91652700710794028E，企业注册地址位于新疆博州博乐市火车站南侧，所属行业为道路运输业，经营范围包含：一般项目：国内货物运输代理；普通货物仓储服务（不含危险化学品等需许可审批的项目）；棉、麻销售；棉花收购；初级农产品收购；非食用农产品初加工；针纺织品销售；农副产品销售；谷物销售；国内集装箱货物运输代理（除依法须经批准的项目外，凭营业执照依法自主开展经营活动）。企业当前经营状态为存续。</t>
  </si>
  <si>
    <t>一般项目：国内货物运输代理；普通货物仓储服务（不含危险化学品等需许可审批的项目）；棉、麻销售；棉花收购；初级农产品收购；非食用农产品初加工；针纺织品销售；农副产品销售；谷物销售；国内集装箱货物运输代理（除依法须经批准的项目外，凭营业执照依法自主开展经营活动）</t>
  </si>
  <si>
    <t>博尔塔拉蒙古自治州市场监督管理局</t>
  </si>
  <si>
    <t>上海京皖国际物流有限公司</t>
  </si>
  <si>
    <t>91310116MA1J9F6F78</t>
  </si>
  <si>
    <t>上海京皖物流有限公司</t>
  </si>
  <si>
    <t>赵夫丽</t>
  </si>
  <si>
    <t>1049.76万元</t>
  </si>
  <si>
    <t>2017-05-02</t>
  </si>
  <si>
    <t>上海市金山工业区亭卫公路6495弄168号5幢1楼1236室</t>
  </si>
  <si>
    <t>13916643098</t>
  </si>
  <si>
    <t>18221268971;021-59105570;17317143383</t>
  </si>
  <si>
    <t>3149376746@qq.com</t>
  </si>
  <si>
    <t>310116003800756</t>
  </si>
  <si>
    <t>MA1J9F6F-7</t>
  </si>
  <si>
    <t>2017-05-02 至 无固定期限</t>
  </si>
  <si>
    <t>Shanghai Jingwan International Logistics Co., Ltd.</t>
  </si>
  <si>
    <t>上海市嘉定区马陆镇博学路88号</t>
  </si>
  <si>
    <t>上海京皖国际物流有限公司成立于2017-05-02，法定代表人为赵夫丽，注册资本为3000万元，统一社会信用代码为91310116MA1J9F6F78，企业注册地址位于上海市金山工业区亭卫公路6495弄168号5幢1楼1236室，所属行业为多式联运和运输代理业，经营范围包含：一般项目：国际货物运输代理；国内货物运输代理；无船承运业务；普通货物仓储服务（不含危险化学品等需许可审批的项目）；装卸搬运；包装服务；企业管理咨询；信息咨询服务（不含许可类信息咨询服务）；互联网销售（除销售需要许可的商品）；机械设备销售；电力电子元器件销售；汽车零配件零售；摩托车及零配件零售；办公用品销售；电子产品销售；五金产品批发；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</si>
  <si>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国际货物运输代理；国内货物运输代理；无船承运业务；普通货物仓储服务（不含危险化学品等需许可审批的项目）；装卸搬运；包装服务；企业管理咨询；信息咨询服务（不含许可类信息咨询服务）；互联网销售（除销售需要许可的商品）；机械设备销售；电力电子元器件销售；汽车零配件零售；摩托车及零配件零售；办公用品销售；电子产品销售；五金产品批发；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</si>
  <si>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青岛东南船务代理有限公司</t>
  </si>
  <si>
    <t>91370203MA3CFF6E9U</t>
  </si>
  <si>
    <t>甄闯</t>
  </si>
  <si>
    <t>2016-08-17</t>
  </si>
  <si>
    <t>山东省青岛市市北区舞阳路7号7号楼橡胶谷大厦310-60室</t>
  </si>
  <si>
    <t>0532-86661629</t>
  </si>
  <si>
    <t>sunxw@npsel.com</t>
  </si>
  <si>
    <t>370203230323966</t>
  </si>
  <si>
    <t>MA3CFF6E-9</t>
  </si>
  <si>
    <t>2016-08-17 至 无固定期限</t>
  </si>
  <si>
    <t>Qingdao Southeast Shipping Agency Co., Ltd.</t>
  </si>
  <si>
    <t>http://www.npsel.com</t>
  </si>
  <si>
    <t>山东省青岛市市北区敦化路138号西王大厦2805</t>
  </si>
  <si>
    <t>青岛东南船务代理有限公司成立于2016-08-17，法定代表人为甄闯，注册资本为500万元，统一社会信用代码为91370203MA3CFF6E9U，企业注册地址位于山东省青岛市市北区舞阳路7号7号楼橡胶谷大厦310-60室，所属行业为水上运输业，经营范围包含：国内船舶代理；国际货运代理业务；依据《道路运输经营许可证》开展普通货运、货物专用运输（集装箱）活动；国内货运代理；报关报检服务（凭资质经营）；无船承运业务（依据核发的备案凭证开展经营活动）；仓储服务（不含冷冻、冷藏、制冷、危险化学品储存，不得在此住所从事仓储服务）；集装箱销售、租赁；经营无需行政审批即可经营的一般经营项目（依法须经批准的项目，经相关部门批准后方可开展经营活动）。企业当前经营状态为在业。</t>
  </si>
  <si>
    <t>国内船舶代理；国际货运代理业务；依据《道路运输经营许可证》开展普通货运、货物专用运输（集装箱）活动；国内货运代理；报关报检服务（凭资质经营）；无船承运业务（依据核发的备案凭证开展经营活动）；仓储服务（不含冷冻、冷藏、制冷、危险化学品储存，不得在此住所从事仓储服务）；集装箱销售、租赁；经营无需行政审批即可经营的一般经营项目（依法须经批准的项目，经相关部门批准后方可开展经营活动）</t>
  </si>
  <si>
    <t>青岛启德物流有限公司</t>
  </si>
  <si>
    <t>91370202794046915L</t>
  </si>
  <si>
    <t>青岛奥丽塔贸易有限公司</t>
  </si>
  <si>
    <t>宋志强</t>
  </si>
  <si>
    <t>2006-12-18</t>
  </si>
  <si>
    <t>青岛市市南区香港中路40号1607室</t>
  </si>
  <si>
    <t>0532-80996656</t>
  </si>
  <si>
    <t>0532-80971166;0532-80997130;0532-85731177;021-66396628</t>
  </si>
  <si>
    <t>695154824@qq.com</t>
  </si>
  <si>
    <t>chenxiaoting@sunward-logistics.com;sabrinahuang@sunward-logistics.com</t>
  </si>
  <si>
    <t>370202228209085</t>
  </si>
  <si>
    <t>79404691-5</t>
  </si>
  <si>
    <t>2006-12-18 至 无固定期限</t>
  </si>
  <si>
    <t>Sunward Logistics Co., Ltd.</t>
  </si>
  <si>
    <t>www.sunward-logistics.com</t>
  </si>
  <si>
    <t>青岛市崂山区泉岭路8号中商国际大厦28F</t>
  </si>
  <si>
    <t>青岛启德物流有限公司成立于2006-12-18，法定代表人为宋志强，注册资本为4000万元，统一社会信用代码为91370202794046915L，企业注册地址位于青岛市市南区香港中路40号1607室，所属行业为多式联运和运输代理业，经营范围包含：无船承运业务（无船承运业务经营资格登记证有效期限以许可证为准）国际货运代理，货物及技术进出口业务（依法须经批准的项目，经相关批准后方可开展经营活动）。企业当前经营状态为在业。</t>
  </si>
  <si>
    <t>无船承运业务（无船承运业务经营资格登记证有效期限以许可证为准）国际货运代理，货物及技术进出口业务（依法须经批准的项目，经相关批准后方可开展经营活动）。</t>
  </si>
  <si>
    <t>厦门宝利隆物流有限公司</t>
  </si>
  <si>
    <t>913502065684328859</t>
  </si>
  <si>
    <t>高凌</t>
  </si>
  <si>
    <t>厦门市思明区厦禾路839号1904室之二</t>
  </si>
  <si>
    <t>思明区</t>
  </si>
  <si>
    <t>0592-5669603</t>
  </si>
  <si>
    <t>13850070405;0592-5669600</t>
  </si>
  <si>
    <t>2302125376@qq.com</t>
  </si>
  <si>
    <t>fin@xmbll.com.cn;leo@xmbll.com.cn</t>
  </si>
  <si>
    <t>350206200172403</t>
  </si>
  <si>
    <t>56843288-5</t>
  </si>
  <si>
    <t>2011-04-15 至 2031-04-14</t>
  </si>
  <si>
    <t>Xiamen Baolilong Logistics Co., Ltd.</t>
  </si>
  <si>
    <t>http://www.xmbll.com.cn</t>
  </si>
  <si>
    <t>厦门宝利隆物流有限公司成立于2011-04-15，法定代表人为高凌，注册资本为500万元，统一社会信用代码为913502065684328859，企业注册地址位于厦门市思明区厦禾路839号1904室之二，所属行业为多式联运和运输代理业，经营范围包含：国际货运代理；无船承运业务；国内货运代理；经营各类商品和技术的进出口（不另附进出口商品目录），但国家限定公司经营或禁止进出口的商品及技术除外。企业当前经营状态为存续。</t>
  </si>
  <si>
    <t>国际货运代理；无船承运业务；国内货运代理；经营各类商品和技术的进出口（不另附进出口商品目录），但国家限定公司经营或禁止进出口的商品及技术除外。</t>
  </si>
  <si>
    <t>厦门市思明区市场监督管理局</t>
  </si>
  <si>
    <t>江苏永续航运有限公司</t>
  </si>
  <si>
    <t>91320621MA1N5KTB60</t>
  </si>
  <si>
    <t>管芳雷</t>
  </si>
  <si>
    <t>2016-12-23</t>
  </si>
  <si>
    <t>海安市城东镇晓星大道8号</t>
  </si>
  <si>
    <t>0580-88860066</t>
  </si>
  <si>
    <t>jsxlly_888@163.com</t>
  </si>
  <si>
    <t>320621000429326</t>
  </si>
  <si>
    <t>MA1N5KTB-6</t>
  </si>
  <si>
    <t>2016-12-23 至 2036-12-22</t>
  </si>
  <si>
    <t>Jiangsu Younysun Shipping Co., Ltd.</t>
  </si>
  <si>
    <t>江苏永续航运有限公司成立于2016-12-23，法定代表人为管芳雷，注册资本为3000万元，统一社会信用代码为91320621MA1N5KTB60，企业注册地址位于海安市城东镇晓星大道8号，所属行业为水上运输业，经营范围包含：国内货物运输（国内沿海、长江中下游及支流省际普通货船运输）；道路普通货物运输；船舶管理；经营国际船舶管理；国内货运代理；国际货运代理；自营和代理各类商品及技术的进出口业务（国家禁止或涉及行政审批的货物和技术进出口除外）。（（依法须经批准的项目，经相关部门批准后方可开展经营活动）许可项目：国内船舶管理业务（依法须经批准的项目，经相关部门批准后方可开展经营活动，具体经营项目以审批结果为准）一般项目：从事国际集装箱船、普通货船运输；国际船舶管理业务（除依法须经批准的项目外，凭营业执照依法自主开展经营活动）。企业当前经营状态为存续。</t>
  </si>
  <si>
    <t>国内货物运输（国内沿海、长江中下游及支流省际普通货船运输）；道路普通货物运输；船舶管理；经营国际船舶管理；国内货运代理；国际货运代理；自营和代理各类商品及技术的进出口业务（国家禁止或涉及行政审批的货物和技术进出口除外）。（（依法须经批准的项目，经相关部门批准后方可开展经营活动）许可项目：国内船舶管理业务（依法须经批准的项目，经相关部门批准后方可开展经营活动，具体经营项目以审批结果为准）一般项目：从事国际集装箱船、普通货船运输；国际船舶管理业务（除依法须经批准的项目外，凭营业执照依法自主开展经营活动）</t>
  </si>
  <si>
    <t>京粮（曹妃甸）物流有限公司</t>
  </si>
  <si>
    <t>91130230MA0D5NMRXL</t>
  </si>
  <si>
    <t>贾宝辉</t>
  </si>
  <si>
    <t>2019-01-21</t>
  </si>
  <si>
    <t>中国（河北）自由贸易试验区曹妃甸片区，曹妃甸工业区综合保税区内，沿堤南路以西，B5N路以南一号仓库</t>
  </si>
  <si>
    <t>13911167026</t>
  </si>
  <si>
    <t>645914559@qq.com</t>
  </si>
  <si>
    <t>130230000077991</t>
  </si>
  <si>
    <t>MA0D5NMR-X</t>
  </si>
  <si>
    <t>2019-01-21 至 2039-01-20</t>
  </si>
  <si>
    <t>Jingliang (Caofeidian) Logistics Co., Ltd.</t>
  </si>
  <si>
    <t>京粮（曹妃甸）物流有限公司成立于2019-01-21，法定代表人为贾宝辉，注册资本为5000万元，统一社会信用代码为91130230MA0D5NMRXL，企业注册地址位于中国（河北）自由贸易试验区曹妃甸片区，曹妃甸工业区综合保税区内，沿堤南路以西，B5N路以南一号仓库，所属行业为道路运输业，经营范围包含：许可项目：道路货物运输（不含危险货物）；食品销售。（依法须经批准的项目，经相关部门批准后方可开展经营活动，具体经营项目以相关部门批准文件或许可证件为准）一般项目：普通货物仓储服务（不含危险化学品等需许可审批的项目）；装卸搬运；食用农产品零售；针纺织品销售；五金产品零售；金属材料销售；化工产品销售（不含许可类化工产品）；工艺美术品及收藏品零售（象牙及其制品除外）；珠宝首饰零售；化妆品零售；日用百货销售；计算机软硬件及辅助设备批发；建筑材料销售；体育用品及器材零售；化肥销售；家用电器销售；鞋帽零售；金属矿石销售；汽车销售；汽车零配件批发；水产品批发；供应链管理服务；技术服务、技术开发、技术咨询、技术交流、技术转让、技术推广；土石方工程施工；广告制作；物业管理；办公服务；摄影扩印服务；货物进出口；技术进出口；国际货物运输代理；国内货物运输代理；粮食收购。（除依法须经批准的项目外，凭营业执照依法自主开展经营活动）。企业当前经营状态为存续。</t>
  </si>
  <si>
    <t>许可项目：道路货物运输（不含危险货物）；食品销售。（依法须经批准的项目，经相关部门批准后方可开展经营活动，具体经营项目以相关部门批准文件或许可证件为准）一般项目：普通货物仓储服务（不含危险化学品等需许可审批的项目）；装卸搬运；食用农产品零售；针纺织品销售；五金产品零售；金属材料销售；化工产品销售（不含许可类化工产品）；工艺美术品及收藏品零售（象牙及其制品除外）；珠宝首饰零售；化妆品零售；日用百货销售；计算机软硬件及辅助设备批发；建筑材料销售；体育用品及器材零售；化肥销售；家用电器销售；鞋帽零售；金属矿石销售；汽车销售；汽车零配件批发；水产品批发；供应链管理服务；技术服务、技术开发、技术咨询、技术交流、技术转让、技术推广；土石方工程施工；广告制作；物业管理；办公服务；摄影扩印服务；货物进出口；技术进出口；国际货物运输代理；国内货物运输代理；粮食收购。（除依法须经批准的项目外，凭营业执照依法自主开展经营活动）</t>
  </si>
  <si>
    <t>泸州金吉祥船务有限责任公司</t>
  </si>
  <si>
    <t>91510504323402952W</t>
  </si>
  <si>
    <t>2014-12-12</t>
  </si>
  <si>
    <t>泸州市龙马潭区特兴镇特兴二街78号1幢楼1号门市</t>
  </si>
  <si>
    <t>15298288819</t>
  </si>
  <si>
    <t>0830-3708856;18208311583</t>
  </si>
  <si>
    <t>260415984@qq.com</t>
  </si>
  <si>
    <t>510504000055926</t>
  </si>
  <si>
    <t>32340295-2</t>
  </si>
  <si>
    <t>45</t>
  </si>
  <si>
    <t>2014-12-12 至 无固定期限</t>
  </si>
  <si>
    <t>内河货物运输</t>
  </si>
  <si>
    <t>Luzhou Jinjixiang Shipping Co., Ltd.</t>
  </si>
  <si>
    <t>泸州金吉祥船务有限责任公司成立于2014-12-12，法定代表人为陈俊杰，注册资本为2200万元，统一社会信用代码为91510504323402952W，企业注册地址位于泸州市龙马潭区特兴镇特兴二街78号1幢楼1号门市，所属行业为水上运输业，经营范围包含：长江干线及支流的干散货运输、装卸；航道疏浚、河道清淤；加工、销售砂石、销售建筑材料。（依法须经批准的项目，经相关部门批准后方可开展经营活动）。企业当前经营状态为存续。</t>
  </si>
  <si>
    <t>长江干线及支流的干散货运输、装卸；航道疏浚、河道清淤；加工、销售砂石、销售建筑材料。（依法须经批准的项目，经相关部门批准后方可开展经营活动）</t>
  </si>
  <si>
    <t>南通雷福贸易有限公司</t>
  </si>
  <si>
    <t>91320600MA1N19XJ5G</t>
  </si>
  <si>
    <t>吴孝平</t>
  </si>
  <si>
    <t>2016-12-01</t>
  </si>
  <si>
    <t>南通市港闸区万达广场3幢1506室</t>
  </si>
  <si>
    <t>崇川区</t>
  </si>
  <si>
    <t>13390945399</t>
  </si>
  <si>
    <t>0513-83502668;18662921966</t>
  </si>
  <si>
    <t>364897664@qq.com</t>
  </si>
  <si>
    <t>1317561078@qq.com</t>
  </si>
  <si>
    <t>320600000333049</t>
  </si>
  <si>
    <t>MA1N19XJ-5</t>
  </si>
  <si>
    <t>2016-12-01 至 无固定期限</t>
  </si>
  <si>
    <t>Nantong Leifu Trading Co., Ltd.</t>
  </si>
  <si>
    <t>南通雷福贸易有限公司成立于2016-12-01，法定代表人为吴孝平，注册资本为1000万元，统一社会信用代码为91320600MA1N19XJ5G，企业注册地址位于南通市港闸区万达广场3幢1506室，所属行业为批发业，经营范围包含：煤炭、化工产品（除危险品）、粮食、五金交电、建材、金属制品的销售；国内货运代理；水路运输；普通货物道路运输；软件设计开发；无船承运业务。（依法须经批准的项目，经相关部门批准后方可开展经营活动）。企业当前经营状态为存续。</t>
  </si>
  <si>
    <t>煤炭、化工产品（除危险品）、粮食、五金交电、建材、金属制品的销售；国内货运代理；水路运输；普通货物道路运输；软件设计开发；无船承运业务。（依法须经批准的项目，经相关部门批准后方可开展经营活动）</t>
  </si>
  <si>
    <t>南通市行政审批局</t>
  </si>
  <si>
    <t>江苏中景国际货运代理有限公司</t>
  </si>
  <si>
    <t>91320600088023126G</t>
  </si>
  <si>
    <t>顾元璟</t>
  </si>
  <si>
    <t>2014-03-12</t>
  </si>
  <si>
    <t>南通市中南世纪城15幢0710室</t>
  </si>
  <si>
    <t>0513-83518282</t>
  </si>
  <si>
    <t>18951308668;18951308667</t>
  </si>
  <si>
    <t>651294410@qq.com</t>
  </si>
  <si>
    <t>397272672@qq.com</t>
  </si>
  <si>
    <t>320600000283243</t>
  </si>
  <si>
    <t>08802312-6</t>
  </si>
  <si>
    <t>2014-03-12 至 2034-03-11</t>
  </si>
  <si>
    <t>Jiangsu Zhongjing International Freight Forwarding Co., Ltd.</t>
  </si>
  <si>
    <t>江苏中景国际货运代理有限公司成立于2014-03-12，法定代表人为顾元璟，注册资本为500万元，统一社会信用代码为91320600088023126G，企业注册地址位于南通市中南世纪城15幢0710室，所属行业为多式联运和运输代理业，经营范围包含：国际货运代理。（依法须经批准的项目，经相关部门批准后方可开展经营活动）许可项目：道路货物运输（不含危险货物）（依法须经批准的项目，经相关部门批准后方可开展经营活动，具体经营项目以审批结果为准）一般项目：国内货物运输代理；普通货物仓储服务（不含危险化学品等需许可审批的项目）；装卸搬运；供应链管理服务；包装服务；电子过磅服务（除依法须经批准的项目外，凭营业执照依法自主开展经营活动）。企业当前经营状态为存续。</t>
  </si>
  <si>
    <t>国际货运代理。（依法须经批准的项目，经相关部门批准后方可开展经营活动）许可项目：道路货物运输（不含危险货物）（依法须经批准的项目，经相关部门批准后方可开展经营活动，具体经营项目以审批结果为准）一般项目：国内货物运输代理；普通货物仓储服务（不含危险化学品等需许可审批的项目）；装卸搬运；供应链管理服务；包装服务；电子过磅服务（除依法须经批准的项目外，凭营业执照依法自主开展经营活动）</t>
  </si>
  <si>
    <t>南通一德物流有限公司</t>
  </si>
  <si>
    <t>913206917527448979</t>
  </si>
  <si>
    <t>南通一德港口物流有限公司,
南通港德港口物流有限公司</t>
  </si>
  <si>
    <t>22231.9601万元</t>
  </si>
  <si>
    <t>江苏省南通市经济技术开发区海堡路111号</t>
  </si>
  <si>
    <t>0513-85994899</t>
  </si>
  <si>
    <t>0513-85996366</t>
  </si>
  <si>
    <t>ntydlogistics@163.com</t>
  </si>
  <si>
    <t>237470178@qq.com;jsnt00908@sina.com</t>
  </si>
  <si>
    <t>320691000014859</t>
  </si>
  <si>
    <t>75274489-7</t>
  </si>
  <si>
    <t>295</t>
  </si>
  <si>
    <t>2003-08-13 至 2033-08-12</t>
  </si>
  <si>
    <t>Nantong Yide Logistics Co., Ltd.</t>
  </si>
  <si>
    <t>南通一德物流有限公司成立于2003-08-13，法定代表人为陈明，注册资本为22231.9601万元，统一社会信用代码为913206917527448979，企业注册地址位于江苏省南通市经济技术开发区海堡路111号，所属行业为装卸搬运和仓储业，经营范围包含：货物（危险化学品除外）装卸、仓储；散装食品批发；农产品、煤炭的销售；红木制品生产、加工（生产、加工另设分支机构）、销售。（经营范围中涉及国家专项审批规定的办理审批后方可经营）
许可项目：道路货物运输（不含危险货物）（依法须经批准的项目，经相关部门批准后方可开展经营活动，具体经营项目以审批结果为准）。企业当前经营状态为在业。</t>
  </si>
  <si>
    <t>货物（危险化学品除外）装卸、仓储；散装食品批发；农产品、煤炭的销售；红木制品生产、加工（生产、加工另设分支机构）、销售。（经营范围中涉及国家专项审批规定的办理审批后方可经营）
许可项目：道路货物运输（不含危险货物）（依法须经批准的项目，经相关部门批准后方可开展经营活动，具体经营项目以审批结果为准）</t>
  </si>
  <si>
    <t>南通金航国际货运代理有限公司</t>
  </si>
  <si>
    <t>91320600088259614D</t>
  </si>
  <si>
    <t>李丹</t>
  </si>
  <si>
    <t>126.652136万元</t>
  </si>
  <si>
    <t>2014-04-01</t>
  </si>
  <si>
    <t>南通市崇川区姚港路52号江景苑33幢601室</t>
  </si>
  <si>
    <t>0513-89093211</t>
  </si>
  <si>
    <t>13706298155;0513-83509595;13706298173</t>
  </si>
  <si>
    <t>ntjun@qq.com</t>
  </si>
  <si>
    <t>408906898@qq.com;286544722@qq.com</t>
  </si>
  <si>
    <t>320600000283840</t>
  </si>
  <si>
    <t>08825961-4</t>
  </si>
  <si>
    <t>2014-04-01 至 2034-03-31</t>
  </si>
  <si>
    <t>Nantong Jinhang International Freight Forwarding Co., Ltd.</t>
  </si>
  <si>
    <t>南通金航国际货运代理有限公司成立于2014-04-01，法定代表人为李丹，注册资本为1100万元，统一社会信用代码为91320600088259614D，企业注册地址位于南通市崇川区姚港路52号江景苑33幢601室，所属行业为多式联运和运输代理业，经营范围包含：国际国内货运代理；商务信息咨询。（依法须经批准的项目，经相关部门批准后方可开展经营活动）许可项目：道路货物运输（不含危险货物）；水路普通货物运输（依法须经批准的项目，经相关部门批准后方可开展经营活动，具体经营项目以审批结果为准）
一般项目：供应链管理服务；国内集装箱货物运输代理；无船承运业务；船舶租赁；包装服务；装卸搬运；粮油仓储服务；租赁服务（不含许可类租赁服务）；普通货物仓储服务（不含危险化学品等需许可审批的项目）；信息技术咨询服务（除依法须经批准的项目外，凭营业执照依法自主开展经营活动）。企业当前经营状态为在业。</t>
  </si>
  <si>
    <t>国际国内货运代理；商务信息咨询。（依法须经批准的项目，经相关部门批准后方可开展经营活动）许可项目：道路货物运输（不含危险货物）；水路普通货物运输（依法须经批准的项目，经相关部门批准后方可开展经营活动，具体经营项目以审批结果为准）
一般项目：供应链管理服务；国内集装箱货物运输代理；无船承运业务；船舶租赁；包装服务；装卸搬运；粮油仓储服务；租赁服务（不含许可类租赁服务）；普通货物仓储服务（不含危险化学品等需许可审批的项目）；信息技术咨询服务（除依法须经批准的项目外，凭营业执照依法自主开展经营活动）</t>
  </si>
  <si>
    <t>深圳市前海振洋海运有限公司</t>
  </si>
  <si>
    <t>91440300MA5DE0CU61</t>
  </si>
  <si>
    <t>何鹏</t>
  </si>
  <si>
    <t>2016-06-03</t>
  </si>
  <si>
    <t>深圳市前海深港合作区前湾一路1号A栋201室（入驻深圳市前海商务秘书有限公司）</t>
  </si>
  <si>
    <t>南山区</t>
  </si>
  <si>
    <t>13528870709</t>
  </si>
  <si>
    <t>0755-26676342</t>
  </si>
  <si>
    <t>393070958@qq.com</t>
  </si>
  <si>
    <t>440301116392226</t>
  </si>
  <si>
    <t>MA5DE0CU-6</t>
  </si>
  <si>
    <t>2016-06-03 至 无固定期限</t>
  </si>
  <si>
    <t>Shenzhen Qianhai Zhenyang SHIPPING Co., Ltd.</t>
  </si>
  <si>
    <t>深圳市南山区蛇口太子路一号新时代广场16层16JK</t>
  </si>
  <si>
    <t>深圳市前海振洋海运有限公司成立于2016-06-03，法定代表人为何鹏，注册资本为3000万元，统一社会信用代码为91440300MA5DE0CU61，企业注册地址位于深圳市前海深港合作区前湾一路1号A栋201室（入驻深圳市前海商务秘书有限公司），所属行业为水上运输业，经营范围包含：一般经营项目是：运输信息咨询（不含限制项目）；普通货船运输；国内水路货运代理，国内船舶代理。（以上各项法律、行政法规、国务院决定禁止的项目除外，限制的项目须取得许可后方可经营），许可经营项目是：无船承运业务。（依法须经批准的项目，经相关部门批准后方可开展经营活动，具体经营项目以相关部门批准文件或许可证件为准）。企业当前经营状态为存续。</t>
  </si>
  <si>
    <t>一般经营项目是：运输信息咨询（不含限制项目）；普通货船运输；国内水路货运代理，国内船舶代理。（以上各项法律、行政法规、国务院决定禁止的项目除外，限制的项目须取得许可后方可经营），许可经营项目是：无船承运业务。（依法须经批准的项目，经相关部门批准后方可开展经营活动，具体经营项目以相关部门批准文件或许可证件为准）</t>
  </si>
  <si>
    <t>湖南飞鹰运景国际贸易有限公司</t>
  </si>
  <si>
    <t>914301050971383715</t>
  </si>
  <si>
    <t>飞鹰国际货运代理（湖南）有限公司</t>
  </si>
  <si>
    <t>刘京红</t>
  </si>
  <si>
    <t>76.5万元</t>
  </si>
  <si>
    <t>2014-04-04</t>
  </si>
  <si>
    <t>长沙市开福区秀峰街道新港路80号办公楼101号房</t>
  </si>
  <si>
    <t>13973127086</t>
  </si>
  <si>
    <t>0731-82652389;13787785792</t>
  </si>
  <si>
    <t>2880958108@qq.com</t>
  </si>
  <si>
    <t>2880958101@qq.com;2880958105@qq.com</t>
  </si>
  <si>
    <t>430105000114791</t>
  </si>
  <si>
    <t>09713837-1</t>
  </si>
  <si>
    <t>2014-04-04 至 2064-04-03</t>
  </si>
  <si>
    <t>Hunan Feiying Yunjing International Trade Co., Ltd.</t>
  </si>
  <si>
    <t>湖南飞鹰运景国际贸易有限公司成立于2014-04-04，法定代表人为刘京红，注册资本为500万元，统一社会信用代码为914301050971383715，企业注册地址位于长沙市开福区秀峰街道新港路80号办公楼101号房，所属行业为多式联运和运输代理业，经营范围包含：许可项目：公共铁路运输；道路货物运输（不含危险货物）；第二类增值电信业务；道路货物运输（网络货运）。（依法须经批准的项目，经相关部门批准后方可开展经营活动，具体经营项目以相关部门批准文件或许可证件为准）一般项目：国内集装箱货物运输代理；国内货物运输代理；国际货物运输代理；装卸搬运；港口货物装卸搬运活动；普通货物仓储服务（不含危险化学品等需许可审批的项目）；信息咨询服务（不含许可类信息咨询服务）；饲料原料销售；农副产品销售；进出口代理；网络技术服务；软件开发；技术服务、技术开发、技术咨询、技术交流、技术转让、技术推广；初级农产品收购；粮食收购；谷物销售；陆路国际货物运输代理；信息系统集成服务。（除依法须经批准的项目外，凭营业执照依法自主开展经营活动）。企业当前经营状态为存续。</t>
  </si>
  <si>
    <t>许可项目：公共铁路运输；道路货物运输（不含危险货物）；第二类增值电信业务；道路货物运输（网络货运）。（依法须经批准的项目，经相关部门批准后方可开展经营活动，具体经营项目以相关部门批准文件或许可证件为准）一般项目：国内集装箱货物运输代理；国内货物运输代理；国际货物运输代理；装卸搬运；港口货物装卸搬运活动；普通货物仓储服务（不含危险化学品等需许可审批的项目）；信息咨询服务（不含许可类信息咨询服务）；饲料原料销售；农副产品销售；进出口代理；网络技术服务；软件开发；技术服务、技术开发、技术咨询、技术交流、技术转让、技术推广；初级农产品收购；粮食收购；谷物销售；陆路国际货物运输代理；信息系统集成服务。（除依法须经批准的项目外，凭营业执照依法自主开展经营活动）</t>
  </si>
  <si>
    <t>南京赫尔莫德国际供应链管理有限公司</t>
  </si>
  <si>
    <t>91320104MAC5T8556G</t>
  </si>
  <si>
    <t>胡雨琳</t>
  </si>
  <si>
    <t>2022-12-27</t>
  </si>
  <si>
    <t>南京市秦淮区汇景北路132号</t>
  </si>
  <si>
    <t>15850706034</t>
  </si>
  <si>
    <t>13140725790</t>
  </si>
  <si>
    <t>320104000817659</t>
  </si>
  <si>
    <t>MAC5T855-6</t>
  </si>
  <si>
    <t>2022-12-27 至 无固定期限</t>
  </si>
  <si>
    <t>Nanjing Hermod International Supply Chain Management Co., Ltd.</t>
  </si>
  <si>
    <t>南京赫尔莫德国际供应链管理有限公司成立于2022-12-27，法定代表人为胡雨琳，注册资本为1000万元，统一社会信用代码为91320104MAC5T8556G，企业注册地址位于南京市秦淮区汇景北路132号，所属行业为批发业，经营范围包含：一般项目：货物进出口；进出口代理；信息技术咨询服务；食用农产品零售；化肥销售；国内货物运输代理；国际货物运输代理；信息咨询服务（不含许可类信息咨询服务）；供应链管理服务；普通货物仓储服务（不含危险化学品等需许可审批的项目）；集装箱销售；集装箱租赁服务；粮食收购；技术进出口；谷物销售；饲料原料销售；食品进出口（除依法须经批准的项目外，凭营业执照依法自主开展经营活动）。企业当前经营状态为在业。</t>
  </si>
  <si>
    <t>一般项目：货物进出口；进出口代理；信息技术咨询服务；食用农产品零售；化肥销售；国内货物运输代理；国际货物运输代理；信息咨询服务（不含许可类信息咨询服务）；供应链管理服务；普通货物仓储服务（不含危险化学品等需许可审批的项目）；集装箱销售；集装箱租赁服务；粮食收购；技术进出口；谷物销售；饲料原料销售；食品进出口（除依法须经批准的项目外，凭营业执照依法自主开展经营活动）</t>
  </si>
  <si>
    <t>辽宁长润实业有限公司</t>
  </si>
  <si>
    <t>91210804MA0YB4CG62</t>
  </si>
  <si>
    <t>封化</t>
  </si>
  <si>
    <t>246万元</t>
  </si>
  <si>
    <t>2018-11-29</t>
  </si>
  <si>
    <t>辽宁省营口市鲅鱼圈区02-锦山秀城BG4#楼-2#门市</t>
  </si>
  <si>
    <t>18342201682</t>
  </si>
  <si>
    <t>17606060669</t>
  </si>
  <si>
    <t>709983382@qq.com</t>
  </si>
  <si>
    <t>17606060669@163.com</t>
  </si>
  <si>
    <t>210804004084524</t>
  </si>
  <si>
    <t>MA0YB4CG-6</t>
  </si>
  <si>
    <t>2018-11-29 至 无固定期限</t>
  </si>
  <si>
    <t>Liaoning Changrun Industrial Co., Ltd.</t>
  </si>
  <si>
    <t>辽宁长润实业有限公司成立于2018-11-29，法定代表人为封化，注册资本为500万元，统一社会信用代码为91210804MA0YB4CG62，企业注册地址位于辽宁省营口市鲅鱼圈区02-锦山秀城BG4#楼-2#门市，所属行业为道路运输业，经营范围包含：许可项目：道路货物运输（不含危险货物）；道路货物运输（网络货运）；公共铁路运输。（依法须经批准的项目，经相关部门批准后方可开展经营活动，具体经营项目以相关部门批准文件或许可证件为准）一般项目：饲料原料销售；饲料添加剂销售；国内船舶代理；国内贸易代理；国内货物运输代理；国内集装箱货物运输代理；港口货物装卸搬运活动；装卸搬运；普通货物仓储服务（不含危险化学品等需许可审批的项目）；道路货物运输站经营；运输货物打包服务；无船承运业务；铁路运输辅助活动。（除依法须经批准的项目外，凭营业执照依法自主开展经营活动）。企业当前经营状态为存续。</t>
  </si>
  <si>
    <t>许可项目：道路货物运输（不含危险货物）；道路货物运输（网络货运）；公共铁路运输。（依法须经批准的项目，经相关部门批准后方可开展经营活动，具体经营项目以相关部门批准文件或许可证件为准）一般项目：饲料原料销售；饲料添加剂销售；国内船舶代理；国内贸易代理；国内货物运输代理；国内集装箱货物运输代理；港口货物装卸搬运活动；装卸搬运；普通货物仓储服务（不含危险化学品等需许可审批的项目）；道路货物运输站经营；运输货物打包服务；无船承运业务；铁路运输辅助活动。（除依法须经批准的项目外，凭营业执照依法自主开展经营活动）</t>
  </si>
  <si>
    <t>广州市恒迅物流服务有限公司</t>
  </si>
  <si>
    <t>91440112MAD05CU1XM</t>
  </si>
  <si>
    <t>广州恒迅物流有限公司</t>
  </si>
  <si>
    <t>梁雁行</t>
  </si>
  <si>
    <t>广州市黄埔区茅岗路848号8楼A956房</t>
  </si>
  <si>
    <t>18028061905</t>
  </si>
  <si>
    <t>1375063267@qq.com</t>
  </si>
  <si>
    <t>440112004238087</t>
  </si>
  <si>
    <t>MAD05CU1-X</t>
  </si>
  <si>
    <t>Guangzhou Hengxun Logistics Service Co., Ltd.</t>
  </si>
  <si>
    <t>广州市恒迅物流服务有限公司成立于2023-10-12，法定代表人为梁雁行，注册资本为200万元，统一社会信用代码为91440112MAD05CU1XM，企业注册地址位于广州市黄埔区茅岗路848号8楼A956房，所属行业为装卸搬运和仓储业，经营范围包含：饲料原料销售;饲料添加剂销售;谷物销售;农副产品销售;贸易经纪;国内贸易代理;普通货物仓储服务（不含危险化学品等需许可审批的项目）;运输货物打包服务;国内货物运输代理;装卸搬运。企业当前经营状态为存续。</t>
  </si>
  <si>
    <t>饲料原料销售;饲料添加剂销售;谷物销售;农副产品销售;贸易经纪;国内贸易代理;普通货物仓储服务（不含危险化学品等需许可审批的项目）;运输货物打包服务;国内货物运输代理;装卸搬运</t>
  </si>
  <si>
    <t>佛山市永冠船务有限公司</t>
  </si>
  <si>
    <t>91440605MA4UNH2B66</t>
  </si>
  <si>
    <t>杨其青</t>
  </si>
  <si>
    <t>680万元</t>
  </si>
  <si>
    <t>2012-04-24</t>
  </si>
  <si>
    <t>佛山市南海区桂城街道夏南路61号创越时代文化创意园4号楼909室之一（住所申报）</t>
  </si>
  <si>
    <t>13528900100</t>
  </si>
  <si>
    <t>440682000319954</t>
  </si>
  <si>
    <t>MA4UNH2B-6</t>
  </si>
  <si>
    <t>2012-04-24 至 无固定期限</t>
  </si>
  <si>
    <t>Foshan Yongguan Shipping Co., Ltd.</t>
  </si>
  <si>
    <t>http://www.ygcw.net</t>
  </si>
  <si>
    <t>佛山市永冠船务有限公司成立于2012-04-24，法定代表人为杨其青，注册资本为680万元，统一社会信用代码为91440605MA4UNH2B66，企业注册地址位于佛山市南海区桂城街道夏南路61号创越时代文化创意园4号楼909室之一（住所申报），所属行业为水上运输业，经营范围包含：船务信息咨询；船舶租赁；货物运输代理；内河货物运输；装卸搬运；通用仓储；国内贸易；商务代理代办服务；货物和技术进出口（国家禁止或涉及行政审批的货物和技术进出口除外）。（依法须经批准的项目，经相关部门批准后方可开展经营活动。）（依法须经批准的项目，经相关部门批准后方可开展经营活动）。企业当前经营状态为在业。</t>
  </si>
  <si>
    <t>船务信息咨询；船舶租赁；货物运输代理；内河货物运输；装卸搬运；通用仓储；国内贸易；商务代理代办服务；货物和技术进出口（国家禁止或涉及行政审批的货物和技术进出口除外）。（依法须经批准的项目，经相关部门批准后方可开展经营活动。）（依法须经批准的项目，经相关部门批准后方可开展经营活动）</t>
  </si>
  <si>
    <t>巴楚县润金仓储有限公司</t>
  </si>
  <si>
    <t>916531300688104487</t>
  </si>
  <si>
    <t>潘永建</t>
  </si>
  <si>
    <t>2013-05-17</t>
  </si>
  <si>
    <t>新疆喀什地区巴楚县工业园区红海路东侧（城北路南侧）</t>
  </si>
  <si>
    <t>18099887777</t>
  </si>
  <si>
    <t>13899130032;15869666768;18299649888</t>
  </si>
  <si>
    <t>1228989033@qq.com</t>
  </si>
  <si>
    <t>574512377@qq.com;574512337@qq.com</t>
  </si>
  <si>
    <t>653130056604438</t>
  </si>
  <si>
    <t>06881044-8</t>
  </si>
  <si>
    <t>2013-05-17 至 无固定期限</t>
  </si>
  <si>
    <t>Bachu County Runjin Storage Co., Ltd.</t>
  </si>
  <si>
    <t>巴楚县润金仓储有限公司成立于2013-05-17，法定代表人为潘永建，注册资本为2000万元，统一社会信用代码为916531300688104487，企业注册地址位于新疆喀什地区巴楚县工业园区红海路东侧（城北路南侧），所属行业为装卸搬运和仓储业，经营范围包含：仓储服务，物流服务，棉籽，棉短绒，皮棉，化肥、农副产品销售。（依法须经批准的项目，经相关部门批准后方可开展经营活动）。企业当前经营状态为存续。</t>
  </si>
  <si>
    <t>仓储服务，物流服务，棉籽，棉短绒，皮棉，化肥、农副产品销售。（依法须经批准的项目，经相关部门批准后方可开展经营活动）</t>
  </si>
  <si>
    <t>上海英翔国际物流有限公司</t>
  </si>
  <si>
    <t>91310230MA1JTKHG8Q</t>
  </si>
  <si>
    <t>陈文军</t>
  </si>
  <si>
    <t>2019-05-28</t>
  </si>
  <si>
    <t>上海市崇明区长兴镇潘园公路1800号3号楼54247室（上海泰和经济发展区）</t>
  </si>
  <si>
    <t>崇明区</t>
  </si>
  <si>
    <t>13916846608</t>
  </si>
  <si>
    <t>MA1JTKHG-8</t>
  </si>
  <si>
    <t>2019-05-28 至 2039-05-27</t>
  </si>
  <si>
    <t>Shanghai Yingxiang International Logistics Co., Ltd.</t>
  </si>
  <si>
    <t>上海市闵行区龙吴路4100号综合楼909室</t>
  </si>
  <si>
    <t>上海英翔国际物流有限公司成立于2019-05-28，法定代表人为陈文军，注册资本为1000万元，统一社会信用代码为91310230MA1JTKHG8Q，企业注册地址位于上海市崇明区长兴镇潘园公路1800号3号楼54247室（上海泰和经济发展区），所属行业为多式联运和运输代理业，经营范围包含：国际货物运输代理，仓储服务（除危险化学品），包装服务，装卸搬运服务，报关服务，五金交电的销售，道路货物运输（除危险化学品）。【依法须经批准的项目，经相关部门批准后方可开展经营活动】。企业当前经营状态为存续。</t>
  </si>
  <si>
    <t>国际货物运输代理，仓储服务（除危险化学品），包装服务，装卸搬运服务，报关服务，五金交电的销售，道路货物运输（除危险化学品）。【依法须经批准的项目，经相关部门批准后方可开展经营活动】</t>
  </si>
  <si>
    <t>崇明区市场监督管理局</t>
  </si>
  <si>
    <t>重庆裕添达物流有限公司</t>
  </si>
  <si>
    <t>91500000MA5U53L539</t>
  </si>
  <si>
    <t>重庆市悦想悦购进出口有限公司</t>
  </si>
  <si>
    <t>刘本清</t>
  </si>
  <si>
    <t>2016-03-21</t>
  </si>
  <si>
    <t>重庆市两江新区寸滩街道海尔路319号（重庆保税商品展示交易中心二楼2号会议室）-3-00510</t>
  </si>
  <si>
    <t>18584564922</t>
  </si>
  <si>
    <t>18323222754;13408040631;18990120042</t>
  </si>
  <si>
    <t>docoto@foxmail.com</t>
  </si>
  <si>
    <t>500905008588401</t>
  </si>
  <si>
    <t>MA5U53L5-3</t>
  </si>
  <si>
    <t>2016-03-21 至 无固定期限</t>
  </si>
  <si>
    <t>Chongqing Yutianda Logistics Co., Ltd.</t>
  </si>
  <si>
    <t>重庆裕添达物流有限公司成立于2016-03-21，法定代表人为刘本清，注册资本为200万元，统一社会信用代码为91500000MA5U53L539，企业注册地址位于重庆市两江新区寸滩街道海尔路319号（重庆保税商品展示交易中心二楼2号会议室）-3-00510，所属行业为多式联运和运输代理业，经营范围包含：许可项目：货物进出口；报关业务；进出口代理。（依法须经批准的项目，经相关部门批准后方可开展经营活动，具体经营项目以相关部门批准文件或许可证件为准） 一般项目：国际货物运输代理；报检业务；国内货物运输代理；普通货物仓储服务（不含危险化学品等需许可审批的项目）；装卸搬运；供应链管理服务；会议及展览服务；信息咨询服务（不含许可类信息咨询服务）；日用百货销售；化妆品批发；畜牧渔业饲料销售；饲料原料销售；饲料添加剂销售；食用农产品批发。（除依法须经批准的项目外，凭营业执照依法自主开展经营活动）。企业当前经营状态为存续。</t>
  </si>
  <si>
    <t>许可项目：货物进出口；报关业务；进出口代理。（依法须经批准的项目，经相关部门批准后方可开展经营活动，具体经营项目以相关部门批准文件或许可证件为准） 一般项目：国际货物运输代理；报检业务；国内货物运输代理；普通货物仓储服务（不含危险化学品等需许可审批的项目）；装卸搬运；供应链管理服务；会议及展览服务；信息咨询服务（不含许可类信息咨询服务）；日用百货销售；化妆品批发；畜牧渔业饲料销售；饲料原料销售；饲料添加剂销售；食用农产品批发。（除依法须经批准的项目外，凭营业执照依法自主开展经营活动）</t>
  </si>
  <si>
    <t>重庆两江新区市场监督管理局</t>
  </si>
  <si>
    <t>宁波瑞宏国际货运代理有限公司</t>
  </si>
  <si>
    <t>91330204MA281MMN1W</t>
  </si>
  <si>
    <t>陈建宏</t>
  </si>
  <si>
    <t>2016-03-17</t>
  </si>
  <si>
    <t>宁波市鄞州区和济街68号017幢（5-5）</t>
  </si>
  <si>
    <t>0574-89117783</t>
  </si>
  <si>
    <t>0574-89117772</t>
  </si>
  <si>
    <t>ruihongcjh@163.com</t>
  </si>
  <si>
    <t>330204000236825</t>
  </si>
  <si>
    <t>MA281MMN-1</t>
  </si>
  <si>
    <t>2016-03-17 至 无固定期限</t>
  </si>
  <si>
    <t>Ningbo Ruihong International Freight Forwarding Co., Ltd.</t>
  </si>
  <si>
    <t>宁波瑞宏国际货运代理有限公司成立于2016-03-17，法定代表人为陈建宏，注册资本为500万元，统一社会信用代码为91330204MA281MMN1W，企业注册地址位于宁波市鄞州区和济街68号017幢（5-5），所属行业为多式联运和运输代理业，经营范围包含：道路货物运输（凭有效许可证经营）；  海上、陆路、航空国际货运代理；国内货运代理；普通货物仓储；物流信息咨询；报关、报检代理；自营和代理货物和技术的进出口，但国家限定经营或禁止进出口的货物和技术除外。企业当前经营状态为存续。</t>
  </si>
  <si>
    <t>道路货物运输（凭有效许可证经营）；  海上、陆路、航空国际货运代理；国内货运代理；普通货物仓储；物流信息咨询；报关、报检代理；自营和代理货物和技术的进出口，但国家限定经营或禁止进出口的货物和技术除外。</t>
  </si>
  <si>
    <t>侨益物流股份有限公司</t>
  </si>
  <si>
    <t>91440101698690815X</t>
  </si>
  <si>
    <t>广州市侨益物流服务有限公司</t>
  </si>
  <si>
    <t>黄一笃</t>
  </si>
  <si>
    <t>11068.7647万元</t>
  </si>
  <si>
    <t>广州市黄埔区港前路319号201房（仅限办公用途）</t>
  </si>
  <si>
    <t>020-82290571</t>
  </si>
  <si>
    <t>4001338861;020-61395808;020-82291050</t>
  </si>
  <si>
    <t>zhangxiaoge@circlelog.com</t>
  </si>
  <si>
    <t>service@circlelog.com;service@circlegroup.com.cn</t>
  </si>
  <si>
    <t>440112000016584</t>
  </si>
  <si>
    <t>69869081-5</t>
  </si>
  <si>
    <t>196</t>
  </si>
  <si>
    <t>Circle Logistics Co., Ltd.</t>
  </si>
  <si>
    <t>www.circlelog.com</t>
  </si>
  <si>
    <t>侨益物流股份有限公司的主营业务是以港口为中心的货代、船代、运输、仓储等综合物流服务。公司的主要产品是第三方综合物流服务、储备粮业务、其他贸易、出租物业。</t>
  </si>
  <si>
    <t>打包、装卸、运输全套服务代理;仓储代理服务;货物报关代理服务;货物检验代理服务;道路货物运输代理;国际货运代理;装卸搬运;汽车租赁;软件开发;信息技术咨询服务;网络技术的研究、开发;数据处理和存储服务;商品批发贸易（许可审批类商品除外）;商品零售贸易（许可审批类商品除外）;无船承运</t>
  </si>
  <si>
    <t>厦门联顺成物流有限公司</t>
  </si>
  <si>
    <t>913502065878628996</t>
  </si>
  <si>
    <t>杨俊明</t>
  </si>
  <si>
    <t>2012-02-07</t>
  </si>
  <si>
    <t>中国（福建）自由贸易试验区厦门片区长乐路3号桐林广场壹座B705号房</t>
  </si>
  <si>
    <t>0592-5676996</t>
  </si>
  <si>
    <t>0592-5576996</t>
  </si>
  <si>
    <t>350206200197620</t>
  </si>
  <si>
    <t>58786289-9</t>
  </si>
  <si>
    <t>2012-02-07 至 2062-02-06</t>
  </si>
  <si>
    <t>Xiamen Lianshuncheng Logistics Co., Ltd.</t>
  </si>
  <si>
    <t>厦门联顺成物流有限公司成立于2012-02-07，法定代表人为杨俊明，注册资本为500万元，统一社会信用代码为913502065878628996，企业注册地址位于中国（福建）自由贸易试验区厦门片区长乐路3号桐林广场壹座B705号房，所属行业为道路运输业，经营范围包含：道路货物运输（不含危险货物运输）；装卸搬运；国际货运代理；国内货运代理；其他仓储业（不含需经许可审批的项目）；汽车租赁（不含营运）；经营各类商品和技术的进出口（不另附进出口商品目录），但国家限定公司经营或禁止进出口的商品及技术除外。企业当前经营状态为存续。</t>
  </si>
  <si>
    <t>道路货物运输（不含危险货物运输）；装卸搬运；国际货运代理；国内货运代理；其他仓储业（不含需经许可审批的项目）；汽车租赁（不含营运）；经营各类商品和技术的进出口（不另附进出口商品目录），但国家限定公司经营或禁止进出口的商品及技术除外。</t>
  </si>
  <si>
    <t>上海集畅货物运输代理有限公司</t>
  </si>
  <si>
    <t>913102306809896758</t>
  </si>
  <si>
    <t>朱兴华</t>
  </si>
  <si>
    <t>2008-10-17</t>
  </si>
  <si>
    <t>上海市崇明区城桥镇官山路2号7幢C区2097室（崇明工业园区）</t>
  </si>
  <si>
    <t>13761005335</t>
  </si>
  <si>
    <t>021-56449729</t>
  </si>
  <si>
    <t>35614617@qq.com</t>
  </si>
  <si>
    <t>77987834@qq.com</t>
  </si>
  <si>
    <t>310230000365738</t>
  </si>
  <si>
    <t>68098967-5</t>
  </si>
  <si>
    <t>2008-10-17 至 2038-10-16</t>
  </si>
  <si>
    <t>Shanghai Jichang Freight Transport Agency Co., Ltd.</t>
  </si>
  <si>
    <t>宝山区蕰川路5001号</t>
  </si>
  <si>
    <t>上海集畅货物运输代理有限公司成立于2008-10-17，法定代表人为朱兴华，注册资本为1000万元，统一社会信用代码为913102306809896758，企业注册地址位于上海市崇明区城桥镇官山路2号7幢C区2097室（崇明工业园区），所属行业为多式联运和运输代理业，经营范围包含：货物运输代理，五金交电、机械设备、机电设备的销售，国际货物运输代理，仓储服务（除危险化学品），装卸服务，电子商务（不得从事增值电信、金融业务），报关服务。【依法须经批准的项目，经相关部门批准后方可开展经营活动】。企业当前经营状态为存续。</t>
  </si>
  <si>
    <t>货物运输代理，五金交电、机械设备、机电设备的销售，国际货物运输代理，仓储服务（除危险化学品），装卸服务，电子商务（不得从事增值电信、金融业务），报关服务。【依法须经批准的项目，经相关部门批准后方可开展经营活动】</t>
  </si>
  <si>
    <t>营口美业物流有限公司</t>
  </si>
  <si>
    <t>9121080431888570X6</t>
  </si>
  <si>
    <t>刘晶</t>
  </si>
  <si>
    <t>2015-04-08</t>
  </si>
  <si>
    <t>辽宁省营口市鲅鱼圈区昆仑新城S1号楼4#商网</t>
  </si>
  <si>
    <t>18840738090</t>
  </si>
  <si>
    <t>18941736477;15941736477;18104171515</t>
  </si>
  <si>
    <t>57465554@qq.com</t>
  </si>
  <si>
    <t>18104171515@qq.com;18104171515@qq181.com;18104171515@181.com</t>
  </si>
  <si>
    <t>210800004243007</t>
  </si>
  <si>
    <t>31888570-X</t>
  </si>
  <si>
    <t>2015-04-08 至 2035-04-07</t>
  </si>
  <si>
    <t>Yingkou Mye Logistics Company.,Ltd</t>
  </si>
  <si>
    <t>营口美业物流有限公司成立于2015-04-08，法定代表人为刘晶，注册资本为500万元，统一社会信用代码为9121080431888570X6，企业注册地址位于辽宁省营口市鲅鱼圈区昆仑新城S1号楼4#商网，所属行业为交通运输、仓储和邮政业，经营范围包含：一般项目：国内货物运输代理；国际货物运输代理；国内集装箱货物运输代理；无船承运业务；装卸搬运；航空国际货物运输代理；港口理货；粮油仓储服务；集装箱维修；集装箱销售；集装箱租赁服务；普通货物仓储服务（不含危险化学品等需许可审批的项目）；报关业务；在保险公司授权范围内开展专属保险代理业务（凭授权经营）；国内贸易代理；进出口代理；豆及薯类销售；食品添加剂销售；国际船舶代理；国内船舶代理；塑料制品销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</si>
  <si>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国内货物运输代理；国际货物运输代理；国内集装箱货物运输代理；无船承运业务；装卸搬运；航空国际货物运输代理；港口理货；粮油仓储服务；集装箱维修；集装箱销售；集装箱租赁服务；普通货物仓储服务（不含危险化学品等需许可审批的项目）；报关业务；在保险公司授权范围内开展专属保险代理业务（凭授权经营）；国内贸易代理；进出口代理；豆及薯类销售；食品添加剂销售；国际船舶代理；国内船舶代理；塑料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</si>
  <si>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营口侨益物流有限公司</t>
  </si>
  <si>
    <t>91210804MA0UG5G07H</t>
  </si>
  <si>
    <t>周广涛</t>
  </si>
  <si>
    <t>2017-09-08</t>
  </si>
  <si>
    <t>辽宁省营口市鲅鱼圈区营口华海物流大厦2单元13层06-09室</t>
  </si>
  <si>
    <t>0417-6201899</t>
  </si>
  <si>
    <t>15241777046;15041701472</t>
  </si>
  <si>
    <t>yingkou1@circlelog.com</t>
  </si>
  <si>
    <t>353009344@qq.com;2931632321@qq.com;yingkou@circlelog.com</t>
  </si>
  <si>
    <t>210804004061053</t>
  </si>
  <si>
    <t>MA0UG5G0-7</t>
  </si>
  <si>
    <t>2017-09-08 至 无固定期限</t>
  </si>
  <si>
    <t>Yingkou Qiaoyi Logistics Co., Ltd.</t>
  </si>
  <si>
    <t>http://www.circlelog.com</t>
  </si>
  <si>
    <t>辽宁省营口市鲅鱼圈区营港路华海国际大厦A座1306-1309室</t>
  </si>
  <si>
    <t>营口侨益物流有限公司成立于2017-09-08，法定代表人为周广涛，注册资本为1000万元，统一社会信用代码为91210804MA0UG5G07H，企业注册地址位于辽宁省营口市鲅鱼圈区营口华海物流大厦2单元13层06-09室，所属行业为多式联运和运输代理业，经营范围包含：许可项目：道路货物运输（不含危险货物）（依法须经批准的项目，经相关部门批准后方可开展经营活动，具体经营项目以审批结果为准）一般项目：普通货物仓储服务（不含危险化学品等需许可审批的项目），国内货物运输代理，装卸搬运，集装箱维修，劳务服务（不含劳务派遣），电子过磅服务，运输货物打包服务，国内集装箱货物运输代理，化肥销售（除依法须经批准的项目外，凭营业执照依法自主开展经营活动）。企业当前经营状态为存续。</t>
  </si>
  <si>
    <t>许可项目：道路货物运输（不含危险货物）（依法须经批准的项目，经相关部门批准后方可开展经营活动，具体经营项目以审批结果为准）一般项目：普通货物仓储服务（不含危险化学品等需许可审批的项目），国内货物运输代理，装卸搬运，集装箱维修，劳务服务（不含劳务派遣），电子过磅服务，运输货物打包服务，国内集装箱货物运输代理，化肥销售（除依法须经批准的项目外，凭营业执照依法自主开展经营活动）</t>
  </si>
  <si>
    <t>天津鑫凤凰物流有限公司</t>
  </si>
  <si>
    <t>91120116770649391Q</t>
  </si>
  <si>
    <t>李文强</t>
  </si>
  <si>
    <t>2005-04-13</t>
  </si>
  <si>
    <t>天津自贸试验区（天津港保税区）海滨八路118号A－202室（存在多址信息）</t>
  </si>
  <si>
    <t>022-58996511</t>
  </si>
  <si>
    <t>022-58996522;13516189215</t>
  </si>
  <si>
    <t>lidongli@163.com</t>
  </si>
  <si>
    <t>273544795@qq.com</t>
  </si>
  <si>
    <t>120192000063500</t>
  </si>
  <si>
    <t>77064939-1</t>
  </si>
  <si>
    <t>2005-04-13 至 无固定期限</t>
  </si>
  <si>
    <t>Tianjin New Phoenix Logisics Co., Ltd.</t>
  </si>
  <si>
    <t>http://www.tjnewphoenix.com</t>
  </si>
  <si>
    <t>天津市和平区新华国金中心2702</t>
  </si>
  <si>
    <t>天津鑫凤凰物流有限公司成立于2005-04-13，法定代表人为李文强，注册资本为1000万元，统一社会信用代码为91120116770649391Q，企业注册地址位于天津自贸试验区（天津港保税区）海滨八路118号A－202室（存在多址信息），所属行业为装卸搬运和仓储业，经营范围包含：一般项目：国际货物运输代理；海上国际货物运输代理；航空国际货物运输代理；陆路国际货物运输代理；国际船舶代理；无船承运业务；国内货物运输代理；报关业务；报检业务；普通货物仓储服务（不含危险化学品等需许可审批的项目）；粮油仓储服务；仓储设备租赁服务；港口货物装卸搬运活动；包装服务；国内集装箱货物运输代理；非食用农产品初加工；农产品的生产、销售、加工、运输、贮藏及其他相关服务；食用农产品初加工；畜牧渔业饲料销售；专业保洁、清洗、消毒服务；城市绿化管理；林业有害生物防治服务；病媒生物防制服务；病媒生物密度监测评价服务。（除依法须经批准的项目外，凭营业执照依法自主开展经营活动）许可项目：海关监管货物仓储服务（不含危险化学品、危险货物）；保税仓库经营。（依法须经批准的项目，经相关部门批准后方可开展经营活动，具体经营项目以相关部门批准文件或许可证件为准）。企业当前经营状态为存续。</t>
  </si>
  <si>
    <t>一般项目：国际货物运输代理；海上国际货物运输代理；航空国际货物运输代理；陆路国际货物运输代理；国际船舶代理；无船承运业务；国内货物运输代理；报关业务；报检业务；普通货物仓储服务（不含危险化学品等需许可审批的项目）；粮油仓储服务；仓储设备租赁服务；港口货物装卸搬运活动；包装服务；国内集装箱货物运输代理；非食用农产品初加工；农产品的生产、销售、加工、运输、贮藏及其他相关服务；食用农产品初加工；畜牧渔业饲料销售；专业保洁、清洗、消毒服务；城市绿化管理；林业有害生物防治服务；病媒生物防制服务；病媒生物密度监测评价服务。（除依法须经批准的项目外，凭营业执照依法自主开展经营活动）许可项目：海关监管货物仓储服务（不含危险化学品、危险货物）；保税仓库经营。（依法须经批准的项目，经相关部门批准后方可开展经营活动，具体经营项目以相关部门批准文件或许可证件为准）</t>
  </si>
  <si>
    <t>山东仁泽顺通国际物流有限公司</t>
  </si>
  <si>
    <t>91370202MA3DMLWF8D</t>
  </si>
  <si>
    <t>解泳海</t>
  </si>
  <si>
    <t>2017-05-12</t>
  </si>
  <si>
    <t>山东省青岛市市南区香港中路26号705户</t>
  </si>
  <si>
    <t>0532-82860208</t>
  </si>
  <si>
    <t>147973169@qq.com</t>
  </si>
  <si>
    <t>491705278@qq.com</t>
  </si>
  <si>
    <t>370202230333784</t>
  </si>
  <si>
    <t>MA3DMLWF-8</t>
  </si>
  <si>
    <t>2017-05-12 至 无固定期限</t>
  </si>
  <si>
    <t>Shandong Renze Shuntong International Logistics Co., Ltd.</t>
  </si>
  <si>
    <t>山东仁泽顺通国际物流有限公司成立于2017-05-12，法定代表人为解泳海，注册资本为500万元，统一社会信用代码为91370202MA3DMLWF8D，企业注册地址位于山东省青岛市市南区香港中路26号705户，所属行业为多式联运和运输代理业，经营范围包含：许可项目：道路货物运输（不含危险货物）。（依法须经批准的项目，经相关部门批准后方可开展经营活动，具体经营项目以相关部门批准文件或许可证件为准）一般项目：报关业务；国际船舶代理；国内货物运输代理；铁路运输辅助活动；无船承运业务；普通货物仓储服务（不含危险化学品等需许可审批的项目）；国际货物运输代理。（除依法须经批准的项目外，凭营业执照依法自主开展经营活动）。企业当前经营状态为在业。</t>
  </si>
  <si>
    <t>许可项目：道路货物运输（不含危险货物）。（依法须经批准的项目，经相关部门批准后方可开展经营活动，具体经营项目以相关部门批准文件或许可证件为准）一般项目：报关业务；国际船舶代理；国内货物运输代理；铁路运输辅助活动；无船承运业务；普通货物仓储服务（不含危险化学品等需许可审批的项目）；国际货物运输代理。（除依法须经批准的项目外，凭营业执照依法自主开展经营活动）</t>
  </si>
  <si>
    <t>上海杰坤物流有限公司</t>
  </si>
  <si>
    <t>91310115312344523L</t>
  </si>
  <si>
    <t>胡国耀</t>
  </si>
  <si>
    <t>309万元</t>
  </si>
  <si>
    <t>2014-09-10</t>
  </si>
  <si>
    <t>中国（上海）自由贸易试验区临港新片区芦潮港路1758号1幢A-8262室</t>
  </si>
  <si>
    <t>18964759553</t>
  </si>
  <si>
    <t>13818759049;021-50922165</t>
  </si>
  <si>
    <t>jiekunwuliu@126.com</t>
  </si>
  <si>
    <t>109260097@qq.com;haorizi6699@163.com</t>
  </si>
  <si>
    <t>310115002429475</t>
  </si>
  <si>
    <t>31234452-3</t>
  </si>
  <si>
    <t>2014-09-10 至 2034-09-09</t>
  </si>
  <si>
    <t>Shanghai Jiekun Logistics Co., Ltd.</t>
  </si>
  <si>
    <t>上海市浦东新区外高桥保税区华申路80号1201室</t>
  </si>
  <si>
    <t>上海杰坤物流有限公司成立于2014-09-10，法定代表人为胡国耀，注册资本为900万元，统一社会信用代码为91310115312344523L，企业注册地址位于中国（上海）自由贸易试验区临港新片区芦潮港路1758号1幢A-8262室，所属行业为道路运输业，经营范围包含：许可项目：道路货物运输（不含危险货物）；国内船舶管理业务；水路普通货物运输。（依法须经批准的项目，经相关部门批准后方可开展经营活动，具体经营项目以相关部门批准文件或许可证件为准）一般项目：无船承运业务；报关业务；报检业务；国际货物运输代理；国内船舶代理；国内货物运输代理；运输设备租赁服务；集装箱租赁服务；机械设备租赁；仓储设备租赁服务；集装箱维修；装卸搬运；普通货物仓储服务（不含危险化学品等需许可审批的项目）；信息咨询服务（不含许可类信息咨询服务）；集装箱销售。（除依法须经批准的项目外，凭营业执照依法自主开展经营活动）。企业当前经营状态为存续。</t>
  </si>
  <si>
    <t>许可项目：道路货物运输（不含危险货物）；国内船舶管理业务；水路普通货物运输。（依法须经批准的项目，经相关部门批准后方可开展经营活动，具体经营项目以相关部门批准文件或许可证件为准）一般项目：无船承运业务；报关业务；报检业务；国际货物运输代理；国内船舶代理；国内货物运输代理；运输设备租赁服务；集装箱租赁服务；机械设备租赁；仓储设备租赁服务；集装箱维修；装卸搬运；普通货物仓储服务（不含危险化学品等需许可审批的项目）；信息咨询服务（不含许可类信息咨询服务）；集装箱销售。（除依法须经批准的项目外，凭营业执照依法自主开展经营活动）</t>
  </si>
  <si>
    <t>南通通航供应链管理有限公司</t>
  </si>
  <si>
    <t>91320693MA258RXU8X</t>
  </si>
  <si>
    <t>崔海飞</t>
  </si>
  <si>
    <t>2021-02-23</t>
  </si>
  <si>
    <t>如皋市长江镇疏港路38号1幢四层401室</t>
  </si>
  <si>
    <t>0513-51012128</t>
  </si>
  <si>
    <t>acct@singant.com.cn</t>
  </si>
  <si>
    <t>320693000000456</t>
  </si>
  <si>
    <t>MA258RXU-8</t>
  </si>
  <si>
    <t>2021-02-23 至 无固定期限</t>
  </si>
  <si>
    <t>Nantong Tonghang Supply Chain Management Co., Ltd.</t>
  </si>
  <si>
    <t>南通通航供应链管理有限公司成立于2021-02-23，法定代表人为崔海飞，注册资本为1000万元，统一社会信用代码为91320693MA258RXU8X，企业注册地址位于如皋市长江镇疏港路38号1幢四层401室，所属行业为商务服务业，经营范围包含：许可项目：道路货物运输（不含危险货物）；水路普通货物运输（依法须经批准的项目，经相关部门批准后方可开展经营活动，具体经营项目以审批结果为准）
一般项目：供应链管理服务；包装服务；装卸搬运；粮油仓储服务；电子过磅服务；租赁服务（不含出版物出租）；普通货物仓储服务（不含危险化学品等需许可审批的项目）；技术服务、技术开发、技术咨询、技术交流、技术转让、技术推广；信息咨询服务（不含许可类信息咨询服务）；国际船舶代理；国内船舶代理；国际货物运输代理；国内货物运输代理；国内集装箱货物运输代理；无船承运业务；船舶租赁；报关业务（除依法须经批准的项目外，凭营业执照依法自主开展经营活动）。企业当前经营状态为在业。</t>
  </si>
  <si>
    <t>许可项目：道路货物运输（不含危险货物）；水路普通货物运输（依法须经批准的项目，经相关部门批准后方可开展经营活动，具体经营项目以审批结果为准）
一般项目：供应链管理服务；包装服务；装卸搬运；粮油仓储服务；电子过磅服务；租赁服务（不含出版物出租）；普通货物仓储服务（不含危险化学品等需许可审批的项目）；技术服务、技术开发、技术咨询、技术交流、技术转让、技术推广；信息咨询服务（不含许可类信息咨询服务）；国际船舶代理；国内船舶代理；国际货物运输代理；国内货物运输代理；国内集装箱货物运输代理；无船承运业务；船舶租赁；报关业务（除依法须经批准的项目外，凭营业执照依法自主开展经营活动）</t>
  </si>
  <si>
    <t>辽宁新大木物流有限公司</t>
  </si>
  <si>
    <t>91210200728405676Y</t>
  </si>
  <si>
    <t>辽宁益正达国际货运代理有限公司</t>
  </si>
  <si>
    <t>房敏</t>
  </si>
  <si>
    <t>2001-04-24</t>
  </si>
  <si>
    <t>辽宁省大连市中山区港湾街20号</t>
  </si>
  <si>
    <t>中山区</t>
  </si>
  <si>
    <t>0411-82767000</t>
  </si>
  <si>
    <t>0411-82767171;0411-82767066</t>
  </si>
  <si>
    <t>richardrong@dmu-group.com</t>
  </si>
  <si>
    <t>dl.qihua@dmu.com.cn;lucygao@dmu.com.cn;dl.dailu@dmu.com.cn;dailu@dmu.com.cn;dalu@dmu.com.cn;nancyleng@dmu.com.cn</t>
  </si>
  <si>
    <t>210000004935089</t>
  </si>
  <si>
    <t>72840567-6</t>
  </si>
  <si>
    <t>2001-04-24 至 无固定期限</t>
  </si>
  <si>
    <t>多式联运</t>
  </si>
  <si>
    <t>Dmu International Logistics Group Co., Ltd.</t>
  </si>
  <si>
    <t>https://dmu-group.com</t>
  </si>
  <si>
    <t>辽宁新大木物流有限公司成立于2001-04-24，法定代表人为房敏，注册资本为2000万元，统一社会信用代码为91210200728405676Y，企业注册地址位于辽宁省大连市中山区港湾街20号，所属行业为多式联运和运输代理业，经营范围包含：普通货物运输，承办海运、空运进出口货物的国际运输代理业务，包括：揽货、订舱、仓储、中转、集装箱拼装拆箱、结算运杂费、报关、报验、保险、相关的短途运输服务及运输咨询业务，无船承运业务。（依法须经批准的项目，经相关部门批准后方可开展经营活动。）。企业当前经营状态为存续。</t>
  </si>
  <si>
    <t>普通货物运输，承办海运、空运进出口货物的国际运输代理业务，包括：揽货、订舱、仓储、中转、集装箱拼装拆箱、结算运杂费、报关、报验、保险、相关的短途运输服务及运输咨询业务，无船承运业务。（依法须经批准的项目，经相关部门批准后方可开展经营活动。）</t>
  </si>
  <si>
    <t>大连市中山区市场监督管理局</t>
  </si>
  <si>
    <t>天津凯晟国际货运代理有限公司</t>
  </si>
  <si>
    <t>91120116752239970U</t>
  </si>
  <si>
    <t>天津凯晟货运代理有限公司</t>
  </si>
  <si>
    <t>鲍春英</t>
  </si>
  <si>
    <t>2003-09-09</t>
  </si>
  <si>
    <t>天津开发区晓园路3号B区303号</t>
  </si>
  <si>
    <t>022-65391287</t>
  </si>
  <si>
    <t>13662030409</t>
  </si>
  <si>
    <t>273582141@qq.com</t>
  </si>
  <si>
    <t>13662030409@163.com;13662030409@126.com</t>
  </si>
  <si>
    <t>120191000037246</t>
  </si>
  <si>
    <t>75223997-0</t>
  </si>
  <si>
    <t>2003-09-09 至 2033-09-08</t>
  </si>
  <si>
    <t>Tianjin Kaisheng International Freight Agent Co., Ltd.</t>
  </si>
  <si>
    <t>天津市开发区第六大街信环西路20号愿景大厦B1-506</t>
  </si>
  <si>
    <t>天津凯晟国际货运代理有限公司成立于2003-09-09，法定代表人为鲍春英，注册资本为500万元，统一社会信用代码为91120116752239970U，企业注册地址位于天津开发区晓园路3号B区303号，所属行业为水上运输业，经营范围包含：一般项目：进出口代理；普通货物仓储服务（不含危险化学品等需许可审批的项目）；报关业务；货物进出口；国内货物运输代理；国际货物运输代理；装卸搬运；国内贸易代理；贸易经纪；无船承运业务；供应链管理服务；航空国际货物运输代理；陆路国际货物运输代理；海上国际货物运输代理。（除依法须经批准的项目外，凭营业执照依法自主开展经营活动）。企业当前经营状态为存续。</t>
  </si>
  <si>
    <t>一般项目：进出口代理；普通货物仓储服务（不含危险化学品等需许可审批的项目）；报关业务；货物进出口；国内货物运输代理；国际货物运输代理；装卸搬运；国内贸易代理；贸易经纪；无船承运业务；供应链管理服务；航空国际货物运输代理；陆路国际货物运输代理；海上国际货物运输代理。（除依法须经批准的项目外，凭营业执照依法自主开展经营活动）</t>
  </si>
  <si>
    <t>北京纵坐标国际物流有限公司</t>
  </si>
  <si>
    <t>91110105560437809E</t>
  </si>
  <si>
    <t>田永生</t>
  </si>
  <si>
    <t>2010-08-09</t>
  </si>
  <si>
    <t>北京市朝阳区永安东里甲3号院1号楼22层2605</t>
  </si>
  <si>
    <t>朝阳区</t>
  </si>
  <si>
    <t>010-64668100</t>
  </si>
  <si>
    <t>010-64668578;010-64666170</t>
  </si>
  <si>
    <t>zzbqiantai@y-axis.cn</t>
  </si>
  <si>
    <t>18833950@qq.com</t>
  </si>
  <si>
    <t>110105013114335</t>
  </si>
  <si>
    <t>56043780-9</t>
  </si>
  <si>
    <t>92</t>
  </si>
  <si>
    <t>2010-08-09 至 2030-08-08</t>
  </si>
  <si>
    <t>BeijingY-Axis International Logistics Co., Ltd.</t>
  </si>
  <si>
    <t>http://www.y-axis.com.cn</t>
  </si>
  <si>
    <t>北京市朝阳区静安东街国门大厦A316</t>
  </si>
  <si>
    <t>北京纵坐标国际物流有限公司成立于2010-08-09，法定代表人为田永生，注册资本为5000万元，统一社会信用代码为91110105560437809E，企业注册地址位于北京市朝阳区永安东里甲3号院1号楼22层2605，所属行业为装卸搬运和仓储业，经营范围包含：一般项目：普通货物仓储服务（不含危险化学品等需许可审批的项目）；国际货物运输代理；货物进出口；技术进出口；国内货物运输代理；技术服务、技术开发、技术咨询、技术交流、技术转让、技术推广；陆路国际货物运输代理；进出口代理；会议及展览服务；包装服务；报关业务；低温仓储（不含危险化学品等需许可审批的项目）；海上国际货物运输代理；航空国际货物运输代理；国内集装箱货物运输代理。（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不得从事国家和本市产业政策禁止和限制类项目的经营活动。）。企业当前经营状态为存续。</t>
  </si>
  <si>
    <t>一般项目：普通货物仓储服务（不含危险化学品等需许可审批的项目）；国际货物运输代理；货物进出口；技术进出口；国内货物运输代理；技术服务、技术开发、技术咨询、技术交流、技术转让、技术推广；陆路国际货物运输代理；进出口代理；会议及展览服务；包装服务；报关业务；低温仓储（不含危险化学品等需许可审批的项目）；海上国际货物运输代理；航空国际货物运输代理；国内集装箱货物运输代理。（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不得从事国家和本市产业政策禁止和限制类项目的经营活动。）</t>
  </si>
  <si>
    <t>北京市朝阳区市场监督管理局</t>
  </si>
  <si>
    <t>大连文宇德翔国际物流有限公司</t>
  </si>
  <si>
    <t>91210202MA0U3T3763</t>
  </si>
  <si>
    <t>大连温纳尔商贸有限公司</t>
  </si>
  <si>
    <t>王存骥</t>
  </si>
  <si>
    <t>2017-05-04</t>
  </si>
  <si>
    <t>辽宁省大连市中山区宏大路18号12层4号</t>
  </si>
  <si>
    <t>18640987888</t>
  </si>
  <si>
    <t>18525493355;0411-83705155;15524720175;18141189558;0411-83704229</t>
  </si>
  <si>
    <t>18640987888@163.com</t>
  </si>
  <si>
    <t>18525493355@163.com;15524720175@163.com;1604948021@qq.com</t>
  </si>
  <si>
    <t>210200000400183</t>
  </si>
  <si>
    <t>MA0U3T37-6</t>
  </si>
  <si>
    <t>2017-05-04 至 2037-05-03</t>
  </si>
  <si>
    <t>厨具卫具及日用杂品批发</t>
  </si>
  <si>
    <t>Wenyu-Dece Internatioal Logistics Co., Ltd.</t>
  </si>
  <si>
    <t>大连文宇德翔国际物流有限公司成立于2017-05-04，法定代表人为王存骥，注册资本为1000万元，统一社会信用代码为91210202MA0U3T3763，企业注册地址位于辽宁省大连市中山区宏大路18号12层4号，所属行业为批发业，经营范围包含：许可项目：道路货物运输（不含危险货物）；水路普通货物运输。（依法须经批准的项目，经相关部门批准后方可开展经营活动，具体经营项目以相关部门批准文件或许可证件为准）一般项目：报关业务；货物进出口；国际货物运输代理；航空国际货物运输代理；普通货物仓储服务（不含危险化学品等需许可审批的项目）；国内船舶代理；国际船舶代理；国内货物运输代理；无船承运业务；国内贸易代理；通信设备销售；电子产品销售；贸易经纪；技术进出口；通讯设备修理；通讯设备销售。（除依法须经批准的项目外，凭营业执照依法自主开展经营活动）。企业当前经营状态为存续。</t>
  </si>
  <si>
    <t>许可项目：道路货物运输（不含危险货物）；水路普通货物运输。（依法须经批准的项目，经相关部门批准后方可开展经营活动，具体经营项目以相关部门批准文件或许可证件为准）一般项目：报关业务；货物进出口；国际货物运输代理；航空国际货物运输代理；普通货物仓储服务（不含危险化学品等需许可审批的项目）；国内船舶代理；国际船舶代理；国内货物运输代理；无船承运业务；国内贸易代理；通信设备销售；电子产品销售；贸易经纪；技术进出口；通讯设备修理；通讯设备销售。（除依法须经批准的项目外，凭营业执照依法自主开展经营活动）</t>
  </si>
  <si>
    <t>丰沃供应链管理（上海）有限公司</t>
  </si>
  <si>
    <t>91310118MA1JLY927A</t>
  </si>
  <si>
    <t>聂巴力</t>
  </si>
  <si>
    <t>2017-06-07</t>
  </si>
  <si>
    <t>上海市青浦区华新镇华腾路1288号1幢3层I区338室</t>
  </si>
  <si>
    <t>青浦区</t>
  </si>
  <si>
    <t>15921042781</t>
  </si>
  <si>
    <t>021-39886252;021-23071888</t>
  </si>
  <si>
    <t>15921042781@163.com</t>
  </si>
  <si>
    <t>shenminglei@fullwon.com;fengjianping@fullwon.com</t>
  </si>
  <si>
    <t>310118003471821</t>
  </si>
  <si>
    <t>MA1JLY92-7</t>
  </si>
  <si>
    <t>2017-06-07 至 2027-06-06</t>
  </si>
  <si>
    <t>Fengwo Supply Chain Management (Shanghai) Co., Ltd.</t>
  </si>
  <si>
    <t>上海市杨浦区大连路950号8号楼502--505室</t>
  </si>
  <si>
    <t>丰沃供应链管理（上海）有限公司成立于2017-06-07，法定代表人为聂巴力，注册资本为1100万元，统一社会信用代码为91310118MA1JLY927A，企业注册地址位于上海市青浦区华新镇华腾路1288号1幢3层I区338室，所属行业为商务服务业，经营范围包含：一般项目：供应链管理服务；国际货物运输代理；国内集装箱货物运输代理；国内船舶代理；总质量4.5吨及以下普通货运车辆道路货物运输（除网络货运和危险货物）；装卸搬运；普通货物仓储服务（不含危险化学品等需许可审批的项目）；信息咨询服务（不含许可类信息咨询服务）；报关业务；报检业务；无船承运业务。（除依法须经批准的项目外，凭营业执照依法自主开展经营活动）许可项目：国际道路货物运输；道路货物运输（不含危险货物）。（依法须经批准的项目，经相关部门批准后方可开展经营活动，具体经营项目以相关部门批准文件或许可证件为准）。企业当前经营状态为存续。</t>
  </si>
  <si>
    <t>一般项目：供应链管理服务；国际货物运输代理；国内集装箱货物运输代理；国内船舶代理；总质量4.5吨及以下普通货运车辆道路货物运输（除网络货运和危险货物）；装卸搬运；普通货物仓储服务（不含危险化学品等需许可审批的项目）；信息咨询服务（不含许可类信息咨询服务）；报关业务；报检业务；无船承运业务。（除依法须经批准的项目外，凭营业执照依法自主开展经营活动）许可项目：国际道路货物运输；道路货物运输（不含危险货物）。（依法须经批准的项目，经相关部门批准后方可开展经营活动，具体经营项目以相关部门批准文件或许可证件为准）</t>
  </si>
  <si>
    <t>青浦区市场监督管理局</t>
  </si>
  <si>
    <t>天津泰达阿尔卑斯物流有限公司上海分公司</t>
  </si>
  <si>
    <t>91310115X072900472</t>
  </si>
  <si>
    <t>天津泰达国际仓储运输有限公司上海分公司</t>
  </si>
  <si>
    <t>冯微微</t>
  </si>
  <si>
    <t>1999-02-08</t>
  </si>
  <si>
    <t>上海市浦东新区祝桥镇金亮路38号1幢全幢</t>
  </si>
  <si>
    <t>021-50460895</t>
  </si>
  <si>
    <t>021-50460642</t>
  </si>
  <si>
    <t>zw@attjsh.com</t>
  </si>
  <si>
    <t>shen.hua@attjsh.com</t>
  </si>
  <si>
    <t>310000500063525</t>
  </si>
  <si>
    <t>X0729004-7</t>
  </si>
  <si>
    <t>338</t>
  </si>
  <si>
    <t>1999-02-08 至 无固定期限</t>
  </si>
  <si>
    <t>Tianjin Teda Alps Logistics Co., Ltd. Shanghai Branch</t>
  </si>
  <si>
    <t>www.attjsh.com</t>
  </si>
  <si>
    <t>中国（上海）自由贸易试验区新灵路258号</t>
  </si>
  <si>
    <t>天津泰达阿尔卑斯物流有限公司上海分公司成立于1999-02-08，负责人为冯微微，统一社会信用代码为91310115X072900472，企业注册地址位于上海市浦东新区祝桥镇金亮路38号1幢全幢，所属行业为道路运输业，经营范围包含：一般项目：国际货物运输代理；国内货物运输代理；无船承运业务；国内贸易代理；报关业务；报检业务；塑料制品销售；工程塑料及合成树脂销售；电子、机械设备维护（不含特种设备）；日用电器修理；普通机械设备安装服务；专用设备修理；装卸搬运；包装服务；包装材料及制品销售；普通货物仓储服务（不含危险化学品等需许可审批的项目）；信息咨询服务（不含许可类信息咨询服务）。（除依法须经批准的项目外，凭营业执照依法自主开展经营活动）许可项目：道路货物运输（不含危险货物）；海关监管货物仓储服务（不含危险化学品、危险货物）。（依法须经批准的项目，经相关部门批准后方可开展经营活动，具体经营项目以相关部门批准文件或许可证件为准）。企业当前经营状态为存续。</t>
  </si>
  <si>
    <t>一般项目：国际货物运输代理；国内货物运输代理；无船承运业务；国内贸易代理；报关业务；报检业务；塑料制品销售；工程塑料及合成树脂销售；电子、机械设备维护（不含特种设备）；日用电器修理；普通机械设备安装服务；专用设备修理；装卸搬运；包装服务；包装材料及制品销售；普通货物仓储服务（不含危险化学品等需许可审批的项目）；信息咨询服务（不含许可类信息咨询服务）。（除依法须经批准的项目外，凭营业执照依法自主开展经营活动）许可项目：道路货物运输（不含危险货物）；海关监管货物仓储服务（不含危险化学品、危险货物）。（依法须经批准的项目，经相关部门批准后方可开展经营活动，具体经营项目以相关部门批准文件或许可证件为准）</t>
  </si>
  <si>
    <t>天津港保税区友达国际物流有限公司</t>
  </si>
  <si>
    <t>91120116777314711F</t>
  </si>
  <si>
    <t>天津港保税区友达机械设备有限公司,
天津金耀精密陶瓷有限责任公司</t>
  </si>
  <si>
    <t>李城静</t>
  </si>
  <si>
    <t>4443.19万元</t>
  </si>
  <si>
    <t>4399.19万元</t>
  </si>
  <si>
    <t>2005-07-19</t>
  </si>
  <si>
    <t>天津自贸试验区（天津港保税区）津滨大道302号</t>
  </si>
  <si>
    <t>022-66270564</t>
  </si>
  <si>
    <t>120192000057569</t>
  </si>
  <si>
    <t>77731471-1</t>
  </si>
  <si>
    <t>2005-07-19 至 无固定期限</t>
  </si>
  <si>
    <t>Tianjin Port Free Trade ZONE Youda International Logistics Co., Ltd.</t>
  </si>
  <si>
    <t>天津港保税区友达国际物流有限公司成立于2005-07-19，法定代表人为李城静，注册资本为4443.19万元，统一社会信用代码为91120116777314711F，企业注册地址位于天津自贸试验区（天津港保税区）津滨大道302号，所属行业为装卸搬运和仓储业，经营范围包含：许可项目：保税仓库经营；出入境检疫处理；道路货物运输（不含危险货物）；机动车检验检测服务。（依法须经批准的项目，经相关部门批准后方可开展经营活动，具体经营项目以相关部门批准文件或许可证件为准）一般项目：航空国际货物运输代理；陆路国际货物运输代理；海上国际货物运输代理；机械设备研发；机械设备销售；通用设备制造（不含特种设备制造）；汽车零配件零售；机动车修理和维护；机械零件、零部件加工；装卸搬运；园林绿化工程施工；非居住房地产租赁；货物进出口；进出口代理；专业保洁、清洗、消毒服务；劳务服务（不含劳务派遣）；汽车销售。（除依法须经批准的项目外，凭营业执照依法自主开展经营活动）。企业当前经营状态为存续。</t>
  </si>
  <si>
    <t>许可项目：保税仓库经营；出入境检疫处理；道路货物运输（不含危险货物）；机动车检验检测服务。（依法须经批准的项目，经相关部门批准后方可开展经营活动，具体经营项目以相关部门批准文件或许可证件为准）一般项目：航空国际货物运输代理；陆路国际货物运输代理；海上国际货物运输代理；机械设备研发；机械设备销售；通用设备制造（不含特种设备制造）；汽车零配件零售；机动车修理和维护；机械零件、零部件加工；装卸搬运；园林绿化工程施工；非居住房地产租赁；货物进出口；进出口代理；专业保洁、清洗、消毒服务；劳务服务（不含劳务派遣）；汽车销售。（除依法须经批准的项目外，凭营业执照依法自主开展经营活动）</t>
  </si>
  <si>
    <t>巴楚棉储物流有限责任公司</t>
  </si>
  <si>
    <t>91653130710833672U</t>
  </si>
  <si>
    <t>新疆维吾尔自治区棉麻公司巴楚棉麻站</t>
  </si>
  <si>
    <t>宋天明</t>
  </si>
  <si>
    <t>1999-11-15</t>
  </si>
  <si>
    <t>新疆喀什地区巴楚县火车站旁01号</t>
  </si>
  <si>
    <t>18699118556@163.com</t>
  </si>
  <si>
    <t>122434813@qq.com;468016470@qq.com</t>
  </si>
  <si>
    <t>653100011000026</t>
  </si>
  <si>
    <t>71083367-2</t>
  </si>
  <si>
    <t>1999-11-15 至 无固定期限</t>
  </si>
  <si>
    <t>Bachu Cotton Storage Logistics Co., Ltd.</t>
  </si>
  <si>
    <t>巴楚棉储物流有限责任公司成立于1999-11-15，法定代表人为宋天明，注册资本为3800万元，统一社会信用代码为91653130710833672U，企业注册地址位于新疆喀什地区巴楚县火车站旁01号，所属行业为批发业，经营范围包含：许可项目：道路货物运输（不含危险货物）。（依法须经批准的项目，经相关部门批准后方可开展经营活动，具体经营项目以相关部门批准文件或许可证件为准）一般项目：普通货物仓储服务（不含危险化学品等需许可审批的项目）；非居住房地产租赁；初级农产品收购；棉花收购；农副产品销售；未经加工的坚果、干果销售；食用农产品零售；电子过磅服务；装卸搬运；运输货物打包服务；道路货物运输站经营；国内货物运输代理；粮油仓储服务；棉、麻销售；棉花加工；食品销售（仅销售预包装食品）；针纺织品及原料销售；五金产品零售；棉花加工机械销售；机械零件、零部件销售；金属材料销售；金属制品销售；建筑材料销售；建筑装饰材料销售；企业管理；信息咨询服务（不含许可类信息咨询服务）；包装材料及制品销售；化肥销售；肥料销售；农用薄膜销售。（除依法须经批准的项目外，凭营业执照依法自主开展经营活动）。企业当前经营状态为存续。</t>
  </si>
  <si>
    <t>许可项目：道路货物运输（不含危险货物）。（依法须经批准的项目，经相关部门批准后方可开展经营活动，具体经营项目以相关部门批准文件或许可证件为准）一般项目：普通货物仓储服务（不含危险化学品等需许可审批的项目）；非居住房地产租赁；初级农产品收购；棉花收购；农副产品销售；未经加工的坚果、干果销售；食用农产品零售；电子过磅服务；装卸搬运；运输货物打包服务；道路货物运输站经营；国内货物运输代理；粮油仓储服务；棉、麻销售；棉花加工；食品销售（仅销售预包装食品）；针纺织品及原料销售；五金产品零售；棉花加工机械销售；机械零件、零部件销售；金属材料销售；金属制品销售；建筑材料销售；建筑装饰材料销售；企业管理；信息咨询服务（不含许可类信息咨询服务）；包装材料及制品销售；化肥销售；肥料销售；农用薄膜销售。（除依法须经批准的项目外，凭营业执照依法自主开展经营活动）</t>
  </si>
  <si>
    <t>北京人福医疗器械有限公司</t>
  </si>
  <si>
    <t>9111030230646764XD</t>
  </si>
  <si>
    <t>蔡杰</t>
  </si>
  <si>
    <t>北京市大兴区中关村科技园区大兴生物医药产业基地永旺西路8号院3号楼2层205室</t>
  </si>
  <si>
    <t>010-57807666</t>
  </si>
  <si>
    <t>010-57925099;010-56136426;4000152425;010-57807652</t>
  </si>
  <si>
    <t>xingzhengbu@baron-bj.com</t>
  </si>
  <si>
    <t>xingzhengbu@baronbj.com</t>
  </si>
  <si>
    <t>110106017459582</t>
  </si>
  <si>
    <t>30646764-X</t>
  </si>
  <si>
    <t>医药及医疗器材批发</t>
  </si>
  <si>
    <t>医疗用品及器材批发</t>
  </si>
  <si>
    <t>Beijing Humanwell MEDICAL Equipment Co., Ltd.</t>
  </si>
  <si>
    <t>www.rf-bj.com</t>
  </si>
  <si>
    <t>人福医疗是一家医疗器械冷链物流服务商，致力于发展体外诊断产品及生物试剂销售、生物医学转化、精准医疗检测、冷链物流配送为一体的科技型医疗服务。</t>
  </si>
  <si>
    <t>一般项目：第一类医疗器械销售；第二类医疗器械销售；计算机软硬件及辅助设备零售；计算机软硬件及辅助设备批发；汽车销售；五金产品零售；五金产品批发；家用电器销售；日用品销售；日用品批发；电子产品销售；文具用品零售；文具用品批发；化工产品销售（不含许可类化工产品）；通讯设备销售；工艺美术品及礼仪用品销售（象牙及其制品除外）；工艺美术品及收藏品批发（象牙及其制品除外）；卫生用品和一次性使用医疗用品销售；个人卫生用品销售；化妆品零售；化妆品批发；消毒剂销售（不含危险化学品）；租赁服务（不含许可类租赁服务）；第一类医疗设备租赁；第二类医疗设备租赁；技术服务、技术开发、技术咨询、技术交流、技术转让、技术推广；货物进出口；技术进出口；软件开发；计算机及办公设备维修；仪器仪表修理；企业管理；物业管理；会议及展览服务；社会经济咨询服务；园林绿化工程施工；城市绿化管理；组织文化艺术交流活动；普通货物仓储服务（不含危险化学品等需许可审批的项目）；低温仓储（不含危险化学品等需许可审批的项目）；进出口代理；非居住房地产租赁；专用设备修理；食品销售（仅销售预包装食品）；保健食品（预包装）销售；特殊医学用途配方食品销售；包装材料及制品销售；信息咨询服务（不含许可类信息咨询服务）；卫生用杀虫剂销售。（除依法须经批准的项目外，凭营业执照依法自主开展经营活动）许可项目：消毒器械销售；第三类医疗设备租赁；互联网信息服务；药品批发；第三类医疗器械经营；道路货物运输（不含危险货物）。（依法须经批准的项目，经相关部门批准后方可开展经营活动，具体经营项目以相关部门批准文件或许可证件为准）（不得从事国家和本市产业政策禁止和限制类项目的经营活动。）</t>
  </si>
  <si>
    <t>北京市大兴区市场监督管理局</t>
  </si>
  <si>
    <t>河南国储物流股份有限公司</t>
  </si>
  <si>
    <t>91410100587050882Y</t>
  </si>
  <si>
    <t>崔鹏飞</t>
  </si>
  <si>
    <t>2011-11-18</t>
  </si>
  <si>
    <t>郑州市金水区东明路179号</t>
  </si>
  <si>
    <t>0371-63287489</t>
  </si>
  <si>
    <t>0371-60902859</t>
  </si>
  <si>
    <t>hngcwl@126.com</t>
  </si>
  <si>
    <t>410100000084364</t>
  </si>
  <si>
    <t>58705088-2</t>
  </si>
  <si>
    <t>2011-11-18 至 2061-11-17</t>
  </si>
  <si>
    <t>危险化学品仓储</t>
  </si>
  <si>
    <t>Henan Guochu Logistics Co., Ltd.</t>
  </si>
  <si>
    <t>河南国储物流股份有限公司成立于2011-11-18，法定代表人为崔鹏飞，注册资本为1200万元，统一社会信用代码为91410100587050882Y，企业注册地址位于郑州市金水区东明路179号，所属行业为装卸搬运和仓储业，经营范围包含：许可项目：道路货物运输（不含危险货物）；食品销售；住宿服务；洗浴服务；烟草制品零售；餐饮服务（依法须经批准的项目，经相关部门批准后方可开展经营活动，具体经营项目以相关部门批准文件或许可证件为准）一般项目：酒店管理；物业管理；物业服务评估；食品销售（仅销售预包装食品）；保健食品（预包装）销售；电动汽车充电基础设施运营；专用设备修理；农副产品销售；工艺美术品及收藏品零售（象牙及其制品除外）；日用百货销售；会议及展览服务；停车场服务；货物进出口；进出口代理；国际货物运输代理；装卸搬运；国内集装箱货物运输代理；租赁服务（不含许可类租赁服务）；小微型客车租赁经营服务；普通货物仓储服务（不含危险化学品等需许可审批的项目）；仓单登记服务；住房租赁；普通机械设备安装服务；机械设备租赁；集装箱租赁服务；集装箱维修；集装箱销售；金属结构销售；金属材料销售；橡胶制品销售；纸浆销售；纸制品销售（除依法须经批准的项目外，凭营业执照依法自主开展经营活动）。企业当前经营状态为存续。</t>
  </si>
  <si>
    <t>许可项目：道路货物运输（不含危险货物）；食品销售；住宿服务；洗浴服务；烟草制品零售；餐饮服务（依法须经批准的项目，经相关部门批准后方可开展经营活动，具体经营项目以相关部门批准文件或许可证件为准）一般项目：酒店管理；物业管理；物业服务评估；食品销售（仅销售预包装食品）；保健食品（预包装）销售；电动汽车充电基础设施运营；专用设备修理；农副产品销售；工艺美术品及收藏品零售（象牙及其制品除外）；日用百货销售；会议及展览服务；停车场服务；货物进出口；进出口代理；国际货物运输代理；装卸搬运；国内集装箱货物运输代理；租赁服务（不含许可类租赁服务）；小微型客车租赁经营服务；普通货物仓储服务（不含危险化学品等需许可审批的项目）；仓单登记服务；住房租赁；普通机械设备安装服务；机械设备租赁；集装箱租赁服务；集装箱维修；集装箱销售；金属结构销售；金属材料销售；橡胶制品销售；纸浆销售；纸制品销售（除依法须经批准的项目外，凭营业执照依法自主开展经营活动）</t>
  </si>
  <si>
    <t>郑州市市场监督管理局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</si>
</sst>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u/>
      <sz val="11"/>
      <color theme="10"/>
      <name val="等线"/>
      <family val="2"/>
      <scheme val="minor"/>
    </font>
    <font>
      <sz val="9"/>
      <name val="等线"/>
      <family val="3"/>
      <charset val="134"/>
      <scheme val="minor"/>
    </font>
    <font>
      <sz val="11"/>
      <color theme="1"/>
      <name val="等线"/>
      <family val="3"/>
      <charset val="134"/>
      <scheme val="minor"/>
    </font>
    <font>
      <b/>
      <sz val="11"/>
      <color rgb="FF000000"/>
      <name val="微软雅黑"/>
      <family val="2"/>
      <charset val="134"/>
    </font>
    <font>
      <b/>
      <sz val="11"/>
      <color theme="1"/>
      <name val="等线"/>
      <family val="3"/>
      <charset val="134"/>
      <scheme val="minor"/>
    </font>
    <font>
      <sz val="11"/>
      <color rgb="FF000000"/>
      <name val="等线"/>
      <family val="2"/>
      <scheme val="minor"/>
    </font>
    <font>
      <sz val="11"/>
      <color rgb="FF000000"/>
      <name val="等线"/>
      <family val="3"/>
      <charset val="134"/>
      <scheme val="minor"/>
    </font>
  </fonts>
  <fills count="7">
    <fill>
      <patternFill patternType="none"/>
    </fill>
    <fill>
      <patternFill patternType="gray125"/>
    </fill>
    <fill>
      <patternFill patternType="solid">
        <fgColor rgb="FFB9D7EA"/>
        <bgColor indexed="64"/>
      </patternFill>
    </fill>
    <fill>
      <patternFill patternType="solid">
        <fgColor rgb="FFFFFF00"/>
        <bgColor indexed="64"/>
      </patternFill>
    </fill>
    <fill>
      <patternFill patternType="solid">
        <fgColor rgb="FFD6E6F2"/>
        <bgColor indexed="64"/>
      </patternFill>
    </fill>
    <fill>
      <patternFill patternType="solid">
        <fgColor rgb="FFFFFFFF"/>
        <bgColor indexed="64"/>
      </patternFill>
    </fill>
    <fill>
      <patternFill patternType="solid">
        <fgColor rgb="FFF7FBFC"/>
        <bgColor indexed="64"/>
      </patternFill>
    </fill>
  </fills>
  <borders count="5">
    <border>
      <left/>
      <right/>
      <top/>
      <bottom/>
      <diagonal/>
    </border>
    <border>
      <left/>
      <right/>
      <top style="thin">
        <color rgb="FFB9D7EA"/>
      </top>
      <bottom style="thin">
        <color rgb="FFB9D7EA"/>
      </bottom>
      <diagonal/>
    </border>
    <border>
      <left/>
      <right/>
      <top/>
      <bottom style="dashed">
        <color rgb="FFDDDDDD"/>
      </bottom>
      <diagonal/>
    </border>
    <border>
      <left/>
      <right/>
      <top style="dashed">
        <color rgb="FFDDDDDD"/>
      </top>
      <bottom style="dashed">
        <color rgb="FFDDDDDD"/>
      </bottom>
      <diagonal/>
    </border>
    <border>
      <left/>
      <right/>
      <top style="dashed">
        <color rgb="FFDDDDDD"/>
      </top>
      <bottom style="thin">
        <color rgb="FFB9D7EA"/>
      </bottom>
      <diagonal/>
    </border>
  </borders>
  <cellStyleXfs count="3">
    <xf numFmtId="0" fontId="0" fillId="0" borderId="0"/>
    <xf numFmtId="0" fontId="1" fillId="0" borderId="0" applyNumberFormat="0" applyFill="0" applyBorder="0" applyAlignment="0" applyProtection="0"/>
    <xf numFmtId="0" fontId="3" fillId="0" borderId="0">
      <alignment vertical="center"/>
    </xf>
  </cellStyleXfs>
  <cellXfs count="22">
    <xf numFmtId="0" fontId="0" fillId="0" borderId="0" xfId="0"/>
    <xf numFmtId="0" fontId="1" fillId="2" borderId="1" xfId="1" applyFill="1" applyBorder="1" applyAlignment="1">
      <alignment horizontal="center" vertical="center" wrapText="1"/>
    </xf>
    <xf numFmtId="49" fontId="4" fillId="2" borderId="1" xfId="2" applyNumberFormat="1"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3" borderId="1" xfId="2" applyFont="1" applyFill="1" applyBorder="1" applyAlignment="1">
      <alignment horizontal="center" vertical="center" wrapText="1"/>
    </xf>
    <xf numFmtId="0" fontId="5" fillId="0" borderId="0" xfId="2" applyFont="1" applyAlignment="1">
      <alignment horizontal="center" vertical="center" wrapText="1"/>
    </xf>
    <xf numFmtId="0" fontId="6" fillId="4" borderId="2" xfId="0" applyFont="1" applyFill="1" applyBorder="1" applyAlignment="1">
      <alignment horizontal="center" vertical="center"/>
    </xf>
    <xf numFmtId="49" fontId="7" fillId="5" borderId="2" xfId="2" applyNumberFormat="1" applyFont="1" applyFill="1" applyBorder="1" applyAlignment="1">
      <alignment horizontal="center" vertical="center"/>
    </xf>
    <xf numFmtId="0" fontId="7" fillId="5" borderId="2" xfId="2" applyFont="1" applyFill="1" applyBorder="1" applyAlignment="1">
      <alignment horizontal="center" vertical="center"/>
    </xf>
    <xf numFmtId="0" fontId="7" fillId="3" borderId="2" xfId="2" applyFont="1" applyFill="1" applyBorder="1" applyAlignment="1">
      <alignment horizontal="center" vertical="center"/>
    </xf>
    <xf numFmtId="0" fontId="3" fillId="0" borderId="0" xfId="2">
      <alignment vertical="center"/>
    </xf>
    <xf numFmtId="0" fontId="6" fillId="4" borderId="3" xfId="0" applyFont="1" applyFill="1" applyBorder="1" applyAlignment="1">
      <alignment horizontal="center" vertical="center"/>
    </xf>
    <xf numFmtId="49" fontId="7" fillId="6" borderId="3" xfId="2" applyNumberFormat="1" applyFont="1" applyFill="1" applyBorder="1" applyAlignment="1">
      <alignment horizontal="center" vertical="center"/>
    </xf>
    <xf numFmtId="0" fontId="7" fillId="6" borderId="3" xfId="2" applyFont="1" applyFill="1" applyBorder="1" applyAlignment="1">
      <alignment horizontal="center" vertical="center"/>
    </xf>
    <xf numFmtId="49" fontId="7" fillId="5" borderId="3" xfId="2" applyNumberFormat="1" applyFont="1" applyFill="1" applyBorder="1" applyAlignment="1">
      <alignment horizontal="center" vertical="center"/>
    </xf>
    <xf numFmtId="0" fontId="7" fillId="5" borderId="3" xfId="2" applyFont="1" applyFill="1" applyBorder="1" applyAlignment="1">
      <alignment horizontal="center" vertical="center"/>
    </xf>
    <xf numFmtId="0" fontId="6" fillId="4" borderId="4" xfId="0" applyFont="1" applyFill="1" applyBorder="1" applyAlignment="1">
      <alignment horizontal="center" vertical="center"/>
    </xf>
    <xf numFmtId="49" fontId="7" fillId="6" borderId="4" xfId="2" applyNumberFormat="1" applyFont="1" applyFill="1" applyBorder="1" applyAlignment="1">
      <alignment horizontal="center" vertical="center"/>
    </xf>
    <xf numFmtId="0" fontId="7" fillId="6" borderId="4" xfId="2" applyFont="1" applyFill="1" applyBorder="1" applyAlignment="1">
      <alignment horizontal="center" vertical="center"/>
    </xf>
    <xf numFmtId="0" fontId="3" fillId="0" borderId="0" xfId="2" applyAlignment="1">
      <alignment horizontal="center" vertical="center"/>
    </xf>
    <xf numFmtId="49" fontId="3" fillId="0" borderId="0" xfId="2" applyNumberFormat="1" applyAlignment="1">
      <alignment horizontal="center" vertical="center"/>
    </xf>
    <xf numFmtId="0" fontId="3" fillId="3" borderId="0" xfId="2" applyFill="1" applyAlignment="1">
      <alignment horizontal="center" vertical="center"/>
    </xf>
  </cellXfs>
  <cellStyles count="3">
    <cellStyle name="常规" xfId="0" builtinId="0"/>
    <cellStyle name="常规 2" xfId="2" xr:uid="{74F7D6B5-8505-498A-8005-5CB6E2D30F9D}"/>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warehouse\work_warehouse\lianhe\python\0_&#22269;&#25237;&#39118;&#38505;&#25490;&#26597;\1228&#22788;&#29702;\&#26032;&#22788;&#29702;\20260104&#26032;&#22788;&#29702;\&#22269;&#25237;&#25253;&#21578;0116\&#30465;&#20221;_&#21517;&#31216;_&#20195;&#30721;_&#22320;&#21306;&#21010;&#20998;&#23545;&#29031;&#34920;.xlsx" TargetMode="External"/><Relationship Id="rId1" Type="http://schemas.openxmlformats.org/officeDocument/2006/relationships/externalLinkPath" Target="&#30465;&#20221;_&#21517;&#31216;_&#20195;&#30721;_&#22320;&#21306;&#21010;&#20998;&#23545;&#29031;&#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中国省份_标准"/>
      <sheetName val="代码对照表"/>
    </sheetNames>
    <sheetDataSet>
      <sheetData sheetId="0">
        <row r="2">
          <cell r="B2" t="str">
            <v>北京市</v>
          </cell>
          <cell r="C2" t="str">
            <v>京</v>
          </cell>
          <cell r="D2" t="str">
            <v>BJ</v>
          </cell>
          <cell r="E2" t="str">
            <v>东部地区</v>
          </cell>
          <cell r="F2" t="str">
            <v>华北地区</v>
          </cell>
        </row>
        <row r="3">
          <cell r="B3" t="str">
            <v>天津市</v>
          </cell>
          <cell r="C3" t="str">
            <v>津</v>
          </cell>
          <cell r="D3" t="str">
            <v>TJ</v>
          </cell>
          <cell r="E3" t="str">
            <v>东部地区</v>
          </cell>
          <cell r="F3" t="str">
            <v>华北地区</v>
          </cell>
        </row>
        <row r="4">
          <cell r="B4" t="str">
            <v>河北省</v>
          </cell>
          <cell r="C4" t="str">
            <v>冀</v>
          </cell>
          <cell r="D4" t="str">
            <v>HB</v>
          </cell>
          <cell r="E4" t="str">
            <v>东部地区</v>
          </cell>
          <cell r="F4" t="str">
            <v>华北地区</v>
          </cell>
        </row>
        <row r="5">
          <cell r="B5" t="str">
            <v>山西省</v>
          </cell>
          <cell r="C5" t="str">
            <v>晋</v>
          </cell>
          <cell r="D5" t="str">
            <v>SX</v>
          </cell>
          <cell r="E5" t="str">
            <v>中部地区</v>
          </cell>
          <cell r="F5" t="str">
            <v>华北地区</v>
          </cell>
        </row>
        <row r="6">
          <cell r="B6" t="str">
            <v>内蒙古自治区</v>
          </cell>
          <cell r="C6" t="str">
            <v>蒙</v>
          </cell>
          <cell r="D6" t="str">
            <v>NMG</v>
          </cell>
          <cell r="E6" t="str">
            <v>西部地区</v>
          </cell>
          <cell r="F6" t="str">
            <v>华北地区</v>
          </cell>
        </row>
        <row r="7">
          <cell r="B7" t="str">
            <v>辽宁省</v>
          </cell>
          <cell r="C7" t="str">
            <v>辽</v>
          </cell>
          <cell r="D7" t="str">
            <v>LN</v>
          </cell>
          <cell r="E7" t="str">
            <v>东北地区</v>
          </cell>
          <cell r="F7" t="str">
            <v>东北地区</v>
          </cell>
        </row>
        <row r="8">
          <cell r="B8" t="str">
            <v>吉林省</v>
          </cell>
          <cell r="C8" t="str">
            <v>吉</v>
          </cell>
          <cell r="D8" t="str">
            <v>JL</v>
          </cell>
          <cell r="E8" t="str">
            <v>东北地区</v>
          </cell>
          <cell r="F8" t="str">
            <v>东北地区</v>
          </cell>
        </row>
        <row r="9">
          <cell r="B9" t="str">
            <v>黑龙江省</v>
          </cell>
          <cell r="C9" t="str">
            <v>黑</v>
          </cell>
          <cell r="D9" t="str">
            <v>HLJ</v>
          </cell>
          <cell r="E9" t="str">
            <v>东北地区</v>
          </cell>
          <cell r="F9" t="str">
            <v>东北地区</v>
          </cell>
        </row>
        <row r="10">
          <cell r="B10" t="str">
            <v>上海市</v>
          </cell>
          <cell r="C10" t="str">
            <v>沪</v>
          </cell>
          <cell r="D10" t="str">
            <v>SH</v>
          </cell>
          <cell r="E10" t="str">
            <v>东部地区</v>
          </cell>
          <cell r="F10" t="str">
            <v>华东地区</v>
          </cell>
        </row>
        <row r="11">
          <cell r="B11" t="str">
            <v>江苏省</v>
          </cell>
          <cell r="C11" t="str">
            <v>苏</v>
          </cell>
          <cell r="D11" t="str">
            <v>JS</v>
          </cell>
          <cell r="E11" t="str">
            <v>东部地区</v>
          </cell>
          <cell r="F11" t="str">
            <v>华东地区</v>
          </cell>
        </row>
        <row r="12">
          <cell r="B12" t="str">
            <v>浙江省</v>
          </cell>
          <cell r="C12" t="str">
            <v>浙</v>
          </cell>
          <cell r="D12" t="str">
            <v>ZJ</v>
          </cell>
          <cell r="E12" t="str">
            <v>东部地区</v>
          </cell>
          <cell r="F12" t="str">
            <v>华东地区</v>
          </cell>
        </row>
        <row r="13">
          <cell r="B13" t="str">
            <v>安徽省</v>
          </cell>
          <cell r="C13" t="str">
            <v>皖</v>
          </cell>
          <cell r="D13" t="str">
            <v>AH</v>
          </cell>
          <cell r="E13" t="str">
            <v>中部地区</v>
          </cell>
          <cell r="F13" t="str">
            <v>华东地区</v>
          </cell>
        </row>
        <row r="14">
          <cell r="B14" t="str">
            <v>福建省</v>
          </cell>
          <cell r="C14" t="str">
            <v>闽</v>
          </cell>
          <cell r="D14" t="str">
            <v>FJ</v>
          </cell>
          <cell r="E14" t="str">
            <v>东部地区</v>
          </cell>
          <cell r="F14" t="str">
            <v>华东地区</v>
          </cell>
        </row>
        <row r="15">
          <cell r="B15" t="str">
            <v>江西省</v>
          </cell>
          <cell r="C15" t="str">
            <v>赣</v>
          </cell>
          <cell r="D15" t="str">
            <v>JX</v>
          </cell>
          <cell r="E15" t="str">
            <v>中部地区</v>
          </cell>
          <cell r="F15" t="str">
            <v>华东地区</v>
          </cell>
        </row>
        <row r="16">
          <cell r="B16" t="str">
            <v>山东省</v>
          </cell>
          <cell r="C16" t="str">
            <v>鲁</v>
          </cell>
          <cell r="D16" t="str">
            <v>SD</v>
          </cell>
          <cell r="E16" t="str">
            <v>东部地区</v>
          </cell>
          <cell r="F16" t="str">
            <v>华东地区</v>
          </cell>
        </row>
        <row r="17">
          <cell r="B17" t="str">
            <v>河南省</v>
          </cell>
          <cell r="C17" t="str">
            <v>豫</v>
          </cell>
          <cell r="D17" t="str">
            <v>HN</v>
          </cell>
          <cell r="E17" t="str">
            <v>中部地区</v>
          </cell>
          <cell r="F17" t="str">
            <v>华中地区</v>
          </cell>
        </row>
        <row r="18">
          <cell r="B18" t="str">
            <v>湖北省</v>
          </cell>
          <cell r="C18" t="str">
            <v>鄂</v>
          </cell>
          <cell r="D18" t="str">
            <v>HUBEI</v>
          </cell>
          <cell r="E18" t="str">
            <v>中部地区</v>
          </cell>
          <cell r="F18" t="str">
            <v>华中地区</v>
          </cell>
        </row>
        <row r="19">
          <cell r="B19" t="str">
            <v>湖南省</v>
          </cell>
          <cell r="C19" t="str">
            <v>湘</v>
          </cell>
          <cell r="D19" t="str">
            <v>HUNAN</v>
          </cell>
          <cell r="E19" t="str">
            <v>中部地区</v>
          </cell>
          <cell r="F19" t="str">
            <v>华中地区</v>
          </cell>
        </row>
        <row r="20">
          <cell r="B20" t="str">
            <v>广东省</v>
          </cell>
          <cell r="C20" t="str">
            <v>粤</v>
          </cell>
          <cell r="D20" t="str">
            <v>GD</v>
          </cell>
          <cell r="E20" t="str">
            <v>东部地区</v>
          </cell>
          <cell r="F20" t="str">
            <v>华南地区</v>
          </cell>
        </row>
        <row r="21">
          <cell r="B21" t="str">
            <v>广西壮族自治区</v>
          </cell>
          <cell r="C21" t="str">
            <v>桂</v>
          </cell>
          <cell r="D21" t="str">
            <v>GX</v>
          </cell>
          <cell r="E21" t="str">
            <v>西部地区</v>
          </cell>
          <cell r="F21" t="str">
            <v>华南地区</v>
          </cell>
        </row>
        <row r="22">
          <cell r="B22" t="str">
            <v>海南省</v>
          </cell>
          <cell r="C22" t="str">
            <v>琼</v>
          </cell>
          <cell r="D22" t="str">
            <v>HAINAN</v>
          </cell>
          <cell r="E22" t="str">
            <v>东部地区</v>
          </cell>
          <cell r="F22" t="str">
            <v>华南地区</v>
          </cell>
        </row>
        <row r="23">
          <cell r="B23" t="str">
            <v>重庆市</v>
          </cell>
          <cell r="C23" t="str">
            <v>渝</v>
          </cell>
          <cell r="D23" t="str">
            <v>CQ</v>
          </cell>
          <cell r="E23" t="str">
            <v>西部地区</v>
          </cell>
          <cell r="F23" t="str">
            <v>西南地区</v>
          </cell>
        </row>
        <row r="24">
          <cell r="B24" t="str">
            <v>四川省</v>
          </cell>
          <cell r="C24" t="str">
            <v>川</v>
          </cell>
          <cell r="D24" t="str">
            <v>SC</v>
          </cell>
          <cell r="E24" t="str">
            <v>西部地区</v>
          </cell>
          <cell r="F24" t="str">
            <v>西南地区</v>
          </cell>
        </row>
        <row r="25">
          <cell r="B25" t="str">
            <v>贵州省</v>
          </cell>
          <cell r="C25" t="str">
            <v>黔</v>
          </cell>
          <cell r="D25" t="str">
            <v>GZ</v>
          </cell>
          <cell r="E25" t="str">
            <v>西部地区</v>
          </cell>
          <cell r="F25" t="str">
            <v>西南地区</v>
          </cell>
        </row>
        <row r="26">
          <cell r="B26" t="str">
            <v>云南省</v>
          </cell>
          <cell r="C26" t="str">
            <v>滇</v>
          </cell>
          <cell r="D26" t="str">
            <v>YN</v>
          </cell>
          <cell r="E26" t="str">
            <v>西部地区</v>
          </cell>
          <cell r="F26" t="str">
            <v>西南地区</v>
          </cell>
        </row>
        <row r="27">
          <cell r="B27" t="str">
            <v>西藏自治区</v>
          </cell>
          <cell r="C27" t="str">
            <v>藏</v>
          </cell>
          <cell r="D27" t="str">
            <v>XZ</v>
          </cell>
          <cell r="E27" t="str">
            <v>西部地区</v>
          </cell>
          <cell r="F27" t="str">
            <v>西南地区</v>
          </cell>
        </row>
        <row r="28">
          <cell r="B28" t="str">
            <v>陕西省</v>
          </cell>
          <cell r="C28" t="str">
            <v>陕</v>
          </cell>
          <cell r="D28" t="str">
            <v>SHANXI</v>
          </cell>
          <cell r="E28" t="str">
            <v>西部地区</v>
          </cell>
          <cell r="F28" t="str">
            <v>西北地区</v>
          </cell>
        </row>
        <row r="29">
          <cell r="B29" t="str">
            <v>甘肃省</v>
          </cell>
          <cell r="C29" t="str">
            <v>甘</v>
          </cell>
          <cell r="D29" t="str">
            <v>GS</v>
          </cell>
          <cell r="E29" t="str">
            <v>西部地区</v>
          </cell>
          <cell r="F29" t="str">
            <v>西北地区</v>
          </cell>
        </row>
        <row r="30">
          <cell r="B30" t="str">
            <v>青海省</v>
          </cell>
          <cell r="C30" t="str">
            <v>青</v>
          </cell>
          <cell r="D30" t="str">
            <v>QH</v>
          </cell>
          <cell r="E30" t="str">
            <v>西部地区</v>
          </cell>
          <cell r="F30" t="str">
            <v>西北地区</v>
          </cell>
        </row>
        <row r="31">
          <cell r="B31" t="str">
            <v>宁夏回族自治区</v>
          </cell>
          <cell r="C31" t="str">
            <v>宁</v>
          </cell>
          <cell r="D31" t="str">
            <v>NX</v>
          </cell>
          <cell r="E31" t="str">
            <v>西部地区</v>
          </cell>
          <cell r="F31" t="str">
            <v>西北地区</v>
          </cell>
        </row>
        <row r="32">
          <cell r="B32" t="str">
            <v>新疆维吾尔自治区</v>
          </cell>
          <cell r="C32" t="str">
            <v>新</v>
          </cell>
          <cell r="D32" t="str">
            <v>XJ</v>
          </cell>
          <cell r="E32" t="str">
            <v>西部地区</v>
          </cell>
          <cell r="F32" t="str">
            <v>西北地区</v>
          </cell>
        </row>
        <row r="33">
          <cell r="B33" t="str">
            <v>香港特别行政区</v>
          </cell>
          <cell r="C33" t="str">
            <v>港</v>
          </cell>
          <cell r="D33" t="e">
            <v>#N/A</v>
          </cell>
          <cell r="F33" t="str">
            <v>华南地区</v>
          </cell>
        </row>
        <row r="34">
          <cell r="B34" t="str">
            <v>澳门特别行政区</v>
          </cell>
          <cell r="C34" t="str">
            <v>澳</v>
          </cell>
          <cell r="D34" t="e">
            <v>#N/A</v>
          </cell>
          <cell r="F34" t="str">
            <v>华南地区</v>
          </cell>
        </row>
        <row r="35">
          <cell r="B35" t="str">
            <v>台湾省</v>
          </cell>
          <cell r="C35" t="str">
            <v>台</v>
          </cell>
          <cell r="D35" t="e">
            <v>#N/A</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7D8D-24C5-4D7E-BE6D-8063BDDF0AF4}">
  <dimension ref="A1:AL1087"/>
  <sheetViews>
    <sheetView tabSelected="1" workbookViewId="0">
      <selection activeCell="M2" sqref="M2:M1087"/>
    </sheetView>
  </sheetViews>
  <sheetFormatPr defaultColWidth="9" defaultRowHeight="13.9" x14ac:dyDescent="0.4"/>
  <cols>
    <col min="1" max="1" width="45.9296875" style="19" customWidth="1"/>
    <col min="2" max="2" width="31.59765625" style="20" customWidth="1"/>
    <col min="3" max="3" width="13.9296875" style="19" customWidth="1"/>
    <col min="4" max="4" width="23.3984375" style="19" customWidth="1"/>
    <col min="5" max="5" width="13.6640625" style="19" customWidth="1"/>
    <col min="6" max="7" width="14.06640625" style="19" customWidth="1"/>
    <col min="8" max="8" width="15.265625" style="19" customWidth="1"/>
    <col min="9" max="9" width="15.265625" style="21" customWidth="1"/>
    <col min="10" max="10" width="11.796875" style="19" customWidth="1"/>
    <col min="11" max="11" width="18.19921875" style="19" customWidth="1"/>
    <col min="12" max="12" width="18.19921875" style="21" customWidth="1"/>
    <col min="13" max="13" width="24.06640625" style="21" customWidth="1"/>
    <col min="14" max="14" width="22.59765625" style="19" customWidth="1"/>
    <col min="15" max="15" width="16.19921875" style="19" customWidth="1"/>
    <col min="16" max="16" width="15" style="19" customWidth="1"/>
    <col min="17" max="17" width="16.06640625" style="19" customWidth="1"/>
    <col min="18" max="18" width="19.796875" style="19" customWidth="1"/>
    <col min="19" max="19" width="10.59765625" style="19" customWidth="1"/>
    <col min="20" max="20" width="43.265625" style="19" customWidth="1"/>
    <col min="21" max="21" width="22.19921875" style="19" customWidth="1"/>
    <col min="22" max="22" width="20.73046875" style="19" customWidth="1"/>
    <col min="23" max="23" width="19.53125" style="19" customWidth="1"/>
    <col min="24" max="24" width="11.796875" style="19" customWidth="1"/>
    <col min="25" max="25" width="19.9296875" style="19" customWidth="1"/>
    <col min="26" max="26" width="17.9296875" style="19" customWidth="1"/>
    <col min="27" max="30" width="24.59765625" style="19" customWidth="1"/>
    <col min="31" max="31" width="21.265625" style="19" customWidth="1"/>
    <col min="32" max="32" width="15.9296875" style="19" customWidth="1"/>
    <col min="33" max="33" width="14.06640625" style="19" customWidth="1"/>
    <col min="34" max="34" width="13.265625" style="19" customWidth="1"/>
    <col min="35" max="35" width="13.9296875" style="19" customWidth="1"/>
    <col min="36" max="36" width="18.19921875" style="19" customWidth="1"/>
    <col min="37" max="37" width="39.6640625" style="19" customWidth="1"/>
    <col min="38" max="38" width="20.19921875" style="19" customWidth="1"/>
    <col min="39" max="16384" width="9" style="10"/>
  </cols>
  <sheetData>
    <row r="1" spans="1:38" s="5" customFormat="1" ht="15.75" x14ac:dyDescent="0.4">
      <c r="A1" s="1" t="s">
        <v>0</v>
      </c>
      <c r="B1" s="2" t="s">
        <v>1</v>
      </c>
      <c r="C1" s="3" t="s">
        <v>2</v>
      </c>
      <c r="D1" s="3" t="s">
        <v>3</v>
      </c>
      <c r="E1" s="3" t="s">
        <v>4</v>
      </c>
      <c r="F1" s="3" t="s">
        <v>5</v>
      </c>
      <c r="G1" s="3" t="s">
        <v>6</v>
      </c>
      <c r="H1" s="3" t="s">
        <v>7</v>
      </c>
      <c r="I1" s="4" t="s">
        <v>8</v>
      </c>
      <c r="J1" s="3" t="s">
        <v>9</v>
      </c>
      <c r="K1" s="3" t="s">
        <v>10</v>
      </c>
      <c r="L1" s="4" t="s">
        <v>11</v>
      </c>
      <c r="M1" s="4"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spans="1:38" x14ac:dyDescent="0.4">
      <c r="A2" s="6" t="s">
        <v>38</v>
      </c>
      <c r="B2" s="7" t="s">
        <v>39</v>
      </c>
      <c r="C2" s="8" t="s">
        <v>39</v>
      </c>
      <c r="D2" s="8" t="s">
        <v>40</v>
      </c>
      <c r="E2" s="8" t="s">
        <v>41</v>
      </c>
      <c r="F2" s="8" t="s">
        <v>42</v>
      </c>
      <c r="G2" s="8" t="s">
        <v>42</v>
      </c>
      <c r="H2" s="8" t="s">
        <v>43</v>
      </c>
      <c r="I2" s="9">
        <f ca="1">DATEDIF(H2, TODAY(), "Y")</f>
        <v>12</v>
      </c>
      <c r="J2" s="8" t="s">
        <v>44</v>
      </c>
      <c r="K2" s="8" t="s">
        <v>45</v>
      </c>
      <c r="L2" s="9" t="str">
        <f>VLOOKUP(K2,[1]中国省份_标准!$B$2:$F$35,4,FALSE)</f>
        <v>东部地区</v>
      </c>
      <c r="M2" s="9" t="str">
        <f>VLOOKUP(K2,[1]中国省份_标准!$B$2:$F$35,5,FALSE)</f>
        <v>华东地区</v>
      </c>
      <c r="N2" s="8" t="s">
        <v>45</v>
      </c>
      <c r="O2" s="8" t="s">
        <v>46</v>
      </c>
      <c r="P2" s="8" t="s">
        <v>47</v>
      </c>
      <c r="Q2" s="8" t="s">
        <v>39</v>
      </c>
      <c r="R2" s="8" t="s">
        <v>39</v>
      </c>
      <c r="S2" s="8" t="s">
        <v>39</v>
      </c>
      <c r="T2" s="8" t="s">
        <v>48</v>
      </c>
      <c r="U2" s="8" t="s">
        <v>49</v>
      </c>
      <c r="V2" s="8" t="s">
        <v>50</v>
      </c>
      <c r="W2" s="8" t="s">
        <v>39</v>
      </c>
      <c r="X2" s="8" t="s">
        <v>39</v>
      </c>
      <c r="Y2" s="8" t="s">
        <v>39</v>
      </c>
      <c r="Z2" s="8" t="s">
        <v>51</v>
      </c>
      <c r="AA2" s="8" t="s">
        <v>52</v>
      </c>
      <c r="AB2" s="8" t="s">
        <v>53</v>
      </c>
      <c r="AC2" s="8" t="s">
        <v>54</v>
      </c>
      <c r="AD2" s="8" t="s">
        <v>39</v>
      </c>
      <c r="AE2" s="8" t="s">
        <v>55</v>
      </c>
      <c r="AF2" s="8" t="s">
        <v>56</v>
      </c>
      <c r="AG2" s="8" t="s">
        <v>39</v>
      </c>
      <c r="AH2" s="8" t="s">
        <v>39</v>
      </c>
      <c r="AI2" s="8" t="s">
        <v>57</v>
      </c>
      <c r="AJ2" s="8" t="s">
        <v>58</v>
      </c>
      <c r="AK2" s="8" t="s">
        <v>59</v>
      </c>
      <c r="AL2" s="8" t="s">
        <v>39</v>
      </c>
    </row>
    <row r="3" spans="1:38" x14ac:dyDescent="0.4">
      <c r="A3" s="11" t="s">
        <v>60</v>
      </c>
      <c r="B3" s="12" t="s">
        <v>61</v>
      </c>
      <c r="C3" s="13" t="s">
        <v>62</v>
      </c>
      <c r="D3" s="13" t="s">
        <v>63</v>
      </c>
      <c r="E3" s="13" t="s">
        <v>64</v>
      </c>
      <c r="F3" s="13" t="s">
        <v>39</v>
      </c>
      <c r="G3" s="13" t="s">
        <v>39</v>
      </c>
      <c r="H3" s="13" t="s">
        <v>65</v>
      </c>
      <c r="I3" s="9">
        <f t="shared" ref="I3:I66" ca="1" si="0">DATEDIF(H3, TODAY(), "Y")</f>
        <v>25</v>
      </c>
      <c r="J3" s="13" t="s">
        <v>66</v>
      </c>
      <c r="K3" s="13" t="s">
        <v>67</v>
      </c>
      <c r="L3" s="9" t="str">
        <f>VLOOKUP(K3,[1]中国省份_标准!$B$2:$F$35,4,FALSE)</f>
        <v>东部地区</v>
      </c>
      <c r="M3" s="9" t="str">
        <f>VLOOKUP(K3,[1]中国省份_标准!$B$2:$F$35,5,FALSE)</f>
        <v>华东地区</v>
      </c>
      <c r="N3" s="13" t="s">
        <v>68</v>
      </c>
      <c r="O3" s="13" t="s">
        <v>69</v>
      </c>
      <c r="P3" s="13" t="s">
        <v>70</v>
      </c>
      <c r="Q3" s="13" t="s">
        <v>71</v>
      </c>
      <c r="R3" s="13" t="s">
        <v>72</v>
      </c>
      <c r="S3" s="13" t="s">
        <v>73</v>
      </c>
      <c r="T3" s="13" t="s">
        <v>74</v>
      </c>
      <c r="U3" s="13" t="s">
        <v>61</v>
      </c>
      <c r="V3" s="13" t="s">
        <v>75</v>
      </c>
      <c r="W3" s="13" t="s">
        <v>76</v>
      </c>
      <c r="X3" s="13" t="s">
        <v>77</v>
      </c>
      <c r="Y3" s="13" t="s">
        <v>78</v>
      </c>
      <c r="Z3" s="13" t="s">
        <v>79</v>
      </c>
      <c r="AA3" s="13" t="s">
        <v>80</v>
      </c>
      <c r="AB3" s="13" t="s">
        <v>81</v>
      </c>
      <c r="AC3" s="13" t="s">
        <v>82</v>
      </c>
      <c r="AD3" s="13" t="s">
        <v>83</v>
      </c>
      <c r="AE3" s="13" t="s">
        <v>39</v>
      </c>
      <c r="AF3" s="13" t="s">
        <v>84</v>
      </c>
      <c r="AG3" s="13" t="s">
        <v>39</v>
      </c>
      <c r="AH3" s="13" t="s">
        <v>39</v>
      </c>
      <c r="AI3" s="13" t="s">
        <v>85</v>
      </c>
      <c r="AJ3" s="13" t="s">
        <v>86</v>
      </c>
      <c r="AK3" s="13" t="s">
        <v>87</v>
      </c>
      <c r="AL3" s="13" t="s">
        <v>88</v>
      </c>
    </row>
    <row r="4" spans="1:38" x14ac:dyDescent="0.4">
      <c r="A4" s="11" t="s">
        <v>89</v>
      </c>
      <c r="B4" s="14" t="s">
        <v>90</v>
      </c>
      <c r="C4" s="15" t="s">
        <v>91</v>
      </c>
      <c r="D4" s="15" t="s">
        <v>92</v>
      </c>
      <c r="E4" s="15" t="s">
        <v>93</v>
      </c>
      <c r="F4" s="15" t="s">
        <v>94</v>
      </c>
      <c r="G4" s="15" t="s">
        <v>94</v>
      </c>
      <c r="H4" s="15" t="s">
        <v>95</v>
      </c>
      <c r="I4" s="9">
        <f t="shared" ca="1" si="0"/>
        <v>3</v>
      </c>
      <c r="J4" s="15" t="s">
        <v>96</v>
      </c>
      <c r="K4" s="15" t="s">
        <v>97</v>
      </c>
      <c r="L4" s="9" t="str">
        <f>VLOOKUP(K4,[1]中国省份_标准!$B$2:$F$35,4,FALSE)</f>
        <v>中部地区</v>
      </c>
      <c r="M4" s="9" t="str">
        <f>VLOOKUP(K4,[1]中国省份_标准!$B$2:$F$35,5,FALSE)</f>
        <v>华中地区</v>
      </c>
      <c r="N4" s="15" t="s">
        <v>98</v>
      </c>
      <c r="O4" s="15" t="s">
        <v>99</v>
      </c>
      <c r="P4" s="15" t="s">
        <v>100</v>
      </c>
      <c r="Q4" s="15" t="s">
        <v>101</v>
      </c>
      <c r="R4" s="15" t="s">
        <v>102</v>
      </c>
      <c r="S4" s="15" t="s">
        <v>39</v>
      </c>
      <c r="T4" s="15" t="s">
        <v>48</v>
      </c>
      <c r="U4" s="15" t="s">
        <v>90</v>
      </c>
      <c r="V4" s="15" t="s">
        <v>103</v>
      </c>
      <c r="W4" s="15" t="s">
        <v>104</v>
      </c>
      <c r="X4" s="15" t="s">
        <v>77</v>
      </c>
      <c r="Y4" s="15" t="s">
        <v>78</v>
      </c>
      <c r="Z4" s="15" t="s">
        <v>105</v>
      </c>
      <c r="AA4" s="15" t="s">
        <v>80</v>
      </c>
      <c r="AB4" s="15" t="s">
        <v>106</v>
      </c>
      <c r="AC4" s="15" t="s">
        <v>107</v>
      </c>
      <c r="AD4" s="15" t="s">
        <v>108</v>
      </c>
      <c r="AE4" s="15" t="s">
        <v>109</v>
      </c>
      <c r="AF4" s="15" t="s">
        <v>110</v>
      </c>
      <c r="AG4" s="15" t="s">
        <v>39</v>
      </c>
      <c r="AH4" s="15" t="s">
        <v>39</v>
      </c>
      <c r="AI4" s="15" t="s">
        <v>111</v>
      </c>
      <c r="AJ4" s="15" t="s">
        <v>112</v>
      </c>
      <c r="AK4" s="15" t="s">
        <v>113</v>
      </c>
      <c r="AL4" s="15" t="s">
        <v>88</v>
      </c>
    </row>
    <row r="5" spans="1:38" x14ac:dyDescent="0.4">
      <c r="A5" s="11" t="s">
        <v>114</v>
      </c>
      <c r="B5" s="12" t="s">
        <v>115</v>
      </c>
      <c r="C5" s="13" t="s">
        <v>39</v>
      </c>
      <c r="D5" s="13" t="s">
        <v>92</v>
      </c>
      <c r="E5" s="13" t="s">
        <v>116</v>
      </c>
      <c r="F5" s="13" t="s">
        <v>117</v>
      </c>
      <c r="G5" s="13" t="s">
        <v>39</v>
      </c>
      <c r="H5" s="13" t="s">
        <v>118</v>
      </c>
      <c r="I5" s="9">
        <f t="shared" ca="1" si="0"/>
        <v>3</v>
      </c>
      <c r="J5" s="13" t="s">
        <v>119</v>
      </c>
      <c r="K5" s="13" t="s">
        <v>97</v>
      </c>
      <c r="L5" s="9" t="str">
        <f>VLOOKUP(K5,[1]中国省份_标准!$B$2:$F$35,4,FALSE)</f>
        <v>中部地区</v>
      </c>
      <c r="M5" s="9" t="str">
        <f>VLOOKUP(K5,[1]中国省份_标准!$B$2:$F$35,5,FALSE)</f>
        <v>华中地区</v>
      </c>
      <c r="N5" s="13" t="s">
        <v>98</v>
      </c>
      <c r="O5" s="13" t="s">
        <v>120</v>
      </c>
      <c r="P5" s="13" t="s">
        <v>121</v>
      </c>
      <c r="Q5" s="13" t="s">
        <v>122</v>
      </c>
      <c r="R5" s="13" t="s">
        <v>123</v>
      </c>
      <c r="S5" s="13" t="s">
        <v>124</v>
      </c>
      <c r="T5" s="13" t="s">
        <v>48</v>
      </c>
      <c r="U5" s="13" t="s">
        <v>115</v>
      </c>
      <c r="V5" s="13" t="s">
        <v>125</v>
      </c>
      <c r="W5" s="13" t="s">
        <v>126</v>
      </c>
      <c r="X5" s="13" t="s">
        <v>77</v>
      </c>
      <c r="Y5" s="13" t="s">
        <v>78</v>
      </c>
      <c r="Z5" s="13" t="s">
        <v>127</v>
      </c>
      <c r="AA5" s="13" t="s">
        <v>80</v>
      </c>
      <c r="AB5" s="13" t="s">
        <v>106</v>
      </c>
      <c r="AC5" s="13" t="s">
        <v>107</v>
      </c>
      <c r="AD5" s="13" t="s">
        <v>128</v>
      </c>
      <c r="AE5" s="13" t="s">
        <v>109</v>
      </c>
      <c r="AF5" s="13" t="s">
        <v>129</v>
      </c>
      <c r="AG5" s="13" t="s">
        <v>39</v>
      </c>
      <c r="AH5" s="13" t="s">
        <v>39</v>
      </c>
      <c r="AI5" s="13" t="s">
        <v>130</v>
      </c>
      <c r="AJ5" s="13" t="s">
        <v>131</v>
      </c>
      <c r="AK5" s="13" t="s">
        <v>132</v>
      </c>
      <c r="AL5" s="13" t="s">
        <v>88</v>
      </c>
    </row>
    <row r="6" spans="1:38" x14ac:dyDescent="0.4">
      <c r="A6" s="11" t="s">
        <v>133</v>
      </c>
      <c r="B6" s="14" t="s">
        <v>134</v>
      </c>
      <c r="C6" s="15" t="s">
        <v>39</v>
      </c>
      <c r="D6" s="15" t="s">
        <v>92</v>
      </c>
      <c r="E6" s="15" t="s">
        <v>135</v>
      </c>
      <c r="F6" s="15" t="s">
        <v>39</v>
      </c>
      <c r="G6" s="15" t="s">
        <v>39</v>
      </c>
      <c r="H6" s="15" t="s">
        <v>136</v>
      </c>
      <c r="I6" s="9">
        <f t="shared" ca="1" si="0"/>
        <v>7</v>
      </c>
      <c r="J6" s="15" t="s">
        <v>137</v>
      </c>
      <c r="K6" s="15" t="s">
        <v>138</v>
      </c>
      <c r="L6" s="9" t="str">
        <f>VLOOKUP(K6,[1]中国省份_标准!$B$2:$F$35,4,FALSE)</f>
        <v>西部地区</v>
      </c>
      <c r="M6" s="9" t="str">
        <f>VLOOKUP(K6,[1]中国省份_标准!$B$2:$F$35,5,FALSE)</f>
        <v>西南地区</v>
      </c>
      <c r="N6" s="15" t="s">
        <v>139</v>
      </c>
      <c r="O6" s="15" t="s">
        <v>140</v>
      </c>
      <c r="P6" s="15" t="s">
        <v>141</v>
      </c>
      <c r="Q6" s="15" t="s">
        <v>39</v>
      </c>
      <c r="R6" s="15" t="s">
        <v>142</v>
      </c>
      <c r="S6" s="15" t="s">
        <v>39</v>
      </c>
      <c r="T6" s="15" t="s">
        <v>143</v>
      </c>
      <c r="U6" s="15" t="s">
        <v>134</v>
      </c>
      <c r="V6" s="15" t="s">
        <v>39</v>
      </c>
      <c r="W6" s="15" t="s">
        <v>144</v>
      </c>
      <c r="X6" s="15" t="s">
        <v>77</v>
      </c>
      <c r="Y6" s="15" t="s">
        <v>78</v>
      </c>
      <c r="Z6" s="15" t="s">
        <v>145</v>
      </c>
      <c r="AA6" s="15" t="s">
        <v>80</v>
      </c>
      <c r="AB6" s="15" t="s">
        <v>106</v>
      </c>
      <c r="AC6" s="15" t="s">
        <v>107</v>
      </c>
      <c r="AD6" s="15" t="s">
        <v>108</v>
      </c>
      <c r="AE6" s="15" t="s">
        <v>39</v>
      </c>
      <c r="AF6" s="15" t="s">
        <v>146</v>
      </c>
      <c r="AG6" s="15" t="s">
        <v>39</v>
      </c>
      <c r="AH6" s="15" t="s">
        <v>147</v>
      </c>
      <c r="AI6" s="15" t="s">
        <v>148</v>
      </c>
      <c r="AJ6" s="15" t="s">
        <v>149</v>
      </c>
      <c r="AK6" s="15" t="s">
        <v>150</v>
      </c>
      <c r="AL6" s="15" t="s">
        <v>88</v>
      </c>
    </row>
    <row r="7" spans="1:38" x14ac:dyDescent="0.4">
      <c r="A7" s="11" t="s">
        <v>151</v>
      </c>
      <c r="B7" s="12" t="s">
        <v>152</v>
      </c>
      <c r="C7" s="13" t="s">
        <v>39</v>
      </c>
      <c r="D7" s="13" t="s">
        <v>92</v>
      </c>
      <c r="E7" s="13" t="s">
        <v>153</v>
      </c>
      <c r="F7" s="13" t="s">
        <v>154</v>
      </c>
      <c r="G7" s="13" t="s">
        <v>39</v>
      </c>
      <c r="H7" s="13" t="s">
        <v>155</v>
      </c>
      <c r="I7" s="9">
        <f t="shared" ca="1" si="0"/>
        <v>8</v>
      </c>
      <c r="J7" s="13" t="s">
        <v>156</v>
      </c>
      <c r="K7" s="13" t="s">
        <v>157</v>
      </c>
      <c r="L7" s="9" t="str">
        <f>VLOOKUP(K7,[1]中国省份_标准!$B$2:$F$35,4,FALSE)</f>
        <v>东北地区</v>
      </c>
      <c r="M7" s="9" t="str">
        <f>VLOOKUP(K7,[1]中国省份_标准!$B$2:$F$35,5,FALSE)</f>
        <v>东北地区</v>
      </c>
      <c r="N7" s="13" t="s">
        <v>158</v>
      </c>
      <c r="O7" s="13" t="s">
        <v>159</v>
      </c>
      <c r="P7" s="13" t="s">
        <v>160</v>
      </c>
      <c r="Q7" s="13" t="s">
        <v>161</v>
      </c>
      <c r="R7" s="13" t="s">
        <v>162</v>
      </c>
      <c r="S7" s="13" t="s">
        <v>163</v>
      </c>
      <c r="T7" s="13" t="s">
        <v>164</v>
      </c>
      <c r="U7" s="13" t="s">
        <v>152</v>
      </c>
      <c r="V7" s="13" t="s">
        <v>165</v>
      </c>
      <c r="W7" s="13" t="s">
        <v>166</v>
      </c>
      <c r="X7" s="13" t="s">
        <v>167</v>
      </c>
      <c r="Y7" s="13" t="s">
        <v>78</v>
      </c>
      <c r="Z7" s="13" t="s">
        <v>168</v>
      </c>
      <c r="AA7" s="13" t="s">
        <v>169</v>
      </c>
      <c r="AB7" s="13" t="s">
        <v>170</v>
      </c>
      <c r="AC7" s="13" t="s">
        <v>171</v>
      </c>
      <c r="AD7" s="13" t="s">
        <v>39</v>
      </c>
      <c r="AE7" s="13" t="s">
        <v>109</v>
      </c>
      <c r="AF7" s="13" t="s">
        <v>172</v>
      </c>
      <c r="AG7" s="13" t="s">
        <v>39</v>
      </c>
      <c r="AH7" s="13" t="s">
        <v>39</v>
      </c>
      <c r="AI7" s="13" t="s">
        <v>39</v>
      </c>
      <c r="AJ7" s="13" t="s">
        <v>173</v>
      </c>
      <c r="AK7" s="13" t="s">
        <v>174</v>
      </c>
      <c r="AL7" s="13" t="s">
        <v>88</v>
      </c>
    </row>
    <row r="8" spans="1:38" x14ac:dyDescent="0.4">
      <c r="A8" s="11" t="s">
        <v>175</v>
      </c>
      <c r="B8" s="14" t="s">
        <v>176</v>
      </c>
      <c r="C8" s="15" t="s">
        <v>39</v>
      </c>
      <c r="D8" s="15" t="s">
        <v>92</v>
      </c>
      <c r="E8" s="15" t="s">
        <v>177</v>
      </c>
      <c r="F8" s="15" t="s">
        <v>178</v>
      </c>
      <c r="G8" s="15" t="s">
        <v>178</v>
      </c>
      <c r="H8" s="15" t="s">
        <v>179</v>
      </c>
      <c r="I8" s="9">
        <f t="shared" ca="1" si="0"/>
        <v>5</v>
      </c>
      <c r="J8" s="15" t="s">
        <v>180</v>
      </c>
      <c r="K8" s="15" t="s">
        <v>138</v>
      </c>
      <c r="L8" s="9" t="str">
        <f>VLOOKUP(K8,[1]中国省份_标准!$B$2:$F$35,4,FALSE)</f>
        <v>西部地区</v>
      </c>
      <c r="M8" s="9" t="str">
        <f>VLOOKUP(K8,[1]中国省份_标准!$B$2:$F$35,5,FALSE)</f>
        <v>西南地区</v>
      </c>
      <c r="N8" s="15" t="s">
        <v>139</v>
      </c>
      <c r="O8" s="15" t="s">
        <v>181</v>
      </c>
      <c r="P8" s="15" t="s">
        <v>182</v>
      </c>
      <c r="Q8" s="15" t="s">
        <v>183</v>
      </c>
      <c r="R8" s="15" t="s">
        <v>39</v>
      </c>
      <c r="S8" s="15" t="s">
        <v>39</v>
      </c>
      <c r="T8" s="15" t="s">
        <v>184</v>
      </c>
      <c r="U8" s="15" t="s">
        <v>176</v>
      </c>
      <c r="V8" s="15" t="s">
        <v>185</v>
      </c>
      <c r="W8" s="15" t="s">
        <v>186</v>
      </c>
      <c r="X8" s="15" t="s">
        <v>187</v>
      </c>
      <c r="Y8" s="15" t="s">
        <v>78</v>
      </c>
      <c r="Z8" s="15" t="s">
        <v>188</v>
      </c>
      <c r="AA8" s="15" t="s">
        <v>169</v>
      </c>
      <c r="AB8" s="15" t="s">
        <v>189</v>
      </c>
      <c r="AC8" s="15" t="s">
        <v>190</v>
      </c>
      <c r="AD8" s="15" t="s">
        <v>191</v>
      </c>
      <c r="AE8" s="15" t="s">
        <v>55</v>
      </c>
      <c r="AF8" s="15" t="s">
        <v>192</v>
      </c>
      <c r="AG8" s="15" t="s">
        <v>39</v>
      </c>
      <c r="AH8" s="15" t="s">
        <v>39</v>
      </c>
      <c r="AI8" s="15" t="s">
        <v>193</v>
      </c>
      <c r="AJ8" s="15" t="s">
        <v>194</v>
      </c>
      <c r="AK8" s="15" t="s">
        <v>195</v>
      </c>
      <c r="AL8" s="15" t="s">
        <v>88</v>
      </c>
    </row>
    <row r="9" spans="1:38" x14ac:dyDescent="0.4">
      <c r="A9" s="11" t="s">
        <v>196</v>
      </c>
      <c r="B9" s="12" t="s">
        <v>197</v>
      </c>
      <c r="C9" s="13" t="s">
        <v>198</v>
      </c>
      <c r="D9" s="13" t="s">
        <v>63</v>
      </c>
      <c r="E9" s="13" t="s">
        <v>199</v>
      </c>
      <c r="F9" s="13" t="s">
        <v>200</v>
      </c>
      <c r="G9" s="13" t="s">
        <v>200</v>
      </c>
      <c r="H9" s="13" t="s">
        <v>201</v>
      </c>
      <c r="I9" s="9">
        <f t="shared" ca="1" si="0"/>
        <v>6</v>
      </c>
      <c r="J9" s="13" t="s">
        <v>202</v>
      </c>
      <c r="K9" s="13" t="s">
        <v>67</v>
      </c>
      <c r="L9" s="9" t="str">
        <f>VLOOKUP(K9,[1]中国省份_标准!$B$2:$F$35,4,FALSE)</f>
        <v>东部地区</v>
      </c>
      <c r="M9" s="9" t="str">
        <f>VLOOKUP(K9,[1]中国省份_标准!$B$2:$F$35,5,FALSE)</f>
        <v>华东地区</v>
      </c>
      <c r="N9" s="13" t="s">
        <v>203</v>
      </c>
      <c r="O9" s="13" t="s">
        <v>204</v>
      </c>
      <c r="P9" s="13" t="s">
        <v>205</v>
      </c>
      <c r="Q9" s="13" t="s">
        <v>206</v>
      </c>
      <c r="R9" s="13" t="s">
        <v>207</v>
      </c>
      <c r="S9" s="13" t="s">
        <v>208</v>
      </c>
      <c r="T9" s="13" t="s">
        <v>209</v>
      </c>
      <c r="U9" s="13" t="s">
        <v>197</v>
      </c>
      <c r="V9" s="13" t="s">
        <v>210</v>
      </c>
      <c r="W9" s="13" t="s">
        <v>211</v>
      </c>
      <c r="X9" s="13" t="s">
        <v>212</v>
      </c>
      <c r="Y9" s="13" t="s">
        <v>78</v>
      </c>
      <c r="Z9" s="13" t="s">
        <v>213</v>
      </c>
      <c r="AA9" s="13" t="s">
        <v>169</v>
      </c>
      <c r="AB9" s="13" t="s">
        <v>214</v>
      </c>
      <c r="AC9" s="13" t="s">
        <v>215</v>
      </c>
      <c r="AD9" s="13" t="s">
        <v>215</v>
      </c>
      <c r="AE9" s="13" t="s">
        <v>55</v>
      </c>
      <c r="AF9" s="13" t="s">
        <v>216</v>
      </c>
      <c r="AG9" s="13" t="s">
        <v>39</v>
      </c>
      <c r="AH9" s="13" t="s">
        <v>39</v>
      </c>
      <c r="AI9" s="13" t="s">
        <v>217</v>
      </c>
      <c r="AJ9" s="13" t="s">
        <v>218</v>
      </c>
      <c r="AK9" s="13" t="s">
        <v>219</v>
      </c>
      <c r="AL9" s="13" t="s">
        <v>88</v>
      </c>
    </row>
    <row r="10" spans="1:38" x14ac:dyDescent="0.4">
      <c r="A10" s="11" t="s">
        <v>220</v>
      </c>
      <c r="B10" s="14" t="s">
        <v>221</v>
      </c>
      <c r="C10" s="15" t="s">
        <v>222</v>
      </c>
      <c r="D10" s="15" t="s">
        <v>92</v>
      </c>
      <c r="E10" s="15" t="s">
        <v>223</v>
      </c>
      <c r="F10" s="15" t="s">
        <v>224</v>
      </c>
      <c r="G10" s="15" t="s">
        <v>224</v>
      </c>
      <c r="H10" s="15" t="s">
        <v>225</v>
      </c>
      <c r="I10" s="9">
        <f t="shared" ca="1" si="0"/>
        <v>24</v>
      </c>
      <c r="J10" s="15" t="s">
        <v>226</v>
      </c>
      <c r="K10" s="15" t="s">
        <v>227</v>
      </c>
      <c r="L10" s="9" t="str">
        <f>VLOOKUP(K10,[1]中国省份_标准!$B$2:$F$35,4,FALSE)</f>
        <v>西部地区</v>
      </c>
      <c r="M10" s="9" t="str">
        <f>VLOOKUP(K10,[1]中国省份_标准!$B$2:$F$35,5,FALSE)</f>
        <v>西北地区</v>
      </c>
      <c r="N10" s="15" t="s">
        <v>228</v>
      </c>
      <c r="O10" s="15" t="s">
        <v>229</v>
      </c>
      <c r="P10" s="15" t="s">
        <v>230</v>
      </c>
      <c r="Q10" s="15" t="s">
        <v>231</v>
      </c>
      <c r="R10" s="15" t="s">
        <v>232</v>
      </c>
      <c r="S10" s="15" t="s">
        <v>233</v>
      </c>
      <c r="T10" s="15" t="s">
        <v>209</v>
      </c>
      <c r="U10" s="15" t="s">
        <v>221</v>
      </c>
      <c r="V10" s="15" t="s">
        <v>234</v>
      </c>
      <c r="W10" s="15" t="s">
        <v>235</v>
      </c>
      <c r="X10" s="15" t="s">
        <v>236</v>
      </c>
      <c r="Y10" s="15" t="s">
        <v>78</v>
      </c>
      <c r="Z10" s="15" t="s">
        <v>237</v>
      </c>
      <c r="AA10" s="15" t="s">
        <v>80</v>
      </c>
      <c r="AB10" s="15" t="s">
        <v>106</v>
      </c>
      <c r="AC10" s="15" t="s">
        <v>107</v>
      </c>
      <c r="AD10" s="15" t="s">
        <v>238</v>
      </c>
      <c r="AE10" s="15" t="s">
        <v>239</v>
      </c>
      <c r="AF10" s="15" t="s">
        <v>240</v>
      </c>
      <c r="AG10" s="15" t="s">
        <v>39</v>
      </c>
      <c r="AH10" s="15" t="s">
        <v>39</v>
      </c>
      <c r="AI10" s="15" t="s">
        <v>241</v>
      </c>
      <c r="AJ10" s="15" t="s">
        <v>242</v>
      </c>
      <c r="AK10" s="15" t="s">
        <v>243</v>
      </c>
      <c r="AL10" s="15" t="s">
        <v>88</v>
      </c>
    </row>
    <row r="11" spans="1:38" x14ac:dyDescent="0.4">
      <c r="A11" s="11" t="s">
        <v>244</v>
      </c>
      <c r="B11" s="12" t="s">
        <v>245</v>
      </c>
      <c r="C11" s="13" t="s">
        <v>39</v>
      </c>
      <c r="D11" s="13" t="s">
        <v>92</v>
      </c>
      <c r="E11" s="13" t="s">
        <v>246</v>
      </c>
      <c r="F11" s="13" t="s">
        <v>247</v>
      </c>
      <c r="G11" s="13" t="s">
        <v>247</v>
      </c>
      <c r="H11" s="13" t="s">
        <v>248</v>
      </c>
      <c r="I11" s="9">
        <f t="shared" ca="1" si="0"/>
        <v>22</v>
      </c>
      <c r="J11" s="13" t="s">
        <v>249</v>
      </c>
      <c r="K11" s="13" t="s">
        <v>138</v>
      </c>
      <c r="L11" s="9" t="str">
        <f>VLOOKUP(K11,[1]中国省份_标准!$B$2:$F$35,4,FALSE)</f>
        <v>西部地区</v>
      </c>
      <c r="M11" s="9" t="str">
        <f>VLOOKUP(K11,[1]中国省份_标准!$B$2:$F$35,5,FALSE)</f>
        <v>西南地区</v>
      </c>
      <c r="N11" s="13" t="s">
        <v>250</v>
      </c>
      <c r="O11" s="13" t="s">
        <v>251</v>
      </c>
      <c r="P11" s="13" t="s">
        <v>252</v>
      </c>
      <c r="Q11" s="13" t="s">
        <v>39</v>
      </c>
      <c r="R11" s="13" t="s">
        <v>253</v>
      </c>
      <c r="S11" s="13" t="s">
        <v>254</v>
      </c>
      <c r="T11" s="13" t="s">
        <v>48</v>
      </c>
      <c r="U11" s="13" t="s">
        <v>245</v>
      </c>
      <c r="V11" s="13" t="s">
        <v>255</v>
      </c>
      <c r="W11" s="13" t="s">
        <v>256</v>
      </c>
      <c r="X11" s="13" t="s">
        <v>257</v>
      </c>
      <c r="Y11" s="13" t="s">
        <v>78</v>
      </c>
      <c r="Z11" s="13" t="s">
        <v>258</v>
      </c>
      <c r="AA11" s="13" t="s">
        <v>169</v>
      </c>
      <c r="AB11" s="13" t="s">
        <v>259</v>
      </c>
      <c r="AC11" s="13" t="s">
        <v>260</v>
      </c>
      <c r="AD11" s="13" t="s">
        <v>261</v>
      </c>
      <c r="AE11" s="13" t="s">
        <v>262</v>
      </c>
      <c r="AF11" s="13" t="s">
        <v>263</v>
      </c>
      <c r="AG11" s="13" t="s">
        <v>264</v>
      </c>
      <c r="AH11" s="13" t="s">
        <v>39</v>
      </c>
      <c r="AI11" s="13" t="s">
        <v>265</v>
      </c>
      <c r="AJ11" s="13" t="s">
        <v>266</v>
      </c>
      <c r="AK11" s="13" t="s">
        <v>267</v>
      </c>
      <c r="AL11" s="13" t="s">
        <v>88</v>
      </c>
    </row>
    <row r="12" spans="1:38" x14ac:dyDescent="0.4">
      <c r="A12" s="11" t="s">
        <v>268</v>
      </c>
      <c r="B12" s="14" t="s">
        <v>269</v>
      </c>
      <c r="C12" s="15" t="s">
        <v>39</v>
      </c>
      <c r="D12" s="15" t="s">
        <v>92</v>
      </c>
      <c r="E12" s="15" t="s">
        <v>270</v>
      </c>
      <c r="F12" s="15" t="s">
        <v>271</v>
      </c>
      <c r="G12" s="15" t="s">
        <v>271</v>
      </c>
      <c r="H12" s="15" t="s">
        <v>272</v>
      </c>
      <c r="I12" s="9">
        <f t="shared" ca="1" si="0"/>
        <v>5</v>
      </c>
      <c r="J12" s="15" t="s">
        <v>273</v>
      </c>
      <c r="K12" s="15" t="s">
        <v>274</v>
      </c>
      <c r="L12" s="9" t="str">
        <f>VLOOKUP(K12,[1]中国省份_标准!$B$2:$F$35,4,FALSE)</f>
        <v>西部地区</v>
      </c>
      <c r="M12" s="9" t="str">
        <f>VLOOKUP(K12,[1]中国省份_标准!$B$2:$F$35,5,FALSE)</f>
        <v>西南地区</v>
      </c>
      <c r="N12" s="15" t="s">
        <v>275</v>
      </c>
      <c r="O12" s="15" t="s">
        <v>276</v>
      </c>
      <c r="P12" s="15" t="s">
        <v>277</v>
      </c>
      <c r="Q12" s="15" t="s">
        <v>278</v>
      </c>
      <c r="R12" s="15" t="s">
        <v>279</v>
      </c>
      <c r="S12" s="15" t="s">
        <v>280</v>
      </c>
      <c r="T12" s="15" t="s">
        <v>281</v>
      </c>
      <c r="U12" s="15" t="s">
        <v>269</v>
      </c>
      <c r="V12" s="15" t="s">
        <v>39</v>
      </c>
      <c r="W12" s="15" t="s">
        <v>282</v>
      </c>
      <c r="X12" s="15" t="s">
        <v>77</v>
      </c>
      <c r="Y12" s="15" t="s">
        <v>283</v>
      </c>
      <c r="Z12" s="15" t="s">
        <v>284</v>
      </c>
      <c r="AA12" s="15" t="s">
        <v>169</v>
      </c>
      <c r="AB12" s="15" t="s">
        <v>285</v>
      </c>
      <c r="AC12" s="15" t="s">
        <v>286</v>
      </c>
      <c r="AD12" s="15" t="s">
        <v>287</v>
      </c>
      <c r="AE12" s="15" t="s">
        <v>55</v>
      </c>
      <c r="AF12" s="15" t="s">
        <v>288</v>
      </c>
      <c r="AG12" s="15" t="s">
        <v>39</v>
      </c>
      <c r="AH12" s="15" t="s">
        <v>39</v>
      </c>
      <c r="AI12" s="15" t="s">
        <v>289</v>
      </c>
      <c r="AJ12" s="15" t="s">
        <v>290</v>
      </c>
      <c r="AK12" s="15" t="s">
        <v>291</v>
      </c>
      <c r="AL12" s="15" t="s">
        <v>88</v>
      </c>
    </row>
    <row r="13" spans="1:38" x14ac:dyDescent="0.4">
      <c r="A13" s="11" t="s">
        <v>292</v>
      </c>
      <c r="B13" s="12" t="s">
        <v>293</v>
      </c>
      <c r="C13" s="13" t="s">
        <v>39</v>
      </c>
      <c r="D13" s="13" t="s">
        <v>92</v>
      </c>
      <c r="E13" s="13" t="s">
        <v>294</v>
      </c>
      <c r="F13" s="13" t="s">
        <v>295</v>
      </c>
      <c r="G13" s="13" t="s">
        <v>295</v>
      </c>
      <c r="H13" s="13" t="s">
        <v>296</v>
      </c>
      <c r="I13" s="9">
        <f t="shared" ca="1" si="0"/>
        <v>9</v>
      </c>
      <c r="J13" s="13" t="s">
        <v>297</v>
      </c>
      <c r="K13" s="13" t="s">
        <v>298</v>
      </c>
      <c r="L13" s="9" t="str">
        <f>VLOOKUP(K13,[1]中国省份_标准!$B$2:$F$35,4,FALSE)</f>
        <v>西部地区</v>
      </c>
      <c r="M13" s="9" t="str">
        <f>VLOOKUP(K13,[1]中国省份_标准!$B$2:$F$35,5,FALSE)</f>
        <v>西南地区</v>
      </c>
      <c r="N13" s="13" t="s">
        <v>299</v>
      </c>
      <c r="O13" s="13" t="s">
        <v>300</v>
      </c>
      <c r="P13" s="13" t="s">
        <v>301</v>
      </c>
      <c r="Q13" s="13" t="s">
        <v>302</v>
      </c>
      <c r="R13" s="13" t="s">
        <v>303</v>
      </c>
      <c r="S13" s="13" t="s">
        <v>304</v>
      </c>
      <c r="T13" s="13" t="s">
        <v>184</v>
      </c>
      <c r="U13" s="13" t="s">
        <v>293</v>
      </c>
      <c r="V13" s="13" t="s">
        <v>305</v>
      </c>
      <c r="W13" s="13" t="s">
        <v>306</v>
      </c>
      <c r="X13" s="13" t="s">
        <v>307</v>
      </c>
      <c r="Y13" s="13" t="s">
        <v>78</v>
      </c>
      <c r="Z13" s="13" t="s">
        <v>308</v>
      </c>
      <c r="AA13" s="13" t="s">
        <v>309</v>
      </c>
      <c r="AB13" s="13" t="s">
        <v>310</v>
      </c>
      <c r="AC13" s="13" t="s">
        <v>311</v>
      </c>
      <c r="AD13" s="13" t="s">
        <v>312</v>
      </c>
      <c r="AE13" s="13" t="s">
        <v>262</v>
      </c>
      <c r="AF13" s="13" t="s">
        <v>313</v>
      </c>
      <c r="AG13" s="13" t="s">
        <v>39</v>
      </c>
      <c r="AH13" s="13" t="s">
        <v>39</v>
      </c>
      <c r="AI13" s="13" t="s">
        <v>314</v>
      </c>
      <c r="AJ13" s="13" t="s">
        <v>315</v>
      </c>
      <c r="AK13" s="13" t="s">
        <v>316</v>
      </c>
      <c r="AL13" s="13" t="s">
        <v>88</v>
      </c>
    </row>
    <row r="14" spans="1:38" x14ac:dyDescent="0.4">
      <c r="A14" s="11" t="s">
        <v>317</v>
      </c>
      <c r="B14" s="14" t="s">
        <v>318</v>
      </c>
      <c r="C14" s="15" t="s">
        <v>39</v>
      </c>
      <c r="D14" s="15" t="s">
        <v>92</v>
      </c>
      <c r="E14" s="15" t="s">
        <v>294</v>
      </c>
      <c r="F14" s="15" t="s">
        <v>319</v>
      </c>
      <c r="G14" s="15" t="s">
        <v>319</v>
      </c>
      <c r="H14" s="15" t="s">
        <v>320</v>
      </c>
      <c r="I14" s="9">
        <f t="shared" ca="1" si="0"/>
        <v>9</v>
      </c>
      <c r="J14" s="15" t="s">
        <v>321</v>
      </c>
      <c r="K14" s="15" t="s">
        <v>298</v>
      </c>
      <c r="L14" s="9" t="str">
        <f>VLOOKUP(K14,[1]中国省份_标准!$B$2:$F$35,4,FALSE)</f>
        <v>西部地区</v>
      </c>
      <c r="M14" s="9" t="str">
        <f>VLOOKUP(K14,[1]中国省份_标准!$B$2:$F$35,5,FALSE)</f>
        <v>西南地区</v>
      </c>
      <c r="N14" s="15" t="s">
        <v>322</v>
      </c>
      <c r="O14" s="15" t="s">
        <v>323</v>
      </c>
      <c r="P14" s="15" t="s">
        <v>324</v>
      </c>
      <c r="Q14" s="15" t="s">
        <v>39</v>
      </c>
      <c r="R14" s="15" t="s">
        <v>39</v>
      </c>
      <c r="S14" s="15" t="s">
        <v>39</v>
      </c>
      <c r="T14" s="15" t="s">
        <v>184</v>
      </c>
      <c r="U14" s="15" t="s">
        <v>318</v>
      </c>
      <c r="V14" s="15" t="s">
        <v>325</v>
      </c>
      <c r="W14" s="15" t="s">
        <v>326</v>
      </c>
      <c r="X14" s="15" t="s">
        <v>327</v>
      </c>
      <c r="Y14" s="15" t="s">
        <v>78</v>
      </c>
      <c r="Z14" s="15" t="s">
        <v>328</v>
      </c>
      <c r="AA14" s="15" t="s">
        <v>309</v>
      </c>
      <c r="AB14" s="15" t="s">
        <v>310</v>
      </c>
      <c r="AC14" s="15" t="s">
        <v>311</v>
      </c>
      <c r="AD14" s="15" t="s">
        <v>312</v>
      </c>
      <c r="AE14" s="15" t="s">
        <v>262</v>
      </c>
      <c r="AF14" s="15" t="s">
        <v>329</v>
      </c>
      <c r="AG14" s="15" t="s">
        <v>39</v>
      </c>
      <c r="AH14" s="15" t="s">
        <v>39</v>
      </c>
      <c r="AI14" s="15" t="s">
        <v>330</v>
      </c>
      <c r="AJ14" s="15" t="s">
        <v>331</v>
      </c>
      <c r="AK14" s="15" t="s">
        <v>332</v>
      </c>
      <c r="AL14" s="15" t="s">
        <v>88</v>
      </c>
    </row>
    <row r="15" spans="1:38" x14ac:dyDescent="0.4">
      <c r="A15" s="11" t="s">
        <v>333</v>
      </c>
      <c r="B15" s="12" t="s">
        <v>334</v>
      </c>
      <c r="C15" s="13" t="s">
        <v>39</v>
      </c>
      <c r="D15" s="13" t="s">
        <v>335</v>
      </c>
      <c r="E15" s="13" t="s">
        <v>336</v>
      </c>
      <c r="F15" s="13" t="s">
        <v>154</v>
      </c>
      <c r="G15" s="13" t="s">
        <v>337</v>
      </c>
      <c r="H15" s="13" t="s">
        <v>338</v>
      </c>
      <c r="I15" s="9">
        <f t="shared" ca="1" si="0"/>
        <v>6</v>
      </c>
      <c r="J15" s="13" t="s">
        <v>339</v>
      </c>
      <c r="K15" s="13" t="s">
        <v>340</v>
      </c>
      <c r="L15" s="9" t="str">
        <f>VLOOKUP(K15,[1]中国省份_标准!$B$2:$F$35,4,FALSE)</f>
        <v>东部地区</v>
      </c>
      <c r="M15" s="9" t="str">
        <f>VLOOKUP(K15,[1]中国省份_标准!$B$2:$F$35,5,FALSE)</f>
        <v>华东地区</v>
      </c>
      <c r="N15" s="13" t="s">
        <v>341</v>
      </c>
      <c r="O15" s="13" t="s">
        <v>342</v>
      </c>
      <c r="P15" s="13" t="s">
        <v>343</v>
      </c>
      <c r="Q15" s="13" t="s">
        <v>39</v>
      </c>
      <c r="R15" s="13" t="s">
        <v>344</v>
      </c>
      <c r="S15" s="13" t="s">
        <v>39</v>
      </c>
      <c r="T15" s="13" t="s">
        <v>48</v>
      </c>
      <c r="U15" s="13" t="s">
        <v>334</v>
      </c>
      <c r="V15" s="13" t="s">
        <v>39</v>
      </c>
      <c r="W15" s="13" t="s">
        <v>345</v>
      </c>
      <c r="X15" s="13" t="s">
        <v>39</v>
      </c>
      <c r="Y15" s="13" t="s">
        <v>39</v>
      </c>
      <c r="Z15" s="13" t="s">
        <v>346</v>
      </c>
      <c r="AA15" s="13" t="s">
        <v>169</v>
      </c>
      <c r="AB15" s="13" t="s">
        <v>170</v>
      </c>
      <c r="AC15" s="13" t="s">
        <v>171</v>
      </c>
      <c r="AD15" s="13" t="s">
        <v>347</v>
      </c>
      <c r="AE15" s="13" t="s">
        <v>109</v>
      </c>
      <c r="AF15" s="13" t="s">
        <v>348</v>
      </c>
      <c r="AG15" s="13" t="s">
        <v>39</v>
      </c>
      <c r="AH15" s="13" t="s">
        <v>39</v>
      </c>
      <c r="AI15" s="13" t="s">
        <v>349</v>
      </c>
      <c r="AJ15" s="13" t="s">
        <v>350</v>
      </c>
      <c r="AK15" s="13" t="s">
        <v>351</v>
      </c>
      <c r="AL15" s="13" t="s">
        <v>88</v>
      </c>
    </row>
    <row r="16" spans="1:38" x14ac:dyDescent="0.4">
      <c r="A16" s="11" t="s">
        <v>352</v>
      </c>
      <c r="B16" s="14" t="s">
        <v>353</v>
      </c>
      <c r="C16" s="15" t="s">
        <v>354</v>
      </c>
      <c r="D16" s="15" t="s">
        <v>92</v>
      </c>
      <c r="E16" s="15" t="s">
        <v>355</v>
      </c>
      <c r="F16" s="15" t="s">
        <v>271</v>
      </c>
      <c r="G16" s="15" t="s">
        <v>154</v>
      </c>
      <c r="H16" s="15" t="s">
        <v>356</v>
      </c>
      <c r="I16" s="9">
        <f t="shared" ca="1" si="0"/>
        <v>17</v>
      </c>
      <c r="J16" s="15" t="s">
        <v>357</v>
      </c>
      <c r="K16" s="15" t="s">
        <v>340</v>
      </c>
      <c r="L16" s="9" t="str">
        <f>VLOOKUP(K16,[1]中国省份_标准!$B$2:$F$35,4,FALSE)</f>
        <v>东部地区</v>
      </c>
      <c r="M16" s="9" t="str">
        <f>VLOOKUP(K16,[1]中国省份_标准!$B$2:$F$35,5,FALSE)</f>
        <v>华东地区</v>
      </c>
      <c r="N16" s="15" t="s">
        <v>341</v>
      </c>
      <c r="O16" s="15" t="s">
        <v>358</v>
      </c>
      <c r="P16" s="15" t="s">
        <v>359</v>
      </c>
      <c r="Q16" s="15" t="s">
        <v>360</v>
      </c>
      <c r="R16" s="15" t="s">
        <v>361</v>
      </c>
      <c r="S16" s="15" t="s">
        <v>362</v>
      </c>
      <c r="T16" s="15" t="s">
        <v>48</v>
      </c>
      <c r="U16" s="15" t="s">
        <v>353</v>
      </c>
      <c r="V16" s="15" t="s">
        <v>363</v>
      </c>
      <c r="W16" s="15" t="s">
        <v>364</v>
      </c>
      <c r="X16" s="15" t="s">
        <v>365</v>
      </c>
      <c r="Y16" s="15" t="s">
        <v>78</v>
      </c>
      <c r="Z16" s="15" t="s">
        <v>366</v>
      </c>
      <c r="AA16" s="15" t="s">
        <v>169</v>
      </c>
      <c r="AB16" s="15" t="s">
        <v>170</v>
      </c>
      <c r="AC16" s="15" t="s">
        <v>367</v>
      </c>
      <c r="AD16" s="15" t="s">
        <v>368</v>
      </c>
      <c r="AE16" s="15" t="s">
        <v>55</v>
      </c>
      <c r="AF16" s="15" t="s">
        <v>369</v>
      </c>
      <c r="AG16" s="15" t="s">
        <v>370</v>
      </c>
      <c r="AH16" s="15" t="s">
        <v>39</v>
      </c>
      <c r="AI16" s="15" t="s">
        <v>371</v>
      </c>
      <c r="AJ16" s="15" t="s">
        <v>372</v>
      </c>
      <c r="AK16" s="15" t="s">
        <v>373</v>
      </c>
      <c r="AL16" s="15" t="s">
        <v>88</v>
      </c>
    </row>
    <row r="17" spans="1:38" x14ac:dyDescent="0.4">
      <c r="A17" s="11" t="s">
        <v>374</v>
      </c>
      <c r="B17" s="12" t="s">
        <v>375</v>
      </c>
      <c r="C17" s="13" t="s">
        <v>39</v>
      </c>
      <c r="D17" s="13" t="s">
        <v>92</v>
      </c>
      <c r="E17" s="13" t="s">
        <v>376</v>
      </c>
      <c r="F17" s="13" t="s">
        <v>271</v>
      </c>
      <c r="G17" s="13" t="s">
        <v>39</v>
      </c>
      <c r="H17" s="13" t="s">
        <v>377</v>
      </c>
      <c r="I17" s="9">
        <f t="shared" ca="1" si="0"/>
        <v>4</v>
      </c>
      <c r="J17" s="13" t="s">
        <v>378</v>
      </c>
      <c r="K17" s="13" t="s">
        <v>379</v>
      </c>
      <c r="L17" s="9" t="str">
        <f>VLOOKUP(K17,[1]中国省份_标准!$B$2:$F$35,4,FALSE)</f>
        <v>东部地区</v>
      </c>
      <c r="M17" s="9" t="str">
        <f>VLOOKUP(K17,[1]中国省份_标准!$B$2:$F$35,5,FALSE)</f>
        <v>华东地区</v>
      </c>
      <c r="N17" s="13" t="s">
        <v>380</v>
      </c>
      <c r="O17" s="13" t="s">
        <v>381</v>
      </c>
      <c r="P17" s="13" t="s">
        <v>382</v>
      </c>
      <c r="Q17" s="13" t="s">
        <v>383</v>
      </c>
      <c r="R17" s="13" t="s">
        <v>384</v>
      </c>
      <c r="S17" s="13" t="s">
        <v>39</v>
      </c>
      <c r="T17" s="13" t="s">
        <v>281</v>
      </c>
      <c r="U17" s="13" t="s">
        <v>375</v>
      </c>
      <c r="V17" s="13" t="s">
        <v>385</v>
      </c>
      <c r="W17" s="13" t="s">
        <v>386</v>
      </c>
      <c r="X17" s="13" t="s">
        <v>77</v>
      </c>
      <c r="Y17" s="13" t="s">
        <v>78</v>
      </c>
      <c r="Z17" s="13" t="s">
        <v>387</v>
      </c>
      <c r="AA17" s="13" t="s">
        <v>80</v>
      </c>
      <c r="AB17" s="13" t="s">
        <v>106</v>
      </c>
      <c r="AC17" s="13" t="s">
        <v>388</v>
      </c>
      <c r="AD17" s="13" t="s">
        <v>389</v>
      </c>
      <c r="AE17" s="13" t="s">
        <v>109</v>
      </c>
      <c r="AF17" s="13" t="s">
        <v>390</v>
      </c>
      <c r="AG17" s="13" t="s">
        <v>39</v>
      </c>
      <c r="AH17" s="13" t="s">
        <v>39</v>
      </c>
      <c r="AI17" s="13" t="s">
        <v>391</v>
      </c>
      <c r="AJ17" s="13" t="s">
        <v>392</v>
      </c>
      <c r="AK17" s="13" t="s">
        <v>393</v>
      </c>
      <c r="AL17" s="13" t="s">
        <v>88</v>
      </c>
    </row>
    <row r="18" spans="1:38" x14ac:dyDescent="0.4">
      <c r="A18" s="11" t="s">
        <v>394</v>
      </c>
      <c r="B18" s="14" t="s">
        <v>395</v>
      </c>
      <c r="C18" s="15" t="s">
        <v>396</v>
      </c>
      <c r="D18" s="15" t="s">
        <v>92</v>
      </c>
      <c r="E18" s="15" t="s">
        <v>397</v>
      </c>
      <c r="F18" s="15" t="s">
        <v>398</v>
      </c>
      <c r="G18" s="15" t="s">
        <v>398</v>
      </c>
      <c r="H18" s="15" t="s">
        <v>399</v>
      </c>
      <c r="I18" s="9">
        <f t="shared" ca="1" si="0"/>
        <v>27</v>
      </c>
      <c r="J18" s="15" t="s">
        <v>400</v>
      </c>
      <c r="K18" s="15" t="s">
        <v>340</v>
      </c>
      <c r="L18" s="9" t="str">
        <f>VLOOKUP(K18,[1]中国省份_标准!$B$2:$F$35,4,FALSE)</f>
        <v>东部地区</v>
      </c>
      <c r="M18" s="9" t="str">
        <f>VLOOKUP(K18,[1]中国省份_标准!$B$2:$F$35,5,FALSE)</f>
        <v>华东地区</v>
      </c>
      <c r="N18" s="15" t="s">
        <v>401</v>
      </c>
      <c r="O18" s="15" t="s">
        <v>402</v>
      </c>
      <c r="P18" s="15" t="s">
        <v>403</v>
      </c>
      <c r="Q18" s="15" t="s">
        <v>404</v>
      </c>
      <c r="R18" s="15" t="s">
        <v>405</v>
      </c>
      <c r="S18" s="15" t="s">
        <v>406</v>
      </c>
      <c r="T18" s="15" t="s">
        <v>407</v>
      </c>
      <c r="U18" s="15" t="s">
        <v>395</v>
      </c>
      <c r="V18" s="15" t="s">
        <v>408</v>
      </c>
      <c r="W18" s="15" t="s">
        <v>409</v>
      </c>
      <c r="X18" s="15" t="s">
        <v>410</v>
      </c>
      <c r="Y18" s="15" t="s">
        <v>78</v>
      </c>
      <c r="Z18" s="15" t="s">
        <v>411</v>
      </c>
      <c r="AA18" s="15" t="s">
        <v>169</v>
      </c>
      <c r="AB18" s="15" t="s">
        <v>412</v>
      </c>
      <c r="AC18" s="15" t="s">
        <v>413</v>
      </c>
      <c r="AD18" s="15" t="s">
        <v>39</v>
      </c>
      <c r="AE18" s="15" t="s">
        <v>262</v>
      </c>
      <c r="AF18" s="15" t="s">
        <v>414</v>
      </c>
      <c r="AG18" s="15" t="s">
        <v>415</v>
      </c>
      <c r="AH18" s="15" t="s">
        <v>39</v>
      </c>
      <c r="AI18" s="15" t="s">
        <v>416</v>
      </c>
      <c r="AJ18" s="15" t="s">
        <v>417</v>
      </c>
      <c r="AK18" s="15" t="s">
        <v>418</v>
      </c>
      <c r="AL18" s="15" t="s">
        <v>88</v>
      </c>
    </row>
    <row r="19" spans="1:38" x14ac:dyDescent="0.4">
      <c r="A19" s="11" t="s">
        <v>419</v>
      </c>
      <c r="B19" s="12" t="s">
        <v>420</v>
      </c>
      <c r="C19" s="13" t="s">
        <v>39</v>
      </c>
      <c r="D19" s="13" t="s">
        <v>92</v>
      </c>
      <c r="E19" s="13" t="s">
        <v>421</v>
      </c>
      <c r="F19" s="13" t="s">
        <v>422</v>
      </c>
      <c r="G19" s="13" t="s">
        <v>422</v>
      </c>
      <c r="H19" s="13" t="s">
        <v>423</v>
      </c>
      <c r="I19" s="9">
        <f t="shared" ca="1" si="0"/>
        <v>21</v>
      </c>
      <c r="J19" s="13" t="s">
        <v>424</v>
      </c>
      <c r="K19" s="13" t="s">
        <v>425</v>
      </c>
      <c r="L19" s="9" t="str">
        <f>VLOOKUP(K19,[1]中国省份_标准!$B$2:$F$35,4,FALSE)</f>
        <v>东部地区</v>
      </c>
      <c r="M19" s="9" t="str">
        <f>VLOOKUP(K19,[1]中国省份_标准!$B$2:$F$35,5,FALSE)</f>
        <v>华东地区</v>
      </c>
      <c r="N19" s="13" t="s">
        <v>426</v>
      </c>
      <c r="O19" s="13" t="s">
        <v>427</v>
      </c>
      <c r="P19" s="13" t="s">
        <v>428</v>
      </c>
      <c r="Q19" s="13" t="s">
        <v>429</v>
      </c>
      <c r="R19" s="13" t="s">
        <v>430</v>
      </c>
      <c r="S19" s="13" t="s">
        <v>39</v>
      </c>
      <c r="T19" s="13" t="s">
        <v>48</v>
      </c>
      <c r="U19" s="13" t="s">
        <v>420</v>
      </c>
      <c r="V19" s="13" t="s">
        <v>431</v>
      </c>
      <c r="W19" s="13" t="s">
        <v>432</v>
      </c>
      <c r="X19" s="13" t="s">
        <v>77</v>
      </c>
      <c r="Y19" s="13" t="s">
        <v>78</v>
      </c>
      <c r="Z19" s="13" t="s">
        <v>433</v>
      </c>
      <c r="AA19" s="13" t="s">
        <v>80</v>
      </c>
      <c r="AB19" s="13" t="s">
        <v>106</v>
      </c>
      <c r="AC19" s="13" t="s">
        <v>388</v>
      </c>
      <c r="AD19" s="13" t="s">
        <v>434</v>
      </c>
      <c r="AE19" s="13" t="s">
        <v>109</v>
      </c>
      <c r="AF19" s="13" t="s">
        <v>435</v>
      </c>
      <c r="AG19" s="13" t="s">
        <v>39</v>
      </c>
      <c r="AH19" s="13" t="s">
        <v>39</v>
      </c>
      <c r="AI19" s="13" t="s">
        <v>436</v>
      </c>
      <c r="AJ19" s="13" t="s">
        <v>437</v>
      </c>
      <c r="AK19" s="13" t="s">
        <v>438</v>
      </c>
      <c r="AL19" s="13" t="s">
        <v>88</v>
      </c>
    </row>
    <row r="20" spans="1:38" x14ac:dyDescent="0.4">
      <c r="A20" s="11" t="s">
        <v>439</v>
      </c>
      <c r="B20" s="14" t="s">
        <v>440</v>
      </c>
      <c r="C20" s="15" t="s">
        <v>39</v>
      </c>
      <c r="D20" s="15" t="s">
        <v>92</v>
      </c>
      <c r="E20" s="15" t="s">
        <v>441</v>
      </c>
      <c r="F20" s="15" t="s">
        <v>442</v>
      </c>
      <c r="G20" s="15" t="s">
        <v>442</v>
      </c>
      <c r="H20" s="15" t="s">
        <v>443</v>
      </c>
      <c r="I20" s="9">
        <f t="shared" ca="1" si="0"/>
        <v>20</v>
      </c>
      <c r="J20" s="15" t="s">
        <v>444</v>
      </c>
      <c r="K20" s="15" t="s">
        <v>445</v>
      </c>
      <c r="L20" s="9" t="str">
        <f>VLOOKUP(K20,[1]中国省份_标准!$B$2:$F$35,4,FALSE)</f>
        <v>中部地区</v>
      </c>
      <c r="M20" s="9" t="str">
        <f>VLOOKUP(K20,[1]中国省份_标准!$B$2:$F$35,5,FALSE)</f>
        <v>华东地区</v>
      </c>
      <c r="N20" s="15" t="s">
        <v>446</v>
      </c>
      <c r="O20" s="15" t="s">
        <v>447</v>
      </c>
      <c r="P20" s="15" t="s">
        <v>448</v>
      </c>
      <c r="Q20" s="15" t="s">
        <v>449</v>
      </c>
      <c r="R20" s="15" t="s">
        <v>450</v>
      </c>
      <c r="S20" s="15" t="s">
        <v>451</v>
      </c>
      <c r="T20" s="15" t="s">
        <v>452</v>
      </c>
      <c r="U20" s="15" t="s">
        <v>440</v>
      </c>
      <c r="V20" s="15" t="s">
        <v>453</v>
      </c>
      <c r="W20" s="15" t="s">
        <v>454</v>
      </c>
      <c r="X20" s="15" t="s">
        <v>455</v>
      </c>
      <c r="Y20" s="15" t="s">
        <v>283</v>
      </c>
      <c r="Z20" s="15" t="s">
        <v>456</v>
      </c>
      <c r="AA20" s="15" t="s">
        <v>169</v>
      </c>
      <c r="AB20" s="15" t="s">
        <v>412</v>
      </c>
      <c r="AC20" s="15" t="s">
        <v>457</v>
      </c>
      <c r="AD20" s="15" t="s">
        <v>458</v>
      </c>
      <c r="AE20" s="15" t="s">
        <v>109</v>
      </c>
      <c r="AF20" s="15" t="s">
        <v>459</v>
      </c>
      <c r="AG20" s="15" t="s">
        <v>39</v>
      </c>
      <c r="AH20" s="15" t="s">
        <v>39</v>
      </c>
      <c r="AI20" s="15" t="s">
        <v>460</v>
      </c>
      <c r="AJ20" s="15" t="s">
        <v>461</v>
      </c>
      <c r="AK20" s="15" t="s">
        <v>462</v>
      </c>
      <c r="AL20" s="15" t="s">
        <v>88</v>
      </c>
    </row>
    <row r="21" spans="1:38" x14ac:dyDescent="0.4">
      <c r="A21" s="11" t="s">
        <v>463</v>
      </c>
      <c r="B21" s="12" t="s">
        <v>464</v>
      </c>
      <c r="C21" s="13" t="s">
        <v>39</v>
      </c>
      <c r="D21" s="13" t="s">
        <v>92</v>
      </c>
      <c r="E21" s="13" t="s">
        <v>465</v>
      </c>
      <c r="F21" s="13" t="s">
        <v>466</v>
      </c>
      <c r="G21" s="13" t="s">
        <v>466</v>
      </c>
      <c r="H21" s="13" t="s">
        <v>467</v>
      </c>
      <c r="I21" s="9">
        <f t="shared" ca="1" si="0"/>
        <v>22</v>
      </c>
      <c r="J21" s="13" t="s">
        <v>468</v>
      </c>
      <c r="K21" s="13" t="s">
        <v>340</v>
      </c>
      <c r="L21" s="9" t="str">
        <f>VLOOKUP(K21,[1]中国省份_标准!$B$2:$F$35,4,FALSE)</f>
        <v>东部地区</v>
      </c>
      <c r="M21" s="9" t="str">
        <f>VLOOKUP(K21,[1]中国省份_标准!$B$2:$F$35,5,FALSE)</f>
        <v>华东地区</v>
      </c>
      <c r="N21" s="13" t="s">
        <v>469</v>
      </c>
      <c r="O21" s="13" t="s">
        <v>470</v>
      </c>
      <c r="P21" s="13" t="s">
        <v>471</v>
      </c>
      <c r="Q21" s="13" t="s">
        <v>472</v>
      </c>
      <c r="R21" s="13" t="s">
        <v>473</v>
      </c>
      <c r="S21" s="13" t="s">
        <v>474</v>
      </c>
      <c r="T21" s="13" t="s">
        <v>452</v>
      </c>
      <c r="U21" s="13" t="s">
        <v>464</v>
      </c>
      <c r="V21" s="13" t="s">
        <v>475</v>
      </c>
      <c r="W21" s="13" t="s">
        <v>476</v>
      </c>
      <c r="X21" s="13" t="s">
        <v>477</v>
      </c>
      <c r="Y21" s="13" t="s">
        <v>78</v>
      </c>
      <c r="Z21" s="13" t="s">
        <v>478</v>
      </c>
      <c r="AA21" s="13" t="s">
        <v>169</v>
      </c>
      <c r="AB21" s="13" t="s">
        <v>285</v>
      </c>
      <c r="AC21" s="13" t="s">
        <v>479</v>
      </c>
      <c r="AD21" s="13" t="s">
        <v>480</v>
      </c>
      <c r="AE21" s="13" t="s">
        <v>55</v>
      </c>
      <c r="AF21" s="13" t="s">
        <v>481</v>
      </c>
      <c r="AG21" s="13" t="s">
        <v>482</v>
      </c>
      <c r="AH21" s="13" t="s">
        <v>39</v>
      </c>
      <c r="AI21" s="13" t="s">
        <v>483</v>
      </c>
      <c r="AJ21" s="13" t="s">
        <v>484</v>
      </c>
      <c r="AK21" s="13" t="s">
        <v>485</v>
      </c>
      <c r="AL21" s="13" t="s">
        <v>88</v>
      </c>
    </row>
    <row r="22" spans="1:38" x14ac:dyDescent="0.4">
      <c r="A22" s="11" t="s">
        <v>486</v>
      </c>
      <c r="B22" s="14" t="s">
        <v>487</v>
      </c>
      <c r="C22" s="15" t="s">
        <v>488</v>
      </c>
      <c r="D22" s="15" t="s">
        <v>92</v>
      </c>
      <c r="E22" s="15" t="s">
        <v>489</v>
      </c>
      <c r="F22" s="15" t="s">
        <v>490</v>
      </c>
      <c r="G22" s="15" t="s">
        <v>490</v>
      </c>
      <c r="H22" s="15" t="s">
        <v>491</v>
      </c>
      <c r="I22" s="9">
        <f t="shared" ca="1" si="0"/>
        <v>25</v>
      </c>
      <c r="J22" s="15" t="s">
        <v>492</v>
      </c>
      <c r="K22" s="15" t="s">
        <v>340</v>
      </c>
      <c r="L22" s="9" t="str">
        <f>VLOOKUP(K22,[1]中国省份_标准!$B$2:$F$35,4,FALSE)</f>
        <v>东部地区</v>
      </c>
      <c r="M22" s="9" t="str">
        <f>VLOOKUP(K22,[1]中国省份_标准!$B$2:$F$35,5,FALSE)</f>
        <v>华东地区</v>
      </c>
      <c r="N22" s="15" t="s">
        <v>341</v>
      </c>
      <c r="O22" s="15" t="s">
        <v>493</v>
      </c>
      <c r="P22" s="15" t="s">
        <v>494</v>
      </c>
      <c r="Q22" s="15" t="s">
        <v>495</v>
      </c>
      <c r="R22" s="15" t="s">
        <v>496</v>
      </c>
      <c r="S22" s="15" t="s">
        <v>497</v>
      </c>
      <c r="T22" s="15" t="s">
        <v>498</v>
      </c>
      <c r="U22" s="15" t="s">
        <v>487</v>
      </c>
      <c r="V22" s="15" t="s">
        <v>499</v>
      </c>
      <c r="W22" s="15" t="s">
        <v>500</v>
      </c>
      <c r="X22" s="15" t="s">
        <v>501</v>
      </c>
      <c r="Y22" s="15" t="s">
        <v>78</v>
      </c>
      <c r="Z22" s="15" t="s">
        <v>502</v>
      </c>
      <c r="AA22" s="15" t="s">
        <v>169</v>
      </c>
      <c r="AB22" s="15" t="s">
        <v>285</v>
      </c>
      <c r="AC22" s="15" t="s">
        <v>479</v>
      </c>
      <c r="AD22" s="15" t="s">
        <v>480</v>
      </c>
      <c r="AE22" s="15" t="s">
        <v>55</v>
      </c>
      <c r="AF22" s="15" t="s">
        <v>503</v>
      </c>
      <c r="AG22" s="15" t="s">
        <v>39</v>
      </c>
      <c r="AH22" s="15" t="s">
        <v>39</v>
      </c>
      <c r="AI22" s="15" t="s">
        <v>504</v>
      </c>
      <c r="AJ22" s="15" t="s">
        <v>505</v>
      </c>
      <c r="AK22" s="15" t="s">
        <v>506</v>
      </c>
      <c r="AL22" s="15" t="s">
        <v>88</v>
      </c>
    </row>
    <row r="23" spans="1:38" x14ac:dyDescent="0.4">
      <c r="A23" s="11" t="s">
        <v>507</v>
      </c>
      <c r="B23" s="12" t="s">
        <v>508</v>
      </c>
      <c r="C23" s="13" t="s">
        <v>39</v>
      </c>
      <c r="D23" s="13" t="s">
        <v>63</v>
      </c>
      <c r="E23" s="13" t="s">
        <v>509</v>
      </c>
      <c r="F23" s="13" t="s">
        <v>510</v>
      </c>
      <c r="G23" s="13" t="s">
        <v>510</v>
      </c>
      <c r="H23" s="13" t="s">
        <v>511</v>
      </c>
      <c r="I23" s="9">
        <f t="shared" ca="1" si="0"/>
        <v>16</v>
      </c>
      <c r="J23" s="13" t="s">
        <v>512</v>
      </c>
      <c r="K23" s="13" t="s">
        <v>67</v>
      </c>
      <c r="L23" s="9" t="str">
        <f>VLOOKUP(K23,[1]中国省份_标准!$B$2:$F$35,4,FALSE)</f>
        <v>东部地区</v>
      </c>
      <c r="M23" s="9" t="str">
        <f>VLOOKUP(K23,[1]中国省份_标准!$B$2:$F$35,5,FALSE)</f>
        <v>华东地区</v>
      </c>
      <c r="N23" s="13" t="s">
        <v>68</v>
      </c>
      <c r="O23" s="13" t="s">
        <v>513</v>
      </c>
      <c r="P23" s="13" t="s">
        <v>514</v>
      </c>
      <c r="Q23" s="13" t="s">
        <v>515</v>
      </c>
      <c r="R23" s="13" t="s">
        <v>516</v>
      </c>
      <c r="S23" s="13" t="s">
        <v>517</v>
      </c>
      <c r="T23" s="13" t="s">
        <v>48</v>
      </c>
      <c r="U23" s="13" t="s">
        <v>508</v>
      </c>
      <c r="V23" s="13" t="s">
        <v>518</v>
      </c>
      <c r="W23" s="13" t="s">
        <v>519</v>
      </c>
      <c r="X23" s="13" t="s">
        <v>77</v>
      </c>
      <c r="Y23" s="13" t="s">
        <v>283</v>
      </c>
      <c r="Z23" s="13" t="s">
        <v>520</v>
      </c>
      <c r="AA23" s="13" t="s">
        <v>169</v>
      </c>
      <c r="AB23" s="13" t="s">
        <v>285</v>
      </c>
      <c r="AC23" s="13" t="s">
        <v>479</v>
      </c>
      <c r="AD23" s="13" t="s">
        <v>480</v>
      </c>
      <c r="AE23" s="13" t="s">
        <v>55</v>
      </c>
      <c r="AF23" s="13" t="s">
        <v>521</v>
      </c>
      <c r="AG23" s="13" t="s">
        <v>39</v>
      </c>
      <c r="AH23" s="13" t="s">
        <v>39</v>
      </c>
      <c r="AI23" s="13" t="s">
        <v>522</v>
      </c>
      <c r="AJ23" s="13" t="s">
        <v>523</v>
      </c>
      <c r="AK23" s="13" t="s">
        <v>524</v>
      </c>
      <c r="AL23" s="13" t="s">
        <v>88</v>
      </c>
    </row>
    <row r="24" spans="1:38" x14ac:dyDescent="0.4">
      <c r="A24" s="11" t="s">
        <v>525</v>
      </c>
      <c r="B24" s="14" t="s">
        <v>526</v>
      </c>
      <c r="C24" s="15" t="s">
        <v>39</v>
      </c>
      <c r="D24" s="15" t="s">
        <v>527</v>
      </c>
      <c r="E24" s="15" t="s">
        <v>528</v>
      </c>
      <c r="F24" s="15" t="s">
        <v>422</v>
      </c>
      <c r="G24" s="15" t="s">
        <v>422</v>
      </c>
      <c r="H24" s="15" t="s">
        <v>529</v>
      </c>
      <c r="I24" s="9">
        <f t="shared" ca="1" si="0"/>
        <v>18</v>
      </c>
      <c r="J24" s="15" t="s">
        <v>530</v>
      </c>
      <c r="K24" s="15" t="s">
        <v>531</v>
      </c>
      <c r="L24" s="9" t="str">
        <f>VLOOKUP(K24,[1]中国省份_标准!$B$2:$F$35,4,FALSE)</f>
        <v>东部地区</v>
      </c>
      <c r="M24" s="9" t="str">
        <f>VLOOKUP(K24,[1]中国省份_标准!$B$2:$F$35,5,FALSE)</f>
        <v>华南地区</v>
      </c>
      <c r="N24" s="15" t="s">
        <v>532</v>
      </c>
      <c r="O24" s="15" t="s">
        <v>533</v>
      </c>
      <c r="P24" s="15" t="s">
        <v>534</v>
      </c>
      <c r="Q24" s="15" t="s">
        <v>535</v>
      </c>
      <c r="R24" s="15" t="s">
        <v>536</v>
      </c>
      <c r="S24" s="15" t="s">
        <v>537</v>
      </c>
      <c r="T24" s="15" t="s">
        <v>48</v>
      </c>
      <c r="U24" s="15" t="s">
        <v>526</v>
      </c>
      <c r="V24" s="15" t="s">
        <v>538</v>
      </c>
      <c r="W24" s="15" t="s">
        <v>539</v>
      </c>
      <c r="X24" s="15" t="s">
        <v>540</v>
      </c>
      <c r="Y24" s="15" t="s">
        <v>78</v>
      </c>
      <c r="Z24" s="15" t="s">
        <v>541</v>
      </c>
      <c r="AA24" s="15" t="s">
        <v>169</v>
      </c>
      <c r="AB24" s="15" t="s">
        <v>285</v>
      </c>
      <c r="AC24" s="15" t="s">
        <v>39</v>
      </c>
      <c r="AD24" s="15" t="s">
        <v>39</v>
      </c>
      <c r="AE24" s="15" t="s">
        <v>109</v>
      </c>
      <c r="AF24" s="15" t="s">
        <v>542</v>
      </c>
      <c r="AG24" s="15" t="s">
        <v>39</v>
      </c>
      <c r="AH24" s="15" t="s">
        <v>39</v>
      </c>
      <c r="AI24" s="15" t="s">
        <v>543</v>
      </c>
      <c r="AJ24" s="15" t="s">
        <v>544</v>
      </c>
      <c r="AK24" s="15" t="s">
        <v>545</v>
      </c>
      <c r="AL24" s="15" t="s">
        <v>88</v>
      </c>
    </row>
    <row r="25" spans="1:38" x14ac:dyDescent="0.4">
      <c r="A25" s="11" t="s">
        <v>546</v>
      </c>
      <c r="B25" s="12" t="s">
        <v>547</v>
      </c>
      <c r="C25" s="13" t="s">
        <v>39</v>
      </c>
      <c r="D25" s="13" t="s">
        <v>92</v>
      </c>
      <c r="E25" s="13" t="s">
        <v>548</v>
      </c>
      <c r="F25" s="13" t="s">
        <v>442</v>
      </c>
      <c r="G25" s="13" t="s">
        <v>94</v>
      </c>
      <c r="H25" s="13" t="s">
        <v>549</v>
      </c>
      <c r="I25" s="9">
        <f t="shared" ca="1" si="0"/>
        <v>11</v>
      </c>
      <c r="J25" s="13" t="s">
        <v>550</v>
      </c>
      <c r="K25" s="13" t="s">
        <v>45</v>
      </c>
      <c r="L25" s="9" t="str">
        <f>VLOOKUP(K25,[1]中国省份_标准!$B$2:$F$35,4,FALSE)</f>
        <v>东部地区</v>
      </c>
      <c r="M25" s="9" t="str">
        <f>VLOOKUP(K25,[1]中国省份_标准!$B$2:$F$35,5,FALSE)</f>
        <v>华东地区</v>
      </c>
      <c r="N25" s="13" t="s">
        <v>45</v>
      </c>
      <c r="O25" s="13" t="s">
        <v>551</v>
      </c>
      <c r="P25" s="13" t="s">
        <v>552</v>
      </c>
      <c r="Q25" s="13" t="s">
        <v>553</v>
      </c>
      <c r="R25" s="13" t="s">
        <v>554</v>
      </c>
      <c r="S25" s="13" t="s">
        <v>39</v>
      </c>
      <c r="T25" s="13" t="s">
        <v>281</v>
      </c>
      <c r="U25" s="13" t="s">
        <v>547</v>
      </c>
      <c r="V25" s="13" t="s">
        <v>555</v>
      </c>
      <c r="W25" s="13" t="s">
        <v>556</v>
      </c>
      <c r="X25" s="13" t="s">
        <v>557</v>
      </c>
      <c r="Y25" s="13" t="s">
        <v>78</v>
      </c>
      <c r="Z25" s="13" t="s">
        <v>558</v>
      </c>
      <c r="AA25" s="13" t="s">
        <v>80</v>
      </c>
      <c r="AB25" s="13" t="s">
        <v>106</v>
      </c>
      <c r="AC25" s="13" t="s">
        <v>559</v>
      </c>
      <c r="AD25" s="13" t="s">
        <v>560</v>
      </c>
      <c r="AE25" s="13" t="s">
        <v>55</v>
      </c>
      <c r="AF25" s="13" t="s">
        <v>561</v>
      </c>
      <c r="AG25" s="13" t="s">
        <v>39</v>
      </c>
      <c r="AH25" s="13" t="s">
        <v>39</v>
      </c>
      <c r="AI25" s="13" t="s">
        <v>562</v>
      </c>
      <c r="AJ25" s="13" t="s">
        <v>563</v>
      </c>
      <c r="AK25" s="13" t="s">
        <v>564</v>
      </c>
      <c r="AL25" s="13" t="s">
        <v>88</v>
      </c>
    </row>
    <row r="26" spans="1:38" x14ac:dyDescent="0.4">
      <c r="A26" s="11" t="s">
        <v>565</v>
      </c>
      <c r="B26" s="14" t="s">
        <v>566</v>
      </c>
      <c r="C26" s="15" t="s">
        <v>567</v>
      </c>
      <c r="D26" s="15" t="s">
        <v>92</v>
      </c>
      <c r="E26" s="15" t="s">
        <v>568</v>
      </c>
      <c r="F26" s="15" t="s">
        <v>569</v>
      </c>
      <c r="G26" s="15" t="s">
        <v>569</v>
      </c>
      <c r="H26" s="15" t="s">
        <v>570</v>
      </c>
      <c r="I26" s="9">
        <f t="shared" ca="1" si="0"/>
        <v>35</v>
      </c>
      <c r="J26" s="15" t="s">
        <v>571</v>
      </c>
      <c r="K26" s="15" t="s">
        <v>425</v>
      </c>
      <c r="L26" s="9" t="str">
        <f>VLOOKUP(K26,[1]中国省份_标准!$B$2:$F$35,4,FALSE)</f>
        <v>东部地区</v>
      </c>
      <c r="M26" s="9" t="str">
        <f>VLOOKUP(K26,[1]中国省份_标准!$B$2:$F$35,5,FALSE)</f>
        <v>华东地区</v>
      </c>
      <c r="N26" s="15" t="s">
        <v>572</v>
      </c>
      <c r="O26" s="15" t="s">
        <v>573</v>
      </c>
      <c r="P26" s="15" t="s">
        <v>574</v>
      </c>
      <c r="Q26" s="15" t="s">
        <v>575</v>
      </c>
      <c r="R26" s="15" t="s">
        <v>576</v>
      </c>
      <c r="S26" s="15" t="s">
        <v>577</v>
      </c>
      <c r="T26" s="15" t="s">
        <v>48</v>
      </c>
      <c r="U26" s="15" t="s">
        <v>566</v>
      </c>
      <c r="V26" s="15" t="s">
        <v>578</v>
      </c>
      <c r="W26" s="15" t="s">
        <v>579</v>
      </c>
      <c r="X26" s="15" t="s">
        <v>77</v>
      </c>
      <c r="Y26" s="15" t="s">
        <v>78</v>
      </c>
      <c r="Z26" s="15" t="s">
        <v>580</v>
      </c>
      <c r="AA26" s="15" t="s">
        <v>169</v>
      </c>
      <c r="AB26" s="15" t="s">
        <v>581</v>
      </c>
      <c r="AC26" s="15" t="s">
        <v>582</v>
      </c>
      <c r="AD26" s="15" t="s">
        <v>583</v>
      </c>
      <c r="AE26" s="15" t="s">
        <v>55</v>
      </c>
      <c r="AF26" s="15" t="s">
        <v>584</v>
      </c>
      <c r="AG26" s="15" t="s">
        <v>39</v>
      </c>
      <c r="AH26" s="15" t="s">
        <v>39</v>
      </c>
      <c r="AI26" s="15" t="s">
        <v>585</v>
      </c>
      <c r="AJ26" s="15" t="s">
        <v>586</v>
      </c>
      <c r="AK26" s="15" t="s">
        <v>587</v>
      </c>
      <c r="AL26" s="15" t="s">
        <v>88</v>
      </c>
    </row>
    <row r="27" spans="1:38" x14ac:dyDescent="0.4">
      <c r="A27" s="11" t="s">
        <v>588</v>
      </c>
      <c r="B27" s="12" t="s">
        <v>589</v>
      </c>
      <c r="C27" s="13" t="s">
        <v>39</v>
      </c>
      <c r="D27" s="13" t="s">
        <v>92</v>
      </c>
      <c r="E27" s="13" t="s">
        <v>590</v>
      </c>
      <c r="F27" s="13" t="s">
        <v>591</v>
      </c>
      <c r="G27" s="13" t="s">
        <v>591</v>
      </c>
      <c r="H27" s="13" t="s">
        <v>592</v>
      </c>
      <c r="I27" s="9">
        <f t="shared" ca="1" si="0"/>
        <v>10</v>
      </c>
      <c r="J27" s="13" t="s">
        <v>593</v>
      </c>
      <c r="K27" s="13" t="s">
        <v>594</v>
      </c>
      <c r="L27" s="9" t="str">
        <f>VLOOKUP(K27,[1]中国省份_标准!$B$2:$F$35,4,FALSE)</f>
        <v>中部地区</v>
      </c>
      <c r="M27" s="9" t="str">
        <f>VLOOKUP(K27,[1]中国省份_标准!$B$2:$F$35,5,FALSE)</f>
        <v>华东地区</v>
      </c>
      <c r="N27" s="13" t="s">
        <v>595</v>
      </c>
      <c r="O27" s="13" t="s">
        <v>596</v>
      </c>
      <c r="P27" s="13" t="s">
        <v>597</v>
      </c>
      <c r="Q27" s="13" t="s">
        <v>598</v>
      </c>
      <c r="R27" s="13" t="s">
        <v>599</v>
      </c>
      <c r="S27" s="13" t="s">
        <v>600</v>
      </c>
      <c r="T27" s="13" t="s">
        <v>601</v>
      </c>
      <c r="U27" s="13" t="s">
        <v>589</v>
      </c>
      <c r="V27" s="13" t="s">
        <v>602</v>
      </c>
      <c r="W27" s="13" t="s">
        <v>603</v>
      </c>
      <c r="X27" s="13" t="s">
        <v>604</v>
      </c>
      <c r="Y27" s="13" t="s">
        <v>78</v>
      </c>
      <c r="Z27" s="13" t="s">
        <v>605</v>
      </c>
      <c r="AA27" s="13" t="s">
        <v>169</v>
      </c>
      <c r="AB27" s="13" t="s">
        <v>606</v>
      </c>
      <c r="AC27" s="13" t="s">
        <v>607</v>
      </c>
      <c r="AD27" s="13" t="s">
        <v>608</v>
      </c>
      <c r="AE27" s="13" t="s">
        <v>239</v>
      </c>
      <c r="AF27" s="13" t="s">
        <v>609</v>
      </c>
      <c r="AG27" s="13" t="s">
        <v>610</v>
      </c>
      <c r="AH27" s="13" t="s">
        <v>39</v>
      </c>
      <c r="AI27" s="13" t="s">
        <v>611</v>
      </c>
      <c r="AJ27" s="13" t="s">
        <v>612</v>
      </c>
      <c r="AK27" s="13" t="s">
        <v>613</v>
      </c>
      <c r="AL27" s="13" t="s">
        <v>88</v>
      </c>
    </row>
    <row r="28" spans="1:38" x14ac:dyDescent="0.4">
      <c r="A28" s="11" t="s">
        <v>614</v>
      </c>
      <c r="B28" s="14" t="s">
        <v>615</v>
      </c>
      <c r="C28" s="15" t="s">
        <v>616</v>
      </c>
      <c r="D28" s="15" t="s">
        <v>63</v>
      </c>
      <c r="E28" s="15" t="s">
        <v>617</v>
      </c>
      <c r="F28" s="15" t="s">
        <v>618</v>
      </c>
      <c r="G28" s="15" t="s">
        <v>618</v>
      </c>
      <c r="H28" s="15" t="s">
        <v>619</v>
      </c>
      <c r="I28" s="9">
        <f t="shared" ca="1" si="0"/>
        <v>28</v>
      </c>
      <c r="J28" s="15" t="s">
        <v>620</v>
      </c>
      <c r="K28" s="15" t="s">
        <v>67</v>
      </c>
      <c r="L28" s="9" t="str">
        <f>VLOOKUP(K28,[1]中国省份_标准!$B$2:$F$35,4,FALSE)</f>
        <v>东部地区</v>
      </c>
      <c r="M28" s="9" t="str">
        <f>VLOOKUP(K28,[1]中国省份_标准!$B$2:$F$35,5,FALSE)</f>
        <v>华东地区</v>
      </c>
      <c r="N28" s="15" t="s">
        <v>621</v>
      </c>
      <c r="O28" s="15" t="s">
        <v>622</v>
      </c>
      <c r="P28" s="15" t="s">
        <v>623</v>
      </c>
      <c r="Q28" s="15" t="s">
        <v>624</v>
      </c>
      <c r="R28" s="15" t="s">
        <v>625</v>
      </c>
      <c r="S28" s="15" t="s">
        <v>39</v>
      </c>
      <c r="T28" s="15" t="s">
        <v>48</v>
      </c>
      <c r="U28" s="15" t="s">
        <v>615</v>
      </c>
      <c r="V28" s="15" t="s">
        <v>626</v>
      </c>
      <c r="W28" s="15" t="s">
        <v>627</v>
      </c>
      <c r="X28" s="15" t="s">
        <v>628</v>
      </c>
      <c r="Y28" s="15" t="s">
        <v>78</v>
      </c>
      <c r="Z28" s="15" t="s">
        <v>629</v>
      </c>
      <c r="AA28" s="15" t="s">
        <v>169</v>
      </c>
      <c r="AB28" s="15" t="s">
        <v>412</v>
      </c>
      <c r="AC28" s="15" t="s">
        <v>630</v>
      </c>
      <c r="AD28" s="15" t="s">
        <v>631</v>
      </c>
      <c r="AE28" s="15" t="s">
        <v>262</v>
      </c>
      <c r="AF28" s="15" t="s">
        <v>632</v>
      </c>
      <c r="AG28" s="15" t="s">
        <v>633</v>
      </c>
      <c r="AH28" s="15" t="s">
        <v>39</v>
      </c>
      <c r="AI28" s="15" t="s">
        <v>634</v>
      </c>
      <c r="AJ28" s="15" t="s">
        <v>635</v>
      </c>
      <c r="AK28" s="15" t="s">
        <v>636</v>
      </c>
      <c r="AL28" s="15" t="s">
        <v>88</v>
      </c>
    </row>
    <row r="29" spans="1:38" x14ac:dyDescent="0.4">
      <c r="A29" s="11" t="s">
        <v>637</v>
      </c>
      <c r="B29" s="12" t="s">
        <v>638</v>
      </c>
      <c r="C29" s="13" t="s">
        <v>39</v>
      </c>
      <c r="D29" s="13" t="s">
        <v>92</v>
      </c>
      <c r="E29" s="13" t="s">
        <v>639</v>
      </c>
      <c r="F29" s="13" t="s">
        <v>640</v>
      </c>
      <c r="G29" s="13" t="s">
        <v>39</v>
      </c>
      <c r="H29" s="13" t="s">
        <v>641</v>
      </c>
      <c r="I29" s="9">
        <f t="shared" ca="1" si="0"/>
        <v>11</v>
      </c>
      <c r="J29" s="13" t="s">
        <v>642</v>
      </c>
      <c r="K29" s="13" t="s">
        <v>643</v>
      </c>
      <c r="L29" s="9" t="str">
        <f>VLOOKUP(K29,[1]中国省份_标准!$B$2:$F$35,4,FALSE)</f>
        <v>东北地区</v>
      </c>
      <c r="M29" s="9" t="str">
        <f>VLOOKUP(K29,[1]中国省份_标准!$B$2:$F$35,5,FALSE)</f>
        <v>东北地区</v>
      </c>
      <c r="N29" s="13" t="s">
        <v>644</v>
      </c>
      <c r="O29" s="13" t="s">
        <v>645</v>
      </c>
      <c r="P29" s="13" t="s">
        <v>646</v>
      </c>
      <c r="Q29" s="13" t="s">
        <v>647</v>
      </c>
      <c r="R29" s="13" t="s">
        <v>648</v>
      </c>
      <c r="S29" s="13" t="s">
        <v>649</v>
      </c>
      <c r="T29" s="13" t="s">
        <v>650</v>
      </c>
      <c r="U29" s="13" t="s">
        <v>638</v>
      </c>
      <c r="V29" s="13" t="s">
        <v>651</v>
      </c>
      <c r="W29" s="13" t="s">
        <v>652</v>
      </c>
      <c r="X29" s="13" t="s">
        <v>39</v>
      </c>
      <c r="Y29" s="13" t="s">
        <v>39</v>
      </c>
      <c r="Z29" s="13" t="s">
        <v>653</v>
      </c>
      <c r="AA29" s="13" t="s">
        <v>309</v>
      </c>
      <c r="AB29" s="13" t="s">
        <v>654</v>
      </c>
      <c r="AC29" s="13" t="s">
        <v>655</v>
      </c>
      <c r="AD29" s="13" t="s">
        <v>656</v>
      </c>
      <c r="AE29" s="13" t="s">
        <v>55</v>
      </c>
      <c r="AF29" s="13" t="s">
        <v>657</v>
      </c>
      <c r="AG29" s="13" t="s">
        <v>39</v>
      </c>
      <c r="AH29" s="13" t="s">
        <v>39</v>
      </c>
      <c r="AI29" s="13" t="s">
        <v>39</v>
      </c>
      <c r="AJ29" s="13" t="s">
        <v>658</v>
      </c>
      <c r="AK29" s="13" t="s">
        <v>659</v>
      </c>
      <c r="AL29" s="13" t="s">
        <v>39</v>
      </c>
    </row>
    <row r="30" spans="1:38" x14ac:dyDescent="0.4">
      <c r="A30" s="11" t="s">
        <v>660</v>
      </c>
      <c r="B30" s="14" t="s">
        <v>661</v>
      </c>
      <c r="C30" s="15" t="s">
        <v>39</v>
      </c>
      <c r="D30" s="15" t="s">
        <v>63</v>
      </c>
      <c r="E30" s="15" t="s">
        <v>662</v>
      </c>
      <c r="F30" s="15" t="s">
        <v>663</v>
      </c>
      <c r="G30" s="15" t="s">
        <v>663</v>
      </c>
      <c r="H30" s="15" t="s">
        <v>664</v>
      </c>
      <c r="I30" s="9">
        <f t="shared" ca="1" si="0"/>
        <v>15</v>
      </c>
      <c r="J30" s="15" t="s">
        <v>665</v>
      </c>
      <c r="K30" s="15" t="s">
        <v>425</v>
      </c>
      <c r="L30" s="9" t="str">
        <f>VLOOKUP(K30,[1]中国省份_标准!$B$2:$F$35,4,FALSE)</f>
        <v>东部地区</v>
      </c>
      <c r="M30" s="9" t="str">
        <f>VLOOKUP(K30,[1]中国省份_标准!$B$2:$F$35,5,FALSE)</f>
        <v>华东地区</v>
      </c>
      <c r="N30" s="15" t="s">
        <v>666</v>
      </c>
      <c r="O30" s="15" t="s">
        <v>667</v>
      </c>
      <c r="P30" s="15" t="s">
        <v>668</v>
      </c>
      <c r="Q30" s="15" t="s">
        <v>669</v>
      </c>
      <c r="R30" s="15" t="s">
        <v>39</v>
      </c>
      <c r="S30" s="15" t="s">
        <v>39</v>
      </c>
      <c r="T30" s="15" t="s">
        <v>670</v>
      </c>
      <c r="U30" s="15" t="s">
        <v>661</v>
      </c>
      <c r="V30" s="15" t="s">
        <v>671</v>
      </c>
      <c r="W30" s="15" t="s">
        <v>672</v>
      </c>
      <c r="X30" s="15" t="s">
        <v>673</v>
      </c>
      <c r="Y30" s="15" t="s">
        <v>78</v>
      </c>
      <c r="Z30" s="15" t="s">
        <v>674</v>
      </c>
      <c r="AA30" s="15" t="s">
        <v>169</v>
      </c>
      <c r="AB30" s="15" t="s">
        <v>581</v>
      </c>
      <c r="AC30" s="15" t="s">
        <v>675</v>
      </c>
      <c r="AD30" s="15" t="s">
        <v>39</v>
      </c>
      <c r="AE30" s="15" t="s">
        <v>55</v>
      </c>
      <c r="AF30" s="15" t="s">
        <v>676</v>
      </c>
      <c r="AG30" s="15" t="s">
        <v>39</v>
      </c>
      <c r="AH30" s="15" t="s">
        <v>39</v>
      </c>
      <c r="AI30" s="15" t="s">
        <v>677</v>
      </c>
      <c r="AJ30" s="15" t="s">
        <v>678</v>
      </c>
      <c r="AK30" s="15" t="s">
        <v>679</v>
      </c>
      <c r="AL30" s="15" t="s">
        <v>88</v>
      </c>
    </row>
    <row r="31" spans="1:38" x14ac:dyDescent="0.4">
      <c r="A31" s="11" t="s">
        <v>680</v>
      </c>
      <c r="B31" s="12" t="s">
        <v>681</v>
      </c>
      <c r="C31" s="13" t="s">
        <v>39</v>
      </c>
      <c r="D31" s="13" t="s">
        <v>682</v>
      </c>
      <c r="E31" s="13" t="s">
        <v>683</v>
      </c>
      <c r="F31" s="13" t="s">
        <v>422</v>
      </c>
      <c r="G31" s="13" t="s">
        <v>422</v>
      </c>
      <c r="H31" s="13" t="s">
        <v>684</v>
      </c>
      <c r="I31" s="9">
        <f t="shared" ca="1" si="0"/>
        <v>7</v>
      </c>
      <c r="J31" s="13" t="s">
        <v>685</v>
      </c>
      <c r="K31" s="13" t="s">
        <v>425</v>
      </c>
      <c r="L31" s="9" t="str">
        <f>VLOOKUP(K31,[1]中国省份_标准!$B$2:$F$35,4,FALSE)</f>
        <v>东部地区</v>
      </c>
      <c r="M31" s="9" t="str">
        <f>VLOOKUP(K31,[1]中国省份_标准!$B$2:$F$35,5,FALSE)</f>
        <v>华东地区</v>
      </c>
      <c r="N31" s="13" t="s">
        <v>426</v>
      </c>
      <c r="O31" s="13" t="s">
        <v>427</v>
      </c>
      <c r="P31" s="13" t="s">
        <v>686</v>
      </c>
      <c r="Q31" s="13" t="s">
        <v>39</v>
      </c>
      <c r="R31" s="13" t="s">
        <v>687</v>
      </c>
      <c r="S31" s="13" t="s">
        <v>688</v>
      </c>
      <c r="T31" s="13" t="s">
        <v>281</v>
      </c>
      <c r="U31" s="13" t="s">
        <v>681</v>
      </c>
      <c r="V31" s="13" t="s">
        <v>39</v>
      </c>
      <c r="W31" s="13" t="s">
        <v>689</v>
      </c>
      <c r="X31" s="13" t="s">
        <v>690</v>
      </c>
      <c r="Y31" s="13" t="s">
        <v>283</v>
      </c>
      <c r="Z31" s="13" t="s">
        <v>691</v>
      </c>
      <c r="AA31" s="13" t="s">
        <v>80</v>
      </c>
      <c r="AB31" s="13" t="s">
        <v>106</v>
      </c>
      <c r="AC31" s="13" t="s">
        <v>388</v>
      </c>
      <c r="AD31" s="13" t="s">
        <v>434</v>
      </c>
      <c r="AE31" s="13" t="s">
        <v>109</v>
      </c>
      <c r="AF31" s="13" t="s">
        <v>692</v>
      </c>
      <c r="AG31" s="13" t="s">
        <v>39</v>
      </c>
      <c r="AH31" s="13" t="s">
        <v>39</v>
      </c>
      <c r="AI31" s="13" t="s">
        <v>693</v>
      </c>
      <c r="AJ31" s="13" t="s">
        <v>694</v>
      </c>
      <c r="AK31" s="13" t="s">
        <v>695</v>
      </c>
      <c r="AL31" s="13" t="s">
        <v>88</v>
      </c>
    </row>
    <row r="32" spans="1:38" x14ac:dyDescent="0.4">
      <c r="A32" s="11" t="s">
        <v>696</v>
      </c>
      <c r="B32" s="14" t="s">
        <v>697</v>
      </c>
      <c r="C32" s="15" t="s">
        <v>39</v>
      </c>
      <c r="D32" s="15" t="s">
        <v>698</v>
      </c>
      <c r="E32" s="15" t="s">
        <v>699</v>
      </c>
      <c r="F32" s="15" t="s">
        <v>640</v>
      </c>
      <c r="G32" s="15" t="s">
        <v>640</v>
      </c>
      <c r="H32" s="15" t="s">
        <v>700</v>
      </c>
      <c r="I32" s="9">
        <f t="shared" ca="1" si="0"/>
        <v>8</v>
      </c>
      <c r="J32" s="15" t="s">
        <v>701</v>
      </c>
      <c r="K32" s="15" t="s">
        <v>702</v>
      </c>
      <c r="L32" s="9" t="str">
        <f>VLOOKUP(K32,[1]中国省份_标准!$B$2:$F$35,4,FALSE)</f>
        <v>东部地区</v>
      </c>
      <c r="M32" s="9" t="str">
        <f>VLOOKUP(K32,[1]中国省份_标准!$B$2:$F$35,5,FALSE)</f>
        <v>华北地区</v>
      </c>
      <c r="N32" s="15" t="s">
        <v>703</v>
      </c>
      <c r="O32" s="15" t="s">
        <v>704</v>
      </c>
      <c r="P32" s="15" t="s">
        <v>705</v>
      </c>
      <c r="Q32" s="15" t="s">
        <v>706</v>
      </c>
      <c r="R32" s="15" t="s">
        <v>707</v>
      </c>
      <c r="S32" s="15" t="s">
        <v>708</v>
      </c>
      <c r="T32" s="15" t="s">
        <v>281</v>
      </c>
      <c r="U32" s="15" t="s">
        <v>697</v>
      </c>
      <c r="V32" s="15" t="s">
        <v>709</v>
      </c>
      <c r="W32" s="15" t="s">
        <v>710</v>
      </c>
      <c r="X32" s="15" t="s">
        <v>77</v>
      </c>
      <c r="Y32" s="15" t="s">
        <v>283</v>
      </c>
      <c r="Z32" s="15" t="s">
        <v>711</v>
      </c>
      <c r="AA32" s="15" t="s">
        <v>169</v>
      </c>
      <c r="AB32" s="15" t="s">
        <v>285</v>
      </c>
      <c r="AC32" s="15" t="s">
        <v>712</v>
      </c>
      <c r="AD32" s="15" t="s">
        <v>713</v>
      </c>
      <c r="AE32" s="15" t="s">
        <v>55</v>
      </c>
      <c r="AF32" s="15" t="s">
        <v>714</v>
      </c>
      <c r="AG32" s="15" t="s">
        <v>39</v>
      </c>
      <c r="AH32" s="15" t="s">
        <v>39</v>
      </c>
      <c r="AI32" s="15" t="s">
        <v>715</v>
      </c>
      <c r="AJ32" s="15" t="s">
        <v>716</v>
      </c>
      <c r="AK32" s="15" t="s">
        <v>717</v>
      </c>
      <c r="AL32" s="15" t="s">
        <v>88</v>
      </c>
    </row>
    <row r="33" spans="1:38" x14ac:dyDescent="0.4">
      <c r="A33" s="11" t="s">
        <v>718</v>
      </c>
      <c r="B33" s="12" t="s">
        <v>719</v>
      </c>
      <c r="C33" s="13" t="s">
        <v>39</v>
      </c>
      <c r="D33" s="13" t="s">
        <v>720</v>
      </c>
      <c r="E33" s="13" t="s">
        <v>721</v>
      </c>
      <c r="F33" s="13" t="s">
        <v>94</v>
      </c>
      <c r="G33" s="13" t="s">
        <v>39</v>
      </c>
      <c r="H33" s="13" t="s">
        <v>722</v>
      </c>
      <c r="I33" s="9">
        <f t="shared" ca="1" si="0"/>
        <v>8</v>
      </c>
      <c r="J33" s="13" t="s">
        <v>723</v>
      </c>
      <c r="K33" s="13" t="s">
        <v>531</v>
      </c>
      <c r="L33" s="9" t="str">
        <f>VLOOKUP(K33,[1]中国省份_标准!$B$2:$F$35,4,FALSE)</f>
        <v>东部地区</v>
      </c>
      <c r="M33" s="9" t="str">
        <f>VLOOKUP(K33,[1]中国省份_标准!$B$2:$F$35,5,FALSE)</f>
        <v>华南地区</v>
      </c>
      <c r="N33" s="13" t="s">
        <v>724</v>
      </c>
      <c r="O33" s="13" t="s">
        <v>725</v>
      </c>
      <c r="P33" s="13" t="s">
        <v>726</v>
      </c>
      <c r="Q33" s="13" t="s">
        <v>727</v>
      </c>
      <c r="R33" s="13" t="s">
        <v>728</v>
      </c>
      <c r="S33" s="13" t="s">
        <v>39</v>
      </c>
      <c r="T33" s="13" t="s">
        <v>48</v>
      </c>
      <c r="U33" s="13" t="s">
        <v>719</v>
      </c>
      <c r="V33" s="13" t="s">
        <v>729</v>
      </c>
      <c r="W33" s="13" t="s">
        <v>730</v>
      </c>
      <c r="X33" s="13" t="s">
        <v>77</v>
      </c>
      <c r="Y33" s="13" t="s">
        <v>731</v>
      </c>
      <c r="Z33" s="13" t="s">
        <v>732</v>
      </c>
      <c r="AA33" s="13" t="s">
        <v>309</v>
      </c>
      <c r="AB33" s="13" t="s">
        <v>654</v>
      </c>
      <c r="AC33" s="13" t="s">
        <v>733</v>
      </c>
      <c r="AD33" s="13" t="s">
        <v>733</v>
      </c>
      <c r="AE33" s="13" t="s">
        <v>262</v>
      </c>
      <c r="AF33" s="13" t="s">
        <v>734</v>
      </c>
      <c r="AG33" s="13" t="s">
        <v>39</v>
      </c>
      <c r="AH33" s="13" t="s">
        <v>39</v>
      </c>
      <c r="AI33" s="13" t="s">
        <v>735</v>
      </c>
      <c r="AJ33" s="13" t="s">
        <v>736</v>
      </c>
      <c r="AK33" s="13" t="s">
        <v>737</v>
      </c>
      <c r="AL33" s="13" t="s">
        <v>88</v>
      </c>
    </row>
    <row r="34" spans="1:38" x14ac:dyDescent="0.4">
      <c r="A34" s="11" t="s">
        <v>738</v>
      </c>
      <c r="B34" s="14" t="s">
        <v>739</v>
      </c>
      <c r="C34" s="15" t="s">
        <v>39</v>
      </c>
      <c r="D34" s="15" t="s">
        <v>92</v>
      </c>
      <c r="E34" s="15" t="s">
        <v>740</v>
      </c>
      <c r="F34" s="15" t="s">
        <v>741</v>
      </c>
      <c r="G34" s="15" t="s">
        <v>741</v>
      </c>
      <c r="H34" s="15" t="s">
        <v>742</v>
      </c>
      <c r="I34" s="9">
        <f t="shared" ca="1" si="0"/>
        <v>15</v>
      </c>
      <c r="J34" s="15" t="s">
        <v>743</v>
      </c>
      <c r="K34" s="15" t="s">
        <v>227</v>
      </c>
      <c r="L34" s="9" t="str">
        <f>VLOOKUP(K34,[1]中国省份_标准!$B$2:$F$35,4,FALSE)</f>
        <v>西部地区</v>
      </c>
      <c r="M34" s="9" t="str">
        <f>VLOOKUP(K34,[1]中国省份_标准!$B$2:$F$35,5,FALSE)</f>
        <v>西北地区</v>
      </c>
      <c r="N34" s="15" t="s">
        <v>744</v>
      </c>
      <c r="O34" s="15" t="s">
        <v>745</v>
      </c>
      <c r="P34" s="15" t="s">
        <v>746</v>
      </c>
      <c r="Q34" s="15" t="s">
        <v>747</v>
      </c>
      <c r="R34" s="15" t="s">
        <v>748</v>
      </c>
      <c r="S34" s="15" t="s">
        <v>39</v>
      </c>
      <c r="T34" s="15" t="s">
        <v>48</v>
      </c>
      <c r="U34" s="15" t="s">
        <v>739</v>
      </c>
      <c r="V34" s="15" t="s">
        <v>749</v>
      </c>
      <c r="W34" s="15" t="s">
        <v>750</v>
      </c>
      <c r="X34" s="15" t="s">
        <v>77</v>
      </c>
      <c r="Y34" s="15" t="s">
        <v>78</v>
      </c>
      <c r="Z34" s="15" t="s">
        <v>751</v>
      </c>
      <c r="AA34" s="15" t="s">
        <v>169</v>
      </c>
      <c r="AB34" s="15" t="s">
        <v>285</v>
      </c>
      <c r="AC34" s="15" t="s">
        <v>479</v>
      </c>
      <c r="AD34" s="15" t="s">
        <v>480</v>
      </c>
      <c r="AE34" s="15" t="s">
        <v>55</v>
      </c>
      <c r="AF34" s="15" t="s">
        <v>752</v>
      </c>
      <c r="AG34" s="15" t="s">
        <v>39</v>
      </c>
      <c r="AH34" s="15" t="s">
        <v>39</v>
      </c>
      <c r="AI34" s="15" t="s">
        <v>753</v>
      </c>
      <c r="AJ34" s="15" t="s">
        <v>754</v>
      </c>
      <c r="AK34" s="15" t="s">
        <v>755</v>
      </c>
      <c r="AL34" s="15" t="s">
        <v>88</v>
      </c>
    </row>
    <row r="35" spans="1:38" x14ac:dyDescent="0.4">
      <c r="A35" s="11" t="s">
        <v>756</v>
      </c>
      <c r="B35" s="12" t="s">
        <v>757</v>
      </c>
      <c r="C35" s="13" t="s">
        <v>758</v>
      </c>
      <c r="D35" s="13" t="s">
        <v>92</v>
      </c>
      <c r="E35" s="13" t="s">
        <v>759</v>
      </c>
      <c r="F35" s="13" t="s">
        <v>760</v>
      </c>
      <c r="G35" s="13" t="s">
        <v>760</v>
      </c>
      <c r="H35" s="13" t="s">
        <v>761</v>
      </c>
      <c r="I35" s="9">
        <f t="shared" ca="1" si="0"/>
        <v>20</v>
      </c>
      <c r="J35" s="13" t="s">
        <v>762</v>
      </c>
      <c r="K35" s="13" t="s">
        <v>227</v>
      </c>
      <c r="L35" s="9" t="str">
        <f>VLOOKUP(K35,[1]中国省份_标准!$B$2:$F$35,4,FALSE)</f>
        <v>西部地区</v>
      </c>
      <c r="M35" s="9" t="str">
        <f>VLOOKUP(K35,[1]中国省份_标准!$B$2:$F$35,5,FALSE)</f>
        <v>西北地区</v>
      </c>
      <c r="N35" s="13" t="s">
        <v>763</v>
      </c>
      <c r="O35" s="13" t="s">
        <v>764</v>
      </c>
      <c r="P35" s="13" t="s">
        <v>765</v>
      </c>
      <c r="Q35" s="13" t="s">
        <v>766</v>
      </c>
      <c r="R35" s="13" t="s">
        <v>767</v>
      </c>
      <c r="S35" s="13" t="s">
        <v>768</v>
      </c>
      <c r="T35" s="13" t="s">
        <v>48</v>
      </c>
      <c r="U35" s="13" t="s">
        <v>757</v>
      </c>
      <c r="V35" s="13" t="s">
        <v>769</v>
      </c>
      <c r="W35" s="13" t="s">
        <v>770</v>
      </c>
      <c r="X35" s="13" t="s">
        <v>557</v>
      </c>
      <c r="Y35" s="13" t="s">
        <v>78</v>
      </c>
      <c r="Z35" s="13" t="s">
        <v>771</v>
      </c>
      <c r="AA35" s="13" t="s">
        <v>309</v>
      </c>
      <c r="AB35" s="13" t="s">
        <v>772</v>
      </c>
      <c r="AC35" s="13" t="s">
        <v>773</v>
      </c>
      <c r="AD35" s="13" t="s">
        <v>774</v>
      </c>
      <c r="AE35" s="13" t="s">
        <v>262</v>
      </c>
      <c r="AF35" s="13" t="s">
        <v>775</v>
      </c>
      <c r="AG35" s="13" t="s">
        <v>39</v>
      </c>
      <c r="AH35" s="13" t="s">
        <v>39</v>
      </c>
      <c r="AI35" s="13" t="s">
        <v>776</v>
      </c>
      <c r="AJ35" s="13" t="s">
        <v>777</v>
      </c>
      <c r="AK35" s="13" t="s">
        <v>778</v>
      </c>
      <c r="AL35" s="13" t="s">
        <v>88</v>
      </c>
    </row>
    <row r="36" spans="1:38" x14ac:dyDescent="0.4">
      <c r="A36" s="11" t="s">
        <v>779</v>
      </c>
      <c r="B36" s="14" t="s">
        <v>780</v>
      </c>
      <c r="C36" s="15" t="s">
        <v>39</v>
      </c>
      <c r="D36" s="15" t="s">
        <v>92</v>
      </c>
      <c r="E36" s="15" t="s">
        <v>781</v>
      </c>
      <c r="F36" s="15" t="s">
        <v>42</v>
      </c>
      <c r="G36" s="15" t="s">
        <v>42</v>
      </c>
      <c r="H36" s="15" t="s">
        <v>782</v>
      </c>
      <c r="I36" s="9">
        <f t="shared" ca="1" si="0"/>
        <v>13</v>
      </c>
      <c r="J36" s="15" t="s">
        <v>783</v>
      </c>
      <c r="K36" s="15" t="s">
        <v>340</v>
      </c>
      <c r="L36" s="9" t="str">
        <f>VLOOKUP(K36,[1]中国省份_标准!$B$2:$F$35,4,FALSE)</f>
        <v>东部地区</v>
      </c>
      <c r="M36" s="9" t="str">
        <f>VLOOKUP(K36,[1]中国省份_标准!$B$2:$F$35,5,FALSE)</f>
        <v>华东地区</v>
      </c>
      <c r="N36" s="15" t="s">
        <v>401</v>
      </c>
      <c r="O36" s="15" t="s">
        <v>784</v>
      </c>
      <c r="P36" s="15" t="s">
        <v>785</v>
      </c>
      <c r="Q36" s="15" t="s">
        <v>786</v>
      </c>
      <c r="R36" s="15" t="s">
        <v>787</v>
      </c>
      <c r="S36" s="15" t="s">
        <v>788</v>
      </c>
      <c r="T36" s="15" t="s">
        <v>48</v>
      </c>
      <c r="U36" s="15" t="s">
        <v>780</v>
      </c>
      <c r="V36" s="15" t="s">
        <v>789</v>
      </c>
      <c r="W36" s="15" t="s">
        <v>790</v>
      </c>
      <c r="X36" s="15" t="s">
        <v>791</v>
      </c>
      <c r="Y36" s="15" t="s">
        <v>78</v>
      </c>
      <c r="Z36" s="15" t="s">
        <v>792</v>
      </c>
      <c r="AA36" s="15" t="s">
        <v>80</v>
      </c>
      <c r="AB36" s="15" t="s">
        <v>106</v>
      </c>
      <c r="AC36" s="15" t="s">
        <v>388</v>
      </c>
      <c r="AD36" s="15" t="s">
        <v>434</v>
      </c>
      <c r="AE36" s="15" t="s">
        <v>55</v>
      </c>
      <c r="AF36" s="15" t="s">
        <v>793</v>
      </c>
      <c r="AG36" s="15" t="s">
        <v>39</v>
      </c>
      <c r="AH36" s="15" t="s">
        <v>39</v>
      </c>
      <c r="AI36" s="15" t="s">
        <v>794</v>
      </c>
      <c r="AJ36" s="15" t="s">
        <v>795</v>
      </c>
      <c r="AK36" s="15" t="s">
        <v>796</v>
      </c>
      <c r="AL36" s="15" t="s">
        <v>88</v>
      </c>
    </row>
    <row r="37" spans="1:38" x14ac:dyDescent="0.4">
      <c r="A37" s="11" t="s">
        <v>797</v>
      </c>
      <c r="B37" s="12" t="s">
        <v>798</v>
      </c>
      <c r="C37" s="13" t="s">
        <v>39</v>
      </c>
      <c r="D37" s="13" t="s">
        <v>92</v>
      </c>
      <c r="E37" s="13" t="s">
        <v>799</v>
      </c>
      <c r="F37" s="13" t="s">
        <v>640</v>
      </c>
      <c r="G37" s="13" t="s">
        <v>39</v>
      </c>
      <c r="H37" s="13" t="s">
        <v>800</v>
      </c>
      <c r="I37" s="9">
        <f t="shared" ca="1" si="0"/>
        <v>3</v>
      </c>
      <c r="J37" s="13" t="s">
        <v>801</v>
      </c>
      <c r="K37" s="13" t="s">
        <v>531</v>
      </c>
      <c r="L37" s="9" t="str">
        <f>VLOOKUP(K37,[1]中国省份_标准!$B$2:$F$35,4,FALSE)</f>
        <v>东部地区</v>
      </c>
      <c r="M37" s="9" t="str">
        <f>VLOOKUP(K37,[1]中国省份_标准!$B$2:$F$35,5,FALSE)</f>
        <v>华南地区</v>
      </c>
      <c r="N37" s="13" t="s">
        <v>802</v>
      </c>
      <c r="O37" s="13" t="s">
        <v>803</v>
      </c>
      <c r="P37" s="13" t="s">
        <v>804</v>
      </c>
      <c r="Q37" s="13" t="s">
        <v>39</v>
      </c>
      <c r="R37" s="13" t="s">
        <v>39</v>
      </c>
      <c r="S37" s="13" t="s">
        <v>39</v>
      </c>
      <c r="T37" s="13" t="s">
        <v>452</v>
      </c>
      <c r="U37" s="13" t="s">
        <v>798</v>
      </c>
      <c r="V37" s="13" t="s">
        <v>805</v>
      </c>
      <c r="W37" s="13" t="s">
        <v>806</v>
      </c>
      <c r="X37" s="13" t="s">
        <v>77</v>
      </c>
      <c r="Y37" s="13" t="s">
        <v>78</v>
      </c>
      <c r="Z37" s="13" t="s">
        <v>807</v>
      </c>
      <c r="AA37" s="13" t="s">
        <v>80</v>
      </c>
      <c r="AB37" s="13" t="s">
        <v>106</v>
      </c>
      <c r="AC37" s="13" t="s">
        <v>808</v>
      </c>
      <c r="AD37" s="13" t="s">
        <v>809</v>
      </c>
      <c r="AE37" s="13" t="s">
        <v>109</v>
      </c>
      <c r="AF37" s="13" t="s">
        <v>810</v>
      </c>
      <c r="AG37" s="13" t="s">
        <v>39</v>
      </c>
      <c r="AH37" s="13" t="s">
        <v>39</v>
      </c>
      <c r="AI37" s="13" t="s">
        <v>811</v>
      </c>
      <c r="AJ37" s="13" t="s">
        <v>812</v>
      </c>
      <c r="AK37" s="13" t="s">
        <v>813</v>
      </c>
      <c r="AL37" s="13" t="s">
        <v>88</v>
      </c>
    </row>
    <row r="38" spans="1:38" x14ac:dyDescent="0.4">
      <c r="A38" s="11" t="s">
        <v>814</v>
      </c>
      <c r="B38" s="14" t="s">
        <v>815</v>
      </c>
      <c r="C38" s="15" t="s">
        <v>39</v>
      </c>
      <c r="D38" s="15" t="s">
        <v>92</v>
      </c>
      <c r="E38" s="15" t="s">
        <v>816</v>
      </c>
      <c r="F38" s="15" t="s">
        <v>817</v>
      </c>
      <c r="G38" s="15" t="s">
        <v>817</v>
      </c>
      <c r="H38" s="15" t="s">
        <v>818</v>
      </c>
      <c r="I38" s="9">
        <f t="shared" ca="1" si="0"/>
        <v>21</v>
      </c>
      <c r="J38" s="15" t="s">
        <v>819</v>
      </c>
      <c r="K38" s="15" t="s">
        <v>702</v>
      </c>
      <c r="L38" s="9" t="str">
        <f>VLOOKUP(K38,[1]中国省份_标准!$B$2:$F$35,4,FALSE)</f>
        <v>东部地区</v>
      </c>
      <c r="M38" s="9" t="str">
        <f>VLOOKUP(K38,[1]中国省份_标准!$B$2:$F$35,5,FALSE)</f>
        <v>华北地区</v>
      </c>
      <c r="N38" s="15" t="s">
        <v>820</v>
      </c>
      <c r="O38" s="15" t="s">
        <v>821</v>
      </c>
      <c r="P38" s="15" t="s">
        <v>822</v>
      </c>
      <c r="Q38" s="15" t="s">
        <v>823</v>
      </c>
      <c r="R38" s="15" t="s">
        <v>824</v>
      </c>
      <c r="S38" s="15" t="s">
        <v>39</v>
      </c>
      <c r="T38" s="15" t="s">
        <v>825</v>
      </c>
      <c r="U38" s="15" t="s">
        <v>815</v>
      </c>
      <c r="V38" s="15" t="s">
        <v>826</v>
      </c>
      <c r="W38" s="15" t="s">
        <v>827</v>
      </c>
      <c r="X38" s="15" t="s">
        <v>828</v>
      </c>
      <c r="Y38" s="15" t="s">
        <v>78</v>
      </c>
      <c r="Z38" s="15" t="s">
        <v>829</v>
      </c>
      <c r="AA38" s="15" t="s">
        <v>169</v>
      </c>
      <c r="AB38" s="15" t="s">
        <v>830</v>
      </c>
      <c r="AC38" s="15" t="s">
        <v>831</v>
      </c>
      <c r="AD38" s="15" t="s">
        <v>831</v>
      </c>
      <c r="AE38" s="15" t="s">
        <v>239</v>
      </c>
      <c r="AF38" s="15" t="s">
        <v>832</v>
      </c>
      <c r="AG38" s="15" t="s">
        <v>833</v>
      </c>
      <c r="AH38" s="15" t="s">
        <v>39</v>
      </c>
      <c r="AI38" s="15" t="s">
        <v>834</v>
      </c>
      <c r="AJ38" s="15" t="s">
        <v>835</v>
      </c>
      <c r="AK38" s="15" t="s">
        <v>836</v>
      </c>
      <c r="AL38" s="15" t="s">
        <v>88</v>
      </c>
    </row>
    <row r="39" spans="1:38" x14ac:dyDescent="0.4">
      <c r="A39" s="11" t="s">
        <v>837</v>
      </c>
      <c r="B39" s="12" t="s">
        <v>838</v>
      </c>
      <c r="C39" s="13" t="s">
        <v>39</v>
      </c>
      <c r="D39" s="13" t="s">
        <v>839</v>
      </c>
      <c r="E39" s="13" t="s">
        <v>840</v>
      </c>
      <c r="F39" s="13" t="s">
        <v>271</v>
      </c>
      <c r="G39" s="13" t="s">
        <v>39</v>
      </c>
      <c r="H39" s="13" t="s">
        <v>841</v>
      </c>
      <c r="I39" s="9">
        <f t="shared" ca="1" si="0"/>
        <v>6</v>
      </c>
      <c r="J39" s="13" t="s">
        <v>842</v>
      </c>
      <c r="K39" s="13" t="s">
        <v>67</v>
      </c>
      <c r="L39" s="9" t="str">
        <f>VLOOKUP(K39,[1]中国省份_标准!$B$2:$F$35,4,FALSE)</f>
        <v>东部地区</v>
      </c>
      <c r="M39" s="9" t="str">
        <f>VLOOKUP(K39,[1]中国省份_标准!$B$2:$F$35,5,FALSE)</f>
        <v>华东地区</v>
      </c>
      <c r="N39" s="13" t="s">
        <v>843</v>
      </c>
      <c r="O39" s="13" t="s">
        <v>844</v>
      </c>
      <c r="P39" s="13" t="s">
        <v>845</v>
      </c>
      <c r="Q39" s="13" t="s">
        <v>39</v>
      </c>
      <c r="R39" s="13" t="s">
        <v>846</v>
      </c>
      <c r="S39" s="13" t="s">
        <v>39</v>
      </c>
      <c r="T39" s="13" t="s">
        <v>281</v>
      </c>
      <c r="U39" s="13" t="s">
        <v>838</v>
      </c>
      <c r="V39" s="13" t="s">
        <v>847</v>
      </c>
      <c r="W39" s="13" t="s">
        <v>848</v>
      </c>
      <c r="X39" s="13" t="s">
        <v>77</v>
      </c>
      <c r="Y39" s="13" t="s">
        <v>283</v>
      </c>
      <c r="Z39" s="13" t="s">
        <v>849</v>
      </c>
      <c r="AA39" s="13" t="s">
        <v>850</v>
      </c>
      <c r="AB39" s="13" t="s">
        <v>851</v>
      </c>
      <c r="AC39" s="13" t="s">
        <v>852</v>
      </c>
      <c r="AD39" s="13" t="s">
        <v>853</v>
      </c>
      <c r="AE39" s="13" t="s">
        <v>55</v>
      </c>
      <c r="AF39" s="13" t="s">
        <v>854</v>
      </c>
      <c r="AG39" s="13" t="s">
        <v>39</v>
      </c>
      <c r="AH39" s="13" t="s">
        <v>39</v>
      </c>
      <c r="AI39" s="13" t="s">
        <v>855</v>
      </c>
      <c r="AJ39" s="13" t="s">
        <v>856</v>
      </c>
      <c r="AK39" s="13" t="s">
        <v>857</v>
      </c>
      <c r="AL39" s="13" t="s">
        <v>88</v>
      </c>
    </row>
    <row r="40" spans="1:38" x14ac:dyDescent="0.4">
      <c r="A40" s="11" t="s">
        <v>858</v>
      </c>
      <c r="B40" s="14" t="s">
        <v>859</v>
      </c>
      <c r="C40" s="15" t="s">
        <v>860</v>
      </c>
      <c r="D40" s="15" t="s">
        <v>92</v>
      </c>
      <c r="E40" s="15" t="s">
        <v>861</v>
      </c>
      <c r="F40" s="15" t="s">
        <v>862</v>
      </c>
      <c r="G40" s="15" t="s">
        <v>862</v>
      </c>
      <c r="H40" s="15" t="s">
        <v>863</v>
      </c>
      <c r="I40" s="9">
        <f t="shared" ca="1" si="0"/>
        <v>23</v>
      </c>
      <c r="J40" s="15" t="s">
        <v>864</v>
      </c>
      <c r="K40" s="15" t="s">
        <v>594</v>
      </c>
      <c r="L40" s="9" t="str">
        <f>VLOOKUP(K40,[1]中国省份_标准!$B$2:$F$35,4,FALSE)</f>
        <v>中部地区</v>
      </c>
      <c r="M40" s="9" t="str">
        <f>VLOOKUP(K40,[1]中国省份_标准!$B$2:$F$35,5,FALSE)</f>
        <v>华东地区</v>
      </c>
      <c r="N40" s="15" t="s">
        <v>595</v>
      </c>
      <c r="O40" s="15" t="s">
        <v>865</v>
      </c>
      <c r="P40" s="15" t="s">
        <v>866</v>
      </c>
      <c r="Q40" s="15" t="s">
        <v>867</v>
      </c>
      <c r="R40" s="15" t="s">
        <v>868</v>
      </c>
      <c r="S40" s="15" t="s">
        <v>869</v>
      </c>
      <c r="T40" s="15" t="s">
        <v>48</v>
      </c>
      <c r="U40" s="15" t="s">
        <v>859</v>
      </c>
      <c r="V40" s="15" t="s">
        <v>870</v>
      </c>
      <c r="W40" s="15" t="s">
        <v>871</v>
      </c>
      <c r="X40" s="15" t="s">
        <v>77</v>
      </c>
      <c r="Y40" s="15" t="s">
        <v>283</v>
      </c>
      <c r="Z40" s="15" t="s">
        <v>872</v>
      </c>
      <c r="AA40" s="15" t="s">
        <v>169</v>
      </c>
      <c r="AB40" s="15" t="s">
        <v>285</v>
      </c>
      <c r="AC40" s="15" t="s">
        <v>479</v>
      </c>
      <c r="AD40" s="15" t="s">
        <v>480</v>
      </c>
      <c r="AE40" s="15" t="s">
        <v>262</v>
      </c>
      <c r="AF40" s="15" t="s">
        <v>873</v>
      </c>
      <c r="AG40" s="15" t="s">
        <v>39</v>
      </c>
      <c r="AH40" s="15" t="s">
        <v>39</v>
      </c>
      <c r="AI40" s="15" t="s">
        <v>874</v>
      </c>
      <c r="AJ40" s="15" t="s">
        <v>875</v>
      </c>
      <c r="AK40" s="15" t="s">
        <v>876</v>
      </c>
      <c r="AL40" s="15" t="s">
        <v>88</v>
      </c>
    </row>
    <row r="41" spans="1:38" x14ac:dyDescent="0.4">
      <c r="A41" s="11" t="s">
        <v>877</v>
      </c>
      <c r="B41" s="12" t="s">
        <v>878</v>
      </c>
      <c r="C41" s="13" t="s">
        <v>39</v>
      </c>
      <c r="D41" s="13" t="s">
        <v>879</v>
      </c>
      <c r="E41" s="13" t="s">
        <v>880</v>
      </c>
      <c r="F41" s="13" t="s">
        <v>422</v>
      </c>
      <c r="G41" s="13" t="s">
        <v>881</v>
      </c>
      <c r="H41" s="13" t="s">
        <v>882</v>
      </c>
      <c r="I41" s="9">
        <f t="shared" ca="1" si="0"/>
        <v>23</v>
      </c>
      <c r="J41" s="13" t="s">
        <v>883</v>
      </c>
      <c r="K41" s="13" t="s">
        <v>227</v>
      </c>
      <c r="L41" s="9" t="str">
        <f>VLOOKUP(K41,[1]中国省份_标准!$B$2:$F$35,4,FALSE)</f>
        <v>西部地区</v>
      </c>
      <c r="M41" s="9" t="str">
        <f>VLOOKUP(K41,[1]中国省份_标准!$B$2:$F$35,5,FALSE)</f>
        <v>西北地区</v>
      </c>
      <c r="N41" s="13" t="s">
        <v>884</v>
      </c>
      <c r="O41" s="13" t="s">
        <v>885</v>
      </c>
      <c r="P41" s="13" t="s">
        <v>886</v>
      </c>
      <c r="Q41" s="13" t="s">
        <v>887</v>
      </c>
      <c r="R41" s="13" t="s">
        <v>888</v>
      </c>
      <c r="S41" s="13" t="s">
        <v>889</v>
      </c>
      <c r="T41" s="13" t="s">
        <v>209</v>
      </c>
      <c r="U41" s="13" t="s">
        <v>878</v>
      </c>
      <c r="V41" s="13" t="s">
        <v>890</v>
      </c>
      <c r="W41" s="13" t="s">
        <v>891</v>
      </c>
      <c r="X41" s="13" t="s">
        <v>77</v>
      </c>
      <c r="Y41" s="13" t="s">
        <v>731</v>
      </c>
      <c r="Z41" s="13" t="s">
        <v>892</v>
      </c>
      <c r="AA41" s="13" t="s">
        <v>80</v>
      </c>
      <c r="AB41" s="13" t="s">
        <v>106</v>
      </c>
      <c r="AC41" s="13" t="s">
        <v>808</v>
      </c>
      <c r="AD41" s="13" t="s">
        <v>893</v>
      </c>
      <c r="AE41" s="13" t="s">
        <v>109</v>
      </c>
      <c r="AF41" s="13" t="s">
        <v>894</v>
      </c>
      <c r="AG41" s="13" t="s">
        <v>39</v>
      </c>
      <c r="AH41" s="13" t="s">
        <v>39</v>
      </c>
      <c r="AI41" s="13" t="s">
        <v>895</v>
      </c>
      <c r="AJ41" s="13" t="s">
        <v>896</v>
      </c>
      <c r="AK41" s="13" t="s">
        <v>897</v>
      </c>
      <c r="AL41" s="13" t="s">
        <v>39</v>
      </c>
    </row>
    <row r="42" spans="1:38" x14ac:dyDescent="0.4">
      <c r="A42" s="11" t="s">
        <v>898</v>
      </c>
      <c r="B42" s="14" t="s">
        <v>899</v>
      </c>
      <c r="C42" s="15" t="s">
        <v>39</v>
      </c>
      <c r="D42" s="15" t="s">
        <v>92</v>
      </c>
      <c r="E42" s="15" t="s">
        <v>900</v>
      </c>
      <c r="F42" s="15" t="s">
        <v>640</v>
      </c>
      <c r="G42" s="15" t="s">
        <v>640</v>
      </c>
      <c r="H42" s="15" t="s">
        <v>901</v>
      </c>
      <c r="I42" s="9">
        <f t="shared" ca="1" si="0"/>
        <v>18</v>
      </c>
      <c r="J42" s="15" t="s">
        <v>902</v>
      </c>
      <c r="K42" s="15" t="s">
        <v>903</v>
      </c>
      <c r="L42" s="9" t="str">
        <f>VLOOKUP(K42,[1]中国省份_标准!$B$2:$F$35,4,FALSE)</f>
        <v>东北地区</v>
      </c>
      <c r="M42" s="9" t="str">
        <f>VLOOKUP(K42,[1]中国省份_标准!$B$2:$F$35,5,FALSE)</f>
        <v>东北地区</v>
      </c>
      <c r="N42" s="15" t="s">
        <v>904</v>
      </c>
      <c r="O42" s="15" t="s">
        <v>905</v>
      </c>
      <c r="P42" s="15" t="s">
        <v>906</v>
      </c>
      <c r="Q42" s="15" t="s">
        <v>907</v>
      </c>
      <c r="R42" s="15" t="s">
        <v>908</v>
      </c>
      <c r="S42" s="15" t="s">
        <v>909</v>
      </c>
      <c r="T42" s="15" t="s">
        <v>48</v>
      </c>
      <c r="U42" s="15" t="s">
        <v>899</v>
      </c>
      <c r="V42" s="15" t="s">
        <v>910</v>
      </c>
      <c r="W42" s="15" t="s">
        <v>911</v>
      </c>
      <c r="X42" s="15" t="s">
        <v>77</v>
      </c>
      <c r="Y42" s="15" t="s">
        <v>78</v>
      </c>
      <c r="Z42" s="15" t="s">
        <v>912</v>
      </c>
      <c r="AA42" s="15" t="s">
        <v>80</v>
      </c>
      <c r="AB42" s="15" t="s">
        <v>106</v>
      </c>
      <c r="AC42" s="15" t="s">
        <v>808</v>
      </c>
      <c r="AD42" s="15" t="s">
        <v>809</v>
      </c>
      <c r="AE42" s="15" t="s">
        <v>262</v>
      </c>
      <c r="AF42" s="15" t="s">
        <v>913</v>
      </c>
      <c r="AG42" s="15" t="s">
        <v>39</v>
      </c>
      <c r="AH42" s="15" t="s">
        <v>39</v>
      </c>
      <c r="AI42" s="15" t="s">
        <v>914</v>
      </c>
      <c r="AJ42" s="15" t="s">
        <v>915</v>
      </c>
      <c r="AK42" s="15" t="s">
        <v>916</v>
      </c>
      <c r="AL42" s="15" t="s">
        <v>88</v>
      </c>
    </row>
    <row r="43" spans="1:38" x14ac:dyDescent="0.4">
      <c r="A43" s="11" t="s">
        <v>917</v>
      </c>
      <c r="B43" s="12" t="s">
        <v>918</v>
      </c>
      <c r="C43" s="13" t="s">
        <v>39</v>
      </c>
      <c r="D43" s="13" t="s">
        <v>92</v>
      </c>
      <c r="E43" s="13" t="s">
        <v>919</v>
      </c>
      <c r="F43" s="13" t="s">
        <v>920</v>
      </c>
      <c r="G43" s="13" t="s">
        <v>920</v>
      </c>
      <c r="H43" s="13" t="s">
        <v>921</v>
      </c>
      <c r="I43" s="9">
        <f t="shared" ca="1" si="0"/>
        <v>11</v>
      </c>
      <c r="J43" s="13" t="s">
        <v>922</v>
      </c>
      <c r="K43" s="13" t="s">
        <v>903</v>
      </c>
      <c r="L43" s="9" t="str">
        <f>VLOOKUP(K43,[1]中国省份_标准!$B$2:$F$35,4,FALSE)</f>
        <v>东北地区</v>
      </c>
      <c r="M43" s="9" t="str">
        <f>VLOOKUP(K43,[1]中国省份_标准!$B$2:$F$35,5,FALSE)</f>
        <v>东北地区</v>
      </c>
      <c r="N43" s="13" t="s">
        <v>923</v>
      </c>
      <c r="O43" s="13" t="s">
        <v>924</v>
      </c>
      <c r="P43" s="13" t="s">
        <v>925</v>
      </c>
      <c r="Q43" s="13" t="s">
        <v>926</v>
      </c>
      <c r="R43" s="13" t="s">
        <v>927</v>
      </c>
      <c r="S43" s="13" t="s">
        <v>928</v>
      </c>
      <c r="T43" s="13" t="s">
        <v>209</v>
      </c>
      <c r="U43" s="13" t="s">
        <v>918</v>
      </c>
      <c r="V43" s="13" t="s">
        <v>929</v>
      </c>
      <c r="W43" s="13" t="s">
        <v>930</v>
      </c>
      <c r="X43" s="13" t="s">
        <v>39</v>
      </c>
      <c r="Y43" s="13" t="s">
        <v>39</v>
      </c>
      <c r="Z43" s="13" t="s">
        <v>931</v>
      </c>
      <c r="AA43" s="13" t="s">
        <v>169</v>
      </c>
      <c r="AB43" s="13" t="s">
        <v>259</v>
      </c>
      <c r="AC43" s="13" t="s">
        <v>932</v>
      </c>
      <c r="AD43" s="13" t="s">
        <v>933</v>
      </c>
      <c r="AE43" s="13" t="s">
        <v>262</v>
      </c>
      <c r="AF43" s="13" t="s">
        <v>934</v>
      </c>
      <c r="AG43" s="13" t="s">
        <v>39</v>
      </c>
      <c r="AH43" s="13" t="s">
        <v>39</v>
      </c>
      <c r="AI43" s="13" t="s">
        <v>935</v>
      </c>
      <c r="AJ43" s="13" t="s">
        <v>936</v>
      </c>
      <c r="AK43" s="13" t="s">
        <v>937</v>
      </c>
      <c r="AL43" s="13" t="s">
        <v>88</v>
      </c>
    </row>
    <row r="44" spans="1:38" x14ac:dyDescent="0.4">
      <c r="A44" s="11" t="s">
        <v>938</v>
      </c>
      <c r="B44" s="14" t="s">
        <v>939</v>
      </c>
      <c r="C44" s="15" t="s">
        <v>940</v>
      </c>
      <c r="D44" s="15" t="s">
        <v>63</v>
      </c>
      <c r="E44" s="15" t="s">
        <v>941</v>
      </c>
      <c r="F44" s="15" t="s">
        <v>442</v>
      </c>
      <c r="G44" s="15" t="s">
        <v>39</v>
      </c>
      <c r="H44" s="15" t="s">
        <v>942</v>
      </c>
      <c r="I44" s="9">
        <f t="shared" ca="1" si="0"/>
        <v>10</v>
      </c>
      <c r="J44" s="15" t="s">
        <v>943</v>
      </c>
      <c r="K44" s="15" t="s">
        <v>67</v>
      </c>
      <c r="L44" s="9" t="str">
        <f>VLOOKUP(K44,[1]中国省份_标准!$B$2:$F$35,4,FALSE)</f>
        <v>东部地区</v>
      </c>
      <c r="M44" s="9" t="str">
        <f>VLOOKUP(K44,[1]中国省份_标准!$B$2:$F$35,5,FALSE)</f>
        <v>华东地区</v>
      </c>
      <c r="N44" s="15" t="s">
        <v>203</v>
      </c>
      <c r="O44" s="15" t="s">
        <v>944</v>
      </c>
      <c r="P44" s="15" t="s">
        <v>945</v>
      </c>
      <c r="Q44" s="15" t="s">
        <v>946</v>
      </c>
      <c r="R44" s="15" t="s">
        <v>947</v>
      </c>
      <c r="S44" s="15" t="s">
        <v>39</v>
      </c>
      <c r="T44" s="15" t="s">
        <v>48</v>
      </c>
      <c r="U44" s="15" t="s">
        <v>939</v>
      </c>
      <c r="V44" s="15" t="s">
        <v>948</v>
      </c>
      <c r="W44" s="15" t="s">
        <v>949</v>
      </c>
      <c r="X44" s="15" t="s">
        <v>77</v>
      </c>
      <c r="Y44" s="15" t="s">
        <v>78</v>
      </c>
      <c r="Z44" s="15" t="s">
        <v>950</v>
      </c>
      <c r="AA44" s="15" t="s">
        <v>80</v>
      </c>
      <c r="AB44" s="15" t="s">
        <v>106</v>
      </c>
      <c r="AC44" s="15" t="s">
        <v>951</v>
      </c>
      <c r="AD44" s="15" t="s">
        <v>952</v>
      </c>
      <c r="AE44" s="15" t="s">
        <v>109</v>
      </c>
      <c r="AF44" s="15" t="s">
        <v>953</v>
      </c>
      <c r="AG44" s="15" t="s">
        <v>39</v>
      </c>
      <c r="AH44" s="15" t="s">
        <v>39</v>
      </c>
      <c r="AI44" s="15" t="s">
        <v>954</v>
      </c>
      <c r="AJ44" s="15" t="s">
        <v>955</v>
      </c>
      <c r="AK44" s="15" t="s">
        <v>956</v>
      </c>
      <c r="AL44" s="15" t="s">
        <v>88</v>
      </c>
    </row>
    <row r="45" spans="1:38" x14ac:dyDescent="0.4">
      <c r="A45" s="11" t="s">
        <v>957</v>
      </c>
      <c r="B45" s="12" t="s">
        <v>958</v>
      </c>
      <c r="C45" s="13" t="s">
        <v>39</v>
      </c>
      <c r="D45" s="13" t="s">
        <v>959</v>
      </c>
      <c r="E45" s="13" t="s">
        <v>960</v>
      </c>
      <c r="F45" s="13" t="s">
        <v>961</v>
      </c>
      <c r="G45" s="13" t="s">
        <v>961</v>
      </c>
      <c r="H45" s="13" t="s">
        <v>962</v>
      </c>
      <c r="I45" s="9">
        <f t="shared" ca="1" si="0"/>
        <v>9</v>
      </c>
      <c r="J45" s="13" t="s">
        <v>963</v>
      </c>
      <c r="K45" s="13" t="s">
        <v>425</v>
      </c>
      <c r="L45" s="9" t="str">
        <f>VLOOKUP(K45,[1]中国省份_标准!$B$2:$F$35,4,FALSE)</f>
        <v>东部地区</v>
      </c>
      <c r="M45" s="9" t="str">
        <f>VLOOKUP(K45,[1]中国省份_标准!$B$2:$F$35,5,FALSE)</f>
        <v>华东地区</v>
      </c>
      <c r="N45" s="13" t="s">
        <v>964</v>
      </c>
      <c r="O45" s="13" t="s">
        <v>965</v>
      </c>
      <c r="P45" s="13" t="s">
        <v>966</v>
      </c>
      <c r="Q45" s="13" t="s">
        <v>39</v>
      </c>
      <c r="R45" s="13" t="s">
        <v>967</v>
      </c>
      <c r="S45" s="13" t="s">
        <v>968</v>
      </c>
      <c r="T45" s="13" t="s">
        <v>48</v>
      </c>
      <c r="U45" s="13" t="s">
        <v>958</v>
      </c>
      <c r="V45" s="13" t="s">
        <v>969</v>
      </c>
      <c r="W45" s="13" t="s">
        <v>970</v>
      </c>
      <c r="X45" s="13" t="s">
        <v>77</v>
      </c>
      <c r="Y45" s="13" t="s">
        <v>971</v>
      </c>
      <c r="Z45" s="13" t="s">
        <v>972</v>
      </c>
      <c r="AA45" s="13" t="s">
        <v>80</v>
      </c>
      <c r="AB45" s="13" t="s">
        <v>106</v>
      </c>
      <c r="AC45" s="13" t="s">
        <v>388</v>
      </c>
      <c r="AD45" s="13" t="s">
        <v>434</v>
      </c>
      <c r="AE45" s="13" t="s">
        <v>55</v>
      </c>
      <c r="AF45" s="13" t="s">
        <v>973</v>
      </c>
      <c r="AG45" s="13" t="s">
        <v>39</v>
      </c>
      <c r="AH45" s="13" t="s">
        <v>39</v>
      </c>
      <c r="AI45" s="13" t="s">
        <v>974</v>
      </c>
      <c r="AJ45" s="13" t="s">
        <v>975</v>
      </c>
      <c r="AK45" s="13" t="s">
        <v>976</v>
      </c>
      <c r="AL45" s="13" t="s">
        <v>88</v>
      </c>
    </row>
    <row r="46" spans="1:38" x14ac:dyDescent="0.4">
      <c r="A46" s="11" t="s">
        <v>977</v>
      </c>
      <c r="B46" s="14" t="s">
        <v>978</v>
      </c>
      <c r="C46" s="15" t="s">
        <v>39</v>
      </c>
      <c r="D46" s="15" t="s">
        <v>979</v>
      </c>
      <c r="E46" s="15" t="s">
        <v>980</v>
      </c>
      <c r="F46" s="15" t="s">
        <v>422</v>
      </c>
      <c r="G46" s="15" t="s">
        <v>39</v>
      </c>
      <c r="H46" s="15" t="s">
        <v>981</v>
      </c>
      <c r="I46" s="9">
        <f t="shared" ca="1" si="0"/>
        <v>8</v>
      </c>
      <c r="J46" s="15" t="s">
        <v>982</v>
      </c>
      <c r="K46" s="15" t="s">
        <v>983</v>
      </c>
      <c r="L46" s="9" t="str">
        <f>VLOOKUP(K46,[1]中国省份_标准!$B$2:$F$35,4,FALSE)</f>
        <v>西部地区</v>
      </c>
      <c r="M46" s="9" t="str">
        <f>VLOOKUP(K46,[1]中国省份_标准!$B$2:$F$35,5,FALSE)</f>
        <v>华北地区</v>
      </c>
      <c r="N46" s="15" t="s">
        <v>984</v>
      </c>
      <c r="O46" s="15" t="s">
        <v>985</v>
      </c>
      <c r="P46" s="15" t="s">
        <v>986</v>
      </c>
      <c r="Q46" s="15" t="s">
        <v>39</v>
      </c>
      <c r="R46" s="15" t="s">
        <v>987</v>
      </c>
      <c r="S46" s="15" t="s">
        <v>39</v>
      </c>
      <c r="T46" s="15" t="s">
        <v>281</v>
      </c>
      <c r="U46" s="15" t="s">
        <v>978</v>
      </c>
      <c r="V46" s="15" t="s">
        <v>988</v>
      </c>
      <c r="W46" s="15" t="s">
        <v>989</v>
      </c>
      <c r="X46" s="15" t="s">
        <v>990</v>
      </c>
      <c r="Y46" s="15" t="s">
        <v>731</v>
      </c>
      <c r="Z46" s="15" t="s">
        <v>991</v>
      </c>
      <c r="AA46" s="15" t="s">
        <v>80</v>
      </c>
      <c r="AB46" s="15" t="s">
        <v>106</v>
      </c>
      <c r="AC46" s="15" t="s">
        <v>808</v>
      </c>
      <c r="AD46" s="15" t="s">
        <v>809</v>
      </c>
      <c r="AE46" s="15" t="s">
        <v>55</v>
      </c>
      <c r="AF46" s="15" t="s">
        <v>992</v>
      </c>
      <c r="AG46" s="15" t="s">
        <v>39</v>
      </c>
      <c r="AH46" s="15" t="s">
        <v>39</v>
      </c>
      <c r="AI46" s="15" t="s">
        <v>993</v>
      </c>
      <c r="AJ46" s="15" t="s">
        <v>994</v>
      </c>
      <c r="AK46" s="15" t="s">
        <v>995</v>
      </c>
      <c r="AL46" s="15" t="s">
        <v>88</v>
      </c>
    </row>
    <row r="47" spans="1:38" x14ac:dyDescent="0.4">
      <c r="A47" s="11" t="s">
        <v>996</v>
      </c>
      <c r="B47" s="12" t="s">
        <v>997</v>
      </c>
      <c r="C47" s="13" t="s">
        <v>39</v>
      </c>
      <c r="D47" s="13" t="s">
        <v>92</v>
      </c>
      <c r="E47" s="13" t="s">
        <v>998</v>
      </c>
      <c r="F47" s="13" t="s">
        <v>999</v>
      </c>
      <c r="G47" s="13" t="s">
        <v>999</v>
      </c>
      <c r="H47" s="13" t="s">
        <v>1000</v>
      </c>
      <c r="I47" s="9">
        <f t="shared" ca="1" si="0"/>
        <v>19</v>
      </c>
      <c r="J47" s="13" t="s">
        <v>1001</v>
      </c>
      <c r="K47" s="13" t="s">
        <v>227</v>
      </c>
      <c r="L47" s="9" t="str">
        <f>VLOOKUP(K47,[1]中国省份_标准!$B$2:$F$35,4,FALSE)</f>
        <v>西部地区</v>
      </c>
      <c r="M47" s="9" t="str">
        <f>VLOOKUP(K47,[1]中国省份_标准!$B$2:$F$35,5,FALSE)</f>
        <v>西北地区</v>
      </c>
      <c r="N47" s="13" t="s">
        <v>1002</v>
      </c>
      <c r="O47" s="13" t="s">
        <v>1003</v>
      </c>
      <c r="P47" s="13" t="s">
        <v>1004</v>
      </c>
      <c r="Q47" s="13" t="s">
        <v>1005</v>
      </c>
      <c r="R47" s="13" t="s">
        <v>1006</v>
      </c>
      <c r="S47" s="13" t="s">
        <v>1007</v>
      </c>
      <c r="T47" s="13" t="s">
        <v>48</v>
      </c>
      <c r="U47" s="13" t="s">
        <v>997</v>
      </c>
      <c r="V47" s="13" t="s">
        <v>1008</v>
      </c>
      <c r="W47" s="13" t="s">
        <v>1009</v>
      </c>
      <c r="X47" s="13" t="s">
        <v>673</v>
      </c>
      <c r="Y47" s="13" t="s">
        <v>78</v>
      </c>
      <c r="Z47" s="13" t="s">
        <v>1010</v>
      </c>
      <c r="AA47" s="13" t="s">
        <v>309</v>
      </c>
      <c r="AB47" s="13" t="s">
        <v>772</v>
      </c>
      <c r="AC47" s="13" t="s">
        <v>773</v>
      </c>
      <c r="AD47" s="13" t="s">
        <v>774</v>
      </c>
      <c r="AE47" s="13" t="s">
        <v>55</v>
      </c>
      <c r="AF47" s="13" t="s">
        <v>1011</v>
      </c>
      <c r="AG47" s="13" t="s">
        <v>39</v>
      </c>
      <c r="AH47" s="13" t="s">
        <v>39</v>
      </c>
      <c r="AI47" s="13" t="s">
        <v>1012</v>
      </c>
      <c r="AJ47" s="13" t="s">
        <v>1013</v>
      </c>
      <c r="AK47" s="13" t="s">
        <v>1014</v>
      </c>
      <c r="AL47" s="13" t="s">
        <v>88</v>
      </c>
    </row>
    <row r="48" spans="1:38" x14ac:dyDescent="0.4">
      <c r="A48" s="11" t="s">
        <v>1015</v>
      </c>
      <c r="B48" s="14" t="s">
        <v>1016</v>
      </c>
      <c r="C48" s="15" t="s">
        <v>1017</v>
      </c>
      <c r="D48" s="15" t="s">
        <v>92</v>
      </c>
      <c r="E48" s="15" t="s">
        <v>1018</v>
      </c>
      <c r="F48" s="15" t="s">
        <v>1019</v>
      </c>
      <c r="G48" s="15" t="s">
        <v>1019</v>
      </c>
      <c r="H48" s="15" t="s">
        <v>1020</v>
      </c>
      <c r="I48" s="9">
        <f t="shared" ca="1" si="0"/>
        <v>38</v>
      </c>
      <c r="J48" s="15" t="s">
        <v>1021</v>
      </c>
      <c r="K48" s="15" t="s">
        <v>1022</v>
      </c>
      <c r="L48" s="9" t="str">
        <f>VLOOKUP(K48,[1]中国省份_标准!$B$2:$F$35,4,FALSE)</f>
        <v>东部地区</v>
      </c>
      <c r="M48" s="9" t="str">
        <f>VLOOKUP(K48,[1]中国省份_标准!$B$2:$F$35,5,FALSE)</f>
        <v>华北地区</v>
      </c>
      <c r="N48" s="15" t="s">
        <v>1022</v>
      </c>
      <c r="O48" s="15" t="s">
        <v>1023</v>
      </c>
      <c r="P48" s="15" t="s">
        <v>1024</v>
      </c>
      <c r="Q48" s="15" t="s">
        <v>1025</v>
      </c>
      <c r="R48" s="15" t="s">
        <v>1026</v>
      </c>
      <c r="S48" s="15" t="s">
        <v>1027</v>
      </c>
      <c r="T48" s="15" t="s">
        <v>1028</v>
      </c>
      <c r="U48" s="15" t="s">
        <v>1016</v>
      </c>
      <c r="V48" s="15" t="s">
        <v>1029</v>
      </c>
      <c r="W48" s="15" t="s">
        <v>1030</v>
      </c>
      <c r="X48" s="15" t="s">
        <v>410</v>
      </c>
      <c r="Y48" s="15" t="s">
        <v>78</v>
      </c>
      <c r="Z48" s="15" t="s">
        <v>1031</v>
      </c>
      <c r="AA48" s="15" t="s">
        <v>80</v>
      </c>
      <c r="AB48" s="15" t="s">
        <v>106</v>
      </c>
      <c r="AC48" s="15" t="s">
        <v>388</v>
      </c>
      <c r="AD48" s="15" t="s">
        <v>434</v>
      </c>
      <c r="AE48" s="15" t="s">
        <v>262</v>
      </c>
      <c r="AF48" s="15" t="s">
        <v>1032</v>
      </c>
      <c r="AG48" s="15" t="s">
        <v>1033</v>
      </c>
      <c r="AH48" s="15" t="s">
        <v>1034</v>
      </c>
      <c r="AI48" s="15" t="s">
        <v>1035</v>
      </c>
      <c r="AJ48" s="15" t="s">
        <v>1036</v>
      </c>
      <c r="AK48" s="15" t="s">
        <v>1037</v>
      </c>
      <c r="AL48" s="15" t="s">
        <v>88</v>
      </c>
    </row>
    <row r="49" spans="1:38" x14ac:dyDescent="0.4">
      <c r="A49" s="11" t="s">
        <v>1038</v>
      </c>
      <c r="B49" s="12" t="s">
        <v>1039</v>
      </c>
      <c r="C49" s="13" t="s">
        <v>39</v>
      </c>
      <c r="D49" s="13" t="s">
        <v>92</v>
      </c>
      <c r="E49" s="13" t="s">
        <v>1040</v>
      </c>
      <c r="F49" s="13" t="s">
        <v>271</v>
      </c>
      <c r="G49" s="13" t="s">
        <v>271</v>
      </c>
      <c r="H49" s="13" t="s">
        <v>1041</v>
      </c>
      <c r="I49" s="9">
        <f t="shared" ca="1" si="0"/>
        <v>9</v>
      </c>
      <c r="J49" s="13" t="s">
        <v>1042</v>
      </c>
      <c r="K49" s="13" t="s">
        <v>702</v>
      </c>
      <c r="L49" s="9" t="str">
        <f>VLOOKUP(K49,[1]中国省份_标准!$B$2:$F$35,4,FALSE)</f>
        <v>东部地区</v>
      </c>
      <c r="M49" s="9" t="str">
        <f>VLOOKUP(K49,[1]中国省份_标准!$B$2:$F$35,5,FALSE)</f>
        <v>华北地区</v>
      </c>
      <c r="N49" s="13" t="s">
        <v>1043</v>
      </c>
      <c r="O49" s="13" t="s">
        <v>1044</v>
      </c>
      <c r="P49" s="13" t="s">
        <v>1045</v>
      </c>
      <c r="Q49" s="13" t="s">
        <v>1046</v>
      </c>
      <c r="R49" s="13" t="s">
        <v>39</v>
      </c>
      <c r="S49" s="13" t="s">
        <v>39</v>
      </c>
      <c r="T49" s="13" t="s">
        <v>281</v>
      </c>
      <c r="U49" s="13" t="s">
        <v>1039</v>
      </c>
      <c r="V49" s="13" t="s">
        <v>1047</v>
      </c>
      <c r="W49" s="13" t="s">
        <v>1048</v>
      </c>
      <c r="X49" s="13" t="s">
        <v>77</v>
      </c>
      <c r="Y49" s="13" t="s">
        <v>78</v>
      </c>
      <c r="Z49" s="13" t="s">
        <v>1049</v>
      </c>
      <c r="AA49" s="13" t="s">
        <v>169</v>
      </c>
      <c r="AB49" s="13" t="s">
        <v>285</v>
      </c>
      <c r="AC49" s="13" t="s">
        <v>479</v>
      </c>
      <c r="AD49" s="13" t="s">
        <v>1050</v>
      </c>
      <c r="AE49" s="13" t="s">
        <v>109</v>
      </c>
      <c r="AF49" s="13" t="s">
        <v>1051</v>
      </c>
      <c r="AG49" s="13" t="s">
        <v>39</v>
      </c>
      <c r="AH49" s="13" t="s">
        <v>39</v>
      </c>
      <c r="AI49" s="13" t="s">
        <v>1052</v>
      </c>
      <c r="AJ49" s="13" t="s">
        <v>1053</v>
      </c>
      <c r="AK49" s="13" t="s">
        <v>1054</v>
      </c>
      <c r="AL49" s="13" t="s">
        <v>88</v>
      </c>
    </row>
    <row r="50" spans="1:38" x14ac:dyDescent="0.4">
      <c r="A50" s="11" t="s">
        <v>1055</v>
      </c>
      <c r="B50" s="14" t="s">
        <v>1056</v>
      </c>
      <c r="C50" s="15" t="s">
        <v>39</v>
      </c>
      <c r="D50" s="15" t="s">
        <v>92</v>
      </c>
      <c r="E50" s="15" t="s">
        <v>1057</v>
      </c>
      <c r="F50" s="15" t="s">
        <v>640</v>
      </c>
      <c r="G50" s="15" t="s">
        <v>154</v>
      </c>
      <c r="H50" s="15" t="s">
        <v>1058</v>
      </c>
      <c r="I50" s="9">
        <f t="shared" ca="1" si="0"/>
        <v>9</v>
      </c>
      <c r="J50" s="15" t="s">
        <v>1059</v>
      </c>
      <c r="K50" s="15" t="s">
        <v>45</v>
      </c>
      <c r="L50" s="9" t="str">
        <f>VLOOKUP(K50,[1]中国省份_标准!$B$2:$F$35,4,FALSE)</f>
        <v>东部地区</v>
      </c>
      <c r="M50" s="9" t="str">
        <f>VLOOKUP(K50,[1]中国省份_标准!$B$2:$F$35,5,FALSE)</f>
        <v>华东地区</v>
      </c>
      <c r="N50" s="15" t="s">
        <v>45</v>
      </c>
      <c r="O50" s="15" t="s">
        <v>1060</v>
      </c>
      <c r="P50" s="15" t="s">
        <v>1061</v>
      </c>
      <c r="Q50" s="15" t="s">
        <v>39</v>
      </c>
      <c r="R50" s="15" t="s">
        <v>39</v>
      </c>
      <c r="S50" s="15" t="s">
        <v>39</v>
      </c>
      <c r="T50" s="15" t="s">
        <v>48</v>
      </c>
      <c r="U50" s="15" t="s">
        <v>1056</v>
      </c>
      <c r="V50" s="15" t="s">
        <v>1062</v>
      </c>
      <c r="W50" s="15" t="s">
        <v>1063</v>
      </c>
      <c r="X50" s="15" t="s">
        <v>77</v>
      </c>
      <c r="Y50" s="15" t="s">
        <v>78</v>
      </c>
      <c r="Z50" s="15" t="s">
        <v>1064</v>
      </c>
      <c r="AA50" s="15" t="s">
        <v>80</v>
      </c>
      <c r="AB50" s="15" t="s">
        <v>106</v>
      </c>
      <c r="AC50" s="15" t="s">
        <v>107</v>
      </c>
      <c r="AD50" s="15" t="s">
        <v>108</v>
      </c>
      <c r="AE50" s="15" t="s">
        <v>109</v>
      </c>
      <c r="AF50" s="15" t="s">
        <v>1065</v>
      </c>
      <c r="AG50" s="15" t="s">
        <v>39</v>
      </c>
      <c r="AH50" s="15" t="s">
        <v>39</v>
      </c>
      <c r="AI50" s="15" t="s">
        <v>1066</v>
      </c>
      <c r="AJ50" s="15" t="s">
        <v>1067</v>
      </c>
      <c r="AK50" s="15" t="s">
        <v>1068</v>
      </c>
      <c r="AL50" s="15" t="s">
        <v>88</v>
      </c>
    </row>
    <row r="51" spans="1:38" x14ac:dyDescent="0.4">
      <c r="A51" s="11" t="s">
        <v>1069</v>
      </c>
      <c r="B51" s="12" t="s">
        <v>1070</v>
      </c>
      <c r="C51" s="13" t="s">
        <v>39</v>
      </c>
      <c r="D51" s="13" t="s">
        <v>92</v>
      </c>
      <c r="E51" s="13" t="s">
        <v>1071</v>
      </c>
      <c r="F51" s="13" t="s">
        <v>154</v>
      </c>
      <c r="G51" s="13" t="s">
        <v>39</v>
      </c>
      <c r="H51" s="13" t="s">
        <v>1072</v>
      </c>
      <c r="I51" s="9">
        <f t="shared" ca="1" si="0"/>
        <v>7</v>
      </c>
      <c r="J51" s="13" t="s">
        <v>1073</v>
      </c>
      <c r="K51" s="13" t="s">
        <v>45</v>
      </c>
      <c r="L51" s="9" t="str">
        <f>VLOOKUP(K51,[1]中国省份_标准!$B$2:$F$35,4,FALSE)</f>
        <v>东部地区</v>
      </c>
      <c r="M51" s="9" t="str">
        <f>VLOOKUP(K51,[1]中国省份_标准!$B$2:$F$35,5,FALSE)</f>
        <v>华东地区</v>
      </c>
      <c r="N51" s="13" t="s">
        <v>45</v>
      </c>
      <c r="O51" s="13" t="s">
        <v>46</v>
      </c>
      <c r="P51" s="13" t="s">
        <v>1074</v>
      </c>
      <c r="Q51" s="13" t="s">
        <v>39</v>
      </c>
      <c r="R51" s="13" t="s">
        <v>39</v>
      </c>
      <c r="S51" s="13" t="s">
        <v>39</v>
      </c>
      <c r="T51" s="13" t="s">
        <v>281</v>
      </c>
      <c r="U51" s="13" t="s">
        <v>1070</v>
      </c>
      <c r="V51" s="13" t="s">
        <v>39</v>
      </c>
      <c r="W51" s="13" t="s">
        <v>1075</v>
      </c>
      <c r="X51" s="13" t="s">
        <v>77</v>
      </c>
      <c r="Y51" s="13" t="s">
        <v>78</v>
      </c>
      <c r="Z51" s="13" t="s">
        <v>1076</v>
      </c>
      <c r="AA51" s="13" t="s">
        <v>80</v>
      </c>
      <c r="AB51" s="13" t="s">
        <v>106</v>
      </c>
      <c r="AC51" s="13" t="s">
        <v>107</v>
      </c>
      <c r="AD51" s="13" t="s">
        <v>108</v>
      </c>
      <c r="AE51" s="13" t="s">
        <v>109</v>
      </c>
      <c r="AF51" s="13" t="s">
        <v>1077</v>
      </c>
      <c r="AG51" s="13" t="s">
        <v>39</v>
      </c>
      <c r="AH51" s="13" t="s">
        <v>1078</v>
      </c>
      <c r="AI51" s="13" t="s">
        <v>1079</v>
      </c>
      <c r="AJ51" s="13" t="s">
        <v>1080</v>
      </c>
      <c r="AK51" s="13" t="s">
        <v>59</v>
      </c>
      <c r="AL51" s="13" t="s">
        <v>88</v>
      </c>
    </row>
    <row r="52" spans="1:38" x14ac:dyDescent="0.4">
      <c r="A52" s="11" t="s">
        <v>1081</v>
      </c>
      <c r="B52" s="14" t="s">
        <v>1082</v>
      </c>
      <c r="C52" s="15" t="s">
        <v>39</v>
      </c>
      <c r="D52" s="15" t="s">
        <v>92</v>
      </c>
      <c r="E52" s="15" t="s">
        <v>1083</v>
      </c>
      <c r="F52" s="15" t="s">
        <v>1084</v>
      </c>
      <c r="G52" s="15" t="s">
        <v>39</v>
      </c>
      <c r="H52" s="15" t="s">
        <v>1085</v>
      </c>
      <c r="I52" s="9">
        <f t="shared" ca="1" si="0"/>
        <v>5</v>
      </c>
      <c r="J52" s="15" t="s">
        <v>1086</v>
      </c>
      <c r="K52" s="15" t="s">
        <v>157</v>
      </c>
      <c r="L52" s="9" t="str">
        <f>VLOOKUP(K52,[1]中国省份_标准!$B$2:$F$35,4,FALSE)</f>
        <v>东北地区</v>
      </c>
      <c r="M52" s="9" t="str">
        <f>VLOOKUP(K52,[1]中国省份_标准!$B$2:$F$35,5,FALSE)</f>
        <v>东北地区</v>
      </c>
      <c r="N52" s="15" t="s">
        <v>1087</v>
      </c>
      <c r="O52" s="15" t="s">
        <v>1088</v>
      </c>
      <c r="P52" s="15" t="s">
        <v>1089</v>
      </c>
      <c r="Q52" s="15" t="s">
        <v>1090</v>
      </c>
      <c r="R52" s="15" t="s">
        <v>1091</v>
      </c>
      <c r="S52" s="15" t="s">
        <v>1092</v>
      </c>
      <c r="T52" s="15" t="s">
        <v>48</v>
      </c>
      <c r="U52" s="15" t="s">
        <v>1082</v>
      </c>
      <c r="V52" s="15" t="s">
        <v>1093</v>
      </c>
      <c r="W52" s="15" t="s">
        <v>1094</v>
      </c>
      <c r="X52" s="15" t="s">
        <v>77</v>
      </c>
      <c r="Y52" s="15" t="s">
        <v>78</v>
      </c>
      <c r="Z52" s="15" t="s">
        <v>1095</v>
      </c>
      <c r="AA52" s="15" t="s">
        <v>80</v>
      </c>
      <c r="AB52" s="15" t="s">
        <v>106</v>
      </c>
      <c r="AC52" s="15" t="s">
        <v>107</v>
      </c>
      <c r="AD52" s="15" t="s">
        <v>39</v>
      </c>
      <c r="AE52" s="15" t="s">
        <v>55</v>
      </c>
      <c r="AF52" s="15" t="s">
        <v>1096</v>
      </c>
      <c r="AG52" s="15" t="s">
        <v>39</v>
      </c>
      <c r="AH52" s="15" t="s">
        <v>39</v>
      </c>
      <c r="AI52" s="15" t="s">
        <v>1097</v>
      </c>
      <c r="AJ52" s="15" t="s">
        <v>1098</v>
      </c>
      <c r="AK52" s="15" t="s">
        <v>1099</v>
      </c>
      <c r="AL52" s="15" t="s">
        <v>88</v>
      </c>
    </row>
    <row r="53" spans="1:38" x14ac:dyDescent="0.4">
      <c r="A53" s="11" t="s">
        <v>1100</v>
      </c>
      <c r="B53" s="12" t="s">
        <v>1101</v>
      </c>
      <c r="C53" s="13" t="s">
        <v>39</v>
      </c>
      <c r="D53" s="13" t="s">
        <v>92</v>
      </c>
      <c r="E53" s="13" t="s">
        <v>1102</v>
      </c>
      <c r="F53" s="13" t="s">
        <v>640</v>
      </c>
      <c r="G53" s="13" t="s">
        <v>39</v>
      </c>
      <c r="H53" s="13" t="s">
        <v>1103</v>
      </c>
      <c r="I53" s="9">
        <f t="shared" ca="1" si="0"/>
        <v>5</v>
      </c>
      <c r="J53" s="13" t="s">
        <v>1104</v>
      </c>
      <c r="K53" s="13" t="s">
        <v>157</v>
      </c>
      <c r="L53" s="9" t="str">
        <f>VLOOKUP(K53,[1]中国省份_标准!$B$2:$F$35,4,FALSE)</f>
        <v>东北地区</v>
      </c>
      <c r="M53" s="9" t="str">
        <f>VLOOKUP(K53,[1]中国省份_标准!$B$2:$F$35,5,FALSE)</f>
        <v>东北地区</v>
      </c>
      <c r="N53" s="13" t="s">
        <v>1105</v>
      </c>
      <c r="O53" s="13" t="s">
        <v>1106</v>
      </c>
      <c r="P53" s="13" t="s">
        <v>1107</v>
      </c>
      <c r="Q53" s="13" t="s">
        <v>39</v>
      </c>
      <c r="R53" s="13" t="s">
        <v>1108</v>
      </c>
      <c r="S53" s="13" t="s">
        <v>1109</v>
      </c>
      <c r="T53" s="13" t="s">
        <v>281</v>
      </c>
      <c r="U53" s="13" t="s">
        <v>1101</v>
      </c>
      <c r="V53" s="13" t="s">
        <v>1110</v>
      </c>
      <c r="W53" s="13" t="s">
        <v>1111</v>
      </c>
      <c r="X53" s="13" t="s">
        <v>77</v>
      </c>
      <c r="Y53" s="13" t="s">
        <v>78</v>
      </c>
      <c r="Z53" s="13" t="s">
        <v>1112</v>
      </c>
      <c r="AA53" s="13" t="s">
        <v>80</v>
      </c>
      <c r="AB53" s="13" t="s">
        <v>106</v>
      </c>
      <c r="AC53" s="13" t="s">
        <v>808</v>
      </c>
      <c r="AD53" s="13" t="s">
        <v>809</v>
      </c>
      <c r="AE53" s="13" t="s">
        <v>55</v>
      </c>
      <c r="AF53" s="13" t="s">
        <v>1113</v>
      </c>
      <c r="AG53" s="13" t="s">
        <v>39</v>
      </c>
      <c r="AH53" s="13" t="s">
        <v>39</v>
      </c>
      <c r="AI53" s="13" t="s">
        <v>1114</v>
      </c>
      <c r="AJ53" s="13" t="s">
        <v>1115</v>
      </c>
      <c r="AK53" s="13" t="s">
        <v>1116</v>
      </c>
      <c r="AL53" s="13" t="s">
        <v>88</v>
      </c>
    </row>
    <row r="54" spans="1:38" x14ac:dyDescent="0.4">
      <c r="A54" s="11" t="s">
        <v>1117</v>
      </c>
      <c r="B54" s="14" t="s">
        <v>1118</v>
      </c>
      <c r="C54" s="15" t="s">
        <v>39</v>
      </c>
      <c r="D54" s="15" t="s">
        <v>92</v>
      </c>
      <c r="E54" s="15" t="s">
        <v>1119</v>
      </c>
      <c r="F54" s="15" t="s">
        <v>271</v>
      </c>
      <c r="G54" s="15" t="s">
        <v>1120</v>
      </c>
      <c r="H54" s="15" t="s">
        <v>1121</v>
      </c>
      <c r="I54" s="9">
        <f t="shared" ca="1" si="0"/>
        <v>9</v>
      </c>
      <c r="J54" s="15" t="s">
        <v>1122</v>
      </c>
      <c r="K54" s="15" t="s">
        <v>45</v>
      </c>
      <c r="L54" s="9" t="str">
        <f>VLOOKUP(K54,[1]中国省份_标准!$B$2:$F$35,4,FALSE)</f>
        <v>东部地区</v>
      </c>
      <c r="M54" s="9" t="str">
        <f>VLOOKUP(K54,[1]中国省份_标准!$B$2:$F$35,5,FALSE)</f>
        <v>华东地区</v>
      </c>
      <c r="N54" s="15" t="s">
        <v>45</v>
      </c>
      <c r="O54" s="15" t="s">
        <v>1123</v>
      </c>
      <c r="P54" s="15" t="s">
        <v>1124</v>
      </c>
      <c r="Q54" s="15" t="s">
        <v>1125</v>
      </c>
      <c r="R54" s="15" t="s">
        <v>1126</v>
      </c>
      <c r="S54" s="15" t="s">
        <v>1127</v>
      </c>
      <c r="T54" s="15" t="s">
        <v>48</v>
      </c>
      <c r="U54" s="15" t="s">
        <v>1118</v>
      </c>
      <c r="V54" s="15" t="s">
        <v>1128</v>
      </c>
      <c r="W54" s="15" t="s">
        <v>1129</v>
      </c>
      <c r="X54" s="15" t="s">
        <v>1130</v>
      </c>
      <c r="Y54" s="15" t="s">
        <v>78</v>
      </c>
      <c r="Z54" s="15" t="s">
        <v>1131</v>
      </c>
      <c r="AA54" s="15" t="s">
        <v>80</v>
      </c>
      <c r="AB54" s="15" t="s">
        <v>106</v>
      </c>
      <c r="AC54" s="15" t="s">
        <v>1132</v>
      </c>
      <c r="AD54" s="15" t="s">
        <v>1133</v>
      </c>
      <c r="AE54" s="15" t="s">
        <v>55</v>
      </c>
      <c r="AF54" s="15" t="s">
        <v>1134</v>
      </c>
      <c r="AG54" s="15" t="s">
        <v>39</v>
      </c>
      <c r="AH54" s="15" t="s">
        <v>1135</v>
      </c>
      <c r="AI54" s="15" t="s">
        <v>1136</v>
      </c>
      <c r="AJ54" s="15" t="s">
        <v>1137</v>
      </c>
      <c r="AK54" s="15" t="s">
        <v>1138</v>
      </c>
      <c r="AL54" s="15" t="s">
        <v>88</v>
      </c>
    </row>
    <row r="55" spans="1:38" x14ac:dyDescent="0.4">
      <c r="A55" s="11" t="s">
        <v>1139</v>
      </c>
      <c r="B55" s="12" t="s">
        <v>1140</v>
      </c>
      <c r="C55" s="13" t="s">
        <v>1141</v>
      </c>
      <c r="D55" s="13" t="s">
        <v>92</v>
      </c>
      <c r="E55" s="13" t="s">
        <v>1142</v>
      </c>
      <c r="F55" s="13" t="s">
        <v>920</v>
      </c>
      <c r="G55" s="13" t="s">
        <v>920</v>
      </c>
      <c r="H55" s="13" t="s">
        <v>1143</v>
      </c>
      <c r="I55" s="9">
        <f t="shared" ca="1" si="0"/>
        <v>23</v>
      </c>
      <c r="J55" s="13" t="s">
        <v>1144</v>
      </c>
      <c r="K55" s="13" t="s">
        <v>531</v>
      </c>
      <c r="L55" s="9" t="str">
        <f>VLOOKUP(K55,[1]中国省份_标准!$B$2:$F$35,4,FALSE)</f>
        <v>东部地区</v>
      </c>
      <c r="M55" s="9" t="str">
        <f>VLOOKUP(K55,[1]中国省份_标准!$B$2:$F$35,5,FALSE)</f>
        <v>华南地区</v>
      </c>
      <c r="N55" s="13" t="s">
        <v>1145</v>
      </c>
      <c r="O55" s="13" t="s">
        <v>1146</v>
      </c>
      <c r="P55" s="13" t="s">
        <v>1147</v>
      </c>
      <c r="Q55" s="13" t="s">
        <v>1148</v>
      </c>
      <c r="R55" s="13" t="s">
        <v>1149</v>
      </c>
      <c r="S55" s="13" t="s">
        <v>1150</v>
      </c>
      <c r="T55" s="13" t="s">
        <v>48</v>
      </c>
      <c r="U55" s="13" t="s">
        <v>1140</v>
      </c>
      <c r="V55" s="13" t="s">
        <v>1151</v>
      </c>
      <c r="W55" s="13" t="s">
        <v>1152</v>
      </c>
      <c r="X55" s="13" t="s">
        <v>1153</v>
      </c>
      <c r="Y55" s="13" t="s">
        <v>78</v>
      </c>
      <c r="Z55" s="13" t="s">
        <v>1154</v>
      </c>
      <c r="AA55" s="13" t="s">
        <v>169</v>
      </c>
      <c r="AB55" s="13" t="s">
        <v>285</v>
      </c>
      <c r="AC55" s="13" t="s">
        <v>479</v>
      </c>
      <c r="AD55" s="13" t="s">
        <v>39</v>
      </c>
      <c r="AE55" s="13" t="s">
        <v>262</v>
      </c>
      <c r="AF55" s="13" t="s">
        <v>1155</v>
      </c>
      <c r="AG55" s="13" t="s">
        <v>1156</v>
      </c>
      <c r="AH55" s="13" t="s">
        <v>39</v>
      </c>
      <c r="AI55" s="13" t="s">
        <v>1157</v>
      </c>
      <c r="AJ55" s="13" t="s">
        <v>1158</v>
      </c>
      <c r="AK55" s="13" t="s">
        <v>1159</v>
      </c>
      <c r="AL55" s="13" t="s">
        <v>88</v>
      </c>
    </row>
    <row r="56" spans="1:38" x14ac:dyDescent="0.4">
      <c r="A56" s="11" t="s">
        <v>1160</v>
      </c>
      <c r="B56" s="14" t="s">
        <v>1161</v>
      </c>
      <c r="C56" s="15" t="s">
        <v>39</v>
      </c>
      <c r="D56" s="15" t="s">
        <v>92</v>
      </c>
      <c r="E56" s="15" t="s">
        <v>1162</v>
      </c>
      <c r="F56" s="15" t="s">
        <v>1163</v>
      </c>
      <c r="G56" s="15" t="s">
        <v>1163</v>
      </c>
      <c r="H56" s="15" t="s">
        <v>1164</v>
      </c>
      <c r="I56" s="9">
        <f t="shared" ca="1" si="0"/>
        <v>18</v>
      </c>
      <c r="J56" s="15" t="s">
        <v>1165</v>
      </c>
      <c r="K56" s="15" t="s">
        <v>643</v>
      </c>
      <c r="L56" s="9" t="str">
        <f>VLOOKUP(K56,[1]中国省份_标准!$B$2:$F$35,4,FALSE)</f>
        <v>东北地区</v>
      </c>
      <c r="M56" s="9" t="str">
        <f>VLOOKUP(K56,[1]中国省份_标准!$B$2:$F$35,5,FALSE)</f>
        <v>东北地区</v>
      </c>
      <c r="N56" s="15" t="s">
        <v>644</v>
      </c>
      <c r="O56" s="15" t="s">
        <v>1166</v>
      </c>
      <c r="P56" s="15" t="s">
        <v>1167</v>
      </c>
      <c r="Q56" s="15" t="s">
        <v>1168</v>
      </c>
      <c r="R56" s="15" t="s">
        <v>1169</v>
      </c>
      <c r="S56" s="15" t="s">
        <v>1170</v>
      </c>
      <c r="T56" s="15" t="s">
        <v>452</v>
      </c>
      <c r="U56" s="15" t="s">
        <v>1161</v>
      </c>
      <c r="V56" s="15" t="s">
        <v>1171</v>
      </c>
      <c r="W56" s="15" t="s">
        <v>1172</v>
      </c>
      <c r="X56" s="15" t="s">
        <v>365</v>
      </c>
      <c r="Y56" s="15" t="s">
        <v>78</v>
      </c>
      <c r="Z56" s="15" t="s">
        <v>1173</v>
      </c>
      <c r="AA56" s="15" t="s">
        <v>850</v>
      </c>
      <c r="AB56" s="15" t="s">
        <v>851</v>
      </c>
      <c r="AC56" s="15" t="s">
        <v>852</v>
      </c>
      <c r="AD56" s="15" t="s">
        <v>1174</v>
      </c>
      <c r="AE56" s="15" t="s">
        <v>55</v>
      </c>
      <c r="AF56" s="15" t="s">
        <v>1175</v>
      </c>
      <c r="AG56" s="15" t="s">
        <v>39</v>
      </c>
      <c r="AH56" s="15" t="s">
        <v>39</v>
      </c>
      <c r="AI56" s="15" t="s">
        <v>1176</v>
      </c>
      <c r="AJ56" s="15" t="s">
        <v>1177</v>
      </c>
      <c r="AK56" s="15" t="s">
        <v>1178</v>
      </c>
      <c r="AL56" s="15" t="s">
        <v>88</v>
      </c>
    </row>
    <row r="57" spans="1:38" x14ac:dyDescent="0.4">
      <c r="A57" s="11" t="s">
        <v>1179</v>
      </c>
      <c r="B57" s="12" t="s">
        <v>1180</v>
      </c>
      <c r="C57" s="13" t="s">
        <v>39</v>
      </c>
      <c r="D57" s="13" t="s">
        <v>1181</v>
      </c>
      <c r="E57" s="13" t="s">
        <v>1182</v>
      </c>
      <c r="F57" s="13" t="s">
        <v>42</v>
      </c>
      <c r="G57" s="13" t="s">
        <v>39</v>
      </c>
      <c r="H57" s="13" t="s">
        <v>1183</v>
      </c>
      <c r="I57" s="9">
        <f t="shared" ca="1" si="0"/>
        <v>8</v>
      </c>
      <c r="J57" s="13" t="s">
        <v>1184</v>
      </c>
      <c r="K57" s="13" t="s">
        <v>643</v>
      </c>
      <c r="L57" s="9" t="str">
        <f>VLOOKUP(K57,[1]中国省份_标准!$B$2:$F$35,4,FALSE)</f>
        <v>东北地区</v>
      </c>
      <c r="M57" s="9" t="str">
        <f>VLOOKUP(K57,[1]中国省份_标准!$B$2:$F$35,5,FALSE)</f>
        <v>东北地区</v>
      </c>
      <c r="N57" s="13" t="s">
        <v>644</v>
      </c>
      <c r="O57" s="13" t="s">
        <v>1185</v>
      </c>
      <c r="P57" s="13" t="s">
        <v>1186</v>
      </c>
      <c r="Q57" s="13" t="s">
        <v>1187</v>
      </c>
      <c r="R57" s="13" t="s">
        <v>1188</v>
      </c>
      <c r="S57" s="13" t="s">
        <v>1189</v>
      </c>
      <c r="T57" s="13" t="s">
        <v>281</v>
      </c>
      <c r="U57" s="13" t="s">
        <v>1180</v>
      </c>
      <c r="V57" s="13" t="s">
        <v>1190</v>
      </c>
      <c r="W57" s="13" t="s">
        <v>1191</v>
      </c>
      <c r="X57" s="13" t="s">
        <v>77</v>
      </c>
      <c r="Y57" s="13" t="s">
        <v>283</v>
      </c>
      <c r="Z57" s="13" t="s">
        <v>1192</v>
      </c>
      <c r="AA57" s="13" t="s">
        <v>80</v>
      </c>
      <c r="AB57" s="13" t="s">
        <v>106</v>
      </c>
      <c r="AC57" s="13" t="s">
        <v>808</v>
      </c>
      <c r="AD57" s="13" t="s">
        <v>809</v>
      </c>
      <c r="AE57" s="13" t="s">
        <v>55</v>
      </c>
      <c r="AF57" s="13" t="s">
        <v>1193</v>
      </c>
      <c r="AG57" s="13" t="s">
        <v>39</v>
      </c>
      <c r="AH57" s="13" t="s">
        <v>39</v>
      </c>
      <c r="AI57" s="13" t="s">
        <v>1194</v>
      </c>
      <c r="AJ57" s="13" t="s">
        <v>1195</v>
      </c>
      <c r="AK57" s="13" t="s">
        <v>1196</v>
      </c>
      <c r="AL57" s="13" t="s">
        <v>88</v>
      </c>
    </row>
    <row r="58" spans="1:38" x14ac:dyDescent="0.4">
      <c r="A58" s="11" t="s">
        <v>1197</v>
      </c>
      <c r="B58" s="14" t="s">
        <v>1198</v>
      </c>
      <c r="C58" s="15" t="s">
        <v>39</v>
      </c>
      <c r="D58" s="15" t="s">
        <v>92</v>
      </c>
      <c r="E58" s="15" t="s">
        <v>1199</v>
      </c>
      <c r="F58" s="15" t="s">
        <v>271</v>
      </c>
      <c r="G58" s="15" t="s">
        <v>271</v>
      </c>
      <c r="H58" s="15" t="s">
        <v>1200</v>
      </c>
      <c r="I58" s="9">
        <f t="shared" ca="1" si="0"/>
        <v>20</v>
      </c>
      <c r="J58" s="15" t="s">
        <v>1201</v>
      </c>
      <c r="K58" s="15" t="s">
        <v>643</v>
      </c>
      <c r="L58" s="9" t="str">
        <f>VLOOKUP(K58,[1]中国省份_标准!$B$2:$F$35,4,FALSE)</f>
        <v>东北地区</v>
      </c>
      <c r="M58" s="9" t="str">
        <f>VLOOKUP(K58,[1]中国省份_标准!$B$2:$F$35,5,FALSE)</f>
        <v>东北地区</v>
      </c>
      <c r="N58" s="15" t="s">
        <v>1202</v>
      </c>
      <c r="O58" s="15" t="s">
        <v>1203</v>
      </c>
      <c r="P58" s="15" t="s">
        <v>1204</v>
      </c>
      <c r="Q58" s="15" t="s">
        <v>1205</v>
      </c>
      <c r="R58" s="15" t="s">
        <v>1206</v>
      </c>
      <c r="S58" s="15" t="s">
        <v>39</v>
      </c>
      <c r="T58" s="15" t="s">
        <v>281</v>
      </c>
      <c r="U58" s="15" t="s">
        <v>1198</v>
      </c>
      <c r="V58" s="15" t="s">
        <v>1207</v>
      </c>
      <c r="W58" s="15" t="s">
        <v>1208</v>
      </c>
      <c r="X58" s="15" t="s">
        <v>1209</v>
      </c>
      <c r="Y58" s="15" t="s">
        <v>78</v>
      </c>
      <c r="Z58" s="15" t="s">
        <v>1210</v>
      </c>
      <c r="AA58" s="15" t="s">
        <v>80</v>
      </c>
      <c r="AB58" s="15" t="s">
        <v>106</v>
      </c>
      <c r="AC58" s="15" t="s">
        <v>808</v>
      </c>
      <c r="AD58" s="15" t="s">
        <v>809</v>
      </c>
      <c r="AE58" s="15" t="s">
        <v>55</v>
      </c>
      <c r="AF58" s="15" t="s">
        <v>1211</v>
      </c>
      <c r="AG58" s="15" t="s">
        <v>39</v>
      </c>
      <c r="AH58" s="15" t="s">
        <v>39</v>
      </c>
      <c r="AI58" s="15" t="s">
        <v>1212</v>
      </c>
      <c r="AJ58" s="15" t="s">
        <v>1213</v>
      </c>
      <c r="AK58" s="15" t="s">
        <v>1214</v>
      </c>
      <c r="AL58" s="15" t="s">
        <v>88</v>
      </c>
    </row>
    <row r="59" spans="1:38" x14ac:dyDescent="0.4">
      <c r="A59" s="11" t="s">
        <v>1215</v>
      </c>
      <c r="B59" s="12" t="s">
        <v>1216</v>
      </c>
      <c r="C59" s="13" t="s">
        <v>1217</v>
      </c>
      <c r="D59" s="13" t="s">
        <v>92</v>
      </c>
      <c r="E59" s="13" t="s">
        <v>1218</v>
      </c>
      <c r="F59" s="13" t="s">
        <v>154</v>
      </c>
      <c r="G59" s="13" t="s">
        <v>39</v>
      </c>
      <c r="H59" s="13" t="s">
        <v>1219</v>
      </c>
      <c r="I59" s="9">
        <f t="shared" ca="1" si="0"/>
        <v>8</v>
      </c>
      <c r="J59" s="13" t="s">
        <v>1220</v>
      </c>
      <c r="K59" s="13" t="s">
        <v>379</v>
      </c>
      <c r="L59" s="9" t="str">
        <f>VLOOKUP(K59,[1]中国省份_标准!$B$2:$F$35,4,FALSE)</f>
        <v>东部地区</v>
      </c>
      <c r="M59" s="9" t="str">
        <f>VLOOKUP(K59,[1]中国省份_标准!$B$2:$F$35,5,FALSE)</f>
        <v>华东地区</v>
      </c>
      <c r="N59" s="13" t="s">
        <v>1221</v>
      </c>
      <c r="O59" s="13" t="s">
        <v>1222</v>
      </c>
      <c r="P59" s="13" t="s">
        <v>1223</v>
      </c>
      <c r="Q59" s="13" t="s">
        <v>1224</v>
      </c>
      <c r="R59" s="13" t="s">
        <v>39</v>
      </c>
      <c r="S59" s="13" t="s">
        <v>39</v>
      </c>
      <c r="T59" s="13" t="s">
        <v>281</v>
      </c>
      <c r="U59" s="13" t="s">
        <v>1216</v>
      </c>
      <c r="V59" s="13" t="s">
        <v>1225</v>
      </c>
      <c r="W59" s="13" t="s">
        <v>1226</v>
      </c>
      <c r="X59" s="13" t="s">
        <v>77</v>
      </c>
      <c r="Y59" s="13" t="s">
        <v>283</v>
      </c>
      <c r="Z59" s="13" t="s">
        <v>1227</v>
      </c>
      <c r="AA59" s="13" t="s">
        <v>80</v>
      </c>
      <c r="AB59" s="13" t="s">
        <v>106</v>
      </c>
      <c r="AC59" s="13" t="s">
        <v>388</v>
      </c>
      <c r="AD59" s="13" t="s">
        <v>434</v>
      </c>
      <c r="AE59" s="13" t="s">
        <v>109</v>
      </c>
      <c r="AF59" s="13" t="s">
        <v>1228</v>
      </c>
      <c r="AG59" s="13" t="s">
        <v>39</v>
      </c>
      <c r="AH59" s="13" t="s">
        <v>39</v>
      </c>
      <c r="AI59" s="13" t="s">
        <v>1229</v>
      </c>
      <c r="AJ59" s="13" t="s">
        <v>1230</v>
      </c>
      <c r="AK59" s="13" t="s">
        <v>1231</v>
      </c>
      <c r="AL59" s="13" t="s">
        <v>88</v>
      </c>
    </row>
    <row r="60" spans="1:38" x14ac:dyDescent="0.4">
      <c r="A60" s="11" t="s">
        <v>1232</v>
      </c>
      <c r="B60" s="14" t="s">
        <v>1233</v>
      </c>
      <c r="C60" s="15" t="s">
        <v>39</v>
      </c>
      <c r="D60" s="15" t="s">
        <v>92</v>
      </c>
      <c r="E60" s="15" t="s">
        <v>1234</v>
      </c>
      <c r="F60" s="15" t="s">
        <v>1235</v>
      </c>
      <c r="G60" s="15" t="s">
        <v>39</v>
      </c>
      <c r="H60" s="15" t="s">
        <v>1236</v>
      </c>
      <c r="I60" s="9">
        <f t="shared" ca="1" si="0"/>
        <v>6</v>
      </c>
      <c r="J60" s="15" t="s">
        <v>1237</v>
      </c>
      <c r="K60" s="15" t="s">
        <v>594</v>
      </c>
      <c r="L60" s="9" t="str">
        <f>VLOOKUP(K60,[1]中国省份_标准!$B$2:$F$35,4,FALSE)</f>
        <v>中部地区</v>
      </c>
      <c r="M60" s="9" t="str">
        <f>VLOOKUP(K60,[1]中国省份_标准!$B$2:$F$35,5,FALSE)</f>
        <v>华东地区</v>
      </c>
      <c r="N60" s="15" t="s">
        <v>1238</v>
      </c>
      <c r="O60" s="15" t="s">
        <v>1239</v>
      </c>
      <c r="P60" s="15" t="s">
        <v>1240</v>
      </c>
      <c r="Q60" s="15" t="s">
        <v>39</v>
      </c>
      <c r="R60" s="15" t="s">
        <v>1241</v>
      </c>
      <c r="S60" s="15" t="s">
        <v>1242</v>
      </c>
      <c r="T60" s="15" t="s">
        <v>281</v>
      </c>
      <c r="U60" s="15" t="s">
        <v>1233</v>
      </c>
      <c r="V60" s="15" t="s">
        <v>1243</v>
      </c>
      <c r="W60" s="15" t="s">
        <v>1244</v>
      </c>
      <c r="X60" s="15" t="s">
        <v>77</v>
      </c>
      <c r="Y60" s="15" t="s">
        <v>283</v>
      </c>
      <c r="Z60" s="15" t="s">
        <v>1245</v>
      </c>
      <c r="AA60" s="15" t="s">
        <v>169</v>
      </c>
      <c r="AB60" s="15" t="s">
        <v>285</v>
      </c>
      <c r="AC60" s="15" t="s">
        <v>286</v>
      </c>
      <c r="AD60" s="15" t="s">
        <v>287</v>
      </c>
      <c r="AE60" s="15" t="s">
        <v>109</v>
      </c>
      <c r="AF60" s="15" t="s">
        <v>1246</v>
      </c>
      <c r="AG60" s="15" t="s">
        <v>39</v>
      </c>
      <c r="AH60" s="15" t="s">
        <v>39</v>
      </c>
      <c r="AI60" s="15" t="s">
        <v>1247</v>
      </c>
      <c r="AJ60" s="15" t="s">
        <v>1248</v>
      </c>
      <c r="AK60" s="15" t="s">
        <v>1249</v>
      </c>
      <c r="AL60" s="15" t="s">
        <v>88</v>
      </c>
    </row>
    <row r="61" spans="1:38" x14ac:dyDescent="0.4">
      <c r="A61" s="11" t="s">
        <v>1250</v>
      </c>
      <c r="B61" s="12" t="s">
        <v>1251</v>
      </c>
      <c r="C61" s="13" t="s">
        <v>39</v>
      </c>
      <c r="D61" s="13" t="s">
        <v>1252</v>
      </c>
      <c r="E61" s="13" t="s">
        <v>1253</v>
      </c>
      <c r="F61" s="13" t="s">
        <v>42</v>
      </c>
      <c r="G61" s="13" t="s">
        <v>42</v>
      </c>
      <c r="H61" s="13" t="s">
        <v>1254</v>
      </c>
      <c r="I61" s="9">
        <f t="shared" ca="1" si="0"/>
        <v>5</v>
      </c>
      <c r="J61" s="13" t="s">
        <v>1255</v>
      </c>
      <c r="K61" s="13" t="s">
        <v>594</v>
      </c>
      <c r="L61" s="9" t="str">
        <f>VLOOKUP(K61,[1]中国省份_标准!$B$2:$F$35,4,FALSE)</f>
        <v>中部地区</v>
      </c>
      <c r="M61" s="9" t="str">
        <f>VLOOKUP(K61,[1]中国省份_标准!$B$2:$F$35,5,FALSE)</f>
        <v>华东地区</v>
      </c>
      <c r="N61" s="13" t="s">
        <v>1256</v>
      </c>
      <c r="O61" s="13" t="s">
        <v>1257</v>
      </c>
      <c r="P61" s="13" t="s">
        <v>1258</v>
      </c>
      <c r="Q61" s="13" t="s">
        <v>39</v>
      </c>
      <c r="R61" s="13" t="s">
        <v>1259</v>
      </c>
      <c r="S61" s="13" t="s">
        <v>1260</v>
      </c>
      <c r="T61" s="13" t="s">
        <v>281</v>
      </c>
      <c r="U61" s="13" t="s">
        <v>1251</v>
      </c>
      <c r="V61" s="13" t="s">
        <v>1261</v>
      </c>
      <c r="W61" s="13" t="s">
        <v>1262</v>
      </c>
      <c r="X61" s="13" t="s">
        <v>77</v>
      </c>
      <c r="Y61" s="13" t="s">
        <v>283</v>
      </c>
      <c r="Z61" s="13" t="s">
        <v>1263</v>
      </c>
      <c r="AA61" s="13" t="s">
        <v>169</v>
      </c>
      <c r="AB61" s="13" t="s">
        <v>1264</v>
      </c>
      <c r="AC61" s="13" t="s">
        <v>1265</v>
      </c>
      <c r="AD61" s="13" t="s">
        <v>1265</v>
      </c>
      <c r="AE61" s="13" t="s">
        <v>109</v>
      </c>
      <c r="AF61" s="13" t="s">
        <v>1266</v>
      </c>
      <c r="AG61" s="13" t="s">
        <v>39</v>
      </c>
      <c r="AH61" s="13" t="s">
        <v>39</v>
      </c>
      <c r="AI61" s="13" t="s">
        <v>1267</v>
      </c>
      <c r="AJ61" s="13" t="s">
        <v>1268</v>
      </c>
      <c r="AK61" s="13" t="s">
        <v>1269</v>
      </c>
      <c r="AL61" s="13" t="s">
        <v>88</v>
      </c>
    </row>
    <row r="62" spans="1:38" x14ac:dyDescent="0.4">
      <c r="A62" s="11" t="s">
        <v>1270</v>
      </c>
      <c r="B62" s="14" t="s">
        <v>1271</v>
      </c>
      <c r="C62" s="15" t="s">
        <v>39</v>
      </c>
      <c r="D62" s="15" t="s">
        <v>1272</v>
      </c>
      <c r="E62" s="15" t="s">
        <v>1273</v>
      </c>
      <c r="F62" s="15" t="s">
        <v>154</v>
      </c>
      <c r="G62" s="15" t="s">
        <v>39</v>
      </c>
      <c r="H62" s="15" t="s">
        <v>1274</v>
      </c>
      <c r="I62" s="9">
        <f t="shared" ca="1" si="0"/>
        <v>4</v>
      </c>
      <c r="J62" s="15" t="s">
        <v>1275</v>
      </c>
      <c r="K62" s="15" t="s">
        <v>379</v>
      </c>
      <c r="L62" s="9" t="str">
        <f>VLOOKUP(K62,[1]中国省份_标准!$B$2:$F$35,4,FALSE)</f>
        <v>东部地区</v>
      </c>
      <c r="M62" s="9" t="str">
        <f>VLOOKUP(K62,[1]中国省份_标准!$B$2:$F$35,5,FALSE)</f>
        <v>华东地区</v>
      </c>
      <c r="N62" s="15" t="s">
        <v>1276</v>
      </c>
      <c r="O62" s="15" t="s">
        <v>1277</v>
      </c>
      <c r="P62" s="15" t="s">
        <v>1278</v>
      </c>
      <c r="Q62" s="15" t="s">
        <v>39</v>
      </c>
      <c r="R62" s="15" t="s">
        <v>39</v>
      </c>
      <c r="S62" s="15" t="s">
        <v>39</v>
      </c>
      <c r="T62" s="15" t="s">
        <v>281</v>
      </c>
      <c r="U62" s="15" t="s">
        <v>1271</v>
      </c>
      <c r="V62" s="15" t="s">
        <v>39</v>
      </c>
      <c r="W62" s="15" t="s">
        <v>1279</v>
      </c>
      <c r="X62" s="15" t="s">
        <v>540</v>
      </c>
      <c r="Y62" s="15" t="s">
        <v>283</v>
      </c>
      <c r="Z62" s="15" t="s">
        <v>1280</v>
      </c>
      <c r="AA62" s="15" t="s">
        <v>80</v>
      </c>
      <c r="AB62" s="15" t="s">
        <v>106</v>
      </c>
      <c r="AC62" s="15" t="s">
        <v>388</v>
      </c>
      <c r="AD62" s="15" t="s">
        <v>389</v>
      </c>
      <c r="AE62" s="15" t="s">
        <v>109</v>
      </c>
      <c r="AF62" s="15" t="s">
        <v>1281</v>
      </c>
      <c r="AG62" s="15" t="s">
        <v>39</v>
      </c>
      <c r="AH62" s="15" t="s">
        <v>39</v>
      </c>
      <c r="AI62" s="15" t="s">
        <v>1282</v>
      </c>
      <c r="AJ62" s="15" t="s">
        <v>1283</v>
      </c>
      <c r="AK62" s="15" t="s">
        <v>1284</v>
      </c>
      <c r="AL62" s="15" t="s">
        <v>88</v>
      </c>
    </row>
    <row r="63" spans="1:38" x14ac:dyDescent="0.4">
      <c r="A63" s="11" t="s">
        <v>1285</v>
      </c>
      <c r="B63" s="12" t="s">
        <v>1286</v>
      </c>
      <c r="C63" s="13" t="s">
        <v>39</v>
      </c>
      <c r="D63" s="13" t="s">
        <v>92</v>
      </c>
      <c r="E63" s="13" t="s">
        <v>1287</v>
      </c>
      <c r="F63" s="13" t="s">
        <v>1288</v>
      </c>
      <c r="G63" s="13" t="s">
        <v>1288</v>
      </c>
      <c r="H63" s="13" t="s">
        <v>1289</v>
      </c>
      <c r="I63" s="9">
        <f t="shared" ca="1" si="0"/>
        <v>13</v>
      </c>
      <c r="J63" s="13" t="s">
        <v>1290</v>
      </c>
      <c r="K63" s="13" t="s">
        <v>594</v>
      </c>
      <c r="L63" s="9" t="str">
        <f>VLOOKUP(K63,[1]中国省份_标准!$B$2:$F$35,4,FALSE)</f>
        <v>中部地区</v>
      </c>
      <c r="M63" s="9" t="str">
        <f>VLOOKUP(K63,[1]中国省份_标准!$B$2:$F$35,5,FALSE)</f>
        <v>华东地区</v>
      </c>
      <c r="N63" s="13" t="s">
        <v>1291</v>
      </c>
      <c r="O63" s="13" t="s">
        <v>1292</v>
      </c>
      <c r="P63" s="13" t="s">
        <v>1293</v>
      </c>
      <c r="Q63" s="13" t="s">
        <v>1294</v>
      </c>
      <c r="R63" s="13" t="s">
        <v>1295</v>
      </c>
      <c r="S63" s="13" t="s">
        <v>1296</v>
      </c>
      <c r="T63" s="13" t="s">
        <v>452</v>
      </c>
      <c r="U63" s="13" t="s">
        <v>1286</v>
      </c>
      <c r="V63" s="13" t="s">
        <v>1297</v>
      </c>
      <c r="W63" s="13" t="s">
        <v>1298</v>
      </c>
      <c r="X63" s="13" t="s">
        <v>1299</v>
      </c>
      <c r="Y63" s="13" t="s">
        <v>78</v>
      </c>
      <c r="Z63" s="13" t="s">
        <v>1300</v>
      </c>
      <c r="AA63" s="13" t="s">
        <v>52</v>
      </c>
      <c r="AB63" s="13" t="s">
        <v>53</v>
      </c>
      <c r="AC63" s="13" t="s">
        <v>1301</v>
      </c>
      <c r="AD63" s="13" t="s">
        <v>1302</v>
      </c>
      <c r="AE63" s="13" t="s">
        <v>262</v>
      </c>
      <c r="AF63" s="13" t="s">
        <v>1303</v>
      </c>
      <c r="AG63" s="13" t="s">
        <v>39</v>
      </c>
      <c r="AH63" s="13" t="s">
        <v>1304</v>
      </c>
      <c r="AI63" s="13" t="s">
        <v>1305</v>
      </c>
      <c r="AJ63" s="13" t="s">
        <v>1306</v>
      </c>
      <c r="AK63" s="13" t="s">
        <v>1307</v>
      </c>
      <c r="AL63" s="13" t="s">
        <v>88</v>
      </c>
    </row>
    <row r="64" spans="1:38" x14ac:dyDescent="0.4">
      <c r="A64" s="11" t="s">
        <v>1308</v>
      </c>
      <c r="B64" s="14" t="s">
        <v>1309</v>
      </c>
      <c r="C64" s="15" t="s">
        <v>39</v>
      </c>
      <c r="D64" s="15" t="s">
        <v>92</v>
      </c>
      <c r="E64" s="15" t="s">
        <v>1310</v>
      </c>
      <c r="F64" s="15" t="s">
        <v>1311</v>
      </c>
      <c r="G64" s="15" t="s">
        <v>1312</v>
      </c>
      <c r="H64" s="15" t="s">
        <v>1313</v>
      </c>
      <c r="I64" s="9">
        <f t="shared" ca="1" si="0"/>
        <v>14</v>
      </c>
      <c r="J64" s="15" t="s">
        <v>1314</v>
      </c>
      <c r="K64" s="15" t="s">
        <v>379</v>
      </c>
      <c r="L64" s="9" t="str">
        <f>VLOOKUP(K64,[1]中国省份_标准!$B$2:$F$35,4,FALSE)</f>
        <v>东部地区</v>
      </c>
      <c r="M64" s="9" t="str">
        <f>VLOOKUP(K64,[1]中国省份_标准!$B$2:$F$35,5,FALSE)</f>
        <v>华东地区</v>
      </c>
      <c r="N64" s="15" t="s">
        <v>1276</v>
      </c>
      <c r="O64" s="15" t="s">
        <v>1315</v>
      </c>
      <c r="P64" s="15" t="s">
        <v>1316</v>
      </c>
      <c r="Q64" s="15" t="s">
        <v>39</v>
      </c>
      <c r="R64" s="15" t="s">
        <v>39</v>
      </c>
      <c r="S64" s="15" t="s">
        <v>39</v>
      </c>
      <c r="T64" s="15" t="s">
        <v>48</v>
      </c>
      <c r="U64" s="15" t="s">
        <v>1309</v>
      </c>
      <c r="V64" s="15" t="s">
        <v>1317</v>
      </c>
      <c r="W64" s="15" t="s">
        <v>1318</v>
      </c>
      <c r="X64" s="15" t="s">
        <v>1319</v>
      </c>
      <c r="Y64" s="15" t="s">
        <v>78</v>
      </c>
      <c r="Z64" s="15" t="s">
        <v>1320</v>
      </c>
      <c r="AA64" s="15" t="s">
        <v>1321</v>
      </c>
      <c r="AB64" s="15" t="s">
        <v>1322</v>
      </c>
      <c r="AC64" s="15" t="s">
        <v>1323</v>
      </c>
      <c r="AD64" s="15" t="s">
        <v>1323</v>
      </c>
      <c r="AE64" s="15" t="s">
        <v>55</v>
      </c>
      <c r="AF64" s="15" t="s">
        <v>1324</v>
      </c>
      <c r="AG64" s="15" t="s">
        <v>39</v>
      </c>
      <c r="AH64" s="15" t="s">
        <v>39</v>
      </c>
      <c r="AI64" s="15" t="s">
        <v>1325</v>
      </c>
      <c r="AJ64" s="15" t="s">
        <v>1326</v>
      </c>
      <c r="AK64" s="15" t="s">
        <v>1327</v>
      </c>
      <c r="AL64" s="15" t="s">
        <v>88</v>
      </c>
    </row>
    <row r="65" spans="1:38" x14ac:dyDescent="0.4">
      <c r="A65" s="11" t="s">
        <v>1328</v>
      </c>
      <c r="B65" s="12" t="s">
        <v>1329</v>
      </c>
      <c r="C65" s="13" t="s">
        <v>39</v>
      </c>
      <c r="D65" s="13" t="s">
        <v>92</v>
      </c>
      <c r="E65" s="13" t="s">
        <v>1330</v>
      </c>
      <c r="F65" s="13" t="s">
        <v>271</v>
      </c>
      <c r="G65" s="13" t="s">
        <v>154</v>
      </c>
      <c r="H65" s="13" t="s">
        <v>1331</v>
      </c>
      <c r="I65" s="9">
        <f t="shared" ca="1" si="0"/>
        <v>14</v>
      </c>
      <c r="J65" s="13" t="s">
        <v>1332</v>
      </c>
      <c r="K65" s="13" t="s">
        <v>903</v>
      </c>
      <c r="L65" s="9" t="str">
        <f>VLOOKUP(K65,[1]中国省份_标准!$B$2:$F$35,4,FALSE)</f>
        <v>东北地区</v>
      </c>
      <c r="M65" s="9" t="str">
        <f>VLOOKUP(K65,[1]中国省份_标准!$B$2:$F$35,5,FALSE)</f>
        <v>东北地区</v>
      </c>
      <c r="N65" s="13" t="s">
        <v>923</v>
      </c>
      <c r="O65" s="13" t="s">
        <v>1333</v>
      </c>
      <c r="P65" s="13" t="s">
        <v>1334</v>
      </c>
      <c r="Q65" s="13" t="s">
        <v>1335</v>
      </c>
      <c r="R65" s="13" t="s">
        <v>1336</v>
      </c>
      <c r="S65" s="13" t="s">
        <v>1337</v>
      </c>
      <c r="T65" s="13" t="s">
        <v>48</v>
      </c>
      <c r="U65" s="13" t="s">
        <v>1329</v>
      </c>
      <c r="V65" s="13" t="s">
        <v>1338</v>
      </c>
      <c r="W65" s="13" t="s">
        <v>1339</v>
      </c>
      <c r="X65" s="13" t="s">
        <v>77</v>
      </c>
      <c r="Y65" s="13" t="s">
        <v>78</v>
      </c>
      <c r="Z65" s="13" t="s">
        <v>1340</v>
      </c>
      <c r="AA65" s="13" t="s">
        <v>80</v>
      </c>
      <c r="AB65" s="13" t="s">
        <v>106</v>
      </c>
      <c r="AC65" s="13" t="s">
        <v>808</v>
      </c>
      <c r="AD65" s="13" t="s">
        <v>809</v>
      </c>
      <c r="AE65" s="13" t="s">
        <v>55</v>
      </c>
      <c r="AF65" s="13" t="s">
        <v>1341</v>
      </c>
      <c r="AG65" s="13" t="s">
        <v>39</v>
      </c>
      <c r="AH65" s="13" t="s">
        <v>1342</v>
      </c>
      <c r="AI65" s="13" t="s">
        <v>1343</v>
      </c>
      <c r="AJ65" s="13" t="s">
        <v>1344</v>
      </c>
      <c r="AK65" s="13" t="s">
        <v>1345</v>
      </c>
      <c r="AL65" s="13" t="s">
        <v>88</v>
      </c>
    </row>
    <row r="66" spans="1:38" x14ac:dyDescent="0.4">
      <c r="A66" s="11" t="s">
        <v>1346</v>
      </c>
      <c r="B66" s="14" t="s">
        <v>1347</v>
      </c>
      <c r="C66" s="15" t="s">
        <v>39</v>
      </c>
      <c r="D66" s="15" t="s">
        <v>92</v>
      </c>
      <c r="E66" s="15" t="s">
        <v>1348</v>
      </c>
      <c r="F66" s="15" t="s">
        <v>271</v>
      </c>
      <c r="G66" s="15" t="s">
        <v>39</v>
      </c>
      <c r="H66" s="15" t="s">
        <v>1349</v>
      </c>
      <c r="I66" s="9">
        <f t="shared" ca="1" si="0"/>
        <v>21</v>
      </c>
      <c r="J66" s="15" t="s">
        <v>1350</v>
      </c>
      <c r="K66" s="15" t="s">
        <v>903</v>
      </c>
      <c r="L66" s="9" t="str">
        <f>VLOOKUP(K66,[1]中国省份_标准!$B$2:$F$35,4,FALSE)</f>
        <v>东北地区</v>
      </c>
      <c r="M66" s="9" t="str">
        <f>VLOOKUP(K66,[1]中国省份_标准!$B$2:$F$35,5,FALSE)</f>
        <v>东北地区</v>
      </c>
      <c r="N66" s="15" t="s">
        <v>904</v>
      </c>
      <c r="O66" s="15" t="s">
        <v>1351</v>
      </c>
      <c r="P66" s="15" t="s">
        <v>1352</v>
      </c>
      <c r="Q66" s="15" t="s">
        <v>1353</v>
      </c>
      <c r="R66" s="15" t="s">
        <v>1354</v>
      </c>
      <c r="S66" s="15" t="s">
        <v>1355</v>
      </c>
      <c r="T66" s="15" t="s">
        <v>48</v>
      </c>
      <c r="U66" s="15" t="s">
        <v>1347</v>
      </c>
      <c r="V66" s="15" t="s">
        <v>1356</v>
      </c>
      <c r="W66" s="15" t="s">
        <v>1357</v>
      </c>
      <c r="X66" s="15" t="s">
        <v>77</v>
      </c>
      <c r="Y66" s="15" t="s">
        <v>78</v>
      </c>
      <c r="Z66" s="15" t="s">
        <v>1358</v>
      </c>
      <c r="AA66" s="15" t="s">
        <v>80</v>
      </c>
      <c r="AB66" s="15" t="s">
        <v>106</v>
      </c>
      <c r="AC66" s="15" t="s">
        <v>808</v>
      </c>
      <c r="AD66" s="15" t="s">
        <v>809</v>
      </c>
      <c r="AE66" s="15" t="s">
        <v>109</v>
      </c>
      <c r="AF66" s="15" t="s">
        <v>1359</v>
      </c>
      <c r="AG66" s="15" t="s">
        <v>39</v>
      </c>
      <c r="AH66" s="15" t="s">
        <v>39</v>
      </c>
      <c r="AI66" s="15" t="s">
        <v>1360</v>
      </c>
      <c r="AJ66" s="15" t="s">
        <v>1361</v>
      </c>
      <c r="AK66" s="15" t="s">
        <v>1362</v>
      </c>
      <c r="AL66" s="15" t="s">
        <v>88</v>
      </c>
    </row>
    <row r="67" spans="1:38" x14ac:dyDescent="0.4">
      <c r="A67" s="11" t="s">
        <v>1363</v>
      </c>
      <c r="B67" s="12" t="s">
        <v>1364</v>
      </c>
      <c r="C67" s="13" t="s">
        <v>39</v>
      </c>
      <c r="D67" s="13" t="s">
        <v>92</v>
      </c>
      <c r="E67" s="13" t="s">
        <v>1365</v>
      </c>
      <c r="F67" s="13" t="s">
        <v>271</v>
      </c>
      <c r="G67" s="13" t="s">
        <v>271</v>
      </c>
      <c r="H67" s="13" t="s">
        <v>1366</v>
      </c>
      <c r="I67" s="9">
        <f t="shared" ref="I67:I130" ca="1" si="1">DATEDIF(H67, TODAY(), "Y")</f>
        <v>9</v>
      </c>
      <c r="J67" s="13" t="s">
        <v>1367</v>
      </c>
      <c r="K67" s="13" t="s">
        <v>379</v>
      </c>
      <c r="L67" s="9" t="str">
        <f>VLOOKUP(K67,[1]中国省份_标准!$B$2:$F$35,4,FALSE)</f>
        <v>东部地区</v>
      </c>
      <c r="M67" s="9" t="str">
        <f>VLOOKUP(K67,[1]中国省份_标准!$B$2:$F$35,5,FALSE)</f>
        <v>华东地区</v>
      </c>
      <c r="N67" s="13" t="s">
        <v>1276</v>
      </c>
      <c r="O67" s="13" t="s">
        <v>1315</v>
      </c>
      <c r="P67" s="13" t="s">
        <v>1368</v>
      </c>
      <c r="Q67" s="13" t="s">
        <v>39</v>
      </c>
      <c r="R67" s="13" t="s">
        <v>39</v>
      </c>
      <c r="S67" s="13" t="s">
        <v>39</v>
      </c>
      <c r="T67" s="13" t="s">
        <v>281</v>
      </c>
      <c r="U67" s="13" t="s">
        <v>1364</v>
      </c>
      <c r="V67" s="13" t="s">
        <v>1369</v>
      </c>
      <c r="W67" s="13" t="s">
        <v>1370</v>
      </c>
      <c r="X67" s="13" t="s">
        <v>77</v>
      </c>
      <c r="Y67" s="13" t="s">
        <v>78</v>
      </c>
      <c r="Z67" s="13" t="s">
        <v>1371</v>
      </c>
      <c r="AA67" s="13" t="s">
        <v>169</v>
      </c>
      <c r="AB67" s="13" t="s">
        <v>1264</v>
      </c>
      <c r="AC67" s="13" t="s">
        <v>1265</v>
      </c>
      <c r="AD67" s="13" t="s">
        <v>1265</v>
      </c>
      <c r="AE67" s="13" t="s">
        <v>55</v>
      </c>
      <c r="AF67" s="13" t="s">
        <v>1372</v>
      </c>
      <c r="AG67" s="13" t="s">
        <v>39</v>
      </c>
      <c r="AH67" s="13" t="s">
        <v>1373</v>
      </c>
      <c r="AI67" s="13" t="s">
        <v>1374</v>
      </c>
      <c r="AJ67" s="13" t="s">
        <v>1375</v>
      </c>
      <c r="AK67" s="13" t="s">
        <v>1327</v>
      </c>
      <c r="AL67" s="13" t="s">
        <v>88</v>
      </c>
    </row>
    <row r="68" spans="1:38" x14ac:dyDescent="0.4">
      <c r="A68" s="11" t="s">
        <v>1376</v>
      </c>
      <c r="B68" s="14" t="s">
        <v>1377</v>
      </c>
      <c r="C68" s="15" t="s">
        <v>39</v>
      </c>
      <c r="D68" s="15" t="s">
        <v>1378</v>
      </c>
      <c r="E68" s="15" t="s">
        <v>1379</v>
      </c>
      <c r="F68" s="15" t="s">
        <v>1235</v>
      </c>
      <c r="G68" s="15" t="s">
        <v>39</v>
      </c>
      <c r="H68" s="15" t="s">
        <v>1380</v>
      </c>
      <c r="I68" s="9">
        <f t="shared" ca="1" si="1"/>
        <v>9</v>
      </c>
      <c r="J68" s="15" t="s">
        <v>1381</v>
      </c>
      <c r="K68" s="15" t="s">
        <v>379</v>
      </c>
      <c r="L68" s="9" t="str">
        <f>VLOOKUP(K68,[1]中国省份_标准!$B$2:$F$35,4,FALSE)</f>
        <v>东部地区</v>
      </c>
      <c r="M68" s="9" t="str">
        <f>VLOOKUP(K68,[1]中国省份_标准!$B$2:$F$35,5,FALSE)</f>
        <v>华东地区</v>
      </c>
      <c r="N68" s="15" t="s">
        <v>1276</v>
      </c>
      <c r="O68" s="15" t="s">
        <v>1315</v>
      </c>
      <c r="P68" s="15" t="s">
        <v>1382</v>
      </c>
      <c r="Q68" s="15" t="s">
        <v>1383</v>
      </c>
      <c r="R68" s="15" t="s">
        <v>39</v>
      </c>
      <c r="S68" s="15" t="s">
        <v>39</v>
      </c>
      <c r="T68" s="15" t="s">
        <v>281</v>
      </c>
      <c r="U68" s="15" t="s">
        <v>1377</v>
      </c>
      <c r="V68" s="15" t="s">
        <v>1384</v>
      </c>
      <c r="W68" s="15" t="s">
        <v>1385</v>
      </c>
      <c r="X68" s="15" t="s">
        <v>77</v>
      </c>
      <c r="Y68" s="15" t="s">
        <v>78</v>
      </c>
      <c r="Z68" s="15" t="s">
        <v>1386</v>
      </c>
      <c r="AA68" s="15" t="s">
        <v>169</v>
      </c>
      <c r="AB68" s="15" t="s">
        <v>1264</v>
      </c>
      <c r="AC68" s="15" t="s">
        <v>1265</v>
      </c>
      <c r="AD68" s="15" t="s">
        <v>1265</v>
      </c>
      <c r="AE68" s="15" t="s">
        <v>55</v>
      </c>
      <c r="AF68" s="15" t="s">
        <v>1387</v>
      </c>
      <c r="AG68" s="15" t="s">
        <v>39</v>
      </c>
      <c r="AH68" s="15" t="s">
        <v>39</v>
      </c>
      <c r="AI68" s="15" t="s">
        <v>1388</v>
      </c>
      <c r="AJ68" s="15" t="s">
        <v>1389</v>
      </c>
      <c r="AK68" s="15" t="s">
        <v>1327</v>
      </c>
      <c r="AL68" s="15" t="s">
        <v>88</v>
      </c>
    </row>
    <row r="69" spans="1:38" x14ac:dyDescent="0.4">
      <c r="A69" s="11" t="s">
        <v>1390</v>
      </c>
      <c r="B69" s="12" t="s">
        <v>1391</v>
      </c>
      <c r="C69" s="13" t="s">
        <v>39</v>
      </c>
      <c r="D69" s="13" t="s">
        <v>63</v>
      </c>
      <c r="E69" s="13" t="s">
        <v>1392</v>
      </c>
      <c r="F69" s="13" t="s">
        <v>1393</v>
      </c>
      <c r="G69" s="13" t="s">
        <v>1393</v>
      </c>
      <c r="H69" s="13" t="s">
        <v>1394</v>
      </c>
      <c r="I69" s="9">
        <f t="shared" ca="1" si="1"/>
        <v>13</v>
      </c>
      <c r="J69" s="13" t="s">
        <v>1395</v>
      </c>
      <c r="K69" s="13" t="s">
        <v>425</v>
      </c>
      <c r="L69" s="9" t="str">
        <f>VLOOKUP(K69,[1]中国省份_标准!$B$2:$F$35,4,FALSE)</f>
        <v>东部地区</v>
      </c>
      <c r="M69" s="9" t="str">
        <f>VLOOKUP(K69,[1]中国省份_标准!$B$2:$F$35,5,FALSE)</f>
        <v>华东地区</v>
      </c>
      <c r="N69" s="13" t="s">
        <v>1396</v>
      </c>
      <c r="O69" s="13" t="s">
        <v>1397</v>
      </c>
      <c r="P69" s="13" t="s">
        <v>1398</v>
      </c>
      <c r="Q69" s="13" t="s">
        <v>1399</v>
      </c>
      <c r="R69" s="13" t="s">
        <v>1400</v>
      </c>
      <c r="S69" s="13" t="s">
        <v>1401</v>
      </c>
      <c r="T69" s="13" t="s">
        <v>209</v>
      </c>
      <c r="U69" s="13" t="s">
        <v>1391</v>
      </c>
      <c r="V69" s="13" t="s">
        <v>1402</v>
      </c>
      <c r="W69" s="13" t="s">
        <v>1403</v>
      </c>
      <c r="X69" s="13" t="s">
        <v>77</v>
      </c>
      <c r="Y69" s="13" t="s">
        <v>78</v>
      </c>
      <c r="Z69" s="13" t="s">
        <v>1404</v>
      </c>
      <c r="AA69" s="13" t="s">
        <v>1321</v>
      </c>
      <c r="AB69" s="13" t="s">
        <v>1405</v>
      </c>
      <c r="AC69" s="13" t="s">
        <v>1406</v>
      </c>
      <c r="AD69" s="13" t="s">
        <v>1406</v>
      </c>
      <c r="AE69" s="13" t="s">
        <v>262</v>
      </c>
      <c r="AF69" s="13" t="s">
        <v>1407</v>
      </c>
      <c r="AG69" s="13" t="s">
        <v>39</v>
      </c>
      <c r="AH69" s="13" t="s">
        <v>39</v>
      </c>
      <c r="AI69" s="13" t="s">
        <v>1408</v>
      </c>
      <c r="AJ69" s="13" t="s">
        <v>1409</v>
      </c>
      <c r="AK69" s="13" t="s">
        <v>1410</v>
      </c>
      <c r="AL69" s="13" t="s">
        <v>88</v>
      </c>
    </row>
    <row r="70" spans="1:38" x14ac:dyDescent="0.4">
      <c r="A70" s="11" t="s">
        <v>1411</v>
      </c>
      <c r="B70" s="14" t="s">
        <v>1412</v>
      </c>
      <c r="C70" s="15" t="s">
        <v>39</v>
      </c>
      <c r="D70" s="15" t="s">
        <v>92</v>
      </c>
      <c r="E70" s="15" t="s">
        <v>1413</v>
      </c>
      <c r="F70" s="15" t="s">
        <v>1414</v>
      </c>
      <c r="G70" s="15" t="s">
        <v>39</v>
      </c>
      <c r="H70" s="15" t="s">
        <v>1415</v>
      </c>
      <c r="I70" s="9">
        <f t="shared" ca="1" si="1"/>
        <v>7</v>
      </c>
      <c r="J70" s="15" t="s">
        <v>1416</v>
      </c>
      <c r="K70" s="15" t="s">
        <v>379</v>
      </c>
      <c r="L70" s="9" t="str">
        <f>VLOOKUP(K70,[1]中国省份_标准!$B$2:$F$35,4,FALSE)</f>
        <v>东部地区</v>
      </c>
      <c r="M70" s="9" t="str">
        <f>VLOOKUP(K70,[1]中国省份_标准!$B$2:$F$35,5,FALSE)</f>
        <v>华东地区</v>
      </c>
      <c r="N70" s="15" t="s">
        <v>1276</v>
      </c>
      <c r="O70" s="15" t="s">
        <v>1315</v>
      </c>
      <c r="P70" s="15" t="s">
        <v>1417</v>
      </c>
      <c r="Q70" s="15" t="s">
        <v>1418</v>
      </c>
      <c r="R70" s="15" t="s">
        <v>39</v>
      </c>
      <c r="S70" s="15" t="s">
        <v>39</v>
      </c>
      <c r="T70" s="15" t="s">
        <v>281</v>
      </c>
      <c r="U70" s="15" t="s">
        <v>1412</v>
      </c>
      <c r="V70" s="15" t="s">
        <v>39</v>
      </c>
      <c r="W70" s="15" t="s">
        <v>1419</v>
      </c>
      <c r="X70" s="15" t="s">
        <v>77</v>
      </c>
      <c r="Y70" s="15" t="s">
        <v>78</v>
      </c>
      <c r="Z70" s="15" t="s">
        <v>1420</v>
      </c>
      <c r="AA70" s="15" t="s">
        <v>169</v>
      </c>
      <c r="AB70" s="15" t="s">
        <v>1264</v>
      </c>
      <c r="AC70" s="15" t="s">
        <v>1265</v>
      </c>
      <c r="AD70" s="15" t="s">
        <v>1265</v>
      </c>
      <c r="AE70" s="15" t="s">
        <v>55</v>
      </c>
      <c r="AF70" s="15" t="s">
        <v>1421</v>
      </c>
      <c r="AG70" s="15" t="s">
        <v>39</v>
      </c>
      <c r="AH70" s="15" t="s">
        <v>39</v>
      </c>
      <c r="AI70" s="15" t="s">
        <v>1422</v>
      </c>
      <c r="AJ70" s="15" t="s">
        <v>1423</v>
      </c>
      <c r="AK70" s="15" t="s">
        <v>1424</v>
      </c>
      <c r="AL70" s="15" t="s">
        <v>88</v>
      </c>
    </row>
    <row r="71" spans="1:38" x14ac:dyDescent="0.4">
      <c r="A71" s="11" t="s">
        <v>1425</v>
      </c>
      <c r="B71" s="12" t="s">
        <v>1426</v>
      </c>
      <c r="C71" s="13" t="s">
        <v>39</v>
      </c>
      <c r="D71" s="13" t="s">
        <v>92</v>
      </c>
      <c r="E71" s="13" t="s">
        <v>1427</v>
      </c>
      <c r="F71" s="13" t="s">
        <v>1428</v>
      </c>
      <c r="G71" s="13" t="s">
        <v>1428</v>
      </c>
      <c r="H71" s="13" t="s">
        <v>1429</v>
      </c>
      <c r="I71" s="9">
        <f t="shared" ca="1" si="1"/>
        <v>19</v>
      </c>
      <c r="J71" s="13" t="s">
        <v>1430</v>
      </c>
      <c r="K71" s="13" t="s">
        <v>983</v>
      </c>
      <c r="L71" s="9" t="str">
        <f>VLOOKUP(K71,[1]中国省份_标准!$B$2:$F$35,4,FALSE)</f>
        <v>西部地区</v>
      </c>
      <c r="M71" s="9" t="str">
        <f>VLOOKUP(K71,[1]中国省份_标准!$B$2:$F$35,5,FALSE)</f>
        <v>华北地区</v>
      </c>
      <c r="N71" s="13" t="s">
        <v>1431</v>
      </c>
      <c r="O71" s="13" t="s">
        <v>1432</v>
      </c>
      <c r="P71" s="13" t="s">
        <v>1433</v>
      </c>
      <c r="Q71" s="13" t="s">
        <v>39</v>
      </c>
      <c r="R71" s="13" t="s">
        <v>1434</v>
      </c>
      <c r="S71" s="13" t="s">
        <v>1435</v>
      </c>
      <c r="T71" s="13" t="s">
        <v>48</v>
      </c>
      <c r="U71" s="13" t="s">
        <v>1426</v>
      </c>
      <c r="V71" s="13" t="s">
        <v>1436</v>
      </c>
      <c r="W71" s="13" t="s">
        <v>1437</v>
      </c>
      <c r="X71" s="13" t="s">
        <v>77</v>
      </c>
      <c r="Y71" s="13" t="s">
        <v>78</v>
      </c>
      <c r="Z71" s="13" t="s">
        <v>1438</v>
      </c>
      <c r="AA71" s="13" t="s">
        <v>80</v>
      </c>
      <c r="AB71" s="13" t="s">
        <v>106</v>
      </c>
      <c r="AC71" s="13" t="s">
        <v>808</v>
      </c>
      <c r="AD71" s="13" t="s">
        <v>39</v>
      </c>
      <c r="AE71" s="13" t="s">
        <v>55</v>
      </c>
      <c r="AF71" s="13" t="s">
        <v>1439</v>
      </c>
      <c r="AG71" s="13" t="s">
        <v>39</v>
      </c>
      <c r="AH71" s="13" t="s">
        <v>39</v>
      </c>
      <c r="AI71" s="13" t="s">
        <v>1440</v>
      </c>
      <c r="AJ71" s="13" t="s">
        <v>1441</v>
      </c>
      <c r="AK71" s="13" t="s">
        <v>1442</v>
      </c>
      <c r="AL71" s="13" t="s">
        <v>88</v>
      </c>
    </row>
    <row r="72" spans="1:38" x14ac:dyDescent="0.4">
      <c r="A72" s="11" t="s">
        <v>1443</v>
      </c>
      <c r="B72" s="14" t="s">
        <v>1444</v>
      </c>
      <c r="C72" s="15" t="s">
        <v>39</v>
      </c>
      <c r="D72" s="15" t="s">
        <v>1445</v>
      </c>
      <c r="E72" s="15" t="s">
        <v>1446</v>
      </c>
      <c r="F72" s="15" t="s">
        <v>1447</v>
      </c>
      <c r="G72" s="15" t="s">
        <v>1447</v>
      </c>
      <c r="H72" s="15" t="s">
        <v>1448</v>
      </c>
      <c r="I72" s="9">
        <f t="shared" ca="1" si="1"/>
        <v>19</v>
      </c>
      <c r="J72" s="15" t="s">
        <v>1449</v>
      </c>
      <c r="K72" s="15" t="s">
        <v>531</v>
      </c>
      <c r="L72" s="9" t="str">
        <f>VLOOKUP(K72,[1]中国省份_标准!$B$2:$F$35,4,FALSE)</f>
        <v>东部地区</v>
      </c>
      <c r="M72" s="9" t="str">
        <f>VLOOKUP(K72,[1]中国省份_标准!$B$2:$F$35,5,FALSE)</f>
        <v>华南地区</v>
      </c>
      <c r="N72" s="15" t="s">
        <v>1450</v>
      </c>
      <c r="O72" s="15" t="s">
        <v>1451</v>
      </c>
      <c r="P72" s="15" t="s">
        <v>1452</v>
      </c>
      <c r="Q72" s="15" t="s">
        <v>1453</v>
      </c>
      <c r="R72" s="15" t="s">
        <v>1454</v>
      </c>
      <c r="S72" s="15" t="s">
        <v>39</v>
      </c>
      <c r="T72" s="15" t="s">
        <v>164</v>
      </c>
      <c r="U72" s="15" t="s">
        <v>1444</v>
      </c>
      <c r="V72" s="15" t="s">
        <v>1455</v>
      </c>
      <c r="W72" s="15" t="s">
        <v>1456</v>
      </c>
      <c r="X72" s="15" t="s">
        <v>791</v>
      </c>
      <c r="Y72" s="15" t="s">
        <v>78</v>
      </c>
      <c r="Z72" s="15" t="s">
        <v>168</v>
      </c>
      <c r="AA72" s="15" t="s">
        <v>169</v>
      </c>
      <c r="AB72" s="15" t="s">
        <v>1264</v>
      </c>
      <c r="AC72" s="15" t="s">
        <v>1457</v>
      </c>
      <c r="AD72" s="15" t="s">
        <v>39</v>
      </c>
      <c r="AE72" s="15" t="s">
        <v>109</v>
      </c>
      <c r="AF72" s="15" t="s">
        <v>1458</v>
      </c>
      <c r="AG72" s="15" t="s">
        <v>39</v>
      </c>
      <c r="AH72" s="15" t="s">
        <v>39</v>
      </c>
      <c r="AI72" s="15" t="s">
        <v>39</v>
      </c>
      <c r="AJ72" s="15" t="s">
        <v>1459</v>
      </c>
      <c r="AK72" s="15" t="s">
        <v>1460</v>
      </c>
      <c r="AL72" s="15" t="s">
        <v>88</v>
      </c>
    </row>
    <row r="73" spans="1:38" x14ac:dyDescent="0.4">
      <c r="A73" s="11" t="s">
        <v>1461</v>
      </c>
      <c r="B73" s="12" t="s">
        <v>1462</v>
      </c>
      <c r="C73" s="13" t="s">
        <v>39</v>
      </c>
      <c r="D73" s="13" t="s">
        <v>92</v>
      </c>
      <c r="E73" s="13" t="s">
        <v>1463</v>
      </c>
      <c r="F73" s="13" t="s">
        <v>1464</v>
      </c>
      <c r="G73" s="13" t="s">
        <v>39</v>
      </c>
      <c r="H73" s="13" t="s">
        <v>1465</v>
      </c>
      <c r="I73" s="9">
        <f t="shared" ca="1" si="1"/>
        <v>15</v>
      </c>
      <c r="J73" s="13" t="s">
        <v>1466</v>
      </c>
      <c r="K73" s="13" t="s">
        <v>594</v>
      </c>
      <c r="L73" s="9" t="str">
        <f>VLOOKUP(K73,[1]中国省份_标准!$B$2:$F$35,4,FALSE)</f>
        <v>中部地区</v>
      </c>
      <c r="M73" s="9" t="str">
        <f>VLOOKUP(K73,[1]中国省份_标准!$B$2:$F$35,5,FALSE)</f>
        <v>华东地区</v>
      </c>
      <c r="N73" s="13" t="s">
        <v>1256</v>
      </c>
      <c r="O73" s="13" t="s">
        <v>1467</v>
      </c>
      <c r="P73" s="13" t="s">
        <v>1468</v>
      </c>
      <c r="Q73" s="13" t="s">
        <v>1469</v>
      </c>
      <c r="R73" s="13" t="s">
        <v>1470</v>
      </c>
      <c r="S73" s="13" t="s">
        <v>1471</v>
      </c>
      <c r="T73" s="13" t="s">
        <v>281</v>
      </c>
      <c r="U73" s="13" t="s">
        <v>1462</v>
      </c>
      <c r="V73" s="13" t="s">
        <v>1472</v>
      </c>
      <c r="W73" s="13" t="s">
        <v>1473</v>
      </c>
      <c r="X73" s="13" t="s">
        <v>77</v>
      </c>
      <c r="Y73" s="13" t="s">
        <v>78</v>
      </c>
      <c r="Z73" s="13" t="s">
        <v>1474</v>
      </c>
      <c r="AA73" s="13" t="s">
        <v>169</v>
      </c>
      <c r="AB73" s="13" t="s">
        <v>1264</v>
      </c>
      <c r="AC73" s="13" t="s">
        <v>1457</v>
      </c>
      <c r="AD73" s="13" t="s">
        <v>39</v>
      </c>
      <c r="AE73" s="13" t="s">
        <v>55</v>
      </c>
      <c r="AF73" s="13" t="s">
        <v>1475</v>
      </c>
      <c r="AG73" s="13" t="s">
        <v>39</v>
      </c>
      <c r="AH73" s="13" t="s">
        <v>39</v>
      </c>
      <c r="AI73" s="13" t="s">
        <v>1476</v>
      </c>
      <c r="AJ73" s="13" t="s">
        <v>1477</v>
      </c>
      <c r="AK73" s="13" t="s">
        <v>1478</v>
      </c>
      <c r="AL73" s="13" t="s">
        <v>88</v>
      </c>
    </row>
    <row r="74" spans="1:38" x14ac:dyDescent="0.4">
      <c r="A74" s="11" t="s">
        <v>1479</v>
      </c>
      <c r="B74" s="14" t="s">
        <v>1480</v>
      </c>
      <c r="C74" s="15" t="s">
        <v>39</v>
      </c>
      <c r="D74" s="15" t="s">
        <v>1481</v>
      </c>
      <c r="E74" s="15" t="s">
        <v>1482</v>
      </c>
      <c r="F74" s="15" t="s">
        <v>1235</v>
      </c>
      <c r="G74" s="15" t="s">
        <v>39</v>
      </c>
      <c r="H74" s="15" t="s">
        <v>1483</v>
      </c>
      <c r="I74" s="9">
        <f t="shared" ca="1" si="1"/>
        <v>6</v>
      </c>
      <c r="J74" s="15" t="s">
        <v>1484</v>
      </c>
      <c r="K74" s="15" t="s">
        <v>379</v>
      </c>
      <c r="L74" s="9" t="str">
        <f>VLOOKUP(K74,[1]中国省份_标准!$B$2:$F$35,4,FALSE)</f>
        <v>东部地区</v>
      </c>
      <c r="M74" s="9" t="str">
        <f>VLOOKUP(K74,[1]中国省份_标准!$B$2:$F$35,5,FALSE)</f>
        <v>华东地区</v>
      </c>
      <c r="N74" s="15" t="s">
        <v>1276</v>
      </c>
      <c r="O74" s="15" t="s">
        <v>1315</v>
      </c>
      <c r="P74" s="15" t="s">
        <v>1485</v>
      </c>
      <c r="Q74" s="15" t="s">
        <v>39</v>
      </c>
      <c r="R74" s="15" t="s">
        <v>39</v>
      </c>
      <c r="S74" s="15" t="s">
        <v>39</v>
      </c>
      <c r="T74" s="15" t="s">
        <v>281</v>
      </c>
      <c r="U74" s="15" t="s">
        <v>1480</v>
      </c>
      <c r="V74" s="15" t="s">
        <v>39</v>
      </c>
      <c r="W74" s="15" t="s">
        <v>1486</v>
      </c>
      <c r="X74" s="15" t="s">
        <v>77</v>
      </c>
      <c r="Y74" s="15" t="s">
        <v>283</v>
      </c>
      <c r="Z74" s="15" t="s">
        <v>1487</v>
      </c>
      <c r="AA74" s="15" t="s">
        <v>169</v>
      </c>
      <c r="AB74" s="15" t="s">
        <v>1264</v>
      </c>
      <c r="AC74" s="15" t="s">
        <v>1488</v>
      </c>
      <c r="AD74" s="15" t="s">
        <v>1489</v>
      </c>
      <c r="AE74" s="15" t="s">
        <v>109</v>
      </c>
      <c r="AF74" s="15" t="s">
        <v>1490</v>
      </c>
      <c r="AG74" s="15" t="s">
        <v>39</v>
      </c>
      <c r="AH74" s="15" t="s">
        <v>39</v>
      </c>
      <c r="AI74" s="15" t="s">
        <v>1491</v>
      </c>
      <c r="AJ74" s="15" t="s">
        <v>1492</v>
      </c>
      <c r="AK74" s="15" t="s">
        <v>1327</v>
      </c>
      <c r="AL74" s="15" t="s">
        <v>88</v>
      </c>
    </row>
    <row r="75" spans="1:38" x14ac:dyDescent="0.4">
      <c r="A75" s="11" t="s">
        <v>1493</v>
      </c>
      <c r="B75" s="12" t="s">
        <v>1494</v>
      </c>
      <c r="C75" s="13" t="s">
        <v>39</v>
      </c>
      <c r="D75" s="13" t="s">
        <v>92</v>
      </c>
      <c r="E75" s="13" t="s">
        <v>1495</v>
      </c>
      <c r="F75" s="13" t="s">
        <v>1235</v>
      </c>
      <c r="G75" s="13" t="s">
        <v>39</v>
      </c>
      <c r="H75" s="13" t="s">
        <v>1496</v>
      </c>
      <c r="I75" s="9">
        <f t="shared" ca="1" si="1"/>
        <v>5</v>
      </c>
      <c r="J75" s="13" t="s">
        <v>1497</v>
      </c>
      <c r="K75" s="13" t="s">
        <v>379</v>
      </c>
      <c r="L75" s="9" t="str">
        <f>VLOOKUP(K75,[1]中国省份_标准!$B$2:$F$35,4,FALSE)</f>
        <v>东部地区</v>
      </c>
      <c r="M75" s="9" t="str">
        <f>VLOOKUP(K75,[1]中国省份_标准!$B$2:$F$35,5,FALSE)</f>
        <v>华东地区</v>
      </c>
      <c r="N75" s="13" t="s">
        <v>1276</v>
      </c>
      <c r="O75" s="13" t="s">
        <v>1315</v>
      </c>
      <c r="P75" s="13" t="s">
        <v>1498</v>
      </c>
      <c r="Q75" s="13" t="s">
        <v>1499</v>
      </c>
      <c r="R75" s="13" t="s">
        <v>39</v>
      </c>
      <c r="S75" s="13" t="s">
        <v>39</v>
      </c>
      <c r="T75" s="13" t="s">
        <v>281</v>
      </c>
      <c r="U75" s="13" t="s">
        <v>1494</v>
      </c>
      <c r="V75" s="13" t="s">
        <v>39</v>
      </c>
      <c r="W75" s="13" t="s">
        <v>1500</v>
      </c>
      <c r="X75" s="13" t="s">
        <v>77</v>
      </c>
      <c r="Y75" s="13" t="s">
        <v>78</v>
      </c>
      <c r="Z75" s="13" t="s">
        <v>1501</v>
      </c>
      <c r="AA75" s="13" t="s">
        <v>169</v>
      </c>
      <c r="AB75" s="13" t="s">
        <v>1264</v>
      </c>
      <c r="AC75" s="13" t="s">
        <v>1265</v>
      </c>
      <c r="AD75" s="13" t="s">
        <v>1265</v>
      </c>
      <c r="AE75" s="13" t="s">
        <v>109</v>
      </c>
      <c r="AF75" s="13" t="s">
        <v>1502</v>
      </c>
      <c r="AG75" s="13" t="s">
        <v>39</v>
      </c>
      <c r="AH75" s="13" t="s">
        <v>39</v>
      </c>
      <c r="AI75" s="13" t="s">
        <v>1503</v>
      </c>
      <c r="AJ75" s="13" t="s">
        <v>1504</v>
      </c>
      <c r="AK75" s="13" t="s">
        <v>1327</v>
      </c>
      <c r="AL75" s="13" t="s">
        <v>88</v>
      </c>
    </row>
    <row r="76" spans="1:38" x14ac:dyDescent="0.4">
      <c r="A76" s="11" t="s">
        <v>1505</v>
      </c>
      <c r="B76" s="14" t="s">
        <v>1506</v>
      </c>
      <c r="C76" s="15" t="s">
        <v>39</v>
      </c>
      <c r="D76" s="15" t="s">
        <v>1507</v>
      </c>
      <c r="E76" s="15" t="s">
        <v>1508</v>
      </c>
      <c r="F76" s="15" t="s">
        <v>640</v>
      </c>
      <c r="G76" s="15" t="s">
        <v>39</v>
      </c>
      <c r="H76" s="15" t="s">
        <v>1509</v>
      </c>
      <c r="I76" s="9">
        <f t="shared" ca="1" si="1"/>
        <v>5</v>
      </c>
      <c r="J76" s="15" t="s">
        <v>1510</v>
      </c>
      <c r="K76" s="15" t="s">
        <v>379</v>
      </c>
      <c r="L76" s="9" t="str">
        <f>VLOOKUP(K76,[1]中国省份_标准!$B$2:$F$35,4,FALSE)</f>
        <v>东部地区</v>
      </c>
      <c r="M76" s="9" t="str">
        <f>VLOOKUP(K76,[1]中国省份_标准!$B$2:$F$35,5,FALSE)</f>
        <v>华东地区</v>
      </c>
      <c r="N76" s="15" t="s">
        <v>1276</v>
      </c>
      <c r="O76" s="15" t="s">
        <v>1315</v>
      </c>
      <c r="P76" s="15" t="s">
        <v>1511</v>
      </c>
      <c r="Q76" s="15" t="s">
        <v>39</v>
      </c>
      <c r="R76" s="15" t="s">
        <v>39</v>
      </c>
      <c r="S76" s="15" t="s">
        <v>39</v>
      </c>
      <c r="T76" s="15" t="s">
        <v>281</v>
      </c>
      <c r="U76" s="15" t="s">
        <v>1506</v>
      </c>
      <c r="V76" s="15" t="s">
        <v>39</v>
      </c>
      <c r="W76" s="15" t="s">
        <v>1512</v>
      </c>
      <c r="X76" s="15" t="s">
        <v>77</v>
      </c>
      <c r="Y76" s="15" t="s">
        <v>78</v>
      </c>
      <c r="Z76" s="15" t="s">
        <v>1513</v>
      </c>
      <c r="AA76" s="15" t="s">
        <v>169</v>
      </c>
      <c r="AB76" s="15" t="s">
        <v>1264</v>
      </c>
      <c r="AC76" s="15" t="s">
        <v>1265</v>
      </c>
      <c r="AD76" s="15" t="s">
        <v>1265</v>
      </c>
      <c r="AE76" s="15" t="s">
        <v>109</v>
      </c>
      <c r="AF76" s="15" t="s">
        <v>1514</v>
      </c>
      <c r="AG76" s="15" t="s">
        <v>39</v>
      </c>
      <c r="AH76" s="15" t="s">
        <v>39</v>
      </c>
      <c r="AI76" s="15" t="s">
        <v>1515</v>
      </c>
      <c r="AJ76" s="15" t="s">
        <v>1516</v>
      </c>
      <c r="AK76" s="15" t="s">
        <v>1327</v>
      </c>
      <c r="AL76" s="15" t="s">
        <v>88</v>
      </c>
    </row>
    <row r="77" spans="1:38" x14ac:dyDescent="0.4">
      <c r="A77" s="11" t="s">
        <v>1517</v>
      </c>
      <c r="B77" s="12" t="s">
        <v>1518</v>
      </c>
      <c r="C77" s="13" t="s">
        <v>39</v>
      </c>
      <c r="D77" s="13" t="s">
        <v>1519</v>
      </c>
      <c r="E77" s="13" t="s">
        <v>1520</v>
      </c>
      <c r="F77" s="13" t="s">
        <v>961</v>
      </c>
      <c r="G77" s="13" t="s">
        <v>39</v>
      </c>
      <c r="H77" s="13" t="s">
        <v>1521</v>
      </c>
      <c r="I77" s="9">
        <f t="shared" ca="1" si="1"/>
        <v>4</v>
      </c>
      <c r="J77" s="13" t="s">
        <v>1522</v>
      </c>
      <c r="K77" s="13" t="s">
        <v>379</v>
      </c>
      <c r="L77" s="9" t="str">
        <f>VLOOKUP(K77,[1]中国省份_标准!$B$2:$F$35,4,FALSE)</f>
        <v>东部地区</v>
      </c>
      <c r="M77" s="9" t="str">
        <f>VLOOKUP(K77,[1]中国省份_标准!$B$2:$F$35,5,FALSE)</f>
        <v>华东地区</v>
      </c>
      <c r="N77" s="13" t="s">
        <v>1276</v>
      </c>
      <c r="O77" s="13" t="s">
        <v>1315</v>
      </c>
      <c r="P77" s="13" t="s">
        <v>1523</v>
      </c>
      <c r="Q77" s="13" t="s">
        <v>1524</v>
      </c>
      <c r="R77" s="13" t="s">
        <v>1525</v>
      </c>
      <c r="S77" s="13" t="s">
        <v>39</v>
      </c>
      <c r="T77" s="13" t="s">
        <v>281</v>
      </c>
      <c r="U77" s="13" t="s">
        <v>1518</v>
      </c>
      <c r="V77" s="13" t="s">
        <v>39</v>
      </c>
      <c r="W77" s="13" t="s">
        <v>1526</v>
      </c>
      <c r="X77" s="13" t="s">
        <v>77</v>
      </c>
      <c r="Y77" s="13" t="s">
        <v>78</v>
      </c>
      <c r="Z77" s="13" t="s">
        <v>1527</v>
      </c>
      <c r="AA77" s="13" t="s">
        <v>169</v>
      </c>
      <c r="AB77" s="13" t="s">
        <v>285</v>
      </c>
      <c r="AC77" s="13" t="s">
        <v>1528</v>
      </c>
      <c r="AD77" s="13" t="s">
        <v>1529</v>
      </c>
      <c r="AE77" s="13" t="s">
        <v>109</v>
      </c>
      <c r="AF77" s="13" t="s">
        <v>1530</v>
      </c>
      <c r="AG77" s="13" t="s">
        <v>39</v>
      </c>
      <c r="AH77" s="13" t="s">
        <v>39</v>
      </c>
      <c r="AI77" s="13" t="s">
        <v>1531</v>
      </c>
      <c r="AJ77" s="13" t="s">
        <v>1532</v>
      </c>
      <c r="AK77" s="13" t="s">
        <v>1424</v>
      </c>
      <c r="AL77" s="13" t="s">
        <v>88</v>
      </c>
    </row>
    <row r="78" spans="1:38" x14ac:dyDescent="0.4">
      <c r="A78" s="11" t="s">
        <v>1533</v>
      </c>
      <c r="B78" s="14" t="s">
        <v>1534</v>
      </c>
      <c r="C78" s="15" t="s">
        <v>39</v>
      </c>
      <c r="D78" s="15" t="s">
        <v>1535</v>
      </c>
      <c r="E78" s="15" t="s">
        <v>1536</v>
      </c>
      <c r="F78" s="15" t="s">
        <v>640</v>
      </c>
      <c r="G78" s="15" t="s">
        <v>39</v>
      </c>
      <c r="H78" s="15" t="s">
        <v>1537</v>
      </c>
      <c r="I78" s="9">
        <f t="shared" ca="1" si="1"/>
        <v>3</v>
      </c>
      <c r="J78" s="15" t="s">
        <v>1538</v>
      </c>
      <c r="K78" s="15" t="s">
        <v>379</v>
      </c>
      <c r="L78" s="9" t="str">
        <f>VLOOKUP(K78,[1]中国省份_标准!$B$2:$F$35,4,FALSE)</f>
        <v>东部地区</v>
      </c>
      <c r="M78" s="9" t="str">
        <f>VLOOKUP(K78,[1]中国省份_标准!$B$2:$F$35,5,FALSE)</f>
        <v>华东地区</v>
      </c>
      <c r="N78" s="15" t="s">
        <v>1276</v>
      </c>
      <c r="O78" s="15" t="s">
        <v>1315</v>
      </c>
      <c r="P78" s="15" t="s">
        <v>1539</v>
      </c>
      <c r="Q78" s="15" t="s">
        <v>1418</v>
      </c>
      <c r="R78" s="15" t="s">
        <v>39</v>
      </c>
      <c r="S78" s="15" t="s">
        <v>39</v>
      </c>
      <c r="T78" s="15" t="s">
        <v>281</v>
      </c>
      <c r="U78" s="15" t="s">
        <v>1534</v>
      </c>
      <c r="V78" s="15" t="s">
        <v>39</v>
      </c>
      <c r="W78" s="15" t="s">
        <v>1540</v>
      </c>
      <c r="X78" s="15" t="s">
        <v>77</v>
      </c>
      <c r="Y78" s="15" t="s">
        <v>283</v>
      </c>
      <c r="Z78" s="15" t="s">
        <v>1541</v>
      </c>
      <c r="AA78" s="15" t="s">
        <v>169</v>
      </c>
      <c r="AB78" s="15" t="s">
        <v>1264</v>
      </c>
      <c r="AC78" s="15" t="s">
        <v>1488</v>
      </c>
      <c r="AD78" s="15" t="s">
        <v>1489</v>
      </c>
      <c r="AE78" s="15" t="s">
        <v>55</v>
      </c>
      <c r="AF78" s="15" t="s">
        <v>1542</v>
      </c>
      <c r="AG78" s="15" t="s">
        <v>39</v>
      </c>
      <c r="AH78" s="15" t="s">
        <v>39</v>
      </c>
      <c r="AI78" s="15" t="s">
        <v>1543</v>
      </c>
      <c r="AJ78" s="15" t="s">
        <v>1544</v>
      </c>
      <c r="AK78" s="15" t="s">
        <v>1327</v>
      </c>
      <c r="AL78" s="15" t="s">
        <v>88</v>
      </c>
    </row>
    <row r="79" spans="1:38" x14ac:dyDescent="0.4">
      <c r="A79" s="11" t="s">
        <v>1545</v>
      </c>
      <c r="B79" s="12" t="s">
        <v>1546</v>
      </c>
      <c r="C79" s="13" t="s">
        <v>39</v>
      </c>
      <c r="D79" s="13" t="s">
        <v>92</v>
      </c>
      <c r="E79" s="13" t="s">
        <v>1547</v>
      </c>
      <c r="F79" s="13" t="s">
        <v>1548</v>
      </c>
      <c r="G79" s="13" t="s">
        <v>1549</v>
      </c>
      <c r="H79" s="13" t="s">
        <v>1550</v>
      </c>
      <c r="I79" s="9">
        <f t="shared" ca="1" si="1"/>
        <v>6</v>
      </c>
      <c r="J79" s="13" t="s">
        <v>1551</v>
      </c>
      <c r="K79" s="13" t="s">
        <v>379</v>
      </c>
      <c r="L79" s="9" t="str">
        <f>VLOOKUP(K79,[1]中国省份_标准!$B$2:$F$35,4,FALSE)</f>
        <v>东部地区</v>
      </c>
      <c r="M79" s="9" t="str">
        <f>VLOOKUP(K79,[1]中国省份_标准!$B$2:$F$35,5,FALSE)</f>
        <v>华东地区</v>
      </c>
      <c r="N79" s="13" t="s">
        <v>1552</v>
      </c>
      <c r="O79" s="13" t="s">
        <v>1553</v>
      </c>
      <c r="P79" s="13" t="s">
        <v>1554</v>
      </c>
      <c r="Q79" s="13" t="s">
        <v>39</v>
      </c>
      <c r="R79" s="13" t="s">
        <v>39</v>
      </c>
      <c r="S79" s="13" t="s">
        <v>39</v>
      </c>
      <c r="T79" s="13" t="s">
        <v>281</v>
      </c>
      <c r="U79" s="13" t="s">
        <v>1546</v>
      </c>
      <c r="V79" s="13" t="s">
        <v>39</v>
      </c>
      <c r="W79" s="13" t="s">
        <v>1555</v>
      </c>
      <c r="X79" s="13" t="s">
        <v>77</v>
      </c>
      <c r="Y79" s="13" t="s">
        <v>283</v>
      </c>
      <c r="Z79" s="13" t="s">
        <v>1556</v>
      </c>
      <c r="AA79" s="13" t="s">
        <v>169</v>
      </c>
      <c r="AB79" s="13" t="s">
        <v>1264</v>
      </c>
      <c r="AC79" s="13" t="s">
        <v>1457</v>
      </c>
      <c r="AD79" s="13" t="s">
        <v>1557</v>
      </c>
      <c r="AE79" s="13" t="s">
        <v>109</v>
      </c>
      <c r="AF79" s="13" t="s">
        <v>1558</v>
      </c>
      <c r="AG79" s="13" t="s">
        <v>39</v>
      </c>
      <c r="AH79" s="13" t="s">
        <v>39</v>
      </c>
      <c r="AI79" s="13" t="s">
        <v>1559</v>
      </c>
      <c r="AJ79" s="13" t="s">
        <v>1560</v>
      </c>
      <c r="AK79" s="13" t="s">
        <v>1561</v>
      </c>
      <c r="AL79" s="13" t="s">
        <v>88</v>
      </c>
    </row>
    <row r="80" spans="1:38" x14ac:dyDescent="0.4">
      <c r="A80" s="11" t="s">
        <v>1562</v>
      </c>
      <c r="B80" s="14" t="s">
        <v>1563</v>
      </c>
      <c r="C80" s="15" t="s">
        <v>39</v>
      </c>
      <c r="D80" s="15" t="s">
        <v>92</v>
      </c>
      <c r="E80" s="15" t="s">
        <v>1564</v>
      </c>
      <c r="F80" s="15" t="s">
        <v>510</v>
      </c>
      <c r="G80" s="15" t="s">
        <v>39</v>
      </c>
      <c r="H80" s="15" t="s">
        <v>1565</v>
      </c>
      <c r="I80" s="9">
        <f t="shared" ca="1" si="1"/>
        <v>4</v>
      </c>
      <c r="J80" s="15" t="s">
        <v>1566</v>
      </c>
      <c r="K80" s="15" t="s">
        <v>379</v>
      </c>
      <c r="L80" s="9" t="str">
        <f>VLOOKUP(K80,[1]中国省份_标准!$B$2:$F$35,4,FALSE)</f>
        <v>东部地区</v>
      </c>
      <c r="M80" s="9" t="str">
        <f>VLOOKUP(K80,[1]中国省份_标准!$B$2:$F$35,5,FALSE)</f>
        <v>华东地区</v>
      </c>
      <c r="N80" s="15" t="s">
        <v>1552</v>
      </c>
      <c r="O80" s="15" t="s">
        <v>1553</v>
      </c>
      <c r="P80" s="15" t="s">
        <v>1567</v>
      </c>
      <c r="Q80" s="15" t="s">
        <v>39</v>
      </c>
      <c r="R80" s="15" t="s">
        <v>39</v>
      </c>
      <c r="S80" s="15" t="s">
        <v>39</v>
      </c>
      <c r="T80" s="15" t="s">
        <v>281</v>
      </c>
      <c r="U80" s="15" t="s">
        <v>1563</v>
      </c>
      <c r="V80" s="15" t="s">
        <v>39</v>
      </c>
      <c r="W80" s="15" t="s">
        <v>1568</v>
      </c>
      <c r="X80" s="15" t="s">
        <v>77</v>
      </c>
      <c r="Y80" s="15" t="s">
        <v>283</v>
      </c>
      <c r="Z80" s="15" t="s">
        <v>1569</v>
      </c>
      <c r="AA80" s="15" t="s">
        <v>169</v>
      </c>
      <c r="AB80" s="15" t="s">
        <v>1264</v>
      </c>
      <c r="AC80" s="15" t="s">
        <v>1488</v>
      </c>
      <c r="AD80" s="15" t="s">
        <v>1489</v>
      </c>
      <c r="AE80" s="15" t="s">
        <v>109</v>
      </c>
      <c r="AF80" s="15" t="s">
        <v>1570</v>
      </c>
      <c r="AG80" s="15" t="s">
        <v>39</v>
      </c>
      <c r="AH80" s="15" t="s">
        <v>39</v>
      </c>
      <c r="AI80" s="15" t="s">
        <v>1571</v>
      </c>
      <c r="AJ80" s="15" t="s">
        <v>1572</v>
      </c>
      <c r="AK80" s="15" t="s">
        <v>1561</v>
      </c>
      <c r="AL80" s="15" t="s">
        <v>88</v>
      </c>
    </row>
    <row r="81" spans="1:38" x14ac:dyDescent="0.4">
      <c r="A81" s="11" t="s">
        <v>1573</v>
      </c>
      <c r="B81" s="12" t="s">
        <v>1574</v>
      </c>
      <c r="C81" s="13" t="s">
        <v>39</v>
      </c>
      <c r="D81" s="13" t="s">
        <v>92</v>
      </c>
      <c r="E81" s="13" t="s">
        <v>1575</v>
      </c>
      <c r="F81" s="13" t="s">
        <v>271</v>
      </c>
      <c r="G81" s="13" t="s">
        <v>271</v>
      </c>
      <c r="H81" s="13" t="s">
        <v>1576</v>
      </c>
      <c r="I81" s="9">
        <f t="shared" ca="1" si="1"/>
        <v>20</v>
      </c>
      <c r="J81" s="13" t="s">
        <v>1577</v>
      </c>
      <c r="K81" s="13" t="s">
        <v>594</v>
      </c>
      <c r="L81" s="9" t="str">
        <f>VLOOKUP(K81,[1]中国省份_标准!$B$2:$F$35,4,FALSE)</f>
        <v>中部地区</v>
      </c>
      <c r="M81" s="9" t="str">
        <f>VLOOKUP(K81,[1]中国省份_标准!$B$2:$F$35,5,FALSE)</f>
        <v>华东地区</v>
      </c>
      <c r="N81" s="13" t="s">
        <v>1578</v>
      </c>
      <c r="O81" s="13" t="s">
        <v>1579</v>
      </c>
      <c r="P81" s="13" t="s">
        <v>1580</v>
      </c>
      <c r="Q81" s="13" t="s">
        <v>1581</v>
      </c>
      <c r="R81" s="13" t="s">
        <v>1582</v>
      </c>
      <c r="S81" s="13" t="s">
        <v>1583</v>
      </c>
      <c r="T81" s="13" t="s">
        <v>1584</v>
      </c>
      <c r="U81" s="13" t="s">
        <v>1574</v>
      </c>
      <c r="V81" s="13" t="s">
        <v>1585</v>
      </c>
      <c r="W81" s="13" t="s">
        <v>1586</v>
      </c>
      <c r="X81" s="13" t="s">
        <v>1587</v>
      </c>
      <c r="Y81" s="13" t="s">
        <v>78</v>
      </c>
      <c r="Z81" s="13" t="s">
        <v>1588</v>
      </c>
      <c r="AA81" s="13" t="s">
        <v>169</v>
      </c>
      <c r="AB81" s="13" t="s">
        <v>412</v>
      </c>
      <c r="AC81" s="13" t="s">
        <v>413</v>
      </c>
      <c r="AD81" s="13" t="s">
        <v>39</v>
      </c>
      <c r="AE81" s="13" t="s">
        <v>55</v>
      </c>
      <c r="AF81" s="13" t="s">
        <v>1589</v>
      </c>
      <c r="AG81" s="13" t="s">
        <v>39</v>
      </c>
      <c r="AH81" s="13" t="s">
        <v>39</v>
      </c>
      <c r="AI81" s="13" t="s">
        <v>1590</v>
      </c>
      <c r="AJ81" s="13" t="s">
        <v>1591</v>
      </c>
      <c r="AK81" s="13" t="s">
        <v>1592</v>
      </c>
      <c r="AL81" s="13" t="s">
        <v>88</v>
      </c>
    </row>
    <row r="82" spans="1:38" x14ac:dyDescent="0.4">
      <c r="A82" s="11" t="s">
        <v>1593</v>
      </c>
      <c r="B82" s="14" t="s">
        <v>1594</v>
      </c>
      <c r="C82" s="15" t="s">
        <v>39</v>
      </c>
      <c r="D82" s="15" t="s">
        <v>92</v>
      </c>
      <c r="E82" s="15" t="s">
        <v>1595</v>
      </c>
      <c r="F82" s="15" t="s">
        <v>422</v>
      </c>
      <c r="G82" s="15" t="s">
        <v>422</v>
      </c>
      <c r="H82" s="15" t="s">
        <v>1596</v>
      </c>
      <c r="I82" s="9">
        <f t="shared" ca="1" si="1"/>
        <v>11</v>
      </c>
      <c r="J82" s="15" t="s">
        <v>1597</v>
      </c>
      <c r="K82" s="15" t="s">
        <v>425</v>
      </c>
      <c r="L82" s="9" t="str">
        <f>VLOOKUP(K82,[1]中国省份_标准!$B$2:$F$35,4,FALSE)</f>
        <v>东部地区</v>
      </c>
      <c r="M82" s="9" t="str">
        <f>VLOOKUP(K82,[1]中国省份_标准!$B$2:$F$35,5,FALSE)</f>
        <v>华东地区</v>
      </c>
      <c r="N82" s="15" t="s">
        <v>426</v>
      </c>
      <c r="O82" s="15" t="s">
        <v>427</v>
      </c>
      <c r="P82" s="15" t="s">
        <v>1598</v>
      </c>
      <c r="Q82" s="15" t="s">
        <v>1599</v>
      </c>
      <c r="R82" s="15" t="s">
        <v>1600</v>
      </c>
      <c r="S82" s="15" t="s">
        <v>1601</v>
      </c>
      <c r="T82" s="15" t="s">
        <v>281</v>
      </c>
      <c r="U82" s="15" t="s">
        <v>1594</v>
      </c>
      <c r="V82" s="15" t="s">
        <v>1602</v>
      </c>
      <c r="W82" s="15" t="s">
        <v>1603</v>
      </c>
      <c r="X82" s="15" t="s">
        <v>990</v>
      </c>
      <c r="Y82" s="15" t="s">
        <v>283</v>
      </c>
      <c r="Z82" s="15" t="s">
        <v>1604</v>
      </c>
      <c r="AA82" s="15" t="s">
        <v>80</v>
      </c>
      <c r="AB82" s="15" t="s">
        <v>106</v>
      </c>
      <c r="AC82" s="15" t="s">
        <v>107</v>
      </c>
      <c r="AD82" s="15" t="s">
        <v>39</v>
      </c>
      <c r="AE82" s="15" t="s">
        <v>109</v>
      </c>
      <c r="AF82" s="15" t="s">
        <v>1605</v>
      </c>
      <c r="AG82" s="15" t="s">
        <v>39</v>
      </c>
      <c r="AH82" s="15" t="s">
        <v>39</v>
      </c>
      <c r="AI82" s="15" t="s">
        <v>1606</v>
      </c>
      <c r="AJ82" s="15" t="s">
        <v>1607</v>
      </c>
      <c r="AK82" s="15" t="s">
        <v>438</v>
      </c>
      <c r="AL82" s="15" t="s">
        <v>88</v>
      </c>
    </row>
    <row r="83" spans="1:38" x14ac:dyDescent="0.4">
      <c r="A83" s="11" t="s">
        <v>1608</v>
      </c>
      <c r="B83" s="12" t="s">
        <v>1609</v>
      </c>
      <c r="C83" s="13" t="s">
        <v>39</v>
      </c>
      <c r="D83" s="13" t="s">
        <v>92</v>
      </c>
      <c r="E83" s="13" t="s">
        <v>1610</v>
      </c>
      <c r="F83" s="13" t="s">
        <v>1120</v>
      </c>
      <c r="G83" s="13" t="s">
        <v>1235</v>
      </c>
      <c r="H83" s="13" t="s">
        <v>1611</v>
      </c>
      <c r="I83" s="9">
        <f t="shared" ca="1" si="1"/>
        <v>14</v>
      </c>
      <c r="J83" s="13" t="s">
        <v>1612</v>
      </c>
      <c r="K83" s="13" t="s">
        <v>594</v>
      </c>
      <c r="L83" s="9" t="str">
        <f>VLOOKUP(K83,[1]中国省份_标准!$B$2:$F$35,4,FALSE)</f>
        <v>中部地区</v>
      </c>
      <c r="M83" s="9" t="str">
        <f>VLOOKUP(K83,[1]中国省份_标准!$B$2:$F$35,5,FALSE)</f>
        <v>华东地区</v>
      </c>
      <c r="N83" s="13" t="s">
        <v>1256</v>
      </c>
      <c r="O83" s="13" t="s">
        <v>1613</v>
      </c>
      <c r="P83" s="13" t="s">
        <v>1293</v>
      </c>
      <c r="Q83" s="13" t="s">
        <v>1614</v>
      </c>
      <c r="R83" s="13" t="s">
        <v>1295</v>
      </c>
      <c r="S83" s="13" t="s">
        <v>1615</v>
      </c>
      <c r="T83" s="13" t="s">
        <v>825</v>
      </c>
      <c r="U83" s="13" t="s">
        <v>1609</v>
      </c>
      <c r="V83" s="13" t="s">
        <v>1616</v>
      </c>
      <c r="W83" s="13" t="s">
        <v>1617</v>
      </c>
      <c r="X83" s="13" t="s">
        <v>1618</v>
      </c>
      <c r="Y83" s="13" t="s">
        <v>78</v>
      </c>
      <c r="Z83" s="13" t="s">
        <v>1619</v>
      </c>
      <c r="AA83" s="13" t="s">
        <v>80</v>
      </c>
      <c r="AB83" s="13" t="s">
        <v>106</v>
      </c>
      <c r="AC83" s="13" t="s">
        <v>808</v>
      </c>
      <c r="AD83" s="13" t="s">
        <v>1620</v>
      </c>
      <c r="AE83" s="13" t="s">
        <v>262</v>
      </c>
      <c r="AF83" s="13" t="s">
        <v>1621</v>
      </c>
      <c r="AG83" s="13" t="s">
        <v>39</v>
      </c>
      <c r="AH83" s="13" t="s">
        <v>39</v>
      </c>
      <c r="AI83" s="13" t="s">
        <v>1622</v>
      </c>
      <c r="AJ83" s="13" t="s">
        <v>1623</v>
      </c>
      <c r="AK83" s="13" t="s">
        <v>1624</v>
      </c>
      <c r="AL83" s="13" t="s">
        <v>88</v>
      </c>
    </row>
    <row r="84" spans="1:38" x14ac:dyDescent="0.4">
      <c r="A84" s="11" t="s">
        <v>1625</v>
      </c>
      <c r="B84" s="14" t="s">
        <v>1626</v>
      </c>
      <c r="C84" s="15" t="s">
        <v>39</v>
      </c>
      <c r="D84" s="15" t="s">
        <v>92</v>
      </c>
      <c r="E84" s="15" t="s">
        <v>1627</v>
      </c>
      <c r="F84" s="15" t="s">
        <v>1235</v>
      </c>
      <c r="G84" s="15" t="s">
        <v>1235</v>
      </c>
      <c r="H84" s="15" t="s">
        <v>1628</v>
      </c>
      <c r="I84" s="9">
        <f t="shared" ca="1" si="1"/>
        <v>14</v>
      </c>
      <c r="J84" s="15" t="s">
        <v>1629</v>
      </c>
      <c r="K84" s="15" t="s">
        <v>138</v>
      </c>
      <c r="L84" s="9" t="str">
        <f>VLOOKUP(K84,[1]中国省份_标准!$B$2:$F$35,4,FALSE)</f>
        <v>西部地区</v>
      </c>
      <c r="M84" s="9" t="str">
        <f>VLOOKUP(K84,[1]中国省份_标准!$B$2:$F$35,5,FALSE)</f>
        <v>西南地区</v>
      </c>
      <c r="N84" s="15" t="s">
        <v>1630</v>
      </c>
      <c r="O84" s="15" t="s">
        <v>1631</v>
      </c>
      <c r="P84" s="15" t="s">
        <v>1632</v>
      </c>
      <c r="Q84" s="15" t="s">
        <v>1633</v>
      </c>
      <c r="R84" s="15" t="s">
        <v>1634</v>
      </c>
      <c r="S84" s="15" t="s">
        <v>39</v>
      </c>
      <c r="T84" s="15" t="s">
        <v>48</v>
      </c>
      <c r="U84" s="15" t="s">
        <v>1626</v>
      </c>
      <c r="V84" s="15" t="s">
        <v>1635</v>
      </c>
      <c r="W84" s="15" t="s">
        <v>1636</v>
      </c>
      <c r="X84" s="15" t="s">
        <v>77</v>
      </c>
      <c r="Y84" s="15" t="s">
        <v>78</v>
      </c>
      <c r="Z84" s="15" t="s">
        <v>1637</v>
      </c>
      <c r="AA84" s="15" t="s">
        <v>80</v>
      </c>
      <c r="AB84" s="15" t="s">
        <v>106</v>
      </c>
      <c r="AC84" s="15" t="s">
        <v>1132</v>
      </c>
      <c r="AD84" s="15" t="s">
        <v>1638</v>
      </c>
      <c r="AE84" s="15" t="s">
        <v>109</v>
      </c>
      <c r="AF84" s="15" t="s">
        <v>1639</v>
      </c>
      <c r="AG84" s="15" t="s">
        <v>39</v>
      </c>
      <c r="AH84" s="15" t="s">
        <v>39</v>
      </c>
      <c r="AI84" s="15" t="s">
        <v>1640</v>
      </c>
      <c r="AJ84" s="15" t="s">
        <v>1641</v>
      </c>
      <c r="AK84" s="15" t="s">
        <v>1642</v>
      </c>
      <c r="AL84" s="15" t="s">
        <v>88</v>
      </c>
    </row>
    <row r="85" spans="1:38" x14ac:dyDescent="0.4">
      <c r="A85" s="11" t="s">
        <v>1643</v>
      </c>
      <c r="B85" s="12" t="s">
        <v>1644</v>
      </c>
      <c r="C85" s="13" t="s">
        <v>39</v>
      </c>
      <c r="D85" s="13" t="s">
        <v>92</v>
      </c>
      <c r="E85" s="13" t="s">
        <v>1645</v>
      </c>
      <c r="F85" s="13" t="s">
        <v>422</v>
      </c>
      <c r="G85" s="13" t="s">
        <v>422</v>
      </c>
      <c r="H85" s="13" t="s">
        <v>1646</v>
      </c>
      <c r="I85" s="9">
        <f t="shared" ca="1" si="1"/>
        <v>19</v>
      </c>
      <c r="J85" s="13" t="s">
        <v>1647</v>
      </c>
      <c r="K85" s="13" t="s">
        <v>45</v>
      </c>
      <c r="L85" s="9" t="str">
        <f>VLOOKUP(K85,[1]中国省份_标准!$B$2:$F$35,4,FALSE)</f>
        <v>东部地区</v>
      </c>
      <c r="M85" s="9" t="str">
        <f>VLOOKUP(K85,[1]中国省份_标准!$B$2:$F$35,5,FALSE)</f>
        <v>华东地区</v>
      </c>
      <c r="N85" s="13" t="s">
        <v>45</v>
      </c>
      <c r="O85" s="13" t="s">
        <v>1060</v>
      </c>
      <c r="P85" s="13" t="s">
        <v>1061</v>
      </c>
      <c r="Q85" s="13" t="s">
        <v>39</v>
      </c>
      <c r="R85" s="13" t="s">
        <v>39</v>
      </c>
      <c r="S85" s="13" t="s">
        <v>39</v>
      </c>
      <c r="T85" s="13" t="s">
        <v>48</v>
      </c>
      <c r="U85" s="13" t="s">
        <v>1644</v>
      </c>
      <c r="V85" s="13" t="s">
        <v>1648</v>
      </c>
      <c r="W85" s="13" t="s">
        <v>1649</v>
      </c>
      <c r="X85" s="13" t="s">
        <v>77</v>
      </c>
      <c r="Y85" s="13" t="s">
        <v>78</v>
      </c>
      <c r="Z85" s="13" t="s">
        <v>1650</v>
      </c>
      <c r="AA85" s="13" t="s">
        <v>169</v>
      </c>
      <c r="AB85" s="13" t="s">
        <v>170</v>
      </c>
      <c r="AC85" s="13" t="s">
        <v>1651</v>
      </c>
      <c r="AD85" s="13" t="s">
        <v>1652</v>
      </c>
      <c r="AE85" s="13" t="s">
        <v>55</v>
      </c>
      <c r="AF85" s="13" t="s">
        <v>1653</v>
      </c>
      <c r="AG85" s="13" t="s">
        <v>39</v>
      </c>
      <c r="AH85" s="13" t="s">
        <v>1654</v>
      </c>
      <c r="AI85" s="13" t="s">
        <v>1655</v>
      </c>
      <c r="AJ85" s="13" t="s">
        <v>1656</v>
      </c>
      <c r="AK85" s="13" t="s">
        <v>1068</v>
      </c>
      <c r="AL85" s="13" t="s">
        <v>88</v>
      </c>
    </row>
    <row r="86" spans="1:38" x14ac:dyDescent="0.4">
      <c r="A86" s="11" t="s">
        <v>1657</v>
      </c>
      <c r="B86" s="14" t="s">
        <v>1658</v>
      </c>
      <c r="C86" s="15" t="s">
        <v>1659</v>
      </c>
      <c r="D86" s="15" t="s">
        <v>63</v>
      </c>
      <c r="E86" s="15" t="s">
        <v>1660</v>
      </c>
      <c r="F86" s="15" t="s">
        <v>442</v>
      </c>
      <c r="G86" s="15" t="s">
        <v>442</v>
      </c>
      <c r="H86" s="15" t="s">
        <v>1661</v>
      </c>
      <c r="I86" s="9">
        <f t="shared" ca="1" si="1"/>
        <v>23</v>
      </c>
      <c r="J86" s="15" t="s">
        <v>1662</v>
      </c>
      <c r="K86" s="15" t="s">
        <v>67</v>
      </c>
      <c r="L86" s="9" t="str">
        <f>VLOOKUP(K86,[1]中国省份_标准!$B$2:$F$35,4,FALSE)</f>
        <v>东部地区</v>
      </c>
      <c r="M86" s="9" t="str">
        <f>VLOOKUP(K86,[1]中国省份_标准!$B$2:$F$35,5,FALSE)</f>
        <v>华东地区</v>
      </c>
      <c r="N86" s="15" t="s">
        <v>1663</v>
      </c>
      <c r="O86" s="15" t="s">
        <v>1664</v>
      </c>
      <c r="P86" s="15" t="s">
        <v>1665</v>
      </c>
      <c r="Q86" s="15" t="s">
        <v>1666</v>
      </c>
      <c r="R86" s="15" t="s">
        <v>1667</v>
      </c>
      <c r="S86" s="15" t="s">
        <v>1668</v>
      </c>
      <c r="T86" s="15" t="s">
        <v>48</v>
      </c>
      <c r="U86" s="15" t="s">
        <v>1658</v>
      </c>
      <c r="V86" s="15" t="s">
        <v>1669</v>
      </c>
      <c r="W86" s="15" t="s">
        <v>1670</v>
      </c>
      <c r="X86" s="15" t="s">
        <v>77</v>
      </c>
      <c r="Y86" s="15" t="s">
        <v>78</v>
      </c>
      <c r="Z86" s="15" t="s">
        <v>1671</v>
      </c>
      <c r="AA86" s="15" t="s">
        <v>169</v>
      </c>
      <c r="AB86" s="15" t="s">
        <v>170</v>
      </c>
      <c r="AC86" s="15" t="s">
        <v>171</v>
      </c>
      <c r="AD86" s="15" t="s">
        <v>347</v>
      </c>
      <c r="AE86" s="15" t="s">
        <v>55</v>
      </c>
      <c r="AF86" s="15" t="s">
        <v>1672</v>
      </c>
      <c r="AG86" s="15" t="s">
        <v>1673</v>
      </c>
      <c r="AH86" s="15" t="s">
        <v>39</v>
      </c>
      <c r="AI86" s="15" t="s">
        <v>1674</v>
      </c>
      <c r="AJ86" s="15" t="s">
        <v>1675</v>
      </c>
      <c r="AK86" s="15" t="s">
        <v>1676</v>
      </c>
      <c r="AL86" s="15" t="s">
        <v>88</v>
      </c>
    </row>
    <row r="87" spans="1:38" x14ac:dyDescent="0.4">
      <c r="A87" s="11" t="s">
        <v>1677</v>
      </c>
      <c r="B87" s="12" t="s">
        <v>1678</v>
      </c>
      <c r="C87" s="13" t="s">
        <v>39</v>
      </c>
      <c r="D87" s="13" t="s">
        <v>63</v>
      </c>
      <c r="E87" s="13" t="s">
        <v>1679</v>
      </c>
      <c r="F87" s="13" t="s">
        <v>271</v>
      </c>
      <c r="G87" s="13" t="s">
        <v>271</v>
      </c>
      <c r="H87" s="13" t="s">
        <v>1680</v>
      </c>
      <c r="I87" s="9">
        <f t="shared" ca="1" si="1"/>
        <v>8</v>
      </c>
      <c r="J87" s="13" t="s">
        <v>1681</v>
      </c>
      <c r="K87" s="13" t="s">
        <v>531</v>
      </c>
      <c r="L87" s="9" t="str">
        <f>VLOOKUP(K87,[1]中国省份_标准!$B$2:$F$35,4,FALSE)</f>
        <v>东部地区</v>
      </c>
      <c r="M87" s="9" t="str">
        <f>VLOOKUP(K87,[1]中国省份_标准!$B$2:$F$35,5,FALSE)</f>
        <v>华南地区</v>
      </c>
      <c r="N87" s="13" t="s">
        <v>1682</v>
      </c>
      <c r="O87" s="13" t="s">
        <v>1683</v>
      </c>
      <c r="P87" s="13" t="s">
        <v>1293</v>
      </c>
      <c r="Q87" s="13" t="s">
        <v>39</v>
      </c>
      <c r="R87" s="13" t="s">
        <v>1295</v>
      </c>
      <c r="S87" s="13" t="s">
        <v>1684</v>
      </c>
      <c r="T87" s="13" t="s">
        <v>452</v>
      </c>
      <c r="U87" s="13" t="s">
        <v>1678</v>
      </c>
      <c r="V87" s="13" t="s">
        <v>39</v>
      </c>
      <c r="W87" s="13" t="s">
        <v>1685</v>
      </c>
      <c r="X87" s="13" t="s">
        <v>365</v>
      </c>
      <c r="Y87" s="13" t="s">
        <v>78</v>
      </c>
      <c r="Z87" s="13" t="s">
        <v>1686</v>
      </c>
      <c r="AA87" s="13" t="s">
        <v>169</v>
      </c>
      <c r="AB87" s="13" t="s">
        <v>412</v>
      </c>
      <c r="AC87" s="13" t="s">
        <v>413</v>
      </c>
      <c r="AD87" s="13" t="s">
        <v>1687</v>
      </c>
      <c r="AE87" s="13" t="s">
        <v>55</v>
      </c>
      <c r="AF87" s="13" t="s">
        <v>1688</v>
      </c>
      <c r="AG87" s="13" t="s">
        <v>39</v>
      </c>
      <c r="AH87" s="13" t="s">
        <v>39</v>
      </c>
      <c r="AI87" s="13" t="s">
        <v>1689</v>
      </c>
      <c r="AJ87" s="13" t="s">
        <v>1690</v>
      </c>
      <c r="AK87" s="13" t="s">
        <v>1691</v>
      </c>
      <c r="AL87" s="13" t="s">
        <v>88</v>
      </c>
    </row>
    <row r="88" spans="1:38" x14ac:dyDescent="0.4">
      <c r="A88" s="11" t="s">
        <v>1692</v>
      </c>
      <c r="B88" s="14" t="s">
        <v>1693</v>
      </c>
      <c r="C88" s="15" t="s">
        <v>39</v>
      </c>
      <c r="D88" s="15" t="s">
        <v>1694</v>
      </c>
      <c r="E88" s="15" t="s">
        <v>1695</v>
      </c>
      <c r="F88" s="15" t="s">
        <v>640</v>
      </c>
      <c r="G88" s="15" t="s">
        <v>39</v>
      </c>
      <c r="H88" s="15" t="s">
        <v>1696</v>
      </c>
      <c r="I88" s="9">
        <f t="shared" ca="1" si="1"/>
        <v>13</v>
      </c>
      <c r="J88" s="15" t="s">
        <v>1697</v>
      </c>
      <c r="K88" s="15" t="s">
        <v>531</v>
      </c>
      <c r="L88" s="9" t="str">
        <f>VLOOKUP(K88,[1]中国省份_标准!$B$2:$F$35,4,FALSE)</f>
        <v>东部地区</v>
      </c>
      <c r="M88" s="9" t="str">
        <f>VLOOKUP(K88,[1]中国省份_标准!$B$2:$F$35,5,FALSE)</f>
        <v>华南地区</v>
      </c>
      <c r="N88" s="15" t="s">
        <v>1698</v>
      </c>
      <c r="O88" s="15" t="s">
        <v>39</v>
      </c>
      <c r="P88" s="15" t="s">
        <v>1699</v>
      </c>
      <c r="Q88" s="15" t="s">
        <v>39</v>
      </c>
      <c r="R88" s="15" t="s">
        <v>1700</v>
      </c>
      <c r="S88" s="15" t="s">
        <v>1701</v>
      </c>
      <c r="T88" s="15" t="s">
        <v>164</v>
      </c>
      <c r="U88" s="15" t="s">
        <v>1693</v>
      </c>
      <c r="V88" s="15" t="s">
        <v>1702</v>
      </c>
      <c r="W88" s="15" t="s">
        <v>1703</v>
      </c>
      <c r="X88" s="15" t="s">
        <v>1704</v>
      </c>
      <c r="Y88" s="15" t="s">
        <v>283</v>
      </c>
      <c r="Z88" s="15" t="s">
        <v>1705</v>
      </c>
      <c r="AA88" s="15" t="s">
        <v>169</v>
      </c>
      <c r="AB88" s="15" t="s">
        <v>1706</v>
      </c>
      <c r="AC88" s="15" t="s">
        <v>1707</v>
      </c>
      <c r="AD88" s="15" t="s">
        <v>1708</v>
      </c>
      <c r="AE88" s="15" t="s">
        <v>55</v>
      </c>
      <c r="AF88" s="15" t="s">
        <v>1709</v>
      </c>
      <c r="AG88" s="15" t="s">
        <v>39</v>
      </c>
      <c r="AH88" s="15" t="s">
        <v>39</v>
      </c>
      <c r="AI88" s="15" t="s">
        <v>39</v>
      </c>
      <c r="AJ88" s="15" t="s">
        <v>1710</v>
      </c>
      <c r="AK88" s="15" t="s">
        <v>1711</v>
      </c>
      <c r="AL88" s="15" t="s">
        <v>88</v>
      </c>
    </row>
    <row r="89" spans="1:38" x14ac:dyDescent="0.4">
      <c r="A89" s="11" t="s">
        <v>1712</v>
      </c>
      <c r="B89" s="12" t="s">
        <v>1713</v>
      </c>
      <c r="C89" s="13" t="s">
        <v>1714</v>
      </c>
      <c r="D89" s="13" t="s">
        <v>63</v>
      </c>
      <c r="E89" s="13" t="s">
        <v>1715</v>
      </c>
      <c r="F89" s="13" t="s">
        <v>1235</v>
      </c>
      <c r="G89" s="13" t="s">
        <v>1235</v>
      </c>
      <c r="H89" s="13" t="s">
        <v>1716</v>
      </c>
      <c r="I89" s="9">
        <f t="shared" ca="1" si="1"/>
        <v>9</v>
      </c>
      <c r="J89" s="13" t="s">
        <v>1717</v>
      </c>
      <c r="K89" s="13" t="s">
        <v>67</v>
      </c>
      <c r="L89" s="9" t="str">
        <f>VLOOKUP(K89,[1]中国省份_标准!$B$2:$F$35,4,FALSE)</f>
        <v>东部地区</v>
      </c>
      <c r="M89" s="9" t="str">
        <f>VLOOKUP(K89,[1]中国省份_标准!$B$2:$F$35,5,FALSE)</f>
        <v>华东地区</v>
      </c>
      <c r="N89" s="13" t="s">
        <v>1663</v>
      </c>
      <c r="O89" s="13" t="s">
        <v>1718</v>
      </c>
      <c r="P89" s="13" t="s">
        <v>1719</v>
      </c>
      <c r="Q89" s="13" t="s">
        <v>1720</v>
      </c>
      <c r="R89" s="13" t="s">
        <v>1721</v>
      </c>
      <c r="S89" s="13" t="s">
        <v>39</v>
      </c>
      <c r="T89" s="13" t="s">
        <v>281</v>
      </c>
      <c r="U89" s="13" t="s">
        <v>1713</v>
      </c>
      <c r="V89" s="13" t="s">
        <v>1722</v>
      </c>
      <c r="W89" s="13" t="s">
        <v>1723</v>
      </c>
      <c r="X89" s="13" t="s">
        <v>690</v>
      </c>
      <c r="Y89" s="13" t="s">
        <v>78</v>
      </c>
      <c r="Z89" s="13" t="s">
        <v>1724</v>
      </c>
      <c r="AA89" s="13" t="s">
        <v>169</v>
      </c>
      <c r="AB89" s="13" t="s">
        <v>170</v>
      </c>
      <c r="AC89" s="13" t="s">
        <v>1725</v>
      </c>
      <c r="AD89" s="13" t="s">
        <v>1726</v>
      </c>
      <c r="AE89" s="13" t="s">
        <v>55</v>
      </c>
      <c r="AF89" s="13" t="s">
        <v>1727</v>
      </c>
      <c r="AG89" s="13" t="s">
        <v>39</v>
      </c>
      <c r="AH89" s="13" t="s">
        <v>39</v>
      </c>
      <c r="AI89" s="13" t="s">
        <v>1728</v>
      </c>
      <c r="AJ89" s="13" t="s">
        <v>1729</v>
      </c>
      <c r="AK89" s="13" t="s">
        <v>1730</v>
      </c>
      <c r="AL89" s="13" t="s">
        <v>88</v>
      </c>
    </row>
    <row r="90" spans="1:38" x14ac:dyDescent="0.4">
      <c r="A90" s="11" t="s">
        <v>1731</v>
      </c>
      <c r="B90" s="14" t="s">
        <v>1732</v>
      </c>
      <c r="C90" s="15" t="s">
        <v>39</v>
      </c>
      <c r="D90" s="15" t="s">
        <v>63</v>
      </c>
      <c r="E90" s="15" t="s">
        <v>1610</v>
      </c>
      <c r="F90" s="15" t="s">
        <v>271</v>
      </c>
      <c r="G90" s="15" t="s">
        <v>271</v>
      </c>
      <c r="H90" s="15" t="s">
        <v>1733</v>
      </c>
      <c r="I90" s="9">
        <f t="shared" ca="1" si="1"/>
        <v>12</v>
      </c>
      <c r="J90" s="15" t="s">
        <v>1734</v>
      </c>
      <c r="K90" s="15" t="s">
        <v>67</v>
      </c>
      <c r="L90" s="9" t="str">
        <f>VLOOKUP(K90,[1]中国省份_标准!$B$2:$F$35,4,FALSE)</f>
        <v>东部地区</v>
      </c>
      <c r="M90" s="9" t="str">
        <f>VLOOKUP(K90,[1]中国省份_标准!$B$2:$F$35,5,FALSE)</f>
        <v>华东地区</v>
      </c>
      <c r="N90" s="15" t="s">
        <v>1663</v>
      </c>
      <c r="O90" s="15" t="s">
        <v>1735</v>
      </c>
      <c r="P90" s="15" t="s">
        <v>1293</v>
      </c>
      <c r="Q90" s="15" t="s">
        <v>1736</v>
      </c>
      <c r="R90" s="15" t="s">
        <v>1295</v>
      </c>
      <c r="S90" s="15" t="s">
        <v>1737</v>
      </c>
      <c r="T90" s="15" t="s">
        <v>452</v>
      </c>
      <c r="U90" s="15" t="s">
        <v>1732</v>
      </c>
      <c r="V90" s="15" t="s">
        <v>1738</v>
      </c>
      <c r="W90" s="15" t="s">
        <v>1739</v>
      </c>
      <c r="X90" s="15" t="s">
        <v>77</v>
      </c>
      <c r="Y90" s="15" t="s">
        <v>78</v>
      </c>
      <c r="Z90" s="15" t="s">
        <v>1740</v>
      </c>
      <c r="AA90" s="15" t="s">
        <v>80</v>
      </c>
      <c r="AB90" s="15" t="s">
        <v>106</v>
      </c>
      <c r="AC90" s="15" t="s">
        <v>808</v>
      </c>
      <c r="AD90" s="15" t="s">
        <v>1741</v>
      </c>
      <c r="AE90" s="15" t="s">
        <v>55</v>
      </c>
      <c r="AF90" s="15" t="s">
        <v>1742</v>
      </c>
      <c r="AG90" s="15" t="s">
        <v>39</v>
      </c>
      <c r="AH90" s="15" t="s">
        <v>39</v>
      </c>
      <c r="AI90" s="15" t="s">
        <v>1743</v>
      </c>
      <c r="AJ90" s="15" t="s">
        <v>1744</v>
      </c>
      <c r="AK90" s="15" t="s">
        <v>1745</v>
      </c>
      <c r="AL90" s="15" t="s">
        <v>88</v>
      </c>
    </row>
    <row r="91" spans="1:38" x14ac:dyDescent="0.4">
      <c r="A91" s="11" t="s">
        <v>1746</v>
      </c>
      <c r="B91" s="12" t="s">
        <v>1747</v>
      </c>
      <c r="C91" s="13" t="s">
        <v>39</v>
      </c>
      <c r="D91" s="13" t="s">
        <v>1748</v>
      </c>
      <c r="E91" s="13" t="s">
        <v>1749</v>
      </c>
      <c r="F91" s="13" t="s">
        <v>42</v>
      </c>
      <c r="G91" s="13" t="s">
        <v>39</v>
      </c>
      <c r="H91" s="13" t="s">
        <v>1750</v>
      </c>
      <c r="I91" s="9">
        <f t="shared" ca="1" si="1"/>
        <v>4</v>
      </c>
      <c r="J91" s="13" t="s">
        <v>1751</v>
      </c>
      <c r="K91" s="13" t="s">
        <v>1752</v>
      </c>
      <c r="L91" s="9" t="str">
        <f>VLOOKUP(K91,[1]中国省份_标准!$B$2:$F$35,4,FALSE)</f>
        <v>中部地区</v>
      </c>
      <c r="M91" s="9" t="str">
        <f>VLOOKUP(K91,[1]中国省份_标准!$B$2:$F$35,5,FALSE)</f>
        <v>华中地区</v>
      </c>
      <c r="N91" s="13" t="s">
        <v>1753</v>
      </c>
      <c r="O91" s="13" t="s">
        <v>1754</v>
      </c>
      <c r="P91" s="13" t="s">
        <v>1755</v>
      </c>
      <c r="Q91" s="13" t="s">
        <v>39</v>
      </c>
      <c r="R91" s="13" t="s">
        <v>1756</v>
      </c>
      <c r="S91" s="13" t="s">
        <v>1757</v>
      </c>
      <c r="T91" s="13" t="s">
        <v>48</v>
      </c>
      <c r="U91" s="13" t="s">
        <v>1747</v>
      </c>
      <c r="V91" s="13" t="s">
        <v>1758</v>
      </c>
      <c r="W91" s="13" t="s">
        <v>1759</v>
      </c>
      <c r="X91" s="13" t="s">
        <v>77</v>
      </c>
      <c r="Y91" s="13" t="s">
        <v>78</v>
      </c>
      <c r="Z91" s="13" t="s">
        <v>1760</v>
      </c>
      <c r="AA91" s="13" t="s">
        <v>80</v>
      </c>
      <c r="AB91" s="13" t="s">
        <v>106</v>
      </c>
      <c r="AC91" s="13" t="s">
        <v>951</v>
      </c>
      <c r="AD91" s="13" t="s">
        <v>952</v>
      </c>
      <c r="AE91" s="13" t="s">
        <v>109</v>
      </c>
      <c r="AF91" s="13" t="s">
        <v>1761</v>
      </c>
      <c r="AG91" s="13" t="s">
        <v>39</v>
      </c>
      <c r="AH91" s="13" t="s">
        <v>39</v>
      </c>
      <c r="AI91" s="13" t="s">
        <v>1762</v>
      </c>
      <c r="AJ91" s="13" t="s">
        <v>1763</v>
      </c>
      <c r="AK91" s="13" t="s">
        <v>1764</v>
      </c>
      <c r="AL91" s="13" t="s">
        <v>88</v>
      </c>
    </row>
    <row r="92" spans="1:38" x14ac:dyDescent="0.4">
      <c r="A92" s="11" t="s">
        <v>1765</v>
      </c>
      <c r="B92" s="14" t="s">
        <v>1766</v>
      </c>
      <c r="C92" s="15" t="s">
        <v>39</v>
      </c>
      <c r="D92" s="15" t="s">
        <v>1767</v>
      </c>
      <c r="E92" s="15" t="s">
        <v>1768</v>
      </c>
      <c r="F92" s="15" t="s">
        <v>154</v>
      </c>
      <c r="G92" s="15" t="s">
        <v>154</v>
      </c>
      <c r="H92" s="15" t="s">
        <v>1769</v>
      </c>
      <c r="I92" s="9">
        <f t="shared" ca="1" si="1"/>
        <v>6</v>
      </c>
      <c r="J92" s="15" t="s">
        <v>1770</v>
      </c>
      <c r="K92" s="15" t="s">
        <v>67</v>
      </c>
      <c r="L92" s="9" t="str">
        <f>VLOOKUP(K92,[1]中国省份_标准!$B$2:$F$35,4,FALSE)</f>
        <v>东部地区</v>
      </c>
      <c r="M92" s="9" t="str">
        <f>VLOOKUP(K92,[1]中国省份_标准!$B$2:$F$35,5,FALSE)</f>
        <v>华东地区</v>
      </c>
      <c r="N92" s="15" t="s">
        <v>203</v>
      </c>
      <c r="O92" s="15" t="s">
        <v>944</v>
      </c>
      <c r="P92" s="15" t="s">
        <v>1771</v>
      </c>
      <c r="Q92" s="15" t="s">
        <v>1772</v>
      </c>
      <c r="R92" s="15" t="s">
        <v>1773</v>
      </c>
      <c r="S92" s="15" t="s">
        <v>1774</v>
      </c>
      <c r="T92" s="15" t="s">
        <v>281</v>
      </c>
      <c r="U92" s="15" t="s">
        <v>1766</v>
      </c>
      <c r="V92" s="15" t="s">
        <v>1775</v>
      </c>
      <c r="W92" s="15" t="s">
        <v>1776</v>
      </c>
      <c r="X92" s="15" t="s">
        <v>1777</v>
      </c>
      <c r="Y92" s="15" t="s">
        <v>78</v>
      </c>
      <c r="Z92" s="15" t="s">
        <v>1778</v>
      </c>
      <c r="AA92" s="15" t="s">
        <v>80</v>
      </c>
      <c r="AB92" s="15" t="s">
        <v>106</v>
      </c>
      <c r="AC92" s="15" t="s">
        <v>559</v>
      </c>
      <c r="AD92" s="15" t="s">
        <v>560</v>
      </c>
      <c r="AE92" s="15" t="s">
        <v>55</v>
      </c>
      <c r="AF92" s="15" t="s">
        <v>1779</v>
      </c>
      <c r="AG92" s="15" t="s">
        <v>39</v>
      </c>
      <c r="AH92" s="15" t="s">
        <v>39</v>
      </c>
      <c r="AI92" s="15" t="s">
        <v>1780</v>
      </c>
      <c r="AJ92" s="15" t="s">
        <v>1781</v>
      </c>
      <c r="AK92" s="15" t="s">
        <v>956</v>
      </c>
      <c r="AL92" s="15" t="s">
        <v>88</v>
      </c>
    </row>
    <row r="93" spans="1:38" x14ac:dyDescent="0.4">
      <c r="A93" s="11" t="s">
        <v>1782</v>
      </c>
      <c r="B93" s="12" t="s">
        <v>1783</v>
      </c>
      <c r="C93" s="13" t="s">
        <v>39</v>
      </c>
      <c r="D93" s="13" t="s">
        <v>92</v>
      </c>
      <c r="E93" s="13" t="s">
        <v>1784</v>
      </c>
      <c r="F93" s="13" t="s">
        <v>178</v>
      </c>
      <c r="G93" s="13" t="s">
        <v>178</v>
      </c>
      <c r="H93" s="13" t="s">
        <v>155</v>
      </c>
      <c r="I93" s="9">
        <f t="shared" ca="1" si="1"/>
        <v>8</v>
      </c>
      <c r="J93" s="13" t="s">
        <v>1785</v>
      </c>
      <c r="K93" s="13" t="s">
        <v>1752</v>
      </c>
      <c r="L93" s="9" t="str">
        <f>VLOOKUP(K93,[1]中国省份_标准!$B$2:$F$35,4,FALSE)</f>
        <v>中部地区</v>
      </c>
      <c r="M93" s="9" t="str">
        <f>VLOOKUP(K93,[1]中国省份_标准!$B$2:$F$35,5,FALSE)</f>
        <v>华中地区</v>
      </c>
      <c r="N93" s="13" t="s">
        <v>1786</v>
      </c>
      <c r="O93" s="13" t="s">
        <v>1787</v>
      </c>
      <c r="P93" s="13" t="s">
        <v>1788</v>
      </c>
      <c r="Q93" s="13" t="s">
        <v>1789</v>
      </c>
      <c r="R93" s="13" t="s">
        <v>1790</v>
      </c>
      <c r="S93" s="13" t="s">
        <v>1791</v>
      </c>
      <c r="T93" s="13" t="s">
        <v>184</v>
      </c>
      <c r="U93" s="13" t="s">
        <v>1783</v>
      </c>
      <c r="V93" s="13" t="s">
        <v>1792</v>
      </c>
      <c r="W93" s="13" t="s">
        <v>1793</v>
      </c>
      <c r="X93" s="13" t="s">
        <v>1794</v>
      </c>
      <c r="Y93" s="13" t="s">
        <v>78</v>
      </c>
      <c r="Z93" s="13" t="s">
        <v>1795</v>
      </c>
      <c r="AA93" s="13" t="s">
        <v>1796</v>
      </c>
      <c r="AB93" s="13" t="s">
        <v>1797</v>
      </c>
      <c r="AC93" s="13" t="s">
        <v>1798</v>
      </c>
      <c r="AD93" s="13" t="s">
        <v>1798</v>
      </c>
      <c r="AE93" s="13" t="s">
        <v>55</v>
      </c>
      <c r="AF93" s="13" t="s">
        <v>1799</v>
      </c>
      <c r="AG93" s="13" t="s">
        <v>39</v>
      </c>
      <c r="AH93" s="13" t="s">
        <v>39</v>
      </c>
      <c r="AI93" s="13" t="s">
        <v>1800</v>
      </c>
      <c r="AJ93" s="13" t="s">
        <v>1801</v>
      </c>
      <c r="AK93" s="13" t="s">
        <v>1802</v>
      </c>
      <c r="AL93" s="13" t="s">
        <v>88</v>
      </c>
    </row>
    <row r="94" spans="1:38" x14ac:dyDescent="0.4">
      <c r="A94" s="11" t="s">
        <v>1803</v>
      </c>
      <c r="B94" s="14" t="s">
        <v>1804</v>
      </c>
      <c r="C94" s="15" t="s">
        <v>39</v>
      </c>
      <c r="D94" s="15" t="s">
        <v>1805</v>
      </c>
      <c r="E94" s="15" t="s">
        <v>1806</v>
      </c>
      <c r="F94" s="15" t="s">
        <v>1120</v>
      </c>
      <c r="G94" s="15" t="s">
        <v>1120</v>
      </c>
      <c r="H94" s="15" t="s">
        <v>1807</v>
      </c>
      <c r="I94" s="9">
        <f t="shared" ca="1" si="1"/>
        <v>23</v>
      </c>
      <c r="J94" s="15" t="s">
        <v>1808</v>
      </c>
      <c r="K94" s="15" t="s">
        <v>67</v>
      </c>
      <c r="L94" s="9" t="str">
        <f>VLOOKUP(K94,[1]中国省份_标准!$B$2:$F$35,4,FALSE)</f>
        <v>东部地区</v>
      </c>
      <c r="M94" s="9" t="str">
        <f>VLOOKUP(K94,[1]中国省份_标准!$B$2:$F$35,5,FALSE)</f>
        <v>华东地区</v>
      </c>
      <c r="N94" s="15" t="s">
        <v>1809</v>
      </c>
      <c r="O94" s="15" t="s">
        <v>1810</v>
      </c>
      <c r="P94" s="15" t="s">
        <v>1811</v>
      </c>
      <c r="Q94" s="15" t="s">
        <v>1812</v>
      </c>
      <c r="R94" s="15" t="s">
        <v>1813</v>
      </c>
      <c r="S94" s="15" t="s">
        <v>1814</v>
      </c>
      <c r="T94" s="15" t="s">
        <v>1815</v>
      </c>
      <c r="U94" s="15" t="s">
        <v>1804</v>
      </c>
      <c r="V94" s="15" t="s">
        <v>1816</v>
      </c>
      <c r="W94" s="15" t="s">
        <v>1817</v>
      </c>
      <c r="X94" s="15" t="s">
        <v>77</v>
      </c>
      <c r="Y94" s="15" t="s">
        <v>78</v>
      </c>
      <c r="Z94" s="15" t="s">
        <v>1818</v>
      </c>
      <c r="AA94" s="15" t="s">
        <v>309</v>
      </c>
      <c r="AB94" s="15" t="s">
        <v>772</v>
      </c>
      <c r="AC94" s="15" t="s">
        <v>773</v>
      </c>
      <c r="AD94" s="15" t="s">
        <v>774</v>
      </c>
      <c r="AE94" s="15" t="s">
        <v>262</v>
      </c>
      <c r="AF94" s="15" t="s">
        <v>1819</v>
      </c>
      <c r="AG94" s="15" t="s">
        <v>39</v>
      </c>
      <c r="AH94" s="15" t="s">
        <v>39</v>
      </c>
      <c r="AI94" s="15" t="s">
        <v>39</v>
      </c>
      <c r="AJ94" s="15" t="s">
        <v>1820</v>
      </c>
      <c r="AK94" s="15" t="s">
        <v>1821</v>
      </c>
      <c r="AL94" s="15" t="s">
        <v>88</v>
      </c>
    </row>
    <row r="95" spans="1:38" x14ac:dyDescent="0.4">
      <c r="A95" s="11" t="s">
        <v>1822</v>
      </c>
      <c r="B95" s="12" t="s">
        <v>1823</v>
      </c>
      <c r="C95" s="13" t="s">
        <v>1824</v>
      </c>
      <c r="D95" s="13" t="s">
        <v>92</v>
      </c>
      <c r="E95" s="13" t="s">
        <v>1825</v>
      </c>
      <c r="F95" s="13" t="s">
        <v>271</v>
      </c>
      <c r="G95" s="13" t="s">
        <v>271</v>
      </c>
      <c r="H95" s="13" t="s">
        <v>1826</v>
      </c>
      <c r="I95" s="9">
        <f t="shared" ca="1" si="1"/>
        <v>19</v>
      </c>
      <c r="J95" s="13" t="s">
        <v>1827</v>
      </c>
      <c r="K95" s="13" t="s">
        <v>1752</v>
      </c>
      <c r="L95" s="9" t="str">
        <f>VLOOKUP(K95,[1]中国省份_标准!$B$2:$F$35,4,FALSE)</f>
        <v>中部地区</v>
      </c>
      <c r="M95" s="9" t="str">
        <f>VLOOKUP(K95,[1]中国省份_标准!$B$2:$F$35,5,FALSE)</f>
        <v>华中地区</v>
      </c>
      <c r="N95" s="13" t="s">
        <v>1828</v>
      </c>
      <c r="O95" s="13" t="s">
        <v>1829</v>
      </c>
      <c r="P95" s="13" t="s">
        <v>1830</v>
      </c>
      <c r="Q95" s="13" t="s">
        <v>1831</v>
      </c>
      <c r="R95" s="13" t="s">
        <v>1832</v>
      </c>
      <c r="S95" s="13" t="s">
        <v>1833</v>
      </c>
      <c r="T95" s="13" t="s">
        <v>452</v>
      </c>
      <c r="U95" s="13" t="s">
        <v>1823</v>
      </c>
      <c r="V95" s="13" t="s">
        <v>1834</v>
      </c>
      <c r="W95" s="13" t="s">
        <v>1835</v>
      </c>
      <c r="X95" s="13" t="s">
        <v>1836</v>
      </c>
      <c r="Y95" s="13" t="s">
        <v>78</v>
      </c>
      <c r="Z95" s="13" t="s">
        <v>1837</v>
      </c>
      <c r="AA95" s="13" t="s">
        <v>169</v>
      </c>
      <c r="AB95" s="13" t="s">
        <v>412</v>
      </c>
      <c r="AC95" s="13" t="s">
        <v>413</v>
      </c>
      <c r="AD95" s="13" t="s">
        <v>1687</v>
      </c>
      <c r="AE95" s="13" t="s">
        <v>55</v>
      </c>
      <c r="AF95" s="13" t="s">
        <v>1838</v>
      </c>
      <c r="AG95" s="13" t="s">
        <v>39</v>
      </c>
      <c r="AH95" s="13" t="s">
        <v>39</v>
      </c>
      <c r="AI95" s="13" t="s">
        <v>1839</v>
      </c>
      <c r="AJ95" s="13" t="s">
        <v>1840</v>
      </c>
      <c r="AK95" s="13" t="s">
        <v>1841</v>
      </c>
      <c r="AL95" s="13" t="s">
        <v>88</v>
      </c>
    </row>
    <row r="96" spans="1:38" x14ac:dyDescent="0.4">
      <c r="A96" s="11" t="s">
        <v>1842</v>
      </c>
      <c r="B96" s="14" t="s">
        <v>1843</v>
      </c>
      <c r="C96" s="15" t="s">
        <v>39</v>
      </c>
      <c r="D96" s="15" t="s">
        <v>92</v>
      </c>
      <c r="E96" s="15" t="s">
        <v>1844</v>
      </c>
      <c r="F96" s="15" t="s">
        <v>117</v>
      </c>
      <c r="G96" s="15" t="s">
        <v>117</v>
      </c>
      <c r="H96" s="15" t="s">
        <v>1845</v>
      </c>
      <c r="I96" s="9">
        <f t="shared" ca="1" si="1"/>
        <v>5</v>
      </c>
      <c r="J96" s="15" t="s">
        <v>1846</v>
      </c>
      <c r="K96" s="15" t="s">
        <v>531</v>
      </c>
      <c r="L96" s="9" t="str">
        <f>VLOOKUP(K96,[1]中国省份_标准!$B$2:$F$35,4,FALSE)</f>
        <v>东部地区</v>
      </c>
      <c r="M96" s="9" t="str">
        <f>VLOOKUP(K96,[1]中国省份_标准!$B$2:$F$35,5,FALSE)</f>
        <v>华南地区</v>
      </c>
      <c r="N96" s="15" t="s">
        <v>1450</v>
      </c>
      <c r="O96" s="15" t="s">
        <v>1847</v>
      </c>
      <c r="P96" s="15" t="s">
        <v>1848</v>
      </c>
      <c r="Q96" s="15" t="s">
        <v>39</v>
      </c>
      <c r="R96" s="15" t="s">
        <v>1849</v>
      </c>
      <c r="S96" s="15" t="s">
        <v>39</v>
      </c>
      <c r="T96" s="15" t="s">
        <v>48</v>
      </c>
      <c r="U96" s="15" t="s">
        <v>1843</v>
      </c>
      <c r="V96" s="15" t="s">
        <v>1850</v>
      </c>
      <c r="W96" s="15" t="s">
        <v>1851</v>
      </c>
      <c r="X96" s="15" t="s">
        <v>77</v>
      </c>
      <c r="Y96" s="15" t="s">
        <v>78</v>
      </c>
      <c r="Z96" s="15" t="s">
        <v>1852</v>
      </c>
      <c r="AA96" s="15" t="s">
        <v>169</v>
      </c>
      <c r="AB96" s="15" t="s">
        <v>1264</v>
      </c>
      <c r="AC96" s="15" t="s">
        <v>1265</v>
      </c>
      <c r="AD96" s="15" t="s">
        <v>1265</v>
      </c>
      <c r="AE96" s="15" t="s">
        <v>55</v>
      </c>
      <c r="AF96" s="15" t="s">
        <v>1853</v>
      </c>
      <c r="AG96" s="15" t="s">
        <v>39</v>
      </c>
      <c r="AH96" s="15" t="s">
        <v>39</v>
      </c>
      <c r="AI96" s="15" t="s">
        <v>1854</v>
      </c>
      <c r="AJ96" s="15" t="s">
        <v>1855</v>
      </c>
      <c r="AK96" s="15" t="s">
        <v>1856</v>
      </c>
      <c r="AL96" s="15" t="s">
        <v>88</v>
      </c>
    </row>
    <row r="97" spans="1:38" x14ac:dyDescent="0.4">
      <c r="A97" s="11" t="s">
        <v>1857</v>
      </c>
      <c r="B97" s="12" t="s">
        <v>1858</v>
      </c>
      <c r="C97" s="13" t="s">
        <v>39</v>
      </c>
      <c r="D97" s="13" t="s">
        <v>63</v>
      </c>
      <c r="E97" s="13" t="s">
        <v>1859</v>
      </c>
      <c r="F97" s="13" t="s">
        <v>1120</v>
      </c>
      <c r="G97" s="13" t="s">
        <v>39</v>
      </c>
      <c r="H97" s="13" t="s">
        <v>1860</v>
      </c>
      <c r="I97" s="9">
        <f t="shared" ca="1" si="1"/>
        <v>9</v>
      </c>
      <c r="J97" s="13" t="s">
        <v>1861</v>
      </c>
      <c r="K97" s="13" t="s">
        <v>67</v>
      </c>
      <c r="L97" s="9" t="str">
        <f>VLOOKUP(K97,[1]中国省份_标准!$B$2:$F$35,4,FALSE)</f>
        <v>东部地区</v>
      </c>
      <c r="M97" s="9" t="str">
        <f>VLOOKUP(K97,[1]中国省份_标准!$B$2:$F$35,5,FALSE)</f>
        <v>华东地区</v>
      </c>
      <c r="N97" s="13" t="s">
        <v>1809</v>
      </c>
      <c r="O97" s="13" t="s">
        <v>1810</v>
      </c>
      <c r="P97" s="13" t="s">
        <v>1862</v>
      </c>
      <c r="Q97" s="13" t="s">
        <v>1863</v>
      </c>
      <c r="R97" s="13" t="s">
        <v>1864</v>
      </c>
      <c r="S97" s="13" t="s">
        <v>1865</v>
      </c>
      <c r="T97" s="13" t="s">
        <v>281</v>
      </c>
      <c r="U97" s="13" t="s">
        <v>1858</v>
      </c>
      <c r="V97" s="13" t="s">
        <v>1866</v>
      </c>
      <c r="W97" s="13" t="s">
        <v>1867</v>
      </c>
      <c r="X97" s="13" t="s">
        <v>77</v>
      </c>
      <c r="Y97" s="13" t="s">
        <v>78</v>
      </c>
      <c r="Z97" s="13" t="s">
        <v>1868</v>
      </c>
      <c r="AA97" s="13" t="s">
        <v>169</v>
      </c>
      <c r="AB97" s="13" t="s">
        <v>285</v>
      </c>
      <c r="AC97" s="13" t="s">
        <v>479</v>
      </c>
      <c r="AD97" s="13" t="s">
        <v>1050</v>
      </c>
      <c r="AE97" s="13" t="s">
        <v>55</v>
      </c>
      <c r="AF97" s="13" t="s">
        <v>1869</v>
      </c>
      <c r="AG97" s="13" t="s">
        <v>39</v>
      </c>
      <c r="AH97" s="13" t="s">
        <v>39</v>
      </c>
      <c r="AI97" s="13" t="s">
        <v>1870</v>
      </c>
      <c r="AJ97" s="13" t="s">
        <v>1871</v>
      </c>
      <c r="AK97" s="13" t="s">
        <v>1821</v>
      </c>
      <c r="AL97" s="13" t="s">
        <v>88</v>
      </c>
    </row>
    <row r="98" spans="1:38" x14ac:dyDescent="0.4">
      <c r="A98" s="11" t="s">
        <v>1872</v>
      </c>
      <c r="B98" s="14" t="s">
        <v>1873</v>
      </c>
      <c r="C98" s="15" t="s">
        <v>39</v>
      </c>
      <c r="D98" s="15" t="s">
        <v>92</v>
      </c>
      <c r="E98" s="15" t="s">
        <v>1874</v>
      </c>
      <c r="F98" s="15" t="s">
        <v>640</v>
      </c>
      <c r="G98" s="15" t="s">
        <v>39</v>
      </c>
      <c r="H98" s="15" t="s">
        <v>1875</v>
      </c>
      <c r="I98" s="9">
        <f t="shared" ca="1" si="1"/>
        <v>4</v>
      </c>
      <c r="J98" s="15" t="s">
        <v>1876</v>
      </c>
      <c r="K98" s="15" t="s">
        <v>1877</v>
      </c>
      <c r="L98" s="9" t="str">
        <f>VLOOKUP(K98,[1]中国省份_标准!$B$2:$F$35,4,FALSE)</f>
        <v>中部地区</v>
      </c>
      <c r="M98" s="9" t="str">
        <f>VLOOKUP(K98,[1]中国省份_标准!$B$2:$F$35,5,FALSE)</f>
        <v>华中地区</v>
      </c>
      <c r="N98" s="15" t="s">
        <v>1878</v>
      </c>
      <c r="O98" s="15" t="s">
        <v>1879</v>
      </c>
      <c r="P98" s="15" t="s">
        <v>1880</v>
      </c>
      <c r="Q98" s="15" t="s">
        <v>39</v>
      </c>
      <c r="R98" s="15" t="s">
        <v>1881</v>
      </c>
      <c r="S98" s="15" t="s">
        <v>39</v>
      </c>
      <c r="T98" s="15" t="s">
        <v>452</v>
      </c>
      <c r="U98" s="15" t="s">
        <v>1873</v>
      </c>
      <c r="V98" s="15" t="s">
        <v>39</v>
      </c>
      <c r="W98" s="15" t="s">
        <v>1882</v>
      </c>
      <c r="X98" s="15" t="s">
        <v>77</v>
      </c>
      <c r="Y98" s="15" t="s">
        <v>78</v>
      </c>
      <c r="Z98" s="15" t="s">
        <v>1883</v>
      </c>
      <c r="AA98" s="15" t="s">
        <v>80</v>
      </c>
      <c r="AB98" s="15" t="s">
        <v>106</v>
      </c>
      <c r="AC98" s="15" t="s">
        <v>951</v>
      </c>
      <c r="AD98" s="15" t="s">
        <v>952</v>
      </c>
      <c r="AE98" s="15" t="s">
        <v>55</v>
      </c>
      <c r="AF98" s="15" t="s">
        <v>1884</v>
      </c>
      <c r="AG98" s="15" t="s">
        <v>39</v>
      </c>
      <c r="AH98" s="15" t="s">
        <v>39</v>
      </c>
      <c r="AI98" s="15" t="s">
        <v>1885</v>
      </c>
      <c r="AJ98" s="15" t="s">
        <v>1886</v>
      </c>
      <c r="AK98" s="15" t="s">
        <v>1887</v>
      </c>
      <c r="AL98" s="15" t="s">
        <v>88</v>
      </c>
    </row>
    <row r="99" spans="1:38" x14ac:dyDescent="0.4">
      <c r="A99" s="11" t="s">
        <v>1888</v>
      </c>
      <c r="B99" s="12" t="s">
        <v>1889</v>
      </c>
      <c r="C99" s="13" t="s">
        <v>1890</v>
      </c>
      <c r="D99" s="13" t="s">
        <v>92</v>
      </c>
      <c r="E99" s="13" t="s">
        <v>1891</v>
      </c>
      <c r="F99" s="13" t="s">
        <v>1892</v>
      </c>
      <c r="G99" s="13" t="s">
        <v>1893</v>
      </c>
      <c r="H99" s="13" t="s">
        <v>1894</v>
      </c>
      <c r="I99" s="9">
        <f t="shared" ca="1" si="1"/>
        <v>24</v>
      </c>
      <c r="J99" s="13" t="s">
        <v>1895</v>
      </c>
      <c r="K99" s="13" t="s">
        <v>1877</v>
      </c>
      <c r="L99" s="9" t="str">
        <f>VLOOKUP(K99,[1]中国省份_标准!$B$2:$F$35,4,FALSE)</f>
        <v>中部地区</v>
      </c>
      <c r="M99" s="9" t="str">
        <f>VLOOKUP(K99,[1]中国省份_标准!$B$2:$F$35,5,FALSE)</f>
        <v>华中地区</v>
      </c>
      <c r="N99" s="13" t="s">
        <v>1896</v>
      </c>
      <c r="O99" s="13" t="s">
        <v>1897</v>
      </c>
      <c r="P99" s="13" t="s">
        <v>1898</v>
      </c>
      <c r="Q99" s="13" t="s">
        <v>1899</v>
      </c>
      <c r="R99" s="13" t="s">
        <v>1900</v>
      </c>
      <c r="S99" s="13" t="s">
        <v>1901</v>
      </c>
      <c r="T99" s="13" t="s">
        <v>209</v>
      </c>
      <c r="U99" s="13" t="s">
        <v>1889</v>
      </c>
      <c r="V99" s="13" t="s">
        <v>1902</v>
      </c>
      <c r="W99" s="13" t="s">
        <v>1903</v>
      </c>
      <c r="X99" s="13" t="s">
        <v>1904</v>
      </c>
      <c r="Y99" s="13" t="s">
        <v>78</v>
      </c>
      <c r="Z99" s="13" t="s">
        <v>1905</v>
      </c>
      <c r="AA99" s="13" t="s">
        <v>169</v>
      </c>
      <c r="AB99" s="13" t="s">
        <v>412</v>
      </c>
      <c r="AC99" s="13" t="s">
        <v>413</v>
      </c>
      <c r="AD99" s="13" t="s">
        <v>1687</v>
      </c>
      <c r="AE99" s="13" t="s">
        <v>55</v>
      </c>
      <c r="AF99" s="13" t="s">
        <v>1906</v>
      </c>
      <c r="AG99" s="13" t="s">
        <v>39</v>
      </c>
      <c r="AH99" s="13" t="s">
        <v>39</v>
      </c>
      <c r="AI99" s="13" t="s">
        <v>1907</v>
      </c>
      <c r="AJ99" s="13" t="s">
        <v>1908</v>
      </c>
      <c r="AK99" s="13" t="s">
        <v>1909</v>
      </c>
      <c r="AL99" s="13" t="s">
        <v>88</v>
      </c>
    </row>
    <row r="100" spans="1:38" x14ac:dyDescent="0.4">
      <c r="A100" s="11" t="s">
        <v>1910</v>
      </c>
      <c r="B100" s="14" t="s">
        <v>1911</v>
      </c>
      <c r="C100" s="15" t="s">
        <v>39</v>
      </c>
      <c r="D100" s="15" t="s">
        <v>92</v>
      </c>
      <c r="E100" s="15" t="s">
        <v>1912</v>
      </c>
      <c r="F100" s="15" t="s">
        <v>422</v>
      </c>
      <c r="G100" s="15" t="s">
        <v>422</v>
      </c>
      <c r="H100" s="15" t="s">
        <v>1913</v>
      </c>
      <c r="I100" s="9">
        <f t="shared" ca="1" si="1"/>
        <v>16</v>
      </c>
      <c r="J100" s="15" t="s">
        <v>1914</v>
      </c>
      <c r="K100" s="15" t="s">
        <v>531</v>
      </c>
      <c r="L100" s="9" t="str">
        <f>VLOOKUP(K100,[1]中国省份_标准!$B$2:$F$35,4,FALSE)</f>
        <v>东部地区</v>
      </c>
      <c r="M100" s="9" t="str">
        <f>VLOOKUP(K100,[1]中国省份_标准!$B$2:$F$35,5,FALSE)</f>
        <v>华南地区</v>
      </c>
      <c r="N100" s="15" t="s">
        <v>1450</v>
      </c>
      <c r="O100" s="15" t="s">
        <v>1847</v>
      </c>
      <c r="P100" s="15" t="s">
        <v>1915</v>
      </c>
      <c r="Q100" s="15" t="s">
        <v>1916</v>
      </c>
      <c r="R100" s="15" t="s">
        <v>1917</v>
      </c>
      <c r="S100" s="15" t="s">
        <v>1918</v>
      </c>
      <c r="T100" s="15" t="s">
        <v>48</v>
      </c>
      <c r="U100" s="15" t="s">
        <v>1911</v>
      </c>
      <c r="V100" s="15" t="s">
        <v>1919</v>
      </c>
      <c r="W100" s="15" t="s">
        <v>1920</v>
      </c>
      <c r="X100" s="15" t="s">
        <v>690</v>
      </c>
      <c r="Y100" s="15" t="s">
        <v>78</v>
      </c>
      <c r="Z100" s="15" t="s">
        <v>1921</v>
      </c>
      <c r="AA100" s="15" t="s">
        <v>169</v>
      </c>
      <c r="AB100" s="15" t="s">
        <v>1264</v>
      </c>
      <c r="AC100" s="15" t="s">
        <v>1457</v>
      </c>
      <c r="AD100" s="15" t="s">
        <v>39</v>
      </c>
      <c r="AE100" s="15" t="s">
        <v>109</v>
      </c>
      <c r="AF100" s="15" t="s">
        <v>1922</v>
      </c>
      <c r="AG100" s="15" t="s">
        <v>39</v>
      </c>
      <c r="AH100" s="15" t="s">
        <v>39</v>
      </c>
      <c r="AI100" s="15" t="s">
        <v>1923</v>
      </c>
      <c r="AJ100" s="15" t="s">
        <v>1924</v>
      </c>
      <c r="AK100" s="15" t="s">
        <v>1856</v>
      </c>
      <c r="AL100" s="15" t="s">
        <v>88</v>
      </c>
    </row>
    <row r="101" spans="1:38" x14ac:dyDescent="0.4">
      <c r="A101" s="11" t="s">
        <v>1925</v>
      </c>
      <c r="B101" s="12" t="s">
        <v>1926</v>
      </c>
      <c r="C101" s="13" t="s">
        <v>39</v>
      </c>
      <c r="D101" s="13" t="s">
        <v>92</v>
      </c>
      <c r="E101" s="13" t="s">
        <v>1927</v>
      </c>
      <c r="F101" s="13" t="s">
        <v>1928</v>
      </c>
      <c r="G101" s="13" t="s">
        <v>1928</v>
      </c>
      <c r="H101" s="13" t="s">
        <v>592</v>
      </c>
      <c r="I101" s="9">
        <f t="shared" ca="1" si="1"/>
        <v>10</v>
      </c>
      <c r="J101" s="13" t="s">
        <v>1929</v>
      </c>
      <c r="K101" s="13" t="s">
        <v>1877</v>
      </c>
      <c r="L101" s="9" t="str">
        <f>VLOOKUP(K101,[1]中国省份_标准!$B$2:$F$35,4,FALSE)</f>
        <v>中部地区</v>
      </c>
      <c r="M101" s="9" t="str">
        <f>VLOOKUP(K101,[1]中国省份_标准!$B$2:$F$35,5,FALSE)</f>
        <v>华中地区</v>
      </c>
      <c r="N101" s="13" t="s">
        <v>1930</v>
      </c>
      <c r="O101" s="13" t="s">
        <v>1931</v>
      </c>
      <c r="P101" s="13" t="s">
        <v>1932</v>
      </c>
      <c r="Q101" s="13" t="s">
        <v>1933</v>
      </c>
      <c r="R101" s="13" t="s">
        <v>1934</v>
      </c>
      <c r="S101" s="13" t="s">
        <v>1935</v>
      </c>
      <c r="T101" s="13" t="s">
        <v>184</v>
      </c>
      <c r="U101" s="13" t="s">
        <v>1926</v>
      </c>
      <c r="V101" s="13" t="s">
        <v>1936</v>
      </c>
      <c r="W101" s="13" t="s">
        <v>1937</v>
      </c>
      <c r="X101" s="13" t="s">
        <v>1938</v>
      </c>
      <c r="Y101" s="13" t="s">
        <v>78</v>
      </c>
      <c r="Z101" s="13" t="s">
        <v>1939</v>
      </c>
      <c r="AA101" s="13" t="s">
        <v>80</v>
      </c>
      <c r="AB101" s="13" t="s">
        <v>106</v>
      </c>
      <c r="AC101" s="13" t="s">
        <v>808</v>
      </c>
      <c r="AD101" s="13" t="s">
        <v>1741</v>
      </c>
      <c r="AE101" s="13" t="s">
        <v>55</v>
      </c>
      <c r="AF101" s="13" t="s">
        <v>1940</v>
      </c>
      <c r="AG101" s="13" t="s">
        <v>1941</v>
      </c>
      <c r="AH101" s="13" t="s">
        <v>39</v>
      </c>
      <c r="AI101" s="13" t="s">
        <v>1942</v>
      </c>
      <c r="AJ101" s="13" t="s">
        <v>1943</v>
      </c>
      <c r="AK101" s="13" t="s">
        <v>1944</v>
      </c>
      <c r="AL101" s="13" t="s">
        <v>88</v>
      </c>
    </row>
    <row r="102" spans="1:38" x14ac:dyDescent="0.4">
      <c r="A102" s="11" t="s">
        <v>1945</v>
      </c>
      <c r="B102" s="14" t="s">
        <v>1946</v>
      </c>
      <c r="C102" s="15" t="s">
        <v>39</v>
      </c>
      <c r="D102" s="15" t="s">
        <v>92</v>
      </c>
      <c r="E102" s="15" t="s">
        <v>1947</v>
      </c>
      <c r="F102" s="15" t="s">
        <v>271</v>
      </c>
      <c r="G102" s="15" t="s">
        <v>271</v>
      </c>
      <c r="H102" s="15" t="s">
        <v>1948</v>
      </c>
      <c r="I102" s="9">
        <f t="shared" ca="1" si="1"/>
        <v>12</v>
      </c>
      <c r="J102" s="15" t="s">
        <v>1949</v>
      </c>
      <c r="K102" s="15" t="s">
        <v>1877</v>
      </c>
      <c r="L102" s="9" t="str">
        <f>VLOOKUP(K102,[1]中国省份_标准!$B$2:$F$35,4,FALSE)</f>
        <v>中部地区</v>
      </c>
      <c r="M102" s="9" t="str">
        <f>VLOOKUP(K102,[1]中国省份_标准!$B$2:$F$35,5,FALSE)</f>
        <v>华中地区</v>
      </c>
      <c r="N102" s="15" t="s">
        <v>1950</v>
      </c>
      <c r="O102" s="15" t="s">
        <v>1951</v>
      </c>
      <c r="P102" s="15" t="s">
        <v>1952</v>
      </c>
      <c r="Q102" s="15" t="s">
        <v>1953</v>
      </c>
      <c r="R102" s="15" t="s">
        <v>1954</v>
      </c>
      <c r="S102" s="15" t="s">
        <v>1955</v>
      </c>
      <c r="T102" s="15" t="s">
        <v>281</v>
      </c>
      <c r="U102" s="15" t="s">
        <v>1946</v>
      </c>
      <c r="V102" s="15" t="s">
        <v>1956</v>
      </c>
      <c r="W102" s="15" t="s">
        <v>1957</v>
      </c>
      <c r="X102" s="15" t="s">
        <v>410</v>
      </c>
      <c r="Y102" s="15" t="s">
        <v>78</v>
      </c>
      <c r="Z102" s="15" t="s">
        <v>1958</v>
      </c>
      <c r="AA102" s="15" t="s">
        <v>169</v>
      </c>
      <c r="AB102" s="15" t="s">
        <v>1264</v>
      </c>
      <c r="AC102" s="15" t="s">
        <v>1265</v>
      </c>
      <c r="AD102" s="15" t="s">
        <v>1265</v>
      </c>
      <c r="AE102" s="15" t="s">
        <v>55</v>
      </c>
      <c r="AF102" s="15" t="s">
        <v>1959</v>
      </c>
      <c r="AG102" s="15" t="s">
        <v>39</v>
      </c>
      <c r="AH102" s="15" t="s">
        <v>39</v>
      </c>
      <c r="AI102" s="15" t="s">
        <v>1960</v>
      </c>
      <c r="AJ102" s="15" t="s">
        <v>1961</v>
      </c>
      <c r="AK102" s="15" t="s">
        <v>1962</v>
      </c>
      <c r="AL102" s="15" t="s">
        <v>88</v>
      </c>
    </row>
    <row r="103" spans="1:38" x14ac:dyDescent="0.4">
      <c r="A103" s="11" t="s">
        <v>1963</v>
      </c>
      <c r="B103" s="12" t="s">
        <v>1964</v>
      </c>
      <c r="C103" s="13" t="s">
        <v>39</v>
      </c>
      <c r="D103" s="13" t="s">
        <v>92</v>
      </c>
      <c r="E103" s="13" t="s">
        <v>1965</v>
      </c>
      <c r="F103" s="13" t="s">
        <v>999</v>
      </c>
      <c r="G103" s="13" t="s">
        <v>999</v>
      </c>
      <c r="H103" s="13" t="s">
        <v>1966</v>
      </c>
      <c r="I103" s="9">
        <f t="shared" ca="1" si="1"/>
        <v>21</v>
      </c>
      <c r="J103" s="13" t="s">
        <v>1967</v>
      </c>
      <c r="K103" s="13" t="s">
        <v>531</v>
      </c>
      <c r="L103" s="9" t="str">
        <f>VLOOKUP(K103,[1]中国省份_标准!$B$2:$F$35,4,FALSE)</f>
        <v>东部地区</v>
      </c>
      <c r="M103" s="9" t="str">
        <f>VLOOKUP(K103,[1]中国省份_标准!$B$2:$F$35,5,FALSE)</f>
        <v>华南地区</v>
      </c>
      <c r="N103" s="13" t="s">
        <v>1450</v>
      </c>
      <c r="O103" s="13" t="s">
        <v>1451</v>
      </c>
      <c r="P103" s="13" t="s">
        <v>1968</v>
      </c>
      <c r="Q103" s="13" t="s">
        <v>1969</v>
      </c>
      <c r="R103" s="13" t="s">
        <v>1970</v>
      </c>
      <c r="S103" s="13" t="s">
        <v>1971</v>
      </c>
      <c r="T103" s="13" t="s">
        <v>48</v>
      </c>
      <c r="U103" s="13" t="s">
        <v>1964</v>
      </c>
      <c r="V103" s="13" t="s">
        <v>1972</v>
      </c>
      <c r="W103" s="13" t="s">
        <v>1973</v>
      </c>
      <c r="X103" s="13" t="s">
        <v>1974</v>
      </c>
      <c r="Y103" s="13" t="s">
        <v>78</v>
      </c>
      <c r="Z103" s="13" t="s">
        <v>1975</v>
      </c>
      <c r="AA103" s="13" t="s">
        <v>169</v>
      </c>
      <c r="AB103" s="13" t="s">
        <v>170</v>
      </c>
      <c r="AC103" s="13" t="s">
        <v>367</v>
      </c>
      <c r="AD103" s="13" t="s">
        <v>39</v>
      </c>
      <c r="AE103" s="13" t="s">
        <v>262</v>
      </c>
      <c r="AF103" s="13" t="s">
        <v>1976</v>
      </c>
      <c r="AG103" s="13" t="s">
        <v>1977</v>
      </c>
      <c r="AH103" s="13" t="s">
        <v>39</v>
      </c>
      <c r="AI103" s="13" t="s">
        <v>1978</v>
      </c>
      <c r="AJ103" s="13" t="s">
        <v>1979</v>
      </c>
      <c r="AK103" s="13" t="s">
        <v>1460</v>
      </c>
      <c r="AL103" s="13" t="s">
        <v>88</v>
      </c>
    </row>
    <row r="104" spans="1:38" x14ac:dyDescent="0.4">
      <c r="A104" s="11" t="s">
        <v>1980</v>
      </c>
      <c r="B104" s="14" t="s">
        <v>1981</v>
      </c>
      <c r="C104" s="15" t="s">
        <v>1982</v>
      </c>
      <c r="D104" s="15" t="s">
        <v>63</v>
      </c>
      <c r="E104" s="15" t="s">
        <v>1983</v>
      </c>
      <c r="F104" s="15" t="s">
        <v>640</v>
      </c>
      <c r="G104" s="15" t="s">
        <v>640</v>
      </c>
      <c r="H104" s="15" t="s">
        <v>1984</v>
      </c>
      <c r="I104" s="9">
        <f t="shared" ca="1" si="1"/>
        <v>20</v>
      </c>
      <c r="J104" s="15" t="s">
        <v>1985</v>
      </c>
      <c r="K104" s="15" t="s">
        <v>67</v>
      </c>
      <c r="L104" s="9" t="str">
        <f>VLOOKUP(K104,[1]中国省份_标准!$B$2:$F$35,4,FALSE)</f>
        <v>东部地区</v>
      </c>
      <c r="M104" s="9" t="str">
        <f>VLOOKUP(K104,[1]中国省份_标准!$B$2:$F$35,5,FALSE)</f>
        <v>华东地区</v>
      </c>
      <c r="N104" s="15" t="s">
        <v>1986</v>
      </c>
      <c r="O104" s="15" t="s">
        <v>1987</v>
      </c>
      <c r="P104" s="15" t="s">
        <v>1988</v>
      </c>
      <c r="Q104" s="15" t="s">
        <v>1989</v>
      </c>
      <c r="R104" s="15" t="s">
        <v>1990</v>
      </c>
      <c r="S104" s="15" t="s">
        <v>1991</v>
      </c>
      <c r="T104" s="15" t="s">
        <v>48</v>
      </c>
      <c r="U104" s="15" t="s">
        <v>1981</v>
      </c>
      <c r="V104" s="15" t="s">
        <v>1992</v>
      </c>
      <c r="W104" s="15" t="s">
        <v>1993</v>
      </c>
      <c r="X104" s="15" t="s">
        <v>1994</v>
      </c>
      <c r="Y104" s="15" t="s">
        <v>78</v>
      </c>
      <c r="Z104" s="15" t="s">
        <v>1995</v>
      </c>
      <c r="AA104" s="15" t="s">
        <v>169</v>
      </c>
      <c r="AB104" s="15" t="s">
        <v>1996</v>
      </c>
      <c r="AC104" s="15" t="s">
        <v>1997</v>
      </c>
      <c r="AD104" s="15" t="s">
        <v>1997</v>
      </c>
      <c r="AE104" s="15" t="s">
        <v>55</v>
      </c>
      <c r="AF104" s="15" t="s">
        <v>1998</v>
      </c>
      <c r="AG104" s="15" t="s">
        <v>1999</v>
      </c>
      <c r="AH104" s="15" t="s">
        <v>39</v>
      </c>
      <c r="AI104" s="15" t="s">
        <v>2000</v>
      </c>
      <c r="AJ104" s="15" t="s">
        <v>2001</v>
      </c>
      <c r="AK104" s="15" t="s">
        <v>2002</v>
      </c>
      <c r="AL104" s="15" t="s">
        <v>88</v>
      </c>
    </row>
    <row r="105" spans="1:38" x14ac:dyDescent="0.4">
      <c r="A105" s="11" t="s">
        <v>2003</v>
      </c>
      <c r="B105" s="12" t="s">
        <v>2004</v>
      </c>
      <c r="C105" s="13" t="s">
        <v>39</v>
      </c>
      <c r="D105" s="13" t="s">
        <v>92</v>
      </c>
      <c r="E105" s="13" t="s">
        <v>2005</v>
      </c>
      <c r="F105" s="13" t="s">
        <v>2006</v>
      </c>
      <c r="G105" s="13" t="s">
        <v>2006</v>
      </c>
      <c r="H105" s="13" t="s">
        <v>2007</v>
      </c>
      <c r="I105" s="9">
        <f t="shared" ca="1" si="1"/>
        <v>13</v>
      </c>
      <c r="J105" s="13" t="s">
        <v>2008</v>
      </c>
      <c r="K105" s="13" t="s">
        <v>1877</v>
      </c>
      <c r="L105" s="9" t="str">
        <f>VLOOKUP(K105,[1]中国省份_标准!$B$2:$F$35,4,FALSE)</f>
        <v>中部地区</v>
      </c>
      <c r="M105" s="9" t="str">
        <f>VLOOKUP(K105,[1]中国省份_标准!$B$2:$F$35,5,FALSE)</f>
        <v>华中地区</v>
      </c>
      <c r="N105" s="13" t="s">
        <v>1950</v>
      </c>
      <c r="O105" s="13" t="s">
        <v>2009</v>
      </c>
      <c r="P105" s="13" t="s">
        <v>2010</v>
      </c>
      <c r="Q105" s="13" t="s">
        <v>2011</v>
      </c>
      <c r="R105" s="13" t="s">
        <v>2012</v>
      </c>
      <c r="S105" s="13" t="s">
        <v>2013</v>
      </c>
      <c r="T105" s="13" t="s">
        <v>184</v>
      </c>
      <c r="U105" s="13" t="s">
        <v>2004</v>
      </c>
      <c r="V105" s="13" t="s">
        <v>2014</v>
      </c>
      <c r="W105" s="13" t="s">
        <v>2015</v>
      </c>
      <c r="X105" s="13" t="s">
        <v>2016</v>
      </c>
      <c r="Y105" s="13" t="s">
        <v>78</v>
      </c>
      <c r="Z105" s="13" t="s">
        <v>2017</v>
      </c>
      <c r="AA105" s="13" t="s">
        <v>309</v>
      </c>
      <c r="AB105" s="13" t="s">
        <v>310</v>
      </c>
      <c r="AC105" s="13" t="s">
        <v>311</v>
      </c>
      <c r="AD105" s="13" t="s">
        <v>312</v>
      </c>
      <c r="AE105" s="13" t="s">
        <v>262</v>
      </c>
      <c r="AF105" s="13" t="s">
        <v>2018</v>
      </c>
      <c r="AG105" s="13" t="s">
        <v>39</v>
      </c>
      <c r="AH105" s="13" t="s">
        <v>39</v>
      </c>
      <c r="AI105" s="13" t="s">
        <v>2019</v>
      </c>
      <c r="AJ105" s="13" t="s">
        <v>2020</v>
      </c>
      <c r="AK105" s="13" t="s">
        <v>2021</v>
      </c>
      <c r="AL105" s="13" t="s">
        <v>88</v>
      </c>
    </row>
    <row r="106" spans="1:38" x14ac:dyDescent="0.4">
      <c r="A106" s="11" t="s">
        <v>2022</v>
      </c>
      <c r="B106" s="14" t="s">
        <v>2023</v>
      </c>
      <c r="C106" s="15" t="s">
        <v>39</v>
      </c>
      <c r="D106" s="15" t="s">
        <v>63</v>
      </c>
      <c r="E106" s="15" t="s">
        <v>2024</v>
      </c>
      <c r="F106" s="15" t="s">
        <v>2025</v>
      </c>
      <c r="G106" s="15" t="s">
        <v>2025</v>
      </c>
      <c r="H106" s="15" t="s">
        <v>2026</v>
      </c>
      <c r="I106" s="9">
        <f t="shared" ca="1" si="1"/>
        <v>22</v>
      </c>
      <c r="J106" s="15" t="s">
        <v>2027</v>
      </c>
      <c r="K106" s="15" t="s">
        <v>67</v>
      </c>
      <c r="L106" s="9" t="str">
        <f>VLOOKUP(K106,[1]中国省份_标准!$B$2:$F$35,4,FALSE)</f>
        <v>东部地区</v>
      </c>
      <c r="M106" s="9" t="str">
        <f>VLOOKUP(K106,[1]中国省份_标准!$B$2:$F$35,5,FALSE)</f>
        <v>华东地区</v>
      </c>
      <c r="N106" s="15" t="s">
        <v>2028</v>
      </c>
      <c r="O106" s="15" t="s">
        <v>2029</v>
      </c>
      <c r="P106" s="15" t="s">
        <v>2030</v>
      </c>
      <c r="Q106" s="15" t="s">
        <v>2031</v>
      </c>
      <c r="R106" s="15" t="s">
        <v>2032</v>
      </c>
      <c r="S106" s="15" t="s">
        <v>2033</v>
      </c>
      <c r="T106" s="15" t="s">
        <v>2034</v>
      </c>
      <c r="U106" s="15" t="s">
        <v>2023</v>
      </c>
      <c r="V106" s="15" t="s">
        <v>2035</v>
      </c>
      <c r="W106" s="15" t="s">
        <v>2036</v>
      </c>
      <c r="X106" s="15" t="s">
        <v>2037</v>
      </c>
      <c r="Y106" s="15" t="s">
        <v>78</v>
      </c>
      <c r="Z106" s="15" t="s">
        <v>2038</v>
      </c>
      <c r="AA106" s="15" t="s">
        <v>169</v>
      </c>
      <c r="AB106" s="15" t="s">
        <v>285</v>
      </c>
      <c r="AC106" s="15" t="s">
        <v>479</v>
      </c>
      <c r="AD106" s="15" t="s">
        <v>480</v>
      </c>
      <c r="AE106" s="15" t="s">
        <v>55</v>
      </c>
      <c r="AF106" s="15" t="s">
        <v>2039</v>
      </c>
      <c r="AG106" s="15" t="s">
        <v>2040</v>
      </c>
      <c r="AH106" s="15" t="s">
        <v>39</v>
      </c>
      <c r="AI106" s="15" t="s">
        <v>2041</v>
      </c>
      <c r="AJ106" s="15" t="s">
        <v>2042</v>
      </c>
      <c r="AK106" s="15" t="s">
        <v>2043</v>
      </c>
      <c r="AL106" s="15" t="s">
        <v>88</v>
      </c>
    </row>
    <row r="107" spans="1:38" x14ac:dyDescent="0.4">
      <c r="A107" s="11" t="s">
        <v>2044</v>
      </c>
      <c r="B107" s="12" t="s">
        <v>2045</v>
      </c>
      <c r="C107" s="13" t="s">
        <v>39</v>
      </c>
      <c r="D107" s="13" t="s">
        <v>92</v>
      </c>
      <c r="E107" s="13" t="s">
        <v>2046</v>
      </c>
      <c r="F107" s="13" t="s">
        <v>1235</v>
      </c>
      <c r="G107" s="13" t="s">
        <v>1235</v>
      </c>
      <c r="H107" s="13" t="s">
        <v>2047</v>
      </c>
      <c r="I107" s="9">
        <f t="shared" ca="1" si="1"/>
        <v>14</v>
      </c>
      <c r="J107" s="13" t="s">
        <v>2048</v>
      </c>
      <c r="K107" s="13" t="s">
        <v>97</v>
      </c>
      <c r="L107" s="9" t="str">
        <f>VLOOKUP(K107,[1]中国省份_标准!$B$2:$F$35,4,FALSE)</f>
        <v>中部地区</v>
      </c>
      <c r="M107" s="9" t="str">
        <f>VLOOKUP(K107,[1]中国省份_标准!$B$2:$F$35,5,FALSE)</f>
        <v>华中地区</v>
      </c>
      <c r="N107" s="13" t="s">
        <v>2049</v>
      </c>
      <c r="O107" s="13" t="s">
        <v>2050</v>
      </c>
      <c r="P107" s="13" t="s">
        <v>2051</v>
      </c>
      <c r="Q107" s="13" t="s">
        <v>2052</v>
      </c>
      <c r="R107" s="13" t="s">
        <v>2053</v>
      </c>
      <c r="S107" s="13" t="s">
        <v>2054</v>
      </c>
      <c r="T107" s="13" t="s">
        <v>48</v>
      </c>
      <c r="U107" s="13" t="s">
        <v>2045</v>
      </c>
      <c r="V107" s="13" t="s">
        <v>2055</v>
      </c>
      <c r="W107" s="13" t="s">
        <v>2056</v>
      </c>
      <c r="X107" s="13" t="s">
        <v>77</v>
      </c>
      <c r="Y107" s="13" t="s">
        <v>78</v>
      </c>
      <c r="Z107" s="13" t="s">
        <v>2057</v>
      </c>
      <c r="AA107" s="13" t="s">
        <v>80</v>
      </c>
      <c r="AB107" s="13" t="s">
        <v>106</v>
      </c>
      <c r="AC107" s="13" t="s">
        <v>388</v>
      </c>
      <c r="AD107" s="13" t="s">
        <v>434</v>
      </c>
      <c r="AE107" s="13" t="s">
        <v>262</v>
      </c>
      <c r="AF107" s="13" t="s">
        <v>2058</v>
      </c>
      <c r="AG107" s="13" t="s">
        <v>39</v>
      </c>
      <c r="AH107" s="13" t="s">
        <v>2059</v>
      </c>
      <c r="AI107" s="13" t="s">
        <v>2060</v>
      </c>
      <c r="AJ107" s="13" t="s">
        <v>2061</v>
      </c>
      <c r="AK107" s="13" t="s">
        <v>2062</v>
      </c>
      <c r="AL107" s="13" t="s">
        <v>88</v>
      </c>
    </row>
    <row r="108" spans="1:38" x14ac:dyDescent="0.4">
      <c r="A108" s="11" t="s">
        <v>2063</v>
      </c>
      <c r="B108" s="14" t="s">
        <v>2064</v>
      </c>
      <c r="C108" s="15" t="s">
        <v>39</v>
      </c>
      <c r="D108" s="15" t="s">
        <v>92</v>
      </c>
      <c r="E108" s="15" t="s">
        <v>2065</v>
      </c>
      <c r="F108" s="15" t="s">
        <v>1235</v>
      </c>
      <c r="G108" s="15" t="s">
        <v>1235</v>
      </c>
      <c r="H108" s="15" t="s">
        <v>2066</v>
      </c>
      <c r="I108" s="9">
        <f t="shared" ca="1" si="1"/>
        <v>11</v>
      </c>
      <c r="J108" s="15" t="s">
        <v>2067</v>
      </c>
      <c r="K108" s="15" t="s">
        <v>97</v>
      </c>
      <c r="L108" s="9" t="str">
        <f>VLOOKUP(K108,[1]中国省份_标准!$B$2:$F$35,4,FALSE)</f>
        <v>中部地区</v>
      </c>
      <c r="M108" s="9" t="str">
        <f>VLOOKUP(K108,[1]中国省份_标准!$B$2:$F$35,5,FALSE)</f>
        <v>华中地区</v>
      </c>
      <c r="N108" s="15" t="s">
        <v>2068</v>
      </c>
      <c r="O108" s="15" t="s">
        <v>2069</v>
      </c>
      <c r="P108" s="15" t="s">
        <v>2070</v>
      </c>
      <c r="Q108" s="15" t="s">
        <v>39</v>
      </c>
      <c r="R108" s="15" t="s">
        <v>2071</v>
      </c>
      <c r="S108" s="15" t="s">
        <v>2072</v>
      </c>
      <c r="T108" s="15" t="s">
        <v>48</v>
      </c>
      <c r="U108" s="15" t="s">
        <v>2064</v>
      </c>
      <c r="V108" s="15" t="s">
        <v>2073</v>
      </c>
      <c r="W108" s="15" t="s">
        <v>2074</v>
      </c>
      <c r="X108" s="15" t="s">
        <v>1209</v>
      </c>
      <c r="Y108" s="15" t="s">
        <v>78</v>
      </c>
      <c r="Z108" s="15" t="s">
        <v>2075</v>
      </c>
      <c r="AA108" s="15" t="s">
        <v>169</v>
      </c>
      <c r="AB108" s="15" t="s">
        <v>1996</v>
      </c>
      <c r="AC108" s="15" t="s">
        <v>1997</v>
      </c>
      <c r="AD108" s="15" t="s">
        <v>1997</v>
      </c>
      <c r="AE108" s="15" t="s">
        <v>109</v>
      </c>
      <c r="AF108" s="15" t="s">
        <v>2076</v>
      </c>
      <c r="AG108" s="15" t="s">
        <v>2077</v>
      </c>
      <c r="AH108" s="15" t="s">
        <v>39</v>
      </c>
      <c r="AI108" s="15" t="s">
        <v>2078</v>
      </c>
      <c r="AJ108" s="15" t="s">
        <v>2079</v>
      </c>
      <c r="AK108" s="15" t="s">
        <v>2080</v>
      </c>
      <c r="AL108" s="15" t="s">
        <v>88</v>
      </c>
    </row>
    <row r="109" spans="1:38" x14ac:dyDescent="0.4">
      <c r="A109" s="11" t="s">
        <v>2081</v>
      </c>
      <c r="B109" s="12" t="s">
        <v>2082</v>
      </c>
      <c r="C109" s="13" t="s">
        <v>39</v>
      </c>
      <c r="D109" s="13" t="s">
        <v>63</v>
      </c>
      <c r="E109" s="13" t="s">
        <v>2083</v>
      </c>
      <c r="F109" s="13" t="s">
        <v>999</v>
      </c>
      <c r="G109" s="13" t="s">
        <v>999</v>
      </c>
      <c r="H109" s="13" t="s">
        <v>2084</v>
      </c>
      <c r="I109" s="9">
        <f t="shared" ca="1" si="1"/>
        <v>9</v>
      </c>
      <c r="J109" s="13" t="s">
        <v>2085</v>
      </c>
      <c r="K109" s="13" t="s">
        <v>67</v>
      </c>
      <c r="L109" s="9" t="str">
        <f>VLOOKUP(K109,[1]中国省份_标准!$B$2:$F$35,4,FALSE)</f>
        <v>东部地区</v>
      </c>
      <c r="M109" s="9" t="str">
        <f>VLOOKUP(K109,[1]中国省份_标准!$B$2:$F$35,5,FALSE)</f>
        <v>华东地区</v>
      </c>
      <c r="N109" s="13" t="s">
        <v>203</v>
      </c>
      <c r="O109" s="13" t="s">
        <v>2086</v>
      </c>
      <c r="P109" s="13" t="s">
        <v>2087</v>
      </c>
      <c r="Q109" s="13" t="s">
        <v>2088</v>
      </c>
      <c r="R109" s="13" t="s">
        <v>2089</v>
      </c>
      <c r="S109" s="13" t="s">
        <v>2090</v>
      </c>
      <c r="T109" s="13" t="s">
        <v>209</v>
      </c>
      <c r="U109" s="13" t="s">
        <v>2082</v>
      </c>
      <c r="V109" s="13" t="s">
        <v>2091</v>
      </c>
      <c r="W109" s="13" t="s">
        <v>2092</v>
      </c>
      <c r="X109" s="13" t="s">
        <v>690</v>
      </c>
      <c r="Y109" s="13" t="s">
        <v>78</v>
      </c>
      <c r="Z109" s="13" t="s">
        <v>2093</v>
      </c>
      <c r="AA109" s="13" t="s">
        <v>80</v>
      </c>
      <c r="AB109" s="13" t="s">
        <v>81</v>
      </c>
      <c r="AC109" s="13" t="s">
        <v>2094</v>
      </c>
      <c r="AD109" s="13" t="s">
        <v>2095</v>
      </c>
      <c r="AE109" s="13" t="s">
        <v>55</v>
      </c>
      <c r="AF109" s="13" t="s">
        <v>2096</v>
      </c>
      <c r="AG109" s="13" t="s">
        <v>39</v>
      </c>
      <c r="AH109" s="13" t="s">
        <v>39</v>
      </c>
      <c r="AI109" s="13" t="s">
        <v>2097</v>
      </c>
      <c r="AJ109" s="13" t="s">
        <v>2098</v>
      </c>
      <c r="AK109" s="13" t="s">
        <v>2099</v>
      </c>
      <c r="AL109" s="13" t="s">
        <v>88</v>
      </c>
    </row>
    <row r="110" spans="1:38" x14ac:dyDescent="0.4">
      <c r="A110" s="11" t="s">
        <v>2100</v>
      </c>
      <c r="B110" s="14" t="s">
        <v>2101</v>
      </c>
      <c r="C110" s="15" t="s">
        <v>39</v>
      </c>
      <c r="D110" s="15" t="s">
        <v>92</v>
      </c>
      <c r="E110" s="15" t="s">
        <v>2102</v>
      </c>
      <c r="F110" s="15" t="s">
        <v>640</v>
      </c>
      <c r="G110" s="15" t="s">
        <v>640</v>
      </c>
      <c r="H110" s="15" t="s">
        <v>2103</v>
      </c>
      <c r="I110" s="9">
        <f t="shared" ca="1" si="1"/>
        <v>10</v>
      </c>
      <c r="J110" s="15" t="s">
        <v>2104</v>
      </c>
      <c r="K110" s="15" t="s">
        <v>97</v>
      </c>
      <c r="L110" s="9" t="str">
        <f>VLOOKUP(K110,[1]中国省份_标准!$B$2:$F$35,4,FALSE)</f>
        <v>中部地区</v>
      </c>
      <c r="M110" s="9" t="str">
        <f>VLOOKUP(K110,[1]中国省份_标准!$B$2:$F$35,5,FALSE)</f>
        <v>华中地区</v>
      </c>
      <c r="N110" s="15" t="s">
        <v>2105</v>
      </c>
      <c r="O110" s="15" t="s">
        <v>2106</v>
      </c>
      <c r="P110" s="15" t="s">
        <v>2107</v>
      </c>
      <c r="Q110" s="15" t="s">
        <v>2108</v>
      </c>
      <c r="R110" s="15" t="s">
        <v>2109</v>
      </c>
      <c r="S110" s="15" t="s">
        <v>39</v>
      </c>
      <c r="T110" s="15" t="s">
        <v>281</v>
      </c>
      <c r="U110" s="15" t="s">
        <v>2101</v>
      </c>
      <c r="V110" s="15" t="s">
        <v>2110</v>
      </c>
      <c r="W110" s="15" t="s">
        <v>2111</v>
      </c>
      <c r="X110" s="15" t="s">
        <v>77</v>
      </c>
      <c r="Y110" s="15" t="s">
        <v>78</v>
      </c>
      <c r="Z110" s="15" t="s">
        <v>2112</v>
      </c>
      <c r="AA110" s="15" t="s">
        <v>169</v>
      </c>
      <c r="AB110" s="15" t="s">
        <v>1996</v>
      </c>
      <c r="AC110" s="15" t="s">
        <v>1997</v>
      </c>
      <c r="AD110" s="15" t="s">
        <v>1997</v>
      </c>
      <c r="AE110" s="15" t="s">
        <v>109</v>
      </c>
      <c r="AF110" s="15" t="s">
        <v>2113</v>
      </c>
      <c r="AG110" s="15" t="s">
        <v>39</v>
      </c>
      <c r="AH110" s="15" t="s">
        <v>2114</v>
      </c>
      <c r="AI110" s="15" t="s">
        <v>2115</v>
      </c>
      <c r="AJ110" s="15" t="s">
        <v>2116</v>
      </c>
      <c r="AK110" s="15" t="s">
        <v>2117</v>
      </c>
      <c r="AL110" s="15" t="s">
        <v>88</v>
      </c>
    </row>
    <row r="111" spans="1:38" x14ac:dyDescent="0.4">
      <c r="A111" s="11" t="s">
        <v>2118</v>
      </c>
      <c r="B111" s="12" t="s">
        <v>2119</v>
      </c>
      <c r="C111" s="13" t="s">
        <v>39</v>
      </c>
      <c r="D111" s="13" t="s">
        <v>92</v>
      </c>
      <c r="E111" s="13" t="s">
        <v>2120</v>
      </c>
      <c r="F111" s="13" t="s">
        <v>2121</v>
      </c>
      <c r="G111" s="13" t="s">
        <v>2121</v>
      </c>
      <c r="H111" s="13" t="s">
        <v>2122</v>
      </c>
      <c r="I111" s="9">
        <f t="shared" ca="1" si="1"/>
        <v>18</v>
      </c>
      <c r="J111" s="13" t="s">
        <v>2123</v>
      </c>
      <c r="K111" s="13" t="s">
        <v>97</v>
      </c>
      <c r="L111" s="9" t="str">
        <f>VLOOKUP(K111,[1]中国省份_标准!$B$2:$F$35,4,FALSE)</f>
        <v>中部地区</v>
      </c>
      <c r="M111" s="9" t="str">
        <f>VLOOKUP(K111,[1]中国省份_标准!$B$2:$F$35,5,FALSE)</f>
        <v>华中地区</v>
      </c>
      <c r="N111" s="13" t="s">
        <v>2124</v>
      </c>
      <c r="O111" s="13" t="s">
        <v>2125</v>
      </c>
      <c r="P111" s="13" t="s">
        <v>2126</v>
      </c>
      <c r="Q111" s="13" t="s">
        <v>2127</v>
      </c>
      <c r="R111" s="13" t="s">
        <v>2128</v>
      </c>
      <c r="S111" s="13" t="s">
        <v>2129</v>
      </c>
      <c r="T111" s="13" t="s">
        <v>452</v>
      </c>
      <c r="U111" s="13" t="s">
        <v>2119</v>
      </c>
      <c r="V111" s="13" t="s">
        <v>2130</v>
      </c>
      <c r="W111" s="13" t="s">
        <v>2131</v>
      </c>
      <c r="X111" s="13" t="s">
        <v>2132</v>
      </c>
      <c r="Y111" s="13" t="s">
        <v>78</v>
      </c>
      <c r="Z111" s="13" t="s">
        <v>2133</v>
      </c>
      <c r="AA111" s="13" t="s">
        <v>169</v>
      </c>
      <c r="AB111" s="13" t="s">
        <v>412</v>
      </c>
      <c r="AC111" s="13" t="s">
        <v>413</v>
      </c>
      <c r="AD111" s="13" t="s">
        <v>2134</v>
      </c>
      <c r="AE111" s="13" t="s">
        <v>262</v>
      </c>
      <c r="AF111" s="13" t="s">
        <v>2135</v>
      </c>
      <c r="AG111" s="13" t="s">
        <v>2136</v>
      </c>
      <c r="AH111" s="13" t="s">
        <v>39</v>
      </c>
      <c r="AI111" s="13" t="s">
        <v>2137</v>
      </c>
      <c r="AJ111" s="13" t="s">
        <v>2138</v>
      </c>
      <c r="AK111" s="13" t="s">
        <v>2139</v>
      </c>
      <c r="AL111" s="13" t="s">
        <v>88</v>
      </c>
    </row>
    <row r="112" spans="1:38" x14ac:dyDescent="0.4">
      <c r="A112" s="11" t="s">
        <v>2140</v>
      </c>
      <c r="B112" s="14" t="s">
        <v>2141</v>
      </c>
      <c r="C112" s="15" t="s">
        <v>39</v>
      </c>
      <c r="D112" s="15" t="s">
        <v>2142</v>
      </c>
      <c r="E112" s="15" t="s">
        <v>2143</v>
      </c>
      <c r="F112" s="15" t="s">
        <v>154</v>
      </c>
      <c r="G112" s="15" t="s">
        <v>39</v>
      </c>
      <c r="H112" s="15" t="s">
        <v>2144</v>
      </c>
      <c r="I112" s="9">
        <f t="shared" ca="1" si="1"/>
        <v>8</v>
      </c>
      <c r="J112" s="15" t="s">
        <v>2145</v>
      </c>
      <c r="K112" s="15" t="s">
        <v>531</v>
      </c>
      <c r="L112" s="9" t="str">
        <f>VLOOKUP(K112,[1]中国省份_标准!$B$2:$F$35,4,FALSE)</f>
        <v>东部地区</v>
      </c>
      <c r="M112" s="9" t="str">
        <f>VLOOKUP(K112,[1]中国省份_标准!$B$2:$F$35,5,FALSE)</f>
        <v>华南地区</v>
      </c>
      <c r="N112" s="15" t="s">
        <v>1450</v>
      </c>
      <c r="O112" s="15" t="s">
        <v>2146</v>
      </c>
      <c r="P112" s="15" t="s">
        <v>2147</v>
      </c>
      <c r="Q112" s="15" t="s">
        <v>2148</v>
      </c>
      <c r="R112" s="15" t="s">
        <v>2149</v>
      </c>
      <c r="S112" s="15" t="s">
        <v>2150</v>
      </c>
      <c r="T112" s="15" t="s">
        <v>48</v>
      </c>
      <c r="U112" s="15" t="s">
        <v>2141</v>
      </c>
      <c r="V112" s="15" t="s">
        <v>2151</v>
      </c>
      <c r="W112" s="15" t="s">
        <v>2152</v>
      </c>
      <c r="X112" s="15" t="s">
        <v>212</v>
      </c>
      <c r="Y112" s="15" t="s">
        <v>78</v>
      </c>
      <c r="Z112" s="15" t="s">
        <v>2153</v>
      </c>
      <c r="AA112" s="15" t="s">
        <v>169</v>
      </c>
      <c r="AB112" s="15" t="s">
        <v>1264</v>
      </c>
      <c r="AC112" s="15" t="s">
        <v>1265</v>
      </c>
      <c r="AD112" s="15" t="s">
        <v>1265</v>
      </c>
      <c r="AE112" s="15" t="s">
        <v>55</v>
      </c>
      <c r="AF112" s="15" t="s">
        <v>2154</v>
      </c>
      <c r="AG112" s="15" t="s">
        <v>39</v>
      </c>
      <c r="AH112" s="15" t="s">
        <v>39</v>
      </c>
      <c r="AI112" s="15" t="s">
        <v>2155</v>
      </c>
      <c r="AJ112" s="15" t="s">
        <v>2156</v>
      </c>
      <c r="AK112" s="15" t="s">
        <v>2157</v>
      </c>
      <c r="AL112" s="15" t="s">
        <v>88</v>
      </c>
    </row>
    <row r="113" spans="1:38" x14ac:dyDescent="0.4">
      <c r="A113" s="11" t="s">
        <v>2158</v>
      </c>
      <c r="B113" s="12" t="s">
        <v>2159</v>
      </c>
      <c r="C113" s="13" t="s">
        <v>39</v>
      </c>
      <c r="D113" s="13" t="s">
        <v>63</v>
      </c>
      <c r="E113" s="13" t="s">
        <v>2160</v>
      </c>
      <c r="F113" s="13" t="s">
        <v>2161</v>
      </c>
      <c r="G113" s="13" t="s">
        <v>2161</v>
      </c>
      <c r="H113" s="13" t="s">
        <v>2162</v>
      </c>
      <c r="I113" s="9">
        <f t="shared" ca="1" si="1"/>
        <v>16</v>
      </c>
      <c r="J113" s="13" t="s">
        <v>2163</v>
      </c>
      <c r="K113" s="13" t="s">
        <v>67</v>
      </c>
      <c r="L113" s="9" t="str">
        <f>VLOOKUP(K113,[1]中国省份_标准!$B$2:$F$35,4,FALSE)</f>
        <v>东部地区</v>
      </c>
      <c r="M113" s="9" t="str">
        <f>VLOOKUP(K113,[1]中国省份_标准!$B$2:$F$35,5,FALSE)</f>
        <v>华东地区</v>
      </c>
      <c r="N113" s="13" t="s">
        <v>2164</v>
      </c>
      <c r="O113" s="13" t="s">
        <v>2165</v>
      </c>
      <c r="P113" s="13" t="s">
        <v>2166</v>
      </c>
      <c r="Q113" s="13" t="s">
        <v>2167</v>
      </c>
      <c r="R113" s="13" t="s">
        <v>2168</v>
      </c>
      <c r="S113" s="13" t="s">
        <v>39</v>
      </c>
      <c r="T113" s="13" t="s">
        <v>48</v>
      </c>
      <c r="U113" s="13" t="s">
        <v>2159</v>
      </c>
      <c r="V113" s="13" t="s">
        <v>2169</v>
      </c>
      <c r="W113" s="13" t="s">
        <v>2170</v>
      </c>
      <c r="X113" s="13" t="s">
        <v>2171</v>
      </c>
      <c r="Y113" s="13" t="s">
        <v>78</v>
      </c>
      <c r="Z113" s="13" t="s">
        <v>2172</v>
      </c>
      <c r="AA113" s="13" t="s">
        <v>169</v>
      </c>
      <c r="AB113" s="13" t="s">
        <v>170</v>
      </c>
      <c r="AC113" s="13" t="s">
        <v>171</v>
      </c>
      <c r="AD113" s="13" t="s">
        <v>2173</v>
      </c>
      <c r="AE113" s="13" t="s">
        <v>55</v>
      </c>
      <c r="AF113" s="13" t="s">
        <v>2174</v>
      </c>
      <c r="AG113" s="13" t="s">
        <v>39</v>
      </c>
      <c r="AH113" s="13" t="s">
        <v>39</v>
      </c>
      <c r="AI113" s="13" t="s">
        <v>2175</v>
      </c>
      <c r="AJ113" s="13" t="s">
        <v>2176</v>
      </c>
      <c r="AK113" s="13" t="s">
        <v>2177</v>
      </c>
      <c r="AL113" s="13" t="s">
        <v>88</v>
      </c>
    </row>
    <row r="114" spans="1:38" x14ac:dyDescent="0.4">
      <c r="A114" s="11" t="s">
        <v>2178</v>
      </c>
      <c r="B114" s="14" t="s">
        <v>2179</v>
      </c>
      <c r="C114" s="15" t="s">
        <v>39</v>
      </c>
      <c r="D114" s="15" t="s">
        <v>63</v>
      </c>
      <c r="E114" s="15" t="s">
        <v>2180</v>
      </c>
      <c r="F114" s="15" t="s">
        <v>640</v>
      </c>
      <c r="G114" s="15" t="s">
        <v>640</v>
      </c>
      <c r="H114" s="15" t="s">
        <v>2181</v>
      </c>
      <c r="I114" s="9">
        <f t="shared" ca="1" si="1"/>
        <v>10</v>
      </c>
      <c r="J114" s="15" t="s">
        <v>2182</v>
      </c>
      <c r="K114" s="15" t="s">
        <v>425</v>
      </c>
      <c r="L114" s="9" t="str">
        <f>VLOOKUP(K114,[1]中国省份_标准!$B$2:$F$35,4,FALSE)</f>
        <v>东部地区</v>
      </c>
      <c r="M114" s="9" t="str">
        <f>VLOOKUP(K114,[1]中国省份_标准!$B$2:$F$35,5,FALSE)</f>
        <v>华东地区</v>
      </c>
      <c r="N114" s="15" t="s">
        <v>426</v>
      </c>
      <c r="O114" s="15" t="s">
        <v>427</v>
      </c>
      <c r="P114" s="15" t="s">
        <v>2183</v>
      </c>
      <c r="Q114" s="15" t="s">
        <v>39</v>
      </c>
      <c r="R114" s="15" t="s">
        <v>2184</v>
      </c>
      <c r="S114" s="15" t="s">
        <v>39</v>
      </c>
      <c r="T114" s="15" t="s">
        <v>281</v>
      </c>
      <c r="U114" s="15" t="s">
        <v>2179</v>
      </c>
      <c r="V114" s="15" t="s">
        <v>2185</v>
      </c>
      <c r="W114" s="15" t="s">
        <v>2186</v>
      </c>
      <c r="X114" s="15" t="s">
        <v>77</v>
      </c>
      <c r="Y114" s="15" t="s">
        <v>78</v>
      </c>
      <c r="Z114" s="15" t="s">
        <v>2187</v>
      </c>
      <c r="AA114" s="15" t="s">
        <v>80</v>
      </c>
      <c r="AB114" s="15" t="s">
        <v>106</v>
      </c>
      <c r="AC114" s="15" t="s">
        <v>107</v>
      </c>
      <c r="AD114" s="15" t="s">
        <v>39</v>
      </c>
      <c r="AE114" s="15" t="s">
        <v>109</v>
      </c>
      <c r="AF114" s="15" t="s">
        <v>2188</v>
      </c>
      <c r="AG114" s="15" t="s">
        <v>39</v>
      </c>
      <c r="AH114" s="15" t="s">
        <v>39</v>
      </c>
      <c r="AI114" s="15" t="s">
        <v>2189</v>
      </c>
      <c r="AJ114" s="15" t="s">
        <v>2190</v>
      </c>
      <c r="AK114" s="15" t="s">
        <v>2191</v>
      </c>
      <c r="AL114" s="15" t="s">
        <v>88</v>
      </c>
    </row>
    <row r="115" spans="1:38" x14ac:dyDescent="0.4">
      <c r="A115" s="11" t="s">
        <v>2192</v>
      </c>
      <c r="B115" s="12" t="s">
        <v>2193</v>
      </c>
      <c r="C115" s="13" t="s">
        <v>39</v>
      </c>
      <c r="D115" s="13" t="s">
        <v>2194</v>
      </c>
      <c r="E115" s="13" t="s">
        <v>2195</v>
      </c>
      <c r="F115" s="13" t="s">
        <v>640</v>
      </c>
      <c r="G115" s="13" t="s">
        <v>640</v>
      </c>
      <c r="H115" s="13" t="s">
        <v>2196</v>
      </c>
      <c r="I115" s="9">
        <f t="shared" ca="1" si="1"/>
        <v>7</v>
      </c>
      <c r="J115" s="13" t="s">
        <v>2197</v>
      </c>
      <c r="K115" s="13" t="s">
        <v>425</v>
      </c>
      <c r="L115" s="9" t="str">
        <f>VLOOKUP(K115,[1]中国省份_标准!$B$2:$F$35,4,FALSE)</f>
        <v>东部地区</v>
      </c>
      <c r="M115" s="9" t="str">
        <f>VLOOKUP(K115,[1]中国省份_标准!$B$2:$F$35,5,FALSE)</f>
        <v>华东地区</v>
      </c>
      <c r="N115" s="13" t="s">
        <v>426</v>
      </c>
      <c r="O115" s="13" t="s">
        <v>427</v>
      </c>
      <c r="P115" s="13" t="s">
        <v>2198</v>
      </c>
      <c r="Q115" s="13" t="s">
        <v>2199</v>
      </c>
      <c r="R115" s="13" t="s">
        <v>2200</v>
      </c>
      <c r="S115" s="13" t="s">
        <v>39</v>
      </c>
      <c r="T115" s="13" t="s">
        <v>48</v>
      </c>
      <c r="U115" s="13" t="s">
        <v>2193</v>
      </c>
      <c r="V115" s="13" t="s">
        <v>2201</v>
      </c>
      <c r="W115" s="13" t="s">
        <v>2202</v>
      </c>
      <c r="X115" s="13" t="s">
        <v>77</v>
      </c>
      <c r="Y115" s="13" t="s">
        <v>78</v>
      </c>
      <c r="Z115" s="13" t="s">
        <v>2203</v>
      </c>
      <c r="AA115" s="13" t="s">
        <v>80</v>
      </c>
      <c r="AB115" s="13" t="s">
        <v>106</v>
      </c>
      <c r="AC115" s="13" t="s">
        <v>559</v>
      </c>
      <c r="AD115" s="13" t="s">
        <v>39</v>
      </c>
      <c r="AE115" s="13" t="s">
        <v>109</v>
      </c>
      <c r="AF115" s="13" t="s">
        <v>2204</v>
      </c>
      <c r="AG115" s="13" t="s">
        <v>39</v>
      </c>
      <c r="AH115" s="13" t="s">
        <v>2205</v>
      </c>
      <c r="AI115" s="13" t="s">
        <v>2206</v>
      </c>
      <c r="AJ115" s="13" t="s">
        <v>2207</v>
      </c>
      <c r="AK115" s="13" t="s">
        <v>2191</v>
      </c>
      <c r="AL115" s="13" t="s">
        <v>88</v>
      </c>
    </row>
    <row r="116" spans="1:38" x14ac:dyDescent="0.4">
      <c r="A116" s="11" t="s">
        <v>2208</v>
      </c>
      <c r="B116" s="14" t="s">
        <v>2209</v>
      </c>
      <c r="C116" s="15" t="s">
        <v>39</v>
      </c>
      <c r="D116" s="15" t="s">
        <v>63</v>
      </c>
      <c r="E116" s="15" t="s">
        <v>2210</v>
      </c>
      <c r="F116" s="15" t="s">
        <v>961</v>
      </c>
      <c r="G116" s="15" t="s">
        <v>961</v>
      </c>
      <c r="H116" s="15" t="s">
        <v>2211</v>
      </c>
      <c r="I116" s="9">
        <f t="shared" ca="1" si="1"/>
        <v>7</v>
      </c>
      <c r="J116" s="15" t="s">
        <v>2212</v>
      </c>
      <c r="K116" s="15" t="s">
        <v>425</v>
      </c>
      <c r="L116" s="9" t="str">
        <f>VLOOKUP(K116,[1]中国省份_标准!$B$2:$F$35,4,FALSE)</f>
        <v>东部地区</v>
      </c>
      <c r="M116" s="9" t="str">
        <f>VLOOKUP(K116,[1]中国省份_标准!$B$2:$F$35,5,FALSE)</f>
        <v>华东地区</v>
      </c>
      <c r="N116" s="15" t="s">
        <v>426</v>
      </c>
      <c r="O116" s="15" t="s">
        <v>427</v>
      </c>
      <c r="P116" s="15" t="s">
        <v>2213</v>
      </c>
      <c r="Q116" s="15" t="s">
        <v>2214</v>
      </c>
      <c r="R116" s="15" t="s">
        <v>2215</v>
      </c>
      <c r="S116" s="15" t="s">
        <v>2216</v>
      </c>
      <c r="T116" s="15" t="s">
        <v>48</v>
      </c>
      <c r="U116" s="15" t="s">
        <v>2209</v>
      </c>
      <c r="V116" s="15" t="s">
        <v>2217</v>
      </c>
      <c r="W116" s="15" t="s">
        <v>2218</v>
      </c>
      <c r="X116" s="15" t="s">
        <v>77</v>
      </c>
      <c r="Y116" s="15" t="s">
        <v>283</v>
      </c>
      <c r="Z116" s="15" t="s">
        <v>2219</v>
      </c>
      <c r="AA116" s="15" t="s">
        <v>80</v>
      </c>
      <c r="AB116" s="15" t="s">
        <v>106</v>
      </c>
      <c r="AC116" s="15" t="s">
        <v>951</v>
      </c>
      <c r="AD116" s="15" t="s">
        <v>39</v>
      </c>
      <c r="AE116" s="15" t="s">
        <v>109</v>
      </c>
      <c r="AF116" s="15" t="s">
        <v>2220</v>
      </c>
      <c r="AG116" s="15" t="s">
        <v>39</v>
      </c>
      <c r="AH116" s="15" t="s">
        <v>39</v>
      </c>
      <c r="AI116" s="15" t="s">
        <v>2221</v>
      </c>
      <c r="AJ116" s="15" t="s">
        <v>2222</v>
      </c>
      <c r="AK116" s="15" t="s">
        <v>438</v>
      </c>
      <c r="AL116" s="15" t="s">
        <v>88</v>
      </c>
    </row>
    <row r="117" spans="1:38" x14ac:dyDescent="0.4">
      <c r="A117" s="11" t="s">
        <v>2223</v>
      </c>
      <c r="B117" s="12" t="s">
        <v>2224</v>
      </c>
      <c r="C117" s="13" t="s">
        <v>39</v>
      </c>
      <c r="D117" s="13" t="s">
        <v>2225</v>
      </c>
      <c r="E117" s="13" t="s">
        <v>2226</v>
      </c>
      <c r="F117" s="13" t="s">
        <v>42</v>
      </c>
      <c r="G117" s="13" t="s">
        <v>39</v>
      </c>
      <c r="H117" s="13" t="s">
        <v>2227</v>
      </c>
      <c r="I117" s="9">
        <f t="shared" ca="1" si="1"/>
        <v>7</v>
      </c>
      <c r="J117" s="13" t="s">
        <v>2228</v>
      </c>
      <c r="K117" s="13" t="s">
        <v>425</v>
      </c>
      <c r="L117" s="9" t="str">
        <f>VLOOKUP(K117,[1]中国省份_标准!$B$2:$F$35,4,FALSE)</f>
        <v>东部地区</v>
      </c>
      <c r="M117" s="9" t="str">
        <f>VLOOKUP(K117,[1]中国省份_标准!$B$2:$F$35,5,FALSE)</f>
        <v>华东地区</v>
      </c>
      <c r="N117" s="13" t="s">
        <v>426</v>
      </c>
      <c r="O117" s="13" t="s">
        <v>427</v>
      </c>
      <c r="P117" s="13" t="s">
        <v>2229</v>
      </c>
      <c r="Q117" s="13" t="s">
        <v>2230</v>
      </c>
      <c r="R117" s="13" t="s">
        <v>2231</v>
      </c>
      <c r="S117" s="13" t="s">
        <v>2232</v>
      </c>
      <c r="T117" s="13" t="s">
        <v>281</v>
      </c>
      <c r="U117" s="13" t="s">
        <v>2224</v>
      </c>
      <c r="V117" s="13" t="s">
        <v>39</v>
      </c>
      <c r="W117" s="13" t="s">
        <v>2233</v>
      </c>
      <c r="X117" s="13" t="s">
        <v>77</v>
      </c>
      <c r="Y117" s="13" t="s">
        <v>283</v>
      </c>
      <c r="Z117" s="13" t="s">
        <v>2234</v>
      </c>
      <c r="AA117" s="13" t="s">
        <v>80</v>
      </c>
      <c r="AB117" s="13" t="s">
        <v>106</v>
      </c>
      <c r="AC117" s="13" t="s">
        <v>951</v>
      </c>
      <c r="AD117" s="13" t="s">
        <v>952</v>
      </c>
      <c r="AE117" s="13" t="s">
        <v>109</v>
      </c>
      <c r="AF117" s="13" t="s">
        <v>2235</v>
      </c>
      <c r="AG117" s="13" t="s">
        <v>39</v>
      </c>
      <c r="AH117" s="13" t="s">
        <v>39</v>
      </c>
      <c r="AI117" s="13" t="s">
        <v>2236</v>
      </c>
      <c r="AJ117" s="13" t="s">
        <v>2237</v>
      </c>
      <c r="AK117" s="13" t="s">
        <v>2191</v>
      </c>
      <c r="AL117" s="13" t="s">
        <v>88</v>
      </c>
    </row>
    <row r="118" spans="1:38" x14ac:dyDescent="0.4">
      <c r="A118" s="11" t="s">
        <v>2238</v>
      </c>
      <c r="B118" s="14" t="s">
        <v>2239</v>
      </c>
      <c r="C118" s="15" t="s">
        <v>39</v>
      </c>
      <c r="D118" s="15" t="s">
        <v>92</v>
      </c>
      <c r="E118" s="15" t="s">
        <v>2240</v>
      </c>
      <c r="F118" s="15" t="s">
        <v>640</v>
      </c>
      <c r="G118" s="15" t="s">
        <v>39</v>
      </c>
      <c r="H118" s="15" t="s">
        <v>2241</v>
      </c>
      <c r="I118" s="9">
        <f t="shared" ca="1" si="1"/>
        <v>8</v>
      </c>
      <c r="J118" s="15" t="s">
        <v>2242</v>
      </c>
      <c r="K118" s="15" t="s">
        <v>425</v>
      </c>
      <c r="L118" s="9" t="str">
        <f>VLOOKUP(K118,[1]中国省份_标准!$B$2:$F$35,4,FALSE)</f>
        <v>东部地区</v>
      </c>
      <c r="M118" s="9" t="str">
        <f>VLOOKUP(K118,[1]中国省份_标准!$B$2:$F$35,5,FALSE)</f>
        <v>华东地区</v>
      </c>
      <c r="N118" s="15" t="s">
        <v>426</v>
      </c>
      <c r="O118" s="15" t="s">
        <v>427</v>
      </c>
      <c r="P118" s="15" t="s">
        <v>2243</v>
      </c>
      <c r="Q118" s="15" t="s">
        <v>2244</v>
      </c>
      <c r="R118" s="15" t="s">
        <v>2245</v>
      </c>
      <c r="S118" s="15" t="s">
        <v>2246</v>
      </c>
      <c r="T118" s="15" t="s">
        <v>281</v>
      </c>
      <c r="U118" s="15" t="s">
        <v>2239</v>
      </c>
      <c r="V118" s="15" t="s">
        <v>2247</v>
      </c>
      <c r="W118" s="15" t="s">
        <v>2248</v>
      </c>
      <c r="X118" s="15" t="s">
        <v>77</v>
      </c>
      <c r="Y118" s="15" t="s">
        <v>78</v>
      </c>
      <c r="Z118" s="15" t="s">
        <v>2249</v>
      </c>
      <c r="AA118" s="15" t="s">
        <v>80</v>
      </c>
      <c r="AB118" s="15" t="s">
        <v>106</v>
      </c>
      <c r="AC118" s="15" t="s">
        <v>107</v>
      </c>
      <c r="AD118" s="15" t="s">
        <v>108</v>
      </c>
      <c r="AE118" s="15" t="s">
        <v>109</v>
      </c>
      <c r="AF118" s="15" t="s">
        <v>2250</v>
      </c>
      <c r="AG118" s="15" t="s">
        <v>39</v>
      </c>
      <c r="AH118" s="15" t="s">
        <v>39</v>
      </c>
      <c r="AI118" s="15" t="s">
        <v>2251</v>
      </c>
      <c r="AJ118" s="15" t="s">
        <v>2252</v>
      </c>
      <c r="AK118" s="15" t="s">
        <v>438</v>
      </c>
      <c r="AL118" s="15" t="s">
        <v>88</v>
      </c>
    </row>
    <row r="119" spans="1:38" x14ac:dyDescent="0.4">
      <c r="A119" s="11" t="s">
        <v>2253</v>
      </c>
      <c r="B119" s="12" t="s">
        <v>2254</v>
      </c>
      <c r="C119" s="13" t="s">
        <v>39</v>
      </c>
      <c r="D119" s="13" t="s">
        <v>63</v>
      </c>
      <c r="E119" s="13" t="s">
        <v>2255</v>
      </c>
      <c r="F119" s="13" t="s">
        <v>442</v>
      </c>
      <c r="G119" s="13" t="s">
        <v>442</v>
      </c>
      <c r="H119" s="13" t="s">
        <v>2256</v>
      </c>
      <c r="I119" s="9">
        <f t="shared" ca="1" si="1"/>
        <v>8</v>
      </c>
      <c r="J119" s="13" t="s">
        <v>2257</v>
      </c>
      <c r="K119" s="13" t="s">
        <v>425</v>
      </c>
      <c r="L119" s="9" t="str">
        <f>VLOOKUP(K119,[1]中国省份_标准!$B$2:$F$35,4,FALSE)</f>
        <v>东部地区</v>
      </c>
      <c r="M119" s="9" t="str">
        <f>VLOOKUP(K119,[1]中国省份_标准!$B$2:$F$35,5,FALSE)</f>
        <v>华东地区</v>
      </c>
      <c r="N119" s="13" t="s">
        <v>426</v>
      </c>
      <c r="O119" s="13" t="s">
        <v>427</v>
      </c>
      <c r="P119" s="13" t="s">
        <v>2258</v>
      </c>
      <c r="Q119" s="13" t="s">
        <v>2259</v>
      </c>
      <c r="R119" s="13" t="s">
        <v>2260</v>
      </c>
      <c r="S119" s="13" t="s">
        <v>39</v>
      </c>
      <c r="T119" s="13" t="s">
        <v>281</v>
      </c>
      <c r="U119" s="13" t="s">
        <v>2254</v>
      </c>
      <c r="V119" s="13" t="s">
        <v>2261</v>
      </c>
      <c r="W119" s="13" t="s">
        <v>2262</v>
      </c>
      <c r="X119" s="13" t="s">
        <v>791</v>
      </c>
      <c r="Y119" s="13" t="s">
        <v>78</v>
      </c>
      <c r="Z119" s="13" t="s">
        <v>2263</v>
      </c>
      <c r="AA119" s="13" t="s">
        <v>80</v>
      </c>
      <c r="AB119" s="13" t="s">
        <v>39</v>
      </c>
      <c r="AC119" s="13" t="s">
        <v>39</v>
      </c>
      <c r="AD119" s="13" t="s">
        <v>39</v>
      </c>
      <c r="AE119" s="13" t="s">
        <v>55</v>
      </c>
      <c r="AF119" s="13" t="s">
        <v>2264</v>
      </c>
      <c r="AG119" s="13" t="s">
        <v>39</v>
      </c>
      <c r="AH119" s="13" t="s">
        <v>2265</v>
      </c>
      <c r="AI119" s="13" t="s">
        <v>2266</v>
      </c>
      <c r="AJ119" s="13" t="s">
        <v>2267</v>
      </c>
      <c r="AK119" s="13" t="s">
        <v>2191</v>
      </c>
      <c r="AL119" s="13" t="s">
        <v>88</v>
      </c>
    </row>
    <row r="120" spans="1:38" x14ac:dyDescent="0.4">
      <c r="A120" s="11" t="s">
        <v>2268</v>
      </c>
      <c r="B120" s="14" t="s">
        <v>2269</v>
      </c>
      <c r="C120" s="15" t="s">
        <v>39</v>
      </c>
      <c r="D120" s="15" t="s">
        <v>63</v>
      </c>
      <c r="E120" s="15" t="s">
        <v>2270</v>
      </c>
      <c r="F120" s="15" t="s">
        <v>422</v>
      </c>
      <c r="G120" s="15" t="s">
        <v>2271</v>
      </c>
      <c r="H120" s="15" t="s">
        <v>2272</v>
      </c>
      <c r="I120" s="9">
        <f t="shared" ca="1" si="1"/>
        <v>6</v>
      </c>
      <c r="J120" s="15" t="s">
        <v>2273</v>
      </c>
      <c r="K120" s="15" t="s">
        <v>425</v>
      </c>
      <c r="L120" s="9" t="str">
        <f>VLOOKUP(K120,[1]中国省份_标准!$B$2:$F$35,4,FALSE)</f>
        <v>东部地区</v>
      </c>
      <c r="M120" s="9" t="str">
        <f>VLOOKUP(K120,[1]中国省份_标准!$B$2:$F$35,5,FALSE)</f>
        <v>华东地区</v>
      </c>
      <c r="N120" s="15" t="s">
        <v>426</v>
      </c>
      <c r="O120" s="15" t="s">
        <v>427</v>
      </c>
      <c r="P120" s="15" t="s">
        <v>2274</v>
      </c>
      <c r="Q120" s="15" t="s">
        <v>39</v>
      </c>
      <c r="R120" s="15" t="s">
        <v>39</v>
      </c>
      <c r="S120" s="15" t="s">
        <v>39</v>
      </c>
      <c r="T120" s="15" t="s">
        <v>281</v>
      </c>
      <c r="U120" s="15" t="s">
        <v>2269</v>
      </c>
      <c r="V120" s="15" t="s">
        <v>39</v>
      </c>
      <c r="W120" s="15" t="s">
        <v>2275</v>
      </c>
      <c r="X120" s="15" t="s">
        <v>77</v>
      </c>
      <c r="Y120" s="15" t="s">
        <v>78</v>
      </c>
      <c r="Z120" s="15" t="s">
        <v>2276</v>
      </c>
      <c r="AA120" s="15" t="s">
        <v>80</v>
      </c>
      <c r="AB120" s="15" t="s">
        <v>106</v>
      </c>
      <c r="AC120" s="15" t="s">
        <v>388</v>
      </c>
      <c r="AD120" s="15" t="s">
        <v>39</v>
      </c>
      <c r="AE120" s="15" t="s">
        <v>109</v>
      </c>
      <c r="AF120" s="15" t="s">
        <v>2277</v>
      </c>
      <c r="AG120" s="15" t="s">
        <v>39</v>
      </c>
      <c r="AH120" s="15" t="s">
        <v>39</v>
      </c>
      <c r="AI120" s="15" t="s">
        <v>2278</v>
      </c>
      <c r="AJ120" s="15" t="s">
        <v>2279</v>
      </c>
      <c r="AK120" s="15" t="s">
        <v>2280</v>
      </c>
      <c r="AL120" s="15" t="s">
        <v>88</v>
      </c>
    </row>
    <row r="121" spans="1:38" x14ac:dyDescent="0.4">
      <c r="A121" s="11" t="s">
        <v>2281</v>
      </c>
      <c r="B121" s="12" t="s">
        <v>2282</v>
      </c>
      <c r="C121" s="13" t="s">
        <v>39</v>
      </c>
      <c r="D121" s="13" t="s">
        <v>63</v>
      </c>
      <c r="E121" s="13" t="s">
        <v>2283</v>
      </c>
      <c r="F121" s="13" t="s">
        <v>94</v>
      </c>
      <c r="G121" s="13" t="s">
        <v>39</v>
      </c>
      <c r="H121" s="13" t="s">
        <v>2284</v>
      </c>
      <c r="I121" s="9">
        <f t="shared" ca="1" si="1"/>
        <v>5</v>
      </c>
      <c r="J121" s="13" t="s">
        <v>2285</v>
      </c>
      <c r="K121" s="13" t="s">
        <v>425</v>
      </c>
      <c r="L121" s="9" t="str">
        <f>VLOOKUP(K121,[1]中国省份_标准!$B$2:$F$35,4,FALSE)</f>
        <v>东部地区</v>
      </c>
      <c r="M121" s="9" t="str">
        <f>VLOOKUP(K121,[1]中国省份_标准!$B$2:$F$35,5,FALSE)</f>
        <v>华东地区</v>
      </c>
      <c r="N121" s="13" t="s">
        <v>426</v>
      </c>
      <c r="O121" s="13" t="s">
        <v>2286</v>
      </c>
      <c r="P121" s="13" t="s">
        <v>2287</v>
      </c>
      <c r="Q121" s="13" t="s">
        <v>2288</v>
      </c>
      <c r="R121" s="13" t="s">
        <v>2289</v>
      </c>
      <c r="S121" s="13" t="s">
        <v>2290</v>
      </c>
      <c r="T121" s="13" t="s">
        <v>281</v>
      </c>
      <c r="U121" s="13" t="s">
        <v>2282</v>
      </c>
      <c r="V121" s="13" t="s">
        <v>2291</v>
      </c>
      <c r="W121" s="13" t="s">
        <v>2292</v>
      </c>
      <c r="X121" s="13" t="s">
        <v>77</v>
      </c>
      <c r="Y121" s="13" t="s">
        <v>78</v>
      </c>
      <c r="Z121" s="13" t="s">
        <v>2293</v>
      </c>
      <c r="AA121" s="13" t="s">
        <v>80</v>
      </c>
      <c r="AB121" s="13" t="s">
        <v>106</v>
      </c>
      <c r="AC121" s="13" t="s">
        <v>559</v>
      </c>
      <c r="AD121" s="13" t="s">
        <v>560</v>
      </c>
      <c r="AE121" s="13" t="s">
        <v>109</v>
      </c>
      <c r="AF121" s="13" t="s">
        <v>2294</v>
      </c>
      <c r="AG121" s="13" t="s">
        <v>39</v>
      </c>
      <c r="AH121" s="13" t="s">
        <v>39</v>
      </c>
      <c r="AI121" s="13" t="s">
        <v>2295</v>
      </c>
      <c r="AJ121" s="13" t="s">
        <v>2296</v>
      </c>
      <c r="AK121" s="13" t="s">
        <v>2297</v>
      </c>
      <c r="AL121" s="13" t="s">
        <v>88</v>
      </c>
    </row>
    <row r="122" spans="1:38" x14ac:dyDescent="0.4">
      <c r="A122" s="11" t="s">
        <v>2298</v>
      </c>
      <c r="B122" s="14" t="s">
        <v>2299</v>
      </c>
      <c r="C122" s="15" t="s">
        <v>39</v>
      </c>
      <c r="D122" s="15" t="s">
        <v>63</v>
      </c>
      <c r="E122" s="15" t="s">
        <v>2300</v>
      </c>
      <c r="F122" s="15" t="s">
        <v>178</v>
      </c>
      <c r="G122" s="15" t="s">
        <v>2301</v>
      </c>
      <c r="H122" s="15" t="s">
        <v>2302</v>
      </c>
      <c r="I122" s="9">
        <f t="shared" ca="1" si="1"/>
        <v>21</v>
      </c>
      <c r="J122" s="15" t="s">
        <v>2303</v>
      </c>
      <c r="K122" s="15" t="s">
        <v>425</v>
      </c>
      <c r="L122" s="9" t="str">
        <f>VLOOKUP(K122,[1]中国省份_标准!$B$2:$F$35,4,FALSE)</f>
        <v>东部地区</v>
      </c>
      <c r="M122" s="9" t="str">
        <f>VLOOKUP(K122,[1]中国省份_标准!$B$2:$F$35,5,FALSE)</f>
        <v>华东地区</v>
      </c>
      <c r="N122" s="15" t="s">
        <v>2304</v>
      </c>
      <c r="O122" s="15" t="s">
        <v>2305</v>
      </c>
      <c r="P122" s="15" t="s">
        <v>2306</v>
      </c>
      <c r="Q122" s="15" t="s">
        <v>2307</v>
      </c>
      <c r="R122" s="15" t="s">
        <v>2308</v>
      </c>
      <c r="S122" s="15" t="s">
        <v>2309</v>
      </c>
      <c r="T122" s="15" t="s">
        <v>184</v>
      </c>
      <c r="U122" s="15" t="s">
        <v>2299</v>
      </c>
      <c r="V122" s="15" t="s">
        <v>2310</v>
      </c>
      <c r="W122" s="15" t="s">
        <v>2311</v>
      </c>
      <c r="X122" s="15" t="s">
        <v>2312</v>
      </c>
      <c r="Y122" s="15" t="s">
        <v>78</v>
      </c>
      <c r="Z122" s="15" t="s">
        <v>2313</v>
      </c>
      <c r="AA122" s="15" t="s">
        <v>169</v>
      </c>
      <c r="AB122" s="15" t="s">
        <v>412</v>
      </c>
      <c r="AC122" s="15" t="s">
        <v>413</v>
      </c>
      <c r="AD122" s="15" t="s">
        <v>39</v>
      </c>
      <c r="AE122" s="15" t="s">
        <v>55</v>
      </c>
      <c r="AF122" s="15" t="s">
        <v>2314</v>
      </c>
      <c r="AG122" s="15" t="s">
        <v>39</v>
      </c>
      <c r="AH122" s="15" t="s">
        <v>39</v>
      </c>
      <c r="AI122" s="15" t="s">
        <v>2315</v>
      </c>
      <c r="AJ122" s="15" t="s">
        <v>2316</v>
      </c>
      <c r="AK122" s="15" t="s">
        <v>2317</v>
      </c>
      <c r="AL122" s="15" t="s">
        <v>88</v>
      </c>
    </row>
    <row r="123" spans="1:38" x14ac:dyDescent="0.4">
      <c r="A123" s="11" t="s">
        <v>2318</v>
      </c>
      <c r="B123" s="12" t="s">
        <v>2319</v>
      </c>
      <c r="C123" s="13" t="s">
        <v>2320</v>
      </c>
      <c r="D123" s="13" t="s">
        <v>92</v>
      </c>
      <c r="E123" s="13" t="s">
        <v>2321</v>
      </c>
      <c r="F123" s="13" t="s">
        <v>2322</v>
      </c>
      <c r="G123" s="13" t="s">
        <v>2322</v>
      </c>
      <c r="H123" s="13" t="s">
        <v>2323</v>
      </c>
      <c r="I123" s="9">
        <f t="shared" ca="1" si="1"/>
        <v>19</v>
      </c>
      <c r="J123" s="13" t="s">
        <v>2324</v>
      </c>
      <c r="K123" s="13" t="s">
        <v>425</v>
      </c>
      <c r="L123" s="9" t="str">
        <f>VLOOKUP(K123,[1]中国省份_标准!$B$2:$F$35,4,FALSE)</f>
        <v>东部地区</v>
      </c>
      <c r="M123" s="9" t="str">
        <f>VLOOKUP(K123,[1]中国省份_标准!$B$2:$F$35,5,FALSE)</f>
        <v>华东地区</v>
      </c>
      <c r="N123" s="13" t="s">
        <v>2304</v>
      </c>
      <c r="O123" s="13" t="s">
        <v>2325</v>
      </c>
      <c r="P123" s="13" t="s">
        <v>2326</v>
      </c>
      <c r="Q123" s="13" t="s">
        <v>2327</v>
      </c>
      <c r="R123" s="13" t="s">
        <v>2328</v>
      </c>
      <c r="S123" s="13" t="s">
        <v>2329</v>
      </c>
      <c r="T123" s="13" t="s">
        <v>184</v>
      </c>
      <c r="U123" s="13" t="s">
        <v>2319</v>
      </c>
      <c r="V123" s="13" t="s">
        <v>2330</v>
      </c>
      <c r="W123" s="13" t="s">
        <v>2331</v>
      </c>
      <c r="X123" s="13" t="s">
        <v>990</v>
      </c>
      <c r="Y123" s="13" t="s">
        <v>78</v>
      </c>
      <c r="Z123" s="13" t="s">
        <v>2332</v>
      </c>
      <c r="AA123" s="13" t="s">
        <v>169</v>
      </c>
      <c r="AB123" s="13" t="s">
        <v>39</v>
      </c>
      <c r="AC123" s="13" t="s">
        <v>39</v>
      </c>
      <c r="AD123" s="13" t="s">
        <v>39</v>
      </c>
      <c r="AE123" s="13" t="s">
        <v>109</v>
      </c>
      <c r="AF123" s="13" t="s">
        <v>2333</v>
      </c>
      <c r="AG123" s="13" t="s">
        <v>39</v>
      </c>
      <c r="AH123" s="13" t="s">
        <v>39</v>
      </c>
      <c r="AI123" s="13" t="s">
        <v>2334</v>
      </c>
      <c r="AJ123" s="13" t="s">
        <v>2335</v>
      </c>
      <c r="AK123" s="13" t="s">
        <v>2336</v>
      </c>
      <c r="AL123" s="13" t="s">
        <v>88</v>
      </c>
    </row>
    <row r="124" spans="1:38" x14ac:dyDescent="0.4">
      <c r="A124" s="11" t="s">
        <v>2337</v>
      </c>
      <c r="B124" s="14" t="s">
        <v>2338</v>
      </c>
      <c r="C124" s="15" t="s">
        <v>2339</v>
      </c>
      <c r="D124" s="15" t="s">
        <v>63</v>
      </c>
      <c r="E124" s="15" t="s">
        <v>2340</v>
      </c>
      <c r="F124" s="15" t="s">
        <v>2341</v>
      </c>
      <c r="G124" s="15" t="s">
        <v>2341</v>
      </c>
      <c r="H124" s="15" t="s">
        <v>2342</v>
      </c>
      <c r="I124" s="9">
        <f t="shared" ca="1" si="1"/>
        <v>17</v>
      </c>
      <c r="J124" s="15" t="s">
        <v>2343</v>
      </c>
      <c r="K124" s="15" t="s">
        <v>425</v>
      </c>
      <c r="L124" s="9" t="str">
        <f>VLOOKUP(K124,[1]中国省份_标准!$B$2:$F$35,4,FALSE)</f>
        <v>东部地区</v>
      </c>
      <c r="M124" s="9" t="str">
        <f>VLOOKUP(K124,[1]中国省份_标准!$B$2:$F$35,5,FALSE)</f>
        <v>华东地区</v>
      </c>
      <c r="N124" s="15" t="s">
        <v>2344</v>
      </c>
      <c r="O124" s="15" t="s">
        <v>2345</v>
      </c>
      <c r="P124" s="15" t="s">
        <v>2346</v>
      </c>
      <c r="Q124" s="15" t="s">
        <v>2347</v>
      </c>
      <c r="R124" s="15" t="s">
        <v>2348</v>
      </c>
      <c r="S124" s="15" t="s">
        <v>2349</v>
      </c>
      <c r="T124" s="15" t="s">
        <v>452</v>
      </c>
      <c r="U124" s="15" t="s">
        <v>2338</v>
      </c>
      <c r="V124" s="15" t="s">
        <v>2350</v>
      </c>
      <c r="W124" s="15" t="s">
        <v>2351</v>
      </c>
      <c r="X124" s="15" t="s">
        <v>2352</v>
      </c>
      <c r="Y124" s="15" t="s">
        <v>78</v>
      </c>
      <c r="Z124" s="15" t="s">
        <v>2353</v>
      </c>
      <c r="AA124" s="15" t="s">
        <v>169</v>
      </c>
      <c r="AB124" s="15" t="s">
        <v>581</v>
      </c>
      <c r="AC124" s="15" t="s">
        <v>2354</v>
      </c>
      <c r="AD124" s="15" t="s">
        <v>39</v>
      </c>
      <c r="AE124" s="15" t="s">
        <v>239</v>
      </c>
      <c r="AF124" s="15" t="s">
        <v>2355</v>
      </c>
      <c r="AG124" s="15" t="s">
        <v>2356</v>
      </c>
      <c r="AH124" s="15" t="s">
        <v>39</v>
      </c>
      <c r="AI124" s="15" t="s">
        <v>2357</v>
      </c>
      <c r="AJ124" s="15" t="s">
        <v>2358</v>
      </c>
      <c r="AK124" s="15" t="s">
        <v>2359</v>
      </c>
      <c r="AL124" s="15" t="s">
        <v>88</v>
      </c>
    </row>
    <row r="125" spans="1:38" x14ac:dyDescent="0.4">
      <c r="A125" s="11" t="s">
        <v>2360</v>
      </c>
      <c r="B125" s="12" t="s">
        <v>2361</v>
      </c>
      <c r="C125" s="13" t="s">
        <v>39</v>
      </c>
      <c r="D125" s="13" t="s">
        <v>63</v>
      </c>
      <c r="E125" s="13" t="s">
        <v>1610</v>
      </c>
      <c r="F125" s="13" t="s">
        <v>999</v>
      </c>
      <c r="G125" s="13" t="s">
        <v>999</v>
      </c>
      <c r="H125" s="13" t="s">
        <v>2362</v>
      </c>
      <c r="I125" s="9">
        <f t="shared" ca="1" si="1"/>
        <v>12</v>
      </c>
      <c r="J125" s="13" t="s">
        <v>2363</v>
      </c>
      <c r="K125" s="13" t="s">
        <v>425</v>
      </c>
      <c r="L125" s="9" t="str">
        <f>VLOOKUP(K125,[1]中国省份_标准!$B$2:$F$35,4,FALSE)</f>
        <v>东部地区</v>
      </c>
      <c r="M125" s="9" t="str">
        <f>VLOOKUP(K125,[1]中国省份_标准!$B$2:$F$35,5,FALSE)</f>
        <v>华东地区</v>
      </c>
      <c r="N125" s="13" t="s">
        <v>2364</v>
      </c>
      <c r="O125" s="13" t="s">
        <v>2365</v>
      </c>
      <c r="P125" s="13" t="s">
        <v>1293</v>
      </c>
      <c r="Q125" s="13" t="s">
        <v>2366</v>
      </c>
      <c r="R125" s="13" t="s">
        <v>2367</v>
      </c>
      <c r="S125" s="13" t="s">
        <v>2368</v>
      </c>
      <c r="T125" s="13" t="s">
        <v>184</v>
      </c>
      <c r="U125" s="13" t="s">
        <v>2361</v>
      </c>
      <c r="V125" s="13" t="s">
        <v>2369</v>
      </c>
      <c r="W125" s="13" t="s">
        <v>2370</v>
      </c>
      <c r="X125" s="13" t="s">
        <v>2371</v>
      </c>
      <c r="Y125" s="13" t="s">
        <v>78</v>
      </c>
      <c r="Z125" s="13" t="s">
        <v>2372</v>
      </c>
      <c r="AA125" s="13" t="s">
        <v>169</v>
      </c>
      <c r="AB125" s="13" t="s">
        <v>412</v>
      </c>
      <c r="AC125" s="13" t="s">
        <v>413</v>
      </c>
      <c r="AD125" s="13" t="s">
        <v>39</v>
      </c>
      <c r="AE125" s="13" t="s">
        <v>55</v>
      </c>
      <c r="AF125" s="13" t="s">
        <v>2373</v>
      </c>
      <c r="AG125" s="13" t="s">
        <v>39</v>
      </c>
      <c r="AH125" s="13" t="s">
        <v>39</v>
      </c>
      <c r="AI125" s="13" t="s">
        <v>2374</v>
      </c>
      <c r="AJ125" s="13" t="s">
        <v>2375</v>
      </c>
      <c r="AK125" s="13" t="s">
        <v>2376</v>
      </c>
      <c r="AL125" s="13" t="s">
        <v>88</v>
      </c>
    </row>
    <row r="126" spans="1:38" x14ac:dyDescent="0.4">
      <c r="A126" s="11" t="s">
        <v>2377</v>
      </c>
      <c r="B126" s="14" t="s">
        <v>2378</v>
      </c>
      <c r="C126" s="15" t="s">
        <v>39</v>
      </c>
      <c r="D126" s="15" t="s">
        <v>92</v>
      </c>
      <c r="E126" s="15" t="s">
        <v>2379</v>
      </c>
      <c r="F126" s="15" t="s">
        <v>2380</v>
      </c>
      <c r="G126" s="15" t="s">
        <v>2381</v>
      </c>
      <c r="H126" s="15" t="s">
        <v>2382</v>
      </c>
      <c r="I126" s="9">
        <f t="shared" ca="1" si="1"/>
        <v>10</v>
      </c>
      <c r="J126" s="15" t="s">
        <v>2383</v>
      </c>
      <c r="K126" s="15" t="s">
        <v>531</v>
      </c>
      <c r="L126" s="9" t="str">
        <f>VLOOKUP(K126,[1]中国省份_标准!$B$2:$F$35,4,FALSE)</f>
        <v>东部地区</v>
      </c>
      <c r="M126" s="9" t="str">
        <f>VLOOKUP(K126,[1]中国省份_标准!$B$2:$F$35,5,FALSE)</f>
        <v>华南地区</v>
      </c>
      <c r="N126" s="15" t="s">
        <v>1698</v>
      </c>
      <c r="O126" s="15" t="s">
        <v>39</v>
      </c>
      <c r="P126" s="15" t="s">
        <v>2384</v>
      </c>
      <c r="Q126" s="15" t="s">
        <v>2385</v>
      </c>
      <c r="R126" s="15" t="s">
        <v>2386</v>
      </c>
      <c r="S126" s="15" t="s">
        <v>2387</v>
      </c>
      <c r="T126" s="15" t="s">
        <v>48</v>
      </c>
      <c r="U126" s="15" t="s">
        <v>2378</v>
      </c>
      <c r="V126" s="15" t="s">
        <v>2388</v>
      </c>
      <c r="W126" s="15" t="s">
        <v>2389</v>
      </c>
      <c r="X126" s="15" t="s">
        <v>540</v>
      </c>
      <c r="Y126" s="15" t="s">
        <v>78</v>
      </c>
      <c r="Z126" s="15" t="s">
        <v>2390</v>
      </c>
      <c r="AA126" s="15" t="s">
        <v>169</v>
      </c>
      <c r="AB126" s="15" t="s">
        <v>1264</v>
      </c>
      <c r="AC126" s="15" t="s">
        <v>1457</v>
      </c>
      <c r="AD126" s="15" t="s">
        <v>1557</v>
      </c>
      <c r="AE126" s="15" t="s">
        <v>109</v>
      </c>
      <c r="AF126" s="15" t="s">
        <v>2391</v>
      </c>
      <c r="AG126" s="15" t="s">
        <v>39</v>
      </c>
      <c r="AH126" s="15" t="s">
        <v>2392</v>
      </c>
      <c r="AI126" s="15" t="s">
        <v>2393</v>
      </c>
      <c r="AJ126" s="15" t="s">
        <v>2394</v>
      </c>
      <c r="AK126" s="15" t="s">
        <v>1711</v>
      </c>
      <c r="AL126" s="15" t="s">
        <v>88</v>
      </c>
    </row>
    <row r="127" spans="1:38" x14ac:dyDescent="0.4">
      <c r="A127" s="11" t="s">
        <v>2395</v>
      </c>
      <c r="B127" s="12" t="s">
        <v>2396</v>
      </c>
      <c r="C127" s="13" t="s">
        <v>39</v>
      </c>
      <c r="D127" s="13" t="s">
        <v>63</v>
      </c>
      <c r="E127" s="13" t="s">
        <v>2397</v>
      </c>
      <c r="F127" s="13" t="s">
        <v>2398</v>
      </c>
      <c r="G127" s="13" t="s">
        <v>2398</v>
      </c>
      <c r="H127" s="13" t="s">
        <v>2399</v>
      </c>
      <c r="I127" s="9">
        <f t="shared" ca="1" si="1"/>
        <v>19</v>
      </c>
      <c r="J127" s="13" t="s">
        <v>2400</v>
      </c>
      <c r="K127" s="13" t="s">
        <v>531</v>
      </c>
      <c r="L127" s="9" t="str">
        <f>VLOOKUP(K127,[1]中国省份_标准!$B$2:$F$35,4,FALSE)</f>
        <v>东部地区</v>
      </c>
      <c r="M127" s="9" t="str">
        <f>VLOOKUP(K127,[1]中国省份_标准!$B$2:$F$35,5,FALSE)</f>
        <v>华南地区</v>
      </c>
      <c r="N127" s="13" t="s">
        <v>724</v>
      </c>
      <c r="O127" s="13" t="s">
        <v>2401</v>
      </c>
      <c r="P127" s="13" t="s">
        <v>2402</v>
      </c>
      <c r="Q127" s="13" t="s">
        <v>2403</v>
      </c>
      <c r="R127" s="13" t="s">
        <v>2404</v>
      </c>
      <c r="S127" s="13" t="s">
        <v>2405</v>
      </c>
      <c r="T127" s="13" t="s">
        <v>209</v>
      </c>
      <c r="U127" s="13" t="s">
        <v>2396</v>
      </c>
      <c r="V127" s="13" t="s">
        <v>2406</v>
      </c>
      <c r="W127" s="13" t="s">
        <v>2407</v>
      </c>
      <c r="X127" s="13" t="s">
        <v>2408</v>
      </c>
      <c r="Y127" s="13" t="s">
        <v>78</v>
      </c>
      <c r="Z127" s="13" t="s">
        <v>2409</v>
      </c>
      <c r="AA127" s="13" t="s">
        <v>169</v>
      </c>
      <c r="AB127" s="13" t="s">
        <v>412</v>
      </c>
      <c r="AC127" s="13" t="s">
        <v>413</v>
      </c>
      <c r="AD127" s="13" t="s">
        <v>39</v>
      </c>
      <c r="AE127" s="13" t="s">
        <v>262</v>
      </c>
      <c r="AF127" s="13" t="s">
        <v>2410</v>
      </c>
      <c r="AG127" s="13" t="s">
        <v>2411</v>
      </c>
      <c r="AH127" s="13" t="s">
        <v>39</v>
      </c>
      <c r="AI127" s="13" t="s">
        <v>2412</v>
      </c>
      <c r="AJ127" s="13" t="s">
        <v>2413</v>
      </c>
      <c r="AK127" s="13" t="s">
        <v>2414</v>
      </c>
      <c r="AL127" s="13" t="s">
        <v>88</v>
      </c>
    </row>
    <row r="128" spans="1:38" x14ac:dyDescent="0.4">
      <c r="A128" s="11" t="s">
        <v>2415</v>
      </c>
      <c r="B128" s="14" t="s">
        <v>2416</v>
      </c>
      <c r="C128" s="15" t="s">
        <v>2417</v>
      </c>
      <c r="D128" s="15" t="s">
        <v>92</v>
      </c>
      <c r="E128" s="15" t="s">
        <v>2418</v>
      </c>
      <c r="F128" s="15" t="s">
        <v>2419</v>
      </c>
      <c r="G128" s="15" t="s">
        <v>422</v>
      </c>
      <c r="H128" s="15" t="s">
        <v>2420</v>
      </c>
      <c r="I128" s="9">
        <f t="shared" ca="1" si="1"/>
        <v>18</v>
      </c>
      <c r="J128" s="15" t="s">
        <v>2421</v>
      </c>
      <c r="K128" s="15" t="s">
        <v>531</v>
      </c>
      <c r="L128" s="9" t="str">
        <f>VLOOKUP(K128,[1]中国省份_标准!$B$2:$F$35,4,FALSE)</f>
        <v>东部地区</v>
      </c>
      <c r="M128" s="9" t="str">
        <f>VLOOKUP(K128,[1]中国省份_标准!$B$2:$F$35,5,FALSE)</f>
        <v>华南地区</v>
      </c>
      <c r="N128" s="15" t="s">
        <v>2422</v>
      </c>
      <c r="O128" s="15" t="s">
        <v>2423</v>
      </c>
      <c r="P128" s="15" t="s">
        <v>2424</v>
      </c>
      <c r="Q128" s="15" t="s">
        <v>2425</v>
      </c>
      <c r="R128" s="15" t="s">
        <v>2426</v>
      </c>
      <c r="S128" s="15" t="s">
        <v>2427</v>
      </c>
      <c r="T128" s="15" t="s">
        <v>281</v>
      </c>
      <c r="U128" s="15" t="s">
        <v>2416</v>
      </c>
      <c r="V128" s="15" t="s">
        <v>2428</v>
      </c>
      <c r="W128" s="15" t="s">
        <v>2429</v>
      </c>
      <c r="X128" s="15" t="s">
        <v>77</v>
      </c>
      <c r="Y128" s="15" t="s">
        <v>78</v>
      </c>
      <c r="Z128" s="15" t="s">
        <v>2430</v>
      </c>
      <c r="AA128" s="15" t="s">
        <v>169</v>
      </c>
      <c r="AB128" s="15" t="s">
        <v>1264</v>
      </c>
      <c r="AC128" s="15" t="s">
        <v>1457</v>
      </c>
      <c r="AD128" s="15" t="s">
        <v>1557</v>
      </c>
      <c r="AE128" s="15" t="s">
        <v>55</v>
      </c>
      <c r="AF128" s="15" t="s">
        <v>2431</v>
      </c>
      <c r="AG128" s="15" t="s">
        <v>39</v>
      </c>
      <c r="AH128" s="15" t="s">
        <v>39</v>
      </c>
      <c r="AI128" s="15" t="s">
        <v>2432</v>
      </c>
      <c r="AJ128" s="15" t="s">
        <v>2433</v>
      </c>
      <c r="AK128" s="15" t="s">
        <v>2434</v>
      </c>
      <c r="AL128" s="15" t="s">
        <v>88</v>
      </c>
    </row>
    <row r="129" spans="1:38" x14ac:dyDescent="0.4">
      <c r="A129" s="11" t="s">
        <v>2435</v>
      </c>
      <c r="B129" s="12" t="s">
        <v>2436</v>
      </c>
      <c r="C129" s="13" t="s">
        <v>39</v>
      </c>
      <c r="D129" s="13" t="s">
        <v>92</v>
      </c>
      <c r="E129" s="13" t="s">
        <v>880</v>
      </c>
      <c r="F129" s="13" t="s">
        <v>2437</v>
      </c>
      <c r="G129" s="13" t="s">
        <v>2437</v>
      </c>
      <c r="H129" s="13" t="s">
        <v>2438</v>
      </c>
      <c r="I129" s="9">
        <f t="shared" ca="1" si="1"/>
        <v>21</v>
      </c>
      <c r="J129" s="13" t="s">
        <v>2439</v>
      </c>
      <c r="K129" s="13" t="s">
        <v>531</v>
      </c>
      <c r="L129" s="9" t="str">
        <f>VLOOKUP(K129,[1]中国省份_标准!$B$2:$F$35,4,FALSE)</f>
        <v>东部地区</v>
      </c>
      <c r="M129" s="9" t="str">
        <f>VLOOKUP(K129,[1]中国省份_标准!$B$2:$F$35,5,FALSE)</f>
        <v>华南地区</v>
      </c>
      <c r="N129" s="13" t="s">
        <v>2440</v>
      </c>
      <c r="O129" s="13" t="s">
        <v>2441</v>
      </c>
      <c r="P129" s="13" t="s">
        <v>2442</v>
      </c>
      <c r="Q129" s="13" t="s">
        <v>2443</v>
      </c>
      <c r="R129" s="13" t="s">
        <v>2444</v>
      </c>
      <c r="S129" s="13" t="s">
        <v>2445</v>
      </c>
      <c r="T129" s="13" t="s">
        <v>209</v>
      </c>
      <c r="U129" s="13" t="s">
        <v>2436</v>
      </c>
      <c r="V129" s="13" t="s">
        <v>2446</v>
      </c>
      <c r="W129" s="13" t="s">
        <v>2447</v>
      </c>
      <c r="X129" s="13" t="s">
        <v>2448</v>
      </c>
      <c r="Y129" s="13" t="s">
        <v>78</v>
      </c>
      <c r="Z129" s="13" t="s">
        <v>2449</v>
      </c>
      <c r="AA129" s="13" t="s">
        <v>80</v>
      </c>
      <c r="AB129" s="13" t="s">
        <v>81</v>
      </c>
      <c r="AC129" s="13" t="s">
        <v>39</v>
      </c>
      <c r="AD129" s="13" t="s">
        <v>39</v>
      </c>
      <c r="AE129" s="13" t="s">
        <v>262</v>
      </c>
      <c r="AF129" s="13" t="s">
        <v>2450</v>
      </c>
      <c r="AG129" s="13" t="s">
        <v>39</v>
      </c>
      <c r="AH129" s="13" t="s">
        <v>39</v>
      </c>
      <c r="AI129" s="13" t="s">
        <v>2451</v>
      </c>
      <c r="AJ129" s="13" t="s">
        <v>2452</v>
      </c>
      <c r="AK129" s="13" t="s">
        <v>2453</v>
      </c>
      <c r="AL129" s="13" t="s">
        <v>88</v>
      </c>
    </row>
    <row r="130" spans="1:38" x14ac:dyDescent="0.4">
      <c r="A130" s="11" t="s">
        <v>2454</v>
      </c>
      <c r="B130" s="14" t="s">
        <v>2455</v>
      </c>
      <c r="C130" s="15" t="s">
        <v>2456</v>
      </c>
      <c r="D130" s="15" t="s">
        <v>92</v>
      </c>
      <c r="E130" s="15" t="s">
        <v>2457</v>
      </c>
      <c r="F130" s="15" t="s">
        <v>2458</v>
      </c>
      <c r="G130" s="15" t="s">
        <v>2458</v>
      </c>
      <c r="H130" s="15" t="s">
        <v>2459</v>
      </c>
      <c r="I130" s="9">
        <f t="shared" ca="1" si="1"/>
        <v>31</v>
      </c>
      <c r="J130" s="15" t="s">
        <v>2460</v>
      </c>
      <c r="K130" s="15" t="s">
        <v>531</v>
      </c>
      <c r="L130" s="9" t="str">
        <f>VLOOKUP(K130,[1]中国省份_标准!$B$2:$F$35,4,FALSE)</f>
        <v>东部地区</v>
      </c>
      <c r="M130" s="9" t="str">
        <f>VLOOKUP(K130,[1]中国省份_标准!$B$2:$F$35,5,FALSE)</f>
        <v>华南地区</v>
      </c>
      <c r="N130" s="15" t="s">
        <v>2461</v>
      </c>
      <c r="O130" s="15" t="s">
        <v>2462</v>
      </c>
      <c r="P130" s="15" t="s">
        <v>2463</v>
      </c>
      <c r="Q130" s="15" t="s">
        <v>2464</v>
      </c>
      <c r="R130" s="15" t="s">
        <v>2465</v>
      </c>
      <c r="S130" s="15" t="s">
        <v>39</v>
      </c>
      <c r="T130" s="15" t="s">
        <v>2466</v>
      </c>
      <c r="U130" s="15" t="s">
        <v>2455</v>
      </c>
      <c r="V130" s="15" t="s">
        <v>2467</v>
      </c>
      <c r="W130" s="15" t="s">
        <v>2468</v>
      </c>
      <c r="X130" s="15" t="s">
        <v>2469</v>
      </c>
      <c r="Y130" s="15" t="s">
        <v>78</v>
      </c>
      <c r="Z130" s="15" t="s">
        <v>2470</v>
      </c>
      <c r="AA130" s="15" t="s">
        <v>169</v>
      </c>
      <c r="AB130" s="15" t="s">
        <v>285</v>
      </c>
      <c r="AC130" s="15" t="s">
        <v>479</v>
      </c>
      <c r="AD130" s="15" t="s">
        <v>2471</v>
      </c>
      <c r="AE130" s="15" t="s">
        <v>262</v>
      </c>
      <c r="AF130" s="15" t="s">
        <v>2472</v>
      </c>
      <c r="AG130" s="15" t="s">
        <v>39</v>
      </c>
      <c r="AH130" s="15" t="s">
        <v>39</v>
      </c>
      <c r="AI130" s="15" t="s">
        <v>2473</v>
      </c>
      <c r="AJ130" s="15" t="s">
        <v>2474</v>
      </c>
      <c r="AK130" s="15" t="s">
        <v>2475</v>
      </c>
      <c r="AL130" s="15" t="s">
        <v>88</v>
      </c>
    </row>
    <row r="131" spans="1:38" x14ac:dyDescent="0.4">
      <c r="A131" s="11" t="s">
        <v>2476</v>
      </c>
      <c r="B131" s="12" t="s">
        <v>2477</v>
      </c>
      <c r="C131" s="13" t="s">
        <v>2478</v>
      </c>
      <c r="D131" s="13" t="s">
        <v>63</v>
      </c>
      <c r="E131" s="13" t="s">
        <v>2479</v>
      </c>
      <c r="F131" s="13" t="s">
        <v>2480</v>
      </c>
      <c r="G131" s="13" t="s">
        <v>2480</v>
      </c>
      <c r="H131" s="13" t="s">
        <v>2481</v>
      </c>
      <c r="I131" s="9">
        <f t="shared" ref="I131:I194" ca="1" si="2">DATEDIF(H131, TODAY(), "Y")</f>
        <v>35</v>
      </c>
      <c r="J131" s="13" t="s">
        <v>2482</v>
      </c>
      <c r="K131" s="13" t="s">
        <v>531</v>
      </c>
      <c r="L131" s="9" t="str">
        <f>VLOOKUP(K131,[1]中国省份_标准!$B$2:$F$35,4,FALSE)</f>
        <v>东部地区</v>
      </c>
      <c r="M131" s="9" t="str">
        <f>VLOOKUP(K131,[1]中国省份_标准!$B$2:$F$35,5,FALSE)</f>
        <v>华南地区</v>
      </c>
      <c r="N131" s="13" t="s">
        <v>2483</v>
      </c>
      <c r="O131" s="13" t="s">
        <v>2484</v>
      </c>
      <c r="P131" s="13" t="s">
        <v>2485</v>
      </c>
      <c r="Q131" s="13" t="s">
        <v>2486</v>
      </c>
      <c r="R131" s="13" t="s">
        <v>2487</v>
      </c>
      <c r="S131" s="13" t="s">
        <v>2488</v>
      </c>
      <c r="T131" s="13" t="s">
        <v>281</v>
      </c>
      <c r="U131" s="13" t="s">
        <v>2477</v>
      </c>
      <c r="V131" s="13" t="s">
        <v>2489</v>
      </c>
      <c r="W131" s="13" t="s">
        <v>2490</v>
      </c>
      <c r="X131" s="13" t="s">
        <v>2491</v>
      </c>
      <c r="Y131" s="13" t="s">
        <v>78</v>
      </c>
      <c r="Z131" s="13" t="s">
        <v>2492</v>
      </c>
      <c r="AA131" s="13" t="s">
        <v>169</v>
      </c>
      <c r="AB131" s="13" t="s">
        <v>1264</v>
      </c>
      <c r="AC131" s="13" t="s">
        <v>1457</v>
      </c>
      <c r="AD131" s="13" t="s">
        <v>1557</v>
      </c>
      <c r="AE131" s="13" t="s">
        <v>55</v>
      </c>
      <c r="AF131" s="13" t="s">
        <v>2493</v>
      </c>
      <c r="AG131" s="13" t="s">
        <v>39</v>
      </c>
      <c r="AH131" s="13" t="s">
        <v>39</v>
      </c>
      <c r="AI131" s="13" t="s">
        <v>2494</v>
      </c>
      <c r="AJ131" s="13" t="s">
        <v>2495</v>
      </c>
      <c r="AK131" s="13" t="s">
        <v>2496</v>
      </c>
      <c r="AL131" s="13" t="s">
        <v>88</v>
      </c>
    </row>
    <row r="132" spans="1:38" x14ac:dyDescent="0.4">
      <c r="A132" s="11" t="s">
        <v>2497</v>
      </c>
      <c r="B132" s="14" t="s">
        <v>2498</v>
      </c>
      <c r="C132" s="15" t="s">
        <v>2499</v>
      </c>
      <c r="D132" s="15" t="s">
        <v>92</v>
      </c>
      <c r="E132" s="15" t="s">
        <v>2500</v>
      </c>
      <c r="F132" s="15" t="s">
        <v>2501</v>
      </c>
      <c r="G132" s="15" t="s">
        <v>271</v>
      </c>
      <c r="H132" s="15" t="s">
        <v>2502</v>
      </c>
      <c r="I132" s="9">
        <f t="shared" ca="1" si="2"/>
        <v>22</v>
      </c>
      <c r="J132" s="15" t="s">
        <v>2503</v>
      </c>
      <c r="K132" s="15" t="s">
        <v>531</v>
      </c>
      <c r="L132" s="9" t="str">
        <f>VLOOKUP(K132,[1]中国省份_标准!$B$2:$F$35,4,FALSE)</f>
        <v>东部地区</v>
      </c>
      <c r="M132" s="9" t="str">
        <f>VLOOKUP(K132,[1]中国省份_标准!$B$2:$F$35,5,FALSE)</f>
        <v>华南地区</v>
      </c>
      <c r="N132" s="15" t="s">
        <v>2483</v>
      </c>
      <c r="O132" s="15" t="s">
        <v>2504</v>
      </c>
      <c r="P132" s="15" t="s">
        <v>2505</v>
      </c>
      <c r="Q132" s="15" t="s">
        <v>2506</v>
      </c>
      <c r="R132" s="15" t="s">
        <v>2507</v>
      </c>
      <c r="S132" s="15" t="s">
        <v>39</v>
      </c>
      <c r="T132" s="15" t="s">
        <v>48</v>
      </c>
      <c r="U132" s="15" t="s">
        <v>2498</v>
      </c>
      <c r="V132" s="15" t="s">
        <v>2508</v>
      </c>
      <c r="W132" s="15" t="s">
        <v>2509</v>
      </c>
      <c r="X132" s="15" t="s">
        <v>2510</v>
      </c>
      <c r="Y132" s="15" t="s">
        <v>78</v>
      </c>
      <c r="Z132" s="15" t="s">
        <v>2511</v>
      </c>
      <c r="AA132" s="15" t="s">
        <v>169</v>
      </c>
      <c r="AB132" s="15" t="s">
        <v>1264</v>
      </c>
      <c r="AC132" s="15" t="s">
        <v>1457</v>
      </c>
      <c r="AD132" s="15" t="s">
        <v>1557</v>
      </c>
      <c r="AE132" s="15" t="s">
        <v>109</v>
      </c>
      <c r="AF132" s="15" t="s">
        <v>2512</v>
      </c>
      <c r="AG132" s="15" t="s">
        <v>2513</v>
      </c>
      <c r="AH132" s="15" t="s">
        <v>39</v>
      </c>
      <c r="AI132" s="15" t="s">
        <v>2514</v>
      </c>
      <c r="AJ132" s="15" t="s">
        <v>2515</v>
      </c>
      <c r="AK132" s="15" t="s">
        <v>2516</v>
      </c>
      <c r="AL132" s="15" t="s">
        <v>88</v>
      </c>
    </row>
    <row r="133" spans="1:38" x14ac:dyDescent="0.4">
      <c r="A133" s="11" t="s">
        <v>2517</v>
      </c>
      <c r="B133" s="12" t="s">
        <v>2518</v>
      </c>
      <c r="C133" s="13" t="s">
        <v>39</v>
      </c>
      <c r="D133" s="13" t="s">
        <v>92</v>
      </c>
      <c r="E133" s="13" t="s">
        <v>2519</v>
      </c>
      <c r="F133" s="13" t="s">
        <v>2520</v>
      </c>
      <c r="G133" s="13" t="s">
        <v>2520</v>
      </c>
      <c r="H133" s="13" t="s">
        <v>2521</v>
      </c>
      <c r="I133" s="9">
        <f t="shared" ca="1" si="2"/>
        <v>19</v>
      </c>
      <c r="J133" s="13" t="s">
        <v>2522</v>
      </c>
      <c r="K133" s="13" t="s">
        <v>531</v>
      </c>
      <c r="L133" s="9" t="str">
        <f>VLOOKUP(K133,[1]中国省份_标准!$B$2:$F$35,4,FALSE)</f>
        <v>东部地区</v>
      </c>
      <c r="M133" s="9" t="str">
        <f>VLOOKUP(K133,[1]中国省份_标准!$B$2:$F$35,5,FALSE)</f>
        <v>华南地区</v>
      </c>
      <c r="N133" s="13" t="s">
        <v>2523</v>
      </c>
      <c r="O133" s="13" t="s">
        <v>2524</v>
      </c>
      <c r="P133" s="13" t="s">
        <v>2525</v>
      </c>
      <c r="Q133" s="13" t="s">
        <v>2526</v>
      </c>
      <c r="R133" s="13" t="s">
        <v>2527</v>
      </c>
      <c r="S133" s="13" t="s">
        <v>2528</v>
      </c>
      <c r="T133" s="13" t="s">
        <v>184</v>
      </c>
      <c r="U133" s="13" t="s">
        <v>2518</v>
      </c>
      <c r="V133" s="13" t="s">
        <v>2529</v>
      </c>
      <c r="W133" s="13" t="s">
        <v>2530</v>
      </c>
      <c r="X133" s="13" t="s">
        <v>2531</v>
      </c>
      <c r="Y133" s="13" t="s">
        <v>78</v>
      </c>
      <c r="Z133" s="13" t="s">
        <v>2532</v>
      </c>
      <c r="AA133" s="13" t="s">
        <v>309</v>
      </c>
      <c r="AB133" s="13" t="s">
        <v>310</v>
      </c>
      <c r="AC133" s="13" t="s">
        <v>39</v>
      </c>
      <c r="AD133" s="13" t="s">
        <v>39</v>
      </c>
      <c r="AE133" s="13" t="s">
        <v>262</v>
      </c>
      <c r="AF133" s="13" t="s">
        <v>2533</v>
      </c>
      <c r="AG133" s="13" t="s">
        <v>2534</v>
      </c>
      <c r="AH133" s="13" t="s">
        <v>39</v>
      </c>
      <c r="AI133" s="13" t="s">
        <v>2535</v>
      </c>
      <c r="AJ133" s="13" t="s">
        <v>2536</v>
      </c>
      <c r="AK133" s="13" t="s">
        <v>2537</v>
      </c>
      <c r="AL133" s="13" t="s">
        <v>88</v>
      </c>
    </row>
    <row r="134" spans="1:38" x14ac:dyDescent="0.4">
      <c r="A134" s="11" t="s">
        <v>2538</v>
      </c>
      <c r="B134" s="14" t="s">
        <v>2539</v>
      </c>
      <c r="C134" s="15" t="s">
        <v>39</v>
      </c>
      <c r="D134" s="15" t="s">
        <v>2540</v>
      </c>
      <c r="E134" s="15" t="s">
        <v>2541</v>
      </c>
      <c r="F134" s="15" t="s">
        <v>154</v>
      </c>
      <c r="G134" s="15" t="s">
        <v>154</v>
      </c>
      <c r="H134" s="15" t="s">
        <v>2542</v>
      </c>
      <c r="I134" s="9">
        <f t="shared" ca="1" si="2"/>
        <v>8</v>
      </c>
      <c r="J134" s="15" t="s">
        <v>2543</v>
      </c>
      <c r="K134" s="15" t="s">
        <v>531</v>
      </c>
      <c r="L134" s="9" t="str">
        <f>VLOOKUP(K134,[1]中国省份_标准!$B$2:$F$35,4,FALSE)</f>
        <v>东部地区</v>
      </c>
      <c r="M134" s="9" t="str">
        <f>VLOOKUP(K134,[1]中国省份_标准!$B$2:$F$35,5,FALSE)</f>
        <v>华南地区</v>
      </c>
      <c r="N134" s="15" t="s">
        <v>532</v>
      </c>
      <c r="O134" s="15" t="s">
        <v>2544</v>
      </c>
      <c r="P134" s="15" t="s">
        <v>2545</v>
      </c>
      <c r="Q134" s="15" t="s">
        <v>2546</v>
      </c>
      <c r="R134" s="15" t="s">
        <v>2547</v>
      </c>
      <c r="S134" s="15" t="s">
        <v>39</v>
      </c>
      <c r="T134" s="15" t="s">
        <v>48</v>
      </c>
      <c r="U134" s="15" t="s">
        <v>2539</v>
      </c>
      <c r="V134" s="15" t="s">
        <v>2548</v>
      </c>
      <c r="W134" s="15" t="s">
        <v>2549</v>
      </c>
      <c r="X134" s="15" t="s">
        <v>1209</v>
      </c>
      <c r="Y134" s="15" t="s">
        <v>283</v>
      </c>
      <c r="Z134" s="15" t="s">
        <v>2550</v>
      </c>
      <c r="AA134" s="15" t="s">
        <v>80</v>
      </c>
      <c r="AB134" s="15" t="s">
        <v>106</v>
      </c>
      <c r="AC134" s="15" t="s">
        <v>388</v>
      </c>
      <c r="AD134" s="15" t="s">
        <v>434</v>
      </c>
      <c r="AE134" s="15" t="s">
        <v>109</v>
      </c>
      <c r="AF134" s="15" t="s">
        <v>2551</v>
      </c>
      <c r="AG134" s="15" t="s">
        <v>39</v>
      </c>
      <c r="AH134" s="15" t="s">
        <v>39</v>
      </c>
      <c r="AI134" s="15" t="s">
        <v>2552</v>
      </c>
      <c r="AJ134" s="15" t="s">
        <v>2553</v>
      </c>
      <c r="AK134" s="15" t="s">
        <v>2554</v>
      </c>
      <c r="AL134" s="15" t="s">
        <v>88</v>
      </c>
    </row>
    <row r="135" spans="1:38" x14ac:dyDescent="0.4">
      <c r="A135" s="11" t="s">
        <v>2555</v>
      </c>
      <c r="B135" s="12" t="s">
        <v>2556</v>
      </c>
      <c r="C135" s="13" t="s">
        <v>39</v>
      </c>
      <c r="D135" s="13" t="s">
        <v>92</v>
      </c>
      <c r="E135" s="13" t="s">
        <v>2557</v>
      </c>
      <c r="F135" s="13" t="s">
        <v>422</v>
      </c>
      <c r="G135" s="13" t="s">
        <v>422</v>
      </c>
      <c r="H135" s="13" t="s">
        <v>2558</v>
      </c>
      <c r="I135" s="9">
        <f t="shared" ca="1" si="2"/>
        <v>9</v>
      </c>
      <c r="J135" s="13" t="s">
        <v>2559</v>
      </c>
      <c r="K135" s="13" t="s">
        <v>531</v>
      </c>
      <c r="L135" s="9" t="str">
        <f>VLOOKUP(K135,[1]中国省份_标准!$B$2:$F$35,4,FALSE)</f>
        <v>东部地区</v>
      </c>
      <c r="M135" s="9" t="str">
        <f>VLOOKUP(K135,[1]中国省份_标准!$B$2:$F$35,5,FALSE)</f>
        <v>华南地区</v>
      </c>
      <c r="N135" s="13" t="s">
        <v>2560</v>
      </c>
      <c r="O135" s="13" t="s">
        <v>39</v>
      </c>
      <c r="P135" s="13" t="s">
        <v>2561</v>
      </c>
      <c r="Q135" s="13" t="s">
        <v>2562</v>
      </c>
      <c r="R135" s="13" t="s">
        <v>2563</v>
      </c>
      <c r="S135" s="13" t="s">
        <v>39</v>
      </c>
      <c r="T135" s="13" t="s">
        <v>281</v>
      </c>
      <c r="U135" s="13" t="s">
        <v>2556</v>
      </c>
      <c r="V135" s="13" t="s">
        <v>2564</v>
      </c>
      <c r="W135" s="13" t="s">
        <v>2565</v>
      </c>
      <c r="X135" s="13" t="s">
        <v>2566</v>
      </c>
      <c r="Y135" s="13" t="s">
        <v>78</v>
      </c>
      <c r="Z135" s="13" t="s">
        <v>2567</v>
      </c>
      <c r="AA135" s="13" t="s">
        <v>169</v>
      </c>
      <c r="AB135" s="13" t="s">
        <v>1264</v>
      </c>
      <c r="AC135" s="13" t="s">
        <v>1265</v>
      </c>
      <c r="AD135" s="13" t="s">
        <v>1265</v>
      </c>
      <c r="AE135" s="13" t="s">
        <v>55</v>
      </c>
      <c r="AF135" s="13" t="s">
        <v>2568</v>
      </c>
      <c r="AG135" s="13" t="s">
        <v>39</v>
      </c>
      <c r="AH135" s="13" t="s">
        <v>2569</v>
      </c>
      <c r="AI135" s="13" t="s">
        <v>2570</v>
      </c>
      <c r="AJ135" s="13" t="s">
        <v>2571</v>
      </c>
      <c r="AK135" s="13" t="s">
        <v>2572</v>
      </c>
      <c r="AL135" s="13" t="s">
        <v>88</v>
      </c>
    </row>
    <row r="136" spans="1:38" x14ac:dyDescent="0.4">
      <c r="A136" s="11" t="s">
        <v>2573</v>
      </c>
      <c r="B136" s="14" t="s">
        <v>2574</v>
      </c>
      <c r="C136" s="15" t="s">
        <v>39</v>
      </c>
      <c r="D136" s="15" t="s">
        <v>92</v>
      </c>
      <c r="E136" s="15" t="s">
        <v>2575</v>
      </c>
      <c r="F136" s="15" t="s">
        <v>154</v>
      </c>
      <c r="G136" s="15" t="s">
        <v>39</v>
      </c>
      <c r="H136" s="15" t="s">
        <v>2576</v>
      </c>
      <c r="I136" s="9">
        <f t="shared" ca="1" si="2"/>
        <v>10</v>
      </c>
      <c r="J136" s="15" t="s">
        <v>2577</v>
      </c>
      <c r="K136" s="15" t="s">
        <v>531</v>
      </c>
      <c r="L136" s="9" t="str">
        <f>VLOOKUP(K136,[1]中国省份_标准!$B$2:$F$35,4,FALSE)</f>
        <v>东部地区</v>
      </c>
      <c r="M136" s="9" t="str">
        <f>VLOOKUP(K136,[1]中国省份_标准!$B$2:$F$35,5,FALSE)</f>
        <v>华南地区</v>
      </c>
      <c r="N136" s="15" t="s">
        <v>1450</v>
      </c>
      <c r="O136" s="15" t="s">
        <v>1847</v>
      </c>
      <c r="P136" s="15" t="s">
        <v>2578</v>
      </c>
      <c r="Q136" s="15" t="s">
        <v>2579</v>
      </c>
      <c r="R136" s="15" t="s">
        <v>2580</v>
      </c>
      <c r="S136" s="15" t="s">
        <v>2581</v>
      </c>
      <c r="T136" s="15" t="s">
        <v>281</v>
      </c>
      <c r="U136" s="15" t="s">
        <v>2574</v>
      </c>
      <c r="V136" s="15" t="s">
        <v>2582</v>
      </c>
      <c r="W136" s="15" t="s">
        <v>2583</v>
      </c>
      <c r="X136" s="15" t="s">
        <v>77</v>
      </c>
      <c r="Y136" s="15" t="s">
        <v>283</v>
      </c>
      <c r="Z136" s="15" t="s">
        <v>2584</v>
      </c>
      <c r="AA136" s="15" t="s">
        <v>80</v>
      </c>
      <c r="AB136" s="15" t="s">
        <v>106</v>
      </c>
      <c r="AC136" s="15" t="s">
        <v>388</v>
      </c>
      <c r="AD136" s="15" t="s">
        <v>434</v>
      </c>
      <c r="AE136" s="15" t="s">
        <v>109</v>
      </c>
      <c r="AF136" s="15" t="s">
        <v>2585</v>
      </c>
      <c r="AG136" s="15" t="s">
        <v>39</v>
      </c>
      <c r="AH136" s="15" t="s">
        <v>39</v>
      </c>
      <c r="AI136" s="15" t="s">
        <v>2586</v>
      </c>
      <c r="AJ136" s="15" t="s">
        <v>2587</v>
      </c>
      <c r="AK136" s="15" t="s">
        <v>1856</v>
      </c>
      <c r="AL136" s="15" t="s">
        <v>88</v>
      </c>
    </row>
    <row r="137" spans="1:38" x14ac:dyDescent="0.4">
      <c r="A137" s="11" t="s">
        <v>2588</v>
      </c>
      <c r="B137" s="12" t="s">
        <v>2589</v>
      </c>
      <c r="C137" s="13" t="s">
        <v>39</v>
      </c>
      <c r="D137" s="13" t="s">
        <v>63</v>
      </c>
      <c r="E137" s="13" t="s">
        <v>2590</v>
      </c>
      <c r="F137" s="13" t="s">
        <v>154</v>
      </c>
      <c r="G137" s="13" t="s">
        <v>154</v>
      </c>
      <c r="H137" s="13" t="s">
        <v>2591</v>
      </c>
      <c r="I137" s="9">
        <f t="shared" ca="1" si="2"/>
        <v>8</v>
      </c>
      <c r="J137" s="13" t="s">
        <v>2592</v>
      </c>
      <c r="K137" s="13" t="s">
        <v>531</v>
      </c>
      <c r="L137" s="9" t="str">
        <f>VLOOKUP(K137,[1]中国省份_标准!$B$2:$F$35,4,FALSE)</f>
        <v>东部地区</v>
      </c>
      <c r="M137" s="9" t="str">
        <f>VLOOKUP(K137,[1]中国省份_标准!$B$2:$F$35,5,FALSE)</f>
        <v>华南地区</v>
      </c>
      <c r="N137" s="13" t="s">
        <v>2560</v>
      </c>
      <c r="O137" s="13" t="s">
        <v>39</v>
      </c>
      <c r="P137" s="13" t="s">
        <v>2593</v>
      </c>
      <c r="Q137" s="13" t="s">
        <v>2594</v>
      </c>
      <c r="R137" s="13" t="s">
        <v>2595</v>
      </c>
      <c r="S137" s="13" t="s">
        <v>39</v>
      </c>
      <c r="T137" s="13" t="s">
        <v>48</v>
      </c>
      <c r="U137" s="13" t="s">
        <v>2589</v>
      </c>
      <c r="V137" s="13" t="s">
        <v>2596</v>
      </c>
      <c r="W137" s="13" t="s">
        <v>2597</v>
      </c>
      <c r="X137" s="13" t="s">
        <v>77</v>
      </c>
      <c r="Y137" s="13" t="s">
        <v>78</v>
      </c>
      <c r="Z137" s="13" t="s">
        <v>2598</v>
      </c>
      <c r="AA137" s="13" t="s">
        <v>169</v>
      </c>
      <c r="AB137" s="13" t="s">
        <v>285</v>
      </c>
      <c r="AC137" s="13" t="s">
        <v>286</v>
      </c>
      <c r="AD137" s="13" t="s">
        <v>287</v>
      </c>
      <c r="AE137" s="13" t="s">
        <v>55</v>
      </c>
      <c r="AF137" s="13" t="s">
        <v>2599</v>
      </c>
      <c r="AG137" s="13" t="s">
        <v>39</v>
      </c>
      <c r="AH137" s="13" t="s">
        <v>39</v>
      </c>
      <c r="AI137" s="13" t="s">
        <v>2600</v>
      </c>
      <c r="AJ137" s="13" t="s">
        <v>2601</v>
      </c>
      <c r="AK137" s="13" t="s">
        <v>2572</v>
      </c>
      <c r="AL137" s="13" t="s">
        <v>88</v>
      </c>
    </row>
    <row r="138" spans="1:38" x14ac:dyDescent="0.4">
      <c r="A138" s="11" t="s">
        <v>2602</v>
      </c>
      <c r="B138" s="14" t="s">
        <v>2603</v>
      </c>
      <c r="C138" s="15" t="s">
        <v>39</v>
      </c>
      <c r="D138" s="15" t="s">
        <v>2604</v>
      </c>
      <c r="E138" s="15" t="s">
        <v>2605</v>
      </c>
      <c r="F138" s="15" t="s">
        <v>422</v>
      </c>
      <c r="G138" s="15" t="s">
        <v>422</v>
      </c>
      <c r="H138" s="15" t="s">
        <v>2606</v>
      </c>
      <c r="I138" s="9">
        <f t="shared" ca="1" si="2"/>
        <v>8</v>
      </c>
      <c r="J138" s="15" t="s">
        <v>2607</v>
      </c>
      <c r="K138" s="15" t="s">
        <v>531</v>
      </c>
      <c r="L138" s="9" t="str">
        <f>VLOOKUP(K138,[1]中国省份_标准!$B$2:$F$35,4,FALSE)</f>
        <v>东部地区</v>
      </c>
      <c r="M138" s="9" t="str">
        <f>VLOOKUP(K138,[1]中国省份_标准!$B$2:$F$35,5,FALSE)</f>
        <v>华南地区</v>
      </c>
      <c r="N138" s="15" t="s">
        <v>2560</v>
      </c>
      <c r="O138" s="15" t="s">
        <v>39</v>
      </c>
      <c r="P138" s="15" t="s">
        <v>2608</v>
      </c>
      <c r="Q138" s="15" t="s">
        <v>2609</v>
      </c>
      <c r="R138" s="15" t="s">
        <v>39</v>
      </c>
      <c r="S138" s="15" t="s">
        <v>39</v>
      </c>
      <c r="T138" s="15" t="s">
        <v>281</v>
      </c>
      <c r="U138" s="15" t="s">
        <v>2603</v>
      </c>
      <c r="V138" s="15" t="s">
        <v>2610</v>
      </c>
      <c r="W138" s="15" t="s">
        <v>2611</v>
      </c>
      <c r="X138" s="15" t="s">
        <v>690</v>
      </c>
      <c r="Y138" s="15" t="s">
        <v>283</v>
      </c>
      <c r="Z138" s="15" t="s">
        <v>2612</v>
      </c>
      <c r="AA138" s="15" t="s">
        <v>80</v>
      </c>
      <c r="AB138" s="15" t="s">
        <v>106</v>
      </c>
      <c r="AC138" s="15" t="s">
        <v>388</v>
      </c>
      <c r="AD138" s="15" t="s">
        <v>389</v>
      </c>
      <c r="AE138" s="15" t="s">
        <v>109</v>
      </c>
      <c r="AF138" s="15" t="s">
        <v>2613</v>
      </c>
      <c r="AG138" s="15" t="s">
        <v>39</v>
      </c>
      <c r="AH138" s="15" t="s">
        <v>39</v>
      </c>
      <c r="AI138" s="15" t="s">
        <v>2614</v>
      </c>
      <c r="AJ138" s="15" t="s">
        <v>2615</v>
      </c>
      <c r="AK138" s="15" t="s">
        <v>2572</v>
      </c>
      <c r="AL138" s="15" t="s">
        <v>88</v>
      </c>
    </row>
    <row r="139" spans="1:38" x14ac:dyDescent="0.4">
      <c r="A139" s="11" t="s">
        <v>2616</v>
      </c>
      <c r="B139" s="12" t="s">
        <v>2617</v>
      </c>
      <c r="C139" s="13" t="s">
        <v>39</v>
      </c>
      <c r="D139" s="13" t="s">
        <v>63</v>
      </c>
      <c r="E139" s="13" t="s">
        <v>2618</v>
      </c>
      <c r="F139" s="13" t="s">
        <v>154</v>
      </c>
      <c r="G139" s="13" t="s">
        <v>39</v>
      </c>
      <c r="H139" s="13" t="s">
        <v>2619</v>
      </c>
      <c r="I139" s="9">
        <f t="shared" ca="1" si="2"/>
        <v>8</v>
      </c>
      <c r="J139" s="13" t="s">
        <v>2620</v>
      </c>
      <c r="K139" s="13" t="s">
        <v>531</v>
      </c>
      <c r="L139" s="9" t="str">
        <f>VLOOKUP(K139,[1]中国省份_标准!$B$2:$F$35,4,FALSE)</f>
        <v>东部地区</v>
      </c>
      <c r="M139" s="9" t="str">
        <f>VLOOKUP(K139,[1]中国省份_标准!$B$2:$F$35,5,FALSE)</f>
        <v>华南地区</v>
      </c>
      <c r="N139" s="13" t="s">
        <v>2560</v>
      </c>
      <c r="O139" s="13" t="s">
        <v>39</v>
      </c>
      <c r="P139" s="13" t="s">
        <v>2621</v>
      </c>
      <c r="Q139" s="13" t="s">
        <v>2622</v>
      </c>
      <c r="R139" s="13" t="s">
        <v>2623</v>
      </c>
      <c r="S139" s="13" t="s">
        <v>39</v>
      </c>
      <c r="T139" s="13" t="s">
        <v>281</v>
      </c>
      <c r="U139" s="13" t="s">
        <v>2617</v>
      </c>
      <c r="V139" s="13" t="s">
        <v>2624</v>
      </c>
      <c r="W139" s="13" t="s">
        <v>2625</v>
      </c>
      <c r="X139" s="13" t="s">
        <v>690</v>
      </c>
      <c r="Y139" s="13" t="s">
        <v>78</v>
      </c>
      <c r="Z139" s="13" t="s">
        <v>2626</v>
      </c>
      <c r="AA139" s="13" t="s">
        <v>169</v>
      </c>
      <c r="AB139" s="13" t="s">
        <v>1264</v>
      </c>
      <c r="AC139" s="13" t="s">
        <v>1265</v>
      </c>
      <c r="AD139" s="13" t="s">
        <v>1265</v>
      </c>
      <c r="AE139" s="13" t="s">
        <v>109</v>
      </c>
      <c r="AF139" s="13" t="s">
        <v>2627</v>
      </c>
      <c r="AG139" s="13" t="s">
        <v>39</v>
      </c>
      <c r="AH139" s="13" t="s">
        <v>39</v>
      </c>
      <c r="AI139" s="13" t="s">
        <v>2628</v>
      </c>
      <c r="AJ139" s="13" t="s">
        <v>2629</v>
      </c>
      <c r="AK139" s="13" t="s">
        <v>2572</v>
      </c>
      <c r="AL139" s="13" t="s">
        <v>88</v>
      </c>
    </row>
    <row r="140" spans="1:38" x14ac:dyDescent="0.4">
      <c r="A140" s="11" t="s">
        <v>2630</v>
      </c>
      <c r="B140" s="14" t="s">
        <v>2631</v>
      </c>
      <c r="C140" s="15" t="s">
        <v>39</v>
      </c>
      <c r="D140" s="15" t="s">
        <v>2632</v>
      </c>
      <c r="E140" s="15" t="s">
        <v>2633</v>
      </c>
      <c r="F140" s="15" t="s">
        <v>154</v>
      </c>
      <c r="G140" s="15" t="s">
        <v>2634</v>
      </c>
      <c r="H140" s="15" t="s">
        <v>2635</v>
      </c>
      <c r="I140" s="9">
        <f t="shared" ca="1" si="2"/>
        <v>7</v>
      </c>
      <c r="J140" s="15" t="s">
        <v>2636</v>
      </c>
      <c r="K140" s="15" t="s">
        <v>531</v>
      </c>
      <c r="L140" s="9" t="str">
        <f>VLOOKUP(K140,[1]中国省份_标准!$B$2:$F$35,4,FALSE)</f>
        <v>东部地区</v>
      </c>
      <c r="M140" s="9" t="str">
        <f>VLOOKUP(K140,[1]中国省份_标准!$B$2:$F$35,5,FALSE)</f>
        <v>华南地区</v>
      </c>
      <c r="N140" s="15" t="s">
        <v>2560</v>
      </c>
      <c r="O140" s="15" t="s">
        <v>39</v>
      </c>
      <c r="P140" s="15" t="s">
        <v>2637</v>
      </c>
      <c r="Q140" s="15" t="s">
        <v>39</v>
      </c>
      <c r="R140" s="15" t="s">
        <v>2638</v>
      </c>
      <c r="S140" s="15" t="s">
        <v>39</v>
      </c>
      <c r="T140" s="15" t="s">
        <v>48</v>
      </c>
      <c r="U140" s="15" t="s">
        <v>2631</v>
      </c>
      <c r="V140" s="15" t="s">
        <v>39</v>
      </c>
      <c r="W140" s="15" t="s">
        <v>2639</v>
      </c>
      <c r="X140" s="15" t="s">
        <v>77</v>
      </c>
      <c r="Y140" s="15" t="s">
        <v>283</v>
      </c>
      <c r="Z140" s="15" t="s">
        <v>2640</v>
      </c>
      <c r="AA140" s="15" t="s">
        <v>169</v>
      </c>
      <c r="AB140" s="15" t="s">
        <v>1264</v>
      </c>
      <c r="AC140" s="15" t="s">
        <v>1265</v>
      </c>
      <c r="AD140" s="15" t="s">
        <v>1265</v>
      </c>
      <c r="AE140" s="15" t="s">
        <v>109</v>
      </c>
      <c r="AF140" s="15" t="s">
        <v>2641</v>
      </c>
      <c r="AG140" s="15" t="s">
        <v>39</v>
      </c>
      <c r="AH140" s="15" t="s">
        <v>39</v>
      </c>
      <c r="AI140" s="15" t="s">
        <v>2642</v>
      </c>
      <c r="AJ140" s="15" t="s">
        <v>2643</v>
      </c>
      <c r="AK140" s="15" t="s">
        <v>2572</v>
      </c>
      <c r="AL140" s="15" t="s">
        <v>88</v>
      </c>
    </row>
    <row r="141" spans="1:38" x14ac:dyDescent="0.4">
      <c r="A141" s="11" t="s">
        <v>2644</v>
      </c>
      <c r="B141" s="12" t="s">
        <v>2645</v>
      </c>
      <c r="C141" s="13" t="s">
        <v>39</v>
      </c>
      <c r="D141" s="13" t="s">
        <v>63</v>
      </c>
      <c r="E141" s="13" t="s">
        <v>2646</v>
      </c>
      <c r="F141" s="13" t="s">
        <v>154</v>
      </c>
      <c r="G141" s="13" t="s">
        <v>39</v>
      </c>
      <c r="H141" s="13" t="s">
        <v>2647</v>
      </c>
      <c r="I141" s="9">
        <f t="shared" ca="1" si="2"/>
        <v>6</v>
      </c>
      <c r="J141" s="13" t="s">
        <v>2648</v>
      </c>
      <c r="K141" s="13" t="s">
        <v>531</v>
      </c>
      <c r="L141" s="9" t="str">
        <f>VLOOKUP(K141,[1]中国省份_标准!$B$2:$F$35,4,FALSE)</f>
        <v>东部地区</v>
      </c>
      <c r="M141" s="9" t="str">
        <f>VLOOKUP(K141,[1]中国省份_标准!$B$2:$F$35,5,FALSE)</f>
        <v>华南地区</v>
      </c>
      <c r="N141" s="13" t="s">
        <v>2560</v>
      </c>
      <c r="O141" s="13" t="s">
        <v>39</v>
      </c>
      <c r="P141" s="13" t="s">
        <v>2649</v>
      </c>
      <c r="Q141" s="13" t="s">
        <v>39</v>
      </c>
      <c r="R141" s="13" t="s">
        <v>2650</v>
      </c>
      <c r="S141" s="13" t="s">
        <v>39</v>
      </c>
      <c r="T141" s="13" t="s">
        <v>48</v>
      </c>
      <c r="U141" s="13" t="s">
        <v>2645</v>
      </c>
      <c r="V141" s="13" t="s">
        <v>39</v>
      </c>
      <c r="W141" s="13" t="s">
        <v>2651</v>
      </c>
      <c r="X141" s="13" t="s">
        <v>540</v>
      </c>
      <c r="Y141" s="13" t="s">
        <v>78</v>
      </c>
      <c r="Z141" s="13" t="s">
        <v>2652</v>
      </c>
      <c r="AA141" s="13" t="s">
        <v>169</v>
      </c>
      <c r="AB141" s="13" t="s">
        <v>1264</v>
      </c>
      <c r="AC141" s="13" t="s">
        <v>1265</v>
      </c>
      <c r="AD141" s="13" t="s">
        <v>1265</v>
      </c>
      <c r="AE141" s="13" t="s">
        <v>109</v>
      </c>
      <c r="AF141" s="13" t="s">
        <v>2653</v>
      </c>
      <c r="AG141" s="13" t="s">
        <v>39</v>
      </c>
      <c r="AH141" s="13" t="s">
        <v>39</v>
      </c>
      <c r="AI141" s="13" t="s">
        <v>2654</v>
      </c>
      <c r="AJ141" s="13" t="s">
        <v>2655</v>
      </c>
      <c r="AK141" s="13" t="s">
        <v>2572</v>
      </c>
      <c r="AL141" s="13" t="s">
        <v>88</v>
      </c>
    </row>
    <row r="142" spans="1:38" x14ac:dyDescent="0.4">
      <c r="A142" s="11" t="s">
        <v>2656</v>
      </c>
      <c r="B142" s="14" t="s">
        <v>2657</v>
      </c>
      <c r="C142" s="15" t="s">
        <v>39</v>
      </c>
      <c r="D142" s="15" t="s">
        <v>92</v>
      </c>
      <c r="E142" s="15" t="s">
        <v>2658</v>
      </c>
      <c r="F142" s="15" t="s">
        <v>2659</v>
      </c>
      <c r="G142" s="15" t="s">
        <v>39</v>
      </c>
      <c r="H142" s="15" t="s">
        <v>2660</v>
      </c>
      <c r="I142" s="9">
        <f t="shared" ca="1" si="2"/>
        <v>31</v>
      </c>
      <c r="J142" s="15" t="s">
        <v>2661</v>
      </c>
      <c r="K142" s="15" t="s">
        <v>531</v>
      </c>
      <c r="L142" s="9" t="str">
        <f>VLOOKUP(K142,[1]中国省份_标准!$B$2:$F$35,4,FALSE)</f>
        <v>东部地区</v>
      </c>
      <c r="M142" s="9" t="str">
        <f>VLOOKUP(K142,[1]中国省份_标准!$B$2:$F$35,5,FALSE)</f>
        <v>华南地区</v>
      </c>
      <c r="N142" s="15" t="s">
        <v>532</v>
      </c>
      <c r="O142" s="15" t="s">
        <v>2662</v>
      </c>
      <c r="P142" s="15" t="s">
        <v>2663</v>
      </c>
      <c r="Q142" s="15" t="s">
        <v>2664</v>
      </c>
      <c r="R142" s="15" t="s">
        <v>2665</v>
      </c>
      <c r="S142" s="15" t="s">
        <v>2666</v>
      </c>
      <c r="T142" s="15" t="s">
        <v>164</v>
      </c>
      <c r="U142" s="15" t="s">
        <v>2657</v>
      </c>
      <c r="V142" s="15" t="s">
        <v>2667</v>
      </c>
      <c r="W142" s="15" t="s">
        <v>2668</v>
      </c>
      <c r="X142" s="15" t="s">
        <v>1994</v>
      </c>
      <c r="Y142" s="15" t="s">
        <v>78</v>
      </c>
      <c r="Z142" s="15" t="s">
        <v>2669</v>
      </c>
      <c r="AA142" s="15" t="s">
        <v>169</v>
      </c>
      <c r="AB142" s="15" t="s">
        <v>1996</v>
      </c>
      <c r="AC142" s="15" t="s">
        <v>1997</v>
      </c>
      <c r="AD142" s="15" t="s">
        <v>1997</v>
      </c>
      <c r="AE142" s="15" t="s">
        <v>55</v>
      </c>
      <c r="AF142" s="15" t="s">
        <v>2670</v>
      </c>
      <c r="AG142" s="15" t="s">
        <v>39</v>
      </c>
      <c r="AH142" s="15" t="s">
        <v>39</v>
      </c>
      <c r="AI142" s="15" t="s">
        <v>39</v>
      </c>
      <c r="AJ142" s="15" t="s">
        <v>2671</v>
      </c>
      <c r="AK142" s="15" t="s">
        <v>2672</v>
      </c>
      <c r="AL142" s="15" t="s">
        <v>88</v>
      </c>
    </row>
    <row r="143" spans="1:38" x14ac:dyDescent="0.4">
      <c r="A143" s="11" t="s">
        <v>2673</v>
      </c>
      <c r="B143" s="12" t="s">
        <v>2674</v>
      </c>
      <c r="C143" s="13" t="s">
        <v>39</v>
      </c>
      <c r="D143" s="13" t="s">
        <v>63</v>
      </c>
      <c r="E143" s="13" t="s">
        <v>2675</v>
      </c>
      <c r="F143" s="13" t="s">
        <v>2676</v>
      </c>
      <c r="G143" s="13" t="s">
        <v>2677</v>
      </c>
      <c r="H143" s="13" t="s">
        <v>2678</v>
      </c>
      <c r="I143" s="9">
        <f t="shared" ca="1" si="2"/>
        <v>35</v>
      </c>
      <c r="J143" s="13" t="s">
        <v>2679</v>
      </c>
      <c r="K143" s="13" t="s">
        <v>531</v>
      </c>
      <c r="L143" s="9" t="str">
        <f>VLOOKUP(K143,[1]中国省份_标准!$B$2:$F$35,4,FALSE)</f>
        <v>东部地区</v>
      </c>
      <c r="M143" s="9" t="str">
        <f>VLOOKUP(K143,[1]中国省份_标准!$B$2:$F$35,5,FALSE)</f>
        <v>华南地区</v>
      </c>
      <c r="N143" s="13" t="s">
        <v>1682</v>
      </c>
      <c r="O143" s="13" t="s">
        <v>2680</v>
      </c>
      <c r="P143" s="13" t="s">
        <v>2681</v>
      </c>
      <c r="Q143" s="13" t="s">
        <v>39</v>
      </c>
      <c r="R143" s="13" t="s">
        <v>2682</v>
      </c>
      <c r="S143" s="13" t="s">
        <v>39</v>
      </c>
      <c r="T143" s="13" t="s">
        <v>601</v>
      </c>
      <c r="U143" s="13" t="s">
        <v>2674</v>
      </c>
      <c r="V143" s="13" t="s">
        <v>2683</v>
      </c>
      <c r="W143" s="13" t="s">
        <v>2684</v>
      </c>
      <c r="X143" s="13" t="s">
        <v>2685</v>
      </c>
      <c r="Y143" s="13" t="s">
        <v>78</v>
      </c>
      <c r="Z143" s="13" t="s">
        <v>2686</v>
      </c>
      <c r="AA143" s="13" t="s">
        <v>169</v>
      </c>
      <c r="AB143" s="13" t="s">
        <v>285</v>
      </c>
      <c r="AC143" s="13" t="s">
        <v>479</v>
      </c>
      <c r="AD143" s="13" t="s">
        <v>2471</v>
      </c>
      <c r="AE143" s="13" t="s">
        <v>55</v>
      </c>
      <c r="AF143" s="13" t="s">
        <v>2687</v>
      </c>
      <c r="AG143" s="13" t="s">
        <v>2688</v>
      </c>
      <c r="AH143" s="13" t="s">
        <v>39</v>
      </c>
      <c r="AI143" s="13" t="s">
        <v>2689</v>
      </c>
      <c r="AJ143" s="13" t="s">
        <v>2690</v>
      </c>
      <c r="AK143" s="13" t="s">
        <v>2691</v>
      </c>
      <c r="AL143" s="13" t="s">
        <v>88</v>
      </c>
    </row>
    <row r="144" spans="1:38" x14ac:dyDescent="0.4">
      <c r="A144" s="11" t="s">
        <v>2692</v>
      </c>
      <c r="B144" s="14" t="s">
        <v>2693</v>
      </c>
      <c r="C144" s="15" t="s">
        <v>39</v>
      </c>
      <c r="D144" s="15" t="s">
        <v>63</v>
      </c>
      <c r="E144" s="15" t="s">
        <v>2694</v>
      </c>
      <c r="F144" s="15" t="s">
        <v>154</v>
      </c>
      <c r="G144" s="15" t="s">
        <v>39</v>
      </c>
      <c r="H144" s="15" t="s">
        <v>1565</v>
      </c>
      <c r="I144" s="9">
        <f t="shared" ca="1" si="2"/>
        <v>4</v>
      </c>
      <c r="J144" s="15" t="s">
        <v>2695</v>
      </c>
      <c r="K144" s="15" t="s">
        <v>531</v>
      </c>
      <c r="L144" s="9" t="str">
        <f>VLOOKUP(K144,[1]中国省份_标准!$B$2:$F$35,4,FALSE)</f>
        <v>东部地区</v>
      </c>
      <c r="M144" s="9" t="str">
        <f>VLOOKUP(K144,[1]中国省份_标准!$B$2:$F$35,5,FALSE)</f>
        <v>华南地区</v>
      </c>
      <c r="N144" s="15" t="s">
        <v>532</v>
      </c>
      <c r="O144" s="15" t="s">
        <v>533</v>
      </c>
      <c r="P144" s="15" t="s">
        <v>2696</v>
      </c>
      <c r="Q144" s="15" t="s">
        <v>39</v>
      </c>
      <c r="R144" s="15" t="s">
        <v>2697</v>
      </c>
      <c r="S144" s="15" t="s">
        <v>39</v>
      </c>
      <c r="T144" s="15" t="s">
        <v>281</v>
      </c>
      <c r="U144" s="15" t="s">
        <v>2693</v>
      </c>
      <c r="V144" s="15" t="s">
        <v>39</v>
      </c>
      <c r="W144" s="15" t="s">
        <v>2698</v>
      </c>
      <c r="X144" s="15" t="s">
        <v>77</v>
      </c>
      <c r="Y144" s="15" t="s">
        <v>78</v>
      </c>
      <c r="Z144" s="15" t="s">
        <v>1569</v>
      </c>
      <c r="AA144" s="15" t="s">
        <v>80</v>
      </c>
      <c r="AB144" s="15" t="s">
        <v>106</v>
      </c>
      <c r="AC144" s="15" t="s">
        <v>388</v>
      </c>
      <c r="AD144" s="15" t="s">
        <v>434</v>
      </c>
      <c r="AE144" s="15" t="s">
        <v>109</v>
      </c>
      <c r="AF144" s="15" t="s">
        <v>2699</v>
      </c>
      <c r="AG144" s="15" t="s">
        <v>39</v>
      </c>
      <c r="AH144" s="15" t="s">
        <v>39</v>
      </c>
      <c r="AI144" s="15" t="s">
        <v>2700</v>
      </c>
      <c r="AJ144" s="15" t="s">
        <v>2701</v>
      </c>
      <c r="AK144" s="15" t="s">
        <v>545</v>
      </c>
      <c r="AL144" s="15" t="s">
        <v>88</v>
      </c>
    </row>
    <row r="145" spans="1:38" x14ac:dyDescent="0.4">
      <c r="A145" s="11" t="s">
        <v>2702</v>
      </c>
      <c r="B145" s="12" t="s">
        <v>2703</v>
      </c>
      <c r="C145" s="13" t="s">
        <v>39</v>
      </c>
      <c r="D145" s="13" t="s">
        <v>63</v>
      </c>
      <c r="E145" s="13" t="s">
        <v>2704</v>
      </c>
      <c r="F145" s="13" t="s">
        <v>2705</v>
      </c>
      <c r="G145" s="13" t="s">
        <v>2705</v>
      </c>
      <c r="H145" s="13" t="s">
        <v>2706</v>
      </c>
      <c r="I145" s="9">
        <f t="shared" ca="1" si="2"/>
        <v>12</v>
      </c>
      <c r="J145" s="13" t="s">
        <v>2707</v>
      </c>
      <c r="K145" s="13" t="s">
        <v>531</v>
      </c>
      <c r="L145" s="9" t="str">
        <f>VLOOKUP(K145,[1]中国省份_标准!$B$2:$F$35,4,FALSE)</f>
        <v>东部地区</v>
      </c>
      <c r="M145" s="9" t="str">
        <f>VLOOKUP(K145,[1]中国省份_标准!$B$2:$F$35,5,FALSE)</f>
        <v>华南地区</v>
      </c>
      <c r="N145" s="13" t="s">
        <v>1698</v>
      </c>
      <c r="O145" s="13" t="s">
        <v>39</v>
      </c>
      <c r="P145" s="13" t="s">
        <v>2708</v>
      </c>
      <c r="Q145" s="13" t="s">
        <v>2709</v>
      </c>
      <c r="R145" s="13" t="s">
        <v>2710</v>
      </c>
      <c r="S145" s="13" t="s">
        <v>39</v>
      </c>
      <c r="T145" s="13" t="s">
        <v>48</v>
      </c>
      <c r="U145" s="13" t="s">
        <v>2703</v>
      </c>
      <c r="V145" s="13" t="s">
        <v>2711</v>
      </c>
      <c r="W145" s="13" t="s">
        <v>2712</v>
      </c>
      <c r="X145" s="13" t="s">
        <v>77</v>
      </c>
      <c r="Y145" s="13" t="s">
        <v>78</v>
      </c>
      <c r="Z145" s="13" t="s">
        <v>2713</v>
      </c>
      <c r="AA145" s="13" t="s">
        <v>169</v>
      </c>
      <c r="AB145" s="13" t="s">
        <v>1264</v>
      </c>
      <c r="AC145" s="13" t="s">
        <v>1265</v>
      </c>
      <c r="AD145" s="13" t="s">
        <v>1265</v>
      </c>
      <c r="AE145" s="13" t="s">
        <v>109</v>
      </c>
      <c r="AF145" s="13" t="s">
        <v>2714</v>
      </c>
      <c r="AG145" s="13" t="s">
        <v>39</v>
      </c>
      <c r="AH145" s="13" t="s">
        <v>39</v>
      </c>
      <c r="AI145" s="13" t="s">
        <v>2715</v>
      </c>
      <c r="AJ145" s="13" t="s">
        <v>2716</v>
      </c>
      <c r="AK145" s="13" t="s">
        <v>1711</v>
      </c>
      <c r="AL145" s="13" t="s">
        <v>88</v>
      </c>
    </row>
    <row r="146" spans="1:38" x14ac:dyDescent="0.4">
      <c r="A146" s="11" t="s">
        <v>2717</v>
      </c>
      <c r="B146" s="14" t="s">
        <v>2718</v>
      </c>
      <c r="C146" s="15" t="s">
        <v>39</v>
      </c>
      <c r="D146" s="15" t="s">
        <v>92</v>
      </c>
      <c r="E146" s="15" t="s">
        <v>2719</v>
      </c>
      <c r="F146" s="15" t="s">
        <v>2720</v>
      </c>
      <c r="G146" s="15" t="s">
        <v>2720</v>
      </c>
      <c r="H146" s="15" t="s">
        <v>2721</v>
      </c>
      <c r="I146" s="9">
        <f t="shared" ca="1" si="2"/>
        <v>20</v>
      </c>
      <c r="J146" s="15" t="s">
        <v>2722</v>
      </c>
      <c r="K146" s="15" t="s">
        <v>903</v>
      </c>
      <c r="L146" s="9" t="str">
        <f>VLOOKUP(K146,[1]中国省份_标准!$B$2:$F$35,4,FALSE)</f>
        <v>东北地区</v>
      </c>
      <c r="M146" s="9" t="str">
        <f>VLOOKUP(K146,[1]中国省份_标准!$B$2:$F$35,5,FALSE)</f>
        <v>东北地区</v>
      </c>
      <c r="N146" s="15" t="s">
        <v>923</v>
      </c>
      <c r="O146" s="15" t="s">
        <v>2723</v>
      </c>
      <c r="P146" s="15" t="s">
        <v>2724</v>
      </c>
      <c r="Q146" s="15" t="s">
        <v>2725</v>
      </c>
      <c r="R146" s="15" t="s">
        <v>2726</v>
      </c>
      <c r="S146" s="15" t="s">
        <v>2727</v>
      </c>
      <c r="T146" s="15" t="s">
        <v>452</v>
      </c>
      <c r="U146" s="15" t="s">
        <v>2718</v>
      </c>
      <c r="V146" s="15" t="s">
        <v>2728</v>
      </c>
      <c r="W146" s="15" t="s">
        <v>2729</v>
      </c>
      <c r="X146" s="15" t="s">
        <v>2730</v>
      </c>
      <c r="Y146" s="15" t="s">
        <v>78</v>
      </c>
      <c r="Z146" s="15" t="s">
        <v>168</v>
      </c>
      <c r="AA146" s="15" t="s">
        <v>169</v>
      </c>
      <c r="AB146" s="15" t="s">
        <v>259</v>
      </c>
      <c r="AC146" s="15" t="s">
        <v>260</v>
      </c>
      <c r="AD146" s="15" t="s">
        <v>2731</v>
      </c>
      <c r="AE146" s="15" t="s">
        <v>262</v>
      </c>
      <c r="AF146" s="15" t="s">
        <v>2732</v>
      </c>
      <c r="AG146" s="15" t="s">
        <v>39</v>
      </c>
      <c r="AH146" s="15" t="s">
        <v>39</v>
      </c>
      <c r="AI146" s="15" t="s">
        <v>2733</v>
      </c>
      <c r="AJ146" s="15" t="s">
        <v>2734</v>
      </c>
      <c r="AK146" s="15" t="s">
        <v>2735</v>
      </c>
      <c r="AL146" s="15" t="s">
        <v>88</v>
      </c>
    </row>
    <row r="147" spans="1:38" x14ac:dyDescent="0.4">
      <c r="A147" s="11" t="s">
        <v>2736</v>
      </c>
      <c r="B147" s="12" t="s">
        <v>2737</v>
      </c>
      <c r="C147" s="13" t="s">
        <v>2738</v>
      </c>
      <c r="D147" s="13" t="s">
        <v>92</v>
      </c>
      <c r="E147" s="13" t="s">
        <v>2739</v>
      </c>
      <c r="F147" s="13" t="s">
        <v>2740</v>
      </c>
      <c r="G147" s="13" t="s">
        <v>2740</v>
      </c>
      <c r="H147" s="13" t="s">
        <v>2741</v>
      </c>
      <c r="I147" s="9">
        <f t="shared" ca="1" si="2"/>
        <v>7</v>
      </c>
      <c r="J147" s="13" t="s">
        <v>2742</v>
      </c>
      <c r="K147" s="13" t="s">
        <v>274</v>
      </c>
      <c r="L147" s="9" t="str">
        <f>VLOOKUP(K147,[1]中国省份_标准!$B$2:$F$35,4,FALSE)</f>
        <v>西部地区</v>
      </c>
      <c r="M147" s="9" t="str">
        <f>VLOOKUP(K147,[1]中国省份_标准!$B$2:$F$35,5,FALSE)</f>
        <v>西南地区</v>
      </c>
      <c r="N147" s="13" t="s">
        <v>2743</v>
      </c>
      <c r="O147" s="13" t="s">
        <v>2744</v>
      </c>
      <c r="P147" s="13" t="s">
        <v>2745</v>
      </c>
      <c r="Q147" s="13" t="s">
        <v>2746</v>
      </c>
      <c r="R147" s="13" t="s">
        <v>2747</v>
      </c>
      <c r="S147" s="13" t="s">
        <v>2748</v>
      </c>
      <c r="T147" s="13" t="s">
        <v>452</v>
      </c>
      <c r="U147" s="13" t="s">
        <v>2737</v>
      </c>
      <c r="V147" s="13" t="s">
        <v>39</v>
      </c>
      <c r="W147" s="13" t="s">
        <v>2749</v>
      </c>
      <c r="X147" s="13" t="s">
        <v>212</v>
      </c>
      <c r="Y147" s="13" t="s">
        <v>78</v>
      </c>
      <c r="Z147" s="13" t="s">
        <v>2750</v>
      </c>
      <c r="AA147" s="13" t="s">
        <v>309</v>
      </c>
      <c r="AB147" s="13" t="s">
        <v>654</v>
      </c>
      <c r="AC147" s="13" t="s">
        <v>655</v>
      </c>
      <c r="AD147" s="13" t="s">
        <v>2751</v>
      </c>
      <c r="AE147" s="13" t="s">
        <v>262</v>
      </c>
      <c r="AF147" s="13" t="s">
        <v>2752</v>
      </c>
      <c r="AG147" s="13" t="s">
        <v>39</v>
      </c>
      <c r="AH147" s="13" t="s">
        <v>2753</v>
      </c>
      <c r="AI147" s="13" t="s">
        <v>2754</v>
      </c>
      <c r="AJ147" s="13" t="s">
        <v>2755</v>
      </c>
      <c r="AK147" s="13" t="s">
        <v>2756</v>
      </c>
      <c r="AL147" s="13" t="s">
        <v>88</v>
      </c>
    </row>
    <row r="148" spans="1:38" x14ac:dyDescent="0.4">
      <c r="A148" s="11" t="s">
        <v>2757</v>
      </c>
      <c r="B148" s="14" t="s">
        <v>2758</v>
      </c>
      <c r="C148" s="15" t="s">
        <v>39</v>
      </c>
      <c r="D148" s="15" t="s">
        <v>92</v>
      </c>
      <c r="E148" s="15" t="s">
        <v>2759</v>
      </c>
      <c r="F148" s="15" t="s">
        <v>2760</v>
      </c>
      <c r="G148" s="15" t="s">
        <v>2760</v>
      </c>
      <c r="H148" s="15" t="s">
        <v>2761</v>
      </c>
      <c r="I148" s="9">
        <f t="shared" ca="1" si="2"/>
        <v>18</v>
      </c>
      <c r="J148" s="15" t="s">
        <v>2762</v>
      </c>
      <c r="K148" s="15" t="s">
        <v>227</v>
      </c>
      <c r="L148" s="9" t="str">
        <f>VLOOKUP(K148,[1]中国省份_标准!$B$2:$F$35,4,FALSE)</f>
        <v>西部地区</v>
      </c>
      <c r="M148" s="9" t="str">
        <f>VLOOKUP(K148,[1]中国省份_标准!$B$2:$F$35,5,FALSE)</f>
        <v>西北地区</v>
      </c>
      <c r="N148" s="15" t="s">
        <v>2763</v>
      </c>
      <c r="O148" s="15" t="s">
        <v>2764</v>
      </c>
      <c r="P148" s="15" t="s">
        <v>2765</v>
      </c>
      <c r="Q148" s="15" t="s">
        <v>2766</v>
      </c>
      <c r="R148" s="15" t="s">
        <v>2767</v>
      </c>
      <c r="S148" s="15" t="s">
        <v>2768</v>
      </c>
      <c r="T148" s="15" t="s">
        <v>184</v>
      </c>
      <c r="U148" s="15" t="s">
        <v>2758</v>
      </c>
      <c r="V148" s="15" t="s">
        <v>2769</v>
      </c>
      <c r="W148" s="15" t="s">
        <v>2770</v>
      </c>
      <c r="X148" s="15" t="s">
        <v>2771</v>
      </c>
      <c r="Y148" s="15" t="s">
        <v>78</v>
      </c>
      <c r="Z148" s="15" t="s">
        <v>2772</v>
      </c>
      <c r="AA148" s="15" t="s">
        <v>169</v>
      </c>
      <c r="AB148" s="15" t="s">
        <v>1264</v>
      </c>
      <c r="AC148" s="15" t="s">
        <v>1457</v>
      </c>
      <c r="AD148" s="15" t="s">
        <v>1557</v>
      </c>
      <c r="AE148" s="15" t="s">
        <v>55</v>
      </c>
      <c r="AF148" s="15" t="s">
        <v>2773</v>
      </c>
      <c r="AG148" s="15" t="s">
        <v>39</v>
      </c>
      <c r="AH148" s="15" t="s">
        <v>39</v>
      </c>
      <c r="AI148" s="15" t="s">
        <v>2774</v>
      </c>
      <c r="AJ148" s="15" t="s">
        <v>2775</v>
      </c>
      <c r="AK148" s="15" t="s">
        <v>2776</v>
      </c>
      <c r="AL148" s="15" t="s">
        <v>88</v>
      </c>
    </row>
    <row r="149" spans="1:38" x14ac:dyDescent="0.4">
      <c r="A149" s="11" t="s">
        <v>2777</v>
      </c>
      <c r="B149" s="12" t="s">
        <v>2778</v>
      </c>
      <c r="C149" s="13" t="s">
        <v>2779</v>
      </c>
      <c r="D149" s="13" t="s">
        <v>92</v>
      </c>
      <c r="E149" s="13" t="s">
        <v>2780</v>
      </c>
      <c r="F149" s="13" t="s">
        <v>2781</v>
      </c>
      <c r="G149" s="13" t="s">
        <v>2782</v>
      </c>
      <c r="H149" s="13" t="s">
        <v>2783</v>
      </c>
      <c r="I149" s="9">
        <f t="shared" ca="1" si="2"/>
        <v>24</v>
      </c>
      <c r="J149" s="13" t="s">
        <v>2784</v>
      </c>
      <c r="K149" s="13" t="s">
        <v>643</v>
      </c>
      <c r="L149" s="9" t="str">
        <f>VLOOKUP(K149,[1]中国省份_标准!$B$2:$F$35,4,FALSE)</f>
        <v>东北地区</v>
      </c>
      <c r="M149" s="9" t="str">
        <f>VLOOKUP(K149,[1]中国省份_标准!$B$2:$F$35,5,FALSE)</f>
        <v>东北地区</v>
      </c>
      <c r="N149" s="13" t="s">
        <v>2785</v>
      </c>
      <c r="O149" s="13" t="s">
        <v>2786</v>
      </c>
      <c r="P149" s="13" t="s">
        <v>2787</v>
      </c>
      <c r="Q149" s="13" t="s">
        <v>2788</v>
      </c>
      <c r="R149" s="13" t="s">
        <v>2789</v>
      </c>
      <c r="S149" s="13" t="s">
        <v>2790</v>
      </c>
      <c r="T149" s="13" t="s">
        <v>209</v>
      </c>
      <c r="U149" s="13" t="s">
        <v>2778</v>
      </c>
      <c r="V149" s="13" t="s">
        <v>2791</v>
      </c>
      <c r="W149" s="13" t="s">
        <v>2792</v>
      </c>
      <c r="X149" s="13" t="s">
        <v>2793</v>
      </c>
      <c r="Y149" s="13" t="s">
        <v>78</v>
      </c>
      <c r="Z149" s="13" t="s">
        <v>2794</v>
      </c>
      <c r="AA149" s="13" t="s">
        <v>169</v>
      </c>
      <c r="AB149" s="13" t="s">
        <v>830</v>
      </c>
      <c r="AC149" s="13" t="s">
        <v>2795</v>
      </c>
      <c r="AD149" s="13" t="s">
        <v>2795</v>
      </c>
      <c r="AE149" s="13" t="s">
        <v>239</v>
      </c>
      <c r="AF149" s="13" t="s">
        <v>2796</v>
      </c>
      <c r="AG149" s="13" t="s">
        <v>2797</v>
      </c>
      <c r="AH149" s="13" t="s">
        <v>39</v>
      </c>
      <c r="AI149" s="13" t="s">
        <v>2798</v>
      </c>
      <c r="AJ149" s="13" t="s">
        <v>2799</v>
      </c>
      <c r="AK149" s="13" t="s">
        <v>2800</v>
      </c>
      <c r="AL149" s="13" t="s">
        <v>88</v>
      </c>
    </row>
    <row r="150" spans="1:38" x14ac:dyDescent="0.4">
      <c r="A150" s="11" t="s">
        <v>2801</v>
      </c>
      <c r="B150" s="14" t="s">
        <v>2802</v>
      </c>
      <c r="C150" s="15" t="s">
        <v>39</v>
      </c>
      <c r="D150" s="15" t="s">
        <v>2803</v>
      </c>
      <c r="E150" s="15" t="s">
        <v>2804</v>
      </c>
      <c r="F150" s="15" t="s">
        <v>39</v>
      </c>
      <c r="G150" s="15" t="s">
        <v>39</v>
      </c>
      <c r="H150" s="15" t="s">
        <v>2805</v>
      </c>
      <c r="I150" s="9">
        <f t="shared" ca="1" si="2"/>
        <v>4</v>
      </c>
      <c r="J150" s="15" t="s">
        <v>2806</v>
      </c>
      <c r="K150" s="15" t="s">
        <v>643</v>
      </c>
      <c r="L150" s="9" t="str">
        <f>VLOOKUP(K150,[1]中国省份_标准!$B$2:$F$35,4,FALSE)</f>
        <v>东北地区</v>
      </c>
      <c r="M150" s="9" t="str">
        <f>VLOOKUP(K150,[1]中国省份_标准!$B$2:$F$35,5,FALSE)</f>
        <v>东北地区</v>
      </c>
      <c r="N150" s="15" t="s">
        <v>2807</v>
      </c>
      <c r="O150" s="15" t="s">
        <v>2808</v>
      </c>
      <c r="P150" s="15" t="s">
        <v>2809</v>
      </c>
      <c r="Q150" s="15" t="s">
        <v>2810</v>
      </c>
      <c r="R150" s="15" t="s">
        <v>2811</v>
      </c>
      <c r="S150" s="15" t="s">
        <v>39</v>
      </c>
      <c r="T150" s="15" t="s">
        <v>2812</v>
      </c>
      <c r="U150" s="15" t="s">
        <v>2802</v>
      </c>
      <c r="V150" s="15" t="s">
        <v>2813</v>
      </c>
      <c r="W150" s="15" t="s">
        <v>2814</v>
      </c>
      <c r="X150" s="15" t="s">
        <v>77</v>
      </c>
      <c r="Y150" s="15" t="s">
        <v>731</v>
      </c>
      <c r="Z150" s="15" t="s">
        <v>2815</v>
      </c>
      <c r="AA150" s="15" t="s">
        <v>80</v>
      </c>
      <c r="AB150" s="15" t="s">
        <v>81</v>
      </c>
      <c r="AC150" s="15" t="s">
        <v>2816</v>
      </c>
      <c r="AD150" s="15" t="s">
        <v>2817</v>
      </c>
      <c r="AE150" s="15" t="s">
        <v>39</v>
      </c>
      <c r="AF150" s="15" t="s">
        <v>2818</v>
      </c>
      <c r="AG150" s="15" t="s">
        <v>39</v>
      </c>
      <c r="AH150" s="15" t="s">
        <v>39</v>
      </c>
      <c r="AI150" s="15" t="s">
        <v>2819</v>
      </c>
      <c r="AJ150" s="15" t="s">
        <v>2820</v>
      </c>
      <c r="AK150" s="15" t="s">
        <v>2821</v>
      </c>
      <c r="AL150" s="15" t="s">
        <v>88</v>
      </c>
    </row>
    <row r="151" spans="1:38" x14ac:dyDescent="0.4">
      <c r="A151" s="11" t="s">
        <v>2822</v>
      </c>
      <c r="B151" s="12" t="s">
        <v>2823</v>
      </c>
      <c r="C151" s="13" t="s">
        <v>39</v>
      </c>
      <c r="D151" s="13" t="s">
        <v>92</v>
      </c>
      <c r="E151" s="13" t="s">
        <v>2824</v>
      </c>
      <c r="F151" s="13" t="s">
        <v>154</v>
      </c>
      <c r="G151" s="13" t="s">
        <v>39</v>
      </c>
      <c r="H151" s="13" t="s">
        <v>2825</v>
      </c>
      <c r="I151" s="9">
        <f t="shared" ca="1" si="2"/>
        <v>7</v>
      </c>
      <c r="J151" s="13" t="s">
        <v>2826</v>
      </c>
      <c r="K151" s="13" t="s">
        <v>531</v>
      </c>
      <c r="L151" s="9" t="str">
        <f>VLOOKUP(K151,[1]中国省份_标准!$B$2:$F$35,4,FALSE)</f>
        <v>东部地区</v>
      </c>
      <c r="M151" s="9" t="str">
        <f>VLOOKUP(K151,[1]中国省份_标准!$B$2:$F$35,5,FALSE)</f>
        <v>华南地区</v>
      </c>
      <c r="N151" s="13" t="s">
        <v>1450</v>
      </c>
      <c r="O151" s="13" t="s">
        <v>2827</v>
      </c>
      <c r="P151" s="13" t="s">
        <v>2828</v>
      </c>
      <c r="Q151" s="13" t="s">
        <v>39</v>
      </c>
      <c r="R151" s="13" t="s">
        <v>2829</v>
      </c>
      <c r="S151" s="13" t="s">
        <v>2830</v>
      </c>
      <c r="T151" s="13" t="s">
        <v>48</v>
      </c>
      <c r="U151" s="13" t="s">
        <v>2823</v>
      </c>
      <c r="V151" s="13" t="s">
        <v>2831</v>
      </c>
      <c r="W151" s="13" t="s">
        <v>2832</v>
      </c>
      <c r="X151" s="13" t="s">
        <v>990</v>
      </c>
      <c r="Y151" s="13" t="s">
        <v>78</v>
      </c>
      <c r="Z151" s="13" t="s">
        <v>2833</v>
      </c>
      <c r="AA151" s="13" t="s">
        <v>80</v>
      </c>
      <c r="AB151" s="13" t="s">
        <v>106</v>
      </c>
      <c r="AC151" s="13" t="s">
        <v>951</v>
      </c>
      <c r="AD151" s="13" t="s">
        <v>952</v>
      </c>
      <c r="AE151" s="13" t="s">
        <v>109</v>
      </c>
      <c r="AF151" s="13" t="s">
        <v>2834</v>
      </c>
      <c r="AG151" s="13" t="s">
        <v>39</v>
      </c>
      <c r="AH151" s="13" t="s">
        <v>39</v>
      </c>
      <c r="AI151" s="13" t="s">
        <v>2835</v>
      </c>
      <c r="AJ151" s="13" t="s">
        <v>2836</v>
      </c>
      <c r="AK151" s="13" t="s">
        <v>2837</v>
      </c>
      <c r="AL151" s="13" t="s">
        <v>39</v>
      </c>
    </row>
    <row r="152" spans="1:38" x14ac:dyDescent="0.4">
      <c r="A152" s="11" t="s">
        <v>2838</v>
      </c>
      <c r="B152" s="14" t="s">
        <v>2839</v>
      </c>
      <c r="C152" s="15" t="s">
        <v>39</v>
      </c>
      <c r="D152" s="15" t="s">
        <v>2840</v>
      </c>
      <c r="E152" s="15" t="s">
        <v>2841</v>
      </c>
      <c r="F152" s="15" t="s">
        <v>271</v>
      </c>
      <c r="G152" s="15" t="s">
        <v>39</v>
      </c>
      <c r="H152" s="15" t="s">
        <v>2842</v>
      </c>
      <c r="I152" s="9">
        <f t="shared" ca="1" si="2"/>
        <v>4</v>
      </c>
      <c r="J152" s="15" t="s">
        <v>2843</v>
      </c>
      <c r="K152" s="15" t="s">
        <v>643</v>
      </c>
      <c r="L152" s="9" t="str">
        <f>VLOOKUP(K152,[1]中国省份_标准!$B$2:$F$35,4,FALSE)</f>
        <v>东北地区</v>
      </c>
      <c r="M152" s="9" t="str">
        <f>VLOOKUP(K152,[1]中国省份_标准!$B$2:$F$35,5,FALSE)</f>
        <v>东北地区</v>
      </c>
      <c r="N152" s="15" t="s">
        <v>2844</v>
      </c>
      <c r="O152" s="15" t="s">
        <v>2845</v>
      </c>
      <c r="P152" s="15" t="s">
        <v>2846</v>
      </c>
      <c r="Q152" s="15" t="s">
        <v>39</v>
      </c>
      <c r="R152" s="15" t="s">
        <v>2847</v>
      </c>
      <c r="S152" s="15" t="s">
        <v>39</v>
      </c>
      <c r="T152" s="15" t="s">
        <v>281</v>
      </c>
      <c r="U152" s="15" t="s">
        <v>2839</v>
      </c>
      <c r="V152" s="15" t="s">
        <v>2848</v>
      </c>
      <c r="W152" s="15" t="s">
        <v>2849</v>
      </c>
      <c r="X152" s="15" t="s">
        <v>690</v>
      </c>
      <c r="Y152" s="15" t="s">
        <v>283</v>
      </c>
      <c r="Z152" s="15" t="s">
        <v>2850</v>
      </c>
      <c r="AA152" s="15" t="s">
        <v>1796</v>
      </c>
      <c r="AB152" s="15" t="s">
        <v>2851</v>
      </c>
      <c r="AC152" s="15" t="s">
        <v>2852</v>
      </c>
      <c r="AD152" s="15" t="s">
        <v>2853</v>
      </c>
      <c r="AE152" s="15" t="s">
        <v>109</v>
      </c>
      <c r="AF152" s="15" t="s">
        <v>2854</v>
      </c>
      <c r="AG152" s="15" t="s">
        <v>39</v>
      </c>
      <c r="AH152" s="15" t="s">
        <v>39</v>
      </c>
      <c r="AI152" s="15" t="s">
        <v>2855</v>
      </c>
      <c r="AJ152" s="15" t="s">
        <v>2856</v>
      </c>
      <c r="AK152" s="15" t="s">
        <v>2857</v>
      </c>
      <c r="AL152" s="15" t="s">
        <v>88</v>
      </c>
    </row>
    <row r="153" spans="1:38" x14ac:dyDescent="0.4">
      <c r="A153" s="11" t="s">
        <v>2858</v>
      </c>
      <c r="B153" s="12" t="s">
        <v>2859</v>
      </c>
      <c r="C153" s="13" t="s">
        <v>2860</v>
      </c>
      <c r="D153" s="13" t="s">
        <v>92</v>
      </c>
      <c r="E153" s="13" t="s">
        <v>2861</v>
      </c>
      <c r="F153" s="13" t="s">
        <v>2862</v>
      </c>
      <c r="G153" s="13" t="s">
        <v>2862</v>
      </c>
      <c r="H153" s="13" t="s">
        <v>2863</v>
      </c>
      <c r="I153" s="9">
        <f t="shared" ca="1" si="2"/>
        <v>9</v>
      </c>
      <c r="J153" s="13" t="s">
        <v>2864</v>
      </c>
      <c r="K153" s="13" t="s">
        <v>45</v>
      </c>
      <c r="L153" s="9" t="str">
        <f>VLOOKUP(K153,[1]中国省份_标准!$B$2:$F$35,4,FALSE)</f>
        <v>东部地区</v>
      </c>
      <c r="M153" s="9" t="str">
        <f>VLOOKUP(K153,[1]中国省份_标准!$B$2:$F$35,5,FALSE)</f>
        <v>华东地区</v>
      </c>
      <c r="N153" s="13" t="s">
        <v>45</v>
      </c>
      <c r="O153" s="13" t="s">
        <v>2865</v>
      </c>
      <c r="P153" s="13" t="s">
        <v>2866</v>
      </c>
      <c r="Q153" s="13" t="s">
        <v>2867</v>
      </c>
      <c r="R153" s="13" t="s">
        <v>2868</v>
      </c>
      <c r="S153" s="13" t="s">
        <v>2869</v>
      </c>
      <c r="T153" s="13" t="s">
        <v>209</v>
      </c>
      <c r="U153" s="13" t="s">
        <v>2859</v>
      </c>
      <c r="V153" s="13" t="s">
        <v>2870</v>
      </c>
      <c r="W153" s="13" t="s">
        <v>2871</v>
      </c>
      <c r="X153" s="13" t="s">
        <v>2872</v>
      </c>
      <c r="Y153" s="13" t="s">
        <v>78</v>
      </c>
      <c r="Z153" s="13" t="s">
        <v>2873</v>
      </c>
      <c r="AA153" s="13" t="s">
        <v>52</v>
      </c>
      <c r="AB153" s="13" t="s">
        <v>53</v>
      </c>
      <c r="AC153" s="13" t="s">
        <v>2874</v>
      </c>
      <c r="AD153" s="13" t="s">
        <v>2875</v>
      </c>
      <c r="AE153" s="13" t="s">
        <v>262</v>
      </c>
      <c r="AF153" s="13" t="s">
        <v>2876</v>
      </c>
      <c r="AG153" s="13" t="s">
        <v>2877</v>
      </c>
      <c r="AH153" s="13" t="s">
        <v>2878</v>
      </c>
      <c r="AI153" s="13" t="s">
        <v>2879</v>
      </c>
      <c r="AJ153" s="13" t="s">
        <v>2880</v>
      </c>
      <c r="AK153" s="13" t="s">
        <v>2881</v>
      </c>
      <c r="AL153" s="13" t="s">
        <v>88</v>
      </c>
    </row>
    <row r="154" spans="1:38" x14ac:dyDescent="0.4">
      <c r="A154" s="11" t="s">
        <v>2882</v>
      </c>
      <c r="B154" s="14" t="s">
        <v>2883</v>
      </c>
      <c r="C154" s="15" t="s">
        <v>39</v>
      </c>
      <c r="D154" s="15" t="s">
        <v>92</v>
      </c>
      <c r="E154" s="15" t="s">
        <v>2884</v>
      </c>
      <c r="F154" s="15" t="s">
        <v>271</v>
      </c>
      <c r="G154" s="15" t="s">
        <v>39</v>
      </c>
      <c r="H154" s="15" t="s">
        <v>2885</v>
      </c>
      <c r="I154" s="9">
        <f t="shared" ca="1" si="2"/>
        <v>5</v>
      </c>
      <c r="J154" s="15" t="s">
        <v>2886</v>
      </c>
      <c r="K154" s="15" t="s">
        <v>643</v>
      </c>
      <c r="L154" s="9" t="str">
        <f>VLOOKUP(K154,[1]中国省份_标准!$B$2:$F$35,4,FALSE)</f>
        <v>东北地区</v>
      </c>
      <c r="M154" s="9" t="str">
        <f>VLOOKUP(K154,[1]中国省份_标准!$B$2:$F$35,5,FALSE)</f>
        <v>东北地区</v>
      </c>
      <c r="N154" s="15" t="s">
        <v>2887</v>
      </c>
      <c r="O154" s="15" t="s">
        <v>2888</v>
      </c>
      <c r="P154" s="15" t="s">
        <v>2889</v>
      </c>
      <c r="Q154" s="15" t="s">
        <v>2890</v>
      </c>
      <c r="R154" s="15" t="s">
        <v>2891</v>
      </c>
      <c r="S154" s="15" t="s">
        <v>2892</v>
      </c>
      <c r="T154" s="15" t="s">
        <v>281</v>
      </c>
      <c r="U154" s="15" t="s">
        <v>2883</v>
      </c>
      <c r="V154" s="15" t="s">
        <v>2893</v>
      </c>
      <c r="W154" s="15" t="s">
        <v>2894</v>
      </c>
      <c r="X154" s="15" t="s">
        <v>77</v>
      </c>
      <c r="Y154" s="15" t="s">
        <v>731</v>
      </c>
      <c r="Z154" s="15" t="s">
        <v>2895</v>
      </c>
      <c r="AA154" s="15" t="s">
        <v>1796</v>
      </c>
      <c r="AB154" s="15" t="s">
        <v>2851</v>
      </c>
      <c r="AC154" s="15" t="s">
        <v>2852</v>
      </c>
      <c r="AD154" s="15" t="s">
        <v>2896</v>
      </c>
      <c r="AE154" s="15" t="s">
        <v>109</v>
      </c>
      <c r="AF154" s="15" t="s">
        <v>2897</v>
      </c>
      <c r="AG154" s="15" t="s">
        <v>39</v>
      </c>
      <c r="AH154" s="15" t="s">
        <v>39</v>
      </c>
      <c r="AI154" s="15" t="s">
        <v>2898</v>
      </c>
      <c r="AJ154" s="15" t="s">
        <v>2899</v>
      </c>
      <c r="AK154" s="15" t="s">
        <v>2900</v>
      </c>
      <c r="AL154" s="15" t="s">
        <v>88</v>
      </c>
    </row>
    <row r="155" spans="1:38" x14ac:dyDescent="0.4">
      <c r="A155" s="11" t="s">
        <v>2901</v>
      </c>
      <c r="B155" s="12" t="s">
        <v>2902</v>
      </c>
      <c r="C155" s="13" t="s">
        <v>2903</v>
      </c>
      <c r="D155" s="13" t="s">
        <v>92</v>
      </c>
      <c r="E155" s="13" t="s">
        <v>2904</v>
      </c>
      <c r="F155" s="13" t="s">
        <v>2905</v>
      </c>
      <c r="G155" s="13" t="s">
        <v>2905</v>
      </c>
      <c r="H155" s="13" t="s">
        <v>2906</v>
      </c>
      <c r="I155" s="9">
        <f t="shared" ca="1" si="2"/>
        <v>13</v>
      </c>
      <c r="J155" s="13" t="s">
        <v>2907</v>
      </c>
      <c r="K155" s="13" t="s">
        <v>97</v>
      </c>
      <c r="L155" s="9" t="str">
        <f>VLOOKUP(K155,[1]中国省份_标准!$B$2:$F$35,4,FALSE)</f>
        <v>中部地区</v>
      </c>
      <c r="M155" s="9" t="str">
        <f>VLOOKUP(K155,[1]中国省份_标准!$B$2:$F$35,5,FALSE)</f>
        <v>华中地区</v>
      </c>
      <c r="N155" s="13" t="s">
        <v>2908</v>
      </c>
      <c r="O155" s="13" t="s">
        <v>2909</v>
      </c>
      <c r="P155" s="13" t="s">
        <v>2910</v>
      </c>
      <c r="Q155" s="13" t="s">
        <v>2911</v>
      </c>
      <c r="R155" s="13" t="s">
        <v>2912</v>
      </c>
      <c r="S155" s="13" t="s">
        <v>2913</v>
      </c>
      <c r="T155" s="13" t="s">
        <v>452</v>
      </c>
      <c r="U155" s="13" t="s">
        <v>2902</v>
      </c>
      <c r="V155" s="13" t="s">
        <v>2914</v>
      </c>
      <c r="W155" s="13" t="s">
        <v>2915</v>
      </c>
      <c r="X155" s="13" t="s">
        <v>557</v>
      </c>
      <c r="Y155" s="13" t="s">
        <v>78</v>
      </c>
      <c r="Z155" s="13" t="s">
        <v>2916</v>
      </c>
      <c r="AA155" s="13" t="s">
        <v>850</v>
      </c>
      <c r="AB155" s="13" t="s">
        <v>851</v>
      </c>
      <c r="AC155" s="13" t="s">
        <v>2917</v>
      </c>
      <c r="AD155" s="13" t="s">
        <v>2917</v>
      </c>
      <c r="AE155" s="13" t="s">
        <v>109</v>
      </c>
      <c r="AF155" s="13" t="s">
        <v>2918</v>
      </c>
      <c r="AG155" s="13" t="s">
        <v>39</v>
      </c>
      <c r="AH155" s="13" t="s">
        <v>39</v>
      </c>
      <c r="AI155" s="13" t="s">
        <v>2919</v>
      </c>
      <c r="AJ155" s="13" t="s">
        <v>2920</v>
      </c>
      <c r="AK155" s="13" t="s">
        <v>2921</v>
      </c>
      <c r="AL155" s="13" t="s">
        <v>88</v>
      </c>
    </row>
    <row r="156" spans="1:38" x14ac:dyDescent="0.4">
      <c r="A156" s="11" t="s">
        <v>2922</v>
      </c>
      <c r="B156" s="14" t="s">
        <v>2923</v>
      </c>
      <c r="C156" s="15" t="s">
        <v>39</v>
      </c>
      <c r="D156" s="15" t="s">
        <v>92</v>
      </c>
      <c r="E156" s="15" t="s">
        <v>2924</v>
      </c>
      <c r="F156" s="15" t="s">
        <v>2925</v>
      </c>
      <c r="G156" s="15" t="s">
        <v>2926</v>
      </c>
      <c r="H156" s="15" t="s">
        <v>2927</v>
      </c>
      <c r="I156" s="9">
        <f t="shared" ca="1" si="2"/>
        <v>28</v>
      </c>
      <c r="J156" s="15" t="s">
        <v>2928</v>
      </c>
      <c r="K156" s="15" t="s">
        <v>531</v>
      </c>
      <c r="L156" s="9" t="str">
        <f>VLOOKUP(K156,[1]中国省份_标准!$B$2:$F$35,4,FALSE)</f>
        <v>东部地区</v>
      </c>
      <c r="M156" s="9" t="str">
        <f>VLOOKUP(K156,[1]中国省份_标准!$B$2:$F$35,5,FALSE)</f>
        <v>华南地区</v>
      </c>
      <c r="N156" s="15" t="s">
        <v>724</v>
      </c>
      <c r="O156" s="15" t="s">
        <v>2929</v>
      </c>
      <c r="P156" s="15" t="s">
        <v>1293</v>
      </c>
      <c r="Q156" s="15" t="s">
        <v>2930</v>
      </c>
      <c r="R156" s="15" t="s">
        <v>1295</v>
      </c>
      <c r="S156" s="15" t="s">
        <v>2931</v>
      </c>
      <c r="T156" s="15" t="s">
        <v>2932</v>
      </c>
      <c r="U156" s="15" t="s">
        <v>2923</v>
      </c>
      <c r="V156" s="15" t="s">
        <v>2933</v>
      </c>
      <c r="W156" s="15" t="s">
        <v>2934</v>
      </c>
      <c r="X156" s="15" t="s">
        <v>2935</v>
      </c>
      <c r="Y156" s="15" t="s">
        <v>78</v>
      </c>
      <c r="Z156" s="15" t="s">
        <v>2936</v>
      </c>
      <c r="AA156" s="15" t="s">
        <v>169</v>
      </c>
      <c r="AB156" s="15" t="s">
        <v>412</v>
      </c>
      <c r="AC156" s="15" t="s">
        <v>413</v>
      </c>
      <c r="AD156" s="15" t="s">
        <v>1687</v>
      </c>
      <c r="AE156" s="15" t="s">
        <v>55</v>
      </c>
      <c r="AF156" s="15" t="s">
        <v>2937</v>
      </c>
      <c r="AG156" s="15" t="s">
        <v>39</v>
      </c>
      <c r="AH156" s="15" t="s">
        <v>39</v>
      </c>
      <c r="AI156" s="15" t="s">
        <v>2938</v>
      </c>
      <c r="AJ156" s="15" t="s">
        <v>2939</v>
      </c>
      <c r="AK156" s="15" t="s">
        <v>2940</v>
      </c>
      <c r="AL156" s="15" t="s">
        <v>88</v>
      </c>
    </row>
    <row r="157" spans="1:38" x14ac:dyDescent="0.4">
      <c r="A157" s="11" t="s">
        <v>2941</v>
      </c>
      <c r="B157" s="12" t="s">
        <v>2942</v>
      </c>
      <c r="C157" s="13" t="s">
        <v>39</v>
      </c>
      <c r="D157" s="13" t="s">
        <v>2943</v>
      </c>
      <c r="E157" s="13" t="s">
        <v>2944</v>
      </c>
      <c r="F157" s="13" t="s">
        <v>2945</v>
      </c>
      <c r="G157" s="13" t="s">
        <v>2945</v>
      </c>
      <c r="H157" s="13" t="s">
        <v>2382</v>
      </c>
      <c r="I157" s="9">
        <f t="shared" ca="1" si="2"/>
        <v>10</v>
      </c>
      <c r="J157" s="13" t="s">
        <v>2946</v>
      </c>
      <c r="K157" s="13" t="s">
        <v>531</v>
      </c>
      <c r="L157" s="9" t="str">
        <f>VLOOKUP(K157,[1]中国省份_标准!$B$2:$F$35,4,FALSE)</f>
        <v>东部地区</v>
      </c>
      <c r="M157" s="9" t="str">
        <f>VLOOKUP(K157,[1]中国省份_标准!$B$2:$F$35,5,FALSE)</f>
        <v>华南地区</v>
      </c>
      <c r="N157" s="13" t="s">
        <v>2947</v>
      </c>
      <c r="O157" s="13" t="s">
        <v>2948</v>
      </c>
      <c r="P157" s="13" t="s">
        <v>2949</v>
      </c>
      <c r="Q157" s="13" t="s">
        <v>39</v>
      </c>
      <c r="R157" s="13" t="s">
        <v>2950</v>
      </c>
      <c r="S157" s="13" t="s">
        <v>39</v>
      </c>
      <c r="T157" s="13" t="s">
        <v>281</v>
      </c>
      <c r="U157" s="13" t="s">
        <v>2942</v>
      </c>
      <c r="V157" s="13" t="s">
        <v>2951</v>
      </c>
      <c r="W157" s="13" t="s">
        <v>2952</v>
      </c>
      <c r="X157" s="13" t="s">
        <v>39</v>
      </c>
      <c r="Y157" s="13" t="s">
        <v>39</v>
      </c>
      <c r="Z157" s="13" t="s">
        <v>2390</v>
      </c>
      <c r="AA157" s="13" t="s">
        <v>169</v>
      </c>
      <c r="AB157" s="13" t="s">
        <v>1996</v>
      </c>
      <c r="AC157" s="13" t="s">
        <v>39</v>
      </c>
      <c r="AD157" s="13" t="s">
        <v>39</v>
      </c>
      <c r="AE157" s="13" t="s">
        <v>55</v>
      </c>
      <c r="AF157" s="13" t="s">
        <v>2953</v>
      </c>
      <c r="AG157" s="13" t="s">
        <v>39</v>
      </c>
      <c r="AH157" s="13" t="s">
        <v>39</v>
      </c>
      <c r="AI157" s="13" t="s">
        <v>2954</v>
      </c>
      <c r="AJ157" s="13" t="s">
        <v>2955</v>
      </c>
      <c r="AK157" s="13" t="s">
        <v>2956</v>
      </c>
      <c r="AL157" s="13" t="s">
        <v>88</v>
      </c>
    </row>
    <row r="158" spans="1:38" x14ac:dyDescent="0.4">
      <c r="A158" s="11" t="s">
        <v>2957</v>
      </c>
      <c r="B158" s="14" t="s">
        <v>2958</v>
      </c>
      <c r="C158" s="15" t="s">
        <v>39</v>
      </c>
      <c r="D158" s="15" t="s">
        <v>2959</v>
      </c>
      <c r="E158" s="15" t="s">
        <v>2960</v>
      </c>
      <c r="F158" s="15" t="s">
        <v>154</v>
      </c>
      <c r="G158" s="15" t="s">
        <v>154</v>
      </c>
      <c r="H158" s="15" t="s">
        <v>2961</v>
      </c>
      <c r="I158" s="9">
        <f t="shared" ca="1" si="2"/>
        <v>11</v>
      </c>
      <c r="J158" s="15" t="s">
        <v>2962</v>
      </c>
      <c r="K158" s="15" t="s">
        <v>531</v>
      </c>
      <c r="L158" s="9" t="str">
        <f>VLOOKUP(K158,[1]中国省份_标准!$B$2:$F$35,4,FALSE)</f>
        <v>东部地区</v>
      </c>
      <c r="M158" s="9" t="str">
        <f>VLOOKUP(K158,[1]中国省份_标准!$B$2:$F$35,5,FALSE)</f>
        <v>华南地区</v>
      </c>
      <c r="N158" s="15" t="s">
        <v>2947</v>
      </c>
      <c r="O158" s="15" t="s">
        <v>2963</v>
      </c>
      <c r="P158" s="15" t="s">
        <v>2964</v>
      </c>
      <c r="Q158" s="15" t="s">
        <v>2965</v>
      </c>
      <c r="R158" s="15" t="s">
        <v>2966</v>
      </c>
      <c r="S158" s="15" t="s">
        <v>2967</v>
      </c>
      <c r="T158" s="15" t="s">
        <v>48</v>
      </c>
      <c r="U158" s="15" t="s">
        <v>2958</v>
      </c>
      <c r="V158" s="15" t="s">
        <v>2968</v>
      </c>
      <c r="W158" s="15" t="s">
        <v>2969</v>
      </c>
      <c r="X158" s="15" t="s">
        <v>39</v>
      </c>
      <c r="Y158" s="15" t="s">
        <v>39</v>
      </c>
      <c r="Z158" s="15" t="s">
        <v>2970</v>
      </c>
      <c r="AA158" s="15" t="s">
        <v>169</v>
      </c>
      <c r="AB158" s="15" t="s">
        <v>170</v>
      </c>
      <c r="AC158" s="15" t="s">
        <v>171</v>
      </c>
      <c r="AD158" s="15" t="s">
        <v>39</v>
      </c>
      <c r="AE158" s="15" t="s">
        <v>109</v>
      </c>
      <c r="AF158" s="15" t="s">
        <v>2971</v>
      </c>
      <c r="AG158" s="15" t="s">
        <v>39</v>
      </c>
      <c r="AH158" s="15" t="s">
        <v>39</v>
      </c>
      <c r="AI158" s="15" t="s">
        <v>2972</v>
      </c>
      <c r="AJ158" s="15" t="s">
        <v>2973</v>
      </c>
      <c r="AK158" s="15" t="s">
        <v>2974</v>
      </c>
      <c r="AL158" s="15" t="s">
        <v>88</v>
      </c>
    </row>
    <row r="159" spans="1:38" x14ac:dyDescent="0.4">
      <c r="A159" s="11" t="s">
        <v>2975</v>
      </c>
      <c r="B159" s="12" t="s">
        <v>2976</v>
      </c>
      <c r="C159" s="13" t="s">
        <v>39</v>
      </c>
      <c r="D159" s="13" t="s">
        <v>2977</v>
      </c>
      <c r="E159" s="13" t="s">
        <v>2978</v>
      </c>
      <c r="F159" s="13" t="s">
        <v>2979</v>
      </c>
      <c r="G159" s="13" t="s">
        <v>2979</v>
      </c>
      <c r="H159" s="13" t="s">
        <v>2980</v>
      </c>
      <c r="I159" s="9">
        <f t="shared" ca="1" si="2"/>
        <v>10</v>
      </c>
      <c r="J159" s="13" t="s">
        <v>2981</v>
      </c>
      <c r="K159" s="13" t="s">
        <v>531</v>
      </c>
      <c r="L159" s="9" t="str">
        <f>VLOOKUP(K159,[1]中国省份_标准!$B$2:$F$35,4,FALSE)</f>
        <v>东部地区</v>
      </c>
      <c r="M159" s="9" t="str">
        <f>VLOOKUP(K159,[1]中国省份_标准!$B$2:$F$35,5,FALSE)</f>
        <v>华南地区</v>
      </c>
      <c r="N159" s="13" t="s">
        <v>2947</v>
      </c>
      <c r="O159" s="13" t="s">
        <v>2948</v>
      </c>
      <c r="P159" s="13" t="s">
        <v>2982</v>
      </c>
      <c r="Q159" s="13" t="s">
        <v>2983</v>
      </c>
      <c r="R159" s="13" t="s">
        <v>2984</v>
      </c>
      <c r="S159" s="13" t="s">
        <v>39</v>
      </c>
      <c r="T159" s="13" t="s">
        <v>281</v>
      </c>
      <c r="U159" s="13" t="s">
        <v>2976</v>
      </c>
      <c r="V159" s="13" t="s">
        <v>2985</v>
      </c>
      <c r="W159" s="13" t="s">
        <v>2986</v>
      </c>
      <c r="X159" s="13" t="s">
        <v>39</v>
      </c>
      <c r="Y159" s="13" t="s">
        <v>39</v>
      </c>
      <c r="Z159" s="13" t="s">
        <v>2987</v>
      </c>
      <c r="AA159" s="13" t="s">
        <v>169</v>
      </c>
      <c r="AB159" s="13" t="s">
        <v>170</v>
      </c>
      <c r="AC159" s="13" t="s">
        <v>367</v>
      </c>
      <c r="AD159" s="13" t="s">
        <v>39</v>
      </c>
      <c r="AE159" s="13" t="s">
        <v>55</v>
      </c>
      <c r="AF159" s="13" t="s">
        <v>2988</v>
      </c>
      <c r="AG159" s="13" t="s">
        <v>39</v>
      </c>
      <c r="AH159" s="13" t="s">
        <v>39</v>
      </c>
      <c r="AI159" s="13" t="s">
        <v>2989</v>
      </c>
      <c r="AJ159" s="13" t="s">
        <v>2990</v>
      </c>
      <c r="AK159" s="13" t="s">
        <v>2956</v>
      </c>
      <c r="AL159" s="13" t="s">
        <v>88</v>
      </c>
    </row>
    <row r="160" spans="1:38" x14ac:dyDescent="0.4">
      <c r="A160" s="11" t="s">
        <v>2991</v>
      </c>
      <c r="B160" s="14" t="s">
        <v>2992</v>
      </c>
      <c r="C160" s="15" t="s">
        <v>2993</v>
      </c>
      <c r="D160" s="15" t="s">
        <v>2994</v>
      </c>
      <c r="E160" s="15" t="s">
        <v>2995</v>
      </c>
      <c r="F160" s="15" t="s">
        <v>42</v>
      </c>
      <c r="G160" s="15" t="s">
        <v>42</v>
      </c>
      <c r="H160" s="15" t="s">
        <v>2996</v>
      </c>
      <c r="I160" s="9">
        <f t="shared" ca="1" si="2"/>
        <v>14</v>
      </c>
      <c r="J160" s="15" t="s">
        <v>2997</v>
      </c>
      <c r="K160" s="15" t="s">
        <v>531</v>
      </c>
      <c r="L160" s="9" t="str">
        <f>VLOOKUP(K160,[1]中国省份_标准!$B$2:$F$35,4,FALSE)</f>
        <v>东部地区</v>
      </c>
      <c r="M160" s="9" t="str">
        <f>VLOOKUP(K160,[1]中国省份_标准!$B$2:$F$35,5,FALSE)</f>
        <v>华南地区</v>
      </c>
      <c r="N160" s="15" t="s">
        <v>2947</v>
      </c>
      <c r="O160" s="15" t="s">
        <v>2963</v>
      </c>
      <c r="P160" s="15" t="s">
        <v>2998</v>
      </c>
      <c r="Q160" s="15" t="s">
        <v>39</v>
      </c>
      <c r="R160" s="15" t="s">
        <v>2999</v>
      </c>
      <c r="S160" s="15" t="s">
        <v>39</v>
      </c>
      <c r="T160" s="15" t="s">
        <v>48</v>
      </c>
      <c r="U160" s="15" t="s">
        <v>2992</v>
      </c>
      <c r="V160" s="15" t="s">
        <v>3000</v>
      </c>
      <c r="W160" s="15" t="s">
        <v>3001</v>
      </c>
      <c r="X160" s="15" t="s">
        <v>39</v>
      </c>
      <c r="Y160" s="15" t="s">
        <v>39</v>
      </c>
      <c r="Z160" s="15" t="s">
        <v>3002</v>
      </c>
      <c r="AA160" s="15" t="s">
        <v>169</v>
      </c>
      <c r="AB160" s="15" t="s">
        <v>170</v>
      </c>
      <c r="AC160" s="15" t="s">
        <v>367</v>
      </c>
      <c r="AD160" s="15" t="s">
        <v>39</v>
      </c>
      <c r="AE160" s="15" t="s">
        <v>55</v>
      </c>
      <c r="AF160" s="15" t="s">
        <v>3003</v>
      </c>
      <c r="AG160" s="15" t="s">
        <v>39</v>
      </c>
      <c r="AH160" s="15" t="s">
        <v>39</v>
      </c>
      <c r="AI160" s="15" t="s">
        <v>3004</v>
      </c>
      <c r="AJ160" s="15" t="s">
        <v>3005</v>
      </c>
      <c r="AK160" s="15" t="s">
        <v>3006</v>
      </c>
      <c r="AL160" s="15" t="s">
        <v>88</v>
      </c>
    </row>
    <row r="161" spans="1:38" x14ac:dyDescent="0.4">
      <c r="A161" s="11" t="s">
        <v>3007</v>
      </c>
      <c r="B161" s="12" t="s">
        <v>3008</v>
      </c>
      <c r="C161" s="13" t="s">
        <v>39</v>
      </c>
      <c r="D161" s="13" t="s">
        <v>92</v>
      </c>
      <c r="E161" s="13" t="s">
        <v>3009</v>
      </c>
      <c r="F161" s="13" t="s">
        <v>154</v>
      </c>
      <c r="G161" s="13" t="s">
        <v>3010</v>
      </c>
      <c r="H161" s="13" t="s">
        <v>3011</v>
      </c>
      <c r="I161" s="9">
        <f t="shared" ca="1" si="2"/>
        <v>4</v>
      </c>
      <c r="J161" s="13" t="s">
        <v>3012</v>
      </c>
      <c r="K161" s="13" t="s">
        <v>425</v>
      </c>
      <c r="L161" s="9" t="str">
        <f>VLOOKUP(K161,[1]中国省份_标准!$B$2:$F$35,4,FALSE)</f>
        <v>东部地区</v>
      </c>
      <c r="M161" s="9" t="str">
        <f>VLOOKUP(K161,[1]中国省份_标准!$B$2:$F$35,5,FALSE)</f>
        <v>华东地区</v>
      </c>
      <c r="N161" s="13" t="s">
        <v>3013</v>
      </c>
      <c r="O161" s="13" t="s">
        <v>3014</v>
      </c>
      <c r="P161" s="13" t="s">
        <v>3015</v>
      </c>
      <c r="Q161" s="13" t="s">
        <v>39</v>
      </c>
      <c r="R161" s="13" t="s">
        <v>3016</v>
      </c>
      <c r="S161" s="13" t="s">
        <v>39</v>
      </c>
      <c r="T161" s="13" t="s">
        <v>48</v>
      </c>
      <c r="U161" s="13" t="s">
        <v>3008</v>
      </c>
      <c r="V161" s="13" t="s">
        <v>3017</v>
      </c>
      <c r="W161" s="13" t="s">
        <v>3018</v>
      </c>
      <c r="X161" s="13" t="s">
        <v>77</v>
      </c>
      <c r="Y161" s="13" t="s">
        <v>78</v>
      </c>
      <c r="Z161" s="13" t="s">
        <v>3019</v>
      </c>
      <c r="AA161" s="13" t="s">
        <v>80</v>
      </c>
      <c r="AB161" s="13" t="s">
        <v>106</v>
      </c>
      <c r="AC161" s="13" t="s">
        <v>39</v>
      </c>
      <c r="AD161" s="13" t="s">
        <v>39</v>
      </c>
      <c r="AE161" s="13" t="s">
        <v>109</v>
      </c>
      <c r="AF161" s="13" t="s">
        <v>3020</v>
      </c>
      <c r="AG161" s="13" t="s">
        <v>39</v>
      </c>
      <c r="AH161" s="13" t="s">
        <v>39</v>
      </c>
      <c r="AI161" s="13" t="s">
        <v>3021</v>
      </c>
      <c r="AJ161" s="13" t="s">
        <v>3022</v>
      </c>
      <c r="AK161" s="13" t="s">
        <v>3023</v>
      </c>
      <c r="AL161" s="13" t="s">
        <v>88</v>
      </c>
    </row>
    <row r="162" spans="1:38" x14ac:dyDescent="0.4">
      <c r="A162" s="11" t="s">
        <v>3024</v>
      </c>
      <c r="B162" s="14" t="s">
        <v>3025</v>
      </c>
      <c r="C162" s="15" t="s">
        <v>39</v>
      </c>
      <c r="D162" s="15" t="s">
        <v>63</v>
      </c>
      <c r="E162" s="15" t="s">
        <v>3026</v>
      </c>
      <c r="F162" s="15" t="s">
        <v>3027</v>
      </c>
      <c r="G162" s="15" t="s">
        <v>3028</v>
      </c>
      <c r="H162" s="15" t="s">
        <v>3029</v>
      </c>
      <c r="I162" s="9">
        <f t="shared" ca="1" si="2"/>
        <v>14</v>
      </c>
      <c r="J162" s="15" t="s">
        <v>3030</v>
      </c>
      <c r="K162" s="15" t="s">
        <v>425</v>
      </c>
      <c r="L162" s="9" t="str">
        <f>VLOOKUP(K162,[1]中国省份_标准!$B$2:$F$35,4,FALSE)</f>
        <v>东部地区</v>
      </c>
      <c r="M162" s="9" t="str">
        <f>VLOOKUP(K162,[1]中国省份_标准!$B$2:$F$35,5,FALSE)</f>
        <v>华东地区</v>
      </c>
      <c r="N162" s="15" t="s">
        <v>572</v>
      </c>
      <c r="O162" s="15" t="s">
        <v>3031</v>
      </c>
      <c r="P162" s="15" t="s">
        <v>3032</v>
      </c>
      <c r="Q162" s="15" t="s">
        <v>3033</v>
      </c>
      <c r="R162" s="15" t="s">
        <v>3034</v>
      </c>
      <c r="S162" s="15" t="s">
        <v>3035</v>
      </c>
      <c r="T162" s="15" t="s">
        <v>209</v>
      </c>
      <c r="U162" s="15" t="s">
        <v>3025</v>
      </c>
      <c r="V162" s="15" t="s">
        <v>3036</v>
      </c>
      <c r="W162" s="15" t="s">
        <v>3037</v>
      </c>
      <c r="X162" s="15" t="s">
        <v>3038</v>
      </c>
      <c r="Y162" s="15" t="s">
        <v>78</v>
      </c>
      <c r="Z162" s="15" t="s">
        <v>3039</v>
      </c>
      <c r="AA162" s="15" t="s">
        <v>169</v>
      </c>
      <c r="AB162" s="15" t="s">
        <v>412</v>
      </c>
      <c r="AC162" s="15" t="s">
        <v>413</v>
      </c>
      <c r="AD162" s="15" t="s">
        <v>39</v>
      </c>
      <c r="AE162" s="15" t="s">
        <v>55</v>
      </c>
      <c r="AF162" s="15" t="s">
        <v>3040</v>
      </c>
      <c r="AG162" s="15" t="s">
        <v>39</v>
      </c>
      <c r="AH162" s="15" t="s">
        <v>39</v>
      </c>
      <c r="AI162" s="15" t="s">
        <v>3041</v>
      </c>
      <c r="AJ162" s="15" t="s">
        <v>3042</v>
      </c>
      <c r="AK162" s="15" t="s">
        <v>3043</v>
      </c>
      <c r="AL162" s="15" t="s">
        <v>88</v>
      </c>
    </row>
    <row r="163" spans="1:38" x14ac:dyDescent="0.4">
      <c r="A163" s="11" t="s">
        <v>3044</v>
      </c>
      <c r="B163" s="12" t="s">
        <v>3045</v>
      </c>
      <c r="C163" s="13" t="s">
        <v>39</v>
      </c>
      <c r="D163" s="13" t="s">
        <v>63</v>
      </c>
      <c r="E163" s="13" t="s">
        <v>3046</v>
      </c>
      <c r="F163" s="13" t="s">
        <v>442</v>
      </c>
      <c r="G163" s="13" t="s">
        <v>442</v>
      </c>
      <c r="H163" s="13" t="s">
        <v>3047</v>
      </c>
      <c r="I163" s="9">
        <f t="shared" ca="1" si="2"/>
        <v>23</v>
      </c>
      <c r="J163" s="13" t="s">
        <v>3048</v>
      </c>
      <c r="K163" s="13" t="s">
        <v>425</v>
      </c>
      <c r="L163" s="9" t="str">
        <f>VLOOKUP(K163,[1]中国省份_标准!$B$2:$F$35,4,FALSE)</f>
        <v>东部地区</v>
      </c>
      <c r="M163" s="9" t="str">
        <f>VLOOKUP(K163,[1]中国省份_标准!$B$2:$F$35,5,FALSE)</f>
        <v>华东地区</v>
      </c>
      <c r="N163" s="13" t="s">
        <v>3049</v>
      </c>
      <c r="O163" s="13" t="s">
        <v>3050</v>
      </c>
      <c r="P163" s="13" t="s">
        <v>3051</v>
      </c>
      <c r="Q163" s="13" t="s">
        <v>3052</v>
      </c>
      <c r="R163" s="13" t="s">
        <v>3053</v>
      </c>
      <c r="S163" s="13" t="s">
        <v>39</v>
      </c>
      <c r="T163" s="13" t="s">
        <v>281</v>
      </c>
      <c r="U163" s="13" t="s">
        <v>3045</v>
      </c>
      <c r="V163" s="13" t="s">
        <v>3054</v>
      </c>
      <c r="W163" s="13" t="s">
        <v>3055</v>
      </c>
      <c r="X163" s="13" t="s">
        <v>3056</v>
      </c>
      <c r="Y163" s="13" t="s">
        <v>78</v>
      </c>
      <c r="Z163" s="13" t="s">
        <v>3057</v>
      </c>
      <c r="AA163" s="13" t="s">
        <v>169</v>
      </c>
      <c r="AB163" s="13" t="s">
        <v>285</v>
      </c>
      <c r="AC163" s="13" t="s">
        <v>712</v>
      </c>
      <c r="AD163" s="13" t="s">
        <v>39</v>
      </c>
      <c r="AE163" s="13" t="s">
        <v>55</v>
      </c>
      <c r="AF163" s="13" t="s">
        <v>3058</v>
      </c>
      <c r="AG163" s="13" t="s">
        <v>39</v>
      </c>
      <c r="AH163" s="13" t="s">
        <v>39</v>
      </c>
      <c r="AI163" s="13" t="s">
        <v>3059</v>
      </c>
      <c r="AJ163" s="13" t="s">
        <v>3060</v>
      </c>
      <c r="AK163" s="13" t="s">
        <v>3061</v>
      </c>
      <c r="AL163" s="13" t="s">
        <v>88</v>
      </c>
    </row>
    <row r="164" spans="1:38" x14ac:dyDescent="0.4">
      <c r="A164" s="11" t="s">
        <v>3062</v>
      </c>
      <c r="B164" s="14" t="s">
        <v>3063</v>
      </c>
      <c r="C164" s="15" t="s">
        <v>39</v>
      </c>
      <c r="D164" s="15" t="s">
        <v>92</v>
      </c>
      <c r="E164" s="15" t="s">
        <v>3064</v>
      </c>
      <c r="F164" s="15" t="s">
        <v>3065</v>
      </c>
      <c r="G164" s="15" t="s">
        <v>3065</v>
      </c>
      <c r="H164" s="15" t="s">
        <v>3066</v>
      </c>
      <c r="I164" s="9">
        <f t="shared" ca="1" si="2"/>
        <v>8</v>
      </c>
      <c r="J164" s="15" t="s">
        <v>3067</v>
      </c>
      <c r="K164" s="15" t="s">
        <v>3068</v>
      </c>
      <c r="L164" s="9" t="str">
        <f>VLOOKUP(K164,[1]中国省份_标准!$B$2:$F$35,4,FALSE)</f>
        <v>西部地区</v>
      </c>
      <c r="M164" s="9" t="str">
        <f>VLOOKUP(K164,[1]中国省份_标准!$B$2:$F$35,5,FALSE)</f>
        <v>西北地区</v>
      </c>
      <c r="N164" s="15" t="s">
        <v>3069</v>
      </c>
      <c r="O164" s="15" t="s">
        <v>3070</v>
      </c>
      <c r="P164" s="15" t="s">
        <v>3071</v>
      </c>
      <c r="Q164" s="15" t="s">
        <v>3072</v>
      </c>
      <c r="R164" s="15" t="s">
        <v>3073</v>
      </c>
      <c r="S164" s="15" t="s">
        <v>3074</v>
      </c>
      <c r="T164" s="15" t="s">
        <v>184</v>
      </c>
      <c r="U164" s="15" t="s">
        <v>3063</v>
      </c>
      <c r="V164" s="15" t="s">
        <v>3075</v>
      </c>
      <c r="W164" s="15" t="s">
        <v>3076</v>
      </c>
      <c r="X164" s="15" t="s">
        <v>3077</v>
      </c>
      <c r="Y164" s="15" t="s">
        <v>78</v>
      </c>
      <c r="Z164" s="15" t="s">
        <v>3078</v>
      </c>
      <c r="AA164" s="15" t="s">
        <v>80</v>
      </c>
      <c r="AB164" s="15" t="s">
        <v>106</v>
      </c>
      <c r="AC164" s="15" t="s">
        <v>107</v>
      </c>
      <c r="AD164" s="15" t="s">
        <v>128</v>
      </c>
      <c r="AE164" s="15" t="s">
        <v>262</v>
      </c>
      <c r="AF164" s="15" t="s">
        <v>3079</v>
      </c>
      <c r="AG164" s="15" t="s">
        <v>39</v>
      </c>
      <c r="AH164" s="15" t="s">
        <v>39</v>
      </c>
      <c r="AI164" s="15" t="s">
        <v>3080</v>
      </c>
      <c r="AJ164" s="15" t="s">
        <v>3081</v>
      </c>
      <c r="AK164" s="15" t="s">
        <v>3082</v>
      </c>
      <c r="AL164" s="15" t="s">
        <v>88</v>
      </c>
    </row>
    <row r="165" spans="1:38" x14ac:dyDescent="0.4">
      <c r="A165" s="11" t="s">
        <v>3083</v>
      </c>
      <c r="B165" s="12" t="s">
        <v>3084</v>
      </c>
      <c r="C165" s="13" t="s">
        <v>39</v>
      </c>
      <c r="D165" s="13" t="s">
        <v>92</v>
      </c>
      <c r="E165" s="13" t="s">
        <v>3085</v>
      </c>
      <c r="F165" s="13" t="s">
        <v>3086</v>
      </c>
      <c r="G165" s="13" t="s">
        <v>3086</v>
      </c>
      <c r="H165" s="13" t="s">
        <v>3087</v>
      </c>
      <c r="I165" s="9">
        <f t="shared" ca="1" si="2"/>
        <v>11</v>
      </c>
      <c r="J165" s="13" t="s">
        <v>3088</v>
      </c>
      <c r="K165" s="13" t="s">
        <v>227</v>
      </c>
      <c r="L165" s="9" t="str">
        <f>VLOOKUP(K165,[1]中国省份_标准!$B$2:$F$35,4,FALSE)</f>
        <v>西部地区</v>
      </c>
      <c r="M165" s="9" t="str">
        <f>VLOOKUP(K165,[1]中国省份_标准!$B$2:$F$35,5,FALSE)</f>
        <v>西北地区</v>
      </c>
      <c r="N165" s="13" t="s">
        <v>228</v>
      </c>
      <c r="O165" s="13" t="s">
        <v>3089</v>
      </c>
      <c r="P165" s="13" t="s">
        <v>3090</v>
      </c>
      <c r="Q165" s="13" t="s">
        <v>3091</v>
      </c>
      <c r="R165" s="13" t="s">
        <v>3092</v>
      </c>
      <c r="S165" s="13" t="s">
        <v>39</v>
      </c>
      <c r="T165" s="13" t="s">
        <v>209</v>
      </c>
      <c r="U165" s="13" t="s">
        <v>3084</v>
      </c>
      <c r="V165" s="13" t="s">
        <v>3093</v>
      </c>
      <c r="W165" s="13" t="s">
        <v>3094</v>
      </c>
      <c r="X165" s="13" t="s">
        <v>3095</v>
      </c>
      <c r="Y165" s="13" t="s">
        <v>78</v>
      </c>
      <c r="Z165" s="13" t="s">
        <v>3096</v>
      </c>
      <c r="AA165" s="13" t="s">
        <v>80</v>
      </c>
      <c r="AB165" s="13" t="s">
        <v>81</v>
      </c>
      <c r="AC165" s="13" t="s">
        <v>3097</v>
      </c>
      <c r="AD165" s="13" t="s">
        <v>3098</v>
      </c>
      <c r="AE165" s="13" t="s">
        <v>55</v>
      </c>
      <c r="AF165" s="13" t="s">
        <v>3099</v>
      </c>
      <c r="AG165" s="13" t="s">
        <v>3100</v>
      </c>
      <c r="AH165" s="13" t="s">
        <v>39</v>
      </c>
      <c r="AI165" s="13" t="s">
        <v>3101</v>
      </c>
      <c r="AJ165" s="13" t="s">
        <v>3102</v>
      </c>
      <c r="AK165" s="13" t="s">
        <v>3103</v>
      </c>
      <c r="AL165" s="13" t="s">
        <v>88</v>
      </c>
    </row>
    <row r="166" spans="1:38" x14ac:dyDescent="0.4">
      <c r="A166" s="11" t="s">
        <v>3104</v>
      </c>
      <c r="B166" s="14" t="s">
        <v>3105</v>
      </c>
      <c r="C166" s="15" t="s">
        <v>3106</v>
      </c>
      <c r="D166" s="15" t="s">
        <v>92</v>
      </c>
      <c r="E166" s="15" t="s">
        <v>3107</v>
      </c>
      <c r="F166" s="15" t="s">
        <v>2520</v>
      </c>
      <c r="G166" s="15" t="s">
        <v>2520</v>
      </c>
      <c r="H166" s="15" t="s">
        <v>3108</v>
      </c>
      <c r="I166" s="9">
        <f t="shared" ca="1" si="2"/>
        <v>14</v>
      </c>
      <c r="J166" s="15" t="s">
        <v>3109</v>
      </c>
      <c r="K166" s="15" t="s">
        <v>138</v>
      </c>
      <c r="L166" s="9" t="str">
        <f>VLOOKUP(K166,[1]中国省份_标准!$B$2:$F$35,4,FALSE)</f>
        <v>西部地区</v>
      </c>
      <c r="M166" s="9" t="str">
        <f>VLOOKUP(K166,[1]中国省份_标准!$B$2:$F$35,5,FALSE)</f>
        <v>西南地区</v>
      </c>
      <c r="N166" s="15" t="s">
        <v>3110</v>
      </c>
      <c r="O166" s="15" t="s">
        <v>3111</v>
      </c>
      <c r="P166" s="15" t="s">
        <v>3112</v>
      </c>
      <c r="Q166" s="15" t="s">
        <v>39</v>
      </c>
      <c r="R166" s="15" t="s">
        <v>3113</v>
      </c>
      <c r="S166" s="15" t="s">
        <v>3114</v>
      </c>
      <c r="T166" s="15" t="s">
        <v>452</v>
      </c>
      <c r="U166" s="15" t="s">
        <v>3105</v>
      </c>
      <c r="V166" s="15" t="s">
        <v>3115</v>
      </c>
      <c r="W166" s="15" t="s">
        <v>3116</v>
      </c>
      <c r="X166" s="15" t="s">
        <v>3117</v>
      </c>
      <c r="Y166" s="15" t="s">
        <v>78</v>
      </c>
      <c r="Z166" s="15" t="s">
        <v>3118</v>
      </c>
      <c r="AA166" s="15" t="s">
        <v>169</v>
      </c>
      <c r="AB166" s="15" t="s">
        <v>412</v>
      </c>
      <c r="AC166" s="15" t="s">
        <v>413</v>
      </c>
      <c r="AD166" s="15" t="s">
        <v>1687</v>
      </c>
      <c r="AE166" s="15" t="s">
        <v>55</v>
      </c>
      <c r="AF166" s="15" t="s">
        <v>3119</v>
      </c>
      <c r="AG166" s="15" t="s">
        <v>39</v>
      </c>
      <c r="AH166" s="15" t="s">
        <v>3120</v>
      </c>
      <c r="AI166" s="15" t="s">
        <v>3121</v>
      </c>
      <c r="AJ166" s="15" t="s">
        <v>3122</v>
      </c>
      <c r="AK166" s="15" t="s">
        <v>3123</v>
      </c>
      <c r="AL166" s="15" t="s">
        <v>88</v>
      </c>
    </row>
    <row r="167" spans="1:38" x14ac:dyDescent="0.4">
      <c r="A167" s="11" t="s">
        <v>3124</v>
      </c>
      <c r="B167" s="12" t="s">
        <v>3125</v>
      </c>
      <c r="C167" s="13" t="s">
        <v>3126</v>
      </c>
      <c r="D167" s="13" t="s">
        <v>92</v>
      </c>
      <c r="E167" s="13" t="s">
        <v>3127</v>
      </c>
      <c r="F167" s="13" t="s">
        <v>640</v>
      </c>
      <c r="G167" s="13" t="s">
        <v>640</v>
      </c>
      <c r="H167" s="13" t="s">
        <v>3128</v>
      </c>
      <c r="I167" s="9">
        <f t="shared" ca="1" si="2"/>
        <v>14</v>
      </c>
      <c r="J167" s="13" t="s">
        <v>3129</v>
      </c>
      <c r="K167" s="13" t="s">
        <v>1022</v>
      </c>
      <c r="L167" s="9" t="str">
        <f>VLOOKUP(K167,[1]中国省份_标准!$B$2:$F$35,4,FALSE)</f>
        <v>东部地区</v>
      </c>
      <c r="M167" s="9" t="str">
        <f>VLOOKUP(K167,[1]中国省份_标准!$B$2:$F$35,5,FALSE)</f>
        <v>华北地区</v>
      </c>
      <c r="N167" s="13" t="s">
        <v>1022</v>
      </c>
      <c r="O167" s="13" t="s">
        <v>3130</v>
      </c>
      <c r="P167" s="13" t="s">
        <v>3131</v>
      </c>
      <c r="Q167" s="13" t="s">
        <v>3132</v>
      </c>
      <c r="R167" s="13" t="s">
        <v>3133</v>
      </c>
      <c r="S167" s="13" t="s">
        <v>3134</v>
      </c>
      <c r="T167" s="13" t="s">
        <v>48</v>
      </c>
      <c r="U167" s="13" t="s">
        <v>3125</v>
      </c>
      <c r="V167" s="13" t="s">
        <v>3135</v>
      </c>
      <c r="W167" s="13" t="s">
        <v>3136</v>
      </c>
      <c r="X167" s="13" t="s">
        <v>1130</v>
      </c>
      <c r="Y167" s="13" t="s">
        <v>78</v>
      </c>
      <c r="Z167" s="13" t="s">
        <v>3137</v>
      </c>
      <c r="AA167" s="13" t="s">
        <v>309</v>
      </c>
      <c r="AB167" s="13" t="s">
        <v>654</v>
      </c>
      <c r="AC167" s="13" t="s">
        <v>655</v>
      </c>
      <c r="AD167" s="13" t="s">
        <v>2751</v>
      </c>
      <c r="AE167" s="13" t="s">
        <v>262</v>
      </c>
      <c r="AF167" s="13" t="s">
        <v>3138</v>
      </c>
      <c r="AG167" s="13" t="s">
        <v>39</v>
      </c>
      <c r="AH167" s="13" t="s">
        <v>3139</v>
      </c>
      <c r="AI167" s="13" t="s">
        <v>3140</v>
      </c>
      <c r="AJ167" s="13" t="s">
        <v>3141</v>
      </c>
      <c r="AK167" s="13" t="s">
        <v>3142</v>
      </c>
      <c r="AL167" s="13" t="s">
        <v>88</v>
      </c>
    </row>
    <row r="168" spans="1:38" x14ac:dyDescent="0.4">
      <c r="A168" s="11" t="s">
        <v>3143</v>
      </c>
      <c r="B168" s="14" t="s">
        <v>3144</v>
      </c>
      <c r="C168" s="15" t="s">
        <v>39</v>
      </c>
      <c r="D168" s="15" t="s">
        <v>3145</v>
      </c>
      <c r="E168" s="15" t="s">
        <v>3146</v>
      </c>
      <c r="F168" s="15" t="s">
        <v>3147</v>
      </c>
      <c r="G168" s="15" t="s">
        <v>3147</v>
      </c>
      <c r="H168" s="15" t="s">
        <v>3148</v>
      </c>
      <c r="I168" s="9">
        <f t="shared" ca="1" si="2"/>
        <v>16</v>
      </c>
      <c r="J168" s="15" t="s">
        <v>3149</v>
      </c>
      <c r="K168" s="15" t="s">
        <v>340</v>
      </c>
      <c r="L168" s="9" t="str">
        <f>VLOOKUP(K168,[1]中国省份_标准!$B$2:$F$35,4,FALSE)</f>
        <v>东部地区</v>
      </c>
      <c r="M168" s="9" t="str">
        <f>VLOOKUP(K168,[1]中国省份_标准!$B$2:$F$35,5,FALSE)</f>
        <v>华东地区</v>
      </c>
      <c r="N168" s="15" t="s">
        <v>3150</v>
      </c>
      <c r="O168" s="15" t="s">
        <v>3151</v>
      </c>
      <c r="P168" s="15" t="s">
        <v>3152</v>
      </c>
      <c r="Q168" s="15" t="s">
        <v>3153</v>
      </c>
      <c r="R168" s="15" t="s">
        <v>3154</v>
      </c>
      <c r="S168" s="15" t="s">
        <v>3155</v>
      </c>
      <c r="T168" s="15" t="s">
        <v>48</v>
      </c>
      <c r="U168" s="15" t="s">
        <v>3144</v>
      </c>
      <c r="V168" s="15" t="s">
        <v>3156</v>
      </c>
      <c r="W168" s="15" t="s">
        <v>3157</v>
      </c>
      <c r="X168" s="15" t="s">
        <v>3158</v>
      </c>
      <c r="Y168" s="15" t="s">
        <v>78</v>
      </c>
      <c r="Z168" s="15" t="s">
        <v>3159</v>
      </c>
      <c r="AA168" s="15" t="s">
        <v>169</v>
      </c>
      <c r="AB168" s="15" t="s">
        <v>285</v>
      </c>
      <c r="AC168" s="15" t="s">
        <v>479</v>
      </c>
      <c r="AD168" s="15" t="s">
        <v>480</v>
      </c>
      <c r="AE168" s="15" t="s">
        <v>55</v>
      </c>
      <c r="AF168" s="15" t="s">
        <v>3160</v>
      </c>
      <c r="AG168" s="15" t="s">
        <v>39</v>
      </c>
      <c r="AH168" s="15" t="s">
        <v>39</v>
      </c>
      <c r="AI168" s="15" t="s">
        <v>3161</v>
      </c>
      <c r="AJ168" s="15" t="s">
        <v>3162</v>
      </c>
      <c r="AK168" s="15" t="s">
        <v>3163</v>
      </c>
      <c r="AL168" s="15" t="s">
        <v>88</v>
      </c>
    </row>
    <row r="169" spans="1:38" x14ac:dyDescent="0.4">
      <c r="A169" s="11" t="s">
        <v>3164</v>
      </c>
      <c r="B169" s="12" t="s">
        <v>3165</v>
      </c>
      <c r="C169" s="13" t="s">
        <v>39</v>
      </c>
      <c r="D169" s="13" t="s">
        <v>92</v>
      </c>
      <c r="E169" s="13" t="s">
        <v>3166</v>
      </c>
      <c r="F169" s="13" t="s">
        <v>920</v>
      </c>
      <c r="G169" s="13" t="s">
        <v>920</v>
      </c>
      <c r="H169" s="13" t="s">
        <v>3167</v>
      </c>
      <c r="I169" s="9">
        <f t="shared" ca="1" si="2"/>
        <v>10</v>
      </c>
      <c r="J169" s="13" t="s">
        <v>3168</v>
      </c>
      <c r="K169" s="13" t="s">
        <v>227</v>
      </c>
      <c r="L169" s="9" t="str">
        <f>VLOOKUP(K169,[1]中国省份_标准!$B$2:$F$35,4,FALSE)</f>
        <v>西部地区</v>
      </c>
      <c r="M169" s="9" t="str">
        <f>VLOOKUP(K169,[1]中国省份_标准!$B$2:$F$35,5,FALSE)</f>
        <v>西北地区</v>
      </c>
      <c r="N169" s="13" t="s">
        <v>3169</v>
      </c>
      <c r="O169" s="13" t="s">
        <v>39</v>
      </c>
      <c r="P169" s="13" t="s">
        <v>3170</v>
      </c>
      <c r="Q169" s="13" t="s">
        <v>39</v>
      </c>
      <c r="R169" s="13" t="s">
        <v>3171</v>
      </c>
      <c r="S169" s="13" t="s">
        <v>3172</v>
      </c>
      <c r="T169" s="13" t="s">
        <v>48</v>
      </c>
      <c r="U169" s="13" t="s">
        <v>3165</v>
      </c>
      <c r="V169" s="13" t="s">
        <v>3173</v>
      </c>
      <c r="W169" s="13" t="s">
        <v>3174</v>
      </c>
      <c r="X169" s="13" t="s">
        <v>3175</v>
      </c>
      <c r="Y169" s="13" t="s">
        <v>78</v>
      </c>
      <c r="Z169" s="13" t="s">
        <v>3176</v>
      </c>
      <c r="AA169" s="13" t="s">
        <v>169</v>
      </c>
      <c r="AB169" s="13" t="s">
        <v>285</v>
      </c>
      <c r="AC169" s="13" t="s">
        <v>479</v>
      </c>
      <c r="AD169" s="13" t="s">
        <v>480</v>
      </c>
      <c r="AE169" s="13" t="s">
        <v>55</v>
      </c>
      <c r="AF169" s="13" t="s">
        <v>3177</v>
      </c>
      <c r="AG169" s="13" t="s">
        <v>39</v>
      </c>
      <c r="AH169" s="13" t="s">
        <v>3178</v>
      </c>
      <c r="AI169" s="13" t="s">
        <v>3179</v>
      </c>
      <c r="AJ169" s="13" t="s">
        <v>3180</v>
      </c>
      <c r="AK169" s="13" t="s">
        <v>3181</v>
      </c>
      <c r="AL169" s="13" t="s">
        <v>88</v>
      </c>
    </row>
    <row r="170" spans="1:38" x14ac:dyDescent="0.4">
      <c r="A170" s="11" t="s">
        <v>3182</v>
      </c>
      <c r="B170" s="14" t="s">
        <v>3183</v>
      </c>
      <c r="C170" s="15" t="s">
        <v>39</v>
      </c>
      <c r="D170" s="15" t="s">
        <v>92</v>
      </c>
      <c r="E170" s="15" t="s">
        <v>3184</v>
      </c>
      <c r="F170" s="15" t="s">
        <v>3185</v>
      </c>
      <c r="G170" s="15" t="s">
        <v>3186</v>
      </c>
      <c r="H170" s="15" t="s">
        <v>3187</v>
      </c>
      <c r="I170" s="9">
        <f t="shared" ca="1" si="2"/>
        <v>28</v>
      </c>
      <c r="J170" s="15" t="s">
        <v>3188</v>
      </c>
      <c r="K170" s="15" t="s">
        <v>3189</v>
      </c>
      <c r="L170" s="9" t="str">
        <f>VLOOKUP(K170,[1]中国省份_标准!$B$2:$F$35,4,FALSE)</f>
        <v>西部地区</v>
      </c>
      <c r="M170" s="9" t="str">
        <f>VLOOKUP(K170,[1]中国省份_标准!$B$2:$F$35,5,FALSE)</f>
        <v>西南地区</v>
      </c>
      <c r="N170" s="15" t="s">
        <v>3189</v>
      </c>
      <c r="O170" s="15" t="s">
        <v>3190</v>
      </c>
      <c r="P170" s="15" t="s">
        <v>3191</v>
      </c>
      <c r="Q170" s="15" t="s">
        <v>3192</v>
      </c>
      <c r="R170" s="15" t="s">
        <v>3193</v>
      </c>
      <c r="S170" s="15" t="s">
        <v>3194</v>
      </c>
      <c r="T170" s="15" t="s">
        <v>3195</v>
      </c>
      <c r="U170" s="15" t="s">
        <v>3183</v>
      </c>
      <c r="V170" s="15" t="s">
        <v>3196</v>
      </c>
      <c r="W170" s="15" t="s">
        <v>3197</v>
      </c>
      <c r="X170" s="15" t="s">
        <v>3198</v>
      </c>
      <c r="Y170" s="15" t="s">
        <v>78</v>
      </c>
      <c r="Z170" s="15" t="s">
        <v>3199</v>
      </c>
      <c r="AA170" s="15" t="s">
        <v>169</v>
      </c>
      <c r="AB170" s="15" t="s">
        <v>830</v>
      </c>
      <c r="AC170" s="15" t="s">
        <v>831</v>
      </c>
      <c r="AD170" s="15" t="s">
        <v>831</v>
      </c>
      <c r="AE170" s="15" t="s">
        <v>239</v>
      </c>
      <c r="AF170" s="15" t="s">
        <v>3200</v>
      </c>
      <c r="AG170" s="15" t="s">
        <v>3201</v>
      </c>
      <c r="AH170" s="15" t="s">
        <v>39</v>
      </c>
      <c r="AI170" s="15" t="s">
        <v>3202</v>
      </c>
      <c r="AJ170" s="15" t="s">
        <v>3203</v>
      </c>
      <c r="AK170" s="15" t="s">
        <v>3204</v>
      </c>
      <c r="AL170" s="15" t="s">
        <v>88</v>
      </c>
    </row>
    <row r="171" spans="1:38" x14ac:dyDescent="0.4">
      <c r="A171" s="11" t="s">
        <v>3205</v>
      </c>
      <c r="B171" s="12" t="s">
        <v>3206</v>
      </c>
      <c r="C171" s="13" t="s">
        <v>39</v>
      </c>
      <c r="D171" s="13" t="s">
        <v>3207</v>
      </c>
      <c r="E171" s="13" t="s">
        <v>3208</v>
      </c>
      <c r="F171" s="13" t="s">
        <v>3209</v>
      </c>
      <c r="G171" s="13" t="s">
        <v>3209</v>
      </c>
      <c r="H171" s="13" t="s">
        <v>3210</v>
      </c>
      <c r="I171" s="9">
        <f t="shared" ca="1" si="2"/>
        <v>9</v>
      </c>
      <c r="J171" s="13" t="s">
        <v>3211</v>
      </c>
      <c r="K171" s="13" t="s">
        <v>227</v>
      </c>
      <c r="L171" s="9" t="str">
        <f>VLOOKUP(K171,[1]中国省份_标准!$B$2:$F$35,4,FALSE)</f>
        <v>西部地区</v>
      </c>
      <c r="M171" s="9" t="str">
        <f>VLOOKUP(K171,[1]中国省份_标准!$B$2:$F$35,5,FALSE)</f>
        <v>西北地区</v>
      </c>
      <c r="N171" s="13" t="s">
        <v>3212</v>
      </c>
      <c r="O171" s="13" t="s">
        <v>3213</v>
      </c>
      <c r="P171" s="13" t="s">
        <v>3214</v>
      </c>
      <c r="Q171" s="13" t="s">
        <v>3215</v>
      </c>
      <c r="R171" s="13" t="s">
        <v>3216</v>
      </c>
      <c r="S171" s="13" t="s">
        <v>3217</v>
      </c>
      <c r="T171" s="13" t="s">
        <v>209</v>
      </c>
      <c r="U171" s="13" t="s">
        <v>3206</v>
      </c>
      <c r="V171" s="13" t="s">
        <v>3218</v>
      </c>
      <c r="W171" s="13" t="s">
        <v>3219</v>
      </c>
      <c r="X171" s="13" t="s">
        <v>673</v>
      </c>
      <c r="Y171" s="13" t="s">
        <v>731</v>
      </c>
      <c r="Z171" s="13" t="s">
        <v>3220</v>
      </c>
      <c r="AA171" s="13" t="s">
        <v>80</v>
      </c>
      <c r="AB171" s="13" t="s">
        <v>81</v>
      </c>
      <c r="AC171" s="13" t="s">
        <v>2094</v>
      </c>
      <c r="AD171" s="13" t="s">
        <v>2095</v>
      </c>
      <c r="AE171" s="13" t="s">
        <v>262</v>
      </c>
      <c r="AF171" s="13" t="s">
        <v>3221</v>
      </c>
      <c r="AG171" s="13" t="s">
        <v>39</v>
      </c>
      <c r="AH171" s="13" t="s">
        <v>39</v>
      </c>
      <c r="AI171" s="13" t="s">
        <v>3222</v>
      </c>
      <c r="AJ171" s="13" t="s">
        <v>3223</v>
      </c>
      <c r="AK171" s="13" t="s">
        <v>3224</v>
      </c>
      <c r="AL171" s="13" t="s">
        <v>88</v>
      </c>
    </row>
    <row r="172" spans="1:38" x14ac:dyDescent="0.4">
      <c r="A172" s="11" t="s">
        <v>3225</v>
      </c>
      <c r="B172" s="14" t="s">
        <v>3226</v>
      </c>
      <c r="C172" s="15" t="s">
        <v>39</v>
      </c>
      <c r="D172" s="15" t="s">
        <v>63</v>
      </c>
      <c r="E172" s="15" t="s">
        <v>3227</v>
      </c>
      <c r="F172" s="15" t="s">
        <v>154</v>
      </c>
      <c r="G172" s="15" t="s">
        <v>39</v>
      </c>
      <c r="H172" s="15" t="s">
        <v>3228</v>
      </c>
      <c r="I172" s="9">
        <f t="shared" ca="1" si="2"/>
        <v>15</v>
      </c>
      <c r="J172" s="15" t="s">
        <v>3229</v>
      </c>
      <c r="K172" s="15" t="s">
        <v>425</v>
      </c>
      <c r="L172" s="9" t="str">
        <f>VLOOKUP(K172,[1]中国省份_标准!$B$2:$F$35,4,FALSE)</f>
        <v>东部地区</v>
      </c>
      <c r="M172" s="9" t="str">
        <f>VLOOKUP(K172,[1]中国省份_标准!$B$2:$F$35,5,FALSE)</f>
        <v>华东地区</v>
      </c>
      <c r="N172" s="15" t="s">
        <v>426</v>
      </c>
      <c r="O172" s="15" t="s">
        <v>3230</v>
      </c>
      <c r="P172" s="15" t="s">
        <v>3231</v>
      </c>
      <c r="Q172" s="15" t="s">
        <v>39</v>
      </c>
      <c r="R172" s="15" t="s">
        <v>39</v>
      </c>
      <c r="S172" s="15" t="s">
        <v>39</v>
      </c>
      <c r="T172" s="15" t="s">
        <v>3232</v>
      </c>
      <c r="U172" s="15" t="s">
        <v>3226</v>
      </c>
      <c r="V172" s="15" t="s">
        <v>3233</v>
      </c>
      <c r="W172" s="15" t="s">
        <v>3234</v>
      </c>
      <c r="X172" s="15" t="s">
        <v>39</v>
      </c>
      <c r="Y172" s="15" t="s">
        <v>39</v>
      </c>
      <c r="Z172" s="15" t="s">
        <v>3235</v>
      </c>
      <c r="AA172" s="15" t="s">
        <v>169</v>
      </c>
      <c r="AB172" s="15" t="s">
        <v>170</v>
      </c>
      <c r="AC172" s="15" t="s">
        <v>367</v>
      </c>
      <c r="AD172" s="15" t="s">
        <v>39</v>
      </c>
      <c r="AE172" s="15" t="s">
        <v>39</v>
      </c>
      <c r="AF172" s="15" t="s">
        <v>39</v>
      </c>
      <c r="AG172" s="15" t="s">
        <v>39</v>
      </c>
      <c r="AH172" s="15" t="s">
        <v>39</v>
      </c>
      <c r="AI172" s="15" t="s">
        <v>3236</v>
      </c>
      <c r="AJ172" s="15" t="s">
        <v>3237</v>
      </c>
      <c r="AK172" s="15" t="s">
        <v>3238</v>
      </c>
      <c r="AL172" s="15" t="s">
        <v>88</v>
      </c>
    </row>
    <row r="173" spans="1:38" x14ac:dyDescent="0.4">
      <c r="A173" s="11" t="s">
        <v>3239</v>
      </c>
      <c r="B173" s="12" t="s">
        <v>3240</v>
      </c>
      <c r="C173" s="13" t="s">
        <v>39</v>
      </c>
      <c r="D173" s="13" t="s">
        <v>92</v>
      </c>
      <c r="E173" s="13" t="s">
        <v>3241</v>
      </c>
      <c r="F173" s="13" t="s">
        <v>39</v>
      </c>
      <c r="G173" s="13" t="s">
        <v>39</v>
      </c>
      <c r="H173" s="13" t="s">
        <v>3242</v>
      </c>
      <c r="I173" s="9">
        <f t="shared" ca="1" si="2"/>
        <v>9</v>
      </c>
      <c r="J173" s="13" t="s">
        <v>3243</v>
      </c>
      <c r="K173" s="13" t="s">
        <v>227</v>
      </c>
      <c r="L173" s="9" t="str">
        <f>VLOOKUP(K173,[1]中国省份_标准!$B$2:$F$35,4,FALSE)</f>
        <v>西部地区</v>
      </c>
      <c r="M173" s="9" t="str">
        <f>VLOOKUP(K173,[1]中国省份_标准!$B$2:$F$35,5,FALSE)</f>
        <v>西北地区</v>
      </c>
      <c r="N173" s="13" t="s">
        <v>744</v>
      </c>
      <c r="O173" s="13" t="s">
        <v>745</v>
      </c>
      <c r="P173" s="13" t="s">
        <v>3244</v>
      </c>
      <c r="Q173" s="13" t="s">
        <v>3245</v>
      </c>
      <c r="R173" s="13" t="s">
        <v>3246</v>
      </c>
      <c r="S173" s="13" t="s">
        <v>3247</v>
      </c>
      <c r="T173" s="13" t="s">
        <v>3248</v>
      </c>
      <c r="U173" s="13" t="s">
        <v>3240</v>
      </c>
      <c r="V173" s="13" t="s">
        <v>3249</v>
      </c>
      <c r="W173" s="13" t="s">
        <v>3250</v>
      </c>
      <c r="X173" s="13" t="s">
        <v>77</v>
      </c>
      <c r="Y173" s="13" t="s">
        <v>78</v>
      </c>
      <c r="Z173" s="13" t="s">
        <v>3251</v>
      </c>
      <c r="AA173" s="13" t="s">
        <v>169</v>
      </c>
      <c r="AB173" s="13" t="s">
        <v>285</v>
      </c>
      <c r="AC173" s="13" t="s">
        <v>479</v>
      </c>
      <c r="AD173" s="13" t="s">
        <v>480</v>
      </c>
      <c r="AE173" s="13" t="s">
        <v>39</v>
      </c>
      <c r="AF173" s="13" t="s">
        <v>3252</v>
      </c>
      <c r="AG173" s="13" t="s">
        <v>39</v>
      </c>
      <c r="AH173" s="13" t="s">
        <v>39</v>
      </c>
      <c r="AI173" s="13" t="s">
        <v>3253</v>
      </c>
      <c r="AJ173" s="13" t="s">
        <v>3254</v>
      </c>
      <c r="AK173" s="13" t="s">
        <v>755</v>
      </c>
      <c r="AL173" s="13" t="s">
        <v>88</v>
      </c>
    </row>
    <row r="174" spans="1:38" x14ac:dyDescent="0.4">
      <c r="A174" s="11" t="s">
        <v>3255</v>
      </c>
      <c r="B174" s="14" t="s">
        <v>3256</v>
      </c>
      <c r="C174" s="15" t="s">
        <v>39</v>
      </c>
      <c r="D174" s="15" t="s">
        <v>92</v>
      </c>
      <c r="E174" s="15" t="s">
        <v>3257</v>
      </c>
      <c r="F174" s="15" t="s">
        <v>271</v>
      </c>
      <c r="G174" s="15" t="s">
        <v>271</v>
      </c>
      <c r="H174" s="15" t="s">
        <v>3258</v>
      </c>
      <c r="I174" s="9">
        <f t="shared" ca="1" si="2"/>
        <v>20</v>
      </c>
      <c r="J174" s="15" t="s">
        <v>3259</v>
      </c>
      <c r="K174" s="15" t="s">
        <v>227</v>
      </c>
      <c r="L174" s="9" t="str">
        <f>VLOOKUP(K174,[1]中国省份_标准!$B$2:$F$35,4,FALSE)</f>
        <v>西部地区</v>
      </c>
      <c r="M174" s="9" t="str">
        <f>VLOOKUP(K174,[1]中国省份_标准!$B$2:$F$35,5,FALSE)</f>
        <v>西北地区</v>
      </c>
      <c r="N174" s="15" t="s">
        <v>2763</v>
      </c>
      <c r="O174" s="15" t="s">
        <v>3260</v>
      </c>
      <c r="P174" s="15" t="s">
        <v>3261</v>
      </c>
      <c r="Q174" s="15" t="s">
        <v>3262</v>
      </c>
      <c r="R174" s="15" t="s">
        <v>3263</v>
      </c>
      <c r="S174" s="15" t="s">
        <v>3264</v>
      </c>
      <c r="T174" s="15" t="s">
        <v>48</v>
      </c>
      <c r="U174" s="15" t="s">
        <v>3256</v>
      </c>
      <c r="V174" s="15" t="s">
        <v>3265</v>
      </c>
      <c r="W174" s="15" t="s">
        <v>3266</v>
      </c>
      <c r="X174" s="15" t="s">
        <v>77</v>
      </c>
      <c r="Y174" s="15" t="s">
        <v>78</v>
      </c>
      <c r="Z174" s="15" t="s">
        <v>3267</v>
      </c>
      <c r="AA174" s="15" t="s">
        <v>169</v>
      </c>
      <c r="AB174" s="15" t="s">
        <v>285</v>
      </c>
      <c r="AC174" s="15" t="s">
        <v>479</v>
      </c>
      <c r="AD174" s="15" t="s">
        <v>480</v>
      </c>
      <c r="AE174" s="15" t="s">
        <v>55</v>
      </c>
      <c r="AF174" s="15" t="s">
        <v>3268</v>
      </c>
      <c r="AG174" s="15" t="s">
        <v>39</v>
      </c>
      <c r="AH174" s="15" t="s">
        <v>39</v>
      </c>
      <c r="AI174" s="15" t="s">
        <v>3269</v>
      </c>
      <c r="AJ174" s="15" t="s">
        <v>3270</v>
      </c>
      <c r="AK174" s="15" t="s">
        <v>3271</v>
      </c>
      <c r="AL174" s="15" t="s">
        <v>88</v>
      </c>
    </row>
    <row r="175" spans="1:38" x14ac:dyDescent="0.4">
      <c r="A175" s="11" t="s">
        <v>3272</v>
      </c>
      <c r="B175" s="12" t="s">
        <v>3273</v>
      </c>
      <c r="C175" s="13" t="s">
        <v>39</v>
      </c>
      <c r="D175" s="13" t="s">
        <v>92</v>
      </c>
      <c r="E175" s="13" t="s">
        <v>3274</v>
      </c>
      <c r="F175" s="13" t="s">
        <v>3275</v>
      </c>
      <c r="G175" s="13" t="s">
        <v>3275</v>
      </c>
      <c r="H175" s="13" t="s">
        <v>3276</v>
      </c>
      <c r="I175" s="9">
        <f t="shared" ca="1" si="2"/>
        <v>10</v>
      </c>
      <c r="J175" s="13" t="s">
        <v>3277</v>
      </c>
      <c r="K175" s="13" t="s">
        <v>227</v>
      </c>
      <c r="L175" s="9" t="str">
        <f>VLOOKUP(K175,[1]中国省份_标准!$B$2:$F$35,4,FALSE)</f>
        <v>西部地区</v>
      </c>
      <c r="M175" s="9" t="str">
        <f>VLOOKUP(K175,[1]中国省份_标准!$B$2:$F$35,5,FALSE)</f>
        <v>西北地区</v>
      </c>
      <c r="N175" s="13" t="s">
        <v>1002</v>
      </c>
      <c r="O175" s="13" t="s">
        <v>3278</v>
      </c>
      <c r="P175" s="13" t="s">
        <v>3279</v>
      </c>
      <c r="Q175" s="13" t="s">
        <v>3280</v>
      </c>
      <c r="R175" s="13" t="s">
        <v>3281</v>
      </c>
      <c r="S175" s="13" t="s">
        <v>3282</v>
      </c>
      <c r="T175" s="13" t="s">
        <v>184</v>
      </c>
      <c r="U175" s="13" t="s">
        <v>3273</v>
      </c>
      <c r="V175" s="13" t="s">
        <v>3283</v>
      </c>
      <c r="W175" s="13" t="s">
        <v>3284</v>
      </c>
      <c r="X175" s="13" t="s">
        <v>3285</v>
      </c>
      <c r="Y175" s="13" t="s">
        <v>78</v>
      </c>
      <c r="Z175" s="13" t="s">
        <v>3286</v>
      </c>
      <c r="AA175" s="13" t="s">
        <v>52</v>
      </c>
      <c r="AB175" s="13" t="s">
        <v>53</v>
      </c>
      <c r="AC175" s="13" t="s">
        <v>1301</v>
      </c>
      <c r="AD175" s="13" t="s">
        <v>1302</v>
      </c>
      <c r="AE175" s="13" t="s">
        <v>239</v>
      </c>
      <c r="AF175" s="13" t="s">
        <v>3287</v>
      </c>
      <c r="AG175" s="13" t="s">
        <v>3288</v>
      </c>
      <c r="AH175" s="13" t="s">
        <v>39</v>
      </c>
      <c r="AI175" s="13" t="s">
        <v>3289</v>
      </c>
      <c r="AJ175" s="13" t="s">
        <v>3290</v>
      </c>
      <c r="AK175" s="13" t="s">
        <v>3291</v>
      </c>
      <c r="AL175" s="13" t="s">
        <v>88</v>
      </c>
    </row>
    <row r="176" spans="1:38" x14ac:dyDescent="0.4">
      <c r="A176" s="11" t="s">
        <v>3292</v>
      </c>
      <c r="B176" s="14" t="s">
        <v>3293</v>
      </c>
      <c r="C176" s="15" t="s">
        <v>39</v>
      </c>
      <c r="D176" s="15" t="s">
        <v>92</v>
      </c>
      <c r="E176" s="15" t="s">
        <v>3294</v>
      </c>
      <c r="F176" s="15" t="s">
        <v>3295</v>
      </c>
      <c r="G176" s="15" t="s">
        <v>3295</v>
      </c>
      <c r="H176" s="15" t="s">
        <v>3296</v>
      </c>
      <c r="I176" s="9">
        <f t="shared" ca="1" si="2"/>
        <v>23</v>
      </c>
      <c r="J176" s="15" t="s">
        <v>3297</v>
      </c>
      <c r="K176" s="15" t="s">
        <v>445</v>
      </c>
      <c r="L176" s="9" t="str">
        <f>VLOOKUP(K176,[1]中国省份_标准!$B$2:$F$35,4,FALSE)</f>
        <v>中部地区</v>
      </c>
      <c r="M176" s="9" t="str">
        <f>VLOOKUP(K176,[1]中国省份_标准!$B$2:$F$35,5,FALSE)</f>
        <v>华东地区</v>
      </c>
      <c r="N176" s="15" t="s">
        <v>3298</v>
      </c>
      <c r="O176" s="15" t="s">
        <v>3299</v>
      </c>
      <c r="P176" s="15" t="s">
        <v>3300</v>
      </c>
      <c r="Q176" s="15" t="s">
        <v>39</v>
      </c>
      <c r="R176" s="15" t="s">
        <v>3301</v>
      </c>
      <c r="S176" s="15" t="s">
        <v>3302</v>
      </c>
      <c r="T176" s="15" t="s">
        <v>452</v>
      </c>
      <c r="U176" s="15" t="s">
        <v>3293</v>
      </c>
      <c r="V176" s="15" t="s">
        <v>3303</v>
      </c>
      <c r="W176" s="15" t="s">
        <v>3304</v>
      </c>
      <c r="X176" s="15" t="s">
        <v>3305</v>
      </c>
      <c r="Y176" s="15" t="s">
        <v>78</v>
      </c>
      <c r="Z176" s="15" t="s">
        <v>3306</v>
      </c>
      <c r="AA176" s="15" t="s">
        <v>80</v>
      </c>
      <c r="AB176" s="15" t="s">
        <v>106</v>
      </c>
      <c r="AC176" s="15" t="s">
        <v>808</v>
      </c>
      <c r="AD176" s="15" t="s">
        <v>3307</v>
      </c>
      <c r="AE176" s="15" t="s">
        <v>262</v>
      </c>
      <c r="AF176" s="15" t="s">
        <v>3308</v>
      </c>
      <c r="AG176" s="15" t="s">
        <v>3309</v>
      </c>
      <c r="AH176" s="15" t="s">
        <v>39</v>
      </c>
      <c r="AI176" s="15" t="s">
        <v>3310</v>
      </c>
      <c r="AJ176" s="15" t="s">
        <v>3311</v>
      </c>
      <c r="AK176" s="15" t="s">
        <v>3312</v>
      </c>
      <c r="AL176" s="15" t="s">
        <v>88</v>
      </c>
    </row>
    <row r="177" spans="1:38" x14ac:dyDescent="0.4">
      <c r="A177" s="11" t="s">
        <v>3313</v>
      </c>
      <c r="B177" s="12" t="s">
        <v>3314</v>
      </c>
      <c r="C177" s="13" t="s">
        <v>39</v>
      </c>
      <c r="D177" s="13" t="s">
        <v>92</v>
      </c>
      <c r="E177" s="13" t="s">
        <v>3315</v>
      </c>
      <c r="F177" s="13" t="s">
        <v>3316</v>
      </c>
      <c r="G177" s="13" t="s">
        <v>3316</v>
      </c>
      <c r="H177" s="13" t="s">
        <v>3317</v>
      </c>
      <c r="I177" s="9">
        <f t="shared" ca="1" si="2"/>
        <v>29</v>
      </c>
      <c r="J177" s="13" t="s">
        <v>3318</v>
      </c>
      <c r="K177" s="13" t="s">
        <v>379</v>
      </c>
      <c r="L177" s="9" t="str">
        <f>VLOOKUP(K177,[1]中国省份_标准!$B$2:$F$35,4,FALSE)</f>
        <v>东部地区</v>
      </c>
      <c r="M177" s="9" t="str">
        <f>VLOOKUP(K177,[1]中国省份_标准!$B$2:$F$35,5,FALSE)</f>
        <v>华东地区</v>
      </c>
      <c r="N177" s="13" t="s">
        <v>1221</v>
      </c>
      <c r="O177" s="13" t="s">
        <v>3319</v>
      </c>
      <c r="P177" s="13" t="s">
        <v>3320</v>
      </c>
      <c r="Q177" s="13" t="s">
        <v>3321</v>
      </c>
      <c r="R177" s="13" t="s">
        <v>3322</v>
      </c>
      <c r="S177" s="13" t="s">
        <v>3323</v>
      </c>
      <c r="T177" s="13" t="s">
        <v>3324</v>
      </c>
      <c r="U177" s="13" t="s">
        <v>3314</v>
      </c>
      <c r="V177" s="13" t="s">
        <v>3325</v>
      </c>
      <c r="W177" s="13" t="s">
        <v>3326</v>
      </c>
      <c r="X177" s="13" t="s">
        <v>3327</v>
      </c>
      <c r="Y177" s="13" t="s">
        <v>78</v>
      </c>
      <c r="Z177" s="13" t="s">
        <v>3328</v>
      </c>
      <c r="AA177" s="13" t="s">
        <v>80</v>
      </c>
      <c r="AB177" s="13" t="s">
        <v>106</v>
      </c>
      <c r="AC177" s="13" t="s">
        <v>107</v>
      </c>
      <c r="AD177" s="13" t="s">
        <v>128</v>
      </c>
      <c r="AE177" s="13" t="s">
        <v>239</v>
      </c>
      <c r="AF177" s="13" t="s">
        <v>3329</v>
      </c>
      <c r="AG177" s="13" t="s">
        <v>3330</v>
      </c>
      <c r="AH177" s="13" t="s">
        <v>39</v>
      </c>
      <c r="AI177" s="13" t="s">
        <v>3331</v>
      </c>
      <c r="AJ177" s="13" t="s">
        <v>3332</v>
      </c>
      <c r="AK177" s="13" t="s">
        <v>3333</v>
      </c>
      <c r="AL177" s="13" t="s">
        <v>88</v>
      </c>
    </row>
    <row r="178" spans="1:38" x14ac:dyDescent="0.4">
      <c r="A178" s="11" t="s">
        <v>3334</v>
      </c>
      <c r="B178" s="14" t="s">
        <v>3335</v>
      </c>
      <c r="C178" s="15" t="s">
        <v>39</v>
      </c>
      <c r="D178" s="15" t="s">
        <v>92</v>
      </c>
      <c r="E178" s="15" t="s">
        <v>3336</v>
      </c>
      <c r="F178" s="15" t="s">
        <v>271</v>
      </c>
      <c r="G178" s="15" t="s">
        <v>39</v>
      </c>
      <c r="H178" s="15" t="s">
        <v>3337</v>
      </c>
      <c r="I178" s="9">
        <f t="shared" ca="1" si="2"/>
        <v>8</v>
      </c>
      <c r="J178" s="15" t="s">
        <v>3338</v>
      </c>
      <c r="K178" s="15" t="s">
        <v>340</v>
      </c>
      <c r="L178" s="9" t="str">
        <f>VLOOKUP(K178,[1]中国省份_标准!$B$2:$F$35,4,FALSE)</f>
        <v>东部地区</v>
      </c>
      <c r="M178" s="9" t="str">
        <f>VLOOKUP(K178,[1]中国省份_标准!$B$2:$F$35,5,FALSE)</f>
        <v>华东地区</v>
      </c>
      <c r="N178" s="15" t="s">
        <v>3339</v>
      </c>
      <c r="O178" s="15" t="s">
        <v>3340</v>
      </c>
      <c r="P178" s="15" t="s">
        <v>3341</v>
      </c>
      <c r="Q178" s="15" t="s">
        <v>3342</v>
      </c>
      <c r="R178" s="15" t="s">
        <v>3343</v>
      </c>
      <c r="S178" s="15" t="s">
        <v>3344</v>
      </c>
      <c r="T178" s="15" t="s">
        <v>281</v>
      </c>
      <c r="U178" s="15" t="s">
        <v>3335</v>
      </c>
      <c r="V178" s="15" t="s">
        <v>3345</v>
      </c>
      <c r="W178" s="15" t="s">
        <v>3346</v>
      </c>
      <c r="X178" s="15" t="s">
        <v>690</v>
      </c>
      <c r="Y178" s="15" t="s">
        <v>78</v>
      </c>
      <c r="Z178" s="15" t="s">
        <v>3347</v>
      </c>
      <c r="AA178" s="15" t="s">
        <v>80</v>
      </c>
      <c r="AB178" s="15" t="s">
        <v>106</v>
      </c>
      <c r="AC178" s="15" t="s">
        <v>107</v>
      </c>
      <c r="AD178" s="15" t="s">
        <v>3348</v>
      </c>
      <c r="AE178" s="15" t="s">
        <v>55</v>
      </c>
      <c r="AF178" s="15" t="s">
        <v>3349</v>
      </c>
      <c r="AG178" s="15" t="s">
        <v>39</v>
      </c>
      <c r="AH178" s="15" t="s">
        <v>39</v>
      </c>
      <c r="AI178" s="15" t="s">
        <v>3350</v>
      </c>
      <c r="AJ178" s="15" t="s">
        <v>3351</v>
      </c>
      <c r="AK178" s="15" t="s">
        <v>3352</v>
      </c>
      <c r="AL178" s="15" t="s">
        <v>88</v>
      </c>
    </row>
    <row r="179" spans="1:38" x14ac:dyDescent="0.4">
      <c r="A179" s="11" t="s">
        <v>3353</v>
      </c>
      <c r="B179" s="12" t="s">
        <v>3354</v>
      </c>
      <c r="C179" s="13" t="s">
        <v>39</v>
      </c>
      <c r="D179" s="13" t="s">
        <v>92</v>
      </c>
      <c r="E179" s="13" t="s">
        <v>1784</v>
      </c>
      <c r="F179" s="13" t="s">
        <v>1235</v>
      </c>
      <c r="G179" s="13" t="s">
        <v>1235</v>
      </c>
      <c r="H179" s="13" t="s">
        <v>3355</v>
      </c>
      <c r="I179" s="9">
        <f t="shared" ca="1" si="2"/>
        <v>19</v>
      </c>
      <c r="J179" s="13" t="s">
        <v>3356</v>
      </c>
      <c r="K179" s="13" t="s">
        <v>445</v>
      </c>
      <c r="L179" s="9" t="str">
        <f>VLOOKUP(K179,[1]中国省份_标准!$B$2:$F$35,4,FALSE)</f>
        <v>中部地区</v>
      </c>
      <c r="M179" s="9" t="str">
        <f>VLOOKUP(K179,[1]中国省份_标准!$B$2:$F$35,5,FALSE)</f>
        <v>华东地区</v>
      </c>
      <c r="N179" s="13" t="s">
        <v>3357</v>
      </c>
      <c r="O179" s="13" t="s">
        <v>3358</v>
      </c>
      <c r="P179" s="13" t="s">
        <v>3359</v>
      </c>
      <c r="Q179" s="13" t="s">
        <v>3360</v>
      </c>
      <c r="R179" s="13" t="s">
        <v>3361</v>
      </c>
      <c r="S179" s="13" t="s">
        <v>3362</v>
      </c>
      <c r="T179" s="13" t="s">
        <v>209</v>
      </c>
      <c r="U179" s="13" t="s">
        <v>3354</v>
      </c>
      <c r="V179" s="13" t="s">
        <v>3363</v>
      </c>
      <c r="W179" s="13" t="s">
        <v>3364</v>
      </c>
      <c r="X179" s="13" t="s">
        <v>365</v>
      </c>
      <c r="Y179" s="13" t="s">
        <v>78</v>
      </c>
      <c r="Z179" s="13" t="s">
        <v>3365</v>
      </c>
      <c r="AA179" s="13" t="s">
        <v>169</v>
      </c>
      <c r="AB179" s="13" t="s">
        <v>412</v>
      </c>
      <c r="AC179" s="13" t="s">
        <v>413</v>
      </c>
      <c r="AD179" s="13" t="s">
        <v>1687</v>
      </c>
      <c r="AE179" s="13" t="s">
        <v>55</v>
      </c>
      <c r="AF179" s="13" t="s">
        <v>3366</v>
      </c>
      <c r="AG179" s="13" t="s">
        <v>39</v>
      </c>
      <c r="AH179" s="13" t="s">
        <v>39</v>
      </c>
      <c r="AI179" s="13" t="s">
        <v>3367</v>
      </c>
      <c r="AJ179" s="13" t="s">
        <v>3368</v>
      </c>
      <c r="AK179" s="13" t="s">
        <v>3369</v>
      </c>
      <c r="AL179" s="13" t="s">
        <v>88</v>
      </c>
    </row>
    <row r="180" spans="1:38" x14ac:dyDescent="0.4">
      <c r="A180" s="11" t="s">
        <v>3370</v>
      </c>
      <c r="B180" s="14" t="s">
        <v>3371</v>
      </c>
      <c r="C180" s="15" t="s">
        <v>39</v>
      </c>
      <c r="D180" s="15" t="s">
        <v>63</v>
      </c>
      <c r="E180" s="15" t="s">
        <v>3372</v>
      </c>
      <c r="F180" s="15" t="s">
        <v>422</v>
      </c>
      <c r="G180" s="15" t="s">
        <v>422</v>
      </c>
      <c r="H180" s="15" t="s">
        <v>3373</v>
      </c>
      <c r="I180" s="9">
        <f t="shared" ca="1" si="2"/>
        <v>15</v>
      </c>
      <c r="J180" s="15" t="s">
        <v>3374</v>
      </c>
      <c r="K180" s="15" t="s">
        <v>531</v>
      </c>
      <c r="L180" s="9" t="str">
        <f>VLOOKUP(K180,[1]中国省份_标准!$B$2:$F$35,4,FALSE)</f>
        <v>东部地区</v>
      </c>
      <c r="M180" s="9" t="str">
        <f>VLOOKUP(K180,[1]中国省份_标准!$B$2:$F$35,5,FALSE)</f>
        <v>华南地区</v>
      </c>
      <c r="N180" s="15" t="s">
        <v>2483</v>
      </c>
      <c r="O180" s="15" t="s">
        <v>2504</v>
      </c>
      <c r="P180" s="15" t="s">
        <v>3375</v>
      </c>
      <c r="Q180" s="15" t="s">
        <v>3376</v>
      </c>
      <c r="R180" s="15" t="s">
        <v>3377</v>
      </c>
      <c r="S180" s="15" t="s">
        <v>3378</v>
      </c>
      <c r="T180" s="15" t="s">
        <v>48</v>
      </c>
      <c r="U180" s="15" t="s">
        <v>3371</v>
      </c>
      <c r="V180" s="15" t="s">
        <v>3379</v>
      </c>
      <c r="W180" s="15" t="s">
        <v>3380</v>
      </c>
      <c r="X180" s="15" t="s">
        <v>1209</v>
      </c>
      <c r="Y180" s="15" t="s">
        <v>78</v>
      </c>
      <c r="Z180" s="15" t="s">
        <v>3381</v>
      </c>
      <c r="AA180" s="15" t="s">
        <v>169</v>
      </c>
      <c r="AB180" s="15" t="s">
        <v>1264</v>
      </c>
      <c r="AC180" s="15" t="s">
        <v>1457</v>
      </c>
      <c r="AD180" s="15" t="s">
        <v>1557</v>
      </c>
      <c r="AE180" s="15" t="s">
        <v>55</v>
      </c>
      <c r="AF180" s="15" t="s">
        <v>3382</v>
      </c>
      <c r="AG180" s="15" t="s">
        <v>39</v>
      </c>
      <c r="AH180" s="15" t="s">
        <v>39</v>
      </c>
      <c r="AI180" s="15" t="s">
        <v>3383</v>
      </c>
      <c r="AJ180" s="15" t="s">
        <v>3384</v>
      </c>
      <c r="AK180" s="15" t="s">
        <v>2516</v>
      </c>
      <c r="AL180" s="15" t="s">
        <v>88</v>
      </c>
    </row>
    <row r="181" spans="1:38" x14ac:dyDescent="0.4">
      <c r="A181" s="11" t="s">
        <v>3385</v>
      </c>
      <c r="B181" s="12" t="s">
        <v>3386</v>
      </c>
      <c r="C181" s="13" t="s">
        <v>39</v>
      </c>
      <c r="D181" s="13" t="s">
        <v>92</v>
      </c>
      <c r="E181" s="13" t="s">
        <v>3387</v>
      </c>
      <c r="F181" s="13" t="s">
        <v>271</v>
      </c>
      <c r="G181" s="13" t="s">
        <v>39</v>
      </c>
      <c r="H181" s="13" t="s">
        <v>3388</v>
      </c>
      <c r="I181" s="9">
        <f t="shared" ca="1" si="2"/>
        <v>6</v>
      </c>
      <c r="J181" s="13" t="s">
        <v>3389</v>
      </c>
      <c r="K181" s="13" t="s">
        <v>340</v>
      </c>
      <c r="L181" s="9" t="str">
        <f>VLOOKUP(K181,[1]中国省份_标准!$B$2:$F$35,4,FALSE)</f>
        <v>东部地区</v>
      </c>
      <c r="M181" s="9" t="str">
        <f>VLOOKUP(K181,[1]中国省份_标准!$B$2:$F$35,5,FALSE)</f>
        <v>华东地区</v>
      </c>
      <c r="N181" s="13" t="s">
        <v>3339</v>
      </c>
      <c r="O181" s="13" t="s">
        <v>3340</v>
      </c>
      <c r="P181" s="13" t="s">
        <v>3390</v>
      </c>
      <c r="Q181" s="13" t="s">
        <v>39</v>
      </c>
      <c r="R181" s="13" t="s">
        <v>3391</v>
      </c>
      <c r="S181" s="13" t="s">
        <v>3392</v>
      </c>
      <c r="T181" s="13" t="s">
        <v>48</v>
      </c>
      <c r="U181" s="13" t="s">
        <v>3386</v>
      </c>
      <c r="V181" s="13" t="s">
        <v>39</v>
      </c>
      <c r="W181" s="13" t="s">
        <v>3393</v>
      </c>
      <c r="X181" s="13" t="s">
        <v>77</v>
      </c>
      <c r="Y181" s="13" t="s">
        <v>731</v>
      </c>
      <c r="Z181" s="13" t="s">
        <v>3394</v>
      </c>
      <c r="AA181" s="13" t="s">
        <v>80</v>
      </c>
      <c r="AB181" s="13" t="s">
        <v>106</v>
      </c>
      <c r="AC181" s="13" t="s">
        <v>107</v>
      </c>
      <c r="AD181" s="13" t="s">
        <v>3348</v>
      </c>
      <c r="AE181" s="13" t="s">
        <v>262</v>
      </c>
      <c r="AF181" s="13" t="s">
        <v>3395</v>
      </c>
      <c r="AG181" s="13" t="s">
        <v>39</v>
      </c>
      <c r="AH181" s="13" t="s">
        <v>3396</v>
      </c>
      <c r="AI181" s="13" t="s">
        <v>3397</v>
      </c>
      <c r="AJ181" s="13" t="s">
        <v>3398</v>
      </c>
      <c r="AK181" s="13" t="s">
        <v>3352</v>
      </c>
      <c r="AL181" s="13" t="s">
        <v>88</v>
      </c>
    </row>
    <row r="182" spans="1:38" x14ac:dyDescent="0.4">
      <c r="A182" s="11" t="s">
        <v>3399</v>
      </c>
      <c r="B182" s="14" t="s">
        <v>3400</v>
      </c>
      <c r="C182" s="15" t="s">
        <v>39</v>
      </c>
      <c r="D182" s="15" t="s">
        <v>63</v>
      </c>
      <c r="E182" s="15" t="s">
        <v>3401</v>
      </c>
      <c r="F182" s="15" t="s">
        <v>3402</v>
      </c>
      <c r="G182" s="15" t="s">
        <v>3402</v>
      </c>
      <c r="H182" s="15" t="s">
        <v>3403</v>
      </c>
      <c r="I182" s="9">
        <f t="shared" ca="1" si="2"/>
        <v>15</v>
      </c>
      <c r="J182" s="15" t="s">
        <v>3404</v>
      </c>
      <c r="K182" s="15" t="s">
        <v>3405</v>
      </c>
      <c r="L182" s="9" t="str">
        <f>VLOOKUP(K182,[1]中国省份_标准!$B$2:$F$35,4,FALSE)</f>
        <v>西部地区</v>
      </c>
      <c r="M182" s="9" t="str">
        <f>VLOOKUP(K182,[1]中国省份_标准!$B$2:$F$35,5,FALSE)</f>
        <v>西北地区</v>
      </c>
      <c r="N182" s="15" t="s">
        <v>3406</v>
      </c>
      <c r="O182" s="15" t="s">
        <v>3407</v>
      </c>
      <c r="P182" s="15" t="s">
        <v>3408</v>
      </c>
      <c r="Q182" s="15" t="s">
        <v>3409</v>
      </c>
      <c r="R182" s="15" t="s">
        <v>3410</v>
      </c>
      <c r="S182" s="15" t="s">
        <v>39</v>
      </c>
      <c r="T182" s="15" t="s">
        <v>209</v>
      </c>
      <c r="U182" s="15" t="s">
        <v>3400</v>
      </c>
      <c r="V182" s="15" t="s">
        <v>3411</v>
      </c>
      <c r="W182" s="15" t="s">
        <v>3412</v>
      </c>
      <c r="X182" s="15" t="s">
        <v>3413</v>
      </c>
      <c r="Y182" s="15" t="s">
        <v>78</v>
      </c>
      <c r="Z182" s="15" t="s">
        <v>3414</v>
      </c>
      <c r="AA182" s="15" t="s">
        <v>3415</v>
      </c>
      <c r="AB182" s="15" t="s">
        <v>3416</v>
      </c>
      <c r="AC182" s="15" t="s">
        <v>3417</v>
      </c>
      <c r="AD182" s="15" t="s">
        <v>3418</v>
      </c>
      <c r="AE182" s="15" t="s">
        <v>239</v>
      </c>
      <c r="AF182" s="15" t="s">
        <v>3419</v>
      </c>
      <c r="AG182" s="15" t="s">
        <v>39</v>
      </c>
      <c r="AH182" s="15" t="s">
        <v>39</v>
      </c>
      <c r="AI182" s="15" t="s">
        <v>3420</v>
      </c>
      <c r="AJ182" s="15" t="s">
        <v>3421</v>
      </c>
      <c r="AK182" s="15" t="s">
        <v>3422</v>
      </c>
      <c r="AL182" s="15" t="s">
        <v>88</v>
      </c>
    </row>
    <row r="183" spans="1:38" x14ac:dyDescent="0.4">
      <c r="A183" s="11" t="s">
        <v>3423</v>
      </c>
      <c r="B183" s="12" t="s">
        <v>3424</v>
      </c>
      <c r="C183" s="13" t="s">
        <v>39</v>
      </c>
      <c r="D183" s="13" t="s">
        <v>92</v>
      </c>
      <c r="E183" s="13" t="s">
        <v>3425</v>
      </c>
      <c r="F183" s="13" t="s">
        <v>1120</v>
      </c>
      <c r="G183" s="13" t="s">
        <v>1235</v>
      </c>
      <c r="H183" s="13" t="s">
        <v>3426</v>
      </c>
      <c r="I183" s="9">
        <f t="shared" ca="1" si="2"/>
        <v>13</v>
      </c>
      <c r="J183" s="13" t="s">
        <v>3427</v>
      </c>
      <c r="K183" s="13" t="s">
        <v>138</v>
      </c>
      <c r="L183" s="9" t="str">
        <f>VLOOKUP(K183,[1]中国省份_标准!$B$2:$F$35,4,FALSE)</f>
        <v>西部地区</v>
      </c>
      <c r="M183" s="9" t="str">
        <f>VLOOKUP(K183,[1]中国省份_标准!$B$2:$F$35,5,FALSE)</f>
        <v>西南地区</v>
      </c>
      <c r="N183" s="13" t="s">
        <v>3428</v>
      </c>
      <c r="O183" s="13" t="s">
        <v>3429</v>
      </c>
      <c r="P183" s="13" t="s">
        <v>1293</v>
      </c>
      <c r="Q183" s="13" t="s">
        <v>3430</v>
      </c>
      <c r="R183" s="13" t="s">
        <v>1295</v>
      </c>
      <c r="S183" s="13" t="s">
        <v>3431</v>
      </c>
      <c r="T183" s="13" t="s">
        <v>825</v>
      </c>
      <c r="U183" s="13" t="s">
        <v>3424</v>
      </c>
      <c r="V183" s="13" t="s">
        <v>3432</v>
      </c>
      <c r="W183" s="13" t="s">
        <v>3433</v>
      </c>
      <c r="X183" s="13" t="s">
        <v>77</v>
      </c>
      <c r="Y183" s="13" t="s">
        <v>78</v>
      </c>
      <c r="Z183" s="13" t="s">
        <v>3434</v>
      </c>
      <c r="AA183" s="13" t="s">
        <v>80</v>
      </c>
      <c r="AB183" s="13" t="s">
        <v>106</v>
      </c>
      <c r="AC183" s="13" t="s">
        <v>808</v>
      </c>
      <c r="AD183" s="13" t="s">
        <v>1741</v>
      </c>
      <c r="AE183" s="13" t="s">
        <v>262</v>
      </c>
      <c r="AF183" s="13" t="s">
        <v>3435</v>
      </c>
      <c r="AG183" s="13" t="s">
        <v>39</v>
      </c>
      <c r="AH183" s="13" t="s">
        <v>39</v>
      </c>
      <c r="AI183" s="13" t="s">
        <v>3436</v>
      </c>
      <c r="AJ183" s="13" t="s">
        <v>3437</v>
      </c>
      <c r="AK183" s="13" t="s">
        <v>3438</v>
      </c>
      <c r="AL183" s="13" t="s">
        <v>88</v>
      </c>
    </row>
    <row r="184" spans="1:38" x14ac:dyDescent="0.4">
      <c r="A184" s="11" t="s">
        <v>3439</v>
      </c>
      <c r="B184" s="14" t="s">
        <v>3440</v>
      </c>
      <c r="C184" s="15" t="s">
        <v>3441</v>
      </c>
      <c r="D184" s="15" t="s">
        <v>92</v>
      </c>
      <c r="E184" s="15" t="s">
        <v>3442</v>
      </c>
      <c r="F184" s="15" t="s">
        <v>1928</v>
      </c>
      <c r="G184" s="15" t="s">
        <v>1928</v>
      </c>
      <c r="H184" s="15" t="s">
        <v>3443</v>
      </c>
      <c r="I184" s="9">
        <f t="shared" ca="1" si="2"/>
        <v>32</v>
      </c>
      <c r="J184" s="15" t="s">
        <v>3444</v>
      </c>
      <c r="K184" s="15" t="s">
        <v>340</v>
      </c>
      <c r="L184" s="9" t="str">
        <f>VLOOKUP(K184,[1]中国省份_标准!$B$2:$F$35,4,FALSE)</f>
        <v>东部地区</v>
      </c>
      <c r="M184" s="9" t="str">
        <f>VLOOKUP(K184,[1]中国省份_标准!$B$2:$F$35,5,FALSE)</f>
        <v>华东地区</v>
      </c>
      <c r="N184" s="15" t="s">
        <v>3445</v>
      </c>
      <c r="O184" s="15" t="s">
        <v>3446</v>
      </c>
      <c r="P184" s="15" t="s">
        <v>3447</v>
      </c>
      <c r="Q184" s="15" t="s">
        <v>3448</v>
      </c>
      <c r="R184" s="15" t="s">
        <v>3449</v>
      </c>
      <c r="S184" s="15" t="s">
        <v>3450</v>
      </c>
      <c r="T184" s="15" t="s">
        <v>184</v>
      </c>
      <c r="U184" s="15" t="s">
        <v>3440</v>
      </c>
      <c r="V184" s="15" t="s">
        <v>3451</v>
      </c>
      <c r="W184" s="15" t="s">
        <v>3452</v>
      </c>
      <c r="X184" s="15" t="s">
        <v>1130</v>
      </c>
      <c r="Y184" s="15" t="s">
        <v>78</v>
      </c>
      <c r="Z184" s="15" t="s">
        <v>3453</v>
      </c>
      <c r="AA184" s="15" t="s">
        <v>80</v>
      </c>
      <c r="AB184" s="15" t="s">
        <v>106</v>
      </c>
      <c r="AC184" s="15" t="s">
        <v>808</v>
      </c>
      <c r="AD184" s="15" t="s">
        <v>1741</v>
      </c>
      <c r="AE184" s="15" t="s">
        <v>109</v>
      </c>
      <c r="AF184" s="15" t="s">
        <v>3454</v>
      </c>
      <c r="AG184" s="15" t="s">
        <v>3455</v>
      </c>
      <c r="AH184" s="15" t="s">
        <v>39</v>
      </c>
      <c r="AI184" s="15" t="s">
        <v>3456</v>
      </c>
      <c r="AJ184" s="15" t="s">
        <v>3457</v>
      </c>
      <c r="AK184" s="15" t="s">
        <v>3458</v>
      </c>
      <c r="AL184" s="15" t="s">
        <v>88</v>
      </c>
    </row>
    <row r="185" spans="1:38" x14ac:dyDescent="0.4">
      <c r="A185" s="11" t="s">
        <v>3459</v>
      </c>
      <c r="B185" s="12" t="s">
        <v>3460</v>
      </c>
      <c r="C185" s="13" t="s">
        <v>39</v>
      </c>
      <c r="D185" s="13" t="s">
        <v>92</v>
      </c>
      <c r="E185" s="13" t="s">
        <v>3461</v>
      </c>
      <c r="F185" s="13" t="s">
        <v>271</v>
      </c>
      <c r="G185" s="13" t="s">
        <v>3462</v>
      </c>
      <c r="H185" s="13" t="s">
        <v>3463</v>
      </c>
      <c r="I185" s="9">
        <f t="shared" ca="1" si="2"/>
        <v>8</v>
      </c>
      <c r="J185" s="13" t="s">
        <v>3464</v>
      </c>
      <c r="K185" s="13" t="s">
        <v>340</v>
      </c>
      <c r="L185" s="9" t="str">
        <f>VLOOKUP(K185,[1]中国省份_标准!$B$2:$F$35,4,FALSE)</f>
        <v>东部地区</v>
      </c>
      <c r="M185" s="9" t="str">
        <f>VLOOKUP(K185,[1]中国省份_标准!$B$2:$F$35,5,FALSE)</f>
        <v>华东地区</v>
      </c>
      <c r="N185" s="13" t="s">
        <v>469</v>
      </c>
      <c r="O185" s="13" t="s">
        <v>3465</v>
      </c>
      <c r="P185" s="13" t="s">
        <v>3466</v>
      </c>
      <c r="Q185" s="13" t="s">
        <v>3467</v>
      </c>
      <c r="R185" s="13" t="s">
        <v>3468</v>
      </c>
      <c r="S185" s="13" t="s">
        <v>39</v>
      </c>
      <c r="T185" s="13" t="s">
        <v>281</v>
      </c>
      <c r="U185" s="13" t="s">
        <v>3460</v>
      </c>
      <c r="V185" s="13" t="s">
        <v>3469</v>
      </c>
      <c r="W185" s="13" t="s">
        <v>3470</v>
      </c>
      <c r="X185" s="13" t="s">
        <v>77</v>
      </c>
      <c r="Y185" s="13" t="s">
        <v>78</v>
      </c>
      <c r="Z185" s="13" t="s">
        <v>3471</v>
      </c>
      <c r="AA185" s="13" t="s">
        <v>80</v>
      </c>
      <c r="AB185" s="13" t="s">
        <v>106</v>
      </c>
      <c r="AC185" s="13" t="s">
        <v>388</v>
      </c>
      <c r="AD185" s="13" t="s">
        <v>434</v>
      </c>
      <c r="AE185" s="13" t="s">
        <v>55</v>
      </c>
      <c r="AF185" s="13" t="s">
        <v>3472</v>
      </c>
      <c r="AG185" s="13" t="s">
        <v>39</v>
      </c>
      <c r="AH185" s="13" t="s">
        <v>3473</v>
      </c>
      <c r="AI185" s="13" t="s">
        <v>3474</v>
      </c>
      <c r="AJ185" s="13" t="s">
        <v>3475</v>
      </c>
      <c r="AK185" s="13" t="s">
        <v>3476</v>
      </c>
      <c r="AL185" s="13" t="s">
        <v>88</v>
      </c>
    </row>
    <row r="186" spans="1:38" x14ac:dyDescent="0.4">
      <c r="A186" s="11" t="s">
        <v>3477</v>
      </c>
      <c r="B186" s="14" t="s">
        <v>3478</v>
      </c>
      <c r="C186" s="15" t="s">
        <v>39</v>
      </c>
      <c r="D186" s="15" t="s">
        <v>63</v>
      </c>
      <c r="E186" s="15" t="s">
        <v>3479</v>
      </c>
      <c r="F186" s="15" t="s">
        <v>490</v>
      </c>
      <c r="G186" s="15" t="s">
        <v>490</v>
      </c>
      <c r="H186" s="15" t="s">
        <v>3480</v>
      </c>
      <c r="I186" s="9">
        <f t="shared" ca="1" si="2"/>
        <v>21</v>
      </c>
      <c r="J186" s="15" t="s">
        <v>3481</v>
      </c>
      <c r="K186" s="15" t="s">
        <v>67</v>
      </c>
      <c r="L186" s="9" t="str">
        <f>VLOOKUP(K186,[1]中国省份_标准!$B$2:$F$35,4,FALSE)</f>
        <v>东部地区</v>
      </c>
      <c r="M186" s="9" t="str">
        <f>VLOOKUP(K186,[1]中国省份_标准!$B$2:$F$35,5,FALSE)</f>
        <v>华东地区</v>
      </c>
      <c r="N186" s="15" t="s">
        <v>1809</v>
      </c>
      <c r="O186" s="15" t="s">
        <v>3482</v>
      </c>
      <c r="P186" s="15" t="s">
        <v>3483</v>
      </c>
      <c r="Q186" s="15" t="s">
        <v>3484</v>
      </c>
      <c r="R186" s="15" t="s">
        <v>3485</v>
      </c>
      <c r="S186" s="15" t="s">
        <v>39</v>
      </c>
      <c r="T186" s="15" t="s">
        <v>452</v>
      </c>
      <c r="U186" s="15" t="s">
        <v>3478</v>
      </c>
      <c r="V186" s="15" t="s">
        <v>3486</v>
      </c>
      <c r="W186" s="15" t="s">
        <v>3487</v>
      </c>
      <c r="X186" s="15" t="s">
        <v>3488</v>
      </c>
      <c r="Y186" s="15" t="s">
        <v>78</v>
      </c>
      <c r="Z186" s="15" t="s">
        <v>3489</v>
      </c>
      <c r="AA186" s="15" t="s">
        <v>169</v>
      </c>
      <c r="AB186" s="15" t="s">
        <v>285</v>
      </c>
      <c r="AC186" s="15" t="s">
        <v>712</v>
      </c>
      <c r="AD186" s="15" t="s">
        <v>3490</v>
      </c>
      <c r="AE186" s="15" t="s">
        <v>55</v>
      </c>
      <c r="AF186" s="15" t="s">
        <v>3491</v>
      </c>
      <c r="AG186" s="15" t="s">
        <v>39</v>
      </c>
      <c r="AH186" s="15" t="s">
        <v>39</v>
      </c>
      <c r="AI186" s="15" t="s">
        <v>3492</v>
      </c>
      <c r="AJ186" s="15" t="s">
        <v>3493</v>
      </c>
      <c r="AK186" s="15" t="s">
        <v>3494</v>
      </c>
      <c r="AL186" s="15" t="s">
        <v>88</v>
      </c>
    </row>
    <row r="187" spans="1:38" x14ac:dyDescent="0.4">
      <c r="A187" s="11" t="s">
        <v>3495</v>
      </c>
      <c r="B187" s="12" t="s">
        <v>3496</v>
      </c>
      <c r="C187" s="13" t="s">
        <v>39</v>
      </c>
      <c r="D187" s="13" t="s">
        <v>92</v>
      </c>
      <c r="E187" s="13" t="s">
        <v>3497</v>
      </c>
      <c r="F187" s="13" t="s">
        <v>3498</v>
      </c>
      <c r="G187" s="13" t="s">
        <v>3498</v>
      </c>
      <c r="H187" s="13" t="s">
        <v>3499</v>
      </c>
      <c r="I187" s="9">
        <f t="shared" ca="1" si="2"/>
        <v>15</v>
      </c>
      <c r="J187" s="13" t="s">
        <v>3500</v>
      </c>
      <c r="K187" s="13" t="s">
        <v>983</v>
      </c>
      <c r="L187" s="9" t="str">
        <f>VLOOKUP(K187,[1]中国省份_标准!$B$2:$F$35,4,FALSE)</f>
        <v>西部地区</v>
      </c>
      <c r="M187" s="9" t="str">
        <f>VLOOKUP(K187,[1]中国省份_标准!$B$2:$F$35,5,FALSE)</f>
        <v>华北地区</v>
      </c>
      <c r="N187" s="13" t="s">
        <v>984</v>
      </c>
      <c r="O187" s="13" t="s">
        <v>3501</v>
      </c>
      <c r="P187" s="13" t="s">
        <v>3502</v>
      </c>
      <c r="Q187" s="13" t="s">
        <v>39</v>
      </c>
      <c r="R187" s="13" t="s">
        <v>3503</v>
      </c>
      <c r="S187" s="13" t="s">
        <v>3504</v>
      </c>
      <c r="T187" s="13" t="s">
        <v>209</v>
      </c>
      <c r="U187" s="13" t="s">
        <v>3496</v>
      </c>
      <c r="V187" s="13" t="s">
        <v>3505</v>
      </c>
      <c r="W187" s="13" t="s">
        <v>3506</v>
      </c>
      <c r="X187" s="13" t="s">
        <v>673</v>
      </c>
      <c r="Y187" s="13" t="s">
        <v>78</v>
      </c>
      <c r="Z187" s="13" t="s">
        <v>3507</v>
      </c>
      <c r="AA187" s="13" t="s">
        <v>80</v>
      </c>
      <c r="AB187" s="13" t="s">
        <v>106</v>
      </c>
      <c r="AC187" s="13" t="s">
        <v>39</v>
      </c>
      <c r="AD187" s="13" t="s">
        <v>39</v>
      </c>
      <c r="AE187" s="13" t="s">
        <v>55</v>
      </c>
      <c r="AF187" s="13" t="s">
        <v>3508</v>
      </c>
      <c r="AG187" s="13" t="s">
        <v>39</v>
      </c>
      <c r="AH187" s="13" t="s">
        <v>39</v>
      </c>
      <c r="AI187" s="13" t="s">
        <v>3509</v>
      </c>
      <c r="AJ187" s="13" t="s">
        <v>3510</v>
      </c>
      <c r="AK187" s="13" t="s">
        <v>3511</v>
      </c>
      <c r="AL187" s="13" t="s">
        <v>88</v>
      </c>
    </row>
    <row r="188" spans="1:38" x14ac:dyDescent="0.4">
      <c r="A188" s="11" t="s">
        <v>3512</v>
      </c>
      <c r="B188" s="14" t="s">
        <v>3513</v>
      </c>
      <c r="C188" s="15" t="s">
        <v>39</v>
      </c>
      <c r="D188" s="15" t="s">
        <v>63</v>
      </c>
      <c r="E188" s="15" t="s">
        <v>3514</v>
      </c>
      <c r="F188" s="15" t="s">
        <v>3515</v>
      </c>
      <c r="G188" s="15" t="s">
        <v>3515</v>
      </c>
      <c r="H188" s="15" t="s">
        <v>3516</v>
      </c>
      <c r="I188" s="9">
        <f t="shared" ca="1" si="2"/>
        <v>21</v>
      </c>
      <c r="J188" s="15" t="s">
        <v>3517</v>
      </c>
      <c r="K188" s="15" t="s">
        <v>425</v>
      </c>
      <c r="L188" s="9" t="str">
        <f>VLOOKUP(K188,[1]中国省份_标准!$B$2:$F$35,4,FALSE)</f>
        <v>东部地区</v>
      </c>
      <c r="M188" s="9" t="str">
        <f>VLOOKUP(K188,[1]中国省份_标准!$B$2:$F$35,5,FALSE)</f>
        <v>华东地区</v>
      </c>
      <c r="N188" s="15" t="s">
        <v>3049</v>
      </c>
      <c r="O188" s="15" t="s">
        <v>3518</v>
      </c>
      <c r="P188" s="15" t="s">
        <v>3519</v>
      </c>
      <c r="Q188" s="15" t="s">
        <v>3520</v>
      </c>
      <c r="R188" s="15" t="s">
        <v>3521</v>
      </c>
      <c r="S188" s="15" t="s">
        <v>3522</v>
      </c>
      <c r="T188" s="15" t="s">
        <v>48</v>
      </c>
      <c r="U188" s="15" t="s">
        <v>3513</v>
      </c>
      <c r="V188" s="15" t="s">
        <v>3523</v>
      </c>
      <c r="W188" s="15" t="s">
        <v>3524</v>
      </c>
      <c r="X188" s="15" t="s">
        <v>2730</v>
      </c>
      <c r="Y188" s="15" t="s">
        <v>78</v>
      </c>
      <c r="Z188" s="15" t="s">
        <v>3525</v>
      </c>
      <c r="AA188" s="15" t="s">
        <v>169</v>
      </c>
      <c r="AB188" s="15" t="s">
        <v>285</v>
      </c>
      <c r="AC188" s="15" t="s">
        <v>39</v>
      </c>
      <c r="AD188" s="15" t="s">
        <v>39</v>
      </c>
      <c r="AE188" s="15" t="s">
        <v>55</v>
      </c>
      <c r="AF188" s="15" t="s">
        <v>3526</v>
      </c>
      <c r="AG188" s="15" t="s">
        <v>39</v>
      </c>
      <c r="AH188" s="15" t="s">
        <v>39</v>
      </c>
      <c r="AI188" s="15" t="s">
        <v>3527</v>
      </c>
      <c r="AJ188" s="15" t="s">
        <v>3528</v>
      </c>
      <c r="AK188" s="15" t="s">
        <v>3529</v>
      </c>
      <c r="AL188" s="15" t="s">
        <v>88</v>
      </c>
    </row>
    <row r="189" spans="1:38" x14ac:dyDescent="0.4">
      <c r="A189" s="11" t="s">
        <v>3530</v>
      </c>
      <c r="B189" s="12" t="s">
        <v>3531</v>
      </c>
      <c r="C189" s="13" t="s">
        <v>39</v>
      </c>
      <c r="D189" s="13" t="s">
        <v>3532</v>
      </c>
      <c r="E189" s="13" t="s">
        <v>3533</v>
      </c>
      <c r="F189" s="13" t="s">
        <v>3534</v>
      </c>
      <c r="G189" s="13" t="s">
        <v>3534</v>
      </c>
      <c r="H189" s="13" t="s">
        <v>3535</v>
      </c>
      <c r="I189" s="9">
        <f t="shared" ca="1" si="2"/>
        <v>19</v>
      </c>
      <c r="J189" s="13" t="s">
        <v>3536</v>
      </c>
      <c r="K189" s="13" t="s">
        <v>45</v>
      </c>
      <c r="L189" s="9" t="str">
        <f>VLOOKUP(K189,[1]中国省份_标准!$B$2:$F$35,4,FALSE)</f>
        <v>东部地区</v>
      </c>
      <c r="M189" s="9" t="str">
        <f>VLOOKUP(K189,[1]中国省份_标准!$B$2:$F$35,5,FALSE)</f>
        <v>华东地区</v>
      </c>
      <c r="N189" s="13" t="s">
        <v>45</v>
      </c>
      <c r="O189" s="13" t="s">
        <v>3537</v>
      </c>
      <c r="P189" s="13" t="s">
        <v>3538</v>
      </c>
      <c r="Q189" s="13" t="s">
        <v>3539</v>
      </c>
      <c r="R189" s="13" t="s">
        <v>3540</v>
      </c>
      <c r="S189" s="13" t="s">
        <v>3541</v>
      </c>
      <c r="T189" s="13" t="s">
        <v>209</v>
      </c>
      <c r="U189" s="13" t="s">
        <v>3531</v>
      </c>
      <c r="V189" s="13" t="s">
        <v>3542</v>
      </c>
      <c r="W189" s="13" t="s">
        <v>3543</v>
      </c>
      <c r="X189" s="13" t="s">
        <v>557</v>
      </c>
      <c r="Y189" s="13" t="s">
        <v>731</v>
      </c>
      <c r="Z189" s="13" t="s">
        <v>3544</v>
      </c>
      <c r="AA189" s="13" t="s">
        <v>80</v>
      </c>
      <c r="AB189" s="13" t="s">
        <v>106</v>
      </c>
      <c r="AC189" s="13" t="s">
        <v>107</v>
      </c>
      <c r="AD189" s="13" t="s">
        <v>3545</v>
      </c>
      <c r="AE189" s="13" t="s">
        <v>109</v>
      </c>
      <c r="AF189" s="13" t="s">
        <v>3546</v>
      </c>
      <c r="AG189" s="13" t="s">
        <v>39</v>
      </c>
      <c r="AH189" s="13" t="s">
        <v>39</v>
      </c>
      <c r="AI189" s="13" t="s">
        <v>3547</v>
      </c>
      <c r="AJ189" s="13" t="s">
        <v>3548</v>
      </c>
      <c r="AK189" s="13" t="s">
        <v>3549</v>
      </c>
      <c r="AL189" s="13" t="s">
        <v>88</v>
      </c>
    </row>
    <row r="190" spans="1:38" x14ac:dyDescent="0.4">
      <c r="A190" s="11" t="s">
        <v>3550</v>
      </c>
      <c r="B190" s="14" t="s">
        <v>3551</v>
      </c>
      <c r="C190" s="15" t="s">
        <v>39</v>
      </c>
      <c r="D190" s="15" t="s">
        <v>3552</v>
      </c>
      <c r="E190" s="15" t="s">
        <v>3553</v>
      </c>
      <c r="F190" s="15" t="s">
        <v>640</v>
      </c>
      <c r="G190" s="15" t="s">
        <v>39</v>
      </c>
      <c r="H190" s="15" t="s">
        <v>3554</v>
      </c>
      <c r="I190" s="9">
        <f t="shared" ca="1" si="2"/>
        <v>6</v>
      </c>
      <c r="J190" s="15" t="s">
        <v>3555</v>
      </c>
      <c r="K190" s="15" t="s">
        <v>67</v>
      </c>
      <c r="L190" s="9" t="str">
        <f>VLOOKUP(K190,[1]中国省份_标准!$B$2:$F$35,4,FALSE)</f>
        <v>东部地区</v>
      </c>
      <c r="M190" s="9" t="str">
        <f>VLOOKUP(K190,[1]中国省份_标准!$B$2:$F$35,5,FALSE)</f>
        <v>华东地区</v>
      </c>
      <c r="N190" s="15" t="s">
        <v>203</v>
      </c>
      <c r="O190" s="15" t="s">
        <v>944</v>
      </c>
      <c r="P190" s="15" t="s">
        <v>3556</v>
      </c>
      <c r="Q190" s="15" t="s">
        <v>39</v>
      </c>
      <c r="R190" s="15" t="s">
        <v>3557</v>
      </c>
      <c r="S190" s="15" t="s">
        <v>39</v>
      </c>
      <c r="T190" s="15" t="s">
        <v>48</v>
      </c>
      <c r="U190" s="15" t="s">
        <v>3551</v>
      </c>
      <c r="V190" s="15" t="s">
        <v>3558</v>
      </c>
      <c r="W190" s="15" t="s">
        <v>3559</v>
      </c>
      <c r="X190" s="15" t="s">
        <v>540</v>
      </c>
      <c r="Y190" s="15" t="s">
        <v>731</v>
      </c>
      <c r="Z190" s="15" t="s">
        <v>3560</v>
      </c>
      <c r="AA190" s="15" t="s">
        <v>80</v>
      </c>
      <c r="AB190" s="15" t="s">
        <v>106</v>
      </c>
      <c r="AC190" s="15" t="s">
        <v>951</v>
      </c>
      <c r="AD190" s="15" t="s">
        <v>952</v>
      </c>
      <c r="AE190" s="15" t="s">
        <v>55</v>
      </c>
      <c r="AF190" s="15" t="s">
        <v>3561</v>
      </c>
      <c r="AG190" s="15" t="s">
        <v>39</v>
      </c>
      <c r="AH190" s="15" t="s">
        <v>39</v>
      </c>
      <c r="AI190" s="15" t="s">
        <v>3562</v>
      </c>
      <c r="AJ190" s="15" t="s">
        <v>3563</v>
      </c>
      <c r="AK190" s="15" t="s">
        <v>3564</v>
      </c>
      <c r="AL190" s="15" t="s">
        <v>88</v>
      </c>
    </row>
    <row r="191" spans="1:38" x14ac:dyDescent="0.4">
      <c r="A191" s="11" t="s">
        <v>3565</v>
      </c>
      <c r="B191" s="12" t="s">
        <v>3566</v>
      </c>
      <c r="C191" s="13" t="s">
        <v>39</v>
      </c>
      <c r="D191" s="13" t="s">
        <v>92</v>
      </c>
      <c r="E191" s="13" t="s">
        <v>3567</v>
      </c>
      <c r="F191" s="13" t="s">
        <v>999</v>
      </c>
      <c r="G191" s="13" t="s">
        <v>999</v>
      </c>
      <c r="H191" s="13" t="s">
        <v>3568</v>
      </c>
      <c r="I191" s="9">
        <f t="shared" ca="1" si="2"/>
        <v>14</v>
      </c>
      <c r="J191" s="13" t="s">
        <v>3569</v>
      </c>
      <c r="K191" s="13" t="s">
        <v>227</v>
      </c>
      <c r="L191" s="9" t="str">
        <f>VLOOKUP(K191,[1]中国省份_标准!$B$2:$F$35,4,FALSE)</f>
        <v>西部地区</v>
      </c>
      <c r="M191" s="9" t="str">
        <f>VLOOKUP(K191,[1]中国省份_标准!$B$2:$F$35,5,FALSE)</f>
        <v>西北地区</v>
      </c>
      <c r="N191" s="13" t="s">
        <v>2763</v>
      </c>
      <c r="O191" s="13" t="s">
        <v>2764</v>
      </c>
      <c r="P191" s="13" t="s">
        <v>3570</v>
      </c>
      <c r="Q191" s="13" t="s">
        <v>3571</v>
      </c>
      <c r="R191" s="13" t="s">
        <v>3572</v>
      </c>
      <c r="S191" s="13" t="s">
        <v>39</v>
      </c>
      <c r="T191" s="13" t="s">
        <v>184</v>
      </c>
      <c r="U191" s="13" t="s">
        <v>3566</v>
      </c>
      <c r="V191" s="13" t="s">
        <v>3573</v>
      </c>
      <c r="W191" s="13" t="s">
        <v>3574</v>
      </c>
      <c r="X191" s="13" t="s">
        <v>1209</v>
      </c>
      <c r="Y191" s="13" t="s">
        <v>78</v>
      </c>
      <c r="Z191" s="13" t="s">
        <v>3575</v>
      </c>
      <c r="AA191" s="13" t="s">
        <v>80</v>
      </c>
      <c r="AB191" s="13" t="s">
        <v>106</v>
      </c>
      <c r="AC191" s="13" t="s">
        <v>808</v>
      </c>
      <c r="AD191" s="13" t="s">
        <v>893</v>
      </c>
      <c r="AE191" s="13" t="s">
        <v>55</v>
      </c>
      <c r="AF191" s="13" t="s">
        <v>3576</v>
      </c>
      <c r="AG191" s="13" t="s">
        <v>39</v>
      </c>
      <c r="AH191" s="13" t="s">
        <v>39</v>
      </c>
      <c r="AI191" s="13" t="s">
        <v>3577</v>
      </c>
      <c r="AJ191" s="13" t="s">
        <v>3578</v>
      </c>
      <c r="AK191" s="13" t="s">
        <v>2776</v>
      </c>
      <c r="AL191" s="13" t="s">
        <v>88</v>
      </c>
    </row>
    <row r="192" spans="1:38" x14ac:dyDescent="0.4">
      <c r="A192" s="11" t="s">
        <v>3579</v>
      </c>
      <c r="B192" s="14" t="s">
        <v>3580</v>
      </c>
      <c r="C192" s="15" t="s">
        <v>39</v>
      </c>
      <c r="D192" s="15" t="s">
        <v>92</v>
      </c>
      <c r="E192" s="15" t="s">
        <v>3581</v>
      </c>
      <c r="F192" s="15" t="s">
        <v>3582</v>
      </c>
      <c r="G192" s="15" t="s">
        <v>3582</v>
      </c>
      <c r="H192" s="15" t="s">
        <v>3583</v>
      </c>
      <c r="I192" s="9">
        <f t="shared" ca="1" si="2"/>
        <v>33</v>
      </c>
      <c r="J192" s="15" t="s">
        <v>3584</v>
      </c>
      <c r="K192" s="15" t="s">
        <v>531</v>
      </c>
      <c r="L192" s="9" t="str">
        <f>VLOOKUP(K192,[1]中国省份_标准!$B$2:$F$35,4,FALSE)</f>
        <v>东部地区</v>
      </c>
      <c r="M192" s="9" t="str">
        <f>VLOOKUP(K192,[1]中国省份_标准!$B$2:$F$35,5,FALSE)</f>
        <v>华南地区</v>
      </c>
      <c r="N192" s="15" t="s">
        <v>1450</v>
      </c>
      <c r="O192" s="15" t="s">
        <v>2827</v>
      </c>
      <c r="P192" s="15" t="s">
        <v>3585</v>
      </c>
      <c r="Q192" s="15" t="s">
        <v>39</v>
      </c>
      <c r="R192" s="15" t="s">
        <v>3586</v>
      </c>
      <c r="S192" s="15" t="s">
        <v>39</v>
      </c>
      <c r="T192" s="15" t="s">
        <v>1028</v>
      </c>
      <c r="U192" s="15" t="s">
        <v>3580</v>
      </c>
      <c r="V192" s="15" t="s">
        <v>3587</v>
      </c>
      <c r="W192" s="15" t="s">
        <v>3588</v>
      </c>
      <c r="X192" s="15" t="s">
        <v>3589</v>
      </c>
      <c r="Y192" s="15" t="s">
        <v>78</v>
      </c>
      <c r="Z192" s="15" t="s">
        <v>3590</v>
      </c>
      <c r="AA192" s="15" t="s">
        <v>80</v>
      </c>
      <c r="AB192" s="15" t="s">
        <v>106</v>
      </c>
      <c r="AC192" s="15" t="s">
        <v>1132</v>
      </c>
      <c r="AD192" s="15" t="s">
        <v>3591</v>
      </c>
      <c r="AE192" s="15" t="s">
        <v>262</v>
      </c>
      <c r="AF192" s="15" t="s">
        <v>3592</v>
      </c>
      <c r="AG192" s="15" t="s">
        <v>3593</v>
      </c>
      <c r="AH192" s="15" t="s">
        <v>39</v>
      </c>
      <c r="AI192" s="15" t="s">
        <v>3594</v>
      </c>
      <c r="AJ192" s="15" t="s">
        <v>3595</v>
      </c>
      <c r="AK192" s="15" t="s">
        <v>3596</v>
      </c>
      <c r="AL192" s="15" t="s">
        <v>88</v>
      </c>
    </row>
    <row r="193" spans="1:38" x14ac:dyDescent="0.4">
      <c r="A193" s="11" t="s">
        <v>3597</v>
      </c>
      <c r="B193" s="12" t="s">
        <v>3598</v>
      </c>
      <c r="C193" s="13" t="s">
        <v>39</v>
      </c>
      <c r="D193" s="13" t="s">
        <v>92</v>
      </c>
      <c r="E193" s="13" t="s">
        <v>3599</v>
      </c>
      <c r="F193" s="13" t="s">
        <v>640</v>
      </c>
      <c r="G193" s="13" t="s">
        <v>640</v>
      </c>
      <c r="H193" s="13" t="s">
        <v>3600</v>
      </c>
      <c r="I193" s="9">
        <f t="shared" ca="1" si="2"/>
        <v>21</v>
      </c>
      <c r="J193" s="13" t="s">
        <v>3601</v>
      </c>
      <c r="K193" s="13" t="s">
        <v>983</v>
      </c>
      <c r="L193" s="9" t="str">
        <f>VLOOKUP(K193,[1]中国省份_标准!$B$2:$F$35,4,FALSE)</f>
        <v>西部地区</v>
      </c>
      <c r="M193" s="9" t="str">
        <f>VLOOKUP(K193,[1]中国省份_标准!$B$2:$F$35,5,FALSE)</f>
        <v>华北地区</v>
      </c>
      <c r="N193" s="13" t="s">
        <v>1431</v>
      </c>
      <c r="O193" s="13" t="s">
        <v>1432</v>
      </c>
      <c r="P193" s="13" t="s">
        <v>3602</v>
      </c>
      <c r="Q193" s="13" t="s">
        <v>3603</v>
      </c>
      <c r="R193" s="13" t="s">
        <v>3604</v>
      </c>
      <c r="S193" s="13" t="s">
        <v>3605</v>
      </c>
      <c r="T193" s="13" t="s">
        <v>281</v>
      </c>
      <c r="U193" s="13" t="s">
        <v>3598</v>
      </c>
      <c r="V193" s="13" t="s">
        <v>3606</v>
      </c>
      <c r="W193" s="13" t="s">
        <v>3607</v>
      </c>
      <c r="X193" s="13" t="s">
        <v>77</v>
      </c>
      <c r="Y193" s="13" t="s">
        <v>78</v>
      </c>
      <c r="Z193" s="13" t="s">
        <v>3608</v>
      </c>
      <c r="AA193" s="13" t="s">
        <v>80</v>
      </c>
      <c r="AB193" s="13" t="s">
        <v>81</v>
      </c>
      <c r="AC193" s="13" t="s">
        <v>2816</v>
      </c>
      <c r="AD193" s="13" t="s">
        <v>2817</v>
      </c>
      <c r="AE193" s="13" t="s">
        <v>55</v>
      </c>
      <c r="AF193" s="13" t="s">
        <v>3609</v>
      </c>
      <c r="AG193" s="13" t="s">
        <v>39</v>
      </c>
      <c r="AH193" s="13" t="s">
        <v>39</v>
      </c>
      <c r="AI193" s="13" t="s">
        <v>3610</v>
      </c>
      <c r="AJ193" s="13" t="s">
        <v>3611</v>
      </c>
      <c r="AK193" s="13" t="s">
        <v>1442</v>
      </c>
      <c r="AL193" s="13" t="s">
        <v>88</v>
      </c>
    </row>
    <row r="194" spans="1:38" x14ac:dyDescent="0.4">
      <c r="A194" s="11" t="s">
        <v>3612</v>
      </c>
      <c r="B194" s="14" t="s">
        <v>3613</v>
      </c>
      <c r="C194" s="15" t="s">
        <v>3614</v>
      </c>
      <c r="D194" s="15" t="s">
        <v>92</v>
      </c>
      <c r="E194" s="15" t="s">
        <v>3615</v>
      </c>
      <c r="F194" s="15" t="s">
        <v>271</v>
      </c>
      <c r="G194" s="15" t="s">
        <v>271</v>
      </c>
      <c r="H194" s="15" t="s">
        <v>3616</v>
      </c>
      <c r="I194" s="9">
        <f t="shared" ca="1" si="2"/>
        <v>8</v>
      </c>
      <c r="J194" s="15" t="s">
        <v>3617</v>
      </c>
      <c r="K194" s="15" t="s">
        <v>227</v>
      </c>
      <c r="L194" s="9" t="str">
        <f>VLOOKUP(K194,[1]中国省份_标准!$B$2:$F$35,4,FALSE)</f>
        <v>西部地区</v>
      </c>
      <c r="M194" s="9" t="str">
        <f>VLOOKUP(K194,[1]中国省份_标准!$B$2:$F$35,5,FALSE)</f>
        <v>西北地区</v>
      </c>
      <c r="N194" s="15" t="s">
        <v>228</v>
      </c>
      <c r="O194" s="15" t="s">
        <v>3618</v>
      </c>
      <c r="P194" s="15" t="s">
        <v>3619</v>
      </c>
      <c r="Q194" s="15" t="s">
        <v>3620</v>
      </c>
      <c r="R194" s="15" t="s">
        <v>3621</v>
      </c>
      <c r="S194" s="15" t="s">
        <v>3622</v>
      </c>
      <c r="T194" s="15" t="s">
        <v>3623</v>
      </c>
      <c r="U194" s="15" t="s">
        <v>3613</v>
      </c>
      <c r="V194" s="15" t="s">
        <v>3624</v>
      </c>
      <c r="W194" s="15" t="s">
        <v>3625</v>
      </c>
      <c r="X194" s="15" t="s">
        <v>2171</v>
      </c>
      <c r="Y194" s="15" t="s">
        <v>78</v>
      </c>
      <c r="Z194" s="15" t="s">
        <v>3626</v>
      </c>
      <c r="AA194" s="15" t="s">
        <v>850</v>
      </c>
      <c r="AB194" s="15" t="s">
        <v>851</v>
      </c>
      <c r="AC194" s="15" t="s">
        <v>852</v>
      </c>
      <c r="AD194" s="15" t="s">
        <v>853</v>
      </c>
      <c r="AE194" s="15" t="s">
        <v>55</v>
      </c>
      <c r="AF194" s="15" t="s">
        <v>3627</v>
      </c>
      <c r="AG194" s="15" t="s">
        <v>39</v>
      </c>
      <c r="AH194" s="15" t="s">
        <v>39</v>
      </c>
      <c r="AI194" s="15" t="s">
        <v>3628</v>
      </c>
      <c r="AJ194" s="15" t="s">
        <v>3629</v>
      </c>
      <c r="AK194" s="15" t="s">
        <v>3630</v>
      </c>
      <c r="AL194" s="15" t="s">
        <v>88</v>
      </c>
    </row>
    <row r="195" spans="1:38" x14ac:dyDescent="0.4">
      <c r="A195" s="11" t="s">
        <v>3631</v>
      </c>
      <c r="B195" s="12" t="s">
        <v>3632</v>
      </c>
      <c r="C195" s="13" t="s">
        <v>3633</v>
      </c>
      <c r="D195" s="13" t="s">
        <v>92</v>
      </c>
      <c r="E195" s="13" t="s">
        <v>3634</v>
      </c>
      <c r="F195" s="13" t="s">
        <v>3635</v>
      </c>
      <c r="G195" s="13" t="s">
        <v>3635</v>
      </c>
      <c r="H195" s="13" t="s">
        <v>3636</v>
      </c>
      <c r="I195" s="9">
        <f t="shared" ref="I195:I258" ca="1" si="3">DATEDIF(H195, TODAY(), "Y")</f>
        <v>30</v>
      </c>
      <c r="J195" s="13" t="s">
        <v>3637</v>
      </c>
      <c r="K195" s="13" t="s">
        <v>903</v>
      </c>
      <c r="L195" s="9" t="str">
        <f>VLOOKUP(K195,[1]中国省份_标准!$B$2:$F$35,4,FALSE)</f>
        <v>东北地区</v>
      </c>
      <c r="M195" s="9" t="str">
        <f>VLOOKUP(K195,[1]中国省份_标准!$B$2:$F$35,5,FALSE)</f>
        <v>东北地区</v>
      </c>
      <c r="N195" s="13" t="s">
        <v>904</v>
      </c>
      <c r="O195" s="13" t="s">
        <v>3638</v>
      </c>
      <c r="P195" s="13" t="s">
        <v>3639</v>
      </c>
      <c r="Q195" s="13" t="s">
        <v>3640</v>
      </c>
      <c r="R195" s="13" t="s">
        <v>3641</v>
      </c>
      <c r="S195" s="13" t="s">
        <v>3642</v>
      </c>
      <c r="T195" s="13" t="s">
        <v>498</v>
      </c>
      <c r="U195" s="13" t="s">
        <v>3632</v>
      </c>
      <c r="V195" s="13" t="s">
        <v>3643</v>
      </c>
      <c r="W195" s="13" t="s">
        <v>3644</v>
      </c>
      <c r="X195" s="13" t="s">
        <v>3645</v>
      </c>
      <c r="Y195" s="13" t="s">
        <v>78</v>
      </c>
      <c r="Z195" s="13" t="s">
        <v>3646</v>
      </c>
      <c r="AA195" s="13" t="s">
        <v>169</v>
      </c>
      <c r="AB195" s="13" t="s">
        <v>606</v>
      </c>
      <c r="AC195" s="13" t="s">
        <v>607</v>
      </c>
      <c r="AD195" s="13" t="s">
        <v>3647</v>
      </c>
      <c r="AE195" s="13" t="s">
        <v>239</v>
      </c>
      <c r="AF195" s="13" t="s">
        <v>3648</v>
      </c>
      <c r="AG195" s="13" t="s">
        <v>39</v>
      </c>
      <c r="AH195" s="13" t="s">
        <v>3649</v>
      </c>
      <c r="AI195" s="13" t="s">
        <v>3650</v>
      </c>
      <c r="AJ195" s="13" t="s">
        <v>3651</v>
      </c>
      <c r="AK195" s="13" t="s">
        <v>3652</v>
      </c>
      <c r="AL195" s="13" t="s">
        <v>88</v>
      </c>
    </row>
    <row r="196" spans="1:38" x14ac:dyDescent="0.4">
      <c r="A196" s="11" t="s">
        <v>3653</v>
      </c>
      <c r="B196" s="14" t="s">
        <v>3654</v>
      </c>
      <c r="C196" s="15" t="s">
        <v>39</v>
      </c>
      <c r="D196" s="15" t="s">
        <v>92</v>
      </c>
      <c r="E196" s="15" t="s">
        <v>3655</v>
      </c>
      <c r="F196" s="15" t="s">
        <v>3656</v>
      </c>
      <c r="G196" s="15" t="s">
        <v>3656</v>
      </c>
      <c r="H196" s="15" t="s">
        <v>3657</v>
      </c>
      <c r="I196" s="9">
        <f t="shared" ca="1" si="3"/>
        <v>23</v>
      </c>
      <c r="J196" s="15" t="s">
        <v>3658</v>
      </c>
      <c r="K196" s="15" t="s">
        <v>1877</v>
      </c>
      <c r="L196" s="9" t="str">
        <f>VLOOKUP(K196,[1]中国省份_标准!$B$2:$F$35,4,FALSE)</f>
        <v>中部地区</v>
      </c>
      <c r="M196" s="9" t="str">
        <f>VLOOKUP(K196,[1]中国省份_标准!$B$2:$F$35,5,FALSE)</f>
        <v>华中地区</v>
      </c>
      <c r="N196" s="15" t="s">
        <v>3659</v>
      </c>
      <c r="O196" s="15" t="s">
        <v>3660</v>
      </c>
      <c r="P196" s="15" t="s">
        <v>3661</v>
      </c>
      <c r="Q196" s="15" t="s">
        <v>3662</v>
      </c>
      <c r="R196" s="15" t="s">
        <v>3663</v>
      </c>
      <c r="S196" s="15" t="s">
        <v>3664</v>
      </c>
      <c r="T196" s="15" t="s">
        <v>48</v>
      </c>
      <c r="U196" s="15" t="s">
        <v>3654</v>
      </c>
      <c r="V196" s="15" t="s">
        <v>3665</v>
      </c>
      <c r="W196" s="15" t="s">
        <v>3666</v>
      </c>
      <c r="X196" s="15" t="s">
        <v>3667</v>
      </c>
      <c r="Y196" s="15" t="s">
        <v>78</v>
      </c>
      <c r="Z196" s="15" t="s">
        <v>3668</v>
      </c>
      <c r="AA196" s="15" t="s">
        <v>169</v>
      </c>
      <c r="AB196" s="15" t="s">
        <v>285</v>
      </c>
      <c r="AC196" s="15" t="s">
        <v>479</v>
      </c>
      <c r="AD196" s="15" t="s">
        <v>480</v>
      </c>
      <c r="AE196" s="15" t="s">
        <v>262</v>
      </c>
      <c r="AF196" s="15" t="s">
        <v>3669</v>
      </c>
      <c r="AG196" s="15" t="s">
        <v>3670</v>
      </c>
      <c r="AH196" s="15" t="s">
        <v>39</v>
      </c>
      <c r="AI196" s="15" t="s">
        <v>3671</v>
      </c>
      <c r="AJ196" s="15" t="s">
        <v>3672</v>
      </c>
      <c r="AK196" s="15" t="s">
        <v>3673</v>
      </c>
      <c r="AL196" s="15" t="s">
        <v>88</v>
      </c>
    </row>
    <row r="197" spans="1:38" x14ac:dyDescent="0.4">
      <c r="A197" s="11" t="s">
        <v>3674</v>
      </c>
      <c r="B197" s="12" t="s">
        <v>3675</v>
      </c>
      <c r="C197" s="13" t="s">
        <v>3676</v>
      </c>
      <c r="D197" s="13" t="s">
        <v>92</v>
      </c>
      <c r="E197" s="13" t="s">
        <v>3677</v>
      </c>
      <c r="F197" s="13" t="s">
        <v>490</v>
      </c>
      <c r="G197" s="13" t="s">
        <v>442</v>
      </c>
      <c r="H197" s="13" t="s">
        <v>3678</v>
      </c>
      <c r="I197" s="9">
        <f t="shared" ca="1" si="3"/>
        <v>15</v>
      </c>
      <c r="J197" s="13" t="s">
        <v>3679</v>
      </c>
      <c r="K197" s="13" t="s">
        <v>425</v>
      </c>
      <c r="L197" s="9" t="str">
        <f>VLOOKUP(K197,[1]中国省份_标准!$B$2:$F$35,4,FALSE)</f>
        <v>东部地区</v>
      </c>
      <c r="M197" s="9" t="str">
        <f>VLOOKUP(K197,[1]中国省份_标准!$B$2:$F$35,5,FALSE)</f>
        <v>华东地区</v>
      </c>
      <c r="N197" s="13" t="s">
        <v>426</v>
      </c>
      <c r="O197" s="13" t="s">
        <v>427</v>
      </c>
      <c r="P197" s="13" t="s">
        <v>3680</v>
      </c>
      <c r="Q197" s="13" t="s">
        <v>3681</v>
      </c>
      <c r="R197" s="13" t="s">
        <v>3682</v>
      </c>
      <c r="S197" s="13" t="s">
        <v>3683</v>
      </c>
      <c r="T197" s="13" t="s">
        <v>281</v>
      </c>
      <c r="U197" s="13" t="s">
        <v>3675</v>
      </c>
      <c r="V197" s="13" t="s">
        <v>3684</v>
      </c>
      <c r="W197" s="13" t="s">
        <v>3685</v>
      </c>
      <c r="X197" s="13" t="s">
        <v>77</v>
      </c>
      <c r="Y197" s="13" t="s">
        <v>731</v>
      </c>
      <c r="Z197" s="13" t="s">
        <v>3686</v>
      </c>
      <c r="AA197" s="13" t="s">
        <v>80</v>
      </c>
      <c r="AB197" s="13" t="s">
        <v>106</v>
      </c>
      <c r="AC197" s="13" t="s">
        <v>107</v>
      </c>
      <c r="AD197" s="13" t="s">
        <v>39</v>
      </c>
      <c r="AE197" s="13" t="s">
        <v>109</v>
      </c>
      <c r="AF197" s="13" t="s">
        <v>3687</v>
      </c>
      <c r="AG197" s="13" t="s">
        <v>39</v>
      </c>
      <c r="AH197" s="13" t="s">
        <v>39</v>
      </c>
      <c r="AI197" s="13" t="s">
        <v>3688</v>
      </c>
      <c r="AJ197" s="13" t="s">
        <v>3689</v>
      </c>
      <c r="AK197" s="13" t="s">
        <v>438</v>
      </c>
      <c r="AL197" s="13" t="s">
        <v>88</v>
      </c>
    </row>
    <row r="198" spans="1:38" x14ac:dyDescent="0.4">
      <c r="A198" s="11" t="s">
        <v>3690</v>
      </c>
      <c r="B198" s="14" t="s">
        <v>3691</v>
      </c>
      <c r="C198" s="15" t="s">
        <v>39</v>
      </c>
      <c r="D198" s="15" t="s">
        <v>63</v>
      </c>
      <c r="E198" s="15" t="s">
        <v>3692</v>
      </c>
      <c r="F198" s="15" t="s">
        <v>178</v>
      </c>
      <c r="G198" s="15" t="s">
        <v>178</v>
      </c>
      <c r="H198" s="15" t="s">
        <v>3693</v>
      </c>
      <c r="I198" s="9">
        <f t="shared" ca="1" si="3"/>
        <v>10</v>
      </c>
      <c r="J198" s="15" t="s">
        <v>3694</v>
      </c>
      <c r="K198" s="15" t="s">
        <v>67</v>
      </c>
      <c r="L198" s="9" t="str">
        <f>VLOOKUP(K198,[1]中国省份_标准!$B$2:$F$35,4,FALSE)</f>
        <v>东部地区</v>
      </c>
      <c r="M198" s="9" t="str">
        <f>VLOOKUP(K198,[1]中国省份_标准!$B$2:$F$35,5,FALSE)</f>
        <v>华东地区</v>
      </c>
      <c r="N198" s="15" t="s">
        <v>3695</v>
      </c>
      <c r="O198" s="15" t="s">
        <v>3696</v>
      </c>
      <c r="P198" s="15" t="s">
        <v>3697</v>
      </c>
      <c r="Q198" s="15" t="s">
        <v>3698</v>
      </c>
      <c r="R198" s="15" t="s">
        <v>3699</v>
      </c>
      <c r="S198" s="15" t="s">
        <v>3700</v>
      </c>
      <c r="T198" s="15" t="s">
        <v>209</v>
      </c>
      <c r="U198" s="15" t="s">
        <v>3691</v>
      </c>
      <c r="V198" s="15" t="s">
        <v>3701</v>
      </c>
      <c r="W198" s="15" t="s">
        <v>3702</v>
      </c>
      <c r="X198" s="15" t="s">
        <v>3703</v>
      </c>
      <c r="Y198" s="15" t="s">
        <v>78</v>
      </c>
      <c r="Z198" s="15" t="s">
        <v>3704</v>
      </c>
      <c r="AA198" s="15" t="s">
        <v>169</v>
      </c>
      <c r="AB198" s="15" t="s">
        <v>285</v>
      </c>
      <c r="AC198" s="15" t="s">
        <v>3705</v>
      </c>
      <c r="AD198" s="15" t="s">
        <v>3706</v>
      </c>
      <c r="AE198" s="15" t="s">
        <v>55</v>
      </c>
      <c r="AF198" s="15" t="s">
        <v>3707</v>
      </c>
      <c r="AG198" s="15" t="s">
        <v>39</v>
      </c>
      <c r="AH198" s="15" t="s">
        <v>39</v>
      </c>
      <c r="AI198" s="15" t="s">
        <v>3708</v>
      </c>
      <c r="AJ198" s="15" t="s">
        <v>3709</v>
      </c>
      <c r="AK198" s="15" t="s">
        <v>3710</v>
      </c>
      <c r="AL198" s="15" t="s">
        <v>88</v>
      </c>
    </row>
    <row r="199" spans="1:38" x14ac:dyDescent="0.4">
      <c r="A199" s="11" t="s">
        <v>3711</v>
      </c>
      <c r="B199" s="12" t="s">
        <v>3712</v>
      </c>
      <c r="C199" s="13" t="s">
        <v>39</v>
      </c>
      <c r="D199" s="13" t="s">
        <v>92</v>
      </c>
      <c r="E199" s="13" t="s">
        <v>3713</v>
      </c>
      <c r="F199" s="13" t="s">
        <v>3714</v>
      </c>
      <c r="G199" s="13" t="s">
        <v>3714</v>
      </c>
      <c r="H199" s="13" t="s">
        <v>3715</v>
      </c>
      <c r="I199" s="9">
        <f t="shared" ca="1" si="3"/>
        <v>7</v>
      </c>
      <c r="J199" s="13" t="s">
        <v>3716</v>
      </c>
      <c r="K199" s="13" t="s">
        <v>1752</v>
      </c>
      <c r="L199" s="9" t="str">
        <f>VLOOKUP(K199,[1]中国省份_标准!$B$2:$F$35,4,FALSE)</f>
        <v>中部地区</v>
      </c>
      <c r="M199" s="9" t="str">
        <f>VLOOKUP(K199,[1]中国省份_标准!$B$2:$F$35,5,FALSE)</f>
        <v>华中地区</v>
      </c>
      <c r="N199" s="13" t="s">
        <v>3717</v>
      </c>
      <c r="O199" s="13" t="s">
        <v>3718</v>
      </c>
      <c r="P199" s="13" t="s">
        <v>3719</v>
      </c>
      <c r="Q199" s="13" t="s">
        <v>3720</v>
      </c>
      <c r="R199" s="13" t="s">
        <v>3721</v>
      </c>
      <c r="S199" s="13" t="s">
        <v>3722</v>
      </c>
      <c r="T199" s="13" t="s">
        <v>452</v>
      </c>
      <c r="U199" s="13" t="s">
        <v>3712</v>
      </c>
      <c r="V199" s="13" t="s">
        <v>3723</v>
      </c>
      <c r="W199" s="13" t="s">
        <v>3724</v>
      </c>
      <c r="X199" s="13" t="s">
        <v>3725</v>
      </c>
      <c r="Y199" s="13" t="s">
        <v>78</v>
      </c>
      <c r="Z199" s="13" t="s">
        <v>3726</v>
      </c>
      <c r="AA199" s="13" t="s">
        <v>169</v>
      </c>
      <c r="AB199" s="13" t="s">
        <v>285</v>
      </c>
      <c r="AC199" s="13" t="s">
        <v>3705</v>
      </c>
      <c r="AD199" s="13" t="s">
        <v>3706</v>
      </c>
      <c r="AE199" s="13" t="s">
        <v>55</v>
      </c>
      <c r="AF199" s="13" t="s">
        <v>3727</v>
      </c>
      <c r="AG199" s="13" t="s">
        <v>39</v>
      </c>
      <c r="AH199" s="13" t="s">
        <v>39</v>
      </c>
      <c r="AI199" s="13" t="s">
        <v>3728</v>
      </c>
      <c r="AJ199" s="13" t="s">
        <v>3729</v>
      </c>
      <c r="AK199" s="13" t="s">
        <v>3730</v>
      </c>
      <c r="AL199" s="13" t="s">
        <v>88</v>
      </c>
    </row>
    <row r="200" spans="1:38" x14ac:dyDescent="0.4">
      <c r="A200" s="11" t="s">
        <v>3731</v>
      </c>
      <c r="B200" s="14" t="s">
        <v>3732</v>
      </c>
      <c r="C200" s="15" t="s">
        <v>39</v>
      </c>
      <c r="D200" s="15" t="s">
        <v>92</v>
      </c>
      <c r="E200" s="15" t="s">
        <v>3733</v>
      </c>
      <c r="F200" s="15" t="s">
        <v>3734</v>
      </c>
      <c r="G200" s="15" t="s">
        <v>3734</v>
      </c>
      <c r="H200" s="15" t="s">
        <v>3735</v>
      </c>
      <c r="I200" s="9">
        <f t="shared" ca="1" si="3"/>
        <v>20</v>
      </c>
      <c r="J200" s="15" t="s">
        <v>3736</v>
      </c>
      <c r="K200" s="15" t="s">
        <v>702</v>
      </c>
      <c r="L200" s="9" t="str">
        <f>VLOOKUP(K200,[1]中国省份_标准!$B$2:$F$35,4,FALSE)</f>
        <v>东部地区</v>
      </c>
      <c r="M200" s="9" t="str">
        <f>VLOOKUP(K200,[1]中国省份_标准!$B$2:$F$35,5,FALSE)</f>
        <v>华北地区</v>
      </c>
      <c r="N200" s="15" t="s">
        <v>820</v>
      </c>
      <c r="O200" s="15" t="s">
        <v>3737</v>
      </c>
      <c r="P200" s="15" t="s">
        <v>3738</v>
      </c>
      <c r="Q200" s="15" t="s">
        <v>3739</v>
      </c>
      <c r="R200" s="15" t="s">
        <v>39</v>
      </c>
      <c r="S200" s="15" t="s">
        <v>39</v>
      </c>
      <c r="T200" s="15" t="s">
        <v>452</v>
      </c>
      <c r="U200" s="15" t="s">
        <v>3732</v>
      </c>
      <c r="V200" s="15" t="s">
        <v>3740</v>
      </c>
      <c r="W200" s="15" t="s">
        <v>3741</v>
      </c>
      <c r="X200" s="15" t="s">
        <v>3742</v>
      </c>
      <c r="Y200" s="15" t="s">
        <v>78</v>
      </c>
      <c r="Z200" s="15" t="s">
        <v>3743</v>
      </c>
      <c r="AA200" s="15" t="s">
        <v>169</v>
      </c>
      <c r="AB200" s="15" t="s">
        <v>830</v>
      </c>
      <c r="AC200" s="15" t="s">
        <v>2795</v>
      </c>
      <c r="AD200" s="15" t="s">
        <v>2795</v>
      </c>
      <c r="AE200" s="15" t="s">
        <v>239</v>
      </c>
      <c r="AF200" s="15" t="s">
        <v>3744</v>
      </c>
      <c r="AG200" s="15" t="s">
        <v>3745</v>
      </c>
      <c r="AH200" s="15" t="s">
        <v>39</v>
      </c>
      <c r="AI200" s="15" t="s">
        <v>3746</v>
      </c>
      <c r="AJ200" s="15" t="s">
        <v>3747</v>
      </c>
      <c r="AK200" s="15" t="s">
        <v>3748</v>
      </c>
      <c r="AL200" s="15" t="s">
        <v>88</v>
      </c>
    </row>
    <row r="201" spans="1:38" x14ac:dyDescent="0.4">
      <c r="A201" s="11" t="s">
        <v>3749</v>
      </c>
      <c r="B201" s="12" t="s">
        <v>3750</v>
      </c>
      <c r="C201" s="13" t="s">
        <v>3751</v>
      </c>
      <c r="D201" s="13" t="s">
        <v>92</v>
      </c>
      <c r="E201" s="13" t="s">
        <v>3752</v>
      </c>
      <c r="F201" s="13" t="s">
        <v>39</v>
      </c>
      <c r="G201" s="13" t="s">
        <v>39</v>
      </c>
      <c r="H201" s="13" t="s">
        <v>3753</v>
      </c>
      <c r="I201" s="9">
        <f t="shared" ca="1" si="3"/>
        <v>25</v>
      </c>
      <c r="J201" s="13" t="s">
        <v>3754</v>
      </c>
      <c r="K201" s="13" t="s">
        <v>45</v>
      </c>
      <c r="L201" s="9" t="str">
        <f>VLOOKUP(K201,[1]中国省份_标准!$B$2:$F$35,4,FALSE)</f>
        <v>东部地区</v>
      </c>
      <c r="M201" s="9" t="str">
        <f>VLOOKUP(K201,[1]中国省份_标准!$B$2:$F$35,5,FALSE)</f>
        <v>华东地区</v>
      </c>
      <c r="N201" s="13" t="s">
        <v>45</v>
      </c>
      <c r="O201" s="13" t="s">
        <v>1123</v>
      </c>
      <c r="P201" s="13" t="s">
        <v>3755</v>
      </c>
      <c r="Q201" s="13" t="s">
        <v>3756</v>
      </c>
      <c r="R201" s="13" t="s">
        <v>3757</v>
      </c>
      <c r="S201" s="13" t="s">
        <v>3758</v>
      </c>
      <c r="T201" s="13" t="s">
        <v>3759</v>
      </c>
      <c r="U201" s="13" t="s">
        <v>3750</v>
      </c>
      <c r="V201" s="13" t="s">
        <v>3760</v>
      </c>
      <c r="W201" s="13" t="s">
        <v>3761</v>
      </c>
      <c r="X201" s="13" t="s">
        <v>3762</v>
      </c>
      <c r="Y201" s="13" t="s">
        <v>78</v>
      </c>
      <c r="Z201" s="13" t="s">
        <v>3763</v>
      </c>
      <c r="AA201" s="13" t="s">
        <v>80</v>
      </c>
      <c r="AB201" s="13" t="s">
        <v>106</v>
      </c>
      <c r="AC201" s="13" t="s">
        <v>107</v>
      </c>
      <c r="AD201" s="13" t="s">
        <v>3545</v>
      </c>
      <c r="AE201" s="13" t="s">
        <v>39</v>
      </c>
      <c r="AF201" s="13" t="s">
        <v>3764</v>
      </c>
      <c r="AG201" s="13" t="s">
        <v>39</v>
      </c>
      <c r="AH201" s="13" t="s">
        <v>39</v>
      </c>
      <c r="AI201" s="13" t="s">
        <v>3765</v>
      </c>
      <c r="AJ201" s="13" t="s">
        <v>3766</v>
      </c>
      <c r="AK201" s="13" t="s">
        <v>1138</v>
      </c>
      <c r="AL201" s="13" t="s">
        <v>88</v>
      </c>
    </row>
    <row r="202" spans="1:38" x14ac:dyDescent="0.4">
      <c r="A202" s="11" t="s">
        <v>3767</v>
      </c>
      <c r="B202" s="14" t="s">
        <v>3768</v>
      </c>
      <c r="C202" s="15" t="s">
        <v>39</v>
      </c>
      <c r="D202" s="15" t="s">
        <v>3769</v>
      </c>
      <c r="E202" s="15" t="s">
        <v>3770</v>
      </c>
      <c r="F202" s="15" t="s">
        <v>271</v>
      </c>
      <c r="G202" s="15" t="s">
        <v>3771</v>
      </c>
      <c r="H202" s="15" t="s">
        <v>3772</v>
      </c>
      <c r="I202" s="9">
        <f t="shared" ca="1" si="3"/>
        <v>7</v>
      </c>
      <c r="J202" s="15" t="s">
        <v>3773</v>
      </c>
      <c r="K202" s="15" t="s">
        <v>425</v>
      </c>
      <c r="L202" s="9" t="str">
        <f>VLOOKUP(K202,[1]中国省份_标准!$B$2:$F$35,4,FALSE)</f>
        <v>东部地区</v>
      </c>
      <c r="M202" s="9" t="str">
        <f>VLOOKUP(K202,[1]中国省份_标准!$B$2:$F$35,5,FALSE)</f>
        <v>华东地区</v>
      </c>
      <c r="N202" s="15" t="s">
        <v>3013</v>
      </c>
      <c r="O202" s="15" t="s">
        <v>3014</v>
      </c>
      <c r="P202" s="15" t="s">
        <v>3774</v>
      </c>
      <c r="Q202" s="15" t="s">
        <v>3775</v>
      </c>
      <c r="R202" s="15" t="s">
        <v>3776</v>
      </c>
      <c r="S202" s="15" t="s">
        <v>39</v>
      </c>
      <c r="T202" s="15" t="s">
        <v>48</v>
      </c>
      <c r="U202" s="15" t="s">
        <v>3768</v>
      </c>
      <c r="V202" s="15" t="s">
        <v>39</v>
      </c>
      <c r="W202" s="15" t="s">
        <v>3777</v>
      </c>
      <c r="X202" s="15" t="s">
        <v>77</v>
      </c>
      <c r="Y202" s="15" t="s">
        <v>971</v>
      </c>
      <c r="Z202" s="15" t="s">
        <v>3778</v>
      </c>
      <c r="AA202" s="15" t="s">
        <v>80</v>
      </c>
      <c r="AB202" s="15" t="s">
        <v>106</v>
      </c>
      <c r="AC202" s="15" t="s">
        <v>107</v>
      </c>
      <c r="AD202" s="15" t="s">
        <v>39</v>
      </c>
      <c r="AE202" s="15" t="s">
        <v>55</v>
      </c>
      <c r="AF202" s="15" t="s">
        <v>3779</v>
      </c>
      <c r="AG202" s="15" t="s">
        <v>39</v>
      </c>
      <c r="AH202" s="15" t="s">
        <v>39</v>
      </c>
      <c r="AI202" s="15" t="s">
        <v>3780</v>
      </c>
      <c r="AJ202" s="15" t="s">
        <v>3781</v>
      </c>
      <c r="AK202" s="15" t="s">
        <v>3023</v>
      </c>
      <c r="AL202" s="15" t="s">
        <v>88</v>
      </c>
    </row>
    <row r="203" spans="1:38" x14ac:dyDescent="0.4">
      <c r="A203" s="11" t="s">
        <v>3782</v>
      </c>
      <c r="B203" s="12" t="s">
        <v>3783</v>
      </c>
      <c r="C203" s="13" t="s">
        <v>3784</v>
      </c>
      <c r="D203" s="13" t="s">
        <v>92</v>
      </c>
      <c r="E203" s="13" t="s">
        <v>3785</v>
      </c>
      <c r="F203" s="13" t="s">
        <v>39</v>
      </c>
      <c r="G203" s="13" t="s">
        <v>39</v>
      </c>
      <c r="H203" s="13" t="s">
        <v>3786</v>
      </c>
      <c r="I203" s="9">
        <f t="shared" ca="1" si="3"/>
        <v>16</v>
      </c>
      <c r="J203" s="13" t="s">
        <v>3787</v>
      </c>
      <c r="K203" s="13" t="s">
        <v>702</v>
      </c>
      <c r="L203" s="9" t="str">
        <f>VLOOKUP(K203,[1]中国省份_标准!$B$2:$F$35,4,FALSE)</f>
        <v>东部地区</v>
      </c>
      <c r="M203" s="9" t="str">
        <f>VLOOKUP(K203,[1]中国省份_标准!$B$2:$F$35,5,FALSE)</f>
        <v>华北地区</v>
      </c>
      <c r="N203" s="13" t="s">
        <v>820</v>
      </c>
      <c r="O203" s="13" t="s">
        <v>3788</v>
      </c>
      <c r="P203" s="13" t="s">
        <v>3789</v>
      </c>
      <c r="Q203" s="13" t="s">
        <v>3790</v>
      </c>
      <c r="R203" s="13" t="s">
        <v>3791</v>
      </c>
      <c r="S203" s="13" t="s">
        <v>3792</v>
      </c>
      <c r="T203" s="13" t="s">
        <v>3759</v>
      </c>
      <c r="U203" s="13" t="s">
        <v>3783</v>
      </c>
      <c r="V203" s="13" t="s">
        <v>3793</v>
      </c>
      <c r="W203" s="13" t="s">
        <v>3794</v>
      </c>
      <c r="X203" s="13" t="s">
        <v>3795</v>
      </c>
      <c r="Y203" s="13" t="s">
        <v>78</v>
      </c>
      <c r="Z203" s="13" t="s">
        <v>3796</v>
      </c>
      <c r="AA203" s="13" t="s">
        <v>169</v>
      </c>
      <c r="AB203" s="13" t="s">
        <v>830</v>
      </c>
      <c r="AC203" s="13" t="s">
        <v>2795</v>
      </c>
      <c r="AD203" s="13" t="s">
        <v>2795</v>
      </c>
      <c r="AE203" s="13" t="s">
        <v>39</v>
      </c>
      <c r="AF203" s="13" t="s">
        <v>3797</v>
      </c>
      <c r="AG203" s="13" t="s">
        <v>39</v>
      </c>
      <c r="AH203" s="13" t="s">
        <v>39</v>
      </c>
      <c r="AI203" s="13" t="s">
        <v>3798</v>
      </c>
      <c r="AJ203" s="13" t="s">
        <v>3799</v>
      </c>
      <c r="AK203" s="13" t="s">
        <v>836</v>
      </c>
      <c r="AL203" s="13" t="s">
        <v>88</v>
      </c>
    </row>
    <row r="204" spans="1:38" x14ac:dyDescent="0.4">
      <c r="A204" s="11" t="s">
        <v>3800</v>
      </c>
      <c r="B204" s="14" t="s">
        <v>3801</v>
      </c>
      <c r="C204" s="15" t="s">
        <v>39</v>
      </c>
      <c r="D204" s="15" t="s">
        <v>2225</v>
      </c>
      <c r="E204" s="15" t="s">
        <v>3802</v>
      </c>
      <c r="F204" s="15" t="s">
        <v>42</v>
      </c>
      <c r="G204" s="15" t="s">
        <v>39</v>
      </c>
      <c r="H204" s="15" t="s">
        <v>3803</v>
      </c>
      <c r="I204" s="9">
        <f t="shared" ca="1" si="3"/>
        <v>8</v>
      </c>
      <c r="J204" s="15" t="s">
        <v>3804</v>
      </c>
      <c r="K204" s="15" t="s">
        <v>67</v>
      </c>
      <c r="L204" s="9" t="str">
        <f>VLOOKUP(K204,[1]中国省份_标准!$B$2:$F$35,4,FALSE)</f>
        <v>东部地区</v>
      </c>
      <c r="M204" s="9" t="str">
        <f>VLOOKUP(K204,[1]中国省份_标准!$B$2:$F$35,5,FALSE)</f>
        <v>华东地区</v>
      </c>
      <c r="N204" s="15" t="s">
        <v>203</v>
      </c>
      <c r="O204" s="15" t="s">
        <v>944</v>
      </c>
      <c r="P204" s="15" t="s">
        <v>3805</v>
      </c>
      <c r="Q204" s="15" t="s">
        <v>39</v>
      </c>
      <c r="R204" s="15" t="s">
        <v>3806</v>
      </c>
      <c r="S204" s="15" t="s">
        <v>39</v>
      </c>
      <c r="T204" s="15" t="s">
        <v>281</v>
      </c>
      <c r="U204" s="15" t="s">
        <v>3801</v>
      </c>
      <c r="V204" s="15" t="s">
        <v>3807</v>
      </c>
      <c r="W204" s="15" t="s">
        <v>3808</v>
      </c>
      <c r="X204" s="15" t="s">
        <v>77</v>
      </c>
      <c r="Y204" s="15" t="s">
        <v>283</v>
      </c>
      <c r="Z204" s="15" t="s">
        <v>3809</v>
      </c>
      <c r="AA204" s="15" t="s">
        <v>80</v>
      </c>
      <c r="AB204" s="15" t="s">
        <v>106</v>
      </c>
      <c r="AC204" s="15" t="s">
        <v>951</v>
      </c>
      <c r="AD204" s="15" t="s">
        <v>952</v>
      </c>
      <c r="AE204" s="15" t="s">
        <v>55</v>
      </c>
      <c r="AF204" s="15" t="s">
        <v>3810</v>
      </c>
      <c r="AG204" s="15" t="s">
        <v>39</v>
      </c>
      <c r="AH204" s="15" t="s">
        <v>39</v>
      </c>
      <c r="AI204" s="15" t="s">
        <v>3811</v>
      </c>
      <c r="AJ204" s="15" t="s">
        <v>3812</v>
      </c>
      <c r="AK204" s="15" t="s">
        <v>956</v>
      </c>
      <c r="AL204" s="15" t="s">
        <v>88</v>
      </c>
    </row>
    <row r="205" spans="1:38" x14ac:dyDescent="0.4">
      <c r="A205" s="11" t="s">
        <v>3813</v>
      </c>
      <c r="B205" s="12" t="s">
        <v>3814</v>
      </c>
      <c r="C205" s="13" t="s">
        <v>3815</v>
      </c>
      <c r="D205" s="13" t="s">
        <v>92</v>
      </c>
      <c r="E205" s="13" t="s">
        <v>3816</v>
      </c>
      <c r="F205" s="13" t="s">
        <v>271</v>
      </c>
      <c r="G205" s="13" t="s">
        <v>39</v>
      </c>
      <c r="H205" s="13" t="s">
        <v>3817</v>
      </c>
      <c r="I205" s="9">
        <f t="shared" ca="1" si="3"/>
        <v>5</v>
      </c>
      <c r="J205" s="13" t="s">
        <v>3818</v>
      </c>
      <c r="K205" s="13" t="s">
        <v>903</v>
      </c>
      <c r="L205" s="9" t="str">
        <f>VLOOKUP(K205,[1]中国省份_标准!$B$2:$F$35,4,FALSE)</f>
        <v>东北地区</v>
      </c>
      <c r="M205" s="9" t="str">
        <f>VLOOKUP(K205,[1]中国省份_标准!$B$2:$F$35,5,FALSE)</f>
        <v>东北地区</v>
      </c>
      <c r="N205" s="13" t="s">
        <v>923</v>
      </c>
      <c r="O205" s="13" t="s">
        <v>1333</v>
      </c>
      <c r="P205" s="13" t="s">
        <v>3819</v>
      </c>
      <c r="Q205" s="13" t="s">
        <v>39</v>
      </c>
      <c r="R205" s="13" t="s">
        <v>3820</v>
      </c>
      <c r="S205" s="13" t="s">
        <v>3821</v>
      </c>
      <c r="T205" s="13" t="s">
        <v>48</v>
      </c>
      <c r="U205" s="13" t="s">
        <v>3814</v>
      </c>
      <c r="V205" s="13" t="s">
        <v>39</v>
      </c>
      <c r="W205" s="13" t="s">
        <v>3822</v>
      </c>
      <c r="X205" s="13" t="s">
        <v>77</v>
      </c>
      <c r="Y205" s="13" t="s">
        <v>78</v>
      </c>
      <c r="Z205" s="13" t="s">
        <v>3823</v>
      </c>
      <c r="AA205" s="13" t="s">
        <v>80</v>
      </c>
      <c r="AB205" s="13" t="s">
        <v>106</v>
      </c>
      <c r="AC205" s="13" t="s">
        <v>808</v>
      </c>
      <c r="AD205" s="13" t="s">
        <v>809</v>
      </c>
      <c r="AE205" s="13" t="s">
        <v>109</v>
      </c>
      <c r="AF205" s="13" t="s">
        <v>3824</v>
      </c>
      <c r="AG205" s="13" t="s">
        <v>39</v>
      </c>
      <c r="AH205" s="13" t="s">
        <v>3825</v>
      </c>
      <c r="AI205" s="13" t="s">
        <v>3826</v>
      </c>
      <c r="AJ205" s="13" t="s">
        <v>3827</v>
      </c>
      <c r="AK205" s="13" t="s">
        <v>1345</v>
      </c>
      <c r="AL205" s="13" t="s">
        <v>88</v>
      </c>
    </row>
    <row r="206" spans="1:38" x14ac:dyDescent="0.4">
      <c r="A206" s="11" t="s">
        <v>3828</v>
      </c>
      <c r="B206" s="14" t="s">
        <v>3829</v>
      </c>
      <c r="C206" s="15" t="s">
        <v>39</v>
      </c>
      <c r="D206" s="15" t="s">
        <v>92</v>
      </c>
      <c r="E206" s="15" t="s">
        <v>3830</v>
      </c>
      <c r="F206" s="15" t="s">
        <v>3831</v>
      </c>
      <c r="G206" s="15" t="s">
        <v>3831</v>
      </c>
      <c r="H206" s="15" t="s">
        <v>3832</v>
      </c>
      <c r="I206" s="9">
        <f t="shared" ca="1" si="3"/>
        <v>26</v>
      </c>
      <c r="J206" s="15" t="s">
        <v>3833</v>
      </c>
      <c r="K206" s="15" t="s">
        <v>983</v>
      </c>
      <c r="L206" s="9" t="str">
        <f>VLOOKUP(K206,[1]中国省份_标准!$B$2:$F$35,4,FALSE)</f>
        <v>西部地区</v>
      </c>
      <c r="M206" s="9" t="str">
        <f>VLOOKUP(K206,[1]中国省份_标准!$B$2:$F$35,5,FALSE)</f>
        <v>华北地区</v>
      </c>
      <c r="N206" s="15" t="s">
        <v>3834</v>
      </c>
      <c r="O206" s="15" t="s">
        <v>3835</v>
      </c>
      <c r="P206" s="15" t="s">
        <v>3836</v>
      </c>
      <c r="Q206" s="15" t="s">
        <v>3837</v>
      </c>
      <c r="R206" s="15" t="s">
        <v>3838</v>
      </c>
      <c r="S206" s="15" t="s">
        <v>3839</v>
      </c>
      <c r="T206" s="15" t="s">
        <v>3324</v>
      </c>
      <c r="U206" s="15" t="s">
        <v>3829</v>
      </c>
      <c r="V206" s="15" t="s">
        <v>3840</v>
      </c>
      <c r="W206" s="15" t="s">
        <v>3841</v>
      </c>
      <c r="X206" s="15" t="s">
        <v>3842</v>
      </c>
      <c r="Y206" s="15" t="s">
        <v>78</v>
      </c>
      <c r="Z206" s="15" t="s">
        <v>3843</v>
      </c>
      <c r="AA206" s="15" t="s">
        <v>169</v>
      </c>
      <c r="AB206" s="15" t="s">
        <v>830</v>
      </c>
      <c r="AC206" s="15" t="s">
        <v>831</v>
      </c>
      <c r="AD206" s="15" t="s">
        <v>831</v>
      </c>
      <c r="AE206" s="15" t="s">
        <v>239</v>
      </c>
      <c r="AF206" s="15" t="s">
        <v>3844</v>
      </c>
      <c r="AG206" s="15" t="s">
        <v>3845</v>
      </c>
      <c r="AH206" s="15" t="s">
        <v>39</v>
      </c>
      <c r="AI206" s="15" t="s">
        <v>3846</v>
      </c>
      <c r="AJ206" s="15" t="s">
        <v>3847</v>
      </c>
      <c r="AK206" s="15" t="s">
        <v>3848</v>
      </c>
      <c r="AL206" s="15" t="s">
        <v>88</v>
      </c>
    </row>
    <row r="207" spans="1:38" x14ac:dyDescent="0.4">
      <c r="A207" s="11" t="s">
        <v>3849</v>
      </c>
      <c r="B207" s="12" t="s">
        <v>3850</v>
      </c>
      <c r="C207" s="13" t="s">
        <v>39</v>
      </c>
      <c r="D207" s="13" t="s">
        <v>92</v>
      </c>
      <c r="E207" s="13" t="s">
        <v>3851</v>
      </c>
      <c r="F207" s="13" t="s">
        <v>3852</v>
      </c>
      <c r="G207" s="13" t="s">
        <v>3852</v>
      </c>
      <c r="H207" s="13" t="s">
        <v>3853</v>
      </c>
      <c r="I207" s="9">
        <f t="shared" ca="1" si="3"/>
        <v>14</v>
      </c>
      <c r="J207" s="13" t="s">
        <v>3854</v>
      </c>
      <c r="K207" s="13" t="s">
        <v>445</v>
      </c>
      <c r="L207" s="9" t="str">
        <f>VLOOKUP(K207,[1]中国省份_标准!$B$2:$F$35,4,FALSE)</f>
        <v>中部地区</v>
      </c>
      <c r="M207" s="9" t="str">
        <f>VLOOKUP(K207,[1]中国省份_标准!$B$2:$F$35,5,FALSE)</f>
        <v>华东地区</v>
      </c>
      <c r="N207" s="13" t="s">
        <v>3855</v>
      </c>
      <c r="O207" s="13" t="s">
        <v>3856</v>
      </c>
      <c r="P207" s="13" t="s">
        <v>3857</v>
      </c>
      <c r="Q207" s="13" t="s">
        <v>39</v>
      </c>
      <c r="R207" s="13" t="s">
        <v>3858</v>
      </c>
      <c r="S207" s="13" t="s">
        <v>3859</v>
      </c>
      <c r="T207" s="13" t="s">
        <v>184</v>
      </c>
      <c r="U207" s="13" t="s">
        <v>3850</v>
      </c>
      <c r="V207" s="13" t="s">
        <v>3860</v>
      </c>
      <c r="W207" s="13" t="s">
        <v>3861</v>
      </c>
      <c r="X207" s="13" t="s">
        <v>3862</v>
      </c>
      <c r="Y207" s="13" t="s">
        <v>78</v>
      </c>
      <c r="Z207" s="13" t="s">
        <v>3863</v>
      </c>
      <c r="AA207" s="13" t="s">
        <v>169</v>
      </c>
      <c r="AB207" s="13" t="s">
        <v>189</v>
      </c>
      <c r="AC207" s="13" t="s">
        <v>190</v>
      </c>
      <c r="AD207" s="13" t="s">
        <v>3864</v>
      </c>
      <c r="AE207" s="13" t="s">
        <v>262</v>
      </c>
      <c r="AF207" s="13" t="s">
        <v>3865</v>
      </c>
      <c r="AG207" s="13" t="s">
        <v>3866</v>
      </c>
      <c r="AH207" s="13" t="s">
        <v>39</v>
      </c>
      <c r="AI207" s="13" t="s">
        <v>3867</v>
      </c>
      <c r="AJ207" s="13" t="s">
        <v>3868</v>
      </c>
      <c r="AK207" s="13" t="s">
        <v>3869</v>
      </c>
      <c r="AL207" s="13" t="s">
        <v>88</v>
      </c>
    </row>
    <row r="208" spans="1:38" x14ac:dyDescent="0.4">
      <c r="A208" s="11" t="s">
        <v>3870</v>
      </c>
      <c r="B208" s="14" t="s">
        <v>3871</v>
      </c>
      <c r="C208" s="15" t="s">
        <v>39</v>
      </c>
      <c r="D208" s="15" t="s">
        <v>63</v>
      </c>
      <c r="E208" s="15" t="s">
        <v>3872</v>
      </c>
      <c r="F208" s="15" t="s">
        <v>640</v>
      </c>
      <c r="G208" s="15" t="s">
        <v>640</v>
      </c>
      <c r="H208" s="15" t="s">
        <v>3873</v>
      </c>
      <c r="I208" s="9">
        <f t="shared" ca="1" si="3"/>
        <v>11</v>
      </c>
      <c r="J208" s="15" t="s">
        <v>3874</v>
      </c>
      <c r="K208" s="15" t="s">
        <v>67</v>
      </c>
      <c r="L208" s="9" t="str">
        <f>VLOOKUP(K208,[1]中国省份_标准!$B$2:$F$35,4,FALSE)</f>
        <v>东部地区</v>
      </c>
      <c r="M208" s="9" t="str">
        <f>VLOOKUP(K208,[1]中国省份_标准!$B$2:$F$35,5,FALSE)</f>
        <v>华东地区</v>
      </c>
      <c r="N208" s="15" t="s">
        <v>1809</v>
      </c>
      <c r="O208" s="15" t="s">
        <v>3875</v>
      </c>
      <c r="P208" s="15" t="s">
        <v>3876</v>
      </c>
      <c r="Q208" s="15" t="s">
        <v>3877</v>
      </c>
      <c r="R208" s="15" t="s">
        <v>3878</v>
      </c>
      <c r="S208" s="15" t="s">
        <v>3879</v>
      </c>
      <c r="T208" s="15" t="s">
        <v>48</v>
      </c>
      <c r="U208" s="15" t="s">
        <v>3871</v>
      </c>
      <c r="V208" s="15" t="s">
        <v>3880</v>
      </c>
      <c r="W208" s="15" t="s">
        <v>3881</v>
      </c>
      <c r="X208" s="15" t="s">
        <v>77</v>
      </c>
      <c r="Y208" s="15" t="s">
        <v>78</v>
      </c>
      <c r="Z208" s="15" t="s">
        <v>3882</v>
      </c>
      <c r="AA208" s="15" t="s">
        <v>169</v>
      </c>
      <c r="AB208" s="15" t="s">
        <v>285</v>
      </c>
      <c r="AC208" s="15" t="s">
        <v>479</v>
      </c>
      <c r="AD208" s="15" t="s">
        <v>480</v>
      </c>
      <c r="AE208" s="15" t="s">
        <v>55</v>
      </c>
      <c r="AF208" s="15" t="s">
        <v>3883</v>
      </c>
      <c r="AG208" s="15" t="s">
        <v>39</v>
      </c>
      <c r="AH208" s="15" t="s">
        <v>39</v>
      </c>
      <c r="AI208" s="15" t="s">
        <v>3884</v>
      </c>
      <c r="AJ208" s="15" t="s">
        <v>3885</v>
      </c>
      <c r="AK208" s="15" t="s">
        <v>3886</v>
      </c>
      <c r="AL208" s="15" t="s">
        <v>88</v>
      </c>
    </row>
    <row r="209" spans="1:38" x14ac:dyDescent="0.4">
      <c r="A209" s="11" t="s">
        <v>3887</v>
      </c>
      <c r="B209" s="12" t="s">
        <v>3888</v>
      </c>
      <c r="C209" s="13" t="s">
        <v>39</v>
      </c>
      <c r="D209" s="13" t="s">
        <v>92</v>
      </c>
      <c r="E209" s="13" t="s">
        <v>3889</v>
      </c>
      <c r="F209" s="13" t="s">
        <v>3890</v>
      </c>
      <c r="G209" s="13" t="s">
        <v>3890</v>
      </c>
      <c r="H209" s="13" t="s">
        <v>3891</v>
      </c>
      <c r="I209" s="9">
        <f t="shared" ca="1" si="3"/>
        <v>22</v>
      </c>
      <c r="J209" s="13" t="s">
        <v>3892</v>
      </c>
      <c r="K209" s="13" t="s">
        <v>227</v>
      </c>
      <c r="L209" s="9" t="str">
        <f>VLOOKUP(K209,[1]中国省份_标准!$B$2:$F$35,4,FALSE)</f>
        <v>西部地区</v>
      </c>
      <c r="M209" s="9" t="str">
        <f>VLOOKUP(K209,[1]中国省份_标准!$B$2:$F$35,5,FALSE)</f>
        <v>西北地区</v>
      </c>
      <c r="N209" s="13" t="s">
        <v>1002</v>
      </c>
      <c r="O209" s="13" t="s">
        <v>3278</v>
      </c>
      <c r="P209" s="13" t="s">
        <v>3893</v>
      </c>
      <c r="Q209" s="13" t="s">
        <v>3894</v>
      </c>
      <c r="R209" s="13" t="s">
        <v>3895</v>
      </c>
      <c r="S209" s="13" t="s">
        <v>3896</v>
      </c>
      <c r="T209" s="13" t="s">
        <v>48</v>
      </c>
      <c r="U209" s="13" t="s">
        <v>3888</v>
      </c>
      <c r="V209" s="13" t="s">
        <v>3897</v>
      </c>
      <c r="W209" s="13" t="s">
        <v>3898</v>
      </c>
      <c r="X209" s="13" t="s">
        <v>690</v>
      </c>
      <c r="Y209" s="13" t="s">
        <v>78</v>
      </c>
      <c r="Z209" s="13" t="s">
        <v>3899</v>
      </c>
      <c r="AA209" s="13" t="s">
        <v>80</v>
      </c>
      <c r="AB209" s="13" t="s">
        <v>106</v>
      </c>
      <c r="AC209" s="13" t="s">
        <v>808</v>
      </c>
      <c r="AD209" s="13" t="s">
        <v>893</v>
      </c>
      <c r="AE209" s="13" t="s">
        <v>109</v>
      </c>
      <c r="AF209" s="13" t="s">
        <v>3900</v>
      </c>
      <c r="AG209" s="13" t="s">
        <v>39</v>
      </c>
      <c r="AH209" s="13" t="s">
        <v>39</v>
      </c>
      <c r="AI209" s="13" t="s">
        <v>3901</v>
      </c>
      <c r="AJ209" s="13" t="s">
        <v>3902</v>
      </c>
      <c r="AK209" s="13" t="s">
        <v>3903</v>
      </c>
      <c r="AL209" s="13" t="s">
        <v>88</v>
      </c>
    </row>
    <row r="210" spans="1:38" x14ac:dyDescent="0.4">
      <c r="A210" s="11" t="s">
        <v>3904</v>
      </c>
      <c r="B210" s="14" t="s">
        <v>3905</v>
      </c>
      <c r="C210" s="15" t="s">
        <v>3906</v>
      </c>
      <c r="D210" s="15" t="s">
        <v>63</v>
      </c>
      <c r="E210" s="15" t="s">
        <v>3907</v>
      </c>
      <c r="F210" s="15" t="s">
        <v>1428</v>
      </c>
      <c r="G210" s="15" t="s">
        <v>1428</v>
      </c>
      <c r="H210" s="15" t="s">
        <v>3908</v>
      </c>
      <c r="I210" s="9">
        <f t="shared" ca="1" si="3"/>
        <v>23</v>
      </c>
      <c r="J210" s="15" t="s">
        <v>3909</v>
      </c>
      <c r="K210" s="15" t="s">
        <v>67</v>
      </c>
      <c r="L210" s="9" t="str">
        <f>VLOOKUP(K210,[1]中国省份_标准!$B$2:$F$35,4,FALSE)</f>
        <v>东部地区</v>
      </c>
      <c r="M210" s="9" t="str">
        <f>VLOOKUP(K210,[1]中国省份_标准!$B$2:$F$35,5,FALSE)</f>
        <v>华东地区</v>
      </c>
      <c r="N210" s="15" t="s">
        <v>3910</v>
      </c>
      <c r="O210" s="15" t="s">
        <v>3911</v>
      </c>
      <c r="P210" s="15" t="s">
        <v>3912</v>
      </c>
      <c r="Q210" s="15" t="s">
        <v>39</v>
      </c>
      <c r="R210" s="15" t="s">
        <v>3913</v>
      </c>
      <c r="S210" s="15" t="s">
        <v>39</v>
      </c>
      <c r="T210" s="15" t="s">
        <v>452</v>
      </c>
      <c r="U210" s="15" t="s">
        <v>3905</v>
      </c>
      <c r="V210" s="15" t="s">
        <v>3914</v>
      </c>
      <c r="W210" s="15" t="s">
        <v>3915</v>
      </c>
      <c r="X210" s="15" t="s">
        <v>3916</v>
      </c>
      <c r="Y210" s="15" t="s">
        <v>78</v>
      </c>
      <c r="Z210" s="15" t="s">
        <v>3917</v>
      </c>
      <c r="AA210" s="15" t="s">
        <v>169</v>
      </c>
      <c r="AB210" s="15" t="s">
        <v>285</v>
      </c>
      <c r="AC210" s="15" t="s">
        <v>286</v>
      </c>
      <c r="AD210" s="15" t="s">
        <v>3918</v>
      </c>
      <c r="AE210" s="15" t="s">
        <v>55</v>
      </c>
      <c r="AF210" s="15" t="s">
        <v>3919</v>
      </c>
      <c r="AG210" s="15" t="s">
        <v>3920</v>
      </c>
      <c r="AH210" s="15" t="s">
        <v>39</v>
      </c>
      <c r="AI210" s="15" t="s">
        <v>3921</v>
      </c>
      <c r="AJ210" s="15" t="s">
        <v>3922</v>
      </c>
      <c r="AK210" s="15" t="s">
        <v>3923</v>
      </c>
      <c r="AL210" s="15" t="s">
        <v>88</v>
      </c>
    </row>
    <row r="211" spans="1:38" x14ac:dyDescent="0.4">
      <c r="A211" s="11" t="s">
        <v>3924</v>
      </c>
      <c r="B211" s="12" t="s">
        <v>3925</v>
      </c>
      <c r="C211" s="13" t="s">
        <v>39</v>
      </c>
      <c r="D211" s="13" t="s">
        <v>3926</v>
      </c>
      <c r="E211" s="13" t="s">
        <v>3927</v>
      </c>
      <c r="F211" s="13" t="s">
        <v>640</v>
      </c>
      <c r="G211" s="13" t="s">
        <v>39</v>
      </c>
      <c r="H211" s="13" t="s">
        <v>3928</v>
      </c>
      <c r="I211" s="9">
        <f t="shared" ca="1" si="3"/>
        <v>6</v>
      </c>
      <c r="J211" s="13" t="s">
        <v>3929</v>
      </c>
      <c r="K211" s="13" t="s">
        <v>1877</v>
      </c>
      <c r="L211" s="9" t="str">
        <f>VLOOKUP(K211,[1]中国省份_标准!$B$2:$F$35,4,FALSE)</f>
        <v>中部地区</v>
      </c>
      <c r="M211" s="9" t="str">
        <f>VLOOKUP(K211,[1]中国省份_标准!$B$2:$F$35,5,FALSE)</f>
        <v>华中地区</v>
      </c>
      <c r="N211" s="13" t="s">
        <v>1878</v>
      </c>
      <c r="O211" s="13" t="s">
        <v>3930</v>
      </c>
      <c r="P211" s="13" t="s">
        <v>3931</v>
      </c>
      <c r="Q211" s="13" t="s">
        <v>39</v>
      </c>
      <c r="R211" s="13" t="s">
        <v>39</v>
      </c>
      <c r="S211" s="13" t="s">
        <v>39</v>
      </c>
      <c r="T211" s="13" t="s">
        <v>48</v>
      </c>
      <c r="U211" s="13" t="s">
        <v>3925</v>
      </c>
      <c r="V211" s="13" t="s">
        <v>3932</v>
      </c>
      <c r="W211" s="13" t="s">
        <v>3933</v>
      </c>
      <c r="X211" s="13" t="s">
        <v>557</v>
      </c>
      <c r="Y211" s="13" t="s">
        <v>971</v>
      </c>
      <c r="Z211" s="13" t="s">
        <v>3934</v>
      </c>
      <c r="AA211" s="13" t="s">
        <v>1796</v>
      </c>
      <c r="AB211" s="13" t="s">
        <v>3935</v>
      </c>
      <c r="AC211" s="13" t="s">
        <v>3936</v>
      </c>
      <c r="AD211" s="13" t="s">
        <v>3937</v>
      </c>
      <c r="AE211" s="13" t="s">
        <v>55</v>
      </c>
      <c r="AF211" s="13" t="s">
        <v>3938</v>
      </c>
      <c r="AG211" s="13" t="s">
        <v>39</v>
      </c>
      <c r="AH211" s="13" t="s">
        <v>39</v>
      </c>
      <c r="AI211" s="13" t="s">
        <v>3939</v>
      </c>
      <c r="AJ211" s="13" t="s">
        <v>3940</v>
      </c>
      <c r="AK211" s="13" t="s">
        <v>3941</v>
      </c>
      <c r="AL211" s="13" t="s">
        <v>88</v>
      </c>
    </row>
    <row r="212" spans="1:38" x14ac:dyDescent="0.4">
      <c r="A212" s="11" t="s">
        <v>3942</v>
      </c>
      <c r="B212" s="14" t="s">
        <v>3943</v>
      </c>
      <c r="C212" s="15" t="s">
        <v>39</v>
      </c>
      <c r="D212" s="15" t="s">
        <v>3944</v>
      </c>
      <c r="E212" s="15" t="s">
        <v>3945</v>
      </c>
      <c r="F212" s="15" t="s">
        <v>271</v>
      </c>
      <c r="G212" s="15" t="s">
        <v>39</v>
      </c>
      <c r="H212" s="15" t="s">
        <v>1680</v>
      </c>
      <c r="I212" s="9">
        <f t="shared" ca="1" si="3"/>
        <v>8</v>
      </c>
      <c r="J212" s="15" t="s">
        <v>3946</v>
      </c>
      <c r="K212" s="15" t="s">
        <v>379</v>
      </c>
      <c r="L212" s="9" t="str">
        <f>VLOOKUP(K212,[1]中国省份_标准!$B$2:$F$35,4,FALSE)</f>
        <v>东部地区</v>
      </c>
      <c r="M212" s="9" t="str">
        <f>VLOOKUP(K212,[1]中国省份_标准!$B$2:$F$35,5,FALSE)</f>
        <v>华东地区</v>
      </c>
      <c r="N212" s="15" t="s">
        <v>380</v>
      </c>
      <c r="O212" s="15" t="s">
        <v>3947</v>
      </c>
      <c r="P212" s="15" t="s">
        <v>3948</v>
      </c>
      <c r="Q212" s="15" t="s">
        <v>39</v>
      </c>
      <c r="R212" s="15" t="s">
        <v>3949</v>
      </c>
      <c r="S212" s="15" t="s">
        <v>39</v>
      </c>
      <c r="T212" s="15" t="s">
        <v>281</v>
      </c>
      <c r="U212" s="15" t="s">
        <v>3943</v>
      </c>
      <c r="V212" s="15" t="s">
        <v>39</v>
      </c>
      <c r="W212" s="15" t="s">
        <v>3950</v>
      </c>
      <c r="X212" s="15" t="s">
        <v>557</v>
      </c>
      <c r="Y212" s="15" t="s">
        <v>731</v>
      </c>
      <c r="Z212" s="15" t="s">
        <v>3951</v>
      </c>
      <c r="AA212" s="15" t="s">
        <v>80</v>
      </c>
      <c r="AB212" s="15" t="s">
        <v>106</v>
      </c>
      <c r="AC212" s="15" t="s">
        <v>808</v>
      </c>
      <c r="AD212" s="15" t="s">
        <v>893</v>
      </c>
      <c r="AE212" s="15" t="s">
        <v>109</v>
      </c>
      <c r="AF212" s="15" t="s">
        <v>3952</v>
      </c>
      <c r="AG212" s="15" t="s">
        <v>39</v>
      </c>
      <c r="AH212" s="15" t="s">
        <v>39</v>
      </c>
      <c r="AI212" s="15" t="s">
        <v>3953</v>
      </c>
      <c r="AJ212" s="15" t="s">
        <v>3954</v>
      </c>
      <c r="AK212" s="15" t="s">
        <v>3955</v>
      </c>
      <c r="AL212" s="15" t="s">
        <v>88</v>
      </c>
    </row>
    <row r="213" spans="1:38" x14ac:dyDescent="0.4">
      <c r="A213" s="11" t="s">
        <v>3956</v>
      </c>
      <c r="B213" s="12" t="s">
        <v>3957</v>
      </c>
      <c r="C213" s="13" t="s">
        <v>39</v>
      </c>
      <c r="D213" s="13" t="s">
        <v>92</v>
      </c>
      <c r="E213" s="13" t="s">
        <v>3958</v>
      </c>
      <c r="F213" s="13" t="s">
        <v>3959</v>
      </c>
      <c r="G213" s="13" t="s">
        <v>3959</v>
      </c>
      <c r="H213" s="13" t="s">
        <v>3960</v>
      </c>
      <c r="I213" s="9">
        <f t="shared" ca="1" si="3"/>
        <v>22</v>
      </c>
      <c r="J213" s="13" t="s">
        <v>3961</v>
      </c>
      <c r="K213" s="13" t="s">
        <v>1022</v>
      </c>
      <c r="L213" s="9" t="str">
        <f>VLOOKUP(K213,[1]中国省份_标准!$B$2:$F$35,4,FALSE)</f>
        <v>东部地区</v>
      </c>
      <c r="M213" s="9" t="str">
        <f>VLOOKUP(K213,[1]中国省份_标准!$B$2:$F$35,5,FALSE)</f>
        <v>华北地区</v>
      </c>
      <c r="N213" s="13" t="s">
        <v>1022</v>
      </c>
      <c r="O213" s="13" t="s">
        <v>3130</v>
      </c>
      <c r="P213" s="13" t="s">
        <v>3962</v>
      </c>
      <c r="Q213" s="13" t="s">
        <v>3963</v>
      </c>
      <c r="R213" s="13" t="s">
        <v>3964</v>
      </c>
      <c r="S213" s="13" t="s">
        <v>3965</v>
      </c>
      <c r="T213" s="13" t="s">
        <v>452</v>
      </c>
      <c r="U213" s="13" t="s">
        <v>3957</v>
      </c>
      <c r="V213" s="13" t="s">
        <v>3966</v>
      </c>
      <c r="W213" s="13" t="s">
        <v>3967</v>
      </c>
      <c r="X213" s="13" t="s">
        <v>1209</v>
      </c>
      <c r="Y213" s="13" t="s">
        <v>78</v>
      </c>
      <c r="Z213" s="13" t="s">
        <v>3968</v>
      </c>
      <c r="AA213" s="13" t="s">
        <v>1796</v>
      </c>
      <c r="AB213" s="13" t="s">
        <v>2851</v>
      </c>
      <c r="AC213" s="13" t="s">
        <v>3969</v>
      </c>
      <c r="AD213" s="13" t="s">
        <v>3969</v>
      </c>
      <c r="AE213" s="13" t="s">
        <v>109</v>
      </c>
      <c r="AF213" s="13" t="s">
        <v>3970</v>
      </c>
      <c r="AG213" s="13" t="s">
        <v>3971</v>
      </c>
      <c r="AH213" s="13" t="s">
        <v>3972</v>
      </c>
      <c r="AI213" s="13" t="s">
        <v>3973</v>
      </c>
      <c r="AJ213" s="13" t="s">
        <v>3974</v>
      </c>
      <c r="AK213" s="13" t="s">
        <v>3142</v>
      </c>
      <c r="AL213" s="13" t="s">
        <v>88</v>
      </c>
    </row>
    <row r="214" spans="1:38" x14ac:dyDescent="0.4">
      <c r="A214" s="11" t="s">
        <v>3975</v>
      </c>
      <c r="B214" s="14" t="s">
        <v>3976</v>
      </c>
      <c r="C214" s="15" t="s">
        <v>3977</v>
      </c>
      <c r="D214" s="15" t="s">
        <v>92</v>
      </c>
      <c r="E214" s="15" t="s">
        <v>3978</v>
      </c>
      <c r="F214" s="15" t="s">
        <v>3979</v>
      </c>
      <c r="G214" s="15" t="s">
        <v>3979</v>
      </c>
      <c r="H214" s="15" t="s">
        <v>3980</v>
      </c>
      <c r="I214" s="9">
        <f t="shared" ca="1" si="3"/>
        <v>23</v>
      </c>
      <c r="J214" s="15" t="s">
        <v>3981</v>
      </c>
      <c r="K214" s="15" t="s">
        <v>1022</v>
      </c>
      <c r="L214" s="9" t="str">
        <f>VLOOKUP(K214,[1]中国省份_标准!$B$2:$F$35,4,FALSE)</f>
        <v>东部地区</v>
      </c>
      <c r="M214" s="9" t="str">
        <f>VLOOKUP(K214,[1]中国省份_标准!$B$2:$F$35,5,FALSE)</f>
        <v>华北地区</v>
      </c>
      <c r="N214" s="15" t="s">
        <v>1022</v>
      </c>
      <c r="O214" s="15" t="s">
        <v>1023</v>
      </c>
      <c r="P214" s="15" t="s">
        <v>3982</v>
      </c>
      <c r="Q214" s="15" t="s">
        <v>3983</v>
      </c>
      <c r="R214" s="15" t="s">
        <v>3984</v>
      </c>
      <c r="S214" s="15" t="s">
        <v>3985</v>
      </c>
      <c r="T214" s="15" t="s">
        <v>1028</v>
      </c>
      <c r="U214" s="15" t="s">
        <v>3976</v>
      </c>
      <c r="V214" s="15" t="s">
        <v>3986</v>
      </c>
      <c r="W214" s="15" t="s">
        <v>3987</v>
      </c>
      <c r="X214" s="15" t="s">
        <v>3988</v>
      </c>
      <c r="Y214" s="15" t="s">
        <v>78</v>
      </c>
      <c r="Z214" s="15" t="s">
        <v>3989</v>
      </c>
      <c r="AA214" s="15" t="s">
        <v>850</v>
      </c>
      <c r="AB214" s="15" t="s">
        <v>851</v>
      </c>
      <c r="AC214" s="15" t="s">
        <v>3990</v>
      </c>
      <c r="AD214" s="15" t="s">
        <v>3990</v>
      </c>
      <c r="AE214" s="15" t="s">
        <v>55</v>
      </c>
      <c r="AF214" s="15" t="s">
        <v>3991</v>
      </c>
      <c r="AG214" s="15" t="s">
        <v>39</v>
      </c>
      <c r="AH214" s="15" t="s">
        <v>39</v>
      </c>
      <c r="AI214" s="15" t="s">
        <v>3992</v>
      </c>
      <c r="AJ214" s="15" t="s">
        <v>3993</v>
      </c>
      <c r="AK214" s="15" t="s">
        <v>3994</v>
      </c>
      <c r="AL214" s="15" t="s">
        <v>88</v>
      </c>
    </row>
    <row r="215" spans="1:38" x14ac:dyDescent="0.4">
      <c r="A215" s="11" t="s">
        <v>3995</v>
      </c>
      <c r="B215" s="12" t="s">
        <v>3996</v>
      </c>
      <c r="C215" s="13" t="s">
        <v>39</v>
      </c>
      <c r="D215" s="13" t="s">
        <v>92</v>
      </c>
      <c r="E215" s="13" t="s">
        <v>3997</v>
      </c>
      <c r="F215" s="13" t="s">
        <v>178</v>
      </c>
      <c r="G215" s="13" t="s">
        <v>178</v>
      </c>
      <c r="H215" s="13" t="s">
        <v>3998</v>
      </c>
      <c r="I215" s="9">
        <f t="shared" ca="1" si="3"/>
        <v>22</v>
      </c>
      <c r="J215" s="13" t="s">
        <v>3999</v>
      </c>
      <c r="K215" s="13" t="s">
        <v>1022</v>
      </c>
      <c r="L215" s="9" t="str">
        <f>VLOOKUP(K215,[1]中国省份_标准!$B$2:$F$35,4,FALSE)</f>
        <v>东部地区</v>
      </c>
      <c r="M215" s="9" t="str">
        <f>VLOOKUP(K215,[1]中国省份_标准!$B$2:$F$35,5,FALSE)</f>
        <v>华北地区</v>
      </c>
      <c r="N215" s="13" t="s">
        <v>1022</v>
      </c>
      <c r="O215" s="13" t="s">
        <v>1023</v>
      </c>
      <c r="P215" s="13" t="s">
        <v>4000</v>
      </c>
      <c r="Q215" s="13" t="s">
        <v>4001</v>
      </c>
      <c r="R215" s="13" t="s">
        <v>4002</v>
      </c>
      <c r="S215" s="13" t="s">
        <v>4003</v>
      </c>
      <c r="T215" s="13" t="s">
        <v>1028</v>
      </c>
      <c r="U215" s="13" t="s">
        <v>3996</v>
      </c>
      <c r="V215" s="13" t="s">
        <v>4004</v>
      </c>
      <c r="W215" s="13" t="s">
        <v>4005</v>
      </c>
      <c r="X215" s="13" t="s">
        <v>540</v>
      </c>
      <c r="Y215" s="13" t="s">
        <v>78</v>
      </c>
      <c r="Z215" s="13" t="s">
        <v>4006</v>
      </c>
      <c r="AA215" s="13" t="s">
        <v>80</v>
      </c>
      <c r="AB215" s="13" t="s">
        <v>106</v>
      </c>
      <c r="AC215" s="13" t="s">
        <v>1132</v>
      </c>
      <c r="AD215" s="13" t="s">
        <v>3591</v>
      </c>
      <c r="AE215" s="13" t="s">
        <v>55</v>
      </c>
      <c r="AF215" s="13" t="s">
        <v>4007</v>
      </c>
      <c r="AG215" s="13" t="s">
        <v>39</v>
      </c>
      <c r="AH215" s="13" t="s">
        <v>39</v>
      </c>
      <c r="AI215" s="13" t="s">
        <v>4008</v>
      </c>
      <c r="AJ215" s="13" t="s">
        <v>4009</v>
      </c>
      <c r="AK215" s="13" t="s">
        <v>3994</v>
      </c>
      <c r="AL215" s="13" t="s">
        <v>88</v>
      </c>
    </row>
    <row r="216" spans="1:38" x14ac:dyDescent="0.4">
      <c r="A216" s="11" t="s">
        <v>4010</v>
      </c>
      <c r="B216" s="14" t="s">
        <v>4011</v>
      </c>
      <c r="C216" s="15" t="s">
        <v>39</v>
      </c>
      <c r="D216" s="15" t="s">
        <v>92</v>
      </c>
      <c r="E216" s="15" t="s">
        <v>4012</v>
      </c>
      <c r="F216" s="15" t="s">
        <v>640</v>
      </c>
      <c r="G216" s="15" t="s">
        <v>42</v>
      </c>
      <c r="H216" s="15" t="s">
        <v>4013</v>
      </c>
      <c r="I216" s="9">
        <f t="shared" ca="1" si="3"/>
        <v>7</v>
      </c>
      <c r="J216" s="15" t="s">
        <v>4014</v>
      </c>
      <c r="K216" s="15" t="s">
        <v>643</v>
      </c>
      <c r="L216" s="9" t="str">
        <f>VLOOKUP(K216,[1]中国省份_标准!$B$2:$F$35,4,FALSE)</f>
        <v>东北地区</v>
      </c>
      <c r="M216" s="9" t="str">
        <f>VLOOKUP(K216,[1]中国省份_标准!$B$2:$F$35,5,FALSE)</f>
        <v>东北地区</v>
      </c>
      <c r="N216" s="15" t="s">
        <v>1202</v>
      </c>
      <c r="O216" s="15" t="s">
        <v>4015</v>
      </c>
      <c r="P216" s="15" t="s">
        <v>4016</v>
      </c>
      <c r="Q216" s="15" t="s">
        <v>39</v>
      </c>
      <c r="R216" s="15" t="s">
        <v>4017</v>
      </c>
      <c r="S216" s="15" t="s">
        <v>4018</v>
      </c>
      <c r="T216" s="15" t="s">
        <v>281</v>
      </c>
      <c r="U216" s="15" t="s">
        <v>4011</v>
      </c>
      <c r="V216" s="15" t="s">
        <v>4019</v>
      </c>
      <c r="W216" s="15" t="s">
        <v>4020</v>
      </c>
      <c r="X216" s="15" t="s">
        <v>557</v>
      </c>
      <c r="Y216" s="15" t="s">
        <v>78</v>
      </c>
      <c r="Z216" s="15" t="s">
        <v>4021</v>
      </c>
      <c r="AA216" s="15" t="s">
        <v>80</v>
      </c>
      <c r="AB216" s="15" t="s">
        <v>106</v>
      </c>
      <c r="AC216" s="15" t="s">
        <v>808</v>
      </c>
      <c r="AD216" s="15" t="s">
        <v>809</v>
      </c>
      <c r="AE216" s="15" t="s">
        <v>55</v>
      </c>
      <c r="AF216" s="15" t="s">
        <v>4022</v>
      </c>
      <c r="AG216" s="15" t="s">
        <v>39</v>
      </c>
      <c r="AH216" s="15" t="s">
        <v>39</v>
      </c>
      <c r="AI216" s="15" t="s">
        <v>4023</v>
      </c>
      <c r="AJ216" s="15" t="s">
        <v>4024</v>
      </c>
      <c r="AK216" s="15" t="s">
        <v>4025</v>
      </c>
      <c r="AL216" s="15" t="s">
        <v>88</v>
      </c>
    </row>
    <row r="217" spans="1:38" x14ac:dyDescent="0.4">
      <c r="A217" s="11" t="s">
        <v>4026</v>
      </c>
      <c r="B217" s="12" t="s">
        <v>4027</v>
      </c>
      <c r="C217" s="13" t="s">
        <v>39</v>
      </c>
      <c r="D217" s="13" t="s">
        <v>92</v>
      </c>
      <c r="E217" s="13" t="s">
        <v>4028</v>
      </c>
      <c r="F217" s="13" t="s">
        <v>3656</v>
      </c>
      <c r="G217" s="13" t="s">
        <v>3656</v>
      </c>
      <c r="H217" s="13" t="s">
        <v>4029</v>
      </c>
      <c r="I217" s="9">
        <f t="shared" ca="1" si="3"/>
        <v>23</v>
      </c>
      <c r="J217" s="13" t="s">
        <v>4030</v>
      </c>
      <c r="K217" s="13" t="s">
        <v>702</v>
      </c>
      <c r="L217" s="9" t="str">
        <f>VLOOKUP(K217,[1]中国省份_标准!$B$2:$F$35,4,FALSE)</f>
        <v>东部地区</v>
      </c>
      <c r="M217" s="9" t="str">
        <f>VLOOKUP(K217,[1]中国省份_标准!$B$2:$F$35,5,FALSE)</f>
        <v>华北地区</v>
      </c>
      <c r="N217" s="13" t="s">
        <v>703</v>
      </c>
      <c r="O217" s="13" t="s">
        <v>4031</v>
      </c>
      <c r="P217" s="13" t="s">
        <v>4032</v>
      </c>
      <c r="Q217" s="13" t="s">
        <v>4033</v>
      </c>
      <c r="R217" s="13" t="s">
        <v>4034</v>
      </c>
      <c r="S217" s="13" t="s">
        <v>39</v>
      </c>
      <c r="T217" s="13" t="s">
        <v>281</v>
      </c>
      <c r="U217" s="13" t="s">
        <v>4027</v>
      </c>
      <c r="V217" s="13" t="s">
        <v>4035</v>
      </c>
      <c r="W217" s="13" t="s">
        <v>4036</v>
      </c>
      <c r="X217" s="13" t="s">
        <v>540</v>
      </c>
      <c r="Y217" s="13" t="s">
        <v>78</v>
      </c>
      <c r="Z217" s="13" t="s">
        <v>4037</v>
      </c>
      <c r="AA217" s="13" t="s">
        <v>169</v>
      </c>
      <c r="AB217" s="13" t="s">
        <v>285</v>
      </c>
      <c r="AC217" s="13" t="s">
        <v>479</v>
      </c>
      <c r="AD217" s="13" t="s">
        <v>480</v>
      </c>
      <c r="AE217" s="13" t="s">
        <v>55</v>
      </c>
      <c r="AF217" s="13" t="s">
        <v>4038</v>
      </c>
      <c r="AG217" s="13" t="s">
        <v>39</v>
      </c>
      <c r="AH217" s="13" t="s">
        <v>39</v>
      </c>
      <c r="AI217" s="13" t="s">
        <v>4039</v>
      </c>
      <c r="AJ217" s="13" t="s">
        <v>4040</v>
      </c>
      <c r="AK217" s="13" t="s">
        <v>4041</v>
      </c>
      <c r="AL217" s="13" t="s">
        <v>88</v>
      </c>
    </row>
    <row r="218" spans="1:38" x14ac:dyDescent="0.4">
      <c r="A218" s="11" t="s">
        <v>4042</v>
      </c>
      <c r="B218" s="14" t="s">
        <v>4043</v>
      </c>
      <c r="C218" s="15" t="s">
        <v>39</v>
      </c>
      <c r="D218" s="15" t="s">
        <v>92</v>
      </c>
      <c r="E218" s="15" t="s">
        <v>4044</v>
      </c>
      <c r="F218" s="15" t="s">
        <v>4045</v>
      </c>
      <c r="G218" s="15" t="s">
        <v>4046</v>
      </c>
      <c r="H218" s="15" t="s">
        <v>4047</v>
      </c>
      <c r="I218" s="9">
        <f t="shared" ca="1" si="3"/>
        <v>8</v>
      </c>
      <c r="J218" s="15" t="s">
        <v>1059</v>
      </c>
      <c r="K218" s="15" t="s">
        <v>45</v>
      </c>
      <c r="L218" s="9" t="str">
        <f>VLOOKUP(K218,[1]中国省份_标准!$B$2:$F$35,4,FALSE)</f>
        <v>东部地区</v>
      </c>
      <c r="M218" s="9" t="str">
        <f>VLOOKUP(K218,[1]中国省份_标准!$B$2:$F$35,5,FALSE)</f>
        <v>华东地区</v>
      </c>
      <c r="N218" s="15" t="s">
        <v>45</v>
      </c>
      <c r="O218" s="15" t="s">
        <v>1060</v>
      </c>
      <c r="P218" s="15" t="s">
        <v>4048</v>
      </c>
      <c r="Q218" s="15" t="s">
        <v>39</v>
      </c>
      <c r="R218" s="15" t="s">
        <v>39</v>
      </c>
      <c r="S218" s="15" t="s">
        <v>39</v>
      </c>
      <c r="T218" s="15" t="s">
        <v>48</v>
      </c>
      <c r="U218" s="15" t="s">
        <v>4043</v>
      </c>
      <c r="V218" s="15" t="s">
        <v>4049</v>
      </c>
      <c r="W218" s="15" t="s">
        <v>4050</v>
      </c>
      <c r="X218" s="15" t="s">
        <v>77</v>
      </c>
      <c r="Y218" s="15" t="s">
        <v>78</v>
      </c>
      <c r="Z218" s="15" t="s">
        <v>4051</v>
      </c>
      <c r="AA218" s="15" t="s">
        <v>80</v>
      </c>
      <c r="AB218" s="15" t="s">
        <v>106</v>
      </c>
      <c r="AC218" s="15" t="s">
        <v>107</v>
      </c>
      <c r="AD218" s="15" t="s">
        <v>108</v>
      </c>
      <c r="AE218" s="15" t="s">
        <v>109</v>
      </c>
      <c r="AF218" s="15" t="s">
        <v>4052</v>
      </c>
      <c r="AG218" s="15" t="s">
        <v>39</v>
      </c>
      <c r="AH218" s="15" t="s">
        <v>39</v>
      </c>
      <c r="AI218" s="15" t="s">
        <v>4053</v>
      </c>
      <c r="AJ218" s="15" t="s">
        <v>4054</v>
      </c>
      <c r="AK218" s="15" t="s">
        <v>1068</v>
      </c>
      <c r="AL218" s="15" t="s">
        <v>88</v>
      </c>
    </row>
    <row r="219" spans="1:38" x14ac:dyDescent="0.4">
      <c r="A219" s="11" t="s">
        <v>4055</v>
      </c>
      <c r="B219" s="12" t="s">
        <v>4056</v>
      </c>
      <c r="C219" s="13" t="s">
        <v>4057</v>
      </c>
      <c r="D219" s="13" t="s">
        <v>92</v>
      </c>
      <c r="E219" s="13" t="s">
        <v>4058</v>
      </c>
      <c r="F219" s="13" t="s">
        <v>999</v>
      </c>
      <c r="G219" s="13" t="s">
        <v>999</v>
      </c>
      <c r="H219" s="13" t="s">
        <v>4059</v>
      </c>
      <c r="I219" s="9">
        <f t="shared" ca="1" si="3"/>
        <v>21</v>
      </c>
      <c r="J219" s="13" t="s">
        <v>4060</v>
      </c>
      <c r="K219" s="13" t="s">
        <v>227</v>
      </c>
      <c r="L219" s="9" t="str">
        <f>VLOOKUP(K219,[1]中国省份_标准!$B$2:$F$35,4,FALSE)</f>
        <v>西部地区</v>
      </c>
      <c r="M219" s="9" t="str">
        <f>VLOOKUP(K219,[1]中国省份_标准!$B$2:$F$35,5,FALSE)</f>
        <v>西北地区</v>
      </c>
      <c r="N219" s="13" t="s">
        <v>1002</v>
      </c>
      <c r="O219" s="13" t="s">
        <v>1003</v>
      </c>
      <c r="P219" s="13" t="s">
        <v>4061</v>
      </c>
      <c r="Q219" s="13" t="s">
        <v>4062</v>
      </c>
      <c r="R219" s="13" t="s">
        <v>3895</v>
      </c>
      <c r="S219" s="13" t="s">
        <v>4063</v>
      </c>
      <c r="T219" s="13" t="s">
        <v>209</v>
      </c>
      <c r="U219" s="13" t="s">
        <v>4056</v>
      </c>
      <c r="V219" s="13" t="s">
        <v>4064</v>
      </c>
      <c r="W219" s="13" t="s">
        <v>4065</v>
      </c>
      <c r="X219" s="13" t="s">
        <v>540</v>
      </c>
      <c r="Y219" s="13" t="s">
        <v>78</v>
      </c>
      <c r="Z219" s="13" t="s">
        <v>4066</v>
      </c>
      <c r="AA219" s="13" t="s">
        <v>309</v>
      </c>
      <c r="AB219" s="13" t="s">
        <v>772</v>
      </c>
      <c r="AC219" s="13" t="s">
        <v>773</v>
      </c>
      <c r="AD219" s="13" t="s">
        <v>774</v>
      </c>
      <c r="AE219" s="13" t="s">
        <v>262</v>
      </c>
      <c r="AF219" s="13" t="s">
        <v>4067</v>
      </c>
      <c r="AG219" s="13" t="s">
        <v>39</v>
      </c>
      <c r="AH219" s="13" t="s">
        <v>39</v>
      </c>
      <c r="AI219" s="13" t="s">
        <v>4068</v>
      </c>
      <c r="AJ219" s="13" t="s">
        <v>4069</v>
      </c>
      <c r="AK219" s="13" t="s">
        <v>1014</v>
      </c>
      <c r="AL219" s="13" t="s">
        <v>88</v>
      </c>
    </row>
    <row r="220" spans="1:38" x14ac:dyDescent="0.4">
      <c r="A220" s="11" t="s">
        <v>4070</v>
      </c>
      <c r="B220" s="14" t="s">
        <v>4071</v>
      </c>
      <c r="C220" s="15" t="s">
        <v>4072</v>
      </c>
      <c r="D220" s="15" t="s">
        <v>92</v>
      </c>
      <c r="E220" s="15" t="s">
        <v>4073</v>
      </c>
      <c r="F220" s="15" t="s">
        <v>4074</v>
      </c>
      <c r="G220" s="15" t="s">
        <v>4074</v>
      </c>
      <c r="H220" s="15" t="s">
        <v>4075</v>
      </c>
      <c r="I220" s="9">
        <f t="shared" ca="1" si="3"/>
        <v>43</v>
      </c>
      <c r="J220" s="15" t="s">
        <v>4076</v>
      </c>
      <c r="K220" s="15" t="s">
        <v>1022</v>
      </c>
      <c r="L220" s="9" t="str">
        <f>VLOOKUP(K220,[1]中国省份_标准!$B$2:$F$35,4,FALSE)</f>
        <v>东部地区</v>
      </c>
      <c r="M220" s="9" t="str">
        <f>VLOOKUP(K220,[1]中国省份_标准!$B$2:$F$35,5,FALSE)</f>
        <v>华北地区</v>
      </c>
      <c r="N220" s="15" t="s">
        <v>1022</v>
      </c>
      <c r="O220" s="15" t="s">
        <v>4077</v>
      </c>
      <c r="P220" s="15" t="s">
        <v>4078</v>
      </c>
      <c r="Q220" s="15" t="s">
        <v>4079</v>
      </c>
      <c r="R220" s="15" t="s">
        <v>4080</v>
      </c>
      <c r="S220" s="15" t="s">
        <v>4081</v>
      </c>
      <c r="T220" s="15" t="s">
        <v>1028</v>
      </c>
      <c r="U220" s="15" t="s">
        <v>4071</v>
      </c>
      <c r="V220" s="15" t="s">
        <v>4082</v>
      </c>
      <c r="W220" s="15" t="s">
        <v>4083</v>
      </c>
      <c r="X220" s="15" t="s">
        <v>4084</v>
      </c>
      <c r="Y220" s="15" t="s">
        <v>78</v>
      </c>
      <c r="Z220" s="15" t="s">
        <v>4085</v>
      </c>
      <c r="AA220" s="15" t="s">
        <v>80</v>
      </c>
      <c r="AB220" s="15" t="s">
        <v>106</v>
      </c>
      <c r="AC220" s="15" t="s">
        <v>951</v>
      </c>
      <c r="AD220" s="15" t="s">
        <v>952</v>
      </c>
      <c r="AE220" s="15" t="s">
        <v>262</v>
      </c>
      <c r="AF220" s="15" t="s">
        <v>4086</v>
      </c>
      <c r="AG220" s="15" t="s">
        <v>4087</v>
      </c>
      <c r="AH220" s="15" t="s">
        <v>4088</v>
      </c>
      <c r="AI220" s="15" t="s">
        <v>4089</v>
      </c>
      <c r="AJ220" s="15" t="s">
        <v>4090</v>
      </c>
      <c r="AK220" s="15" t="s">
        <v>1037</v>
      </c>
      <c r="AL220" s="15" t="s">
        <v>88</v>
      </c>
    </row>
    <row r="221" spans="1:38" x14ac:dyDescent="0.4">
      <c r="A221" s="11" t="s">
        <v>4091</v>
      </c>
      <c r="B221" s="12" t="s">
        <v>4092</v>
      </c>
      <c r="C221" s="13" t="s">
        <v>4093</v>
      </c>
      <c r="D221" s="13" t="s">
        <v>92</v>
      </c>
      <c r="E221" s="13" t="s">
        <v>4094</v>
      </c>
      <c r="F221" s="13" t="s">
        <v>4095</v>
      </c>
      <c r="G221" s="13" t="s">
        <v>4095</v>
      </c>
      <c r="H221" s="13" t="s">
        <v>4096</v>
      </c>
      <c r="I221" s="9">
        <f t="shared" ca="1" si="3"/>
        <v>36</v>
      </c>
      <c r="J221" s="13" t="s">
        <v>4097</v>
      </c>
      <c r="K221" s="13" t="s">
        <v>1022</v>
      </c>
      <c r="L221" s="9" t="str">
        <f>VLOOKUP(K221,[1]中国省份_标准!$B$2:$F$35,4,FALSE)</f>
        <v>东部地区</v>
      </c>
      <c r="M221" s="9" t="str">
        <f>VLOOKUP(K221,[1]中国省份_标准!$B$2:$F$35,5,FALSE)</f>
        <v>华北地区</v>
      </c>
      <c r="N221" s="13" t="s">
        <v>1022</v>
      </c>
      <c r="O221" s="13" t="s">
        <v>3130</v>
      </c>
      <c r="P221" s="13" t="s">
        <v>4098</v>
      </c>
      <c r="Q221" s="13" t="s">
        <v>4099</v>
      </c>
      <c r="R221" s="13" t="s">
        <v>4100</v>
      </c>
      <c r="S221" s="13" t="s">
        <v>4101</v>
      </c>
      <c r="T221" s="13" t="s">
        <v>1028</v>
      </c>
      <c r="U221" s="13" t="s">
        <v>4092</v>
      </c>
      <c r="V221" s="13" t="s">
        <v>4102</v>
      </c>
      <c r="W221" s="13" t="s">
        <v>4103</v>
      </c>
      <c r="X221" s="13" t="s">
        <v>4104</v>
      </c>
      <c r="Y221" s="13" t="s">
        <v>78</v>
      </c>
      <c r="Z221" s="13" t="s">
        <v>4105</v>
      </c>
      <c r="AA221" s="13" t="s">
        <v>80</v>
      </c>
      <c r="AB221" s="13" t="s">
        <v>106</v>
      </c>
      <c r="AC221" s="13" t="s">
        <v>107</v>
      </c>
      <c r="AD221" s="13" t="s">
        <v>108</v>
      </c>
      <c r="AE221" s="13" t="s">
        <v>262</v>
      </c>
      <c r="AF221" s="13" t="s">
        <v>4106</v>
      </c>
      <c r="AG221" s="13" t="s">
        <v>4107</v>
      </c>
      <c r="AH221" s="13" t="s">
        <v>39</v>
      </c>
      <c r="AI221" s="13" t="s">
        <v>4108</v>
      </c>
      <c r="AJ221" s="13" t="s">
        <v>4109</v>
      </c>
      <c r="AK221" s="13" t="s">
        <v>1037</v>
      </c>
      <c r="AL221" s="13" t="s">
        <v>88</v>
      </c>
    </row>
    <row r="222" spans="1:38" x14ac:dyDescent="0.4">
      <c r="A222" s="11" t="s">
        <v>4110</v>
      </c>
      <c r="B222" s="14" t="s">
        <v>4111</v>
      </c>
      <c r="C222" s="15" t="s">
        <v>39</v>
      </c>
      <c r="D222" s="15" t="s">
        <v>92</v>
      </c>
      <c r="E222" s="15" t="s">
        <v>4112</v>
      </c>
      <c r="F222" s="15" t="s">
        <v>4113</v>
      </c>
      <c r="G222" s="15" t="s">
        <v>4113</v>
      </c>
      <c r="H222" s="15" t="s">
        <v>4114</v>
      </c>
      <c r="I222" s="9">
        <f t="shared" ca="1" si="3"/>
        <v>9</v>
      </c>
      <c r="J222" s="15" t="s">
        <v>4115</v>
      </c>
      <c r="K222" s="15" t="s">
        <v>45</v>
      </c>
      <c r="L222" s="9" t="str">
        <f>VLOOKUP(K222,[1]中国省份_标准!$B$2:$F$35,4,FALSE)</f>
        <v>东部地区</v>
      </c>
      <c r="M222" s="9" t="str">
        <f>VLOOKUP(K222,[1]中国省份_标准!$B$2:$F$35,5,FALSE)</f>
        <v>华东地区</v>
      </c>
      <c r="N222" s="15" t="s">
        <v>45</v>
      </c>
      <c r="O222" s="15" t="s">
        <v>1123</v>
      </c>
      <c r="P222" s="15" t="s">
        <v>4116</v>
      </c>
      <c r="Q222" s="15" t="s">
        <v>39</v>
      </c>
      <c r="R222" s="15" t="s">
        <v>4117</v>
      </c>
      <c r="S222" s="15" t="s">
        <v>39</v>
      </c>
      <c r="T222" s="15" t="s">
        <v>209</v>
      </c>
      <c r="U222" s="15" t="s">
        <v>4111</v>
      </c>
      <c r="V222" s="15" t="s">
        <v>4118</v>
      </c>
      <c r="W222" s="15" t="s">
        <v>4119</v>
      </c>
      <c r="X222" s="15" t="s">
        <v>4120</v>
      </c>
      <c r="Y222" s="15" t="s">
        <v>78</v>
      </c>
      <c r="Z222" s="15" t="s">
        <v>4121</v>
      </c>
      <c r="AA222" s="15" t="s">
        <v>80</v>
      </c>
      <c r="AB222" s="15" t="s">
        <v>106</v>
      </c>
      <c r="AC222" s="15" t="s">
        <v>951</v>
      </c>
      <c r="AD222" s="15" t="s">
        <v>952</v>
      </c>
      <c r="AE222" s="15" t="s">
        <v>262</v>
      </c>
      <c r="AF222" s="15" t="s">
        <v>4122</v>
      </c>
      <c r="AG222" s="15" t="s">
        <v>39</v>
      </c>
      <c r="AH222" s="15" t="s">
        <v>4123</v>
      </c>
      <c r="AI222" s="15" t="s">
        <v>4124</v>
      </c>
      <c r="AJ222" s="15" t="s">
        <v>4125</v>
      </c>
      <c r="AK222" s="15" t="s">
        <v>4126</v>
      </c>
      <c r="AL222" s="15" t="s">
        <v>88</v>
      </c>
    </row>
    <row r="223" spans="1:38" x14ac:dyDescent="0.4">
      <c r="A223" s="11" t="s">
        <v>4127</v>
      </c>
      <c r="B223" s="12" t="s">
        <v>4128</v>
      </c>
      <c r="C223" s="13" t="s">
        <v>39</v>
      </c>
      <c r="D223" s="13" t="s">
        <v>92</v>
      </c>
      <c r="E223" s="13" t="s">
        <v>4129</v>
      </c>
      <c r="F223" s="13" t="s">
        <v>999</v>
      </c>
      <c r="G223" s="13" t="s">
        <v>999</v>
      </c>
      <c r="H223" s="13" t="s">
        <v>4130</v>
      </c>
      <c r="I223" s="9">
        <f t="shared" ca="1" si="3"/>
        <v>12</v>
      </c>
      <c r="J223" s="13" t="s">
        <v>4131</v>
      </c>
      <c r="K223" s="13" t="s">
        <v>45</v>
      </c>
      <c r="L223" s="9" t="str">
        <f>VLOOKUP(K223,[1]中国省份_标准!$B$2:$F$35,4,FALSE)</f>
        <v>东部地区</v>
      </c>
      <c r="M223" s="9" t="str">
        <f>VLOOKUP(K223,[1]中国省份_标准!$B$2:$F$35,5,FALSE)</f>
        <v>华东地区</v>
      </c>
      <c r="N223" s="13" t="s">
        <v>45</v>
      </c>
      <c r="O223" s="13" t="s">
        <v>1123</v>
      </c>
      <c r="P223" s="13" t="s">
        <v>4132</v>
      </c>
      <c r="Q223" s="13" t="s">
        <v>4133</v>
      </c>
      <c r="R223" s="13" t="s">
        <v>4134</v>
      </c>
      <c r="S223" s="13" t="s">
        <v>4135</v>
      </c>
      <c r="T223" s="13" t="s">
        <v>452</v>
      </c>
      <c r="U223" s="13" t="s">
        <v>4128</v>
      </c>
      <c r="V223" s="13" t="s">
        <v>4136</v>
      </c>
      <c r="W223" s="13" t="s">
        <v>4137</v>
      </c>
      <c r="X223" s="13" t="s">
        <v>455</v>
      </c>
      <c r="Y223" s="13" t="s">
        <v>78</v>
      </c>
      <c r="Z223" s="13" t="s">
        <v>4138</v>
      </c>
      <c r="AA223" s="13" t="s">
        <v>80</v>
      </c>
      <c r="AB223" s="13" t="s">
        <v>106</v>
      </c>
      <c r="AC223" s="13" t="s">
        <v>107</v>
      </c>
      <c r="AD223" s="13" t="s">
        <v>3545</v>
      </c>
      <c r="AE223" s="13" t="s">
        <v>55</v>
      </c>
      <c r="AF223" s="13" t="s">
        <v>4139</v>
      </c>
      <c r="AG223" s="13" t="s">
        <v>39</v>
      </c>
      <c r="AH223" s="13" t="s">
        <v>4140</v>
      </c>
      <c r="AI223" s="13" t="s">
        <v>4141</v>
      </c>
      <c r="AJ223" s="13" t="s">
        <v>4142</v>
      </c>
      <c r="AK223" s="13" t="s">
        <v>4126</v>
      </c>
      <c r="AL223" s="13" t="s">
        <v>88</v>
      </c>
    </row>
    <row r="224" spans="1:38" x14ac:dyDescent="0.4">
      <c r="A224" s="11" t="s">
        <v>4143</v>
      </c>
      <c r="B224" s="14" t="s">
        <v>4144</v>
      </c>
      <c r="C224" s="15" t="s">
        <v>4145</v>
      </c>
      <c r="D224" s="15" t="s">
        <v>63</v>
      </c>
      <c r="E224" s="15" t="s">
        <v>4146</v>
      </c>
      <c r="F224" s="15" t="s">
        <v>4113</v>
      </c>
      <c r="G224" s="15" t="s">
        <v>4113</v>
      </c>
      <c r="H224" s="15" t="s">
        <v>4147</v>
      </c>
      <c r="I224" s="9">
        <f t="shared" ca="1" si="3"/>
        <v>15</v>
      </c>
      <c r="J224" s="15" t="s">
        <v>4148</v>
      </c>
      <c r="K224" s="15" t="s">
        <v>67</v>
      </c>
      <c r="L224" s="9" t="str">
        <f>VLOOKUP(K224,[1]中国省份_标准!$B$2:$F$35,4,FALSE)</f>
        <v>东部地区</v>
      </c>
      <c r="M224" s="9" t="str">
        <f>VLOOKUP(K224,[1]中国省份_标准!$B$2:$F$35,5,FALSE)</f>
        <v>华东地区</v>
      </c>
      <c r="N224" s="15" t="s">
        <v>3695</v>
      </c>
      <c r="O224" s="15" t="s">
        <v>4149</v>
      </c>
      <c r="P224" s="15" t="s">
        <v>4150</v>
      </c>
      <c r="Q224" s="15" t="s">
        <v>4151</v>
      </c>
      <c r="R224" s="15" t="s">
        <v>4152</v>
      </c>
      <c r="S224" s="15" t="s">
        <v>4153</v>
      </c>
      <c r="T224" s="15" t="s">
        <v>48</v>
      </c>
      <c r="U224" s="15" t="s">
        <v>4144</v>
      </c>
      <c r="V224" s="15" t="s">
        <v>4154</v>
      </c>
      <c r="W224" s="15" t="s">
        <v>4155</v>
      </c>
      <c r="X224" s="15" t="s">
        <v>4156</v>
      </c>
      <c r="Y224" s="15" t="s">
        <v>971</v>
      </c>
      <c r="Z224" s="15" t="s">
        <v>4157</v>
      </c>
      <c r="AA224" s="15" t="s">
        <v>169</v>
      </c>
      <c r="AB224" s="15" t="s">
        <v>4158</v>
      </c>
      <c r="AC224" s="15" t="s">
        <v>4159</v>
      </c>
      <c r="AD224" s="15" t="s">
        <v>4160</v>
      </c>
      <c r="AE224" s="15" t="s">
        <v>55</v>
      </c>
      <c r="AF224" s="15" t="s">
        <v>4161</v>
      </c>
      <c r="AG224" s="15" t="s">
        <v>39</v>
      </c>
      <c r="AH224" s="15" t="s">
        <v>39</v>
      </c>
      <c r="AI224" s="15" t="s">
        <v>4162</v>
      </c>
      <c r="AJ224" s="15" t="s">
        <v>4163</v>
      </c>
      <c r="AK224" s="15" t="s">
        <v>4164</v>
      </c>
      <c r="AL224" s="15" t="s">
        <v>88</v>
      </c>
    </row>
    <row r="225" spans="1:38" x14ac:dyDescent="0.4">
      <c r="A225" s="11" t="s">
        <v>4165</v>
      </c>
      <c r="B225" s="12" t="s">
        <v>4166</v>
      </c>
      <c r="C225" s="13" t="s">
        <v>4167</v>
      </c>
      <c r="D225" s="13" t="s">
        <v>92</v>
      </c>
      <c r="E225" s="13" t="s">
        <v>4168</v>
      </c>
      <c r="F225" s="13" t="s">
        <v>4169</v>
      </c>
      <c r="G225" s="13" t="s">
        <v>4170</v>
      </c>
      <c r="H225" s="13" t="s">
        <v>4171</v>
      </c>
      <c r="I225" s="9">
        <f t="shared" ca="1" si="3"/>
        <v>34</v>
      </c>
      <c r="J225" s="13" t="s">
        <v>4172</v>
      </c>
      <c r="K225" s="13" t="s">
        <v>227</v>
      </c>
      <c r="L225" s="9" t="str">
        <f>VLOOKUP(K225,[1]中国省份_标准!$B$2:$F$35,4,FALSE)</f>
        <v>西部地区</v>
      </c>
      <c r="M225" s="9" t="str">
        <f>VLOOKUP(K225,[1]中国省份_标准!$B$2:$F$35,5,FALSE)</f>
        <v>西北地区</v>
      </c>
      <c r="N225" s="13" t="s">
        <v>3212</v>
      </c>
      <c r="O225" s="13" t="s">
        <v>4173</v>
      </c>
      <c r="P225" s="13" t="s">
        <v>4174</v>
      </c>
      <c r="Q225" s="13" t="s">
        <v>4175</v>
      </c>
      <c r="R225" s="13" t="s">
        <v>4176</v>
      </c>
      <c r="S225" s="13" t="s">
        <v>4177</v>
      </c>
      <c r="T225" s="13" t="s">
        <v>209</v>
      </c>
      <c r="U225" s="13" t="s">
        <v>4166</v>
      </c>
      <c r="V225" s="13" t="s">
        <v>4178</v>
      </c>
      <c r="W225" s="13" t="s">
        <v>4179</v>
      </c>
      <c r="X225" s="13" t="s">
        <v>4180</v>
      </c>
      <c r="Y225" s="13" t="s">
        <v>78</v>
      </c>
      <c r="Z225" s="13" t="s">
        <v>4181</v>
      </c>
      <c r="AA225" s="13" t="s">
        <v>169</v>
      </c>
      <c r="AB225" s="13" t="s">
        <v>285</v>
      </c>
      <c r="AC225" s="13" t="s">
        <v>479</v>
      </c>
      <c r="AD225" s="13" t="s">
        <v>480</v>
      </c>
      <c r="AE225" s="13" t="s">
        <v>55</v>
      </c>
      <c r="AF225" s="13" t="s">
        <v>4182</v>
      </c>
      <c r="AG225" s="13" t="s">
        <v>39</v>
      </c>
      <c r="AH225" s="13" t="s">
        <v>39</v>
      </c>
      <c r="AI225" s="13" t="s">
        <v>4183</v>
      </c>
      <c r="AJ225" s="13" t="s">
        <v>4184</v>
      </c>
      <c r="AK225" s="13" t="s">
        <v>4185</v>
      </c>
      <c r="AL225" s="13" t="s">
        <v>88</v>
      </c>
    </row>
    <row r="226" spans="1:38" x14ac:dyDescent="0.4">
      <c r="A226" s="11" t="s">
        <v>4186</v>
      </c>
      <c r="B226" s="14" t="s">
        <v>4187</v>
      </c>
      <c r="C226" s="15" t="s">
        <v>39</v>
      </c>
      <c r="D226" s="15" t="s">
        <v>92</v>
      </c>
      <c r="E226" s="15" t="s">
        <v>4188</v>
      </c>
      <c r="F226" s="15" t="s">
        <v>271</v>
      </c>
      <c r="G226" s="15" t="s">
        <v>271</v>
      </c>
      <c r="H226" s="15" t="s">
        <v>4189</v>
      </c>
      <c r="I226" s="9">
        <f t="shared" ca="1" si="3"/>
        <v>19</v>
      </c>
      <c r="J226" s="15" t="s">
        <v>4190</v>
      </c>
      <c r="K226" s="15" t="s">
        <v>45</v>
      </c>
      <c r="L226" s="9" t="str">
        <f>VLOOKUP(K226,[1]中国省份_标准!$B$2:$F$35,4,FALSE)</f>
        <v>东部地区</v>
      </c>
      <c r="M226" s="9" t="str">
        <f>VLOOKUP(K226,[1]中国省份_标准!$B$2:$F$35,5,FALSE)</f>
        <v>华东地区</v>
      </c>
      <c r="N226" s="15" t="s">
        <v>45</v>
      </c>
      <c r="O226" s="15" t="s">
        <v>1060</v>
      </c>
      <c r="P226" s="15" t="s">
        <v>1061</v>
      </c>
      <c r="Q226" s="15" t="s">
        <v>4191</v>
      </c>
      <c r="R226" s="15" t="s">
        <v>39</v>
      </c>
      <c r="S226" s="15" t="s">
        <v>39</v>
      </c>
      <c r="T226" s="15" t="s">
        <v>48</v>
      </c>
      <c r="U226" s="15" t="s">
        <v>4187</v>
      </c>
      <c r="V226" s="15" t="s">
        <v>4192</v>
      </c>
      <c r="W226" s="15" t="s">
        <v>4193</v>
      </c>
      <c r="X226" s="15" t="s">
        <v>77</v>
      </c>
      <c r="Y226" s="15" t="s">
        <v>78</v>
      </c>
      <c r="Z226" s="15" t="s">
        <v>4194</v>
      </c>
      <c r="AA226" s="15" t="s">
        <v>169</v>
      </c>
      <c r="AB226" s="15" t="s">
        <v>170</v>
      </c>
      <c r="AC226" s="15" t="s">
        <v>367</v>
      </c>
      <c r="AD226" s="15" t="s">
        <v>4195</v>
      </c>
      <c r="AE226" s="15" t="s">
        <v>55</v>
      </c>
      <c r="AF226" s="15" t="s">
        <v>4196</v>
      </c>
      <c r="AG226" s="15" t="s">
        <v>39</v>
      </c>
      <c r="AH226" s="15" t="s">
        <v>1654</v>
      </c>
      <c r="AI226" s="15" t="s">
        <v>4197</v>
      </c>
      <c r="AJ226" s="15" t="s">
        <v>4198</v>
      </c>
      <c r="AK226" s="15" t="s">
        <v>1068</v>
      </c>
      <c r="AL226" s="15" t="s">
        <v>88</v>
      </c>
    </row>
    <row r="227" spans="1:38" x14ac:dyDescent="0.4">
      <c r="A227" s="11" t="s">
        <v>4199</v>
      </c>
      <c r="B227" s="12" t="s">
        <v>4200</v>
      </c>
      <c r="C227" s="13" t="s">
        <v>4201</v>
      </c>
      <c r="D227" s="13" t="s">
        <v>92</v>
      </c>
      <c r="E227" s="13" t="s">
        <v>4202</v>
      </c>
      <c r="F227" s="13" t="s">
        <v>4203</v>
      </c>
      <c r="G227" s="13" t="s">
        <v>4204</v>
      </c>
      <c r="H227" s="13" t="s">
        <v>4205</v>
      </c>
      <c r="I227" s="9">
        <f t="shared" ca="1" si="3"/>
        <v>24</v>
      </c>
      <c r="J227" s="13" t="s">
        <v>4206</v>
      </c>
      <c r="K227" s="13" t="s">
        <v>643</v>
      </c>
      <c r="L227" s="9" t="str">
        <f>VLOOKUP(K227,[1]中国省份_标准!$B$2:$F$35,4,FALSE)</f>
        <v>东北地区</v>
      </c>
      <c r="M227" s="9" t="str">
        <f>VLOOKUP(K227,[1]中国省份_标准!$B$2:$F$35,5,FALSE)</f>
        <v>东北地区</v>
      </c>
      <c r="N227" s="13" t="s">
        <v>2844</v>
      </c>
      <c r="O227" s="13" t="s">
        <v>4207</v>
      </c>
      <c r="P227" s="13" t="s">
        <v>4208</v>
      </c>
      <c r="Q227" s="13" t="s">
        <v>4209</v>
      </c>
      <c r="R227" s="13" t="s">
        <v>4210</v>
      </c>
      <c r="S227" s="13" t="s">
        <v>4211</v>
      </c>
      <c r="T227" s="13" t="s">
        <v>209</v>
      </c>
      <c r="U227" s="13" t="s">
        <v>4200</v>
      </c>
      <c r="V227" s="13" t="s">
        <v>4212</v>
      </c>
      <c r="W227" s="13" t="s">
        <v>4213</v>
      </c>
      <c r="X227" s="13" t="s">
        <v>4214</v>
      </c>
      <c r="Y227" s="13" t="s">
        <v>78</v>
      </c>
      <c r="Z227" s="13" t="s">
        <v>4215</v>
      </c>
      <c r="AA227" s="13" t="s">
        <v>169</v>
      </c>
      <c r="AB227" s="13" t="s">
        <v>4216</v>
      </c>
      <c r="AC227" s="13" t="s">
        <v>4217</v>
      </c>
      <c r="AD227" s="13" t="s">
        <v>4218</v>
      </c>
      <c r="AE227" s="13" t="s">
        <v>239</v>
      </c>
      <c r="AF227" s="13" t="s">
        <v>4219</v>
      </c>
      <c r="AG227" s="13" t="s">
        <v>39</v>
      </c>
      <c r="AH227" s="13" t="s">
        <v>39</v>
      </c>
      <c r="AI227" s="13" t="s">
        <v>4220</v>
      </c>
      <c r="AJ227" s="13" t="s">
        <v>4221</v>
      </c>
      <c r="AK227" s="13" t="s">
        <v>4222</v>
      </c>
      <c r="AL227" s="13" t="s">
        <v>88</v>
      </c>
    </row>
    <row r="228" spans="1:38" x14ac:dyDescent="0.4">
      <c r="A228" s="11" t="s">
        <v>4223</v>
      </c>
      <c r="B228" s="14" t="s">
        <v>4224</v>
      </c>
      <c r="C228" s="15" t="s">
        <v>39</v>
      </c>
      <c r="D228" s="15" t="s">
        <v>4225</v>
      </c>
      <c r="E228" s="15" t="s">
        <v>4226</v>
      </c>
      <c r="F228" s="15" t="s">
        <v>154</v>
      </c>
      <c r="G228" s="15" t="s">
        <v>154</v>
      </c>
      <c r="H228" s="15" t="s">
        <v>4227</v>
      </c>
      <c r="I228" s="9">
        <f t="shared" ca="1" si="3"/>
        <v>22</v>
      </c>
      <c r="J228" s="15" t="s">
        <v>4228</v>
      </c>
      <c r="K228" s="15" t="s">
        <v>643</v>
      </c>
      <c r="L228" s="9" t="str">
        <f>VLOOKUP(K228,[1]中国省份_标准!$B$2:$F$35,4,FALSE)</f>
        <v>东北地区</v>
      </c>
      <c r="M228" s="9" t="str">
        <f>VLOOKUP(K228,[1]中国省份_标准!$B$2:$F$35,5,FALSE)</f>
        <v>东北地区</v>
      </c>
      <c r="N228" s="15" t="s">
        <v>644</v>
      </c>
      <c r="O228" s="15" t="s">
        <v>1185</v>
      </c>
      <c r="P228" s="15" t="s">
        <v>4229</v>
      </c>
      <c r="Q228" s="15" t="s">
        <v>4230</v>
      </c>
      <c r="R228" s="15" t="s">
        <v>4231</v>
      </c>
      <c r="S228" s="15" t="s">
        <v>4232</v>
      </c>
      <c r="T228" s="15" t="s">
        <v>48</v>
      </c>
      <c r="U228" s="15" t="s">
        <v>4224</v>
      </c>
      <c r="V228" s="15" t="s">
        <v>4233</v>
      </c>
      <c r="W228" s="15" t="s">
        <v>4234</v>
      </c>
      <c r="X228" s="15" t="s">
        <v>1777</v>
      </c>
      <c r="Y228" s="15" t="s">
        <v>283</v>
      </c>
      <c r="Z228" s="15" t="s">
        <v>4235</v>
      </c>
      <c r="AA228" s="15" t="s">
        <v>169</v>
      </c>
      <c r="AB228" s="15" t="s">
        <v>412</v>
      </c>
      <c r="AC228" s="15" t="s">
        <v>630</v>
      </c>
      <c r="AD228" s="15" t="s">
        <v>631</v>
      </c>
      <c r="AE228" s="15" t="s">
        <v>55</v>
      </c>
      <c r="AF228" s="15" t="s">
        <v>4236</v>
      </c>
      <c r="AG228" s="15" t="s">
        <v>39</v>
      </c>
      <c r="AH228" s="15" t="s">
        <v>39</v>
      </c>
      <c r="AI228" s="15" t="s">
        <v>4237</v>
      </c>
      <c r="AJ228" s="15" t="s">
        <v>4238</v>
      </c>
      <c r="AK228" s="15" t="s">
        <v>1196</v>
      </c>
      <c r="AL228" s="15" t="s">
        <v>88</v>
      </c>
    </row>
    <row r="229" spans="1:38" x14ac:dyDescent="0.4">
      <c r="A229" s="11" t="s">
        <v>4239</v>
      </c>
      <c r="B229" s="12" t="s">
        <v>4240</v>
      </c>
      <c r="C229" s="13" t="s">
        <v>39</v>
      </c>
      <c r="D229" s="13" t="s">
        <v>92</v>
      </c>
      <c r="E229" s="13" t="s">
        <v>4241</v>
      </c>
      <c r="F229" s="13" t="s">
        <v>39</v>
      </c>
      <c r="G229" s="13" t="s">
        <v>39</v>
      </c>
      <c r="H229" s="13" t="s">
        <v>4242</v>
      </c>
      <c r="I229" s="9">
        <f t="shared" ca="1" si="3"/>
        <v>25</v>
      </c>
      <c r="J229" s="13" t="s">
        <v>4243</v>
      </c>
      <c r="K229" s="13" t="s">
        <v>157</v>
      </c>
      <c r="L229" s="9" t="str">
        <f>VLOOKUP(K229,[1]中国省份_标准!$B$2:$F$35,4,FALSE)</f>
        <v>东北地区</v>
      </c>
      <c r="M229" s="9" t="str">
        <f>VLOOKUP(K229,[1]中国省份_标准!$B$2:$F$35,5,FALSE)</f>
        <v>东北地区</v>
      </c>
      <c r="N229" s="13" t="s">
        <v>4244</v>
      </c>
      <c r="O229" s="13" t="s">
        <v>4245</v>
      </c>
      <c r="P229" s="13" t="s">
        <v>4246</v>
      </c>
      <c r="Q229" s="13" t="s">
        <v>4247</v>
      </c>
      <c r="R229" s="13" t="s">
        <v>4248</v>
      </c>
      <c r="S229" s="13" t="s">
        <v>4249</v>
      </c>
      <c r="T229" s="13" t="s">
        <v>4250</v>
      </c>
      <c r="U229" s="13" t="s">
        <v>4240</v>
      </c>
      <c r="V229" s="13" t="s">
        <v>4251</v>
      </c>
      <c r="W229" s="13" t="s">
        <v>4252</v>
      </c>
      <c r="X229" s="13" t="s">
        <v>4253</v>
      </c>
      <c r="Y229" s="13" t="s">
        <v>78</v>
      </c>
      <c r="Z229" s="13" t="s">
        <v>4254</v>
      </c>
      <c r="AA229" s="13" t="s">
        <v>80</v>
      </c>
      <c r="AB229" s="13" t="s">
        <v>106</v>
      </c>
      <c r="AC229" s="13" t="s">
        <v>39</v>
      </c>
      <c r="AD229" s="13" t="s">
        <v>39</v>
      </c>
      <c r="AE229" s="13" t="s">
        <v>39</v>
      </c>
      <c r="AF229" s="13" t="s">
        <v>4255</v>
      </c>
      <c r="AG229" s="13" t="s">
        <v>39</v>
      </c>
      <c r="AH229" s="13" t="s">
        <v>39</v>
      </c>
      <c r="AI229" s="13" t="s">
        <v>4256</v>
      </c>
      <c r="AJ229" s="13" t="s">
        <v>4257</v>
      </c>
      <c r="AK229" s="13" t="s">
        <v>4258</v>
      </c>
      <c r="AL229" s="13" t="s">
        <v>88</v>
      </c>
    </row>
    <row r="230" spans="1:38" x14ac:dyDescent="0.4">
      <c r="A230" s="11" t="s">
        <v>4259</v>
      </c>
      <c r="B230" s="14" t="s">
        <v>4260</v>
      </c>
      <c r="C230" s="15" t="s">
        <v>4261</v>
      </c>
      <c r="D230" s="15" t="s">
        <v>92</v>
      </c>
      <c r="E230" s="15" t="s">
        <v>4262</v>
      </c>
      <c r="F230" s="15" t="s">
        <v>4263</v>
      </c>
      <c r="G230" s="15" t="s">
        <v>4263</v>
      </c>
      <c r="H230" s="15" t="s">
        <v>4264</v>
      </c>
      <c r="I230" s="9">
        <f t="shared" ca="1" si="3"/>
        <v>16</v>
      </c>
      <c r="J230" s="15" t="s">
        <v>4265</v>
      </c>
      <c r="K230" s="15" t="s">
        <v>4266</v>
      </c>
      <c r="L230" s="9" t="str">
        <f>VLOOKUP(K230,[1]中国省份_标准!$B$2:$F$35,4,FALSE)</f>
        <v>东部地区</v>
      </c>
      <c r="M230" s="9" t="str">
        <f>VLOOKUP(K230,[1]中国省份_标准!$B$2:$F$35,5,FALSE)</f>
        <v>华北地区</v>
      </c>
      <c r="N230" s="15" t="s">
        <v>4266</v>
      </c>
      <c r="O230" s="15" t="s">
        <v>4267</v>
      </c>
      <c r="P230" s="15" t="s">
        <v>4268</v>
      </c>
      <c r="Q230" s="15" t="s">
        <v>4269</v>
      </c>
      <c r="R230" s="15" t="s">
        <v>4270</v>
      </c>
      <c r="S230" s="15" t="s">
        <v>4271</v>
      </c>
      <c r="T230" s="15" t="s">
        <v>1028</v>
      </c>
      <c r="U230" s="15" t="s">
        <v>4260</v>
      </c>
      <c r="V230" s="15" t="s">
        <v>4272</v>
      </c>
      <c r="W230" s="15" t="s">
        <v>4273</v>
      </c>
      <c r="X230" s="15" t="s">
        <v>4274</v>
      </c>
      <c r="Y230" s="15" t="s">
        <v>78</v>
      </c>
      <c r="Z230" s="15" t="s">
        <v>4275</v>
      </c>
      <c r="AA230" s="15" t="s">
        <v>169</v>
      </c>
      <c r="AB230" s="15" t="s">
        <v>581</v>
      </c>
      <c r="AC230" s="15" t="s">
        <v>582</v>
      </c>
      <c r="AD230" s="15" t="s">
        <v>583</v>
      </c>
      <c r="AE230" s="15" t="s">
        <v>239</v>
      </c>
      <c r="AF230" s="15" t="s">
        <v>4276</v>
      </c>
      <c r="AG230" s="15" t="s">
        <v>4277</v>
      </c>
      <c r="AH230" s="15" t="s">
        <v>39</v>
      </c>
      <c r="AI230" s="15" t="s">
        <v>4278</v>
      </c>
      <c r="AJ230" s="15" t="s">
        <v>4279</v>
      </c>
      <c r="AK230" s="15" t="s">
        <v>4280</v>
      </c>
      <c r="AL230" s="15" t="s">
        <v>88</v>
      </c>
    </row>
    <row r="231" spans="1:38" x14ac:dyDescent="0.4">
      <c r="A231" s="11" t="s">
        <v>4281</v>
      </c>
      <c r="B231" s="12" t="s">
        <v>4282</v>
      </c>
      <c r="C231" s="13" t="s">
        <v>39</v>
      </c>
      <c r="D231" s="13" t="s">
        <v>92</v>
      </c>
      <c r="E231" s="13" t="s">
        <v>4283</v>
      </c>
      <c r="F231" s="13" t="s">
        <v>999</v>
      </c>
      <c r="G231" s="13" t="s">
        <v>999</v>
      </c>
      <c r="H231" s="13" t="s">
        <v>4284</v>
      </c>
      <c r="I231" s="9">
        <f t="shared" ca="1" si="3"/>
        <v>19</v>
      </c>
      <c r="J231" s="13" t="s">
        <v>4285</v>
      </c>
      <c r="K231" s="13" t="s">
        <v>4266</v>
      </c>
      <c r="L231" s="9" t="str">
        <f>VLOOKUP(K231,[1]中国省份_标准!$B$2:$F$35,4,FALSE)</f>
        <v>东部地区</v>
      </c>
      <c r="M231" s="9" t="str">
        <f>VLOOKUP(K231,[1]中国省份_标准!$B$2:$F$35,5,FALSE)</f>
        <v>华北地区</v>
      </c>
      <c r="N231" s="13" t="s">
        <v>4266</v>
      </c>
      <c r="O231" s="13" t="s">
        <v>4286</v>
      </c>
      <c r="P231" s="13" t="s">
        <v>4287</v>
      </c>
      <c r="Q231" s="13" t="s">
        <v>39</v>
      </c>
      <c r="R231" s="13" t="s">
        <v>4288</v>
      </c>
      <c r="S231" s="13" t="s">
        <v>4289</v>
      </c>
      <c r="T231" s="13" t="s">
        <v>670</v>
      </c>
      <c r="U231" s="13" t="s">
        <v>4282</v>
      </c>
      <c r="V231" s="13" t="s">
        <v>4290</v>
      </c>
      <c r="W231" s="13" t="s">
        <v>4291</v>
      </c>
      <c r="X231" s="13" t="s">
        <v>4120</v>
      </c>
      <c r="Y231" s="13" t="s">
        <v>78</v>
      </c>
      <c r="Z231" s="13" t="s">
        <v>4292</v>
      </c>
      <c r="AA231" s="13" t="s">
        <v>850</v>
      </c>
      <c r="AB231" s="13" t="s">
        <v>851</v>
      </c>
      <c r="AC231" s="13" t="s">
        <v>3990</v>
      </c>
      <c r="AD231" s="13" t="s">
        <v>3990</v>
      </c>
      <c r="AE231" s="13" t="s">
        <v>262</v>
      </c>
      <c r="AF231" s="13" t="s">
        <v>4293</v>
      </c>
      <c r="AG231" s="13" t="s">
        <v>39</v>
      </c>
      <c r="AH231" s="13" t="s">
        <v>39</v>
      </c>
      <c r="AI231" s="13" t="s">
        <v>4294</v>
      </c>
      <c r="AJ231" s="13" t="s">
        <v>4295</v>
      </c>
      <c r="AK231" s="13" t="s">
        <v>4296</v>
      </c>
      <c r="AL231" s="13" t="s">
        <v>88</v>
      </c>
    </row>
    <row r="232" spans="1:38" x14ac:dyDescent="0.4">
      <c r="A232" s="11" t="s">
        <v>4297</v>
      </c>
      <c r="B232" s="14" t="s">
        <v>4298</v>
      </c>
      <c r="C232" s="15" t="s">
        <v>4299</v>
      </c>
      <c r="D232" s="15" t="s">
        <v>92</v>
      </c>
      <c r="E232" s="15" t="s">
        <v>4300</v>
      </c>
      <c r="F232" s="15" t="s">
        <v>271</v>
      </c>
      <c r="G232" s="15" t="s">
        <v>39</v>
      </c>
      <c r="H232" s="15" t="s">
        <v>4301</v>
      </c>
      <c r="I232" s="9">
        <f t="shared" ca="1" si="3"/>
        <v>6</v>
      </c>
      <c r="J232" s="15" t="s">
        <v>4302</v>
      </c>
      <c r="K232" s="15" t="s">
        <v>4266</v>
      </c>
      <c r="L232" s="9" t="str">
        <f>VLOOKUP(K232,[1]中国省份_标准!$B$2:$F$35,4,FALSE)</f>
        <v>东部地区</v>
      </c>
      <c r="M232" s="9" t="str">
        <f>VLOOKUP(K232,[1]中国省份_标准!$B$2:$F$35,5,FALSE)</f>
        <v>华北地区</v>
      </c>
      <c r="N232" s="15" t="s">
        <v>4266</v>
      </c>
      <c r="O232" s="15" t="s">
        <v>4286</v>
      </c>
      <c r="P232" s="15" t="s">
        <v>4303</v>
      </c>
      <c r="Q232" s="15" t="s">
        <v>4304</v>
      </c>
      <c r="R232" s="15" t="s">
        <v>4305</v>
      </c>
      <c r="S232" s="15" t="s">
        <v>4306</v>
      </c>
      <c r="T232" s="15" t="s">
        <v>281</v>
      </c>
      <c r="U232" s="15" t="s">
        <v>4298</v>
      </c>
      <c r="V232" s="15" t="s">
        <v>4307</v>
      </c>
      <c r="W232" s="15" t="s">
        <v>4308</v>
      </c>
      <c r="X232" s="15" t="s">
        <v>4309</v>
      </c>
      <c r="Y232" s="15" t="s">
        <v>78</v>
      </c>
      <c r="Z232" s="15" t="s">
        <v>4310</v>
      </c>
      <c r="AA232" s="15" t="s">
        <v>52</v>
      </c>
      <c r="AB232" s="15" t="s">
        <v>53</v>
      </c>
      <c r="AC232" s="15" t="s">
        <v>2874</v>
      </c>
      <c r="AD232" s="15" t="s">
        <v>4311</v>
      </c>
      <c r="AE232" s="15" t="s">
        <v>109</v>
      </c>
      <c r="AF232" s="15" t="s">
        <v>4312</v>
      </c>
      <c r="AG232" s="15" t="s">
        <v>39</v>
      </c>
      <c r="AH232" s="15" t="s">
        <v>4313</v>
      </c>
      <c r="AI232" s="15" t="s">
        <v>4314</v>
      </c>
      <c r="AJ232" s="15" t="s">
        <v>4315</v>
      </c>
      <c r="AK232" s="15" t="s">
        <v>4296</v>
      </c>
      <c r="AL232" s="15" t="s">
        <v>88</v>
      </c>
    </row>
    <row r="233" spans="1:38" x14ac:dyDescent="0.4">
      <c r="A233" s="11" t="s">
        <v>4316</v>
      </c>
      <c r="B233" s="12" t="s">
        <v>4317</v>
      </c>
      <c r="C233" s="13" t="s">
        <v>4318</v>
      </c>
      <c r="D233" s="13" t="s">
        <v>92</v>
      </c>
      <c r="E233" s="13" t="s">
        <v>4319</v>
      </c>
      <c r="F233" s="13" t="s">
        <v>4320</v>
      </c>
      <c r="G233" s="13" t="s">
        <v>4320</v>
      </c>
      <c r="H233" s="13" t="s">
        <v>4321</v>
      </c>
      <c r="I233" s="9">
        <f t="shared" ca="1" si="3"/>
        <v>25</v>
      </c>
      <c r="J233" s="13" t="s">
        <v>4322</v>
      </c>
      <c r="K233" s="13" t="s">
        <v>4266</v>
      </c>
      <c r="L233" s="9" t="str">
        <f>VLOOKUP(K233,[1]中国省份_标准!$B$2:$F$35,4,FALSE)</f>
        <v>东部地区</v>
      </c>
      <c r="M233" s="9" t="str">
        <f>VLOOKUP(K233,[1]中国省份_标准!$B$2:$F$35,5,FALSE)</f>
        <v>华北地区</v>
      </c>
      <c r="N233" s="13" t="s">
        <v>4266</v>
      </c>
      <c r="O233" s="13" t="s">
        <v>4286</v>
      </c>
      <c r="P233" s="13" t="s">
        <v>4323</v>
      </c>
      <c r="Q233" s="13" t="s">
        <v>4324</v>
      </c>
      <c r="R233" s="13" t="s">
        <v>4325</v>
      </c>
      <c r="S233" s="13" t="s">
        <v>4326</v>
      </c>
      <c r="T233" s="13" t="s">
        <v>1028</v>
      </c>
      <c r="U233" s="13" t="s">
        <v>4317</v>
      </c>
      <c r="V233" s="13" t="s">
        <v>4327</v>
      </c>
      <c r="W233" s="13" t="s">
        <v>4328</v>
      </c>
      <c r="X233" s="13" t="s">
        <v>4329</v>
      </c>
      <c r="Y233" s="13" t="s">
        <v>78</v>
      </c>
      <c r="Z233" s="13" t="s">
        <v>4330</v>
      </c>
      <c r="AA233" s="13" t="s">
        <v>169</v>
      </c>
      <c r="AB233" s="13" t="s">
        <v>830</v>
      </c>
      <c r="AC233" s="13" t="s">
        <v>4331</v>
      </c>
      <c r="AD233" s="13" t="s">
        <v>4331</v>
      </c>
      <c r="AE233" s="13" t="s">
        <v>239</v>
      </c>
      <c r="AF233" s="13" t="s">
        <v>4332</v>
      </c>
      <c r="AG233" s="13" t="s">
        <v>4333</v>
      </c>
      <c r="AH233" s="13" t="s">
        <v>39</v>
      </c>
      <c r="AI233" s="13" t="s">
        <v>4334</v>
      </c>
      <c r="AJ233" s="13" t="s">
        <v>4335</v>
      </c>
      <c r="AK233" s="13" t="s">
        <v>4336</v>
      </c>
      <c r="AL233" s="13" t="s">
        <v>88</v>
      </c>
    </row>
    <row r="234" spans="1:38" x14ac:dyDescent="0.4">
      <c r="A234" s="11" t="s">
        <v>4337</v>
      </c>
      <c r="B234" s="14" t="s">
        <v>4338</v>
      </c>
      <c r="C234" s="15" t="s">
        <v>39</v>
      </c>
      <c r="D234" s="15" t="s">
        <v>92</v>
      </c>
      <c r="E234" s="15" t="s">
        <v>4339</v>
      </c>
      <c r="F234" s="15" t="s">
        <v>39</v>
      </c>
      <c r="G234" s="15" t="s">
        <v>39</v>
      </c>
      <c r="H234" s="15" t="s">
        <v>4340</v>
      </c>
      <c r="I234" s="9">
        <f t="shared" ca="1" si="3"/>
        <v>25</v>
      </c>
      <c r="J234" s="15" t="s">
        <v>4341</v>
      </c>
      <c r="K234" s="15" t="s">
        <v>157</v>
      </c>
      <c r="L234" s="9" t="str">
        <f>VLOOKUP(K234,[1]中国省份_标准!$B$2:$F$35,4,FALSE)</f>
        <v>东北地区</v>
      </c>
      <c r="M234" s="9" t="str">
        <f>VLOOKUP(K234,[1]中国省份_标准!$B$2:$F$35,5,FALSE)</f>
        <v>东北地区</v>
      </c>
      <c r="N234" s="15" t="s">
        <v>1105</v>
      </c>
      <c r="O234" s="15" t="s">
        <v>4342</v>
      </c>
      <c r="P234" s="15" t="s">
        <v>4343</v>
      </c>
      <c r="Q234" s="15" t="s">
        <v>4344</v>
      </c>
      <c r="R234" s="15" t="s">
        <v>4345</v>
      </c>
      <c r="S234" s="15" t="s">
        <v>4346</v>
      </c>
      <c r="T234" s="15" t="s">
        <v>4250</v>
      </c>
      <c r="U234" s="15" t="s">
        <v>4338</v>
      </c>
      <c r="V234" s="15" t="s">
        <v>4347</v>
      </c>
      <c r="W234" s="15" t="s">
        <v>4348</v>
      </c>
      <c r="X234" s="15" t="s">
        <v>4349</v>
      </c>
      <c r="Y234" s="15" t="s">
        <v>78</v>
      </c>
      <c r="Z234" s="15" t="s">
        <v>4350</v>
      </c>
      <c r="AA234" s="15" t="s">
        <v>80</v>
      </c>
      <c r="AB234" s="15" t="s">
        <v>106</v>
      </c>
      <c r="AC234" s="15" t="s">
        <v>107</v>
      </c>
      <c r="AD234" s="15" t="s">
        <v>3348</v>
      </c>
      <c r="AE234" s="15" t="s">
        <v>39</v>
      </c>
      <c r="AF234" s="15" t="s">
        <v>4351</v>
      </c>
      <c r="AG234" s="15" t="s">
        <v>39</v>
      </c>
      <c r="AH234" s="15" t="s">
        <v>39</v>
      </c>
      <c r="AI234" s="15" t="s">
        <v>4352</v>
      </c>
      <c r="AJ234" s="15" t="s">
        <v>4353</v>
      </c>
      <c r="AK234" s="15" t="s">
        <v>4354</v>
      </c>
      <c r="AL234" s="15" t="s">
        <v>88</v>
      </c>
    </row>
    <row r="235" spans="1:38" x14ac:dyDescent="0.4">
      <c r="A235" s="11" t="s">
        <v>4355</v>
      </c>
      <c r="B235" s="12" t="s">
        <v>4356</v>
      </c>
      <c r="C235" s="13" t="s">
        <v>39</v>
      </c>
      <c r="D235" s="13" t="s">
        <v>92</v>
      </c>
      <c r="E235" s="13" t="s">
        <v>4357</v>
      </c>
      <c r="F235" s="13" t="s">
        <v>154</v>
      </c>
      <c r="G235" s="13" t="s">
        <v>39</v>
      </c>
      <c r="H235" s="13" t="s">
        <v>4358</v>
      </c>
      <c r="I235" s="9">
        <f t="shared" ca="1" si="3"/>
        <v>5</v>
      </c>
      <c r="J235" s="13" t="s">
        <v>4359</v>
      </c>
      <c r="K235" s="13" t="s">
        <v>594</v>
      </c>
      <c r="L235" s="9" t="str">
        <f>VLOOKUP(K235,[1]中国省份_标准!$B$2:$F$35,4,FALSE)</f>
        <v>中部地区</v>
      </c>
      <c r="M235" s="9" t="str">
        <f>VLOOKUP(K235,[1]中国省份_标准!$B$2:$F$35,5,FALSE)</f>
        <v>华东地区</v>
      </c>
      <c r="N235" s="13" t="s">
        <v>1578</v>
      </c>
      <c r="O235" s="13" t="s">
        <v>4360</v>
      </c>
      <c r="P235" s="13" t="s">
        <v>4361</v>
      </c>
      <c r="Q235" s="13" t="s">
        <v>39</v>
      </c>
      <c r="R235" s="13" t="s">
        <v>4362</v>
      </c>
      <c r="S235" s="13" t="s">
        <v>39</v>
      </c>
      <c r="T235" s="13" t="s">
        <v>281</v>
      </c>
      <c r="U235" s="13" t="s">
        <v>4356</v>
      </c>
      <c r="V235" s="13" t="s">
        <v>4363</v>
      </c>
      <c r="W235" s="13" t="s">
        <v>4364</v>
      </c>
      <c r="X235" s="13" t="s">
        <v>77</v>
      </c>
      <c r="Y235" s="13" t="s">
        <v>78</v>
      </c>
      <c r="Z235" s="13" t="s">
        <v>4365</v>
      </c>
      <c r="AA235" s="13" t="s">
        <v>169</v>
      </c>
      <c r="AB235" s="13" t="s">
        <v>285</v>
      </c>
      <c r="AC235" s="13" t="s">
        <v>479</v>
      </c>
      <c r="AD235" s="13" t="s">
        <v>1050</v>
      </c>
      <c r="AE235" s="13" t="s">
        <v>55</v>
      </c>
      <c r="AF235" s="13" t="s">
        <v>4366</v>
      </c>
      <c r="AG235" s="13" t="s">
        <v>39</v>
      </c>
      <c r="AH235" s="13" t="s">
        <v>39</v>
      </c>
      <c r="AI235" s="13" t="s">
        <v>4367</v>
      </c>
      <c r="AJ235" s="13" t="s">
        <v>4368</v>
      </c>
      <c r="AK235" s="13" t="s">
        <v>4369</v>
      </c>
      <c r="AL235" s="13" t="s">
        <v>88</v>
      </c>
    </row>
    <row r="236" spans="1:38" x14ac:dyDescent="0.4">
      <c r="A236" s="11" t="s">
        <v>4370</v>
      </c>
      <c r="B236" s="14" t="s">
        <v>4371</v>
      </c>
      <c r="C236" s="15" t="s">
        <v>4372</v>
      </c>
      <c r="D236" s="15" t="s">
        <v>92</v>
      </c>
      <c r="E236" s="15" t="s">
        <v>4373</v>
      </c>
      <c r="F236" s="15" t="s">
        <v>4374</v>
      </c>
      <c r="G236" s="15" t="s">
        <v>4375</v>
      </c>
      <c r="H236" s="15" t="s">
        <v>4376</v>
      </c>
      <c r="I236" s="9">
        <f t="shared" ca="1" si="3"/>
        <v>23</v>
      </c>
      <c r="J236" s="15" t="s">
        <v>4377</v>
      </c>
      <c r="K236" s="15" t="s">
        <v>157</v>
      </c>
      <c r="L236" s="9" t="str">
        <f>VLOOKUP(K236,[1]中国省份_标准!$B$2:$F$35,4,FALSE)</f>
        <v>东北地区</v>
      </c>
      <c r="M236" s="9" t="str">
        <f>VLOOKUP(K236,[1]中国省份_标准!$B$2:$F$35,5,FALSE)</f>
        <v>东北地区</v>
      </c>
      <c r="N236" s="15" t="s">
        <v>1105</v>
      </c>
      <c r="O236" s="15" t="s">
        <v>4378</v>
      </c>
      <c r="P236" s="15" t="s">
        <v>4379</v>
      </c>
      <c r="Q236" s="15" t="s">
        <v>4380</v>
      </c>
      <c r="R236" s="15" t="s">
        <v>4381</v>
      </c>
      <c r="S236" s="15" t="s">
        <v>4382</v>
      </c>
      <c r="T236" s="15" t="s">
        <v>209</v>
      </c>
      <c r="U236" s="15" t="s">
        <v>4371</v>
      </c>
      <c r="V236" s="15" t="s">
        <v>4383</v>
      </c>
      <c r="W236" s="15" t="s">
        <v>4384</v>
      </c>
      <c r="X236" s="15" t="s">
        <v>4385</v>
      </c>
      <c r="Y236" s="15" t="s">
        <v>78</v>
      </c>
      <c r="Z236" s="15" t="s">
        <v>4386</v>
      </c>
      <c r="AA236" s="15" t="s">
        <v>169</v>
      </c>
      <c r="AB236" s="15" t="s">
        <v>830</v>
      </c>
      <c r="AC236" s="15" t="s">
        <v>39</v>
      </c>
      <c r="AD236" s="15" t="s">
        <v>39</v>
      </c>
      <c r="AE236" s="15" t="s">
        <v>239</v>
      </c>
      <c r="AF236" s="15" t="s">
        <v>4387</v>
      </c>
      <c r="AG236" s="15" t="s">
        <v>4388</v>
      </c>
      <c r="AH236" s="15" t="s">
        <v>4389</v>
      </c>
      <c r="AI236" s="15" t="s">
        <v>4390</v>
      </c>
      <c r="AJ236" s="15" t="s">
        <v>4391</v>
      </c>
      <c r="AK236" s="15" t="s">
        <v>4392</v>
      </c>
      <c r="AL236" s="15" t="s">
        <v>88</v>
      </c>
    </row>
    <row r="237" spans="1:38" x14ac:dyDescent="0.4">
      <c r="A237" s="11" t="s">
        <v>4393</v>
      </c>
      <c r="B237" s="12" t="s">
        <v>4394</v>
      </c>
      <c r="C237" s="13" t="s">
        <v>39</v>
      </c>
      <c r="D237" s="13" t="s">
        <v>92</v>
      </c>
      <c r="E237" s="13" t="s">
        <v>4395</v>
      </c>
      <c r="F237" s="13" t="s">
        <v>4113</v>
      </c>
      <c r="G237" s="13" t="s">
        <v>4113</v>
      </c>
      <c r="H237" s="13" t="s">
        <v>4396</v>
      </c>
      <c r="I237" s="9">
        <f t="shared" ca="1" si="3"/>
        <v>6</v>
      </c>
      <c r="J237" s="13" t="s">
        <v>4397</v>
      </c>
      <c r="K237" s="13" t="s">
        <v>157</v>
      </c>
      <c r="L237" s="9" t="str">
        <f>VLOOKUP(K237,[1]中国省份_标准!$B$2:$F$35,4,FALSE)</f>
        <v>东北地区</v>
      </c>
      <c r="M237" s="9" t="str">
        <f>VLOOKUP(K237,[1]中国省份_标准!$B$2:$F$35,5,FALSE)</f>
        <v>东北地区</v>
      </c>
      <c r="N237" s="13" t="s">
        <v>1105</v>
      </c>
      <c r="O237" s="13" t="s">
        <v>1106</v>
      </c>
      <c r="P237" s="13" t="s">
        <v>4398</v>
      </c>
      <c r="Q237" s="13" t="s">
        <v>39</v>
      </c>
      <c r="R237" s="13" t="s">
        <v>4399</v>
      </c>
      <c r="S237" s="13" t="s">
        <v>4400</v>
      </c>
      <c r="T237" s="13" t="s">
        <v>184</v>
      </c>
      <c r="U237" s="13" t="s">
        <v>4394</v>
      </c>
      <c r="V237" s="13" t="s">
        <v>4401</v>
      </c>
      <c r="W237" s="13" t="s">
        <v>4402</v>
      </c>
      <c r="X237" s="13" t="s">
        <v>2371</v>
      </c>
      <c r="Y237" s="13" t="s">
        <v>78</v>
      </c>
      <c r="Z237" s="13" t="s">
        <v>4403</v>
      </c>
      <c r="AA237" s="13" t="s">
        <v>80</v>
      </c>
      <c r="AB237" s="13" t="s">
        <v>106</v>
      </c>
      <c r="AC237" s="13" t="s">
        <v>951</v>
      </c>
      <c r="AD237" s="13" t="s">
        <v>952</v>
      </c>
      <c r="AE237" s="13" t="s">
        <v>262</v>
      </c>
      <c r="AF237" s="13" t="s">
        <v>4404</v>
      </c>
      <c r="AG237" s="13" t="s">
        <v>39</v>
      </c>
      <c r="AH237" s="13" t="s">
        <v>39</v>
      </c>
      <c r="AI237" s="13" t="s">
        <v>4405</v>
      </c>
      <c r="AJ237" s="13" t="s">
        <v>4406</v>
      </c>
      <c r="AK237" s="13" t="s">
        <v>1116</v>
      </c>
      <c r="AL237" s="13" t="s">
        <v>88</v>
      </c>
    </row>
    <row r="238" spans="1:38" x14ac:dyDescent="0.4">
      <c r="A238" s="11" t="s">
        <v>4407</v>
      </c>
      <c r="B238" s="14" t="s">
        <v>4408</v>
      </c>
      <c r="C238" s="15" t="s">
        <v>39</v>
      </c>
      <c r="D238" s="15" t="s">
        <v>92</v>
      </c>
      <c r="E238" s="15" t="s">
        <v>4409</v>
      </c>
      <c r="F238" s="15" t="s">
        <v>4410</v>
      </c>
      <c r="G238" s="15" t="s">
        <v>4410</v>
      </c>
      <c r="H238" s="15" t="s">
        <v>4411</v>
      </c>
      <c r="I238" s="9">
        <f t="shared" ca="1" si="3"/>
        <v>30</v>
      </c>
      <c r="J238" s="15" t="s">
        <v>4412</v>
      </c>
      <c r="K238" s="15" t="s">
        <v>531</v>
      </c>
      <c r="L238" s="9" t="str">
        <f>VLOOKUP(K238,[1]中国省份_标准!$B$2:$F$35,4,FALSE)</f>
        <v>东部地区</v>
      </c>
      <c r="M238" s="9" t="str">
        <f>VLOOKUP(K238,[1]中国省份_标准!$B$2:$F$35,5,FALSE)</f>
        <v>华南地区</v>
      </c>
      <c r="N238" s="15" t="s">
        <v>1682</v>
      </c>
      <c r="O238" s="15" t="s">
        <v>2680</v>
      </c>
      <c r="P238" s="15" t="s">
        <v>4413</v>
      </c>
      <c r="Q238" s="15" t="s">
        <v>39</v>
      </c>
      <c r="R238" s="15" t="s">
        <v>4414</v>
      </c>
      <c r="S238" s="15" t="s">
        <v>39</v>
      </c>
      <c r="T238" s="15" t="s">
        <v>601</v>
      </c>
      <c r="U238" s="15" t="s">
        <v>4408</v>
      </c>
      <c r="V238" s="15" t="s">
        <v>4415</v>
      </c>
      <c r="W238" s="15" t="s">
        <v>4416</v>
      </c>
      <c r="X238" s="15" t="s">
        <v>4417</v>
      </c>
      <c r="Y238" s="15" t="s">
        <v>78</v>
      </c>
      <c r="Z238" s="15" t="s">
        <v>4418</v>
      </c>
      <c r="AA238" s="15" t="s">
        <v>169</v>
      </c>
      <c r="AB238" s="15" t="s">
        <v>1264</v>
      </c>
      <c r="AC238" s="15" t="s">
        <v>1457</v>
      </c>
      <c r="AD238" s="15" t="s">
        <v>1557</v>
      </c>
      <c r="AE238" s="15" t="s">
        <v>239</v>
      </c>
      <c r="AF238" s="15" t="s">
        <v>4419</v>
      </c>
      <c r="AG238" s="15" t="s">
        <v>4420</v>
      </c>
      <c r="AH238" s="15" t="s">
        <v>39</v>
      </c>
      <c r="AI238" s="15" t="s">
        <v>4421</v>
      </c>
      <c r="AJ238" s="15" t="s">
        <v>4422</v>
      </c>
      <c r="AK238" s="15" t="s">
        <v>2691</v>
      </c>
      <c r="AL238" s="15" t="s">
        <v>88</v>
      </c>
    </row>
    <row r="239" spans="1:38" x14ac:dyDescent="0.4">
      <c r="A239" s="11" t="s">
        <v>4423</v>
      </c>
      <c r="B239" s="12" t="s">
        <v>4424</v>
      </c>
      <c r="C239" s="13" t="s">
        <v>4425</v>
      </c>
      <c r="D239" s="13" t="s">
        <v>92</v>
      </c>
      <c r="E239" s="13" t="s">
        <v>4426</v>
      </c>
      <c r="F239" s="13" t="s">
        <v>4427</v>
      </c>
      <c r="G239" s="13" t="s">
        <v>4427</v>
      </c>
      <c r="H239" s="13" t="s">
        <v>4428</v>
      </c>
      <c r="I239" s="9">
        <f t="shared" ca="1" si="3"/>
        <v>26</v>
      </c>
      <c r="J239" s="13" t="s">
        <v>4429</v>
      </c>
      <c r="K239" s="13" t="s">
        <v>702</v>
      </c>
      <c r="L239" s="9" t="str">
        <f>VLOOKUP(K239,[1]中国省份_标准!$B$2:$F$35,4,FALSE)</f>
        <v>东部地区</v>
      </c>
      <c r="M239" s="9" t="str">
        <f>VLOOKUP(K239,[1]中国省份_标准!$B$2:$F$35,5,FALSE)</f>
        <v>华北地区</v>
      </c>
      <c r="N239" s="13" t="s">
        <v>820</v>
      </c>
      <c r="O239" s="13" t="s">
        <v>3788</v>
      </c>
      <c r="P239" s="13" t="s">
        <v>4430</v>
      </c>
      <c r="Q239" s="13" t="s">
        <v>39</v>
      </c>
      <c r="R239" s="13" t="s">
        <v>4431</v>
      </c>
      <c r="S239" s="13" t="s">
        <v>39</v>
      </c>
      <c r="T239" s="13" t="s">
        <v>452</v>
      </c>
      <c r="U239" s="13" t="s">
        <v>4424</v>
      </c>
      <c r="V239" s="13" t="s">
        <v>4432</v>
      </c>
      <c r="W239" s="13" t="s">
        <v>4433</v>
      </c>
      <c r="X239" s="13" t="s">
        <v>673</v>
      </c>
      <c r="Y239" s="13" t="s">
        <v>78</v>
      </c>
      <c r="Z239" s="13" t="s">
        <v>4434</v>
      </c>
      <c r="AA239" s="13" t="s">
        <v>169</v>
      </c>
      <c r="AB239" s="13" t="s">
        <v>830</v>
      </c>
      <c r="AC239" s="13" t="s">
        <v>4331</v>
      </c>
      <c r="AD239" s="13" t="s">
        <v>4331</v>
      </c>
      <c r="AE239" s="13" t="s">
        <v>55</v>
      </c>
      <c r="AF239" s="13" t="s">
        <v>4435</v>
      </c>
      <c r="AG239" s="13" t="s">
        <v>39</v>
      </c>
      <c r="AH239" s="13" t="s">
        <v>39</v>
      </c>
      <c r="AI239" s="13" t="s">
        <v>4436</v>
      </c>
      <c r="AJ239" s="13" t="s">
        <v>4437</v>
      </c>
      <c r="AK239" s="13" t="s">
        <v>836</v>
      </c>
      <c r="AL239" s="13" t="s">
        <v>88</v>
      </c>
    </row>
    <row r="240" spans="1:38" x14ac:dyDescent="0.4">
      <c r="A240" s="11" t="s">
        <v>4438</v>
      </c>
      <c r="B240" s="14" t="s">
        <v>4439</v>
      </c>
      <c r="C240" s="15" t="s">
        <v>4440</v>
      </c>
      <c r="D240" s="15" t="s">
        <v>92</v>
      </c>
      <c r="E240" s="15" t="s">
        <v>4441</v>
      </c>
      <c r="F240" s="15" t="s">
        <v>4442</v>
      </c>
      <c r="G240" s="15" t="s">
        <v>4443</v>
      </c>
      <c r="H240" s="15" t="s">
        <v>4444</v>
      </c>
      <c r="I240" s="9">
        <f t="shared" ca="1" si="3"/>
        <v>18</v>
      </c>
      <c r="J240" s="15" t="s">
        <v>4445</v>
      </c>
      <c r="K240" s="15" t="s">
        <v>702</v>
      </c>
      <c r="L240" s="9" t="str">
        <f>VLOOKUP(K240,[1]中国省份_标准!$B$2:$F$35,4,FALSE)</f>
        <v>东部地区</v>
      </c>
      <c r="M240" s="9" t="str">
        <f>VLOOKUP(K240,[1]中国省份_标准!$B$2:$F$35,5,FALSE)</f>
        <v>华北地区</v>
      </c>
      <c r="N240" s="15" t="s">
        <v>820</v>
      </c>
      <c r="O240" s="15" t="s">
        <v>3737</v>
      </c>
      <c r="P240" s="15" t="s">
        <v>4446</v>
      </c>
      <c r="Q240" s="15" t="s">
        <v>4447</v>
      </c>
      <c r="R240" s="15" t="s">
        <v>4448</v>
      </c>
      <c r="S240" s="15" t="s">
        <v>4449</v>
      </c>
      <c r="T240" s="15" t="s">
        <v>2034</v>
      </c>
      <c r="U240" s="15" t="s">
        <v>4439</v>
      </c>
      <c r="V240" s="15" t="s">
        <v>4450</v>
      </c>
      <c r="W240" s="15" t="s">
        <v>4451</v>
      </c>
      <c r="X240" s="15" t="s">
        <v>4452</v>
      </c>
      <c r="Y240" s="15" t="s">
        <v>78</v>
      </c>
      <c r="Z240" s="15" t="s">
        <v>4453</v>
      </c>
      <c r="AA240" s="15" t="s">
        <v>169</v>
      </c>
      <c r="AB240" s="15" t="s">
        <v>4454</v>
      </c>
      <c r="AC240" s="15" t="s">
        <v>4455</v>
      </c>
      <c r="AD240" s="15" t="s">
        <v>4456</v>
      </c>
      <c r="AE240" s="15" t="s">
        <v>239</v>
      </c>
      <c r="AF240" s="15" t="s">
        <v>4457</v>
      </c>
      <c r="AG240" s="15" t="s">
        <v>39</v>
      </c>
      <c r="AH240" s="15" t="s">
        <v>39</v>
      </c>
      <c r="AI240" s="15" t="s">
        <v>4458</v>
      </c>
      <c r="AJ240" s="15" t="s">
        <v>4459</v>
      </c>
      <c r="AK240" s="15" t="s">
        <v>3748</v>
      </c>
      <c r="AL240" s="15" t="s">
        <v>88</v>
      </c>
    </row>
    <row r="241" spans="1:38" x14ac:dyDescent="0.4">
      <c r="A241" s="11" t="s">
        <v>4460</v>
      </c>
      <c r="B241" s="12" t="s">
        <v>4461</v>
      </c>
      <c r="C241" s="13" t="s">
        <v>39</v>
      </c>
      <c r="D241" s="13" t="s">
        <v>92</v>
      </c>
      <c r="E241" s="13" t="s">
        <v>4462</v>
      </c>
      <c r="F241" s="13" t="s">
        <v>154</v>
      </c>
      <c r="G241" s="13" t="s">
        <v>39</v>
      </c>
      <c r="H241" s="13" t="s">
        <v>4463</v>
      </c>
      <c r="I241" s="9">
        <f t="shared" ca="1" si="3"/>
        <v>6</v>
      </c>
      <c r="J241" s="13" t="s">
        <v>4464</v>
      </c>
      <c r="K241" s="13" t="s">
        <v>379</v>
      </c>
      <c r="L241" s="9" t="str">
        <f>VLOOKUP(K241,[1]中国省份_标准!$B$2:$F$35,4,FALSE)</f>
        <v>东部地区</v>
      </c>
      <c r="M241" s="9" t="str">
        <f>VLOOKUP(K241,[1]中国省份_标准!$B$2:$F$35,5,FALSE)</f>
        <v>华东地区</v>
      </c>
      <c r="N241" s="13" t="s">
        <v>1276</v>
      </c>
      <c r="O241" s="13" t="s">
        <v>1315</v>
      </c>
      <c r="P241" s="13" t="s">
        <v>4465</v>
      </c>
      <c r="Q241" s="13" t="s">
        <v>4466</v>
      </c>
      <c r="R241" s="13" t="s">
        <v>39</v>
      </c>
      <c r="S241" s="13" t="s">
        <v>39</v>
      </c>
      <c r="T241" s="13" t="s">
        <v>281</v>
      </c>
      <c r="U241" s="13" t="s">
        <v>4461</v>
      </c>
      <c r="V241" s="13" t="s">
        <v>39</v>
      </c>
      <c r="W241" s="13" t="s">
        <v>4467</v>
      </c>
      <c r="X241" s="13" t="s">
        <v>77</v>
      </c>
      <c r="Y241" s="13" t="s">
        <v>78</v>
      </c>
      <c r="Z241" s="13" t="s">
        <v>4468</v>
      </c>
      <c r="AA241" s="13" t="s">
        <v>169</v>
      </c>
      <c r="AB241" s="13" t="s">
        <v>1264</v>
      </c>
      <c r="AC241" s="13" t="s">
        <v>1488</v>
      </c>
      <c r="AD241" s="13" t="s">
        <v>1489</v>
      </c>
      <c r="AE241" s="13" t="s">
        <v>55</v>
      </c>
      <c r="AF241" s="13" t="s">
        <v>4469</v>
      </c>
      <c r="AG241" s="13" t="s">
        <v>39</v>
      </c>
      <c r="AH241" s="13" t="s">
        <v>39</v>
      </c>
      <c r="AI241" s="13" t="s">
        <v>4470</v>
      </c>
      <c r="AJ241" s="13" t="s">
        <v>4471</v>
      </c>
      <c r="AK241" s="13" t="s">
        <v>1424</v>
      </c>
      <c r="AL241" s="13" t="s">
        <v>88</v>
      </c>
    </row>
    <row r="242" spans="1:38" x14ac:dyDescent="0.4">
      <c r="A242" s="11" t="s">
        <v>4472</v>
      </c>
      <c r="B242" s="14" t="s">
        <v>4473</v>
      </c>
      <c r="C242" s="15" t="s">
        <v>39</v>
      </c>
      <c r="D242" s="15" t="s">
        <v>92</v>
      </c>
      <c r="E242" s="15" t="s">
        <v>4474</v>
      </c>
      <c r="F242" s="15" t="s">
        <v>1235</v>
      </c>
      <c r="G242" s="15" t="s">
        <v>39</v>
      </c>
      <c r="H242" s="15" t="s">
        <v>4475</v>
      </c>
      <c r="I242" s="9">
        <f t="shared" ca="1" si="3"/>
        <v>5</v>
      </c>
      <c r="J242" s="15" t="s">
        <v>4476</v>
      </c>
      <c r="K242" s="15" t="s">
        <v>379</v>
      </c>
      <c r="L242" s="9" t="str">
        <f>VLOOKUP(K242,[1]中国省份_标准!$B$2:$F$35,4,FALSE)</f>
        <v>东部地区</v>
      </c>
      <c r="M242" s="9" t="str">
        <f>VLOOKUP(K242,[1]中国省份_标准!$B$2:$F$35,5,FALSE)</f>
        <v>华东地区</v>
      </c>
      <c r="N242" s="15" t="s">
        <v>1276</v>
      </c>
      <c r="O242" s="15" t="s">
        <v>4477</v>
      </c>
      <c r="P242" s="15" t="s">
        <v>4478</v>
      </c>
      <c r="Q242" s="15" t="s">
        <v>4479</v>
      </c>
      <c r="R242" s="15" t="s">
        <v>39</v>
      </c>
      <c r="S242" s="15" t="s">
        <v>39</v>
      </c>
      <c r="T242" s="15" t="s">
        <v>281</v>
      </c>
      <c r="U242" s="15" t="s">
        <v>4473</v>
      </c>
      <c r="V242" s="15" t="s">
        <v>39</v>
      </c>
      <c r="W242" s="15" t="s">
        <v>4480</v>
      </c>
      <c r="X242" s="15" t="s">
        <v>77</v>
      </c>
      <c r="Y242" s="15" t="s">
        <v>283</v>
      </c>
      <c r="Z242" s="15" t="s">
        <v>4481</v>
      </c>
      <c r="AA242" s="15" t="s">
        <v>169</v>
      </c>
      <c r="AB242" s="15" t="s">
        <v>1264</v>
      </c>
      <c r="AC242" s="15" t="s">
        <v>1265</v>
      </c>
      <c r="AD242" s="15" t="s">
        <v>1265</v>
      </c>
      <c r="AE242" s="15" t="s">
        <v>55</v>
      </c>
      <c r="AF242" s="15" t="s">
        <v>4482</v>
      </c>
      <c r="AG242" s="15" t="s">
        <v>39</v>
      </c>
      <c r="AH242" s="15" t="s">
        <v>39</v>
      </c>
      <c r="AI242" s="15" t="s">
        <v>4483</v>
      </c>
      <c r="AJ242" s="15" t="s">
        <v>4484</v>
      </c>
      <c r="AK242" s="15" t="s">
        <v>4485</v>
      </c>
      <c r="AL242" s="15" t="s">
        <v>88</v>
      </c>
    </row>
    <row r="243" spans="1:38" x14ac:dyDescent="0.4">
      <c r="A243" s="11" t="s">
        <v>4486</v>
      </c>
      <c r="B243" s="12" t="s">
        <v>4487</v>
      </c>
      <c r="C243" s="13" t="s">
        <v>39</v>
      </c>
      <c r="D243" s="13" t="s">
        <v>92</v>
      </c>
      <c r="E243" s="13" t="s">
        <v>4488</v>
      </c>
      <c r="F243" s="13" t="s">
        <v>1235</v>
      </c>
      <c r="G243" s="13" t="s">
        <v>39</v>
      </c>
      <c r="H243" s="13" t="s">
        <v>4489</v>
      </c>
      <c r="I243" s="9">
        <f t="shared" ca="1" si="3"/>
        <v>6</v>
      </c>
      <c r="J243" s="13" t="s">
        <v>4490</v>
      </c>
      <c r="K243" s="13" t="s">
        <v>594</v>
      </c>
      <c r="L243" s="9" t="str">
        <f>VLOOKUP(K243,[1]中国省份_标准!$B$2:$F$35,4,FALSE)</f>
        <v>中部地区</v>
      </c>
      <c r="M243" s="9" t="str">
        <f>VLOOKUP(K243,[1]中国省份_标准!$B$2:$F$35,5,FALSE)</f>
        <v>华东地区</v>
      </c>
      <c r="N243" s="13" t="s">
        <v>1238</v>
      </c>
      <c r="O243" s="13" t="s">
        <v>1239</v>
      </c>
      <c r="P243" s="13" t="s">
        <v>4491</v>
      </c>
      <c r="Q243" s="13" t="s">
        <v>4492</v>
      </c>
      <c r="R243" s="13" t="s">
        <v>4493</v>
      </c>
      <c r="S243" s="13" t="s">
        <v>4494</v>
      </c>
      <c r="T243" s="13" t="s">
        <v>281</v>
      </c>
      <c r="U243" s="13" t="s">
        <v>4487</v>
      </c>
      <c r="V243" s="13" t="s">
        <v>4495</v>
      </c>
      <c r="W243" s="13" t="s">
        <v>4496</v>
      </c>
      <c r="X243" s="13" t="s">
        <v>77</v>
      </c>
      <c r="Y243" s="13" t="s">
        <v>78</v>
      </c>
      <c r="Z243" s="13" t="s">
        <v>4497</v>
      </c>
      <c r="AA243" s="13" t="s">
        <v>169</v>
      </c>
      <c r="AB243" s="13" t="s">
        <v>285</v>
      </c>
      <c r="AC243" s="13" t="s">
        <v>286</v>
      </c>
      <c r="AD243" s="13" t="s">
        <v>287</v>
      </c>
      <c r="AE243" s="13" t="s">
        <v>55</v>
      </c>
      <c r="AF243" s="13" t="s">
        <v>4498</v>
      </c>
      <c r="AG243" s="13" t="s">
        <v>39</v>
      </c>
      <c r="AH243" s="13" t="s">
        <v>39</v>
      </c>
      <c r="AI243" s="13" t="s">
        <v>4499</v>
      </c>
      <c r="AJ243" s="13" t="s">
        <v>4500</v>
      </c>
      <c r="AK243" s="13" t="s">
        <v>1249</v>
      </c>
      <c r="AL243" s="13" t="s">
        <v>88</v>
      </c>
    </row>
    <row r="244" spans="1:38" x14ac:dyDescent="0.4">
      <c r="A244" s="11" t="s">
        <v>4501</v>
      </c>
      <c r="B244" s="14" t="s">
        <v>4502</v>
      </c>
      <c r="C244" s="15" t="s">
        <v>39</v>
      </c>
      <c r="D244" s="15" t="s">
        <v>92</v>
      </c>
      <c r="E244" s="15" t="s">
        <v>4503</v>
      </c>
      <c r="F244" s="15" t="s">
        <v>999</v>
      </c>
      <c r="G244" s="15" t="s">
        <v>999</v>
      </c>
      <c r="H244" s="15" t="s">
        <v>4504</v>
      </c>
      <c r="I244" s="9">
        <f t="shared" ca="1" si="3"/>
        <v>8</v>
      </c>
      <c r="J244" s="15" t="s">
        <v>4505</v>
      </c>
      <c r="K244" s="15" t="s">
        <v>594</v>
      </c>
      <c r="L244" s="9" t="str">
        <f>VLOOKUP(K244,[1]中国省份_标准!$B$2:$F$35,4,FALSE)</f>
        <v>中部地区</v>
      </c>
      <c r="M244" s="9" t="str">
        <f>VLOOKUP(K244,[1]中国省份_标准!$B$2:$F$35,5,FALSE)</f>
        <v>华东地区</v>
      </c>
      <c r="N244" s="15" t="s">
        <v>1256</v>
      </c>
      <c r="O244" s="15" t="s">
        <v>4506</v>
      </c>
      <c r="P244" s="15" t="s">
        <v>4507</v>
      </c>
      <c r="Q244" s="15" t="s">
        <v>4508</v>
      </c>
      <c r="R244" s="15" t="s">
        <v>4509</v>
      </c>
      <c r="S244" s="15" t="s">
        <v>4510</v>
      </c>
      <c r="T244" s="15" t="s">
        <v>209</v>
      </c>
      <c r="U244" s="15" t="s">
        <v>4502</v>
      </c>
      <c r="V244" s="15" t="s">
        <v>4511</v>
      </c>
      <c r="W244" s="15" t="s">
        <v>4512</v>
      </c>
      <c r="X244" s="15" t="s">
        <v>4513</v>
      </c>
      <c r="Y244" s="15" t="s">
        <v>78</v>
      </c>
      <c r="Z244" s="15" t="s">
        <v>4514</v>
      </c>
      <c r="AA244" s="15" t="s">
        <v>1796</v>
      </c>
      <c r="AB244" s="15" t="s">
        <v>2851</v>
      </c>
      <c r="AC244" s="15" t="s">
        <v>2852</v>
      </c>
      <c r="AD244" s="15" t="s">
        <v>2896</v>
      </c>
      <c r="AE244" s="15" t="s">
        <v>262</v>
      </c>
      <c r="AF244" s="15" t="s">
        <v>4515</v>
      </c>
      <c r="AG244" s="15" t="s">
        <v>39</v>
      </c>
      <c r="AH244" s="15" t="s">
        <v>39</v>
      </c>
      <c r="AI244" s="15" t="s">
        <v>4516</v>
      </c>
      <c r="AJ244" s="15" t="s">
        <v>4517</v>
      </c>
      <c r="AK244" s="15" t="s">
        <v>4518</v>
      </c>
      <c r="AL244" s="15" t="s">
        <v>88</v>
      </c>
    </row>
    <row r="245" spans="1:38" x14ac:dyDescent="0.4">
      <c r="A245" s="11" t="s">
        <v>4519</v>
      </c>
      <c r="B245" s="12" t="s">
        <v>4520</v>
      </c>
      <c r="C245" s="13" t="s">
        <v>39</v>
      </c>
      <c r="D245" s="13" t="s">
        <v>92</v>
      </c>
      <c r="E245" s="13" t="s">
        <v>4521</v>
      </c>
      <c r="F245" s="13" t="s">
        <v>4522</v>
      </c>
      <c r="G245" s="13" t="s">
        <v>4522</v>
      </c>
      <c r="H245" s="13" t="s">
        <v>4523</v>
      </c>
      <c r="I245" s="9">
        <f t="shared" ca="1" si="3"/>
        <v>12</v>
      </c>
      <c r="J245" s="13" t="s">
        <v>4228</v>
      </c>
      <c r="K245" s="13" t="s">
        <v>643</v>
      </c>
      <c r="L245" s="9" t="str">
        <f>VLOOKUP(K245,[1]中国省份_标准!$B$2:$F$35,4,FALSE)</f>
        <v>东北地区</v>
      </c>
      <c r="M245" s="9" t="str">
        <f>VLOOKUP(K245,[1]中国省份_标准!$B$2:$F$35,5,FALSE)</f>
        <v>东北地区</v>
      </c>
      <c r="N245" s="13" t="s">
        <v>644</v>
      </c>
      <c r="O245" s="13" t="s">
        <v>1185</v>
      </c>
      <c r="P245" s="13" t="s">
        <v>4524</v>
      </c>
      <c r="Q245" s="13" t="s">
        <v>4525</v>
      </c>
      <c r="R245" s="13" t="s">
        <v>4526</v>
      </c>
      <c r="S245" s="13" t="s">
        <v>4527</v>
      </c>
      <c r="T245" s="13" t="s">
        <v>452</v>
      </c>
      <c r="U245" s="13" t="s">
        <v>4520</v>
      </c>
      <c r="V245" s="13" t="s">
        <v>4528</v>
      </c>
      <c r="W245" s="13" t="s">
        <v>4529</v>
      </c>
      <c r="X245" s="13" t="s">
        <v>690</v>
      </c>
      <c r="Y245" s="13" t="s">
        <v>78</v>
      </c>
      <c r="Z245" s="13" t="s">
        <v>4530</v>
      </c>
      <c r="AA245" s="13" t="s">
        <v>80</v>
      </c>
      <c r="AB245" s="13" t="s">
        <v>106</v>
      </c>
      <c r="AC245" s="13" t="s">
        <v>808</v>
      </c>
      <c r="AD245" s="13" t="s">
        <v>809</v>
      </c>
      <c r="AE245" s="13" t="s">
        <v>109</v>
      </c>
      <c r="AF245" s="13" t="s">
        <v>4531</v>
      </c>
      <c r="AG245" s="13" t="s">
        <v>39</v>
      </c>
      <c r="AH245" s="13" t="s">
        <v>39</v>
      </c>
      <c r="AI245" s="13" t="s">
        <v>4532</v>
      </c>
      <c r="AJ245" s="13" t="s">
        <v>4533</v>
      </c>
      <c r="AK245" s="13" t="s">
        <v>1196</v>
      </c>
      <c r="AL245" s="13" t="s">
        <v>88</v>
      </c>
    </row>
    <row r="246" spans="1:38" x14ac:dyDescent="0.4">
      <c r="A246" s="11" t="s">
        <v>4534</v>
      </c>
      <c r="B246" s="14" t="s">
        <v>4535</v>
      </c>
      <c r="C246" s="15" t="s">
        <v>39</v>
      </c>
      <c r="D246" s="15" t="s">
        <v>92</v>
      </c>
      <c r="E246" s="15" t="s">
        <v>4536</v>
      </c>
      <c r="F246" s="15" t="s">
        <v>4537</v>
      </c>
      <c r="G246" s="15" t="s">
        <v>39</v>
      </c>
      <c r="H246" s="15" t="s">
        <v>4538</v>
      </c>
      <c r="I246" s="9">
        <f t="shared" ca="1" si="3"/>
        <v>22</v>
      </c>
      <c r="J246" s="15" t="s">
        <v>4539</v>
      </c>
      <c r="K246" s="15" t="s">
        <v>379</v>
      </c>
      <c r="L246" s="9" t="str">
        <f>VLOOKUP(K246,[1]中国省份_标准!$B$2:$F$35,4,FALSE)</f>
        <v>东部地区</v>
      </c>
      <c r="M246" s="9" t="str">
        <f>VLOOKUP(K246,[1]中国省份_标准!$B$2:$F$35,5,FALSE)</f>
        <v>华东地区</v>
      </c>
      <c r="N246" s="15" t="s">
        <v>1276</v>
      </c>
      <c r="O246" s="15" t="s">
        <v>1315</v>
      </c>
      <c r="P246" s="15" t="s">
        <v>4540</v>
      </c>
      <c r="Q246" s="15" t="s">
        <v>4541</v>
      </c>
      <c r="R246" s="15" t="s">
        <v>39</v>
      </c>
      <c r="S246" s="15" t="s">
        <v>39</v>
      </c>
      <c r="T246" s="15" t="s">
        <v>48</v>
      </c>
      <c r="U246" s="15" t="s">
        <v>4535</v>
      </c>
      <c r="V246" s="15" t="s">
        <v>4542</v>
      </c>
      <c r="W246" s="15" t="s">
        <v>4543</v>
      </c>
      <c r="X246" s="15" t="s">
        <v>4544</v>
      </c>
      <c r="Y246" s="15" t="s">
        <v>283</v>
      </c>
      <c r="Z246" s="15" t="s">
        <v>4545</v>
      </c>
      <c r="AA246" s="15" t="s">
        <v>169</v>
      </c>
      <c r="AB246" s="15" t="s">
        <v>1264</v>
      </c>
      <c r="AC246" s="15" t="s">
        <v>1457</v>
      </c>
      <c r="AD246" s="15" t="s">
        <v>1557</v>
      </c>
      <c r="AE246" s="15" t="s">
        <v>109</v>
      </c>
      <c r="AF246" s="15" t="s">
        <v>4546</v>
      </c>
      <c r="AG246" s="15" t="s">
        <v>39</v>
      </c>
      <c r="AH246" s="15" t="s">
        <v>39</v>
      </c>
      <c r="AI246" s="15" t="s">
        <v>4547</v>
      </c>
      <c r="AJ246" s="15" t="s">
        <v>4548</v>
      </c>
      <c r="AK246" s="15" t="s">
        <v>1327</v>
      </c>
      <c r="AL246" s="15" t="s">
        <v>88</v>
      </c>
    </row>
    <row r="247" spans="1:38" x14ac:dyDescent="0.4">
      <c r="A247" s="11" t="s">
        <v>4549</v>
      </c>
      <c r="B247" s="12" t="s">
        <v>4550</v>
      </c>
      <c r="C247" s="13" t="s">
        <v>39</v>
      </c>
      <c r="D247" s="13" t="s">
        <v>92</v>
      </c>
      <c r="E247" s="13" t="s">
        <v>4551</v>
      </c>
      <c r="F247" s="13" t="s">
        <v>490</v>
      </c>
      <c r="G247" s="13" t="s">
        <v>490</v>
      </c>
      <c r="H247" s="13" t="s">
        <v>4552</v>
      </c>
      <c r="I247" s="9">
        <f t="shared" ca="1" si="3"/>
        <v>15</v>
      </c>
      <c r="J247" s="13" t="s">
        <v>4553</v>
      </c>
      <c r="K247" s="13" t="s">
        <v>227</v>
      </c>
      <c r="L247" s="9" t="str">
        <f>VLOOKUP(K247,[1]中国省份_标准!$B$2:$F$35,4,FALSE)</f>
        <v>西部地区</v>
      </c>
      <c r="M247" s="9" t="str">
        <f>VLOOKUP(K247,[1]中国省份_标准!$B$2:$F$35,5,FALSE)</f>
        <v>西北地区</v>
      </c>
      <c r="N247" s="13" t="s">
        <v>4554</v>
      </c>
      <c r="O247" s="13" t="s">
        <v>4555</v>
      </c>
      <c r="P247" s="13" t="s">
        <v>4556</v>
      </c>
      <c r="Q247" s="13" t="s">
        <v>4557</v>
      </c>
      <c r="R247" s="13" t="s">
        <v>4558</v>
      </c>
      <c r="S247" s="13" t="s">
        <v>4559</v>
      </c>
      <c r="T247" s="13" t="s">
        <v>48</v>
      </c>
      <c r="U247" s="13" t="s">
        <v>4550</v>
      </c>
      <c r="V247" s="13" t="s">
        <v>4560</v>
      </c>
      <c r="W247" s="13" t="s">
        <v>4561</v>
      </c>
      <c r="X247" s="13" t="s">
        <v>4562</v>
      </c>
      <c r="Y247" s="13" t="s">
        <v>78</v>
      </c>
      <c r="Z247" s="13" t="s">
        <v>4563</v>
      </c>
      <c r="AA247" s="13" t="s">
        <v>80</v>
      </c>
      <c r="AB247" s="13" t="s">
        <v>106</v>
      </c>
      <c r="AC247" s="13" t="s">
        <v>388</v>
      </c>
      <c r="AD247" s="13" t="s">
        <v>434</v>
      </c>
      <c r="AE247" s="13" t="s">
        <v>262</v>
      </c>
      <c r="AF247" s="13" t="s">
        <v>4564</v>
      </c>
      <c r="AG247" s="13" t="s">
        <v>39</v>
      </c>
      <c r="AH247" s="13" t="s">
        <v>39</v>
      </c>
      <c r="AI247" s="13" t="s">
        <v>4565</v>
      </c>
      <c r="AJ247" s="13" t="s">
        <v>4566</v>
      </c>
      <c r="AK247" s="13" t="s">
        <v>4567</v>
      </c>
      <c r="AL247" s="13" t="s">
        <v>88</v>
      </c>
    </row>
    <row r="248" spans="1:38" x14ac:dyDescent="0.4">
      <c r="A248" s="11" t="s">
        <v>4568</v>
      </c>
      <c r="B248" s="14" t="s">
        <v>4569</v>
      </c>
      <c r="C248" s="15" t="s">
        <v>39</v>
      </c>
      <c r="D248" s="15" t="s">
        <v>92</v>
      </c>
      <c r="E248" s="15" t="s">
        <v>4570</v>
      </c>
      <c r="F248" s="15" t="s">
        <v>4571</v>
      </c>
      <c r="G248" s="15" t="s">
        <v>4572</v>
      </c>
      <c r="H248" s="15" t="s">
        <v>4573</v>
      </c>
      <c r="I248" s="9">
        <f t="shared" ca="1" si="3"/>
        <v>22</v>
      </c>
      <c r="J248" s="15" t="s">
        <v>4574</v>
      </c>
      <c r="K248" s="15" t="s">
        <v>379</v>
      </c>
      <c r="L248" s="9" t="str">
        <f>VLOOKUP(K248,[1]中国省份_标准!$B$2:$F$35,4,FALSE)</f>
        <v>东部地区</v>
      </c>
      <c r="M248" s="9" t="str">
        <f>VLOOKUP(K248,[1]中国省份_标准!$B$2:$F$35,5,FALSE)</f>
        <v>华东地区</v>
      </c>
      <c r="N248" s="15" t="s">
        <v>1276</v>
      </c>
      <c r="O248" s="15" t="s">
        <v>1315</v>
      </c>
      <c r="P248" s="15" t="s">
        <v>4575</v>
      </c>
      <c r="Q248" s="15" t="s">
        <v>4576</v>
      </c>
      <c r="R248" s="15" t="s">
        <v>4577</v>
      </c>
      <c r="S248" s="15" t="s">
        <v>39</v>
      </c>
      <c r="T248" s="15" t="s">
        <v>48</v>
      </c>
      <c r="U248" s="15" t="s">
        <v>4569</v>
      </c>
      <c r="V248" s="15" t="s">
        <v>4578</v>
      </c>
      <c r="W248" s="15" t="s">
        <v>4579</v>
      </c>
      <c r="X248" s="15" t="s">
        <v>690</v>
      </c>
      <c r="Y248" s="15" t="s">
        <v>78</v>
      </c>
      <c r="Z248" s="15" t="s">
        <v>4580</v>
      </c>
      <c r="AA248" s="15" t="s">
        <v>169</v>
      </c>
      <c r="AB248" s="15" t="s">
        <v>1264</v>
      </c>
      <c r="AC248" s="15" t="s">
        <v>1457</v>
      </c>
      <c r="AD248" s="15" t="s">
        <v>4581</v>
      </c>
      <c r="AE248" s="15" t="s">
        <v>109</v>
      </c>
      <c r="AF248" s="15" t="s">
        <v>4582</v>
      </c>
      <c r="AG248" s="15" t="s">
        <v>39</v>
      </c>
      <c r="AH248" s="15" t="s">
        <v>39</v>
      </c>
      <c r="AI248" s="15" t="s">
        <v>4583</v>
      </c>
      <c r="AJ248" s="15" t="s">
        <v>4584</v>
      </c>
      <c r="AK248" s="15" t="s">
        <v>1424</v>
      </c>
      <c r="AL248" s="15" t="s">
        <v>88</v>
      </c>
    </row>
    <row r="249" spans="1:38" x14ac:dyDescent="0.4">
      <c r="A249" s="11" t="s">
        <v>4585</v>
      </c>
      <c r="B249" s="12" t="s">
        <v>4586</v>
      </c>
      <c r="C249" s="13" t="s">
        <v>39</v>
      </c>
      <c r="D249" s="13" t="s">
        <v>1378</v>
      </c>
      <c r="E249" s="13" t="s">
        <v>4587</v>
      </c>
      <c r="F249" s="13" t="s">
        <v>1235</v>
      </c>
      <c r="G249" s="13" t="s">
        <v>1235</v>
      </c>
      <c r="H249" s="13" t="s">
        <v>4588</v>
      </c>
      <c r="I249" s="9">
        <f t="shared" ca="1" si="3"/>
        <v>9</v>
      </c>
      <c r="J249" s="13" t="s">
        <v>4589</v>
      </c>
      <c r="K249" s="13" t="s">
        <v>379</v>
      </c>
      <c r="L249" s="9" t="str">
        <f>VLOOKUP(K249,[1]中国省份_标准!$B$2:$F$35,4,FALSE)</f>
        <v>东部地区</v>
      </c>
      <c r="M249" s="9" t="str">
        <f>VLOOKUP(K249,[1]中国省份_标准!$B$2:$F$35,5,FALSE)</f>
        <v>华东地区</v>
      </c>
      <c r="N249" s="13" t="s">
        <v>1276</v>
      </c>
      <c r="O249" s="13" t="s">
        <v>1315</v>
      </c>
      <c r="P249" s="13" t="s">
        <v>4590</v>
      </c>
      <c r="Q249" s="13" t="s">
        <v>4591</v>
      </c>
      <c r="R249" s="13" t="s">
        <v>39</v>
      </c>
      <c r="S249" s="13" t="s">
        <v>39</v>
      </c>
      <c r="T249" s="13" t="s">
        <v>281</v>
      </c>
      <c r="U249" s="13" t="s">
        <v>4586</v>
      </c>
      <c r="V249" s="13" t="s">
        <v>4592</v>
      </c>
      <c r="W249" s="13" t="s">
        <v>4593</v>
      </c>
      <c r="X249" s="13" t="s">
        <v>77</v>
      </c>
      <c r="Y249" s="13" t="s">
        <v>78</v>
      </c>
      <c r="Z249" s="13" t="s">
        <v>4594</v>
      </c>
      <c r="AA249" s="13" t="s">
        <v>169</v>
      </c>
      <c r="AB249" s="13" t="s">
        <v>1264</v>
      </c>
      <c r="AC249" s="13" t="s">
        <v>1457</v>
      </c>
      <c r="AD249" s="13" t="s">
        <v>1557</v>
      </c>
      <c r="AE249" s="13" t="s">
        <v>55</v>
      </c>
      <c r="AF249" s="13" t="s">
        <v>4595</v>
      </c>
      <c r="AG249" s="13" t="s">
        <v>39</v>
      </c>
      <c r="AH249" s="13" t="s">
        <v>39</v>
      </c>
      <c r="AI249" s="13" t="s">
        <v>4596</v>
      </c>
      <c r="AJ249" s="13" t="s">
        <v>4597</v>
      </c>
      <c r="AK249" s="13" t="s">
        <v>1327</v>
      </c>
      <c r="AL249" s="13" t="s">
        <v>88</v>
      </c>
    </row>
    <row r="250" spans="1:38" x14ac:dyDescent="0.4">
      <c r="A250" s="11" t="s">
        <v>4598</v>
      </c>
      <c r="B250" s="14" t="s">
        <v>4599</v>
      </c>
      <c r="C250" s="15" t="s">
        <v>39</v>
      </c>
      <c r="D250" s="15" t="s">
        <v>92</v>
      </c>
      <c r="E250" s="15" t="s">
        <v>4600</v>
      </c>
      <c r="F250" s="15" t="s">
        <v>271</v>
      </c>
      <c r="G250" s="15" t="s">
        <v>39</v>
      </c>
      <c r="H250" s="15" t="s">
        <v>4601</v>
      </c>
      <c r="I250" s="9">
        <f t="shared" ca="1" si="3"/>
        <v>4</v>
      </c>
      <c r="J250" s="15" t="s">
        <v>4602</v>
      </c>
      <c r="K250" s="15" t="s">
        <v>379</v>
      </c>
      <c r="L250" s="9" t="str">
        <f>VLOOKUP(K250,[1]中国省份_标准!$B$2:$F$35,4,FALSE)</f>
        <v>东部地区</v>
      </c>
      <c r="M250" s="9" t="str">
        <f>VLOOKUP(K250,[1]中国省份_标准!$B$2:$F$35,5,FALSE)</f>
        <v>华东地区</v>
      </c>
      <c r="N250" s="15" t="s">
        <v>1276</v>
      </c>
      <c r="O250" s="15" t="s">
        <v>4603</v>
      </c>
      <c r="P250" s="15" t="s">
        <v>4604</v>
      </c>
      <c r="Q250" s="15" t="s">
        <v>39</v>
      </c>
      <c r="R250" s="15" t="s">
        <v>39</v>
      </c>
      <c r="S250" s="15" t="s">
        <v>39</v>
      </c>
      <c r="T250" s="15" t="s">
        <v>281</v>
      </c>
      <c r="U250" s="15" t="s">
        <v>4599</v>
      </c>
      <c r="V250" s="15" t="s">
        <v>4605</v>
      </c>
      <c r="W250" s="15" t="s">
        <v>4606</v>
      </c>
      <c r="X250" s="15" t="s">
        <v>77</v>
      </c>
      <c r="Y250" s="15" t="s">
        <v>78</v>
      </c>
      <c r="Z250" s="15" t="s">
        <v>4607</v>
      </c>
      <c r="AA250" s="15" t="s">
        <v>169</v>
      </c>
      <c r="AB250" s="15" t="s">
        <v>285</v>
      </c>
      <c r="AC250" s="15" t="s">
        <v>286</v>
      </c>
      <c r="AD250" s="15" t="s">
        <v>4608</v>
      </c>
      <c r="AE250" s="15" t="s">
        <v>109</v>
      </c>
      <c r="AF250" s="15" t="s">
        <v>4609</v>
      </c>
      <c r="AG250" s="15" t="s">
        <v>39</v>
      </c>
      <c r="AH250" s="15" t="s">
        <v>39</v>
      </c>
      <c r="AI250" s="15" t="s">
        <v>4610</v>
      </c>
      <c r="AJ250" s="15" t="s">
        <v>4611</v>
      </c>
      <c r="AK250" s="15" t="s">
        <v>4612</v>
      </c>
      <c r="AL250" s="15" t="s">
        <v>88</v>
      </c>
    </row>
    <row r="251" spans="1:38" x14ac:dyDescent="0.4">
      <c r="A251" s="11" t="s">
        <v>4613</v>
      </c>
      <c r="B251" s="12" t="s">
        <v>4614</v>
      </c>
      <c r="C251" s="13" t="s">
        <v>39</v>
      </c>
      <c r="D251" s="13" t="s">
        <v>4615</v>
      </c>
      <c r="E251" s="13" t="s">
        <v>4616</v>
      </c>
      <c r="F251" s="13" t="s">
        <v>42</v>
      </c>
      <c r="G251" s="13" t="s">
        <v>39</v>
      </c>
      <c r="H251" s="13" t="s">
        <v>4617</v>
      </c>
      <c r="I251" s="9">
        <f t="shared" ca="1" si="3"/>
        <v>3</v>
      </c>
      <c r="J251" s="13" t="s">
        <v>4618</v>
      </c>
      <c r="K251" s="13" t="s">
        <v>379</v>
      </c>
      <c r="L251" s="9" t="str">
        <f>VLOOKUP(K251,[1]中国省份_标准!$B$2:$F$35,4,FALSE)</f>
        <v>东部地区</v>
      </c>
      <c r="M251" s="9" t="str">
        <f>VLOOKUP(K251,[1]中国省份_标准!$B$2:$F$35,5,FALSE)</f>
        <v>华东地区</v>
      </c>
      <c r="N251" s="13" t="s">
        <v>1276</v>
      </c>
      <c r="O251" s="13" t="s">
        <v>4603</v>
      </c>
      <c r="P251" s="13" t="s">
        <v>4619</v>
      </c>
      <c r="Q251" s="13" t="s">
        <v>39</v>
      </c>
      <c r="R251" s="13" t="s">
        <v>39</v>
      </c>
      <c r="S251" s="13" t="s">
        <v>39</v>
      </c>
      <c r="T251" s="13" t="s">
        <v>281</v>
      </c>
      <c r="U251" s="13" t="s">
        <v>4614</v>
      </c>
      <c r="V251" s="13" t="s">
        <v>39</v>
      </c>
      <c r="W251" s="13" t="s">
        <v>4620</v>
      </c>
      <c r="X251" s="13" t="s">
        <v>77</v>
      </c>
      <c r="Y251" s="13" t="s">
        <v>283</v>
      </c>
      <c r="Z251" s="13" t="s">
        <v>4621</v>
      </c>
      <c r="AA251" s="13" t="s">
        <v>169</v>
      </c>
      <c r="AB251" s="13" t="s">
        <v>1264</v>
      </c>
      <c r="AC251" s="13" t="s">
        <v>1265</v>
      </c>
      <c r="AD251" s="13" t="s">
        <v>1265</v>
      </c>
      <c r="AE251" s="13" t="s">
        <v>55</v>
      </c>
      <c r="AF251" s="13" t="s">
        <v>4622</v>
      </c>
      <c r="AG251" s="13" t="s">
        <v>39</v>
      </c>
      <c r="AH251" s="13" t="s">
        <v>39</v>
      </c>
      <c r="AI251" s="13" t="s">
        <v>4623</v>
      </c>
      <c r="AJ251" s="13" t="s">
        <v>4624</v>
      </c>
      <c r="AK251" s="13" t="s">
        <v>4625</v>
      </c>
      <c r="AL251" s="13" t="s">
        <v>88</v>
      </c>
    </row>
    <row r="252" spans="1:38" x14ac:dyDescent="0.4">
      <c r="A252" s="11" t="s">
        <v>4626</v>
      </c>
      <c r="B252" s="14" t="s">
        <v>4627</v>
      </c>
      <c r="C252" s="15" t="s">
        <v>39</v>
      </c>
      <c r="D252" s="15" t="s">
        <v>92</v>
      </c>
      <c r="E252" s="15" t="s">
        <v>4628</v>
      </c>
      <c r="F252" s="15" t="s">
        <v>640</v>
      </c>
      <c r="G252" s="15" t="s">
        <v>39</v>
      </c>
      <c r="H252" s="15" t="s">
        <v>4629</v>
      </c>
      <c r="I252" s="9">
        <f t="shared" ca="1" si="3"/>
        <v>5</v>
      </c>
      <c r="J252" s="15" t="s">
        <v>4630</v>
      </c>
      <c r="K252" s="15" t="s">
        <v>379</v>
      </c>
      <c r="L252" s="9" t="str">
        <f>VLOOKUP(K252,[1]中国省份_标准!$B$2:$F$35,4,FALSE)</f>
        <v>东部地区</v>
      </c>
      <c r="M252" s="9" t="str">
        <f>VLOOKUP(K252,[1]中国省份_标准!$B$2:$F$35,5,FALSE)</f>
        <v>华东地区</v>
      </c>
      <c r="N252" s="15" t="s">
        <v>1276</v>
      </c>
      <c r="O252" s="15" t="s">
        <v>1277</v>
      </c>
      <c r="P252" s="15" t="s">
        <v>4631</v>
      </c>
      <c r="Q252" s="15" t="s">
        <v>4632</v>
      </c>
      <c r="R252" s="15" t="s">
        <v>39</v>
      </c>
      <c r="S252" s="15" t="s">
        <v>39</v>
      </c>
      <c r="T252" s="15" t="s">
        <v>281</v>
      </c>
      <c r="U252" s="15" t="s">
        <v>4627</v>
      </c>
      <c r="V252" s="15" t="s">
        <v>39</v>
      </c>
      <c r="W252" s="15" t="s">
        <v>4633</v>
      </c>
      <c r="X252" s="15" t="s">
        <v>77</v>
      </c>
      <c r="Y252" s="15" t="s">
        <v>78</v>
      </c>
      <c r="Z252" s="15" t="s">
        <v>4634</v>
      </c>
      <c r="AA252" s="15" t="s">
        <v>169</v>
      </c>
      <c r="AB252" s="15" t="s">
        <v>285</v>
      </c>
      <c r="AC252" s="15" t="s">
        <v>1528</v>
      </c>
      <c r="AD252" s="15" t="s">
        <v>1529</v>
      </c>
      <c r="AE252" s="15" t="s">
        <v>55</v>
      </c>
      <c r="AF252" s="15" t="s">
        <v>4635</v>
      </c>
      <c r="AG252" s="15" t="s">
        <v>39</v>
      </c>
      <c r="AH252" s="15" t="s">
        <v>39</v>
      </c>
      <c r="AI252" s="15" t="s">
        <v>4636</v>
      </c>
      <c r="AJ252" s="15" t="s">
        <v>4637</v>
      </c>
      <c r="AK252" s="15" t="s">
        <v>1284</v>
      </c>
      <c r="AL252" s="15" t="s">
        <v>88</v>
      </c>
    </row>
    <row r="253" spans="1:38" x14ac:dyDescent="0.4">
      <c r="A253" s="11" t="s">
        <v>4638</v>
      </c>
      <c r="B253" s="12" t="s">
        <v>4639</v>
      </c>
      <c r="C253" s="13" t="s">
        <v>4640</v>
      </c>
      <c r="D253" s="13" t="s">
        <v>92</v>
      </c>
      <c r="E253" s="13" t="s">
        <v>4641</v>
      </c>
      <c r="F253" s="13" t="s">
        <v>4642</v>
      </c>
      <c r="G253" s="13" t="s">
        <v>4642</v>
      </c>
      <c r="H253" s="13" t="s">
        <v>4643</v>
      </c>
      <c r="I253" s="9">
        <f t="shared" ca="1" si="3"/>
        <v>25</v>
      </c>
      <c r="J253" s="13" t="s">
        <v>4644</v>
      </c>
      <c r="K253" s="13" t="s">
        <v>4645</v>
      </c>
      <c r="L253" s="9" t="str">
        <f>VLOOKUP(K253,[1]中国省份_标准!$B$2:$F$35,4,FALSE)</f>
        <v>中部地区</v>
      </c>
      <c r="M253" s="9" t="str">
        <f>VLOOKUP(K253,[1]中国省份_标准!$B$2:$F$35,5,FALSE)</f>
        <v>华北地区</v>
      </c>
      <c r="N253" s="13" t="s">
        <v>4646</v>
      </c>
      <c r="O253" s="13" t="s">
        <v>4647</v>
      </c>
      <c r="P253" s="13" t="s">
        <v>4648</v>
      </c>
      <c r="Q253" s="13" t="s">
        <v>4649</v>
      </c>
      <c r="R253" s="13" t="s">
        <v>4650</v>
      </c>
      <c r="S253" s="13" t="s">
        <v>4651</v>
      </c>
      <c r="T253" s="13" t="s">
        <v>209</v>
      </c>
      <c r="U253" s="13" t="s">
        <v>4639</v>
      </c>
      <c r="V253" s="13" t="s">
        <v>4652</v>
      </c>
      <c r="W253" s="13" t="s">
        <v>4653</v>
      </c>
      <c r="X253" s="13" t="s">
        <v>4654</v>
      </c>
      <c r="Y253" s="13" t="s">
        <v>78</v>
      </c>
      <c r="Z253" s="13" t="s">
        <v>4655</v>
      </c>
      <c r="AA253" s="13" t="s">
        <v>169</v>
      </c>
      <c r="AB253" s="13" t="s">
        <v>830</v>
      </c>
      <c r="AC253" s="13" t="s">
        <v>2795</v>
      </c>
      <c r="AD253" s="13" t="s">
        <v>2795</v>
      </c>
      <c r="AE253" s="13" t="s">
        <v>239</v>
      </c>
      <c r="AF253" s="13" t="s">
        <v>4656</v>
      </c>
      <c r="AG253" s="13" t="s">
        <v>2797</v>
      </c>
      <c r="AH253" s="13" t="s">
        <v>39</v>
      </c>
      <c r="AI253" s="13" t="s">
        <v>4657</v>
      </c>
      <c r="AJ253" s="13" t="s">
        <v>4658</v>
      </c>
      <c r="AK253" s="13" t="s">
        <v>4659</v>
      </c>
      <c r="AL253" s="13" t="s">
        <v>88</v>
      </c>
    </row>
    <row r="254" spans="1:38" x14ac:dyDescent="0.4">
      <c r="A254" s="11" t="s">
        <v>4660</v>
      </c>
      <c r="B254" s="14" t="s">
        <v>4661</v>
      </c>
      <c r="C254" s="15" t="s">
        <v>39</v>
      </c>
      <c r="D254" s="15" t="s">
        <v>92</v>
      </c>
      <c r="E254" s="15" t="s">
        <v>4662</v>
      </c>
      <c r="F254" s="15" t="s">
        <v>42</v>
      </c>
      <c r="G254" s="15" t="s">
        <v>42</v>
      </c>
      <c r="H254" s="15" t="s">
        <v>4663</v>
      </c>
      <c r="I254" s="9">
        <f t="shared" ca="1" si="3"/>
        <v>6</v>
      </c>
      <c r="J254" s="15" t="s">
        <v>4664</v>
      </c>
      <c r="K254" s="15" t="s">
        <v>379</v>
      </c>
      <c r="L254" s="9" t="str">
        <f>VLOOKUP(K254,[1]中国省份_标准!$B$2:$F$35,4,FALSE)</f>
        <v>东部地区</v>
      </c>
      <c r="M254" s="9" t="str">
        <f>VLOOKUP(K254,[1]中国省份_标准!$B$2:$F$35,5,FALSE)</f>
        <v>华东地区</v>
      </c>
      <c r="N254" s="15" t="s">
        <v>1276</v>
      </c>
      <c r="O254" s="15" t="s">
        <v>1315</v>
      </c>
      <c r="P254" s="15" t="s">
        <v>4665</v>
      </c>
      <c r="Q254" s="15" t="s">
        <v>4666</v>
      </c>
      <c r="R254" s="15" t="s">
        <v>39</v>
      </c>
      <c r="S254" s="15" t="s">
        <v>39</v>
      </c>
      <c r="T254" s="15" t="s">
        <v>281</v>
      </c>
      <c r="U254" s="15" t="s">
        <v>4661</v>
      </c>
      <c r="V254" s="15" t="s">
        <v>4667</v>
      </c>
      <c r="W254" s="15" t="s">
        <v>4668</v>
      </c>
      <c r="X254" s="15" t="s">
        <v>77</v>
      </c>
      <c r="Y254" s="15" t="s">
        <v>78</v>
      </c>
      <c r="Z254" s="15" t="s">
        <v>4669</v>
      </c>
      <c r="AA254" s="15" t="s">
        <v>169</v>
      </c>
      <c r="AB254" s="15" t="s">
        <v>1264</v>
      </c>
      <c r="AC254" s="15" t="s">
        <v>1265</v>
      </c>
      <c r="AD254" s="15" t="s">
        <v>1265</v>
      </c>
      <c r="AE254" s="15" t="s">
        <v>55</v>
      </c>
      <c r="AF254" s="15" t="s">
        <v>4670</v>
      </c>
      <c r="AG254" s="15" t="s">
        <v>39</v>
      </c>
      <c r="AH254" s="15" t="s">
        <v>39</v>
      </c>
      <c r="AI254" s="15" t="s">
        <v>4671</v>
      </c>
      <c r="AJ254" s="15" t="s">
        <v>4672</v>
      </c>
      <c r="AK254" s="15" t="s">
        <v>1327</v>
      </c>
      <c r="AL254" s="15" t="s">
        <v>88</v>
      </c>
    </row>
    <row r="255" spans="1:38" x14ac:dyDescent="0.4">
      <c r="A255" s="11" t="s">
        <v>4673</v>
      </c>
      <c r="B255" s="12" t="s">
        <v>4674</v>
      </c>
      <c r="C255" s="13" t="s">
        <v>39</v>
      </c>
      <c r="D255" s="13" t="s">
        <v>92</v>
      </c>
      <c r="E255" s="13" t="s">
        <v>4675</v>
      </c>
      <c r="F255" s="13" t="s">
        <v>490</v>
      </c>
      <c r="G255" s="13" t="s">
        <v>490</v>
      </c>
      <c r="H255" s="13" t="s">
        <v>4676</v>
      </c>
      <c r="I255" s="9">
        <f t="shared" ca="1" si="3"/>
        <v>22</v>
      </c>
      <c r="J255" s="13" t="s">
        <v>4677</v>
      </c>
      <c r="K255" s="13" t="s">
        <v>983</v>
      </c>
      <c r="L255" s="9" t="str">
        <f>VLOOKUP(K255,[1]中国省份_标准!$B$2:$F$35,4,FALSE)</f>
        <v>西部地区</v>
      </c>
      <c r="M255" s="9" t="str">
        <f>VLOOKUP(K255,[1]中国省份_标准!$B$2:$F$35,5,FALSE)</f>
        <v>华北地区</v>
      </c>
      <c r="N255" s="13" t="s">
        <v>1431</v>
      </c>
      <c r="O255" s="13" t="s">
        <v>4678</v>
      </c>
      <c r="P255" s="13" t="s">
        <v>4679</v>
      </c>
      <c r="Q255" s="13" t="s">
        <v>4680</v>
      </c>
      <c r="R255" s="13" t="s">
        <v>4681</v>
      </c>
      <c r="S255" s="13" t="s">
        <v>4682</v>
      </c>
      <c r="T255" s="13" t="s">
        <v>281</v>
      </c>
      <c r="U255" s="13" t="s">
        <v>4674</v>
      </c>
      <c r="V255" s="13" t="s">
        <v>4683</v>
      </c>
      <c r="W255" s="13" t="s">
        <v>4684</v>
      </c>
      <c r="X255" s="13" t="s">
        <v>2510</v>
      </c>
      <c r="Y255" s="13" t="s">
        <v>78</v>
      </c>
      <c r="Z255" s="13" t="s">
        <v>4685</v>
      </c>
      <c r="AA255" s="13" t="s">
        <v>80</v>
      </c>
      <c r="AB255" s="13" t="s">
        <v>81</v>
      </c>
      <c r="AC255" s="13" t="s">
        <v>2816</v>
      </c>
      <c r="AD255" s="13" t="s">
        <v>2817</v>
      </c>
      <c r="AE255" s="13" t="s">
        <v>55</v>
      </c>
      <c r="AF255" s="13" t="s">
        <v>4686</v>
      </c>
      <c r="AG255" s="13" t="s">
        <v>39</v>
      </c>
      <c r="AH255" s="13" t="s">
        <v>39</v>
      </c>
      <c r="AI255" s="13" t="s">
        <v>4687</v>
      </c>
      <c r="AJ255" s="13" t="s">
        <v>4688</v>
      </c>
      <c r="AK255" s="13" t="s">
        <v>4689</v>
      </c>
      <c r="AL255" s="13" t="s">
        <v>88</v>
      </c>
    </row>
    <row r="256" spans="1:38" x14ac:dyDescent="0.4">
      <c r="A256" s="11" t="s">
        <v>4690</v>
      </c>
      <c r="B256" s="14" t="s">
        <v>4691</v>
      </c>
      <c r="C256" s="15" t="s">
        <v>39</v>
      </c>
      <c r="D256" s="15" t="s">
        <v>4692</v>
      </c>
      <c r="E256" s="15" t="s">
        <v>4693</v>
      </c>
      <c r="F256" s="15" t="s">
        <v>4694</v>
      </c>
      <c r="G256" s="15" t="s">
        <v>39</v>
      </c>
      <c r="H256" s="15" t="s">
        <v>4695</v>
      </c>
      <c r="I256" s="9">
        <f t="shared" ca="1" si="3"/>
        <v>6</v>
      </c>
      <c r="J256" s="15" t="s">
        <v>4696</v>
      </c>
      <c r="K256" s="15" t="s">
        <v>379</v>
      </c>
      <c r="L256" s="9" t="str">
        <f>VLOOKUP(K256,[1]中国省份_标准!$B$2:$F$35,4,FALSE)</f>
        <v>东部地区</v>
      </c>
      <c r="M256" s="9" t="str">
        <f>VLOOKUP(K256,[1]中国省份_标准!$B$2:$F$35,5,FALSE)</f>
        <v>华东地区</v>
      </c>
      <c r="N256" s="15" t="s">
        <v>1276</v>
      </c>
      <c r="O256" s="15" t="s">
        <v>1315</v>
      </c>
      <c r="P256" s="15" t="s">
        <v>4697</v>
      </c>
      <c r="Q256" s="15" t="s">
        <v>39</v>
      </c>
      <c r="R256" s="15" t="s">
        <v>39</v>
      </c>
      <c r="S256" s="15" t="s">
        <v>39</v>
      </c>
      <c r="T256" s="15" t="s">
        <v>452</v>
      </c>
      <c r="U256" s="15" t="s">
        <v>4691</v>
      </c>
      <c r="V256" s="15" t="s">
        <v>39</v>
      </c>
      <c r="W256" s="15" t="s">
        <v>4698</v>
      </c>
      <c r="X256" s="15" t="s">
        <v>690</v>
      </c>
      <c r="Y256" s="15" t="s">
        <v>731</v>
      </c>
      <c r="Z256" s="15" t="s">
        <v>4699</v>
      </c>
      <c r="AA256" s="15" t="s">
        <v>80</v>
      </c>
      <c r="AB256" s="15" t="s">
        <v>106</v>
      </c>
      <c r="AC256" s="15" t="s">
        <v>388</v>
      </c>
      <c r="AD256" s="15" t="s">
        <v>389</v>
      </c>
      <c r="AE256" s="15" t="s">
        <v>109</v>
      </c>
      <c r="AF256" s="15" t="s">
        <v>4700</v>
      </c>
      <c r="AG256" s="15" t="s">
        <v>39</v>
      </c>
      <c r="AH256" s="15" t="s">
        <v>39</v>
      </c>
      <c r="AI256" s="15" t="s">
        <v>4701</v>
      </c>
      <c r="AJ256" s="15" t="s">
        <v>4702</v>
      </c>
      <c r="AK256" s="15" t="s">
        <v>1424</v>
      </c>
      <c r="AL256" s="15" t="s">
        <v>88</v>
      </c>
    </row>
    <row r="257" spans="1:38" x14ac:dyDescent="0.4">
      <c r="A257" s="11" t="s">
        <v>4703</v>
      </c>
      <c r="B257" s="12" t="s">
        <v>4704</v>
      </c>
      <c r="C257" s="13" t="s">
        <v>4705</v>
      </c>
      <c r="D257" s="13" t="s">
        <v>92</v>
      </c>
      <c r="E257" s="13" t="s">
        <v>4706</v>
      </c>
      <c r="F257" s="13" t="s">
        <v>4707</v>
      </c>
      <c r="G257" s="13" t="s">
        <v>4707</v>
      </c>
      <c r="H257" s="13" t="s">
        <v>4708</v>
      </c>
      <c r="I257" s="9">
        <f t="shared" ca="1" si="3"/>
        <v>21</v>
      </c>
      <c r="J257" s="13" t="s">
        <v>4709</v>
      </c>
      <c r="K257" s="13" t="s">
        <v>379</v>
      </c>
      <c r="L257" s="9" t="str">
        <f>VLOOKUP(K257,[1]中国省份_标准!$B$2:$F$35,4,FALSE)</f>
        <v>东部地区</v>
      </c>
      <c r="M257" s="9" t="str">
        <f>VLOOKUP(K257,[1]中国省份_标准!$B$2:$F$35,5,FALSE)</f>
        <v>华东地区</v>
      </c>
      <c r="N257" s="13" t="s">
        <v>1221</v>
      </c>
      <c r="O257" s="13" t="s">
        <v>3319</v>
      </c>
      <c r="P257" s="13" t="s">
        <v>4710</v>
      </c>
      <c r="Q257" s="13" t="s">
        <v>4711</v>
      </c>
      <c r="R257" s="13" t="s">
        <v>4712</v>
      </c>
      <c r="S257" s="13" t="s">
        <v>4713</v>
      </c>
      <c r="T257" s="13" t="s">
        <v>452</v>
      </c>
      <c r="U257" s="13" t="s">
        <v>4704</v>
      </c>
      <c r="V257" s="13" t="s">
        <v>4714</v>
      </c>
      <c r="W257" s="13" t="s">
        <v>4715</v>
      </c>
      <c r="X257" s="13" t="s">
        <v>77</v>
      </c>
      <c r="Y257" s="13" t="s">
        <v>78</v>
      </c>
      <c r="Z257" s="13" t="s">
        <v>4716</v>
      </c>
      <c r="AA257" s="13" t="s">
        <v>80</v>
      </c>
      <c r="AB257" s="13" t="s">
        <v>106</v>
      </c>
      <c r="AC257" s="13" t="s">
        <v>951</v>
      </c>
      <c r="AD257" s="13" t="s">
        <v>952</v>
      </c>
      <c r="AE257" s="13" t="s">
        <v>55</v>
      </c>
      <c r="AF257" s="13" t="s">
        <v>4717</v>
      </c>
      <c r="AG257" s="13" t="s">
        <v>39</v>
      </c>
      <c r="AH257" s="13" t="s">
        <v>39</v>
      </c>
      <c r="AI257" s="13" t="s">
        <v>4718</v>
      </c>
      <c r="AJ257" s="13" t="s">
        <v>4719</v>
      </c>
      <c r="AK257" s="13" t="s">
        <v>3333</v>
      </c>
      <c r="AL257" s="13" t="s">
        <v>88</v>
      </c>
    </row>
    <row r="258" spans="1:38" x14ac:dyDescent="0.4">
      <c r="A258" s="11" t="s">
        <v>4720</v>
      </c>
      <c r="B258" s="14" t="s">
        <v>4721</v>
      </c>
      <c r="C258" s="15" t="s">
        <v>39</v>
      </c>
      <c r="D258" s="15" t="s">
        <v>92</v>
      </c>
      <c r="E258" s="15" t="s">
        <v>4722</v>
      </c>
      <c r="F258" s="15" t="s">
        <v>422</v>
      </c>
      <c r="G258" s="15" t="s">
        <v>39</v>
      </c>
      <c r="H258" s="15" t="s">
        <v>4723</v>
      </c>
      <c r="I258" s="9">
        <f t="shared" ca="1" si="3"/>
        <v>12</v>
      </c>
      <c r="J258" s="15" t="s">
        <v>4724</v>
      </c>
      <c r="K258" s="15" t="s">
        <v>379</v>
      </c>
      <c r="L258" s="9" t="str">
        <f>VLOOKUP(K258,[1]中国省份_标准!$B$2:$F$35,4,FALSE)</f>
        <v>东部地区</v>
      </c>
      <c r="M258" s="9" t="str">
        <f>VLOOKUP(K258,[1]中国省份_标准!$B$2:$F$35,5,FALSE)</f>
        <v>华东地区</v>
      </c>
      <c r="N258" s="15" t="s">
        <v>1276</v>
      </c>
      <c r="O258" s="15" t="s">
        <v>1315</v>
      </c>
      <c r="P258" s="15" t="s">
        <v>4725</v>
      </c>
      <c r="Q258" s="15" t="s">
        <v>4726</v>
      </c>
      <c r="R258" s="15" t="s">
        <v>4727</v>
      </c>
      <c r="S258" s="15" t="s">
        <v>4728</v>
      </c>
      <c r="T258" s="15" t="s">
        <v>281</v>
      </c>
      <c r="U258" s="15" t="s">
        <v>4721</v>
      </c>
      <c r="V258" s="15" t="s">
        <v>4729</v>
      </c>
      <c r="W258" s="15" t="s">
        <v>4730</v>
      </c>
      <c r="X258" s="15" t="s">
        <v>77</v>
      </c>
      <c r="Y258" s="15" t="s">
        <v>78</v>
      </c>
      <c r="Z258" s="15" t="s">
        <v>4731</v>
      </c>
      <c r="AA258" s="15" t="s">
        <v>169</v>
      </c>
      <c r="AB258" s="15" t="s">
        <v>1706</v>
      </c>
      <c r="AC258" s="15" t="s">
        <v>1707</v>
      </c>
      <c r="AD258" s="15" t="s">
        <v>4732</v>
      </c>
      <c r="AE258" s="15" t="s">
        <v>109</v>
      </c>
      <c r="AF258" s="15" t="s">
        <v>4733</v>
      </c>
      <c r="AG258" s="15" t="s">
        <v>39</v>
      </c>
      <c r="AH258" s="15" t="s">
        <v>39</v>
      </c>
      <c r="AI258" s="15" t="s">
        <v>4734</v>
      </c>
      <c r="AJ258" s="15" t="s">
        <v>4735</v>
      </c>
      <c r="AK258" s="15" t="s">
        <v>1327</v>
      </c>
      <c r="AL258" s="15" t="s">
        <v>88</v>
      </c>
    </row>
    <row r="259" spans="1:38" x14ac:dyDescent="0.4">
      <c r="A259" s="11" t="s">
        <v>4736</v>
      </c>
      <c r="B259" s="12" t="s">
        <v>4737</v>
      </c>
      <c r="C259" s="13" t="s">
        <v>39</v>
      </c>
      <c r="D259" s="13" t="s">
        <v>92</v>
      </c>
      <c r="E259" s="13" t="s">
        <v>4738</v>
      </c>
      <c r="F259" s="13" t="s">
        <v>42</v>
      </c>
      <c r="G259" s="13" t="s">
        <v>39</v>
      </c>
      <c r="H259" s="13" t="s">
        <v>4739</v>
      </c>
      <c r="I259" s="9">
        <f t="shared" ref="I259:I322" ca="1" si="4">DATEDIF(H259, TODAY(), "Y")</f>
        <v>6</v>
      </c>
      <c r="J259" s="13" t="s">
        <v>4740</v>
      </c>
      <c r="K259" s="13" t="s">
        <v>379</v>
      </c>
      <c r="L259" s="9" t="str">
        <f>VLOOKUP(K259,[1]中国省份_标准!$B$2:$F$35,4,FALSE)</f>
        <v>东部地区</v>
      </c>
      <c r="M259" s="9" t="str">
        <f>VLOOKUP(K259,[1]中国省份_标准!$B$2:$F$35,5,FALSE)</f>
        <v>华东地区</v>
      </c>
      <c r="N259" s="13" t="s">
        <v>1276</v>
      </c>
      <c r="O259" s="13" t="s">
        <v>1315</v>
      </c>
      <c r="P259" s="13" t="s">
        <v>4741</v>
      </c>
      <c r="Q259" s="13" t="s">
        <v>39</v>
      </c>
      <c r="R259" s="13" t="s">
        <v>39</v>
      </c>
      <c r="S259" s="13" t="s">
        <v>39</v>
      </c>
      <c r="T259" s="13" t="s">
        <v>281</v>
      </c>
      <c r="U259" s="13" t="s">
        <v>4737</v>
      </c>
      <c r="V259" s="13" t="s">
        <v>39</v>
      </c>
      <c r="W259" s="13" t="s">
        <v>4742</v>
      </c>
      <c r="X259" s="13" t="s">
        <v>212</v>
      </c>
      <c r="Y259" s="13" t="s">
        <v>78</v>
      </c>
      <c r="Z259" s="13" t="s">
        <v>4743</v>
      </c>
      <c r="AA259" s="13" t="s">
        <v>169</v>
      </c>
      <c r="AB259" s="13" t="s">
        <v>1264</v>
      </c>
      <c r="AC259" s="13" t="s">
        <v>1265</v>
      </c>
      <c r="AD259" s="13" t="s">
        <v>1265</v>
      </c>
      <c r="AE259" s="13" t="s">
        <v>55</v>
      </c>
      <c r="AF259" s="13" t="s">
        <v>4744</v>
      </c>
      <c r="AG259" s="13" t="s">
        <v>39</v>
      </c>
      <c r="AH259" s="13" t="s">
        <v>4745</v>
      </c>
      <c r="AI259" s="13" t="s">
        <v>4746</v>
      </c>
      <c r="AJ259" s="13" t="s">
        <v>4747</v>
      </c>
      <c r="AK259" s="13" t="s">
        <v>1327</v>
      </c>
      <c r="AL259" s="13" t="s">
        <v>88</v>
      </c>
    </row>
    <row r="260" spans="1:38" x14ac:dyDescent="0.4">
      <c r="A260" s="11" t="s">
        <v>4748</v>
      </c>
      <c r="B260" s="14" t="s">
        <v>4749</v>
      </c>
      <c r="C260" s="15" t="s">
        <v>39</v>
      </c>
      <c r="D260" s="15" t="s">
        <v>92</v>
      </c>
      <c r="E260" s="15" t="s">
        <v>4750</v>
      </c>
      <c r="F260" s="15" t="s">
        <v>4751</v>
      </c>
      <c r="G260" s="15" t="s">
        <v>4752</v>
      </c>
      <c r="H260" s="15" t="s">
        <v>4753</v>
      </c>
      <c r="I260" s="9">
        <f t="shared" ca="1" si="4"/>
        <v>6</v>
      </c>
      <c r="J260" s="15" t="s">
        <v>4754</v>
      </c>
      <c r="K260" s="15" t="s">
        <v>379</v>
      </c>
      <c r="L260" s="9" t="str">
        <f>VLOOKUP(K260,[1]中国省份_标准!$B$2:$F$35,4,FALSE)</f>
        <v>东部地区</v>
      </c>
      <c r="M260" s="9" t="str">
        <f>VLOOKUP(K260,[1]中国省份_标准!$B$2:$F$35,5,FALSE)</f>
        <v>华东地区</v>
      </c>
      <c r="N260" s="15" t="s">
        <v>1276</v>
      </c>
      <c r="O260" s="15" t="s">
        <v>1315</v>
      </c>
      <c r="P260" s="15" t="s">
        <v>4755</v>
      </c>
      <c r="Q260" s="15" t="s">
        <v>4756</v>
      </c>
      <c r="R260" s="15" t="s">
        <v>39</v>
      </c>
      <c r="S260" s="15" t="s">
        <v>39</v>
      </c>
      <c r="T260" s="15" t="s">
        <v>281</v>
      </c>
      <c r="U260" s="15" t="s">
        <v>4749</v>
      </c>
      <c r="V260" s="15" t="s">
        <v>4757</v>
      </c>
      <c r="W260" s="15" t="s">
        <v>4758</v>
      </c>
      <c r="X260" s="15" t="s">
        <v>557</v>
      </c>
      <c r="Y260" s="15" t="s">
        <v>283</v>
      </c>
      <c r="Z260" s="15" t="s">
        <v>4759</v>
      </c>
      <c r="AA260" s="15" t="s">
        <v>169</v>
      </c>
      <c r="AB260" s="15" t="s">
        <v>1264</v>
      </c>
      <c r="AC260" s="15" t="s">
        <v>1265</v>
      </c>
      <c r="AD260" s="15" t="s">
        <v>1265</v>
      </c>
      <c r="AE260" s="15" t="s">
        <v>55</v>
      </c>
      <c r="AF260" s="15" t="s">
        <v>4760</v>
      </c>
      <c r="AG260" s="15" t="s">
        <v>39</v>
      </c>
      <c r="AH260" s="15" t="s">
        <v>39</v>
      </c>
      <c r="AI260" s="15" t="s">
        <v>4761</v>
      </c>
      <c r="AJ260" s="15" t="s">
        <v>4762</v>
      </c>
      <c r="AK260" s="15" t="s">
        <v>1327</v>
      </c>
      <c r="AL260" s="15" t="s">
        <v>88</v>
      </c>
    </row>
    <row r="261" spans="1:38" x14ac:dyDescent="0.4">
      <c r="A261" s="11" t="s">
        <v>4763</v>
      </c>
      <c r="B261" s="12" t="s">
        <v>4764</v>
      </c>
      <c r="C261" s="13" t="s">
        <v>39</v>
      </c>
      <c r="D261" s="13" t="s">
        <v>92</v>
      </c>
      <c r="E261" s="13" t="s">
        <v>4765</v>
      </c>
      <c r="F261" s="13" t="s">
        <v>4766</v>
      </c>
      <c r="G261" s="13" t="s">
        <v>4766</v>
      </c>
      <c r="H261" s="13" t="s">
        <v>4767</v>
      </c>
      <c r="I261" s="9">
        <f t="shared" ca="1" si="4"/>
        <v>14</v>
      </c>
      <c r="J261" s="13" t="s">
        <v>4768</v>
      </c>
      <c r="K261" s="13" t="s">
        <v>594</v>
      </c>
      <c r="L261" s="9" t="str">
        <f>VLOOKUP(K261,[1]中国省份_标准!$B$2:$F$35,4,FALSE)</f>
        <v>中部地区</v>
      </c>
      <c r="M261" s="9" t="str">
        <f>VLOOKUP(K261,[1]中国省份_标准!$B$2:$F$35,5,FALSE)</f>
        <v>华东地区</v>
      </c>
      <c r="N261" s="13" t="s">
        <v>595</v>
      </c>
      <c r="O261" s="13" t="s">
        <v>596</v>
      </c>
      <c r="P261" s="13" t="s">
        <v>4769</v>
      </c>
      <c r="Q261" s="13" t="s">
        <v>4770</v>
      </c>
      <c r="R261" s="13" t="s">
        <v>4771</v>
      </c>
      <c r="S261" s="13" t="s">
        <v>4772</v>
      </c>
      <c r="T261" s="13" t="s">
        <v>452</v>
      </c>
      <c r="U261" s="13" t="s">
        <v>4764</v>
      </c>
      <c r="V261" s="13" t="s">
        <v>4773</v>
      </c>
      <c r="W261" s="13" t="s">
        <v>4774</v>
      </c>
      <c r="X261" s="13" t="s">
        <v>4775</v>
      </c>
      <c r="Y261" s="13" t="s">
        <v>78</v>
      </c>
      <c r="Z261" s="13" t="s">
        <v>4776</v>
      </c>
      <c r="AA261" s="13" t="s">
        <v>169</v>
      </c>
      <c r="AB261" s="13" t="s">
        <v>830</v>
      </c>
      <c r="AC261" s="13" t="s">
        <v>831</v>
      </c>
      <c r="AD261" s="13" t="s">
        <v>831</v>
      </c>
      <c r="AE261" s="13" t="s">
        <v>239</v>
      </c>
      <c r="AF261" s="13" t="s">
        <v>4777</v>
      </c>
      <c r="AG261" s="13" t="s">
        <v>4778</v>
      </c>
      <c r="AH261" s="13" t="s">
        <v>39</v>
      </c>
      <c r="AI261" s="13" t="s">
        <v>4779</v>
      </c>
      <c r="AJ261" s="13" t="s">
        <v>4780</v>
      </c>
      <c r="AK261" s="13" t="s">
        <v>4781</v>
      </c>
      <c r="AL261" s="13" t="s">
        <v>88</v>
      </c>
    </row>
    <row r="262" spans="1:38" x14ac:dyDescent="0.4">
      <c r="A262" s="11" t="s">
        <v>4782</v>
      </c>
      <c r="B262" s="14" t="s">
        <v>4783</v>
      </c>
      <c r="C262" s="15" t="s">
        <v>39</v>
      </c>
      <c r="D262" s="15" t="s">
        <v>92</v>
      </c>
      <c r="E262" s="15" t="s">
        <v>4784</v>
      </c>
      <c r="F262" s="15" t="s">
        <v>4785</v>
      </c>
      <c r="G262" s="15" t="s">
        <v>39</v>
      </c>
      <c r="H262" s="15" t="s">
        <v>4786</v>
      </c>
      <c r="I262" s="9">
        <f t="shared" ca="1" si="4"/>
        <v>4</v>
      </c>
      <c r="J262" s="15" t="s">
        <v>4787</v>
      </c>
      <c r="K262" s="15" t="s">
        <v>594</v>
      </c>
      <c r="L262" s="9" t="str">
        <f>VLOOKUP(K262,[1]中国省份_标准!$B$2:$F$35,4,FALSE)</f>
        <v>中部地区</v>
      </c>
      <c r="M262" s="9" t="str">
        <f>VLOOKUP(K262,[1]中国省份_标准!$B$2:$F$35,5,FALSE)</f>
        <v>华东地区</v>
      </c>
      <c r="N262" s="15" t="s">
        <v>1238</v>
      </c>
      <c r="O262" s="15" t="s">
        <v>4788</v>
      </c>
      <c r="P262" s="15" t="s">
        <v>4789</v>
      </c>
      <c r="Q262" s="15" t="s">
        <v>39</v>
      </c>
      <c r="R262" s="15" t="s">
        <v>4790</v>
      </c>
      <c r="S262" s="15" t="s">
        <v>39</v>
      </c>
      <c r="T262" s="15" t="s">
        <v>281</v>
      </c>
      <c r="U262" s="15" t="s">
        <v>4783</v>
      </c>
      <c r="V262" s="15" t="s">
        <v>4791</v>
      </c>
      <c r="W262" s="15" t="s">
        <v>4792</v>
      </c>
      <c r="X262" s="15" t="s">
        <v>77</v>
      </c>
      <c r="Y262" s="15" t="s">
        <v>283</v>
      </c>
      <c r="Z262" s="15" t="s">
        <v>4793</v>
      </c>
      <c r="AA262" s="15" t="s">
        <v>169</v>
      </c>
      <c r="AB262" s="15" t="s">
        <v>1264</v>
      </c>
      <c r="AC262" s="15" t="s">
        <v>1457</v>
      </c>
      <c r="AD262" s="15" t="s">
        <v>1557</v>
      </c>
      <c r="AE262" s="15" t="s">
        <v>55</v>
      </c>
      <c r="AF262" s="15" t="s">
        <v>4794</v>
      </c>
      <c r="AG262" s="15" t="s">
        <v>39</v>
      </c>
      <c r="AH262" s="15" t="s">
        <v>39</v>
      </c>
      <c r="AI262" s="15" t="s">
        <v>4795</v>
      </c>
      <c r="AJ262" s="15" t="s">
        <v>4796</v>
      </c>
      <c r="AK262" s="15" t="s">
        <v>4797</v>
      </c>
      <c r="AL262" s="15" t="s">
        <v>88</v>
      </c>
    </row>
    <row r="263" spans="1:38" x14ac:dyDescent="0.4">
      <c r="A263" s="11" t="s">
        <v>4798</v>
      </c>
      <c r="B263" s="12" t="s">
        <v>4799</v>
      </c>
      <c r="C263" s="13" t="s">
        <v>39</v>
      </c>
      <c r="D263" s="13" t="s">
        <v>92</v>
      </c>
      <c r="E263" s="13" t="s">
        <v>4800</v>
      </c>
      <c r="F263" s="13" t="s">
        <v>920</v>
      </c>
      <c r="G263" s="13" t="s">
        <v>920</v>
      </c>
      <c r="H263" s="13" t="s">
        <v>4801</v>
      </c>
      <c r="I263" s="9">
        <f t="shared" ca="1" si="4"/>
        <v>9</v>
      </c>
      <c r="J263" s="13" t="s">
        <v>4802</v>
      </c>
      <c r="K263" s="13" t="s">
        <v>138</v>
      </c>
      <c r="L263" s="9" t="str">
        <f>VLOOKUP(K263,[1]中国省份_标准!$B$2:$F$35,4,FALSE)</f>
        <v>西部地区</v>
      </c>
      <c r="M263" s="9" t="str">
        <f>VLOOKUP(K263,[1]中国省份_标准!$B$2:$F$35,5,FALSE)</f>
        <v>西南地区</v>
      </c>
      <c r="N263" s="13" t="s">
        <v>4803</v>
      </c>
      <c r="O263" s="13" t="s">
        <v>4804</v>
      </c>
      <c r="P263" s="13" t="s">
        <v>4805</v>
      </c>
      <c r="Q263" s="13" t="s">
        <v>4806</v>
      </c>
      <c r="R263" s="13" t="s">
        <v>4807</v>
      </c>
      <c r="S263" s="13" t="s">
        <v>39</v>
      </c>
      <c r="T263" s="13" t="s">
        <v>209</v>
      </c>
      <c r="U263" s="13" t="s">
        <v>4799</v>
      </c>
      <c r="V263" s="13" t="s">
        <v>4808</v>
      </c>
      <c r="W263" s="13" t="s">
        <v>4809</v>
      </c>
      <c r="X263" s="13" t="s">
        <v>2312</v>
      </c>
      <c r="Y263" s="13" t="s">
        <v>78</v>
      </c>
      <c r="Z263" s="13" t="s">
        <v>4810</v>
      </c>
      <c r="AA263" s="13" t="s">
        <v>169</v>
      </c>
      <c r="AB263" s="13" t="s">
        <v>412</v>
      </c>
      <c r="AC263" s="13" t="s">
        <v>630</v>
      </c>
      <c r="AD263" s="13" t="s">
        <v>631</v>
      </c>
      <c r="AE263" s="13" t="s">
        <v>55</v>
      </c>
      <c r="AF263" s="13" t="s">
        <v>4811</v>
      </c>
      <c r="AG263" s="13" t="s">
        <v>39</v>
      </c>
      <c r="AH263" s="13" t="s">
        <v>39</v>
      </c>
      <c r="AI263" s="13" t="s">
        <v>4812</v>
      </c>
      <c r="AJ263" s="13" t="s">
        <v>4813</v>
      </c>
      <c r="AK263" s="13" t="s">
        <v>4814</v>
      </c>
      <c r="AL263" s="13" t="s">
        <v>88</v>
      </c>
    </row>
    <row r="264" spans="1:38" x14ac:dyDescent="0.4">
      <c r="A264" s="11" t="s">
        <v>4815</v>
      </c>
      <c r="B264" s="14" t="s">
        <v>4816</v>
      </c>
      <c r="C264" s="15" t="s">
        <v>39</v>
      </c>
      <c r="D264" s="15" t="s">
        <v>92</v>
      </c>
      <c r="E264" s="15" t="s">
        <v>4817</v>
      </c>
      <c r="F264" s="15" t="s">
        <v>3275</v>
      </c>
      <c r="G264" s="15" t="s">
        <v>3275</v>
      </c>
      <c r="H264" s="15" t="s">
        <v>4818</v>
      </c>
      <c r="I264" s="9">
        <f t="shared" ca="1" si="4"/>
        <v>22</v>
      </c>
      <c r="J264" s="15" t="s">
        <v>4819</v>
      </c>
      <c r="K264" s="15" t="s">
        <v>97</v>
      </c>
      <c r="L264" s="9" t="str">
        <f>VLOOKUP(K264,[1]中国省份_标准!$B$2:$F$35,4,FALSE)</f>
        <v>中部地区</v>
      </c>
      <c r="M264" s="9" t="str">
        <f>VLOOKUP(K264,[1]中国省份_标准!$B$2:$F$35,5,FALSE)</f>
        <v>华中地区</v>
      </c>
      <c r="N264" s="15" t="s">
        <v>4820</v>
      </c>
      <c r="O264" s="15" t="s">
        <v>4821</v>
      </c>
      <c r="P264" s="15" t="s">
        <v>4822</v>
      </c>
      <c r="Q264" s="15" t="s">
        <v>4823</v>
      </c>
      <c r="R264" s="15" t="s">
        <v>4824</v>
      </c>
      <c r="S264" s="15" t="s">
        <v>4825</v>
      </c>
      <c r="T264" s="15" t="s">
        <v>452</v>
      </c>
      <c r="U264" s="15" t="s">
        <v>4816</v>
      </c>
      <c r="V264" s="15" t="s">
        <v>4826</v>
      </c>
      <c r="W264" s="15" t="s">
        <v>4827</v>
      </c>
      <c r="X264" s="15" t="s">
        <v>4828</v>
      </c>
      <c r="Y264" s="15" t="s">
        <v>78</v>
      </c>
      <c r="Z264" s="15" t="s">
        <v>4829</v>
      </c>
      <c r="AA264" s="15" t="s">
        <v>169</v>
      </c>
      <c r="AB264" s="15" t="s">
        <v>830</v>
      </c>
      <c r="AC264" s="15" t="s">
        <v>2795</v>
      </c>
      <c r="AD264" s="15" t="s">
        <v>2795</v>
      </c>
      <c r="AE264" s="15" t="s">
        <v>239</v>
      </c>
      <c r="AF264" s="15" t="s">
        <v>4830</v>
      </c>
      <c r="AG264" s="15" t="s">
        <v>4831</v>
      </c>
      <c r="AH264" s="15" t="s">
        <v>39</v>
      </c>
      <c r="AI264" s="15" t="s">
        <v>4832</v>
      </c>
      <c r="AJ264" s="15" t="s">
        <v>4833</v>
      </c>
      <c r="AK264" s="15" t="s">
        <v>4834</v>
      </c>
      <c r="AL264" s="15" t="s">
        <v>88</v>
      </c>
    </row>
    <row r="265" spans="1:38" x14ac:dyDescent="0.4">
      <c r="A265" s="11" t="s">
        <v>4835</v>
      </c>
      <c r="B265" s="12" t="s">
        <v>4836</v>
      </c>
      <c r="C265" s="13" t="s">
        <v>39</v>
      </c>
      <c r="D265" s="13" t="s">
        <v>92</v>
      </c>
      <c r="E265" s="13" t="s">
        <v>4837</v>
      </c>
      <c r="F265" s="13" t="s">
        <v>4838</v>
      </c>
      <c r="G265" s="13" t="s">
        <v>4838</v>
      </c>
      <c r="H265" s="13" t="s">
        <v>4839</v>
      </c>
      <c r="I265" s="9">
        <f t="shared" ca="1" si="4"/>
        <v>16</v>
      </c>
      <c r="J265" s="13" t="s">
        <v>4840</v>
      </c>
      <c r="K265" s="13" t="s">
        <v>1752</v>
      </c>
      <c r="L265" s="9" t="str">
        <f>VLOOKUP(K265,[1]中国省份_标准!$B$2:$F$35,4,FALSE)</f>
        <v>中部地区</v>
      </c>
      <c r="M265" s="9" t="str">
        <f>VLOOKUP(K265,[1]中国省份_标准!$B$2:$F$35,5,FALSE)</f>
        <v>华中地区</v>
      </c>
      <c r="N265" s="13" t="s">
        <v>1753</v>
      </c>
      <c r="O265" s="13" t="s">
        <v>4841</v>
      </c>
      <c r="P265" s="13" t="s">
        <v>4842</v>
      </c>
      <c r="Q265" s="13" t="s">
        <v>4843</v>
      </c>
      <c r="R265" s="13" t="s">
        <v>4844</v>
      </c>
      <c r="S265" s="13" t="s">
        <v>4845</v>
      </c>
      <c r="T265" s="13" t="s">
        <v>452</v>
      </c>
      <c r="U265" s="13" t="s">
        <v>4836</v>
      </c>
      <c r="V265" s="13" t="s">
        <v>4846</v>
      </c>
      <c r="W265" s="13" t="s">
        <v>4847</v>
      </c>
      <c r="X265" s="13" t="s">
        <v>4848</v>
      </c>
      <c r="Y265" s="13" t="s">
        <v>78</v>
      </c>
      <c r="Z265" s="13" t="s">
        <v>4849</v>
      </c>
      <c r="AA265" s="13" t="s">
        <v>169</v>
      </c>
      <c r="AB265" s="13" t="s">
        <v>1996</v>
      </c>
      <c r="AC265" s="13" t="s">
        <v>4850</v>
      </c>
      <c r="AD265" s="13" t="s">
        <v>4850</v>
      </c>
      <c r="AE265" s="13" t="s">
        <v>55</v>
      </c>
      <c r="AF265" s="13" t="s">
        <v>4851</v>
      </c>
      <c r="AG265" s="13" t="s">
        <v>39</v>
      </c>
      <c r="AH265" s="13" t="s">
        <v>39</v>
      </c>
      <c r="AI265" s="13" t="s">
        <v>4852</v>
      </c>
      <c r="AJ265" s="13" t="s">
        <v>4853</v>
      </c>
      <c r="AK265" s="13" t="s">
        <v>4854</v>
      </c>
      <c r="AL265" s="13" t="s">
        <v>88</v>
      </c>
    </row>
    <row r="266" spans="1:38" x14ac:dyDescent="0.4">
      <c r="A266" s="11" t="s">
        <v>4855</v>
      </c>
      <c r="B266" s="14" t="s">
        <v>4856</v>
      </c>
      <c r="C266" s="15" t="s">
        <v>39</v>
      </c>
      <c r="D266" s="15" t="s">
        <v>92</v>
      </c>
      <c r="E266" s="15" t="s">
        <v>4857</v>
      </c>
      <c r="F266" s="15" t="s">
        <v>640</v>
      </c>
      <c r="G266" s="15" t="s">
        <v>39</v>
      </c>
      <c r="H266" s="15" t="s">
        <v>4858</v>
      </c>
      <c r="I266" s="9">
        <f t="shared" ca="1" si="4"/>
        <v>5</v>
      </c>
      <c r="J266" s="15" t="s">
        <v>4859</v>
      </c>
      <c r="K266" s="15" t="s">
        <v>4860</v>
      </c>
      <c r="L266" s="9" t="str">
        <f>VLOOKUP(K266,[1]中国省份_标准!$B$2:$F$35,4,FALSE)</f>
        <v>东部地区</v>
      </c>
      <c r="M266" s="9" t="str">
        <f>VLOOKUP(K266,[1]中国省份_标准!$B$2:$F$35,5,FALSE)</f>
        <v>华南地区</v>
      </c>
      <c r="N266" s="15" t="s">
        <v>4861</v>
      </c>
      <c r="O266" s="15" t="s">
        <v>4862</v>
      </c>
      <c r="P266" s="15" t="s">
        <v>4863</v>
      </c>
      <c r="Q266" s="15" t="s">
        <v>4864</v>
      </c>
      <c r="R266" s="15" t="s">
        <v>4865</v>
      </c>
      <c r="S266" s="15" t="s">
        <v>4002</v>
      </c>
      <c r="T266" s="15" t="s">
        <v>184</v>
      </c>
      <c r="U266" s="15" t="s">
        <v>4856</v>
      </c>
      <c r="V266" s="15" t="s">
        <v>4866</v>
      </c>
      <c r="W266" s="15" t="s">
        <v>4867</v>
      </c>
      <c r="X266" s="15" t="s">
        <v>77</v>
      </c>
      <c r="Y266" s="15" t="s">
        <v>78</v>
      </c>
      <c r="Z266" s="15" t="s">
        <v>4868</v>
      </c>
      <c r="AA266" s="15" t="s">
        <v>80</v>
      </c>
      <c r="AB266" s="15" t="s">
        <v>81</v>
      </c>
      <c r="AC266" s="15" t="s">
        <v>2094</v>
      </c>
      <c r="AD266" s="15" t="s">
        <v>2095</v>
      </c>
      <c r="AE266" s="15" t="s">
        <v>262</v>
      </c>
      <c r="AF266" s="15" t="s">
        <v>4869</v>
      </c>
      <c r="AG266" s="15" t="s">
        <v>39</v>
      </c>
      <c r="AH266" s="15" t="s">
        <v>39</v>
      </c>
      <c r="AI266" s="15" t="s">
        <v>4870</v>
      </c>
      <c r="AJ266" s="15" t="s">
        <v>4871</v>
      </c>
      <c r="AK266" s="15" t="s">
        <v>4872</v>
      </c>
      <c r="AL266" s="15" t="s">
        <v>88</v>
      </c>
    </row>
    <row r="267" spans="1:38" x14ac:dyDescent="0.4">
      <c r="A267" s="11" t="s">
        <v>4873</v>
      </c>
      <c r="B267" s="12" t="s">
        <v>4874</v>
      </c>
      <c r="C267" s="13" t="s">
        <v>39</v>
      </c>
      <c r="D267" s="13" t="s">
        <v>63</v>
      </c>
      <c r="E267" s="13" t="s">
        <v>4875</v>
      </c>
      <c r="F267" s="13" t="s">
        <v>4876</v>
      </c>
      <c r="G267" s="13" t="s">
        <v>4876</v>
      </c>
      <c r="H267" s="13" t="s">
        <v>4877</v>
      </c>
      <c r="I267" s="9">
        <f t="shared" ca="1" si="4"/>
        <v>24</v>
      </c>
      <c r="J267" s="13" t="s">
        <v>4878</v>
      </c>
      <c r="K267" s="13" t="s">
        <v>425</v>
      </c>
      <c r="L267" s="9" t="str">
        <f>VLOOKUP(K267,[1]中国省份_标准!$B$2:$F$35,4,FALSE)</f>
        <v>东部地区</v>
      </c>
      <c r="M267" s="9" t="str">
        <f>VLOOKUP(K267,[1]中国省份_标准!$B$2:$F$35,5,FALSE)</f>
        <v>华东地区</v>
      </c>
      <c r="N267" s="13" t="s">
        <v>3013</v>
      </c>
      <c r="O267" s="13" t="s">
        <v>4879</v>
      </c>
      <c r="P267" s="13" t="s">
        <v>4880</v>
      </c>
      <c r="Q267" s="13" t="s">
        <v>4881</v>
      </c>
      <c r="R267" s="13" t="s">
        <v>4882</v>
      </c>
      <c r="S267" s="13" t="s">
        <v>4883</v>
      </c>
      <c r="T267" s="13" t="s">
        <v>4884</v>
      </c>
      <c r="U267" s="13" t="s">
        <v>4874</v>
      </c>
      <c r="V267" s="13" t="s">
        <v>4885</v>
      </c>
      <c r="W267" s="13" t="s">
        <v>4886</v>
      </c>
      <c r="X267" s="13" t="s">
        <v>4887</v>
      </c>
      <c r="Y267" s="13" t="s">
        <v>78</v>
      </c>
      <c r="Z267" s="13" t="s">
        <v>4888</v>
      </c>
      <c r="AA267" s="13" t="s">
        <v>169</v>
      </c>
      <c r="AB267" s="13" t="s">
        <v>1264</v>
      </c>
      <c r="AC267" s="13" t="s">
        <v>1457</v>
      </c>
      <c r="AD267" s="13" t="s">
        <v>39</v>
      </c>
      <c r="AE267" s="13" t="s">
        <v>239</v>
      </c>
      <c r="AF267" s="13" t="s">
        <v>4889</v>
      </c>
      <c r="AG267" s="13" t="s">
        <v>4890</v>
      </c>
      <c r="AH267" s="13" t="s">
        <v>39</v>
      </c>
      <c r="AI267" s="13" t="s">
        <v>4891</v>
      </c>
      <c r="AJ267" s="13" t="s">
        <v>4892</v>
      </c>
      <c r="AK267" s="13" t="s">
        <v>4893</v>
      </c>
      <c r="AL267" s="13" t="s">
        <v>88</v>
      </c>
    </row>
    <row r="268" spans="1:38" x14ac:dyDescent="0.4">
      <c r="A268" s="11" t="s">
        <v>4894</v>
      </c>
      <c r="B268" s="14" t="s">
        <v>4895</v>
      </c>
      <c r="C268" s="15" t="s">
        <v>39</v>
      </c>
      <c r="D268" s="15" t="s">
        <v>4896</v>
      </c>
      <c r="E268" s="15" t="s">
        <v>4897</v>
      </c>
      <c r="F268" s="15" t="s">
        <v>640</v>
      </c>
      <c r="G268" s="15" t="s">
        <v>39</v>
      </c>
      <c r="H268" s="15" t="s">
        <v>4898</v>
      </c>
      <c r="I268" s="9">
        <f t="shared" ca="1" si="4"/>
        <v>5</v>
      </c>
      <c r="J268" s="15" t="s">
        <v>4899</v>
      </c>
      <c r="K268" s="15" t="s">
        <v>379</v>
      </c>
      <c r="L268" s="9" t="str">
        <f>VLOOKUP(K268,[1]中国省份_标准!$B$2:$F$35,4,FALSE)</f>
        <v>东部地区</v>
      </c>
      <c r="M268" s="9" t="str">
        <f>VLOOKUP(K268,[1]中国省份_标准!$B$2:$F$35,5,FALSE)</f>
        <v>华东地区</v>
      </c>
      <c r="N268" s="15" t="s">
        <v>1276</v>
      </c>
      <c r="O268" s="15" t="s">
        <v>1315</v>
      </c>
      <c r="P268" s="15" t="s">
        <v>4900</v>
      </c>
      <c r="Q268" s="15" t="s">
        <v>4901</v>
      </c>
      <c r="R268" s="15" t="s">
        <v>39</v>
      </c>
      <c r="S268" s="15" t="s">
        <v>39</v>
      </c>
      <c r="T268" s="15" t="s">
        <v>281</v>
      </c>
      <c r="U268" s="15" t="s">
        <v>4895</v>
      </c>
      <c r="V268" s="15" t="s">
        <v>39</v>
      </c>
      <c r="W268" s="15" t="s">
        <v>4902</v>
      </c>
      <c r="X268" s="15" t="s">
        <v>77</v>
      </c>
      <c r="Y268" s="15" t="s">
        <v>283</v>
      </c>
      <c r="Z268" s="15" t="s">
        <v>4903</v>
      </c>
      <c r="AA268" s="15" t="s">
        <v>169</v>
      </c>
      <c r="AB268" s="15" t="s">
        <v>1264</v>
      </c>
      <c r="AC268" s="15" t="s">
        <v>1457</v>
      </c>
      <c r="AD268" s="15" t="s">
        <v>1557</v>
      </c>
      <c r="AE268" s="15" t="s">
        <v>55</v>
      </c>
      <c r="AF268" s="15" t="s">
        <v>4904</v>
      </c>
      <c r="AG268" s="15" t="s">
        <v>39</v>
      </c>
      <c r="AH268" s="15" t="s">
        <v>39</v>
      </c>
      <c r="AI268" s="15" t="s">
        <v>4905</v>
      </c>
      <c r="AJ268" s="15" t="s">
        <v>1516</v>
      </c>
      <c r="AK268" s="15" t="s">
        <v>1424</v>
      </c>
      <c r="AL268" s="15" t="s">
        <v>88</v>
      </c>
    </row>
    <row r="269" spans="1:38" x14ac:dyDescent="0.4">
      <c r="A269" s="11" t="s">
        <v>4906</v>
      </c>
      <c r="B269" s="12" t="s">
        <v>4907</v>
      </c>
      <c r="C269" s="13" t="s">
        <v>4908</v>
      </c>
      <c r="D269" s="13" t="s">
        <v>63</v>
      </c>
      <c r="E269" s="13" t="s">
        <v>4909</v>
      </c>
      <c r="F269" s="13" t="s">
        <v>422</v>
      </c>
      <c r="G269" s="13" t="s">
        <v>39</v>
      </c>
      <c r="H269" s="13" t="s">
        <v>4910</v>
      </c>
      <c r="I269" s="9">
        <f t="shared" ca="1" si="4"/>
        <v>16</v>
      </c>
      <c r="J269" s="13" t="s">
        <v>4911</v>
      </c>
      <c r="K269" s="13" t="s">
        <v>67</v>
      </c>
      <c r="L269" s="9" t="str">
        <f>VLOOKUP(K269,[1]中国省份_标准!$B$2:$F$35,4,FALSE)</f>
        <v>东部地区</v>
      </c>
      <c r="M269" s="9" t="str">
        <f>VLOOKUP(K269,[1]中国省份_标准!$B$2:$F$35,5,FALSE)</f>
        <v>华东地区</v>
      </c>
      <c r="N269" s="13" t="s">
        <v>1663</v>
      </c>
      <c r="O269" s="13" t="s">
        <v>1664</v>
      </c>
      <c r="P269" s="13" t="s">
        <v>4912</v>
      </c>
      <c r="Q269" s="13" t="s">
        <v>4913</v>
      </c>
      <c r="R269" s="13" t="s">
        <v>4914</v>
      </c>
      <c r="S269" s="13" t="s">
        <v>4915</v>
      </c>
      <c r="T269" s="13" t="s">
        <v>164</v>
      </c>
      <c r="U269" s="13" t="s">
        <v>4907</v>
      </c>
      <c r="V269" s="13" t="s">
        <v>4916</v>
      </c>
      <c r="W269" s="13" t="s">
        <v>4917</v>
      </c>
      <c r="X269" s="13" t="s">
        <v>77</v>
      </c>
      <c r="Y269" s="13" t="s">
        <v>78</v>
      </c>
      <c r="Z269" s="13" t="s">
        <v>168</v>
      </c>
      <c r="AA269" s="13" t="s">
        <v>80</v>
      </c>
      <c r="AB269" s="13" t="s">
        <v>106</v>
      </c>
      <c r="AC269" s="13" t="s">
        <v>808</v>
      </c>
      <c r="AD269" s="13" t="s">
        <v>4918</v>
      </c>
      <c r="AE269" s="13" t="s">
        <v>109</v>
      </c>
      <c r="AF269" s="13" t="s">
        <v>4919</v>
      </c>
      <c r="AG269" s="13" t="s">
        <v>39</v>
      </c>
      <c r="AH269" s="13" t="s">
        <v>39</v>
      </c>
      <c r="AI269" s="13" t="s">
        <v>39</v>
      </c>
      <c r="AJ269" s="13" t="s">
        <v>4920</v>
      </c>
      <c r="AK269" s="13" t="s">
        <v>1676</v>
      </c>
      <c r="AL269" s="13" t="s">
        <v>88</v>
      </c>
    </row>
    <row r="270" spans="1:38" x14ac:dyDescent="0.4">
      <c r="A270" s="11" t="s">
        <v>4921</v>
      </c>
      <c r="B270" s="14" t="s">
        <v>4922</v>
      </c>
      <c r="C270" s="15" t="s">
        <v>39</v>
      </c>
      <c r="D270" s="15" t="s">
        <v>92</v>
      </c>
      <c r="E270" s="15" t="s">
        <v>4923</v>
      </c>
      <c r="F270" s="15" t="s">
        <v>271</v>
      </c>
      <c r="G270" s="15" t="s">
        <v>271</v>
      </c>
      <c r="H270" s="15" t="s">
        <v>4924</v>
      </c>
      <c r="I270" s="9">
        <f t="shared" ca="1" si="4"/>
        <v>27</v>
      </c>
      <c r="J270" s="15" t="s">
        <v>4925</v>
      </c>
      <c r="K270" s="15" t="s">
        <v>97</v>
      </c>
      <c r="L270" s="9" t="str">
        <f>VLOOKUP(K270,[1]中国省份_标准!$B$2:$F$35,4,FALSE)</f>
        <v>中部地区</v>
      </c>
      <c r="M270" s="9" t="str">
        <f>VLOOKUP(K270,[1]中国省份_标准!$B$2:$F$35,5,FALSE)</f>
        <v>华中地区</v>
      </c>
      <c r="N270" s="15" t="s">
        <v>4926</v>
      </c>
      <c r="O270" s="15" t="s">
        <v>4927</v>
      </c>
      <c r="P270" s="15" t="s">
        <v>4928</v>
      </c>
      <c r="Q270" s="15" t="s">
        <v>4929</v>
      </c>
      <c r="R270" s="15" t="s">
        <v>4930</v>
      </c>
      <c r="S270" s="15" t="s">
        <v>4931</v>
      </c>
      <c r="T270" s="15" t="s">
        <v>281</v>
      </c>
      <c r="U270" s="15" t="s">
        <v>4922</v>
      </c>
      <c r="V270" s="15" t="s">
        <v>4932</v>
      </c>
      <c r="W270" s="15" t="s">
        <v>4933</v>
      </c>
      <c r="X270" s="15" t="s">
        <v>4934</v>
      </c>
      <c r="Y270" s="15" t="s">
        <v>78</v>
      </c>
      <c r="Z270" s="15" t="s">
        <v>4935</v>
      </c>
      <c r="AA270" s="15" t="s">
        <v>169</v>
      </c>
      <c r="AB270" s="15" t="s">
        <v>1996</v>
      </c>
      <c r="AC270" s="15" t="s">
        <v>1997</v>
      </c>
      <c r="AD270" s="15" t="s">
        <v>1997</v>
      </c>
      <c r="AE270" s="15" t="s">
        <v>55</v>
      </c>
      <c r="AF270" s="15" t="s">
        <v>4936</v>
      </c>
      <c r="AG270" s="15" t="s">
        <v>4937</v>
      </c>
      <c r="AH270" s="15" t="s">
        <v>39</v>
      </c>
      <c r="AI270" s="15" t="s">
        <v>4938</v>
      </c>
      <c r="AJ270" s="15" t="s">
        <v>4939</v>
      </c>
      <c r="AK270" s="15" t="s">
        <v>4940</v>
      </c>
      <c r="AL270" s="15" t="s">
        <v>88</v>
      </c>
    </row>
    <row r="271" spans="1:38" x14ac:dyDescent="0.4">
      <c r="A271" s="11" t="s">
        <v>4941</v>
      </c>
      <c r="B271" s="12" t="s">
        <v>4942</v>
      </c>
      <c r="C271" s="13" t="s">
        <v>39</v>
      </c>
      <c r="D271" s="13" t="s">
        <v>92</v>
      </c>
      <c r="E271" s="13" t="s">
        <v>4943</v>
      </c>
      <c r="F271" s="13" t="s">
        <v>4944</v>
      </c>
      <c r="G271" s="13" t="s">
        <v>4944</v>
      </c>
      <c r="H271" s="13" t="s">
        <v>4945</v>
      </c>
      <c r="I271" s="9">
        <f t="shared" ca="1" si="4"/>
        <v>30</v>
      </c>
      <c r="J271" s="13" t="s">
        <v>4946</v>
      </c>
      <c r="K271" s="13" t="s">
        <v>138</v>
      </c>
      <c r="L271" s="9" t="str">
        <f>VLOOKUP(K271,[1]中国省份_标准!$B$2:$F$35,4,FALSE)</f>
        <v>西部地区</v>
      </c>
      <c r="M271" s="9" t="str">
        <f>VLOOKUP(K271,[1]中国省份_标准!$B$2:$F$35,5,FALSE)</f>
        <v>西南地区</v>
      </c>
      <c r="N271" s="13" t="s">
        <v>139</v>
      </c>
      <c r="O271" s="13" t="s">
        <v>4947</v>
      </c>
      <c r="P271" s="13" t="s">
        <v>4948</v>
      </c>
      <c r="Q271" s="13" t="s">
        <v>4949</v>
      </c>
      <c r="R271" s="13" t="s">
        <v>4950</v>
      </c>
      <c r="S271" s="13" t="s">
        <v>4951</v>
      </c>
      <c r="T271" s="13" t="s">
        <v>3324</v>
      </c>
      <c r="U271" s="13" t="s">
        <v>4942</v>
      </c>
      <c r="V271" s="13" t="s">
        <v>4952</v>
      </c>
      <c r="W271" s="13" t="s">
        <v>4953</v>
      </c>
      <c r="X271" s="13" t="s">
        <v>4954</v>
      </c>
      <c r="Y271" s="13" t="s">
        <v>78</v>
      </c>
      <c r="Z271" s="13" t="s">
        <v>4955</v>
      </c>
      <c r="AA271" s="13" t="s">
        <v>169</v>
      </c>
      <c r="AB271" s="13" t="s">
        <v>4956</v>
      </c>
      <c r="AC271" s="13" t="s">
        <v>4957</v>
      </c>
      <c r="AD271" s="13" t="s">
        <v>4958</v>
      </c>
      <c r="AE271" s="13" t="s">
        <v>239</v>
      </c>
      <c r="AF271" s="13" t="s">
        <v>4959</v>
      </c>
      <c r="AG271" s="13" t="s">
        <v>4960</v>
      </c>
      <c r="AH271" s="13" t="s">
        <v>39</v>
      </c>
      <c r="AI271" s="13" t="s">
        <v>4961</v>
      </c>
      <c r="AJ271" s="13" t="s">
        <v>4962</v>
      </c>
      <c r="AK271" s="13" t="s">
        <v>4963</v>
      </c>
      <c r="AL271" s="13" t="s">
        <v>88</v>
      </c>
    </row>
    <row r="272" spans="1:38" x14ac:dyDescent="0.4">
      <c r="A272" s="11" t="s">
        <v>4964</v>
      </c>
      <c r="B272" s="14" t="s">
        <v>4965</v>
      </c>
      <c r="C272" s="15" t="s">
        <v>4966</v>
      </c>
      <c r="D272" s="15" t="s">
        <v>92</v>
      </c>
      <c r="E272" s="15" t="s">
        <v>4967</v>
      </c>
      <c r="F272" s="15" t="s">
        <v>2322</v>
      </c>
      <c r="G272" s="15" t="s">
        <v>2322</v>
      </c>
      <c r="H272" s="15" t="s">
        <v>4968</v>
      </c>
      <c r="I272" s="9">
        <f t="shared" ca="1" si="4"/>
        <v>26</v>
      </c>
      <c r="J272" s="15" t="s">
        <v>4969</v>
      </c>
      <c r="K272" s="15" t="s">
        <v>594</v>
      </c>
      <c r="L272" s="9" t="str">
        <f>VLOOKUP(K272,[1]中国省份_标准!$B$2:$F$35,4,FALSE)</f>
        <v>中部地区</v>
      </c>
      <c r="M272" s="9" t="str">
        <f>VLOOKUP(K272,[1]中国省份_标准!$B$2:$F$35,5,FALSE)</f>
        <v>华东地区</v>
      </c>
      <c r="N272" s="15" t="s">
        <v>1578</v>
      </c>
      <c r="O272" s="15" t="s">
        <v>4360</v>
      </c>
      <c r="P272" s="15" t="s">
        <v>4970</v>
      </c>
      <c r="Q272" s="15" t="s">
        <v>4971</v>
      </c>
      <c r="R272" s="15" t="s">
        <v>1295</v>
      </c>
      <c r="S272" s="15" t="s">
        <v>4972</v>
      </c>
      <c r="T272" s="15" t="s">
        <v>407</v>
      </c>
      <c r="U272" s="15" t="s">
        <v>4965</v>
      </c>
      <c r="V272" s="15" t="s">
        <v>4973</v>
      </c>
      <c r="W272" s="15" t="s">
        <v>4974</v>
      </c>
      <c r="X272" s="15" t="s">
        <v>4975</v>
      </c>
      <c r="Y272" s="15" t="s">
        <v>78</v>
      </c>
      <c r="Z272" s="15" t="s">
        <v>4976</v>
      </c>
      <c r="AA272" s="15" t="s">
        <v>169</v>
      </c>
      <c r="AB272" s="15" t="s">
        <v>412</v>
      </c>
      <c r="AC272" s="15" t="s">
        <v>4977</v>
      </c>
      <c r="AD272" s="15" t="s">
        <v>39</v>
      </c>
      <c r="AE272" s="15" t="s">
        <v>262</v>
      </c>
      <c r="AF272" s="15" t="s">
        <v>4978</v>
      </c>
      <c r="AG272" s="15" t="s">
        <v>4979</v>
      </c>
      <c r="AH272" s="15" t="s">
        <v>1304</v>
      </c>
      <c r="AI272" s="15" t="s">
        <v>4980</v>
      </c>
      <c r="AJ272" s="15" t="s">
        <v>4981</v>
      </c>
      <c r="AK272" s="15" t="s">
        <v>4982</v>
      </c>
      <c r="AL272" s="15" t="s">
        <v>88</v>
      </c>
    </row>
    <row r="273" spans="1:38" x14ac:dyDescent="0.4">
      <c r="A273" s="11" t="s">
        <v>4983</v>
      </c>
      <c r="B273" s="12" t="s">
        <v>4984</v>
      </c>
      <c r="C273" s="13" t="s">
        <v>39</v>
      </c>
      <c r="D273" s="13" t="s">
        <v>92</v>
      </c>
      <c r="E273" s="13" t="s">
        <v>4985</v>
      </c>
      <c r="F273" s="13" t="s">
        <v>1428</v>
      </c>
      <c r="G273" s="13" t="s">
        <v>1428</v>
      </c>
      <c r="H273" s="13" t="s">
        <v>4986</v>
      </c>
      <c r="I273" s="9">
        <f t="shared" ca="1" si="4"/>
        <v>10</v>
      </c>
      <c r="J273" s="13" t="s">
        <v>4987</v>
      </c>
      <c r="K273" s="13" t="s">
        <v>983</v>
      </c>
      <c r="L273" s="9" t="str">
        <f>VLOOKUP(K273,[1]中国省份_标准!$B$2:$F$35,4,FALSE)</f>
        <v>西部地区</v>
      </c>
      <c r="M273" s="9" t="str">
        <f>VLOOKUP(K273,[1]中国省份_标准!$B$2:$F$35,5,FALSE)</f>
        <v>华北地区</v>
      </c>
      <c r="N273" s="13" t="s">
        <v>1431</v>
      </c>
      <c r="O273" s="13" t="s">
        <v>1432</v>
      </c>
      <c r="P273" s="13" t="s">
        <v>4988</v>
      </c>
      <c r="Q273" s="13" t="s">
        <v>4989</v>
      </c>
      <c r="R273" s="13" t="s">
        <v>4990</v>
      </c>
      <c r="S273" s="13" t="s">
        <v>4991</v>
      </c>
      <c r="T273" s="13" t="s">
        <v>281</v>
      </c>
      <c r="U273" s="13" t="s">
        <v>4984</v>
      </c>
      <c r="V273" s="13" t="s">
        <v>4992</v>
      </c>
      <c r="W273" s="13" t="s">
        <v>4993</v>
      </c>
      <c r="X273" s="13" t="s">
        <v>77</v>
      </c>
      <c r="Y273" s="13" t="s">
        <v>78</v>
      </c>
      <c r="Z273" s="13" t="s">
        <v>4994</v>
      </c>
      <c r="AA273" s="13" t="s">
        <v>80</v>
      </c>
      <c r="AB273" s="13" t="s">
        <v>81</v>
      </c>
      <c r="AC273" s="13" t="s">
        <v>39</v>
      </c>
      <c r="AD273" s="13" t="s">
        <v>39</v>
      </c>
      <c r="AE273" s="13" t="s">
        <v>55</v>
      </c>
      <c r="AF273" s="13" t="s">
        <v>4995</v>
      </c>
      <c r="AG273" s="13" t="s">
        <v>39</v>
      </c>
      <c r="AH273" s="13" t="s">
        <v>39</v>
      </c>
      <c r="AI273" s="13" t="s">
        <v>4996</v>
      </c>
      <c r="AJ273" s="13" t="s">
        <v>4997</v>
      </c>
      <c r="AK273" s="13" t="s">
        <v>1442</v>
      </c>
      <c r="AL273" s="13" t="s">
        <v>88</v>
      </c>
    </row>
    <row r="274" spans="1:38" x14ac:dyDescent="0.4">
      <c r="A274" s="11" t="s">
        <v>4998</v>
      </c>
      <c r="B274" s="14" t="s">
        <v>4999</v>
      </c>
      <c r="C274" s="15" t="s">
        <v>39</v>
      </c>
      <c r="D274" s="15" t="s">
        <v>92</v>
      </c>
      <c r="E274" s="15" t="s">
        <v>5000</v>
      </c>
      <c r="F274" s="15" t="s">
        <v>1447</v>
      </c>
      <c r="G274" s="15" t="s">
        <v>39</v>
      </c>
      <c r="H274" s="15" t="s">
        <v>5001</v>
      </c>
      <c r="I274" s="9">
        <f t="shared" ca="1" si="4"/>
        <v>3</v>
      </c>
      <c r="J274" s="15" t="s">
        <v>5002</v>
      </c>
      <c r="K274" s="15" t="s">
        <v>903</v>
      </c>
      <c r="L274" s="9" t="str">
        <f>VLOOKUP(K274,[1]中国省份_标准!$B$2:$F$35,4,FALSE)</f>
        <v>东北地区</v>
      </c>
      <c r="M274" s="9" t="str">
        <f>VLOOKUP(K274,[1]中国省份_标准!$B$2:$F$35,5,FALSE)</f>
        <v>东北地区</v>
      </c>
      <c r="N274" s="15" t="s">
        <v>904</v>
      </c>
      <c r="O274" s="15" t="s">
        <v>5003</v>
      </c>
      <c r="P274" s="15" t="s">
        <v>5004</v>
      </c>
      <c r="Q274" s="15" t="s">
        <v>39</v>
      </c>
      <c r="R274" s="15" t="s">
        <v>5005</v>
      </c>
      <c r="S274" s="15" t="s">
        <v>39</v>
      </c>
      <c r="T274" s="15" t="s">
        <v>164</v>
      </c>
      <c r="U274" s="15" t="s">
        <v>4999</v>
      </c>
      <c r="V274" s="15" t="s">
        <v>5006</v>
      </c>
      <c r="W274" s="15" t="s">
        <v>5007</v>
      </c>
      <c r="X274" s="15" t="s">
        <v>77</v>
      </c>
      <c r="Y274" s="15" t="s">
        <v>78</v>
      </c>
      <c r="Z274" s="15" t="s">
        <v>168</v>
      </c>
      <c r="AA274" s="15" t="s">
        <v>309</v>
      </c>
      <c r="AB274" s="15" t="s">
        <v>654</v>
      </c>
      <c r="AC274" s="15" t="s">
        <v>655</v>
      </c>
      <c r="AD274" s="15" t="s">
        <v>656</v>
      </c>
      <c r="AE274" s="15" t="s">
        <v>109</v>
      </c>
      <c r="AF274" s="15" t="s">
        <v>5008</v>
      </c>
      <c r="AG274" s="15" t="s">
        <v>39</v>
      </c>
      <c r="AH274" s="15" t="s">
        <v>39</v>
      </c>
      <c r="AI274" s="15" t="s">
        <v>39</v>
      </c>
      <c r="AJ274" s="15" t="s">
        <v>5009</v>
      </c>
      <c r="AK274" s="15" t="s">
        <v>5010</v>
      </c>
      <c r="AL274" s="15" t="s">
        <v>88</v>
      </c>
    </row>
    <row r="275" spans="1:38" x14ac:dyDescent="0.4">
      <c r="A275" s="11" t="s">
        <v>5011</v>
      </c>
      <c r="B275" s="12" t="s">
        <v>5012</v>
      </c>
      <c r="C275" s="13" t="s">
        <v>5013</v>
      </c>
      <c r="D275" s="13" t="s">
        <v>92</v>
      </c>
      <c r="E275" s="13" t="s">
        <v>5014</v>
      </c>
      <c r="F275" s="13" t="s">
        <v>271</v>
      </c>
      <c r="G275" s="13" t="s">
        <v>271</v>
      </c>
      <c r="H275" s="13" t="s">
        <v>5015</v>
      </c>
      <c r="I275" s="9">
        <f t="shared" ca="1" si="4"/>
        <v>13</v>
      </c>
      <c r="J275" s="13" t="s">
        <v>5016</v>
      </c>
      <c r="K275" s="13" t="s">
        <v>97</v>
      </c>
      <c r="L275" s="9" t="str">
        <f>VLOOKUP(K275,[1]中国省份_标准!$B$2:$F$35,4,FALSE)</f>
        <v>中部地区</v>
      </c>
      <c r="M275" s="9" t="str">
        <f>VLOOKUP(K275,[1]中国省份_标准!$B$2:$F$35,5,FALSE)</f>
        <v>华中地区</v>
      </c>
      <c r="N275" s="13" t="s">
        <v>5017</v>
      </c>
      <c r="O275" s="13" t="s">
        <v>5018</v>
      </c>
      <c r="P275" s="13" t="s">
        <v>5019</v>
      </c>
      <c r="Q275" s="13" t="s">
        <v>5020</v>
      </c>
      <c r="R275" s="13" t="s">
        <v>5021</v>
      </c>
      <c r="S275" s="13" t="s">
        <v>5022</v>
      </c>
      <c r="T275" s="13" t="s">
        <v>281</v>
      </c>
      <c r="U275" s="13" t="s">
        <v>5012</v>
      </c>
      <c r="V275" s="13" t="s">
        <v>5023</v>
      </c>
      <c r="W275" s="13" t="s">
        <v>5024</v>
      </c>
      <c r="X275" s="13" t="s">
        <v>5025</v>
      </c>
      <c r="Y275" s="13" t="s">
        <v>78</v>
      </c>
      <c r="Z275" s="13" t="s">
        <v>5026</v>
      </c>
      <c r="AA275" s="13" t="s">
        <v>80</v>
      </c>
      <c r="AB275" s="13" t="s">
        <v>81</v>
      </c>
      <c r="AC275" s="13" t="s">
        <v>3097</v>
      </c>
      <c r="AD275" s="13" t="s">
        <v>5027</v>
      </c>
      <c r="AE275" s="13" t="s">
        <v>262</v>
      </c>
      <c r="AF275" s="13" t="s">
        <v>5028</v>
      </c>
      <c r="AG275" s="13" t="s">
        <v>39</v>
      </c>
      <c r="AH275" s="13" t="s">
        <v>5029</v>
      </c>
      <c r="AI275" s="13" t="s">
        <v>5030</v>
      </c>
      <c r="AJ275" s="13" t="s">
        <v>5031</v>
      </c>
      <c r="AK275" s="13" t="s">
        <v>5032</v>
      </c>
      <c r="AL275" s="13" t="s">
        <v>88</v>
      </c>
    </row>
    <row r="276" spans="1:38" x14ac:dyDescent="0.4">
      <c r="A276" s="11" t="s">
        <v>5033</v>
      </c>
      <c r="B276" s="14" t="s">
        <v>5034</v>
      </c>
      <c r="C276" s="15" t="s">
        <v>5035</v>
      </c>
      <c r="D276" s="15" t="s">
        <v>92</v>
      </c>
      <c r="E276" s="15" t="s">
        <v>5036</v>
      </c>
      <c r="F276" s="15" t="s">
        <v>490</v>
      </c>
      <c r="G276" s="15" t="s">
        <v>490</v>
      </c>
      <c r="H276" s="15" t="s">
        <v>5037</v>
      </c>
      <c r="I276" s="9">
        <f t="shared" ca="1" si="4"/>
        <v>26</v>
      </c>
      <c r="J276" s="15" t="s">
        <v>5038</v>
      </c>
      <c r="K276" s="15" t="s">
        <v>531</v>
      </c>
      <c r="L276" s="9" t="str">
        <f>VLOOKUP(K276,[1]中国省份_标准!$B$2:$F$35,4,FALSE)</f>
        <v>东部地区</v>
      </c>
      <c r="M276" s="9" t="str">
        <f>VLOOKUP(K276,[1]中国省份_标准!$B$2:$F$35,5,FALSE)</f>
        <v>华南地区</v>
      </c>
      <c r="N276" s="15" t="s">
        <v>532</v>
      </c>
      <c r="O276" s="15" t="s">
        <v>2544</v>
      </c>
      <c r="P276" s="15" t="s">
        <v>5039</v>
      </c>
      <c r="Q276" s="15" t="s">
        <v>5040</v>
      </c>
      <c r="R276" s="15" t="s">
        <v>5041</v>
      </c>
      <c r="S276" s="15" t="s">
        <v>5042</v>
      </c>
      <c r="T276" s="15" t="s">
        <v>209</v>
      </c>
      <c r="U276" s="15" t="s">
        <v>5034</v>
      </c>
      <c r="V276" s="15" t="s">
        <v>5043</v>
      </c>
      <c r="W276" s="15" t="s">
        <v>5044</v>
      </c>
      <c r="X276" s="15" t="s">
        <v>5045</v>
      </c>
      <c r="Y276" s="15" t="s">
        <v>78</v>
      </c>
      <c r="Z276" s="15" t="s">
        <v>5046</v>
      </c>
      <c r="AA276" s="15" t="s">
        <v>169</v>
      </c>
      <c r="AB276" s="15" t="s">
        <v>412</v>
      </c>
      <c r="AC276" s="15" t="s">
        <v>413</v>
      </c>
      <c r="AD276" s="15" t="s">
        <v>1687</v>
      </c>
      <c r="AE276" s="15" t="s">
        <v>262</v>
      </c>
      <c r="AF276" s="15" t="s">
        <v>5047</v>
      </c>
      <c r="AG276" s="15" t="s">
        <v>1941</v>
      </c>
      <c r="AH276" s="15" t="s">
        <v>39</v>
      </c>
      <c r="AI276" s="15" t="s">
        <v>5048</v>
      </c>
      <c r="AJ276" s="15" t="s">
        <v>5049</v>
      </c>
      <c r="AK276" s="15" t="s">
        <v>2554</v>
      </c>
      <c r="AL276" s="15" t="s">
        <v>88</v>
      </c>
    </row>
    <row r="277" spans="1:38" x14ac:dyDescent="0.4">
      <c r="A277" s="11" t="s">
        <v>5050</v>
      </c>
      <c r="B277" s="12" t="s">
        <v>5051</v>
      </c>
      <c r="C277" s="13" t="s">
        <v>5052</v>
      </c>
      <c r="D277" s="13" t="s">
        <v>63</v>
      </c>
      <c r="E277" s="13" t="s">
        <v>5053</v>
      </c>
      <c r="F277" s="13" t="s">
        <v>5054</v>
      </c>
      <c r="G277" s="13" t="s">
        <v>5055</v>
      </c>
      <c r="H277" s="13" t="s">
        <v>5056</v>
      </c>
      <c r="I277" s="9">
        <f t="shared" ca="1" si="4"/>
        <v>22</v>
      </c>
      <c r="J277" s="13" t="s">
        <v>5057</v>
      </c>
      <c r="K277" s="13" t="s">
        <v>67</v>
      </c>
      <c r="L277" s="9" t="str">
        <f>VLOOKUP(K277,[1]中国省份_标准!$B$2:$F$35,4,FALSE)</f>
        <v>东部地区</v>
      </c>
      <c r="M277" s="9" t="str">
        <f>VLOOKUP(K277,[1]中国省份_标准!$B$2:$F$35,5,FALSE)</f>
        <v>华东地区</v>
      </c>
      <c r="N277" s="13" t="s">
        <v>5058</v>
      </c>
      <c r="O277" s="13" t="s">
        <v>5059</v>
      </c>
      <c r="P277" s="13" t="s">
        <v>39</v>
      </c>
      <c r="Q277" s="13" t="s">
        <v>39</v>
      </c>
      <c r="R277" s="13" t="s">
        <v>39</v>
      </c>
      <c r="S277" s="13" t="s">
        <v>39</v>
      </c>
      <c r="T277" s="13" t="s">
        <v>452</v>
      </c>
      <c r="U277" s="13" t="s">
        <v>5051</v>
      </c>
      <c r="V277" s="13" t="s">
        <v>5060</v>
      </c>
      <c r="W277" s="13" t="s">
        <v>5061</v>
      </c>
      <c r="X277" s="13" t="s">
        <v>5062</v>
      </c>
      <c r="Y277" s="13" t="s">
        <v>78</v>
      </c>
      <c r="Z277" s="13" t="s">
        <v>5063</v>
      </c>
      <c r="AA277" s="13" t="s">
        <v>169</v>
      </c>
      <c r="AB277" s="13" t="s">
        <v>189</v>
      </c>
      <c r="AC277" s="13" t="s">
        <v>5064</v>
      </c>
      <c r="AD277" s="13" t="s">
        <v>5065</v>
      </c>
      <c r="AE277" s="13" t="s">
        <v>262</v>
      </c>
      <c r="AF277" s="13" t="s">
        <v>5066</v>
      </c>
      <c r="AG277" s="13" t="s">
        <v>39</v>
      </c>
      <c r="AH277" s="13" t="s">
        <v>39</v>
      </c>
      <c r="AI277" s="13" t="s">
        <v>5067</v>
      </c>
      <c r="AJ277" s="13" t="s">
        <v>5068</v>
      </c>
      <c r="AK277" s="13" t="s">
        <v>5069</v>
      </c>
      <c r="AL277" s="13" t="s">
        <v>88</v>
      </c>
    </row>
    <row r="278" spans="1:38" x14ac:dyDescent="0.4">
      <c r="A278" s="11" t="s">
        <v>5070</v>
      </c>
      <c r="B278" s="14" t="s">
        <v>5071</v>
      </c>
      <c r="C278" s="15" t="s">
        <v>5072</v>
      </c>
      <c r="D278" s="15" t="s">
        <v>92</v>
      </c>
      <c r="E278" s="15" t="s">
        <v>5073</v>
      </c>
      <c r="F278" s="15" t="s">
        <v>5074</v>
      </c>
      <c r="G278" s="15" t="s">
        <v>5074</v>
      </c>
      <c r="H278" s="15" t="s">
        <v>5075</v>
      </c>
      <c r="I278" s="9">
        <f t="shared" ca="1" si="4"/>
        <v>22</v>
      </c>
      <c r="J278" s="15" t="s">
        <v>5076</v>
      </c>
      <c r="K278" s="15" t="s">
        <v>531</v>
      </c>
      <c r="L278" s="9" t="str">
        <f>VLOOKUP(K278,[1]中国省份_标准!$B$2:$F$35,4,FALSE)</f>
        <v>东部地区</v>
      </c>
      <c r="M278" s="9" t="str">
        <f>VLOOKUP(K278,[1]中国省份_标准!$B$2:$F$35,5,FALSE)</f>
        <v>华南地区</v>
      </c>
      <c r="N278" s="15" t="s">
        <v>1450</v>
      </c>
      <c r="O278" s="15" t="s">
        <v>2146</v>
      </c>
      <c r="P278" s="15" t="s">
        <v>5077</v>
      </c>
      <c r="Q278" s="15" t="s">
        <v>5078</v>
      </c>
      <c r="R278" s="15" t="s">
        <v>5079</v>
      </c>
      <c r="S278" s="15" t="s">
        <v>5080</v>
      </c>
      <c r="T278" s="15" t="s">
        <v>3324</v>
      </c>
      <c r="U278" s="15" t="s">
        <v>5071</v>
      </c>
      <c r="V278" s="15" t="s">
        <v>5081</v>
      </c>
      <c r="W278" s="15" t="s">
        <v>5082</v>
      </c>
      <c r="X278" s="15" t="s">
        <v>5083</v>
      </c>
      <c r="Y278" s="15" t="s">
        <v>78</v>
      </c>
      <c r="Z278" s="15" t="s">
        <v>5084</v>
      </c>
      <c r="AA278" s="15" t="s">
        <v>169</v>
      </c>
      <c r="AB278" s="15" t="s">
        <v>412</v>
      </c>
      <c r="AC278" s="15" t="s">
        <v>413</v>
      </c>
      <c r="AD278" s="15" t="s">
        <v>1687</v>
      </c>
      <c r="AE278" s="15" t="s">
        <v>239</v>
      </c>
      <c r="AF278" s="15" t="s">
        <v>5085</v>
      </c>
      <c r="AG278" s="15" t="s">
        <v>2411</v>
      </c>
      <c r="AH278" s="15" t="s">
        <v>39</v>
      </c>
      <c r="AI278" s="15" t="s">
        <v>5086</v>
      </c>
      <c r="AJ278" s="15" t="s">
        <v>5087</v>
      </c>
      <c r="AK278" s="15" t="s">
        <v>5088</v>
      </c>
      <c r="AL278" s="15" t="s">
        <v>88</v>
      </c>
    </row>
    <row r="279" spans="1:38" x14ac:dyDescent="0.4">
      <c r="A279" s="11" t="s">
        <v>5089</v>
      </c>
      <c r="B279" s="12" t="s">
        <v>5090</v>
      </c>
      <c r="C279" s="13" t="s">
        <v>5091</v>
      </c>
      <c r="D279" s="13" t="s">
        <v>92</v>
      </c>
      <c r="E279" s="13" t="s">
        <v>5092</v>
      </c>
      <c r="F279" s="13" t="s">
        <v>490</v>
      </c>
      <c r="G279" s="13" t="s">
        <v>490</v>
      </c>
      <c r="H279" s="13" t="s">
        <v>5093</v>
      </c>
      <c r="I279" s="9">
        <f t="shared" ca="1" si="4"/>
        <v>14</v>
      </c>
      <c r="J279" s="13" t="s">
        <v>5094</v>
      </c>
      <c r="K279" s="13" t="s">
        <v>1752</v>
      </c>
      <c r="L279" s="9" t="str">
        <f>VLOOKUP(K279,[1]中国省份_标准!$B$2:$F$35,4,FALSE)</f>
        <v>中部地区</v>
      </c>
      <c r="M279" s="9" t="str">
        <f>VLOOKUP(K279,[1]中国省份_标准!$B$2:$F$35,5,FALSE)</f>
        <v>华中地区</v>
      </c>
      <c r="N279" s="13" t="s">
        <v>1753</v>
      </c>
      <c r="O279" s="13" t="s">
        <v>5095</v>
      </c>
      <c r="P279" s="13" t="s">
        <v>5096</v>
      </c>
      <c r="Q279" s="13" t="s">
        <v>5097</v>
      </c>
      <c r="R279" s="13" t="s">
        <v>5098</v>
      </c>
      <c r="S279" s="13" t="s">
        <v>5099</v>
      </c>
      <c r="T279" s="13" t="s">
        <v>407</v>
      </c>
      <c r="U279" s="13" t="s">
        <v>5090</v>
      </c>
      <c r="V279" s="13" t="s">
        <v>5100</v>
      </c>
      <c r="W279" s="13" t="s">
        <v>5101</v>
      </c>
      <c r="X279" s="13" t="s">
        <v>5102</v>
      </c>
      <c r="Y279" s="13" t="s">
        <v>78</v>
      </c>
      <c r="Z279" s="13" t="s">
        <v>5103</v>
      </c>
      <c r="AA279" s="13" t="s">
        <v>80</v>
      </c>
      <c r="AB279" s="13" t="s">
        <v>106</v>
      </c>
      <c r="AC279" s="13" t="s">
        <v>808</v>
      </c>
      <c r="AD279" s="13" t="s">
        <v>893</v>
      </c>
      <c r="AE279" s="13" t="s">
        <v>262</v>
      </c>
      <c r="AF279" s="13" t="s">
        <v>5104</v>
      </c>
      <c r="AG279" s="13" t="s">
        <v>5105</v>
      </c>
      <c r="AH279" s="13" t="s">
        <v>39</v>
      </c>
      <c r="AI279" s="13" t="s">
        <v>5106</v>
      </c>
      <c r="AJ279" s="13" t="s">
        <v>5107</v>
      </c>
      <c r="AK279" s="13" t="s">
        <v>5108</v>
      </c>
      <c r="AL279" s="13" t="s">
        <v>88</v>
      </c>
    </row>
    <row r="280" spans="1:38" x14ac:dyDescent="0.4">
      <c r="A280" s="11" t="s">
        <v>5109</v>
      </c>
      <c r="B280" s="14" t="s">
        <v>5110</v>
      </c>
      <c r="C280" s="15" t="s">
        <v>39</v>
      </c>
      <c r="D280" s="15" t="s">
        <v>5111</v>
      </c>
      <c r="E280" s="15" t="s">
        <v>1927</v>
      </c>
      <c r="F280" s="15" t="s">
        <v>862</v>
      </c>
      <c r="G280" s="15" t="s">
        <v>862</v>
      </c>
      <c r="H280" s="15" t="s">
        <v>5112</v>
      </c>
      <c r="I280" s="9">
        <f t="shared" ca="1" si="4"/>
        <v>25</v>
      </c>
      <c r="J280" s="15" t="s">
        <v>5113</v>
      </c>
      <c r="K280" s="15" t="s">
        <v>1752</v>
      </c>
      <c r="L280" s="9" t="str">
        <f>VLOOKUP(K280,[1]中国省份_标准!$B$2:$F$35,4,FALSE)</f>
        <v>中部地区</v>
      </c>
      <c r="M280" s="9" t="str">
        <f>VLOOKUP(K280,[1]中国省份_标准!$B$2:$F$35,5,FALSE)</f>
        <v>华中地区</v>
      </c>
      <c r="N280" s="15" t="s">
        <v>1753</v>
      </c>
      <c r="O280" s="15" t="s">
        <v>4841</v>
      </c>
      <c r="P280" s="15" t="s">
        <v>5114</v>
      </c>
      <c r="Q280" s="15" t="s">
        <v>5115</v>
      </c>
      <c r="R280" s="15" t="s">
        <v>5116</v>
      </c>
      <c r="S280" s="15" t="s">
        <v>5117</v>
      </c>
      <c r="T280" s="15" t="s">
        <v>209</v>
      </c>
      <c r="U280" s="15" t="s">
        <v>5110</v>
      </c>
      <c r="V280" s="15" t="s">
        <v>5118</v>
      </c>
      <c r="W280" s="15" t="s">
        <v>5119</v>
      </c>
      <c r="X280" s="15" t="s">
        <v>77</v>
      </c>
      <c r="Y280" s="15" t="s">
        <v>283</v>
      </c>
      <c r="Z280" s="15" t="s">
        <v>5120</v>
      </c>
      <c r="AA280" s="15" t="s">
        <v>169</v>
      </c>
      <c r="AB280" s="15" t="s">
        <v>412</v>
      </c>
      <c r="AC280" s="15" t="s">
        <v>413</v>
      </c>
      <c r="AD280" s="15" t="s">
        <v>2134</v>
      </c>
      <c r="AE280" s="15" t="s">
        <v>262</v>
      </c>
      <c r="AF280" s="15" t="s">
        <v>5121</v>
      </c>
      <c r="AG280" s="15" t="s">
        <v>1941</v>
      </c>
      <c r="AH280" s="15" t="s">
        <v>39</v>
      </c>
      <c r="AI280" s="15" t="s">
        <v>5122</v>
      </c>
      <c r="AJ280" s="15" t="s">
        <v>5123</v>
      </c>
      <c r="AK280" s="15" t="s">
        <v>4854</v>
      </c>
      <c r="AL280" s="15" t="s">
        <v>88</v>
      </c>
    </row>
    <row r="281" spans="1:38" x14ac:dyDescent="0.4">
      <c r="A281" s="11" t="s">
        <v>5124</v>
      </c>
      <c r="B281" s="12" t="s">
        <v>5125</v>
      </c>
      <c r="C281" s="13" t="s">
        <v>39</v>
      </c>
      <c r="D281" s="13" t="s">
        <v>92</v>
      </c>
      <c r="E281" s="13" t="s">
        <v>5126</v>
      </c>
      <c r="F281" s="13" t="s">
        <v>5127</v>
      </c>
      <c r="G281" s="13" t="s">
        <v>5127</v>
      </c>
      <c r="H281" s="13" t="s">
        <v>5128</v>
      </c>
      <c r="I281" s="9">
        <f t="shared" ca="1" si="4"/>
        <v>9</v>
      </c>
      <c r="J281" s="13" t="s">
        <v>5129</v>
      </c>
      <c r="K281" s="13" t="s">
        <v>425</v>
      </c>
      <c r="L281" s="9" t="str">
        <f>VLOOKUP(K281,[1]中国省份_标准!$B$2:$F$35,4,FALSE)</f>
        <v>东部地区</v>
      </c>
      <c r="M281" s="9" t="str">
        <f>VLOOKUP(K281,[1]中国省份_标准!$B$2:$F$35,5,FALSE)</f>
        <v>华东地区</v>
      </c>
      <c r="N281" s="13" t="s">
        <v>426</v>
      </c>
      <c r="O281" s="13" t="s">
        <v>427</v>
      </c>
      <c r="P281" s="13" t="s">
        <v>5130</v>
      </c>
      <c r="Q281" s="13" t="s">
        <v>5131</v>
      </c>
      <c r="R281" s="13" t="s">
        <v>5132</v>
      </c>
      <c r="S281" s="13" t="s">
        <v>5133</v>
      </c>
      <c r="T281" s="13" t="s">
        <v>281</v>
      </c>
      <c r="U281" s="13" t="s">
        <v>5125</v>
      </c>
      <c r="V281" s="13" t="s">
        <v>5134</v>
      </c>
      <c r="W281" s="13" t="s">
        <v>5135</v>
      </c>
      <c r="X281" s="13" t="s">
        <v>77</v>
      </c>
      <c r="Y281" s="13" t="s">
        <v>78</v>
      </c>
      <c r="Z281" s="13" t="s">
        <v>5136</v>
      </c>
      <c r="AA281" s="13" t="s">
        <v>80</v>
      </c>
      <c r="AB281" s="13" t="s">
        <v>106</v>
      </c>
      <c r="AC281" s="13" t="s">
        <v>388</v>
      </c>
      <c r="AD281" s="13" t="s">
        <v>39</v>
      </c>
      <c r="AE281" s="13" t="s">
        <v>109</v>
      </c>
      <c r="AF281" s="13" t="s">
        <v>5137</v>
      </c>
      <c r="AG281" s="13" t="s">
        <v>39</v>
      </c>
      <c r="AH281" s="13" t="s">
        <v>5138</v>
      </c>
      <c r="AI281" s="13" t="s">
        <v>5139</v>
      </c>
      <c r="AJ281" s="13" t="s">
        <v>5140</v>
      </c>
      <c r="AK281" s="13" t="s">
        <v>438</v>
      </c>
      <c r="AL281" s="13" t="s">
        <v>88</v>
      </c>
    </row>
    <row r="282" spans="1:38" x14ac:dyDescent="0.4">
      <c r="A282" s="11" t="s">
        <v>5141</v>
      </c>
      <c r="B282" s="14" t="s">
        <v>5142</v>
      </c>
      <c r="C282" s="15" t="s">
        <v>39</v>
      </c>
      <c r="D282" s="15" t="s">
        <v>92</v>
      </c>
      <c r="E282" s="15" t="s">
        <v>5143</v>
      </c>
      <c r="F282" s="15" t="s">
        <v>999</v>
      </c>
      <c r="G282" s="15" t="s">
        <v>999</v>
      </c>
      <c r="H282" s="15" t="s">
        <v>5144</v>
      </c>
      <c r="I282" s="9">
        <f t="shared" ca="1" si="4"/>
        <v>14</v>
      </c>
      <c r="J282" s="15" t="s">
        <v>5145</v>
      </c>
      <c r="K282" s="15" t="s">
        <v>1752</v>
      </c>
      <c r="L282" s="9" t="str">
        <f>VLOOKUP(K282,[1]中国省份_标准!$B$2:$F$35,4,FALSE)</f>
        <v>中部地区</v>
      </c>
      <c r="M282" s="9" t="str">
        <f>VLOOKUP(K282,[1]中国省份_标准!$B$2:$F$35,5,FALSE)</f>
        <v>华中地区</v>
      </c>
      <c r="N282" s="15" t="s">
        <v>4861</v>
      </c>
      <c r="O282" s="15" t="s">
        <v>5146</v>
      </c>
      <c r="P282" s="15" t="s">
        <v>5147</v>
      </c>
      <c r="Q282" s="15" t="s">
        <v>5148</v>
      </c>
      <c r="R282" s="15" t="s">
        <v>5149</v>
      </c>
      <c r="S282" s="15" t="s">
        <v>5150</v>
      </c>
      <c r="T282" s="15" t="s">
        <v>48</v>
      </c>
      <c r="U282" s="15" t="s">
        <v>5142</v>
      </c>
      <c r="V282" s="15" t="s">
        <v>5151</v>
      </c>
      <c r="W282" s="15" t="s">
        <v>5152</v>
      </c>
      <c r="X282" s="15" t="s">
        <v>5153</v>
      </c>
      <c r="Y282" s="15" t="s">
        <v>78</v>
      </c>
      <c r="Z282" s="15" t="s">
        <v>5154</v>
      </c>
      <c r="AA282" s="15" t="s">
        <v>169</v>
      </c>
      <c r="AB282" s="15" t="s">
        <v>285</v>
      </c>
      <c r="AC282" s="15" t="s">
        <v>479</v>
      </c>
      <c r="AD282" s="15" t="s">
        <v>480</v>
      </c>
      <c r="AE282" s="15" t="s">
        <v>262</v>
      </c>
      <c r="AF282" s="15" t="s">
        <v>5155</v>
      </c>
      <c r="AG282" s="15" t="s">
        <v>5156</v>
      </c>
      <c r="AH282" s="15" t="s">
        <v>5157</v>
      </c>
      <c r="AI282" s="15" t="s">
        <v>5158</v>
      </c>
      <c r="AJ282" s="15" t="s">
        <v>5159</v>
      </c>
      <c r="AK282" s="15" t="s">
        <v>5160</v>
      </c>
      <c r="AL282" s="15" t="s">
        <v>88</v>
      </c>
    </row>
    <row r="283" spans="1:38" x14ac:dyDescent="0.4">
      <c r="A283" s="11" t="s">
        <v>5161</v>
      </c>
      <c r="B283" s="12" t="s">
        <v>5162</v>
      </c>
      <c r="C283" s="13" t="s">
        <v>5163</v>
      </c>
      <c r="D283" s="13" t="s">
        <v>92</v>
      </c>
      <c r="E283" s="13" t="s">
        <v>5164</v>
      </c>
      <c r="F283" s="13" t="s">
        <v>5165</v>
      </c>
      <c r="G283" s="13" t="s">
        <v>5165</v>
      </c>
      <c r="H283" s="13" t="s">
        <v>5166</v>
      </c>
      <c r="I283" s="9">
        <f t="shared" ca="1" si="4"/>
        <v>33</v>
      </c>
      <c r="J283" s="13" t="s">
        <v>5167</v>
      </c>
      <c r="K283" s="13" t="s">
        <v>1877</v>
      </c>
      <c r="L283" s="9" t="str">
        <f>VLOOKUP(K283,[1]中国省份_标准!$B$2:$F$35,4,FALSE)</f>
        <v>中部地区</v>
      </c>
      <c r="M283" s="9" t="str">
        <f>VLOOKUP(K283,[1]中国省份_标准!$B$2:$F$35,5,FALSE)</f>
        <v>华中地区</v>
      </c>
      <c r="N283" s="13" t="s">
        <v>5168</v>
      </c>
      <c r="O283" s="13" t="s">
        <v>5169</v>
      </c>
      <c r="P283" s="13" t="s">
        <v>5170</v>
      </c>
      <c r="Q283" s="13" t="s">
        <v>5171</v>
      </c>
      <c r="R283" s="13" t="s">
        <v>5172</v>
      </c>
      <c r="S283" s="13" t="s">
        <v>5173</v>
      </c>
      <c r="T283" s="13" t="s">
        <v>3195</v>
      </c>
      <c r="U283" s="13" t="s">
        <v>5162</v>
      </c>
      <c r="V283" s="13" t="s">
        <v>5174</v>
      </c>
      <c r="W283" s="13" t="s">
        <v>5175</v>
      </c>
      <c r="X283" s="13" t="s">
        <v>5176</v>
      </c>
      <c r="Y283" s="13" t="s">
        <v>78</v>
      </c>
      <c r="Z283" s="13" t="s">
        <v>5177</v>
      </c>
      <c r="AA283" s="13" t="s">
        <v>309</v>
      </c>
      <c r="AB283" s="13" t="s">
        <v>310</v>
      </c>
      <c r="AC283" s="13" t="s">
        <v>311</v>
      </c>
      <c r="AD283" s="13" t="s">
        <v>312</v>
      </c>
      <c r="AE283" s="13" t="s">
        <v>239</v>
      </c>
      <c r="AF283" s="13" t="s">
        <v>5178</v>
      </c>
      <c r="AG283" s="13" t="s">
        <v>5179</v>
      </c>
      <c r="AH283" s="13" t="s">
        <v>39</v>
      </c>
      <c r="AI283" s="13" t="s">
        <v>5180</v>
      </c>
      <c r="AJ283" s="13" t="s">
        <v>5181</v>
      </c>
      <c r="AK283" s="13" t="s">
        <v>5182</v>
      </c>
      <c r="AL283" s="13" t="s">
        <v>88</v>
      </c>
    </row>
    <row r="284" spans="1:38" x14ac:dyDescent="0.4">
      <c r="A284" s="11" t="s">
        <v>5183</v>
      </c>
      <c r="B284" s="14" t="s">
        <v>5184</v>
      </c>
      <c r="C284" s="15" t="s">
        <v>39</v>
      </c>
      <c r="D284" s="15" t="s">
        <v>92</v>
      </c>
      <c r="E284" s="15" t="s">
        <v>5185</v>
      </c>
      <c r="F284" s="15" t="s">
        <v>2380</v>
      </c>
      <c r="G284" s="15" t="s">
        <v>2380</v>
      </c>
      <c r="H284" s="15" t="s">
        <v>5186</v>
      </c>
      <c r="I284" s="9">
        <f t="shared" ca="1" si="4"/>
        <v>17</v>
      </c>
      <c r="J284" s="15" t="s">
        <v>5187</v>
      </c>
      <c r="K284" s="15" t="s">
        <v>1877</v>
      </c>
      <c r="L284" s="9" t="str">
        <f>VLOOKUP(K284,[1]中国省份_标准!$B$2:$F$35,4,FALSE)</f>
        <v>中部地区</v>
      </c>
      <c r="M284" s="9" t="str">
        <f>VLOOKUP(K284,[1]中国省份_标准!$B$2:$F$35,5,FALSE)</f>
        <v>华中地区</v>
      </c>
      <c r="N284" s="15" t="s">
        <v>1878</v>
      </c>
      <c r="O284" s="15" t="s">
        <v>5188</v>
      </c>
      <c r="P284" s="15" t="s">
        <v>1293</v>
      </c>
      <c r="Q284" s="15" t="s">
        <v>5189</v>
      </c>
      <c r="R284" s="15" t="s">
        <v>5190</v>
      </c>
      <c r="S284" s="15" t="s">
        <v>5191</v>
      </c>
      <c r="T284" s="15" t="s">
        <v>184</v>
      </c>
      <c r="U284" s="15" t="s">
        <v>5184</v>
      </c>
      <c r="V284" s="15" t="s">
        <v>5192</v>
      </c>
      <c r="W284" s="15" t="s">
        <v>5193</v>
      </c>
      <c r="X284" s="15" t="s">
        <v>77</v>
      </c>
      <c r="Y284" s="15" t="s">
        <v>78</v>
      </c>
      <c r="Z284" s="15" t="s">
        <v>5194</v>
      </c>
      <c r="AA284" s="15" t="s">
        <v>169</v>
      </c>
      <c r="AB284" s="15" t="s">
        <v>5195</v>
      </c>
      <c r="AC284" s="15" t="s">
        <v>5196</v>
      </c>
      <c r="AD284" s="15" t="s">
        <v>5196</v>
      </c>
      <c r="AE284" s="15" t="s">
        <v>109</v>
      </c>
      <c r="AF284" s="15" t="s">
        <v>5197</v>
      </c>
      <c r="AG284" s="15" t="s">
        <v>4979</v>
      </c>
      <c r="AH284" s="15" t="s">
        <v>39</v>
      </c>
      <c r="AI284" s="15" t="s">
        <v>5198</v>
      </c>
      <c r="AJ284" s="15" t="s">
        <v>5199</v>
      </c>
      <c r="AK284" s="15" t="s">
        <v>5200</v>
      </c>
      <c r="AL284" s="15" t="s">
        <v>88</v>
      </c>
    </row>
    <row r="285" spans="1:38" x14ac:dyDescent="0.4">
      <c r="A285" s="11" t="s">
        <v>5201</v>
      </c>
      <c r="B285" s="12" t="s">
        <v>5202</v>
      </c>
      <c r="C285" s="13" t="s">
        <v>5203</v>
      </c>
      <c r="D285" s="13" t="s">
        <v>92</v>
      </c>
      <c r="E285" s="13" t="s">
        <v>5204</v>
      </c>
      <c r="F285" s="13" t="s">
        <v>5205</v>
      </c>
      <c r="G285" s="13" t="s">
        <v>5205</v>
      </c>
      <c r="H285" s="13" t="s">
        <v>5206</v>
      </c>
      <c r="I285" s="9">
        <f t="shared" ca="1" si="4"/>
        <v>28</v>
      </c>
      <c r="J285" s="13" t="s">
        <v>5207</v>
      </c>
      <c r="K285" s="13" t="s">
        <v>1752</v>
      </c>
      <c r="L285" s="9" t="str">
        <f>VLOOKUP(K285,[1]中国省份_标准!$B$2:$F$35,4,FALSE)</f>
        <v>中部地区</v>
      </c>
      <c r="M285" s="9" t="str">
        <f>VLOOKUP(K285,[1]中国省份_标准!$B$2:$F$35,5,FALSE)</f>
        <v>华中地区</v>
      </c>
      <c r="N285" s="13" t="s">
        <v>5208</v>
      </c>
      <c r="O285" s="13" t="s">
        <v>5209</v>
      </c>
      <c r="P285" s="13" t="s">
        <v>5210</v>
      </c>
      <c r="Q285" s="13" t="s">
        <v>5211</v>
      </c>
      <c r="R285" s="13" t="s">
        <v>5212</v>
      </c>
      <c r="S285" s="13" t="s">
        <v>5213</v>
      </c>
      <c r="T285" s="13" t="s">
        <v>452</v>
      </c>
      <c r="U285" s="13" t="s">
        <v>5202</v>
      </c>
      <c r="V285" s="13" t="s">
        <v>5214</v>
      </c>
      <c r="W285" s="13" t="s">
        <v>5215</v>
      </c>
      <c r="X285" s="13" t="s">
        <v>5216</v>
      </c>
      <c r="Y285" s="13" t="s">
        <v>78</v>
      </c>
      <c r="Z285" s="13" t="s">
        <v>5217</v>
      </c>
      <c r="AA285" s="13" t="s">
        <v>169</v>
      </c>
      <c r="AB285" s="13" t="s">
        <v>830</v>
      </c>
      <c r="AC285" s="13" t="s">
        <v>4331</v>
      </c>
      <c r="AD285" s="13" t="s">
        <v>4331</v>
      </c>
      <c r="AE285" s="13" t="s">
        <v>239</v>
      </c>
      <c r="AF285" s="13" t="s">
        <v>5218</v>
      </c>
      <c r="AG285" s="13" t="s">
        <v>5219</v>
      </c>
      <c r="AH285" s="13" t="s">
        <v>39</v>
      </c>
      <c r="AI285" s="13" t="s">
        <v>5220</v>
      </c>
      <c r="AJ285" s="13" t="s">
        <v>5221</v>
      </c>
      <c r="AK285" s="13" t="s">
        <v>5222</v>
      </c>
      <c r="AL285" s="13" t="s">
        <v>88</v>
      </c>
    </row>
    <row r="286" spans="1:38" x14ac:dyDescent="0.4">
      <c r="A286" s="11" t="s">
        <v>5223</v>
      </c>
      <c r="B286" s="14" t="s">
        <v>5224</v>
      </c>
      <c r="C286" s="15" t="s">
        <v>39</v>
      </c>
      <c r="D286" s="15" t="s">
        <v>92</v>
      </c>
      <c r="E286" s="15" t="s">
        <v>5225</v>
      </c>
      <c r="F286" s="15" t="s">
        <v>5226</v>
      </c>
      <c r="G286" s="15" t="s">
        <v>5226</v>
      </c>
      <c r="H286" s="15" t="s">
        <v>5227</v>
      </c>
      <c r="I286" s="9">
        <f t="shared" ca="1" si="4"/>
        <v>19</v>
      </c>
      <c r="J286" s="15" t="s">
        <v>5228</v>
      </c>
      <c r="K286" s="15" t="s">
        <v>5229</v>
      </c>
      <c r="L286" s="9" t="str">
        <f>VLOOKUP(K286,[1]中国省份_标准!$B$2:$F$35,4,FALSE)</f>
        <v>西部地区</v>
      </c>
      <c r="M286" s="9" t="str">
        <f>VLOOKUP(K286,[1]中国省份_标准!$B$2:$F$35,5,FALSE)</f>
        <v>华南地区</v>
      </c>
      <c r="N286" s="15" t="s">
        <v>5230</v>
      </c>
      <c r="O286" s="15" t="s">
        <v>5231</v>
      </c>
      <c r="P286" s="15" t="s">
        <v>5232</v>
      </c>
      <c r="Q286" s="15" t="s">
        <v>5233</v>
      </c>
      <c r="R286" s="15" t="s">
        <v>5234</v>
      </c>
      <c r="S286" s="15" t="s">
        <v>5235</v>
      </c>
      <c r="T286" s="15" t="s">
        <v>48</v>
      </c>
      <c r="U286" s="15" t="s">
        <v>5224</v>
      </c>
      <c r="V286" s="15" t="s">
        <v>5236</v>
      </c>
      <c r="W286" s="15" t="s">
        <v>5237</v>
      </c>
      <c r="X286" s="15" t="s">
        <v>4180</v>
      </c>
      <c r="Y286" s="15" t="s">
        <v>78</v>
      </c>
      <c r="Z286" s="15" t="s">
        <v>5238</v>
      </c>
      <c r="AA286" s="15" t="s">
        <v>169</v>
      </c>
      <c r="AB286" s="15" t="s">
        <v>412</v>
      </c>
      <c r="AC286" s="15" t="s">
        <v>457</v>
      </c>
      <c r="AD286" s="15" t="s">
        <v>5239</v>
      </c>
      <c r="AE286" s="15" t="s">
        <v>55</v>
      </c>
      <c r="AF286" s="15" t="s">
        <v>5240</v>
      </c>
      <c r="AG286" s="15" t="s">
        <v>39</v>
      </c>
      <c r="AH286" s="15" t="s">
        <v>39</v>
      </c>
      <c r="AI286" s="15" t="s">
        <v>5241</v>
      </c>
      <c r="AJ286" s="15" t="s">
        <v>5242</v>
      </c>
      <c r="AK286" s="15" t="s">
        <v>5243</v>
      </c>
      <c r="AL286" s="15" t="s">
        <v>88</v>
      </c>
    </row>
    <row r="287" spans="1:38" x14ac:dyDescent="0.4">
      <c r="A287" s="11" t="s">
        <v>5244</v>
      </c>
      <c r="B287" s="12" t="s">
        <v>5245</v>
      </c>
      <c r="C287" s="13" t="s">
        <v>39</v>
      </c>
      <c r="D287" s="13" t="s">
        <v>5246</v>
      </c>
      <c r="E287" s="13" t="s">
        <v>5247</v>
      </c>
      <c r="F287" s="13" t="s">
        <v>42</v>
      </c>
      <c r="G287" s="13" t="s">
        <v>42</v>
      </c>
      <c r="H287" s="13" t="s">
        <v>5248</v>
      </c>
      <c r="I287" s="9">
        <f t="shared" ca="1" si="4"/>
        <v>4</v>
      </c>
      <c r="J287" s="13" t="s">
        <v>5249</v>
      </c>
      <c r="K287" s="13" t="s">
        <v>531</v>
      </c>
      <c r="L287" s="9" t="str">
        <f>VLOOKUP(K287,[1]中国省份_标准!$B$2:$F$35,4,FALSE)</f>
        <v>东部地区</v>
      </c>
      <c r="M287" s="9" t="str">
        <f>VLOOKUP(K287,[1]中国省份_标准!$B$2:$F$35,5,FALSE)</f>
        <v>华南地区</v>
      </c>
      <c r="N287" s="13" t="s">
        <v>1450</v>
      </c>
      <c r="O287" s="13" t="s">
        <v>2146</v>
      </c>
      <c r="P287" s="13" t="s">
        <v>5250</v>
      </c>
      <c r="Q287" s="13" t="s">
        <v>39</v>
      </c>
      <c r="R287" s="13" t="s">
        <v>39</v>
      </c>
      <c r="S287" s="13" t="s">
        <v>39</v>
      </c>
      <c r="T287" s="13" t="s">
        <v>48</v>
      </c>
      <c r="U287" s="13" t="s">
        <v>5245</v>
      </c>
      <c r="V287" s="13" t="s">
        <v>5251</v>
      </c>
      <c r="W287" s="13" t="s">
        <v>5252</v>
      </c>
      <c r="X287" s="13" t="s">
        <v>557</v>
      </c>
      <c r="Y287" s="13" t="s">
        <v>78</v>
      </c>
      <c r="Z287" s="13" t="s">
        <v>5253</v>
      </c>
      <c r="AA287" s="13" t="s">
        <v>80</v>
      </c>
      <c r="AB287" s="13" t="s">
        <v>106</v>
      </c>
      <c r="AC287" s="13" t="s">
        <v>388</v>
      </c>
      <c r="AD287" s="13" t="s">
        <v>434</v>
      </c>
      <c r="AE287" s="13" t="s">
        <v>109</v>
      </c>
      <c r="AF287" s="13" t="s">
        <v>5254</v>
      </c>
      <c r="AG287" s="13" t="s">
        <v>39</v>
      </c>
      <c r="AH287" s="13" t="s">
        <v>39</v>
      </c>
      <c r="AI287" s="13" t="s">
        <v>5255</v>
      </c>
      <c r="AJ287" s="13" t="s">
        <v>5256</v>
      </c>
      <c r="AK287" s="13" t="s">
        <v>2157</v>
      </c>
      <c r="AL287" s="13" t="s">
        <v>88</v>
      </c>
    </row>
    <row r="288" spans="1:38" x14ac:dyDescent="0.4">
      <c r="A288" s="11" t="s">
        <v>5257</v>
      </c>
      <c r="B288" s="14" t="s">
        <v>5258</v>
      </c>
      <c r="C288" s="15" t="s">
        <v>39</v>
      </c>
      <c r="D288" s="15" t="s">
        <v>63</v>
      </c>
      <c r="E288" s="15" t="s">
        <v>5259</v>
      </c>
      <c r="F288" s="15" t="s">
        <v>271</v>
      </c>
      <c r="G288" s="15" t="s">
        <v>5260</v>
      </c>
      <c r="H288" s="15" t="s">
        <v>5261</v>
      </c>
      <c r="I288" s="9">
        <f t="shared" ca="1" si="4"/>
        <v>15</v>
      </c>
      <c r="J288" s="15" t="s">
        <v>5262</v>
      </c>
      <c r="K288" s="15" t="s">
        <v>67</v>
      </c>
      <c r="L288" s="9" t="str">
        <f>VLOOKUP(K288,[1]中国省份_标准!$B$2:$F$35,4,FALSE)</f>
        <v>东部地区</v>
      </c>
      <c r="M288" s="9" t="str">
        <f>VLOOKUP(K288,[1]中国省份_标准!$B$2:$F$35,5,FALSE)</f>
        <v>华东地区</v>
      </c>
      <c r="N288" s="15" t="s">
        <v>1986</v>
      </c>
      <c r="O288" s="15" t="s">
        <v>5263</v>
      </c>
      <c r="P288" s="15" t="s">
        <v>5264</v>
      </c>
      <c r="Q288" s="15" t="s">
        <v>5265</v>
      </c>
      <c r="R288" s="15" t="s">
        <v>5266</v>
      </c>
      <c r="S288" s="15" t="s">
        <v>39</v>
      </c>
      <c r="T288" s="15" t="s">
        <v>48</v>
      </c>
      <c r="U288" s="15" t="s">
        <v>5258</v>
      </c>
      <c r="V288" s="15" t="s">
        <v>5267</v>
      </c>
      <c r="W288" s="15" t="s">
        <v>5268</v>
      </c>
      <c r="X288" s="15" t="s">
        <v>1938</v>
      </c>
      <c r="Y288" s="15" t="s">
        <v>78</v>
      </c>
      <c r="Z288" s="15" t="s">
        <v>5269</v>
      </c>
      <c r="AA288" s="15" t="s">
        <v>169</v>
      </c>
      <c r="AB288" s="15" t="s">
        <v>285</v>
      </c>
      <c r="AC288" s="15" t="s">
        <v>712</v>
      </c>
      <c r="AD288" s="15" t="s">
        <v>5270</v>
      </c>
      <c r="AE288" s="15" t="s">
        <v>55</v>
      </c>
      <c r="AF288" s="15" t="s">
        <v>5271</v>
      </c>
      <c r="AG288" s="15" t="s">
        <v>39</v>
      </c>
      <c r="AH288" s="15" t="s">
        <v>39</v>
      </c>
      <c r="AI288" s="15" t="s">
        <v>5272</v>
      </c>
      <c r="AJ288" s="15" t="s">
        <v>5273</v>
      </c>
      <c r="AK288" s="15" t="s">
        <v>5274</v>
      </c>
      <c r="AL288" s="15" t="s">
        <v>88</v>
      </c>
    </row>
    <row r="289" spans="1:38" x14ac:dyDescent="0.4">
      <c r="A289" s="11" t="s">
        <v>5275</v>
      </c>
      <c r="B289" s="12" t="s">
        <v>5276</v>
      </c>
      <c r="C289" s="13" t="s">
        <v>39</v>
      </c>
      <c r="D289" s="13" t="s">
        <v>5277</v>
      </c>
      <c r="E289" s="13" t="s">
        <v>5278</v>
      </c>
      <c r="F289" s="13" t="s">
        <v>42</v>
      </c>
      <c r="G289" s="13" t="s">
        <v>42</v>
      </c>
      <c r="H289" s="13" t="s">
        <v>5279</v>
      </c>
      <c r="I289" s="9">
        <f t="shared" ca="1" si="4"/>
        <v>9</v>
      </c>
      <c r="J289" s="13" t="s">
        <v>5280</v>
      </c>
      <c r="K289" s="13" t="s">
        <v>531</v>
      </c>
      <c r="L289" s="9" t="str">
        <f>VLOOKUP(K289,[1]中国省份_标准!$B$2:$F$35,4,FALSE)</f>
        <v>东部地区</v>
      </c>
      <c r="M289" s="9" t="str">
        <f>VLOOKUP(K289,[1]中国省份_标准!$B$2:$F$35,5,FALSE)</f>
        <v>华南地区</v>
      </c>
      <c r="N289" s="13" t="s">
        <v>1450</v>
      </c>
      <c r="O289" s="13" t="s">
        <v>2146</v>
      </c>
      <c r="P289" s="13" t="s">
        <v>5281</v>
      </c>
      <c r="Q289" s="13" t="s">
        <v>5282</v>
      </c>
      <c r="R289" s="13" t="s">
        <v>5283</v>
      </c>
      <c r="S289" s="13" t="s">
        <v>5284</v>
      </c>
      <c r="T289" s="13" t="s">
        <v>281</v>
      </c>
      <c r="U289" s="13" t="s">
        <v>5276</v>
      </c>
      <c r="V289" s="13" t="s">
        <v>5285</v>
      </c>
      <c r="W289" s="13" t="s">
        <v>5286</v>
      </c>
      <c r="X289" s="13" t="s">
        <v>77</v>
      </c>
      <c r="Y289" s="13" t="s">
        <v>78</v>
      </c>
      <c r="Z289" s="13" t="s">
        <v>5287</v>
      </c>
      <c r="AA289" s="13" t="s">
        <v>169</v>
      </c>
      <c r="AB289" s="13" t="s">
        <v>1264</v>
      </c>
      <c r="AC289" s="13" t="s">
        <v>1265</v>
      </c>
      <c r="AD289" s="13" t="s">
        <v>1265</v>
      </c>
      <c r="AE289" s="13" t="s">
        <v>55</v>
      </c>
      <c r="AF289" s="13" t="s">
        <v>5288</v>
      </c>
      <c r="AG289" s="13" t="s">
        <v>39</v>
      </c>
      <c r="AH289" s="13" t="s">
        <v>39</v>
      </c>
      <c r="AI289" s="13" t="s">
        <v>5289</v>
      </c>
      <c r="AJ289" s="13" t="s">
        <v>5290</v>
      </c>
      <c r="AK289" s="13" t="s">
        <v>2157</v>
      </c>
      <c r="AL289" s="13" t="s">
        <v>88</v>
      </c>
    </row>
    <row r="290" spans="1:38" x14ac:dyDescent="0.4">
      <c r="A290" s="11" t="s">
        <v>5291</v>
      </c>
      <c r="B290" s="14" t="s">
        <v>5292</v>
      </c>
      <c r="C290" s="15" t="s">
        <v>5293</v>
      </c>
      <c r="D290" s="15" t="s">
        <v>63</v>
      </c>
      <c r="E290" s="15" t="s">
        <v>5294</v>
      </c>
      <c r="F290" s="15" t="s">
        <v>422</v>
      </c>
      <c r="G290" s="15" t="s">
        <v>39</v>
      </c>
      <c r="H290" s="15" t="s">
        <v>5295</v>
      </c>
      <c r="I290" s="9">
        <f t="shared" ca="1" si="4"/>
        <v>12</v>
      </c>
      <c r="J290" s="15" t="s">
        <v>5296</v>
      </c>
      <c r="K290" s="15" t="s">
        <v>67</v>
      </c>
      <c r="L290" s="9" t="str">
        <f>VLOOKUP(K290,[1]中国省份_标准!$B$2:$F$35,4,FALSE)</f>
        <v>东部地区</v>
      </c>
      <c r="M290" s="9" t="str">
        <f>VLOOKUP(K290,[1]中国省份_标准!$B$2:$F$35,5,FALSE)</f>
        <v>华东地区</v>
      </c>
      <c r="N290" s="15" t="s">
        <v>1663</v>
      </c>
      <c r="O290" s="15" t="s">
        <v>1664</v>
      </c>
      <c r="P290" s="15" t="s">
        <v>5297</v>
      </c>
      <c r="Q290" s="15" t="s">
        <v>39</v>
      </c>
      <c r="R290" s="15" t="s">
        <v>5298</v>
      </c>
      <c r="S290" s="15" t="s">
        <v>5299</v>
      </c>
      <c r="T290" s="15" t="s">
        <v>164</v>
      </c>
      <c r="U290" s="15" t="s">
        <v>5292</v>
      </c>
      <c r="V290" s="15" t="s">
        <v>5300</v>
      </c>
      <c r="W290" s="15" t="s">
        <v>5301</v>
      </c>
      <c r="X290" s="15" t="s">
        <v>77</v>
      </c>
      <c r="Y290" s="15" t="s">
        <v>78</v>
      </c>
      <c r="Z290" s="15" t="s">
        <v>168</v>
      </c>
      <c r="AA290" s="15" t="s">
        <v>169</v>
      </c>
      <c r="AB290" s="15" t="s">
        <v>170</v>
      </c>
      <c r="AC290" s="15" t="s">
        <v>171</v>
      </c>
      <c r="AD290" s="15" t="s">
        <v>2173</v>
      </c>
      <c r="AE290" s="15" t="s">
        <v>109</v>
      </c>
      <c r="AF290" s="15" t="s">
        <v>5302</v>
      </c>
      <c r="AG290" s="15" t="s">
        <v>39</v>
      </c>
      <c r="AH290" s="15" t="s">
        <v>39</v>
      </c>
      <c r="AI290" s="15" t="s">
        <v>39</v>
      </c>
      <c r="AJ290" s="15" t="s">
        <v>5303</v>
      </c>
      <c r="AK290" s="15" t="s">
        <v>1676</v>
      </c>
      <c r="AL290" s="15" t="s">
        <v>88</v>
      </c>
    </row>
    <row r="291" spans="1:38" x14ac:dyDescent="0.4">
      <c r="A291" s="11" t="s">
        <v>5304</v>
      </c>
      <c r="B291" s="12" t="s">
        <v>5305</v>
      </c>
      <c r="C291" s="13" t="s">
        <v>39</v>
      </c>
      <c r="D291" s="13" t="s">
        <v>63</v>
      </c>
      <c r="E291" s="13" t="s">
        <v>5306</v>
      </c>
      <c r="F291" s="13" t="s">
        <v>42</v>
      </c>
      <c r="G291" s="13" t="s">
        <v>39</v>
      </c>
      <c r="H291" s="13" t="s">
        <v>5307</v>
      </c>
      <c r="I291" s="9">
        <f t="shared" ca="1" si="4"/>
        <v>8</v>
      </c>
      <c r="J291" s="13" t="s">
        <v>5308</v>
      </c>
      <c r="K291" s="13" t="s">
        <v>67</v>
      </c>
      <c r="L291" s="9" t="str">
        <f>VLOOKUP(K291,[1]中国省份_标准!$B$2:$F$35,4,FALSE)</f>
        <v>东部地区</v>
      </c>
      <c r="M291" s="9" t="str">
        <f>VLOOKUP(K291,[1]中国省份_标准!$B$2:$F$35,5,FALSE)</f>
        <v>华东地区</v>
      </c>
      <c r="N291" s="13" t="s">
        <v>1663</v>
      </c>
      <c r="O291" s="13" t="s">
        <v>1664</v>
      </c>
      <c r="P291" s="13" t="s">
        <v>5309</v>
      </c>
      <c r="Q291" s="13" t="s">
        <v>39</v>
      </c>
      <c r="R291" s="13" t="s">
        <v>5310</v>
      </c>
      <c r="S291" s="13" t="s">
        <v>5311</v>
      </c>
      <c r="T291" s="13" t="s">
        <v>164</v>
      </c>
      <c r="U291" s="13" t="s">
        <v>5305</v>
      </c>
      <c r="V291" s="13" t="s">
        <v>5312</v>
      </c>
      <c r="W291" s="13" t="s">
        <v>5313</v>
      </c>
      <c r="X291" s="13" t="s">
        <v>77</v>
      </c>
      <c r="Y291" s="13" t="s">
        <v>78</v>
      </c>
      <c r="Z291" s="13" t="s">
        <v>168</v>
      </c>
      <c r="AA291" s="13" t="s">
        <v>169</v>
      </c>
      <c r="AB291" s="13" t="s">
        <v>170</v>
      </c>
      <c r="AC291" s="13" t="s">
        <v>171</v>
      </c>
      <c r="AD291" s="13" t="s">
        <v>347</v>
      </c>
      <c r="AE291" s="13" t="s">
        <v>109</v>
      </c>
      <c r="AF291" s="13" t="s">
        <v>5314</v>
      </c>
      <c r="AG291" s="13" t="s">
        <v>39</v>
      </c>
      <c r="AH291" s="13" t="s">
        <v>39</v>
      </c>
      <c r="AI291" s="13" t="s">
        <v>39</v>
      </c>
      <c r="AJ291" s="13" t="s">
        <v>5315</v>
      </c>
      <c r="AK291" s="13" t="s">
        <v>1676</v>
      </c>
      <c r="AL291" s="13" t="s">
        <v>88</v>
      </c>
    </row>
    <row r="292" spans="1:38" x14ac:dyDescent="0.4">
      <c r="A292" s="11" t="s">
        <v>5316</v>
      </c>
      <c r="B292" s="14" t="s">
        <v>5317</v>
      </c>
      <c r="C292" s="15" t="s">
        <v>39</v>
      </c>
      <c r="D292" s="15" t="s">
        <v>63</v>
      </c>
      <c r="E292" s="15" t="s">
        <v>5318</v>
      </c>
      <c r="F292" s="15" t="s">
        <v>442</v>
      </c>
      <c r="G292" s="15" t="s">
        <v>442</v>
      </c>
      <c r="H292" s="15" t="s">
        <v>5319</v>
      </c>
      <c r="I292" s="9">
        <f t="shared" ca="1" si="4"/>
        <v>23</v>
      </c>
      <c r="J292" s="15" t="s">
        <v>5320</v>
      </c>
      <c r="K292" s="15" t="s">
        <v>67</v>
      </c>
      <c r="L292" s="9" t="str">
        <f>VLOOKUP(K292,[1]中国省份_标准!$B$2:$F$35,4,FALSE)</f>
        <v>东部地区</v>
      </c>
      <c r="M292" s="9" t="str">
        <f>VLOOKUP(K292,[1]中国省份_标准!$B$2:$F$35,5,FALSE)</f>
        <v>华东地区</v>
      </c>
      <c r="N292" s="15" t="s">
        <v>1809</v>
      </c>
      <c r="O292" s="15" t="s">
        <v>3875</v>
      </c>
      <c r="P292" s="15" t="s">
        <v>5321</v>
      </c>
      <c r="Q292" s="15" t="s">
        <v>5322</v>
      </c>
      <c r="R292" s="15" t="s">
        <v>5323</v>
      </c>
      <c r="S292" s="15" t="s">
        <v>5324</v>
      </c>
      <c r="T292" s="15" t="s">
        <v>48</v>
      </c>
      <c r="U292" s="15" t="s">
        <v>5317</v>
      </c>
      <c r="V292" s="15" t="s">
        <v>5325</v>
      </c>
      <c r="W292" s="15" t="s">
        <v>5326</v>
      </c>
      <c r="X292" s="15" t="s">
        <v>5327</v>
      </c>
      <c r="Y292" s="15" t="s">
        <v>78</v>
      </c>
      <c r="Z292" s="15" t="s">
        <v>5328</v>
      </c>
      <c r="AA292" s="15" t="s">
        <v>169</v>
      </c>
      <c r="AB292" s="15" t="s">
        <v>285</v>
      </c>
      <c r="AC292" s="15" t="s">
        <v>479</v>
      </c>
      <c r="AD292" s="15" t="s">
        <v>480</v>
      </c>
      <c r="AE292" s="15" t="s">
        <v>262</v>
      </c>
      <c r="AF292" s="15" t="s">
        <v>5329</v>
      </c>
      <c r="AG292" s="15" t="s">
        <v>5330</v>
      </c>
      <c r="AH292" s="15" t="s">
        <v>39</v>
      </c>
      <c r="AI292" s="15" t="s">
        <v>5331</v>
      </c>
      <c r="AJ292" s="15" t="s">
        <v>5332</v>
      </c>
      <c r="AK292" s="15" t="s">
        <v>3886</v>
      </c>
      <c r="AL292" s="15" t="s">
        <v>88</v>
      </c>
    </row>
    <row r="293" spans="1:38" x14ac:dyDescent="0.4">
      <c r="A293" s="11" t="s">
        <v>5333</v>
      </c>
      <c r="B293" s="12" t="s">
        <v>5334</v>
      </c>
      <c r="C293" s="13" t="s">
        <v>39</v>
      </c>
      <c r="D293" s="13" t="s">
        <v>92</v>
      </c>
      <c r="E293" s="13" t="s">
        <v>5335</v>
      </c>
      <c r="F293" s="13" t="s">
        <v>5336</v>
      </c>
      <c r="G293" s="13" t="s">
        <v>5336</v>
      </c>
      <c r="H293" s="13" t="s">
        <v>5337</v>
      </c>
      <c r="I293" s="9">
        <f t="shared" ca="1" si="4"/>
        <v>16</v>
      </c>
      <c r="J293" s="13" t="s">
        <v>5338</v>
      </c>
      <c r="K293" s="13" t="s">
        <v>1877</v>
      </c>
      <c r="L293" s="9" t="str">
        <f>VLOOKUP(K293,[1]中国省份_标准!$B$2:$F$35,4,FALSE)</f>
        <v>中部地区</v>
      </c>
      <c r="M293" s="9" t="str">
        <f>VLOOKUP(K293,[1]中国省份_标准!$B$2:$F$35,5,FALSE)</f>
        <v>华中地区</v>
      </c>
      <c r="N293" s="13" t="s">
        <v>5339</v>
      </c>
      <c r="O293" s="13" t="s">
        <v>5340</v>
      </c>
      <c r="P293" s="13" t="s">
        <v>5341</v>
      </c>
      <c r="Q293" s="13" t="s">
        <v>5342</v>
      </c>
      <c r="R293" s="13" t="s">
        <v>39</v>
      </c>
      <c r="S293" s="13" t="s">
        <v>39</v>
      </c>
      <c r="T293" s="13" t="s">
        <v>48</v>
      </c>
      <c r="U293" s="13" t="s">
        <v>5334</v>
      </c>
      <c r="V293" s="13" t="s">
        <v>5343</v>
      </c>
      <c r="W293" s="13" t="s">
        <v>5344</v>
      </c>
      <c r="X293" s="13" t="s">
        <v>1319</v>
      </c>
      <c r="Y293" s="13" t="s">
        <v>78</v>
      </c>
      <c r="Z293" s="13" t="s">
        <v>5345</v>
      </c>
      <c r="AA293" s="13" t="s">
        <v>80</v>
      </c>
      <c r="AB293" s="13" t="s">
        <v>106</v>
      </c>
      <c r="AC293" s="13" t="s">
        <v>107</v>
      </c>
      <c r="AD293" s="13" t="s">
        <v>3545</v>
      </c>
      <c r="AE293" s="13" t="s">
        <v>262</v>
      </c>
      <c r="AF293" s="13" t="s">
        <v>5346</v>
      </c>
      <c r="AG293" s="13" t="s">
        <v>39</v>
      </c>
      <c r="AH293" s="13" t="s">
        <v>5347</v>
      </c>
      <c r="AI293" s="13" t="s">
        <v>5348</v>
      </c>
      <c r="AJ293" s="13" t="s">
        <v>5349</v>
      </c>
      <c r="AK293" s="13" t="s">
        <v>5350</v>
      </c>
      <c r="AL293" s="13" t="s">
        <v>88</v>
      </c>
    </row>
    <row r="294" spans="1:38" x14ac:dyDescent="0.4">
      <c r="A294" s="11" t="s">
        <v>5351</v>
      </c>
      <c r="B294" s="14" t="s">
        <v>5352</v>
      </c>
      <c r="C294" s="15" t="s">
        <v>39</v>
      </c>
      <c r="D294" s="15" t="s">
        <v>5353</v>
      </c>
      <c r="E294" s="15" t="s">
        <v>5354</v>
      </c>
      <c r="F294" s="15" t="s">
        <v>999</v>
      </c>
      <c r="G294" s="15" t="s">
        <v>999</v>
      </c>
      <c r="H294" s="15" t="s">
        <v>5355</v>
      </c>
      <c r="I294" s="9">
        <f t="shared" ca="1" si="4"/>
        <v>9</v>
      </c>
      <c r="J294" s="15" t="s">
        <v>5356</v>
      </c>
      <c r="K294" s="15" t="s">
        <v>97</v>
      </c>
      <c r="L294" s="9" t="str">
        <f>VLOOKUP(K294,[1]中国省份_标准!$B$2:$F$35,4,FALSE)</f>
        <v>中部地区</v>
      </c>
      <c r="M294" s="9" t="str">
        <f>VLOOKUP(K294,[1]中国省份_标准!$B$2:$F$35,5,FALSE)</f>
        <v>华中地区</v>
      </c>
      <c r="N294" s="15" t="s">
        <v>5357</v>
      </c>
      <c r="O294" s="15" t="s">
        <v>5358</v>
      </c>
      <c r="P294" s="15" t="s">
        <v>5359</v>
      </c>
      <c r="Q294" s="15" t="s">
        <v>5360</v>
      </c>
      <c r="R294" s="15" t="s">
        <v>5361</v>
      </c>
      <c r="S294" s="15" t="s">
        <v>5362</v>
      </c>
      <c r="T294" s="15" t="s">
        <v>209</v>
      </c>
      <c r="U294" s="15" t="s">
        <v>5352</v>
      </c>
      <c r="V294" s="15" t="s">
        <v>5363</v>
      </c>
      <c r="W294" s="15" t="s">
        <v>5364</v>
      </c>
      <c r="X294" s="15" t="s">
        <v>77</v>
      </c>
      <c r="Y294" s="15" t="s">
        <v>78</v>
      </c>
      <c r="Z294" s="15" t="s">
        <v>5365</v>
      </c>
      <c r="AA294" s="15" t="s">
        <v>169</v>
      </c>
      <c r="AB294" s="15" t="s">
        <v>5366</v>
      </c>
      <c r="AC294" s="15" t="s">
        <v>5367</v>
      </c>
      <c r="AD294" s="15" t="s">
        <v>5368</v>
      </c>
      <c r="AE294" s="15" t="s">
        <v>55</v>
      </c>
      <c r="AF294" s="15" t="s">
        <v>5369</v>
      </c>
      <c r="AG294" s="15" t="s">
        <v>39</v>
      </c>
      <c r="AH294" s="15" t="s">
        <v>39</v>
      </c>
      <c r="AI294" s="15" t="s">
        <v>5370</v>
      </c>
      <c r="AJ294" s="15" t="s">
        <v>5371</v>
      </c>
      <c r="AK294" s="15" t="s">
        <v>5372</v>
      </c>
      <c r="AL294" s="15" t="s">
        <v>88</v>
      </c>
    </row>
    <row r="295" spans="1:38" x14ac:dyDescent="0.4">
      <c r="A295" s="11" t="s">
        <v>5373</v>
      </c>
      <c r="B295" s="12" t="s">
        <v>5374</v>
      </c>
      <c r="C295" s="13" t="s">
        <v>39</v>
      </c>
      <c r="D295" s="13" t="s">
        <v>92</v>
      </c>
      <c r="E295" s="13" t="s">
        <v>5375</v>
      </c>
      <c r="F295" s="13" t="s">
        <v>5376</v>
      </c>
      <c r="G295" s="13" t="s">
        <v>5376</v>
      </c>
      <c r="H295" s="13" t="s">
        <v>5377</v>
      </c>
      <c r="I295" s="9">
        <f t="shared" ca="1" si="4"/>
        <v>20</v>
      </c>
      <c r="J295" s="13" t="s">
        <v>5378</v>
      </c>
      <c r="K295" s="13" t="s">
        <v>1877</v>
      </c>
      <c r="L295" s="9" t="str">
        <f>VLOOKUP(K295,[1]中国省份_标准!$B$2:$F$35,4,FALSE)</f>
        <v>中部地区</v>
      </c>
      <c r="M295" s="9" t="str">
        <f>VLOOKUP(K295,[1]中国省份_标准!$B$2:$F$35,5,FALSE)</f>
        <v>华中地区</v>
      </c>
      <c r="N295" s="13" t="s">
        <v>1930</v>
      </c>
      <c r="O295" s="13" t="s">
        <v>5379</v>
      </c>
      <c r="P295" s="13" t="s">
        <v>5380</v>
      </c>
      <c r="Q295" s="13" t="s">
        <v>5381</v>
      </c>
      <c r="R295" s="13" t="s">
        <v>5382</v>
      </c>
      <c r="S295" s="13" t="s">
        <v>39</v>
      </c>
      <c r="T295" s="13" t="s">
        <v>48</v>
      </c>
      <c r="U295" s="13" t="s">
        <v>5374</v>
      </c>
      <c r="V295" s="13" t="s">
        <v>5383</v>
      </c>
      <c r="W295" s="13" t="s">
        <v>5384</v>
      </c>
      <c r="X295" s="13" t="s">
        <v>2448</v>
      </c>
      <c r="Y295" s="13" t="s">
        <v>78</v>
      </c>
      <c r="Z295" s="13" t="s">
        <v>5385</v>
      </c>
      <c r="AA295" s="13" t="s">
        <v>169</v>
      </c>
      <c r="AB295" s="13" t="s">
        <v>412</v>
      </c>
      <c r="AC295" s="13" t="s">
        <v>413</v>
      </c>
      <c r="AD295" s="13" t="s">
        <v>1687</v>
      </c>
      <c r="AE295" s="13" t="s">
        <v>55</v>
      </c>
      <c r="AF295" s="13" t="s">
        <v>5386</v>
      </c>
      <c r="AG295" s="13" t="s">
        <v>39</v>
      </c>
      <c r="AH295" s="13" t="s">
        <v>39</v>
      </c>
      <c r="AI295" s="13" t="s">
        <v>5387</v>
      </c>
      <c r="AJ295" s="13" t="s">
        <v>5388</v>
      </c>
      <c r="AK295" s="13" t="s">
        <v>5389</v>
      </c>
      <c r="AL295" s="13" t="s">
        <v>88</v>
      </c>
    </row>
    <row r="296" spans="1:38" x14ac:dyDescent="0.4">
      <c r="A296" s="11" t="s">
        <v>5390</v>
      </c>
      <c r="B296" s="14" t="s">
        <v>5391</v>
      </c>
      <c r="C296" s="15" t="s">
        <v>39</v>
      </c>
      <c r="D296" s="15" t="s">
        <v>92</v>
      </c>
      <c r="E296" s="15" t="s">
        <v>1927</v>
      </c>
      <c r="F296" s="15" t="s">
        <v>5392</v>
      </c>
      <c r="G296" s="15" t="s">
        <v>5392</v>
      </c>
      <c r="H296" s="15" t="s">
        <v>5393</v>
      </c>
      <c r="I296" s="9">
        <f t="shared" ca="1" si="4"/>
        <v>27</v>
      </c>
      <c r="J296" s="15" t="s">
        <v>5394</v>
      </c>
      <c r="K296" s="15" t="s">
        <v>1877</v>
      </c>
      <c r="L296" s="9" t="str">
        <f>VLOOKUP(K296,[1]中国省份_标准!$B$2:$F$35,4,FALSE)</f>
        <v>中部地区</v>
      </c>
      <c r="M296" s="9" t="str">
        <f>VLOOKUP(K296,[1]中国省份_标准!$B$2:$F$35,5,FALSE)</f>
        <v>华中地区</v>
      </c>
      <c r="N296" s="15" t="s">
        <v>5395</v>
      </c>
      <c r="O296" s="15" t="s">
        <v>5396</v>
      </c>
      <c r="P296" s="15" t="s">
        <v>5397</v>
      </c>
      <c r="Q296" s="15" t="s">
        <v>5398</v>
      </c>
      <c r="R296" s="15" t="s">
        <v>5399</v>
      </c>
      <c r="S296" s="15" t="s">
        <v>5400</v>
      </c>
      <c r="T296" s="15" t="s">
        <v>209</v>
      </c>
      <c r="U296" s="15" t="s">
        <v>5391</v>
      </c>
      <c r="V296" s="15" t="s">
        <v>5401</v>
      </c>
      <c r="W296" s="15" t="s">
        <v>5402</v>
      </c>
      <c r="X296" s="15" t="s">
        <v>5403</v>
      </c>
      <c r="Y296" s="15" t="s">
        <v>78</v>
      </c>
      <c r="Z296" s="15" t="s">
        <v>5404</v>
      </c>
      <c r="AA296" s="15" t="s">
        <v>169</v>
      </c>
      <c r="AB296" s="15" t="s">
        <v>5195</v>
      </c>
      <c r="AC296" s="15" t="s">
        <v>5196</v>
      </c>
      <c r="AD296" s="15" t="s">
        <v>5196</v>
      </c>
      <c r="AE296" s="15" t="s">
        <v>55</v>
      </c>
      <c r="AF296" s="15" t="s">
        <v>5405</v>
      </c>
      <c r="AG296" s="15" t="s">
        <v>5406</v>
      </c>
      <c r="AH296" s="15" t="s">
        <v>39</v>
      </c>
      <c r="AI296" s="15" t="s">
        <v>5407</v>
      </c>
      <c r="AJ296" s="15" t="s">
        <v>5408</v>
      </c>
      <c r="AK296" s="15" t="s">
        <v>5409</v>
      </c>
      <c r="AL296" s="15" t="s">
        <v>88</v>
      </c>
    </row>
    <row r="297" spans="1:38" x14ac:dyDescent="0.4">
      <c r="A297" s="11" t="s">
        <v>5410</v>
      </c>
      <c r="B297" s="12" t="s">
        <v>5411</v>
      </c>
      <c r="C297" s="13" t="s">
        <v>39</v>
      </c>
      <c r="D297" s="13" t="s">
        <v>92</v>
      </c>
      <c r="E297" s="13" t="s">
        <v>5412</v>
      </c>
      <c r="F297" s="13" t="s">
        <v>5413</v>
      </c>
      <c r="G297" s="13" t="s">
        <v>5413</v>
      </c>
      <c r="H297" s="13" t="s">
        <v>5414</v>
      </c>
      <c r="I297" s="9">
        <f t="shared" ca="1" si="4"/>
        <v>14</v>
      </c>
      <c r="J297" s="13" t="s">
        <v>5415</v>
      </c>
      <c r="K297" s="13" t="s">
        <v>1877</v>
      </c>
      <c r="L297" s="9" t="str">
        <f>VLOOKUP(K297,[1]中国省份_标准!$B$2:$F$35,4,FALSE)</f>
        <v>中部地区</v>
      </c>
      <c r="M297" s="9" t="str">
        <f>VLOOKUP(K297,[1]中国省份_标准!$B$2:$F$35,5,FALSE)</f>
        <v>华中地区</v>
      </c>
      <c r="N297" s="13" t="s">
        <v>5416</v>
      </c>
      <c r="O297" s="13" t="s">
        <v>5417</v>
      </c>
      <c r="P297" s="13" t="s">
        <v>5418</v>
      </c>
      <c r="Q297" s="13" t="s">
        <v>39</v>
      </c>
      <c r="R297" s="13" t="s">
        <v>5419</v>
      </c>
      <c r="S297" s="13" t="s">
        <v>5420</v>
      </c>
      <c r="T297" s="13" t="s">
        <v>209</v>
      </c>
      <c r="U297" s="13" t="s">
        <v>5411</v>
      </c>
      <c r="V297" s="13" t="s">
        <v>5421</v>
      </c>
      <c r="W297" s="13" t="s">
        <v>5422</v>
      </c>
      <c r="X297" s="13" t="s">
        <v>3175</v>
      </c>
      <c r="Y297" s="13" t="s">
        <v>78</v>
      </c>
      <c r="Z297" s="13" t="s">
        <v>5423</v>
      </c>
      <c r="AA297" s="13" t="s">
        <v>309</v>
      </c>
      <c r="AB297" s="13" t="s">
        <v>310</v>
      </c>
      <c r="AC297" s="13" t="s">
        <v>311</v>
      </c>
      <c r="AD297" s="13" t="s">
        <v>312</v>
      </c>
      <c r="AE297" s="13" t="s">
        <v>262</v>
      </c>
      <c r="AF297" s="13" t="s">
        <v>5424</v>
      </c>
      <c r="AG297" s="13" t="s">
        <v>39</v>
      </c>
      <c r="AH297" s="13" t="s">
        <v>5425</v>
      </c>
      <c r="AI297" s="13" t="s">
        <v>5426</v>
      </c>
      <c r="AJ297" s="13" t="s">
        <v>5427</v>
      </c>
      <c r="AK297" s="13" t="s">
        <v>5428</v>
      </c>
      <c r="AL297" s="13" t="s">
        <v>88</v>
      </c>
    </row>
    <row r="298" spans="1:38" x14ac:dyDescent="0.4">
      <c r="A298" s="11" t="s">
        <v>5429</v>
      </c>
      <c r="B298" s="14" t="s">
        <v>5430</v>
      </c>
      <c r="C298" s="15" t="s">
        <v>39</v>
      </c>
      <c r="D298" s="15" t="s">
        <v>92</v>
      </c>
      <c r="E298" s="15" t="s">
        <v>5431</v>
      </c>
      <c r="F298" s="15" t="s">
        <v>271</v>
      </c>
      <c r="G298" s="15" t="s">
        <v>271</v>
      </c>
      <c r="H298" s="15" t="s">
        <v>5432</v>
      </c>
      <c r="I298" s="9">
        <f t="shared" ca="1" si="4"/>
        <v>5</v>
      </c>
      <c r="J298" s="15" t="s">
        <v>5433</v>
      </c>
      <c r="K298" s="15" t="s">
        <v>1877</v>
      </c>
      <c r="L298" s="9" t="str">
        <f>VLOOKUP(K298,[1]中国省份_标准!$B$2:$F$35,4,FALSE)</f>
        <v>中部地区</v>
      </c>
      <c r="M298" s="9" t="str">
        <f>VLOOKUP(K298,[1]中国省份_标准!$B$2:$F$35,5,FALSE)</f>
        <v>华中地区</v>
      </c>
      <c r="N298" s="15" t="s">
        <v>1950</v>
      </c>
      <c r="O298" s="15" t="s">
        <v>1951</v>
      </c>
      <c r="P298" s="15" t="s">
        <v>5434</v>
      </c>
      <c r="Q298" s="15" t="s">
        <v>5435</v>
      </c>
      <c r="R298" s="15" t="s">
        <v>5436</v>
      </c>
      <c r="S298" s="15" t="s">
        <v>5437</v>
      </c>
      <c r="T298" s="15" t="s">
        <v>281</v>
      </c>
      <c r="U298" s="15" t="s">
        <v>5430</v>
      </c>
      <c r="V298" s="15" t="s">
        <v>5438</v>
      </c>
      <c r="W298" s="15" t="s">
        <v>5439</v>
      </c>
      <c r="X298" s="15" t="s">
        <v>5440</v>
      </c>
      <c r="Y298" s="15" t="s">
        <v>78</v>
      </c>
      <c r="Z298" s="15" t="s">
        <v>5441</v>
      </c>
      <c r="AA298" s="15" t="s">
        <v>169</v>
      </c>
      <c r="AB298" s="15" t="s">
        <v>1264</v>
      </c>
      <c r="AC298" s="15" t="s">
        <v>1457</v>
      </c>
      <c r="AD298" s="15" t="s">
        <v>1557</v>
      </c>
      <c r="AE298" s="15" t="s">
        <v>55</v>
      </c>
      <c r="AF298" s="15" t="s">
        <v>5442</v>
      </c>
      <c r="AG298" s="15" t="s">
        <v>39</v>
      </c>
      <c r="AH298" s="15" t="s">
        <v>5443</v>
      </c>
      <c r="AI298" s="15" t="s">
        <v>5444</v>
      </c>
      <c r="AJ298" s="15" t="s">
        <v>5445</v>
      </c>
      <c r="AK298" s="15" t="s">
        <v>1962</v>
      </c>
      <c r="AL298" s="15" t="s">
        <v>88</v>
      </c>
    </row>
    <row r="299" spans="1:38" x14ac:dyDescent="0.4">
      <c r="A299" s="11" t="s">
        <v>5446</v>
      </c>
      <c r="B299" s="12" t="s">
        <v>5447</v>
      </c>
      <c r="C299" s="13" t="s">
        <v>39</v>
      </c>
      <c r="D299" s="13" t="s">
        <v>5448</v>
      </c>
      <c r="E299" s="13" t="s">
        <v>5449</v>
      </c>
      <c r="F299" s="13" t="s">
        <v>1428</v>
      </c>
      <c r="G299" s="13" t="s">
        <v>5450</v>
      </c>
      <c r="H299" s="13" t="s">
        <v>5451</v>
      </c>
      <c r="I299" s="9">
        <f t="shared" ca="1" si="4"/>
        <v>3</v>
      </c>
      <c r="J299" s="13" t="s">
        <v>5452</v>
      </c>
      <c r="K299" s="13" t="s">
        <v>531</v>
      </c>
      <c r="L299" s="9" t="str">
        <f>VLOOKUP(K299,[1]中国省份_标准!$B$2:$F$35,4,FALSE)</f>
        <v>东部地区</v>
      </c>
      <c r="M299" s="9" t="str">
        <f>VLOOKUP(K299,[1]中国省份_标准!$B$2:$F$35,5,FALSE)</f>
        <v>华南地区</v>
      </c>
      <c r="N299" s="13" t="s">
        <v>1450</v>
      </c>
      <c r="O299" s="13" t="s">
        <v>1451</v>
      </c>
      <c r="P299" s="13" t="s">
        <v>5453</v>
      </c>
      <c r="Q299" s="13" t="s">
        <v>39</v>
      </c>
      <c r="R299" s="13" t="s">
        <v>5454</v>
      </c>
      <c r="S299" s="13" t="s">
        <v>39</v>
      </c>
      <c r="T299" s="13" t="s">
        <v>281</v>
      </c>
      <c r="U299" s="13" t="s">
        <v>5447</v>
      </c>
      <c r="V299" s="13" t="s">
        <v>5455</v>
      </c>
      <c r="W299" s="13" t="s">
        <v>5456</v>
      </c>
      <c r="X299" s="13" t="s">
        <v>990</v>
      </c>
      <c r="Y299" s="13" t="s">
        <v>78</v>
      </c>
      <c r="Z299" s="13" t="s">
        <v>5457</v>
      </c>
      <c r="AA299" s="13" t="s">
        <v>169</v>
      </c>
      <c r="AB299" s="13" t="s">
        <v>1264</v>
      </c>
      <c r="AC299" s="13" t="s">
        <v>1265</v>
      </c>
      <c r="AD299" s="13" t="s">
        <v>1265</v>
      </c>
      <c r="AE299" s="13" t="s">
        <v>55</v>
      </c>
      <c r="AF299" s="13" t="s">
        <v>5458</v>
      </c>
      <c r="AG299" s="13" t="s">
        <v>39</v>
      </c>
      <c r="AH299" s="13" t="s">
        <v>39</v>
      </c>
      <c r="AI299" s="13" t="s">
        <v>5459</v>
      </c>
      <c r="AJ299" s="13" t="s">
        <v>5460</v>
      </c>
      <c r="AK299" s="13" t="s">
        <v>1460</v>
      </c>
      <c r="AL299" s="13" t="s">
        <v>88</v>
      </c>
    </row>
    <row r="300" spans="1:38" x14ac:dyDescent="0.4">
      <c r="A300" s="11" t="s">
        <v>5461</v>
      </c>
      <c r="B300" s="14" t="s">
        <v>5462</v>
      </c>
      <c r="C300" s="15" t="s">
        <v>39</v>
      </c>
      <c r="D300" s="15" t="s">
        <v>92</v>
      </c>
      <c r="E300" s="15" t="s">
        <v>5463</v>
      </c>
      <c r="F300" s="15" t="s">
        <v>640</v>
      </c>
      <c r="G300" s="15" t="s">
        <v>39</v>
      </c>
      <c r="H300" s="15" t="s">
        <v>5464</v>
      </c>
      <c r="I300" s="9">
        <f t="shared" ca="1" si="4"/>
        <v>3</v>
      </c>
      <c r="J300" s="15" t="s">
        <v>5465</v>
      </c>
      <c r="K300" s="15" t="s">
        <v>97</v>
      </c>
      <c r="L300" s="9" t="str">
        <f>VLOOKUP(K300,[1]中国省份_标准!$B$2:$F$35,4,FALSE)</f>
        <v>中部地区</v>
      </c>
      <c r="M300" s="9" t="str">
        <f>VLOOKUP(K300,[1]中国省份_标准!$B$2:$F$35,5,FALSE)</f>
        <v>华中地区</v>
      </c>
      <c r="N300" s="15" t="s">
        <v>2049</v>
      </c>
      <c r="O300" s="15" t="s">
        <v>5466</v>
      </c>
      <c r="P300" s="15" t="s">
        <v>5467</v>
      </c>
      <c r="Q300" s="15" t="s">
        <v>39</v>
      </c>
      <c r="R300" s="15" t="s">
        <v>5468</v>
      </c>
      <c r="S300" s="15" t="s">
        <v>39</v>
      </c>
      <c r="T300" s="15" t="s">
        <v>48</v>
      </c>
      <c r="U300" s="15" t="s">
        <v>5462</v>
      </c>
      <c r="V300" s="15" t="s">
        <v>5469</v>
      </c>
      <c r="W300" s="15" t="s">
        <v>5470</v>
      </c>
      <c r="X300" s="15" t="s">
        <v>77</v>
      </c>
      <c r="Y300" s="15" t="s">
        <v>283</v>
      </c>
      <c r="Z300" s="15" t="s">
        <v>5471</v>
      </c>
      <c r="AA300" s="15" t="s">
        <v>80</v>
      </c>
      <c r="AB300" s="15" t="s">
        <v>106</v>
      </c>
      <c r="AC300" s="15" t="s">
        <v>388</v>
      </c>
      <c r="AD300" s="15" t="s">
        <v>434</v>
      </c>
      <c r="AE300" s="15" t="s">
        <v>109</v>
      </c>
      <c r="AF300" s="15" t="s">
        <v>5472</v>
      </c>
      <c r="AG300" s="15" t="s">
        <v>39</v>
      </c>
      <c r="AH300" s="15" t="s">
        <v>39</v>
      </c>
      <c r="AI300" s="15" t="s">
        <v>5473</v>
      </c>
      <c r="AJ300" s="15" t="s">
        <v>5474</v>
      </c>
      <c r="AK300" s="15" t="s">
        <v>5475</v>
      </c>
      <c r="AL300" s="15" t="s">
        <v>88</v>
      </c>
    </row>
    <row r="301" spans="1:38" x14ac:dyDescent="0.4">
      <c r="A301" s="11" t="s">
        <v>5476</v>
      </c>
      <c r="B301" s="12" t="s">
        <v>5477</v>
      </c>
      <c r="C301" s="13" t="s">
        <v>5478</v>
      </c>
      <c r="D301" s="13" t="s">
        <v>5479</v>
      </c>
      <c r="E301" s="13" t="s">
        <v>5480</v>
      </c>
      <c r="F301" s="13" t="s">
        <v>42</v>
      </c>
      <c r="G301" s="13" t="s">
        <v>39</v>
      </c>
      <c r="H301" s="13" t="s">
        <v>5481</v>
      </c>
      <c r="I301" s="9">
        <f t="shared" ca="1" si="4"/>
        <v>10</v>
      </c>
      <c r="J301" s="13" t="s">
        <v>5482</v>
      </c>
      <c r="K301" s="13" t="s">
        <v>531</v>
      </c>
      <c r="L301" s="9" t="str">
        <f>VLOOKUP(K301,[1]中国省份_标准!$B$2:$F$35,4,FALSE)</f>
        <v>东部地区</v>
      </c>
      <c r="M301" s="9" t="str">
        <f>VLOOKUP(K301,[1]中国省份_标准!$B$2:$F$35,5,FALSE)</f>
        <v>华南地区</v>
      </c>
      <c r="N301" s="13" t="s">
        <v>1450</v>
      </c>
      <c r="O301" s="13" t="s">
        <v>2146</v>
      </c>
      <c r="P301" s="13" t="s">
        <v>5483</v>
      </c>
      <c r="Q301" s="13" t="s">
        <v>5484</v>
      </c>
      <c r="R301" s="13" t="s">
        <v>5485</v>
      </c>
      <c r="S301" s="13" t="s">
        <v>5486</v>
      </c>
      <c r="T301" s="13" t="s">
        <v>48</v>
      </c>
      <c r="U301" s="13" t="s">
        <v>5477</v>
      </c>
      <c r="V301" s="13" t="s">
        <v>5487</v>
      </c>
      <c r="W301" s="13" t="s">
        <v>5488</v>
      </c>
      <c r="X301" s="13" t="s">
        <v>5440</v>
      </c>
      <c r="Y301" s="13" t="s">
        <v>283</v>
      </c>
      <c r="Z301" s="13" t="s">
        <v>5489</v>
      </c>
      <c r="AA301" s="13" t="s">
        <v>169</v>
      </c>
      <c r="AB301" s="13" t="s">
        <v>1264</v>
      </c>
      <c r="AC301" s="13" t="s">
        <v>1488</v>
      </c>
      <c r="AD301" s="13" t="s">
        <v>39</v>
      </c>
      <c r="AE301" s="13" t="s">
        <v>55</v>
      </c>
      <c r="AF301" s="13" t="s">
        <v>5490</v>
      </c>
      <c r="AG301" s="13" t="s">
        <v>39</v>
      </c>
      <c r="AH301" s="13" t="s">
        <v>39</v>
      </c>
      <c r="AI301" s="13" t="s">
        <v>5491</v>
      </c>
      <c r="AJ301" s="13" t="s">
        <v>5492</v>
      </c>
      <c r="AK301" s="13" t="s">
        <v>2157</v>
      </c>
      <c r="AL301" s="13" t="s">
        <v>88</v>
      </c>
    </row>
    <row r="302" spans="1:38" x14ac:dyDescent="0.4">
      <c r="A302" s="11" t="s">
        <v>5493</v>
      </c>
      <c r="B302" s="14" t="s">
        <v>5494</v>
      </c>
      <c r="C302" s="15" t="s">
        <v>5495</v>
      </c>
      <c r="D302" s="15" t="s">
        <v>5496</v>
      </c>
      <c r="E302" s="15" t="s">
        <v>5497</v>
      </c>
      <c r="F302" s="15" t="s">
        <v>271</v>
      </c>
      <c r="G302" s="15" t="s">
        <v>39</v>
      </c>
      <c r="H302" s="15" t="s">
        <v>5498</v>
      </c>
      <c r="I302" s="9">
        <f t="shared" ca="1" si="4"/>
        <v>5</v>
      </c>
      <c r="J302" s="15" t="s">
        <v>5499</v>
      </c>
      <c r="K302" s="15" t="s">
        <v>67</v>
      </c>
      <c r="L302" s="9" t="str">
        <f>VLOOKUP(K302,[1]中国省份_标准!$B$2:$F$35,4,FALSE)</f>
        <v>东部地区</v>
      </c>
      <c r="M302" s="9" t="str">
        <f>VLOOKUP(K302,[1]中国省份_标准!$B$2:$F$35,5,FALSE)</f>
        <v>华东地区</v>
      </c>
      <c r="N302" s="15" t="s">
        <v>203</v>
      </c>
      <c r="O302" s="15" t="s">
        <v>944</v>
      </c>
      <c r="P302" s="15" t="s">
        <v>5500</v>
      </c>
      <c r="Q302" s="15" t="s">
        <v>39</v>
      </c>
      <c r="R302" s="15" t="s">
        <v>5501</v>
      </c>
      <c r="S302" s="15" t="s">
        <v>39</v>
      </c>
      <c r="T302" s="15" t="s">
        <v>281</v>
      </c>
      <c r="U302" s="15" t="s">
        <v>5494</v>
      </c>
      <c r="V302" s="15" t="s">
        <v>39</v>
      </c>
      <c r="W302" s="15" t="s">
        <v>5502</v>
      </c>
      <c r="X302" s="15" t="s">
        <v>77</v>
      </c>
      <c r="Y302" s="15" t="s">
        <v>283</v>
      </c>
      <c r="Z302" s="15" t="s">
        <v>5503</v>
      </c>
      <c r="AA302" s="15" t="s">
        <v>80</v>
      </c>
      <c r="AB302" s="15" t="s">
        <v>106</v>
      </c>
      <c r="AC302" s="15" t="s">
        <v>107</v>
      </c>
      <c r="AD302" s="15" t="s">
        <v>3348</v>
      </c>
      <c r="AE302" s="15" t="s">
        <v>55</v>
      </c>
      <c r="AF302" s="15" t="s">
        <v>5504</v>
      </c>
      <c r="AG302" s="15" t="s">
        <v>39</v>
      </c>
      <c r="AH302" s="15" t="s">
        <v>39</v>
      </c>
      <c r="AI302" s="15" t="s">
        <v>5505</v>
      </c>
      <c r="AJ302" s="15" t="s">
        <v>5506</v>
      </c>
      <c r="AK302" s="15" t="s">
        <v>3564</v>
      </c>
      <c r="AL302" s="15" t="s">
        <v>88</v>
      </c>
    </row>
    <row r="303" spans="1:38" x14ac:dyDescent="0.4">
      <c r="A303" s="11" t="s">
        <v>5507</v>
      </c>
      <c r="B303" s="12" t="s">
        <v>5508</v>
      </c>
      <c r="C303" s="13" t="s">
        <v>39</v>
      </c>
      <c r="D303" s="13" t="s">
        <v>63</v>
      </c>
      <c r="E303" s="13" t="s">
        <v>5509</v>
      </c>
      <c r="F303" s="13" t="s">
        <v>5510</v>
      </c>
      <c r="G303" s="13" t="s">
        <v>5510</v>
      </c>
      <c r="H303" s="13" t="s">
        <v>5511</v>
      </c>
      <c r="I303" s="9">
        <f t="shared" ca="1" si="4"/>
        <v>20</v>
      </c>
      <c r="J303" s="13" t="s">
        <v>5512</v>
      </c>
      <c r="K303" s="13" t="s">
        <v>425</v>
      </c>
      <c r="L303" s="9" t="str">
        <f>VLOOKUP(K303,[1]中国省份_标准!$B$2:$F$35,4,FALSE)</f>
        <v>东部地区</v>
      </c>
      <c r="M303" s="9" t="str">
        <f>VLOOKUP(K303,[1]中国省份_标准!$B$2:$F$35,5,FALSE)</f>
        <v>华东地区</v>
      </c>
      <c r="N303" s="13" t="s">
        <v>5513</v>
      </c>
      <c r="O303" s="13" t="s">
        <v>5514</v>
      </c>
      <c r="P303" s="13" t="s">
        <v>5515</v>
      </c>
      <c r="Q303" s="13" t="s">
        <v>39</v>
      </c>
      <c r="R303" s="13" t="s">
        <v>5516</v>
      </c>
      <c r="S303" s="13" t="s">
        <v>5517</v>
      </c>
      <c r="T303" s="13" t="s">
        <v>670</v>
      </c>
      <c r="U303" s="13" t="s">
        <v>5508</v>
      </c>
      <c r="V303" s="13" t="s">
        <v>5518</v>
      </c>
      <c r="W303" s="13" t="s">
        <v>5519</v>
      </c>
      <c r="X303" s="13" t="s">
        <v>5520</v>
      </c>
      <c r="Y303" s="13" t="s">
        <v>78</v>
      </c>
      <c r="Z303" s="13" t="s">
        <v>5521</v>
      </c>
      <c r="AA303" s="13" t="s">
        <v>169</v>
      </c>
      <c r="AB303" s="13" t="s">
        <v>412</v>
      </c>
      <c r="AC303" s="13" t="s">
        <v>413</v>
      </c>
      <c r="AD303" s="13" t="s">
        <v>39</v>
      </c>
      <c r="AE303" s="13" t="s">
        <v>55</v>
      </c>
      <c r="AF303" s="13" t="s">
        <v>5522</v>
      </c>
      <c r="AG303" s="13" t="s">
        <v>5523</v>
      </c>
      <c r="AH303" s="13" t="s">
        <v>39</v>
      </c>
      <c r="AI303" s="13" t="s">
        <v>5524</v>
      </c>
      <c r="AJ303" s="13" t="s">
        <v>5525</v>
      </c>
      <c r="AK303" s="13" t="s">
        <v>5526</v>
      </c>
      <c r="AL303" s="13" t="s">
        <v>88</v>
      </c>
    </row>
    <row r="304" spans="1:38" x14ac:dyDescent="0.4">
      <c r="A304" s="11" t="s">
        <v>5527</v>
      </c>
      <c r="B304" s="14" t="s">
        <v>5528</v>
      </c>
      <c r="C304" s="15" t="s">
        <v>39</v>
      </c>
      <c r="D304" s="15" t="s">
        <v>92</v>
      </c>
      <c r="E304" s="15" t="s">
        <v>5529</v>
      </c>
      <c r="F304" s="15" t="s">
        <v>5530</v>
      </c>
      <c r="G304" s="15" t="s">
        <v>5530</v>
      </c>
      <c r="H304" s="15" t="s">
        <v>5531</v>
      </c>
      <c r="I304" s="9">
        <f t="shared" ca="1" si="4"/>
        <v>8</v>
      </c>
      <c r="J304" s="15" t="s">
        <v>5532</v>
      </c>
      <c r="K304" s="15" t="s">
        <v>97</v>
      </c>
      <c r="L304" s="9" t="str">
        <f>VLOOKUP(K304,[1]中国省份_标准!$B$2:$F$35,4,FALSE)</f>
        <v>中部地区</v>
      </c>
      <c r="M304" s="9" t="str">
        <f>VLOOKUP(K304,[1]中国省份_标准!$B$2:$F$35,5,FALSE)</f>
        <v>华中地区</v>
      </c>
      <c r="N304" s="15" t="s">
        <v>4820</v>
      </c>
      <c r="O304" s="15" t="s">
        <v>5533</v>
      </c>
      <c r="P304" s="15" t="s">
        <v>5534</v>
      </c>
      <c r="Q304" s="15" t="s">
        <v>5535</v>
      </c>
      <c r="R304" s="15" t="s">
        <v>5536</v>
      </c>
      <c r="S304" s="15" t="s">
        <v>5537</v>
      </c>
      <c r="T304" s="15" t="s">
        <v>209</v>
      </c>
      <c r="U304" s="15" t="s">
        <v>5528</v>
      </c>
      <c r="V304" s="15" t="s">
        <v>5538</v>
      </c>
      <c r="W304" s="15" t="s">
        <v>5539</v>
      </c>
      <c r="X304" s="15" t="s">
        <v>5540</v>
      </c>
      <c r="Y304" s="15" t="s">
        <v>78</v>
      </c>
      <c r="Z304" s="15" t="s">
        <v>5541</v>
      </c>
      <c r="AA304" s="15" t="s">
        <v>80</v>
      </c>
      <c r="AB304" s="15" t="s">
        <v>106</v>
      </c>
      <c r="AC304" s="15" t="s">
        <v>808</v>
      </c>
      <c r="AD304" s="15" t="s">
        <v>809</v>
      </c>
      <c r="AE304" s="15" t="s">
        <v>262</v>
      </c>
      <c r="AF304" s="15" t="s">
        <v>5542</v>
      </c>
      <c r="AG304" s="15" t="s">
        <v>39</v>
      </c>
      <c r="AH304" s="15" t="s">
        <v>5543</v>
      </c>
      <c r="AI304" s="15" t="s">
        <v>5544</v>
      </c>
      <c r="AJ304" s="15" t="s">
        <v>5545</v>
      </c>
      <c r="AK304" s="15" t="s">
        <v>5546</v>
      </c>
      <c r="AL304" s="15" t="s">
        <v>88</v>
      </c>
    </row>
    <row r="305" spans="1:38" x14ac:dyDescent="0.4">
      <c r="A305" s="11" t="s">
        <v>5547</v>
      </c>
      <c r="B305" s="12" t="s">
        <v>5548</v>
      </c>
      <c r="C305" s="13" t="s">
        <v>39</v>
      </c>
      <c r="D305" s="13" t="s">
        <v>92</v>
      </c>
      <c r="E305" s="13" t="s">
        <v>5549</v>
      </c>
      <c r="F305" s="13" t="s">
        <v>271</v>
      </c>
      <c r="G305" s="13" t="s">
        <v>5550</v>
      </c>
      <c r="H305" s="13" t="s">
        <v>5551</v>
      </c>
      <c r="I305" s="9">
        <f t="shared" ca="1" si="4"/>
        <v>9</v>
      </c>
      <c r="J305" s="13" t="s">
        <v>5552</v>
      </c>
      <c r="K305" s="13" t="s">
        <v>531</v>
      </c>
      <c r="L305" s="9" t="str">
        <f>VLOOKUP(K305,[1]中国省份_标准!$B$2:$F$35,4,FALSE)</f>
        <v>东部地区</v>
      </c>
      <c r="M305" s="9" t="str">
        <f>VLOOKUP(K305,[1]中国省份_标准!$B$2:$F$35,5,FALSE)</f>
        <v>华南地区</v>
      </c>
      <c r="N305" s="13" t="s">
        <v>1450</v>
      </c>
      <c r="O305" s="13" t="s">
        <v>5553</v>
      </c>
      <c r="P305" s="13" t="s">
        <v>5554</v>
      </c>
      <c r="Q305" s="13" t="s">
        <v>5555</v>
      </c>
      <c r="R305" s="13" t="s">
        <v>5556</v>
      </c>
      <c r="S305" s="13" t="s">
        <v>5557</v>
      </c>
      <c r="T305" s="13" t="s">
        <v>48</v>
      </c>
      <c r="U305" s="13" t="s">
        <v>5548</v>
      </c>
      <c r="V305" s="13" t="s">
        <v>5558</v>
      </c>
      <c r="W305" s="13" t="s">
        <v>5559</v>
      </c>
      <c r="X305" s="13" t="s">
        <v>5560</v>
      </c>
      <c r="Y305" s="13" t="s">
        <v>78</v>
      </c>
      <c r="Z305" s="13" t="s">
        <v>5561</v>
      </c>
      <c r="AA305" s="13" t="s">
        <v>1796</v>
      </c>
      <c r="AB305" s="13" t="s">
        <v>1797</v>
      </c>
      <c r="AC305" s="13" t="s">
        <v>1798</v>
      </c>
      <c r="AD305" s="13" t="s">
        <v>1798</v>
      </c>
      <c r="AE305" s="13" t="s">
        <v>55</v>
      </c>
      <c r="AF305" s="13" t="s">
        <v>5562</v>
      </c>
      <c r="AG305" s="13" t="s">
        <v>39</v>
      </c>
      <c r="AH305" s="13" t="s">
        <v>39</v>
      </c>
      <c r="AI305" s="13" t="s">
        <v>5563</v>
      </c>
      <c r="AJ305" s="13" t="s">
        <v>5564</v>
      </c>
      <c r="AK305" s="13" t="s">
        <v>5565</v>
      </c>
      <c r="AL305" s="13" t="s">
        <v>88</v>
      </c>
    </row>
    <row r="306" spans="1:38" x14ac:dyDescent="0.4">
      <c r="A306" s="11" t="s">
        <v>5566</v>
      </c>
      <c r="B306" s="14" t="s">
        <v>5567</v>
      </c>
      <c r="C306" s="15" t="s">
        <v>5568</v>
      </c>
      <c r="D306" s="15" t="s">
        <v>63</v>
      </c>
      <c r="E306" s="15" t="s">
        <v>5569</v>
      </c>
      <c r="F306" s="15" t="s">
        <v>5570</v>
      </c>
      <c r="G306" s="15" t="s">
        <v>5571</v>
      </c>
      <c r="H306" s="15" t="s">
        <v>5572</v>
      </c>
      <c r="I306" s="9">
        <f t="shared" ca="1" si="4"/>
        <v>30</v>
      </c>
      <c r="J306" s="15" t="s">
        <v>5573</v>
      </c>
      <c r="K306" s="15" t="s">
        <v>67</v>
      </c>
      <c r="L306" s="9" t="str">
        <f>VLOOKUP(K306,[1]中国省份_标准!$B$2:$F$35,4,FALSE)</f>
        <v>东部地区</v>
      </c>
      <c r="M306" s="9" t="str">
        <f>VLOOKUP(K306,[1]中国省份_标准!$B$2:$F$35,5,FALSE)</f>
        <v>华东地区</v>
      </c>
      <c r="N306" s="15" t="s">
        <v>203</v>
      </c>
      <c r="O306" s="15" t="s">
        <v>2086</v>
      </c>
      <c r="P306" s="15" t="s">
        <v>5574</v>
      </c>
      <c r="Q306" s="15" t="s">
        <v>5575</v>
      </c>
      <c r="R306" s="15" t="s">
        <v>5576</v>
      </c>
      <c r="S306" s="15" t="s">
        <v>5577</v>
      </c>
      <c r="T306" s="15" t="s">
        <v>209</v>
      </c>
      <c r="U306" s="15" t="s">
        <v>5567</v>
      </c>
      <c r="V306" s="15" t="s">
        <v>5578</v>
      </c>
      <c r="W306" s="15" t="s">
        <v>5579</v>
      </c>
      <c r="X306" s="15" t="s">
        <v>3703</v>
      </c>
      <c r="Y306" s="15" t="s">
        <v>78</v>
      </c>
      <c r="Z306" s="15" t="s">
        <v>5580</v>
      </c>
      <c r="AA306" s="15" t="s">
        <v>169</v>
      </c>
      <c r="AB306" s="15" t="s">
        <v>5581</v>
      </c>
      <c r="AC306" s="15" t="s">
        <v>5582</v>
      </c>
      <c r="AD306" s="15" t="s">
        <v>5582</v>
      </c>
      <c r="AE306" s="15" t="s">
        <v>262</v>
      </c>
      <c r="AF306" s="15" t="s">
        <v>5583</v>
      </c>
      <c r="AG306" s="15" t="s">
        <v>5584</v>
      </c>
      <c r="AH306" s="15" t="s">
        <v>39</v>
      </c>
      <c r="AI306" s="15" t="s">
        <v>5585</v>
      </c>
      <c r="AJ306" s="15" t="s">
        <v>5586</v>
      </c>
      <c r="AK306" s="15" t="s">
        <v>5587</v>
      </c>
      <c r="AL306" s="15" t="s">
        <v>88</v>
      </c>
    </row>
    <row r="307" spans="1:38" x14ac:dyDescent="0.4">
      <c r="A307" s="11" t="s">
        <v>5588</v>
      </c>
      <c r="B307" s="12" t="s">
        <v>5589</v>
      </c>
      <c r="C307" s="13" t="s">
        <v>39</v>
      </c>
      <c r="D307" s="13" t="s">
        <v>5590</v>
      </c>
      <c r="E307" s="13" t="s">
        <v>5591</v>
      </c>
      <c r="F307" s="13" t="s">
        <v>1120</v>
      </c>
      <c r="G307" s="13" t="s">
        <v>1120</v>
      </c>
      <c r="H307" s="13" t="s">
        <v>5592</v>
      </c>
      <c r="I307" s="9">
        <f t="shared" ca="1" si="4"/>
        <v>6</v>
      </c>
      <c r="J307" s="13" t="s">
        <v>5593</v>
      </c>
      <c r="K307" s="13" t="s">
        <v>67</v>
      </c>
      <c r="L307" s="9" t="str">
        <f>VLOOKUP(K307,[1]中国省份_标准!$B$2:$F$35,4,FALSE)</f>
        <v>东部地区</v>
      </c>
      <c r="M307" s="9" t="str">
        <f>VLOOKUP(K307,[1]中国省份_标准!$B$2:$F$35,5,FALSE)</f>
        <v>华东地区</v>
      </c>
      <c r="N307" s="13" t="s">
        <v>3695</v>
      </c>
      <c r="O307" s="13" t="s">
        <v>5594</v>
      </c>
      <c r="P307" s="13" t="s">
        <v>5595</v>
      </c>
      <c r="Q307" s="13" t="s">
        <v>5596</v>
      </c>
      <c r="R307" s="13" t="s">
        <v>5597</v>
      </c>
      <c r="S307" s="13" t="s">
        <v>39</v>
      </c>
      <c r="T307" s="13" t="s">
        <v>281</v>
      </c>
      <c r="U307" s="13" t="s">
        <v>5589</v>
      </c>
      <c r="V307" s="13" t="s">
        <v>39</v>
      </c>
      <c r="W307" s="13" t="s">
        <v>5598</v>
      </c>
      <c r="X307" s="13" t="s">
        <v>77</v>
      </c>
      <c r="Y307" s="13" t="s">
        <v>78</v>
      </c>
      <c r="Z307" s="13" t="s">
        <v>5599</v>
      </c>
      <c r="AA307" s="13" t="s">
        <v>169</v>
      </c>
      <c r="AB307" s="13" t="s">
        <v>285</v>
      </c>
      <c r="AC307" s="13" t="s">
        <v>479</v>
      </c>
      <c r="AD307" s="13" t="s">
        <v>480</v>
      </c>
      <c r="AE307" s="13" t="s">
        <v>55</v>
      </c>
      <c r="AF307" s="13" t="s">
        <v>5600</v>
      </c>
      <c r="AG307" s="13" t="s">
        <v>39</v>
      </c>
      <c r="AH307" s="13" t="s">
        <v>39</v>
      </c>
      <c r="AI307" s="13" t="s">
        <v>5601</v>
      </c>
      <c r="AJ307" s="13" t="s">
        <v>5602</v>
      </c>
      <c r="AK307" s="13" t="s">
        <v>5603</v>
      </c>
      <c r="AL307" s="13" t="s">
        <v>88</v>
      </c>
    </row>
    <row r="308" spans="1:38" x14ac:dyDescent="0.4">
      <c r="A308" s="11" t="s">
        <v>5604</v>
      </c>
      <c r="B308" s="14" t="s">
        <v>5605</v>
      </c>
      <c r="C308" s="15" t="s">
        <v>39</v>
      </c>
      <c r="D308" s="15" t="s">
        <v>92</v>
      </c>
      <c r="E308" s="15" t="s">
        <v>5606</v>
      </c>
      <c r="F308" s="15" t="s">
        <v>5607</v>
      </c>
      <c r="G308" s="15" t="s">
        <v>5607</v>
      </c>
      <c r="H308" s="15" t="s">
        <v>5608</v>
      </c>
      <c r="I308" s="9">
        <f t="shared" ca="1" si="4"/>
        <v>14</v>
      </c>
      <c r="J308" s="15" t="s">
        <v>5609</v>
      </c>
      <c r="K308" s="15" t="s">
        <v>1877</v>
      </c>
      <c r="L308" s="9" t="str">
        <f>VLOOKUP(K308,[1]中国省份_标准!$B$2:$F$35,4,FALSE)</f>
        <v>中部地区</v>
      </c>
      <c r="M308" s="9" t="str">
        <f>VLOOKUP(K308,[1]中国省份_标准!$B$2:$F$35,5,FALSE)</f>
        <v>华中地区</v>
      </c>
      <c r="N308" s="15" t="s">
        <v>1878</v>
      </c>
      <c r="O308" s="15" t="s">
        <v>3930</v>
      </c>
      <c r="P308" s="15" t="s">
        <v>5610</v>
      </c>
      <c r="Q308" s="15" t="s">
        <v>5611</v>
      </c>
      <c r="R308" s="15" t="s">
        <v>5612</v>
      </c>
      <c r="S308" s="15" t="s">
        <v>5613</v>
      </c>
      <c r="T308" s="15" t="s">
        <v>452</v>
      </c>
      <c r="U308" s="15" t="s">
        <v>5605</v>
      </c>
      <c r="V308" s="15" t="s">
        <v>5614</v>
      </c>
      <c r="W308" s="15" t="s">
        <v>5615</v>
      </c>
      <c r="X308" s="15" t="s">
        <v>77</v>
      </c>
      <c r="Y308" s="15" t="s">
        <v>78</v>
      </c>
      <c r="Z308" s="15" t="s">
        <v>5616</v>
      </c>
      <c r="AA308" s="15" t="s">
        <v>80</v>
      </c>
      <c r="AB308" s="15" t="s">
        <v>81</v>
      </c>
      <c r="AC308" s="15" t="s">
        <v>2094</v>
      </c>
      <c r="AD308" s="15" t="s">
        <v>2095</v>
      </c>
      <c r="AE308" s="15" t="s">
        <v>55</v>
      </c>
      <c r="AF308" s="15" t="s">
        <v>5617</v>
      </c>
      <c r="AG308" s="15" t="s">
        <v>39</v>
      </c>
      <c r="AH308" s="15" t="s">
        <v>5618</v>
      </c>
      <c r="AI308" s="15" t="s">
        <v>5619</v>
      </c>
      <c r="AJ308" s="15" t="s">
        <v>5620</v>
      </c>
      <c r="AK308" s="15" t="s">
        <v>3941</v>
      </c>
      <c r="AL308" s="15" t="s">
        <v>88</v>
      </c>
    </row>
    <row r="309" spans="1:38" x14ac:dyDescent="0.4">
      <c r="A309" s="11" t="s">
        <v>5621</v>
      </c>
      <c r="B309" s="12" t="s">
        <v>5622</v>
      </c>
      <c r="C309" s="13" t="s">
        <v>5623</v>
      </c>
      <c r="D309" s="13" t="s">
        <v>63</v>
      </c>
      <c r="E309" s="13" t="s">
        <v>5624</v>
      </c>
      <c r="F309" s="13" t="s">
        <v>1235</v>
      </c>
      <c r="G309" s="13" t="s">
        <v>1235</v>
      </c>
      <c r="H309" s="13" t="s">
        <v>5625</v>
      </c>
      <c r="I309" s="9">
        <f t="shared" ca="1" si="4"/>
        <v>8</v>
      </c>
      <c r="J309" s="13" t="s">
        <v>5626</v>
      </c>
      <c r="K309" s="13" t="s">
        <v>67</v>
      </c>
      <c r="L309" s="9" t="str">
        <f>VLOOKUP(K309,[1]中国省份_标准!$B$2:$F$35,4,FALSE)</f>
        <v>东部地区</v>
      </c>
      <c r="M309" s="9" t="str">
        <f>VLOOKUP(K309,[1]中国省份_标准!$B$2:$F$35,5,FALSE)</f>
        <v>华东地区</v>
      </c>
      <c r="N309" s="13" t="s">
        <v>68</v>
      </c>
      <c r="O309" s="13" t="s">
        <v>5627</v>
      </c>
      <c r="P309" s="13" t="s">
        <v>5628</v>
      </c>
      <c r="Q309" s="13" t="s">
        <v>5629</v>
      </c>
      <c r="R309" s="13" t="s">
        <v>5630</v>
      </c>
      <c r="S309" s="13" t="s">
        <v>5631</v>
      </c>
      <c r="T309" s="13" t="s">
        <v>407</v>
      </c>
      <c r="U309" s="13" t="s">
        <v>5622</v>
      </c>
      <c r="V309" s="13" t="s">
        <v>5632</v>
      </c>
      <c r="W309" s="13" t="s">
        <v>5633</v>
      </c>
      <c r="X309" s="13" t="s">
        <v>77</v>
      </c>
      <c r="Y309" s="13" t="s">
        <v>78</v>
      </c>
      <c r="Z309" s="13" t="s">
        <v>5634</v>
      </c>
      <c r="AA309" s="13" t="s">
        <v>169</v>
      </c>
      <c r="AB309" s="13" t="s">
        <v>1706</v>
      </c>
      <c r="AC309" s="13" t="s">
        <v>5635</v>
      </c>
      <c r="AD309" s="13" t="s">
        <v>5636</v>
      </c>
      <c r="AE309" s="13" t="s">
        <v>109</v>
      </c>
      <c r="AF309" s="13" t="s">
        <v>5637</v>
      </c>
      <c r="AG309" s="13" t="s">
        <v>39</v>
      </c>
      <c r="AH309" s="13" t="s">
        <v>39</v>
      </c>
      <c r="AI309" s="13" t="s">
        <v>5638</v>
      </c>
      <c r="AJ309" s="13" t="s">
        <v>5639</v>
      </c>
      <c r="AK309" s="13" t="s">
        <v>87</v>
      </c>
      <c r="AL309" s="13" t="s">
        <v>88</v>
      </c>
    </row>
    <row r="310" spans="1:38" x14ac:dyDescent="0.4">
      <c r="A310" s="11" t="s">
        <v>5640</v>
      </c>
      <c r="B310" s="14" t="s">
        <v>5641</v>
      </c>
      <c r="C310" s="15" t="s">
        <v>5642</v>
      </c>
      <c r="D310" s="15" t="s">
        <v>92</v>
      </c>
      <c r="E310" s="15" t="s">
        <v>5643</v>
      </c>
      <c r="F310" s="15" t="s">
        <v>5644</v>
      </c>
      <c r="G310" s="15" t="s">
        <v>5645</v>
      </c>
      <c r="H310" s="15" t="s">
        <v>5646</v>
      </c>
      <c r="I310" s="9">
        <f t="shared" ca="1" si="4"/>
        <v>35</v>
      </c>
      <c r="J310" s="15" t="s">
        <v>5647</v>
      </c>
      <c r="K310" s="15" t="s">
        <v>1752</v>
      </c>
      <c r="L310" s="9" t="str">
        <f>VLOOKUP(K310,[1]中国省份_标准!$B$2:$F$35,4,FALSE)</f>
        <v>中部地区</v>
      </c>
      <c r="M310" s="9" t="str">
        <f>VLOOKUP(K310,[1]中国省份_标准!$B$2:$F$35,5,FALSE)</f>
        <v>华中地区</v>
      </c>
      <c r="N310" s="15" t="s">
        <v>1753</v>
      </c>
      <c r="O310" s="15" t="s">
        <v>5648</v>
      </c>
      <c r="P310" s="15" t="s">
        <v>5649</v>
      </c>
      <c r="Q310" s="15" t="s">
        <v>5650</v>
      </c>
      <c r="R310" s="15" t="s">
        <v>5651</v>
      </c>
      <c r="S310" s="15" t="s">
        <v>5652</v>
      </c>
      <c r="T310" s="15" t="s">
        <v>209</v>
      </c>
      <c r="U310" s="15" t="s">
        <v>5641</v>
      </c>
      <c r="V310" s="15" t="s">
        <v>5653</v>
      </c>
      <c r="W310" s="15" t="s">
        <v>5654</v>
      </c>
      <c r="X310" s="15" t="s">
        <v>5655</v>
      </c>
      <c r="Y310" s="15" t="s">
        <v>78</v>
      </c>
      <c r="Z310" s="15" t="s">
        <v>5656</v>
      </c>
      <c r="AA310" s="15" t="s">
        <v>169</v>
      </c>
      <c r="AB310" s="15" t="s">
        <v>830</v>
      </c>
      <c r="AC310" s="15" t="s">
        <v>39</v>
      </c>
      <c r="AD310" s="15" t="s">
        <v>39</v>
      </c>
      <c r="AE310" s="15" t="s">
        <v>262</v>
      </c>
      <c r="AF310" s="15" t="s">
        <v>5657</v>
      </c>
      <c r="AG310" s="15" t="s">
        <v>5658</v>
      </c>
      <c r="AH310" s="15" t="s">
        <v>39</v>
      </c>
      <c r="AI310" s="15" t="s">
        <v>5659</v>
      </c>
      <c r="AJ310" s="15" t="s">
        <v>5660</v>
      </c>
      <c r="AK310" s="15" t="s">
        <v>5661</v>
      </c>
      <c r="AL310" s="15" t="s">
        <v>88</v>
      </c>
    </row>
    <row r="311" spans="1:38" x14ac:dyDescent="0.4">
      <c r="A311" s="11" t="s">
        <v>5662</v>
      </c>
      <c r="B311" s="12" t="s">
        <v>5663</v>
      </c>
      <c r="C311" s="13" t="s">
        <v>39</v>
      </c>
      <c r="D311" s="13" t="s">
        <v>92</v>
      </c>
      <c r="E311" s="13" t="s">
        <v>5664</v>
      </c>
      <c r="F311" s="13" t="s">
        <v>920</v>
      </c>
      <c r="G311" s="13" t="s">
        <v>920</v>
      </c>
      <c r="H311" s="13" t="s">
        <v>5665</v>
      </c>
      <c r="I311" s="9">
        <f t="shared" ca="1" si="4"/>
        <v>12</v>
      </c>
      <c r="J311" s="13" t="s">
        <v>5666</v>
      </c>
      <c r="K311" s="13" t="s">
        <v>1877</v>
      </c>
      <c r="L311" s="9" t="str">
        <f>VLOOKUP(K311,[1]中国省份_标准!$B$2:$F$35,4,FALSE)</f>
        <v>中部地区</v>
      </c>
      <c r="M311" s="9" t="str">
        <f>VLOOKUP(K311,[1]中国省份_标准!$B$2:$F$35,5,FALSE)</f>
        <v>华中地区</v>
      </c>
      <c r="N311" s="13" t="s">
        <v>5339</v>
      </c>
      <c r="O311" s="13" t="s">
        <v>5667</v>
      </c>
      <c r="P311" s="13" t="s">
        <v>5668</v>
      </c>
      <c r="Q311" s="13" t="s">
        <v>5669</v>
      </c>
      <c r="R311" s="13" t="s">
        <v>5670</v>
      </c>
      <c r="S311" s="13" t="s">
        <v>5671</v>
      </c>
      <c r="T311" s="13" t="s">
        <v>184</v>
      </c>
      <c r="U311" s="13" t="s">
        <v>5663</v>
      </c>
      <c r="V311" s="13" t="s">
        <v>5672</v>
      </c>
      <c r="W311" s="13" t="s">
        <v>5673</v>
      </c>
      <c r="X311" s="13" t="s">
        <v>5674</v>
      </c>
      <c r="Y311" s="13" t="s">
        <v>78</v>
      </c>
      <c r="Z311" s="13" t="s">
        <v>5675</v>
      </c>
      <c r="AA311" s="13" t="s">
        <v>169</v>
      </c>
      <c r="AB311" s="13" t="s">
        <v>412</v>
      </c>
      <c r="AC311" s="13" t="s">
        <v>630</v>
      </c>
      <c r="AD311" s="13" t="s">
        <v>631</v>
      </c>
      <c r="AE311" s="13" t="s">
        <v>262</v>
      </c>
      <c r="AF311" s="13" t="s">
        <v>5676</v>
      </c>
      <c r="AG311" s="13" t="s">
        <v>39</v>
      </c>
      <c r="AH311" s="13" t="s">
        <v>39</v>
      </c>
      <c r="AI311" s="13" t="s">
        <v>5677</v>
      </c>
      <c r="AJ311" s="13" t="s">
        <v>5678</v>
      </c>
      <c r="AK311" s="13" t="s">
        <v>5679</v>
      </c>
      <c r="AL311" s="13" t="s">
        <v>88</v>
      </c>
    </row>
    <row r="312" spans="1:38" x14ac:dyDescent="0.4">
      <c r="A312" s="11" t="s">
        <v>5680</v>
      </c>
      <c r="B312" s="14" t="s">
        <v>5681</v>
      </c>
      <c r="C312" s="15" t="s">
        <v>39</v>
      </c>
      <c r="D312" s="15" t="s">
        <v>5682</v>
      </c>
      <c r="E312" s="15" t="s">
        <v>5683</v>
      </c>
      <c r="F312" s="15" t="s">
        <v>5684</v>
      </c>
      <c r="G312" s="15" t="s">
        <v>5685</v>
      </c>
      <c r="H312" s="15" t="s">
        <v>5686</v>
      </c>
      <c r="I312" s="9">
        <f t="shared" ca="1" si="4"/>
        <v>23</v>
      </c>
      <c r="J312" s="15" t="s">
        <v>5687</v>
      </c>
      <c r="K312" s="15" t="s">
        <v>531</v>
      </c>
      <c r="L312" s="9" t="str">
        <f>VLOOKUP(K312,[1]中国省份_标准!$B$2:$F$35,4,FALSE)</f>
        <v>东部地区</v>
      </c>
      <c r="M312" s="9" t="str">
        <f>VLOOKUP(K312,[1]中国省份_标准!$B$2:$F$35,5,FALSE)</f>
        <v>华南地区</v>
      </c>
      <c r="N312" s="15" t="s">
        <v>1450</v>
      </c>
      <c r="O312" s="15" t="s">
        <v>5688</v>
      </c>
      <c r="P312" s="15" t="s">
        <v>5689</v>
      </c>
      <c r="Q312" s="15" t="s">
        <v>5690</v>
      </c>
      <c r="R312" s="15" t="s">
        <v>5691</v>
      </c>
      <c r="S312" s="15" t="s">
        <v>5692</v>
      </c>
      <c r="T312" s="15" t="s">
        <v>281</v>
      </c>
      <c r="U312" s="15" t="s">
        <v>5681</v>
      </c>
      <c r="V312" s="15" t="s">
        <v>5693</v>
      </c>
      <c r="W312" s="15" t="s">
        <v>5694</v>
      </c>
      <c r="X312" s="15" t="s">
        <v>690</v>
      </c>
      <c r="Y312" s="15" t="s">
        <v>78</v>
      </c>
      <c r="Z312" s="15" t="s">
        <v>5695</v>
      </c>
      <c r="AA312" s="15" t="s">
        <v>80</v>
      </c>
      <c r="AB312" s="15" t="s">
        <v>106</v>
      </c>
      <c r="AC312" s="15" t="s">
        <v>388</v>
      </c>
      <c r="AD312" s="15" t="s">
        <v>434</v>
      </c>
      <c r="AE312" s="15" t="s">
        <v>109</v>
      </c>
      <c r="AF312" s="15" t="s">
        <v>5696</v>
      </c>
      <c r="AG312" s="15" t="s">
        <v>39</v>
      </c>
      <c r="AH312" s="15" t="s">
        <v>39</v>
      </c>
      <c r="AI312" s="15" t="s">
        <v>5697</v>
      </c>
      <c r="AJ312" s="15" t="s">
        <v>5698</v>
      </c>
      <c r="AK312" s="15" t="s">
        <v>5699</v>
      </c>
      <c r="AL312" s="15" t="s">
        <v>88</v>
      </c>
    </row>
    <row r="313" spans="1:38" x14ac:dyDescent="0.4">
      <c r="A313" s="11" t="s">
        <v>5700</v>
      </c>
      <c r="B313" s="12" t="s">
        <v>5701</v>
      </c>
      <c r="C313" s="13" t="s">
        <v>39</v>
      </c>
      <c r="D313" s="13" t="s">
        <v>63</v>
      </c>
      <c r="E313" s="13" t="s">
        <v>5702</v>
      </c>
      <c r="F313" s="13" t="s">
        <v>5703</v>
      </c>
      <c r="G313" s="13" t="s">
        <v>5703</v>
      </c>
      <c r="H313" s="13" t="s">
        <v>5704</v>
      </c>
      <c r="I313" s="9">
        <f t="shared" ca="1" si="4"/>
        <v>9</v>
      </c>
      <c r="J313" s="13" t="s">
        <v>5705</v>
      </c>
      <c r="K313" s="13" t="s">
        <v>67</v>
      </c>
      <c r="L313" s="9" t="str">
        <f>VLOOKUP(K313,[1]中国省份_标准!$B$2:$F$35,4,FALSE)</f>
        <v>东部地区</v>
      </c>
      <c r="M313" s="9" t="str">
        <f>VLOOKUP(K313,[1]中国省份_标准!$B$2:$F$35,5,FALSE)</f>
        <v>华东地区</v>
      </c>
      <c r="N313" s="13" t="s">
        <v>203</v>
      </c>
      <c r="O313" s="13" t="s">
        <v>2086</v>
      </c>
      <c r="P313" s="13" t="s">
        <v>5706</v>
      </c>
      <c r="Q313" s="13" t="s">
        <v>5707</v>
      </c>
      <c r="R313" s="13" t="s">
        <v>5708</v>
      </c>
      <c r="S313" s="13" t="s">
        <v>5709</v>
      </c>
      <c r="T313" s="13" t="s">
        <v>5710</v>
      </c>
      <c r="U313" s="13" t="s">
        <v>5701</v>
      </c>
      <c r="V313" s="13" t="s">
        <v>5711</v>
      </c>
      <c r="W313" s="13" t="s">
        <v>5712</v>
      </c>
      <c r="X313" s="13" t="s">
        <v>5713</v>
      </c>
      <c r="Y313" s="13" t="s">
        <v>78</v>
      </c>
      <c r="Z313" s="13" t="s">
        <v>5714</v>
      </c>
      <c r="AA313" s="13" t="s">
        <v>1796</v>
      </c>
      <c r="AB313" s="13" t="s">
        <v>39</v>
      </c>
      <c r="AC313" s="13" t="s">
        <v>39</v>
      </c>
      <c r="AD313" s="13" t="s">
        <v>39</v>
      </c>
      <c r="AE313" s="13" t="s">
        <v>239</v>
      </c>
      <c r="AF313" s="13" t="s">
        <v>5715</v>
      </c>
      <c r="AG313" s="13" t="s">
        <v>5716</v>
      </c>
      <c r="AH313" s="13" t="s">
        <v>39</v>
      </c>
      <c r="AI313" s="13" t="s">
        <v>5717</v>
      </c>
      <c r="AJ313" s="13" t="s">
        <v>5718</v>
      </c>
      <c r="AK313" s="13" t="s">
        <v>2099</v>
      </c>
      <c r="AL313" s="13" t="s">
        <v>88</v>
      </c>
    </row>
    <row r="314" spans="1:38" x14ac:dyDescent="0.4">
      <c r="A314" s="11" t="s">
        <v>5719</v>
      </c>
      <c r="B314" s="14" t="s">
        <v>5720</v>
      </c>
      <c r="C314" s="15" t="s">
        <v>39</v>
      </c>
      <c r="D314" s="15" t="s">
        <v>63</v>
      </c>
      <c r="E314" s="15" t="s">
        <v>5721</v>
      </c>
      <c r="F314" s="15" t="s">
        <v>4694</v>
      </c>
      <c r="G314" s="15" t="s">
        <v>39</v>
      </c>
      <c r="H314" s="15" t="s">
        <v>5722</v>
      </c>
      <c r="I314" s="9">
        <f t="shared" ca="1" si="4"/>
        <v>11</v>
      </c>
      <c r="J314" s="15" t="s">
        <v>1717</v>
      </c>
      <c r="K314" s="15" t="s">
        <v>67</v>
      </c>
      <c r="L314" s="9" t="str">
        <f>VLOOKUP(K314,[1]中国省份_标准!$B$2:$F$35,4,FALSE)</f>
        <v>东部地区</v>
      </c>
      <c r="M314" s="9" t="str">
        <f>VLOOKUP(K314,[1]中国省份_标准!$B$2:$F$35,5,FALSE)</f>
        <v>华东地区</v>
      </c>
      <c r="N314" s="15" t="s">
        <v>1663</v>
      </c>
      <c r="O314" s="15" t="s">
        <v>1718</v>
      </c>
      <c r="P314" s="15" t="s">
        <v>5723</v>
      </c>
      <c r="Q314" s="15" t="s">
        <v>5724</v>
      </c>
      <c r="R314" s="15" t="s">
        <v>5725</v>
      </c>
      <c r="S314" s="15" t="s">
        <v>5726</v>
      </c>
      <c r="T314" s="15" t="s">
        <v>164</v>
      </c>
      <c r="U314" s="15" t="s">
        <v>5720</v>
      </c>
      <c r="V314" s="15" t="s">
        <v>5727</v>
      </c>
      <c r="W314" s="15" t="s">
        <v>5728</v>
      </c>
      <c r="X314" s="15" t="s">
        <v>77</v>
      </c>
      <c r="Y314" s="15" t="s">
        <v>78</v>
      </c>
      <c r="Z314" s="15" t="s">
        <v>168</v>
      </c>
      <c r="AA314" s="15" t="s">
        <v>169</v>
      </c>
      <c r="AB314" s="15" t="s">
        <v>170</v>
      </c>
      <c r="AC314" s="15" t="s">
        <v>1725</v>
      </c>
      <c r="AD314" s="15" t="s">
        <v>1726</v>
      </c>
      <c r="AE314" s="15" t="s">
        <v>55</v>
      </c>
      <c r="AF314" s="15" t="s">
        <v>5729</v>
      </c>
      <c r="AG314" s="15" t="s">
        <v>39</v>
      </c>
      <c r="AH314" s="15" t="s">
        <v>39</v>
      </c>
      <c r="AI314" s="15" t="s">
        <v>39</v>
      </c>
      <c r="AJ314" s="15" t="s">
        <v>5730</v>
      </c>
      <c r="AK314" s="15" t="s">
        <v>1730</v>
      </c>
      <c r="AL314" s="15" t="s">
        <v>88</v>
      </c>
    </row>
    <row r="315" spans="1:38" x14ac:dyDescent="0.4">
      <c r="A315" s="11" t="s">
        <v>5731</v>
      </c>
      <c r="B315" s="12" t="s">
        <v>5732</v>
      </c>
      <c r="C315" s="13" t="s">
        <v>5733</v>
      </c>
      <c r="D315" s="13" t="s">
        <v>92</v>
      </c>
      <c r="E315" s="13" t="s">
        <v>5734</v>
      </c>
      <c r="F315" s="13" t="s">
        <v>5735</v>
      </c>
      <c r="G315" s="13" t="s">
        <v>5735</v>
      </c>
      <c r="H315" s="13" t="s">
        <v>5736</v>
      </c>
      <c r="I315" s="9">
        <f t="shared" ca="1" si="4"/>
        <v>29</v>
      </c>
      <c r="J315" s="13" t="s">
        <v>5737</v>
      </c>
      <c r="K315" s="13" t="s">
        <v>425</v>
      </c>
      <c r="L315" s="9" t="str">
        <f>VLOOKUP(K315,[1]中国省份_标准!$B$2:$F$35,4,FALSE)</f>
        <v>东部地区</v>
      </c>
      <c r="M315" s="9" t="str">
        <f>VLOOKUP(K315,[1]中国省份_标准!$B$2:$F$35,5,FALSE)</f>
        <v>华东地区</v>
      </c>
      <c r="N315" s="13" t="s">
        <v>5738</v>
      </c>
      <c r="O315" s="13" t="s">
        <v>5739</v>
      </c>
      <c r="P315" s="13" t="s">
        <v>5740</v>
      </c>
      <c r="Q315" s="13" t="s">
        <v>5741</v>
      </c>
      <c r="R315" s="13" t="s">
        <v>5742</v>
      </c>
      <c r="S315" s="13" t="s">
        <v>5743</v>
      </c>
      <c r="T315" s="13" t="s">
        <v>48</v>
      </c>
      <c r="U315" s="13" t="s">
        <v>5732</v>
      </c>
      <c r="V315" s="13" t="s">
        <v>5744</v>
      </c>
      <c r="W315" s="13" t="s">
        <v>5745</v>
      </c>
      <c r="X315" s="13" t="s">
        <v>5746</v>
      </c>
      <c r="Y315" s="13" t="s">
        <v>78</v>
      </c>
      <c r="Z315" s="13" t="s">
        <v>5747</v>
      </c>
      <c r="AA315" s="13" t="s">
        <v>169</v>
      </c>
      <c r="AB315" s="13" t="s">
        <v>285</v>
      </c>
      <c r="AC315" s="13" t="s">
        <v>479</v>
      </c>
      <c r="AD315" s="13" t="s">
        <v>39</v>
      </c>
      <c r="AE315" s="13" t="s">
        <v>55</v>
      </c>
      <c r="AF315" s="13" t="s">
        <v>5748</v>
      </c>
      <c r="AG315" s="13" t="s">
        <v>39</v>
      </c>
      <c r="AH315" s="13" t="s">
        <v>5749</v>
      </c>
      <c r="AI315" s="13" t="s">
        <v>5750</v>
      </c>
      <c r="AJ315" s="13" t="s">
        <v>5751</v>
      </c>
      <c r="AK315" s="13" t="s">
        <v>5752</v>
      </c>
      <c r="AL315" s="13" t="s">
        <v>88</v>
      </c>
    </row>
    <row r="316" spans="1:38" x14ac:dyDescent="0.4">
      <c r="A316" s="11" t="s">
        <v>5753</v>
      </c>
      <c r="B316" s="14" t="s">
        <v>5754</v>
      </c>
      <c r="C316" s="15" t="s">
        <v>39</v>
      </c>
      <c r="D316" s="15" t="s">
        <v>92</v>
      </c>
      <c r="E316" s="15" t="s">
        <v>5755</v>
      </c>
      <c r="F316" s="15" t="s">
        <v>442</v>
      </c>
      <c r="G316" s="15" t="s">
        <v>442</v>
      </c>
      <c r="H316" s="15" t="s">
        <v>5756</v>
      </c>
      <c r="I316" s="9">
        <f t="shared" ca="1" si="4"/>
        <v>6</v>
      </c>
      <c r="J316" s="15" t="s">
        <v>5757</v>
      </c>
      <c r="K316" s="15" t="s">
        <v>425</v>
      </c>
      <c r="L316" s="9" t="str">
        <f>VLOOKUP(K316,[1]中国省份_标准!$B$2:$F$35,4,FALSE)</f>
        <v>东部地区</v>
      </c>
      <c r="M316" s="9" t="str">
        <f>VLOOKUP(K316,[1]中国省份_标准!$B$2:$F$35,5,FALSE)</f>
        <v>华东地区</v>
      </c>
      <c r="N316" s="15" t="s">
        <v>426</v>
      </c>
      <c r="O316" s="15" t="s">
        <v>427</v>
      </c>
      <c r="P316" s="15" t="s">
        <v>5758</v>
      </c>
      <c r="Q316" s="15" t="s">
        <v>5759</v>
      </c>
      <c r="R316" s="15" t="s">
        <v>5760</v>
      </c>
      <c r="S316" s="15" t="s">
        <v>39</v>
      </c>
      <c r="T316" s="15" t="s">
        <v>48</v>
      </c>
      <c r="U316" s="15" t="s">
        <v>5754</v>
      </c>
      <c r="V316" s="15" t="s">
        <v>39</v>
      </c>
      <c r="W316" s="15" t="s">
        <v>5761</v>
      </c>
      <c r="X316" s="15" t="s">
        <v>1938</v>
      </c>
      <c r="Y316" s="15" t="s">
        <v>78</v>
      </c>
      <c r="Z316" s="15" t="s">
        <v>5762</v>
      </c>
      <c r="AA316" s="15" t="s">
        <v>80</v>
      </c>
      <c r="AB316" s="15" t="s">
        <v>39</v>
      </c>
      <c r="AC316" s="15" t="s">
        <v>39</v>
      </c>
      <c r="AD316" s="15" t="s">
        <v>39</v>
      </c>
      <c r="AE316" s="15" t="s">
        <v>262</v>
      </c>
      <c r="AF316" s="15" t="s">
        <v>5763</v>
      </c>
      <c r="AG316" s="15" t="s">
        <v>5764</v>
      </c>
      <c r="AH316" s="15" t="s">
        <v>5765</v>
      </c>
      <c r="AI316" s="15" t="s">
        <v>5766</v>
      </c>
      <c r="AJ316" s="15" t="s">
        <v>5767</v>
      </c>
      <c r="AK316" s="15" t="s">
        <v>438</v>
      </c>
      <c r="AL316" s="15" t="s">
        <v>88</v>
      </c>
    </row>
    <row r="317" spans="1:38" x14ac:dyDescent="0.4">
      <c r="A317" s="11" t="s">
        <v>5768</v>
      </c>
      <c r="B317" s="12" t="s">
        <v>5769</v>
      </c>
      <c r="C317" s="13" t="s">
        <v>39</v>
      </c>
      <c r="D317" s="13" t="s">
        <v>63</v>
      </c>
      <c r="E317" s="13" t="s">
        <v>5770</v>
      </c>
      <c r="F317" s="13" t="s">
        <v>5771</v>
      </c>
      <c r="G317" s="13" t="s">
        <v>5772</v>
      </c>
      <c r="H317" s="13" t="s">
        <v>5773</v>
      </c>
      <c r="I317" s="9">
        <f t="shared" ca="1" si="4"/>
        <v>8</v>
      </c>
      <c r="J317" s="13" t="s">
        <v>5774</v>
      </c>
      <c r="K317" s="13" t="s">
        <v>425</v>
      </c>
      <c r="L317" s="9" t="str">
        <f>VLOOKUP(K317,[1]中国省份_标准!$B$2:$F$35,4,FALSE)</f>
        <v>东部地区</v>
      </c>
      <c r="M317" s="9" t="str">
        <f>VLOOKUP(K317,[1]中国省份_标准!$B$2:$F$35,5,FALSE)</f>
        <v>华东地区</v>
      </c>
      <c r="N317" s="13" t="s">
        <v>426</v>
      </c>
      <c r="O317" s="13" t="s">
        <v>427</v>
      </c>
      <c r="P317" s="13" t="s">
        <v>5775</v>
      </c>
      <c r="Q317" s="13" t="s">
        <v>5776</v>
      </c>
      <c r="R317" s="13" t="s">
        <v>5777</v>
      </c>
      <c r="S317" s="13" t="s">
        <v>5778</v>
      </c>
      <c r="T317" s="13" t="s">
        <v>281</v>
      </c>
      <c r="U317" s="13" t="s">
        <v>5769</v>
      </c>
      <c r="V317" s="13" t="s">
        <v>5779</v>
      </c>
      <c r="W317" s="13" t="s">
        <v>5780</v>
      </c>
      <c r="X317" s="13" t="s">
        <v>77</v>
      </c>
      <c r="Y317" s="13" t="s">
        <v>283</v>
      </c>
      <c r="Z317" s="13" t="s">
        <v>5781</v>
      </c>
      <c r="AA317" s="13" t="s">
        <v>169</v>
      </c>
      <c r="AB317" s="13" t="s">
        <v>170</v>
      </c>
      <c r="AC317" s="13" t="s">
        <v>39</v>
      </c>
      <c r="AD317" s="13" t="s">
        <v>39</v>
      </c>
      <c r="AE317" s="13" t="s">
        <v>55</v>
      </c>
      <c r="AF317" s="13" t="s">
        <v>5782</v>
      </c>
      <c r="AG317" s="13" t="s">
        <v>39</v>
      </c>
      <c r="AH317" s="13" t="s">
        <v>39</v>
      </c>
      <c r="AI317" s="13" t="s">
        <v>5783</v>
      </c>
      <c r="AJ317" s="13" t="s">
        <v>5784</v>
      </c>
      <c r="AK317" s="13" t="s">
        <v>438</v>
      </c>
      <c r="AL317" s="13" t="s">
        <v>88</v>
      </c>
    </row>
    <row r="318" spans="1:38" x14ac:dyDescent="0.4">
      <c r="A318" s="11" t="s">
        <v>5785</v>
      </c>
      <c r="B318" s="14" t="s">
        <v>5786</v>
      </c>
      <c r="C318" s="15" t="s">
        <v>39</v>
      </c>
      <c r="D318" s="15" t="s">
        <v>92</v>
      </c>
      <c r="E318" s="15" t="s">
        <v>5787</v>
      </c>
      <c r="F318" s="15" t="s">
        <v>640</v>
      </c>
      <c r="G318" s="15" t="s">
        <v>5788</v>
      </c>
      <c r="H318" s="15" t="s">
        <v>5789</v>
      </c>
      <c r="I318" s="9">
        <f t="shared" ca="1" si="4"/>
        <v>7</v>
      </c>
      <c r="J318" s="15" t="s">
        <v>5790</v>
      </c>
      <c r="K318" s="15" t="s">
        <v>425</v>
      </c>
      <c r="L318" s="9" t="str">
        <f>VLOOKUP(K318,[1]中国省份_标准!$B$2:$F$35,4,FALSE)</f>
        <v>东部地区</v>
      </c>
      <c r="M318" s="9" t="str">
        <f>VLOOKUP(K318,[1]中国省份_标准!$B$2:$F$35,5,FALSE)</f>
        <v>华东地区</v>
      </c>
      <c r="N318" s="15" t="s">
        <v>426</v>
      </c>
      <c r="O318" s="15" t="s">
        <v>427</v>
      </c>
      <c r="P318" s="15" t="s">
        <v>5791</v>
      </c>
      <c r="Q318" s="15" t="s">
        <v>5792</v>
      </c>
      <c r="R318" s="15" t="s">
        <v>5777</v>
      </c>
      <c r="S318" s="15" t="s">
        <v>5793</v>
      </c>
      <c r="T318" s="15" t="s">
        <v>281</v>
      </c>
      <c r="U318" s="15" t="s">
        <v>5786</v>
      </c>
      <c r="V318" s="15" t="s">
        <v>5794</v>
      </c>
      <c r="W318" s="15" t="s">
        <v>5795</v>
      </c>
      <c r="X318" s="15" t="s">
        <v>557</v>
      </c>
      <c r="Y318" s="15" t="s">
        <v>78</v>
      </c>
      <c r="Z318" s="15" t="s">
        <v>5796</v>
      </c>
      <c r="AA318" s="15" t="s">
        <v>80</v>
      </c>
      <c r="AB318" s="15" t="s">
        <v>106</v>
      </c>
      <c r="AC318" s="15" t="s">
        <v>107</v>
      </c>
      <c r="AD318" s="15" t="s">
        <v>108</v>
      </c>
      <c r="AE318" s="15" t="s">
        <v>109</v>
      </c>
      <c r="AF318" s="15" t="s">
        <v>5797</v>
      </c>
      <c r="AG318" s="15" t="s">
        <v>39</v>
      </c>
      <c r="AH318" s="15" t="s">
        <v>39</v>
      </c>
      <c r="AI318" s="15" t="s">
        <v>5798</v>
      </c>
      <c r="AJ318" s="15" t="s">
        <v>5799</v>
      </c>
      <c r="AK318" s="15" t="s">
        <v>438</v>
      </c>
      <c r="AL318" s="15" t="s">
        <v>88</v>
      </c>
    </row>
    <row r="319" spans="1:38" x14ac:dyDescent="0.4">
      <c r="A319" s="11" t="s">
        <v>5800</v>
      </c>
      <c r="B319" s="12" t="s">
        <v>5801</v>
      </c>
      <c r="C319" s="13" t="s">
        <v>39</v>
      </c>
      <c r="D319" s="13" t="s">
        <v>63</v>
      </c>
      <c r="E319" s="13" t="s">
        <v>5802</v>
      </c>
      <c r="F319" s="13" t="s">
        <v>154</v>
      </c>
      <c r="G319" s="13" t="s">
        <v>39</v>
      </c>
      <c r="H319" s="13" t="s">
        <v>5803</v>
      </c>
      <c r="I319" s="9">
        <f t="shared" ca="1" si="4"/>
        <v>8</v>
      </c>
      <c r="J319" s="13" t="s">
        <v>5804</v>
      </c>
      <c r="K319" s="13" t="s">
        <v>67</v>
      </c>
      <c r="L319" s="9" t="str">
        <f>VLOOKUP(K319,[1]中国省份_标准!$B$2:$F$35,4,FALSE)</f>
        <v>东部地区</v>
      </c>
      <c r="M319" s="9" t="str">
        <f>VLOOKUP(K319,[1]中国省份_标准!$B$2:$F$35,5,FALSE)</f>
        <v>华东地区</v>
      </c>
      <c r="N319" s="13" t="s">
        <v>1663</v>
      </c>
      <c r="O319" s="13" t="s">
        <v>1664</v>
      </c>
      <c r="P319" s="13" t="s">
        <v>5805</v>
      </c>
      <c r="Q319" s="13" t="s">
        <v>5806</v>
      </c>
      <c r="R319" s="13" t="s">
        <v>5807</v>
      </c>
      <c r="S319" s="13" t="s">
        <v>5808</v>
      </c>
      <c r="T319" s="13" t="s">
        <v>164</v>
      </c>
      <c r="U319" s="13" t="s">
        <v>5801</v>
      </c>
      <c r="V319" s="13" t="s">
        <v>5809</v>
      </c>
      <c r="W319" s="13" t="s">
        <v>5810</v>
      </c>
      <c r="X319" s="13" t="s">
        <v>77</v>
      </c>
      <c r="Y319" s="13" t="s">
        <v>78</v>
      </c>
      <c r="Z319" s="13" t="s">
        <v>168</v>
      </c>
      <c r="AA319" s="13" t="s">
        <v>169</v>
      </c>
      <c r="AB319" s="13" t="s">
        <v>170</v>
      </c>
      <c r="AC319" s="13" t="s">
        <v>171</v>
      </c>
      <c r="AD319" s="13" t="s">
        <v>5811</v>
      </c>
      <c r="AE319" s="13" t="s">
        <v>109</v>
      </c>
      <c r="AF319" s="13" t="s">
        <v>5812</v>
      </c>
      <c r="AG319" s="13" t="s">
        <v>39</v>
      </c>
      <c r="AH319" s="13" t="s">
        <v>39</v>
      </c>
      <c r="AI319" s="13" t="s">
        <v>39</v>
      </c>
      <c r="AJ319" s="13" t="s">
        <v>5813</v>
      </c>
      <c r="AK319" s="13" t="s">
        <v>1676</v>
      </c>
      <c r="AL319" s="13" t="s">
        <v>88</v>
      </c>
    </row>
    <row r="320" spans="1:38" x14ac:dyDescent="0.4">
      <c r="A320" s="11" t="s">
        <v>5814</v>
      </c>
      <c r="B320" s="14" t="s">
        <v>5815</v>
      </c>
      <c r="C320" s="15" t="s">
        <v>39</v>
      </c>
      <c r="D320" s="15" t="s">
        <v>5816</v>
      </c>
      <c r="E320" s="15" t="s">
        <v>5817</v>
      </c>
      <c r="F320" s="15" t="s">
        <v>154</v>
      </c>
      <c r="G320" s="15" t="s">
        <v>39</v>
      </c>
      <c r="H320" s="15" t="s">
        <v>5818</v>
      </c>
      <c r="I320" s="9">
        <f t="shared" ca="1" si="4"/>
        <v>7</v>
      </c>
      <c r="J320" s="15" t="s">
        <v>5819</v>
      </c>
      <c r="K320" s="15" t="s">
        <v>425</v>
      </c>
      <c r="L320" s="9" t="str">
        <f>VLOOKUP(K320,[1]中国省份_标准!$B$2:$F$35,4,FALSE)</f>
        <v>东部地区</v>
      </c>
      <c r="M320" s="9" t="str">
        <f>VLOOKUP(K320,[1]中国省份_标准!$B$2:$F$35,5,FALSE)</f>
        <v>华东地区</v>
      </c>
      <c r="N320" s="15" t="s">
        <v>426</v>
      </c>
      <c r="O320" s="15" t="s">
        <v>427</v>
      </c>
      <c r="P320" s="15" t="s">
        <v>5820</v>
      </c>
      <c r="Q320" s="15" t="s">
        <v>2199</v>
      </c>
      <c r="R320" s="15" t="s">
        <v>2200</v>
      </c>
      <c r="S320" s="15" t="s">
        <v>39</v>
      </c>
      <c r="T320" s="15" t="s">
        <v>48</v>
      </c>
      <c r="U320" s="15" t="s">
        <v>5815</v>
      </c>
      <c r="V320" s="15" t="s">
        <v>39</v>
      </c>
      <c r="W320" s="15" t="s">
        <v>5821</v>
      </c>
      <c r="X320" s="15" t="s">
        <v>540</v>
      </c>
      <c r="Y320" s="15" t="s">
        <v>78</v>
      </c>
      <c r="Z320" s="15" t="s">
        <v>5822</v>
      </c>
      <c r="AA320" s="15" t="s">
        <v>80</v>
      </c>
      <c r="AB320" s="15" t="s">
        <v>106</v>
      </c>
      <c r="AC320" s="15" t="s">
        <v>951</v>
      </c>
      <c r="AD320" s="15" t="s">
        <v>952</v>
      </c>
      <c r="AE320" s="15" t="s">
        <v>109</v>
      </c>
      <c r="AF320" s="15" t="s">
        <v>5823</v>
      </c>
      <c r="AG320" s="15" t="s">
        <v>39</v>
      </c>
      <c r="AH320" s="15" t="s">
        <v>39</v>
      </c>
      <c r="AI320" s="15" t="s">
        <v>5824</v>
      </c>
      <c r="AJ320" s="15" t="s">
        <v>5825</v>
      </c>
      <c r="AK320" s="15" t="s">
        <v>2191</v>
      </c>
      <c r="AL320" s="15" t="s">
        <v>88</v>
      </c>
    </row>
    <row r="321" spans="1:38" x14ac:dyDescent="0.4">
      <c r="A321" s="11" t="s">
        <v>5826</v>
      </c>
      <c r="B321" s="12" t="s">
        <v>5827</v>
      </c>
      <c r="C321" s="13" t="s">
        <v>39</v>
      </c>
      <c r="D321" s="13" t="s">
        <v>63</v>
      </c>
      <c r="E321" s="13" t="s">
        <v>5828</v>
      </c>
      <c r="F321" s="13" t="s">
        <v>999</v>
      </c>
      <c r="G321" s="13" t="s">
        <v>5829</v>
      </c>
      <c r="H321" s="13" t="s">
        <v>5830</v>
      </c>
      <c r="I321" s="9">
        <f t="shared" ca="1" si="4"/>
        <v>9</v>
      </c>
      <c r="J321" s="13" t="s">
        <v>5831</v>
      </c>
      <c r="K321" s="13" t="s">
        <v>425</v>
      </c>
      <c r="L321" s="9" t="str">
        <f>VLOOKUP(K321,[1]中国省份_标准!$B$2:$F$35,4,FALSE)</f>
        <v>东部地区</v>
      </c>
      <c r="M321" s="9" t="str">
        <f>VLOOKUP(K321,[1]中国省份_标准!$B$2:$F$35,5,FALSE)</f>
        <v>华东地区</v>
      </c>
      <c r="N321" s="13" t="s">
        <v>426</v>
      </c>
      <c r="O321" s="13" t="s">
        <v>427</v>
      </c>
      <c r="P321" s="13" t="s">
        <v>5832</v>
      </c>
      <c r="Q321" s="13" t="s">
        <v>5833</v>
      </c>
      <c r="R321" s="13" t="s">
        <v>5834</v>
      </c>
      <c r="S321" s="13" t="s">
        <v>5835</v>
      </c>
      <c r="T321" s="13" t="s">
        <v>209</v>
      </c>
      <c r="U321" s="13" t="s">
        <v>5827</v>
      </c>
      <c r="V321" s="13" t="s">
        <v>5836</v>
      </c>
      <c r="W321" s="13" t="s">
        <v>5837</v>
      </c>
      <c r="X321" s="13" t="s">
        <v>1794</v>
      </c>
      <c r="Y321" s="13" t="s">
        <v>78</v>
      </c>
      <c r="Z321" s="13" t="s">
        <v>5838</v>
      </c>
      <c r="AA321" s="13" t="s">
        <v>80</v>
      </c>
      <c r="AB321" s="13" t="s">
        <v>106</v>
      </c>
      <c r="AC321" s="13" t="s">
        <v>388</v>
      </c>
      <c r="AD321" s="13" t="s">
        <v>39</v>
      </c>
      <c r="AE321" s="13" t="s">
        <v>55</v>
      </c>
      <c r="AF321" s="13" t="s">
        <v>5839</v>
      </c>
      <c r="AG321" s="13" t="s">
        <v>5840</v>
      </c>
      <c r="AH321" s="13" t="s">
        <v>5841</v>
      </c>
      <c r="AI321" s="13" t="s">
        <v>5842</v>
      </c>
      <c r="AJ321" s="13" t="s">
        <v>5843</v>
      </c>
      <c r="AK321" s="13" t="s">
        <v>2191</v>
      </c>
      <c r="AL321" s="13" t="s">
        <v>88</v>
      </c>
    </row>
    <row r="322" spans="1:38" x14ac:dyDescent="0.4">
      <c r="A322" s="11" t="s">
        <v>5844</v>
      </c>
      <c r="B322" s="14" t="s">
        <v>5845</v>
      </c>
      <c r="C322" s="15" t="s">
        <v>5846</v>
      </c>
      <c r="D322" s="15" t="s">
        <v>63</v>
      </c>
      <c r="E322" s="15" t="s">
        <v>5847</v>
      </c>
      <c r="F322" s="15" t="s">
        <v>5848</v>
      </c>
      <c r="G322" s="15" t="s">
        <v>5848</v>
      </c>
      <c r="H322" s="15" t="s">
        <v>5849</v>
      </c>
      <c r="I322" s="9">
        <f t="shared" ca="1" si="4"/>
        <v>22</v>
      </c>
      <c r="J322" s="15" t="s">
        <v>5850</v>
      </c>
      <c r="K322" s="15" t="s">
        <v>425</v>
      </c>
      <c r="L322" s="9" t="str">
        <f>VLOOKUP(K322,[1]中国省份_标准!$B$2:$F$35,4,FALSE)</f>
        <v>东部地区</v>
      </c>
      <c r="M322" s="9" t="str">
        <f>VLOOKUP(K322,[1]中国省份_标准!$B$2:$F$35,5,FALSE)</f>
        <v>华东地区</v>
      </c>
      <c r="N322" s="15" t="s">
        <v>5513</v>
      </c>
      <c r="O322" s="15" t="s">
        <v>5851</v>
      </c>
      <c r="P322" s="15" t="s">
        <v>5852</v>
      </c>
      <c r="Q322" s="15" t="s">
        <v>39</v>
      </c>
      <c r="R322" s="15" t="s">
        <v>39</v>
      </c>
      <c r="S322" s="15" t="s">
        <v>39</v>
      </c>
      <c r="T322" s="15" t="s">
        <v>48</v>
      </c>
      <c r="U322" s="15" t="s">
        <v>5845</v>
      </c>
      <c r="V322" s="15" t="s">
        <v>5853</v>
      </c>
      <c r="W322" s="15" t="s">
        <v>5854</v>
      </c>
      <c r="X322" s="15" t="s">
        <v>791</v>
      </c>
      <c r="Y322" s="15" t="s">
        <v>78</v>
      </c>
      <c r="Z322" s="15" t="s">
        <v>5855</v>
      </c>
      <c r="AA322" s="15" t="s">
        <v>169</v>
      </c>
      <c r="AB322" s="15" t="s">
        <v>189</v>
      </c>
      <c r="AC322" s="15" t="s">
        <v>39</v>
      </c>
      <c r="AD322" s="15" t="s">
        <v>39</v>
      </c>
      <c r="AE322" s="15" t="s">
        <v>109</v>
      </c>
      <c r="AF322" s="15" t="s">
        <v>5856</v>
      </c>
      <c r="AG322" s="15" t="s">
        <v>39</v>
      </c>
      <c r="AH322" s="15" t="s">
        <v>39</v>
      </c>
      <c r="AI322" s="15" t="s">
        <v>5857</v>
      </c>
      <c r="AJ322" s="15" t="s">
        <v>5858</v>
      </c>
      <c r="AK322" s="15" t="s">
        <v>5859</v>
      </c>
      <c r="AL322" s="15" t="s">
        <v>88</v>
      </c>
    </row>
    <row r="323" spans="1:38" x14ac:dyDescent="0.4">
      <c r="A323" s="11" t="s">
        <v>5860</v>
      </c>
      <c r="B323" s="12" t="s">
        <v>5861</v>
      </c>
      <c r="C323" s="13" t="s">
        <v>39</v>
      </c>
      <c r="D323" s="13" t="s">
        <v>63</v>
      </c>
      <c r="E323" s="13" t="s">
        <v>5862</v>
      </c>
      <c r="F323" s="13" t="s">
        <v>154</v>
      </c>
      <c r="G323" s="13" t="s">
        <v>154</v>
      </c>
      <c r="H323" s="13" t="s">
        <v>5863</v>
      </c>
      <c r="I323" s="9">
        <f t="shared" ref="I323:I386" ca="1" si="5">DATEDIF(H323, TODAY(), "Y")</f>
        <v>8</v>
      </c>
      <c r="J323" s="13" t="s">
        <v>5864</v>
      </c>
      <c r="K323" s="13" t="s">
        <v>425</v>
      </c>
      <c r="L323" s="9" t="str">
        <f>VLOOKUP(K323,[1]中国省份_标准!$B$2:$F$35,4,FALSE)</f>
        <v>东部地区</v>
      </c>
      <c r="M323" s="9" t="str">
        <f>VLOOKUP(K323,[1]中国省份_标准!$B$2:$F$35,5,FALSE)</f>
        <v>华东地区</v>
      </c>
      <c r="N323" s="13" t="s">
        <v>426</v>
      </c>
      <c r="O323" s="13" t="s">
        <v>427</v>
      </c>
      <c r="P323" s="13" t="s">
        <v>5865</v>
      </c>
      <c r="Q323" s="13" t="s">
        <v>1599</v>
      </c>
      <c r="R323" s="13" t="s">
        <v>1600</v>
      </c>
      <c r="S323" s="13" t="s">
        <v>5866</v>
      </c>
      <c r="T323" s="13" t="s">
        <v>281</v>
      </c>
      <c r="U323" s="13" t="s">
        <v>5861</v>
      </c>
      <c r="V323" s="13" t="s">
        <v>5867</v>
      </c>
      <c r="W323" s="13" t="s">
        <v>5868</v>
      </c>
      <c r="X323" s="13" t="s">
        <v>77</v>
      </c>
      <c r="Y323" s="13" t="s">
        <v>78</v>
      </c>
      <c r="Z323" s="13" t="s">
        <v>5869</v>
      </c>
      <c r="AA323" s="13" t="s">
        <v>80</v>
      </c>
      <c r="AB323" s="13" t="s">
        <v>106</v>
      </c>
      <c r="AC323" s="13" t="s">
        <v>107</v>
      </c>
      <c r="AD323" s="13" t="s">
        <v>108</v>
      </c>
      <c r="AE323" s="13" t="s">
        <v>109</v>
      </c>
      <c r="AF323" s="13" t="s">
        <v>5870</v>
      </c>
      <c r="AG323" s="13" t="s">
        <v>39</v>
      </c>
      <c r="AH323" s="13" t="s">
        <v>39</v>
      </c>
      <c r="AI323" s="13" t="s">
        <v>5871</v>
      </c>
      <c r="AJ323" s="13" t="s">
        <v>5872</v>
      </c>
      <c r="AK323" s="13" t="s">
        <v>2191</v>
      </c>
      <c r="AL323" s="13" t="s">
        <v>88</v>
      </c>
    </row>
    <row r="324" spans="1:38" x14ac:dyDescent="0.4">
      <c r="A324" s="11" t="s">
        <v>5873</v>
      </c>
      <c r="B324" s="14" t="s">
        <v>5874</v>
      </c>
      <c r="C324" s="15" t="s">
        <v>5875</v>
      </c>
      <c r="D324" s="15" t="s">
        <v>92</v>
      </c>
      <c r="E324" s="15" t="s">
        <v>5876</v>
      </c>
      <c r="F324" s="15" t="s">
        <v>4095</v>
      </c>
      <c r="G324" s="15" t="s">
        <v>4095</v>
      </c>
      <c r="H324" s="15" t="s">
        <v>5877</v>
      </c>
      <c r="I324" s="9">
        <f t="shared" ca="1" si="5"/>
        <v>20</v>
      </c>
      <c r="J324" s="15" t="s">
        <v>5878</v>
      </c>
      <c r="K324" s="15" t="s">
        <v>340</v>
      </c>
      <c r="L324" s="9" t="str">
        <f>VLOOKUP(K324,[1]中国省份_标准!$B$2:$F$35,4,FALSE)</f>
        <v>东部地区</v>
      </c>
      <c r="M324" s="9" t="str">
        <f>VLOOKUP(K324,[1]中国省份_标准!$B$2:$F$35,5,FALSE)</f>
        <v>华东地区</v>
      </c>
      <c r="N324" s="15" t="s">
        <v>5879</v>
      </c>
      <c r="O324" s="15" t="s">
        <v>5880</v>
      </c>
      <c r="P324" s="15" t="s">
        <v>5881</v>
      </c>
      <c r="Q324" s="15" t="s">
        <v>5882</v>
      </c>
      <c r="R324" s="15" t="s">
        <v>5883</v>
      </c>
      <c r="S324" s="15" t="s">
        <v>5884</v>
      </c>
      <c r="T324" s="15" t="s">
        <v>452</v>
      </c>
      <c r="U324" s="15" t="s">
        <v>5874</v>
      </c>
      <c r="V324" s="15" t="s">
        <v>5885</v>
      </c>
      <c r="W324" s="15" t="s">
        <v>5886</v>
      </c>
      <c r="X324" s="15" t="s">
        <v>2016</v>
      </c>
      <c r="Y324" s="15" t="s">
        <v>78</v>
      </c>
      <c r="Z324" s="15" t="s">
        <v>5887</v>
      </c>
      <c r="AA324" s="15" t="s">
        <v>80</v>
      </c>
      <c r="AB324" s="15" t="s">
        <v>106</v>
      </c>
      <c r="AC324" s="15" t="s">
        <v>107</v>
      </c>
      <c r="AD324" s="15" t="s">
        <v>3545</v>
      </c>
      <c r="AE324" s="15" t="s">
        <v>239</v>
      </c>
      <c r="AF324" s="15" t="s">
        <v>5888</v>
      </c>
      <c r="AG324" s="15" t="s">
        <v>5889</v>
      </c>
      <c r="AH324" s="15" t="s">
        <v>5890</v>
      </c>
      <c r="AI324" s="15" t="s">
        <v>5891</v>
      </c>
      <c r="AJ324" s="15" t="s">
        <v>5892</v>
      </c>
      <c r="AK324" s="15" t="s">
        <v>5893</v>
      </c>
      <c r="AL324" s="15" t="s">
        <v>88</v>
      </c>
    </row>
    <row r="325" spans="1:38" x14ac:dyDescent="0.4">
      <c r="A325" s="11" t="s">
        <v>5894</v>
      </c>
      <c r="B325" s="12" t="s">
        <v>5895</v>
      </c>
      <c r="C325" s="13" t="s">
        <v>39</v>
      </c>
      <c r="D325" s="13" t="s">
        <v>92</v>
      </c>
      <c r="E325" s="13" t="s">
        <v>5896</v>
      </c>
      <c r="F325" s="13" t="s">
        <v>154</v>
      </c>
      <c r="G325" s="13" t="s">
        <v>154</v>
      </c>
      <c r="H325" s="13" t="s">
        <v>5897</v>
      </c>
      <c r="I325" s="9">
        <f t="shared" ca="1" si="5"/>
        <v>7</v>
      </c>
      <c r="J325" s="13" t="s">
        <v>5864</v>
      </c>
      <c r="K325" s="13" t="s">
        <v>425</v>
      </c>
      <c r="L325" s="9" t="str">
        <f>VLOOKUP(K325,[1]中国省份_标准!$B$2:$F$35,4,FALSE)</f>
        <v>东部地区</v>
      </c>
      <c r="M325" s="9" t="str">
        <f>VLOOKUP(K325,[1]中国省份_标准!$B$2:$F$35,5,FALSE)</f>
        <v>华东地区</v>
      </c>
      <c r="N325" s="13" t="s">
        <v>426</v>
      </c>
      <c r="O325" s="13" t="s">
        <v>427</v>
      </c>
      <c r="P325" s="13" t="s">
        <v>5898</v>
      </c>
      <c r="Q325" s="13" t="s">
        <v>5899</v>
      </c>
      <c r="R325" s="13" t="s">
        <v>1600</v>
      </c>
      <c r="S325" s="13" t="s">
        <v>5900</v>
      </c>
      <c r="T325" s="13" t="s">
        <v>281</v>
      </c>
      <c r="U325" s="13" t="s">
        <v>5895</v>
      </c>
      <c r="V325" s="13" t="s">
        <v>39</v>
      </c>
      <c r="W325" s="13" t="s">
        <v>5901</v>
      </c>
      <c r="X325" s="13" t="s">
        <v>77</v>
      </c>
      <c r="Y325" s="13" t="s">
        <v>283</v>
      </c>
      <c r="Z325" s="13" t="s">
        <v>5902</v>
      </c>
      <c r="AA325" s="13" t="s">
        <v>80</v>
      </c>
      <c r="AB325" s="13" t="s">
        <v>106</v>
      </c>
      <c r="AC325" s="13" t="s">
        <v>107</v>
      </c>
      <c r="AD325" s="13" t="s">
        <v>108</v>
      </c>
      <c r="AE325" s="13" t="s">
        <v>109</v>
      </c>
      <c r="AF325" s="13" t="s">
        <v>5903</v>
      </c>
      <c r="AG325" s="13" t="s">
        <v>39</v>
      </c>
      <c r="AH325" s="13" t="s">
        <v>39</v>
      </c>
      <c r="AI325" s="13" t="s">
        <v>5904</v>
      </c>
      <c r="AJ325" s="13" t="s">
        <v>5905</v>
      </c>
      <c r="AK325" s="13" t="s">
        <v>438</v>
      </c>
      <c r="AL325" s="13" t="s">
        <v>88</v>
      </c>
    </row>
    <row r="326" spans="1:38" x14ac:dyDescent="0.4">
      <c r="A326" s="11" t="s">
        <v>5906</v>
      </c>
      <c r="B326" s="14" t="s">
        <v>5907</v>
      </c>
      <c r="C326" s="15" t="s">
        <v>5908</v>
      </c>
      <c r="D326" s="15" t="s">
        <v>92</v>
      </c>
      <c r="E326" s="15" t="s">
        <v>5909</v>
      </c>
      <c r="F326" s="15" t="s">
        <v>5910</v>
      </c>
      <c r="G326" s="15" t="s">
        <v>5911</v>
      </c>
      <c r="H326" s="15" t="s">
        <v>5912</v>
      </c>
      <c r="I326" s="9">
        <f t="shared" ca="1" si="5"/>
        <v>6</v>
      </c>
      <c r="J326" s="15" t="s">
        <v>5913</v>
      </c>
      <c r="K326" s="15" t="s">
        <v>531</v>
      </c>
      <c r="L326" s="9" t="str">
        <f>VLOOKUP(K326,[1]中国省份_标准!$B$2:$F$35,4,FALSE)</f>
        <v>东部地区</v>
      </c>
      <c r="M326" s="9" t="str">
        <f>VLOOKUP(K326,[1]中国省份_标准!$B$2:$F$35,5,FALSE)</f>
        <v>华南地区</v>
      </c>
      <c r="N326" s="15" t="s">
        <v>2440</v>
      </c>
      <c r="O326" s="15" t="s">
        <v>5914</v>
      </c>
      <c r="P326" s="15" t="s">
        <v>5915</v>
      </c>
      <c r="Q326" s="15" t="s">
        <v>5916</v>
      </c>
      <c r="R326" s="15" t="s">
        <v>5917</v>
      </c>
      <c r="S326" s="15" t="s">
        <v>5918</v>
      </c>
      <c r="T326" s="15" t="s">
        <v>209</v>
      </c>
      <c r="U326" s="15" t="s">
        <v>5907</v>
      </c>
      <c r="V326" s="15" t="s">
        <v>5919</v>
      </c>
      <c r="W326" s="15" t="s">
        <v>5920</v>
      </c>
      <c r="X326" s="15" t="s">
        <v>5921</v>
      </c>
      <c r="Y326" s="15" t="s">
        <v>78</v>
      </c>
      <c r="Z326" s="15" t="s">
        <v>5922</v>
      </c>
      <c r="AA326" s="15" t="s">
        <v>309</v>
      </c>
      <c r="AB326" s="15" t="s">
        <v>310</v>
      </c>
      <c r="AC326" s="15" t="s">
        <v>311</v>
      </c>
      <c r="AD326" s="15" t="s">
        <v>312</v>
      </c>
      <c r="AE326" s="15" t="s">
        <v>239</v>
      </c>
      <c r="AF326" s="15" t="s">
        <v>5923</v>
      </c>
      <c r="AG326" s="15" t="s">
        <v>39</v>
      </c>
      <c r="AH326" s="15" t="s">
        <v>5924</v>
      </c>
      <c r="AI326" s="15" t="s">
        <v>5925</v>
      </c>
      <c r="AJ326" s="15" t="s">
        <v>5926</v>
      </c>
      <c r="AK326" s="15" t="s">
        <v>5927</v>
      </c>
      <c r="AL326" s="15" t="s">
        <v>88</v>
      </c>
    </row>
    <row r="327" spans="1:38" x14ac:dyDescent="0.4">
      <c r="A327" s="11" t="s">
        <v>5928</v>
      </c>
      <c r="B327" s="12" t="s">
        <v>5929</v>
      </c>
      <c r="C327" s="13" t="s">
        <v>39</v>
      </c>
      <c r="D327" s="13" t="s">
        <v>5930</v>
      </c>
      <c r="E327" s="13" t="s">
        <v>5931</v>
      </c>
      <c r="F327" s="13" t="s">
        <v>42</v>
      </c>
      <c r="G327" s="13" t="s">
        <v>42</v>
      </c>
      <c r="H327" s="13" t="s">
        <v>5932</v>
      </c>
      <c r="I327" s="9">
        <f t="shared" ca="1" si="5"/>
        <v>4</v>
      </c>
      <c r="J327" s="13" t="s">
        <v>5933</v>
      </c>
      <c r="K327" s="13" t="s">
        <v>531</v>
      </c>
      <c r="L327" s="9" t="str">
        <f>VLOOKUP(K327,[1]中国省份_标准!$B$2:$F$35,4,FALSE)</f>
        <v>东部地区</v>
      </c>
      <c r="M327" s="9" t="str">
        <f>VLOOKUP(K327,[1]中国省份_标准!$B$2:$F$35,5,FALSE)</f>
        <v>华南地区</v>
      </c>
      <c r="N327" s="13" t="s">
        <v>1698</v>
      </c>
      <c r="O327" s="13" t="s">
        <v>39</v>
      </c>
      <c r="P327" s="13" t="s">
        <v>5934</v>
      </c>
      <c r="Q327" s="13" t="s">
        <v>39</v>
      </c>
      <c r="R327" s="13" t="s">
        <v>5935</v>
      </c>
      <c r="S327" s="13" t="s">
        <v>39</v>
      </c>
      <c r="T327" s="13" t="s">
        <v>48</v>
      </c>
      <c r="U327" s="13" t="s">
        <v>5929</v>
      </c>
      <c r="V327" s="13" t="s">
        <v>39</v>
      </c>
      <c r="W327" s="13" t="s">
        <v>5936</v>
      </c>
      <c r="X327" s="13" t="s">
        <v>1938</v>
      </c>
      <c r="Y327" s="13" t="s">
        <v>283</v>
      </c>
      <c r="Z327" s="13" t="s">
        <v>5937</v>
      </c>
      <c r="AA327" s="13" t="s">
        <v>169</v>
      </c>
      <c r="AB327" s="13" t="s">
        <v>1996</v>
      </c>
      <c r="AC327" s="13" t="s">
        <v>1997</v>
      </c>
      <c r="AD327" s="13" t="s">
        <v>1997</v>
      </c>
      <c r="AE327" s="13" t="s">
        <v>55</v>
      </c>
      <c r="AF327" s="13" t="s">
        <v>5938</v>
      </c>
      <c r="AG327" s="13" t="s">
        <v>39</v>
      </c>
      <c r="AH327" s="13" t="s">
        <v>39</v>
      </c>
      <c r="AI327" s="13" t="s">
        <v>5939</v>
      </c>
      <c r="AJ327" s="13" t="s">
        <v>5940</v>
      </c>
      <c r="AK327" s="13" t="s">
        <v>1711</v>
      </c>
      <c r="AL327" s="13" t="s">
        <v>88</v>
      </c>
    </row>
    <row r="328" spans="1:38" x14ac:dyDescent="0.4">
      <c r="A328" s="11" t="s">
        <v>5941</v>
      </c>
      <c r="B328" s="14" t="s">
        <v>5942</v>
      </c>
      <c r="C328" s="15" t="s">
        <v>5943</v>
      </c>
      <c r="D328" s="15" t="s">
        <v>92</v>
      </c>
      <c r="E328" s="15" t="s">
        <v>5944</v>
      </c>
      <c r="F328" s="15" t="s">
        <v>920</v>
      </c>
      <c r="G328" s="15" t="s">
        <v>920</v>
      </c>
      <c r="H328" s="15" t="s">
        <v>5945</v>
      </c>
      <c r="I328" s="9">
        <f t="shared" ca="1" si="5"/>
        <v>20</v>
      </c>
      <c r="J328" s="15" t="s">
        <v>5946</v>
      </c>
      <c r="K328" s="15" t="s">
        <v>5229</v>
      </c>
      <c r="L328" s="9" t="str">
        <f>VLOOKUP(K328,[1]中国省份_标准!$B$2:$F$35,4,FALSE)</f>
        <v>西部地区</v>
      </c>
      <c r="M328" s="9" t="str">
        <f>VLOOKUP(K328,[1]中国省份_标准!$B$2:$F$35,5,FALSE)</f>
        <v>华南地区</v>
      </c>
      <c r="N328" s="15" t="s">
        <v>5947</v>
      </c>
      <c r="O328" s="15" t="s">
        <v>5948</v>
      </c>
      <c r="P328" s="15" t="s">
        <v>5949</v>
      </c>
      <c r="Q328" s="15" t="s">
        <v>5950</v>
      </c>
      <c r="R328" s="15" t="s">
        <v>5951</v>
      </c>
      <c r="S328" s="15" t="s">
        <v>5952</v>
      </c>
      <c r="T328" s="15" t="s">
        <v>48</v>
      </c>
      <c r="U328" s="15" t="s">
        <v>5942</v>
      </c>
      <c r="V328" s="15" t="s">
        <v>5953</v>
      </c>
      <c r="W328" s="15" t="s">
        <v>5954</v>
      </c>
      <c r="X328" s="15" t="s">
        <v>5955</v>
      </c>
      <c r="Y328" s="15" t="s">
        <v>78</v>
      </c>
      <c r="Z328" s="15" t="s">
        <v>5956</v>
      </c>
      <c r="AA328" s="15" t="s">
        <v>169</v>
      </c>
      <c r="AB328" s="15" t="s">
        <v>259</v>
      </c>
      <c r="AC328" s="15" t="s">
        <v>260</v>
      </c>
      <c r="AD328" s="15" t="s">
        <v>2731</v>
      </c>
      <c r="AE328" s="15" t="s">
        <v>262</v>
      </c>
      <c r="AF328" s="15" t="s">
        <v>5957</v>
      </c>
      <c r="AG328" s="15" t="s">
        <v>5958</v>
      </c>
      <c r="AH328" s="15" t="s">
        <v>39</v>
      </c>
      <c r="AI328" s="15" t="s">
        <v>5959</v>
      </c>
      <c r="AJ328" s="15" t="s">
        <v>5960</v>
      </c>
      <c r="AK328" s="15" t="s">
        <v>5961</v>
      </c>
      <c r="AL328" s="15" t="s">
        <v>88</v>
      </c>
    </row>
    <row r="329" spans="1:38" x14ac:dyDescent="0.4">
      <c r="A329" s="11" t="s">
        <v>5962</v>
      </c>
      <c r="B329" s="12" t="s">
        <v>5963</v>
      </c>
      <c r="C329" s="13" t="s">
        <v>39</v>
      </c>
      <c r="D329" s="13" t="s">
        <v>63</v>
      </c>
      <c r="E329" s="13" t="s">
        <v>5964</v>
      </c>
      <c r="F329" s="13" t="s">
        <v>5965</v>
      </c>
      <c r="G329" s="13" t="s">
        <v>5966</v>
      </c>
      <c r="H329" s="13" t="s">
        <v>5967</v>
      </c>
      <c r="I329" s="9">
        <f t="shared" ca="1" si="5"/>
        <v>22</v>
      </c>
      <c r="J329" s="13" t="s">
        <v>5968</v>
      </c>
      <c r="K329" s="13" t="s">
        <v>531</v>
      </c>
      <c r="L329" s="9" t="str">
        <f>VLOOKUP(K329,[1]中国省份_标准!$B$2:$F$35,4,FALSE)</f>
        <v>东部地区</v>
      </c>
      <c r="M329" s="9" t="str">
        <f>VLOOKUP(K329,[1]中国省份_标准!$B$2:$F$35,5,FALSE)</f>
        <v>华南地区</v>
      </c>
      <c r="N329" s="13" t="s">
        <v>2461</v>
      </c>
      <c r="O329" s="13" t="s">
        <v>5969</v>
      </c>
      <c r="P329" s="13" t="s">
        <v>5970</v>
      </c>
      <c r="Q329" s="13" t="s">
        <v>39</v>
      </c>
      <c r="R329" s="13" t="s">
        <v>5971</v>
      </c>
      <c r="S329" s="13" t="s">
        <v>39</v>
      </c>
      <c r="T329" s="13" t="s">
        <v>48</v>
      </c>
      <c r="U329" s="13" t="s">
        <v>5963</v>
      </c>
      <c r="V329" s="13" t="s">
        <v>5972</v>
      </c>
      <c r="W329" s="13" t="s">
        <v>5973</v>
      </c>
      <c r="X329" s="13" t="s">
        <v>5974</v>
      </c>
      <c r="Y329" s="13" t="s">
        <v>78</v>
      </c>
      <c r="Z329" s="13" t="s">
        <v>5975</v>
      </c>
      <c r="AA329" s="13" t="s">
        <v>169</v>
      </c>
      <c r="AB329" s="13" t="s">
        <v>285</v>
      </c>
      <c r="AC329" s="13" t="s">
        <v>479</v>
      </c>
      <c r="AD329" s="13" t="s">
        <v>2471</v>
      </c>
      <c r="AE329" s="13" t="s">
        <v>262</v>
      </c>
      <c r="AF329" s="13" t="s">
        <v>5976</v>
      </c>
      <c r="AG329" s="13" t="s">
        <v>39</v>
      </c>
      <c r="AH329" s="13" t="s">
        <v>39</v>
      </c>
      <c r="AI329" s="13" t="s">
        <v>5977</v>
      </c>
      <c r="AJ329" s="13" t="s">
        <v>5978</v>
      </c>
      <c r="AK329" s="13" t="s">
        <v>5979</v>
      </c>
      <c r="AL329" s="13" t="s">
        <v>88</v>
      </c>
    </row>
    <row r="330" spans="1:38" x14ac:dyDescent="0.4">
      <c r="A330" s="11" t="s">
        <v>5980</v>
      </c>
      <c r="B330" s="14" t="s">
        <v>5981</v>
      </c>
      <c r="C330" s="15" t="s">
        <v>39</v>
      </c>
      <c r="D330" s="15" t="s">
        <v>1519</v>
      </c>
      <c r="E330" s="15" t="s">
        <v>5982</v>
      </c>
      <c r="F330" s="15" t="s">
        <v>117</v>
      </c>
      <c r="G330" s="15" t="s">
        <v>117</v>
      </c>
      <c r="H330" s="15" t="s">
        <v>5983</v>
      </c>
      <c r="I330" s="9">
        <f t="shared" ca="1" si="5"/>
        <v>10</v>
      </c>
      <c r="J330" s="15" t="s">
        <v>5984</v>
      </c>
      <c r="K330" s="15" t="s">
        <v>531</v>
      </c>
      <c r="L330" s="9" t="str">
        <f>VLOOKUP(K330,[1]中国省份_标准!$B$2:$F$35,4,FALSE)</f>
        <v>东部地区</v>
      </c>
      <c r="M330" s="9" t="str">
        <f>VLOOKUP(K330,[1]中国省份_标准!$B$2:$F$35,5,FALSE)</f>
        <v>华南地区</v>
      </c>
      <c r="N330" s="15" t="s">
        <v>1698</v>
      </c>
      <c r="O330" s="15" t="s">
        <v>39</v>
      </c>
      <c r="P330" s="15" t="s">
        <v>5985</v>
      </c>
      <c r="Q330" s="15" t="s">
        <v>5986</v>
      </c>
      <c r="R330" s="15" t="s">
        <v>5987</v>
      </c>
      <c r="S330" s="15" t="s">
        <v>5988</v>
      </c>
      <c r="T330" s="15" t="s">
        <v>281</v>
      </c>
      <c r="U330" s="15" t="s">
        <v>5981</v>
      </c>
      <c r="V330" s="15" t="s">
        <v>5989</v>
      </c>
      <c r="W330" s="15" t="s">
        <v>5990</v>
      </c>
      <c r="X330" s="15" t="s">
        <v>5560</v>
      </c>
      <c r="Y330" s="15" t="s">
        <v>283</v>
      </c>
      <c r="Z330" s="15" t="s">
        <v>5991</v>
      </c>
      <c r="AA330" s="15" t="s">
        <v>169</v>
      </c>
      <c r="AB330" s="15" t="s">
        <v>1264</v>
      </c>
      <c r="AC330" s="15" t="s">
        <v>1457</v>
      </c>
      <c r="AD330" s="15" t="s">
        <v>1557</v>
      </c>
      <c r="AE330" s="15" t="s">
        <v>55</v>
      </c>
      <c r="AF330" s="15" t="s">
        <v>5992</v>
      </c>
      <c r="AG330" s="15" t="s">
        <v>39</v>
      </c>
      <c r="AH330" s="15" t="s">
        <v>39</v>
      </c>
      <c r="AI330" s="15" t="s">
        <v>5993</v>
      </c>
      <c r="AJ330" s="15" t="s">
        <v>5994</v>
      </c>
      <c r="AK330" s="15" t="s">
        <v>1711</v>
      </c>
      <c r="AL330" s="15" t="s">
        <v>88</v>
      </c>
    </row>
    <row r="331" spans="1:38" x14ac:dyDescent="0.4">
      <c r="A331" s="11" t="s">
        <v>5995</v>
      </c>
      <c r="B331" s="12" t="s">
        <v>5996</v>
      </c>
      <c r="C331" s="13" t="s">
        <v>39</v>
      </c>
      <c r="D331" s="13" t="s">
        <v>5997</v>
      </c>
      <c r="E331" s="13" t="s">
        <v>5998</v>
      </c>
      <c r="F331" s="13" t="s">
        <v>5999</v>
      </c>
      <c r="G331" s="13" t="s">
        <v>5999</v>
      </c>
      <c r="H331" s="13" t="s">
        <v>6000</v>
      </c>
      <c r="I331" s="9">
        <f t="shared" ca="1" si="5"/>
        <v>12</v>
      </c>
      <c r="J331" s="13" t="s">
        <v>6001</v>
      </c>
      <c r="K331" s="13" t="s">
        <v>531</v>
      </c>
      <c r="L331" s="9" t="str">
        <f>VLOOKUP(K331,[1]中国省份_标准!$B$2:$F$35,4,FALSE)</f>
        <v>东部地区</v>
      </c>
      <c r="M331" s="9" t="str">
        <f>VLOOKUP(K331,[1]中国省份_标准!$B$2:$F$35,5,FALSE)</f>
        <v>华南地区</v>
      </c>
      <c r="N331" s="13" t="s">
        <v>802</v>
      </c>
      <c r="O331" s="13" t="s">
        <v>803</v>
      </c>
      <c r="P331" s="13" t="s">
        <v>6002</v>
      </c>
      <c r="Q331" s="13" t="s">
        <v>6003</v>
      </c>
      <c r="R331" s="13" t="s">
        <v>6004</v>
      </c>
      <c r="S331" s="13" t="s">
        <v>39</v>
      </c>
      <c r="T331" s="13" t="s">
        <v>6005</v>
      </c>
      <c r="U331" s="13" t="s">
        <v>5996</v>
      </c>
      <c r="V331" s="13" t="s">
        <v>6006</v>
      </c>
      <c r="W331" s="13" t="s">
        <v>6007</v>
      </c>
      <c r="X331" s="13" t="s">
        <v>540</v>
      </c>
      <c r="Y331" s="13" t="s">
        <v>283</v>
      </c>
      <c r="Z331" s="13" t="s">
        <v>6008</v>
      </c>
      <c r="AA331" s="13" t="s">
        <v>169</v>
      </c>
      <c r="AB331" s="13" t="s">
        <v>1264</v>
      </c>
      <c r="AC331" s="13" t="s">
        <v>39</v>
      </c>
      <c r="AD331" s="13" t="s">
        <v>39</v>
      </c>
      <c r="AE331" s="13" t="s">
        <v>109</v>
      </c>
      <c r="AF331" s="13" t="s">
        <v>6009</v>
      </c>
      <c r="AG331" s="13" t="s">
        <v>39</v>
      </c>
      <c r="AH331" s="13" t="s">
        <v>39</v>
      </c>
      <c r="AI331" s="13" t="s">
        <v>6010</v>
      </c>
      <c r="AJ331" s="13" t="s">
        <v>6011</v>
      </c>
      <c r="AK331" s="13" t="s">
        <v>6012</v>
      </c>
      <c r="AL331" s="13" t="s">
        <v>88</v>
      </c>
    </row>
    <row r="332" spans="1:38" x14ac:dyDescent="0.4">
      <c r="A332" s="11" t="s">
        <v>6013</v>
      </c>
      <c r="B332" s="14" t="s">
        <v>6014</v>
      </c>
      <c r="C332" s="15" t="s">
        <v>6015</v>
      </c>
      <c r="D332" s="15" t="s">
        <v>92</v>
      </c>
      <c r="E332" s="15" t="s">
        <v>6016</v>
      </c>
      <c r="F332" s="15" t="s">
        <v>6017</v>
      </c>
      <c r="G332" s="15" t="s">
        <v>6018</v>
      </c>
      <c r="H332" s="15" t="s">
        <v>6019</v>
      </c>
      <c r="I332" s="9">
        <f t="shared" ca="1" si="5"/>
        <v>32</v>
      </c>
      <c r="J332" s="15" t="s">
        <v>6020</v>
      </c>
      <c r="K332" s="15" t="s">
        <v>531</v>
      </c>
      <c r="L332" s="9" t="str">
        <f>VLOOKUP(K332,[1]中国省份_标准!$B$2:$F$35,4,FALSE)</f>
        <v>东部地区</v>
      </c>
      <c r="M332" s="9" t="str">
        <f>VLOOKUP(K332,[1]中国省份_标准!$B$2:$F$35,5,FALSE)</f>
        <v>华南地区</v>
      </c>
      <c r="N332" s="15" t="s">
        <v>802</v>
      </c>
      <c r="O332" s="15" t="s">
        <v>803</v>
      </c>
      <c r="P332" s="15" t="s">
        <v>6021</v>
      </c>
      <c r="Q332" s="15" t="s">
        <v>6022</v>
      </c>
      <c r="R332" s="15" t="s">
        <v>6023</v>
      </c>
      <c r="S332" s="15" t="s">
        <v>6024</v>
      </c>
      <c r="T332" s="15" t="s">
        <v>6025</v>
      </c>
      <c r="U332" s="15" t="s">
        <v>6014</v>
      </c>
      <c r="V332" s="15" t="s">
        <v>6026</v>
      </c>
      <c r="W332" s="15" t="s">
        <v>6027</v>
      </c>
      <c r="X332" s="15" t="s">
        <v>6028</v>
      </c>
      <c r="Y332" s="15" t="s">
        <v>78</v>
      </c>
      <c r="Z332" s="15" t="s">
        <v>6029</v>
      </c>
      <c r="AA332" s="15" t="s">
        <v>309</v>
      </c>
      <c r="AB332" s="15" t="s">
        <v>310</v>
      </c>
      <c r="AC332" s="15" t="s">
        <v>311</v>
      </c>
      <c r="AD332" s="15" t="s">
        <v>312</v>
      </c>
      <c r="AE332" s="15" t="s">
        <v>239</v>
      </c>
      <c r="AF332" s="15" t="s">
        <v>6030</v>
      </c>
      <c r="AG332" s="15" t="s">
        <v>6031</v>
      </c>
      <c r="AH332" s="15" t="s">
        <v>39</v>
      </c>
      <c r="AI332" s="15" t="s">
        <v>6032</v>
      </c>
      <c r="AJ332" s="15" t="s">
        <v>6033</v>
      </c>
      <c r="AK332" s="15" t="s">
        <v>6012</v>
      </c>
      <c r="AL332" s="15" t="s">
        <v>88</v>
      </c>
    </row>
    <row r="333" spans="1:38" x14ac:dyDescent="0.4">
      <c r="A333" s="11" t="s">
        <v>6034</v>
      </c>
      <c r="B333" s="12" t="s">
        <v>6035</v>
      </c>
      <c r="C333" s="13" t="s">
        <v>39</v>
      </c>
      <c r="D333" s="13" t="s">
        <v>63</v>
      </c>
      <c r="E333" s="13" t="s">
        <v>6036</v>
      </c>
      <c r="F333" s="13" t="s">
        <v>640</v>
      </c>
      <c r="G333" s="13" t="s">
        <v>640</v>
      </c>
      <c r="H333" s="13" t="s">
        <v>6037</v>
      </c>
      <c r="I333" s="9">
        <f t="shared" ca="1" si="5"/>
        <v>14</v>
      </c>
      <c r="J333" s="13" t="s">
        <v>6038</v>
      </c>
      <c r="K333" s="13" t="s">
        <v>531</v>
      </c>
      <c r="L333" s="9" t="str">
        <f>VLOOKUP(K333,[1]中国省份_标准!$B$2:$F$35,4,FALSE)</f>
        <v>东部地区</v>
      </c>
      <c r="M333" s="9" t="str">
        <f>VLOOKUP(K333,[1]中国省份_标准!$B$2:$F$35,5,FALSE)</f>
        <v>华南地区</v>
      </c>
      <c r="N333" s="13" t="s">
        <v>2483</v>
      </c>
      <c r="O333" s="13" t="s">
        <v>2504</v>
      </c>
      <c r="P333" s="13" t="s">
        <v>6039</v>
      </c>
      <c r="Q333" s="13" t="s">
        <v>39</v>
      </c>
      <c r="R333" s="13" t="s">
        <v>6040</v>
      </c>
      <c r="S333" s="13" t="s">
        <v>6041</v>
      </c>
      <c r="T333" s="13" t="s">
        <v>48</v>
      </c>
      <c r="U333" s="13" t="s">
        <v>6035</v>
      </c>
      <c r="V333" s="13" t="s">
        <v>6042</v>
      </c>
      <c r="W333" s="13" t="s">
        <v>6043</v>
      </c>
      <c r="X333" s="13" t="s">
        <v>1130</v>
      </c>
      <c r="Y333" s="13" t="s">
        <v>78</v>
      </c>
      <c r="Z333" s="13" t="s">
        <v>6044</v>
      </c>
      <c r="AA333" s="13" t="s">
        <v>169</v>
      </c>
      <c r="AB333" s="13" t="s">
        <v>285</v>
      </c>
      <c r="AC333" s="13" t="s">
        <v>39</v>
      </c>
      <c r="AD333" s="13" t="s">
        <v>39</v>
      </c>
      <c r="AE333" s="13" t="s">
        <v>109</v>
      </c>
      <c r="AF333" s="13" t="s">
        <v>6045</v>
      </c>
      <c r="AG333" s="13" t="s">
        <v>39</v>
      </c>
      <c r="AH333" s="13" t="s">
        <v>39</v>
      </c>
      <c r="AI333" s="13" t="s">
        <v>6046</v>
      </c>
      <c r="AJ333" s="13" t="s">
        <v>6047</v>
      </c>
      <c r="AK333" s="13" t="s">
        <v>2516</v>
      </c>
      <c r="AL333" s="13" t="s">
        <v>88</v>
      </c>
    </row>
    <row r="334" spans="1:38" x14ac:dyDescent="0.4">
      <c r="A334" s="11" t="s">
        <v>6048</v>
      </c>
      <c r="B334" s="14" t="s">
        <v>6049</v>
      </c>
      <c r="C334" s="15" t="s">
        <v>39</v>
      </c>
      <c r="D334" s="15" t="s">
        <v>92</v>
      </c>
      <c r="E334" s="15" t="s">
        <v>6050</v>
      </c>
      <c r="F334" s="15" t="s">
        <v>154</v>
      </c>
      <c r="G334" s="15" t="s">
        <v>154</v>
      </c>
      <c r="H334" s="15" t="s">
        <v>6051</v>
      </c>
      <c r="I334" s="9">
        <f t="shared" ca="1" si="5"/>
        <v>12</v>
      </c>
      <c r="J334" s="15" t="s">
        <v>6052</v>
      </c>
      <c r="K334" s="15" t="s">
        <v>425</v>
      </c>
      <c r="L334" s="9" t="str">
        <f>VLOOKUP(K334,[1]中国省份_标准!$B$2:$F$35,4,FALSE)</f>
        <v>东部地区</v>
      </c>
      <c r="M334" s="9" t="str">
        <f>VLOOKUP(K334,[1]中国省份_标准!$B$2:$F$35,5,FALSE)</f>
        <v>华东地区</v>
      </c>
      <c r="N334" s="15" t="s">
        <v>426</v>
      </c>
      <c r="O334" s="15" t="s">
        <v>427</v>
      </c>
      <c r="P334" s="15" t="s">
        <v>6053</v>
      </c>
      <c r="Q334" s="15" t="s">
        <v>6054</v>
      </c>
      <c r="R334" s="15" t="s">
        <v>5777</v>
      </c>
      <c r="S334" s="15" t="s">
        <v>6055</v>
      </c>
      <c r="T334" s="15" t="s">
        <v>281</v>
      </c>
      <c r="U334" s="15" t="s">
        <v>6049</v>
      </c>
      <c r="V334" s="15" t="s">
        <v>6056</v>
      </c>
      <c r="W334" s="15" t="s">
        <v>6057</v>
      </c>
      <c r="X334" s="15" t="s">
        <v>77</v>
      </c>
      <c r="Y334" s="15" t="s">
        <v>78</v>
      </c>
      <c r="Z334" s="15" t="s">
        <v>6058</v>
      </c>
      <c r="AA334" s="15" t="s">
        <v>80</v>
      </c>
      <c r="AB334" s="15" t="s">
        <v>106</v>
      </c>
      <c r="AC334" s="15" t="s">
        <v>951</v>
      </c>
      <c r="AD334" s="15" t="s">
        <v>952</v>
      </c>
      <c r="AE334" s="15" t="s">
        <v>109</v>
      </c>
      <c r="AF334" s="15" t="s">
        <v>6059</v>
      </c>
      <c r="AG334" s="15" t="s">
        <v>39</v>
      </c>
      <c r="AH334" s="15" t="s">
        <v>39</v>
      </c>
      <c r="AI334" s="15" t="s">
        <v>6060</v>
      </c>
      <c r="AJ334" s="15" t="s">
        <v>6061</v>
      </c>
      <c r="AK334" s="15" t="s">
        <v>2191</v>
      </c>
      <c r="AL334" s="15" t="s">
        <v>88</v>
      </c>
    </row>
    <row r="335" spans="1:38" x14ac:dyDescent="0.4">
      <c r="A335" s="11" t="s">
        <v>6062</v>
      </c>
      <c r="B335" s="12" t="s">
        <v>6063</v>
      </c>
      <c r="C335" s="13" t="s">
        <v>39</v>
      </c>
      <c r="D335" s="13" t="s">
        <v>92</v>
      </c>
      <c r="E335" s="13" t="s">
        <v>6064</v>
      </c>
      <c r="F335" s="13" t="s">
        <v>6065</v>
      </c>
      <c r="G335" s="13" t="s">
        <v>6065</v>
      </c>
      <c r="H335" s="13" t="s">
        <v>6066</v>
      </c>
      <c r="I335" s="9">
        <f t="shared" ca="1" si="5"/>
        <v>31</v>
      </c>
      <c r="J335" s="13" t="s">
        <v>6067</v>
      </c>
      <c r="K335" s="13" t="s">
        <v>531</v>
      </c>
      <c r="L335" s="9" t="str">
        <f>VLOOKUP(K335,[1]中国省份_标准!$B$2:$F$35,4,FALSE)</f>
        <v>东部地区</v>
      </c>
      <c r="M335" s="9" t="str">
        <f>VLOOKUP(K335,[1]中国省份_标准!$B$2:$F$35,5,FALSE)</f>
        <v>华南地区</v>
      </c>
      <c r="N335" s="13" t="s">
        <v>2422</v>
      </c>
      <c r="O335" s="13" t="s">
        <v>6068</v>
      </c>
      <c r="P335" s="13" t="s">
        <v>6069</v>
      </c>
      <c r="Q335" s="13" t="s">
        <v>39</v>
      </c>
      <c r="R335" s="13" t="s">
        <v>6070</v>
      </c>
      <c r="S335" s="13" t="s">
        <v>39</v>
      </c>
      <c r="T335" s="13" t="s">
        <v>601</v>
      </c>
      <c r="U335" s="13" t="s">
        <v>6063</v>
      </c>
      <c r="V335" s="13" t="s">
        <v>6071</v>
      </c>
      <c r="W335" s="13" t="s">
        <v>6072</v>
      </c>
      <c r="X335" s="13" t="s">
        <v>6073</v>
      </c>
      <c r="Y335" s="13" t="s">
        <v>78</v>
      </c>
      <c r="Z335" s="13" t="s">
        <v>6074</v>
      </c>
      <c r="AA335" s="13" t="s">
        <v>169</v>
      </c>
      <c r="AB335" s="13" t="s">
        <v>285</v>
      </c>
      <c r="AC335" s="13" t="s">
        <v>286</v>
      </c>
      <c r="AD335" s="13" t="s">
        <v>39</v>
      </c>
      <c r="AE335" s="13" t="s">
        <v>262</v>
      </c>
      <c r="AF335" s="13" t="s">
        <v>6075</v>
      </c>
      <c r="AG335" s="13" t="s">
        <v>39</v>
      </c>
      <c r="AH335" s="13" t="s">
        <v>39</v>
      </c>
      <c r="AI335" s="13" t="s">
        <v>6076</v>
      </c>
      <c r="AJ335" s="13" t="s">
        <v>6077</v>
      </c>
      <c r="AK335" s="13" t="s">
        <v>6078</v>
      </c>
      <c r="AL335" s="13" t="s">
        <v>88</v>
      </c>
    </row>
    <row r="336" spans="1:38" x14ac:dyDescent="0.4">
      <c r="A336" s="11" t="s">
        <v>6079</v>
      </c>
      <c r="B336" s="14" t="s">
        <v>6080</v>
      </c>
      <c r="C336" s="15" t="s">
        <v>39</v>
      </c>
      <c r="D336" s="15" t="s">
        <v>1748</v>
      </c>
      <c r="E336" s="15" t="s">
        <v>6081</v>
      </c>
      <c r="F336" s="15" t="s">
        <v>42</v>
      </c>
      <c r="G336" s="15" t="s">
        <v>39</v>
      </c>
      <c r="H336" s="15" t="s">
        <v>6082</v>
      </c>
      <c r="I336" s="9">
        <f t="shared" ca="1" si="5"/>
        <v>9</v>
      </c>
      <c r="J336" s="15" t="s">
        <v>6083</v>
      </c>
      <c r="K336" s="15" t="s">
        <v>531</v>
      </c>
      <c r="L336" s="9" t="str">
        <f>VLOOKUP(K336,[1]中国省份_标准!$B$2:$F$35,4,FALSE)</f>
        <v>东部地区</v>
      </c>
      <c r="M336" s="9" t="str">
        <f>VLOOKUP(K336,[1]中国省份_标准!$B$2:$F$35,5,FALSE)</f>
        <v>华南地区</v>
      </c>
      <c r="N336" s="15" t="s">
        <v>532</v>
      </c>
      <c r="O336" s="15" t="s">
        <v>2544</v>
      </c>
      <c r="P336" s="15" t="s">
        <v>6084</v>
      </c>
      <c r="Q336" s="15" t="s">
        <v>6085</v>
      </c>
      <c r="R336" s="15" t="s">
        <v>6086</v>
      </c>
      <c r="S336" s="15" t="s">
        <v>6087</v>
      </c>
      <c r="T336" s="15" t="s">
        <v>281</v>
      </c>
      <c r="U336" s="15" t="s">
        <v>6080</v>
      </c>
      <c r="V336" s="15" t="s">
        <v>6088</v>
      </c>
      <c r="W336" s="15" t="s">
        <v>6089</v>
      </c>
      <c r="X336" s="15" t="s">
        <v>791</v>
      </c>
      <c r="Y336" s="15" t="s">
        <v>78</v>
      </c>
      <c r="Z336" s="15" t="s">
        <v>6090</v>
      </c>
      <c r="AA336" s="15" t="s">
        <v>169</v>
      </c>
      <c r="AB336" s="15" t="s">
        <v>1264</v>
      </c>
      <c r="AC336" s="15" t="s">
        <v>1457</v>
      </c>
      <c r="AD336" s="15" t="s">
        <v>1557</v>
      </c>
      <c r="AE336" s="15" t="s">
        <v>55</v>
      </c>
      <c r="AF336" s="15" t="s">
        <v>6091</v>
      </c>
      <c r="AG336" s="15" t="s">
        <v>39</v>
      </c>
      <c r="AH336" s="15" t="s">
        <v>39</v>
      </c>
      <c r="AI336" s="15" t="s">
        <v>6092</v>
      </c>
      <c r="AJ336" s="15" t="s">
        <v>6093</v>
      </c>
      <c r="AK336" s="15" t="s">
        <v>2554</v>
      </c>
      <c r="AL336" s="15" t="s">
        <v>88</v>
      </c>
    </row>
    <row r="337" spans="1:38" x14ac:dyDescent="0.4">
      <c r="A337" s="11" t="s">
        <v>6094</v>
      </c>
      <c r="B337" s="12" t="s">
        <v>6095</v>
      </c>
      <c r="C337" s="13" t="s">
        <v>39</v>
      </c>
      <c r="D337" s="13" t="s">
        <v>63</v>
      </c>
      <c r="E337" s="13" t="s">
        <v>6096</v>
      </c>
      <c r="F337" s="13" t="s">
        <v>154</v>
      </c>
      <c r="G337" s="13" t="s">
        <v>39</v>
      </c>
      <c r="H337" s="13" t="s">
        <v>6097</v>
      </c>
      <c r="I337" s="9">
        <f t="shared" ca="1" si="5"/>
        <v>6</v>
      </c>
      <c r="J337" s="13" t="s">
        <v>6098</v>
      </c>
      <c r="K337" s="13" t="s">
        <v>531</v>
      </c>
      <c r="L337" s="9" t="str">
        <f>VLOOKUP(K337,[1]中国省份_标准!$B$2:$F$35,4,FALSE)</f>
        <v>东部地区</v>
      </c>
      <c r="M337" s="9" t="str">
        <f>VLOOKUP(K337,[1]中国省份_标准!$B$2:$F$35,5,FALSE)</f>
        <v>华南地区</v>
      </c>
      <c r="N337" s="13" t="s">
        <v>532</v>
      </c>
      <c r="O337" s="13" t="s">
        <v>2544</v>
      </c>
      <c r="P337" s="13" t="s">
        <v>6099</v>
      </c>
      <c r="Q337" s="13" t="s">
        <v>39</v>
      </c>
      <c r="R337" s="13" t="s">
        <v>6100</v>
      </c>
      <c r="S337" s="13" t="s">
        <v>39</v>
      </c>
      <c r="T337" s="13" t="s">
        <v>281</v>
      </c>
      <c r="U337" s="13" t="s">
        <v>6095</v>
      </c>
      <c r="V337" s="13" t="s">
        <v>39</v>
      </c>
      <c r="W337" s="13" t="s">
        <v>6101</v>
      </c>
      <c r="X337" s="13" t="s">
        <v>690</v>
      </c>
      <c r="Y337" s="13" t="s">
        <v>78</v>
      </c>
      <c r="Z337" s="13" t="s">
        <v>6102</v>
      </c>
      <c r="AA337" s="13" t="s">
        <v>80</v>
      </c>
      <c r="AB337" s="13" t="s">
        <v>106</v>
      </c>
      <c r="AC337" s="13" t="s">
        <v>388</v>
      </c>
      <c r="AD337" s="13" t="s">
        <v>434</v>
      </c>
      <c r="AE337" s="13" t="s">
        <v>109</v>
      </c>
      <c r="AF337" s="13" t="s">
        <v>6103</v>
      </c>
      <c r="AG337" s="13" t="s">
        <v>39</v>
      </c>
      <c r="AH337" s="13" t="s">
        <v>39</v>
      </c>
      <c r="AI337" s="13" t="s">
        <v>6104</v>
      </c>
      <c r="AJ337" s="13" t="s">
        <v>6105</v>
      </c>
      <c r="AK337" s="13" t="s">
        <v>2554</v>
      </c>
      <c r="AL337" s="13" t="s">
        <v>88</v>
      </c>
    </row>
    <row r="338" spans="1:38" x14ac:dyDescent="0.4">
      <c r="A338" s="11" t="s">
        <v>6106</v>
      </c>
      <c r="B338" s="14" t="s">
        <v>6107</v>
      </c>
      <c r="C338" s="15" t="s">
        <v>39</v>
      </c>
      <c r="D338" s="15" t="s">
        <v>63</v>
      </c>
      <c r="E338" s="15" t="s">
        <v>6108</v>
      </c>
      <c r="F338" s="15" t="s">
        <v>154</v>
      </c>
      <c r="G338" s="15" t="s">
        <v>154</v>
      </c>
      <c r="H338" s="15" t="s">
        <v>6109</v>
      </c>
      <c r="I338" s="9">
        <f t="shared" ca="1" si="5"/>
        <v>16</v>
      </c>
      <c r="J338" s="15" t="s">
        <v>6110</v>
      </c>
      <c r="K338" s="15" t="s">
        <v>531</v>
      </c>
      <c r="L338" s="9" t="str">
        <f>VLOOKUP(K338,[1]中国省份_标准!$B$2:$F$35,4,FALSE)</f>
        <v>东部地区</v>
      </c>
      <c r="M338" s="9" t="str">
        <f>VLOOKUP(K338,[1]中国省份_标准!$B$2:$F$35,5,FALSE)</f>
        <v>华南地区</v>
      </c>
      <c r="N338" s="15" t="s">
        <v>1698</v>
      </c>
      <c r="O338" s="15" t="s">
        <v>39</v>
      </c>
      <c r="P338" s="15" t="s">
        <v>6111</v>
      </c>
      <c r="Q338" s="15" t="s">
        <v>6112</v>
      </c>
      <c r="R338" s="15" t="s">
        <v>6113</v>
      </c>
      <c r="S338" s="15" t="s">
        <v>6114</v>
      </c>
      <c r="T338" s="15" t="s">
        <v>48</v>
      </c>
      <c r="U338" s="15" t="s">
        <v>6107</v>
      </c>
      <c r="V338" s="15" t="s">
        <v>6115</v>
      </c>
      <c r="W338" s="15" t="s">
        <v>6116</v>
      </c>
      <c r="X338" s="15" t="s">
        <v>1209</v>
      </c>
      <c r="Y338" s="15" t="s">
        <v>78</v>
      </c>
      <c r="Z338" s="15" t="s">
        <v>6117</v>
      </c>
      <c r="AA338" s="15" t="s">
        <v>169</v>
      </c>
      <c r="AB338" s="15" t="s">
        <v>1264</v>
      </c>
      <c r="AC338" s="15" t="s">
        <v>1457</v>
      </c>
      <c r="AD338" s="15" t="s">
        <v>1557</v>
      </c>
      <c r="AE338" s="15" t="s">
        <v>109</v>
      </c>
      <c r="AF338" s="15" t="s">
        <v>6118</v>
      </c>
      <c r="AG338" s="15" t="s">
        <v>39</v>
      </c>
      <c r="AH338" s="15" t="s">
        <v>39</v>
      </c>
      <c r="AI338" s="15" t="s">
        <v>6119</v>
      </c>
      <c r="AJ338" s="15" t="s">
        <v>6120</v>
      </c>
      <c r="AK338" s="15" t="s">
        <v>1711</v>
      </c>
      <c r="AL338" s="15" t="s">
        <v>88</v>
      </c>
    </row>
    <row r="339" spans="1:38" x14ac:dyDescent="0.4">
      <c r="A339" s="11" t="s">
        <v>6121</v>
      </c>
      <c r="B339" s="12" t="s">
        <v>6122</v>
      </c>
      <c r="C339" s="13" t="s">
        <v>39</v>
      </c>
      <c r="D339" s="13" t="s">
        <v>92</v>
      </c>
      <c r="E339" s="13" t="s">
        <v>6123</v>
      </c>
      <c r="F339" s="13" t="s">
        <v>6124</v>
      </c>
      <c r="G339" s="13" t="s">
        <v>6124</v>
      </c>
      <c r="H339" s="13" t="s">
        <v>6125</v>
      </c>
      <c r="I339" s="9">
        <f t="shared" ca="1" si="5"/>
        <v>29</v>
      </c>
      <c r="J339" s="13" t="s">
        <v>6126</v>
      </c>
      <c r="K339" s="13" t="s">
        <v>531</v>
      </c>
      <c r="L339" s="9" t="str">
        <f>VLOOKUP(K339,[1]中国省份_标准!$B$2:$F$35,4,FALSE)</f>
        <v>东部地区</v>
      </c>
      <c r="M339" s="9" t="str">
        <f>VLOOKUP(K339,[1]中国省份_标准!$B$2:$F$35,5,FALSE)</f>
        <v>华南地区</v>
      </c>
      <c r="N339" s="13" t="s">
        <v>2560</v>
      </c>
      <c r="O339" s="13" t="s">
        <v>39</v>
      </c>
      <c r="P339" s="13" t="s">
        <v>6127</v>
      </c>
      <c r="Q339" s="13" t="s">
        <v>6128</v>
      </c>
      <c r="R339" s="13" t="s">
        <v>6129</v>
      </c>
      <c r="S339" s="13" t="s">
        <v>39</v>
      </c>
      <c r="T339" s="13" t="s">
        <v>2932</v>
      </c>
      <c r="U339" s="13" t="s">
        <v>6122</v>
      </c>
      <c r="V339" s="13" t="s">
        <v>6130</v>
      </c>
      <c r="W339" s="13" t="s">
        <v>6131</v>
      </c>
      <c r="X339" s="13" t="s">
        <v>6132</v>
      </c>
      <c r="Y339" s="13" t="s">
        <v>78</v>
      </c>
      <c r="Z339" s="13" t="s">
        <v>6133</v>
      </c>
      <c r="AA339" s="13" t="s">
        <v>169</v>
      </c>
      <c r="AB339" s="13" t="s">
        <v>285</v>
      </c>
      <c r="AC339" s="13" t="s">
        <v>6134</v>
      </c>
      <c r="AD339" s="13" t="s">
        <v>6135</v>
      </c>
      <c r="AE339" s="13" t="s">
        <v>239</v>
      </c>
      <c r="AF339" s="13" t="s">
        <v>6136</v>
      </c>
      <c r="AG339" s="13" t="s">
        <v>6137</v>
      </c>
      <c r="AH339" s="13" t="s">
        <v>39</v>
      </c>
      <c r="AI339" s="13" t="s">
        <v>6138</v>
      </c>
      <c r="AJ339" s="13" t="s">
        <v>6139</v>
      </c>
      <c r="AK339" s="13" t="s">
        <v>2572</v>
      </c>
      <c r="AL339" s="13" t="s">
        <v>88</v>
      </c>
    </row>
    <row r="340" spans="1:38" x14ac:dyDescent="0.4">
      <c r="A340" s="11" t="s">
        <v>6140</v>
      </c>
      <c r="B340" s="14" t="s">
        <v>6141</v>
      </c>
      <c r="C340" s="15" t="s">
        <v>39</v>
      </c>
      <c r="D340" s="15" t="s">
        <v>6142</v>
      </c>
      <c r="E340" s="15" t="s">
        <v>6143</v>
      </c>
      <c r="F340" s="15" t="s">
        <v>154</v>
      </c>
      <c r="G340" s="15" t="s">
        <v>39</v>
      </c>
      <c r="H340" s="15" t="s">
        <v>6144</v>
      </c>
      <c r="I340" s="9">
        <f t="shared" ca="1" si="5"/>
        <v>4</v>
      </c>
      <c r="J340" s="15" t="s">
        <v>6145</v>
      </c>
      <c r="K340" s="15" t="s">
        <v>531</v>
      </c>
      <c r="L340" s="9" t="str">
        <f>VLOOKUP(K340,[1]中国省份_标准!$B$2:$F$35,4,FALSE)</f>
        <v>东部地区</v>
      </c>
      <c r="M340" s="9" t="str">
        <f>VLOOKUP(K340,[1]中国省份_标准!$B$2:$F$35,5,FALSE)</f>
        <v>华南地区</v>
      </c>
      <c r="N340" s="15" t="s">
        <v>532</v>
      </c>
      <c r="O340" s="15" t="s">
        <v>2544</v>
      </c>
      <c r="P340" s="15" t="s">
        <v>6146</v>
      </c>
      <c r="Q340" s="15" t="s">
        <v>39</v>
      </c>
      <c r="R340" s="15" t="s">
        <v>6147</v>
      </c>
      <c r="S340" s="15" t="s">
        <v>39</v>
      </c>
      <c r="T340" s="15" t="s">
        <v>281</v>
      </c>
      <c r="U340" s="15" t="s">
        <v>6141</v>
      </c>
      <c r="V340" s="15" t="s">
        <v>6148</v>
      </c>
      <c r="W340" s="15" t="s">
        <v>6149</v>
      </c>
      <c r="X340" s="15" t="s">
        <v>540</v>
      </c>
      <c r="Y340" s="15" t="s">
        <v>78</v>
      </c>
      <c r="Z340" s="15" t="s">
        <v>6150</v>
      </c>
      <c r="AA340" s="15" t="s">
        <v>80</v>
      </c>
      <c r="AB340" s="15" t="s">
        <v>81</v>
      </c>
      <c r="AC340" s="15" t="s">
        <v>3097</v>
      </c>
      <c r="AD340" s="15" t="s">
        <v>3098</v>
      </c>
      <c r="AE340" s="15" t="s">
        <v>55</v>
      </c>
      <c r="AF340" s="15" t="s">
        <v>6151</v>
      </c>
      <c r="AG340" s="15" t="s">
        <v>39</v>
      </c>
      <c r="AH340" s="15" t="s">
        <v>39</v>
      </c>
      <c r="AI340" s="15" t="s">
        <v>6152</v>
      </c>
      <c r="AJ340" s="15" t="s">
        <v>6153</v>
      </c>
      <c r="AK340" s="15" t="s">
        <v>2554</v>
      </c>
      <c r="AL340" s="15" t="s">
        <v>88</v>
      </c>
    </row>
    <row r="341" spans="1:38" x14ac:dyDescent="0.4">
      <c r="A341" s="11" t="s">
        <v>6154</v>
      </c>
      <c r="B341" s="12" t="s">
        <v>6155</v>
      </c>
      <c r="C341" s="13" t="s">
        <v>39</v>
      </c>
      <c r="D341" s="13" t="s">
        <v>92</v>
      </c>
      <c r="E341" s="13" t="s">
        <v>6156</v>
      </c>
      <c r="F341" s="13" t="s">
        <v>6157</v>
      </c>
      <c r="G341" s="13" t="s">
        <v>6157</v>
      </c>
      <c r="H341" s="13" t="s">
        <v>6158</v>
      </c>
      <c r="I341" s="9">
        <f t="shared" ca="1" si="5"/>
        <v>10</v>
      </c>
      <c r="J341" s="13" t="s">
        <v>6159</v>
      </c>
      <c r="K341" s="13" t="s">
        <v>138</v>
      </c>
      <c r="L341" s="9" t="str">
        <f>VLOOKUP(K341,[1]中国省份_标准!$B$2:$F$35,4,FALSE)</f>
        <v>西部地区</v>
      </c>
      <c r="M341" s="9" t="str">
        <f>VLOOKUP(K341,[1]中国省份_标准!$B$2:$F$35,5,FALSE)</f>
        <v>西南地区</v>
      </c>
      <c r="N341" s="13" t="s">
        <v>3110</v>
      </c>
      <c r="O341" s="13" t="s">
        <v>6160</v>
      </c>
      <c r="P341" s="13" t="s">
        <v>6161</v>
      </c>
      <c r="Q341" s="13" t="s">
        <v>6162</v>
      </c>
      <c r="R341" s="13" t="s">
        <v>6163</v>
      </c>
      <c r="S341" s="13" t="s">
        <v>39</v>
      </c>
      <c r="T341" s="13" t="s">
        <v>184</v>
      </c>
      <c r="U341" s="13" t="s">
        <v>6155</v>
      </c>
      <c r="V341" s="13" t="s">
        <v>6164</v>
      </c>
      <c r="W341" s="13" t="s">
        <v>6165</v>
      </c>
      <c r="X341" s="13" t="s">
        <v>6166</v>
      </c>
      <c r="Y341" s="13" t="s">
        <v>78</v>
      </c>
      <c r="Z341" s="13" t="s">
        <v>6167</v>
      </c>
      <c r="AA341" s="13" t="s">
        <v>309</v>
      </c>
      <c r="AB341" s="13" t="s">
        <v>310</v>
      </c>
      <c r="AC341" s="13" t="s">
        <v>311</v>
      </c>
      <c r="AD341" s="13" t="s">
        <v>312</v>
      </c>
      <c r="AE341" s="13" t="s">
        <v>262</v>
      </c>
      <c r="AF341" s="13" t="s">
        <v>6168</v>
      </c>
      <c r="AG341" s="13" t="s">
        <v>39</v>
      </c>
      <c r="AH341" s="13" t="s">
        <v>39</v>
      </c>
      <c r="AI341" s="13" t="s">
        <v>6169</v>
      </c>
      <c r="AJ341" s="13" t="s">
        <v>6170</v>
      </c>
      <c r="AK341" s="13" t="s">
        <v>6171</v>
      </c>
      <c r="AL341" s="13" t="s">
        <v>88</v>
      </c>
    </row>
    <row r="342" spans="1:38" x14ac:dyDescent="0.4">
      <c r="A342" s="11" t="s">
        <v>6172</v>
      </c>
      <c r="B342" s="14" t="s">
        <v>6173</v>
      </c>
      <c r="C342" s="15" t="s">
        <v>39</v>
      </c>
      <c r="D342" s="15" t="s">
        <v>92</v>
      </c>
      <c r="E342" s="15" t="s">
        <v>6174</v>
      </c>
      <c r="F342" s="15" t="s">
        <v>271</v>
      </c>
      <c r="G342" s="15" t="s">
        <v>271</v>
      </c>
      <c r="H342" s="15" t="s">
        <v>3337</v>
      </c>
      <c r="I342" s="9">
        <f t="shared" ca="1" si="5"/>
        <v>8</v>
      </c>
      <c r="J342" s="15" t="s">
        <v>6175</v>
      </c>
      <c r="K342" s="15" t="s">
        <v>594</v>
      </c>
      <c r="L342" s="9" t="str">
        <f>VLOOKUP(K342,[1]中国省份_标准!$B$2:$F$35,4,FALSE)</f>
        <v>中部地区</v>
      </c>
      <c r="M342" s="9" t="str">
        <f>VLOOKUP(K342,[1]中国省份_标准!$B$2:$F$35,5,FALSE)</f>
        <v>华东地区</v>
      </c>
      <c r="N342" s="15" t="s">
        <v>1578</v>
      </c>
      <c r="O342" s="15" t="s">
        <v>4360</v>
      </c>
      <c r="P342" s="15" t="s">
        <v>6176</v>
      </c>
      <c r="Q342" s="15" t="s">
        <v>6177</v>
      </c>
      <c r="R342" s="15" t="s">
        <v>6178</v>
      </c>
      <c r="S342" s="15" t="s">
        <v>6179</v>
      </c>
      <c r="T342" s="15" t="s">
        <v>184</v>
      </c>
      <c r="U342" s="15" t="s">
        <v>6173</v>
      </c>
      <c r="V342" s="15" t="s">
        <v>6180</v>
      </c>
      <c r="W342" s="15" t="s">
        <v>6181</v>
      </c>
      <c r="X342" s="15" t="s">
        <v>77</v>
      </c>
      <c r="Y342" s="15" t="s">
        <v>78</v>
      </c>
      <c r="Z342" s="15" t="s">
        <v>3347</v>
      </c>
      <c r="AA342" s="15" t="s">
        <v>80</v>
      </c>
      <c r="AB342" s="15" t="s">
        <v>106</v>
      </c>
      <c r="AC342" s="15" t="s">
        <v>559</v>
      </c>
      <c r="AD342" s="15" t="s">
        <v>560</v>
      </c>
      <c r="AE342" s="15" t="s">
        <v>262</v>
      </c>
      <c r="AF342" s="15" t="s">
        <v>6182</v>
      </c>
      <c r="AG342" s="15" t="s">
        <v>39</v>
      </c>
      <c r="AH342" s="15" t="s">
        <v>39</v>
      </c>
      <c r="AI342" s="15" t="s">
        <v>6183</v>
      </c>
      <c r="AJ342" s="15" t="s">
        <v>6184</v>
      </c>
      <c r="AK342" s="15" t="s">
        <v>6185</v>
      </c>
      <c r="AL342" s="15" t="s">
        <v>88</v>
      </c>
    </row>
    <row r="343" spans="1:38" x14ac:dyDescent="0.4">
      <c r="A343" s="11" t="s">
        <v>6186</v>
      </c>
      <c r="B343" s="12" t="s">
        <v>6187</v>
      </c>
      <c r="C343" s="13" t="s">
        <v>39</v>
      </c>
      <c r="D343" s="13" t="s">
        <v>6188</v>
      </c>
      <c r="E343" s="13" t="s">
        <v>6189</v>
      </c>
      <c r="F343" s="13" t="s">
        <v>442</v>
      </c>
      <c r="G343" s="13" t="s">
        <v>442</v>
      </c>
      <c r="H343" s="13" t="s">
        <v>6190</v>
      </c>
      <c r="I343" s="9">
        <f t="shared" ca="1" si="5"/>
        <v>12</v>
      </c>
      <c r="J343" s="13" t="s">
        <v>6191</v>
      </c>
      <c r="K343" s="13" t="s">
        <v>531</v>
      </c>
      <c r="L343" s="9" t="str">
        <f>VLOOKUP(K343,[1]中国省份_标准!$B$2:$F$35,4,FALSE)</f>
        <v>东部地区</v>
      </c>
      <c r="M343" s="9" t="str">
        <f>VLOOKUP(K343,[1]中国省份_标准!$B$2:$F$35,5,FALSE)</f>
        <v>华南地区</v>
      </c>
      <c r="N343" s="13" t="s">
        <v>2560</v>
      </c>
      <c r="O343" s="13" t="s">
        <v>39</v>
      </c>
      <c r="P343" s="13" t="s">
        <v>6192</v>
      </c>
      <c r="Q343" s="13" t="s">
        <v>6193</v>
      </c>
      <c r="R343" s="13" t="s">
        <v>6194</v>
      </c>
      <c r="S343" s="13" t="s">
        <v>39</v>
      </c>
      <c r="T343" s="13" t="s">
        <v>452</v>
      </c>
      <c r="U343" s="13" t="s">
        <v>6187</v>
      </c>
      <c r="V343" s="13" t="s">
        <v>6195</v>
      </c>
      <c r="W343" s="13" t="s">
        <v>6196</v>
      </c>
      <c r="X343" s="13" t="s">
        <v>1777</v>
      </c>
      <c r="Y343" s="13" t="s">
        <v>283</v>
      </c>
      <c r="Z343" s="13" t="s">
        <v>6197</v>
      </c>
      <c r="AA343" s="13" t="s">
        <v>169</v>
      </c>
      <c r="AB343" s="13" t="s">
        <v>1264</v>
      </c>
      <c r="AC343" s="13" t="s">
        <v>1265</v>
      </c>
      <c r="AD343" s="13" t="s">
        <v>1265</v>
      </c>
      <c r="AE343" s="13" t="s">
        <v>55</v>
      </c>
      <c r="AF343" s="13" t="s">
        <v>6198</v>
      </c>
      <c r="AG343" s="13" t="s">
        <v>39</v>
      </c>
      <c r="AH343" s="13" t="s">
        <v>39</v>
      </c>
      <c r="AI343" s="13" t="s">
        <v>6199</v>
      </c>
      <c r="AJ343" s="13" t="s">
        <v>6200</v>
      </c>
      <c r="AK343" s="13" t="s">
        <v>2572</v>
      </c>
      <c r="AL343" s="13" t="s">
        <v>88</v>
      </c>
    </row>
    <row r="344" spans="1:38" x14ac:dyDescent="0.4">
      <c r="A344" s="11" t="s">
        <v>6201</v>
      </c>
      <c r="B344" s="14" t="s">
        <v>6202</v>
      </c>
      <c r="C344" s="15" t="s">
        <v>39</v>
      </c>
      <c r="D344" s="15" t="s">
        <v>63</v>
      </c>
      <c r="E344" s="15" t="s">
        <v>6203</v>
      </c>
      <c r="F344" s="15" t="s">
        <v>6204</v>
      </c>
      <c r="G344" s="15" t="s">
        <v>6204</v>
      </c>
      <c r="H344" s="15" t="s">
        <v>6205</v>
      </c>
      <c r="I344" s="9">
        <f t="shared" ca="1" si="5"/>
        <v>11</v>
      </c>
      <c r="J344" s="15" t="s">
        <v>6206</v>
      </c>
      <c r="K344" s="15" t="s">
        <v>531</v>
      </c>
      <c r="L344" s="9" t="str">
        <f>VLOOKUP(K344,[1]中国省份_标准!$B$2:$F$35,4,FALSE)</f>
        <v>东部地区</v>
      </c>
      <c r="M344" s="9" t="str">
        <f>VLOOKUP(K344,[1]中国省份_标准!$B$2:$F$35,5,FALSE)</f>
        <v>华南地区</v>
      </c>
      <c r="N344" s="15" t="s">
        <v>6207</v>
      </c>
      <c r="O344" s="15" t="s">
        <v>6208</v>
      </c>
      <c r="P344" s="15" t="s">
        <v>6209</v>
      </c>
      <c r="Q344" s="15" t="s">
        <v>6210</v>
      </c>
      <c r="R344" s="15" t="s">
        <v>6211</v>
      </c>
      <c r="S344" s="15" t="s">
        <v>6212</v>
      </c>
      <c r="T344" s="15" t="s">
        <v>209</v>
      </c>
      <c r="U344" s="15" t="s">
        <v>6202</v>
      </c>
      <c r="V344" s="15" t="s">
        <v>6213</v>
      </c>
      <c r="W344" s="15" t="s">
        <v>6214</v>
      </c>
      <c r="X344" s="15" t="s">
        <v>6215</v>
      </c>
      <c r="Y344" s="15" t="s">
        <v>78</v>
      </c>
      <c r="Z344" s="15" t="s">
        <v>6216</v>
      </c>
      <c r="AA344" s="15" t="s">
        <v>309</v>
      </c>
      <c r="AB344" s="15" t="s">
        <v>310</v>
      </c>
      <c r="AC344" s="15" t="s">
        <v>311</v>
      </c>
      <c r="AD344" s="15" t="s">
        <v>39</v>
      </c>
      <c r="AE344" s="15" t="s">
        <v>262</v>
      </c>
      <c r="AF344" s="15" t="s">
        <v>6217</v>
      </c>
      <c r="AG344" s="15" t="s">
        <v>39</v>
      </c>
      <c r="AH344" s="15" t="s">
        <v>39</v>
      </c>
      <c r="AI344" s="15" t="s">
        <v>6218</v>
      </c>
      <c r="AJ344" s="15" t="s">
        <v>6219</v>
      </c>
      <c r="AK344" s="15" t="s">
        <v>6220</v>
      </c>
      <c r="AL344" s="15" t="s">
        <v>88</v>
      </c>
    </row>
    <row r="345" spans="1:38" x14ac:dyDescent="0.4">
      <c r="A345" s="11" t="s">
        <v>6221</v>
      </c>
      <c r="B345" s="12" t="s">
        <v>6222</v>
      </c>
      <c r="C345" s="13" t="s">
        <v>39</v>
      </c>
      <c r="D345" s="13" t="s">
        <v>6223</v>
      </c>
      <c r="E345" s="13" t="s">
        <v>6224</v>
      </c>
      <c r="F345" s="13" t="s">
        <v>640</v>
      </c>
      <c r="G345" s="13" t="s">
        <v>39</v>
      </c>
      <c r="H345" s="13" t="s">
        <v>6225</v>
      </c>
      <c r="I345" s="9">
        <f t="shared" ca="1" si="5"/>
        <v>4</v>
      </c>
      <c r="J345" s="13" t="s">
        <v>6226</v>
      </c>
      <c r="K345" s="13" t="s">
        <v>340</v>
      </c>
      <c r="L345" s="9" t="str">
        <f>VLOOKUP(K345,[1]中国省份_标准!$B$2:$F$35,4,FALSE)</f>
        <v>东部地区</v>
      </c>
      <c r="M345" s="9" t="str">
        <f>VLOOKUP(K345,[1]中国省份_标准!$B$2:$F$35,5,FALSE)</f>
        <v>华东地区</v>
      </c>
      <c r="N345" s="13" t="s">
        <v>5879</v>
      </c>
      <c r="O345" s="13" t="s">
        <v>6227</v>
      </c>
      <c r="P345" s="13" t="s">
        <v>6228</v>
      </c>
      <c r="Q345" s="13" t="s">
        <v>6229</v>
      </c>
      <c r="R345" s="13" t="s">
        <v>6230</v>
      </c>
      <c r="S345" s="13" t="s">
        <v>39</v>
      </c>
      <c r="T345" s="13" t="s">
        <v>48</v>
      </c>
      <c r="U345" s="13" t="s">
        <v>6222</v>
      </c>
      <c r="V345" s="13" t="s">
        <v>6231</v>
      </c>
      <c r="W345" s="13" t="s">
        <v>6232</v>
      </c>
      <c r="X345" s="13" t="s">
        <v>690</v>
      </c>
      <c r="Y345" s="13" t="s">
        <v>283</v>
      </c>
      <c r="Z345" s="13" t="s">
        <v>6233</v>
      </c>
      <c r="AA345" s="13" t="s">
        <v>80</v>
      </c>
      <c r="AB345" s="13" t="s">
        <v>106</v>
      </c>
      <c r="AC345" s="13" t="s">
        <v>388</v>
      </c>
      <c r="AD345" s="13" t="s">
        <v>434</v>
      </c>
      <c r="AE345" s="13" t="s">
        <v>109</v>
      </c>
      <c r="AF345" s="13" t="s">
        <v>6234</v>
      </c>
      <c r="AG345" s="13" t="s">
        <v>39</v>
      </c>
      <c r="AH345" s="13" t="s">
        <v>39</v>
      </c>
      <c r="AI345" s="13" t="s">
        <v>6235</v>
      </c>
      <c r="AJ345" s="13" t="s">
        <v>6236</v>
      </c>
      <c r="AK345" s="13" t="s">
        <v>6237</v>
      </c>
      <c r="AL345" s="13" t="s">
        <v>88</v>
      </c>
    </row>
    <row r="346" spans="1:38" x14ac:dyDescent="0.4">
      <c r="A346" s="11" t="s">
        <v>6238</v>
      </c>
      <c r="B346" s="14" t="s">
        <v>6239</v>
      </c>
      <c r="C346" s="15" t="s">
        <v>39</v>
      </c>
      <c r="D346" s="15" t="s">
        <v>6240</v>
      </c>
      <c r="E346" s="15" t="s">
        <v>6241</v>
      </c>
      <c r="F346" s="15" t="s">
        <v>154</v>
      </c>
      <c r="G346" s="15" t="s">
        <v>154</v>
      </c>
      <c r="H346" s="15" t="s">
        <v>6242</v>
      </c>
      <c r="I346" s="9">
        <f t="shared" ca="1" si="5"/>
        <v>7</v>
      </c>
      <c r="J346" s="15" t="s">
        <v>6243</v>
      </c>
      <c r="K346" s="15" t="s">
        <v>531</v>
      </c>
      <c r="L346" s="9" t="str">
        <f>VLOOKUP(K346,[1]中国省份_标准!$B$2:$F$35,4,FALSE)</f>
        <v>东部地区</v>
      </c>
      <c r="M346" s="9" t="str">
        <f>VLOOKUP(K346,[1]中国省份_标准!$B$2:$F$35,5,FALSE)</f>
        <v>华南地区</v>
      </c>
      <c r="N346" s="15" t="s">
        <v>532</v>
      </c>
      <c r="O346" s="15" t="s">
        <v>2544</v>
      </c>
      <c r="P346" s="15" t="s">
        <v>6244</v>
      </c>
      <c r="Q346" s="15" t="s">
        <v>39</v>
      </c>
      <c r="R346" s="15" t="s">
        <v>6245</v>
      </c>
      <c r="S346" s="15" t="s">
        <v>39</v>
      </c>
      <c r="T346" s="15" t="s">
        <v>48</v>
      </c>
      <c r="U346" s="15" t="s">
        <v>6239</v>
      </c>
      <c r="V346" s="15" t="s">
        <v>39</v>
      </c>
      <c r="W346" s="15" t="s">
        <v>6246</v>
      </c>
      <c r="X346" s="15" t="s">
        <v>540</v>
      </c>
      <c r="Y346" s="15" t="s">
        <v>283</v>
      </c>
      <c r="Z346" s="15" t="s">
        <v>6247</v>
      </c>
      <c r="AA346" s="15" t="s">
        <v>80</v>
      </c>
      <c r="AB346" s="15" t="s">
        <v>106</v>
      </c>
      <c r="AC346" s="15" t="s">
        <v>388</v>
      </c>
      <c r="AD346" s="15" t="s">
        <v>434</v>
      </c>
      <c r="AE346" s="15" t="s">
        <v>109</v>
      </c>
      <c r="AF346" s="15" t="s">
        <v>6248</v>
      </c>
      <c r="AG346" s="15" t="s">
        <v>39</v>
      </c>
      <c r="AH346" s="15" t="s">
        <v>39</v>
      </c>
      <c r="AI346" s="15" t="s">
        <v>6249</v>
      </c>
      <c r="AJ346" s="15" t="s">
        <v>6250</v>
      </c>
      <c r="AK346" s="15" t="s">
        <v>2554</v>
      </c>
      <c r="AL346" s="15" t="s">
        <v>88</v>
      </c>
    </row>
    <row r="347" spans="1:38" x14ac:dyDescent="0.4">
      <c r="A347" s="11" t="s">
        <v>6251</v>
      </c>
      <c r="B347" s="12" t="s">
        <v>6252</v>
      </c>
      <c r="C347" s="13" t="s">
        <v>39</v>
      </c>
      <c r="D347" s="13" t="s">
        <v>6253</v>
      </c>
      <c r="E347" s="13" t="s">
        <v>6254</v>
      </c>
      <c r="F347" s="13" t="s">
        <v>271</v>
      </c>
      <c r="G347" s="13" t="s">
        <v>39</v>
      </c>
      <c r="H347" s="13" t="s">
        <v>6255</v>
      </c>
      <c r="I347" s="9">
        <f t="shared" ca="1" si="5"/>
        <v>5</v>
      </c>
      <c r="J347" s="13" t="s">
        <v>6256</v>
      </c>
      <c r="K347" s="13" t="s">
        <v>379</v>
      </c>
      <c r="L347" s="9" t="str">
        <f>VLOOKUP(K347,[1]中国省份_标准!$B$2:$F$35,4,FALSE)</f>
        <v>东部地区</v>
      </c>
      <c r="M347" s="9" t="str">
        <f>VLOOKUP(K347,[1]中国省份_标准!$B$2:$F$35,5,FALSE)</f>
        <v>华东地区</v>
      </c>
      <c r="N347" s="13" t="s">
        <v>1276</v>
      </c>
      <c r="O347" s="13" t="s">
        <v>1315</v>
      </c>
      <c r="P347" s="13" t="s">
        <v>6257</v>
      </c>
      <c r="Q347" s="13" t="s">
        <v>6258</v>
      </c>
      <c r="R347" s="13" t="s">
        <v>6259</v>
      </c>
      <c r="S347" s="13" t="s">
        <v>39</v>
      </c>
      <c r="T347" s="13" t="s">
        <v>281</v>
      </c>
      <c r="U347" s="13" t="s">
        <v>6252</v>
      </c>
      <c r="V347" s="13" t="s">
        <v>39</v>
      </c>
      <c r="W347" s="13" t="s">
        <v>6260</v>
      </c>
      <c r="X347" s="13" t="s">
        <v>3095</v>
      </c>
      <c r="Y347" s="13" t="s">
        <v>283</v>
      </c>
      <c r="Z347" s="13" t="s">
        <v>6261</v>
      </c>
      <c r="AA347" s="13" t="s">
        <v>169</v>
      </c>
      <c r="AB347" s="13" t="s">
        <v>285</v>
      </c>
      <c r="AC347" s="13" t="s">
        <v>1528</v>
      </c>
      <c r="AD347" s="13" t="s">
        <v>1529</v>
      </c>
      <c r="AE347" s="13" t="s">
        <v>55</v>
      </c>
      <c r="AF347" s="13" t="s">
        <v>6262</v>
      </c>
      <c r="AG347" s="13" t="s">
        <v>39</v>
      </c>
      <c r="AH347" s="13" t="s">
        <v>39</v>
      </c>
      <c r="AI347" s="13" t="s">
        <v>6263</v>
      </c>
      <c r="AJ347" s="13" t="s">
        <v>6264</v>
      </c>
      <c r="AK347" s="13" t="s">
        <v>1327</v>
      </c>
      <c r="AL347" s="13" t="s">
        <v>88</v>
      </c>
    </row>
    <row r="348" spans="1:38" x14ac:dyDescent="0.4">
      <c r="A348" s="11" t="s">
        <v>6265</v>
      </c>
      <c r="B348" s="14" t="s">
        <v>6266</v>
      </c>
      <c r="C348" s="15" t="s">
        <v>39</v>
      </c>
      <c r="D348" s="15" t="s">
        <v>92</v>
      </c>
      <c r="E348" s="15" t="s">
        <v>6267</v>
      </c>
      <c r="F348" s="15" t="s">
        <v>271</v>
      </c>
      <c r="G348" s="15" t="s">
        <v>271</v>
      </c>
      <c r="H348" s="15" t="s">
        <v>6268</v>
      </c>
      <c r="I348" s="9">
        <f t="shared" ca="1" si="5"/>
        <v>3</v>
      </c>
      <c r="J348" s="15" t="s">
        <v>6269</v>
      </c>
      <c r="K348" s="15" t="s">
        <v>227</v>
      </c>
      <c r="L348" s="9" t="str">
        <f>VLOOKUP(K348,[1]中国省份_标准!$B$2:$F$35,4,FALSE)</f>
        <v>西部地区</v>
      </c>
      <c r="M348" s="9" t="str">
        <f>VLOOKUP(K348,[1]中国省份_标准!$B$2:$F$35,5,FALSE)</f>
        <v>西北地区</v>
      </c>
      <c r="N348" s="15" t="s">
        <v>228</v>
      </c>
      <c r="O348" s="15" t="s">
        <v>3089</v>
      </c>
      <c r="P348" s="15" t="s">
        <v>6270</v>
      </c>
      <c r="Q348" s="15" t="s">
        <v>6271</v>
      </c>
      <c r="R348" s="15" t="s">
        <v>6272</v>
      </c>
      <c r="S348" s="15" t="s">
        <v>6273</v>
      </c>
      <c r="T348" s="15" t="s">
        <v>209</v>
      </c>
      <c r="U348" s="15" t="s">
        <v>6266</v>
      </c>
      <c r="V348" s="15" t="s">
        <v>6274</v>
      </c>
      <c r="W348" s="15" t="s">
        <v>6275</v>
      </c>
      <c r="X348" s="15" t="s">
        <v>2171</v>
      </c>
      <c r="Y348" s="15" t="s">
        <v>78</v>
      </c>
      <c r="Z348" s="15" t="s">
        <v>6276</v>
      </c>
      <c r="AA348" s="15" t="s">
        <v>52</v>
      </c>
      <c r="AB348" s="15" t="s">
        <v>53</v>
      </c>
      <c r="AC348" s="15" t="s">
        <v>1301</v>
      </c>
      <c r="AD348" s="15" t="s">
        <v>6277</v>
      </c>
      <c r="AE348" s="15" t="s">
        <v>55</v>
      </c>
      <c r="AF348" s="15" t="s">
        <v>6278</v>
      </c>
      <c r="AG348" s="15" t="s">
        <v>39</v>
      </c>
      <c r="AH348" s="15" t="s">
        <v>6279</v>
      </c>
      <c r="AI348" s="15" t="s">
        <v>6280</v>
      </c>
      <c r="AJ348" s="15" t="s">
        <v>6281</v>
      </c>
      <c r="AK348" s="15" t="s">
        <v>3103</v>
      </c>
      <c r="AL348" s="15" t="s">
        <v>88</v>
      </c>
    </row>
    <row r="349" spans="1:38" x14ac:dyDescent="0.4">
      <c r="A349" s="11" t="s">
        <v>6282</v>
      </c>
      <c r="B349" s="12" t="s">
        <v>6283</v>
      </c>
      <c r="C349" s="13" t="s">
        <v>39</v>
      </c>
      <c r="D349" s="13" t="s">
        <v>63</v>
      </c>
      <c r="E349" s="13" t="s">
        <v>6284</v>
      </c>
      <c r="F349" s="13" t="s">
        <v>42</v>
      </c>
      <c r="G349" s="13" t="s">
        <v>154</v>
      </c>
      <c r="H349" s="13" t="s">
        <v>6285</v>
      </c>
      <c r="I349" s="9">
        <f t="shared" ca="1" si="5"/>
        <v>8</v>
      </c>
      <c r="J349" s="13" t="s">
        <v>6286</v>
      </c>
      <c r="K349" s="13" t="s">
        <v>425</v>
      </c>
      <c r="L349" s="9" t="str">
        <f>VLOOKUP(K349,[1]中国省份_标准!$B$2:$F$35,4,FALSE)</f>
        <v>东部地区</v>
      </c>
      <c r="M349" s="9" t="str">
        <f>VLOOKUP(K349,[1]中国省份_标准!$B$2:$F$35,5,FALSE)</f>
        <v>华东地区</v>
      </c>
      <c r="N349" s="13" t="s">
        <v>426</v>
      </c>
      <c r="O349" s="13" t="s">
        <v>427</v>
      </c>
      <c r="P349" s="13" t="s">
        <v>6287</v>
      </c>
      <c r="Q349" s="13" t="s">
        <v>6288</v>
      </c>
      <c r="R349" s="13" t="s">
        <v>6289</v>
      </c>
      <c r="S349" s="13" t="s">
        <v>39</v>
      </c>
      <c r="T349" s="13" t="s">
        <v>48</v>
      </c>
      <c r="U349" s="13" t="s">
        <v>6283</v>
      </c>
      <c r="V349" s="13" t="s">
        <v>6290</v>
      </c>
      <c r="W349" s="13" t="s">
        <v>6291</v>
      </c>
      <c r="X349" s="13" t="s">
        <v>1777</v>
      </c>
      <c r="Y349" s="13" t="s">
        <v>78</v>
      </c>
      <c r="Z349" s="13" t="s">
        <v>6292</v>
      </c>
      <c r="AA349" s="13" t="s">
        <v>169</v>
      </c>
      <c r="AB349" s="13" t="s">
        <v>170</v>
      </c>
      <c r="AC349" s="13" t="s">
        <v>367</v>
      </c>
      <c r="AD349" s="13" t="s">
        <v>39</v>
      </c>
      <c r="AE349" s="13" t="s">
        <v>109</v>
      </c>
      <c r="AF349" s="13" t="s">
        <v>6293</v>
      </c>
      <c r="AG349" s="13" t="s">
        <v>39</v>
      </c>
      <c r="AH349" s="13" t="s">
        <v>6294</v>
      </c>
      <c r="AI349" s="13" t="s">
        <v>6295</v>
      </c>
      <c r="AJ349" s="13" t="s">
        <v>6296</v>
      </c>
      <c r="AK349" s="13" t="s">
        <v>438</v>
      </c>
      <c r="AL349" s="13" t="s">
        <v>88</v>
      </c>
    </row>
    <row r="350" spans="1:38" x14ac:dyDescent="0.4">
      <c r="A350" s="11" t="s">
        <v>6297</v>
      </c>
      <c r="B350" s="14" t="s">
        <v>6298</v>
      </c>
      <c r="C350" s="15" t="s">
        <v>39</v>
      </c>
      <c r="D350" s="15" t="s">
        <v>63</v>
      </c>
      <c r="E350" s="15" t="s">
        <v>6299</v>
      </c>
      <c r="F350" s="15" t="s">
        <v>422</v>
      </c>
      <c r="G350" s="15" t="s">
        <v>422</v>
      </c>
      <c r="H350" s="15" t="s">
        <v>6300</v>
      </c>
      <c r="I350" s="9">
        <f t="shared" ca="1" si="5"/>
        <v>11</v>
      </c>
      <c r="J350" s="15" t="s">
        <v>6301</v>
      </c>
      <c r="K350" s="15" t="s">
        <v>531</v>
      </c>
      <c r="L350" s="9" t="str">
        <f>VLOOKUP(K350,[1]中国省份_标准!$B$2:$F$35,4,FALSE)</f>
        <v>东部地区</v>
      </c>
      <c r="M350" s="9" t="str">
        <f>VLOOKUP(K350,[1]中国省份_标准!$B$2:$F$35,5,FALSE)</f>
        <v>华南地区</v>
      </c>
      <c r="N350" s="15" t="s">
        <v>2560</v>
      </c>
      <c r="O350" s="15" t="s">
        <v>39</v>
      </c>
      <c r="P350" s="15" t="s">
        <v>6302</v>
      </c>
      <c r="Q350" s="15" t="s">
        <v>6303</v>
      </c>
      <c r="R350" s="15" t="s">
        <v>6304</v>
      </c>
      <c r="S350" s="15" t="s">
        <v>6305</v>
      </c>
      <c r="T350" s="15" t="s">
        <v>48</v>
      </c>
      <c r="U350" s="15" t="s">
        <v>6298</v>
      </c>
      <c r="V350" s="15" t="s">
        <v>6306</v>
      </c>
      <c r="W350" s="15" t="s">
        <v>6307</v>
      </c>
      <c r="X350" s="15" t="s">
        <v>77</v>
      </c>
      <c r="Y350" s="15" t="s">
        <v>78</v>
      </c>
      <c r="Z350" s="15" t="s">
        <v>6308</v>
      </c>
      <c r="AA350" s="15" t="s">
        <v>80</v>
      </c>
      <c r="AB350" s="15" t="s">
        <v>106</v>
      </c>
      <c r="AC350" s="15" t="s">
        <v>39</v>
      </c>
      <c r="AD350" s="15" t="s">
        <v>39</v>
      </c>
      <c r="AE350" s="15" t="s">
        <v>109</v>
      </c>
      <c r="AF350" s="15" t="s">
        <v>6309</v>
      </c>
      <c r="AG350" s="15" t="s">
        <v>39</v>
      </c>
      <c r="AH350" s="15" t="s">
        <v>39</v>
      </c>
      <c r="AI350" s="15" t="s">
        <v>6310</v>
      </c>
      <c r="AJ350" s="15" t="s">
        <v>6311</v>
      </c>
      <c r="AK350" s="15" t="s">
        <v>2572</v>
      </c>
      <c r="AL350" s="15" t="s">
        <v>88</v>
      </c>
    </row>
    <row r="351" spans="1:38" x14ac:dyDescent="0.4">
      <c r="A351" s="11" t="s">
        <v>6312</v>
      </c>
      <c r="B351" s="12" t="s">
        <v>6313</v>
      </c>
      <c r="C351" s="13" t="s">
        <v>39</v>
      </c>
      <c r="D351" s="13" t="s">
        <v>92</v>
      </c>
      <c r="E351" s="13" t="s">
        <v>6314</v>
      </c>
      <c r="F351" s="13" t="s">
        <v>319</v>
      </c>
      <c r="G351" s="13" t="s">
        <v>6315</v>
      </c>
      <c r="H351" s="13" t="s">
        <v>6316</v>
      </c>
      <c r="I351" s="9">
        <f t="shared" ca="1" si="5"/>
        <v>13</v>
      </c>
      <c r="J351" s="13" t="s">
        <v>6317</v>
      </c>
      <c r="K351" s="13" t="s">
        <v>903</v>
      </c>
      <c r="L351" s="9" t="str">
        <f>VLOOKUP(K351,[1]中国省份_标准!$B$2:$F$35,4,FALSE)</f>
        <v>东北地区</v>
      </c>
      <c r="M351" s="9" t="str">
        <f>VLOOKUP(K351,[1]中国省份_标准!$B$2:$F$35,5,FALSE)</f>
        <v>东北地区</v>
      </c>
      <c r="N351" s="13" t="s">
        <v>923</v>
      </c>
      <c r="O351" s="13" t="s">
        <v>6318</v>
      </c>
      <c r="P351" s="13" t="s">
        <v>6319</v>
      </c>
      <c r="Q351" s="13" t="s">
        <v>6320</v>
      </c>
      <c r="R351" s="13" t="s">
        <v>6321</v>
      </c>
      <c r="S351" s="13" t="s">
        <v>39</v>
      </c>
      <c r="T351" s="13" t="s">
        <v>48</v>
      </c>
      <c r="U351" s="13" t="s">
        <v>6313</v>
      </c>
      <c r="V351" s="13" t="s">
        <v>6322</v>
      </c>
      <c r="W351" s="13" t="s">
        <v>6323</v>
      </c>
      <c r="X351" s="13" t="s">
        <v>77</v>
      </c>
      <c r="Y351" s="13" t="s">
        <v>78</v>
      </c>
      <c r="Z351" s="13" t="s">
        <v>6324</v>
      </c>
      <c r="AA351" s="13" t="s">
        <v>80</v>
      </c>
      <c r="AB351" s="13" t="s">
        <v>106</v>
      </c>
      <c r="AC351" s="13" t="s">
        <v>808</v>
      </c>
      <c r="AD351" s="13" t="s">
        <v>809</v>
      </c>
      <c r="AE351" s="13" t="s">
        <v>109</v>
      </c>
      <c r="AF351" s="13" t="s">
        <v>6325</v>
      </c>
      <c r="AG351" s="13" t="s">
        <v>39</v>
      </c>
      <c r="AH351" s="13" t="s">
        <v>39</v>
      </c>
      <c r="AI351" s="13" t="s">
        <v>6326</v>
      </c>
      <c r="AJ351" s="13" t="s">
        <v>6327</v>
      </c>
      <c r="AK351" s="13" t="s">
        <v>6328</v>
      </c>
      <c r="AL351" s="13" t="s">
        <v>88</v>
      </c>
    </row>
    <row r="352" spans="1:38" x14ac:dyDescent="0.4">
      <c r="A352" s="11" t="s">
        <v>6329</v>
      </c>
      <c r="B352" s="14" t="s">
        <v>6330</v>
      </c>
      <c r="C352" s="15" t="s">
        <v>39</v>
      </c>
      <c r="D352" s="15" t="s">
        <v>63</v>
      </c>
      <c r="E352" s="15" t="s">
        <v>6331</v>
      </c>
      <c r="F352" s="15" t="s">
        <v>640</v>
      </c>
      <c r="G352" s="15" t="s">
        <v>39</v>
      </c>
      <c r="H352" s="15" t="s">
        <v>6332</v>
      </c>
      <c r="I352" s="9">
        <f t="shared" ca="1" si="5"/>
        <v>5</v>
      </c>
      <c r="J352" s="15" t="s">
        <v>6333</v>
      </c>
      <c r="K352" s="15" t="s">
        <v>531</v>
      </c>
      <c r="L352" s="9" t="str">
        <f>VLOOKUP(K352,[1]中国省份_标准!$B$2:$F$35,4,FALSE)</f>
        <v>东部地区</v>
      </c>
      <c r="M352" s="9" t="str">
        <f>VLOOKUP(K352,[1]中国省份_标准!$B$2:$F$35,5,FALSE)</f>
        <v>华南地区</v>
      </c>
      <c r="N352" s="15" t="s">
        <v>532</v>
      </c>
      <c r="O352" s="15" t="s">
        <v>533</v>
      </c>
      <c r="P352" s="15" t="s">
        <v>6334</v>
      </c>
      <c r="Q352" s="15" t="s">
        <v>39</v>
      </c>
      <c r="R352" s="15" t="s">
        <v>6335</v>
      </c>
      <c r="S352" s="15" t="s">
        <v>39</v>
      </c>
      <c r="T352" s="15" t="s">
        <v>281</v>
      </c>
      <c r="U352" s="15" t="s">
        <v>6330</v>
      </c>
      <c r="V352" s="15" t="s">
        <v>6336</v>
      </c>
      <c r="W352" s="15" t="s">
        <v>6337</v>
      </c>
      <c r="X352" s="15" t="s">
        <v>1777</v>
      </c>
      <c r="Y352" s="15" t="s">
        <v>731</v>
      </c>
      <c r="Z352" s="15" t="s">
        <v>6338</v>
      </c>
      <c r="AA352" s="15" t="s">
        <v>80</v>
      </c>
      <c r="AB352" s="15" t="s">
        <v>81</v>
      </c>
      <c r="AC352" s="15" t="s">
        <v>3097</v>
      </c>
      <c r="AD352" s="15" t="s">
        <v>3098</v>
      </c>
      <c r="AE352" s="15" t="s">
        <v>109</v>
      </c>
      <c r="AF352" s="15" t="s">
        <v>6339</v>
      </c>
      <c r="AG352" s="15" t="s">
        <v>39</v>
      </c>
      <c r="AH352" s="15" t="s">
        <v>39</v>
      </c>
      <c r="AI352" s="15" t="s">
        <v>6340</v>
      </c>
      <c r="AJ352" s="15" t="s">
        <v>6341</v>
      </c>
      <c r="AK352" s="15" t="s">
        <v>545</v>
      </c>
      <c r="AL352" s="15" t="s">
        <v>88</v>
      </c>
    </row>
    <row r="353" spans="1:38" x14ac:dyDescent="0.4">
      <c r="A353" s="11" t="s">
        <v>6342</v>
      </c>
      <c r="B353" s="12" t="s">
        <v>6343</v>
      </c>
      <c r="C353" s="13" t="s">
        <v>39</v>
      </c>
      <c r="D353" s="13" t="s">
        <v>92</v>
      </c>
      <c r="E353" s="13" t="s">
        <v>6344</v>
      </c>
      <c r="F353" s="13" t="s">
        <v>5226</v>
      </c>
      <c r="G353" s="13" t="s">
        <v>5226</v>
      </c>
      <c r="H353" s="13" t="s">
        <v>6345</v>
      </c>
      <c r="I353" s="9">
        <f t="shared" ca="1" si="5"/>
        <v>18</v>
      </c>
      <c r="J353" s="13" t="s">
        <v>6346</v>
      </c>
      <c r="K353" s="13" t="s">
        <v>274</v>
      </c>
      <c r="L353" s="9" t="str">
        <f>VLOOKUP(K353,[1]中国省份_标准!$B$2:$F$35,4,FALSE)</f>
        <v>西部地区</v>
      </c>
      <c r="M353" s="9" t="str">
        <f>VLOOKUP(K353,[1]中国省份_标准!$B$2:$F$35,5,FALSE)</f>
        <v>西南地区</v>
      </c>
      <c r="N353" s="13" t="s">
        <v>6347</v>
      </c>
      <c r="O353" s="13" t="s">
        <v>6348</v>
      </c>
      <c r="P353" s="13" t="s">
        <v>6349</v>
      </c>
      <c r="Q353" s="13" t="s">
        <v>6350</v>
      </c>
      <c r="R353" s="13" t="s">
        <v>6351</v>
      </c>
      <c r="S353" s="13" t="s">
        <v>6352</v>
      </c>
      <c r="T353" s="13" t="s">
        <v>184</v>
      </c>
      <c r="U353" s="13" t="s">
        <v>6343</v>
      </c>
      <c r="V353" s="13" t="s">
        <v>6353</v>
      </c>
      <c r="W353" s="13" t="s">
        <v>6354</v>
      </c>
      <c r="X353" s="13" t="s">
        <v>6355</v>
      </c>
      <c r="Y353" s="13" t="s">
        <v>78</v>
      </c>
      <c r="Z353" s="13" t="s">
        <v>6356</v>
      </c>
      <c r="AA353" s="13" t="s">
        <v>309</v>
      </c>
      <c r="AB353" s="13" t="s">
        <v>310</v>
      </c>
      <c r="AC353" s="13" t="s">
        <v>6357</v>
      </c>
      <c r="AD353" s="13" t="s">
        <v>39</v>
      </c>
      <c r="AE353" s="13" t="s">
        <v>262</v>
      </c>
      <c r="AF353" s="13" t="s">
        <v>6358</v>
      </c>
      <c r="AG353" s="13" t="s">
        <v>39</v>
      </c>
      <c r="AH353" s="13" t="s">
        <v>39</v>
      </c>
      <c r="AI353" s="13" t="s">
        <v>6359</v>
      </c>
      <c r="AJ353" s="13" t="s">
        <v>6360</v>
      </c>
      <c r="AK353" s="13" t="s">
        <v>6361</v>
      </c>
      <c r="AL353" s="13" t="s">
        <v>88</v>
      </c>
    </row>
    <row r="354" spans="1:38" x14ac:dyDescent="0.4">
      <c r="A354" s="11" t="s">
        <v>6362</v>
      </c>
      <c r="B354" s="14" t="s">
        <v>6363</v>
      </c>
      <c r="C354" s="15" t="s">
        <v>39</v>
      </c>
      <c r="D354" s="15" t="s">
        <v>92</v>
      </c>
      <c r="E354" s="15" t="s">
        <v>6344</v>
      </c>
      <c r="F354" s="15" t="s">
        <v>6364</v>
      </c>
      <c r="G354" s="15" t="s">
        <v>6364</v>
      </c>
      <c r="H354" s="15" t="s">
        <v>6365</v>
      </c>
      <c r="I354" s="9">
        <f t="shared" ca="1" si="5"/>
        <v>18</v>
      </c>
      <c r="J354" s="15" t="s">
        <v>6366</v>
      </c>
      <c r="K354" s="15" t="s">
        <v>298</v>
      </c>
      <c r="L354" s="9" t="str">
        <f>VLOOKUP(K354,[1]中国省份_标准!$B$2:$F$35,4,FALSE)</f>
        <v>西部地区</v>
      </c>
      <c r="M354" s="9" t="str">
        <f>VLOOKUP(K354,[1]中国省份_标准!$B$2:$F$35,5,FALSE)</f>
        <v>西南地区</v>
      </c>
      <c r="N354" s="15" t="s">
        <v>6367</v>
      </c>
      <c r="O354" s="15" t="s">
        <v>6368</v>
      </c>
      <c r="P354" s="15" t="s">
        <v>6369</v>
      </c>
      <c r="Q354" s="15" t="s">
        <v>39</v>
      </c>
      <c r="R354" s="15" t="s">
        <v>39</v>
      </c>
      <c r="S354" s="15" t="s">
        <v>39</v>
      </c>
      <c r="T354" s="15" t="s">
        <v>209</v>
      </c>
      <c r="U354" s="15" t="s">
        <v>6363</v>
      </c>
      <c r="V354" s="15" t="s">
        <v>6370</v>
      </c>
      <c r="W354" s="15" t="s">
        <v>6371</v>
      </c>
      <c r="X354" s="15" t="s">
        <v>6372</v>
      </c>
      <c r="Y354" s="15" t="s">
        <v>78</v>
      </c>
      <c r="Z354" s="15" t="s">
        <v>6373</v>
      </c>
      <c r="AA354" s="15" t="s">
        <v>309</v>
      </c>
      <c r="AB354" s="15" t="s">
        <v>310</v>
      </c>
      <c r="AC354" s="15" t="s">
        <v>6357</v>
      </c>
      <c r="AD354" s="15" t="s">
        <v>6374</v>
      </c>
      <c r="AE354" s="15" t="s">
        <v>262</v>
      </c>
      <c r="AF354" s="15" t="s">
        <v>6375</v>
      </c>
      <c r="AG354" s="15" t="s">
        <v>39</v>
      </c>
      <c r="AH354" s="15" t="s">
        <v>39</v>
      </c>
      <c r="AI354" s="15" t="s">
        <v>6376</v>
      </c>
      <c r="AJ354" s="15" t="s">
        <v>6377</v>
      </c>
      <c r="AK354" s="15" t="s">
        <v>6378</v>
      </c>
      <c r="AL354" s="15" t="s">
        <v>88</v>
      </c>
    </row>
    <row r="355" spans="1:38" x14ac:dyDescent="0.4">
      <c r="A355" s="11" t="s">
        <v>6379</v>
      </c>
      <c r="B355" s="12" t="s">
        <v>6380</v>
      </c>
      <c r="C355" s="13" t="s">
        <v>39</v>
      </c>
      <c r="D355" s="13" t="s">
        <v>6381</v>
      </c>
      <c r="E355" s="13" t="s">
        <v>6382</v>
      </c>
      <c r="F355" s="13" t="s">
        <v>1235</v>
      </c>
      <c r="G355" s="13" t="s">
        <v>39</v>
      </c>
      <c r="H355" s="13" t="s">
        <v>6383</v>
      </c>
      <c r="I355" s="9">
        <f t="shared" ca="1" si="5"/>
        <v>3</v>
      </c>
      <c r="J355" s="13" t="s">
        <v>6384</v>
      </c>
      <c r="K355" s="13" t="s">
        <v>594</v>
      </c>
      <c r="L355" s="9" t="str">
        <f>VLOOKUP(K355,[1]中国省份_标准!$B$2:$F$35,4,FALSE)</f>
        <v>中部地区</v>
      </c>
      <c r="M355" s="9" t="str">
        <f>VLOOKUP(K355,[1]中国省份_标准!$B$2:$F$35,5,FALSE)</f>
        <v>华东地区</v>
      </c>
      <c r="N355" s="13" t="s">
        <v>1291</v>
      </c>
      <c r="O355" s="13" t="s">
        <v>6385</v>
      </c>
      <c r="P355" s="13" t="s">
        <v>6386</v>
      </c>
      <c r="Q355" s="13" t="s">
        <v>39</v>
      </c>
      <c r="R355" s="13" t="s">
        <v>6387</v>
      </c>
      <c r="S355" s="13" t="s">
        <v>39</v>
      </c>
      <c r="T355" s="13" t="s">
        <v>281</v>
      </c>
      <c r="U355" s="13" t="s">
        <v>6380</v>
      </c>
      <c r="V355" s="13" t="s">
        <v>6388</v>
      </c>
      <c r="W355" s="13" t="s">
        <v>6389</v>
      </c>
      <c r="X355" s="13" t="s">
        <v>77</v>
      </c>
      <c r="Y355" s="13" t="s">
        <v>283</v>
      </c>
      <c r="Z355" s="13" t="s">
        <v>6390</v>
      </c>
      <c r="AA355" s="13" t="s">
        <v>169</v>
      </c>
      <c r="AB355" s="13" t="s">
        <v>1264</v>
      </c>
      <c r="AC355" s="13" t="s">
        <v>1265</v>
      </c>
      <c r="AD355" s="13" t="s">
        <v>1265</v>
      </c>
      <c r="AE355" s="13" t="s">
        <v>109</v>
      </c>
      <c r="AF355" s="13" t="s">
        <v>6391</v>
      </c>
      <c r="AG355" s="13" t="s">
        <v>39</v>
      </c>
      <c r="AH355" s="13" t="s">
        <v>39</v>
      </c>
      <c r="AI355" s="13" t="s">
        <v>6392</v>
      </c>
      <c r="AJ355" s="13" t="s">
        <v>6393</v>
      </c>
      <c r="AK355" s="13" t="s">
        <v>6394</v>
      </c>
      <c r="AL355" s="13" t="s">
        <v>88</v>
      </c>
    </row>
    <row r="356" spans="1:38" x14ac:dyDescent="0.4">
      <c r="A356" s="11" t="s">
        <v>6395</v>
      </c>
      <c r="B356" s="14" t="s">
        <v>6396</v>
      </c>
      <c r="C356" s="15" t="s">
        <v>39</v>
      </c>
      <c r="D356" s="15" t="s">
        <v>6397</v>
      </c>
      <c r="E356" s="15" t="s">
        <v>6398</v>
      </c>
      <c r="F356" s="15" t="s">
        <v>154</v>
      </c>
      <c r="G356" s="15" t="s">
        <v>39</v>
      </c>
      <c r="H356" s="15" t="s">
        <v>6399</v>
      </c>
      <c r="I356" s="9">
        <f t="shared" ca="1" si="5"/>
        <v>4</v>
      </c>
      <c r="J356" s="15" t="s">
        <v>6400</v>
      </c>
      <c r="K356" s="15" t="s">
        <v>531</v>
      </c>
      <c r="L356" s="9" t="str">
        <f>VLOOKUP(K356,[1]中国省份_标准!$B$2:$F$35,4,FALSE)</f>
        <v>东部地区</v>
      </c>
      <c r="M356" s="9" t="str">
        <f>VLOOKUP(K356,[1]中国省份_标准!$B$2:$F$35,5,FALSE)</f>
        <v>华南地区</v>
      </c>
      <c r="N356" s="15" t="s">
        <v>532</v>
      </c>
      <c r="O356" s="15" t="s">
        <v>2544</v>
      </c>
      <c r="P356" s="15" t="s">
        <v>6401</v>
      </c>
      <c r="Q356" s="15" t="s">
        <v>6402</v>
      </c>
      <c r="R356" s="15" t="s">
        <v>6147</v>
      </c>
      <c r="S356" s="15" t="s">
        <v>6403</v>
      </c>
      <c r="T356" s="15" t="s">
        <v>281</v>
      </c>
      <c r="U356" s="15" t="s">
        <v>6396</v>
      </c>
      <c r="V356" s="15" t="s">
        <v>6404</v>
      </c>
      <c r="W356" s="15" t="s">
        <v>6405</v>
      </c>
      <c r="X356" s="15" t="s">
        <v>77</v>
      </c>
      <c r="Y356" s="15" t="s">
        <v>731</v>
      </c>
      <c r="Z356" s="15" t="s">
        <v>6406</v>
      </c>
      <c r="AA356" s="15" t="s">
        <v>80</v>
      </c>
      <c r="AB356" s="15" t="s">
        <v>81</v>
      </c>
      <c r="AC356" s="15" t="s">
        <v>3097</v>
      </c>
      <c r="AD356" s="15" t="s">
        <v>3098</v>
      </c>
      <c r="AE356" s="15" t="s">
        <v>109</v>
      </c>
      <c r="AF356" s="15" t="s">
        <v>6407</v>
      </c>
      <c r="AG356" s="15" t="s">
        <v>39</v>
      </c>
      <c r="AH356" s="15" t="s">
        <v>39</v>
      </c>
      <c r="AI356" s="15" t="s">
        <v>6408</v>
      </c>
      <c r="AJ356" s="15" t="s">
        <v>6153</v>
      </c>
      <c r="AK356" s="15" t="s">
        <v>2554</v>
      </c>
      <c r="AL356" s="15" t="s">
        <v>88</v>
      </c>
    </row>
    <row r="357" spans="1:38" x14ac:dyDescent="0.4">
      <c r="A357" s="11" t="s">
        <v>6409</v>
      </c>
      <c r="B357" s="12" t="s">
        <v>6410</v>
      </c>
      <c r="C357" s="13" t="s">
        <v>39</v>
      </c>
      <c r="D357" s="13" t="s">
        <v>63</v>
      </c>
      <c r="E357" s="13" t="s">
        <v>6411</v>
      </c>
      <c r="F357" s="13" t="s">
        <v>490</v>
      </c>
      <c r="G357" s="13" t="s">
        <v>490</v>
      </c>
      <c r="H357" s="13" t="s">
        <v>6412</v>
      </c>
      <c r="I357" s="9">
        <f t="shared" ca="1" si="5"/>
        <v>14</v>
      </c>
      <c r="J357" s="13" t="s">
        <v>6413</v>
      </c>
      <c r="K357" s="13" t="s">
        <v>67</v>
      </c>
      <c r="L357" s="9" t="str">
        <f>VLOOKUP(K357,[1]中国省份_标准!$B$2:$F$35,4,FALSE)</f>
        <v>东部地区</v>
      </c>
      <c r="M357" s="9" t="str">
        <f>VLOOKUP(K357,[1]中国省份_标准!$B$2:$F$35,5,FALSE)</f>
        <v>华东地区</v>
      </c>
      <c r="N357" s="13" t="s">
        <v>6414</v>
      </c>
      <c r="O357" s="13" t="s">
        <v>6415</v>
      </c>
      <c r="P357" s="13" t="s">
        <v>6416</v>
      </c>
      <c r="Q357" s="13" t="s">
        <v>6417</v>
      </c>
      <c r="R357" s="13" t="s">
        <v>6418</v>
      </c>
      <c r="S357" s="13" t="s">
        <v>39</v>
      </c>
      <c r="T357" s="13" t="s">
        <v>3623</v>
      </c>
      <c r="U357" s="13" t="s">
        <v>6410</v>
      </c>
      <c r="V357" s="13" t="s">
        <v>6419</v>
      </c>
      <c r="W357" s="13" t="s">
        <v>6420</v>
      </c>
      <c r="X357" s="13" t="s">
        <v>6421</v>
      </c>
      <c r="Y357" s="13" t="s">
        <v>78</v>
      </c>
      <c r="Z357" s="13" t="s">
        <v>6422</v>
      </c>
      <c r="AA357" s="13" t="s">
        <v>169</v>
      </c>
      <c r="AB357" s="13" t="s">
        <v>285</v>
      </c>
      <c r="AC357" s="13" t="s">
        <v>6423</v>
      </c>
      <c r="AD357" s="13" t="s">
        <v>6424</v>
      </c>
      <c r="AE357" s="13" t="s">
        <v>262</v>
      </c>
      <c r="AF357" s="13" t="s">
        <v>6425</v>
      </c>
      <c r="AG357" s="13" t="s">
        <v>6426</v>
      </c>
      <c r="AH357" s="13" t="s">
        <v>39</v>
      </c>
      <c r="AI357" s="13" t="s">
        <v>6427</v>
      </c>
      <c r="AJ357" s="13" t="s">
        <v>6428</v>
      </c>
      <c r="AK357" s="13" t="s">
        <v>6429</v>
      </c>
      <c r="AL357" s="13" t="s">
        <v>88</v>
      </c>
    </row>
    <row r="358" spans="1:38" x14ac:dyDescent="0.4">
      <c r="A358" s="11" t="s">
        <v>6430</v>
      </c>
      <c r="B358" s="14" t="s">
        <v>6431</v>
      </c>
      <c r="C358" s="15" t="s">
        <v>39</v>
      </c>
      <c r="D358" s="15" t="s">
        <v>6432</v>
      </c>
      <c r="E358" s="15" t="s">
        <v>6433</v>
      </c>
      <c r="F358" s="15" t="s">
        <v>42</v>
      </c>
      <c r="G358" s="15" t="s">
        <v>39</v>
      </c>
      <c r="H358" s="15" t="s">
        <v>6434</v>
      </c>
      <c r="I358" s="9">
        <f t="shared" ca="1" si="5"/>
        <v>4</v>
      </c>
      <c r="J358" s="15" t="s">
        <v>6435</v>
      </c>
      <c r="K358" s="15" t="s">
        <v>531</v>
      </c>
      <c r="L358" s="9" t="str">
        <f>VLOOKUP(K358,[1]中国省份_标准!$B$2:$F$35,4,FALSE)</f>
        <v>东部地区</v>
      </c>
      <c r="M358" s="9" t="str">
        <f>VLOOKUP(K358,[1]中国省份_标准!$B$2:$F$35,5,FALSE)</f>
        <v>华南地区</v>
      </c>
      <c r="N358" s="15" t="s">
        <v>532</v>
      </c>
      <c r="O358" s="15" t="s">
        <v>2544</v>
      </c>
      <c r="P358" s="15" t="s">
        <v>6401</v>
      </c>
      <c r="Q358" s="15" t="s">
        <v>6436</v>
      </c>
      <c r="R358" s="15" t="s">
        <v>6147</v>
      </c>
      <c r="S358" s="15" t="s">
        <v>39</v>
      </c>
      <c r="T358" s="15" t="s">
        <v>281</v>
      </c>
      <c r="U358" s="15" t="s">
        <v>6431</v>
      </c>
      <c r="V358" s="15" t="s">
        <v>39</v>
      </c>
      <c r="W358" s="15" t="s">
        <v>6437</v>
      </c>
      <c r="X358" s="15" t="s">
        <v>690</v>
      </c>
      <c r="Y358" s="15" t="s">
        <v>283</v>
      </c>
      <c r="Z358" s="15" t="s">
        <v>6438</v>
      </c>
      <c r="AA358" s="15" t="s">
        <v>80</v>
      </c>
      <c r="AB358" s="15" t="s">
        <v>81</v>
      </c>
      <c r="AC358" s="15" t="s">
        <v>3097</v>
      </c>
      <c r="AD358" s="15" t="s">
        <v>3098</v>
      </c>
      <c r="AE358" s="15" t="s">
        <v>55</v>
      </c>
      <c r="AF358" s="15" t="s">
        <v>6439</v>
      </c>
      <c r="AG358" s="15" t="s">
        <v>39</v>
      </c>
      <c r="AH358" s="15" t="s">
        <v>39</v>
      </c>
      <c r="AI358" s="15" t="s">
        <v>6440</v>
      </c>
      <c r="AJ358" s="15" t="s">
        <v>6153</v>
      </c>
      <c r="AK358" s="15" t="s">
        <v>2554</v>
      </c>
      <c r="AL358" s="15" t="s">
        <v>88</v>
      </c>
    </row>
    <row r="359" spans="1:38" x14ac:dyDescent="0.4">
      <c r="A359" s="11" t="s">
        <v>6441</v>
      </c>
      <c r="B359" s="12" t="s">
        <v>6442</v>
      </c>
      <c r="C359" s="13" t="s">
        <v>6443</v>
      </c>
      <c r="D359" s="13" t="s">
        <v>63</v>
      </c>
      <c r="E359" s="13" t="s">
        <v>6444</v>
      </c>
      <c r="F359" s="13" t="s">
        <v>154</v>
      </c>
      <c r="G359" s="13" t="s">
        <v>154</v>
      </c>
      <c r="H359" s="13" t="s">
        <v>6445</v>
      </c>
      <c r="I359" s="9">
        <f t="shared" ca="1" si="5"/>
        <v>15</v>
      </c>
      <c r="J359" s="13" t="s">
        <v>6446</v>
      </c>
      <c r="K359" s="13" t="s">
        <v>531</v>
      </c>
      <c r="L359" s="9" t="str">
        <f>VLOOKUP(K359,[1]中国省份_标准!$B$2:$F$35,4,FALSE)</f>
        <v>东部地区</v>
      </c>
      <c r="M359" s="9" t="str">
        <f>VLOOKUP(K359,[1]中国省份_标准!$B$2:$F$35,5,FALSE)</f>
        <v>华南地区</v>
      </c>
      <c r="N359" s="13" t="s">
        <v>1698</v>
      </c>
      <c r="O359" s="13" t="s">
        <v>39</v>
      </c>
      <c r="P359" s="13" t="s">
        <v>6447</v>
      </c>
      <c r="Q359" s="13" t="s">
        <v>6448</v>
      </c>
      <c r="R359" s="13" t="s">
        <v>39</v>
      </c>
      <c r="S359" s="13" t="s">
        <v>39</v>
      </c>
      <c r="T359" s="13" t="s">
        <v>281</v>
      </c>
      <c r="U359" s="13" t="s">
        <v>6442</v>
      </c>
      <c r="V359" s="13" t="s">
        <v>6449</v>
      </c>
      <c r="W359" s="13" t="s">
        <v>6450</v>
      </c>
      <c r="X359" s="13" t="s">
        <v>6451</v>
      </c>
      <c r="Y359" s="13" t="s">
        <v>731</v>
      </c>
      <c r="Z359" s="13" t="s">
        <v>6452</v>
      </c>
      <c r="AA359" s="13" t="s">
        <v>169</v>
      </c>
      <c r="AB359" s="13" t="s">
        <v>1264</v>
      </c>
      <c r="AC359" s="13" t="s">
        <v>1265</v>
      </c>
      <c r="AD359" s="13" t="s">
        <v>1265</v>
      </c>
      <c r="AE359" s="13" t="s">
        <v>109</v>
      </c>
      <c r="AF359" s="13" t="s">
        <v>6453</v>
      </c>
      <c r="AG359" s="13" t="s">
        <v>39</v>
      </c>
      <c r="AH359" s="13" t="s">
        <v>39</v>
      </c>
      <c r="AI359" s="13" t="s">
        <v>6454</v>
      </c>
      <c r="AJ359" s="13" t="s">
        <v>6455</v>
      </c>
      <c r="AK359" s="13" t="s">
        <v>1711</v>
      </c>
      <c r="AL359" s="13" t="s">
        <v>88</v>
      </c>
    </row>
    <row r="360" spans="1:38" x14ac:dyDescent="0.4">
      <c r="A360" s="11" t="s">
        <v>6456</v>
      </c>
      <c r="B360" s="14" t="s">
        <v>6457</v>
      </c>
      <c r="C360" s="15" t="s">
        <v>39</v>
      </c>
      <c r="D360" s="15" t="s">
        <v>6458</v>
      </c>
      <c r="E360" s="15" t="s">
        <v>6459</v>
      </c>
      <c r="F360" s="15" t="s">
        <v>117</v>
      </c>
      <c r="G360" s="15" t="s">
        <v>39</v>
      </c>
      <c r="H360" s="15" t="s">
        <v>6460</v>
      </c>
      <c r="I360" s="9">
        <f t="shared" ca="1" si="5"/>
        <v>26</v>
      </c>
      <c r="J360" s="15" t="s">
        <v>6461</v>
      </c>
      <c r="K360" s="15" t="s">
        <v>531</v>
      </c>
      <c r="L360" s="9" t="str">
        <f>VLOOKUP(K360,[1]中国省份_标准!$B$2:$F$35,4,FALSE)</f>
        <v>东部地区</v>
      </c>
      <c r="M360" s="9" t="str">
        <f>VLOOKUP(K360,[1]中国省份_标准!$B$2:$F$35,5,FALSE)</f>
        <v>华南地区</v>
      </c>
      <c r="N360" s="15" t="s">
        <v>1698</v>
      </c>
      <c r="O360" s="15" t="s">
        <v>39</v>
      </c>
      <c r="P360" s="15" t="s">
        <v>6462</v>
      </c>
      <c r="Q360" s="15" t="s">
        <v>6463</v>
      </c>
      <c r="R360" s="15" t="s">
        <v>6464</v>
      </c>
      <c r="S360" s="15" t="s">
        <v>39</v>
      </c>
      <c r="T360" s="15" t="s">
        <v>164</v>
      </c>
      <c r="U360" s="15" t="s">
        <v>6457</v>
      </c>
      <c r="V360" s="15" t="s">
        <v>6465</v>
      </c>
      <c r="W360" s="15" t="s">
        <v>6466</v>
      </c>
      <c r="X360" s="15" t="s">
        <v>540</v>
      </c>
      <c r="Y360" s="15" t="s">
        <v>731</v>
      </c>
      <c r="Z360" s="15" t="s">
        <v>6467</v>
      </c>
      <c r="AA360" s="15" t="s">
        <v>169</v>
      </c>
      <c r="AB360" s="15" t="s">
        <v>1264</v>
      </c>
      <c r="AC360" s="15" t="s">
        <v>1457</v>
      </c>
      <c r="AD360" s="15" t="s">
        <v>1557</v>
      </c>
      <c r="AE360" s="15" t="s">
        <v>109</v>
      </c>
      <c r="AF360" s="15" t="s">
        <v>6468</v>
      </c>
      <c r="AG360" s="15" t="s">
        <v>39</v>
      </c>
      <c r="AH360" s="15" t="s">
        <v>39</v>
      </c>
      <c r="AI360" s="15" t="s">
        <v>39</v>
      </c>
      <c r="AJ360" s="15" t="s">
        <v>6469</v>
      </c>
      <c r="AK360" s="15" t="s">
        <v>1711</v>
      </c>
      <c r="AL360" s="15" t="s">
        <v>88</v>
      </c>
    </row>
    <row r="361" spans="1:38" x14ac:dyDescent="0.4">
      <c r="A361" s="11" t="s">
        <v>6470</v>
      </c>
      <c r="B361" s="12" t="s">
        <v>6471</v>
      </c>
      <c r="C361" s="13" t="s">
        <v>39</v>
      </c>
      <c r="D361" s="13" t="s">
        <v>92</v>
      </c>
      <c r="E361" s="13" t="s">
        <v>6472</v>
      </c>
      <c r="F361" s="13" t="s">
        <v>2419</v>
      </c>
      <c r="G361" s="13" t="s">
        <v>39</v>
      </c>
      <c r="H361" s="13" t="s">
        <v>6473</v>
      </c>
      <c r="I361" s="9">
        <f t="shared" ca="1" si="5"/>
        <v>2</v>
      </c>
      <c r="J361" s="13" t="s">
        <v>6474</v>
      </c>
      <c r="K361" s="13" t="s">
        <v>594</v>
      </c>
      <c r="L361" s="9" t="str">
        <f>VLOOKUP(K361,[1]中国省份_标准!$B$2:$F$35,4,FALSE)</f>
        <v>中部地区</v>
      </c>
      <c r="M361" s="9" t="str">
        <f>VLOOKUP(K361,[1]中国省份_标准!$B$2:$F$35,5,FALSE)</f>
        <v>华东地区</v>
      </c>
      <c r="N361" s="13" t="s">
        <v>1291</v>
      </c>
      <c r="O361" s="13" t="s">
        <v>6475</v>
      </c>
      <c r="P361" s="13" t="s">
        <v>6476</v>
      </c>
      <c r="Q361" s="13" t="s">
        <v>39</v>
      </c>
      <c r="R361" s="13" t="s">
        <v>6477</v>
      </c>
      <c r="S361" s="13" t="s">
        <v>39</v>
      </c>
      <c r="T361" s="13" t="s">
        <v>281</v>
      </c>
      <c r="U361" s="13" t="s">
        <v>6471</v>
      </c>
      <c r="V361" s="13" t="s">
        <v>6478</v>
      </c>
      <c r="W361" s="13" t="s">
        <v>6479</v>
      </c>
      <c r="X361" s="13" t="s">
        <v>77</v>
      </c>
      <c r="Y361" s="13" t="s">
        <v>283</v>
      </c>
      <c r="Z361" s="13" t="s">
        <v>6480</v>
      </c>
      <c r="AA361" s="13" t="s">
        <v>169</v>
      </c>
      <c r="AB361" s="13" t="s">
        <v>1264</v>
      </c>
      <c r="AC361" s="13" t="s">
        <v>1265</v>
      </c>
      <c r="AD361" s="13" t="s">
        <v>1265</v>
      </c>
      <c r="AE361" s="13" t="s">
        <v>109</v>
      </c>
      <c r="AF361" s="13" t="s">
        <v>6481</v>
      </c>
      <c r="AG361" s="13" t="s">
        <v>39</v>
      </c>
      <c r="AH361" s="13" t="s">
        <v>39</v>
      </c>
      <c r="AI361" s="13" t="s">
        <v>6482</v>
      </c>
      <c r="AJ361" s="13" t="s">
        <v>6483</v>
      </c>
      <c r="AK361" s="13" t="s">
        <v>6484</v>
      </c>
      <c r="AL361" s="13" t="s">
        <v>88</v>
      </c>
    </row>
    <row r="362" spans="1:38" x14ac:dyDescent="0.4">
      <c r="A362" s="11" t="s">
        <v>6485</v>
      </c>
      <c r="B362" s="14" t="s">
        <v>6486</v>
      </c>
      <c r="C362" s="15" t="s">
        <v>39</v>
      </c>
      <c r="D362" s="15" t="s">
        <v>63</v>
      </c>
      <c r="E362" s="15" t="s">
        <v>6487</v>
      </c>
      <c r="F362" s="15" t="s">
        <v>42</v>
      </c>
      <c r="G362" s="15" t="s">
        <v>39</v>
      </c>
      <c r="H362" s="15" t="s">
        <v>6488</v>
      </c>
      <c r="I362" s="9">
        <f t="shared" ca="1" si="5"/>
        <v>8</v>
      </c>
      <c r="J362" s="15" t="s">
        <v>6489</v>
      </c>
      <c r="K362" s="15" t="s">
        <v>425</v>
      </c>
      <c r="L362" s="9" t="str">
        <f>VLOOKUP(K362,[1]中国省份_标准!$B$2:$F$35,4,FALSE)</f>
        <v>东部地区</v>
      </c>
      <c r="M362" s="9" t="str">
        <f>VLOOKUP(K362,[1]中国省份_标准!$B$2:$F$35,5,FALSE)</f>
        <v>华东地区</v>
      </c>
      <c r="N362" s="15" t="s">
        <v>426</v>
      </c>
      <c r="O362" s="15" t="s">
        <v>427</v>
      </c>
      <c r="P362" s="15" t="s">
        <v>6490</v>
      </c>
      <c r="Q362" s="15" t="s">
        <v>6491</v>
      </c>
      <c r="R362" s="15" t="s">
        <v>6492</v>
      </c>
      <c r="S362" s="15" t="s">
        <v>6493</v>
      </c>
      <c r="T362" s="15" t="s">
        <v>281</v>
      </c>
      <c r="U362" s="15" t="s">
        <v>6486</v>
      </c>
      <c r="V362" s="15" t="s">
        <v>6494</v>
      </c>
      <c r="W362" s="15" t="s">
        <v>6495</v>
      </c>
      <c r="X362" s="15" t="s">
        <v>77</v>
      </c>
      <c r="Y362" s="15" t="s">
        <v>78</v>
      </c>
      <c r="Z362" s="15" t="s">
        <v>6496</v>
      </c>
      <c r="AA362" s="15" t="s">
        <v>80</v>
      </c>
      <c r="AB362" s="15" t="s">
        <v>106</v>
      </c>
      <c r="AC362" s="15" t="s">
        <v>107</v>
      </c>
      <c r="AD362" s="15" t="s">
        <v>108</v>
      </c>
      <c r="AE362" s="15" t="s">
        <v>109</v>
      </c>
      <c r="AF362" s="15" t="s">
        <v>6497</v>
      </c>
      <c r="AG362" s="15" t="s">
        <v>39</v>
      </c>
      <c r="AH362" s="15" t="s">
        <v>39</v>
      </c>
      <c r="AI362" s="15" t="s">
        <v>6498</v>
      </c>
      <c r="AJ362" s="15" t="s">
        <v>6499</v>
      </c>
      <c r="AK362" s="15" t="s">
        <v>2191</v>
      </c>
      <c r="AL362" s="15" t="s">
        <v>88</v>
      </c>
    </row>
    <row r="363" spans="1:38" x14ac:dyDescent="0.4">
      <c r="A363" s="11" t="s">
        <v>6500</v>
      </c>
      <c r="B363" s="12" t="s">
        <v>6501</v>
      </c>
      <c r="C363" s="13" t="s">
        <v>39</v>
      </c>
      <c r="D363" s="13" t="s">
        <v>6502</v>
      </c>
      <c r="E363" s="13" t="s">
        <v>6503</v>
      </c>
      <c r="F363" s="13" t="s">
        <v>6504</v>
      </c>
      <c r="G363" s="13" t="s">
        <v>117</v>
      </c>
      <c r="H363" s="13" t="s">
        <v>6505</v>
      </c>
      <c r="I363" s="9">
        <f t="shared" ca="1" si="5"/>
        <v>7</v>
      </c>
      <c r="J363" s="13" t="s">
        <v>6506</v>
      </c>
      <c r="K363" s="13" t="s">
        <v>531</v>
      </c>
      <c r="L363" s="9" t="str">
        <f>VLOOKUP(K363,[1]中国省份_标准!$B$2:$F$35,4,FALSE)</f>
        <v>东部地区</v>
      </c>
      <c r="M363" s="9" t="str">
        <f>VLOOKUP(K363,[1]中国省份_标准!$B$2:$F$35,5,FALSE)</f>
        <v>华南地区</v>
      </c>
      <c r="N363" s="13" t="s">
        <v>1450</v>
      </c>
      <c r="O363" s="13" t="s">
        <v>1451</v>
      </c>
      <c r="P363" s="13" t="s">
        <v>6507</v>
      </c>
      <c r="Q363" s="13" t="s">
        <v>6508</v>
      </c>
      <c r="R363" s="13" t="s">
        <v>6509</v>
      </c>
      <c r="S363" s="13" t="s">
        <v>6510</v>
      </c>
      <c r="T363" s="13" t="s">
        <v>48</v>
      </c>
      <c r="U363" s="13" t="s">
        <v>6501</v>
      </c>
      <c r="V363" s="13" t="s">
        <v>6511</v>
      </c>
      <c r="W363" s="13" t="s">
        <v>6512</v>
      </c>
      <c r="X363" s="13" t="s">
        <v>365</v>
      </c>
      <c r="Y363" s="13" t="s">
        <v>283</v>
      </c>
      <c r="Z363" s="13" t="s">
        <v>6513</v>
      </c>
      <c r="AA363" s="13" t="s">
        <v>169</v>
      </c>
      <c r="AB363" s="13" t="s">
        <v>1264</v>
      </c>
      <c r="AC363" s="13" t="s">
        <v>1265</v>
      </c>
      <c r="AD363" s="13" t="s">
        <v>1265</v>
      </c>
      <c r="AE363" s="13" t="s">
        <v>55</v>
      </c>
      <c r="AF363" s="13" t="s">
        <v>6514</v>
      </c>
      <c r="AG363" s="13" t="s">
        <v>39</v>
      </c>
      <c r="AH363" s="13" t="s">
        <v>39</v>
      </c>
      <c r="AI363" s="13" t="s">
        <v>6515</v>
      </c>
      <c r="AJ363" s="13" t="s">
        <v>6516</v>
      </c>
      <c r="AK363" s="13" t="s">
        <v>1460</v>
      </c>
      <c r="AL363" s="13" t="s">
        <v>88</v>
      </c>
    </row>
    <row r="364" spans="1:38" x14ac:dyDescent="0.4">
      <c r="A364" s="11" t="s">
        <v>6517</v>
      </c>
      <c r="B364" s="14" t="s">
        <v>6518</v>
      </c>
      <c r="C364" s="15" t="s">
        <v>39</v>
      </c>
      <c r="D364" s="15" t="s">
        <v>6519</v>
      </c>
      <c r="E364" s="15" t="s">
        <v>6520</v>
      </c>
      <c r="F364" s="15" t="s">
        <v>640</v>
      </c>
      <c r="G364" s="15" t="s">
        <v>39</v>
      </c>
      <c r="H364" s="15" t="s">
        <v>4663</v>
      </c>
      <c r="I364" s="9">
        <f t="shared" ca="1" si="5"/>
        <v>6</v>
      </c>
      <c r="J364" s="15" t="s">
        <v>6521</v>
      </c>
      <c r="K364" s="15" t="s">
        <v>702</v>
      </c>
      <c r="L364" s="9" t="str">
        <f>VLOOKUP(K364,[1]中国省份_标准!$B$2:$F$35,4,FALSE)</f>
        <v>东部地区</v>
      </c>
      <c r="M364" s="9" t="str">
        <f>VLOOKUP(K364,[1]中国省份_标准!$B$2:$F$35,5,FALSE)</f>
        <v>华北地区</v>
      </c>
      <c r="N364" s="15" t="s">
        <v>6522</v>
      </c>
      <c r="O364" s="15" t="s">
        <v>6523</v>
      </c>
      <c r="P364" s="15" t="s">
        <v>6524</v>
      </c>
      <c r="Q364" s="15" t="s">
        <v>39</v>
      </c>
      <c r="R364" s="15" t="s">
        <v>6525</v>
      </c>
      <c r="S364" s="15" t="s">
        <v>39</v>
      </c>
      <c r="T364" s="15" t="s">
        <v>281</v>
      </c>
      <c r="U364" s="15" t="s">
        <v>6518</v>
      </c>
      <c r="V364" s="15" t="s">
        <v>39</v>
      </c>
      <c r="W364" s="15" t="s">
        <v>6526</v>
      </c>
      <c r="X364" s="15" t="s">
        <v>77</v>
      </c>
      <c r="Y364" s="15" t="s">
        <v>283</v>
      </c>
      <c r="Z364" s="15" t="s">
        <v>6527</v>
      </c>
      <c r="AA364" s="15" t="s">
        <v>169</v>
      </c>
      <c r="AB364" s="15" t="s">
        <v>170</v>
      </c>
      <c r="AC364" s="15" t="s">
        <v>1725</v>
      </c>
      <c r="AD364" s="15" t="s">
        <v>1726</v>
      </c>
      <c r="AE364" s="15" t="s">
        <v>109</v>
      </c>
      <c r="AF364" s="15" t="s">
        <v>6528</v>
      </c>
      <c r="AG364" s="15" t="s">
        <v>39</v>
      </c>
      <c r="AH364" s="15" t="s">
        <v>39</v>
      </c>
      <c r="AI364" s="15" t="s">
        <v>6529</v>
      </c>
      <c r="AJ364" s="15" t="s">
        <v>6530</v>
      </c>
      <c r="AK364" s="15" t="s">
        <v>6531</v>
      </c>
      <c r="AL364" s="15" t="s">
        <v>88</v>
      </c>
    </row>
    <row r="365" spans="1:38" x14ac:dyDescent="0.4">
      <c r="A365" s="11" t="s">
        <v>6532</v>
      </c>
      <c r="B365" s="12" t="s">
        <v>6533</v>
      </c>
      <c r="C365" s="13" t="s">
        <v>6534</v>
      </c>
      <c r="D365" s="13" t="s">
        <v>6535</v>
      </c>
      <c r="E365" s="13" t="s">
        <v>6536</v>
      </c>
      <c r="F365" s="13" t="s">
        <v>442</v>
      </c>
      <c r="G365" s="13" t="s">
        <v>39</v>
      </c>
      <c r="H365" s="13" t="s">
        <v>6537</v>
      </c>
      <c r="I365" s="9">
        <f t="shared" ca="1" si="5"/>
        <v>3</v>
      </c>
      <c r="J365" s="13" t="s">
        <v>6538</v>
      </c>
      <c r="K365" s="13" t="s">
        <v>67</v>
      </c>
      <c r="L365" s="9" t="str">
        <f>VLOOKUP(K365,[1]中国省份_标准!$B$2:$F$35,4,FALSE)</f>
        <v>东部地区</v>
      </c>
      <c r="M365" s="9" t="str">
        <f>VLOOKUP(K365,[1]中国省份_标准!$B$2:$F$35,5,FALSE)</f>
        <v>华东地区</v>
      </c>
      <c r="N365" s="13" t="s">
        <v>203</v>
      </c>
      <c r="O365" s="13" t="s">
        <v>6539</v>
      </c>
      <c r="P365" s="13" t="s">
        <v>6540</v>
      </c>
      <c r="Q365" s="13" t="s">
        <v>39</v>
      </c>
      <c r="R365" s="13" t="s">
        <v>6541</v>
      </c>
      <c r="S365" s="13" t="s">
        <v>39</v>
      </c>
      <c r="T365" s="13" t="s">
        <v>281</v>
      </c>
      <c r="U365" s="13" t="s">
        <v>6533</v>
      </c>
      <c r="V365" s="13" t="s">
        <v>6542</v>
      </c>
      <c r="W365" s="13" t="s">
        <v>6543</v>
      </c>
      <c r="X365" s="13" t="s">
        <v>77</v>
      </c>
      <c r="Y365" s="13" t="s">
        <v>283</v>
      </c>
      <c r="Z365" s="13" t="s">
        <v>6544</v>
      </c>
      <c r="AA365" s="13" t="s">
        <v>52</v>
      </c>
      <c r="AB365" s="13" t="s">
        <v>53</v>
      </c>
      <c r="AC365" s="13" t="s">
        <v>54</v>
      </c>
      <c r="AD365" s="13" t="s">
        <v>6545</v>
      </c>
      <c r="AE365" s="13" t="s">
        <v>109</v>
      </c>
      <c r="AF365" s="13" t="s">
        <v>6546</v>
      </c>
      <c r="AG365" s="13" t="s">
        <v>39</v>
      </c>
      <c r="AH365" s="13" t="s">
        <v>39</v>
      </c>
      <c r="AI365" s="13" t="s">
        <v>6547</v>
      </c>
      <c r="AJ365" s="13" t="s">
        <v>6548</v>
      </c>
      <c r="AK365" s="13" t="s">
        <v>6549</v>
      </c>
      <c r="AL365" s="13" t="s">
        <v>88</v>
      </c>
    </row>
    <row r="366" spans="1:38" x14ac:dyDescent="0.4">
      <c r="A366" s="11" t="s">
        <v>6550</v>
      </c>
      <c r="B366" s="14" t="s">
        <v>6551</v>
      </c>
      <c r="C366" s="15" t="s">
        <v>39</v>
      </c>
      <c r="D366" s="15" t="s">
        <v>63</v>
      </c>
      <c r="E366" s="15" t="s">
        <v>6552</v>
      </c>
      <c r="F366" s="15" t="s">
        <v>154</v>
      </c>
      <c r="G366" s="15" t="s">
        <v>39</v>
      </c>
      <c r="H366" s="15" t="s">
        <v>6553</v>
      </c>
      <c r="I366" s="9">
        <f t="shared" ca="1" si="5"/>
        <v>8</v>
      </c>
      <c r="J366" s="15" t="s">
        <v>6554</v>
      </c>
      <c r="K366" s="15" t="s">
        <v>67</v>
      </c>
      <c r="L366" s="9" t="str">
        <f>VLOOKUP(K366,[1]中国省份_标准!$B$2:$F$35,4,FALSE)</f>
        <v>东部地区</v>
      </c>
      <c r="M366" s="9" t="str">
        <f>VLOOKUP(K366,[1]中国省份_标准!$B$2:$F$35,5,FALSE)</f>
        <v>华东地区</v>
      </c>
      <c r="N366" s="15" t="s">
        <v>1663</v>
      </c>
      <c r="O366" s="15" t="s">
        <v>1664</v>
      </c>
      <c r="P366" s="15" t="s">
        <v>6555</v>
      </c>
      <c r="Q366" s="15" t="s">
        <v>39</v>
      </c>
      <c r="R366" s="15" t="s">
        <v>6556</v>
      </c>
      <c r="S366" s="15" t="s">
        <v>39</v>
      </c>
      <c r="T366" s="15" t="s">
        <v>164</v>
      </c>
      <c r="U366" s="15" t="s">
        <v>6551</v>
      </c>
      <c r="V366" s="15" t="s">
        <v>6557</v>
      </c>
      <c r="W366" s="15" t="s">
        <v>6558</v>
      </c>
      <c r="X366" s="15" t="s">
        <v>77</v>
      </c>
      <c r="Y366" s="15" t="s">
        <v>78</v>
      </c>
      <c r="Z366" s="15" t="s">
        <v>168</v>
      </c>
      <c r="AA366" s="15" t="s">
        <v>169</v>
      </c>
      <c r="AB366" s="15" t="s">
        <v>170</v>
      </c>
      <c r="AC366" s="15" t="s">
        <v>171</v>
      </c>
      <c r="AD366" s="15" t="s">
        <v>6559</v>
      </c>
      <c r="AE366" s="15" t="s">
        <v>109</v>
      </c>
      <c r="AF366" s="15" t="s">
        <v>6560</v>
      </c>
      <c r="AG366" s="15" t="s">
        <v>39</v>
      </c>
      <c r="AH366" s="15" t="s">
        <v>39</v>
      </c>
      <c r="AI366" s="15" t="s">
        <v>39</v>
      </c>
      <c r="AJ366" s="15" t="s">
        <v>5315</v>
      </c>
      <c r="AK366" s="15" t="s">
        <v>1676</v>
      </c>
      <c r="AL366" s="15" t="s">
        <v>88</v>
      </c>
    </row>
    <row r="367" spans="1:38" x14ac:dyDescent="0.4">
      <c r="A367" s="11" t="s">
        <v>6561</v>
      </c>
      <c r="B367" s="12" t="s">
        <v>6562</v>
      </c>
      <c r="C367" s="13" t="s">
        <v>39</v>
      </c>
      <c r="D367" s="13" t="s">
        <v>63</v>
      </c>
      <c r="E367" s="13" t="s">
        <v>6563</v>
      </c>
      <c r="F367" s="13" t="s">
        <v>117</v>
      </c>
      <c r="G367" s="13" t="s">
        <v>39</v>
      </c>
      <c r="H367" s="13" t="s">
        <v>3715</v>
      </c>
      <c r="I367" s="9">
        <f t="shared" ca="1" si="5"/>
        <v>7</v>
      </c>
      <c r="J367" s="13" t="s">
        <v>6564</v>
      </c>
      <c r="K367" s="13" t="s">
        <v>425</v>
      </c>
      <c r="L367" s="9" t="str">
        <f>VLOOKUP(K367,[1]中国省份_标准!$B$2:$F$35,4,FALSE)</f>
        <v>东部地区</v>
      </c>
      <c r="M367" s="9" t="str">
        <f>VLOOKUP(K367,[1]中国省份_标准!$B$2:$F$35,5,FALSE)</f>
        <v>华东地区</v>
      </c>
      <c r="N367" s="13" t="s">
        <v>2304</v>
      </c>
      <c r="O367" s="13" t="s">
        <v>6565</v>
      </c>
      <c r="P367" s="13" t="s">
        <v>6566</v>
      </c>
      <c r="Q367" s="13" t="s">
        <v>6567</v>
      </c>
      <c r="R367" s="13" t="s">
        <v>39</v>
      </c>
      <c r="S367" s="13" t="s">
        <v>39</v>
      </c>
      <c r="T367" s="13" t="s">
        <v>48</v>
      </c>
      <c r="U367" s="13" t="s">
        <v>6562</v>
      </c>
      <c r="V367" s="13" t="s">
        <v>39</v>
      </c>
      <c r="W367" s="13" t="s">
        <v>6568</v>
      </c>
      <c r="X367" s="13" t="s">
        <v>77</v>
      </c>
      <c r="Y367" s="13" t="s">
        <v>78</v>
      </c>
      <c r="Z367" s="13" t="s">
        <v>3726</v>
      </c>
      <c r="AA367" s="13" t="s">
        <v>80</v>
      </c>
      <c r="AB367" s="13" t="s">
        <v>106</v>
      </c>
      <c r="AC367" s="13" t="s">
        <v>107</v>
      </c>
      <c r="AD367" s="13" t="s">
        <v>39</v>
      </c>
      <c r="AE367" s="13" t="s">
        <v>109</v>
      </c>
      <c r="AF367" s="13" t="s">
        <v>6569</v>
      </c>
      <c r="AG367" s="13" t="s">
        <v>39</v>
      </c>
      <c r="AH367" s="13" t="s">
        <v>39</v>
      </c>
      <c r="AI367" s="13" t="s">
        <v>6570</v>
      </c>
      <c r="AJ367" s="13" t="s">
        <v>6571</v>
      </c>
      <c r="AK367" s="13" t="s">
        <v>6572</v>
      </c>
      <c r="AL367" s="13" t="s">
        <v>88</v>
      </c>
    </row>
    <row r="368" spans="1:38" x14ac:dyDescent="0.4">
      <c r="A368" s="11" t="s">
        <v>6573</v>
      </c>
      <c r="B368" s="14" t="s">
        <v>6574</v>
      </c>
      <c r="C368" s="15" t="s">
        <v>39</v>
      </c>
      <c r="D368" s="15" t="s">
        <v>6575</v>
      </c>
      <c r="E368" s="15" t="s">
        <v>6576</v>
      </c>
      <c r="F368" s="15" t="s">
        <v>1235</v>
      </c>
      <c r="G368" s="15" t="s">
        <v>39</v>
      </c>
      <c r="H368" s="15" t="s">
        <v>6577</v>
      </c>
      <c r="I368" s="9">
        <f t="shared" ca="1" si="5"/>
        <v>3</v>
      </c>
      <c r="J368" s="15" t="s">
        <v>6578</v>
      </c>
      <c r="K368" s="15" t="s">
        <v>594</v>
      </c>
      <c r="L368" s="9" t="str">
        <f>VLOOKUP(K368,[1]中国省份_标准!$B$2:$F$35,4,FALSE)</f>
        <v>中部地区</v>
      </c>
      <c r="M368" s="9" t="str">
        <f>VLOOKUP(K368,[1]中国省份_标准!$B$2:$F$35,5,FALSE)</f>
        <v>华东地区</v>
      </c>
      <c r="N368" s="15" t="s">
        <v>1291</v>
      </c>
      <c r="O368" s="15" t="s">
        <v>6579</v>
      </c>
      <c r="P368" s="15" t="s">
        <v>6580</v>
      </c>
      <c r="Q368" s="15" t="s">
        <v>39</v>
      </c>
      <c r="R368" s="15" t="s">
        <v>6581</v>
      </c>
      <c r="S368" s="15" t="s">
        <v>6582</v>
      </c>
      <c r="T368" s="15" t="s">
        <v>48</v>
      </c>
      <c r="U368" s="15" t="s">
        <v>6574</v>
      </c>
      <c r="V368" s="15" t="s">
        <v>6583</v>
      </c>
      <c r="W368" s="15" t="s">
        <v>6584</v>
      </c>
      <c r="X368" s="15" t="s">
        <v>77</v>
      </c>
      <c r="Y368" s="15" t="s">
        <v>283</v>
      </c>
      <c r="Z368" s="15" t="s">
        <v>6585</v>
      </c>
      <c r="AA368" s="15" t="s">
        <v>169</v>
      </c>
      <c r="AB368" s="15" t="s">
        <v>285</v>
      </c>
      <c r="AC368" s="15" t="s">
        <v>286</v>
      </c>
      <c r="AD368" s="15" t="s">
        <v>4608</v>
      </c>
      <c r="AE368" s="15" t="s">
        <v>109</v>
      </c>
      <c r="AF368" s="15" t="s">
        <v>6586</v>
      </c>
      <c r="AG368" s="15" t="s">
        <v>39</v>
      </c>
      <c r="AH368" s="15" t="s">
        <v>39</v>
      </c>
      <c r="AI368" s="15" t="s">
        <v>6587</v>
      </c>
      <c r="AJ368" s="15" t="s">
        <v>6588</v>
      </c>
      <c r="AK368" s="15" t="s">
        <v>6589</v>
      </c>
      <c r="AL368" s="15" t="s">
        <v>88</v>
      </c>
    </row>
    <row r="369" spans="1:38" x14ac:dyDescent="0.4">
      <c r="A369" s="11" t="s">
        <v>6590</v>
      </c>
      <c r="B369" s="12" t="s">
        <v>6591</v>
      </c>
      <c r="C369" s="13" t="s">
        <v>6592</v>
      </c>
      <c r="D369" s="13" t="s">
        <v>92</v>
      </c>
      <c r="E369" s="13" t="s">
        <v>6593</v>
      </c>
      <c r="F369" s="13" t="s">
        <v>862</v>
      </c>
      <c r="G369" s="13" t="s">
        <v>862</v>
      </c>
      <c r="H369" s="13" t="s">
        <v>6594</v>
      </c>
      <c r="I369" s="9">
        <f t="shared" ca="1" si="5"/>
        <v>27</v>
      </c>
      <c r="J369" s="13" t="s">
        <v>6595</v>
      </c>
      <c r="K369" s="13" t="s">
        <v>97</v>
      </c>
      <c r="L369" s="9" t="str">
        <f>VLOOKUP(K369,[1]中国省份_标准!$B$2:$F$35,4,FALSE)</f>
        <v>中部地区</v>
      </c>
      <c r="M369" s="9" t="str">
        <f>VLOOKUP(K369,[1]中国省份_标准!$B$2:$F$35,5,FALSE)</f>
        <v>华中地区</v>
      </c>
      <c r="N369" s="13" t="s">
        <v>5357</v>
      </c>
      <c r="O369" s="13" t="s">
        <v>6596</v>
      </c>
      <c r="P369" s="13" t="s">
        <v>6597</v>
      </c>
      <c r="Q369" s="13" t="s">
        <v>6598</v>
      </c>
      <c r="R369" s="13" t="s">
        <v>6599</v>
      </c>
      <c r="S369" s="13" t="s">
        <v>6600</v>
      </c>
      <c r="T369" s="13" t="s">
        <v>48</v>
      </c>
      <c r="U369" s="13" t="s">
        <v>6591</v>
      </c>
      <c r="V369" s="13" t="s">
        <v>6601</v>
      </c>
      <c r="W369" s="13" t="s">
        <v>6602</v>
      </c>
      <c r="X369" s="13" t="s">
        <v>2566</v>
      </c>
      <c r="Y369" s="13" t="s">
        <v>78</v>
      </c>
      <c r="Z369" s="13" t="s">
        <v>6603</v>
      </c>
      <c r="AA369" s="13" t="s">
        <v>169</v>
      </c>
      <c r="AB369" s="13" t="s">
        <v>285</v>
      </c>
      <c r="AC369" s="13" t="s">
        <v>479</v>
      </c>
      <c r="AD369" s="13" t="s">
        <v>480</v>
      </c>
      <c r="AE369" s="13" t="s">
        <v>55</v>
      </c>
      <c r="AF369" s="13" t="s">
        <v>6604</v>
      </c>
      <c r="AG369" s="13" t="s">
        <v>39</v>
      </c>
      <c r="AH369" s="13" t="s">
        <v>39</v>
      </c>
      <c r="AI369" s="13" t="s">
        <v>6605</v>
      </c>
      <c r="AJ369" s="13" t="s">
        <v>6606</v>
      </c>
      <c r="AK369" s="13" t="s">
        <v>6607</v>
      </c>
      <c r="AL369" s="13" t="s">
        <v>88</v>
      </c>
    </row>
    <row r="370" spans="1:38" x14ac:dyDescent="0.4">
      <c r="A370" s="11" t="s">
        <v>6608</v>
      </c>
      <c r="B370" s="14" t="s">
        <v>6609</v>
      </c>
      <c r="C370" s="15" t="s">
        <v>6610</v>
      </c>
      <c r="D370" s="15" t="s">
        <v>63</v>
      </c>
      <c r="E370" s="15" t="s">
        <v>6611</v>
      </c>
      <c r="F370" s="15" t="s">
        <v>6612</v>
      </c>
      <c r="G370" s="15" t="s">
        <v>6612</v>
      </c>
      <c r="H370" s="15" t="s">
        <v>6613</v>
      </c>
      <c r="I370" s="9">
        <f t="shared" ca="1" si="5"/>
        <v>9</v>
      </c>
      <c r="J370" s="15" t="s">
        <v>6614</v>
      </c>
      <c r="K370" s="15" t="s">
        <v>3405</v>
      </c>
      <c r="L370" s="9" t="str">
        <f>VLOOKUP(K370,[1]中国省份_标准!$B$2:$F$35,4,FALSE)</f>
        <v>西部地区</v>
      </c>
      <c r="M370" s="9" t="str">
        <f>VLOOKUP(K370,[1]中国省份_标准!$B$2:$F$35,5,FALSE)</f>
        <v>西北地区</v>
      </c>
      <c r="N370" s="15" t="s">
        <v>6615</v>
      </c>
      <c r="O370" s="15" t="s">
        <v>6616</v>
      </c>
      <c r="P370" s="15" t="s">
        <v>6617</v>
      </c>
      <c r="Q370" s="15" t="s">
        <v>39</v>
      </c>
      <c r="R370" s="15" t="s">
        <v>6618</v>
      </c>
      <c r="S370" s="15" t="s">
        <v>39</v>
      </c>
      <c r="T370" s="15" t="s">
        <v>209</v>
      </c>
      <c r="U370" s="15" t="s">
        <v>6609</v>
      </c>
      <c r="V370" s="15" t="s">
        <v>6619</v>
      </c>
      <c r="W370" s="15" t="s">
        <v>6620</v>
      </c>
      <c r="X370" s="15" t="s">
        <v>6621</v>
      </c>
      <c r="Y370" s="15" t="s">
        <v>78</v>
      </c>
      <c r="Z370" s="15" t="s">
        <v>6622</v>
      </c>
      <c r="AA370" s="15" t="s">
        <v>169</v>
      </c>
      <c r="AB370" s="15" t="s">
        <v>412</v>
      </c>
      <c r="AC370" s="15" t="s">
        <v>457</v>
      </c>
      <c r="AD370" s="15" t="s">
        <v>458</v>
      </c>
      <c r="AE370" s="15" t="s">
        <v>262</v>
      </c>
      <c r="AF370" s="15" t="s">
        <v>6623</v>
      </c>
      <c r="AG370" s="15" t="s">
        <v>39</v>
      </c>
      <c r="AH370" s="15" t="s">
        <v>39</v>
      </c>
      <c r="AI370" s="15" t="s">
        <v>6624</v>
      </c>
      <c r="AJ370" s="15" t="s">
        <v>6625</v>
      </c>
      <c r="AK370" s="15" t="s">
        <v>6626</v>
      </c>
      <c r="AL370" s="15" t="s">
        <v>88</v>
      </c>
    </row>
    <row r="371" spans="1:38" x14ac:dyDescent="0.4">
      <c r="A371" s="11" t="s">
        <v>6627</v>
      </c>
      <c r="B371" s="12" t="s">
        <v>6628</v>
      </c>
      <c r="C371" s="13" t="s">
        <v>6629</v>
      </c>
      <c r="D371" s="13" t="s">
        <v>63</v>
      </c>
      <c r="E371" s="13" t="s">
        <v>6630</v>
      </c>
      <c r="F371" s="13" t="s">
        <v>6631</v>
      </c>
      <c r="G371" s="13" t="s">
        <v>6631</v>
      </c>
      <c r="H371" s="13" t="s">
        <v>6632</v>
      </c>
      <c r="I371" s="9">
        <f t="shared" ca="1" si="5"/>
        <v>6</v>
      </c>
      <c r="J371" s="13" t="s">
        <v>6633</v>
      </c>
      <c r="K371" s="13" t="s">
        <v>531</v>
      </c>
      <c r="L371" s="9" t="str">
        <f>VLOOKUP(K371,[1]中国省份_标准!$B$2:$F$35,4,FALSE)</f>
        <v>东部地区</v>
      </c>
      <c r="M371" s="9" t="str">
        <f>VLOOKUP(K371,[1]中国省份_标准!$B$2:$F$35,5,FALSE)</f>
        <v>华南地区</v>
      </c>
      <c r="N371" s="13" t="s">
        <v>724</v>
      </c>
      <c r="O371" s="13" t="s">
        <v>6634</v>
      </c>
      <c r="P371" s="13" t="s">
        <v>6635</v>
      </c>
      <c r="Q371" s="13" t="s">
        <v>6636</v>
      </c>
      <c r="R371" s="13" t="s">
        <v>6637</v>
      </c>
      <c r="S371" s="13" t="s">
        <v>6638</v>
      </c>
      <c r="T371" s="13" t="s">
        <v>209</v>
      </c>
      <c r="U371" s="13" t="s">
        <v>6628</v>
      </c>
      <c r="V371" s="13" t="s">
        <v>6639</v>
      </c>
      <c r="W371" s="13" t="s">
        <v>6640</v>
      </c>
      <c r="X371" s="13" t="s">
        <v>6641</v>
      </c>
      <c r="Y371" s="13" t="s">
        <v>78</v>
      </c>
      <c r="Z371" s="13" t="s">
        <v>6642</v>
      </c>
      <c r="AA371" s="13" t="s">
        <v>309</v>
      </c>
      <c r="AB371" s="13" t="s">
        <v>310</v>
      </c>
      <c r="AC371" s="13" t="s">
        <v>39</v>
      </c>
      <c r="AD371" s="13" t="s">
        <v>39</v>
      </c>
      <c r="AE371" s="13" t="s">
        <v>239</v>
      </c>
      <c r="AF371" s="13" t="s">
        <v>6643</v>
      </c>
      <c r="AG371" s="13" t="s">
        <v>39</v>
      </c>
      <c r="AH371" s="13" t="s">
        <v>39</v>
      </c>
      <c r="AI371" s="13" t="s">
        <v>6644</v>
      </c>
      <c r="AJ371" s="13" t="s">
        <v>6645</v>
      </c>
      <c r="AK371" s="13" t="s">
        <v>6646</v>
      </c>
      <c r="AL371" s="13" t="s">
        <v>88</v>
      </c>
    </row>
    <row r="372" spans="1:38" x14ac:dyDescent="0.4">
      <c r="A372" s="11" t="s">
        <v>6647</v>
      </c>
      <c r="B372" s="14" t="s">
        <v>6648</v>
      </c>
      <c r="C372" s="15" t="s">
        <v>39</v>
      </c>
      <c r="D372" s="15" t="s">
        <v>92</v>
      </c>
      <c r="E372" s="15" t="s">
        <v>6649</v>
      </c>
      <c r="F372" s="15" t="s">
        <v>5703</v>
      </c>
      <c r="G372" s="15" t="s">
        <v>5703</v>
      </c>
      <c r="H372" s="15" t="s">
        <v>1085</v>
      </c>
      <c r="I372" s="9">
        <f t="shared" ca="1" si="5"/>
        <v>5</v>
      </c>
      <c r="J372" s="15" t="s">
        <v>6650</v>
      </c>
      <c r="K372" s="15" t="s">
        <v>5229</v>
      </c>
      <c r="L372" s="9" t="str">
        <f>VLOOKUP(K372,[1]中国省份_标准!$B$2:$F$35,4,FALSE)</f>
        <v>西部地区</v>
      </c>
      <c r="M372" s="9" t="str">
        <f>VLOOKUP(K372,[1]中国省份_标准!$B$2:$F$35,5,FALSE)</f>
        <v>华南地区</v>
      </c>
      <c r="N372" s="15" t="s">
        <v>6651</v>
      </c>
      <c r="O372" s="15" t="s">
        <v>6652</v>
      </c>
      <c r="P372" s="15" t="s">
        <v>6653</v>
      </c>
      <c r="Q372" s="15" t="s">
        <v>6654</v>
      </c>
      <c r="R372" s="15" t="s">
        <v>6655</v>
      </c>
      <c r="S372" s="15" t="s">
        <v>6656</v>
      </c>
      <c r="T372" s="15" t="s">
        <v>184</v>
      </c>
      <c r="U372" s="15" t="s">
        <v>6648</v>
      </c>
      <c r="V372" s="15" t="s">
        <v>6657</v>
      </c>
      <c r="W372" s="15" t="s">
        <v>6658</v>
      </c>
      <c r="X372" s="15" t="s">
        <v>6659</v>
      </c>
      <c r="Y372" s="15" t="s">
        <v>78</v>
      </c>
      <c r="Z372" s="15" t="s">
        <v>6660</v>
      </c>
      <c r="AA372" s="15" t="s">
        <v>169</v>
      </c>
      <c r="AB372" s="15" t="s">
        <v>412</v>
      </c>
      <c r="AC372" s="15" t="s">
        <v>413</v>
      </c>
      <c r="AD372" s="15" t="s">
        <v>1687</v>
      </c>
      <c r="AE372" s="15" t="s">
        <v>262</v>
      </c>
      <c r="AF372" s="15" t="s">
        <v>6661</v>
      </c>
      <c r="AG372" s="15" t="s">
        <v>39</v>
      </c>
      <c r="AH372" s="15" t="s">
        <v>39</v>
      </c>
      <c r="AI372" s="15" t="s">
        <v>6662</v>
      </c>
      <c r="AJ372" s="15" t="s">
        <v>6663</v>
      </c>
      <c r="AK372" s="15" t="s">
        <v>6664</v>
      </c>
      <c r="AL372" s="15" t="s">
        <v>88</v>
      </c>
    </row>
    <row r="373" spans="1:38" x14ac:dyDescent="0.4">
      <c r="A373" s="11" t="s">
        <v>6665</v>
      </c>
      <c r="B373" s="12" t="s">
        <v>6666</v>
      </c>
      <c r="C373" s="13" t="s">
        <v>39</v>
      </c>
      <c r="D373" s="13" t="s">
        <v>6667</v>
      </c>
      <c r="E373" s="13" t="s">
        <v>6668</v>
      </c>
      <c r="F373" s="13" t="s">
        <v>1428</v>
      </c>
      <c r="G373" s="13" t="s">
        <v>1428</v>
      </c>
      <c r="H373" s="13" t="s">
        <v>6488</v>
      </c>
      <c r="I373" s="9">
        <f t="shared" ca="1" si="5"/>
        <v>8</v>
      </c>
      <c r="J373" s="13" t="s">
        <v>6669</v>
      </c>
      <c r="K373" s="13" t="s">
        <v>97</v>
      </c>
      <c r="L373" s="9" t="str">
        <f>VLOOKUP(K373,[1]中国省份_标准!$B$2:$F$35,4,FALSE)</f>
        <v>中部地区</v>
      </c>
      <c r="M373" s="9" t="str">
        <f>VLOOKUP(K373,[1]中国省份_标准!$B$2:$F$35,5,FALSE)</f>
        <v>华中地区</v>
      </c>
      <c r="N373" s="13" t="s">
        <v>4820</v>
      </c>
      <c r="O373" s="13" t="s">
        <v>6670</v>
      </c>
      <c r="P373" s="13" t="s">
        <v>6671</v>
      </c>
      <c r="Q373" s="13" t="s">
        <v>6672</v>
      </c>
      <c r="R373" s="13" t="s">
        <v>6673</v>
      </c>
      <c r="S373" s="13" t="s">
        <v>6674</v>
      </c>
      <c r="T373" s="13" t="s">
        <v>48</v>
      </c>
      <c r="U373" s="13" t="s">
        <v>6666</v>
      </c>
      <c r="V373" s="13" t="s">
        <v>6675</v>
      </c>
      <c r="W373" s="13" t="s">
        <v>6676</v>
      </c>
      <c r="X373" s="13" t="s">
        <v>77</v>
      </c>
      <c r="Y373" s="13" t="s">
        <v>283</v>
      </c>
      <c r="Z373" s="13" t="s">
        <v>6496</v>
      </c>
      <c r="AA373" s="13" t="s">
        <v>80</v>
      </c>
      <c r="AB373" s="13" t="s">
        <v>106</v>
      </c>
      <c r="AC373" s="13" t="s">
        <v>1132</v>
      </c>
      <c r="AD373" s="13" t="s">
        <v>1133</v>
      </c>
      <c r="AE373" s="13" t="s">
        <v>55</v>
      </c>
      <c r="AF373" s="13" t="s">
        <v>6677</v>
      </c>
      <c r="AG373" s="13" t="s">
        <v>39</v>
      </c>
      <c r="AH373" s="13" t="s">
        <v>39</v>
      </c>
      <c r="AI373" s="13" t="s">
        <v>6678</v>
      </c>
      <c r="AJ373" s="13" t="s">
        <v>6679</v>
      </c>
      <c r="AK373" s="13" t="s">
        <v>6680</v>
      </c>
      <c r="AL373" s="13" t="s">
        <v>88</v>
      </c>
    </row>
    <row r="374" spans="1:38" x14ac:dyDescent="0.4">
      <c r="A374" s="11" t="s">
        <v>6681</v>
      </c>
      <c r="B374" s="14" t="s">
        <v>6682</v>
      </c>
      <c r="C374" s="15" t="s">
        <v>39</v>
      </c>
      <c r="D374" s="15" t="s">
        <v>92</v>
      </c>
      <c r="E374" s="15" t="s">
        <v>6683</v>
      </c>
      <c r="F374" s="15" t="s">
        <v>999</v>
      </c>
      <c r="G374" s="15" t="s">
        <v>999</v>
      </c>
      <c r="H374" s="15" t="s">
        <v>6684</v>
      </c>
      <c r="I374" s="9">
        <f t="shared" ca="1" si="5"/>
        <v>13</v>
      </c>
      <c r="J374" s="15" t="s">
        <v>6685</v>
      </c>
      <c r="K374" s="15" t="s">
        <v>379</v>
      </c>
      <c r="L374" s="9" t="str">
        <f>VLOOKUP(K374,[1]中国省份_标准!$B$2:$F$35,4,FALSE)</f>
        <v>东部地区</v>
      </c>
      <c r="M374" s="9" t="str">
        <f>VLOOKUP(K374,[1]中国省份_标准!$B$2:$F$35,5,FALSE)</f>
        <v>华东地区</v>
      </c>
      <c r="N374" s="15" t="s">
        <v>380</v>
      </c>
      <c r="O374" s="15" t="s">
        <v>6686</v>
      </c>
      <c r="P374" s="15" t="s">
        <v>6687</v>
      </c>
      <c r="Q374" s="15" t="s">
        <v>39</v>
      </c>
      <c r="R374" s="15" t="s">
        <v>6688</v>
      </c>
      <c r="S374" s="15" t="s">
        <v>6689</v>
      </c>
      <c r="T374" s="15" t="s">
        <v>48</v>
      </c>
      <c r="U374" s="15" t="s">
        <v>6682</v>
      </c>
      <c r="V374" s="15" t="s">
        <v>6690</v>
      </c>
      <c r="W374" s="15" t="s">
        <v>6691</v>
      </c>
      <c r="X374" s="15" t="s">
        <v>6692</v>
      </c>
      <c r="Y374" s="15" t="s">
        <v>78</v>
      </c>
      <c r="Z374" s="15" t="s">
        <v>6693</v>
      </c>
      <c r="AA374" s="15" t="s">
        <v>169</v>
      </c>
      <c r="AB374" s="15" t="s">
        <v>412</v>
      </c>
      <c r="AC374" s="15" t="s">
        <v>413</v>
      </c>
      <c r="AD374" s="15" t="s">
        <v>1687</v>
      </c>
      <c r="AE374" s="15" t="s">
        <v>55</v>
      </c>
      <c r="AF374" s="15" t="s">
        <v>6694</v>
      </c>
      <c r="AG374" s="15" t="s">
        <v>39</v>
      </c>
      <c r="AH374" s="15" t="s">
        <v>39</v>
      </c>
      <c r="AI374" s="15" t="s">
        <v>6695</v>
      </c>
      <c r="AJ374" s="15" t="s">
        <v>6696</v>
      </c>
      <c r="AK374" s="15" t="s">
        <v>6697</v>
      </c>
      <c r="AL374" s="15" t="s">
        <v>88</v>
      </c>
    </row>
    <row r="375" spans="1:38" x14ac:dyDescent="0.4">
      <c r="A375" s="11" t="s">
        <v>6698</v>
      </c>
      <c r="B375" s="12" t="s">
        <v>6699</v>
      </c>
      <c r="C375" s="13" t="s">
        <v>39</v>
      </c>
      <c r="D375" s="13" t="s">
        <v>92</v>
      </c>
      <c r="E375" s="13" t="s">
        <v>6700</v>
      </c>
      <c r="F375" s="13" t="s">
        <v>1235</v>
      </c>
      <c r="G375" s="13" t="s">
        <v>1235</v>
      </c>
      <c r="H375" s="13" t="s">
        <v>6701</v>
      </c>
      <c r="I375" s="9">
        <f t="shared" ca="1" si="5"/>
        <v>7</v>
      </c>
      <c r="J375" s="13" t="s">
        <v>6702</v>
      </c>
      <c r="K375" s="13" t="s">
        <v>531</v>
      </c>
      <c r="L375" s="9" t="str">
        <f>VLOOKUP(K375,[1]中国省份_标准!$B$2:$F$35,4,FALSE)</f>
        <v>东部地区</v>
      </c>
      <c r="M375" s="9" t="str">
        <f>VLOOKUP(K375,[1]中国省份_标准!$B$2:$F$35,5,FALSE)</f>
        <v>华南地区</v>
      </c>
      <c r="N375" s="13" t="s">
        <v>1450</v>
      </c>
      <c r="O375" s="13" t="s">
        <v>2146</v>
      </c>
      <c r="P375" s="13" t="s">
        <v>6703</v>
      </c>
      <c r="Q375" s="13" t="s">
        <v>39</v>
      </c>
      <c r="R375" s="13" t="s">
        <v>6704</v>
      </c>
      <c r="S375" s="13" t="s">
        <v>39</v>
      </c>
      <c r="T375" s="13" t="s">
        <v>281</v>
      </c>
      <c r="U375" s="13" t="s">
        <v>6699</v>
      </c>
      <c r="V375" s="13" t="s">
        <v>39</v>
      </c>
      <c r="W375" s="13" t="s">
        <v>6705</v>
      </c>
      <c r="X375" s="13" t="s">
        <v>6706</v>
      </c>
      <c r="Y375" s="13" t="s">
        <v>78</v>
      </c>
      <c r="Z375" s="13" t="s">
        <v>6707</v>
      </c>
      <c r="AA375" s="13" t="s">
        <v>169</v>
      </c>
      <c r="AB375" s="13" t="s">
        <v>1264</v>
      </c>
      <c r="AC375" s="13" t="s">
        <v>1265</v>
      </c>
      <c r="AD375" s="13" t="s">
        <v>1265</v>
      </c>
      <c r="AE375" s="13" t="s">
        <v>55</v>
      </c>
      <c r="AF375" s="13" t="s">
        <v>6708</v>
      </c>
      <c r="AG375" s="13" t="s">
        <v>39</v>
      </c>
      <c r="AH375" s="13" t="s">
        <v>39</v>
      </c>
      <c r="AI375" s="13" t="s">
        <v>6709</v>
      </c>
      <c r="AJ375" s="13" t="s">
        <v>6710</v>
      </c>
      <c r="AK375" s="13" t="s">
        <v>2157</v>
      </c>
      <c r="AL375" s="13" t="s">
        <v>88</v>
      </c>
    </row>
    <row r="376" spans="1:38" x14ac:dyDescent="0.4">
      <c r="A376" s="11" t="s">
        <v>6711</v>
      </c>
      <c r="B376" s="14" t="s">
        <v>6712</v>
      </c>
      <c r="C376" s="15" t="s">
        <v>39</v>
      </c>
      <c r="D376" s="15" t="s">
        <v>63</v>
      </c>
      <c r="E376" s="15" t="s">
        <v>6713</v>
      </c>
      <c r="F376" s="15" t="s">
        <v>154</v>
      </c>
      <c r="G376" s="15" t="s">
        <v>39</v>
      </c>
      <c r="H376" s="15" t="s">
        <v>6714</v>
      </c>
      <c r="I376" s="9">
        <f t="shared" ca="1" si="5"/>
        <v>3</v>
      </c>
      <c r="J376" s="15" t="s">
        <v>6715</v>
      </c>
      <c r="K376" s="15" t="s">
        <v>425</v>
      </c>
      <c r="L376" s="9" t="str">
        <f>VLOOKUP(K376,[1]中国省份_标准!$B$2:$F$35,4,FALSE)</f>
        <v>东部地区</v>
      </c>
      <c r="M376" s="9" t="str">
        <f>VLOOKUP(K376,[1]中国省份_标准!$B$2:$F$35,5,FALSE)</f>
        <v>华东地区</v>
      </c>
      <c r="N376" s="15" t="s">
        <v>426</v>
      </c>
      <c r="O376" s="15" t="s">
        <v>427</v>
      </c>
      <c r="P376" s="15" t="s">
        <v>6716</v>
      </c>
      <c r="Q376" s="15" t="s">
        <v>6491</v>
      </c>
      <c r="R376" s="15" t="s">
        <v>6717</v>
      </c>
      <c r="S376" s="15" t="s">
        <v>39</v>
      </c>
      <c r="T376" s="15" t="s">
        <v>48</v>
      </c>
      <c r="U376" s="15" t="s">
        <v>6712</v>
      </c>
      <c r="V376" s="15" t="s">
        <v>6718</v>
      </c>
      <c r="W376" s="15" t="s">
        <v>6719</v>
      </c>
      <c r="X376" s="15" t="s">
        <v>77</v>
      </c>
      <c r="Y376" s="15" t="s">
        <v>78</v>
      </c>
      <c r="Z376" s="15" t="s">
        <v>6720</v>
      </c>
      <c r="AA376" s="15" t="s">
        <v>80</v>
      </c>
      <c r="AB376" s="15" t="s">
        <v>106</v>
      </c>
      <c r="AC376" s="15" t="s">
        <v>951</v>
      </c>
      <c r="AD376" s="15" t="s">
        <v>39</v>
      </c>
      <c r="AE376" s="15" t="s">
        <v>109</v>
      </c>
      <c r="AF376" s="15" t="s">
        <v>6721</v>
      </c>
      <c r="AG376" s="15" t="s">
        <v>39</v>
      </c>
      <c r="AH376" s="15" t="s">
        <v>39</v>
      </c>
      <c r="AI376" s="15" t="s">
        <v>6722</v>
      </c>
      <c r="AJ376" s="15" t="s">
        <v>6723</v>
      </c>
      <c r="AK376" s="15" t="s">
        <v>2191</v>
      </c>
      <c r="AL376" s="15" t="s">
        <v>88</v>
      </c>
    </row>
    <row r="377" spans="1:38" x14ac:dyDescent="0.4">
      <c r="A377" s="11" t="s">
        <v>6724</v>
      </c>
      <c r="B377" s="12" t="s">
        <v>6725</v>
      </c>
      <c r="C377" s="13" t="s">
        <v>39</v>
      </c>
      <c r="D377" s="13" t="s">
        <v>92</v>
      </c>
      <c r="E377" s="13" t="s">
        <v>6726</v>
      </c>
      <c r="F377" s="13" t="s">
        <v>1235</v>
      </c>
      <c r="G377" s="13" t="s">
        <v>39</v>
      </c>
      <c r="H377" s="13" t="s">
        <v>6727</v>
      </c>
      <c r="I377" s="9">
        <f t="shared" ca="1" si="5"/>
        <v>6</v>
      </c>
      <c r="J377" s="13" t="s">
        <v>6728</v>
      </c>
      <c r="K377" s="13" t="s">
        <v>531</v>
      </c>
      <c r="L377" s="9" t="str">
        <f>VLOOKUP(K377,[1]中国省份_标准!$B$2:$F$35,4,FALSE)</f>
        <v>东部地区</v>
      </c>
      <c r="M377" s="9" t="str">
        <f>VLOOKUP(K377,[1]中国省份_标准!$B$2:$F$35,5,FALSE)</f>
        <v>华南地区</v>
      </c>
      <c r="N377" s="13" t="s">
        <v>532</v>
      </c>
      <c r="O377" s="13" t="s">
        <v>2544</v>
      </c>
      <c r="P377" s="13" t="s">
        <v>6729</v>
      </c>
      <c r="Q377" s="13" t="s">
        <v>6730</v>
      </c>
      <c r="R377" s="13" t="s">
        <v>6731</v>
      </c>
      <c r="S377" s="13" t="s">
        <v>6732</v>
      </c>
      <c r="T377" s="13" t="s">
        <v>48</v>
      </c>
      <c r="U377" s="13" t="s">
        <v>6725</v>
      </c>
      <c r="V377" s="13" t="s">
        <v>6733</v>
      </c>
      <c r="W377" s="13" t="s">
        <v>6734</v>
      </c>
      <c r="X377" s="13" t="s">
        <v>673</v>
      </c>
      <c r="Y377" s="13" t="s">
        <v>78</v>
      </c>
      <c r="Z377" s="13" t="s">
        <v>6735</v>
      </c>
      <c r="AA377" s="13" t="s">
        <v>80</v>
      </c>
      <c r="AB377" s="13" t="s">
        <v>106</v>
      </c>
      <c r="AC377" s="13" t="s">
        <v>388</v>
      </c>
      <c r="AD377" s="13" t="s">
        <v>434</v>
      </c>
      <c r="AE377" s="13" t="s">
        <v>55</v>
      </c>
      <c r="AF377" s="13" t="s">
        <v>6736</v>
      </c>
      <c r="AG377" s="13" t="s">
        <v>39</v>
      </c>
      <c r="AH377" s="13" t="s">
        <v>39</v>
      </c>
      <c r="AI377" s="13" t="s">
        <v>6737</v>
      </c>
      <c r="AJ377" s="13" t="s">
        <v>6738</v>
      </c>
      <c r="AK377" s="13" t="s">
        <v>2554</v>
      </c>
      <c r="AL377" s="13" t="s">
        <v>88</v>
      </c>
    </row>
    <row r="378" spans="1:38" x14ac:dyDescent="0.4">
      <c r="A378" s="11" t="s">
        <v>6739</v>
      </c>
      <c r="B378" s="14" t="s">
        <v>6740</v>
      </c>
      <c r="C378" s="15" t="s">
        <v>39</v>
      </c>
      <c r="D378" s="15" t="s">
        <v>63</v>
      </c>
      <c r="E378" s="15" t="s">
        <v>6741</v>
      </c>
      <c r="F378" s="15" t="s">
        <v>6742</v>
      </c>
      <c r="G378" s="15" t="s">
        <v>6743</v>
      </c>
      <c r="H378" s="15" t="s">
        <v>6744</v>
      </c>
      <c r="I378" s="9">
        <f t="shared" ca="1" si="5"/>
        <v>5</v>
      </c>
      <c r="J378" s="15" t="s">
        <v>6745</v>
      </c>
      <c r="K378" s="15" t="s">
        <v>425</v>
      </c>
      <c r="L378" s="9" t="str">
        <f>VLOOKUP(K378,[1]中国省份_标准!$B$2:$F$35,4,FALSE)</f>
        <v>东部地区</v>
      </c>
      <c r="M378" s="9" t="str">
        <f>VLOOKUP(K378,[1]中国省份_标准!$B$2:$F$35,5,FALSE)</f>
        <v>华东地区</v>
      </c>
      <c r="N378" s="15" t="s">
        <v>3013</v>
      </c>
      <c r="O378" s="15" t="s">
        <v>3014</v>
      </c>
      <c r="P378" s="15" t="s">
        <v>6746</v>
      </c>
      <c r="Q378" s="15" t="s">
        <v>6747</v>
      </c>
      <c r="R378" s="15" t="s">
        <v>6748</v>
      </c>
      <c r="S378" s="15" t="s">
        <v>39</v>
      </c>
      <c r="T378" s="15" t="s">
        <v>48</v>
      </c>
      <c r="U378" s="15" t="s">
        <v>6740</v>
      </c>
      <c r="V378" s="15" t="s">
        <v>6749</v>
      </c>
      <c r="W378" s="15" t="s">
        <v>6750</v>
      </c>
      <c r="X378" s="15" t="s">
        <v>77</v>
      </c>
      <c r="Y378" s="15" t="s">
        <v>78</v>
      </c>
      <c r="Z378" s="15" t="s">
        <v>6751</v>
      </c>
      <c r="AA378" s="15" t="s">
        <v>1321</v>
      </c>
      <c r="AB378" s="15" t="s">
        <v>6752</v>
      </c>
      <c r="AC378" s="15" t="s">
        <v>6753</v>
      </c>
      <c r="AD378" s="15" t="s">
        <v>6754</v>
      </c>
      <c r="AE378" s="15" t="s">
        <v>55</v>
      </c>
      <c r="AF378" s="15" t="s">
        <v>6755</v>
      </c>
      <c r="AG378" s="15" t="s">
        <v>39</v>
      </c>
      <c r="AH378" s="15" t="s">
        <v>6756</v>
      </c>
      <c r="AI378" s="15" t="s">
        <v>6757</v>
      </c>
      <c r="AJ378" s="15" t="s">
        <v>6758</v>
      </c>
      <c r="AK378" s="15" t="s">
        <v>3023</v>
      </c>
      <c r="AL378" s="15" t="s">
        <v>88</v>
      </c>
    </row>
    <row r="379" spans="1:38" x14ac:dyDescent="0.4">
      <c r="A379" s="11" t="s">
        <v>6759</v>
      </c>
      <c r="B379" s="12" t="s">
        <v>6760</v>
      </c>
      <c r="C379" s="13" t="s">
        <v>39</v>
      </c>
      <c r="D379" s="13" t="s">
        <v>92</v>
      </c>
      <c r="E379" s="13" t="s">
        <v>6761</v>
      </c>
      <c r="F379" s="13" t="s">
        <v>640</v>
      </c>
      <c r="G379" s="13" t="s">
        <v>6762</v>
      </c>
      <c r="H379" s="13" t="s">
        <v>6763</v>
      </c>
      <c r="I379" s="9">
        <f t="shared" ca="1" si="5"/>
        <v>6</v>
      </c>
      <c r="J379" s="13" t="s">
        <v>6764</v>
      </c>
      <c r="K379" s="13" t="s">
        <v>425</v>
      </c>
      <c r="L379" s="9" t="str">
        <f>VLOOKUP(K379,[1]中国省份_标准!$B$2:$F$35,4,FALSE)</f>
        <v>东部地区</v>
      </c>
      <c r="M379" s="9" t="str">
        <f>VLOOKUP(K379,[1]中国省份_标准!$B$2:$F$35,5,FALSE)</f>
        <v>华东地区</v>
      </c>
      <c r="N379" s="13" t="s">
        <v>426</v>
      </c>
      <c r="O379" s="13" t="s">
        <v>427</v>
      </c>
      <c r="P379" s="13" t="s">
        <v>6765</v>
      </c>
      <c r="Q379" s="13" t="s">
        <v>1599</v>
      </c>
      <c r="R379" s="13" t="s">
        <v>6766</v>
      </c>
      <c r="S379" s="13" t="s">
        <v>6767</v>
      </c>
      <c r="T379" s="13" t="s">
        <v>281</v>
      </c>
      <c r="U379" s="13" t="s">
        <v>6760</v>
      </c>
      <c r="V379" s="13" t="s">
        <v>39</v>
      </c>
      <c r="W379" s="13" t="s">
        <v>6768</v>
      </c>
      <c r="X379" s="13" t="s">
        <v>77</v>
      </c>
      <c r="Y379" s="13" t="s">
        <v>78</v>
      </c>
      <c r="Z379" s="13" t="s">
        <v>6769</v>
      </c>
      <c r="AA379" s="13" t="s">
        <v>80</v>
      </c>
      <c r="AB379" s="13" t="s">
        <v>106</v>
      </c>
      <c r="AC379" s="13" t="s">
        <v>951</v>
      </c>
      <c r="AD379" s="13" t="s">
        <v>39</v>
      </c>
      <c r="AE379" s="13" t="s">
        <v>109</v>
      </c>
      <c r="AF379" s="13" t="s">
        <v>6770</v>
      </c>
      <c r="AG379" s="13" t="s">
        <v>39</v>
      </c>
      <c r="AH379" s="13" t="s">
        <v>39</v>
      </c>
      <c r="AI379" s="13" t="s">
        <v>6771</v>
      </c>
      <c r="AJ379" s="13" t="s">
        <v>2222</v>
      </c>
      <c r="AK379" s="13" t="s">
        <v>438</v>
      </c>
      <c r="AL379" s="13" t="s">
        <v>88</v>
      </c>
    </row>
    <row r="380" spans="1:38" x14ac:dyDescent="0.4">
      <c r="A380" s="11" t="s">
        <v>6772</v>
      </c>
      <c r="B380" s="14" t="s">
        <v>6773</v>
      </c>
      <c r="C380" s="15" t="s">
        <v>39</v>
      </c>
      <c r="D380" s="15" t="s">
        <v>63</v>
      </c>
      <c r="E380" s="15" t="s">
        <v>6774</v>
      </c>
      <c r="F380" s="15" t="s">
        <v>154</v>
      </c>
      <c r="G380" s="15" t="s">
        <v>39</v>
      </c>
      <c r="H380" s="15" t="s">
        <v>5531</v>
      </c>
      <c r="I380" s="9">
        <f t="shared" ca="1" si="5"/>
        <v>8</v>
      </c>
      <c r="J380" s="15" t="s">
        <v>6775</v>
      </c>
      <c r="K380" s="15" t="s">
        <v>531</v>
      </c>
      <c r="L380" s="9" t="str">
        <f>VLOOKUP(K380,[1]中国省份_标准!$B$2:$F$35,4,FALSE)</f>
        <v>东部地区</v>
      </c>
      <c r="M380" s="9" t="str">
        <f>VLOOKUP(K380,[1]中国省份_标准!$B$2:$F$35,5,FALSE)</f>
        <v>华南地区</v>
      </c>
      <c r="N380" s="15" t="s">
        <v>532</v>
      </c>
      <c r="O380" s="15" t="s">
        <v>533</v>
      </c>
      <c r="P380" s="15" t="s">
        <v>6776</v>
      </c>
      <c r="Q380" s="15" t="s">
        <v>6777</v>
      </c>
      <c r="R380" s="15" t="s">
        <v>6778</v>
      </c>
      <c r="S380" s="15" t="s">
        <v>6779</v>
      </c>
      <c r="T380" s="15" t="s">
        <v>48</v>
      </c>
      <c r="U380" s="15" t="s">
        <v>6773</v>
      </c>
      <c r="V380" s="15" t="s">
        <v>6780</v>
      </c>
      <c r="W380" s="15" t="s">
        <v>6781</v>
      </c>
      <c r="X380" s="15" t="s">
        <v>791</v>
      </c>
      <c r="Y380" s="15" t="s">
        <v>283</v>
      </c>
      <c r="Z380" s="15" t="s">
        <v>5541</v>
      </c>
      <c r="AA380" s="15" t="s">
        <v>80</v>
      </c>
      <c r="AB380" s="15" t="s">
        <v>106</v>
      </c>
      <c r="AC380" s="15" t="s">
        <v>388</v>
      </c>
      <c r="AD380" s="15" t="s">
        <v>434</v>
      </c>
      <c r="AE380" s="15" t="s">
        <v>109</v>
      </c>
      <c r="AF380" s="15" t="s">
        <v>6782</v>
      </c>
      <c r="AG380" s="15" t="s">
        <v>39</v>
      </c>
      <c r="AH380" s="15" t="s">
        <v>39</v>
      </c>
      <c r="AI380" s="15" t="s">
        <v>6783</v>
      </c>
      <c r="AJ380" s="15" t="s">
        <v>6784</v>
      </c>
      <c r="AK380" s="15" t="s">
        <v>545</v>
      </c>
      <c r="AL380" s="15" t="s">
        <v>88</v>
      </c>
    </row>
    <row r="381" spans="1:38" x14ac:dyDescent="0.4">
      <c r="A381" s="11" t="s">
        <v>6785</v>
      </c>
      <c r="B381" s="12" t="s">
        <v>6786</v>
      </c>
      <c r="C381" s="13" t="s">
        <v>39</v>
      </c>
      <c r="D381" s="13" t="s">
        <v>92</v>
      </c>
      <c r="E381" s="13" t="s">
        <v>6787</v>
      </c>
      <c r="F381" s="13" t="s">
        <v>442</v>
      </c>
      <c r="G381" s="13" t="s">
        <v>442</v>
      </c>
      <c r="H381" s="13" t="s">
        <v>6788</v>
      </c>
      <c r="I381" s="9">
        <f t="shared" ca="1" si="5"/>
        <v>8</v>
      </c>
      <c r="J381" s="13" t="s">
        <v>6789</v>
      </c>
      <c r="K381" s="13" t="s">
        <v>702</v>
      </c>
      <c r="L381" s="9" t="str">
        <f>VLOOKUP(K381,[1]中国省份_标准!$B$2:$F$35,4,FALSE)</f>
        <v>东部地区</v>
      </c>
      <c r="M381" s="9" t="str">
        <f>VLOOKUP(K381,[1]中国省份_标准!$B$2:$F$35,5,FALSE)</f>
        <v>华北地区</v>
      </c>
      <c r="N381" s="13" t="s">
        <v>6790</v>
      </c>
      <c r="O381" s="13" t="s">
        <v>6791</v>
      </c>
      <c r="P381" s="13" t="s">
        <v>6792</v>
      </c>
      <c r="Q381" s="13" t="s">
        <v>39</v>
      </c>
      <c r="R381" s="13" t="s">
        <v>39</v>
      </c>
      <c r="S381" s="13" t="s">
        <v>39</v>
      </c>
      <c r="T381" s="13" t="s">
        <v>48</v>
      </c>
      <c r="U381" s="13" t="s">
        <v>6786</v>
      </c>
      <c r="V381" s="13" t="s">
        <v>6793</v>
      </c>
      <c r="W381" s="13" t="s">
        <v>6794</v>
      </c>
      <c r="X381" s="13" t="s">
        <v>557</v>
      </c>
      <c r="Y381" s="13" t="s">
        <v>78</v>
      </c>
      <c r="Z381" s="13" t="s">
        <v>6795</v>
      </c>
      <c r="AA381" s="13" t="s">
        <v>169</v>
      </c>
      <c r="AB381" s="13" t="s">
        <v>6796</v>
      </c>
      <c r="AC381" s="13" t="s">
        <v>6797</v>
      </c>
      <c r="AD381" s="13" t="s">
        <v>6798</v>
      </c>
      <c r="AE381" s="13" t="s">
        <v>55</v>
      </c>
      <c r="AF381" s="13" t="s">
        <v>6799</v>
      </c>
      <c r="AG381" s="13" t="s">
        <v>39</v>
      </c>
      <c r="AH381" s="13" t="s">
        <v>39</v>
      </c>
      <c r="AI381" s="13" t="s">
        <v>6800</v>
      </c>
      <c r="AJ381" s="13" t="s">
        <v>6801</v>
      </c>
      <c r="AK381" s="13" t="s">
        <v>6802</v>
      </c>
      <c r="AL381" s="13" t="s">
        <v>88</v>
      </c>
    </row>
    <row r="382" spans="1:38" x14ac:dyDescent="0.4">
      <c r="A382" s="11" t="s">
        <v>6803</v>
      </c>
      <c r="B382" s="14" t="s">
        <v>6804</v>
      </c>
      <c r="C382" s="15" t="s">
        <v>6805</v>
      </c>
      <c r="D382" s="15" t="s">
        <v>92</v>
      </c>
      <c r="E382" s="15" t="s">
        <v>6806</v>
      </c>
      <c r="F382" s="15" t="s">
        <v>6807</v>
      </c>
      <c r="G382" s="15" t="s">
        <v>6807</v>
      </c>
      <c r="H382" s="15" t="s">
        <v>6808</v>
      </c>
      <c r="I382" s="9">
        <f t="shared" ca="1" si="5"/>
        <v>32</v>
      </c>
      <c r="J382" s="15" t="s">
        <v>6809</v>
      </c>
      <c r="K382" s="15" t="s">
        <v>531</v>
      </c>
      <c r="L382" s="9" t="str">
        <f>VLOOKUP(K382,[1]中国省份_标准!$B$2:$F$35,4,FALSE)</f>
        <v>东部地区</v>
      </c>
      <c r="M382" s="9" t="str">
        <f>VLOOKUP(K382,[1]中国省份_标准!$B$2:$F$35,5,FALSE)</f>
        <v>华南地区</v>
      </c>
      <c r="N382" s="15" t="s">
        <v>1450</v>
      </c>
      <c r="O382" s="15" t="s">
        <v>2146</v>
      </c>
      <c r="P382" s="15" t="s">
        <v>6810</v>
      </c>
      <c r="Q382" s="15" t="s">
        <v>6811</v>
      </c>
      <c r="R382" s="15" t="s">
        <v>6812</v>
      </c>
      <c r="S382" s="15" t="s">
        <v>6813</v>
      </c>
      <c r="T382" s="15" t="s">
        <v>6814</v>
      </c>
      <c r="U382" s="15" t="s">
        <v>6804</v>
      </c>
      <c r="V382" s="15" t="s">
        <v>6815</v>
      </c>
      <c r="W382" s="15" t="s">
        <v>6816</v>
      </c>
      <c r="X382" s="15" t="s">
        <v>5403</v>
      </c>
      <c r="Y382" s="15" t="s">
        <v>731</v>
      </c>
      <c r="Z382" s="15" t="s">
        <v>6817</v>
      </c>
      <c r="AA382" s="15" t="s">
        <v>169</v>
      </c>
      <c r="AB382" s="15" t="s">
        <v>412</v>
      </c>
      <c r="AC382" s="15" t="s">
        <v>413</v>
      </c>
      <c r="AD382" s="15" t="s">
        <v>39</v>
      </c>
      <c r="AE382" s="15" t="s">
        <v>55</v>
      </c>
      <c r="AF382" s="15" t="s">
        <v>6818</v>
      </c>
      <c r="AG382" s="15" t="s">
        <v>39</v>
      </c>
      <c r="AH382" s="15" t="s">
        <v>39</v>
      </c>
      <c r="AI382" s="15" t="s">
        <v>6819</v>
      </c>
      <c r="AJ382" s="15" t="s">
        <v>6820</v>
      </c>
      <c r="AK382" s="15" t="s">
        <v>2157</v>
      </c>
      <c r="AL382" s="15" t="s">
        <v>88</v>
      </c>
    </row>
    <row r="383" spans="1:38" x14ac:dyDescent="0.4">
      <c r="A383" s="11" t="s">
        <v>6821</v>
      </c>
      <c r="B383" s="12" t="s">
        <v>6822</v>
      </c>
      <c r="C383" s="13" t="s">
        <v>39</v>
      </c>
      <c r="D383" s="13" t="s">
        <v>92</v>
      </c>
      <c r="E383" s="13" t="s">
        <v>6823</v>
      </c>
      <c r="F383" s="13" t="s">
        <v>422</v>
      </c>
      <c r="G383" s="13" t="s">
        <v>39</v>
      </c>
      <c r="H383" s="13" t="s">
        <v>6824</v>
      </c>
      <c r="I383" s="9">
        <f t="shared" ca="1" si="5"/>
        <v>2</v>
      </c>
      <c r="J383" s="13" t="s">
        <v>6825</v>
      </c>
      <c r="K383" s="13" t="s">
        <v>227</v>
      </c>
      <c r="L383" s="9" t="str">
        <f>VLOOKUP(K383,[1]中国省份_标准!$B$2:$F$35,4,FALSE)</f>
        <v>西部地区</v>
      </c>
      <c r="M383" s="9" t="str">
        <f>VLOOKUP(K383,[1]中国省份_标准!$B$2:$F$35,5,FALSE)</f>
        <v>西北地区</v>
      </c>
      <c r="N383" s="13" t="s">
        <v>3212</v>
      </c>
      <c r="O383" s="13" t="s">
        <v>6826</v>
      </c>
      <c r="P383" s="13" t="s">
        <v>6827</v>
      </c>
      <c r="Q383" s="13" t="s">
        <v>39</v>
      </c>
      <c r="R383" s="13" t="s">
        <v>39</v>
      </c>
      <c r="S383" s="13" t="s">
        <v>39</v>
      </c>
      <c r="T383" s="13" t="s">
        <v>48</v>
      </c>
      <c r="U383" s="13" t="s">
        <v>6822</v>
      </c>
      <c r="V383" s="13" t="s">
        <v>39</v>
      </c>
      <c r="W383" s="13" t="s">
        <v>6828</v>
      </c>
      <c r="X383" s="13" t="s">
        <v>77</v>
      </c>
      <c r="Y383" s="13" t="s">
        <v>78</v>
      </c>
      <c r="Z383" s="13" t="s">
        <v>6829</v>
      </c>
      <c r="AA383" s="13" t="s">
        <v>80</v>
      </c>
      <c r="AB383" s="13" t="s">
        <v>106</v>
      </c>
      <c r="AC383" s="13" t="s">
        <v>808</v>
      </c>
      <c r="AD383" s="13" t="s">
        <v>893</v>
      </c>
      <c r="AE383" s="13" t="s">
        <v>109</v>
      </c>
      <c r="AF383" s="13" t="s">
        <v>6830</v>
      </c>
      <c r="AG383" s="13" t="s">
        <v>39</v>
      </c>
      <c r="AH383" s="13" t="s">
        <v>6831</v>
      </c>
      <c r="AI383" s="13" t="s">
        <v>6832</v>
      </c>
      <c r="AJ383" s="13" t="s">
        <v>6833</v>
      </c>
      <c r="AK383" s="13" t="s">
        <v>6834</v>
      </c>
      <c r="AL383" s="13" t="s">
        <v>88</v>
      </c>
    </row>
    <row r="384" spans="1:38" x14ac:dyDescent="0.4">
      <c r="A384" s="11" t="s">
        <v>6835</v>
      </c>
      <c r="B384" s="14" t="s">
        <v>6836</v>
      </c>
      <c r="C384" s="15" t="s">
        <v>39</v>
      </c>
      <c r="D384" s="15" t="s">
        <v>92</v>
      </c>
      <c r="E384" s="15" t="s">
        <v>6837</v>
      </c>
      <c r="F384" s="15" t="s">
        <v>178</v>
      </c>
      <c r="G384" s="15" t="s">
        <v>178</v>
      </c>
      <c r="H384" s="15" t="s">
        <v>6838</v>
      </c>
      <c r="I384" s="9">
        <f t="shared" ca="1" si="5"/>
        <v>10</v>
      </c>
      <c r="J384" s="15" t="s">
        <v>6839</v>
      </c>
      <c r="K384" s="15" t="s">
        <v>425</v>
      </c>
      <c r="L384" s="9" t="str">
        <f>VLOOKUP(K384,[1]中国省份_标准!$B$2:$F$35,4,FALSE)</f>
        <v>东部地区</v>
      </c>
      <c r="M384" s="9" t="str">
        <f>VLOOKUP(K384,[1]中国省份_标准!$B$2:$F$35,5,FALSE)</f>
        <v>华东地区</v>
      </c>
      <c r="N384" s="15" t="s">
        <v>426</v>
      </c>
      <c r="O384" s="15" t="s">
        <v>427</v>
      </c>
      <c r="P384" s="15" t="s">
        <v>6840</v>
      </c>
      <c r="Q384" s="15" t="s">
        <v>39</v>
      </c>
      <c r="R384" s="15" t="s">
        <v>6841</v>
      </c>
      <c r="S384" s="15" t="s">
        <v>6842</v>
      </c>
      <c r="T384" s="15" t="s">
        <v>48</v>
      </c>
      <c r="U384" s="15" t="s">
        <v>6836</v>
      </c>
      <c r="V384" s="15" t="s">
        <v>6843</v>
      </c>
      <c r="W384" s="15" t="s">
        <v>6844</v>
      </c>
      <c r="X384" s="15" t="s">
        <v>1130</v>
      </c>
      <c r="Y384" s="15" t="s">
        <v>78</v>
      </c>
      <c r="Z384" s="15" t="s">
        <v>6845</v>
      </c>
      <c r="AA384" s="15" t="s">
        <v>80</v>
      </c>
      <c r="AB384" s="15" t="s">
        <v>106</v>
      </c>
      <c r="AC384" s="15" t="s">
        <v>107</v>
      </c>
      <c r="AD384" s="15" t="s">
        <v>39</v>
      </c>
      <c r="AE384" s="15" t="s">
        <v>55</v>
      </c>
      <c r="AF384" s="15" t="s">
        <v>6846</v>
      </c>
      <c r="AG384" s="15" t="s">
        <v>39</v>
      </c>
      <c r="AH384" s="15" t="s">
        <v>6847</v>
      </c>
      <c r="AI384" s="15" t="s">
        <v>6848</v>
      </c>
      <c r="AJ384" s="15" t="s">
        <v>6849</v>
      </c>
      <c r="AK384" s="15" t="s">
        <v>2191</v>
      </c>
      <c r="AL384" s="15" t="s">
        <v>88</v>
      </c>
    </row>
    <row r="385" spans="1:38" x14ac:dyDescent="0.4">
      <c r="A385" s="11" t="s">
        <v>6850</v>
      </c>
      <c r="B385" s="12" t="s">
        <v>6851</v>
      </c>
      <c r="C385" s="13" t="s">
        <v>39</v>
      </c>
      <c r="D385" s="13" t="s">
        <v>92</v>
      </c>
      <c r="E385" s="13" t="s">
        <v>6852</v>
      </c>
      <c r="F385" s="13" t="s">
        <v>154</v>
      </c>
      <c r="G385" s="13" t="s">
        <v>39</v>
      </c>
      <c r="H385" s="13" t="s">
        <v>6853</v>
      </c>
      <c r="I385" s="9">
        <f t="shared" ca="1" si="5"/>
        <v>5</v>
      </c>
      <c r="J385" s="13" t="s">
        <v>6854</v>
      </c>
      <c r="K385" s="13" t="s">
        <v>379</v>
      </c>
      <c r="L385" s="9" t="str">
        <f>VLOOKUP(K385,[1]中国省份_标准!$B$2:$F$35,4,FALSE)</f>
        <v>东部地区</v>
      </c>
      <c r="M385" s="9" t="str">
        <f>VLOOKUP(K385,[1]中国省份_标准!$B$2:$F$35,5,FALSE)</f>
        <v>华东地区</v>
      </c>
      <c r="N385" s="13" t="s">
        <v>1276</v>
      </c>
      <c r="O385" s="13" t="s">
        <v>1315</v>
      </c>
      <c r="P385" s="13" t="s">
        <v>6855</v>
      </c>
      <c r="Q385" s="13" t="s">
        <v>39</v>
      </c>
      <c r="R385" s="13" t="s">
        <v>39</v>
      </c>
      <c r="S385" s="13" t="s">
        <v>39</v>
      </c>
      <c r="T385" s="13" t="s">
        <v>281</v>
      </c>
      <c r="U385" s="13" t="s">
        <v>6851</v>
      </c>
      <c r="V385" s="13" t="s">
        <v>39</v>
      </c>
      <c r="W385" s="13" t="s">
        <v>6856</v>
      </c>
      <c r="X385" s="13" t="s">
        <v>690</v>
      </c>
      <c r="Y385" s="13" t="s">
        <v>78</v>
      </c>
      <c r="Z385" s="13" t="s">
        <v>6857</v>
      </c>
      <c r="AA385" s="13" t="s">
        <v>169</v>
      </c>
      <c r="AB385" s="13" t="s">
        <v>1264</v>
      </c>
      <c r="AC385" s="13" t="s">
        <v>1265</v>
      </c>
      <c r="AD385" s="13" t="s">
        <v>1265</v>
      </c>
      <c r="AE385" s="13" t="s">
        <v>55</v>
      </c>
      <c r="AF385" s="13" t="s">
        <v>6858</v>
      </c>
      <c r="AG385" s="13" t="s">
        <v>39</v>
      </c>
      <c r="AH385" s="13" t="s">
        <v>6859</v>
      </c>
      <c r="AI385" s="13" t="s">
        <v>6860</v>
      </c>
      <c r="AJ385" s="13" t="s">
        <v>1504</v>
      </c>
      <c r="AK385" s="13" t="s">
        <v>1327</v>
      </c>
      <c r="AL385" s="13" t="s">
        <v>88</v>
      </c>
    </row>
    <row r="386" spans="1:38" x14ac:dyDescent="0.4">
      <c r="A386" s="11" t="s">
        <v>6861</v>
      </c>
      <c r="B386" s="14" t="s">
        <v>6862</v>
      </c>
      <c r="C386" s="15" t="s">
        <v>39</v>
      </c>
      <c r="D386" s="15" t="s">
        <v>6863</v>
      </c>
      <c r="E386" s="15" t="s">
        <v>6864</v>
      </c>
      <c r="F386" s="15" t="s">
        <v>1235</v>
      </c>
      <c r="G386" s="15" t="s">
        <v>39</v>
      </c>
      <c r="H386" s="15" t="s">
        <v>6865</v>
      </c>
      <c r="I386" s="9">
        <f t="shared" ca="1" si="5"/>
        <v>2</v>
      </c>
      <c r="J386" s="15" t="s">
        <v>6866</v>
      </c>
      <c r="K386" s="15" t="s">
        <v>379</v>
      </c>
      <c r="L386" s="9" t="str">
        <f>VLOOKUP(K386,[1]中国省份_标准!$B$2:$F$35,4,FALSE)</f>
        <v>东部地区</v>
      </c>
      <c r="M386" s="9" t="str">
        <f>VLOOKUP(K386,[1]中国省份_标准!$B$2:$F$35,5,FALSE)</f>
        <v>华东地区</v>
      </c>
      <c r="N386" s="15" t="s">
        <v>1276</v>
      </c>
      <c r="O386" s="15" t="s">
        <v>1315</v>
      </c>
      <c r="P386" s="15" t="s">
        <v>6867</v>
      </c>
      <c r="Q386" s="15" t="s">
        <v>39</v>
      </c>
      <c r="R386" s="15" t="s">
        <v>39</v>
      </c>
      <c r="S386" s="15" t="s">
        <v>39</v>
      </c>
      <c r="T386" s="15" t="s">
        <v>281</v>
      </c>
      <c r="U386" s="15" t="s">
        <v>6862</v>
      </c>
      <c r="V386" s="15" t="s">
        <v>6868</v>
      </c>
      <c r="W386" s="15" t="s">
        <v>6869</v>
      </c>
      <c r="X386" s="15" t="s">
        <v>77</v>
      </c>
      <c r="Y386" s="15" t="s">
        <v>78</v>
      </c>
      <c r="Z386" s="15" t="s">
        <v>6870</v>
      </c>
      <c r="AA386" s="15" t="s">
        <v>169</v>
      </c>
      <c r="AB386" s="15" t="s">
        <v>1264</v>
      </c>
      <c r="AC386" s="15" t="s">
        <v>1265</v>
      </c>
      <c r="AD386" s="15" t="s">
        <v>1265</v>
      </c>
      <c r="AE386" s="15" t="s">
        <v>109</v>
      </c>
      <c r="AF386" s="15" t="s">
        <v>6871</v>
      </c>
      <c r="AG386" s="15" t="s">
        <v>39</v>
      </c>
      <c r="AH386" s="15" t="s">
        <v>39</v>
      </c>
      <c r="AI386" s="15" t="s">
        <v>6872</v>
      </c>
      <c r="AJ386" s="15" t="s">
        <v>6873</v>
      </c>
      <c r="AK386" s="15" t="s">
        <v>1327</v>
      </c>
      <c r="AL386" s="15" t="s">
        <v>88</v>
      </c>
    </row>
    <row r="387" spans="1:38" x14ac:dyDescent="0.4">
      <c r="A387" s="11" t="s">
        <v>6874</v>
      </c>
      <c r="B387" s="12" t="s">
        <v>6875</v>
      </c>
      <c r="C387" s="13" t="s">
        <v>39</v>
      </c>
      <c r="D387" s="13" t="s">
        <v>92</v>
      </c>
      <c r="E387" s="13" t="s">
        <v>6876</v>
      </c>
      <c r="F387" s="13" t="s">
        <v>6877</v>
      </c>
      <c r="G387" s="13" t="s">
        <v>178</v>
      </c>
      <c r="H387" s="13" t="s">
        <v>6878</v>
      </c>
      <c r="I387" s="9">
        <f t="shared" ref="I387:I450" ca="1" si="6">DATEDIF(H387, TODAY(), "Y")</f>
        <v>11</v>
      </c>
      <c r="J387" s="13" t="s">
        <v>6879</v>
      </c>
      <c r="K387" s="13" t="s">
        <v>227</v>
      </c>
      <c r="L387" s="9" t="str">
        <f>VLOOKUP(K387,[1]中国省份_标准!$B$2:$F$35,4,FALSE)</f>
        <v>西部地区</v>
      </c>
      <c r="M387" s="9" t="str">
        <f>VLOOKUP(K387,[1]中国省份_标准!$B$2:$F$35,5,FALSE)</f>
        <v>西北地区</v>
      </c>
      <c r="N387" s="13" t="s">
        <v>763</v>
      </c>
      <c r="O387" s="13" t="s">
        <v>6880</v>
      </c>
      <c r="P387" s="13" t="s">
        <v>6881</v>
      </c>
      <c r="Q387" s="13" t="s">
        <v>6882</v>
      </c>
      <c r="R387" s="13" t="s">
        <v>6883</v>
      </c>
      <c r="S387" s="13" t="s">
        <v>6884</v>
      </c>
      <c r="T387" s="13" t="s">
        <v>48</v>
      </c>
      <c r="U387" s="13" t="s">
        <v>6875</v>
      </c>
      <c r="V387" s="13" t="s">
        <v>6885</v>
      </c>
      <c r="W387" s="13" t="s">
        <v>6886</v>
      </c>
      <c r="X387" s="13" t="s">
        <v>6887</v>
      </c>
      <c r="Y387" s="13" t="s">
        <v>78</v>
      </c>
      <c r="Z387" s="13" t="s">
        <v>6888</v>
      </c>
      <c r="AA387" s="13" t="s">
        <v>80</v>
      </c>
      <c r="AB387" s="13" t="s">
        <v>106</v>
      </c>
      <c r="AC387" s="13" t="s">
        <v>808</v>
      </c>
      <c r="AD387" s="13" t="s">
        <v>893</v>
      </c>
      <c r="AE387" s="13" t="s">
        <v>262</v>
      </c>
      <c r="AF387" s="13" t="s">
        <v>6889</v>
      </c>
      <c r="AG387" s="13" t="s">
        <v>39</v>
      </c>
      <c r="AH387" s="13" t="s">
        <v>39</v>
      </c>
      <c r="AI387" s="13" t="s">
        <v>6890</v>
      </c>
      <c r="AJ387" s="13" t="s">
        <v>6891</v>
      </c>
      <c r="AK387" s="13" t="s">
        <v>6892</v>
      </c>
      <c r="AL387" s="13" t="s">
        <v>88</v>
      </c>
    </row>
    <row r="388" spans="1:38" x14ac:dyDescent="0.4">
      <c r="A388" s="11" t="s">
        <v>6893</v>
      </c>
      <c r="B388" s="14" t="s">
        <v>6894</v>
      </c>
      <c r="C388" s="15" t="s">
        <v>6895</v>
      </c>
      <c r="D388" s="15" t="s">
        <v>63</v>
      </c>
      <c r="E388" s="15" t="s">
        <v>6896</v>
      </c>
      <c r="F388" s="15" t="s">
        <v>6897</v>
      </c>
      <c r="G388" s="15" t="s">
        <v>39</v>
      </c>
      <c r="H388" s="15" t="s">
        <v>800</v>
      </c>
      <c r="I388" s="9">
        <f t="shared" ca="1" si="6"/>
        <v>3</v>
      </c>
      <c r="J388" s="15" t="s">
        <v>6898</v>
      </c>
      <c r="K388" s="15" t="s">
        <v>67</v>
      </c>
      <c r="L388" s="9" t="str">
        <f>VLOOKUP(K388,[1]中国省份_标准!$B$2:$F$35,4,FALSE)</f>
        <v>东部地区</v>
      </c>
      <c r="M388" s="9" t="str">
        <f>VLOOKUP(K388,[1]中国省份_标准!$B$2:$F$35,5,FALSE)</f>
        <v>华东地区</v>
      </c>
      <c r="N388" s="15" t="s">
        <v>1809</v>
      </c>
      <c r="O388" s="15" t="s">
        <v>6899</v>
      </c>
      <c r="P388" s="15" t="s">
        <v>6900</v>
      </c>
      <c r="Q388" s="15" t="s">
        <v>6901</v>
      </c>
      <c r="R388" s="15" t="s">
        <v>6902</v>
      </c>
      <c r="S388" s="15" t="s">
        <v>39</v>
      </c>
      <c r="T388" s="15" t="s">
        <v>2932</v>
      </c>
      <c r="U388" s="15" t="s">
        <v>6894</v>
      </c>
      <c r="V388" s="15" t="s">
        <v>6903</v>
      </c>
      <c r="W388" s="15" t="s">
        <v>6904</v>
      </c>
      <c r="X388" s="15" t="s">
        <v>2566</v>
      </c>
      <c r="Y388" s="15" t="s">
        <v>78</v>
      </c>
      <c r="Z388" s="15" t="s">
        <v>807</v>
      </c>
      <c r="AA388" s="15" t="s">
        <v>1796</v>
      </c>
      <c r="AB388" s="15" t="s">
        <v>2851</v>
      </c>
      <c r="AC388" s="15" t="s">
        <v>2852</v>
      </c>
      <c r="AD388" s="15" t="s">
        <v>6905</v>
      </c>
      <c r="AE388" s="15" t="s">
        <v>55</v>
      </c>
      <c r="AF388" s="15" t="s">
        <v>6906</v>
      </c>
      <c r="AG388" s="15" t="s">
        <v>39</v>
      </c>
      <c r="AH388" s="15" t="s">
        <v>6907</v>
      </c>
      <c r="AI388" s="15" t="s">
        <v>6908</v>
      </c>
      <c r="AJ388" s="15" t="s">
        <v>6909</v>
      </c>
      <c r="AK388" s="15" t="s">
        <v>6910</v>
      </c>
      <c r="AL388" s="15" t="s">
        <v>88</v>
      </c>
    </row>
    <row r="389" spans="1:38" x14ac:dyDescent="0.4">
      <c r="A389" s="11" t="s">
        <v>6911</v>
      </c>
      <c r="B389" s="12" t="s">
        <v>6912</v>
      </c>
      <c r="C389" s="13" t="s">
        <v>39</v>
      </c>
      <c r="D389" s="13" t="s">
        <v>92</v>
      </c>
      <c r="E389" s="13" t="s">
        <v>6913</v>
      </c>
      <c r="F389" s="13" t="s">
        <v>154</v>
      </c>
      <c r="G389" s="13" t="s">
        <v>39</v>
      </c>
      <c r="H389" s="13" t="s">
        <v>6914</v>
      </c>
      <c r="I389" s="9">
        <f t="shared" ca="1" si="6"/>
        <v>7</v>
      </c>
      <c r="J389" s="13" t="s">
        <v>6915</v>
      </c>
      <c r="K389" s="13" t="s">
        <v>531</v>
      </c>
      <c r="L389" s="9" t="str">
        <f>VLOOKUP(K389,[1]中国省份_标准!$B$2:$F$35,4,FALSE)</f>
        <v>东部地区</v>
      </c>
      <c r="M389" s="9" t="str">
        <f>VLOOKUP(K389,[1]中国省份_标准!$B$2:$F$35,5,FALSE)</f>
        <v>华南地区</v>
      </c>
      <c r="N389" s="13" t="s">
        <v>1450</v>
      </c>
      <c r="O389" s="13" t="s">
        <v>1847</v>
      </c>
      <c r="P389" s="13" t="s">
        <v>6916</v>
      </c>
      <c r="Q389" s="13" t="s">
        <v>6917</v>
      </c>
      <c r="R389" s="13" t="s">
        <v>2580</v>
      </c>
      <c r="S389" s="13" t="s">
        <v>6918</v>
      </c>
      <c r="T389" s="13" t="s">
        <v>281</v>
      </c>
      <c r="U389" s="13" t="s">
        <v>6912</v>
      </c>
      <c r="V389" s="13" t="s">
        <v>6919</v>
      </c>
      <c r="W389" s="13" t="s">
        <v>6920</v>
      </c>
      <c r="X389" s="13" t="s">
        <v>77</v>
      </c>
      <c r="Y389" s="13" t="s">
        <v>78</v>
      </c>
      <c r="Z389" s="13" t="s">
        <v>6921</v>
      </c>
      <c r="AA389" s="13" t="s">
        <v>80</v>
      </c>
      <c r="AB389" s="13" t="s">
        <v>106</v>
      </c>
      <c r="AC389" s="13" t="s">
        <v>388</v>
      </c>
      <c r="AD389" s="13" t="s">
        <v>434</v>
      </c>
      <c r="AE389" s="13" t="s">
        <v>109</v>
      </c>
      <c r="AF389" s="13" t="s">
        <v>6922</v>
      </c>
      <c r="AG389" s="13" t="s">
        <v>39</v>
      </c>
      <c r="AH389" s="13" t="s">
        <v>39</v>
      </c>
      <c r="AI389" s="13" t="s">
        <v>6923</v>
      </c>
      <c r="AJ389" s="13" t="s">
        <v>6924</v>
      </c>
      <c r="AK389" s="13" t="s">
        <v>1856</v>
      </c>
      <c r="AL389" s="13" t="s">
        <v>88</v>
      </c>
    </row>
    <row r="390" spans="1:38" x14ac:dyDescent="0.4">
      <c r="A390" s="11" t="s">
        <v>6925</v>
      </c>
      <c r="B390" s="14" t="s">
        <v>6926</v>
      </c>
      <c r="C390" s="15" t="s">
        <v>39</v>
      </c>
      <c r="D390" s="15" t="s">
        <v>63</v>
      </c>
      <c r="E390" s="15" t="s">
        <v>6927</v>
      </c>
      <c r="F390" s="15" t="s">
        <v>640</v>
      </c>
      <c r="G390" s="15" t="s">
        <v>640</v>
      </c>
      <c r="H390" s="15" t="s">
        <v>6928</v>
      </c>
      <c r="I390" s="9">
        <f t="shared" ca="1" si="6"/>
        <v>11</v>
      </c>
      <c r="J390" s="15" t="s">
        <v>6929</v>
      </c>
      <c r="K390" s="15" t="s">
        <v>67</v>
      </c>
      <c r="L390" s="9" t="str">
        <f>VLOOKUP(K390,[1]中国省份_标准!$B$2:$F$35,4,FALSE)</f>
        <v>东部地区</v>
      </c>
      <c r="M390" s="9" t="str">
        <f>VLOOKUP(K390,[1]中国省份_标准!$B$2:$F$35,5,FALSE)</f>
        <v>华东地区</v>
      </c>
      <c r="N390" s="15" t="s">
        <v>1663</v>
      </c>
      <c r="O390" s="15" t="s">
        <v>1664</v>
      </c>
      <c r="P390" s="15" t="s">
        <v>6930</v>
      </c>
      <c r="Q390" s="15" t="s">
        <v>6931</v>
      </c>
      <c r="R390" s="15" t="s">
        <v>6932</v>
      </c>
      <c r="S390" s="15" t="s">
        <v>6933</v>
      </c>
      <c r="T390" s="15" t="s">
        <v>48</v>
      </c>
      <c r="U390" s="15" t="s">
        <v>6926</v>
      </c>
      <c r="V390" s="15" t="s">
        <v>6934</v>
      </c>
      <c r="W390" s="15" t="s">
        <v>6935</v>
      </c>
      <c r="X390" s="15" t="s">
        <v>77</v>
      </c>
      <c r="Y390" s="15" t="s">
        <v>78</v>
      </c>
      <c r="Z390" s="15" t="s">
        <v>6936</v>
      </c>
      <c r="AA390" s="15" t="s">
        <v>169</v>
      </c>
      <c r="AB390" s="15" t="s">
        <v>170</v>
      </c>
      <c r="AC390" s="15" t="s">
        <v>1725</v>
      </c>
      <c r="AD390" s="15" t="s">
        <v>6937</v>
      </c>
      <c r="AE390" s="15" t="s">
        <v>262</v>
      </c>
      <c r="AF390" s="15" t="s">
        <v>6938</v>
      </c>
      <c r="AG390" s="15" t="s">
        <v>39</v>
      </c>
      <c r="AH390" s="15" t="s">
        <v>39</v>
      </c>
      <c r="AI390" s="15" t="s">
        <v>6939</v>
      </c>
      <c r="AJ390" s="15" t="s">
        <v>6940</v>
      </c>
      <c r="AK390" s="15" t="s">
        <v>1676</v>
      </c>
      <c r="AL390" s="15" t="s">
        <v>88</v>
      </c>
    </row>
    <row r="391" spans="1:38" x14ac:dyDescent="0.4">
      <c r="A391" s="11" t="s">
        <v>6941</v>
      </c>
      <c r="B391" s="12" t="s">
        <v>6942</v>
      </c>
      <c r="C391" s="13" t="s">
        <v>39</v>
      </c>
      <c r="D391" s="13" t="s">
        <v>92</v>
      </c>
      <c r="E391" s="13" t="s">
        <v>6943</v>
      </c>
      <c r="F391" s="13" t="s">
        <v>1235</v>
      </c>
      <c r="G391" s="13" t="s">
        <v>39</v>
      </c>
      <c r="H391" s="13" t="s">
        <v>6944</v>
      </c>
      <c r="I391" s="9">
        <f t="shared" ca="1" si="6"/>
        <v>8</v>
      </c>
      <c r="J391" s="13" t="s">
        <v>6945</v>
      </c>
      <c r="K391" s="13" t="s">
        <v>531</v>
      </c>
      <c r="L391" s="9" t="str">
        <f>VLOOKUP(K391,[1]中国省份_标准!$B$2:$F$35,4,FALSE)</f>
        <v>东部地区</v>
      </c>
      <c r="M391" s="9" t="str">
        <f>VLOOKUP(K391,[1]中国省份_标准!$B$2:$F$35,5,FALSE)</f>
        <v>华南地区</v>
      </c>
      <c r="N391" s="13" t="s">
        <v>1450</v>
      </c>
      <c r="O391" s="13" t="s">
        <v>2146</v>
      </c>
      <c r="P391" s="13" t="s">
        <v>6946</v>
      </c>
      <c r="Q391" s="13" t="s">
        <v>6947</v>
      </c>
      <c r="R391" s="13" t="s">
        <v>6948</v>
      </c>
      <c r="S391" s="13" t="s">
        <v>6949</v>
      </c>
      <c r="T391" s="13" t="s">
        <v>281</v>
      </c>
      <c r="U391" s="13" t="s">
        <v>6942</v>
      </c>
      <c r="V391" s="13" t="s">
        <v>6950</v>
      </c>
      <c r="W391" s="13" t="s">
        <v>6951</v>
      </c>
      <c r="X391" s="13" t="s">
        <v>540</v>
      </c>
      <c r="Y391" s="13" t="s">
        <v>78</v>
      </c>
      <c r="Z391" s="13" t="s">
        <v>6952</v>
      </c>
      <c r="AA391" s="13" t="s">
        <v>169</v>
      </c>
      <c r="AB391" s="13" t="s">
        <v>285</v>
      </c>
      <c r="AC391" s="13" t="s">
        <v>1528</v>
      </c>
      <c r="AD391" s="13" t="s">
        <v>1529</v>
      </c>
      <c r="AE391" s="13" t="s">
        <v>55</v>
      </c>
      <c r="AF391" s="13" t="s">
        <v>6953</v>
      </c>
      <c r="AG391" s="13" t="s">
        <v>39</v>
      </c>
      <c r="AH391" s="13" t="s">
        <v>39</v>
      </c>
      <c r="AI391" s="13" t="s">
        <v>6954</v>
      </c>
      <c r="AJ391" s="13" t="s">
        <v>6955</v>
      </c>
      <c r="AK391" s="13" t="s">
        <v>2157</v>
      </c>
      <c r="AL391" s="13" t="s">
        <v>88</v>
      </c>
    </row>
    <row r="392" spans="1:38" x14ac:dyDescent="0.4">
      <c r="A392" s="11" t="s">
        <v>6956</v>
      </c>
      <c r="B392" s="14" t="s">
        <v>6957</v>
      </c>
      <c r="C392" s="15" t="s">
        <v>39</v>
      </c>
      <c r="D392" s="15" t="s">
        <v>6958</v>
      </c>
      <c r="E392" s="15" t="s">
        <v>6959</v>
      </c>
      <c r="F392" s="15" t="s">
        <v>6960</v>
      </c>
      <c r="G392" s="15" t="s">
        <v>39</v>
      </c>
      <c r="H392" s="15" t="s">
        <v>6961</v>
      </c>
      <c r="I392" s="9">
        <f t="shared" ca="1" si="6"/>
        <v>5</v>
      </c>
      <c r="J392" s="15" t="s">
        <v>6962</v>
      </c>
      <c r="K392" s="15" t="s">
        <v>379</v>
      </c>
      <c r="L392" s="9" t="str">
        <f>VLOOKUP(K392,[1]中国省份_标准!$B$2:$F$35,4,FALSE)</f>
        <v>东部地区</v>
      </c>
      <c r="M392" s="9" t="str">
        <f>VLOOKUP(K392,[1]中国省份_标准!$B$2:$F$35,5,FALSE)</f>
        <v>华东地区</v>
      </c>
      <c r="N392" s="15" t="s">
        <v>1276</v>
      </c>
      <c r="O392" s="15" t="s">
        <v>1277</v>
      </c>
      <c r="P392" s="15" t="s">
        <v>6963</v>
      </c>
      <c r="Q392" s="15" t="s">
        <v>6964</v>
      </c>
      <c r="R392" s="15" t="s">
        <v>39</v>
      </c>
      <c r="S392" s="15" t="s">
        <v>39</v>
      </c>
      <c r="T392" s="15" t="s">
        <v>281</v>
      </c>
      <c r="U392" s="15" t="s">
        <v>6957</v>
      </c>
      <c r="V392" s="15" t="s">
        <v>6965</v>
      </c>
      <c r="W392" s="15" t="s">
        <v>6966</v>
      </c>
      <c r="X392" s="15" t="s">
        <v>77</v>
      </c>
      <c r="Y392" s="15" t="s">
        <v>283</v>
      </c>
      <c r="Z392" s="15" t="s">
        <v>6967</v>
      </c>
      <c r="AA392" s="15" t="s">
        <v>169</v>
      </c>
      <c r="AB392" s="15" t="s">
        <v>285</v>
      </c>
      <c r="AC392" s="15" t="s">
        <v>286</v>
      </c>
      <c r="AD392" s="15" t="s">
        <v>4608</v>
      </c>
      <c r="AE392" s="15" t="s">
        <v>55</v>
      </c>
      <c r="AF392" s="15" t="s">
        <v>6968</v>
      </c>
      <c r="AG392" s="15" t="s">
        <v>39</v>
      </c>
      <c r="AH392" s="15" t="s">
        <v>39</v>
      </c>
      <c r="AI392" s="15" t="s">
        <v>6969</v>
      </c>
      <c r="AJ392" s="15" t="s">
        <v>6970</v>
      </c>
      <c r="AK392" s="15" t="s">
        <v>1284</v>
      </c>
      <c r="AL392" s="15" t="s">
        <v>88</v>
      </c>
    </row>
    <row r="393" spans="1:38" x14ac:dyDescent="0.4">
      <c r="A393" s="11" t="s">
        <v>6971</v>
      </c>
      <c r="B393" s="12" t="s">
        <v>6972</v>
      </c>
      <c r="C393" s="13" t="s">
        <v>39</v>
      </c>
      <c r="D393" s="13" t="s">
        <v>92</v>
      </c>
      <c r="E393" s="13" t="s">
        <v>6973</v>
      </c>
      <c r="F393" s="13" t="s">
        <v>1235</v>
      </c>
      <c r="G393" s="13" t="s">
        <v>1235</v>
      </c>
      <c r="H393" s="13" t="s">
        <v>6974</v>
      </c>
      <c r="I393" s="9">
        <f t="shared" ca="1" si="6"/>
        <v>7</v>
      </c>
      <c r="J393" s="13" t="s">
        <v>6975</v>
      </c>
      <c r="K393" s="13" t="s">
        <v>379</v>
      </c>
      <c r="L393" s="9" t="str">
        <f>VLOOKUP(K393,[1]中国省份_标准!$B$2:$F$35,4,FALSE)</f>
        <v>东部地区</v>
      </c>
      <c r="M393" s="9" t="str">
        <f>VLOOKUP(K393,[1]中国省份_标准!$B$2:$F$35,5,FALSE)</f>
        <v>华东地区</v>
      </c>
      <c r="N393" s="13" t="s">
        <v>380</v>
      </c>
      <c r="O393" s="13" t="s">
        <v>6686</v>
      </c>
      <c r="P393" s="13" t="s">
        <v>6976</v>
      </c>
      <c r="Q393" s="13" t="s">
        <v>39</v>
      </c>
      <c r="R393" s="13" t="s">
        <v>6977</v>
      </c>
      <c r="S393" s="13" t="s">
        <v>6978</v>
      </c>
      <c r="T393" s="13" t="s">
        <v>281</v>
      </c>
      <c r="U393" s="13" t="s">
        <v>6972</v>
      </c>
      <c r="V393" s="13" t="s">
        <v>6979</v>
      </c>
      <c r="W393" s="13" t="s">
        <v>6980</v>
      </c>
      <c r="X393" s="13" t="s">
        <v>1319</v>
      </c>
      <c r="Y393" s="13" t="s">
        <v>78</v>
      </c>
      <c r="Z393" s="13" t="s">
        <v>6981</v>
      </c>
      <c r="AA393" s="13" t="s">
        <v>169</v>
      </c>
      <c r="AB393" s="13" t="s">
        <v>170</v>
      </c>
      <c r="AC393" s="13" t="s">
        <v>367</v>
      </c>
      <c r="AD393" s="13" t="s">
        <v>6982</v>
      </c>
      <c r="AE393" s="13" t="s">
        <v>55</v>
      </c>
      <c r="AF393" s="13" t="s">
        <v>6983</v>
      </c>
      <c r="AG393" s="13" t="s">
        <v>39</v>
      </c>
      <c r="AH393" s="13" t="s">
        <v>39</v>
      </c>
      <c r="AI393" s="13" t="s">
        <v>6984</v>
      </c>
      <c r="AJ393" s="13" t="s">
        <v>6985</v>
      </c>
      <c r="AK393" s="13" t="s">
        <v>6697</v>
      </c>
      <c r="AL393" s="13" t="s">
        <v>88</v>
      </c>
    </row>
    <row r="394" spans="1:38" x14ac:dyDescent="0.4">
      <c r="A394" s="11" t="s">
        <v>6986</v>
      </c>
      <c r="B394" s="14" t="s">
        <v>6987</v>
      </c>
      <c r="C394" s="15" t="s">
        <v>39</v>
      </c>
      <c r="D394" s="15" t="s">
        <v>92</v>
      </c>
      <c r="E394" s="15" t="s">
        <v>6988</v>
      </c>
      <c r="F394" s="15" t="s">
        <v>6989</v>
      </c>
      <c r="G394" s="15" t="s">
        <v>6989</v>
      </c>
      <c r="H394" s="15" t="s">
        <v>6990</v>
      </c>
      <c r="I394" s="9">
        <f t="shared" ca="1" si="6"/>
        <v>20</v>
      </c>
      <c r="J394" s="15" t="s">
        <v>6991</v>
      </c>
      <c r="K394" s="15" t="s">
        <v>97</v>
      </c>
      <c r="L394" s="9" t="str">
        <f>VLOOKUP(K394,[1]中国省份_标准!$B$2:$F$35,4,FALSE)</f>
        <v>中部地区</v>
      </c>
      <c r="M394" s="9" t="str">
        <f>VLOOKUP(K394,[1]中国省份_标准!$B$2:$F$35,5,FALSE)</f>
        <v>华中地区</v>
      </c>
      <c r="N394" s="15" t="s">
        <v>6992</v>
      </c>
      <c r="O394" s="15" t="s">
        <v>6993</v>
      </c>
      <c r="P394" s="15" t="s">
        <v>6994</v>
      </c>
      <c r="Q394" s="15" t="s">
        <v>6995</v>
      </c>
      <c r="R394" s="15" t="s">
        <v>6996</v>
      </c>
      <c r="S394" s="15" t="s">
        <v>6997</v>
      </c>
      <c r="T394" s="15" t="s">
        <v>48</v>
      </c>
      <c r="U394" s="15" t="s">
        <v>6987</v>
      </c>
      <c r="V394" s="15" t="s">
        <v>6998</v>
      </c>
      <c r="W394" s="15" t="s">
        <v>6999</v>
      </c>
      <c r="X394" s="15" t="s">
        <v>7000</v>
      </c>
      <c r="Y394" s="15" t="s">
        <v>78</v>
      </c>
      <c r="Z394" s="15" t="s">
        <v>7001</v>
      </c>
      <c r="AA394" s="15" t="s">
        <v>80</v>
      </c>
      <c r="AB394" s="15" t="s">
        <v>106</v>
      </c>
      <c r="AC394" s="15" t="s">
        <v>107</v>
      </c>
      <c r="AD394" s="15" t="s">
        <v>3348</v>
      </c>
      <c r="AE394" s="15" t="s">
        <v>262</v>
      </c>
      <c r="AF394" s="15" t="s">
        <v>7002</v>
      </c>
      <c r="AG394" s="15" t="s">
        <v>7003</v>
      </c>
      <c r="AH394" s="15" t="s">
        <v>39</v>
      </c>
      <c r="AI394" s="15" t="s">
        <v>7004</v>
      </c>
      <c r="AJ394" s="15" t="s">
        <v>7005</v>
      </c>
      <c r="AK394" s="15" t="s">
        <v>7006</v>
      </c>
      <c r="AL394" s="15" t="s">
        <v>88</v>
      </c>
    </row>
    <row r="395" spans="1:38" x14ac:dyDescent="0.4">
      <c r="A395" s="11" t="s">
        <v>7007</v>
      </c>
      <c r="B395" s="12" t="s">
        <v>7008</v>
      </c>
      <c r="C395" s="13" t="s">
        <v>39</v>
      </c>
      <c r="D395" s="13" t="s">
        <v>92</v>
      </c>
      <c r="E395" s="13" t="s">
        <v>7009</v>
      </c>
      <c r="F395" s="13" t="s">
        <v>154</v>
      </c>
      <c r="G395" s="13" t="s">
        <v>154</v>
      </c>
      <c r="H395" s="13" t="s">
        <v>7010</v>
      </c>
      <c r="I395" s="9">
        <f t="shared" ca="1" si="6"/>
        <v>13</v>
      </c>
      <c r="J395" s="13" t="s">
        <v>7011</v>
      </c>
      <c r="K395" s="13" t="s">
        <v>379</v>
      </c>
      <c r="L395" s="9" t="str">
        <f>VLOOKUP(K395,[1]中国省份_标准!$B$2:$F$35,4,FALSE)</f>
        <v>东部地区</v>
      </c>
      <c r="M395" s="9" t="str">
        <f>VLOOKUP(K395,[1]中国省份_标准!$B$2:$F$35,5,FALSE)</f>
        <v>华东地区</v>
      </c>
      <c r="N395" s="13" t="s">
        <v>1276</v>
      </c>
      <c r="O395" s="13" t="s">
        <v>1315</v>
      </c>
      <c r="P395" s="13" t="s">
        <v>7012</v>
      </c>
      <c r="Q395" s="13" t="s">
        <v>39</v>
      </c>
      <c r="R395" s="13" t="s">
        <v>7013</v>
      </c>
      <c r="S395" s="13" t="s">
        <v>39</v>
      </c>
      <c r="T395" s="13" t="s">
        <v>48</v>
      </c>
      <c r="U395" s="13" t="s">
        <v>7008</v>
      </c>
      <c r="V395" s="13" t="s">
        <v>7014</v>
      </c>
      <c r="W395" s="13" t="s">
        <v>7015</v>
      </c>
      <c r="X395" s="13" t="s">
        <v>673</v>
      </c>
      <c r="Y395" s="13" t="s">
        <v>78</v>
      </c>
      <c r="Z395" s="13" t="s">
        <v>7016</v>
      </c>
      <c r="AA395" s="13" t="s">
        <v>169</v>
      </c>
      <c r="AB395" s="13" t="s">
        <v>1264</v>
      </c>
      <c r="AC395" s="13" t="s">
        <v>1457</v>
      </c>
      <c r="AD395" s="13" t="s">
        <v>1557</v>
      </c>
      <c r="AE395" s="13" t="s">
        <v>55</v>
      </c>
      <c r="AF395" s="13" t="s">
        <v>7017</v>
      </c>
      <c r="AG395" s="13" t="s">
        <v>39</v>
      </c>
      <c r="AH395" s="13" t="s">
        <v>39</v>
      </c>
      <c r="AI395" s="13" t="s">
        <v>7018</v>
      </c>
      <c r="AJ395" s="13" t="s">
        <v>7019</v>
      </c>
      <c r="AK395" s="13" t="s">
        <v>1424</v>
      </c>
      <c r="AL395" s="13" t="s">
        <v>88</v>
      </c>
    </row>
    <row r="396" spans="1:38" x14ac:dyDescent="0.4">
      <c r="A396" s="11" t="s">
        <v>7020</v>
      </c>
      <c r="B396" s="14" t="s">
        <v>7021</v>
      </c>
      <c r="C396" s="15" t="s">
        <v>39</v>
      </c>
      <c r="D396" s="15" t="s">
        <v>63</v>
      </c>
      <c r="E396" s="15" t="s">
        <v>7022</v>
      </c>
      <c r="F396" s="15" t="s">
        <v>1447</v>
      </c>
      <c r="G396" s="15" t="s">
        <v>39</v>
      </c>
      <c r="H396" s="15" t="s">
        <v>7023</v>
      </c>
      <c r="I396" s="9">
        <f t="shared" ca="1" si="6"/>
        <v>3</v>
      </c>
      <c r="J396" s="15" t="s">
        <v>7024</v>
      </c>
      <c r="K396" s="15" t="s">
        <v>531</v>
      </c>
      <c r="L396" s="9" t="str">
        <f>VLOOKUP(K396,[1]中国省份_标准!$B$2:$F$35,4,FALSE)</f>
        <v>东部地区</v>
      </c>
      <c r="M396" s="9" t="str">
        <f>VLOOKUP(K396,[1]中国省份_标准!$B$2:$F$35,5,FALSE)</f>
        <v>华南地区</v>
      </c>
      <c r="N396" s="15" t="s">
        <v>1698</v>
      </c>
      <c r="O396" s="15" t="s">
        <v>39</v>
      </c>
      <c r="P396" s="15" t="s">
        <v>7025</v>
      </c>
      <c r="Q396" s="15" t="s">
        <v>39</v>
      </c>
      <c r="R396" s="15" t="s">
        <v>7026</v>
      </c>
      <c r="S396" s="15" t="s">
        <v>39</v>
      </c>
      <c r="T396" s="15" t="s">
        <v>281</v>
      </c>
      <c r="U396" s="15" t="s">
        <v>7021</v>
      </c>
      <c r="V396" s="15" t="s">
        <v>7027</v>
      </c>
      <c r="W396" s="15" t="s">
        <v>7028</v>
      </c>
      <c r="X396" s="15" t="s">
        <v>1130</v>
      </c>
      <c r="Y396" s="15" t="s">
        <v>78</v>
      </c>
      <c r="Z396" s="15" t="s">
        <v>7029</v>
      </c>
      <c r="AA396" s="15" t="s">
        <v>169</v>
      </c>
      <c r="AB396" s="15" t="s">
        <v>285</v>
      </c>
      <c r="AC396" s="15" t="s">
        <v>479</v>
      </c>
      <c r="AD396" s="15" t="s">
        <v>480</v>
      </c>
      <c r="AE396" s="15" t="s">
        <v>109</v>
      </c>
      <c r="AF396" s="15" t="s">
        <v>7030</v>
      </c>
      <c r="AG396" s="15" t="s">
        <v>39</v>
      </c>
      <c r="AH396" s="15" t="s">
        <v>39</v>
      </c>
      <c r="AI396" s="15" t="s">
        <v>7031</v>
      </c>
      <c r="AJ396" s="15" t="s">
        <v>7032</v>
      </c>
      <c r="AK396" s="15" t="s">
        <v>1711</v>
      </c>
      <c r="AL396" s="15" t="s">
        <v>88</v>
      </c>
    </row>
    <row r="397" spans="1:38" x14ac:dyDescent="0.4">
      <c r="A397" s="11" t="s">
        <v>7033</v>
      </c>
      <c r="B397" s="12" t="s">
        <v>7034</v>
      </c>
      <c r="C397" s="13" t="s">
        <v>39</v>
      </c>
      <c r="D397" s="13" t="s">
        <v>7035</v>
      </c>
      <c r="E397" s="13" t="s">
        <v>7036</v>
      </c>
      <c r="F397" s="13" t="s">
        <v>422</v>
      </c>
      <c r="G397" s="13" t="s">
        <v>39</v>
      </c>
      <c r="H397" s="13" t="s">
        <v>7037</v>
      </c>
      <c r="I397" s="9">
        <f t="shared" ca="1" si="6"/>
        <v>5</v>
      </c>
      <c r="J397" s="13" t="s">
        <v>7038</v>
      </c>
      <c r="K397" s="13" t="s">
        <v>531</v>
      </c>
      <c r="L397" s="9" t="str">
        <f>VLOOKUP(K397,[1]中国省份_标准!$B$2:$F$35,4,FALSE)</f>
        <v>东部地区</v>
      </c>
      <c r="M397" s="9" t="str">
        <f>VLOOKUP(K397,[1]中国省份_标准!$B$2:$F$35,5,FALSE)</f>
        <v>华南地区</v>
      </c>
      <c r="N397" s="13" t="s">
        <v>1698</v>
      </c>
      <c r="O397" s="13" t="s">
        <v>39</v>
      </c>
      <c r="P397" s="13" t="s">
        <v>7039</v>
      </c>
      <c r="Q397" s="13" t="s">
        <v>39</v>
      </c>
      <c r="R397" s="13" t="s">
        <v>7040</v>
      </c>
      <c r="S397" s="13" t="s">
        <v>39</v>
      </c>
      <c r="T397" s="13" t="s">
        <v>281</v>
      </c>
      <c r="U397" s="13" t="s">
        <v>7034</v>
      </c>
      <c r="V397" s="13" t="s">
        <v>7041</v>
      </c>
      <c r="W397" s="13" t="s">
        <v>7042</v>
      </c>
      <c r="X397" s="13" t="s">
        <v>690</v>
      </c>
      <c r="Y397" s="13" t="s">
        <v>731</v>
      </c>
      <c r="Z397" s="13" t="s">
        <v>7043</v>
      </c>
      <c r="AA397" s="13" t="s">
        <v>169</v>
      </c>
      <c r="AB397" s="13" t="s">
        <v>1264</v>
      </c>
      <c r="AC397" s="13" t="s">
        <v>1265</v>
      </c>
      <c r="AD397" s="13" t="s">
        <v>1265</v>
      </c>
      <c r="AE397" s="13" t="s">
        <v>109</v>
      </c>
      <c r="AF397" s="13" t="s">
        <v>7044</v>
      </c>
      <c r="AG397" s="13" t="s">
        <v>39</v>
      </c>
      <c r="AH397" s="13" t="s">
        <v>39</v>
      </c>
      <c r="AI397" s="13" t="s">
        <v>7045</v>
      </c>
      <c r="AJ397" s="13" t="s">
        <v>7046</v>
      </c>
      <c r="AK397" s="13" t="s">
        <v>1711</v>
      </c>
      <c r="AL397" s="13" t="s">
        <v>88</v>
      </c>
    </row>
    <row r="398" spans="1:38" x14ac:dyDescent="0.4">
      <c r="A398" s="11" t="s">
        <v>7047</v>
      </c>
      <c r="B398" s="14" t="s">
        <v>7048</v>
      </c>
      <c r="C398" s="15" t="s">
        <v>39</v>
      </c>
      <c r="D398" s="15" t="s">
        <v>92</v>
      </c>
      <c r="E398" s="15" t="s">
        <v>7049</v>
      </c>
      <c r="F398" s="15" t="s">
        <v>442</v>
      </c>
      <c r="G398" s="15" t="s">
        <v>442</v>
      </c>
      <c r="H398" s="15" t="s">
        <v>7050</v>
      </c>
      <c r="I398" s="9">
        <f t="shared" ca="1" si="6"/>
        <v>6</v>
      </c>
      <c r="J398" s="15" t="s">
        <v>7051</v>
      </c>
      <c r="K398" s="15" t="s">
        <v>702</v>
      </c>
      <c r="L398" s="9" t="str">
        <f>VLOOKUP(K398,[1]中国省份_标准!$B$2:$F$35,4,FALSE)</f>
        <v>东部地区</v>
      </c>
      <c r="M398" s="9" t="str">
        <f>VLOOKUP(K398,[1]中国省份_标准!$B$2:$F$35,5,FALSE)</f>
        <v>华北地区</v>
      </c>
      <c r="N398" s="15" t="s">
        <v>6790</v>
      </c>
      <c r="O398" s="15" t="s">
        <v>6791</v>
      </c>
      <c r="P398" s="15" t="s">
        <v>7052</v>
      </c>
      <c r="Q398" s="15" t="s">
        <v>7053</v>
      </c>
      <c r="R398" s="15" t="s">
        <v>7054</v>
      </c>
      <c r="S398" s="15" t="s">
        <v>39</v>
      </c>
      <c r="T398" s="15" t="s">
        <v>48</v>
      </c>
      <c r="U398" s="15" t="s">
        <v>7048</v>
      </c>
      <c r="V398" s="15" t="s">
        <v>7055</v>
      </c>
      <c r="W398" s="15" t="s">
        <v>7056</v>
      </c>
      <c r="X398" s="15" t="s">
        <v>455</v>
      </c>
      <c r="Y398" s="15" t="s">
        <v>78</v>
      </c>
      <c r="Z398" s="15" t="s">
        <v>7057</v>
      </c>
      <c r="AA398" s="15" t="s">
        <v>80</v>
      </c>
      <c r="AB398" s="15" t="s">
        <v>106</v>
      </c>
      <c r="AC398" s="15" t="s">
        <v>107</v>
      </c>
      <c r="AD398" s="15" t="s">
        <v>3348</v>
      </c>
      <c r="AE398" s="15" t="s">
        <v>55</v>
      </c>
      <c r="AF398" s="15" t="s">
        <v>7058</v>
      </c>
      <c r="AG398" s="15" t="s">
        <v>39</v>
      </c>
      <c r="AH398" s="15" t="s">
        <v>7059</v>
      </c>
      <c r="AI398" s="15" t="s">
        <v>7060</v>
      </c>
      <c r="AJ398" s="15" t="s">
        <v>7061</v>
      </c>
      <c r="AK398" s="15" t="s">
        <v>6802</v>
      </c>
      <c r="AL398" s="15" t="s">
        <v>88</v>
      </c>
    </row>
    <row r="399" spans="1:38" x14ac:dyDescent="0.4">
      <c r="A399" s="11" t="s">
        <v>7062</v>
      </c>
      <c r="B399" s="12" t="s">
        <v>7063</v>
      </c>
      <c r="C399" s="13" t="s">
        <v>39</v>
      </c>
      <c r="D399" s="13" t="s">
        <v>92</v>
      </c>
      <c r="E399" s="13" t="s">
        <v>7064</v>
      </c>
      <c r="F399" s="13" t="s">
        <v>999</v>
      </c>
      <c r="G399" s="13" t="s">
        <v>999</v>
      </c>
      <c r="H399" s="13" t="s">
        <v>7065</v>
      </c>
      <c r="I399" s="9">
        <f t="shared" ca="1" si="6"/>
        <v>6</v>
      </c>
      <c r="J399" s="13" t="s">
        <v>7066</v>
      </c>
      <c r="K399" s="13" t="s">
        <v>45</v>
      </c>
      <c r="L399" s="9" t="str">
        <f>VLOOKUP(K399,[1]中国省份_标准!$B$2:$F$35,4,FALSE)</f>
        <v>东部地区</v>
      </c>
      <c r="M399" s="9" t="str">
        <f>VLOOKUP(K399,[1]中国省份_标准!$B$2:$F$35,5,FALSE)</f>
        <v>华东地区</v>
      </c>
      <c r="N399" s="13" t="s">
        <v>45</v>
      </c>
      <c r="O399" s="13" t="s">
        <v>1123</v>
      </c>
      <c r="P399" s="13" t="s">
        <v>7067</v>
      </c>
      <c r="Q399" s="13" t="s">
        <v>7068</v>
      </c>
      <c r="R399" s="13" t="s">
        <v>7069</v>
      </c>
      <c r="S399" s="13" t="s">
        <v>39</v>
      </c>
      <c r="T399" s="13" t="s">
        <v>209</v>
      </c>
      <c r="U399" s="13" t="s">
        <v>7063</v>
      </c>
      <c r="V399" s="13" t="s">
        <v>7070</v>
      </c>
      <c r="W399" s="13" t="s">
        <v>7071</v>
      </c>
      <c r="X399" s="13" t="s">
        <v>2566</v>
      </c>
      <c r="Y399" s="13" t="s">
        <v>78</v>
      </c>
      <c r="Z399" s="13" t="s">
        <v>7072</v>
      </c>
      <c r="AA399" s="13" t="s">
        <v>80</v>
      </c>
      <c r="AB399" s="13" t="s">
        <v>106</v>
      </c>
      <c r="AC399" s="13" t="s">
        <v>559</v>
      </c>
      <c r="AD399" s="13" t="s">
        <v>560</v>
      </c>
      <c r="AE399" s="13" t="s">
        <v>55</v>
      </c>
      <c r="AF399" s="13" t="s">
        <v>7073</v>
      </c>
      <c r="AG399" s="13" t="s">
        <v>39</v>
      </c>
      <c r="AH399" s="13" t="s">
        <v>39</v>
      </c>
      <c r="AI399" s="13" t="s">
        <v>7074</v>
      </c>
      <c r="AJ399" s="13" t="s">
        <v>7075</v>
      </c>
      <c r="AK399" s="13" t="s">
        <v>7076</v>
      </c>
      <c r="AL399" s="13" t="s">
        <v>88</v>
      </c>
    </row>
    <row r="400" spans="1:38" x14ac:dyDescent="0.4">
      <c r="A400" s="11" t="s">
        <v>7077</v>
      </c>
      <c r="B400" s="14" t="s">
        <v>7078</v>
      </c>
      <c r="C400" s="15" t="s">
        <v>39</v>
      </c>
      <c r="D400" s="15" t="s">
        <v>63</v>
      </c>
      <c r="E400" s="15" t="s">
        <v>7079</v>
      </c>
      <c r="F400" s="15" t="s">
        <v>271</v>
      </c>
      <c r="G400" s="15" t="s">
        <v>7080</v>
      </c>
      <c r="H400" s="15" t="s">
        <v>7081</v>
      </c>
      <c r="I400" s="9">
        <f t="shared" ca="1" si="6"/>
        <v>11</v>
      </c>
      <c r="J400" s="15" t="s">
        <v>7082</v>
      </c>
      <c r="K400" s="15" t="s">
        <v>425</v>
      </c>
      <c r="L400" s="9" t="str">
        <f>VLOOKUP(K400,[1]中国省份_标准!$B$2:$F$35,4,FALSE)</f>
        <v>东部地区</v>
      </c>
      <c r="M400" s="9" t="str">
        <f>VLOOKUP(K400,[1]中国省份_标准!$B$2:$F$35,5,FALSE)</f>
        <v>华东地区</v>
      </c>
      <c r="N400" s="15" t="s">
        <v>426</v>
      </c>
      <c r="O400" s="15" t="s">
        <v>427</v>
      </c>
      <c r="P400" s="15" t="s">
        <v>7083</v>
      </c>
      <c r="Q400" s="15" t="s">
        <v>7084</v>
      </c>
      <c r="R400" s="15" t="s">
        <v>7085</v>
      </c>
      <c r="S400" s="15" t="s">
        <v>7086</v>
      </c>
      <c r="T400" s="15" t="s">
        <v>48</v>
      </c>
      <c r="U400" s="15" t="s">
        <v>7078</v>
      </c>
      <c r="V400" s="15" t="s">
        <v>7087</v>
      </c>
      <c r="W400" s="15" t="s">
        <v>7088</v>
      </c>
      <c r="X400" s="15" t="s">
        <v>791</v>
      </c>
      <c r="Y400" s="15" t="s">
        <v>78</v>
      </c>
      <c r="Z400" s="15" t="s">
        <v>7089</v>
      </c>
      <c r="AA400" s="15" t="s">
        <v>80</v>
      </c>
      <c r="AB400" s="15" t="s">
        <v>106</v>
      </c>
      <c r="AC400" s="15" t="s">
        <v>388</v>
      </c>
      <c r="AD400" s="15" t="s">
        <v>434</v>
      </c>
      <c r="AE400" s="15" t="s">
        <v>55</v>
      </c>
      <c r="AF400" s="15" t="s">
        <v>7090</v>
      </c>
      <c r="AG400" s="15" t="s">
        <v>39</v>
      </c>
      <c r="AH400" s="15" t="s">
        <v>39</v>
      </c>
      <c r="AI400" s="15" t="s">
        <v>7091</v>
      </c>
      <c r="AJ400" s="15" t="s">
        <v>7092</v>
      </c>
      <c r="AK400" s="15" t="s">
        <v>2191</v>
      </c>
      <c r="AL400" s="15" t="s">
        <v>88</v>
      </c>
    </row>
    <row r="401" spans="1:38" x14ac:dyDescent="0.4">
      <c r="A401" s="11" t="s">
        <v>7093</v>
      </c>
      <c r="B401" s="12" t="s">
        <v>7094</v>
      </c>
      <c r="C401" s="13" t="s">
        <v>39</v>
      </c>
      <c r="D401" s="13" t="s">
        <v>63</v>
      </c>
      <c r="E401" s="13" t="s">
        <v>7095</v>
      </c>
      <c r="F401" s="13" t="s">
        <v>42</v>
      </c>
      <c r="G401" s="13" t="s">
        <v>39</v>
      </c>
      <c r="H401" s="13" t="s">
        <v>7096</v>
      </c>
      <c r="I401" s="9">
        <f t="shared" ca="1" si="6"/>
        <v>7</v>
      </c>
      <c r="J401" s="13" t="s">
        <v>7097</v>
      </c>
      <c r="K401" s="13" t="s">
        <v>67</v>
      </c>
      <c r="L401" s="9" t="str">
        <f>VLOOKUP(K401,[1]中国省份_标准!$B$2:$F$35,4,FALSE)</f>
        <v>东部地区</v>
      </c>
      <c r="M401" s="9" t="str">
        <f>VLOOKUP(K401,[1]中国省份_标准!$B$2:$F$35,5,FALSE)</f>
        <v>华东地区</v>
      </c>
      <c r="N401" s="13" t="s">
        <v>68</v>
      </c>
      <c r="O401" s="13" t="s">
        <v>5627</v>
      </c>
      <c r="P401" s="13" t="s">
        <v>7098</v>
      </c>
      <c r="Q401" s="13" t="s">
        <v>7099</v>
      </c>
      <c r="R401" s="13" t="s">
        <v>7100</v>
      </c>
      <c r="S401" s="13" t="s">
        <v>7101</v>
      </c>
      <c r="T401" s="13" t="s">
        <v>281</v>
      </c>
      <c r="U401" s="13" t="s">
        <v>7094</v>
      </c>
      <c r="V401" s="13" t="s">
        <v>39</v>
      </c>
      <c r="W401" s="13" t="s">
        <v>7102</v>
      </c>
      <c r="X401" s="13" t="s">
        <v>77</v>
      </c>
      <c r="Y401" s="13" t="s">
        <v>78</v>
      </c>
      <c r="Z401" s="13" t="s">
        <v>7103</v>
      </c>
      <c r="AA401" s="13" t="s">
        <v>169</v>
      </c>
      <c r="AB401" s="13" t="s">
        <v>285</v>
      </c>
      <c r="AC401" s="13" t="s">
        <v>712</v>
      </c>
      <c r="AD401" s="13" t="s">
        <v>3490</v>
      </c>
      <c r="AE401" s="13" t="s">
        <v>109</v>
      </c>
      <c r="AF401" s="13" t="s">
        <v>7104</v>
      </c>
      <c r="AG401" s="13" t="s">
        <v>39</v>
      </c>
      <c r="AH401" s="13" t="s">
        <v>39</v>
      </c>
      <c r="AI401" s="13" t="s">
        <v>7105</v>
      </c>
      <c r="AJ401" s="13" t="s">
        <v>7106</v>
      </c>
      <c r="AK401" s="13" t="s">
        <v>7107</v>
      </c>
      <c r="AL401" s="13" t="s">
        <v>88</v>
      </c>
    </row>
    <row r="402" spans="1:38" x14ac:dyDescent="0.4">
      <c r="A402" s="11" t="s">
        <v>7108</v>
      </c>
      <c r="B402" s="14" t="s">
        <v>7109</v>
      </c>
      <c r="C402" s="15" t="s">
        <v>39</v>
      </c>
      <c r="D402" s="15" t="s">
        <v>92</v>
      </c>
      <c r="E402" s="15" t="s">
        <v>7110</v>
      </c>
      <c r="F402" s="15" t="s">
        <v>442</v>
      </c>
      <c r="G402" s="15" t="s">
        <v>442</v>
      </c>
      <c r="H402" s="15" t="s">
        <v>7111</v>
      </c>
      <c r="I402" s="9">
        <f t="shared" ca="1" si="6"/>
        <v>8</v>
      </c>
      <c r="J402" s="15" t="s">
        <v>7112</v>
      </c>
      <c r="K402" s="15" t="s">
        <v>643</v>
      </c>
      <c r="L402" s="9" t="str">
        <f>VLOOKUP(K402,[1]中国省份_标准!$B$2:$F$35,4,FALSE)</f>
        <v>东北地区</v>
      </c>
      <c r="M402" s="9" t="str">
        <f>VLOOKUP(K402,[1]中国省份_标准!$B$2:$F$35,5,FALSE)</f>
        <v>东北地区</v>
      </c>
      <c r="N402" s="15" t="s">
        <v>2807</v>
      </c>
      <c r="O402" s="15" t="s">
        <v>2808</v>
      </c>
      <c r="P402" s="15" t="s">
        <v>7113</v>
      </c>
      <c r="Q402" s="15" t="s">
        <v>39</v>
      </c>
      <c r="R402" s="15" t="s">
        <v>7114</v>
      </c>
      <c r="S402" s="15" t="s">
        <v>7115</v>
      </c>
      <c r="T402" s="15" t="s">
        <v>48</v>
      </c>
      <c r="U402" s="15" t="s">
        <v>7109</v>
      </c>
      <c r="V402" s="15" t="s">
        <v>7116</v>
      </c>
      <c r="W402" s="15" t="s">
        <v>7117</v>
      </c>
      <c r="X402" s="15" t="s">
        <v>540</v>
      </c>
      <c r="Y402" s="15" t="s">
        <v>78</v>
      </c>
      <c r="Z402" s="15" t="s">
        <v>7118</v>
      </c>
      <c r="AA402" s="15" t="s">
        <v>80</v>
      </c>
      <c r="AB402" s="15" t="s">
        <v>106</v>
      </c>
      <c r="AC402" s="15" t="s">
        <v>808</v>
      </c>
      <c r="AD402" s="15" t="s">
        <v>809</v>
      </c>
      <c r="AE402" s="15" t="s">
        <v>55</v>
      </c>
      <c r="AF402" s="15" t="s">
        <v>7119</v>
      </c>
      <c r="AG402" s="15" t="s">
        <v>39</v>
      </c>
      <c r="AH402" s="15" t="s">
        <v>39</v>
      </c>
      <c r="AI402" s="15" t="s">
        <v>7120</v>
      </c>
      <c r="AJ402" s="15" t="s">
        <v>7121</v>
      </c>
      <c r="AK402" s="15" t="s">
        <v>2821</v>
      </c>
      <c r="AL402" s="15" t="s">
        <v>88</v>
      </c>
    </row>
    <row r="403" spans="1:38" x14ac:dyDescent="0.4">
      <c r="A403" s="11" t="s">
        <v>7122</v>
      </c>
      <c r="B403" s="12" t="s">
        <v>7123</v>
      </c>
      <c r="C403" s="13" t="s">
        <v>39</v>
      </c>
      <c r="D403" s="13" t="s">
        <v>63</v>
      </c>
      <c r="E403" s="13" t="s">
        <v>7124</v>
      </c>
      <c r="F403" s="13" t="s">
        <v>2437</v>
      </c>
      <c r="G403" s="13" t="s">
        <v>2437</v>
      </c>
      <c r="H403" s="13" t="s">
        <v>7125</v>
      </c>
      <c r="I403" s="9">
        <f t="shared" ca="1" si="6"/>
        <v>12</v>
      </c>
      <c r="J403" s="13" t="s">
        <v>7126</v>
      </c>
      <c r="K403" s="13" t="s">
        <v>67</v>
      </c>
      <c r="L403" s="9" t="str">
        <f>VLOOKUP(K403,[1]中国省份_标准!$B$2:$F$35,4,FALSE)</f>
        <v>东部地区</v>
      </c>
      <c r="M403" s="9" t="str">
        <f>VLOOKUP(K403,[1]中国省份_标准!$B$2:$F$35,5,FALSE)</f>
        <v>华东地区</v>
      </c>
      <c r="N403" s="13" t="s">
        <v>1809</v>
      </c>
      <c r="O403" s="13" t="s">
        <v>3875</v>
      </c>
      <c r="P403" s="13" t="s">
        <v>7127</v>
      </c>
      <c r="Q403" s="13" t="s">
        <v>7128</v>
      </c>
      <c r="R403" s="13" t="s">
        <v>7129</v>
      </c>
      <c r="S403" s="13" t="s">
        <v>7130</v>
      </c>
      <c r="T403" s="13" t="s">
        <v>48</v>
      </c>
      <c r="U403" s="13" t="s">
        <v>7123</v>
      </c>
      <c r="V403" s="13" t="s">
        <v>7131</v>
      </c>
      <c r="W403" s="13" t="s">
        <v>7132</v>
      </c>
      <c r="X403" s="13" t="s">
        <v>6887</v>
      </c>
      <c r="Y403" s="13" t="s">
        <v>78</v>
      </c>
      <c r="Z403" s="13" t="s">
        <v>7133</v>
      </c>
      <c r="AA403" s="13" t="s">
        <v>169</v>
      </c>
      <c r="AB403" s="13" t="s">
        <v>285</v>
      </c>
      <c r="AC403" s="13" t="s">
        <v>479</v>
      </c>
      <c r="AD403" s="13" t="s">
        <v>480</v>
      </c>
      <c r="AE403" s="13" t="s">
        <v>55</v>
      </c>
      <c r="AF403" s="13" t="s">
        <v>7134</v>
      </c>
      <c r="AG403" s="13" t="s">
        <v>39</v>
      </c>
      <c r="AH403" s="13" t="s">
        <v>39</v>
      </c>
      <c r="AI403" s="13" t="s">
        <v>7135</v>
      </c>
      <c r="AJ403" s="13" t="s">
        <v>7136</v>
      </c>
      <c r="AK403" s="13" t="s">
        <v>3886</v>
      </c>
      <c r="AL403" s="13" t="s">
        <v>88</v>
      </c>
    </row>
    <row r="404" spans="1:38" x14ac:dyDescent="0.4">
      <c r="A404" s="11" t="s">
        <v>7137</v>
      </c>
      <c r="B404" s="14" t="s">
        <v>7138</v>
      </c>
      <c r="C404" s="15" t="s">
        <v>39</v>
      </c>
      <c r="D404" s="15" t="s">
        <v>92</v>
      </c>
      <c r="E404" s="15" t="s">
        <v>7139</v>
      </c>
      <c r="F404" s="15" t="s">
        <v>154</v>
      </c>
      <c r="G404" s="15" t="s">
        <v>7140</v>
      </c>
      <c r="H404" s="15" t="s">
        <v>7141</v>
      </c>
      <c r="I404" s="9">
        <f t="shared" ca="1" si="6"/>
        <v>2</v>
      </c>
      <c r="J404" s="15" t="s">
        <v>7142</v>
      </c>
      <c r="K404" s="15" t="s">
        <v>425</v>
      </c>
      <c r="L404" s="9" t="str">
        <f>VLOOKUP(K404,[1]中国省份_标准!$B$2:$F$35,4,FALSE)</f>
        <v>东部地区</v>
      </c>
      <c r="M404" s="9" t="str">
        <f>VLOOKUP(K404,[1]中国省份_标准!$B$2:$F$35,5,FALSE)</f>
        <v>华东地区</v>
      </c>
      <c r="N404" s="15" t="s">
        <v>426</v>
      </c>
      <c r="O404" s="15" t="s">
        <v>427</v>
      </c>
      <c r="P404" s="15" t="s">
        <v>7143</v>
      </c>
      <c r="Q404" s="15" t="s">
        <v>39</v>
      </c>
      <c r="R404" s="15" t="s">
        <v>7144</v>
      </c>
      <c r="S404" s="15" t="s">
        <v>39</v>
      </c>
      <c r="T404" s="15" t="s">
        <v>48</v>
      </c>
      <c r="U404" s="15" t="s">
        <v>7138</v>
      </c>
      <c r="V404" s="15" t="s">
        <v>39</v>
      </c>
      <c r="W404" s="15" t="s">
        <v>7145</v>
      </c>
      <c r="X404" s="15" t="s">
        <v>77</v>
      </c>
      <c r="Y404" s="15" t="s">
        <v>78</v>
      </c>
      <c r="Z404" s="15" t="s">
        <v>7146</v>
      </c>
      <c r="AA404" s="15" t="s">
        <v>80</v>
      </c>
      <c r="AB404" s="15" t="s">
        <v>106</v>
      </c>
      <c r="AC404" s="15" t="s">
        <v>388</v>
      </c>
      <c r="AD404" s="15" t="s">
        <v>39</v>
      </c>
      <c r="AE404" s="15" t="s">
        <v>109</v>
      </c>
      <c r="AF404" s="15" t="s">
        <v>7147</v>
      </c>
      <c r="AG404" s="15" t="s">
        <v>39</v>
      </c>
      <c r="AH404" s="15" t="s">
        <v>7148</v>
      </c>
      <c r="AI404" s="15" t="s">
        <v>7149</v>
      </c>
      <c r="AJ404" s="15" t="s">
        <v>7150</v>
      </c>
      <c r="AK404" s="15" t="s">
        <v>438</v>
      </c>
      <c r="AL404" s="15" t="s">
        <v>88</v>
      </c>
    </row>
    <row r="405" spans="1:38" x14ac:dyDescent="0.4">
      <c r="A405" s="11" t="s">
        <v>7151</v>
      </c>
      <c r="B405" s="12" t="s">
        <v>7152</v>
      </c>
      <c r="C405" s="13" t="s">
        <v>39</v>
      </c>
      <c r="D405" s="13" t="s">
        <v>63</v>
      </c>
      <c r="E405" s="13" t="s">
        <v>7153</v>
      </c>
      <c r="F405" s="13" t="s">
        <v>154</v>
      </c>
      <c r="G405" s="13" t="s">
        <v>39</v>
      </c>
      <c r="H405" s="13" t="s">
        <v>7154</v>
      </c>
      <c r="I405" s="9">
        <f t="shared" ca="1" si="6"/>
        <v>5</v>
      </c>
      <c r="J405" s="13" t="s">
        <v>7155</v>
      </c>
      <c r="K405" s="13" t="s">
        <v>67</v>
      </c>
      <c r="L405" s="9" t="str">
        <f>VLOOKUP(K405,[1]中国省份_标准!$B$2:$F$35,4,FALSE)</f>
        <v>东部地区</v>
      </c>
      <c r="M405" s="9" t="str">
        <f>VLOOKUP(K405,[1]中国省份_标准!$B$2:$F$35,5,FALSE)</f>
        <v>华东地区</v>
      </c>
      <c r="N405" s="13" t="s">
        <v>68</v>
      </c>
      <c r="O405" s="13" t="s">
        <v>7156</v>
      </c>
      <c r="P405" s="13" t="s">
        <v>7157</v>
      </c>
      <c r="Q405" s="13" t="s">
        <v>7158</v>
      </c>
      <c r="R405" s="13" t="s">
        <v>7159</v>
      </c>
      <c r="S405" s="13" t="s">
        <v>7160</v>
      </c>
      <c r="T405" s="13" t="s">
        <v>281</v>
      </c>
      <c r="U405" s="13" t="s">
        <v>7152</v>
      </c>
      <c r="V405" s="13" t="s">
        <v>7161</v>
      </c>
      <c r="W405" s="13" t="s">
        <v>7162</v>
      </c>
      <c r="X405" s="13" t="s">
        <v>77</v>
      </c>
      <c r="Y405" s="13" t="s">
        <v>78</v>
      </c>
      <c r="Z405" s="13" t="s">
        <v>7163</v>
      </c>
      <c r="AA405" s="13" t="s">
        <v>169</v>
      </c>
      <c r="AB405" s="13" t="s">
        <v>285</v>
      </c>
      <c r="AC405" s="13" t="s">
        <v>712</v>
      </c>
      <c r="AD405" s="13" t="s">
        <v>713</v>
      </c>
      <c r="AE405" s="13" t="s">
        <v>109</v>
      </c>
      <c r="AF405" s="13" t="s">
        <v>7164</v>
      </c>
      <c r="AG405" s="13" t="s">
        <v>39</v>
      </c>
      <c r="AH405" s="13" t="s">
        <v>39</v>
      </c>
      <c r="AI405" s="13" t="s">
        <v>7165</v>
      </c>
      <c r="AJ405" s="13" t="s">
        <v>7166</v>
      </c>
      <c r="AK405" s="13" t="s">
        <v>7167</v>
      </c>
      <c r="AL405" s="13" t="s">
        <v>88</v>
      </c>
    </row>
    <row r="406" spans="1:38" x14ac:dyDescent="0.4">
      <c r="A406" s="11" t="s">
        <v>7168</v>
      </c>
      <c r="B406" s="14" t="s">
        <v>7169</v>
      </c>
      <c r="C406" s="15" t="s">
        <v>39</v>
      </c>
      <c r="D406" s="15" t="s">
        <v>63</v>
      </c>
      <c r="E406" s="15" t="s">
        <v>7170</v>
      </c>
      <c r="F406" s="15" t="s">
        <v>271</v>
      </c>
      <c r="G406" s="15" t="s">
        <v>39</v>
      </c>
      <c r="H406" s="15" t="s">
        <v>7171</v>
      </c>
      <c r="I406" s="9">
        <f t="shared" ca="1" si="6"/>
        <v>6</v>
      </c>
      <c r="J406" s="15" t="s">
        <v>7172</v>
      </c>
      <c r="K406" s="15" t="s">
        <v>425</v>
      </c>
      <c r="L406" s="9" t="str">
        <f>VLOOKUP(K406,[1]中国省份_标准!$B$2:$F$35,4,FALSE)</f>
        <v>东部地区</v>
      </c>
      <c r="M406" s="9" t="str">
        <f>VLOOKUP(K406,[1]中国省份_标准!$B$2:$F$35,5,FALSE)</f>
        <v>华东地区</v>
      </c>
      <c r="N406" s="15" t="s">
        <v>426</v>
      </c>
      <c r="O406" s="15" t="s">
        <v>427</v>
      </c>
      <c r="P406" s="15" t="s">
        <v>7173</v>
      </c>
      <c r="Q406" s="15" t="s">
        <v>7174</v>
      </c>
      <c r="R406" s="15" t="s">
        <v>7175</v>
      </c>
      <c r="S406" s="15" t="s">
        <v>7176</v>
      </c>
      <c r="T406" s="15" t="s">
        <v>281</v>
      </c>
      <c r="U406" s="15" t="s">
        <v>7169</v>
      </c>
      <c r="V406" s="15" t="s">
        <v>39</v>
      </c>
      <c r="W406" s="15" t="s">
        <v>7177</v>
      </c>
      <c r="X406" s="15" t="s">
        <v>77</v>
      </c>
      <c r="Y406" s="15" t="s">
        <v>78</v>
      </c>
      <c r="Z406" s="15" t="s">
        <v>7178</v>
      </c>
      <c r="AA406" s="15" t="s">
        <v>80</v>
      </c>
      <c r="AB406" s="15" t="s">
        <v>106</v>
      </c>
      <c r="AC406" s="15" t="s">
        <v>107</v>
      </c>
      <c r="AD406" s="15" t="s">
        <v>39</v>
      </c>
      <c r="AE406" s="15" t="s">
        <v>109</v>
      </c>
      <c r="AF406" s="15" t="s">
        <v>7179</v>
      </c>
      <c r="AG406" s="15" t="s">
        <v>39</v>
      </c>
      <c r="AH406" s="15" t="s">
        <v>39</v>
      </c>
      <c r="AI406" s="15" t="s">
        <v>7180</v>
      </c>
      <c r="AJ406" s="15" t="s">
        <v>7181</v>
      </c>
      <c r="AK406" s="15" t="s">
        <v>2191</v>
      </c>
      <c r="AL406" s="15" t="s">
        <v>88</v>
      </c>
    </row>
    <row r="407" spans="1:38" x14ac:dyDescent="0.4">
      <c r="A407" s="11" t="s">
        <v>7182</v>
      </c>
      <c r="B407" s="12" t="s">
        <v>7183</v>
      </c>
      <c r="C407" s="13" t="s">
        <v>39</v>
      </c>
      <c r="D407" s="13" t="s">
        <v>92</v>
      </c>
      <c r="E407" s="13" t="s">
        <v>7184</v>
      </c>
      <c r="F407" s="13" t="s">
        <v>7185</v>
      </c>
      <c r="G407" s="13" t="s">
        <v>39</v>
      </c>
      <c r="H407" s="13" t="s">
        <v>1565</v>
      </c>
      <c r="I407" s="9">
        <f t="shared" ca="1" si="6"/>
        <v>4</v>
      </c>
      <c r="J407" s="13" t="s">
        <v>7186</v>
      </c>
      <c r="K407" s="13" t="s">
        <v>531</v>
      </c>
      <c r="L407" s="9" t="str">
        <f>VLOOKUP(K407,[1]中国省份_标准!$B$2:$F$35,4,FALSE)</f>
        <v>东部地区</v>
      </c>
      <c r="M407" s="9" t="str">
        <f>VLOOKUP(K407,[1]中国省份_标准!$B$2:$F$35,5,FALSE)</f>
        <v>华南地区</v>
      </c>
      <c r="N407" s="13" t="s">
        <v>1450</v>
      </c>
      <c r="O407" s="13" t="s">
        <v>1451</v>
      </c>
      <c r="P407" s="13" t="s">
        <v>7187</v>
      </c>
      <c r="Q407" s="13" t="s">
        <v>39</v>
      </c>
      <c r="R407" s="13" t="s">
        <v>7188</v>
      </c>
      <c r="S407" s="13" t="s">
        <v>39</v>
      </c>
      <c r="T407" s="13" t="s">
        <v>48</v>
      </c>
      <c r="U407" s="13" t="s">
        <v>7183</v>
      </c>
      <c r="V407" s="13" t="s">
        <v>39</v>
      </c>
      <c r="W407" s="13" t="s">
        <v>7189</v>
      </c>
      <c r="X407" s="13" t="s">
        <v>1209</v>
      </c>
      <c r="Y407" s="13" t="s">
        <v>283</v>
      </c>
      <c r="Z407" s="13" t="s">
        <v>1569</v>
      </c>
      <c r="AA407" s="13" t="s">
        <v>169</v>
      </c>
      <c r="AB407" s="13" t="s">
        <v>1264</v>
      </c>
      <c r="AC407" s="13" t="s">
        <v>1457</v>
      </c>
      <c r="AD407" s="13" t="s">
        <v>1557</v>
      </c>
      <c r="AE407" s="13" t="s">
        <v>55</v>
      </c>
      <c r="AF407" s="13" t="s">
        <v>7190</v>
      </c>
      <c r="AG407" s="13" t="s">
        <v>39</v>
      </c>
      <c r="AH407" s="13" t="s">
        <v>39</v>
      </c>
      <c r="AI407" s="13" t="s">
        <v>7191</v>
      </c>
      <c r="AJ407" s="13" t="s">
        <v>7192</v>
      </c>
      <c r="AK407" s="13" t="s">
        <v>1460</v>
      </c>
      <c r="AL407" s="13" t="s">
        <v>88</v>
      </c>
    </row>
    <row r="408" spans="1:38" x14ac:dyDescent="0.4">
      <c r="A408" s="11" t="s">
        <v>7193</v>
      </c>
      <c r="B408" s="14" t="s">
        <v>7194</v>
      </c>
      <c r="C408" s="15" t="s">
        <v>39</v>
      </c>
      <c r="D408" s="15" t="s">
        <v>63</v>
      </c>
      <c r="E408" s="15" t="s">
        <v>7195</v>
      </c>
      <c r="F408" s="15" t="s">
        <v>154</v>
      </c>
      <c r="G408" s="15" t="s">
        <v>39</v>
      </c>
      <c r="H408" s="15" t="s">
        <v>7196</v>
      </c>
      <c r="I408" s="9">
        <f t="shared" ca="1" si="6"/>
        <v>6</v>
      </c>
      <c r="J408" s="15" t="s">
        <v>7197</v>
      </c>
      <c r="K408" s="15" t="s">
        <v>531</v>
      </c>
      <c r="L408" s="9" t="str">
        <f>VLOOKUP(K408,[1]中国省份_标准!$B$2:$F$35,4,FALSE)</f>
        <v>东部地区</v>
      </c>
      <c r="M408" s="9" t="str">
        <f>VLOOKUP(K408,[1]中国省份_标准!$B$2:$F$35,5,FALSE)</f>
        <v>华南地区</v>
      </c>
      <c r="N408" s="15" t="s">
        <v>532</v>
      </c>
      <c r="O408" s="15" t="s">
        <v>533</v>
      </c>
      <c r="P408" s="15" t="s">
        <v>7198</v>
      </c>
      <c r="Q408" s="15" t="s">
        <v>39</v>
      </c>
      <c r="R408" s="15" t="s">
        <v>7199</v>
      </c>
      <c r="S408" s="15" t="s">
        <v>7200</v>
      </c>
      <c r="T408" s="15" t="s">
        <v>48</v>
      </c>
      <c r="U408" s="15" t="s">
        <v>7194</v>
      </c>
      <c r="V408" s="15" t="s">
        <v>39</v>
      </c>
      <c r="W408" s="15" t="s">
        <v>7201</v>
      </c>
      <c r="X408" s="15" t="s">
        <v>690</v>
      </c>
      <c r="Y408" s="15" t="s">
        <v>283</v>
      </c>
      <c r="Z408" s="15" t="s">
        <v>7202</v>
      </c>
      <c r="AA408" s="15" t="s">
        <v>80</v>
      </c>
      <c r="AB408" s="15" t="s">
        <v>106</v>
      </c>
      <c r="AC408" s="15" t="s">
        <v>388</v>
      </c>
      <c r="AD408" s="15" t="s">
        <v>434</v>
      </c>
      <c r="AE408" s="15" t="s">
        <v>109</v>
      </c>
      <c r="AF408" s="15" t="s">
        <v>7203</v>
      </c>
      <c r="AG408" s="15" t="s">
        <v>39</v>
      </c>
      <c r="AH408" s="15" t="s">
        <v>39</v>
      </c>
      <c r="AI408" s="15" t="s">
        <v>7204</v>
      </c>
      <c r="AJ408" s="15" t="s">
        <v>7205</v>
      </c>
      <c r="AK408" s="15" t="s">
        <v>545</v>
      </c>
      <c r="AL408" s="15" t="s">
        <v>88</v>
      </c>
    </row>
    <row r="409" spans="1:38" x14ac:dyDescent="0.4">
      <c r="A409" s="11" t="s">
        <v>7206</v>
      </c>
      <c r="B409" s="12" t="s">
        <v>7207</v>
      </c>
      <c r="C409" s="13" t="s">
        <v>7208</v>
      </c>
      <c r="D409" s="13" t="s">
        <v>92</v>
      </c>
      <c r="E409" s="13" t="s">
        <v>7209</v>
      </c>
      <c r="F409" s="13" t="s">
        <v>7210</v>
      </c>
      <c r="G409" s="13" t="s">
        <v>7210</v>
      </c>
      <c r="H409" s="13" t="s">
        <v>7211</v>
      </c>
      <c r="I409" s="9">
        <f t="shared" ca="1" si="6"/>
        <v>24</v>
      </c>
      <c r="J409" s="13" t="s">
        <v>7212</v>
      </c>
      <c r="K409" s="13" t="s">
        <v>702</v>
      </c>
      <c r="L409" s="9" t="str">
        <f>VLOOKUP(K409,[1]中国省份_标准!$B$2:$F$35,4,FALSE)</f>
        <v>东部地区</v>
      </c>
      <c r="M409" s="9" t="str">
        <f>VLOOKUP(K409,[1]中国省份_标准!$B$2:$F$35,5,FALSE)</f>
        <v>华北地区</v>
      </c>
      <c r="N409" s="13" t="s">
        <v>6522</v>
      </c>
      <c r="O409" s="13" t="s">
        <v>7213</v>
      </c>
      <c r="P409" s="13" t="s">
        <v>7214</v>
      </c>
      <c r="Q409" s="13" t="s">
        <v>7215</v>
      </c>
      <c r="R409" s="13" t="s">
        <v>7216</v>
      </c>
      <c r="S409" s="13" t="s">
        <v>7217</v>
      </c>
      <c r="T409" s="13" t="s">
        <v>5710</v>
      </c>
      <c r="U409" s="13" t="s">
        <v>7207</v>
      </c>
      <c r="V409" s="13" t="s">
        <v>7218</v>
      </c>
      <c r="W409" s="13" t="s">
        <v>7219</v>
      </c>
      <c r="X409" s="13" t="s">
        <v>7220</v>
      </c>
      <c r="Y409" s="13" t="s">
        <v>78</v>
      </c>
      <c r="Z409" s="13" t="s">
        <v>7221</v>
      </c>
      <c r="AA409" s="13" t="s">
        <v>169</v>
      </c>
      <c r="AB409" s="13" t="s">
        <v>412</v>
      </c>
      <c r="AC409" s="13" t="s">
        <v>4977</v>
      </c>
      <c r="AD409" s="13" t="s">
        <v>7222</v>
      </c>
      <c r="AE409" s="13" t="s">
        <v>262</v>
      </c>
      <c r="AF409" s="13" t="s">
        <v>7223</v>
      </c>
      <c r="AG409" s="13" t="s">
        <v>39</v>
      </c>
      <c r="AH409" s="13" t="s">
        <v>39</v>
      </c>
      <c r="AI409" s="13" t="s">
        <v>7224</v>
      </c>
      <c r="AJ409" s="13" t="s">
        <v>7225</v>
      </c>
      <c r="AK409" s="13" t="s">
        <v>7226</v>
      </c>
      <c r="AL409" s="13" t="s">
        <v>88</v>
      </c>
    </row>
    <row r="410" spans="1:38" x14ac:dyDescent="0.4">
      <c r="A410" s="11" t="s">
        <v>7227</v>
      </c>
      <c r="B410" s="14" t="s">
        <v>7228</v>
      </c>
      <c r="C410" s="15" t="s">
        <v>39</v>
      </c>
      <c r="D410" s="15" t="s">
        <v>63</v>
      </c>
      <c r="E410" s="15" t="s">
        <v>7229</v>
      </c>
      <c r="F410" s="15" t="s">
        <v>640</v>
      </c>
      <c r="G410" s="15" t="s">
        <v>422</v>
      </c>
      <c r="H410" s="15" t="s">
        <v>7230</v>
      </c>
      <c r="I410" s="9">
        <f t="shared" ca="1" si="6"/>
        <v>13</v>
      </c>
      <c r="J410" s="15" t="s">
        <v>7231</v>
      </c>
      <c r="K410" s="15" t="s">
        <v>531</v>
      </c>
      <c r="L410" s="9" t="str">
        <f>VLOOKUP(K410,[1]中国省份_标准!$B$2:$F$35,4,FALSE)</f>
        <v>东部地区</v>
      </c>
      <c r="M410" s="9" t="str">
        <f>VLOOKUP(K410,[1]中国省份_标准!$B$2:$F$35,5,FALSE)</f>
        <v>华南地区</v>
      </c>
      <c r="N410" s="15" t="s">
        <v>2560</v>
      </c>
      <c r="O410" s="15" t="s">
        <v>39</v>
      </c>
      <c r="P410" s="15" t="s">
        <v>7232</v>
      </c>
      <c r="Q410" s="15" t="s">
        <v>7233</v>
      </c>
      <c r="R410" s="15" t="s">
        <v>7234</v>
      </c>
      <c r="S410" s="15" t="s">
        <v>39</v>
      </c>
      <c r="T410" s="15" t="s">
        <v>48</v>
      </c>
      <c r="U410" s="15" t="s">
        <v>7228</v>
      </c>
      <c r="V410" s="15" t="s">
        <v>7235</v>
      </c>
      <c r="W410" s="15" t="s">
        <v>7236</v>
      </c>
      <c r="X410" s="15" t="s">
        <v>77</v>
      </c>
      <c r="Y410" s="15" t="s">
        <v>78</v>
      </c>
      <c r="Z410" s="15" t="s">
        <v>7237</v>
      </c>
      <c r="AA410" s="15" t="s">
        <v>80</v>
      </c>
      <c r="AB410" s="15" t="s">
        <v>106</v>
      </c>
      <c r="AC410" s="15" t="s">
        <v>388</v>
      </c>
      <c r="AD410" s="15" t="s">
        <v>434</v>
      </c>
      <c r="AE410" s="15" t="s">
        <v>109</v>
      </c>
      <c r="AF410" s="15" t="s">
        <v>7238</v>
      </c>
      <c r="AG410" s="15" t="s">
        <v>39</v>
      </c>
      <c r="AH410" s="15" t="s">
        <v>39</v>
      </c>
      <c r="AI410" s="15" t="s">
        <v>7239</v>
      </c>
      <c r="AJ410" s="15" t="s">
        <v>7240</v>
      </c>
      <c r="AK410" s="15" t="s">
        <v>2572</v>
      </c>
      <c r="AL410" s="15" t="s">
        <v>88</v>
      </c>
    </row>
    <row r="411" spans="1:38" x14ac:dyDescent="0.4">
      <c r="A411" s="11" t="s">
        <v>7241</v>
      </c>
      <c r="B411" s="12" t="s">
        <v>7242</v>
      </c>
      <c r="C411" s="13" t="s">
        <v>39</v>
      </c>
      <c r="D411" s="13" t="s">
        <v>6958</v>
      </c>
      <c r="E411" s="13" t="s">
        <v>7243</v>
      </c>
      <c r="F411" s="13" t="s">
        <v>154</v>
      </c>
      <c r="G411" s="13" t="s">
        <v>154</v>
      </c>
      <c r="H411" s="13" t="s">
        <v>2996</v>
      </c>
      <c r="I411" s="9">
        <f t="shared" ca="1" si="6"/>
        <v>14</v>
      </c>
      <c r="J411" s="13" t="s">
        <v>7244</v>
      </c>
      <c r="K411" s="13" t="s">
        <v>702</v>
      </c>
      <c r="L411" s="9" t="str">
        <f>VLOOKUP(K411,[1]中国省份_标准!$B$2:$F$35,4,FALSE)</f>
        <v>东部地区</v>
      </c>
      <c r="M411" s="9" t="str">
        <f>VLOOKUP(K411,[1]中国省份_标准!$B$2:$F$35,5,FALSE)</f>
        <v>华北地区</v>
      </c>
      <c r="N411" s="13" t="s">
        <v>820</v>
      </c>
      <c r="O411" s="13" t="s">
        <v>7245</v>
      </c>
      <c r="P411" s="13" t="s">
        <v>7246</v>
      </c>
      <c r="Q411" s="13" t="s">
        <v>7247</v>
      </c>
      <c r="R411" s="13" t="s">
        <v>7248</v>
      </c>
      <c r="S411" s="13" t="s">
        <v>39</v>
      </c>
      <c r="T411" s="13" t="s">
        <v>48</v>
      </c>
      <c r="U411" s="13" t="s">
        <v>7242</v>
      </c>
      <c r="V411" s="13" t="s">
        <v>7249</v>
      </c>
      <c r="W411" s="13" t="s">
        <v>7250</v>
      </c>
      <c r="X411" s="13" t="s">
        <v>2566</v>
      </c>
      <c r="Y411" s="13" t="s">
        <v>283</v>
      </c>
      <c r="Z411" s="13" t="s">
        <v>7251</v>
      </c>
      <c r="AA411" s="13" t="s">
        <v>169</v>
      </c>
      <c r="AB411" s="13" t="s">
        <v>285</v>
      </c>
      <c r="AC411" s="13" t="s">
        <v>479</v>
      </c>
      <c r="AD411" s="13" t="s">
        <v>480</v>
      </c>
      <c r="AE411" s="13" t="s">
        <v>55</v>
      </c>
      <c r="AF411" s="13" t="s">
        <v>7252</v>
      </c>
      <c r="AG411" s="13" t="s">
        <v>39</v>
      </c>
      <c r="AH411" s="13" t="s">
        <v>39</v>
      </c>
      <c r="AI411" s="13" t="s">
        <v>7253</v>
      </c>
      <c r="AJ411" s="13" t="s">
        <v>7254</v>
      </c>
      <c r="AK411" s="13" t="s">
        <v>7255</v>
      </c>
      <c r="AL411" s="13" t="s">
        <v>88</v>
      </c>
    </row>
    <row r="412" spans="1:38" x14ac:dyDescent="0.4">
      <c r="A412" s="11" t="s">
        <v>7256</v>
      </c>
      <c r="B412" s="14" t="s">
        <v>7257</v>
      </c>
      <c r="C412" s="15" t="s">
        <v>39</v>
      </c>
      <c r="D412" s="15" t="s">
        <v>7258</v>
      </c>
      <c r="E412" s="15" t="s">
        <v>7259</v>
      </c>
      <c r="F412" s="15" t="s">
        <v>961</v>
      </c>
      <c r="G412" s="15" t="s">
        <v>39</v>
      </c>
      <c r="H412" s="15" t="s">
        <v>6961</v>
      </c>
      <c r="I412" s="9">
        <f t="shared" ca="1" si="6"/>
        <v>5</v>
      </c>
      <c r="J412" s="15" t="s">
        <v>7260</v>
      </c>
      <c r="K412" s="15" t="s">
        <v>379</v>
      </c>
      <c r="L412" s="9" t="str">
        <f>VLOOKUP(K412,[1]中国省份_标准!$B$2:$F$35,4,FALSE)</f>
        <v>东部地区</v>
      </c>
      <c r="M412" s="9" t="str">
        <f>VLOOKUP(K412,[1]中国省份_标准!$B$2:$F$35,5,FALSE)</f>
        <v>华东地区</v>
      </c>
      <c r="N412" s="15" t="s">
        <v>1276</v>
      </c>
      <c r="O412" s="15" t="s">
        <v>1277</v>
      </c>
      <c r="P412" s="15" t="s">
        <v>7261</v>
      </c>
      <c r="Q412" s="15" t="s">
        <v>39</v>
      </c>
      <c r="R412" s="15" t="s">
        <v>39</v>
      </c>
      <c r="S412" s="15" t="s">
        <v>39</v>
      </c>
      <c r="T412" s="15" t="s">
        <v>281</v>
      </c>
      <c r="U412" s="15" t="s">
        <v>7257</v>
      </c>
      <c r="V412" s="15" t="s">
        <v>7262</v>
      </c>
      <c r="W412" s="15" t="s">
        <v>7263</v>
      </c>
      <c r="X412" s="15" t="s">
        <v>77</v>
      </c>
      <c r="Y412" s="15" t="s">
        <v>78</v>
      </c>
      <c r="Z412" s="15" t="s">
        <v>6967</v>
      </c>
      <c r="AA412" s="15" t="s">
        <v>169</v>
      </c>
      <c r="AB412" s="15" t="s">
        <v>285</v>
      </c>
      <c r="AC412" s="15" t="s">
        <v>286</v>
      </c>
      <c r="AD412" s="15" t="s">
        <v>4608</v>
      </c>
      <c r="AE412" s="15" t="s">
        <v>55</v>
      </c>
      <c r="AF412" s="15" t="s">
        <v>7264</v>
      </c>
      <c r="AG412" s="15" t="s">
        <v>39</v>
      </c>
      <c r="AH412" s="15" t="s">
        <v>39</v>
      </c>
      <c r="AI412" s="15" t="s">
        <v>7265</v>
      </c>
      <c r="AJ412" s="15" t="s">
        <v>6970</v>
      </c>
      <c r="AK412" s="15" t="s">
        <v>1284</v>
      </c>
      <c r="AL412" s="15" t="s">
        <v>88</v>
      </c>
    </row>
    <row r="413" spans="1:38" x14ac:dyDescent="0.4">
      <c r="A413" s="11" t="s">
        <v>7266</v>
      </c>
      <c r="B413" s="12" t="s">
        <v>7267</v>
      </c>
      <c r="C413" s="13" t="s">
        <v>7268</v>
      </c>
      <c r="D413" s="13" t="s">
        <v>92</v>
      </c>
      <c r="E413" s="13" t="s">
        <v>7269</v>
      </c>
      <c r="F413" s="13" t="s">
        <v>154</v>
      </c>
      <c r="G413" s="13" t="s">
        <v>422</v>
      </c>
      <c r="H413" s="13" t="s">
        <v>7270</v>
      </c>
      <c r="I413" s="9">
        <f t="shared" ca="1" si="6"/>
        <v>14</v>
      </c>
      <c r="J413" s="13" t="s">
        <v>7271</v>
      </c>
      <c r="K413" s="13" t="s">
        <v>340</v>
      </c>
      <c r="L413" s="9" t="str">
        <f>VLOOKUP(K413,[1]中国省份_标准!$B$2:$F$35,4,FALSE)</f>
        <v>东部地区</v>
      </c>
      <c r="M413" s="9" t="str">
        <f>VLOOKUP(K413,[1]中国省份_标准!$B$2:$F$35,5,FALSE)</f>
        <v>华东地区</v>
      </c>
      <c r="N413" s="13" t="s">
        <v>7272</v>
      </c>
      <c r="O413" s="13" t="s">
        <v>7273</v>
      </c>
      <c r="P413" s="13" t="s">
        <v>7274</v>
      </c>
      <c r="Q413" s="13" t="s">
        <v>39</v>
      </c>
      <c r="R413" s="13" t="s">
        <v>7275</v>
      </c>
      <c r="S413" s="13" t="s">
        <v>39</v>
      </c>
      <c r="T413" s="13" t="s">
        <v>48</v>
      </c>
      <c r="U413" s="13" t="s">
        <v>7267</v>
      </c>
      <c r="V413" s="13" t="s">
        <v>7276</v>
      </c>
      <c r="W413" s="13" t="s">
        <v>7277</v>
      </c>
      <c r="X413" s="13" t="s">
        <v>557</v>
      </c>
      <c r="Y413" s="13" t="s">
        <v>78</v>
      </c>
      <c r="Z413" s="13" t="s">
        <v>7278</v>
      </c>
      <c r="AA413" s="13" t="s">
        <v>169</v>
      </c>
      <c r="AB413" s="13" t="s">
        <v>7279</v>
      </c>
      <c r="AC413" s="13" t="s">
        <v>7280</v>
      </c>
      <c r="AD413" s="13" t="s">
        <v>7281</v>
      </c>
      <c r="AE413" s="13" t="s">
        <v>109</v>
      </c>
      <c r="AF413" s="13" t="s">
        <v>7282</v>
      </c>
      <c r="AG413" s="13" t="s">
        <v>39</v>
      </c>
      <c r="AH413" s="13" t="s">
        <v>39</v>
      </c>
      <c r="AI413" s="13" t="s">
        <v>7283</v>
      </c>
      <c r="AJ413" s="13" t="s">
        <v>7284</v>
      </c>
      <c r="AK413" s="13" t="s">
        <v>7285</v>
      </c>
      <c r="AL413" s="13" t="s">
        <v>88</v>
      </c>
    </row>
    <row r="414" spans="1:38" x14ac:dyDescent="0.4">
      <c r="A414" s="11" t="s">
        <v>7286</v>
      </c>
      <c r="B414" s="14" t="s">
        <v>7287</v>
      </c>
      <c r="C414" s="15" t="s">
        <v>39</v>
      </c>
      <c r="D414" s="15" t="s">
        <v>92</v>
      </c>
      <c r="E414" s="15" t="s">
        <v>7288</v>
      </c>
      <c r="F414" s="15" t="s">
        <v>42</v>
      </c>
      <c r="G414" s="15" t="s">
        <v>39</v>
      </c>
      <c r="H414" s="15" t="s">
        <v>7289</v>
      </c>
      <c r="I414" s="9">
        <f t="shared" ca="1" si="6"/>
        <v>4</v>
      </c>
      <c r="J414" s="15" t="s">
        <v>7290</v>
      </c>
      <c r="K414" s="15" t="s">
        <v>594</v>
      </c>
      <c r="L414" s="9" t="str">
        <f>VLOOKUP(K414,[1]中国省份_标准!$B$2:$F$35,4,FALSE)</f>
        <v>中部地区</v>
      </c>
      <c r="M414" s="9" t="str">
        <f>VLOOKUP(K414,[1]中国省份_标准!$B$2:$F$35,5,FALSE)</f>
        <v>华东地区</v>
      </c>
      <c r="N414" s="15" t="s">
        <v>7291</v>
      </c>
      <c r="O414" s="15" t="s">
        <v>7292</v>
      </c>
      <c r="P414" s="15" t="s">
        <v>7293</v>
      </c>
      <c r="Q414" s="15" t="s">
        <v>7294</v>
      </c>
      <c r="R414" s="15" t="s">
        <v>7295</v>
      </c>
      <c r="S414" s="15" t="s">
        <v>7296</v>
      </c>
      <c r="T414" s="15" t="s">
        <v>281</v>
      </c>
      <c r="U414" s="15" t="s">
        <v>7287</v>
      </c>
      <c r="V414" s="15" t="s">
        <v>7297</v>
      </c>
      <c r="W414" s="15" t="s">
        <v>7298</v>
      </c>
      <c r="X414" s="15" t="s">
        <v>77</v>
      </c>
      <c r="Y414" s="15" t="s">
        <v>78</v>
      </c>
      <c r="Z414" s="15" t="s">
        <v>7299</v>
      </c>
      <c r="AA414" s="15" t="s">
        <v>169</v>
      </c>
      <c r="AB414" s="15" t="s">
        <v>1264</v>
      </c>
      <c r="AC414" s="15" t="s">
        <v>1265</v>
      </c>
      <c r="AD414" s="15" t="s">
        <v>1265</v>
      </c>
      <c r="AE414" s="15" t="s">
        <v>109</v>
      </c>
      <c r="AF414" s="15" t="s">
        <v>7300</v>
      </c>
      <c r="AG414" s="15" t="s">
        <v>39</v>
      </c>
      <c r="AH414" s="15" t="s">
        <v>39</v>
      </c>
      <c r="AI414" s="15" t="s">
        <v>7301</v>
      </c>
      <c r="AJ414" s="15" t="s">
        <v>7302</v>
      </c>
      <c r="AK414" s="15" t="s">
        <v>7303</v>
      </c>
      <c r="AL414" s="15" t="s">
        <v>88</v>
      </c>
    </row>
    <row r="415" spans="1:38" x14ac:dyDescent="0.4">
      <c r="A415" s="11" t="s">
        <v>7304</v>
      </c>
      <c r="B415" s="12" t="s">
        <v>7305</v>
      </c>
      <c r="C415" s="13" t="s">
        <v>7306</v>
      </c>
      <c r="D415" s="13" t="s">
        <v>92</v>
      </c>
      <c r="E415" s="13" t="s">
        <v>7307</v>
      </c>
      <c r="F415" s="13" t="s">
        <v>271</v>
      </c>
      <c r="G415" s="13" t="s">
        <v>271</v>
      </c>
      <c r="H415" s="13" t="s">
        <v>7308</v>
      </c>
      <c r="I415" s="9">
        <f t="shared" ca="1" si="6"/>
        <v>14</v>
      </c>
      <c r="J415" s="13" t="s">
        <v>7309</v>
      </c>
      <c r="K415" s="13" t="s">
        <v>531</v>
      </c>
      <c r="L415" s="9" t="str">
        <f>VLOOKUP(K415,[1]中国省份_标准!$B$2:$F$35,4,FALSE)</f>
        <v>东部地区</v>
      </c>
      <c r="M415" s="9" t="str">
        <f>VLOOKUP(K415,[1]中国省份_标准!$B$2:$F$35,5,FALSE)</f>
        <v>华南地区</v>
      </c>
      <c r="N415" s="13" t="s">
        <v>532</v>
      </c>
      <c r="O415" s="13" t="s">
        <v>533</v>
      </c>
      <c r="P415" s="13" t="s">
        <v>7310</v>
      </c>
      <c r="Q415" s="13" t="s">
        <v>39</v>
      </c>
      <c r="R415" s="13" t="s">
        <v>7311</v>
      </c>
      <c r="S415" s="13" t="s">
        <v>39</v>
      </c>
      <c r="T415" s="13" t="s">
        <v>48</v>
      </c>
      <c r="U415" s="13" t="s">
        <v>7305</v>
      </c>
      <c r="V415" s="13" t="s">
        <v>7312</v>
      </c>
      <c r="W415" s="13" t="s">
        <v>7313</v>
      </c>
      <c r="X415" s="13" t="s">
        <v>791</v>
      </c>
      <c r="Y415" s="13" t="s">
        <v>78</v>
      </c>
      <c r="Z415" s="13" t="s">
        <v>7314</v>
      </c>
      <c r="AA415" s="13" t="s">
        <v>80</v>
      </c>
      <c r="AB415" s="13" t="s">
        <v>106</v>
      </c>
      <c r="AC415" s="13" t="s">
        <v>388</v>
      </c>
      <c r="AD415" s="13" t="s">
        <v>7315</v>
      </c>
      <c r="AE415" s="13" t="s">
        <v>55</v>
      </c>
      <c r="AF415" s="13" t="s">
        <v>7316</v>
      </c>
      <c r="AG415" s="13" t="s">
        <v>39</v>
      </c>
      <c r="AH415" s="13" t="s">
        <v>39</v>
      </c>
      <c r="AI415" s="13" t="s">
        <v>7317</v>
      </c>
      <c r="AJ415" s="13" t="s">
        <v>7318</v>
      </c>
      <c r="AK415" s="13" t="s">
        <v>545</v>
      </c>
      <c r="AL415" s="13" t="s">
        <v>88</v>
      </c>
    </row>
    <row r="416" spans="1:38" x14ac:dyDescent="0.4">
      <c r="A416" s="11" t="s">
        <v>7319</v>
      </c>
      <c r="B416" s="14" t="s">
        <v>7320</v>
      </c>
      <c r="C416" s="15" t="s">
        <v>7321</v>
      </c>
      <c r="D416" s="15" t="s">
        <v>92</v>
      </c>
      <c r="E416" s="15" t="s">
        <v>7322</v>
      </c>
      <c r="F416" s="15" t="s">
        <v>4095</v>
      </c>
      <c r="G416" s="15" t="s">
        <v>4113</v>
      </c>
      <c r="H416" s="15" t="s">
        <v>7323</v>
      </c>
      <c r="I416" s="9">
        <f t="shared" ca="1" si="6"/>
        <v>15</v>
      </c>
      <c r="J416" s="15" t="s">
        <v>7324</v>
      </c>
      <c r="K416" s="15" t="s">
        <v>425</v>
      </c>
      <c r="L416" s="9" t="str">
        <f>VLOOKUP(K416,[1]中国省份_标准!$B$2:$F$35,4,FALSE)</f>
        <v>东部地区</v>
      </c>
      <c r="M416" s="9" t="str">
        <f>VLOOKUP(K416,[1]中国省份_标准!$B$2:$F$35,5,FALSE)</f>
        <v>华东地区</v>
      </c>
      <c r="N416" s="15" t="s">
        <v>3013</v>
      </c>
      <c r="O416" s="15" t="s">
        <v>3014</v>
      </c>
      <c r="P416" s="15" t="s">
        <v>7325</v>
      </c>
      <c r="Q416" s="15" t="s">
        <v>7326</v>
      </c>
      <c r="R416" s="15" t="s">
        <v>39</v>
      </c>
      <c r="S416" s="15" t="s">
        <v>39</v>
      </c>
      <c r="T416" s="15" t="s">
        <v>209</v>
      </c>
      <c r="U416" s="15" t="s">
        <v>7320</v>
      </c>
      <c r="V416" s="15" t="s">
        <v>7327</v>
      </c>
      <c r="W416" s="15" t="s">
        <v>7328</v>
      </c>
      <c r="X416" s="15" t="s">
        <v>7329</v>
      </c>
      <c r="Y416" s="15" t="s">
        <v>78</v>
      </c>
      <c r="Z416" s="15" t="s">
        <v>7330</v>
      </c>
      <c r="AA416" s="15" t="s">
        <v>169</v>
      </c>
      <c r="AB416" s="15" t="s">
        <v>285</v>
      </c>
      <c r="AC416" s="15" t="s">
        <v>39</v>
      </c>
      <c r="AD416" s="15" t="s">
        <v>39</v>
      </c>
      <c r="AE416" s="15" t="s">
        <v>262</v>
      </c>
      <c r="AF416" s="15" t="s">
        <v>7331</v>
      </c>
      <c r="AG416" s="15" t="s">
        <v>39</v>
      </c>
      <c r="AH416" s="15" t="s">
        <v>39</v>
      </c>
      <c r="AI416" s="15" t="s">
        <v>7332</v>
      </c>
      <c r="AJ416" s="15" t="s">
        <v>7333</v>
      </c>
      <c r="AK416" s="15" t="s">
        <v>3023</v>
      </c>
      <c r="AL416" s="15" t="s">
        <v>88</v>
      </c>
    </row>
    <row r="417" spans="1:38" x14ac:dyDescent="0.4">
      <c r="A417" s="11" t="s">
        <v>7334</v>
      </c>
      <c r="B417" s="12" t="s">
        <v>7335</v>
      </c>
      <c r="C417" s="13" t="s">
        <v>39</v>
      </c>
      <c r="D417" s="13" t="s">
        <v>7336</v>
      </c>
      <c r="E417" s="13" t="s">
        <v>7337</v>
      </c>
      <c r="F417" s="13" t="s">
        <v>741</v>
      </c>
      <c r="G417" s="13" t="s">
        <v>741</v>
      </c>
      <c r="H417" s="13" t="s">
        <v>7338</v>
      </c>
      <c r="I417" s="9">
        <f t="shared" ca="1" si="6"/>
        <v>3</v>
      </c>
      <c r="J417" s="13" t="s">
        <v>7339</v>
      </c>
      <c r="K417" s="13" t="s">
        <v>531</v>
      </c>
      <c r="L417" s="9" t="str">
        <f>VLOOKUP(K417,[1]中国省份_标准!$B$2:$F$35,4,FALSE)</f>
        <v>东部地区</v>
      </c>
      <c r="M417" s="9" t="str">
        <f>VLOOKUP(K417,[1]中国省份_标准!$B$2:$F$35,5,FALSE)</f>
        <v>华南地区</v>
      </c>
      <c r="N417" s="13" t="s">
        <v>1450</v>
      </c>
      <c r="O417" s="13" t="s">
        <v>1451</v>
      </c>
      <c r="P417" s="13" t="s">
        <v>7340</v>
      </c>
      <c r="Q417" s="13" t="s">
        <v>7341</v>
      </c>
      <c r="R417" s="13" t="s">
        <v>7342</v>
      </c>
      <c r="S417" s="13" t="s">
        <v>39</v>
      </c>
      <c r="T417" s="13" t="s">
        <v>48</v>
      </c>
      <c r="U417" s="13" t="s">
        <v>7335</v>
      </c>
      <c r="V417" s="13" t="s">
        <v>7343</v>
      </c>
      <c r="W417" s="13" t="s">
        <v>7344</v>
      </c>
      <c r="X417" s="13" t="s">
        <v>7345</v>
      </c>
      <c r="Y417" s="13" t="s">
        <v>283</v>
      </c>
      <c r="Z417" s="13" t="s">
        <v>7346</v>
      </c>
      <c r="AA417" s="13" t="s">
        <v>169</v>
      </c>
      <c r="AB417" s="13" t="s">
        <v>1264</v>
      </c>
      <c r="AC417" s="13" t="s">
        <v>1488</v>
      </c>
      <c r="AD417" s="13" t="s">
        <v>1489</v>
      </c>
      <c r="AE417" s="13" t="s">
        <v>55</v>
      </c>
      <c r="AF417" s="13" t="s">
        <v>7347</v>
      </c>
      <c r="AG417" s="13" t="s">
        <v>39</v>
      </c>
      <c r="AH417" s="13" t="s">
        <v>39</v>
      </c>
      <c r="AI417" s="13" t="s">
        <v>7348</v>
      </c>
      <c r="AJ417" s="13" t="s">
        <v>7349</v>
      </c>
      <c r="AK417" s="13" t="s">
        <v>1460</v>
      </c>
      <c r="AL417" s="13" t="s">
        <v>88</v>
      </c>
    </row>
    <row r="418" spans="1:38" x14ac:dyDescent="0.4">
      <c r="A418" s="11" t="s">
        <v>7350</v>
      </c>
      <c r="B418" s="14" t="s">
        <v>7351</v>
      </c>
      <c r="C418" s="15" t="s">
        <v>39</v>
      </c>
      <c r="D418" s="15" t="s">
        <v>92</v>
      </c>
      <c r="E418" s="15" t="s">
        <v>7352</v>
      </c>
      <c r="F418" s="15" t="s">
        <v>42</v>
      </c>
      <c r="G418" s="15" t="s">
        <v>39</v>
      </c>
      <c r="H418" s="15" t="s">
        <v>7353</v>
      </c>
      <c r="I418" s="9">
        <f t="shared" ca="1" si="6"/>
        <v>3</v>
      </c>
      <c r="J418" s="15" t="s">
        <v>7354</v>
      </c>
      <c r="K418" s="15" t="s">
        <v>594</v>
      </c>
      <c r="L418" s="9" t="str">
        <f>VLOOKUP(K418,[1]中国省份_标准!$B$2:$F$35,4,FALSE)</f>
        <v>中部地区</v>
      </c>
      <c r="M418" s="9" t="str">
        <f>VLOOKUP(K418,[1]中国省份_标准!$B$2:$F$35,5,FALSE)</f>
        <v>华东地区</v>
      </c>
      <c r="N418" s="15" t="s">
        <v>7291</v>
      </c>
      <c r="O418" s="15" t="s">
        <v>7292</v>
      </c>
      <c r="P418" s="15" t="s">
        <v>7355</v>
      </c>
      <c r="Q418" s="15" t="s">
        <v>39</v>
      </c>
      <c r="R418" s="15" t="s">
        <v>7356</v>
      </c>
      <c r="S418" s="15" t="s">
        <v>7357</v>
      </c>
      <c r="T418" s="15" t="s">
        <v>281</v>
      </c>
      <c r="U418" s="15" t="s">
        <v>7351</v>
      </c>
      <c r="V418" s="15" t="s">
        <v>7358</v>
      </c>
      <c r="W418" s="15" t="s">
        <v>7359</v>
      </c>
      <c r="X418" s="15" t="s">
        <v>77</v>
      </c>
      <c r="Y418" s="15" t="s">
        <v>78</v>
      </c>
      <c r="Z418" s="15" t="s">
        <v>7360</v>
      </c>
      <c r="AA418" s="15" t="s">
        <v>169</v>
      </c>
      <c r="AB418" s="15" t="s">
        <v>285</v>
      </c>
      <c r="AC418" s="15" t="s">
        <v>286</v>
      </c>
      <c r="AD418" s="15" t="s">
        <v>4608</v>
      </c>
      <c r="AE418" s="15" t="s">
        <v>55</v>
      </c>
      <c r="AF418" s="15" t="s">
        <v>7361</v>
      </c>
      <c r="AG418" s="15" t="s">
        <v>39</v>
      </c>
      <c r="AH418" s="15" t="s">
        <v>39</v>
      </c>
      <c r="AI418" s="15" t="s">
        <v>7362</v>
      </c>
      <c r="AJ418" s="15" t="s">
        <v>7363</v>
      </c>
      <c r="AK418" s="15" t="s">
        <v>7303</v>
      </c>
      <c r="AL418" s="15" t="s">
        <v>88</v>
      </c>
    </row>
    <row r="419" spans="1:38" x14ac:dyDescent="0.4">
      <c r="A419" s="11" t="s">
        <v>7364</v>
      </c>
      <c r="B419" s="12" t="s">
        <v>7365</v>
      </c>
      <c r="C419" s="13" t="s">
        <v>39</v>
      </c>
      <c r="D419" s="13" t="s">
        <v>7366</v>
      </c>
      <c r="E419" s="13" t="s">
        <v>7367</v>
      </c>
      <c r="F419" s="13" t="s">
        <v>271</v>
      </c>
      <c r="G419" s="13" t="s">
        <v>39</v>
      </c>
      <c r="H419" s="13" t="s">
        <v>5432</v>
      </c>
      <c r="I419" s="9">
        <f t="shared" ca="1" si="6"/>
        <v>5</v>
      </c>
      <c r="J419" s="13" t="s">
        <v>7368</v>
      </c>
      <c r="K419" s="13" t="s">
        <v>379</v>
      </c>
      <c r="L419" s="9" t="str">
        <f>VLOOKUP(K419,[1]中国省份_标准!$B$2:$F$35,4,FALSE)</f>
        <v>东部地区</v>
      </c>
      <c r="M419" s="9" t="str">
        <f>VLOOKUP(K419,[1]中国省份_标准!$B$2:$F$35,5,FALSE)</f>
        <v>华东地区</v>
      </c>
      <c r="N419" s="13" t="s">
        <v>1276</v>
      </c>
      <c r="O419" s="13" t="s">
        <v>1277</v>
      </c>
      <c r="P419" s="13" t="s">
        <v>7369</v>
      </c>
      <c r="Q419" s="13" t="s">
        <v>7370</v>
      </c>
      <c r="R419" s="13" t="s">
        <v>39</v>
      </c>
      <c r="S419" s="13" t="s">
        <v>39</v>
      </c>
      <c r="T419" s="13" t="s">
        <v>281</v>
      </c>
      <c r="U419" s="13" t="s">
        <v>7365</v>
      </c>
      <c r="V419" s="13" t="s">
        <v>39</v>
      </c>
      <c r="W419" s="13" t="s">
        <v>7371</v>
      </c>
      <c r="X419" s="13" t="s">
        <v>77</v>
      </c>
      <c r="Y419" s="13" t="s">
        <v>283</v>
      </c>
      <c r="Z419" s="13" t="s">
        <v>5441</v>
      </c>
      <c r="AA419" s="13" t="s">
        <v>169</v>
      </c>
      <c r="AB419" s="13" t="s">
        <v>285</v>
      </c>
      <c r="AC419" s="13" t="s">
        <v>286</v>
      </c>
      <c r="AD419" s="13" t="s">
        <v>287</v>
      </c>
      <c r="AE419" s="13" t="s">
        <v>55</v>
      </c>
      <c r="AF419" s="13" t="s">
        <v>7372</v>
      </c>
      <c r="AG419" s="13" t="s">
        <v>39</v>
      </c>
      <c r="AH419" s="13" t="s">
        <v>39</v>
      </c>
      <c r="AI419" s="13" t="s">
        <v>7373</v>
      </c>
      <c r="AJ419" s="13" t="s">
        <v>7374</v>
      </c>
      <c r="AK419" s="13" t="s">
        <v>7375</v>
      </c>
      <c r="AL419" s="13" t="s">
        <v>88</v>
      </c>
    </row>
    <row r="420" spans="1:38" x14ac:dyDescent="0.4">
      <c r="A420" s="11" t="s">
        <v>7376</v>
      </c>
      <c r="B420" s="14" t="s">
        <v>7377</v>
      </c>
      <c r="C420" s="15" t="s">
        <v>39</v>
      </c>
      <c r="D420" s="15" t="s">
        <v>92</v>
      </c>
      <c r="E420" s="15" t="s">
        <v>7378</v>
      </c>
      <c r="F420" s="15" t="s">
        <v>117</v>
      </c>
      <c r="G420" s="15" t="s">
        <v>39</v>
      </c>
      <c r="H420" s="15" t="s">
        <v>7379</v>
      </c>
      <c r="I420" s="9">
        <f t="shared" ca="1" si="6"/>
        <v>2</v>
      </c>
      <c r="J420" s="15" t="s">
        <v>7380</v>
      </c>
      <c r="K420" s="15" t="s">
        <v>983</v>
      </c>
      <c r="L420" s="9" t="str">
        <f>VLOOKUP(K420,[1]中国省份_标准!$B$2:$F$35,4,FALSE)</f>
        <v>西部地区</v>
      </c>
      <c r="M420" s="9" t="str">
        <f>VLOOKUP(K420,[1]中国省份_标准!$B$2:$F$35,5,FALSE)</f>
        <v>华北地区</v>
      </c>
      <c r="N420" s="15" t="s">
        <v>7381</v>
      </c>
      <c r="O420" s="15" t="s">
        <v>7382</v>
      </c>
      <c r="P420" s="15" t="s">
        <v>7383</v>
      </c>
      <c r="Q420" s="15" t="s">
        <v>7384</v>
      </c>
      <c r="R420" s="15" t="s">
        <v>7385</v>
      </c>
      <c r="S420" s="15" t="s">
        <v>7386</v>
      </c>
      <c r="T420" s="15" t="s">
        <v>281</v>
      </c>
      <c r="U420" s="15" t="s">
        <v>7377</v>
      </c>
      <c r="V420" s="15" t="s">
        <v>39</v>
      </c>
      <c r="W420" s="15" t="s">
        <v>7387</v>
      </c>
      <c r="X420" s="15" t="s">
        <v>77</v>
      </c>
      <c r="Y420" s="15" t="s">
        <v>78</v>
      </c>
      <c r="Z420" s="15" t="s">
        <v>7388</v>
      </c>
      <c r="AA420" s="15" t="s">
        <v>80</v>
      </c>
      <c r="AB420" s="15" t="s">
        <v>106</v>
      </c>
      <c r="AC420" s="15" t="s">
        <v>808</v>
      </c>
      <c r="AD420" s="15" t="s">
        <v>809</v>
      </c>
      <c r="AE420" s="15" t="s">
        <v>109</v>
      </c>
      <c r="AF420" s="15" t="s">
        <v>7389</v>
      </c>
      <c r="AG420" s="15" t="s">
        <v>39</v>
      </c>
      <c r="AH420" s="15" t="s">
        <v>39</v>
      </c>
      <c r="AI420" s="15" t="s">
        <v>7390</v>
      </c>
      <c r="AJ420" s="15" t="s">
        <v>7391</v>
      </c>
      <c r="AK420" s="15" t="s">
        <v>7392</v>
      </c>
      <c r="AL420" s="15" t="s">
        <v>88</v>
      </c>
    </row>
    <row r="421" spans="1:38" x14ac:dyDescent="0.4">
      <c r="A421" s="11" t="s">
        <v>7393</v>
      </c>
      <c r="B421" s="12" t="s">
        <v>7394</v>
      </c>
      <c r="C421" s="13" t="s">
        <v>39</v>
      </c>
      <c r="D421" s="13" t="s">
        <v>63</v>
      </c>
      <c r="E421" s="13" t="s">
        <v>7395</v>
      </c>
      <c r="F421" s="13" t="s">
        <v>640</v>
      </c>
      <c r="G421" s="13" t="s">
        <v>7396</v>
      </c>
      <c r="H421" s="13" t="s">
        <v>7397</v>
      </c>
      <c r="I421" s="9">
        <f t="shared" ca="1" si="6"/>
        <v>8</v>
      </c>
      <c r="J421" s="13" t="s">
        <v>7398</v>
      </c>
      <c r="K421" s="13" t="s">
        <v>425</v>
      </c>
      <c r="L421" s="9" t="str">
        <f>VLOOKUP(K421,[1]中国省份_标准!$B$2:$F$35,4,FALSE)</f>
        <v>东部地区</v>
      </c>
      <c r="M421" s="9" t="str">
        <f>VLOOKUP(K421,[1]中国省份_标准!$B$2:$F$35,5,FALSE)</f>
        <v>华东地区</v>
      </c>
      <c r="N421" s="13" t="s">
        <v>7399</v>
      </c>
      <c r="O421" s="13" t="s">
        <v>7400</v>
      </c>
      <c r="P421" s="13" t="s">
        <v>7401</v>
      </c>
      <c r="Q421" s="13" t="s">
        <v>7402</v>
      </c>
      <c r="R421" s="13" t="s">
        <v>7403</v>
      </c>
      <c r="S421" s="13" t="s">
        <v>7404</v>
      </c>
      <c r="T421" s="13" t="s">
        <v>281</v>
      </c>
      <c r="U421" s="13" t="s">
        <v>7394</v>
      </c>
      <c r="V421" s="13" t="s">
        <v>7405</v>
      </c>
      <c r="W421" s="13" t="s">
        <v>7406</v>
      </c>
      <c r="X421" s="13" t="s">
        <v>540</v>
      </c>
      <c r="Y421" s="13" t="s">
        <v>78</v>
      </c>
      <c r="Z421" s="13" t="s">
        <v>7407</v>
      </c>
      <c r="AA421" s="13" t="s">
        <v>169</v>
      </c>
      <c r="AB421" s="13" t="s">
        <v>170</v>
      </c>
      <c r="AC421" s="13" t="s">
        <v>171</v>
      </c>
      <c r="AD421" s="13" t="s">
        <v>39</v>
      </c>
      <c r="AE421" s="13" t="s">
        <v>55</v>
      </c>
      <c r="AF421" s="13" t="s">
        <v>7408</v>
      </c>
      <c r="AG421" s="13" t="s">
        <v>39</v>
      </c>
      <c r="AH421" s="13" t="s">
        <v>39</v>
      </c>
      <c r="AI421" s="13" t="s">
        <v>7409</v>
      </c>
      <c r="AJ421" s="13" t="s">
        <v>7410</v>
      </c>
      <c r="AK421" s="13" t="s">
        <v>7411</v>
      </c>
      <c r="AL421" s="13" t="s">
        <v>88</v>
      </c>
    </row>
    <row r="422" spans="1:38" x14ac:dyDescent="0.4">
      <c r="A422" s="11" t="s">
        <v>7412</v>
      </c>
      <c r="B422" s="14" t="s">
        <v>7413</v>
      </c>
      <c r="C422" s="15" t="s">
        <v>7414</v>
      </c>
      <c r="D422" s="15" t="s">
        <v>92</v>
      </c>
      <c r="E422" s="15" t="s">
        <v>7415</v>
      </c>
      <c r="F422" s="15" t="s">
        <v>7416</v>
      </c>
      <c r="G422" s="15" t="s">
        <v>39</v>
      </c>
      <c r="H422" s="15" t="s">
        <v>7417</v>
      </c>
      <c r="I422" s="9">
        <f t="shared" ca="1" si="6"/>
        <v>7</v>
      </c>
      <c r="J422" s="15" t="s">
        <v>7418</v>
      </c>
      <c r="K422" s="15" t="s">
        <v>340</v>
      </c>
      <c r="L422" s="9" t="str">
        <f>VLOOKUP(K422,[1]中国省份_标准!$B$2:$F$35,4,FALSE)</f>
        <v>东部地区</v>
      </c>
      <c r="M422" s="9" t="str">
        <f>VLOOKUP(K422,[1]中国省份_标准!$B$2:$F$35,5,FALSE)</f>
        <v>华东地区</v>
      </c>
      <c r="N422" s="15" t="s">
        <v>341</v>
      </c>
      <c r="O422" s="15" t="s">
        <v>342</v>
      </c>
      <c r="P422" s="15" t="s">
        <v>7419</v>
      </c>
      <c r="Q422" s="15" t="s">
        <v>7420</v>
      </c>
      <c r="R422" s="15" t="s">
        <v>7421</v>
      </c>
      <c r="S422" s="15" t="s">
        <v>7422</v>
      </c>
      <c r="T422" s="15" t="s">
        <v>48</v>
      </c>
      <c r="U422" s="15" t="s">
        <v>7413</v>
      </c>
      <c r="V422" s="15" t="s">
        <v>7423</v>
      </c>
      <c r="W422" s="15" t="s">
        <v>7424</v>
      </c>
      <c r="X422" s="15" t="s">
        <v>77</v>
      </c>
      <c r="Y422" s="15" t="s">
        <v>78</v>
      </c>
      <c r="Z422" s="15" t="s">
        <v>7425</v>
      </c>
      <c r="AA422" s="15" t="s">
        <v>169</v>
      </c>
      <c r="AB422" s="15" t="s">
        <v>170</v>
      </c>
      <c r="AC422" s="15" t="s">
        <v>171</v>
      </c>
      <c r="AD422" s="15" t="s">
        <v>347</v>
      </c>
      <c r="AE422" s="15" t="s">
        <v>109</v>
      </c>
      <c r="AF422" s="15" t="s">
        <v>7426</v>
      </c>
      <c r="AG422" s="15" t="s">
        <v>39</v>
      </c>
      <c r="AH422" s="15" t="s">
        <v>39</v>
      </c>
      <c r="AI422" s="15" t="s">
        <v>7427</v>
      </c>
      <c r="AJ422" s="15" t="s">
        <v>7428</v>
      </c>
      <c r="AK422" s="15" t="s">
        <v>351</v>
      </c>
      <c r="AL422" s="15" t="s">
        <v>88</v>
      </c>
    </row>
    <row r="423" spans="1:38" x14ac:dyDescent="0.4">
      <c r="A423" s="11" t="s">
        <v>7429</v>
      </c>
      <c r="B423" s="12" t="s">
        <v>7430</v>
      </c>
      <c r="C423" s="13" t="s">
        <v>39</v>
      </c>
      <c r="D423" s="13" t="s">
        <v>92</v>
      </c>
      <c r="E423" s="13" t="s">
        <v>7431</v>
      </c>
      <c r="F423" s="13" t="s">
        <v>442</v>
      </c>
      <c r="G423" s="13" t="s">
        <v>39</v>
      </c>
      <c r="H423" s="13" t="s">
        <v>7432</v>
      </c>
      <c r="I423" s="9">
        <f t="shared" ca="1" si="6"/>
        <v>3</v>
      </c>
      <c r="J423" s="13" t="s">
        <v>7433</v>
      </c>
      <c r="K423" s="13" t="s">
        <v>227</v>
      </c>
      <c r="L423" s="9" t="str">
        <f>VLOOKUP(K423,[1]中国省份_标准!$B$2:$F$35,4,FALSE)</f>
        <v>西部地区</v>
      </c>
      <c r="M423" s="9" t="str">
        <f>VLOOKUP(K423,[1]中国省份_标准!$B$2:$F$35,5,FALSE)</f>
        <v>西北地区</v>
      </c>
      <c r="N423" s="13" t="s">
        <v>7434</v>
      </c>
      <c r="O423" s="13" t="s">
        <v>7435</v>
      </c>
      <c r="P423" s="13" t="s">
        <v>7436</v>
      </c>
      <c r="Q423" s="13" t="s">
        <v>7437</v>
      </c>
      <c r="R423" s="13" t="s">
        <v>7438</v>
      </c>
      <c r="S423" s="13" t="s">
        <v>39</v>
      </c>
      <c r="T423" s="13" t="s">
        <v>48</v>
      </c>
      <c r="U423" s="13" t="s">
        <v>7430</v>
      </c>
      <c r="V423" s="13" t="s">
        <v>7439</v>
      </c>
      <c r="W423" s="13" t="s">
        <v>7440</v>
      </c>
      <c r="X423" s="13" t="s">
        <v>77</v>
      </c>
      <c r="Y423" s="13" t="s">
        <v>78</v>
      </c>
      <c r="Z423" s="13" t="s">
        <v>7441</v>
      </c>
      <c r="AA423" s="13" t="s">
        <v>309</v>
      </c>
      <c r="AB423" s="13" t="s">
        <v>772</v>
      </c>
      <c r="AC423" s="13" t="s">
        <v>773</v>
      </c>
      <c r="AD423" s="13" t="s">
        <v>774</v>
      </c>
      <c r="AE423" s="13" t="s">
        <v>262</v>
      </c>
      <c r="AF423" s="13" t="s">
        <v>7442</v>
      </c>
      <c r="AG423" s="13" t="s">
        <v>39</v>
      </c>
      <c r="AH423" s="13" t="s">
        <v>39</v>
      </c>
      <c r="AI423" s="13" t="s">
        <v>7443</v>
      </c>
      <c r="AJ423" s="13" t="s">
        <v>7444</v>
      </c>
      <c r="AK423" s="13" t="s">
        <v>7445</v>
      </c>
      <c r="AL423" s="13" t="s">
        <v>88</v>
      </c>
    </row>
    <row r="424" spans="1:38" x14ac:dyDescent="0.4">
      <c r="A424" s="11" t="s">
        <v>7446</v>
      </c>
      <c r="B424" s="14" t="s">
        <v>7447</v>
      </c>
      <c r="C424" s="15" t="s">
        <v>39</v>
      </c>
      <c r="D424" s="15" t="s">
        <v>92</v>
      </c>
      <c r="E424" s="15" t="s">
        <v>7448</v>
      </c>
      <c r="F424" s="15" t="s">
        <v>3656</v>
      </c>
      <c r="G424" s="15" t="s">
        <v>3656</v>
      </c>
      <c r="H424" s="15" t="s">
        <v>7449</v>
      </c>
      <c r="I424" s="9">
        <f t="shared" ca="1" si="6"/>
        <v>12</v>
      </c>
      <c r="J424" s="15" t="s">
        <v>7450</v>
      </c>
      <c r="K424" s="15" t="s">
        <v>594</v>
      </c>
      <c r="L424" s="9" t="str">
        <f>VLOOKUP(K424,[1]中国省份_标准!$B$2:$F$35,4,FALSE)</f>
        <v>中部地区</v>
      </c>
      <c r="M424" s="9" t="str">
        <f>VLOOKUP(K424,[1]中国省份_标准!$B$2:$F$35,5,FALSE)</f>
        <v>华东地区</v>
      </c>
      <c r="N424" s="15" t="s">
        <v>7451</v>
      </c>
      <c r="O424" s="15" t="s">
        <v>7452</v>
      </c>
      <c r="P424" s="15" t="s">
        <v>7453</v>
      </c>
      <c r="Q424" s="15" t="s">
        <v>7454</v>
      </c>
      <c r="R424" s="15" t="s">
        <v>7455</v>
      </c>
      <c r="S424" s="15" t="s">
        <v>7456</v>
      </c>
      <c r="T424" s="15" t="s">
        <v>184</v>
      </c>
      <c r="U424" s="15" t="s">
        <v>7447</v>
      </c>
      <c r="V424" s="15" t="s">
        <v>7457</v>
      </c>
      <c r="W424" s="15" t="s">
        <v>7458</v>
      </c>
      <c r="X424" s="15" t="s">
        <v>2037</v>
      </c>
      <c r="Y424" s="15" t="s">
        <v>78</v>
      </c>
      <c r="Z424" s="15" t="s">
        <v>7459</v>
      </c>
      <c r="AA424" s="15" t="s">
        <v>1796</v>
      </c>
      <c r="AB424" s="15" t="s">
        <v>1797</v>
      </c>
      <c r="AC424" s="15" t="s">
        <v>7460</v>
      </c>
      <c r="AD424" s="15" t="s">
        <v>7460</v>
      </c>
      <c r="AE424" s="15" t="s">
        <v>55</v>
      </c>
      <c r="AF424" s="15" t="s">
        <v>7461</v>
      </c>
      <c r="AG424" s="15" t="s">
        <v>39</v>
      </c>
      <c r="AH424" s="15" t="s">
        <v>39</v>
      </c>
      <c r="AI424" s="15" t="s">
        <v>7462</v>
      </c>
      <c r="AJ424" s="15" t="s">
        <v>7463</v>
      </c>
      <c r="AK424" s="15" t="s">
        <v>7464</v>
      </c>
      <c r="AL424" s="15" t="s">
        <v>88</v>
      </c>
    </row>
    <row r="425" spans="1:38" x14ac:dyDescent="0.4">
      <c r="A425" s="11" t="s">
        <v>7465</v>
      </c>
      <c r="B425" s="12" t="s">
        <v>7466</v>
      </c>
      <c r="C425" s="13" t="s">
        <v>39</v>
      </c>
      <c r="D425" s="13" t="s">
        <v>92</v>
      </c>
      <c r="E425" s="13" t="s">
        <v>7467</v>
      </c>
      <c r="F425" s="13" t="s">
        <v>422</v>
      </c>
      <c r="G425" s="13" t="s">
        <v>39</v>
      </c>
      <c r="H425" s="13" t="s">
        <v>7468</v>
      </c>
      <c r="I425" s="9">
        <f t="shared" ca="1" si="6"/>
        <v>6</v>
      </c>
      <c r="J425" s="13" t="s">
        <v>7469</v>
      </c>
      <c r="K425" s="13" t="s">
        <v>3189</v>
      </c>
      <c r="L425" s="9" t="str">
        <f>VLOOKUP(K425,[1]中国省份_标准!$B$2:$F$35,4,FALSE)</f>
        <v>西部地区</v>
      </c>
      <c r="M425" s="9" t="str">
        <f>VLOOKUP(K425,[1]中国省份_标准!$B$2:$F$35,5,FALSE)</f>
        <v>西南地区</v>
      </c>
      <c r="N425" s="13" t="s">
        <v>3189</v>
      </c>
      <c r="O425" s="13" t="s">
        <v>7470</v>
      </c>
      <c r="P425" s="13" t="s">
        <v>7471</v>
      </c>
      <c r="Q425" s="13" t="s">
        <v>7472</v>
      </c>
      <c r="R425" s="13" t="s">
        <v>7473</v>
      </c>
      <c r="S425" s="13" t="s">
        <v>39</v>
      </c>
      <c r="T425" s="13" t="s">
        <v>281</v>
      </c>
      <c r="U425" s="13" t="s">
        <v>7466</v>
      </c>
      <c r="V425" s="13" t="s">
        <v>39</v>
      </c>
      <c r="W425" s="13" t="s">
        <v>7474</v>
      </c>
      <c r="X425" s="13" t="s">
        <v>690</v>
      </c>
      <c r="Y425" s="13" t="s">
        <v>78</v>
      </c>
      <c r="Z425" s="13" t="s">
        <v>7475</v>
      </c>
      <c r="AA425" s="13" t="s">
        <v>169</v>
      </c>
      <c r="AB425" s="13" t="s">
        <v>170</v>
      </c>
      <c r="AC425" s="13" t="s">
        <v>171</v>
      </c>
      <c r="AD425" s="13" t="s">
        <v>5811</v>
      </c>
      <c r="AE425" s="13" t="s">
        <v>109</v>
      </c>
      <c r="AF425" s="13" t="s">
        <v>7476</v>
      </c>
      <c r="AG425" s="13" t="s">
        <v>39</v>
      </c>
      <c r="AH425" s="13" t="s">
        <v>39</v>
      </c>
      <c r="AI425" s="13" t="s">
        <v>7477</v>
      </c>
      <c r="AJ425" s="13" t="s">
        <v>7478</v>
      </c>
      <c r="AK425" s="13" t="s">
        <v>7479</v>
      </c>
      <c r="AL425" s="13" t="s">
        <v>88</v>
      </c>
    </row>
    <row r="426" spans="1:38" x14ac:dyDescent="0.4">
      <c r="A426" s="11" t="s">
        <v>7480</v>
      </c>
      <c r="B426" s="14" t="s">
        <v>7481</v>
      </c>
      <c r="C426" s="15" t="s">
        <v>7482</v>
      </c>
      <c r="D426" s="15" t="s">
        <v>63</v>
      </c>
      <c r="E426" s="15" t="s">
        <v>7483</v>
      </c>
      <c r="F426" s="15" t="s">
        <v>640</v>
      </c>
      <c r="G426" s="15" t="s">
        <v>640</v>
      </c>
      <c r="H426" s="15" t="s">
        <v>7484</v>
      </c>
      <c r="I426" s="9">
        <f t="shared" ca="1" si="6"/>
        <v>13</v>
      </c>
      <c r="J426" s="15" t="s">
        <v>7485</v>
      </c>
      <c r="K426" s="15" t="s">
        <v>425</v>
      </c>
      <c r="L426" s="9" t="str">
        <f>VLOOKUP(K426,[1]中国省份_标准!$B$2:$F$35,4,FALSE)</f>
        <v>东部地区</v>
      </c>
      <c r="M426" s="9" t="str">
        <f>VLOOKUP(K426,[1]中国省份_标准!$B$2:$F$35,5,FALSE)</f>
        <v>华东地区</v>
      </c>
      <c r="N426" s="15" t="s">
        <v>964</v>
      </c>
      <c r="O426" s="15" t="s">
        <v>7486</v>
      </c>
      <c r="P426" s="15" t="s">
        <v>7487</v>
      </c>
      <c r="Q426" s="15" t="s">
        <v>7488</v>
      </c>
      <c r="R426" s="15" t="s">
        <v>7489</v>
      </c>
      <c r="S426" s="15" t="s">
        <v>7490</v>
      </c>
      <c r="T426" s="15" t="s">
        <v>48</v>
      </c>
      <c r="U426" s="15" t="s">
        <v>7481</v>
      </c>
      <c r="V426" s="15" t="s">
        <v>7491</v>
      </c>
      <c r="W426" s="15" t="s">
        <v>7492</v>
      </c>
      <c r="X426" s="15" t="s">
        <v>7493</v>
      </c>
      <c r="Y426" s="15" t="s">
        <v>78</v>
      </c>
      <c r="Z426" s="15" t="s">
        <v>7494</v>
      </c>
      <c r="AA426" s="15" t="s">
        <v>850</v>
      </c>
      <c r="AB426" s="15" t="s">
        <v>7495</v>
      </c>
      <c r="AC426" s="15" t="s">
        <v>7496</v>
      </c>
      <c r="AD426" s="15" t="s">
        <v>7497</v>
      </c>
      <c r="AE426" s="15" t="s">
        <v>55</v>
      </c>
      <c r="AF426" s="15" t="s">
        <v>7498</v>
      </c>
      <c r="AG426" s="15" t="s">
        <v>39</v>
      </c>
      <c r="AH426" s="15" t="s">
        <v>39</v>
      </c>
      <c r="AI426" s="15" t="s">
        <v>7499</v>
      </c>
      <c r="AJ426" s="15" t="s">
        <v>7500</v>
      </c>
      <c r="AK426" s="15" t="s">
        <v>7501</v>
      </c>
      <c r="AL426" s="15" t="s">
        <v>88</v>
      </c>
    </row>
    <row r="427" spans="1:38" x14ac:dyDescent="0.4">
      <c r="A427" s="11" t="s">
        <v>7502</v>
      </c>
      <c r="B427" s="12" t="s">
        <v>7503</v>
      </c>
      <c r="C427" s="13" t="s">
        <v>39</v>
      </c>
      <c r="D427" s="13" t="s">
        <v>92</v>
      </c>
      <c r="E427" s="13" t="s">
        <v>7504</v>
      </c>
      <c r="F427" s="13" t="s">
        <v>640</v>
      </c>
      <c r="G427" s="13" t="s">
        <v>39</v>
      </c>
      <c r="H427" s="13" t="s">
        <v>7505</v>
      </c>
      <c r="I427" s="9">
        <f t="shared" ca="1" si="6"/>
        <v>2</v>
      </c>
      <c r="J427" s="13" t="s">
        <v>7506</v>
      </c>
      <c r="K427" s="13" t="s">
        <v>4860</v>
      </c>
      <c r="L427" s="9" t="str">
        <f>VLOOKUP(K427,[1]中国省份_标准!$B$2:$F$35,4,FALSE)</f>
        <v>东部地区</v>
      </c>
      <c r="M427" s="9" t="str">
        <f>VLOOKUP(K427,[1]中国省份_标准!$B$2:$F$35,5,FALSE)</f>
        <v>华南地区</v>
      </c>
      <c r="N427" s="13" t="s">
        <v>7507</v>
      </c>
      <c r="O427" s="13" t="s">
        <v>7508</v>
      </c>
      <c r="P427" s="13" t="s">
        <v>7509</v>
      </c>
      <c r="Q427" s="13" t="s">
        <v>7510</v>
      </c>
      <c r="R427" s="13" t="s">
        <v>7511</v>
      </c>
      <c r="S427" s="13" t="s">
        <v>39</v>
      </c>
      <c r="T427" s="13" t="s">
        <v>48</v>
      </c>
      <c r="U427" s="13" t="s">
        <v>7503</v>
      </c>
      <c r="V427" s="13" t="s">
        <v>7512</v>
      </c>
      <c r="W427" s="13" t="s">
        <v>7513</v>
      </c>
      <c r="X427" s="13" t="s">
        <v>77</v>
      </c>
      <c r="Y427" s="13" t="s">
        <v>78</v>
      </c>
      <c r="Z427" s="13" t="s">
        <v>7514</v>
      </c>
      <c r="AA427" s="13" t="s">
        <v>80</v>
      </c>
      <c r="AB427" s="13" t="s">
        <v>106</v>
      </c>
      <c r="AC427" s="13" t="s">
        <v>559</v>
      </c>
      <c r="AD427" s="13" t="s">
        <v>560</v>
      </c>
      <c r="AE427" s="13" t="s">
        <v>55</v>
      </c>
      <c r="AF427" s="13" t="s">
        <v>7515</v>
      </c>
      <c r="AG427" s="13" t="s">
        <v>39</v>
      </c>
      <c r="AH427" s="13" t="s">
        <v>39</v>
      </c>
      <c r="AI427" s="13" t="s">
        <v>7516</v>
      </c>
      <c r="AJ427" s="13" t="s">
        <v>7517</v>
      </c>
      <c r="AK427" s="13" t="s">
        <v>4872</v>
      </c>
      <c r="AL427" s="13" t="s">
        <v>88</v>
      </c>
    </row>
    <row r="428" spans="1:38" x14ac:dyDescent="0.4">
      <c r="A428" s="11" t="s">
        <v>7518</v>
      </c>
      <c r="B428" s="14" t="s">
        <v>7519</v>
      </c>
      <c r="C428" s="15" t="s">
        <v>39</v>
      </c>
      <c r="D428" s="15" t="s">
        <v>63</v>
      </c>
      <c r="E428" s="15" t="s">
        <v>7520</v>
      </c>
      <c r="F428" s="15" t="s">
        <v>94</v>
      </c>
      <c r="G428" s="15" t="s">
        <v>39</v>
      </c>
      <c r="H428" s="15" t="s">
        <v>6914</v>
      </c>
      <c r="I428" s="9">
        <f t="shared" ca="1" si="6"/>
        <v>7</v>
      </c>
      <c r="J428" s="15" t="s">
        <v>7521</v>
      </c>
      <c r="K428" s="15" t="s">
        <v>425</v>
      </c>
      <c r="L428" s="9" t="str">
        <f>VLOOKUP(K428,[1]中国省份_标准!$B$2:$F$35,4,FALSE)</f>
        <v>东部地区</v>
      </c>
      <c r="M428" s="9" t="str">
        <f>VLOOKUP(K428,[1]中国省份_标准!$B$2:$F$35,5,FALSE)</f>
        <v>华东地区</v>
      </c>
      <c r="N428" s="15" t="s">
        <v>426</v>
      </c>
      <c r="O428" s="15" t="s">
        <v>427</v>
      </c>
      <c r="P428" s="15" t="s">
        <v>7522</v>
      </c>
      <c r="Q428" s="15" t="s">
        <v>7523</v>
      </c>
      <c r="R428" s="15" t="s">
        <v>7524</v>
      </c>
      <c r="S428" s="15" t="s">
        <v>39</v>
      </c>
      <c r="T428" s="15" t="s">
        <v>281</v>
      </c>
      <c r="U428" s="15" t="s">
        <v>7519</v>
      </c>
      <c r="V428" s="15" t="s">
        <v>39</v>
      </c>
      <c r="W428" s="15" t="s">
        <v>7525</v>
      </c>
      <c r="X428" s="15" t="s">
        <v>77</v>
      </c>
      <c r="Y428" s="15" t="s">
        <v>78</v>
      </c>
      <c r="Z428" s="15" t="s">
        <v>6921</v>
      </c>
      <c r="AA428" s="15" t="s">
        <v>80</v>
      </c>
      <c r="AB428" s="15" t="s">
        <v>106</v>
      </c>
      <c r="AC428" s="15" t="s">
        <v>107</v>
      </c>
      <c r="AD428" s="15" t="s">
        <v>108</v>
      </c>
      <c r="AE428" s="15" t="s">
        <v>109</v>
      </c>
      <c r="AF428" s="15" t="s">
        <v>7526</v>
      </c>
      <c r="AG428" s="15" t="s">
        <v>39</v>
      </c>
      <c r="AH428" s="15" t="s">
        <v>39</v>
      </c>
      <c r="AI428" s="15" t="s">
        <v>7527</v>
      </c>
      <c r="AJ428" s="15" t="s">
        <v>7528</v>
      </c>
      <c r="AK428" s="15" t="s">
        <v>2191</v>
      </c>
      <c r="AL428" s="15" t="s">
        <v>88</v>
      </c>
    </row>
    <row r="429" spans="1:38" x14ac:dyDescent="0.4">
      <c r="A429" s="11" t="s">
        <v>7529</v>
      </c>
      <c r="B429" s="12" t="s">
        <v>7530</v>
      </c>
      <c r="C429" s="13" t="s">
        <v>39</v>
      </c>
      <c r="D429" s="13" t="s">
        <v>63</v>
      </c>
      <c r="E429" s="13" t="s">
        <v>7531</v>
      </c>
      <c r="F429" s="13" t="s">
        <v>42</v>
      </c>
      <c r="G429" s="13" t="s">
        <v>39</v>
      </c>
      <c r="H429" s="13" t="s">
        <v>5295</v>
      </c>
      <c r="I429" s="9">
        <f t="shared" ca="1" si="6"/>
        <v>12</v>
      </c>
      <c r="J429" s="13" t="s">
        <v>7532</v>
      </c>
      <c r="K429" s="13" t="s">
        <v>67</v>
      </c>
      <c r="L429" s="9" t="str">
        <f>VLOOKUP(K429,[1]中国省份_标准!$B$2:$F$35,4,FALSE)</f>
        <v>东部地区</v>
      </c>
      <c r="M429" s="9" t="str">
        <f>VLOOKUP(K429,[1]中国省份_标准!$B$2:$F$35,5,FALSE)</f>
        <v>华东地区</v>
      </c>
      <c r="N429" s="13" t="s">
        <v>1663</v>
      </c>
      <c r="O429" s="13" t="s">
        <v>1664</v>
      </c>
      <c r="P429" s="13" t="s">
        <v>7533</v>
      </c>
      <c r="Q429" s="13" t="s">
        <v>7534</v>
      </c>
      <c r="R429" s="13" t="s">
        <v>7535</v>
      </c>
      <c r="S429" s="13" t="s">
        <v>7536</v>
      </c>
      <c r="T429" s="13" t="s">
        <v>164</v>
      </c>
      <c r="U429" s="13" t="s">
        <v>7530</v>
      </c>
      <c r="V429" s="13" t="s">
        <v>7537</v>
      </c>
      <c r="W429" s="13" t="s">
        <v>7538</v>
      </c>
      <c r="X429" s="13" t="s">
        <v>77</v>
      </c>
      <c r="Y429" s="13" t="s">
        <v>78</v>
      </c>
      <c r="Z429" s="13" t="s">
        <v>168</v>
      </c>
      <c r="AA429" s="13" t="s">
        <v>169</v>
      </c>
      <c r="AB429" s="13" t="s">
        <v>170</v>
      </c>
      <c r="AC429" s="13" t="s">
        <v>1725</v>
      </c>
      <c r="AD429" s="13" t="s">
        <v>6937</v>
      </c>
      <c r="AE429" s="13" t="s">
        <v>109</v>
      </c>
      <c r="AF429" s="13" t="s">
        <v>7539</v>
      </c>
      <c r="AG429" s="13" t="s">
        <v>39</v>
      </c>
      <c r="AH429" s="13" t="s">
        <v>39</v>
      </c>
      <c r="AI429" s="13" t="s">
        <v>39</v>
      </c>
      <c r="AJ429" s="13" t="s">
        <v>7540</v>
      </c>
      <c r="AK429" s="13" t="s">
        <v>1676</v>
      </c>
      <c r="AL429" s="13" t="s">
        <v>88</v>
      </c>
    </row>
    <row r="430" spans="1:38" x14ac:dyDescent="0.4">
      <c r="A430" s="11" t="s">
        <v>7541</v>
      </c>
      <c r="B430" s="14" t="s">
        <v>7542</v>
      </c>
      <c r="C430" s="15" t="s">
        <v>39</v>
      </c>
      <c r="D430" s="15" t="s">
        <v>7543</v>
      </c>
      <c r="E430" s="15" t="s">
        <v>7544</v>
      </c>
      <c r="F430" s="15" t="s">
        <v>3890</v>
      </c>
      <c r="G430" s="15" t="s">
        <v>39</v>
      </c>
      <c r="H430" s="15" t="s">
        <v>7545</v>
      </c>
      <c r="I430" s="9">
        <f t="shared" ca="1" si="6"/>
        <v>8</v>
      </c>
      <c r="J430" s="15" t="s">
        <v>7546</v>
      </c>
      <c r="K430" s="15" t="s">
        <v>379</v>
      </c>
      <c r="L430" s="9" t="str">
        <f>VLOOKUP(K430,[1]中国省份_标准!$B$2:$F$35,4,FALSE)</f>
        <v>东部地区</v>
      </c>
      <c r="M430" s="9" t="str">
        <f>VLOOKUP(K430,[1]中国省份_标准!$B$2:$F$35,5,FALSE)</f>
        <v>华东地区</v>
      </c>
      <c r="N430" s="15" t="s">
        <v>1276</v>
      </c>
      <c r="O430" s="15" t="s">
        <v>1277</v>
      </c>
      <c r="P430" s="15" t="s">
        <v>7547</v>
      </c>
      <c r="Q430" s="15" t="s">
        <v>39</v>
      </c>
      <c r="R430" s="15" t="s">
        <v>7548</v>
      </c>
      <c r="S430" s="15" t="s">
        <v>39</v>
      </c>
      <c r="T430" s="15" t="s">
        <v>281</v>
      </c>
      <c r="U430" s="15" t="s">
        <v>7542</v>
      </c>
      <c r="V430" s="15" t="s">
        <v>7549</v>
      </c>
      <c r="W430" s="15" t="s">
        <v>7550</v>
      </c>
      <c r="X430" s="15" t="s">
        <v>77</v>
      </c>
      <c r="Y430" s="15" t="s">
        <v>283</v>
      </c>
      <c r="Z430" s="15" t="s">
        <v>7551</v>
      </c>
      <c r="AA430" s="15" t="s">
        <v>169</v>
      </c>
      <c r="AB430" s="15" t="s">
        <v>285</v>
      </c>
      <c r="AC430" s="15" t="s">
        <v>286</v>
      </c>
      <c r="AD430" s="15" t="s">
        <v>287</v>
      </c>
      <c r="AE430" s="15" t="s">
        <v>55</v>
      </c>
      <c r="AF430" s="15" t="s">
        <v>7552</v>
      </c>
      <c r="AG430" s="15" t="s">
        <v>39</v>
      </c>
      <c r="AH430" s="15" t="s">
        <v>39</v>
      </c>
      <c r="AI430" s="15" t="s">
        <v>7553</v>
      </c>
      <c r="AJ430" s="15" t="s">
        <v>7554</v>
      </c>
      <c r="AK430" s="15" t="s">
        <v>1284</v>
      </c>
      <c r="AL430" s="15" t="s">
        <v>88</v>
      </c>
    </row>
    <row r="431" spans="1:38" x14ac:dyDescent="0.4">
      <c r="A431" s="11" t="s">
        <v>7555</v>
      </c>
      <c r="B431" s="12" t="s">
        <v>7556</v>
      </c>
      <c r="C431" s="13" t="s">
        <v>39</v>
      </c>
      <c r="D431" s="13" t="s">
        <v>92</v>
      </c>
      <c r="E431" s="13" t="s">
        <v>7557</v>
      </c>
      <c r="F431" s="13" t="s">
        <v>7558</v>
      </c>
      <c r="G431" s="13" t="s">
        <v>7559</v>
      </c>
      <c r="H431" s="13" t="s">
        <v>7560</v>
      </c>
      <c r="I431" s="9">
        <f t="shared" ca="1" si="6"/>
        <v>11</v>
      </c>
      <c r="J431" s="13" t="s">
        <v>7561</v>
      </c>
      <c r="K431" s="13" t="s">
        <v>45</v>
      </c>
      <c r="L431" s="9" t="str">
        <f>VLOOKUP(K431,[1]中国省份_标准!$B$2:$F$35,4,FALSE)</f>
        <v>东部地区</v>
      </c>
      <c r="M431" s="9" t="str">
        <f>VLOOKUP(K431,[1]中国省份_标准!$B$2:$F$35,5,FALSE)</f>
        <v>华东地区</v>
      </c>
      <c r="N431" s="13" t="s">
        <v>45</v>
      </c>
      <c r="O431" s="13" t="s">
        <v>551</v>
      </c>
      <c r="P431" s="13" t="s">
        <v>7562</v>
      </c>
      <c r="Q431" s="13" t="s">
        <v>7563</v>
      </c>
      <c r="R431" s="13" t="s">
        <v>7564</v>
      </c>
      <c r="S431" s="13" t="s">
        <v>7565</v>
      </c>
      <c r="T431" s="13" t="s">
        <v>184</v>
      </c>
      <c r="U431" s="13" t="s">
        <v>7556</v>
      </c>
      <c r="V431" s="13" t="s">
        <v>7566</v>
      </c>
      <c r="W431" s="13" t="s">
        <v>7567</v>
      </c>
      <c r="X431" s="13" t="s">
        <v>7568</v>
      </c>
      <c r="Y431" s="13" t="s">
        <v>78</v>
      </c>
      <c r="Z431" s="13" t="s">
        <v>7569</v>
      </c>
      <c r="AA431" s="13" t="s">
        <v>52</v>
      </c>
      <c r="AB431" s="13" t="s">
        <v>53</v>
      </c>
      <c r="AC431" s="13" t="s">
        <v>1301</v>
      </c>
      <c r="AD431" s="13" t="s">
        <v>1302</v>
      </c>
      <c r="AE431" s="13" t="s">
        <v>262</v>
      </c>
      <c r="AF431" s="13" t="s">
        <v>7570</v>
      </c>
      <c r="AG431" s="13" t="s">
        <v>39</v>
      </c>
      <c r="AH431" s="13" t="s">
        <v>39</v>
      </c>
      <c r="AI431" s="13" t="s">
        <v>7571</v>
      </c>
      <c r="AJ431" s="13" t="s">
        <v>7572</v>
      </c>
      <c r="AK431" s="13" t="s">
        <v>564</v>
      </c>
      <c r="AL431" s="13" t="s">
        <v>88</v>
      </c>
    </row>
    <row r="432" spans="1:38" x14ac:dyDescent="0.4">
      <c r="A432" s="11" t="s">
        <v>7573</v>
      </c>
      <c r="B432" s="14" t="s">
        <v>7574</v>
      </c>
      <c r="C432" s="15" t="s">
        <v>7575</v>
      </c>
      <c r="D432" s="15" t="s">
        <v>63</v>
      </c>
      <c r="E432" s="15" t="s">
        <v>7576</v>
      </c>
      <c r="F432" s="15" t="s">
        <v>7577</v>
      </c>
      <c r="G432" s="15" t="s">
        <v>7578</v>
      </c>
      <c r="H432" s="15" t="s">
        <v>7579</v>
      </c>
      <c r="I432" s="9">
        <f t="shared" ca="1" si="6"/>
        <v>41</v>
      </c>
      <c r="J432" s="15" t="s">
        <v>7580</v>
      </c>
      <c r="K432" s="15" t="s">
        <v>67</v>
      </c>
      <c r="L432" s="9" t="str">
        <f>VLOOKUP(K432,[1]中国省份_标准!$B$2:$F$35,4,FALSE)</f>
        <v>东部地区</v>
      </c>
      <c r="M432" s="9" t="str">
        <f>VLOOKUP(K432,[1]中国省份_标准!$B$2:$F$35,5,FALSE)</f>
        <v>华东地区</v>
      </c>
      <c r="N432" s="15" t="s">
        <v>7581</v>
      </c>
      <c r="O432" s="15" t="s">
        <v>7582</v>
      </c>
      <c r="P432" s="15" t="s">
        <v>7583</v>
      </c>
      <c r="Q432" s="15" t="s">
        <v>7584</v>
      </c>
      <c r="R432" s="15" t="s">
        <v>7585</v>
      </c>
      <c r="S432" s="15" t="s">
        <v>7586</v>
      </c>
      <c r="T432" s="15" t="s">
        <v>209</v>
      </c>
      <c r="U432" s="15" t="s">
        <v>7574</v>
      </c>
      <c r="V432" s="15" t="s">
        <v>7587</v>
      </c>
      <c r="W432" s="15" t="s">
        <v>7588</v>
      </c>
      <c r="X432" s="15" t="s">
        <v>7589</v>
      </c>
      <c r="Y432" s="15" t="s">
        <v>78</v>
      </c>
      <c r="Z432" s="15" t="s">
        <v>7590</v>
      </c>
      <c r="AA432" s="15" t="s">
        <v>1321</v>
      </c>
      <c r="AB432" s="15" t="s">
        <v>1322</v>
      </c>
      <c r="AC432" s="15" t="s">
        <v>7591</v>
      </c>
      <c r="AD432" s="15" t="s">
        <v>7591</v>
      </c>
      <c r="AE432" s="15" t="s">
        <v>239</v>
      </c>
      <c r="AF432" s="15" t="s">
        <v>7592</v>
      </c>
      <c r="AG432" s="15" t="s">
        <v>7593</v>
      </c>
      <c r="AH432" s="15" t="s">
        <v>39</v>
      </c>
      <c r="AI432" s="15" t="s">
        <v>7594</v>
      </c>
      <c r="AJ432" s="15" t="s">
        <v>7595</v>
      </c>
      <c r="AK432" s="15" t="s">
        <v>7596</v>
      </c>
      <c r="AL432" s="15" t="s">
        <v>88</v>
      </c>
    </row>
    <row r="433" spans="1:38" x14ac:dyDescent="0.4">
      <c r="A433" s="11" t="s">
        <v>7597</v>
      </c>
      <c r="B433" s="12" t="s">
        <v>7598</v>
      </c>
      <c r="C433" s="13" t="s">
        <v>39</v>
      </c>
      <c r="D433" s="13" t="s">
        <v>63</v>
      </c>
      <c r="E433" s="13" t="s">
        <v>7599</v>
      </c>
      <c r="F433" s="13" t="s">
        <v>999</v>
      </c>
      <c r="G433" s="13" t="s">
        <v>2659</v>
      </c>
      <c r="H433" s="13" t="s">
        <v>7600</v>
      </c>
      <c r="I433" s="9">
        <f t="shared" ca="1" si="6"/>
        <v>11</v>
      </c>
      <c r="J433" s="13" t="s">
        <v>7601</v>
      </c>
      <c r="K433" s="13" t="s">
        <v>3405</v>
      </c>
      <c r="L433" s="9" t="str">
        <f>VLOOKUP(K433,[1]中国省份_标准!$B$2:$F$35,4,FALSE)</f>
        <v>西部地区</v>
      </c>
      <c r="M433" s="9" t="str">
        <f>VLOOKUP(K433,[1]中国省份_标准!$B$2:$F$35,5,FALSE)</f>
        <v>西北地区</v>
      </c>
      <c r="N433" s="13" t="s">
        <v>3406</v>
      </c>
      <c r="O433" s="13" t="s">
        <v>7602</v>
      </c>
      <c r="P433" s="13" t="s">
        <v>7603</v>
      </c>
      <c r="Q433" s="13" t="s">
        <v>7604</v>
      </c>
      <c r="R433" s="13" t="s">
        <v>7605</v>
      </c>
      <c r="S433" s="13" t="s">
        <v>39</v>
      </c>
      <c r="T433" s="13" t="s">
        <v>48</v>
      </c>
      <c r="U433" s="13" t="s">
        <v>7598</v>
      </c>
      <c r="V433" s="13" t="s">
        <v>7606</v>
      </c>
      <c r="W433" s="13" t="s">
        <v>7607</v>
      </c>
      <c r="X433" s="13" t="s">
        <v>77</v>
      </c>
      <c r="Y433" s="13" t="s">
        <v>78</v>
      </c>
      <c r="Z433" s="13" t="s">
        <v>7608</v>
      </c>
      <c r="AA433" s="13" t="s">
        <v>1321</v>
      </c>
      <c r="AB433" s="13" t="s">
        <v>1322</v>
      </c>
      <c r="AC433" s="13" t="s">
        <v>1323</v>
      </c>
      <c r="AD433" s="13" t="s">
        <v>1323</v>
      </c>
      <c r="AE433" s="13" t="s">
        <v>109</v>
      </c>
      <c r="AF433" s="13" t="s">
        <v>7609</v>
      </c>
      <c r="AG433" s="13" t="s">
        <v>39</v>
      </c>
      <c r="AH433" s="13" t="s">
        <v>39</v>
      </c>
      <c r="AI433" s="13" t="s">
        <v>7610</v>
      </c>
      <c r="AJ433" s="13" t="s">
        <v>7611</v>
      </c>
      <c r="AK433" s="13" t="s">
        <v>7612</v>
      </c>
      <c r="AL433" s="13" t="s">
        <v>39</v>
      </c>
    </row>
    <row r="434" spans="1:38" x14ac:dyDescent="0.4">
      <c r="A434" s="11" t="s">
        <v>7613</v>
      </c>
      <c r="B434" s="14" t="s">
        <v>7614</v>
      </c>
      <c r="C434" s="15" t="s">
        <v>39</v>
      </c>
      <c r="D434" s="15" t="s">
        <v>1445</v>
      </c>
      <c r="E434" s="15" t="s">
        <v>7615</v>
      </c>
      <c r="F434" s="15" t="s">
        <v>1235</v>
      </c>
      <c r="G434" s="15" t="s">
        <v>39</v>
      </c>
      <c r="H434" s="15" t="s">
        <v>7616</v>
      </c>
      <c r="I434" s="9">
        <f t="shared" ca="1" si="6"/>
        <v>8</v>
      </c>
      <c r="J434" s="15" t="s">
        <v>7617</v>
      </c>
      <c r="K434" s="15" t="s">
        <v>531</v>
      </c>
      <c r="L434" s="9" t="str">
        <f>VLOOKUP(K434,[1]中国省份_标准!$B$2:$F$35,4,FALSE)</f>
        <v>东部地区</v>
      </c>
      <c r="M434" s="9" t="str">
        <f>VLOOKUP(K434,[1]中国省份_标准!$B$2:$F$35,5,FALSE)</f>
        <v>华南地区</v>
      </c>
      <c r="N434" s="15" t="s">
        <v>6207</v>
      </c>
      <c r="O434" s="15" t="s">
        <v>7618</v>
      </c>
      <c r="P434" s="15" t="s">
        <v>7619</v>
      </c>
      <c r="Q434" s="15" t="s">
        <v>7620</v>
      </c>
      <c r="R434" s="15" t="s">
        <v>7621</v>
      </c>
      <c r="S434" s="15" t="s">
        <v>39</v>
      </c>
      <c r="T434" s="15" t="s">
        <v>48</v>
      </c>
      <c r="U434" s="15" t="s">
        <v>7614</v>
      </c>
      <c r="V434" s="15" t="s">
        <v>7622</v>
      </c>
      <c r="W434" s="15" t="s">
        <v>7623</v>
      </c>
      <c r="X434" s="15" t="s">
        <v>1130</v>
      </c>
      <c r="Y434" s="15" t="s">
        <v>283</v>
      </c>
      <c r="Z434" s="15" t="s">
        <v>7624</v>
      </c>
      <c r="AA434" s="15" t="s">
        <v>80</v>
      </c>
      <c r="AB434" s="15" t="s">
        <v>81</v>
      </c>
      <c r="AC434" s="15" t="s">
        <v>7625</v>
      </c>
      <c r="AD434" s="15" t="s">
        <v>7626</v>
      </c>
      <c r="AE434" s="15" t="s">
        <v>109</v>
      </c>
      <c r="AF434" s="15" t="s">
        <v>7627</v>
      </c>
      <c r="AG434" s="15" t="s">
        <v>39</v>
      </c>
      <c r="AH434" s="15" t="s">
        <v>39</v>
      </c>
      <c r="AI434" s="15" t="s">
        <v>7628</v>
      </c>
      <c r="AJ434" s="15" t="s">
        <v>7629</v>
      </c>
      <c r="AK434" s="15" t="s">
        <v>7630</v>
      </c>
      <c r="AL434" s="15" t="s">
        <v>39</v>
      </c>
    </row>
    <row r="435" spans="1:38" x14ac:dyDescent="0.4">
      <c r="A435" s="11" t="s">
        <v>7631</v>
      </c>
      <c r="B435" s="12" t="s">
        <v>7632</v>
      </c>
      <c r="C435" s="13" t="s">
        <v>39</v>
      </c>
      <c r="D435" s="13" t="s">
        <v>92</v>
      </c>
      <c r="E435" s="13" t="s">
        <v>7633</v>
      </c>
      <c r="F435" s="13" t="s">
        <v>422</v>
      </c>
      <c r="G435" s="13" t="s">
        <v>422</v>
      </c>
      <c r="H435" s="13" t="s">
        <v>7634</v>
      </c>
      <c r="I435" s="9">
        <f t="shared" ca="1" si="6"/>
        <v>5</v>
      </c>
      <c r="J435" s="13" t="s">
        <v>7635</v>
      </c>
      <c r="K435" s="13" t="s">
        <v>983</v>
      </c>
      <c r="L435" s="9" t="str">
        <f>VLOOKUP(K435,[1]中国省份_标准!$B$2:$F$35,4,FALSE)</f>
        <v>西部地区</v>
      </c>
      <c r="M435" s="9" t="str">
        <f>VLOOKUP(K435,[1]中国省份_标准!$B$2:$F$35,5,FALSE)</f>
        <v>华北地区</v>
      </c>
      <c r="N435" s="13" t="s">
        <v>7381</v>
      </c>
      <c r="O435" s="13" t="s">
        <v>7636</v>
      </c>
      <c r="P435" s="13" t="s">
        <v>7637</v>
      </c>
      <c r="Q435" s="13" t="s">
        <v>7638</v>
      </c>
      <c r="R435" s="13" t="s">
        <v>7639</v>
      </c>
      <c r="S435" s="13" t="s">
        <v>7640</v>
      </c>
      <c r="T435" s="13" t="s">
        <v>281</v>
      </c>
      <c r="U435" s="13" t="s">
        <v>7632</v>
      </c>
      <c r="V435" s="13" t="s">
        <v>7641</v>
      </c>
      <c r="W435" s="13" t="s">
        <v>7642</v>
      </c>
      <c r="X435" s="13" t="s">
        <v>77</v>
      </c>
      <c r="Y435" s="13" t="s">
        <v>78</v>
      </c>
      <c r="Z435" s="13" t="s">
        <v>7643</v>
      </c>
      <c r="AA435" s="13" t="s">
        <v>309</v>
      </c>
      <c r="AB435" s="13" t="s">
        <v>654</v>
      </c>
      <c r="AC435" s="13" t="s">
        <v>733</v>
      </c>
      <c r="AD435" s="13" t="s">
        <v>733</v>
      </c>
      <c r="AE435" s="13" t="s">
        <v>109</v>
      </c>
      <c r="AF435" s="13" t="s">
        <v>7644</v>
      </c>
      <c r="AG435" s="13" t="s">
        <v>39</v>
      </c>
      <c r="AH435" s="13" t="s">
        <v>39</v>
      </c>
      <c r="AI435" s="13" t="s">
        <v>7645</v>
      </c>
      <c r="AJ435" s="13" t="s">
        <v>7646</v>
      </c>
      <c r="AK435" s="13" t="s">
        <v>7647</v>
      </c>
      <c r="AL435" s="13" t="s">
        <v>39</v>
      </c>
    </row>
    <row r="436" spans="1:38" x14ac:dyDescent="0.4">
      <c r="A436" s="11" t="s">
        <v>7648</v>
      </c>
      <c r="B436" s="14" t="s">
        <v>7649</v>
      </c>
      <c r="C436" s="15" t="s">
        <v>39</v>
      </c>
      <c r="D436" s="15" t="s">
        <v>92</v>
      </c>
      <c r="E436" s="15" t="s">
        <v>7650</v>
      </c>
      <c r="F436" s="15" t="s">
        <v>7651</v>
      </c>
      <c r="G436" s="15" t="s">
        <v>7651</v>
      </c>
      <c r="H436" s="15" t="s">
        <v>7652</v>
      </c>
      <c r="I436" s="9">
        <f t="shared" ca="1" si="6"/>
        <v>7</v>
      </c>
      <c r="J436" s="15" t="s">
        <v>7653</v>
      </c>
      <c r="K436" s="15" t="s">
        <v>157</v>
      </c>
      <c r="L436" s="9" t="str">
        <f>VLOOKUP(K436,[1]中国省份_标准!$B$2:$F$35,4,FALSE)</f>
        <v>东北地区</v>
      </c>
      <c r="M436" s="9" t="str">
        <f>VLOOKUP(K436,[1]中国省份_标准!$B$2:$F$35,5,FALSE)</f>
        <v>东北地区</v>
      </c>
      <c r="N436" s="15" t="s">
        <v>7654</v>
      </c>
      <c r="O436" s="15" t="s">
        <v>7655</v>
      </c>
      <c r="P436" s="15" t="s">
        <v>7656</v>
      </c>
      <c r="Q436" s="15" t="s">
        <v>7657</v>
      </c>
      <c r="R436" s="15" t="s">
        <v>7658</v>
      </c>
      <c r="S436" s="15" t="s">
        <v>39</v>
      </c>
      <c r="T436" s="15" t="s">
        <v>7659</v>
      </c>
      <c r="U436" s="15" t="s">
        <v>7649</v>
      </c>
      <c r="V436" s="15" t="s">
        <v>39</v>
      </c>
      <c r="W436" s="15" t="s">
        <v>7660</v>
      </c>
      <c r="X436" s="15" t="s">
        <v>1319</v>
      </c>
      <c r="Y436" s="15" t="s">
        <v>78</v>
      </c>
      <c r="Z436" s="15" t="s">
        <v>7661</v>
      </c>
      <c r="AA436" s="15" t="s">
        <v>309</v>
      </c>
      <c r="AB436" s="15" t="s">
        <v>654</v>
      </c>
      <c r="AC436" s="15" t="s">
        <v>39</v>
      </c>
      <c r="AD436" s="15" t="s">
        <v>39</v>
      </c>
      <c r="AE436" s="15" t="s">
        <v>262</v>
      </c>
      <c r="AF436" s="15" t="s">
        <v>7662</v>
      </c>
      <c r="AG436" s="15" t="s">
        <v>39</v>
      </c>
      <c r="AH436" s="15" t="s">
        <v>39</v>
      </c>
      <c r="AI436" s="15" t="s">
        <v>7663</v>
      </c>
      <c r="AJ436" s="15" t="s">
        <v>7664</v>
      </c>
      <c r="AK436" s="15" t="s">
        <v>7665</v>
      </c>
      <c r="AL436" s="15" t="s">
        <v>88</v>
      </c>
    </row>
    <row r="437" spans="1:38" x14ac:dyDescent="0.4">
      <c r="A437" s="11" t="s">
        <v>7666</v>
      </c>
      <c r="B437" s="12" t="s">
        <v>7667</v>
      </c>
      <c r="C437" s="13" t="s">
        <v>39</v>
      </c>
      <c r="D437" s="13" t="s">
        <v>7668</v>
      </c>
      <c r="E437" s="13" t="s">
        <v>7669</v>
      </c>
      <c r="F437" s="13" t="s">
        <v>999</v>
      </c>
      <c r="G437" s="13" t="s">
        <v>39</v>
      </c>
      <c r="H437" s="13" t="s">
        <v>7670</v>
      </c>
      <c r="I437" s="9">
        <f t="shared" ca="1" si="6"/>
        <v>4</v>
      </c>
      <c r="J437" s="13" t="s">
        <v>7671</v>
      </c>
      <c r="K437" s="13" t="s">
        <v>340</v>
      </c>
      <c r="L437" s="9" t="str">
        <f>VLOOKUP(K437,[1]中国省份_标准!$B$2:$F$35,4,FALSE)</f>
        <v>东部地区</v>
      </c>
      <c r="M437" s="9" t="str">
        <f>VLOOKUP(K437,[1]中国省份_标准!$B$2:$F$35,5,FALSE)</f>
        <v>华东地区</v>
      </c>
      <c r="N437" s="13" t="s">
        <v>3339</v>
      </c>
      <c r="O437" s="13" t="s">
        <v>3340</v>
      </c>
      <c r="P437" s="13" t="s">
        <v>7672</v>
      </c>
      <c r="Q437" s="13" t="s">
        <v>39</v>
      </c>
      <c r="R437" s="13" t="s">
        <v>7673</v>
      </c>
      <c r="S437" s="13" t="s">
        <v>7674</v>
      </c>
      <c r="T437" s="13" t="s">
        <v>48</v>
      </c>
      <c r="U437" s="13" t="s">
        <v>7667</v>
      </c>
      <c r="V437" s="13" t="s">
        <v>7675</v>
      </c>
      <c r="W437" s="13" t="s">
        <v>7676</v>
      </c>
      <c r="X437" s="13" t="s">
        <v>77</v>
      </c>
      <c r="Y437" s="13" t="s">
        <v>283</v>
      </c>
      <c r="Z437" s="13" t="s">
        <v>7677</v>
      </c>
      <c r="AA437" s="13" t="s">
        <v>80</v>
      </c>
      <c r="AB437" s="13" t="s">
        <v>106</v>
      </c>
      <c r="AC437" s="13" t="s">
        <v>107</v>
      </c>
      <c r="AD437" s="13" t="s">
        <v>3348</v>
      </c>
      <c r="AE437" s="13" t="s">
        <v>55</v>
      </c>
      <c r="AF437" s="13" t="s">
        <v>7678</v>
      </c>
      <c r="AG437" s="13" t="s">
        <v>39</v>
      </c>
      <c r="AH437" s="13" t="s">
        <v>39</v>
      </c>
      <c r="AI437" s="13" t="s">
        <v>7679</v>
      </c>
      <c r="AJ437" s="13" t="s">
        <v>7680</v>
      </c>
      <c r="AK437" s="13" t="s">
        <v>3352</v>
      </c>
      <c r="AL437" s="13" t="s">
        <v>88</v>
      </c>
    </row>
    <row r="438" spans="1:38" x14ac:dyDescent="0.4">
      <c r="A438" s="11" t="s">
        <v>7681</v>
      </c>
      <c r="B438" s="14" t="s">
        <v>7682</v>
      </c>
      <c r="C438" s="15" t="s">
        <v>7683</v>
      </c>
      <c r="D438" s="15" t="s">
        <v>7684</v>
      </c>
      <c r="E438" s="15" t="s">
        <v>7685</v>
      </c>
      <c r="F438" s="15" t="s">
        <v>442</v>
      </c>
      <c r="G438" s="15" t="s">
        <v>442</v>
      </c>
      <c r="H438" s="15" t="s">
        <v>7686</v>
      </c>
      <c r="I438" s="9">
        <f t="shared" ca="1" si="6"/>
        <v>5</v>
      </c>
      <c r="J438" s="15" t="s">
        <v>7687</v>
      </c>
      <c r="K438" s="15" t="s">
        <v>3405</v>
      </c>
      <c r="L438" s="9" t="str">
        <f>VLOOKUP(K438,[1]中国省份_标准!$B$2:$F$35,4,FALSE)</f>
        <v>西部地区</v>
      </c>
      <c r="M438" s="9" t="str">
        <f>VLOOKUP(K438,[1]中国省份_标准!$B$2:$F$35,5,FALSE)</f>
        <v>西北地区</v>
      </c>
      <c r="N438" s="15" t="s">
        <v>7688</v>
      </c>
      <c r="O438" s="15" t="s">
        <v>7689</v>
      </c>
      <c r="P438" s="15" t="s">
        <v>7690</v>
      </c>
      <c r="Q438" s="15" t="s">
        <v>7691</v>
      </c>
      <c r="R438" s="15" t="s">
        <v>7692</v>
      </c>
      <c r="S438" s="15" t="s">
        <v>7693</v>
      </c>
      <c r="T438" s="15" t="s">
        <v>281</v>
      </c>
      <c r="U438" s="15" t="s">
        <v>7682</v>
      </c>
      <c r="V438" s="15" t="s">
        <v>7694</v>
      </c>
      <c r="W438" s="15" t="s">
        <v>7695</v>
      </c>
      <c r="X438" s="15" t="s">
        <v>77</v>
      </c>
      <c r="Y438" s="15" t="s">
        <v>78</v>
      </c>
      <c r="Z438" s="15" t="s">
        <v>7696</v>
      </c>
      <c r="AA438" s="15" t="s">
        <v>80</v>
      </c>
      <c r="AB438" s="15" t="s">
        <v>106</v>
      </c>
      <c r="AC438" s="15" t="s">
        <v>107</v>
      </c>
      <c r="AD438" s="15" t="s">
        <v>3545</v>
      </c>
      <c r="AE438" s="15" t="s">
        <v>262</v>
      </c>
      <c r="AF438" s="15" t="s">
        <v>7697</v>
      </c>
      <c r="AG438" s="15" t="s">
        <v>39</v>
      </c>
      <c r="AH438" s="15" t="s">
        <v>39</v>
      </c>
      <c r="AI438" s="15" t="s">
        <v>7698</v>
      </c>
      <c r="AJ438" s="15" t="s">
        <v>7699</v>
      </c>
      <c r="AK438" s="15" t="s">
        <v>7700</v>
      </c>
      <c r="AL438" s="15" t="s">
        <v>88</v>
      </c>
    </row>
    <row r="439" spans="1:38" x14ac:dyDescent="0.4">
      <c r="A439" s="11" t="s">
        <v>7701</v>
      </c>
      <c r="B439" s="12" t="s">
        <v>7702</v>
      </c>
      <c r="C439" s="13" t="s">
        <v>39</v>
      </c>
      <c r="D439" s="13" t="s">
        <v>92</v>
      </c>
      <c r="E439" s="13" t="s">
        <v>7703</v>
      </c>
      <c r="F439" s="13" t="s">
        <v>999</v>
      </c>
      <c r="G439" s="13" t="s">
        <v>7704</v>
      </c>
      <c r="H439" s="13" t="s">
        <v>7705</v>
      </c>
      <c r="I439" s="9">
        <f t="shared" ca="1" si="6"/>
        <v>5</v>
      </c>
      <c r="J439" s="13" t="s">
        <v>7706</v>
      </c>
      <c r="K439" s="13" t="s">
        <v>157</v>
      </c>
      <c r="L439" s="9" t="str">
        <f>VLOOKUP(K439,[1]中国省份_标准!$B$2:$F$35,4,FALSE)</f>
        <v>东北地区</v>
      </c>
      <c r="M439" s="9" t="str">
        <f>VLOOKUP(K439,[1]中国省份_标准!$B$2:$F$35,5,FALSE)</f>
        <v>东北地区</v>
      </c>
      <c r="N439" s="13" t="s">
        <v>1087</v>
      </c>
      <c r="O439" s="13" t="s">
        <v>1088</v>
      </c>
      <c r="P439" s="13" t="s">
        <v>7707</v>
      </c>
      <c r="Q439" s="13" t="s">
        <v>1090</v>
      </c>
      <c r="R439" s="13" t="s">
        <v>7708</v>
      </c>
      <c r="S439" s="13" t="s">
        <v>7709</v>
      </c>
      <c r="T439" s="13" t="s">
        <v>48</v>
      </c>
      <c r="U439" s="13" t="s">
        <v>7702</v>
      </c>
      <c r="V439" s="13" t="s">
        <v>39</v>
      </c>
      <c r="W439" s="13" t="s">
        <v>7710</v>
      </c>
      <c r="X439" s="13" t="s">
        <v>77</v>
      </c>
      <c r="Y439" s="13" t="s">
        <v>78</v>
      </c>
      <c r="Z439" s="13" t="s">
        <v>7711</v>
      </c>
      <c r="AA439" s="13" t="s">
        <v>80</v>
      </c>
      <c r="AB439" s="13" t="s">
        <v>106</v>
      </c>
      <c r="AC439" s="13" t="s">
        <v>107</v>
      </c>
      <c r="AD439" s="13" t="s">
        <v>39</v>
      </c>
      <c r="AE439" s="13" t="s">
        <v>55</v>
      </c>
      <c r="AF439" s="13" t="s">
        <v>7712</v>
      </c>
      <c r="AG439" s="13" t="s">
        <v>39</v>
      </c>
      <c r="AH439" s="13" t="s">
        <v>39</v>
      </c>
      <c r="AI439" s="13" t="s">
        <v>7713</v>
      </c>
      <c r="AJ439" s="13" t="s">
        <v>7714</v>
      </c>
      <c r="AK439" s="13" t="s">
        <v>1099</v>
      </c>
      <c r="AL439" s="13" t="s">
        <v>88</v>
      </c>
    </row>
    <row r="440" spans="1:38" x14ac:dyDescent="0.4">
      <c r="A440" s="11" t="s">
        <v>7715</v>
      </c>
      <c r="B440" s="14" t="s">
        <v>7716</v>
      </c>
      <c r="C440" s="15" t="s">
        <v>7717</v>
      </c>
      <c r="D440" s="15" t="s">
        <v>63</v>
      </c>
      <c r="E440" s="15" t="s">
        <v>7718</v>
      </c>
      <c r="F440" s="15" t="s">
        <v>640</v>
      </c>
      <c r="G440" s="15" t="s">
        <v>640</v>
      </c>
      <c r="H440" s="15" t="s">
        <v>7719</v>
      </c>
      <c r="I440" s="9">
        <f t="shared" ca="1" si="6"/>
        <v>17</v>
      </c>
      <c r="J440" s="15" t="s">
        <v>7720</v>
      </c>
      <c r="K440" s="15" t="s">
        <v>67</v>
      </c>
      <c r="L440" s="9" t="str">
        <f>VLOOKUP(K440,[1]中国省份_标准!$B$2:$F$35,4,FALSE)</f>
        <v>东部地区</v>
      </c>
      <c r="M440" s="9" t="str">
        <f>VLOOKUP(K440,[1]中国省份_标准!$B$2:$F$35,5,FALSE)</f>
        <v>华东地区</v>
      </c>
      <c r="N440" s="15" t="s">
        <v>1809</v>
      </c>
      <c r="O440" s="15" t="s">
        <v>7721</v>
      </c>
      <c r="P440" s="15" t="s">
        <v>7722</v>
      </c>
      <c r="Q440" s="15" t="s">
        <v>7723</v>
      </c>
      <c r="R440" s="15" t="s">
        <v>7724</v>
      </c>
      <c r="S440" s="15" t="s">
        <v>7725</v>
      </c>
      <c r="T440" s="15" t="s">
        <v>48</v>
      </c>
      <c r="U440" s="15" t="s">
        <v>7716</v>
      </c>
      <c r="V440" s="15" t="s">
        <v>7726</v>
      </c>
      <c r="W440" s="15" t="s">
        <v>7727</v>
      </c>
      <c r="X440" s="15" t="s">
        <v>77</v>
      </c>
      <c r="Y440" s="15" t="s">
        <v>78</v>
      </c>
      <c r="Z440" s="15" t="s">
        <v>7728</v>
      </c>
      <c r="AA440" s="15" t="s">
        <v>80</v>
      </c>
      <c r="AB440" s="15" t="s">
        <v>106</v>
      </c>
      <c r="AC440" s="15" t="s">
        <v>388</v>
      </c>
      <c r="AD440" s="15" t="s">
        <v>434</v>
      </c>
      <c r="AE440" s="15" t="s">
        <v>55</v>
      </c>
      <c r="AF440" s="15" t="s">
        <v>7729</v>
      </c>
      <c r="AG440" s="15" t="s">
        <v>39</v>
      </c>
      <c r="AH440" s="15" t="s">
        <v>39</v>
      </c>
      <c r="AI440" s="15" t="s">
        <v>7730</v>
      </c>
      <c r="AJ440" s="15" t="s">
        <v>7731</v>
      </c>
      <c r="AK440" s="15" t="s">
        <v>7732</v>
      </c>
      <c r="AL440" s="15" t="s">
        <v>88</v>
      </c>
    </row>
    <row r="441" spans="1:38" x14ac:dyDescent="0.4">
      <c r="A441" s="11" t="s">
        <v>7733</v>
      </c>
      <c r="B441" s="12" t="s">
        <v>7734</v>
      </c>
      <c r="C441" s="13" t="s">
        <v>39</v>
      </c>
      <c r="D441" s="13" t="s">
        <v>92</v>
      </c>
      <c r="E441" s="13" t="s">
        <v>7735</v>
      </c>
      <c r="F441" s="13" t="s">
        <v>1235</v>
      </c>
      <c r="G441" s="13" t="s">
        <v>39</v>
      </c>
      <c r="H441" s="13" t="s">
        <v>7736</v>
      </c>
      <c r="I441" s="9">
        <f t="shared" ca="1" si="6"/>
        <v>3</v>
      </c>
      <c r="J441" s="13" t="s">
        <v>7737</v>
      </c>
      <c r="K441" s="13" t="s">
        <v>157</v>
      </c>
      <c r="L441" s="9" t="str">
        <f>VLOOKUP(K441,[1]中国省份_标准!$B$2:$F$35,4,FALSE)</f>
        <v>东北地区</v>
      </c>
      <c r="M441" s="9" t="str">
        <f>VLOOKUP(K441,[1]中国省份_标准!$B$2:$F$35,5,FALSE)</f>
        <v>东北地区</v>
      </c>
      <c r="N441" s="13" t="s">
        <v>1087</v>
      </c>
      <c r="O441" s="13" t="s">
        <v>1088</v>
      </c>
      <c r="P441" s="13" t="s">
        <v>7738</v>
      </c>
      <c r="Q441" s="13" t="s">
        <v>39</v>
      </c>
      <c r="R441" s="13" t="s">
        <v>7739</v>
      </c>
      <c r="S441" s="13" t="s">
        <v>39</v>
      </c>
      <c r="T441" s="13" t="s">
        <v>281</v>
      </c>
      <c r="U441" s="13" t="s">
        <v>7734</v>
      </c>
      <c r="V441" s="13" t="s">
        <v>7740</v>
      </c>
      <c r="W441" s="13" t="s">
        <v>7741</v>
      </c>
      <c r="X441" s="13" t="s">
        <v>77</v>
      </c>
      <c r="Y441" s="13" t="s">
        <v>78</v>
      </c>
      <c r="Z441" s="13" t="s">
        <v>7742</v>
      </c>
      <c r="AA441" s="13" t="s">
        <v>80</v>
      </c>
      <c r="AB441" s="13" t="s">
        <v>106</v>
      </c>
      <c r="AC441" s="13" t="s">
        <v>107</v>
      </c>
      <c r="AD441" s="13" t="s">
        <v>39</v>
      </c>
      <c r="AE441" s="13" t="s">
        <v>55</v>
      </c>
      <c r="AF441" s="13" t="s">
        <v>7743</v>
      </c>
      <c r="AG441" s="13" t="s">
        <v>39</v>
      </c>
      <c r="AH441" s="13" t="s">
        <v>39</v>
      </c>
      <c r="AI441" s="13" t="s">
        <v>7744</v>
      </c>
      <c r="AJ441" s="13" t="s">
        <v>7745</v>
      </c>
      <c r="AK441" s="13" t="s">
        <v>1099</v>
      </c>
      <c r="AL441" s="13" t="s">
        <v>88</v>
      </c>
    </row>
    <row r="442" spans="1:38" x14ac:dyDescent="0.4">
      <c r="A442" s="11" t="s">
        <v>7746</v>
      </c>
      <c r="B442" s="14" t="s">
        <v>7747</v>
      </c>
      <c r="C442" s="15" t="s">
        <v>39</v>
      </c>
      <c r="D442" s="15" t="s">
        <v>92</v>
      </c>
      <c r="E442" s="15" t="s">
        <v>7748</v>
      </c>
      <c r="F442" s="15" t="s">
        <v>422</v>
      </c>
      <c r="G442" s="15" t="s">
        <v>39</v>
      </c>
      <c r="H442" s="15" t="s">
        <v>7749</v>
      </c>
      <c r="I442" s="9">
        <f t="shared" ca="1" si="6"/>
        <v>2</v>
      </c>
      <c r="J442" s="15" t="s">
        <v>7750</v>
      </c>
      <c r="K442" s="15" t="s">
        <v>340</v>
      </c>
      <c r="L442" s="9" t="str">
        <f>VLOOKUP(K442,[1]中国省份_标准!$B$2:$F$35,4,FALSE)</f>
        <v>东部地区</v>
      </c>
      <c r="M442" s="9" t="str">
        <f>VLOOKUP(K442,[1]中国省份_标准!$B$2:$F$35,5,FALSE)</f>
        <v>华东地区</v>
      </c>
      <c r="N442" s="15" t="s">
        <v>7751</v>
      </c>
      <c r="O442" s="15" t="s">
        <v>7752</v>
      </c>
      <c r="P442" s="15" t="s">
        <v>7753</v>
      </c>
      <c r="Q442" s="15" t="s">
        <v>39</v>
      </c>
      <c r="R442" s="15" t="s">
        <v>7754</v>
      </c>
      <c r="S442" s="15" t="s">
        <v>39</v>
      </c>
      <c r="T442" s="15" t="s">
        <v>48</v>
      </c>
      <c r="U442" s="15" t="s">
        <v>7747</v>
      </c>
      <c r="V442" s="15" t="s">
        <v>7755</v>
      </c>
      <c r="W442" s="15" t="s">
        <v>7756</v>
      </c>
      <c r="X442" s="15" t="s">
        <v>77</v>
      </c>
      <c r="Y442" s="15" t="s">
        <v>78</v>
      </c>
      <c r="Z442" s="15" t="s">
        <v>7757</v>
      </c>
      <c r="AA442" s="15" t="s">
        <v>80</v>
      </c>
      <c r="AB442" s="15" t="s">
        <v>106</v>
      </c>
      <c r="AC442" s="15" t="s">
        <v>951</v>
      </c>
      <c r="AD442" s="15" t="s">
        <v>952</v>
      </c>
      <c r="AE442" s="15" t="s">
        <v>109</v>
      </c>
      <c r="AF442" s="15" t="s">
        <v>7758</v>
      </c>
      <c r="AG442" s="15" t="s">
        <v>39</v>
      </c>
      <c r="AH442" s="15" t="s">
        <v>39</v>
      </c>
      <c r="AI442" s="15" t="s">
        <v>7759</v>
      </c>
      <c r="AJ442" s="15" t="s">
        <v>7760</v>
      </c>
      <c r="AK442" s="15" t="s">
        <v>7761</v>
      </c>
      <c r="AL442" s="15" t="s">
        <v>88</v>
      </c>
    </row>
    <row r="443" spans="1:38" x14ac:dyDescent="0.4">
      <c r="A443" s="11" t="s">
        <v>7762</v>
      </c>
      <c r="B443" s="12" t="s">
        <v>7763</v>
      </c>
      <c r="C443" s="13" t="s">
        <v>39</v>
      </c>
      <c r="D443" s="13" t="s">
        <v>92</v>
      </c>
      <c r="E443" s="13" t="s">
        <v>7764</v>
      </c>
      <c r="F443" s="13" t="s">
        <v>422</v>
      </c>
      <c r="G443" s="13" t="s">
        <v>422</v>
      </c>
      <c r="H443" s="13" t="s">
        <v>7765</v>
      </c>
      <c r="I443" s="9">
        <f t="shared" ca="1" si="6"/>
        <v>15</v>
      </c>
      <c r="J443" s="13" t="s">
        <v>7766</v>
      </c>
      <c r="K443" s="13" t="s">
        <v>45</v>
      </c>
      <c r="L443" s="9" t="str">
        <f>VLOOKUP(K443,[1]中国省份_标准!$B$2:$F$35,4,FALSE)</f>
        <v>东部地区</v>
      </c>
      <c r="M443" s="9" t="str">
        <f>VLOOKUP(K443,[1]中国省份_标准!$B$2:$F$35,5,FALSE)</f>
        <v>华东地区</v>
      </c>
      <c r="N443" s="13" t="s">
        <v>45</v>
      </c>
      <c r="O443" s="13" t="s">
        <v>46</v>
      </c>
      <c r="P443" s="13" t="s">
        <v>7767</v>
      </c>
      <c r="Q443" s="13" t="s">
        <v>7768</v>
      </c>
      <c r="R443" s="13" t="s">
        <v>7769</v>
      </c>
      <c r="S443" s="13" t="s">
        <v>7770</v>
      </c>
      <c r="T443" s="13" t="s">
        <v>48</v>
      </c>
      <c r="U443" s="13" t="s">
        <v>7763</v>
      </c>
      <c r="V443" s="13" t="s">
        <v>7771</v>
      </c>
      <c r="W443" s="13" t="s">
        <v>7772</v>
      </c>
      <c r="X443" s="13" t="s">
        <v>690</v>
      </c>
      <c r="Y443" s="13" t="s">
        <v>78</v>
      </c>
      <c r="Z443" s="13" t="s">
        <v>7773</v>
      </c>
      <c r="AA443" s="13" t="s">
        <v>80</v>
      </c>
      <c r="AB443" s="13" t="s">
        <v>106</v>
      </c>
      <c r="AC443" s="13" t="s">
        <v>107</v>
      </c>
      <c r="AD443" s="13" t="s">
        <v>108</v>
      </c>
      <c r="AE443" s="13" t="s">
        <v>109</v>
      </c>
      <c r="AF443" s="13" t="s">
        <v>7774</v>
      </c>
      <c r="AG443" s="13" t="s">
        <v>39</v>
      </c>
      <c r="AH443" s="13" t="s">
        <v>7775</v>
      </c>
      <c r="AI443" s="13" t="s">
        <v>7776</v>
      </c>
      <c r="AJ443" s="13" t="s">
        <v>7777</v>
      </c>
      <c r="AK443" s="13" t="s">
        <v>59</v>
      </c>
      <c r="AL443" s="13" t="s">
        <v>88</v>
      </c>
    </row>
    <row r="444" spans="1:38" x14ac:dyDescent="0.4">
      <c r="A444" s="11" t="s">
        <v>7778</v>
      </c>
      <c r="B444" s="14" t="s">
        <v>7779</v>
      </c>
      <c r="C444" s="15" t="s">
        <v>39</v>
      </c>
      <c r="D444" s="15" t="s">
        <v>92</v>
      </c>
      <c r="E444" s="15" t="s">
        <v>7780</v>
      </c>
      <c r="F444" s="15" t="s">
        <v>154</v>
      </c>
      <c r="G444" s="15" t="s">
        <v>39</v>
      </c>
      <c r="H444" s="15" t="s">
        <v>7781</v>
      </c>
      <c r="I444" s="9">
        <f t="shared" ca="1" si="6"/>
        <v>2</v>
      </c>
      <c r="J444" s="15" t="s">
        <v>7782</v>
      </c>
      <c r="K444" s="15" t="s">
        <v>425</v>
      </c>
      <c r="L444" s="9" t="str">
        <f>VLOOKUP(K444,[1]中国省份_标准!$B$2:$F$35,4,FALSE)</f>
        <v>东部地区</v>
      </c>
      <c r="M444" s="9" t="str">
        <f>VLOOKUP(K444,[1]中国省份_标准!$B$2:$F$35,5,FALSE)</f>
        <v>华东地区</v>
      </c>
      <c r="N444" s="15" t="s">
        <v>426</v>
      </c>
      <c r="O444" s="15" t="s">
        <v>427</v>
      </c>
      <c r="P444" s="15" t="s">
        <v>7783</v>
      </c>
      <c r="Q444" s="15" t="s">
        <v>39</v>
      </c>
      <c r="R444" s="15" t="s">
        <v>6842</v>
      </c>
      <c r="S444" s="15" t="s">
        <v>39</v>
      </c>
      <c r="T444" s="15" t="s">
        <v>281</v>
      </c>
      <c r="U444" s="15" t="s">
        <v>7779</v>
      </c>
      <c r="V444" s="15" t="s">
        <v>7784</v>
      </c>
      <c r="W444" s="15" t="s">
        <v>7785</v>
      </c>
      <c r="X444" s="15" t="s">
        <v>77</v>
      </c>
      <c r="Y444" s="15" t="s">
        <v>78</v>
      </c>
      <c r="Z444" s="15" t="s">
        <v>7786</v>
      </c>
      <c r="AA444" s="15" t="s">
        <v>80</v>
      </c>
      <c r="AB444" s="15" t="s">
        <v>106</v>
      </c>
      <c r="AC444" s="15" t="s">
        <v>107</v>
      </c>
      <c r="AD444" s="15" t="s">
        <v>108</v>
      </c>
      <c r="AE444" s="15" t="s">
        <v>109</v>
      </c>
      <c r="AF444" s="15" t="s">
        <v>7787</v>
      </c>
      <c r="AG444" s="15" t="s">
        <v>39</v>
      </c>
      <c r="AH444" s="15" t="s">
        <v>7788</v>
      </c>
      <c r="AI444" s="15" t="s">
        <v>7789</v>
      </c>
      <c r="AJ444" s="15" t="s">
        <v>7790</v>
      </c>
      <c r="AK444" s="15" t="s">
        <v>438</v>
      </c>
      <c r="AL444" s="15" t="s">
        <v>88</v>
      </c>
    </row>
    <row r="445" spans="1:38" x14ac:dyDescent="0.4">
      <c r="A445" s="11" t="s">
        <v>7791</v>
      </c>
      <c r="B445" s="12" t="s">
        <v>7792</v>
      </c>
      <c r="C445" s="13" t="s">
        <v>39</v>
      </c>
      <c r="D445" s="13" t="s">
        <v>63</v>
      </c>
      <c r="E445" s="13" t="s">
        <v>7793</v>
      </c>
      <c r="F445" s="13" t="s">
        <v>178</v>
      </c>
      <c r="G445" s="13" t="s">
        <v>42</v>
      </c>
      <c r="H445" s="13" t="s">
        <v>7794</v>
      </c>
      <c r="I445" s="9">
        <f t="shared" ca="1" si="6"/>
        <v>12</v>
      </c>
      <c r="J445" s="13" t="s">
        <v>7795</v>
      </c>
      <c r="K445" s="13" t="s">
        <v>67</v>
      </c>
      <c r="L445" s="9" t="str">
        <f>VLOOKUP(K445,[1]中国省份_标准!$B$2:$F$35,4,FALSE)</f>
        <v>东部地区</v>
      </c>
      <c r="M445" s="9" t="str">
        <f>VLOOKUP(K445,[1]中国省份_标准!$B$2:$F$35,5,FALSE)</f>
        <v>华东地区</v>
      </c>
      <c r="N445" s="13" t="s">
        <v>1663</v>
      </c>
      <c r="O445" s="13" t="s">
        <v>1664</v>
      </c>
      <c r="P445" s="13" t="s">
        <v>7796</v>
      </c>
      <c r="Q445" s="13" t="s">
        <v>7797</v>
      </c>
      <c r="R445" s="13" t="s">
        <v>7798</v>
      </c>
      <c r="S445" s="13" t="s">
        <v>7799</v>
      </c>
      <c r="T445" s="13" t="s">
        <v>281</v>
      </c>
      <c r="U445" s="13" t="s">
        <v>7792</v>
      </c>
      <c r="V445" s="13" t="s">
        <v>7800</v>
      </c>
      <c r="W445" s="13" t="s">
        <v>7801</v>
      </c>
      <c r="X445" s="13" t="s">
        <v>77</v>
      </c>
      <c r="Y445" s="13" t="s">
        <v>78</v>
      </c>
      <c r="Z445" s="13" t="s">
        <v>7802</v>
      </c>
      <c r="AA445" s="13" t="s">
        <v>52</v>
      </c>
      <c r="AB445" s="13" t="s">
        <v>53</v>
      </c>
      <c r="AC445" s="13" t="s">
        <v>7803</v>
      </c>
      <c r="AD445" s="13" t="s">
        <v>7804</v>
      </c>
      <c r="AE445" s="13" t="s">
        <v>55</v>
      </c>
      <c r="AF445" s="13" t="s">
        <v>7805</v>
      </c>
      <c r="AG445" s="13" t="s">
        <v>39</v>
      </c>
      <c r="AH445" s="13" t="s">
        <v>7806</v>
      </c>
      <c r="AI445" s="13" t="s">
        <v>7807</v>
      </c>
      <c r="AJ445" s="13" t="s">
        <v>7808</v>
      </c>
      <c r="AK445" s="13" t="s">
        <v>1676</v>
      </c>
      <c r="AL445" s="13" t="s">
        <v>88</v>
      </c>
    </row>
    <row r="446" spans="1:38" x14ac:dyDescent="0.4">
      <c r="A446" s="11" t="s">
        <v>7809</v>
      </c>
      <c r="B446" s="14" t="s">
        <v>7810</v>
      </c>
      <c r="C446" s="15" t="s">
        <v>7811</v>
      </c>
      <c r="D446" s="15" t="s">
        <v>63</v>
      </c>
      <c r="E446" s="15" t="s">
        <v>7812</v>
      </c>
      <c r="F446" s="15" t="s">
        <v>154</v>
      </c>
      <c r="G446" s="15" t="s">
        <v>39</v>
      </c>
      <c r="H446" s="15" t="s">
        <v>7813</v>
      </c>
      <c r="I446" s="9">
        <f t="shared" ca="1" si="6"/>
        <v>2</v>
      </c>
      <c r="J446" s="15" t="s">
        <v>7814</v>
      </c>
      <c r="K446" s="15" t="s">
        <v>67</v>
      </c>
      <c r="L446" s="9" t="str">
        <f>VLOOKUP(K446,[1]中国省份_标准!$B$2:$F$35,4,FALSE)</f>
        <v>东部地区</v>
      </c>
      <c r="M446" s="9" t="str">
        <f>VLOOKUP(K446,[1]中国省份_标准!$B$2:$F$35,5,FALSE)</f>
        <v>华东地区</v>
      </c>
      <c r="N446" s="15" t="s">
        <v>203</v>
      </c>
      <c r="O446" s="15" t="s">
        <v>944</v>
      </c>
      <c r="P446" s="15" t="s">
        <v>7815</v>
      </c>
      <c r="Q446" s="15" t="s">
        <v>39</v>
      </c>
      <c r="R446" s="15" t="s">
        <v>7816</v>
      </c>
      <c r="S446" s="15" t="s">
        <v>7817</v>
      </c>
      <c r="T446" s="15" t="s">
        <v>281</v>
      </c>
      <c r="U446" s="15" t="s">
        <v>7810</v>
      </c>
      <c r="V446" s="15" t="s">
        <v>7818</v>
      </c>
      <c r="W446" s="15" t="s">
        <v>7819</v>
      </c>
      <c r="X446" s="15" t="s">
        <v>77</v>
      </c>
      <c r="Y446" s="15" t="s">
        <v>78</v>
      </c>
      <c r="Z446" s="15" t="s">
        <v>7820</v>
      </c>
      <c r="AA446" s="15" t="s">
        <v>80</v>
      </c>
      <c r="AB446" s="15" t="s">
        <v>106</v>
      </c>
      <c r="AC446" s="15" t="s">
        <v>951</v>
      </c>
      <c r="AD446" s="15" t="s">
        <v>952</v>
      </c>
      <c r="AE446" s="15" t="s">
        <v>109</v>
      </c>
      <c r="AF446" s="15" t="s">
        <v>7821</v>
      </c>
      <c r="AG446" s="15" t="s">
        <v>39</v>
      </c>
      <c r="AH446" s="15" t="s">
        <v>39</v>
      </c>
      <c r="AI446" s="15" t="s">
        <v>7822</v>
      </c>
      <c r="AJ446" s="15" t="s">
        <v>7823</v>
      </c>
      <c r="AK446" s="15" t="s">
        <v>3564</v>
      </c>
      <c r="AL446" s="15" t="s">
        <v>88</v>
      </c>
    </row>
    <row r="447" spans="1:38" x14ac:dyDescent="0.4">
      <c r="A447" s="11" t="s">
        <v>7824</v>
      </c>
      <c r="B447" s="12" t="s">
        <v>7825</v>
      </c>
      <c r="C447" s="13" t="s">
        <v>7826</v>
      </c>
      <c r="D447" s="13" t="s">
        <v>63</v>
      </c>
      <c r="E447" s="13" t="s">
        <v>7827</v>
      </c>
      <c r="F447" s="13" t="s">
        <v>5226</v>
      </c>
      <c r="G447" s="13" t="s">
        <v>5226</v>
      </c>
      <c r="H447" s="13" t="s">
        <v>7828</v>
      </c>
      <c r="I447" s="9">
        <f t="shared" ca="1" si="6"/>
        <v>31</v>
      </c>
      <c r="J447" s="13" t="s">
        <v>7829</v>
      </c>
      <c r="K447" s="13" t="s">
        <v>67</v>
      </c>
      <c r="L447" s="9" t="str">
        <f>VLOOKUP(K447,[1]中国省份_标准!$B$2:$F$35,4,FALSE)</f>
        <v>东部地区</v>
      </c>
      <c r="M447" s="9" t="str">
        <f>VLOOKUP(K447,[1]中国省份_标准!$B$2:$F$35,5,FALSE)</f>
        <v>华东地区</v>
      </c>
      <c r="N447" s="13" t="s">
        <v>5058</v>
      </c>
      <c r="O447" s="13" t="s">
        <v>5059</v>
      </c>
      <c r="P447" s="13" t="s">
        <v>7830</v>
      </c>
      <c r="Q447" s="13" t="s">
        <v>7831</v>
      </c>
      <c r="R447" s="13" t="s">
        <v>7832</v>
      </c>
      <c r="S447" s="13" t="s">
        <v>7833</v>
      </c>
      <c r="T447" s="13" t="s">
        <v>184</v>
      </c>
      <c r="U447" s="13" t="s">
        <v>7825</v>
      </c>
      <c r="V447" s="13" t="s">
        <v>7834</v>
      </c>
      <c r="W447" s="13" t="s">
        <v>7835</v>
      </c>
      <c r="X447" s="13" t="s">
        <v>7836</v>
      </c>
      <c r="Y447" s="13" t="s">
        <v>78</v>
      </c>
      <c r="Z447" s="13" t="s">
        <v>7837</v>
      </c>
      <c r="AA447" s="13" t="s">
        <v>169</v>
      </c>
      <c r="AB447" s="13" t="s">
        <v>285</v>
      </c>
      <c r="AC447" s="13" t="s">
        <v>712</v>
      </c>
      <c r="AD447" s="13" t="s">
        <v>3490</v>
      </c>
      <c r="AE447" s="13" t="s">
        <v>262</v>
      </c>
      <c r="AF447" s="13" t="s">
        <v>7838</v>
      </c>
      <c r="AG447" s="13" t="s">
        <v>39</v>
      </c>
      <c r="AH447" s="13" t="s">
        <v>39</v>
      </c>
      <c r="AI447" s="13" t="s">
        <v>7839</v>
      </c>
      <c r="AJ447" s="13" t="s">
        <v>7840</v>
      </c>
      <c r="AK447" s="13" t="s">
        <v>5069</v>
      </c>
      <c r="AL447" s="13" t="s">
        <v>88</v>
      </c>
    </row>
    <row r="448" spans="1:38" x14ac:dyDescent="0.4">
      <c r="A448" s="11" t="s">
        <v>7841</v>
      </c>
      <c r="B448" s="14" t="s">
        <v>7842</v>
      </c>
      <c r="C448" s="15" t="s">
        <v>39</v>
      </c>
      <c r="D448" s="15" t="s">
        <v>63</v>
      </c>
      <c r="E448" s="15" t="s">
        <v>7843</v>
      </c>
      <c r="F448" s="15" t="s">
        <v>154</v>
      </c>
      <c r="G448" s="15" t="s">
        <v>39</v>
      </c>
      <c r="H448" s="15" t="s">
        <v>1521</v>
      </c>
      <c r="I448" s="9">
        <f t="shared" ca="1" si="6"/>
        <v>4</v>
      </c>
      <c r="J448" s="15" t="s">
        <v>7844</v>
      </c>
      <c r="K448" s="15" t="s">
        <v>425</v>
      </c>
      <c r="L448" s="9" t="str">
        <f>VLOOKUP(K448,[1]中国省份_标准!$B$2:$F$35,4,FALSE)</f>
        <v>东部地区</v>
      </c>
      <c r="M448" s="9" t="str">
        <f>VLOOKUP(K448,[1]中国省份_标准!$B$2:$F$35,5,FALSE)</f>
        <v>华东地区</v>
      </c>
      <c r="N448" s="15" t="s">
        <v>426</v>
      </c>
      <c r="O448" s="15" t="s">
        <v>427</v>
      </c>
      <c r="P448" s="15" t="s">
        <v>7845</v>
      </c>
      <c r="Q448" s="15" t="s">
        <v>7846</v>
      </c>
      <c r="R448" s="15" t="s">
        <v>7847</v>
      </c>
      <c r="S448" s="15" t="s">
        <v>39</v>
      </c>
      <c r="T448" s="15" t="s">
        <v>48</v>
      </c>
      <c r="U448" s="15" t="s">
        <v>7842</v>
      </c>
      <c r="V448" s="15" t="s">
        <v>7848</v>
      </c>
      <c r="W448" s="15" t="s">
        <v>7849</v>
      </c>
      <c r="X448" s="15" t="s">
        <v>77</v>
      </c>
      <c r="Y448" s="15" t="s">
        <v>78</v>
      </c>
      <c r="Z448" s="15" t="s">
        <v>7850</v>
      </c>
      <c r="AA448" s="15" t="s">
        <v>80</v>
      </c>
      <c r="AB448" s="15" t="s">
        <v>106</v>
      </c>
      <c r="AC448" s="15" t="s">
        <v>559</v>
      </c>
      <c r="AD448" s="15" t="s">
        <v>39</v>
      </c>
      <c r="AE448" s="15" t="s">
        <v>109</v>
      </c>
      <c r="AF448" s="15" t="s">
        <v>7851</v>
      </c>
      <c r="AG448" s="15" t="s">
        <v>39</v>
      </c>
      <c r="AH448" s="15" t="s">
        <v>7852</v>
      </c>
      <c r="AI448" s="15" t="s">
        <v>7853</v>
      </c>
      <c r="AJ448" s="15" t="s">
        <v>7854</v>
      </c>
      <c r="AK448" s="15" t="s">
        <v>2191</v>
      </c>
      <c r="AL448" s="15" t="s">
        <v>88</v>
      </c>
    </row>
    <row r="449" spans="1:38" x14ac:dyDescent="0.4">
      <c r="A449" s="11" t="s">
        <v>7855</v>
      </c>
      <c r="B449" s="12" t="s">
        <v>7856</v>
      </c>
      <c r="C449" s="13" t="s">
        <v>39</v>
      </c>
      <c r="D449" s="13" t="s">
        <v>63</v>
      </c>
      <c r="E449" s="13" t="s">
        <v>7857</v>
      </c>
      <c r="F449" s="13" t="s">
        <v>271</v>
      </c>
      <c r="G449" s="13" t="s">
        <v>39</v>
      </c>
      <c r="H449" s="13" t="s">
        <v>7858</v>
      </c>
      <c r="I449" s="9">
        <f t="shared" ca="1" si="6"/>
        <v>3</v>
      </c>
      <c r="J449" s="13" t="s">
        <v>7859</v>
      </c>
      <c r="K449" s="13" t="s">
        <v>67</v>
      </c>
      <c r="L449" s="9" t="str">
        <f>VLOOKUP(K449,[1]中国省份_标准!$B$2:$F$35,4,FALSE)</f>
        <v>东部地区</v>
      </c>
      <c r="M449" s="9" t="str">
        <f>VLOOKUP(K449,[1]中国省份_标准!$B$2:$F$35,5,FALSE)</f>
        <v>华东地区</v>
      </c>
      <c r="N449" s="13" t="s">
        <v>1663</v>
      </c>
      <c r="O449" s="13" t="s">
        <v>1664</v>
      </c>
      <c r="P449" s="13" t="s">
        <v>7860</v>
      </c>
      <c r="Q449" s="13" t="s">
        <v>39</v>
      </c>
      <c r="R449" s="13" t="s">
        <v>7861</v>
      </c>
      <c r="S449" s="13" t="s">
        <v>39</v>
      </c>
      <c r="T449" s="13" t="s">
        <v>281</v>
      </c>
      <c r="U449" s="13" t="s">
        <v>7856</v>
      </c>
      <c r="V449" s="13" t="s">
        <v>7862</v>
      </c>
      <c r="W449" s="13" t="s">
        <v>7863</v>
      </c>
      <c r="X449" s="13" t="s">
        <v>77</v>
      </c>
      <c r="Y449" s="13" t="s">
        <v>78</v>
      </c>
      <c r="Z449" s="13" t="s">
        <v>7864</v>
      </c>
      <c r="AA449" s="13" t="s">
        <v>80</v>
      </c>
      <c r="AB449" s="13" t="s">
        <v>81</v>
      </c>
      <c r="AC449" s="13" t="s">
        <v>7625</v>
      </c>
      <c r="AD449" s="13" t="s">
        <v>7865</v>
      </c>
      <c r="AE449" s="13" t="s">
        <v>55</v>
      </c>
      <c r="AF449" s="13" t="s">
        <v>7866</v>
      </c>
      <c r="AG449" s="13" t="s">
        <v>39</v>
      </c>
      <c r="AH449" s="13" t="s">
        <v>39</v>
      </c>
      <c r="AI449" s="13" t="s">
        <v>7867</v>
      </c>
      <c r="AJ449" s="13" t="s">
        <v>7868</v>
      </c>
      <c r="AK449" s="13" t="s">
        <v>1676</v>
      </c>
      <c r="AL449" s="13" t="s">
        <v>88</v>
      </c>
    </row>
    <row r="450" spans="1:38" x14ac:dyDescent="0.4">
      <c r="A450" s="11" t="s">
        <v>7869</v>
      </c>
      <c r="B450" s="14" t="s">
        <v>7870</v>
      </c>
      <c r="C450" s="15" t="s">
        <v>39</v>
      </c>
      <c r="D450" s="15" t="s">
        <v>7871</v>
      </c>
      <c r="E450" s="15" t="s">
        <v>7872</v>
      </c>
      <c r="F450" s="15" t="s">
        <v>7873</v>
      </c>
      <c r="G450" s="15" t="s">
        <v>39</v>
      </c>
      <c r="H450" s="15" t="s">
        <v>7874</v>
      </c>
      <c r="I450" s="9">
        <f t="shared" ca="1" si="6"/>
        <v>6</v>
      </c>
      <c r="J450" s="15" t="s">
        <v>7875</v>
      </c>
      <c r="K450" s="15" t="s">
        <v>531</v>
      </c>
      <c r="L450" s="9" t="str">
        <f>VLOOKUP(K450,[1]中国省份_标准!$B$2:$F$35,4,FALSE)</f>
        <v>东部地区</v>
      </c>
      <c r="M450" s="9" t="str">
        <f>VLOOKUP(K450,[1]中国省份_标准!$B$2:$F$35,5,FALSE)</f>
        <v>华南地区</v>
      </c>
      <c r="N450" s="15" t="s">
        <v>1698</v>
      </c>
      <c r="O450" s="15" t="s">
        <v>39</v>
      </c>
      <c r="P450" s="15" t="s">
        <v>7876</v>
      </c>
      <c r="Q450" s="15" t="s">
        <v>39</v>
      </c>
      <c r="R450" s="15" t="s">
        <v>7877</v>
      </c>
      <c r="S450" s="15" t="s">
        <v>39</v>
      </c>
      <c r="T450" s="15" t="s">
        <v>164</v>
      </c>
      <c r="U450" s="15" t="s">
        <v>7870</v>
      </c>
      <c r="V450" s="15" t="s">
        <v>39</v>
      </c>
      <c r="W450" s="15" t="s">
        <v>7878</v>
      </c>
      <c r="X450" s="15" t="s">
        <v>557</v>
      </c>
      <c r="Y450" s="15" t="s">
        <v>731</v>
      </c>
      <c r="Z450" s="15" t="s">
        <v>7879</v>
      </c>
      <c r="AA450" s="15" t="s">
        <v>169</v>
      </c>
      <c r="AB450" s="15" t="s">
        <v>1996</v>
      </c>
      <c r="AC450" s="15" t="s">
        <v>1997</v>
      </c>
      <c r="AD450" s="15" t="s">
        <v>1997</v>
      </c>
      <c r="AE450" s="15" t="s">
        <v>109</v>
      </c>
      <c r="AF450" s="15" t="s">
        <v>7880</v>
      </c>
      <c r="AG450" s="15" t="s">
        <v>39</v>
      </c>
      <c r="AH450" s="15" t="s">
        <v>39</v>
      </c>
      <c r="AI450" s="15" t="s">
        <v>39</v>
      </c>
      <c r="AJ450" s="15" t="s">
        <v>7881</v>
      </c>
      <c r="AK450" s="15" t="s">
        <v>1711</v>
      </c>
      <c r="AL450" s="15" t="s">
        <v>88</v>
      </c>
    </row>
    <row r="451" spans="1:38" x14ac:dyDescent="0.4">
      <c r="A451" s="11" t="s">
        <v>7882</v>
      </c>
      <c r="B451" s="12" t="s">
        <v>7883</v>
      </c>
      <c r="C451" s="13" t="s">
        <v>39</v>
      </c>
      <c r="D451" s="13" t="s">
        <v>7884</v>
      </c>
      <c r="E451" s="13" t="s">
        <v>7885</v>
      </c>
      <c r="F451" s="13" t="s">
        <v>154</v>
      </c>
      <c r="G451" s="13" t="s">
        <v>154</v>
      </c>
      <c r="H451" s="13" t="s">
        <v>6727</v>
      </c>
      <c r="I451" s="9">
        <f t="shared" ref="I451:I514" ca="1" si="7">DATEDIF(H451, TODAY(), "Y")</f>
        <v>6</v>
      </c>
      <c r="J451" s="13" t="s">
        <v>7886</v>
      </c>
      <c r="K451" s="13" t="s">
        <v>531</v>
      </c>
      <c r="L451" s="9" t="str">
        <f>VLOOKUP(K451,[1]中国省份_标准!$B$2:$F$35,4,FALSE)</f>
        <v>东部地区</v>
      </c>
      <c r="M451" s="9" t="str">
        <f>VLOOKUP(K451,[1]中国省份_标准!$B$2:$F$35,5,FALSE)</f>
        <v>华南地区</v>
      </c>
      <c r="N451" s="13" t="s">
        <v>1698</v>
      </c>
      <c r="O451" s="13" t="s">
        <v>39</v>
      </c>
      <c r="P451" s="13" t="s">
        <v>7887</v>
      </c>
      <c r="Q451" s="13" t="s">
        <v>39</v>
      </c>
      <c r="R451" s="13" t="s">
        <v>7888</v>
      </c>
      <c r="S451" s="13" t="s">
        <v>39</v>
      </c>
      <c r="T451" s="13" t="s">
        <v>6005</v>
      </c>
      <c r="U451" s="13" t="s">
        <v>7883</v>
      </c>
      <c r="V451" s="13" t="s">
        <v>7889</v>
      </c>
      <c r="W451" s="13" t="s">
        <v>7890</v>
      </c>
      <c r="X451" s="13" t="s">
        <v>1938</v>
      </c>
      <c r="Y451" s="13" t="s">
        <v>78</v>
      </c>
      <c r="Z451" s="13" t="s">
        <v>6735</v>
      </c>
      <c r="AA451" s="13" t="s">
        <v>169</v>
      </c>
      <c r="AB451" s="13" t="s">
        <v>1996</v>
      </c>
      <c r="AC451" s="13" t="s">
        <v>1997</v>
      </c>
      <c r="AD451" s="13" t="s">
        <v>1997</v>
      </c>
      <c r="AE451" s="13" t="s">
        <v>55</v>
      </c>
      <c r="AF451" s="13" t="s">
        <v>7891</v>
      </c>
      <c r="AG451" s="13" t="s">
        <v>39</v>
      </c>
      <c r="AH451" s="13" t="s">
        <v>39</v>
      </c>
      <c r="AI451" s="13" t="s">
        <v>7892</v>
      </c>
      <c r="AJ451" s="13" t="s">
        <v>7893</v>
      </c>
      <c r="AK451" s="13" t="s">
        <v>1711</v>
      </c>
      <c r="AL451" s="13" t="s">
        <v>88</v>
      </c>
    </row>
    <row r="452" spans="1:38" x14ac:dyDescent="0.4">
      <c r="A452" s="11" t="s">
        <v>7894</v>
      </c>
      <c r="B452" s="14" t="s">
        <v>7895</v>
      </c>
      <c r="C452" s="15" t="s">
        <v>39</v>
      </c>
      <c r="D452" s="15" t="s">
        <v>92</v>
      </c>
      <c r="E452" s="15" t="s">
        <v>7896</v>
      </c>
      <c r="F452" s="15" t="s">
        <v>1428</v>
      </c>
      <c r="G452" s="15" t="s">
        <v>1428</v>
      </c>
      <c r="H452" s="15" t="s">
        <v>7897</v>
      </c>
      <c r="I452" s="9">
        <f t="shared" ca="1" si="7"/>
        <v>17</v>
      </c>
      <c r="J452" s="15" t="s">
        <v>7898</v>
      </c>
      <c r="K452" s="15" t="s">
        <v>340</v>
      </c>
      <c r="L452" s="9" t="str">
        <f>VLOOKUP(K452,[1]中国省份_标准!$B$2:$F$35,4,FALSE)</f>
        <v>东部地区</v>
      </c>
      <c r="M452" s="9" t="str">
        <f>VLOOKUP(K452,[1]中国省份_标准!$B$2:$F$35,5,FALSE)</f>
        <v>华东地区</v>
      </c>
      <c r="N452" s="15" t="s">
        <v>401</v>
      </c>
      <c r="O452" s="15" t="s">
        <v>784</v>
      </c>
      <c r="P452" s="15" t="s">
        <v>7899</v>
      </c>
      <c r="Q452" s="15" t="s">
        <v>7900</v>
      </c>
      <c r="R452" s="15" t="s">
        <v>7901</v>
      </c>
      <c r="S452" s="15" t="s">
        <v>7902</v>
      </c>
      <c r="T452" s="15" t="s">
        <v>48</v>
      </c>
      <c r="U452" s="15" t="s">
        <v>7895</v>
      </c>
      <c r="V452" s="15" t="s">
        <v>7903</v>
      </c>
      <c r="W452" s="15" t="s">
        <v>7904</v>
      </c>
      <c r="X452" s="15" t="s">
        <v>2448</v>
      </c>
      <c r="Y452" s="15" t="s">
        <v>78</v>
      </c>
      <c r="Z452" s="15" t="s">
        <v>7905</v>
      </c>
      <c r="AA452" s="15" t="s">
        <v>169</v>
      </c>
      <c r="AB452" s="15" t="s">
        <v>285</v>
      </c>
      <c r="AC452" s="15" t="s">
        <v>479</v>
      </c>
      <c r="AD452" s="15" t="s">
        <v>480</v>
      </c>
      <c r="AE452" s="15" t="s">
        <v>55</v>
      </c>
      <c r="AF452" s="15" t="s">
        <v>7906</v>
      </c>
      <c r="AG452" s="15" t="s">
        <v>7907</v>
      </c>
      <c r="AH452" s="15" t="s">
        <v>39</v>
      </c>
      <c r="AI452" s="15" t="s">
        <v>7908</v>
      </c>
      <c r="AJ452" s="15" t="s">
        <v>7909</v>
      </c>
      <c r="AK452" s="15" t="s">
        <v>796</v>
      </c>
      <c r="AL452" s="15" t="s">
        <v>88</v>
      </c>
    </row>
    <row r="453" spans="1:38" x14ac:dyDescent="0.4">
      <c r="A453" s="11" t="s">
        <v>7910</v>
      </c>
      <c r="B453" s="12" t="s">
        <v>7911</v>
      </c>
      <c r="C453" s="13" t="s">
        <v>7912</v>
      </c>
      <c r="D453" s="13" t="s">
        <v>92</v>
      </c>
      <c r="E453" s="13" t="s">
        <v>7913</v>
      </c>
      <c r="F453" s="13" t="s">
        <v>154</v>
      </c>
      <c r="G453" s="13" t="s">
        <v>39</v>
      </c>
      <c r="H453" s="13" t="s">
        <v>7914</v>
      </c>
      <c r="I453" s="9">
        <f t="shared" ca="1" si="7"/>
        <v>4</v>
      </c>
      <c r="J453" s="13" t="s">
        <v>7915</v>
      </c>
      <c r="K453" s="13" t="s">
        <v>157</v>
      </c>
      <c r="L453" s="9" t="str">
        <f>VLOOKUP(K453,[1]中国省份_标准!$B$2:$F$35,4,FALSE)</f>
        <v>东北地区</v>
      </c>
      <c r="M453" s="9" t="str">
        <f>VLOOKUP(K453,[1]中国省份_标准!$B$2:$F$35,5,FALSE)</f>
        <v>东北地区</v>
      </c>
      <c r="N453" s="13" t="s">
        <v>7916</v>
      </c>
      <c r="O453" s="13" t="s">
        <v>7917</v>
      </c>
      <c r="P453" s="13" t="s">
        <v>7918</v>
      </c>
      <c r="Q453" s="13" t="s">
        <v>39</v>
      </c>
      <c r="R453" s="13" t="s">
        <v>7919</v>
      </c>
      <c r="S453" s="13" t="s">
        <v>7920</v>
      </c>
      <c r="T453" s="13" t="s">
        <v>281</v>
      </c>
      <c r="U453" s="13" t="s">
        <v>7911</v>
      </c>
      <c r="V453" s="13" t="s">
        <v>7921</v>
      </c>
      <c r="W453" s="13" t="s">
        <v>7922</v>
      </c>
      <c r="X453" s="13" t="s">
        <v>77</v>
      </c>
      <c r="Y453" s="13" t="s">
        <v>78</v>
      </c>
      <c r="Z453" s="13" t="s">
        <v>7923</v>
      </c>
      <c r="AA453" s="13" t="s">
        <v>1796</v>
      </c>
      <c r="AB453" s="13" t="s">
        <v>2851</v>
      </c>
      <c r="AC453" s="13" t="s">
        <v>2852</v>
      </c>
      <c r="AD453" s="13" t="s">
        <v>2896</v>
      </c>
      <c r="AE453" s="13" t="s">
        <v>109</v>
      </c>
      <c r="AF453" s="13" t="s">
        <v>7924</v>
      </c>
      <c r="AG453" s="13" t="s">
        <v>39</v>
      </c>
      <c r="AH453" s="13" t="s">
        <v>39</v>
      </c>
      <c r="AI453" s="13" t="s">
        <v>7925</v>
      </c>
      <c r="AJ453" s="13" t="s">
        <v>7926</v>
      </c>
      <c r="AK453" s="13" t="s">
        <v>7927</v>
      </c>
      <c r="AL453" s="13" t="s">
        <v>39</v>
      </c>
    </row>
    <row r="454" spans="1:38" x14ac:dyDescent="0.4">
      <c r="A454" s="11" t="s">
        <v>7928</v>
      </c>
      <c r="B454" s="14" t="s">
        <v>7929</v>
      </c>
      <c r="C454" s="15" t="s">
        <v>39</v>
      </c>
      <c r="D454" s="15" t="s">
        <v>7930</v>
      </c>
      <c r="E454" s="15" t="s">
        <v>7931</v>
      </c>
      <c r="F454" s="15" t="s">
        <v>640</v>
      </c>
      <c r="G454" s="15" t="s">
        <v>39</v>
      </c>
      <c r="H454" s="15" t="s">
        <v>7932</v>
      </c>
      <c r="I454" s="9">
        <f t="shared" ca="1" si="7"/>
        <v>7</v>
      </c>
      <c r="J454" s="15" t="s">
        <v>7933</v>
      </c>
      <c r="K454" s="15" t="s">
        <v>425</v>
      </c>
      <c r="L454" s="9" t="str">
        <f>VLOOKUP(K454,[1]中国省份_标准!$B$2:$F$35,4,FALSE)</f>
        <v>东部地区</v>
      </c>
      <c r="M454" s="9" t="str">
        <f>VLOOKUP(K454,[1]中国省份_标准!$B$2:$F$35,5,FALSE)</f>
        <v>华东地区</v>
      </c>
      <c r="N454" s="15" t="s">
        <v>572</v>
      </c>
      <c r="O454" s="15" t="s">
        <v>7934</v>
      </c>
      <c r="P454" s="15" t="s">
        <v>7935</v>
      </c>
      <c r="Q454" s="15" t="s">
        <v>7936</v>
      </c>
      <c r="R454" s="15" t="s">
        <v>7937</v>
      </c>
      <c r="S454" s="15" t="s">
        <v>39</v>
      </c>
      <c r="T454" s="15" t="s">
        <v>281</v>
      </c>
      <c r="U454" s="15" t="s">
        <v>7929</v>
      </c>
      <c r="V454" s="15" t="s">
        <v>39</v>
      </c>
      <c r="W454" s="15" t="s">
        <v>7938</v>
      </c>
      <c r="X454" s="15" t="s">
        <v>77</v>
      </c>
      <c r="Y454" s="15" t="s">
        <v>78</v>
      </c>
      <c r="Z454" s="15" t="s">
        <v>7939</v>
      </c>
      <c r="AA454" s="15" t="s">
        <v>169</v>
      </c>
      <c r="AB454" s="15" t="s">
        <v>170</v>
      </c>
      <c r="AC454" s="15" t="s">
        <v>39</v>
      </c>
      <c r="AD454" s="15" t="s">
        <v>39</v>
      </c>
      <c r="AE454" s="15" t="s">
        <v>55</v>
      </c>
      <c r="AF454" s="15" t="s">
        <v>7940</v>
      </c>
      <c r="AG454" s="15" t="s">
        <v>39</v>
      </c>
      <c r="AH454" s="15" t="s">
        <v>39</v>
      </c>
      <c r="AI454" s="15" t="s">
        <v>7941</v>
      </c>
      <c r="AJ454" s="15" t="s">
        <v>7942</v>
      </c>
      <c r="AK454" s="15" t="s">
        <v>7943</v>
      </c>
      <c r="AL454" s="15" t="s">
        <v>88</v>
      </c>
    </row>
    <row r="455" spans="1:38" x14ac:dyDescent="0.4">
      <c r="A455" s="11" t="s">
        <v>7944</v>
      </c>
      <c r="B455" s="12" t="s">
        <v>7945</v>
      </c>
      <c r="C455" s="13" t="s">
        <v>39</v>
      </c>
      <c r="D455" s="13" t="s">
        <v>92</v>
      </c>
      <c r="E455" s="13" t="s">
        <v>7946</v>
      </c>
      <c r="F455" s="13" t="s">
        <v>7947</v>
      </c>
      <c r="G455" s="13" t="s">
        <v>7948</v>
      </c>
      <c r="H455" s="13" t="s">
        <v>7949</v>
      </c>
      <c r="I455" s="9">
        <f t="shared" ca="1" si="7"/>
        <v>2</v>
      </c>
      <c r="J455" s="13" t="s">
        <v>7950</v>
      </c>
      <c r="K455" s="13" t="s">
        <v>5229</v>
      </c>
      <c r="L455" s="9" t="str">
        <f>VLOOKUP(K455,[1]中国省份_标准!$B$2:$F$35,4,FALSE)</f>
        <v>西部地区</v>
      </c>
      <c r="M455" s="9" t="str">
        <f>VLOOKUP(K455,[1]中国省份_标准!$B$2:$F$35,5,FALSE)</f>
        <v>华南地区</v>
      </c>
      <c r="N455" s="13" t="s">
        <v>7951</v>
      </c>
      <c r="O455" s="13" t="s">
        <v>7952</v>
      </c>
      <c r="P455" s="13" t="s">
        <v>7953</v>
      </c>
      <c r="Q455" s="13" t="s">
        <v>7954</v>
      </c>
      <c r="R455" s="13" t="s">
        <v>7955</v>
      </c>
      <c r="S455" s="13" t="s">
        <v>39</v>
      </c>
      <c r="T455" s="13" t="s">
        <v>825</v>
      </c>
      <c r="U455" s="13" t="s">
        <v>7945</v>
      </c>
      <c r="V455" s="13" t="s">
        <v>7956</v>
      </c>
      <c r="W455" s="13" t="s">
        <v>7957</v>
      </c>
      <c r="X455" s="13" t="s">
        <v>7958</v>
      </c>
      <c r="Y455" s="13" t="s">
        <v>78</v>
      </c>
      <c r="Z455" s="13" t="s">
        <v>7959</v>
      </c>
      <c r="AA455" s="13" t="s">
        <v>1796</v>
      </c>
      <c r="AB455" s="13" t="s">
        <v>2851</v>
      </c>
      <c r="AC455" s="13" t="s">
        <v>3969</v>
      </c>
      <c r="AD455" s="13" t="s">
        <v>3969</v>
      </c>
      <c r="AE455" s="13" t="s">
        <v>55</v>
      </c>
      <c r="AF455" s="13" t="s">
        <v>7960</v>
      </c>
      <c r="AG455" s="13" t="s">
        <v>7961</v>
      </c>
      <c r="AH455" s="13" t="s">
        <v>39</v>
      </c>
      <c r="AI455" s="13" t="s">
        <v>7962</v>
      </c>
      <c r="AJ455" s="13" t="s">
        <v>7963</v>
      </c>
      <c r="AK455" s="13" t="s">
        <v>7964</v>
      </c>
      <c r="AL455" s="13" t="s">
        <v>88</v>
      </c>
    </row>
    <row r="456" spans="1:38" x14ac:dyDescent="0.4">
      <c r="A456" s="11" t="s">
        <v>7965</v>
      </c>
      <c r="B456" s="14" t="s">
        <v>7966</v>
      </c>
      <c r="C456" s="15" t="s">
        <v>7967</v>
      </c>
      <c r="D456" s="15" t="s">
        <v>92</v>
      </c>
      <c r="E456" s="15" t="s">
        <v>7968</v>
      </c>
      <c r="F456" s="15" t="s">
        <v>42</v>
      </c>
      <c r="G456" s="15" t="s">
        <v>39</v>
      </c>
      <c r="H456" s="15" t="s">
        <v>7969</v>
      </c>
      <c r="I456" s="9">
        <f t="shared" ca="1" si="7"/>
        <v>8</v>
      </c>
      <c r="J456" s="15" t="s">
        <v>7970</v>
      </c>
      <c r="K456" s="15" t="s">
        <v>425</v>
      </c>
      <c r="L456" s="9" t="str">
        <f>VLOOKUP(K456,[1]中国省份_标准!$B$2:$F$35,4,FALSE)</f>
        <v>东部地区</v>
      </c>
      <c r="M456" s="9" t="str">
        <f>VLOOKUP(K456,[1]中国省份_标准!$B$2:$F$35,5,FALSE)</f>
        <v>华东地区</v>
      </c>
      <c r="N456" s="15" t="s">
        <v>572</v>
      </c>
      <c r="O456" s="15" t="s">
        <v>7934</v>
      </c>
      <c r="P456" s="15" t="s">
        <v>7971</v>
      </c>
      <c r="Q456" s="15" t="s">
        <v>7972</v>
      </c>
      <c r="R456" s="15" t="s">
        <v>39</v>
      </c>
      <c r="S456" s="15" t="s">
        <v>39</v>
      </c>
      <c r="T456" s="15" t="s">
        <v>281</v>
      </c>
      <c r="U456" s="15" t="s">
        <v>7966</v>
      </c>
      <c r="V456" s="15" t="s">
        <v>7973</v>
      </c>
      <c r="W456" s="15" t="s">
        <v>7974</v>
      </c>
      <c r="X456" s="15" t="s">
        <v>77</v>
      </c>
      <c r="Y456" s="15" t="s">
        <v>78</v>
      </c>
      <c r="Z456" s="15" t="s">
        <v>7975</v>
      </c>
      <c r="AA456" s="15" t="s">
        <v>169</v>
      </c>
      <c r="AB456" s="15" t="s">
        <v>170</v>
      </c>
      <c r="AC456" s="15" t="s">
        <v>39</v>
      </c>
      <c r="AD456" s="15" t="s">
        <v>39</v>
      </c>
      <c r="AE456" s="15" t="s">
        <v>55</v>
      </c>
      <c r="AF456" s="15" t="s">
        <v>7976</v>
      </c>
      <c r="AG456" s="15" t="s">
        <v>39</v>
      </c>
      <c r="AH456" s="15" t="s">
        <v>39</v>
      </c>
      <c r="AI456" s="15" t="s">
        <v>7977</v>
      </c>
      <c r="AJ456" s="15" t="s">
        <v>7978</v>
      </c>
      <c r="AK456" s="15" t="s">
        <v>7943</v>
      </c>
      <c r="AL456" s="15" t="s">
        <v>88</v>
      </c>
    </row>
    <row r="457" spans="1:38" x14ac:dyDescent="0.4">
      <c r="A457" s="11" t="s">
        <v>7979</v>
      </c>
      <c r="B457" s="12" t="s">
        <v>7980</v>
      </c>
      <c r="C457" s="13" t="s">
        <v>39</v>
      </c>
      <c r="D457" s="13" t="s">
        <v>63</v>
      </c>
      <c r="E457" s="13" t="s">
        <v>7981</v>
      </c>
      <c r="F457" s="13" t="s">
        <v>2705</v>
      </c>
      <c r="G457" s="13" t="s">
        <v>39</v>
      </c>
      <c r="H457" s="13" t="s">
        <v>7982</v>
      </c>
      <c r="I457" s="9">
        <f t="shared" ca="1" si="7"/>
        <v>8</v>
      </c>
      <c r="J457" s="13" t="s">
        <v>7983</v>
      </c>
      <c r="K457" s="13" t="s">
        <v>67</v>
      </c>
      <c r="L457" s="9" t="str">
        <f>VLOOKUP(K457,[1]中国省份_标准!$B$2:$F$35,4,FALSE)</f>
        <v>东部地区</v>
      </c>
      <c r="M457" s="9" t="str">
        <f>VLOOKUP(K457,[1]中国省份_标准!$B$2:$F$35,5,FALSE)</f>
        <v>华东地区</v>
      </c>
      <c r="N457" s="13" t="s">
        <v>1663</v>
      </c>
      <c r="O457" s="13" t="s">
        <v>1664</v>
      </c>
      <c r="P457" s="13" t="s">
        <v>7984</v>
      </c>
      <c r="Q457" s="13" t="s">
        <v>39</v>
      </c>
      <c r="R457" s="13" t="s">
        <v>7985</v>
      </c>
      <c r="S457" s="13" t="s">
        <v>39</v>
      </c>
      <c r="T457" s="13" t="s">
        <v>164</v>
      </c>
      <c r="U457" s="13" t="s">
        <v>7980</v>
      </c>
      <c r="V457" s="13" t="s">
        <v>7986</v>
      </c>
      <c r="W457" s="13" t="s">
        <v>7987</v>
      </c>
      <c r="X457" s="13" t="s">
        <v>77</v>
      </c>
      <c r="Y457" s="13" t="s">
        <v>78</v>
      </c>
      <c r="Z457" s="13" t="s">
        <v>168</v>
      </c>
      <c r="AA457" s="13" t="s">
        <v>169</v>
      </c>
      <c r="AB457" s="13" t="s">
        <v>170</v>
      </c>
      <c r="AC457" s="13" t="s">
        <v>171</v>
      </c>
      <c r="AD457" s="13" t="s">
        <v>5811</v>
      </c>
      <c r="AE457" s="13" t="s">
        <v>55</v>
      </c>
      <c r="AF457" s="13" t="s">
        <v>7988</v>
      </c>
      <c r="AG457" s="13" t="s">
        <v>39</v>
      </c>
      <c r="AH457" s="13" t="s">
        <v>39</v>
      </c>
      <c r="AI457" s="13" t="s">
        <v>39</v>
      </c>
      <c r="AJ457" s="13" t="s">
        <v>5813</v>
      </c>
      <c r="AK457" s="13" t="s">
        <v>1676</v>
      </c>
      <c r="AL457" s="13" t="s">
        <v>88</v>
      </c>
    </row>
    <row r="458" spans="1:38" x14ac:dyDescent="0.4">
      <c r="A458" s="11" t="s">
        <v>7989</v>
      </c>
      <c r="B458" s="14" t="s">
        <v>7990</v>
      </c>
      <c r="C458" s="15" t="s">
        <v>39</v>
      </c>
      <c r="D458" s="15" t="s">
        <v>7991</v>
      </c>
      <c r="E458" s="15" t="s">
        <v>7992</v>
      </c>
      <c r="F458" s="15" t="s">
        <v>154</v>
      </c>
      <c r="G458" s="15" t="s">
        <v>39</v>
      </c>
      <c r="H458" s="15" t="s">
        <v>7993</v>
      </c>
      <c r="I458" s="9">
        <f t="shared" ca="1" si="7"/>
        <v>2</v>
      </c>
      <c r="J458" s="15" t="s">
        <v>7994</v>
      </c>
      <c r="K458" s="15" t="s">
        <v>425</v>
      </c>
      <c r="L458" s="9" t="str">
        <f>VLOOKUP(K458,[1]中国省份_标准!$B$2:$F$35,4,FALSE)</f>
        <v>东部地区</v>
      </c>
      <c r="M458" s="9" t="str">
        <f>VLOOKUP(K458,[1]中国省份_标准!$B$2:$F$35,5,FALSE)</f>
        <v>华东地区</v>
      </c>
      <c r="N458" s="15" t="s">
        <v>5738</v>
      </c>
      <c r="O458" s="15" t="s">
        <v>7995</v>
      </c>
      <c r="P458" s="15" t="s">
        <v>7996</v>
      </c>
      <c r="Q458" s="15" t="s">
        <v>39</v>
      </c>
      <c r="R458" s="15" t="s">
        <v>7997</v>
      </c>
      <c r="S458" s="15" t="s">
        <v>39</v>
      </c>
      <c r="T458" s="15" t="s">
        <v>48</v>
      </c>
      <c r="U458" s="15" t="s">
        <v>7990</v>
      </c>
      <c r="V458" s="15" t="s">
        <v>7998</v>
      </c>
      <c r="W458" s="15" t="s">
        <v>7999</v>
      </c>
      <c r="X458" s="15" t="s">
        <v>77</v>
      </c>
      <c r="Y458" s="15" t="s">
        <v>78</v>
      </c>
      <c r="Z458" s="15" t="s">
        <v>8000</v>
      </c>
      <c r="AA458" s="15" t="s">
        <v>169</v>
      </c>
      <c r="AB458" s="15" t="s">
        <v>170</v>
      </c>
      <c r="AC458" s="15" t="s">
        <v>171</v>
      </c>
      <c r="AD458" s="15" t="s">
        <v>5811</v>
      </c>
      <c r="AE458" s="15" t="s">
        <v>109</v>
      </c>
      <c r="AF458" s="15" t="s">
        <v>8001</v>
      </c>
      <c r="AG458" s="15" t="s">
        <v>39</v>
      </c>
      <c r="AH458" s="15" t="s">
        <v>39</v>
      </c>
      <c r="AI458" s="15" t="s">
        <v>8002</v>
      </c>
      <c r="AJ458" s="15" t="s">
        <v>8003</v>
      </c>
      <c r="AK458" s="15" t="s">
        <v>8004</v>
      </c>
      <c r="AL458" s="15" t="s">
        <v>88</v>
      </c>
    </row>
    <row r="459" spans="1:38" x14ac:dyDescent="0.4">
      <c r="A459" s="11" t="s">
        <v>8005</v>
      </c>
      <c r="B459" s="12" t="s">
        <v>8006</v>
      </c>
      <c r="C459" s="13" t="s">
        <v>39</v>
      </c>
      <c r="D459" s="13" t="s">
        <v>92</v>
      </c>
      <c r="E459" s="13" t="s">
        <v>7378</v>
      </c>
      <c r="F459" s="13" t="s">
        <v>117</v>
      </c>
      <c r="G459" s="13" t="s">
        <v>39</v>
      </c>
      <c r="H459" s="13" t="s">
        <v>8007</v>
      </c>
      <c r="I459" s="9">
        <f t="shared" ca="1" si="7"/>
        <v>2</v>
      </c>
      <c r="J459" s="13" t="s">
        <v>8008</v>
      </c>
      <c r="K459" s="13" t="s">
        <v>983</v>
      </c>
      <c r="L459" s="9" t="str">
        <f>VLOOKUP(K459,[1]中国省份_标准!$B$2:$F$35,4,FALSE)</f>
        <v>西部地区</v>
      </c>
      <c r="M459" s="9" t="str">
        <f>VLOOKUP(K459,[1]中国省份_标准!$B$2:$F$35,5,FALSE)</f>
        <v>华北地区</v>
      </c>
      <c r="N459" s="13" t="s">
        <v>7381</v>
      </c>
      <c r="O459" s="13" t="s">
        <v>8009</v>
      </c>
      <c r="P459" s="13" t="s">
        <v>8010</v>
      </c>
      <c r="Q459" s="13" t="s">
        <v>8011</v>
      </c>
      <c r="R459" s="13" t="s">
        <v>8012</v>
      </c>
      <c r="S459" s="13" t="s">
        <v>8013</v>
      </c>
      <c r="T459" s="13" t="s">
        <v>48</v>
      </c>
      <c r="U459" s="13" t="s">
        <v>8006</v>
      </c>
      <c r="V459" s="13" t="s">
        <v>8014</v>
      </c>
      <c r="W459" s="13" t="s">
        <v>8015</v>
      </c>
      <c r="X459" s="13" t="s">
        <v>77</v>
      </c>
      <c r="Y459" s="13" t="s">
        <v>78</v>
      </c>
      <c r="Z459" s="13" t="s">
        <v>8016</v>
      </c>
      <c r="AA459" s="13" t="s">
        <v>80</v>
      </c>
      <c r="AB459" s="13" t="s">
        <v>81</v>
      </c>
      <c r="AC459" s="13" t="s">
        <v>8017</v>
      </c>
      <c r="AD459" s="13" t="s">
        <v>8018</v>
      </c>
      <c r="AE459" s="13" t="s">
        <v>109</v>
      </c>
      <c r="AF459" s="13" t="s">
        <v>8019</v>
      </c>
      <c r="AG459" s="13" t="s">
        <v>39</v>
      </c>
      <c r="AH459" s="13" t="s">
        <v>39</v>
      </c>
      <c r="AI459" s="13" t="s">
        <v>8020</v>
      </c>
      <c r="AJ459" s="13" t="s">
        <v>8021</v>
      </c>
      <c r="AK459" s="13" t="s">
        <v>8022</v>
      </c>
      <c r="AL459" s="13" t="s">
        <v>88</v>
      </c>
    </row>
    <row r="460" spans="1:38" x14ac:dyDescent="0.4">
      <c r="A460" s="11" t="s">
        <v>8023</v>
      </c>
      <c r="B460" s="14" t="s">
        <v>8024</v>
      </c>
      <c r="C460" s="15" t="s">
        <v>39</v>
      </c>
      <c r="D460" s="15" t="s">
        <v>92</v>
      </c>
      <c r="E460" s="15" t="s">
        <v>8025</v>
      </c>
      <c r="F460" s="15" t="s">
        <v>271</v>
      </c>
      <c r="G460" s="15" t="s">
        <v>640</v>
      </c>
      <c r="H460" s="15" t="s">
        <v>8026</v>
      </c>
      <c r="I460" s="9">
        <f t="shared" ca="1" si="7"/>
        <v>14</v>
      </c>
      <c r="J460" s="15" t="s">
        <v>8027</v>
      </c>
      <c r="K460" s="15" t="s">
        <v>340</v>
      </c>
      <c r="L460" s="9" t="str">
        <f>VLOOKUP(K460,[1]中国省份_标准!$B$2:$F$35,4,FALSE)</f>
        <v>东部地区</v>
      </c>
      <c r="M460" s="9" t="str">
        <f>VLOOKUP(K460,[1]中国省份_标准!$B$2:$F$35,5,FALSE)</f>
        <v>华东地区</v>
      </c>
      <c r="N460" s="15" t="s">
        <v>5879</v>
      </c>
      <c r="O460" s="15" t="s">
        <v>6227</v>
      </c>
      <c r="P460" s="15" t="s">
        <v>8028</v>
      </c>
      <c r="Q460" s="15" t="s">
        <v>8029</v>
      </c>
      <c r="R460" s="15" t="s">
        <v>8030</v>
      </c>
      <c r="S460" s="15" t="s">
        <v>8031</v>
      </c>
      <c r="T460" s="15" t="s">
        <v>48</v>
      </c>
      <c r="U460" s="15" t="s">
        <v>8024</v>
      </c>
      <c r="V460" s="15" t="s">
        <v>8032</v>
      </c>
      <c r="W460" s="15" t="s">
        <v>8033</v>
      </c>
      <c r="X460" s="15" t="s">
        <v>8034</v>
      </c>
      <c r="Y460" s="15" t="s">
        <v>78</v>
      </c>
      <c r="Z460" s="15" t="s">
        <v>8035</v>
      </c>
      <c r="AA460" s="15" t="s">
        <v>80</v>
      </c>
      <c r="AB460" s="15" t="s">
        <v>81</v>
      </c>
      <c r="AC460" s="15" t="s">
        <v>7625</v>
      </c>
      <c r="AD460" s="15" t="s">
        <v>7626</v>
      </c>
      <c r="AE460" s="15" t="s">
        <v>262</v>
      </c>
      <c r="AF460" s="15" t="s">
        <v>8036</v>
      </c>
      <c r="AG460" s="15" t="s">
        <v>8037</v>
      </c>
      <c r="AH460" s="15" t="s">
        <v>39</v>
      </c>
      <c r="AI460" s="15" t="s">
        <v>8038</v>
      </c>
      <c r="AJ460" s="15" t="s">
        <v>8039</v>
      </c>
      <c r="AK460" s="15" t="s">
        <v>6237</v>
      </c>
      <c r="AL460" s="15" t="s">
        <v>88</v>
      </c>
    </row>
    <row r="461" spans="1:38" x14ac:dyDescent="0.4">
      <c r="A461" s="11" t="s">
        <v>8040</v>
      </c>
      <c r="B461" s="12" t="s">
        <v>8041</v>
      </c>
      <c r="C461" s="13" t="s">
        <v>8042</v>
      </c>
      <c r="D461" s="13" t="s">
        <v>92</v>
      </c>
      <c r="E461" s="13" t="s">
        <v>8043</v>
      </c>
      <c r="F461" s="13" t="s">
        <v>1235</v>
      </c>
      <c r="G461" s="13" t="s">
        <v>39</v>
      </c>
      <c r="H461" s="13" t="s">
        <v>8044</v>
      </c>
      <c r="I461" s="9">
        <f t="shared" ca="1" si="7"/>
        <v>7</v>
      </c>
      <c r="J461" s="13" t="s">
        <v>8045</v>
      </c>
      <c r="K461" s="13" t="s">
        <v>983</v>
      </c>
      <c r="L461" s="9" t="str">
        <f>VLOOKUP(K461,[1]中国省份_标准!$B$2:$F$35,4,FALSE)</f>
        <v>西部地区</v>
      </c>
      <c r="M461" s="9" t="str">
        <f>VLOOKUP(K461,[1]中国省份_标准!$B$2:$F$35,5,FALSE)</f>
        <v>华北地区</v>
      </c>
      <c r="N461" s="13" t="s">
        <v>1431</v>
      </c>
      <c r="O461" s="13" t="s">
        <v>1432</v>
      </c>
      <c r="P461" s="13" t="s">
        <v>8046</v>
      </c>
      <c r="Q461" s="13" t="s">
        <v>8047</v>
      </c>
      <c r="R461" s="13" t="s">
        <v>8048</v>
      </c>
      <c r="S461" s="13" t="s">
        <v>39</v>
      </c>
      <c r="T461" s="13" t="s">
        <v>281</v>
      </c>
      <c r="U461" s="13" t="s">
        <v>8041</v>
      </c>
      <c r="V461" s="13" t="s">
        <v>39</v>
      </c>
      <c r="W461" s="13" t="s">
        <v>8049</v>
      </c>
      <c r="X461" s="13" t="s">
        <v>77</v>
      </c>
      <c r="Y461" s="13" t="s">
        <v>78</v>
      </c>
      <c r="Z461" s="13" t="s">
        <v>8050</v>
      </c>
      <c r="AA461" s="13" t="s">
        <v>1796</v>
      </c>
      <c r="AB461" s="13" t="s">
        <v>2851</v>
      </c>
      <c r="AC461" s="13" t="s">
        <v>3969</v>
      </c>
      <c r="AD461" s="13" t="s">
        <v>3969</v>
      </c>
      <c r="AE461" s="13" t="s">
        <v>109</v>
      </c>
      <c r="AF461" s="13" t="s">
        <v>8051</v>
      </c>
      <c r="AG461" s="13" t="s">
        <v>39</v>
      </c>
      <c r="AH461" s="13" t="s">
        <v>39</v>
      </c>
      <c r="AI461" s="13" t="s">
        <v>8052</v>
      </c>
      <c r="AJ461" s="13" t="s">
        <v>8053</v>
      </c>
      <c r="AK461" s="13" t="s">
        <v>1442</v>
      </c>
      <c r="AL461" s="13" t="s">
        <v>88</v>
      </c>
    </row>
    <row r="462" spans="1:38" x14ac:dyDescent="0.4">
      <c r="A462" s="11" t="s">
        <v>8054</v>
      </c>
      <c r="B462" s="14" t="s">
        <v>8055</v>
      </c>
      <c r="C462" s="15" t="s">
        <v>39</v>
      </c>
      <c r="D462" s="15" t="s">
        <v>92</v>
      </c>
      <c r="E462" s="15" t="s">
        <v>8056</v>
      </c>
      <c r="F462" s="15" t="s">
        <v>154</v>
      </c>
      <c r="G462" s="15" t="s">
        <v>39</v>
      </c>
      <c r="H462" s="15" t="s">
        <v>8057</v>
      </c>
      <c r="I462" s="9">
        <f t="shared" ca="1" si="7"/>
        <v>10</v>
      </c>
      <c r="J462" s="15" t="s">
        <v>8058</v>
      </c>
      <c r="K462" s="15" t="s">
        <v>983</v>
      </c>
      <c r="L462" s="9" t="str">
        <f>VLOOKUP(K462,[1]中国省份_标准!$B$2:$F$35,4,FALSE)</f>
        <v>西部地区</v>
      </c>
      <c r="M462" s="9" t="str">
        <f>VLOOKUP(K462,[1]中国省份_标准!$B$2:$F$35,5,FALSE)</f>
        <v>华北地区</v>
      </c>
      <c r="N462" s="15" t="s">
        <v>7381</v>
      </c>
      <c r="O462" s="15" t="s">
        <v>7636</v>
      </c>
      <c r="P462" s="15" t="s">
        <v>8059</v>
      </c>
      <c r="Q462" s="15" t="s">
        <v>8060</v>
      </c>
      <c r="R462" s="15" t="s">
        <v>39</v>
      </c>
      <c r="S462" s="15" t="s">
        <v>39</v>
      </c>
      <c r="T462" s="15" t="s">
        <v>281</v>
      </c>
      <c r="U462" s="15" t="s">
        <v>8055</v>
      </c>
      <c r="V462" s="15" t="s">
        <v>8061</v>
      </c>
      <c r="W462" s="15" t="s">
        <v>8062</v>
      </c>
      <c r="X462" s="15" t="s">
        <v>77</v>
      </c>
      <c r="Y462" s="15" t="s">
        <v>78</v>
      </c>
      <c r="Z462" s="15" t="s">
        <v>8063</v>
      </c>
      <c r="AA462" s="15" t="s">
        <v>80</v>
      </c>
      <c r="AB462" s="15" t="s">
        <v>106</v>
      </c>
      <c r="AC462" s="15" t="s">
        <v>808</v>
      </c>
      <c r="AD462" s="15" t="s">
        <v>8064</v>
      </c>
      <c r="AE462" s="15" t="s">
        <v>109</v>
      </c>
      <c r="AF462" s="15" t="s">
        <v>8065</v>
      </c>
      <c r="AG462" s="15" t="s">
        <v>39</v>
      </c>
      <c r="AH462" s="15" t="s">
        <v>39</v>
      </c>
      <c r="AI462" s="15" t="s">
        <v>8066</v>
      </c>
      <c r="AJ462" s="15" t="s">
        <v>8067</v>
      </c>
      <c r="AK462" s="15" t="s">
        <v>7647</v>
      </c>
      <c r="AL462" s="15" t="s">
        <v>88</v>
      </c>
    </row>
    <row r="463" spans="1:38" x14ac:dyDescent="0.4">
      <c r="A463" s="11" t="s">
        <v>8068</v>
      </c>
      <c r="B463" s="12" t="s">
        <v>8069</v>
      </c>
      <c r="C463" s="13" t="s">
        <v>39</v>
      </c>
      <c r="D463" s="13" t="s">
        <v>92</v>
      </c>
      <c r="E463" s="13" t="s">
        <v>8070</v>
      </c>
      <c r="F463" s="13" t="s">
        <v>3890</v>
      </c>
      <c r="G463" s="13" t="s">
        <v>8071</v>
      </c>
      <c r="H463" s="13" t="s">
        <v>8072</v>
      </c>
      <c r="I463" s="9">
        <f t="shared" ca="1" si="7"/>
        <v>7</v>
      </c>
      <c r="J463" s="13" t="s">
        <v>8073</v>
      </c>
      <c r="K463" s="13" t="s">
        <v>227</v>
      </c>
      <c r="L463" s="9" t="str">
        <f>VLOOKUP(K463,[1]中国省份_标准!$B$2:$F$35,4,FALSE)</f>
        <v>西部地区</v>
      </c>
      <c r="M463" s="9" t="str">
        <f>VLOOKUP(K463,[1]中国省份_标准!$B$2:$F$35,5,FALSE)</f>
        <v>西北地区</v>
      </c>
      <c r="N463" s="13" t="s">
        <v>763</v>
      </c>
      <c r="O463" s="13" t="s">
        <v>8074</v>
      </c>
      <c r="P463" s="13" t="s">
        <v>8075</v>
      </c>
      <c r="Q463" s="13" t="s">
        <v>8076</v>
      </c>
      <c r="R463" s="13" t="s">
        <v>8077</v>
      </c>
      <c r="S463" s="13" t="s">
        <v>8078</v>
      </c>
      <c r="T463" s="13" t="s">
        <v>452</v>
      </c>
      <c r="U463" s="13" t="s">
        <v>8069</v>
      </c>
      <c r="V463" s="13" t="s">
        <v>39</v>
      </c>
      <c r="W463" s="13" t="s">
        <v>8079</v>
      </c>
      <c r="X463" s="13" t="s">
        <v>673</v>
      </c>
      <c r="Y463" s="13" t="s">
        <v>78</v>
      </c>
      <c r="Z463" s="13" t="s">
        <v>8080</v>
      </c>
      <c r="AA463" s="13" t="s">
        <v>309</v>
      </c>
      <c r="AB463" s="13" t="s">
        <v>772</v>
      </c>
      <c r="AC463" s="13" t="s">
        <v>773</v>
      </c>
      <c r="AD463" s="13" t="s">
        <v>774</v>
      </c>
      <c r="AE463" s="13" t="s">
        <v>262</v>
      </c>
      <c r="AF463" s="13" t="s">
        <v>8081</v>
      </c>
      <c r="AG463" s="13" t="s">
        <v>39</v>
      </c>
      <c r="AH463" s="13" t="s">
        <v>39</v>
      </c>
      <c r="AI463" s="13" t="s">
        <v>8082</v>
      </c>
      <c r="AJ463" s="13" t="s">
        <v>8083</v>
      </c>
      <c r="AK463" s="13" t="s">
        <v>8084</v>
      </c>
      <c r="AL463" s="13" t="s">
        <v>88</v>
      </c>
    </row>
    <row r="464" spans="1:38" x14ac:dyDescent="0.4">
      <c r="A464" s="11" t="s">
        <v>8085</v>
      </c>
      <c r="B464" s="14" t="s">
        <v>8086</v>
      </c>
      <c r="C464" s="15" t="s">
        <v>39</v>
      </c>
      <c r="D464" s="15" t="s">
        <v>92</v>
      </c>
      <c r="E464" s="15" t="s">
        <v>8087</v>
      </c>
      <c r="F464" s="15" t="s">
        <v>999</v>
      </c>
      <c r="G464" s="15" t="s">
        <v>8088</v>
      </c>
      <c r="H464" s="15" t="s">
        <v>8089</v>
      </c>
      <c r="I464" s="9">
        <f t="shared" ca="1" si="7"/>
        <v>4</v>
      </c>
      <c r="J464" s="15" t="s">
        <v>8090</v>
      </c>
      <c r="K464" s="15" t="s">
        <v>4860</v>
      </c>
      <c r="L464" s="9" t="str">
        <f>VLOOKUP(K464,[1]中国省份_标准!$B$2:$F$35,4,FALSE)</f>
        <v>东部地区</v>
      </c>
      <c r="M464" s="9" t="str">
        <f>VLOOKUP(K464,[1]中国省份_标准!$B$2:$F$35,5,FALSE)</f>
        <v>华南地区</v>
      </c>
      <c r="N464" s="15" t="s">
        <v>8091</v>
      </c>
      <c r="O464" s="15" t="s">
        <v>39</v>
      </c>
      <c r="P464" s="15" t="s">
        <v>8092</v>
      </c>
      <c r="Q464" s="15" t="s">
        <v>8093</v>
      </c>
      <c r="R464" s="15" t="s">
        <v>8094</v>
      </c>
      <c r="S464" s="15" t="s">
        <v>39</v>
      </c>
      <c r="T464" s="15" t="s">
        <v>48</v>
      </c>
      <c r="U464" s="15" t="s">
        <v>8086</v>
      </c>
      <c r="V464" s="15" t="s">
        <v>8095</v>
      </c>
      <c r="W464" s="15" t="s">
        <v>8096</v>
      </c>
      <c r="X464" s="15" t="s">
        <v>990</v>
      </c>
      <c r="Y464" s="15" t="s">
        <v>78</v>
      </c>
      <c r="Z464" s="15" t="s">
        <v>8097</v>
      </c>
      <c r="AA464" s="15" t="s">
        <v>80</v>
      </c>
      <c r="AB464" s="15" t="s">
        <v>106</v>
      </c>
      <c r="AC464" s="15" t="s">
        <v>107</v>
      </c>
      <c r="AD464" s="15" t="s">
        <v>3348</v>
      </c>
      <c r="AE464" s="15" t="s">
        <v>55</v>
      </c>
      <c r="AF464" s="15" t="s">
        <v>8098</v>
      </c>
      <c r="AG464" s="15" t="s">
        <v>39</v>
      </c>
      <c r="AH464" s="15" t="s">
        <v>39</v>
      </c>
      <c r="AI464" s="15" t="s">
        <v>8099</v>
      </c>
      <c r="AJ464" s="15" t="s">
        <v>8100</v>
      </c>
      <c r="AK464" s="15" t="s">
        <v>4872</v>
      </c>
      <c r="AL464" s="15" t="s">
        <v>88</v>
      </c>
    </row>
    <row r="465" spans="1:38" x14ac:dyDescent="0.4">
      <c r="A465" s="11" t="s">
        <v>8101</v>
      </c>
      <c r="B465" s="12" t="s">
        <v>8102</v>
      </c>
      <c r="C465" s="13" t="s">
        <v>8103</v>
      </c>
      <c r="D465" s="13" t="s">
        <v>63</v>
      </c>
      <c r="E465" s="13" t="s">
        <v>8104</v>
      </c>
      <c r="F465" s="13" t="s">
        <v>8105</v>
      </c>
      <c r="G465" s="13" t="s">
        <v>442</v>
      </c>
      <c r="H465" s="13" t="s">
        <v>1661</v>
      </c>
      <c r="I465" s="9">
        <f t="shared" ca="1" si="7"/>
        <v>23</v>
      </c>
      <c r="J465" s="13" t="s">
        <v>8106</v>
      </c>
      <c r="K465" s="13" t="s">
        <v>425</v>
      </c>
      <c r="L465" s="9" t="str">
        <f>VLOOKUP(K465,[1]中国省份_标准!$B$2:$F$35,4,FALSE)</f>
        <v>东部地区</v>
      </c>
      <c r="M465" s="9" t="str">
        <f>VLOOKUP(K465,[1]中国省份_标准!$B$2:$F$35,5,FALSE)</f>
        <v>华东地区</v>
      </c>
      <c r="N465" s="13" t="s">
        <v>426</v>
      </c>
      <c r="O465" s="13" t="s">
        <v>427</v>
      </c>
      <c r="P465" s="13" t="s">
        <v>8107</v>
      </c>
      <c r="Q465" s="13" t="s">
        <v>8108</v>
      </c>
      <c r="R465" s="13" t="s">
        <v>8109</v>
      </c>
      <c r="S465" s="13" t="s">
        <v>8110</v>
      </c>
      <c r="T465" s="13" t="s">
        <v>48</v>
      </c>
      <c r="U465" s="13" t="s">
        <v>8102</v>
      </c>
      <c r="V465" s="13" t="s">
        <v>8111</v>
      </c>
      <c r="W465" s="13" t="s">
        <v>8112</v>
      </c>
      <c r="X465" s="13" t="s">
        <v>8113</v>
      </c>
      <c r="Y465" s="13" t="s">
        <v>78</v>
      </c>
      <c r="Z465" s="13" t="s">
        <v>1671</v>
      </c>
      <c r="AA465" s="13" t="s">
        <v>169</v>
      </c>
      <c r="AB465" s="13" t="s">
        <v>285</v>
      </c>
      <c r="AC465" s="13" t="s">
        <v>479</v>
      </c>
      <c r="AD465" s="13" t="s">
        <v>39</v>
      </c>
      <c r="AE465" s="13" t="s">
        <v>55</v>
      </c>
      <c r="AF465" s="13" t="s">
        <v>8114</v>
      </c>
      <c r="AG465" s="13" t="s">
        <v>39</v>
      </c>
      <c r="AH465" s="13" t="s">
        <v>8115</v>
      </c>
      <c r="AI465" s="13" t="s">
        <v>8116</v>
      </c>
      <c r="AJ465" s="13" t="s">
        <v>8117</v>
      </c>
      <c r="AK465" s="13" t="s">
        <v>2191</v>
      </c>
      <c r="AL465" s="13" t="s">
        <v>88</v>
      </c>
    </row>
    <row r="466" spans="1:38" x14ac:dyDescent="0.4">
      <c r="A466" s="11" t="s">
        <v>8118</v>
      </c>
      <c r="B466" s="14" t="s">
        <v>8119</v>
      </c>
      <c r="C466" s="15" t="s">
        <v>39</v>
      </c>
      <c r="D466" s="15" t="s">
        <v>63</v>
      </c>
      <c r="E466" s="15" t="s">
        <v>8120</v>
      </c>
      <c r="F466" s="15" t="s">
        <v>178</v>
      </c>
      <c r="G466" s="15" t="s">
        <v>178</v>
      </c>
      <c r="H466" s="15" t="s">
        <v>8121</v>
      </c>
      <c r="I466" s="9">
        <f t="shared" ca="1" si="7"/>
        <v>12</v>
      </c>
      <c r="J466" s="15" t="s">
        <v>8122</v>
      </c>
      <c r="K466" s="15" t="s">
        <v>67</v>
      </c>
      <c r="L466" s="9" t="str">
        <f>VLOOKUP(K466,[1]中国省份_标准!$B$2:$F$35,4,FALSE)</f>
        <v>东部地区</v>
      </c>
      <c r="M466" s="9" t="str">
        <f>VLOOKUP(K466,[1]中国省份_标准!$B$2:$F$35,5,FALSE)</f>
        <v>华东地区</v>
      </c>
      <c r="N466" s="15" t="s">
        <v>68</v>
      </c>
      <c r="O466" s="15" t="s">
        <v>5627</v>
      </c>
      <c r="P466" s="15" t="s">
        <v>8123</v>
      </c>
      <c r="Q466" s="15" t="s">
        <v>8124</v>
      </c>
      <c r="R466" s="15" t="s">
        <v>8125</v>
      </c>
      <c r="S466" s="15" t="s">
        <v>8126</v>
      </c>
      <c r="T466" s="15" t="s">
        <v>209</v>
      </c>
      <c r="U466" s="15" t="s">
        <v>8119</v>
      </c>
      <c r="V466" s="15" t="s">
        <v>8127</v>
      </c>
      <c r="W466" s="15" t="s">
        <v>8128</v>
      </c>
      <c r="X466" s="15" t="s">
        <v>212</v>
      </c>
      <c r="Y466" s="15" t="s">
        <v>78</v>
      </c>
      <c r="Z466" s="15" t="s">
        <v>8129</v>
      </c>
      <c r="AA466" s="15" t="s">
        <v>850</v>
      </c>
      <c r="AB466" s="15" t="s">
        <v>851</v>
      </c>
      <c r="AC466" s="15" t="s">
        <v>8130</v>
      </c>
      <c r="AD466" s="15" t="s">
        <v>8131</v>
      </c>
      <c r="AE466" s="15" t="s">
        <v>55</v>
      </c>
      <c r="AF466" s="15" t="s">
        <v>8132</v>
      </c>
      <c r="AG466" s="15" t="s">
        <v>39</v>
      </c>
      <c r="AH466" s="15" t="s">
        <v>39</v>
      </c>
      <c r="AI466" s="15" t="s">
        <v>8133</v>
      </c>
      <c r="AJ466" s="15" t="s">
        <v>8134</v>
      </c>
      <c r="AK466" s="15" t="s">
        <v>7107</v>
      </c>
      <c r="AL466" s="15" t="s">
        <v>88</v>
      </c>
    </row>
    <row r="467" spans="1:38" x14ac:dyDescent="0.4">
      <c r="A467" s="11" t="s">
        <v>8135</v>
      </c>
      <c r="B467" s="12" t="s">
        <v>8136</v>
      </c>
      <c r="C467" s="13" t="s">
        <v>39</v>
      </c>
      <c r="D467" s="13" t="s">
        <v>92</v>
      </c>
      <c r="E467" s="13" t="s">
        <v>8137</v>
      </c>
      <c r="F467" s="13" t="s">
        <v>422</v>
      </c>
      <c r="G467" s="13" t="s">
        <v>39</v>
      </c>
      <c r="H467" s="13" t="s">
        <v>8138</v>
      </c>
      <c r="I467" s="9">
        <f t="shared" ca="1" si="7"/>
        <v>3</v>
      </c>
      <c r="J467" s="13" t="s">
        <v>8139</v>
      </c>
      <c r="K467" s="13" t="s">
        <v>531</v>
      </c>
      <c r="L467" s="9" t="str">
        <f>VLOOKUP(K467,[1]中国省份_标准!$B$2:$F$35,4,FALSE)</f>
        <v>东部地区</v>
      </c>
      <c r="M467" s="9" t="str">
        <f>VLOOKUP(K467,[1]中国省份_标准!$B$2:$F$35,5,FALSE)</f>
        <v>华南地区</v>
      </c>
      <c r="N467" s="13" t="s">
        <v>1698</v>
      </c>
      <c r="O467" s="13" t="s">
        <v>39</v>
      </c>
      <c r="P467" s="13" t="s">
        <v>8140</v>
      </c>
      <c r="Q467" s="13" t="s">
        <v>39</v>
      </c>
      <c r="R467" s="13" t="s">
        <v>8141</v>
      </c>
      <c r="S467" s="13" t="s">
        <v>39</v>
      </c>
      <c r="T467" s="13" t="s">
        <v>48</v>
      </c>
      <c r="U467" s="13" t="s">
        <v>8136</v>
      </c>
      <c r="V467" s="13" t="s">
        <v>8142</v>
      </c>
      <c r="W467" s="13" t="s">
        <v>8143</v>
      </c>
      <c r="X467" s="13" t="s">
        <v>77</v>
      </c>
      <c r="Y467" s="13" t="s">
        <v>78</v>
      </c>
      <c r="Z467" s="13" t="s">
        <v>8144</v>
      </c>
      <c r="AA467" s="13" t="s">
        <v>80</v>
      </c>
      <c r="AB467" s="13" t="s">
        <v>106</v>
      </c>
      <c r="AC467" s="13" t="s">
        <v>388</v>
      </c>
      <c r="AD467" s="13" t="s">
        <v>389</v>
      </c>
      <c r="AE467" s="13" t="s">
        <v>109</v>
      </c>
      <c r="AF467" s="13" t="s">
        <v>8145</v>
      </c>
      <c r="AG467" s="13" t="s">
        <v>39</v>
      </c>
      <c r="AH467" s="13" t="s">
        <v>8146</v>
      </c>
      <c r="AI467" s="13" t="s">
        <v>8147</v>
      </c>
      <c r="AJ467" s="13" t="s">
        <v>8148</v>
      </c>
      <c r="AK467" s="13" t="s">
        <v>1711</v>
      </c>
      <c r="AL467" s="13" t="s">
        <v>88</v>
      </c>
    </row>
    <row r="468" spans="1:38" x14ac:dyDescent="0.4">
      <c r="A468" s="11" t="s">
        <v>8149</v>
      </c>
      <c r="B468" s="14" t="s">
        <v>8150</v>
      </c>
      <c r="C468" s="15" t="s">
        <v>39</v>
      </c>
      <c r="D468" s="15" t="s">
        <v>63</v>
      </c>
      <c r="E468" s="15" t="s">
        <v>8151</v>
      </c>
      <c r="F468" s="15" t="s">
        <v>2705</v>
      </c>
      <c r="G468" s="15" t="s">
        <v>39</v>
      </c>
      <c r="H468" s="15" t="s">
        <v>8152</v>
      </c>
      <c r="I468" s="9">
        <f t="shared" ca="1" si="7"/>
        <v>6</v>
      </c>
      <c r="J468" s="15" t="s">
        <v>8153</v>
      </c>
      <c r="K468" s="15" t="s">
        <v>67</v>
      </c>
      <c r="L468" s="9" t="str">
        <f>VLOOKUP(K468,[1]中国省份_标准!$B$2:$F$35,4,FALSE)</f>
        <v>东部地区</v>
      </c>
      <c r="M468" s="9" t="str">
        <f>VLOOKUP(K468,[1]中国省份_标准!$B$2:$F$35,5,FALSE)</f>
        <v>华东地区</v>
      </c>
      <c r="N468" s="15" t="s">
        <v>1663</v>
      </c>
      <c r="O468" s="15" t="s">
        <v>1664</v>
      </c>
      <c r="P468" s="15" t="s">
        <v>8154</v>
      </c>
      <c r="Q468" s="15" t="s">
        <v>8155</v>
      </c>
      <c r="R468" s="15" t="s">
        <v>8156</v>
      </c>
      <c r="S468" s="15" t="s">
        <v>8157</v>
      </c>
      <c r="T468" s="15" t="s">
        <v>48</v>
      </c>
      <c r="U468" s="15" t="s">
        <v>8150</v>
      </c>
      <c r="V468" s="15" t="s">
        <v>39</v>
      </c>
      <c r="W468" s="15" t="s">
        <v>8158</v>
      </c>
      <c r="X468" s="15" t="s">
        <v>77</v>
      </c>
      <c r="Y468" s="15" t="s">
        <v>78</v>
      </c>
      <c r="Z468" s="15" t="s">
        <v>8159</v>
      </c>
      <c r="AA468" s="15" t="s">
        <v>169</v>
      </c>
      <c r="AB468" s="15" t="s">
        <v>170</v>
      </c>
      <c r="AC468" s="15" t="s">
        <v>171</v>
      </c>
      <c r="AD468" s="15" t="s">
        <v>5811</v>
      </c>
      <c r="AE468" s="15" t="s">
        <v>109</v>
      </c>
      <c r="AF468" s="15" t="s">
        <v>8160</v>
      </c>
      <c r="AG468" s="15" t="s">
        <v>39</v>
      </c>
      <c r="AH468" s="15" t="s">
        <v>39</v>
      </c>
      <c r="AI468" s="15" t="s">
        <v>8161</v>
      </c>
      <c r="AJ468" s="15" t="s">
        <v>8162</v>
      </c>
      <c r="AK468" s="15" t="s">
        <v>1676</v>
      </c>
      <c r="AL468" s="15" t="s">
        <v>88</v>
      </c>
    </row>
    <row r="469" spans="1:38" x14ac:dyDescent="0.4">
      <c r="A469" s="11" t="s">
        <v>8163</v>
      </c>
      <c r="B469" s="12" t="s">
        <v>8164</v>
      </c>
      <c r="C469" s="13" t="s">
        <v>39</v>
      </c>
      <c r="D469" s="13" t="s">
        <v>92</v>
      </c>
      <c r="E469" s="13" t="s">
        <v>8165</v>
      </c>
      <c r="F469" s="13" t="s">
        <v>8166</v>
      </c>
      <c r="G469" s="13" t="s">
        <v>8166</v>
      </c>
      <c r="H469" s="13" t="s">
        <v>8167</v>
      </c>
      <c r="I469" s="9">
        <f t="shared" ca="1" si="7"/>
        <v>31</v>
      </c>
      <c r="J469" s="13" t="s">
        <v>8168</v>
      </c>
      <c r="K469" s="13" t="s">
        <v>531</v>
      </c>
      <c r="L469" s="9" t="str">
        <f>VLOOKUP(K469,[1]中国省份_标准!$B$2:$F$35,4,FALSE)</f>
        <v>东部地区</v>
      </c>
      <c r="M469" s="9" t="str">
        <f>VLOOKUP(K469,[1]中国省份_标准!$B$2:$F$35,5,FALSE)</f>
        <v>华南地区</v>
      </c>
      <c r="N469" s="13" t="s">
        <v>1698</v>
      </c>
      <c r="O469" s="13" t="s">
        <v>39</v>
      </c>
      <c r="P469" s="13" t="s">
        <v>8169</v>
      </c>
      <c r="Q469" s="13" t="s">
        <v>8170</v>
      </c>
      <c r="R469" s="13" t="s">
        <v>8171</v>
      </c>
      <c r="S469" s="13" t="s">
        <v>8172</v>
      </c>
      <c r="T469" s="13" t="s">
        <v>601</v>
      </c>
      <c r="U469" s="13" t="s">
        <v>8164</v>
      </c>
      <c r="V469" s="13" t="s">
        <v>8173</v>
      </c>
      <c r="W469" s="13" t="s">
        <v>8174</v>
      </c>
      <c r="X469" s="13" t="s">
        <v>8175</v>
      </c>
      <c r="Y469" s="13" t="s">
        <v>78</v>
      </c>
      <c r="Z469" s="13" t="s">
        <v>8176</v>
      </c>
      <c r="AA469" s="13" t="s">
        <v>169</v>
      </c>
      <c r="AB469" s="13" t="s">
        <v>1264</v>
      </c>
      <c r="AC469" s="13" t="s">
        <v>1457</v>
      </c>
      <c r="AD469" s="13" t="s">
        <v>1557</v>
      </c>
      <c r="AE469" s="13" t="s">
        <v>55</v>
      </c>
      <c r="AF469" s="13" t="s">
        <v>8177</v>
      </c>
      <c r="AG469" s="13" t="s">
        <v>39</v>
      </c>
      <c r="AH469" s="13" t="s">
        <v>39</v>
      </c>
      <c r="AI469" s="13" t="s">
        <v>8178</v>
      </c>
      <c r="AJ469" s="13" t="s">
        <v>8179</v>
      </c>
      <c r="AK469" s="13" t="s">
        <v>1711</v>
      </c>
      <c r="AL469" s="13" t="s">
        <v>88</v>
      </c>
    </row>
    <row r="470" spans="1:38" x14ac:dyDescent="0.4">
      <c r="A470" s="11" t="s">
        <v>8180</v>
      </c>
      <c r="B470" s="14" t="s">
        <v>8181</v>
      </c>
      <c r="C470" s="15" t="s">
        <v>39</v>
      </c>
      <c r="D470" s="15" t="s">
        <v>92</v>
      </c>
      <c r="E470" s="15" t="s">
        <v>1610</v>
      </c>
      <c r="F470" s="15" t="s">
        <v>1235</v>
      </c>
      <c r="G470" s="15" t="s">
        <v>1235</v>
      </c>
      <c r="H470" s="15" t="s">
        <v>8182</v>
      </c>
      <c r="I470" s="9">
        <f t="shared" ca="1" si="7"/>
        <v>15</v>
      </c>
      <c r="J470" s="15" t="s">
        <v>8183</v>
      </c>
      <c r="K470" s="15" t="s">
        <v>531</v>
      </c>
      <c r="L470" s="9" t="str">
        <f>VLOOKUP(K470,[1]中国省份_标准!$B$2:$F$35,4,FALSE)</f>
        <v>东部地区</v>
      </c>
      <c r="M470" s="9" t="str">
        <f>VLOOKUP(K470,[1]中国省份_标准!$B$2:$F$35,5,FALSE)</f>
        <v>华南地区</v>
      </c>
      <c r="N470" s="15" t="s">
        <v>8184</v>
      </c>
      <c r="O470" s="15" t="s">
        <v>8185</v>
      </c>
      <c r="P470" s="15" t="s">
        <v>1293</v>
      </c>
      <c r="Q470" s="15" t="s">
        <v>8186</v>
      </c>
      <c r="R470" s="15" t="s">
        <v>1295</v>
      </c>
      <c r="S470" s="15" t="s">
        <v>8187</v>
      </c>
      <c r="T470" s="15" t="s">
        <v>209</v>
      </c>
      <c r="U470" s="15" t="s">
        <v>8181</v>
      </c>
      <c r="V470" s="15" t="s">
        <v>8188</v>
      </c>
      <c r="W470" s="15" t="s">
        <v>8189</v>
      </c>
      <c r="X470" s="15" t="s">
        <v>6706</v>
      </c>
      <c r="Y470" s="15" t="s">
        <v>78</v>
      </c>
      <c r="Z470" s="15" t="s">
        <v>8190</v>
      </c>
      <c r="AA470" s="15" t="s">
        <v>80</v>
      </c>
      <c r="AB470" s="15" t="s">
        <v>81</v>
      </c>
      <c r="AC470" s="15" t="s">
        <v>2094</v>
      </c>
      <c r="AD470" s="15" t="s">
        <v>2095</v>
      </c>
      <c r="AE470" s="15" t="s">
        <v>262</v>
      </c>
      <c r="AF470" s="15" t="s">
        <v>8191</v>
      </c>
      <c r="AG470" s="15" t="s">
        <v>4979</v>
      </c>
      <c r="AH470" s="15" t="s">
        <v>8192</v>
      </c>
      <c r="AI470" s="15" t="s">
        <v>8193</v>
      </c>
      <c r="AJ470" s="15" t="s">
        <v>8194</v>
      </c>
      <c r="AK470" s="15" t="s">
        <v>8195</v>
      </c>
      <c r="AL470" s="15" t="s">
        <v>88</v>
      </c>
    </row>
    <row r="471" spans="1:38" x14ac:dyDescent="0.4">
      <c r="A471" s="11" t="s">
        <v>8196</v>
      </c>
      <c r="B471" s="12" t="s">
        <v>8197</v>
      </c>
      <c r="C471" s="13" t="s">
        <v>39</v>
      </c>
      <c r="D471" s="13" t="s">
        <v>92</v>
      </c>
      <c r="E471" s="13" t="s">
        <v>8198</v>
      </c>
      <c r="F471" s="13" t="s">
        <v>271</v>
      </c>
      <c r="G471" s="13" t="s">
        <v>2659</v>
      </c>
      <c r="H471" s="13" t="s">
        <v>8199</v>
      </c>
      <c r="I471" s="9">
        <f t="shared" ca="1" si="7"/>
        <v>6</v>
      </c>
      <c r="J471" s="13" t="s">
        <v>8200</v>
      </c>
      <c r="K471" s="13" t="s">
        <v>340</v>
      </c>
      <c r="L471" s="9" t="str">
        <f>VLOOKUP(K471,[1]中国省份_标准!$B$2:$F$35,4,FALSE)</f>
        <v>东部地区</v>
      </c>
      <c r="M471" s="9" t="str">
        <f>VLOOKUP(K471,[1]中国省份_标准!$B$2:$F$35,5,FALSE)</f>
        <v>华东地区</v>
      </c>
      <c r="N471" s="13" t="s">
        <v>7272</v>
      </c>
      <c r="O471" s="13" t="s">
        <v>7273</v>
      </c>
      <c r="P471" s="13" t="s">
        <v>8201</v>
      </c>
      <c r="Q471" s="13" t="s">
        <v>39</v>
      </c>
      <c r="R471" s="13" t="s">
        <v>8202</v>
      </c>
      <c r="S471" s="13" t="s">
        <v>39</v>
      </c>
      <c r="T471" s="13" t="s">
        <v>48</v>
      </c>
      <c r="U471" s="13" t="s">
        <v>8197</v>
      </c>
      <c r="V471" s="13" t="s">
        <v>39</v>
      </c>
      <c r="W471" s="13" t="s">
        <v>8203</v>
      </c>
      <c r="X471" s="13" t="s">
        <v>6451</v>
      </c>
      <c r="Y471" s="13" t="s">
        <v>78</v>
      </c>
      <c r="Z471" s="13" t="s">
        <v>8204</v>
      </c>
      <c r="AA471" s="13" t="s">
        <v>169</v>
      </c>
      <c r="AB471" s="13" t="s">
        <v>7279</v>
      </c>
      <c r="AC471" s="13" t="s">
        <v>7280</v>
      </c>
      <c r="AD471" s="13" t="s">
        <v>7281</v>
      </c>
      <c r="AE471" s="13" t="s">
        <v>109</v>
      </c>
      <c r="AF471" s="13" t="s">
        <v>8205</v>
      </c>
      <c r="AG471" s="13" t="s">
        <v>39</v>
      </c>
      <c r="AH471" s="13" t="s">
        <v>39</v>
      </c>
      <c r="AI471" s="13" t="s">
        <v>8206</v>
      </c>
      <c r="AJ471" s="13" t="s">
        <v>8207</v>
      </c>
      <c r="AK471" s="13" t="s">
        <v>7285</v>
      </c>
      <c r="AL471" s="13" t="s">
        <v>88</v>
      </c>
    </row>
    <row r="472" spans="1:38" x14ac:dyDescent="0.4">
      <c r="A472" s="11" t="s">
        <v>8208</v>
      </c>
      <c r="B472" s="14" t="s">
        <v>8209</v>
      </c>
      <c r="C472" s="15" t="s">
        <v>39</v>
      </c>
      <c r="D472" s="15" t="s">
        <v>92</v>
      </c>
      <c r="E472" s="15" t="s">
        <v>8210</v>
      </c>
      <c r="F472" s="15" t="s">
        <v>8211</v>
      </c>
      <c r="G472" s="15" t="s">
        <v>8211</v>
      </c>
      <c r="H472" s="15" t="s">
        <v>8212</v>
      </c>
      <c r="I472" s="9">
        <f t="shared" ca="1" si="7"/>
        <v>23</v>
      </c>
      <c r="J472" s="15" t="s">
        <v>8213</v>
      </c>
      <c r="K472" s="15" t="s">
        <v>340</v>
      </c>
      <c r="L472" s="9" t="str">
        <f>VLOOKUP(K472,[1]中国省份_标准!$B$2:$F$35,4,FALSE)</f>
        <v>东部地区</v>
      </c>
      <c r="M472" s="9" t="str">
        <f>VLOOKUP(K472,[1]中国省份_标准!$B$2:$F$35,5,FALSE)</f>
        <v>华东地区</v>
      </c>
      <c r="N472" s="15" t="s">
        <v>5879</v>
      </c>
      <c r="O472" s="15" t="s">
        <v>6227</v>
      </c>
      <c r="P472" s="15" t="s">
        <v>8214</v>
      </c>
      <c r="Q472" s="15" t="s">
        <v>8215</v>
      </c>
      <c r="R472" s="15" t="s">
        <v>8216</v>
      </c>
      <c r="S472" s="15" t="s">
        <v>8217</v>
      </c>
      <c r="T472" s="15" t="s">
        <v>48</v>
      </c>
      <c r="U472" s="15" t="s">
        <v>8209</v>
      </c>
      <c r="V472" s="15" t="s">
        <v>8218</v>
      </c>
      <c r="W472" s="15" t="s">
        <v>8219</v>
      </c>
      <c r="X472" s="15" t="s">
        <v>3305</v>
      </c>
      <c r="Y472" s="15" t="s">
        <v>78</v>
      </c>
      <c r="Z472" s="15" t="s">
        <v>8220</v>
      </c>
      <c r="AA472" s="15" t="s">
        <v>169</v>
      </c>
      <c r="AB472" s="15" t="s">
        <v>1264</v>
      </c>
      <c r="AC472" s="15" t="s">
        <v>1457</v>
      </c>
      <c r="AD472" s="15" t="s">
        <v>1557</v>
      </c>
      <c r="AE472" s="15" t="s">
        <v>55</v>
      </c>
      <c r="AF472" s="15" t="s">
        <v>8221</v>
      </c>
      <c r="AG472" s="15" t="s">
        <v>39</v>
      </c>
      <c r="AH472" s="15" t="s">
        <v>39</v>
      </c>
      <c r="AI472" s="15" t="s">
        <v>8222</v>
      </c>
      <c r="AJ472" s="15" t="s">
        <v>8223</v>
      </c>
      <c r="AK472" s="15" t="s">
        <v>6237</v>
      </c>
      <c r="AL472" s="15" t="s">
        <v>88</v>
      </c>
    </row>
    <row r="473" spans="1:38" x14ac:dyDescent="0.4">
      <c r="A473" s="11" t="s">
        <v>8224</v>
      </c>
      <c r="B473" s="12" t="s">
        <v>8225</v>
      </c>
      <c r="C473" s="13" t="s">
        <v>39</v>
      </c>
      <c r="D473" s="13" t="s">
        <v>92</v>
      </c>
      <c r="E473" s="13" t="s">
        <v>8226</v>
      </c>
      <c r="F473" s="13" t="s">
        <v>154</v>
      </c>
      <c r="G473" s="13" t="s">
        <v>39</v>
      </c>
      <c r="H473" s="13" t="s">
        <v>8227</v>
      </c>
      <c r="I473" s="9">
        <f t="shared" ca="1" si="7"/>
        <v>1</v>
      </c>
      <c r="J473" s="13" t="s">
        <v>8228</v>
      </c>
      <c r="K473" s="13" t="s">
        <v>445</v>
      </c>
      <c r="L473" s="9" t="str">
        <f>VLOOKUP(K473,[1]中国省份_标准!$B$2:$F$35,4,FALSE)</f>
        <v>中部地区</v>
      </c>
      <c r="M473" s="9" t="str">
        <f>VLOOKUP(K473,[1]中国省份_标准!$B$2:$F$35,5,FALSE)</f>
        <v>华东地区</v>
      </c>
      <c r="N473" s="13" t="s">
        <v>8229</v>
      </c>
      <c r="O473" s="13" t="s">
        <v>8230</v>
      </c>
      <c r="P473" s="13" t="s">
        <v>8231</v>
      </c>
      <c r="Q473" s="13" t="s">
        <v>39</v>
      </c>
      <c r="R473" s="13" t="s">
        <v>8232</v>
      </c>
      <c r="S473" s="13" t="s">
        <v>39</v>
      </c>
      <c r="T473" s="13" t="s">
        <v>48</v>
      </c>
      <c r="U473" s="13" t="s">
        <v>8225</v>
      </c>
      <c r="V473" s="13" t="s">
        <v>39</v>
      </c>
      <c r="W473" s="13" t="s">
        <v>8233</v>
      </c>
      <c r="X473" s="13" t="s">
        <v>77</v>
      </c>
      <c r="Y473" s="13" t="s">
        <v>78</v>
      </c>
      <c r="Z473" s="13" t="s">
        <v>8234</v>
      </c>
      <c r="AA473" s="13" t="s">
        <v>169</v>
      </c>
      <c r="AB473" s="13" t="s">
        <v>170</v>
      </c>
      <c r="AC473" s="13" t="s">
        <v>171</v>
      </c>
      <c r="AD473" s="13" t="s">
        <v>5811</v>
      </c>
      <c r="AE473" s="13" t="s">
        <v>109</v>
      </c>
      <c r="AF473" s="13" t="s">
        <v>8235</v>
      </c>
      <c r="AG473" s="13" t="s">
        <v>39</v>
      </c>
      <c r="AH473" s="13" t="s">
        <v>39</v>
      </c>
      <c r="AI473" s="13" t="s">
        <v>8236</v>
      </c>
      <c r="AJ473" s="13" t="s">
        <v>8237</v>
      </c>
      <c r="AK473" s="13" t="s">
        <v>8238</v>
      </c>
      <c r="AL473" s="13" t="s">
        <v>88</v>
      </c>
    </row>
    <row r="474" spans="1:38" x14ac:dyDescent="0.4">
      <c r="A474" s="11" t="s">
        <v>8239</v>
      </c>
      <c r="B474" s="14" t="s">
        <v>8240</v>
      </c>
      <c r="C474" s="15" t="s">
        <v>39</v>
      </c>
      <c r="D474" s="15" t="s">
        <v>63</v>
      </c>
      <c r="E474" s="15" t="s">
        <v>8241</v>
      </c>
      <c r="F474" s="15" t="s">
        <v>154</v>
      </c>
      <c r="G474" s="15" t="s">
        <v>39</v>
      </c>
      <c r="H474" s="15" t="s">
        <v>8242</v>
      </c>
      <c r="I474" s="9">
        <f t="shared" ca="1" si="7"/>
        <v>3</v>
      </c>
      <c r="J474" s="15" t="s">
        <v>8243</v>
      </c>
      <c r="K474" s="15" t="s">
        <v>67</v>
      </c>
      <c r="L474" s="9" t="str">
        <f>VLOOKUP(K474,[1]中国省份_标准!$B$2:$F$35,4,FALSE)</f>
        <v>东部地区</v>
      </c>
      <c r="M474" s="9" t="str">
        <f>VLOOKUP(K474,[1]中国省份_标准!$B$2:$F$35,5,FALSE)</f>
        <v>华东地区</v>
      </c>
      <c r="N474" s="15" t="s">
        <v>203</v>
      </c>
      <c r="O474" s="15" t="s">
        <v>944</v>
      </c>
      <c r="P474" s="15" t="s">
        <v>8244</v>
      </c>
      <c r="Q474" s="15" t="s">
        <v>8245</v>
      </c>
      <c r="R474" s="15" t="s">
        <v>8246</v>
      </c>
      <c r="S474" s="15" t="s">
        <v>8247</v>
      </c>
      <c r="T474" s="15" t="s">
        <v>48</v>
      </c>
      <c r="U474" s="15" t="s">
        <v>8240</v>
      </c>
      <c r="V474" s="15" t="s">
        <v>39</v>
      </c>
      <c r="W474" s="15" t="s">
        <v>8248</v>
      </c>
      <c r="X474" s="15" t="s">
        <v>77</v>
      </c>
      <c r="Y474" s="15" t="s">
        <v>78</v>
      </c>
      <c r="Z474" s="15" t="s">
        <v>8249</v>
      </c>
      <c r="AA474" s="15" t="s">
        <v>80</v>
      </c>
      <c r="AB474" s="15" t="s">
        <v>39</v>
      </c>
      <c r="AC474" s="15" t="s">
        <v>39</v>
      </c>
      <c r="AD474" s="15" t="s">
        <v>39</v>
      </c>
      <c r="AE474" s="15" t="s">
        <v>109</v>
      </c>
      <c r="AF474" s="15" t="s">
        <v>8250</v>
      </c>
      <c r="AG474" s="15" t="s">
        <v>39</v>
      </c>
      <c r="AH474" s="15" t="s">
        <v>39</v>
      </c>
      <c r="AI474" s="15" t="s">
        <v>8251</v>
      </c>
      <c r="AJ474" s="15" t="s">
        <v>8252</v>
      </c>
      <c r="AK474" s="15" t="s">
        <v>956</v>
      </c>
      <c r="AL474" s="15" t="s">
        <v>88</v>
      </c>
    </row>
    <row r="475" spans="1:38" x14ac:dyDescent="0.4">
      <c r="A475" s="11" t="s">
        <v>8253</v>
      </c>
      <c r="B475" s="12" t="s">
        <v>8254</v>
      </c>
      <c r="C475" s="13" t="s">
        <v>39</v>
      </c>
      <c r="D475" s="13" t="s">
        <v>92</v>
      </c>
      <c r="E475" s="13" t="s">
        <v>8255</v>
      </c>
      <c r="F475" s="13" t="s">
        <v>422</v>
      </c>
      <c r="G475" s="13" t="s">
        <v>422</v>
      </c>
      <c r="H475" s="13" t="s">
        <v>8256</v>
      </c>
      <c r="I475" s="9">
        <f t="shared" ca="1" si="7"/>
        <v>17</v>
      </c>
      <c r="J475" s="13" t="s">
        <v>8257</v>
      </c>
      <c r="K475" s="13" t="s">
        <v>531</v>
      </c>
      <c r="L475" s="9" t="str">
        <f>VLOOKUP(K475,[1]中国省份_标准!$B$2:$F$35,4,FALSE)</f>
        <v>东部地区</v>
      </c>
      <c r="M475" s="9" t="str">
        <f>VLOOKUP(K475,[1]中国省份_标准!$B$2:$F$35,5,FALSE)</f>
        <v>华南地区</v>
      </c>
      <c r="N475" s="13" t="s">
        <v>1450</v>
      </c>
      <c r="O475" s="13" t="s">
        <v>1451</v>
      </c>
      <c r="P475" s="13" t="s">
        <v>8258</v>
      </c>
      <c r="Q475" s="13" t="s">
        <v>8259</v>
      </c>
      <c r="R475" s="13" t="s">
        <v>8260</v>
      </c>
      <c r="S475" s="13" t="s">
        <v>39</v>
      </c>
      <c r="T475" s="13" t="s">
        <v>48</v>
      </c>
      <c r="U475" s="13" t="s">
        <v>8254</v>
      </c>
      <c r="V475" s="13" t="s">
        <v>8261</v>
      </c>
      <c r="W475" s="13" t="s">
        <v>8262</v>
      </c>
      <c r="X475" s="13" t="s">
        <v>77</v>
      </c>
      <c r="Y475" s="13" t="s">
        <v>78</v>
      </c>
      <c r="Z475" s="13" t="s">
        <v>8263</v>
      </c>
      <c r="AA475" s="13" t="s">
        <v>169</v>
      </c>
      <c r="AB475" s="13" t="s">
        <v>1996</v>
      </c>
      <c r="AC475" s="13" t="s">
        <v>1997</v>
      </c>
      <c r="AD475" s="13" t="s">
        <v>1997</v>
      </c>
      <c r="AE475" s="13" t="s">
        <v>109</v>
      </c>
      <c r="AF475" s="13" t="s">
        <v>8264</v>
      </c>
      <c r="AG475" s="13" t="s">
        <v>39</v>
      </c>
      <c r="AH475" s="13" t="s">
        <v>39</v>
      </c>
      <c r="AI475" s="13" t="s">
        <v>8265</v>
      </c>
      <c r="AJ475" s="13" t="s">
        <v>8266</v>
      </c>
      <c r="AK475" s="13" t="s">
        <v>1460</v>
      </c>
      <c r="AL475" s="13" t="s">
        <v>88</v>
      </c>
    </row>
    <row r="476" spans="1:38" x14ac:dyDescent="0.4">
      <c r="A476" s="11" t="s">
        <v>8267</v>
      </c>
      <c r="B476" s="14" t="s">
        <v>8268</v>
      </c>
      <c r="C476" s="15" t="s">
        <v>8269</v>
      </c>
      <c r="D476" s="15" t="s">
        <v>63</v>
      </c>
      <c r="E476" s="15" t="s">
        <v>8226</v>
      </c>
      <c r="F476" s="15" t="s">
        <v>640</v>
      </c>
      <c r="G476" s="15" t="s">
        <v>39</v>
      </c>
      <c r="H476" s="15" t="s">
        <v>8270</v>
      </c>
      <c r="I476" s="9">
        <f t="shared" ca="1" si="7"/>
        <v>5</v>
      </c>
      <c r="J476" s="15" t="s">
        <v>8271</v>
      </c>
      <c r="K476" s="15" t="s">
        <v>425</v>
      </c>
      <c r="L476" s="9" t="str">
        <f>VLOOKUP(K476,[1]中国省份_标准!$B$2:$F$35,4,FALSE)</f>
        <v>东部地区</v>
      </c>
      <c r="M476" s="9" t="str">
        <f>VLOOKUP(K476,[1]中国省份_标准!$B$2:$F$35,5,FALSE)</f>
        <v>华东地区</v>
      </c>
      <c r="N476" s="15" t="s">
        <v>426</v>
      </c>
      <c r="O476" s="15" t="s">
        <v>427</v>
      </c>
      <c r="P476" s="15" t="s">
        <v>8272</v>
      </c>
      <c r="Q476" s="15" t="s">
        <v>8273</v>
      </c>
      <c r="R476" s="15" t="s">
        <v>7847</v>
      </c>
      <c r="S476" s="15" t="s">
        <v>39</v>
      </c>
      <c r="T476" s="15" t="s">
        <v>281</v>
      </c>
      <c r="U476" s="15" t="s">
        <v>8268</v>
      </c>
      <c r="V476" s="15" t="s">
        <v>39</v>
      </c>
      <c r="W476" s="15" t="s">
        <v>8274</v>
      </c>
      <c r="X476" s="15" t="s">
        <v>77</v>
      </c>
      <c r="Y476" s="15" t="s">
        <v>78</v>
      </c>
      <c r="Z476" s="15" t="s">
        <v>8275</v>
      </c>
      <c r="AA476" s="15" t="s">
        <v>1796</v>
      </c>
      <c r="AB476" s="15" t="s">
        <v>3935</v>
      </c>
      <c r="AC476" s="15" t="s">
        <v>8276</v>
      </c>
      <c r="AD476" s="15" t="s">
        <v>8277</v>
      </c>
      <c r="AE476" s="15" t="s">
        <v>109</v>
      </c>
      <c r="AF476" s="15" t="s">
        <v>8278</v>
      </c>
      <c r="AG476" s="15" t="s">
        <v>39</v>
      </c>
      <c r="AH476" s="15" t="s">
        <v>39</v>
      </c>
      <c r="AI476" s="15" t="s">
        <v>8279</v>
      </c>
      <c r="AJ476" s="15" t="s">
        <v>8280</v>
      </c>
      <c r="AK476" s="15" t="s">
        <v>2191</v>
      </c>
      <c r="AL476" s="15" t="s">
        <v>88</v>
      </c>
    </row>
    <row r="477" spans="1:38" x14ac:dyDescent="0.4">
      <c r="A477" s="11" t="s">
        <v>8281</v>
      </c>
      <c r="B477" s="12" t="s">
        <v>8282</v>
      </c>
      <c r="C477" s="13" t="s">
        <v>39</v>
      </c>
      <c r="D477" s="13" t="s">
        <v>92</v>
      </c>
      <c r="E477" s="13" t="s">
        <v>8283</v>
      </c>
      <c r="F477" s="13" t="s">
        <v>422</v>
      </c>
      <c r="G477" s="13" t="s">
        <v>39</v>
      </c>
      <c r="H477" s="13" t="s">
        <v>8284</v>
      </c>
      <c r="I477" s="9">
        <f t="shared" ca="1" si="7"/>
        <v>4</v>
      </c>
      <c r="J477" s="13" t="s">
        <v>8285</v>
      </c>
      <c r="K477" s="13" t="s">
        <v>340</v>
      </c>
      <c r="L477" s="9" t="str">
        <f>VLOOKUP(K477,[1]中国省份_标准!$B$2:$F$35,4,FALSE)</f>
        <v>东部地区</v>
      </c>
      <c r="M477" s="9" t="str">
        <f>VLOOKUP(K477,[1]中国省份_标准!$B$2:$F$35,5,FALSE)</f>
        <v>华东地区</v>
      </c>
      <c r="N477" s="13" t="s">
        <v>8286</v>
      </c>
      <c r="O477" s="13" t="s">
        <v>8287</v>
      </c>
      <c r="P477" s="13" t="s">
        <v>8288</v>
      </c>
      <c r="Q477" s="13" t="s">
        <v>39</v>
      </c>
      <c r="R477" s="13" t="s">
        <v>8289</v>
      </c>
      <c r="S477" s="13" t="s">
        <v>8290</v>
      </c>
      <c r="T477" s="13" t="s">
        <v>281</v>
      </c>
      <c r="U477" s="13" t="s">
        <v>8282</v>
      </c>
      <c r="V477" s="13" t="s">
        <v>8291</v>
      </c>
      <c r="W477" s="13" t="s">
        <v>8292</v>
      </c>
      <c r="X477" s="13" t="s">
        <v>690</v>
      </c>
      <c r="Y477" s="13" t="s">
        <v>78</v>
      </c>
      <c r="Z477" s="13" t="s">
        <v>8293</v>
      </c>
      <c r="AA477" s="13" t="s">
        <v>1796</v>
      </c>
      <c r="AB477" s="13" t="s">
        <v>3935</v>
      </c>
      <c r="AC477" s="13" t="s">
        <v>8276</v>
      </c>
      <c r="AD477" s="13" t="s">
        <v>8294</v>
      </c>
      <c r="AE477" s="13" t="s">
        <v>109</v>
      </c>
      <c r="AF477" s="13" t="s">
        <v>8295</v>
      </c>
      <c r="AG477" s="13" t="s">
        <v>39</v>
      </c>
      <c r="AH477" s="13" t="s">
        <v>39</v>
      </c>
      <c r="AI477" s="13" t="s">
        <v>8296</v>
      </c>
      <c r="AJ477" s="13" t="s">
        <v>8297</v>
      </c>
      <c r="AK477" s="13" t="s">
        <v>8298</v>
      </c>
      <c r="AL477" s="13" t="s">
        <v>88</v>
      </c>
    </row>
    <row r="478" spans="1:38" x14ac:dyDescent="0.4">
      <c r="A478" s="11" t="s">
        <v>8299</v>
      </c>
      <c r="B478" s="14" t="s">
        <v>8300</v>
      </c>
      <c r="C478" s="15" t="s">
        <v>39</v>
      </c>
      <c r="D478" s="15" t="s">
        <v>8301</v>
      </c>
      <c r="E478" s="15" t="s">
        <v>8302</v>
      </c>
      <c r="F478" s="15" t="s">
        <v>8303</v>
      </c>
      <c r="G478" s="15" t="s">
        <v>39</v>
      </c>
      <c r="H478" s="15" t="s">
        <v>4858</v>
      </c>
      <c r="I478" s="9">
        <f t="shared" ca="1" si="7"/>
        <v>5</v>
      </c>
      <c r="J478" s="15" t="s">
        <v>8304</v>
      </c>
      <c r="K478" s="15" t="s">
        <v>379</v>
      </c>
      <c r="L478" s="9" t="str">
        <f>VLOOKUP(K478,[1]中国省份_标准!$B$2:$F$35,4,FALSE)</f>
        <v>东部地区</v>
      </c>
      <c r="M478" s="9" t="str">
        <f>VLOOKUP(K478,[1]中国省份_标准!$B$2:$F$35,5,FALSE)</f>
        <v>华东地区</v>
      </c>
      <c r="N478" s="15" t="s">
        <v>1276</v>
      </c>
      <c r="O478" s="15" t="s">
        <v>1277</v>
      </c>
      <c r="P478" s="15" t="s">
        <v>8305</v>
      </c>
      <c r="Q478" s="15" t="s">
        <v>39</v>
      </c>
      <c r="R478" s="15" t="s">
        <v>8306</v>
      </c>
      <c r="S478" s="15" t="s">
        <v>39</v>
      </c>
      <c r="T478" s="15" t="s">
        <v>6005</v>
      </c>
      <c r="U478" s="15" t="s">
        <v>8300</v>
      </c>
      <c r="V478" s="15" t="s">
        <v>8307</v>
      </c>
      <c r="W478" s="15" t="s">
        <v>8308</v>
      </c>
      <c r="X478" s="15" t="s">
        <v>77</v>
      </c>
      <c r="Y478" s="15" t="s">
        <v>78</v>
      </c>
      <c r="Z478" s="15" t="s">
        <v>4868</v>
      </c>
      <c r="AA478" s="15" t="s">
        <v>169</v>
      </c>
      <c r="AB478" s="15" t="s">
        <v>285</v>
      </c>
      <c r="AC478" s="15" t="s">
        <v>286</v>
      </c>
      <c r="AD478" s="15" t="s">
        <v>4608</v>
      </c>
      <c r="AE478" s="15" t="s">
        <v>55</v>
      </c>
      <c r="AF478" s="15" t="s">
        <v>8309</v>
      </c>
      <c r="AG478" s="15" t="s">
        <v>39</v>
      </c>
      <c r="AH478" s="15" t="s">
        <v>39</v>
      </c>
      <c r="AI478" s="15" t="s">
        <v>8310</v>
      </c>
      <c r="AJ478" s="15" t="s">
        <v>8311</v>
      </c>
      <c r="AK478" s="15" t="s">
        <v>7375</v>
      </c>
      <c r="AL478" s="15" t="s">
        <v>88</v>
      </c>
    </row>
    <row r="479" spans="1:38" x14ac:dyDescent="0.4">
      <c r="A479" s="11" t="s">
        <v>8312</v>
      </c>
      <c r="B479" s="12" t="s">
        <v>8313</v>
      </c>
      <c r="C479" s="13" t="s">
        <v>39</v>
      </c>
      <c r="D479" s="13" t="s">
        <v>8314</v>
      </c>
      <c r="E479" s="13" t="s">
        <v>8315</v>
      </c>
      <c r="F479" s="13" t="s">
        <v>640</v>
      </c>
      <c r="G479" s="13" t="s">
        <v>39</v>
      </c>
      <c r="H479" s="13" t="s">
        <v>8316</v>
      </c>
      <c r="I479" s="9">
        <f t="shared" ca="1" si="7"/>
        <v>4</v>
      </c>
      <c r="J479" s="13" t="s">
        <v>8317</v>
      </c>
      <c r="K479" s="13" t="s">
        <v>67</v>
      </c>
      <c r="L479" s="9" t="str">
        <f>VLOOKUP(K479,[1]中国省份_标准!$B$2:$F$35,4,FALSE)</f>
        <v>东部地区</v>
      </c>
      <c r="M479" s="9" t="str">
        <f>VLOOKUP(K479,[1]中国省份_标准!$B$2:$F$35,5,FALSE)</f>
        <v>华东地区</v>
      </c>
      <c r="N479" s="13" t="s">
        <v>1663</v>
      </c>
      <c r="O479" s="13" t="s">
        <v>8318</v>
      </c>
      <c r="P479" s="13" t="s">
        <v>8319</v>
      </c>
      <c r="Q479" s="13" t="s">
        <v>39</v>
      </c>
      <c r="R479" s="13" t="s">
        <v>8320</v>
      </c>
      <c r="S479" s="13" t="s">
        <v>39</v>
      </c>
      <c r="T479" s="13" t="s">
        <v>281</v>
      </c>
      <c r="U479" s="13" t="s">
        <v>8313</v>
      </c>
      <c r="V479" s="13" t="s">
        <v>8321</v>
      </c>
      <c r="W479" s="13" t="s">
        <v>8322</v>
      </c>
      <c r="X479" s="13" t="s">
        <v>77</v>
      </c>
      <c r="Y479" s="13" t="s">
        <v>78</v>
      </c>
      <c r="Z479" s="13" t="s">
        <v>8323</v>
      </c>
      <c r="AA479" s="13" t="s">
        <v>80</v>
      </c>
      <c r="AB479" s="13" t="s">
        <v>106</v>
      </c>
      <c r="AC479" s="13" t="s">
        <v>388</v>
      </c>
      <c r="AD479" s="13" t="s">
        <v>434</v>
      </c>
      <c r="AE479" s="13" t="s">
        <v>109</v>
      </c>
      <c r="AF479" s="13" t="s">
        <v>8324</v>
      </c>
      <c r="AG479" s="13" t="s">
        <v>39</v>
      </c>
      <c r="AH479" s="13" t="s">
        <v>39</v>
      </c>
      <c r="AI479" s="13" t="s">
        <v>8325</v>
      </c>
      <c r="AJ479" s="13" t="s">
        <v>8326</v>
      </c>
      <c r="AK479" s="13" t="s">
        <v>8327</v>
      </c>
      <c r="AL479" s="13" t="s">
        <v>88</v>
      </c>
    </row>
    <row r="480" spans="1:38" x14ac:dyDescent="0.4">
      <c r="A480" s="11" t="s">
        <v>8328</v>
      </c>
      <c r="B480" s="14" t="s">
        <v>8329</v>
      </c>
      <c r="C480" s="15" t="s">
        <v>8330</v>
      </c>
      <c r="D480" s="15" t="s">
        <v>92</v>
      </c>
      <c r="E480" s="15" t="s">
        <v>8331</v>
      </c>
      <c r="F480" s="15" t="s">
        <v>42</v>
      </c>
      <c r="G480" s="15" t="s">
        <v>422</v>
      </c>
      <c r="H480" s="15" t="s">
        <v>8332</v>
      </c>
      <c r="I480" s="9">
        <f t="shared" ca="1" si="7"/>
        <v>15</v>
      </c>
      <c r="J480" s="15" t="s">
        <v>8333</v>
      </c>
      <c r="K480" s="15" t="s">
        <v>425</v>
      </c>
      <c r="L480" s="9" t="str">
        <f>VLOOKUP(K480,[1]中国省份_标准!$B$2:$F$35,4,FALSE)</f>
        <v>东部地区</v>
      </c>
      <c r="M480" s="9" t="str">
        <f>VLOOKUP(K480,[1]中国省份_标准!$B$2:$F$35,5,FALSE)</f>
        <v>华东地区</v>
      </c>
      <c r="N480" s="15" t="s">
        <v>572</v>
      </c>
      <c r="O480" s="15" t="s">
        <v>7934</v>
      </c>
      <c r="P480" s="15" t="s">
        <v>8334</v>
      </c>
      <c r="Q480" s="15" t="s">
        <v>8335</v>
      </c>
      <c r="R480" s="15" t="s">
        <v>39</v>
      </c>
      <c r="S480" s="15" t="s">
        <v>39</v>
      </c>
      <c r="T480" s="15" t="s">
        <v>281</v>
      </c>
      <c r="U480" s="15" t="s">
        <v>8329</v>
      </c>
      <c r="V480" s="15" t="s">
        <v>8336</v>
      </c>
      <c r="W480" s="15" t="s">
        <v>8337</v>
      </c>
      <c r="X480" s="15" t="s">
        <v>77</v>
      </c>
      <c r="Y480" s="15" t="s">
        <v>78</v>
      </c>
      <c r="Z480" s="15" t="s">
        <v>8338</v>
      </c>
      <c r="AA480" s="15" t="s">
        <v>169</v>
      </c>
      <c r="AB480" s="15" t="s">
        <v>170</v>
      </c>
      <c r="AC480" s="15" t="s">
        <v>39</v>
      </c>
      <c r="AD480" s="15" t="s">
        <v>39</v>
      </c>
      <c r="AE480" s="15" t="s">
        <v>109</v>
      </c>
      <c r="AF480" s="15" t="s">
        <v>8339</v>
      </c>
      <c r="AG480" s="15" t="s">
        <v>39</v>
      </c>
      <c r="AH480" s="15" t="s">
        <v>39</v>
      </c>
      <c r="AI480" s="15" t="s">
        <v>8340</v>
      </c>
      <c r="AJ480" s="15" t="s">
        <v>8341</v>
      </c>
      <c r="AK480" s="15" t="s">
        <v>7943</v>
      </c>
      <c r="AL480" s="15" t="s">
        <v>88</v>
      </c>
    </row>
    <row r="481" spans="1:38" x14ac:dyDescent="0.4">
      <c r="A481" s="11" t="s">
        <v>8342</v>
      </c>
      <c r="B481" s="12" t="s">
        <v>8343</v>
      </c>
      <c r="C481" s="13" t="s">
        <v>8344</v>
      </c>
      <c r="D481" s="13" t="s">
        <v>63</v>
      </c>
      <c r="E481" s="13" t="s">
        <v>8345</v>
      </c>
      <c r="F481" s="13" t="s">
        <v>8346</v>
      </c>
      <c r="G481" s="13" t="s">
        <v>8347</v>
      </c>
      <c r="H481" s="13" t="s">
        <v>8348</v>
      </c>
      <c r="I481" s="9">
        <f t="shared" ca="1" si="7"/>
        <v>9</v>
      </c>
      <c r="J481" s="13" t="s">
        <v>8349</v>
      </c>
      <c r="K481" s="13" t="s">
        <v>425</v>
      </c>
      <c r="L481" s="9" t="str">
        <f>VLOOKUP(K481,[1]中国省份_标准!$B$2:$F$35,4,FALSE)</f>
        <v>东部地区</v>
      </c>
      <c r="M481" s="9" t="str">
        <f>VLOOKUP(K481,[1]中国省份_标准!$B$2:$F$35,5,FALSE)</f>
        <v>华东地区</v>
      </c>
      <c r="N481" s="13" t="s">
        <v>7399</v>
      </c>
      <c r="O481" s="13" t="s">
        <v>8350</v>
      </c>
      <c r="P481" s="13" t="s">
        <v>8351</v>
      </c>
      <c r="Q481" s="13" t="s">
        <v>8352</v>
      </c>
      <c r="R481" s="13" t="s">
        <v>8353</v>
      </c>
      <c r="S481" s="13" t="s">
        <v>8354</v>
      </c>
      <c r="T481" s="13" t="s">
        <v>48</v>
      </c>
      <c r="U481" s="13" t="s">
        <v>8343</v>
      </c>
      <c r="V481" s="13" t="s">
        <v>8355</v>
      </c>
      <c r="W481" s="13" t="s">
        <v>8356</v>
      </c>
      <c r="X481" s="13" t="s">
        <v>8357</v>
      </c>
      <c r="Y481" s="13" t="s">
        <v>78</v>
      </c>
      <c r="Z481" s="13" t="s">
        <v>8358</v>
      </c>
      <c r="AA481" s="13" t="s">
        <v>169</v>
      </c>
      <c r="AB481" s="13" t="s">
        <v>412</v>
      </c>
      <c r="AC481" s="13" t="s">
        <v>630</v>
      </c>
      <c r="AD481" s="13" t="s">
        <v>631</v>
      </c>
      <c r="AE481" s="13" t="s">
        <v>55</v>
      </c>
      <c r="AF481" s="13" t="s">
        <v>8359</v>
      </c>
      <c r="AG481" s="13" t="s">
        <v>39</v>
      </c>
      <c r="AH481" s="13" t="s">
        <v>39</v>
      </c>
      <c r="AI481" s="13" t="s">
        <v>8360</v>
      </c>
      <c r="AJ481" s="13" t="s">
        <v>8361</v>
      </c>
      <c r="AK481" s="13" t="s">
        <v>8362</v>
      </c>
      <c r="AL481" s="13" t="s">
        <v>88</v>
      </c>
    </row>
    <row r="482" spans="1:38" x14ac:dyDescent="0.4">
      <c r="A482" s="11" t="s">
        <v>8363</v>
      </c>
      <c r="B482" s="14" t="s">
        <v>8364</v>
      </c>
      <c r="C482" s="15" t="s">
        <v>8365</v>
      </c>
      <c r="D482" s="15" t="s">
        <v>63</v>
      </c>
      <c r="E482" s="15" t="s">
        <v>8366</v>
      </c>
      <c r="F482" s="15" t="s">
        <v>422</v>
      </c>
      <c r="G482" s="15" t="s">
        <v>39</v>
      </c>
      <c r="H482" s="15" t="s">
        <v>8367</v>
      </c>
      <c r="I482" s="9">
        <f t="shared" ca="1" si="7"/>
        <v>8</v>
      </c>
      <c r="J482" s="15" t="s">
        <v>8368</v>
      </c>
      <c r="K482" s="15" t="s">
        <v>67</v>
      </c>
      <c r="L482" s="9" t="str">
        <f>VLOOKUP(K482,[1]中国省份_标准!$B$2:$F$35,4,FALSE)</f>
        <v>东部地区</v>
      </c>
      <c r="M482" s="9" t="str">
        <f>VLOOKUP(K482,[1]中国省份_标准!$B$2:$F$35,5,FALSE)</f>
        <v>华东地区</v>
      </c>
      <c r="N482" s="15" t="s">
        <v>1663</v>
      </c>
      <c r="O482" s="15" t="s">
        <v>1664</v>
      </c>
      <c r="P482" s="15" t="s">
        <v>8369</v>
      </c>
      <c r="Q482" s="15" t="s">
        <v>8370</v>
      </c>
      <c r="R482" s="15" t="s">
        <v>8371</v>
      </c>
      <c r="S482" s="15" t="s">
        <v>8372</v>
      </c>
      <c r="T482" s="15" t="s">
        <v>164</v>
      </c>
      <c r="U482" s="15" t="s">
        <v>8364</v>
      </c>
      <c r="V482" s="15" t="s">
        <v>8373</v>
      </c>
      <c r="W482" s="15" t="s">
        <v>8374</v>
      </c>
      <c r="X482" s="15" t="s">
        <v>77</v>
      </c>
      <c r="Y482" s="15" t="s">
        <v>78</v>
      </c>
      <c r="Z482" s="15" t="s">
        <v>168</v>
      </c>
      <c r="AA482" s="15" t="s">
        <v>169</v>
      </c>
      <c r="AB482" s="15" t="s">
        <v>170</v>
      </c>
      <c r="AC482" s="15" t="s">
        <v>171</v>
      </c>
      <c r="AD482" s="15" t="s">
        <v>5811</v>
      </c>
      <c r="AE482" s="15" t="s">
        <v>109</v>
      </c>
      <c r="AF482" s="15" t="s">
        <v>8375</v>
      </c>
      <c r="AG482" s="15" t="s">
        <v>39</v>
      </c>
      <c r="AH482" s="15" t="s">
        <v>39</v>
      </c>
      <c r="AI482" s="15" t="s">
        <v>39</v>
      </c>
      <c r="AJ482" s="15" t="s">
        <v>8376</v>
      </c>
      <c r="AK482" s="15" t="s">
        <v>1676</v>
      </c>
      <c r="AL482" s="15" t="s">
        <v>88</v>
      </c>
    </row>
    <row r="483" spans="1:38" x14ac:dyDescent="0.4">
      <c r="A483" s="11" t="s">
        <v>8377</v>
      </c>
      <c r="B483" s="12" t="s">
        <v>8378</v>
      </c>
      <c r="C483" s="13" t="s">
        <v>39</v>
      </c>
      <c r="D483" s="13" t="s">
        <v>63</v>
      </c>
      <c r="E483" s="13" t="s">
        <v>8379</v>
      </c>
      <c r="F483" s="13" t="s">
        <v>8380</v>
      </c>
      <c r="G483" s="13" t="s">
        <v>8381</v>
      </c>
      <c r="H483" s="13" t="s">
        <v>8382</v>
      </c>
      <c r="I483" s="9">
        <f t="shared" ca="1" si="7"/>
        <v>22</v>
      </c>
      <c r="J483" s="13" t="s">
        <v>8383</v>
      </c>
      <c r="K483" s="13" t="s">
        <v>8384</v>
      </c>
      <c r="L483" s="9" t="str">
        <f>VLOOKUP(K483,[1]中国省份_标准!$B$2:$F$35,4,FALSE)</f>
        <v>西部地区</v>
      </c>
      <c r="M483" s="9" t="str">
        <f>VLOOKUP(K483,[1]中国省份_标准!$B$2:$F$35,5,FALSE)</f>
        <v>西北地区</v>
      </c>
      <c r="N483" s="13" t="s">
        <v>8385</v>
      </c>
      <c r="O483" s="13" t="s">
        <v>8386</v>
      </c>
      <c r="P483" s="13" t="s">
        <v>8387</v>
      </c>
      <c r="Q483" s="13" t="s">
        <v>8388</v>
      </c>
      <c r="R483" s="13" t="s">
        <v>8389</v>
      </c>
      <c r="S483" s="13" t="s">
        <v>8390</v>
      </c>
      <c r="T483" s="13" t="s">
        <v>209</v>
      </c>
      <c r="U483" s="13" t="s">
        <v>8378</v>
      </c>
      <c r="V483" s="13" t="s">
        <v>8391</v>
      </c>
      <c r="W483" s="13" t="s">
        <v>8392</v>
      </c>
      <c r="X483" s="13" t="s">
        <v>39</v>
      </c>
      <c r="Y483" s="13" t="s">
        <v>39</v>
      </c>
      <c r="Z483" s="13" t="s">
        <v>8393</v>
      </c>
      <c r="AA483" s="13" t="s">
        <v>850</v>
      </c>
      <c r="AB483" s="13" t="s">
        <v>8394</v>
      </c>
      <c r="AC483" s="13" t="s">
        <v>8395</v>
      </c>
      <c r="AD483" s="13" t="s">
        <v>39</v>
      </c>
      <c r="AE483" s="13" t="s">
        <v>262</v>
      </c>
      <c r="AF483" s="13" t="s">
        <v>8396</v>
      </c>
      <c r="AG483" s="13" t="s">
        <v>39</v>
      </c>
      <c r="AH483" s="13" t="s">
        <v>39</v>
      </c>
      <c r="AI483" s="13" t="s">
        <v>8397</v>
      </c>
      <c r="AJ483" s="13" t="s">
        <v>8398</v>
      </c>
      <c r="AK483" s="13" t="s">
        <v>8399</v>
      </c>
      <c r="AL483" s="13" t="s">
        <v>88</v>
      </c>
    </row>
    <row r="484" spans="1:38" x14ac:dyDescent="0.4">
      <c r="A484" s="11" t="s">
        <v>8400</v>
      </c>
      <c r="B484" s="14" t="s">
        <v>8401</v>
      </c>
      <c r="C484" s="15" t="s">
        <v>39</v>
      </c>
      <c r="D484" s="15" t="s">
        <v>92</v>
      </c>
      <c r="E484" s="15" t="s">
        <v>8402</v>
      </c>
      <c r="F484" s="15" t="s">
        <v>1428</v>
      </c>
      <c r="G484" s="15" t="s">
        <v>1428</v>
      </c>
      <c r="H484" s="15" t="s">
        <v>8403</v>
      </c>
      <c r="I484" s="9">
        <f t="shared" ca="1" si="7"/>
        <v>22</v>
      </c>
      <c r="J484" s="15" t="s">
        <v>8404</v>
      </c>
      <c r="K484" s="15" t="s">
        <v>97</v>
      </c>
      <c r="L484" s="9" t="str">
        <f>VLOOKUP(K484,[1]中国省份_标准!$B$2:$F$35,4,FALSE)</f>
        <v>中部地区</v>
      </c>
      <c r="M484" s="9" t="str">
        <f>VLOOKUP(K484,[1]中国省份_标准!$B$2:$F$35,5,FALSE)</f>
        <v>华中地区</v>
      </c>
      <c r="N484" s="15" t="s">
        <v>6992</v>
      </c>
      <c r="O484" s="15" t="s">
        <v>8405</v>
      </c>
      <c r="P484" s="15" t="s">
        <v>8406</v>
      </c>
      <c r="Q484" s="15" t="s">
        <v>8407</v>
      </c>
      <c r="R484" s="15" t="s">
        <v>8408</v>
      </c>
      <c r="S484" s="15" t="s">
        <v>8409</v>
      </c>
      <c r="T484" s="15" t="s">
        <v>48</v>
      </c>
      <c r="U484" s="15" t="s">
        <v>8401</v>
      </c>
      <c r="V484" s="15" t="s">
        <v>8410</v>
      </c>
      <c r="W484" s="15" t="s">
        <v>8411</v>
      </c>
      <c r="X484" s="15" t="s">
        <v>8412</v>
      </c>
      <c r="Y484" s="15" t="s">
        <v>78</v>
      </c>
      <c r="Z484" s="15" t="s">
        <v>8413</v>
      </c>
      <c r="AA484" s="15" t="s">
        <v>80</v>
      </c>
      <c r="AB484" s="15" t="s">
        <v>106</v>
      </c>
      <c r="AC484" s="15" t="s">
        <v>388</v>
      </c>
      <c r="AD484" s="15" t="s">
        <v>39</v>
      </c>
      <c r="AE484" s="15" t="s">
        <v>55</v>
      </c>
      <c r="AF484" s="15" t="s">
        <v>8414</v>
      </c>
      <c r="AG484" s="15" t="s">
        <v>39</v>
      </c>
      <c r="AH484" s="15" t="s">
        <v>39</v>
      </c>
      <c r="AI484" s="15" t="s">
        <v>8415</v>
      </c>
      <c r="AJ484" s="15" t="s">
        <v>8416</v>
      </c>
      <c r="AK484" s="15" t="s">
        <v>8417</v>
      </c>
      <c r="AL484" s="15" t="s">
        <v>88</v>
      </c>
    </row>
    <row r="485" spans="1:38" x14ac:dyDescent="0.4">
      <c r="A485" s="11" t="s">
        <v>8418</v>
      </c>
      <c r="B485" s="12" t="s">
        <v>8419</v>
      </c>
      <c r="C485" s="13" t="s">
        <v>39</v>
      </c>
      <c r="D485" s="13" t="s">
        <v>92</v>
      </c>
      <c r="E485" s="13" t="s">
        <v>8420</v>
      </c>
      <c r="F485" s="13" t="s">
        <v>154</v>
      </c>
      <c r="G485" s="13" t="s">
        <v>154</v>
      </c>
      <c r="H485" s="13" t="s">
        <v>8421</v>
      </c>
      <c r="I485" s="9">
        <f t="shared" ca="1" si="7"/>
        <v>2</v>
      </c>
      <c r="J485" s="13" t="s">
        <v>8422</v>
      </c>
      <c r="K485" s="13" t="s">
        <v>425</v>
      </c>
      <c r="L485" s="9" t="str">
        <f>VLOOKUP(K485,[1]中国省份_标准!$B$2:$F$35,4,FALSE)</f>
        <v>东部地区</v>
      </c>
      <c r="M485" s="9" t="str">
        <f>VLOOKUP(K485,[1]中国省份_标准!$B$2:$F$35,5,FALSE)</f>
        <v>华东地区</v>
      </c>
      <c r="N485" s="13" t="s">
        <v>426</v>
      </c>
      <c r="O485" s="13" t="s">
        <v>427</v>
      </c>
      <c r="P485" s="13" t="s">
        <v>1599</v>
      </c>
      <c r="Q485" s="13" t="s">
        <v>39</v>
      </c>
      <c r="R485" s="13" t="s">
        <v>1600</v>
      </c>
      <c r="S485" s="13" t="s">
        <v>39</v>
      </c>
      <c r="T485" s="13" t="s">
        <v>281</v>
      </c>
      <c r="U485" s="13" t="s">
        <v>8419</v>
      </c>
      <c r="V485" s="13" t="s">
        <v>8423</v>
      </c>
      <c r="W485" s="13" t="s">
        <v>8424</v>
      </c>
      <c r="X485" s="13" t="s">
        <v>77</v>
      </c>
      <c r="Y485" s="13" t="s">
        <v>78</v>
      </c>
      <c r="Z485" s="13" t="s">
        <v>8425</v>
      </c>
      <c r="AA485" s="13" t="s">
        <v>80</v>
      </c>
      <c r="AB485" s="13" t="s">
        <v>106</v>
      </c>
      <c r="AC485" s="13" t="s">
        <v>39</v>
      </c>
      <c r="AD485" s="13" t="s">
        <v>39</v>
      </c>
      <c r="AE485" s="13" t="s">
        <v>109</v>
      </c>
      <c r="AF485" s="13" t="s">
        <v>8426</v>
      </c>
      <c r="AG485" s="13" t="s">
        <v>39</v>
      </c>
      <c r="AH485" s="13" t="s">
        <v>39</v>
      </c>
      <c r="AI485" s="13" t="s">
        <v>8427</v>
      </c>
      <c r="AJ485" s="13" t="s">
        <v>8428</v>
      </c>
      <c r="AK485" s="13" t="s">
        <v>438</v>
      </c>
      <c r="AL485" s="13" t="s">
        <v>88</v>
      </c>
    </row>
    <row r="486" spans="1:38" x14ac:dyDescent="0.4">
      <c r="A486" s="11" t="s">
        <v>8429</v>
      </c>
      <c r="B486" s="14" t="s">
        <v>8430</v>
      </c>
      <c r="C486" s="15" t="s">
        <v>39</v>
      </c>
      <c r="D486" s="15" t="s">
        <v>63</v>
      </c>
      <c r="E486" s="15" t="s">
        <v>8431</v>
      </c>
      <c r="F486" s="15" t="s">
        <v>154</v>
      </c>
      <c r="G486" s="15" t="s">
        <v>39</v>
      </c>
      <c r="H486" s="15" t="s">
        <v>8432</v>
      </c>
      <c r="I486" s="9">
        <f t="shared" ca="1" si="7"/>
        <v>1</v>
      </c>
      <c r="J486" s="15" t="s">
        <v>8433</v>
      </c>
      <c r="K486" s="15" t="s">
        <v>425</v>
      </c>
      <c r="L486" s="9" t="str">
        <f>VLOOKUP(K486,[1]中国省份_标准!$B$2:$F$35,4,FALSE)</f>
        <v>东部地区</v>
      </c>
      <c r="M486" s="9" t="str">
        <f>VLOOKUP(K486,[1]中国省份_标准!$B$2:$F$35,5,FALSE)</f>
        <v>华东地区</v>
      </c>
      <c r="N486" s="15" t="s">
        <v>426</v>
      </c>
      <c r="O486" s="15" t="s">
        <v>427</v>
      </c>
      <c r="P486" s="15" t="s">
        <v>6840</v>
      </c>
      <c r="Q486" s="15" t="s">
        <v>39</v>
      </c>
      <c r="R486" s="15" t="s">
        <v>6842</v>
      </c>
      <c r="S486" s="15" t="s">
        <v>39</v>
      </c>
      <c r="T486" s="15" t="s">
        <v>281</v>
      </c>
      <c r="U486" s="15" t="s">
        <v>8430</v>
      </c>
      <c r="V486" s="15" t="s">
        <v>8434</v>
      </c>
      <c r="W486" s="15" t="s">
        <v>8435</v>
      </c>
      <c r="X486" s="15" t="s">
        <v>77</v>
      </c>
      <c r="Y486" s="15" t="s">
        <v>78</v>
      </c>
      <c r="Z486" s="15" t="s">
        <v>8436</v>
      </c>
      <c r="AA486" s="15" t="s">
        <v>80</v>
      </c>
      <c r="AB486" s="15" t="s">
        <v>106</v>
      </c>
      <c r="AC486" s="15" t="s">
        <v>107</v>
      </c>
      <c r="AD486" s="15" t="s">
        <v>108</v>
      </c>
      <c r="AE486" s="15" t="s">
        <v>109</v>
      </c>
      <c r="AF486" s="15" t="s">
        <v>8437</v>
      </c>
      <c r="AG486" s="15" t="s">
        <v>39</v>
      </c>
      <c r="AH486" s="15" t="s">
        <v>39</v>
      </c>
      <c r="AI486" s="15" t="s">
        <v>8438</v>
      </c>
      <c r="AJ486" s="15" t="s">
        <v>8439</v>
      </c>
      <c r="AK486" s="15" t="s">
        <v>2191</v>
      </c>
      <c r="AL486" s="15" t="s">
        <v>88</v>
      </c>
    </row>
    <row r="487" spans="1:38" x14ac:dyDescent="0.4">
      <c r="A487" s="11" t="s">
        <v>8440</v>
      </c>
      <c r="B487" s="12" t="s">
        <v>8441</v>
      </c>
      <c r="C487" s="13" t="s">
        <v>39</v>
      </c>
      <c r="D487" s="13" t="s">
        <v>63</v>
      </c>
      <c r="E487" s="13" t="s">
        <v>8442</v>
      </c>
      <c r="F487" s="13" t="s">
        <v>8443</v>
      </c>
      <c r="G487" s="13" t="s">
        <v>8443</v>
      </c>
      <c r="H487" s="13" t="s">
        <v>8444</v>
      </c>
      <c r="I487" s="9">
        <f t="shared" ca="1" si="7"/>
        <v>19</v>
      </c>
      <c r="J487" s="13" t="s">
        <v>8445</v>
      </c>
      <c r="K487" s="13" t="s">
        <v>67</v>
      </c>
      <c r="L487" s="9" t="str">
        <f>VLOOKUP(K487,[1]中国省份_标准!$B$2:$F$35,4,FALSE)</f>
        <v>东部地区</v>
      </c>
      <c r="M487" s="9" t="str">
        <f>VLOOKUP(K487,[1]中国省份_标准!$B$2:$F$35,5,FALSE)</f>
        <v>华东地区</v>
      </c>
      <c r="N487" s="13" t="s">
        <v>843</v>
      </c>
      <c r="O487" s="13" t="s">
        <v>8446</v>
      </c>
      <c r="P487" s="13" t="s">
        <v>8447</v>
      </c>
      <c r="Q487" s="13" t="s">
        <v>8448</v>
      </c>
      <c r="R487" s="13" t="s">
        <v>8449</v>
      </c>
      <c r="S487" s="13" t="s">
        <v>8450</v>
      </c>
      <c r="T487" s="13" t="s">
        <v>281</v>
      </c>
      <c r="U487" s="13" t="s">
        <v>8441</v>
      </c>
      <c r="V487" s="13" t="s">
        <v>8451</v>
      </c>
      <c r="W487" s="13" t="s">
        <v>8452</v>
      </c>
      <c r="X487" s="13" t="s">
        <v>77</v>
      </c>
      <c r="Y487" s="13" t="s">
        <v>78</v>
      </c>
      <c r="Z487" s="13" t="s">
        <v>8453</v>
      </c>
      <c r="AA487" s="13" t="s">
        <v>169</v>
      </c>
      <c r="AB487" s="13" t="s">
        <v>285</v>
      </c>
      <c r="AC487" s="13" t="s">
        <v>479</v>
      </c>
      <c r="AD487" s="13" t="s">
        <v>480</v>
      </c>
      <c r="AE487" s="13" t="s">
        <v>109</v>
      </c>
      <c r="AF487" s="13" t="s">
        <v>8454</v>
      </c>
      <c r="AG487" s="13" t="s">
        <v>39</v>
      </c>
      <c r="AH487" s="13" t="s">
        <v>39</v>
      </c>
      <c r="AI487" s="13" t="s">
        <v>8455</v>
      </c>
      <c r="AJ487" s="13" t="s">
        <v>8456</v>
      </c>
      <c r="AK487" s="13" t="s">
        <v>8457</v>
      </c>
      <c r="AL487" s="13" t="s">
        <v>88</v>
      </c>
    </row>
    <row r="488" spans="1:38" x14ac:dyDescent="0.4">
      <c r="A488" s="11" t="s">
        <v>8458</v>
      </c>
      <c r="B488" s="14" t="s">
        <v>8459</v>
      </c>
      <c r="C488" s="15" t="s">
        <v>39</v>
      </c>
      <c r="D488" s="15" t="s">
        <v>92</v>
      </c>
      <c r="E488" s="15" t="s">
        <v>8460</v>
      </c>
      <c r="F488" s="15" t="s">
        <v>422</v>
      </c>
      <c r="G488" s="15" t="s">
        <v>39</v>
      </c>
      <c r="H488" s="15" t="s">
        <v>8461</v>
      </c>
      <c r="I488" s="9">
        <f t="shared" ca="1" si="7"/>
        <v>2</v>
      </c>
      <c r="J488" s="15" t="s">
        <v>8462</v>
      </c>
      <c r="K488" s="15" t="s">
        <v>274</v>
      </c>
      <c r="L488" s="9" t="str">
        <f>VLOOKUP(K488,[1]中国省份_标准!$B$2:$F$35,4,FALSE)</f>
        <v>西部地区</v>
      </c>
      <c r="M488" s="9" t="str">
        <f>VLOOKUP(K488,[1]中国省份_标准!$B$2:$F$35,5,FALSE)</f>
        <v>西南地区</v>
      </c>
      <c r="N488" s="15" t="s">
        <v>2743</v>
      </c>
      <c r="O488" s="15" t="s">
        <v>8463</v>
      </c>
      <c r="P488" s="15" t="s">
        <v>8464</v>
      </c>
      <c r="Q488" s="15" t="s">
        <v>39</v>
      </c>
      <c r="R488" s="15" t="s">
        <v>8465</v>
      </c>
      <c r="S488" s="15" t="s">
        <v>39</v>
      </c>
      <c r="T488" s="15" t="s">
        <v>48</v>
      </c>
      <c r="U488" s="15" t="s">
        <v>8459</v>
      </c>
      <c r="V488" s="15" t="s">
        <v>8466</v>
      </c>
      <c r="W488" s="15" t="s">
        <v>8467</v>
      </c>
      <c r="X488" s="15" t="s">
        <v>77</v>
      </c>
      <c r="Y488" s="15" t="s">
        <v>78</v>
      </c>
      <c r="Z488" s="15" t="s">
        <v>8468</v>
      </c>
      <c r="AA488" s="15" t="s">
        <v>169</v>
      </c>
      <c r="AB488" s="15" t="s">
        <v>1264</v>
      </c>
      <c r="AC488" s="15" t="s">
        <v>1265</v>
      </c>
      <c r="AD488" s="15" t="s">
        <v>1265</v>
      </c>
      <c r="AE488" s="15" t="s">
        <v>109</v>
      </c>
      <c r="AF488" s="15" t="s">
        <v>8469</v>
      </c>
      <c r="AG488" s="15" t="s">
        <v>39</v>
      </c>
      <c r="AH488" s="15" t="s">
        <v>39</v>
      </c>
      <c r="AI488" s="15" t="s">
        <v>8470</v>
      </c>
      <c r="AJ488" s="15" t="s">
        <v>8471</v>
      </c>
      <c r="AK488" s="15" t="s">
        <v>8472</v>
      </c>
      <c r="AL488" s="15" t="s">
        <v>88</v>
      </c>
    </row>
    <row r="489" spans="1:38" x14ac:dyDescent="0.4">
      <c r="A489" s="11" t="s">
        <v>8473</v>
      </c>
      <c r="B489" s="12" t="s">
        <v>8474</v>
      </c>
      <c r="C489" s="13" t="s">
        <v>39</v>
      </c>
      <c r="D489" s="13" t="s">
        <v>92</v>
      </c>
      <c r="E489" s="13" t="s">
        <v>8475</v>
      </c>
      <c r="F489" s="13" t="s">
        <v>39</v>
      </c>
      <c r="G489" s="13" t="s">
        <v>39</v>
      </c>
      <c r="H489" s="13" t="s">
        <v>8476</v>
      </c>
      <c r="I489" s="9">
        <f t="shared" ca="1" si="7"/>
        <v>4</v>
      </c>
      <c r="J489" s="13" t="s">
        <v>8477</v>
      </c>
      <c r="K489" s="13" t="s">
        <v>5229</v>
      </c>
      <c r="L489" s="9" t="str">
        <f>VLOOKUP(K489,[1]中国省份_标准!$B$2:$F$35,4,FALSE)</f>
        <v>西部地区</v>
      </c>
      <c r="M489" s="9" t="str">
        <f>VLOOKUP(K489,[1]中国省份_标准!$B$2:$F$35,5,FALSE)</f>
        <v>华南地区</v>
      </c>
      <c r="N489" s="13" t="s">
        <v>7951</v>
      </c>
      <c r="O489" s="13" t="s">
        <v>7952</v>
      </c>
      <c r="P489" s="13" t="s">
        <v>8478</v>
      </c>
      <c r="Q489" s="13" t="s">
        <v>8479</v>
      </c>
      <c r="R489" s="13" t="s">
        <v>8480</v>
      </c>
      <c r="S489" s="13" t="s">
        <v>8481</v>
      </c>
      <c r="T489" s="13" t="s">
        <v>8482</v>
      </c>
      <c r="U489" s="13" t="s">
        <v>8474</v>
      </c>
      <c r="V489" s="13" t="s">
        <v>8483</v>
      </c>
      <c r="W489" s="13" t="s">
        <v>8484</v>
      </c>
      <c r="X489" s="13" t="s">
        <v>77</v>
      </c>
      <c r="Y489" s="13" t="s">
        <v>78</v>
      </c>
      <c r="Z489" s="13" t="s">
        <v>8485</v>
      </c>
      <c r="AA489" s="13" t="s">
        <v>169</v>
      </c>
      <c r="AB489" s="13" t="s">
        <v>6796</v>
      </c>
      <c r="AC489" s="13" t="s">
        <v>6797</v>
      </c>
      <c r="AD489" s="13" t="s">
        <v>6798</v>
      </c>
      <c r="AE489" s="13" t="s">
        <v>39</v>
      </c>
      <c r="AF489" s="13" t="s">
        <v>8486</v>
      </c>
      <c r="AG489" s="13" t="s">
        <v>39</v>
      </c>
      <c r="AH489" s="13" t="s">
        <v>39</v>
      </c>
      <c r="AI489" s="13" t="s">
        <v>8487</v>
      </c>
      <c r="AJ489" s="13" t="s">
        <v>8488</v>
      </c>
      <c r="AK489" s="13" t="s">
        <v>8489</v>
      </c>
      <c r="AL489" s="13" t="s">
        <v>88</v>
      </c>
    </row>
    <row r="490" spans="1:38" x14ac:dyDescent="0.4">
      <c r="A490" s="11" t="s">
        <v>8490</v>
      </c>
      <c r="B490" s="14" t="s">
        <v>8491</v>
      </c>
      <c r="C490" s="15" t="s">
        <v>39</v>
      </c>
      <c r="D490" s="15" t="s">
        <v>63</v>
      </c>
      <c r="E490" s="15" t="s">
        <v>8492</v>
      </c>
      <c r="F490" s="15" t="s">
        <v>640</v>
      </c>
      <c r="G490" s="15" t="s">
        <v>640</v>
      </c>
      <c r="H490" s="15" t="s">
        <v>8493</v>
      </c>
      <c r="I490" s="9">
        <f t="shared" ca="1" si="7"/>
        <v>20</v>
      </c>
      <c r="J490" s="15" t="s">
        <v>8494</v>
      </c>
      <c r="K490" s="15" t="s">
        <v>531</v>
      </c>
      <c r="L490" s="9" t="str">
        <f>VLOOKUP(K490,[1]中国省份_标准!$B$2:$F$35,4,FALSE)</f>
        <v>东部地区</v>
      </c>
      <c r="M490" s="9" t="str">
        <f>VLOOKUP(K490,[1]中国省份_标准!$B$2:$F$35,5,FALSE)</f>
        <v>华南地区</v>
      </c>
      <c r="N490" s="15" t="s">
        <v>1682</v>
      </c>
      <c r="O490" s="15" t="s">
        <v>2680</v>
      </c>
      <c r="P490" s="15" t="s">
        <v>8495</v>
      </c>
      <c r="Q490" s="15" t="s">
        <v>39</v>
      </c>
      <c r="R490" s="15" t="s">
        <v>8496</v>
      </c>
      <c r="S490" s="15" t="s">
        <v>8497</v>
      </c>
      <c r="T490" s="15" t="s">
        <v>48</v>
      </c>
      <c r="U490" s="15" t="s">
        <v>8491</v>
      </c>
      <c r="V490" s="15" t="s">
        <v>8498</v>
      </c>
      <c r="W490" s="15" t="s">
        <v>8499</v>
      </c>
      <c r="X490" s="15" t="s">
        <v>8034</v>
      </c>
      <c r="Y490" s="15" t="s">
        <v>78</v>
      </c>
      <c r="Z490" s="15" t="s">
        <v>8500</v>
      </c>
      <c r="AA490" s="15" t="s">
        <v>169</v>
      </c>
      <c r="AB490" s="15" t="s">
        <v>285</v>
      </c>
      <c r="AC490" s="15" t="s">
        <v>479</v>
      </c>
      <c r="AD490" s="15" t="s">
        <v>2471</v>
      </c>
      <c r="AE490" s="15" t="s">
        <v>55</v>
      </c>
      <c r="AF490" s="15" t="s">
        <v>8501</v>
      </c>
      <c r="AG490" s="15" t="s">
        <v>39</v>
      </c>
      <c r="AH490" s="15" t="s">
        <v>39</v>
      </c>
      <c r="AI490" s="15" t="s">
        <v>8502</v>
      </c>
      <c r="AJ490" s="15" t="s">
        <v>8503</v>
      </c>
      <c r="AK490" s="15" t="s">
        <v>8504</v>
      </c>
      <c r="AL490" s="15" t="s">
        <v>88</v>
      </c>
    </row>
    <row r="491" spans="1:38" x14ac:dyDescent="0.4">
      <c r="A491" s="11" t="s">
        <v>8505</v>
      </c>
      <c r="B491" s="12" t="s">
        <v>8506</v>
      </c>
      <c r="C491" s="13" t="s">
        <v>39</v>
      </c>
      <c r="D491" s="13" t="s">
        <v>92</v>
      </c>
      <c r="E491" s="13" t="s">
        <v>8507</v>
      </c>
      <c r="F491" s="13" t="s">
        <v>154</v>
      </c>
      <c r="G491" s="13" t="s">
        <v>39</v>
      </c>
      <c r="H491" s="13" t="s">
        <v>8508</v>
      </c>
      <c r="I491" s="9">
        <f t="shared" ca="1" si="7"/>
        <v>2</v>
      </c>
      <c r="J491" s="13" t="s">
        <v>8509</v>
      </c>
      <c r="K491" s="13" t="s">
        <v>531</v>
      </c>
      <c r="L491" s="9" t="str">
        <f>VLOOKUP(K491,[1]中国省份_标准!$B$2:$F$35,4,FALSE)</f>
        <v>东部地区</v>
      </c>
      <c r="M491" s="9" t="str">
        <f>VLOOKUP(K491,[1]中国省份_标准!$B$2:$F$35,5,FALSE)</f>
        <v>华南地区</v>
      </c>
      <c r="N491" s="13" t="s">
        <v>532</v>
      </c>
      <c r="O491" s="13" t="s">
        <v>2544</v>
      </c>
      <c r="P491" s="13" t="s">
        <v>8510</v>
      </c>
      <c r="Q491" s="13" t="s">
        <v>39</v>
      </c>
      <c r="R491" s="13" t="s">
        <v>8511</v>
      </c>
      <c r="S491" s="13" t="s">
        <v>39</v>
      </c>
      <c r="T491" s="13" t="s">
        <v>281</v>
      </c>
      <c r="U491" s="13" t="s">
        <v>8506</v>
      </c>
      <c r="V491" s="13" t="s">
        <v>8512</v>
      </c>
      <c r="W491" s="13" t="s">
        <v>8513</v>
      </c>
      <c r="X491" s="13" t="s">
        <v>77</v>
      </c>
      <c r="Y491" s="13" t="s">
        <v>78</v>
      </c>
      <c r="Z491" s="13" t="s">
        <v>8514</v>
      </c>
      <c r="AA491" s="13" t="s">
        <v>80</v>
      </c>
      <c r="AB491" s="13" t="s">
        <v>106</v>
      </c>
      <c r="AC491" s="13" t="s">
        <v>388</v>
      </c>
      <c r="AD491" s="13" t="s">
        <v>434</v>
      </c>
      <c r="AE491" s="13" t="s">
        <v>109</v>
      </c>
      <c r="AF491" s="13" t="s">
        <v>8515</v>
      </c>
      <c r="AG491" s="13" t="s">
        <v>39</v>
      </c>
      <c r="AH491" s="13" t="s">
        <v>39</v>
      </c>
      <c r="AI491" s="13" t="s">
        <v>8516</v>
      </c>
      <c r="AJ491" s="13" t="s">
        <v>8517</v>
      </c>
      <c r="AK491" s="13" t="s">
        <v>2554</v>
      </c>
      <c r="AL491" s="13" t="s">
        <v>88</v>
      </c>
    </row>
    <row r="492" spans="1:38" x14ac:dyDescent="0.4">
      <c r="A492" s="11" t="s">
        <v>8518</v>
      </c>
      <c r="B492" s="14" t="s">
        <v>8519</v>
      </c>
      <c r="C492" s="15" t="s">
        <v>39</v>
      </c>
      <c r="D492" s="15" t="s">
        <v>92</v>
      </c>
      <c r="E492" s="15" t="s">
        <v>8520</v>
      </c>
      <c r="F492" s="15" t="s">
        <v>8521</v>
      </c>
      <c r="G492" s="15" t="s">
        <v>8521</v>
      </c>
      <c r="H492" s="15" t="s">
        <v>8522</v>
      </c>
      <c r="I492" s="9">
        <f t="shared" ca="1" si="7"/>
        <v>3</v>
      </c>
      <c r="J492" s="15" t="s">
        <v>8523</v>
      </c>
      <c r="K492" s="15" t="s">
        <v>45</v>
      </c>
      <c r="L492" s="9" t="str">
        <f>VLOOKUP(K492,[1]中国省份_标准!$B$2:$F$35,4,FALSE)</f>
        <v>东部地区</v>
      </c>
      <c r="M492" s="9" t="str">
        <f>VLOOKUP(K492,[1]中国省份_标准!$B$2:$F$35,5,FALSE)</f>
        <v>华东地区</v>
      </c>
      <c r="N492" s="15" t="s">
        <v>45</v>
      </c>
      <c r="O492" s="15" t="s">
        <v>8524</v>
      </c>
      <c r="P492" s="15" t="s">
        <v>8525</v>
      </c>
      <c r="Q492" s="15" t="s">
        <v>8526</v>
      </c>
      <c r="R492" s="15" t="s">
        <v>39</v>
      </c>
      <c r="S492" s="15" t="s">
        <v>39</v>
      </c>
      <c r="T492" s="15" t="s">
        <v>3623</v>
      </c>
      <c r="U492" s="15" t="s">
        <v>8519</v>
      </c>
      <c r="V492" s="15" t="s">
        <v>8527</v>
      </c>
      <c r="W492" s="15" t="s">
        <v>8528</v>
      </c>
      <c r="X492" s="15" t="s">
        <v>455</v>
      </c>
      <c r="Y492" s="15" t="s">
        <v>78</v>
      </c>
      <c r="Z492" s="15" t="s">
        <v>8529</v>
      </c>
      <c r="AA492" s="15" t="s">
        <v>1796</v>
      </c>
      <c r="AB492" s="15" t="s">
        <v>2851</v>
      </c>
      <c r="AC492" s="15" t="s">
        <v>3969</v>
      </c>
      <c r="AD492" s="15" t="s">
        <v>3969</v>
      </c>
      <c r="AE492" s="15" t="s">
        <v>55</v>
      </c>
      <c r="AF492" s="15" t="s">
        <v>8530</v>
      </c>
      <c r="AG492" s="15" t="s">
        <v>39</v>
      </c>
      <c r="AH492" s="15" t="s">
        <v>39</v>
      </c>
      <c r="AI492" s="15" t="s">
        <v>8531</v>
      </c>
      <c r="AJ492" s="15" t="s">
        <v>8532</v>
      </c>
      <c r="AK492" s="15" t="s">
        <v>8533</v>
      </c>
      <c r="AL492" s="15" t="s">
        <v>88</v>
      </c>
    </row>
    <row r="493" spans="1:38" x14ac:dyDescent="0.4">
      <c r="A493" s="11" t="s">
        <v>8534</v>
      </c>
      <c r="B493" s="12" t="s">
        <v>8535</v>
      </c>
      <c r="C493" s="13" t="s">
        <v>39</v>
      </c>
      <c r="D493" s="13" t="s">
        <v>92</v>
      </c>
      <c r="E493" s="13" t="s">
        <v>8536</v>
      </c>
      <c r="F493" s="13" t="s">
        <v>8537</v>
      </c>
      <c r="G493" s="13" t="s">
        <v>39</v>
      </c>
      <c r="H493" s="13" t="s">
        <v>8538</v>
      </c>
      <c r="I493" s="9">
        <f t="shared" ca="1" si="7"/>
        <v>1</v>
      </c>
      <c r="J493" s="13" t="s">
        <v>8539</v>
      </c>
      <c r="K493" s="13" t="s">
        <v>531</v>
      </c>
      <c r="L493" s="9" t="str">
        <f>VLOOKUP(K493,[1]中国省份_标准!$B$2:$F$35,4,FALSE)</f>
        <v>东部地区</v>
      </c>
      <c r="M493" s="9" t="str">
        <f>VLOOKUP(K493,[1]中国省份_标准!$B$2:$F$35,5,FALSE)</f>
        <v>华南地区</v>
      </c>
      <c r="N493" s="13" t="s">
        <v>532</v>
      </c>
      <c r="O493" s="13" t="s">
        <v>533</v>
      </c>
      <c r="P493" s="13" t="s">
        <v>8540</v>
      </c>
      <c r="Q493" s="13" t="s">
        <v>39</v>
      </c>
      <c r="R493" s="13" t="s">
        <v>8541</v>
      </c>
      <c r="S493" s="13" t="s">
        <v>39</v>
      </c>
      <c r="T493" s="13" t="s">
        <v>48</v>
      </c>
      <c r="U493" s="13" t="s">
        <v>8535</v>
      </c>
      <c r="V493" s="13" t="s">
        <v>8542</v>
      </c>
      <c r="W493" s="13" t="s">
        <v>8543</v>
      </c>
      <c r="X493" s="13" t="s">
        <v>77</v>
      </c>
      <c r="Y493" s="13" t="s">
        <v>78</v>
      </c>
      <c r="Z493" s="13" t="s">
        <v>8544</v>
      </c>
      <c r="AA493" s="13" t="s">
        <v>80</v>
      </c>
      <c r="AB493" s="13" t="s">
        <v>106</v>
      </c>
      <c r="AC493" s="13" t="s">
        <v>388</v>
      </c>
      <c r="AD493" s="13" t="s">
        <v>434</v>
      </c>
      <c r="AE493" s="13" t="s">
        <v>109</v>
      </c>
      <c r="AF493" s="13" t="s">
        <v>8545</v>
      </c>
      <c r="AG493" s="13" t="s">
        <v>39</v>
      </c>
      <c r="AH493" s="13" t="s">
        <v>39</v>
      </c>
      <c r="AI493" s="13" t="s">
        <v>8546</v>
      </c>
      <c r="AJ493" s="13" t="s">
        <v>8547</v>
      </c>
      <c r="AK493" s="13" t="s">
        <v>545</v>
      </c>
      <c r="AL493" s="13" t="s">
        <v>88</v>
      </c>
    </row>
    <row r="494" spans="1:38" x14ac:dyDescent="0.4">
      <c r="A494" s="11" t="s">
        <v>8548</v>
      </c>
      <c r="B494" s="14" t="s">
        <v>8549</v>
      </c>
      <c r="C494" s="15" t="s">
        <v>39</v>
      </c>
      <c r="D494" s="15" t="s">
        <v>92</v>
      </c>
      <c r="E494" s="15" t="s">
        <v>8550</v>
      </c>
      <c r="F494" s="15" t="s">
        <v>154</v>
      </c>
      <c r="G494" s="15" t="s">
        <v>39</v>
      </c>
      <c r="H494" s="15" t="s">
        <v>8551</v>
      </c>
      <c r="I494" s="9">
        <f t="shared" ca="1" si="7"/>
        <v>2</v>
      </c>
      <c r="J494" s="15" t="s">
        <v>8552</v>
      </c>
      <c r="K494" s="15" t="s">
        <v>531</v>
      </c>
      <c r="L494" s="9" t="str">
        <f>VLOOKUP(K494,[1]中国省份_标准!$B$2:$F$35,4,FALSE)</f>
        <v>东部地区</v>
      </c>
      <c r="M494" s="9" t="str">
        <f>VLOOKUP(K494,[1]中国省份_标准!$B$2:$F$35,5,FALSE)</f>
        <v>华南地区</v>
      </c>
      <c r="N494" s="15" t="s">
        <v>2483</v>
      </c>
      <c r="O494" s="15" t="s">
        <v>2504</v>
      </c>
      <c r="P494" s="15" t="s">
        <v>8553</v>
      </c>
      <c r="Q494" s="15" t="s">
        <v>39</v>
      </c>
      <c r="R494" s="15" t="s">
        <v>8554</v>
      </c>
      <c r="S494" s="15" t="s">
        <v>39</v>
      </c>
      <c r="T494" s="15" t="s">
        <v>48</v>
      </c>
      <c r="U494" s="15" t="s">
        <v>8549</v>
      </c>
      <c r="V494" s="15" t="s">
        <v>8555</v>
      </c>
      <c r="W494" s="15" t="s">
        <v>8556</v>
      </c>
      <c r="X494" s="15" t="s">
        <v>77</v>
      </c>
      <c r="Y494" s="15" t="s">
        <v>78</v>
      </c>
      <c r="Z494" s="15" t="s">
        <v>8557</v>
      </c>
      <c r="AA494" s="15" t="s">
        <v>169</v>
      </c>
      <c r="AB494" s="15" t="s">
        <v>1264</v>
      </c>
      <c r="AC494" s="15" t="s">
        <v>1265</v>
      </c>
      <c r="AD494" s="15" t="s">
        <v>1265</v>
      </c>
      <c r="AE494" s="15" t="s">
        <v>109</v>
      </c>
      <c r="AF494" s="15" t="s">
        <v>8558</v>
      </c>
      <c r="AG494" s="15" t="s">
        <v>39</v>
      </c>
      <c r="AH494" s="15" t="s">
        <v>39</v>
      </c>
      <c r="AI494" s="15" t="s">
        <v>8559</v>
      </c>
      <c r="AJ494" s="15" t="s">
        <v>8560</v>
      </c>
      <c r="AK494" s="15" t="s">
        <v>2516</v>
      </c>
      <c r="AL494" s="15" t="s">
        <v>88</v>
      </c>
    </row>
    <row r="495" spans="1:38" x14ac:dyDescent="0.4">
      <c r="A495" s="11" t="s">
        <v>8561</v>
      </c>
      <c r="B495" s="12" t="s">
        <v>8562</v>
      </c>
      <c r="C495" s="13" t="s">
        <v>8563</v>
      </c>
      <c r="D495" s="13" t="s">
        <v>92</v>
      </c>
      <c r="E495" s="13" t="s">
        <v>8564</v>
      </c>
      <c r="F495" s="13" t="s">
        <v>3656</v>
      </c>
      <c r="G495" s="13" t="s">
        <v>442</v>
      </c>
      <c r="H495" s="13" t="s">
        <v>8565</v>
      </c>
      <c r="I495" s="9">
        <f t="shared" ca="1" si="7"/>
        <v>18</v>
      </c>
      <c r="J495" s="13" t="s">
        <v>8566</v>
      </c>
      <c r="K495" s="13" t="s">
        <v>1877</v>
      </c>
      <c r="L495" s="9" t="str">
        <f>VLOOKUP(K495,[1]中国省份_标准!$B$2:$F$35,4,FALSE)</f>
        <v>中部地区</v>
      </c>
      <c r="M495" s="9" t="str">
        <f>VLOOKUP(K495,[1]中国省份_标准!$B$2:$F$35,5,FALSE)</f>
        <v>华中地区</v>
      </c>
      <c r="N495" s="13" t="s">
        <v>5339</v>
      </c>
      <c r="O495" s="13" t="s">
        <v>5667</v>
      </c>
      <c r="P495" s="13" t="s">
        <v>8567</v>
      </c>
      <c r="Q495" s="13" t="s">
        <v>8568</v>
      </c>
      <c r="R495" s="13" t="s">
        <v>39</v>
      </c>
      <c r="S495" s="13" t="s">
        <v>39</v>
      </c>
      <c r="T495" s="13" t="s">
        <v>184</v>
      </c>
      <c r="U495" s="13" t="s">
        <v>8562</v>
      </c>
      <c r="V495" s="13" t="s">
        <v>8569</v>
      </c>
      <c r="W495" s="13" t="s">
        <v>8570</v>
      </c>
      <c r="X495" s="13" t="s">
        <v>1777</v>
      </c>
      <c r="Y495" s="13" t="s">
        <v>78</v>
      </c>
      <c r="Z495" s="13" t="s">
        <v>8571</v>
      </c>
      <c r="AA495" s="13" t="s">
        <v>80</v>
      </c>
      <c r="AB495" s="13" t="s">
        <v>106</v>
      </c>
      <c r="AC495" s="13" t="s">
        <v>107</v>
      </c>
      <c r="AD495" s="13" t="s">
        <v>3545</v>
      </c>
      <c r="AE495" s="13" t="s">
        <v>55</v>
      </c>
      <c r="AF495" s="13" t="s">
        <v>8572</v>
      </c>
      <c r="AG495" s="13" t="s">
        <v>39</v>
      </c>
      <c r="AH495" s="13" t="s">
        <v>39</v>
      </c>
      <c r="AI495" s="13" t="s">
        <v>8573</v>
      </c>
      <c r="AJ495" s="13" t="s">
        <v>8574</v>
      </c>
      <c r="AK495" s="13" t="s">
        <v>8575</v>
      </c>
      <c r="AL495" s="13" t="s">
        <v>88</v>
      </c>
    </row>
    <row r="496" spans="1:38" x14ac:dyDescent="0.4">
      <c r="A496" s="11" t="s">
        <v>8576</v>
      </c>
      <c r="B496" s="14" t="s">
        <v>8577</v>
      </c>
      <c r="C496" s="15" t="s">
        <v>39</v>
      </c>
      <c r="D496" s="15" t="s">
        <v>63</v>
      </c>
      <c r="E496" s="15" t="s">
        <v>8578</v>
      </c>
      <c r="F496" s="15" t="s">
        <v>422</v>
      </c>
      <c r="G496" s="15" t="s">
        <v>39</v>
      </c>
      <c r="H496" s="15" t="s">
        <v>6944</v>
      </c>
      <c r="I496" s="9">
        <f t="shared" ca="1" si="7"/>
        <v>8</v>
      </c>
      <c r="J496" s="15" t="s">
        <v>8579</v>
      </c>
      <c r="K496" s="15" t="s">
        <v>67</v>
      </c>
      <c r="L496" s="9" t="str">
        <f>VLOOKUP(K496,[1]中国省份_标准!$B$2:$F$35,4,FALSE)</f>
        <v>东部地区</v>
      </c>
      <c r="M496" s="9" t="str">
        <f>VLOOKUP(K496,[1]中国省份_标准!$B$2:$F$35,5,FALSE)</f>
        <v>华东地区</v>
      </c>
      <c r="N496" s="15" t="s">
        <v>1663</v>
      </c>
      <c r="O496" s="15" t="s">
        <v>1664</v>
      </c>
      <c r="P496" s="15" t="s">
        <v>8580</v>
      </c>
      <c r="Q496" s="15" t="s">
        <v>39</v>
      </c>
      <c r="R496" s="15" t="s">
        <v>8581</v>
      </c>
      <c r="S496" s="15" t="s">
        <v>8582</v>
      </c>
      <c r="T496" s="15" t="s">
        <v>164</v>
      </c>
      <c r="U496" s="15" t="s">
        <v>8577</v>
      </c>
      <c r="V496" s="15" t="s">
        <v>8583</v>
      </c>
      <c r="W496" s="15" t="s">
        <v>8584</v>
      </c>
      <c r="X496" s="15" t="s">
        <v>77</v>
      </c>
      <c r="Y496" s="15" t="s">
        <v>78</v>
      </c>
      <c r="Z496" s="15" t="s">
        <v>168</v>
      </c>
      <c r="AA496" s="15" t="s">
        <v>169</v>
      </c>
      <c r="AB496" s="15" t="s">
        <v>170</v>
      </c>
      <c r="AC496" s="15" t="s">
        <v>171</v>
      </c>
      <c r="AD496" s="15" t="s">
        <v>5811</v>
      </c>
      <c r="AE496" s="15" t="s">
        <v>109</v>
      </c>
      <c r="AF496" s="15" t="s">
        <v>8585</v>
      </c>
      <c r="AG496" s="15" t="s">
        <v>39</v>
      </c>
      <c r="AH496" s="15" t="s">
        <v>39</v>
      </c>
      <c r="AI496" s="15" t="s">
        <v>39</v>
      </c>
      <c r="AJ496" s="15" t="s">
        <v>8586</v>
      </c>
      <c r="AK496" s="15" t="s">
        <v>1676</v>
      </c>
      <c r="AL496" s="15" t="s">
        <v>88</v>
      </c>
    </row>
    <row r="497" spans="1:38" x14ac:dyDescent="0.4">
      <c r="A497" s="11" t="s">
        <v>8587</v>
      </c>
      <c r="B497" s="12" t="s">
        <v>8588</v>
      </c>
      <c r="C497" s="13" t="s">
        <v>39</v>
      </c>
      <c r="D497" s="13" t="s">
        <v>92</v>
      </c>
      <c r="E497" s="13" t="s">
        <v>8589</v>
      </c>
      <c r="F497" s="13" t="s">
        <v>271</v>
      </c>
      <c r="G497" s="13" t="s">
        <v>39</v>
      </c>
      <c r="H497" s="13" t="s">
        <v>8590</v>
      </c>
      <c r="I497" s="9">
        <f t="shared" ca="1" si="7"/>
        <v>5</v>
      </c>
      <c r="J497" s="13" t="s">
        <v>8591</v>
      </c>
      <c r="K497" s="13" t="s">
        <v>45</v>
      </c>
      <c r="L497" s="9" t="str">
        <f>VLOOKUP(K497,[1]中国省份_标准!$B$2:$F$35,4,FALSE)</f>
        <v>东部地区</v>
      </c>
      <c r="M497" s="9" t="str">
        <f>VLOOKUP(K497,[1]中国省份_标准!$B$2:$F$35,5,FALSE)</f>
        <v>华东地区</v>
      </c>
      <c r="N497" s="13" t="s">
        <v>45</v>
      </c>
      <c r="O497" s="13" t="s">
        <v>1123</v>
      </c>
      <c r="P497" s="13" t="s">
        <v>8592</v>
      </c>
      <c r="Q497" s="13" t="s">
        <v>8593</v>
      </c>
      <c r="R497" s="13" t="s">
        <v>8594</v>
      </c>
      <c r="S497" s="13" t="s">
        <v>8595</v>
      </c>
      <c r="T497" s="13" t="s">
        <v>184</v>
      </c>
      <c r="U497" s="13" t="s">
        <v>8588</v>
      </c>
      <c r="V497" s="13" t="s">
        <v>8596</v>
      </c>
      <c r="W497" s="13" t="s">
        <v>8597</v>
      </c>
      <c r="X497" s="13" t="s">
        <v>77</v>
      </c>
      <c r="Y497" s="13" t="s">
        <v>78</v>
      </c>
      <c r="Z497" s="13" t="s">
        <v>8598</v>
      </c>
      <c r="AA497" s="13" t="s">
        <v>80</v>
      </c>
      <c r="AB497" s="13" t="s">
        <v>106</v>
      </c>
      <c r="AC497" s="13" t="s">
        <v>107</v>
      </c>
      <c r="AD497" s="13" t="s">
        <v>3348</v>
      </c>
      <c r="AE497" s="13" t="s">
        <v>262</v>
      </c>
      <c r="AF497" s="13" t="s">
        <v>8599</v>
      </c>
      <c r="AG497" s="13" t="s">
        <v>39</v>
      </c>
      <c r="AH497" s="13" t="s">
        <v>39</v>
      </c>
      <c r="AI497" s="13" t="s">
        <v>8600</v>
      </c>
      <c r="AJ497" s="13" t="s">
        <v>8601</v>
      </c>
      <c r="AK497" s="13" t="s">
        <v>4126</v>
      </c>
      <c r="AL497" s="13" t="s">
        <v>88</v>
      </c>
    </row>
    <row r="498" spans="1:38" x14ac:dyDescent="0.4">
      <c r="A498" s="11" t="s">
        <v>8602</v>
      </c>
      <c r="B498" s="14" t="s">
        <v>8603</v>
      </c>
      <c r="C498" s="15" t="s">
        <v>39</v>
      </c>
      <c r="D498" s="15" t="s">
        <v>92</v>
      </c>
      <c r="E498" s="15" t="s">
        <v>8604</v>
      </c>
      <c r="F498" s="15" t="s">
        <v>154</v>
      </c>
      <c r="G498" s="15" t="s">
        <v>8605</v>
      </c>
      <c r="H498" s="15" t="s">
        <v>7560</v>
      </c>
      <c r="I498" s="9">
        <f t="shared" ca="1" si="7"/>
        <v>11</v>
      </c>
      <c r="J498" s="15" t="s">
        <v>8606</v>
      </c>
      <c r="K498" s="15" t="s">
        <v>45</v>
      </c>
      <c r="L498" s="9" t="str">
        <f>VLOOKUP(K498,[1]中国省份_标准!$B$2:$F$35,4,FALSE)</f>
        <v>东部地区</v>
      </c>
      <c r="M498" s="9" t="str">
        <f>VLOOKUP(K498,[1]中国省份_标准!$B$2:$F$35,5,FALSE)</f>
        <v>华东地区</v>
      </c>
      <c r="N498" s="15" t="s">
        <v>45</v>
      </c>
      <c r="O498" s="15" t="s">
        <v>2865</v>
      </c>
      <c r="P498" s="15" t="s">
        <v>8607</v>
      </c>
      <c r="Q498" s="15" t="s">
        <v>8608</v>
      </c>
      <c r="R498" s="15" t="s">
        <v>8609</v>
      </c>
      <c r="S498" s="15" t="s">
        <v>39</v>
      </c>
      <c r="T498" s="15" t="s">
        <v>48</v>
      </c>
      <c r="U498" s="15" t="s">
        <v>8603</v>
      </c>
      <c r="V498" s="15" t="s">
        <v>8610</v>
      </c>
      <c r="W498" s="15" t="s">
        <v>8611</v>
      </c>
      <c r="X498" s="15" t="s">
        <v>690</v>
      </c>
      <c r="Y498" s="15" t="s">
        <v>78</v>
      </c>
      <c r="Z498" s="15" t="s">
        <v>8612</v>
      </c>
      <c r="AA498" s="15" t="s">
        <v>80</v>
      </c>
      <c r="AB498" s="15" t="s">
        <v>106</v>
      </c>
      <c r="AC498" s="15" t="s">
        <v>559</v>
      </c>
      <c r="AD498" s="15" t="s">
        <v>560</v>
      </c>
      <c r="AE498" s="15" t="s">
        <v>109</v>
      </c>
      <c r="AF498" s="15" t="s">
        <v>8613</v>
      </c>
      <c r="AG498" s="15" t="s">
        <v>39</v>
      </c>
      <c r="AH498" s="15" t="s">
        <v>8614</v>
      </c>
      <c r="AI498" s="15" t="s">
        <v>8615</v>
      </c>
      <c r="AJ498" s="15" t="s">
        <v>8616</v>
      </c>
      <c r="AK498" s="15" t="s">
        <v>2881</v>
      </c>
      <c r="AL498" s="15" t="s">
        <v>88</v>
      </c>
    </row>
    <row r="499" spans="1:38" x14ac:dyDescent="0.4">
      <c r="A499" s="11" t="s">
        <v>8617</v>
      </c>
      <c r="B499" s="12" t="s">
        <v>8618</v>
      </c>
      <c r="C499" s="13" t="s">
        <v>39</v>
      </c>
      <c r="D499" s="13" t="s">
        <v>92</v>
      </c>
      <c r="E499" s="13" t="s">
        <v>8619</v>
      </c>
      <c r="F499" s="13" t="s">
        <v>154</v>
      </c>
      <c r="G499" s="13" t="s">
        <v>39</v>
      </c>
      <c r="H499" s="13" t="s">
        <v>8620</v>
      </c>
      <c r="I499" s="9">
        <f t="shared" ca="1" si="7"/>
        <v>2</v>
      </c>
      <c r="J499" s="13" t="s">
        <v>8621</v>
      </c>
      <c r="K499" s="13" t="s">
        <v>425</v>
      </c>
      <c r="L499" s="9" t="str">
        <f>VLOOKUP(K499,[1]中国省份_标准!$B$2:$F$35,4,FALSE)</f>
        <v>东部地区</v>
      </c>
      <c r="M499" s="9" t="str">
        <f>VLOOKUP(K499,[1]中国省份_标准!$B$2:$F$35,5,FALSE)</f>
        <v>华东地区</v>
      </c>
      <c r="N499" s="13" t="s">
        <v>5513</v>
      </c>
      <c r="O499" s="13" t="s">
        <v>8622</v>
      </c>
      <c r="P499" s="13" t="s">
        <v>8623</v>
      </c>
      <c r="Q499" s="13" t="s">
        <v>39</v>
      </c>
      <c r="R499" s="13" t="s">
        <v>39</v>
      </c>
      <c r="S499" s="13" t="s">
        <v>39</v>
      </c>
      <c r="T499" s="13" t="s">
        <v>281</v>
      </c>
      <c r="U499" s="13" t="s">
        <v>8618</v>
      </c>
      <c r="V499" s="13" t="s">
        <v>8624</v>
      </c>
      <c r="W499" s="13" t="s">
        <v>8625</v>
      </c>
      <c r="X499" s="13" t="s">
        <v>77</v>
      </c>
      <c r="Y499" s="13" t="s">
        <v>78</v>
      </c>
      <c r="Z499" s="13" t="s">
        <v>8626</v>
      </c>
      <c r="AA499" s="13" t="s">
        <v>169</v>
      </c>
      <c r="AB499" s="13" t="s">
        <v>285</v>
      </c>
      <c r="AC499" s="13" t="s">
        <v>39</v>
      </c>
      <c r="AD499" s="13" t="s">
        <v>39</v>
      </c>
      <c r="AE499" s="13" t="s">
        <v>109</v>
      </c>
      <c r="AF499" s="13" t="s">
        <v>8627</v>
      </c>
      <c r="AG499" s="13" t="s">
        <v>39</v>
      </c>
      <c r="AH499" s="13" t="s">
        <v>39</v>
      </c>
      <c r="AI499" s="13" t="s">
        <v>8628</v>
      </c>
      <c r="AJ499" s="13" t="s">
        <v>8629</v>
      </c>
      <c r="AK499" s="13" t="s">
        <v>8630</v>
      </c>
      <c r="AL499" s="13" t="s">
        <v>88</v>
      </c>
    </row>
    <row r="500" spans="1:38" x14ac:dyDescent="0.4">
      <c r="A500" s="11" t="s">
        <v>8631</v>
      </c>
      <c r="B500" s="14" t="s">
        <v>8632</v>
      </c>
      <c r="C500" s="15" t="s">
        <v>39</v>
      </c>
      <c r="D500" s="15" t="s">
        <v>92</v>
      </c>
      <c r="E500" s="15" t="s">
        <v>8633</v>
      </c>
      <c r="F500" s="15" t="s">
        <v>3890</v>
      </c>
      <c r="G500" s="15" t="s">
        <v>3890</v>
      </c>
      <c r="H500" s="15" t="s">
        <v>136</v>
      </c>
      <c r="I500" s="9">
        <f t="shared" ca="1" si="7"/>
        <v>7</v>
      </c>
      <c r="J500" s="15" t="s">
        <v>8634</v>
      </c>
      <c r="K500" s="15" t="s">
        <v>445</v>
      </c>
      <c r="L500" s="9" t="str">
        <f>VLOOKUP(K500,[1]中国省份_标准!$B$2:$F$35,4,FALSE)</f>
        <v>中部地区</v>
      </c>
      <c r="M500" s="9" t="str">
        <f>VLOOKUP(K500,[1]中国省份_标准!$B$2:$F$35,5,FALSE)</f>
        <v>华东地区</v>
      </c>
      <c r="N500" s="15" t="s">
        <v>446</v>
      </c>
      <c r="O500" s="15" t="s">
        <v>8635</v>
      </c>
      <c r="P500" s="15" t="s">
        <v>8636</v>
      </c>
      <c r="Q500" s="15" t="s">
        <v>8637</v>
      </c>
      <c r="R500" s="15" t="s">
        <v>8638</v>
      </c>
      <c r="S500" s="15" t="s">
        <v>39</v>
      </c>
      <c r="T500" s="15" t="s">
        <v>184</v>
      </c>
      <c r="U500" s="15" t="s">
        <v>8632</v>
      </c>
      <c r="V500" s="15" t="s">
        <v>8639</v>
      </c>
      <c r="W500" s="15" t="s">
        <v>8640</v>
      </c>
      <c r="X500" s="15" t="s">
        <v>8641</v>
      </c>
      <c r="Y500" s="15" t="s">
        <v>78</v>
      </c>
      <c r="Z500" s="15" t="s">
        <v>145</v>
      </c>
      <c r="AA500" s="15" t="s">
        <v>309</v>
      </c>
      <c r="AB500" s="15" t="s">
        <v>310</v>
      </c>
      <c r="AC500" s="15" t="s">
        <v>6357</v>
      </c>
      <c r="AD500" s="15" t="s">
        <v>6374</v>
      </c>
      <c r="AE500" s="15" t="s">
        <v>239</v>
      </c>
      <c r="AF500" s="15" t="s">
        <v>8642</v>
      </c>
      <c r="AG500" s="15" t="s">
        <v>39</v>
      </c>
      <c r="AH500" s="15" t="s">
        <v>39</v>
      </c>
      <c r="AI500" s="15" t="s">
        <v>8643</v>
      </c>
      <c r="AJ500" s="15" t="s">
        <v>8644</v>
      </c>
      <c r="AK500" s="15" t="s">
        <v>8645</v>
      </c>
      <c r="AL500" s="15" t="s">
        <v>88</v>
      </c>
    </row>
    <row r="501" spans="1:38" x14ac:dyDescent="0.4">
      <c r="A501" s="11" t="s">
        <v>8646</v>
      </c>
      <c r="B501" s="12" t="s">
        <v>8647</v>
      </c>
      <c r="C501" s="13" t="s">
        <v>39</v>
      </c>
      <c r="D501" s="13" t="s">
        <v>8648</v>
      </c>
      <c r="E501" s="13" t="s">
        <v>8649</v>
      </c>
      <c r="F501" s="13" t="s">
        <v>271</v>
      </c>
      <c r="G501" s="13" t="s">
        <v>39</v>
      </c>
      <c r="H501" s="13" t="s">
        <v>8650</v>
      </c>
      <c r="I501" s="9">
        <f t="shared" ca="1" si="7"/>
        <v>6</v>
      </c>
      <c r="J501" s="13" t="s">
        <v>8651</v>
      </c>
      <c r="K501" s="13" t="s">
        <v>425</v>
      </c>
      <c r="L501" s="9" t="str">
        <f>VLOOKUP(K501,[1]中国省份_标准!$B$2:$F$35,4,FALSE)</f>
        <v>东部地区</v>
      </c>
      <c r="M501" s="9" t="str">
        <f>VLOOKUP(K501,[1]中国省份_标准!$B$2:$F$35,5,FALSE)</f>
        <v>华东地区</v>
      </c>
      <c r="N501" s="13" t="s">
        <v>2304</v>
      </c>
      <c r="O501" s="13" t="s">
        <v>8652</v>
      </c>
      <c r="P501" s="13" t="s">
        <v>8653</v>
      </c>
      <c r="Q501" s="13" t="s">
        <v>39</v>
      </c>
      <c r="R501" s="13" t="s">
        <v>8654</v>
      </c>
      <c r="S501" s="13" t="s">
        <v>39</v>
      </c>
      <c r="T501" s="13" t="s">
        <v>281</v>
      </c>
      <c r="U501" s="13" t="s">
        <v>8647</v>
      </c>
      <c r="V501" s="13" t="s">
        <v>39</v>
      </c>
      <c r="W501" s="13" t="s">
        <v>8655</v>
      </c>
      <c r="X501" s="13" t="s">
        <v>690</v>
      </c>
      <c r="Y501" s="13" t="s">
        <v>78</v>
      </c>
      <c r="Z501" s="13" t="s">
        <v>8656</v>
      </c>
      <c r="AA501" s="13" t="s">
        <v>1796</v>
      </c>
      <c r="AB501" s="13" t="s">
        <v>1797</v>
      </c>
      <c r="AC501" s="13" t="s">
        <v>39</v>
      </c>
      <c r="AD501" s="13" t="s">
        <v>39</v>
      </c>
      <c r="AE501" s="13" t="s">
        <v>109</v>
      </c>
      <c r="AF501" s="13" t="s">
        <v>8657</v>
      </c>
      <c r="AG501" s="13" t="s">
        <v>39</v>
      </c>
      <c r="AH501" s="13" t="s">
        <v>39</v>
      </c>
      <c r="AI501" s="13" t="s">
        <v>8658</v>
      </c>
      <c r="AJ501" s="13" t="s">
        <v>8659</v>
      </c>
      <c r="AK501" s="13" t="s">
        <v>8660</v>
      </c>
      <c r="AL501" s="13" t="s">
        <v>88</v>
      </c>
    </row>
    <row r="502" spans="1:38" x14ac:dyDescent="0.4">
      <c r="A502" s="11" t="s">
        <v>8661</v>
      </c>
      <c r="B502" s="14" t="s">
        <v>8662</v>
      </c>
      <c r="C502" s="15" t="s">
        <v>39</v>
      </c>
      <c r="D502" s="15" t="s">
        <v>92</v>
      </c>
      <c r="E502" s="15" t="s">
        <v>8663</v>
      </c>
      <c r="F502" s="15" t="s">
        <v>154</v>
      </c>
      <c r="G502" s="15" t="s">
        <v>154</v>
      </c>
      <c r="H502" s="15" t="s">
        <v>8664</v>
      </c>
      <c r="I502" s="9">
        <f t="shared" ca="1" si="7"/>
        <v>7</v>
      </c>
      <c r="J502" s="15" t="s">
        <v>8665</v>
      </c>
      <c r="K502" s="15" t="s">
        <v>702</v>
      </c>
      <c r="L502" s="9" t="str">
        <f>VLOOKUP(K502,[1]中国省份_标准!$B$2:$F$35,4,FALSE)</f>
        <v>东部地区</v>
      </c>
      <c r="M502" s="9" t="str">
        <f>VLOOKUP(K502,[1]中国省份_标准!$B$2:$F$35,5,FALSE)</f>
        <v>华北地区</v>
      </c>
      <c r="N502" s="15" t="s">
        <v>1043</v>
      </c>
      <c r="O502" s="15" t="s">
        <v>8666</v>
      </c>
      <c r="P502" s="15" t="s">
        <v>8667</v>
      </c>
      <c r="Q502" s="15" t="s">
        <v>8668</v>
      </c>
      <c r="R502" s="15" t="s">
        <v>39</v>
      </c>
      <c r="S502" s="15" t="s">
        <v>39</v>
      </c>
      <c r="T502" s="15" t="s">
        <v>281</v>
      </c>
      <c r="U502" s="15" t="s">
        <v>8662</v>
      </c>
      <c r="V502" s="15" t="s">
        <v>8669</v>
      </c>
      <c r="W502" s="15" t="s">
        <v>8670</v>
      </c>
      <c r="X502" s="15" t="s">
        <v>77</v>
      </c>
      <c r="Y502" s="15" t="s">
        <v>78</v>
      </c>
      <c r="Z502" s="15" t="s">
        <v>8671</v>
      </c>
      <c r="AA502" s="15" t="s">
        <v>169</v>
      </c>
      <c r="AB502" s="15" t="s">
        <v>285</v>
      </c>
      <c r="AC502" s="15" t="s">
        <v>712</v>
      </c>
      <c r="AD502" s="15" t="s">
        <v>3490</v>
      </c>
      <c r="AE502" s="15" t="s">
        <v>109</v>
      </c>
      <c r="AF502" s="15" t="s">
        <v>8672</v>
      </c>
      <c r="AG502" s="15" t="s">
        <v>39</v>
      </c>
      <c r="AH502" s="15" t="s">
        <v>39</v>
      </c>
      <c r="AI502" s="15" t="s">
        <v>8673</v>
      </c>
      <c r="AJ502" s="15" t="s">
        <v>8674</v>
      </c>
      <c r="AK502" s="15" t="s">
        <v>8675</v>
      </c>
      <c r="AL502" s="15" t="s">
        <v>88</v>
      </c>
    </row>
    <row r="503" spans="1:38" x14ac:dyDescent="0.4">
      <c r="A503" s="11" t="s">
        <v>8676</v>
      </c>
      <c r="B503" s="12" t="s">
        <v>8677</v>
      </c>
      <c r="C503" s="13" t="s">
        <v>39</v>
      </c>
      <c r="D503" s="13" t="s">
        <v>63</v>
      </c>
      <c r="E503" s="13" t="s">
        <v>8678</v>
      </c>
      <c r="F503" s="13" t="s">
        <v>154</v>
      </c>
      <c r="G503" s="13" t="s">
        <v>39</v>
      </c>
      <c r="H503" s="13" t="s">
        <v>8679</v>
      </c>
      <c r="I503" s="9">
        <f t="shared" ca="1" si="7"/>
        <v>11</v>
      </c>
      <c r="J503" s="13" t="s">
        <v>8680</v>
      </c>
      <c r="K503" s="13" t="s">
        <v>67</v>
      </c>
      <c r="L503" s="9" t="str">
        <f>VLOOKUP(K503,[1]中国省份_标准!$B$2:$F$35,4,FALSE)</f>
        <v>东部地区</v>
      </c>
      <c r="M503" s="9" t="str">
        <f>VLOOKUP(K503,[1]中国省份_标准!$B$2:$F$35,5,FALSE)</f>
        <v>华东地区</v>
      </c>
      <c r="N503" s="13" t="s">
        <v>68</v>
      </c>
      <c r="O503" s="13" t="s">
        <v>5627</v>
      </c>
      <c r="P503" s="13" t="s">
        <v>8681</v>
      </c>
      <c r="Q503" s="13" t="s">
        <v>8682</v>
      </c>
      <c r="R503" s="13" t="s">
        <v>8683</v>
      </c>
      <c r="S503" s="13" t="s">
        <v>8684</v>
      </c>
      <c r="T503" s="13" t="s">
        <v>281</v>
      </c>
      <c r="U503" s="13" t="s">
        <v>8677</v>
      </c>
      <c r="V503" s="13" t="s">
        <v>8685</v>
      </c>
      <c r="W503" s="13" t="s">
        <v>8686</v>
      </c>
      <c r="X503" s="13" t="s">
        <v>77</v>
      </c>
      <c r="Y503" s="13" t="s">
        <v>78</v>
      </c>
      <c r="Z503" s="13" t="s">
        <v>8687</v>
      </c>
      <c r="AA503" s="13" t="s">
        <v>169</v>
      </c>
      <c r="AB503" s="13" t="s">
        <v>285</v>
      </c>
      <c r="AC503" s="13" t="s">
        <v>712</v>
      </c>
      <c r="AD503" s="13" t="s">
        <v>3490</v>
      </c>
      <c r="AE503" s="13" t="s">
        <v>55</v>
      </c>
      <c r="AF503" s="13" t="s">
        <v>8688</v>
      </c>
      <c r="AG503" s="13" t="s">
        <v>39</v>
      </c>
      <c r="AH503" s="13" t="s">
        <v>39</v>
      </c>
      <c r="AI503" s="13" t="s">
        <v>8689</v>
      </c>
      <c r="AJ503" s="13" t="s">
        <v>8690</v>
      </c>
      <c r="AK503" s="13" t="s">
        <v>7107</v>
      </c>
      <c r="AL503" s="13" t="s">
        <v>88</v>
      </c>
    </row>
    <row r="504" spans="1:38" x14ac:dyDescent="0.4">
      <c r="A504" s="11" t="s">
        <v>8691</v>
      </c>
      <c r="B504" s="14" t="s">
        <v>8692</v>
      </c>
      <c r="C504" s="15" t="s">
        <v>39</v>
      </c>
      <c r="D504" s="15" t="s">
        <v>63</v>
      </c>
      <c r="E504" s="15" t="s">
        <v>8693</v>
      </c>
      <c r="F504" s="15" t="s">
        <v>422</v>
      </c>
      <c r="G504" s="15" t="s">
        <v>39</v>
      </c>
      <c r="H504" s="15" t="s">
        <v>8694</v>
      </c>
      <c r="I504" s="9">
        <f t="shared" ca="1" si="7"/>
        <v>19</v>
      </c>
      <c r="J504" s="15" t="s">
        <v>8695</v>
      </c>
      <c r="K504" s="15" t="s">
        <v>67</v>
      </c>
      <c r="L504" s="9" t="str">
        <f>VLOOKUP(K504,[1]中国省份_标准!$B$2:$F$35,4,FALSE)</f>
        <v>东部地区</v>
      </c>
      <c r="M504" s="9" t="str">
        <f>VLOOKUP(K504,[1]中国省份_标准!$B$2:$F$35,5,FALSE)</f>
        <v>华东地区</v>
      </c>
      <c r="N504" s="15" t="s">
        <v>1663</v>
      </c>
      <c r="O504" s="15" t="s">
        <v>1664</v>
      </c>
      <c r="P504" s="15" t="s">
        <v>8696</v>
      </c>
      <c r="Q504" s="15" t="s">
        <v>8697</v>
      </c>
      <c r="R504" s="15" t="s">
        <v>8698</v>
      </c>
      <c r="S504" s="15" t="s">
        <v>8699</v>
      </c>
      <c r="T504" s="15" t="s">
        <v>164</v>
      </c>
      <c r="U504" s="15" t="s">
        <v>8692</v>
      </c>
      <c r="V504" s="15" t="s">
        <v>8700</v>
      </c>
      <c r="W504" s="15" t="s">
        <v>8701</v>
      </c>
      <c r="X504" s="15" t="s">
        <v>77</v>
      </c>
      <c r="Y504" s="15" t="s">
        <v>78</v>
      </c>
      <c r="Z504" s="15" t="s">
        <v>168</v>
      </c>
      <c r="AA504" s="15" t="s">
        <v>169</v>
      </c>
      <c r="AB504" s="15" t="s">
        <v>170</v>
      </c>
      <c r="AC504" s="15" t="s">
        <v>171</v>
      </c>
      <c r="AD504" s="15" t="s">
        <v>347</v>
      </c>
      <c r="AE504" s="15" t="s">
        <v>55</v>
      </c>
      <c r="AF504" s="15" t="s">
        <v>8702</v>
      </c>
      <c r="AG504" s="15" t="s">
        <v>39</v>
      </c>
      <c r="AH504" s="15" t="s">
        <v>39</v>
      </c>
      <c r="AI504" s="15" t="s">
        <v>39</v>
      </c>
      <c r="AJ504" s="15" t="s">
        <v>8703</v>
      </c>
      <c r="AK504" s="15" t="s">
        <v>1676</v>
      </c>
      <c r="AL504" s="15" t="s">
        <v>88</v>
      </c>
    </row>
    <row r="505" spans="1:38" x14ac:dyDescent="0.4">
      <c r="A505" s="11" t="s">
        <v>8704</v>
      </c>
      <c r="B505" s="12" t="s">
        <v>8705</v>
      </c>
      <c r="C505" s="13" t="s">
        <v>39</v>
      </c>
      <c r="D505" s="13" t="s">
        <v>1507</v>
      </c>
      <c r="E505" s="13" t="s">
        <v>8706</v>
      </c>
      <c r="F505" s="13" t="s">
        <v>5376</v>
      </c>
      <c r="G505" s="13" t="s">
        <v>39</v>
      </c>
      <c r="H505" s="13" t="s">
        <v>8707</v>
      </c>
      <c r="I505" s="9">
        <f t="shared" ca="1" si="7"/>
        <v>3</v>
      </c>
      <c r="J505" s="13" t="s">
        <v>8708</v>
      </c>
      <c r="K505" s="13" t="s">
        <v>340</v>
      </c>
      <c r="L505" s="9" t="str">
        <f>VLOOKUP(K505,[1]中国省份_标准!$B$2:$F$35,4,FALSE)</f>
        <v>东部地区</v>
      </c>
      <c r="M505" s="9" t="str">
        <f>VLOOKUP(K505,[1]中国省份_标准!$B$2:$F$35,5,FALSE)</f>
        <v>华东地区</v>
      </c>
      <c r="N505" s="13" t="s">
        <v>3339</v>
      </c>
      <c r="O505" s="13" t="s">
        <v>3340</v>
      </c>
      <c r="P505" s="13" t="s">
        <v>8709</v>
      </c>
      <c r="Q505" s="13" t="s">
        <v>39</v>
      </c>
      <c r="R505" s="13" t="s">
        <v>8710</v>
      </c>
      <c r="S505" s="13" t="s">
        <v>8711</v>
      </c>
      <c r="T505" s="13" t="s">
        <v>281</v>
      </c>
      <c r="U505" s="13" t="s">
        <v>8705</v>
      </c>
      <c r="V505" s="13" t="s">
        <v>39</v>
      </c>
      <c r="W505" s="13" t="s">
        <v>8712</v>
      </c>
      <c r="X505" s="13" t="s">
        <v>77</v>
      </c>
      <c r="Y505" s="13" t="s">
        <v>78</v>
      </c>
      <c r="Z505" s="13" t="s">
        <v>8713</v>
      </c>
      <c r="AA505" s="13" t="s">
        <v>80</v>
      </c>
      <c r="AB505" s="13" t="s">
        <v>106</v>
      </c>
      <c r="AC505" s="13" t="s">
        <v>107</v>
      </c>
      <c r="AD505" s="13" t="s">
        <v>3348</v>
      </c>
      <c r="AE505" s="13" t="s">
        <v>55</v>
      </c>
      <c r="AF505" s="13" t="s">
        <v>8714</v>
      </c>
      <c r="AG505" s="13" t="s">
        <v>39</v>
      </c>
      <c r="AH505" s="13" t="s">
        <v>8715</v>
      </c>
      <c r="AI505" s="13" t="s">
        <v>8716</v>
      </c>
      <c r="AJ505" s="13" t="s">
        <v>8717</v>
      </c>
      <c r="AK505" s="13" t="s">
        <v>3352</v>
      </c>
      <c r="AL505" s="13" t="s">
        <v>88</v>
      </c>
    </row>
    <row r="506" spans="1:38" x14ac:dyDescent="0.4">
      <c r="A506" s="11" t="s">
        <v>8718</v>
      </c>
      <c r="B506" s="14" t="s">
        <v>8719</v>
      </c>
      <c r="C506" s="15" t="s">
        <v>39</v>
      </c>
      <c r="D506" s="15" t="s">
        <v>92</v>
      </c>
      <c r="E506" s="15" t="s">
        <v>8720</v>
      </c>
      <c r="F506" s="15" t="s">
        <v>999</v>
      </c>
      <c r="G506" s="15" t="s">
        <v>999</v>
      </c>
      <c r="H506" s="15" t="s">
        <v>8721</v>
      </c>
      <c r="I506" s="9">
        <f t="shared" ca="1" si="7"/>
        <v>7</v>
      </c>
      <c r="J506" s="15" t="s">
        <v>8722</v>
      </c>
      <c r="K506" s="15" t="s">
        <v>227</v>
      </c>
      <c r="L506" s="9" t="str">
        <f>VLOOKUP(K506,[1]中国省份_标准!$B$2:$F$35,4,FALSE)</f>
        <v>西部地区</v>
      </c>
      <c r="M506" s="9" t="str">
        <f>VLOOKUP(K506,[1]中国省份_标准!$B$2:$F$35,5,FALSE)</f>
        <v>西北地区</v>
      </c>
      <c r="N506" s="15" t="s">
        <v>1002</v>
      </c>
      <c r="O506" s="15" t="s">
        <v>3278</v>
      </c>
      <c r="P506" s="15" t="s">
        <v>8723</v>
      </c>
      <c r="Q506" s="15" t="s">
        <v>8724</v>
      </c>
      <c r="R506" s="15" t="s">
        <v>8725</v>
      </c>
      <c r="S506" s="15" t="s">
        <v>8726</v>
      </c>
      <c r="T506" s="15" t="s">
        <v>48</v>
      </c>
      <c r="U506" s="15" t="s">
        <v>8719</v>
      </c>
      <c r="V506" s="15" t="s">
        <v>39</v>
      </c>
      <c r="W506" s="15" t="s">
        <v>8727</v>
      </c>
      <c r="X506" s="15" t="s">
        <v>1319</v>
      </c>
      <c r="Y506" s="15" t="s">
        <v>78</v>
      </c>
      <c r="Z506" s="15" t="s">
        <v>8728</v>
      </c>
      <c r="AA506" s="15" t="s">
        <v>309</v>
      </c>
      <c r="AB506" s="15" t="s">
        <v>654</v>
      </c>
      <c r="AC506" s="15" t="s">
        <v>8729</v>
      </c>
      <c r="AD506" s="15" t="s">
        <v>8730</v>
      </c>
      <c r="AE506" s="15" t="s">
        <v>262</v>
      </c>
      <c r="AF506" s="15" t="s">
        <v>8731</v>
      </c>
      <c r="AG506" s="15" t="s">
        <v>39</v>
      </c>
      <c r="AH506" s="15" t="s">
        <v>39</v>
      </c>
      <c r="AI506" s="15" t="s">
        <v>8732</v>
      </c>
      <c r="AJ506" s="15" t="s">
        <v>8733</v>
      </c>
      <c r="AK506" s="15" t="s">
        <v>3903</v>
      </c>
      <c r="AL506" s="15" t="s">
        <v>88</v>
      </c>
    </row>
    <row r="507" spans="1:38" x14ac:dyDescent="0.4">
      <c r="A507" s="11" t="s">
        <v>8734</v>
      </c>
      <c r="B507" s="12" t="s">
        <v>8735</v>
      </c>
      <c r="C507" s="13" t="s">
        <v>39</v>
      </c>
      <c r="D507" s="13" t="s">
        <v>63</v>
      </c>
      <c r="E507" s="13" t="s">
        <v>8736</v>
      </c>
      <c r="F507" s="13" t="s">
        <v>117</v>
      </c>
      <c r="G507" s="13" t="s">
        <v>39</v>
      </c>
      <c r="H507" s="13" t="s">
        <v>8737</v>
      </c>
      <c r="I507" s="9">
        <f t="shared" ca="1" si="7"/>
        <v>2</v>
      </c>
      <c r="J507" s="13" t="s">
        <v>8738</v>
      </c>
      <c r="K507" s="13" t="s">
        <v>531</v>
      </c>
      <c r="L507" s="9" t="str">
        <f>VLOOKUP(K507,[1]中国省份_标准!$B$2:$F$35,4,FALSE)</f>
        <v>东部地区</v>
      </c>
      <c r="M507" s="9" t="str">
        <f>VLOOKUP(K507,[1]中国省份_标准!$B$2:$F$35,5,FALSE)</f>
        <v>华南地区</v>
      </c>
      <c r="N507" s="13" t="s">
        <v>2560</v>
      </c>
      <c r="O507" s="13" t="s">
        <v>39</v>
      </c>
      <c r="P507" s="13" t="s">
        <v>8739</v>
      </c>
      <c r="Q507" s="13" t="s">
        <v>39</v>
      </c>
      <c r="R507" s="13" t="s">
        <v>8740</v>
      </c>
      <c r="S507" s="13" t="s">
        <v>39</v>
      </c>
      <c r="T507" s="13" t="s">
        <v>281</v>
      </c>
      <c r="U507" s="13" t="s">
        <v>8735</v>
      </c>
      <c r="V507" s="13" t="s">
        <v>8741</v>
      </c>
      <c r="W507" s="13" t="s">
        <v>8742</v>
      </c>
      <c r="X507" s="13" t="s">
        <v>77</v>
      </c>
      <c r="Y507" s="13" t="s">
        <v>78</v>
      </c>
      <c r="Z507" s="13" t="s">
        <v>8743</v>
      </c>
      <c r="AA507" s="13" t="s">
        <v>80</v>
      </c>
      <c r="AB507" s="13" t="s">
        <v>106</v>
      </c>
      <c r="AC507" s="13" t="s">
        <v>388</v>
      </c>
      <c r="AD507" s="13" t="s">
        <v>434</v>
      </c>
      <c r="AE507" s="13" t="s">
        <v>109</v>
      </c>
      <c r="AF507" s="13" t="s">
        <v>8744</v>
      </c>
      <c r="AG507" s="13" t="s">
        <v>39</v>
      </c>
      <c r="AH507" s="13" t="s">
        <v>39</v>
      </c>
      <c r="AI507" s="13" t="s">
        <v>8745</v>
      </c>
      <c r="AJ507" s="13" t="s">
        <v>8746</v>
      </c>
      <c r="AK507" s="13" t="s">
        <v>2572</v>
      </c>
      <c r="AL507" s="13" t="s">
        <v>88</v>
      </c>
    </row>
    <row r="508" spans="1:38" x14ac:dyDescent="0.4">
      <c r="A508" s="11" t="s">
        <v>8747</v>
      </c>
      <c r="B508" s="14" t="s">
        <v>8748</v>
      </c>
      <c r="C508" s="15" t="s">
        <v>39</v>
      </c>
      <c r="D508" s="15" t="s">
        <v>63</v>
      </c>
      <c r="E508" s="15" t="s">
        <v>8749</v>
      </c>
      <c r="F508" s="15" t="s">
        <v>8750</v>
      </c>
      <c r="G508" s="15" t="s">
        <v>8750</v>
      </c>
      <c r="H508" s="15" t="s">
        <v>8751</v>
      </c>
      <c r="I508" s="9">
        <f t="shared" ca="1" si="7"/>
        <v>13</v>
      </c>
      <c r="J508" s="15" t="s">
        <v>8752</v>
      </c>
      <c r="K508" s="15" t="s">
        <v>67</v>
      </c>
      <c r="L508" s="9" t="str">
        <f>VLOOKUP(K508,[1]中国省份_标准!$B$2:$F$35,4,FALSE)</f>
        <v>东部地区</v>
      </c>
      <c r="M508" s="9" t="str">
        <f>VLOOKUP(K508,[1]中国省份_标准!$B$2:$F$35,5,FALSE)</f>
        <v>华东地区</v>
      </c>
      <c r="N508" s="15" t="s">
        <v>1809</v>
      </c>
      <c r="O508" s="15" t="s">
        <v>3875</v>
      </c>
      <c r="P508" s="15" t="s">
        <v>8753</v>
      </c>
      <c r="Q508" s="15" t="s">
        <v>8754</v>
      </c>
      <c r="R508" s="15" t="s">
        <v>8755</v>
      </c>
      <c r="S508" s="15" t="s">
        <v>39</v>
      </c>
      <c r="T508" s="15" t="s">
        <v>48</v>
      </c>
      <c r="U508" s="15" t="s">
        <v>8748</v>
      </c>
      <c r="V508" s="15" t="s">
        <v>8756</v>
      </c>
      <c r="W508" s="15" t="s">
        <v>8757</v>
      </c>
      <c r="X508" s="15" t="s">
        <v>2730</v>
      </c>
      <c r="Y508" s="15" t="s">
        <v>78</v>
      </c>
      <c r="Z508" s="15" t="s">
        <v>8758</v>
      </c>
      <c r="AA508" s="15" t="s">
        <v>169</v>
      </c>
      <c r="AB508" s="15" t="s">
        <v>285</v>
      </c>
      <c r="AC508" s="15" t="s">
        <v>6423</v>
      </c>
      <c r="AD508" s="15" t="s">
        <v>6424</v>
      </c>
      <c r="AE508" s="15" t="s">
        <v>55</v>
      </c>
      <c r="AF508" s="15" t="s">
        <v>8759</v>
      </c>
      <c r="AG508" s="15" t="s">
        <v>8760</v>
      </c>
      <c r="AH508" s="15" t="s">
        <v>39</v>
      </c>
      <c r="AI508" s="15" t="s">
        <v>8761</v>
      </c>
      <c r="AJ508" s="15" t="s">
        <v>8762</v>
      </c>
      <c r="AK508" s="15" t="s">
        <v>3886</v>
      </c>
      <c r="AL508" s="15" t="s">
        <v>88</v>
      </c>
    </row>
    <row r="509" spans="1:38" x14ac:dyDescent="0.4">
      <c r="A509" s="11" t="s">
        <v>8763</v>
      </c>
      <c r="B509" s="12" t="s">
        <v>8764</v>
      </c>
      <c r="C509" s="13" t="s">
        <v>39</v>
      </c>
      <c r="D509" s="13" t="s">
        <v>92</v>
      </c>
      <c r="E509" s="13" t="s">
        <v>8765</v>
      </c>
      <c r="F509" s="13" t="s">
        <v>961</v>
      </c>
      <c r="G509" s="13" t="s">
        <v>39</v>
      </c>
      <c r="H509" s="13" t="s">
        <v>8766</v>
      </c>
      <c r="I509" s="9">
        <f t="shared" ca="1" si="7"/>
        <v>3</v>
      </c>
      <c r="J509" s="13" t="s">
        <v>8767</v>
      </c>
      <c r="K509" s="13" t="s">
        <v>983</v>
      </c>
      <c r="L509" s="9" t="str">
        <f>VLOOKUP(K509,[1]中国省份_标准!$B$2:$F$35,4,FALSE)</f>
        <v>西部地区</v>
      </c>
      <c r="M509" s="9" t="str">
        <f>VLOOKUP(K509,[1]中国省份_标准!$B$2:$F$35,5,FALSE)</f>
        <v>华北地区</v>
      </c>
      <c r="N509" s="13" t="s">
        <v>984</v>
      </c>
      <c r="O509" s="13" t="s">
        <v>8768</v>
      </c>
      <c r="P509" s="13" t="s">
        <v>8769</v>
      </c>
      <c r="Q509" s="13" t="s">
        <v>39</v>
      </c>
      <c r="R509" s="13" t="s">
        <v>8770</v>
      </c>
      <c r="S509" s="13" t="s">
        <v>39</v>
      </c>
      <c r="T509" s="13" t="s">
        <v>281</v>
      </c>
      <c r="U509" s="13" t="s">
        <v>8764</v>
      </c>
      <c r="V509" s="13" t="s">
        <v>39</v>
      </c>
      <c r="W509" s="13" t="s">
        <v>8771</v>
      </c>
      <c r="X509" s="13" t="s">
        <v>690</v>
      </c>
      <c r="Y509" s="13" t="s">
        <v>78</v>
      </c>
      <c r="Z509" s="13" t="s">
        <v>8772</v>
      </c>
      <c r="AA509" s="13" t="s">
        <v>80</v>
      </c>
      <c r="AB509" s="13" t="s">
        <v>106</v>
      </c>
      <c r="AC509" s="13" t="s">
        <v>808</v>
      </c>
      <c r="AD509" s="13" t="s">
        <v>809</v>
      </c>
      <c r="AE509" s="13" t="s">
        <v>109</v>
      </c>
      <c r="AF509" s="13" t="s">
        <v>8773</v>
      </c>
      <c r="AG509" s="13" t="s">
        <v>39</v>
      </c>
      <c r="AH509" s="13" t="s">
        <v>39</v>
      </c>
      <c r="AI509" s="13" t="s">
        <v>8774</v>
      </c>
      <c r="AJ509" s="13" t="s">
        <v>8775</v>
      </c>
      <c r="AK509" s="13" t="s">
        <v>8776</v>
      </c>
      <c r="AL509" s="13" t="s">
        <v>88</v>
      </c>
    </row>
    <row r="510" spans="1:38" x14ac:dyDescent="0.4">
      <c r="A510" s="11" t="s">
        <v>8777</v>
      </c>
      <c r="B510" s="14" t="s">
        <v>8778</v>
      </c>
      <c r="C510" s="15" t="s">
        <v>39</v>
      </c>
      <c r="D510" s="15" t="s">
        <v>8779</v>
      </c>
      <c r="E510" s="15" t="s">
        <v>8780</v>
      </c>
      <c r="F510" s="15" t="s">
        <v>1235</v>
      </c>
      <c r="G510" s="15" t="s">
        <v>1235</v>
      </c>
      <c r="H510" s="15" t="s">
        <v>8781</v>
      </c>
      <c r="I510" s="9">
        <f t="shared" ca="1" si="7"/>
        <v>4</v>
      </c>
      <c r="J510" s="15" t="s">
        <v>8782</v>
      </c>
      <c r="K510" s="15" t="s">
        <v>97</v>
      </c>
      <c r="L510" s="9" t="str">
        <f>VLOOKUP(K510,[1]中国省份_标准!$B$2:$F$35,4,FALSE)</f>
        <v>中部地区</v>
      </c>
      <c r="M510" s="9" t="str">
        <f>VLOOKUP(K510,[1]中国省份_标准!$B$2:$F$35,5,FALSE)</f>
        <v>华中地区</v>
      </c>
      <c r="N510" s="15" t="s">
        <v>8783</v>
      </c>
      <c r="O510" s="15" t="s">
        <v>8784</v>
      </c>
      <c r="P510" s="15" t="s">
        <v>8785</v>
      </c>
      <c r="Q510" s="15" t="s">
        <v>39</v>
      </c>
      <c r="R510" s="15" t="s">
        <v>8786</v>
      </c>
      <c r="S510" s="15" t="s">
        <v>39</v>
      </c>
      <c r="T510" s="15" t="s">
        <v>281</v>
      </c>
      <c r="U510" s="15" t="s">
        <v>8778</v>
      </c>
      <c r="V510" s="15" t="s">
        <v>8787</v>
      </c>
      <c r="W510" s="15" t="s">
        <v>8788</v>
      </c>
      <c r="X510" s="15" t="s">
        <v>1130</v>
      </c>
      <c r="Y510" s="15" t="s">
        <v>78</v>
      </c>
      <c r="Z510" s="15" t="s">
        <v>8789</v>
      </c>
      <c r="AA510" s="15" t="s">
        <v>169</v>
      </c>
      <c r="AB510" s="15" t="s">
        <v>285</v>
      </c>
      <c r="AC510" s="15" t="s">
        <v>1528</v>
      </c>
      <c r="AD510" s="15" t="s">
        <v>1529</v>
      </c>
      <c r="AE510" s="15" t="s">
        <v>55</v>
      </c>
      <c r="AF510" s="15" t="s">
        <v>8790</v>
      </c>
      <c r="AG510" s="15" t="s">
        <v>39</v>
      </c>
      <c r="AH510" s="15" t="s">
        <v>39</v>
      </c>
      <c r="AI510" s="15" t="s">
        <v>8791</v>
      </c>
      <c r="AJ510" s="15" t="s">
        <v>8792</v>
      </c>
      <c r="AK510" s="15" t="s">
        <v>8793</v>
      </c>
      <c r="AL510" s="15" t="s">
        <v>88</v>
      </c>
    </row>
    <row r="511" spans="1:38" x14ac:dyDescent="0.4">
      <c r="A511" s="11" t="s">
        <v>8794</v>
      </c>
      <c r="B511" s="12" t="s">
        <v>8795</v>
      </c>
      <c r="C511" s="13" t="s">
        <v>39</v>
      </c>
      <c r="D511" s="13" t="s">
        <v>92</v>
      </c>
      <c r="E511" s="13" t="s">
        <v>8796</v>
      </c>
      <c r="F511" s="13" t="s">
        <v>8797</v>
      </c>
      <c r="G511" s="13" t="s">
        <v>8797</v>
      </c>
      <c r="H511" s="13" t="s">
        <v>3258</v>
      </c>
      <c r="I511" s="9">
        <f t="shared" ca="1" si="7"/>
        <v>20</v>
      </c>
      <c r="J511" s="13" t="s">
        <v>8798</v>
      </c>
      <c r="K511" s="13" t="s">
        <v>45</v>
      </c>
      <c r="L511" s="9" t="str">
        <f>VLOOKUP(K511,[1]中国省份_标准!$B$2:$F$35,4,FALSE)</f>
        <v>东部地区</v>
      </c>
      <c r="M511" s="9" t="str">
        <f>VLOOKUP(K511,[1]中国省份_标准!$B$2:$F$35,5,FALSE)</f>
        <v>华东地区</v>
      </c>
      <c r="N511" s="13" t="s">
        <v>45</v>
      </c>
      <c r="O511" s="13" t="s">
        <v>46</v>
      </c>
      <c r="P511" s="13" t="s">
        <v>8799</v>
      </c>
      <c r="Q511" s="13" t="s">
        <v>8800</v>
      </c>
      <c r="R511" s="13" t="s">
        <v>8801</v>
      </c>
      <c r="S511" s="13" t="s">
        <v>8802</v>
      </c>
      <c r="T511" s="13" t="s">
        <v>4884</v>
      </c>
      <c r="U511" s="13" t="s">
        <v>8795</v>
      </c>
      <c r="V511" s="13" t="s">
        <v>8803</v>
      </c>
      <c r="W511" s="13" t="s">
        <v>8804</v>
      </c>
      <c r="X511" s="13" t="s">
        <v>8805</v>
      </c>
      <c r="Y511" s="13" t="s">
        <v>78</v>
      </c>
      <c r="Z511" s="13" t="s">
        <v>3267</v>
      </c>
      <c r="AA511" s="13" t="s">
        <v>80</v>
      </c>
      <c r="AB511" s="13" t="s">
        <v>81</v>
      </c>
      <c r="AC511" s="13" t="s">
        <v>8806</v>
      </c>
      <c r="AD511" s="13" t="s">
        <v>8807</v>
      </c>
      <c r="AE511" s="13" t="s">
        <v>262</v>
      </c>
      <c r="AF511" s="13" t="s">
        <v>8808</v>
      </c>
      <c r="AG511" s="13" t="s">
        <v>8809</v>
      </c>
      <c r="AH511" s="13" t="s">
        <v>39</v>
      </c>
      <c r="AI511" s="13" t="s">
        <v>8810</v>
      </c>
      <c r="AJ511" s="13" t="s">
        <v>8811</v>
      </c>
      <c r="AK511" s="13" t="s">
        <v>8812</v>
      </c>
      <c r="AL511" s="13" t="s">
        <v>88</v>
      </c>
    </row>
    <row r="512" spans="1:38" x14ac:dyDescent="0.4">
      <c r="A512" s="11" t="s">
        <v>8813</v>
      </c>
      <c r="B512" s="14" t="s">
        <v>8814</v>
      </c>
      <c r="C512" s="15" t="s">
        <v>39</v>
      </c>
      <c r="D512" s="15" t="s">
        <v>92</v>
      </c>
      <c r="E512" s="15" t="s">
        <v>8815</v>
      </c>
      <c r="F512" s="15" t="s">
        <v>8816</v>
      </c>
      <c r="G512" s="15" t="s">
        <v>8816</v>
      </c>
      <c r="H512" s="15" t="s">
        <v>8817</v>
      </c>
      <c r="I512" s="9">
        <f t="shared" ca="1" si="7"/>
        <v>27</v>
      </c>
      <c r="J512" s="15" t="s">
        <v>8818</v>
      </c>
      <c r="K512" s="15" t="s">
        <v>425</v>
      </c>
      <c r="L512" s="9" t="str">
        <f>VLOOKUP(K512,[1]中国省份_标准!$B$2:$F$35,4,FALSE)</f>
        <v>东部地区</v>
      </c>
      <c r="M512" s="9" t="str">
        <f>VLOOKUP(K512,[1]中国省份_标准!$B$2:$F$35,5,FALSE)</f>
        <v>华东地区</v>
      </c>
      <c r="N512" s="15" t="s">
        <v>426</v>
      </c>
      <c r="O512" s="15" t="s">
        <v>427</v>
      </c>
      <c r="P512" s="15" t="s">
        <v>8819</v>
      </c>
      <c r="Q512" s="15" t="s">
        <v>8820</v>
      </c>
      <c r="R512" s="15" t="s">
        <v>8821</v>
      </c>
      <c r="S512" s="15" t="s">
        <v>8822</v>
      </c>
      <c r="T512" s="15" t="s">
        <v>48</v>
      </c>
      <c r="U512" s="15" t="s">
        <v>8814</v>
      </c>
      <c r="V512" s="15" t="s">
        <v>8823</v>
      </c>
      <c r="W512" s="15" t="s">
        <v>8824</v>
      </c>
      <c r="X512" s="15" t="s">
        <v>1938</v>
      </c>
      <c r="Y512" s="15" t="s">
        <v>78</v>
      </c>
      <c r="Z512" s="15" t="s">
        <v>8825</v>
      </c>
      <c r="AA512" s="15" t="s">
        <v>169</v>
      </c>
      <c r="AB512" s="15" t="s">
        <v>285</v>
      </c>
      <c r="AC512" s="15" t="s">
        <v>39</v>
      </c>
      <c r="AD512" s="15" t="s">
        <v>39</v>
      </c>
      <c r="AE512" s="15" t="s">
        <v>55</v>
      </c>
      <c r="AF512" s="15" t="s">
        <v>8826</v>
      </c>
      <c r="AG512" s="15" t="s">
        <v>8827</v>
      </c>
      <c r="AH512" s="15" t="s">
        <v>39</v>
      </c>
      <c r="AI512" s="15" t="s">
        <v>8828</v>
      </c>
      <c r="AJ512" s="15" t="s">
        <v>8829</v>
      </c>
      <c r="AK512" s="15" t="s">
        <v>695</v>
      </c>
      <c r="AL512" s="15" t="s">
        <v>88</v>
      </c>
    </row>
    <row r="513" spans="1:38" x14ac:dyDescent="0.4">
      <c r="A513" s="11" t="s">
        <v>8830</v>
      </c>
      <c r="B513" s="12" t="s">
        <v>8831</v>
      </c>
      <c r="C513" s="13" t="s">
        <v>39</v>
      </c>
      <c r="D513" s="13" t="s">
        <v>92</v>
      </c>
      <c r="E513" s="13" t="s">
        <v>8832</v>
      </c>
      <c r="F513" s="13" t="s">
        <v>422</v>
      </c>
      <c r="G513" s="13" t="s">
        <v>2659</v>
      </c>
      <c r="H513" s="13" t="s">
        <v>8833</v>
      </c>
      <c r="I513" s="9">
        <f t="shared" ca="1" si="7"/>
        <v>3</v>
      </c>
      <c r="J513" s="13" t="s">
        <v>8834</v>
      </c>
      <c r="K513" s="13" t="s">
        <v>4266</v>
      </c>
      <c r="L513" s="9" t="str">
        <f>VLOOKUP(K513,[1]中国省份_标准!$B$2:$F$35,4,FALSE)</f>
        <v>东部地区</v>
      </c>
      <c r="M513" s="9" t="str">
        <f>VLOOKUP(K513,[1]中国省份_标准!$B$2:$F$35,5,FALSE)</f>
        <v>华北地区</v>
      </c>
      <c r="N513" s="13" t="s">
        <v>4266</v>
      </c>
      <c r="O513" s="13" t="s">
        <v>8835</v>
      </c>
      <c r="P513" s="13" t="s">
        <v>8836</v>
      </c>
      <c r="Q513" s="13" t="s">
        <v>8837</v>
      </c>
      <c r="R513" s="13" t="s">
        <v>8838</v>
      </c>
      <c r="S513" s="13" t="s">
        <v>39</v>
      </c>
      <c r="T513" s="13" t="s">
        <v>670</v>
      </c>
      <c r="U513" s="13" t="s">
        <v>8831</v>
      </c>
      <c r="V513" s="13" t="s">
        <v>8839</v>
      </c>
      <c r="W513" s="13" t="s">
        <v>8840</v>
      </c>
      <c r="X513" s="13" t="s">
        <v>77</v>
      </c>
      <c r="Y513" s="13" t="s">
        <v>78</v>
      </c>
      <c r="Z513" s="13" t="s">
        <v>8841</v>
      </c>
      <c r="AA513" s="13" t="s">
        <v>1796</v>
      </c>
      <c r="AB513" s="13" t="s">
        <v>2851</v>
      </c>
      <c r="AC513" s="13" t="s">
        <v>2852</v>
      </c>
      <c r="AD513" s="13" t="s">
        <v>8842</v>
      </c>
      <c r="AE513" s="13" t="s">
        <v>109</v>
      </c>
      <c r="AF513" s="13" t="s">
        <v>8843</v>
      </c>
      <c r="AG513" s="13" t="s">
        <v>39</v>
      </c>
      <c r="AH513" s="13" t="s">
        <v>39</v>
      </c>
      <c r="AI513" s="13" t="s">
        <v>8844</v>
      </c>
      <c r="AJ513" s="13" t="s">
        <v>8845</v>
      </c>
      <c r="AK513" s="13" t="s">
        <v>8846</v>
      </c>
      <c r="AL513" s="13" t="s">
        <v>88</v>
      </c>
    </row>
    <row r="514" spans="1:38" x14ac:dyDescent="0.4">
      <c r="A514" s="11" t="s">
        <v>8847</v>
      </c>
      <c r="B514" s="14" t="s">
        <v>8848</v>
      </c>
      <c r="C514" s="15" t="s">
        <v>39</v>
      </c>
      <c r="D514" s="15" t="s">
        <v>92</v>
      </c>
      <c r="E514" s="15" t="s">
        <v>8849</v>
      </c>
      <c r="F514" s="15" t="s">
        <v>422</v>
      </c>
      <c r="G514" s="15" t="s">
        <v>39</v>
      </c>
      <c r="H514" s="15" t="s">
        <v>7993</v>
      </c>
      <c r="I514" s="9">
        <f t="shared" ca="1" si="7"/>
        <v>2</v>
      </c>
      <c r="J514" s="15" t="s">
        <v>8850</v>
      </c>
      <c r="K514" s="15" t="s">
        <v>340</v>
      </c>
      <c r="L514" s="9" t="str">
        <f>VLOOKUP(K514,[1]中国省份_标准!$B$2:$F$35,4,FALSE)</f>
        <v>东部地区</v>
      </c>
      <c r="M514" s="9" t="str">
        <f>VLOOKUP(K514,[1]中国省份_标准!$B$2:$F$35,5,FALSE)</f>
        <v>华东地区</v>
      </c>
      <c r="N514" s="15" t="s">
        <v>7751</v>
      </c>
      <c r="O514" s="15" t="s">
        <v>8851</v>
      </c>
      <c r="P514" s="15" t="s">
        <v>8852</v>
      </c>
      <c r="Q514" s="15" t="s">
        <v>8853</v>
      </c>
      <c r="R514" s="15" t="s">
        <v>8854</v>
      </c>
      <c r="S514" s="15" t="s">
        <v>8855</v>
      </c>
      <c r="T514" s="15" t="s">
        <v>48</v>
      </c>
      <c r="U514" s="15" t="s">
        <v>8848</v>
      </c>
      <c r="V514" s="15" t="s">
        <v>8856</v>
      </c>
      <c r="W514" s="15" t="s">
        <v>8857</v>
      </c>
      <c r="X514" s="15" t="s">
        <v>77</v>
      </c>
      <c r="Y514" s="15" t="s">
        <v>283</v>
      </c>
      <c r="Z514" s="15" t="s">
        <v>8000</v>
      </c>
      <c r="AA514" s="15" t="s">
        <v>169</v>
      </c>
      <c r="AB514" s="15" t="s">
        <v>285</v>
      </c>
      <c r="AC514" s="15" t="s">
        <v>479</v>
      </c>
      <c r="AD514" s="15" t="s">
        <v>480</v>
      </c>
      <c r="AE514" s="15" t="s">
        <v>109</v>
      </c>
      <c r="AF514" s="15" t="s">
        <v>8858</v>
      </c>
      <c r="AG514" s="15" t="s">
        <v>39</v>
      </c>
      <c r="AH514" s="15" t="s">
        <v>39</v>
      </c>
      <c r="AI514" s="15" t="s">
        <v>8859</v>
      </c>
      <c r="AJ514" s="15" t="s">
        <v>8860</v>
      </c>
      <c r="AK514" s="15" t="s">
        <v>8861</v>
      </c>
      <c r="AL514" s="15" t="s">
        <v>88</v>
      </c>
    </row>
    <row r="515" spans="1:38" x14ac:dyDescent="0.4">
      <c r="A515" s="11" t="s">
        <v>8862</v>
      </c>
      <c r="B515" s="12" t="s">
        <v>8863</v>
      </c>
      <c r="C515" s="13" t="s">
        <v>39</v>
      </c>
      <c r="D515" s="13" t="s">
        <v>63</v>
      </c>
      <c r="E515" s="13" t="s">
        <v>8864</v>
      </c>
      <c r="F515" s="13" t="s">
        <v>640</v>
      </c>
      <c r="G515" s="13" t="s">
        <v>640</v>
      </c>
      <c r="H515" s="13" t="s">
        <v>8865</v>
      </c>
      <c r="I515" s="9">
        <f t="shared" ref="I515:I578" ca="1" si="8">DATEDIF(H515, TODAY(), "Y")</f>
        <v>10</v>
      </c>
      <c r="J515" s="13" t="s">
        <v>8866</v>
      </c>
      <c r="K515" s="13" t="s">
        <v>67</v>
      </c>
      <c r="L515" s="9" t="str">
        <f>VLOOKUP(K515,[1]中国省份_标准!$B$2:$F$35,4,FALSE)</f>
        <v>东部地区</v>
      </c>
      <c r="M515" s="9" t="str">
        <f>VLOOKUP(K515,[1]中国省份_标准!$B$2:$F$35,5,FALSE)</f>
        <v>华东地区</v>
      </c>
      <c r="N515" s="13" t="s">
        <v>1663</v>
      </c>
      <c r="O515" s="13" t="s">
        <v>1664</v>
      </c>
      <c r="P515" s="13" t="s">
        <v>8867</v>
      </c>
      <c r="Q515" s="13" t="s">
        <v>8868</v>
      </c>
      <c r="R515" s="13" t="s">
        <v>8869</v>
      </c>
      <c r="S515" s="13" t="s">
        <v>8870</v>
      </c>
      <c r="T515" s="13" t="s">
        <v>281</v>
      </c>
      <c r="U515" s="13" t="s">
        <v>8863</v>
      </c>
      <c r="V515" s="13" t="s">
        <v>8871</v>
      </c>
      <c r="W515" s="13" t="s">
        <v>8872</v>
      </c>
      <c r="X515" s="13" t="s">
        <v>77</v>
      </c>
      <c r="Y515" s="13" t="s">
        <v>78</v>
      </c>
      <c r="Z515" s="13" t="s">
        <v>8873</v>
      </c>
      <c r="AA515" s="13" t="s">
        <v>169</v>
      </c>
      <c r="AB515" s="13" t="s">
        <v>170</v>
      </c>
      <c r="AC515" s="13" t="s">
        <v>1725</v>
      </c>
      <c r="AD515" s="13" t="s">
        <v>1726</v>
      </c>
      <c r="AE515" s="13" t="s">
        <v>109</v>
      </c>
      <c r="AF515" s="13" t="s">
        <v>8874</v>
      </c>
      <c r="AG515" s="13" t="s">
        <v>39</v>
      </c>
      <c r="AH515" s="13" t="s">
        <v>39</v>
      </c>
      <c r="AI515" s="13" t="s">
        <v>8875</v>
      </c>
      <c r="AJ515" s="13" t="s">
        <v>8876</v>
      </c>
      <c r="AK515" s="13" t="s">
        <v>1676</v>
      </c>
      <c r="AL515" s="13" t="s">
        <v>88</v>
      </c>
    </row>
    <row r="516" spans="1:38" x14ac:dyDescent="0.4">
      <c r="A516" s="11" t="s">
        <v>8877</v>
      </c>
      <c r="B516" s="14" t="s">
        <v>8878</v>
      </c>
      <c r="C516" s="15" t="s">
        <v>39</v>
      </c>
      <c r="D516" s="15" t="s">
        <v>92</v>
      </c>
      <c r="E516" s="15" t="s">
        <v>8879</v>
      </c>
      <c r="F516" s="15" t="s">
        <v>39</v>
      </c>
      <c r="G516" s="15" t="s">
        <v>39</v>
      </c>
      <c r="H516" s="15" t="s">
        <v>8880</v>
      </c>
      <c r="I516" s="9">
        <f t="shared" ca="1" si="8"/>
        <v>10</v>
      </c>
      <c r="J516" s="15" t="s">
        <v>8881</v>
      </c>
      <c r="K516" s="15" t="s">
        <v>340</v>
      </c>
      <c r="L516" s="9" t="str">
        <f>VLOOKUP(K516,[1]中国省份_标准!$B$2:$F$35,4,FALSE)</f>
        <v>东部地区</v>
      </c>
      <c r="M516" s="9" t="str">
        <f>VLOOKUP(K516,[1]中国省份_标准!$B$2:$F$35,5,FALSE)</f>
        <v>华东地区</v>
      </c>
      <c r="N516" s="15" t="s">
        <v>3150</v>
      </c>
      <c r="O516" s="15" t="s">
        <v>8882</v>
      </c>
      <c r="P516" s="15" t="s">
        <v>39</v>
      </c>
      <c r="Q516" s="15" t="s">
        <v>39</v>
      </c>
      <c r="R516" s="15" t="s">
        <v>39</v>
      </c>
      <c r="S516" s="15" t="s">
        <v>39</v>
      </c>
      <c r="T516" s="15" t="s">
        <v>3232</v>
      </c>
      <c r="U516" s="15" t="s">
        <v>8878</v>
      </c>
      <c r="V516" s="15" t="s">
        <v>8883</v>
      </c>
      <c r="W516" s="15" t="s">
        <v>8884</v>
      </c>
      <c r="X516" s="15" t="s">
        <v>39</v>
      </c>
      <c r="Y516" s="15" t="s">
        <v>39</v>
      </c>
      <c r="Z516" s="15" t="s">
        <v>168</v>
      </c>
      <c r="AA516" s="15" t="s">
        <v>169</v>
      </c>
      <c r="AB516" s="15" t="s">
        <v>1996</v>
      </c>
      <c r="AC516" s="15" t="s">
        <v>1997</v>
      </c>
      <c r="AD516" s="15" t="s">
        <v>1997</v>
      </c>
      <c r="AE516" s="15" t="s">
        <v>39</v>
      </c>
      <c r="AF516" s="15" t="s">
        <v>39</v>
      </c>
      <c r="AG516" s="15" t="s">
        <v>39</v>
      </c>
      <c r="AH516" s="15" t="s">
        <v>39</v>
      </c>
      <c r="AI516" s="15" t="s">
        <v>8885</v>
      </c>
      <c r="AJ516" s="15" t="s">
        <v>8886</v>
      </c>
      <c r="AK516" s="15" t="s">
        <v>8887</v>
      </c>
      <c r="AL516" s="15" t="s">
        <v>39</v>
      </c>
    </row>
    <row r="517" spans="1:38" x14ac:dyDescent="0.4">
      <c r="A517" s="11" t="s">
        <v>8888</v>
      </c>
      <c r="B517" s="12" t="s">
        <v>8889</v>
      </c>
      <c r="C517" s="13" t="s">
        <v>39</v>
      </c>
      <c r="D517" s="13" t="s">
        <v>63</v>
      </c>
      <c r="E517" s="13" t="s">
        <v>8890</v>
      </c>
      <c r="F517" s="13" t="s">
        <v>154</v>
      </c>
      <c r="G517" s="13" t="s">
        <v>8891</v>
      </c>
      <c r="H517" s="13" t="s">
        <v>8892</v>
      </c>
      <c r="I517" s="9">
        <f t="shared" ca="1" si="8"/>
        <v>2</v>
      </c>
      <c r="J517" s="13" t="s">
        <v>8893</v>
      </c>
      <c r="K517" s="13" t="s">
        <v>425</v>
      </c>
      <c r="L517" s="9" t="str">
        <f>VLOOKUP(K517,[1]中国省份_标准!$B$2:$F$35,4,FALSE)</f>
        <v>东部地区</v>
      </c>
      <c r="M517" s="9" t="str">
        <f>VLOOKUP(K517,[1]中国省份_标准!$B$2:$F$35,5,FALSE)</f>
        <v>华东地区</v>
      </c>
      <c r="N517" s="13" t="s">
        <v>5513</v>
      </c>
      <c r="O517" s="13" t="s">
        <v>8894</v>
      </c>
      <c r="P517" s="13" t="s">
        <v>8895</v>
      </c>
      <c r="Q517" s="13" t="s">
        <v>39</v>
      </c>
      <c r="R517" s="13" t="s">
        <v>39</v>
      </c>
      <c r="S517" s="13" t="s">
        <v>39</v>
      </c>
      <c r="T517" s="13" t="s">
        <v>48</v>
      </c>
      <c r="U517" s="13" t="s">
        <v>8889</v>
      </c>
      <c r="V517" s="13" t="s">
        <v>8896</v>
      </c>
      <c r="W517" s="13" t="s">
        <v>8897</v>
      </c>
      <c r="X517" s="13" t="s">
        <v>77</v>
      </c>
      <c r="Y517" s="13" t="s">
        <v>78</v>
      </c>
      <c r="Z517" s="13" t="s">
        <v>8898</v>
      </c>
      <c r="AA517" s="13" t="s">
        <v>169</v>
      </c>
      <c r="AB517" s="13" t="s">
        <v>285</v>
      </c>
      <c r="AC517" s="13" t="s">
        <v>39</v>
      </c>
      <c r="AD517" s="13" t="s">
        <v>39</v>
      </c>
      <c r="AE517" s="13" t="s">
        <v>109</v>
      </c>
      <c r="AF517" s="13" t="s">
        <v>8899</v>
      </c>
      <c r="AG517" s="13" t="s">
        <v>39</v>
      </c>
      <c r="AH517" s="13" t="s">
        <v>39</v>
      </c>
      <c r="AI517" s="13" t="s">
        <v>8900</v>
      </c>
      <c r="AJ517" s="13" t="s">
        <v>8901</v>
      </c>
      <c r="AK517" s="13" t="s">
        <v>8902</v>
      </c>
      <c r="AL517" s="13" t="s">
        <v>88</v>
      </c>
    </row>
    <row r="518" spans="1:38" x14ac:dyDescent="0.4">
      <c r="A518" s="11" t="s">
        <v>8903</v>
      </c>
      <c r="B518" s="14" t="s">
        <v>8904</v>
      </c>
      <c r="C518" s="15" t="s">
        <v>39</v>
      </c>
      <c r="D518" s="15" t="s">
        <v>63</v>
      </c>
      <c r="E518" s="15" t="s">
        <v>3733</v>
      </c>
      <c r="F518" s="15" t="s">
        <v>5392</v>
      </c>
      <c r="G518" s="15" t="s">
        <v>39</v>
      </c>
      <c r="H518" s="15" t="s">
        <v>8905</v>
      </c>
      <c r="I518" s="9">
        <f t="shared" ca="1" si="8"/>
        <v>9</v>
      </c>
      <c r="J518" s="15" t="s">
        <v>8906</v>
      </c>
      <c r="K518" s="15" t="s">
        <v>67</v>
      </c>
      <c r="L518" s="9" t="str">
        <f>VLOOKUP(K518,[1]中国省份_标准!$B$2:$F$35,4,FALSE)</f>
        <v>东部地区</v>
      </c>
      <c r="M518" s="9" t="str">
        <f>VLOOKUP(K518,[1]中国省份_标准!$B$2:$F$35,5,FALSE)</f>
        <v>华东地区</v>
      </c>
      <c r="N518" s="15" t="s">
        <v>203</v>
      </c>
      <c r="O518" s="15" t="s">
        <v>944</v>
      </c>
      <c r="P518" s="15" t="s">
        <v>8907</v>
      </c>
      <c r="Q518" s="15" t="s">
        <v>8908</v>
      </c>
      <c r="R518" s="15" t="s">
        <v>8909</v>
      </c>
      <c r="S518" s="15" t="s">
        <v>8910</v>
      </c>
      <c r="T518" s="15" t="s">
        <v>184</v>
      </c>
      <c r="U518" s="15" t="s">
        <v>8904</v>
      </c>
      <c r="V518" s="15" t="s">
        <v>8911</v>
      </c>
      <c r="W518" s="15" t="s">
        <v>8912</v>
      </c>
      <c r="X518" s="15" t="s">
        <v>1130</v>
      </c>
      <c r="Y518" s="15" t="s">
        <v>78</v>
      </c>
      <c r="Z518" s="15" t="s">
        <v>8913</v>
      </c>
      <c r="AA518" s="15" t="s">
        <v>80</v>
      </c>
      <c r="AB518" s="15" t="s">
        <v>106</v>
      </c>
      <c r="AC518" s="15" t="s">
        <v>559</v>
      </c>
      <c r="AD518" s="15" t="s">
        <v>560</v>
      </c>
      <c r="AE518" s="15" t="s">
        <v>55</v>
      </c>
      <c r="AF518" s="15" t="s">
        <v>8914</v>
      </c>
      <c r="AG518" s="15" t="s">
        <v>39</v>
      </c>
      <c r="AH518" s="15" t="s">
        <v>39</v>
      </c>
      <c r="AI518" s="15" t="s">
        <v>8915</v>
      </c>
      <c r="AJ518" s="15" t="s">
        <v>8916</v>
      </c>
      <c r="AK518" s="15" t="s">
        <v>956</v>
      </c>
      <c r="AL518" s="15" t="s">
        <v>88</v>
      </c>
    </row>
    <row r="519" spans="1:38" x14ac:dyDescent="0.4">
      <c r="A519" s="11" t="s">
        <v>8917</v>
      </c>
      <c r="B519" s="12" t="s">
        <v>8918</v>
      </c>
      <c r="C519" s="13" t="s">
        <v>39</v>
      </c>
      <c r="D519" s="13" t="s">
        <v>63</v>
      </c>
      <c r="E519" s="13" t="s">
        <v>8919</v>
      </c>
      <c r="F519" s="13" t="s">
        <v>8920</v>
      </c>
      <c r="G519" s="13" t="s">
        <v>8920</v>
      </c>
      <c r="H519" s="13" t="s">
        <v>8921</v>
      </c>
      <c r="I519" s="9">
        <f t="shared" ca="1" si="8"/>
        <v>5</v>
      </c>
      <c r="J519" s="13" t="s">
        <v>8922</v>
      </c>
      <c r="K519" s="13" t="s">
        <v>67</v>
      </c>
      <c r="L519" s="9" t="str">
        <f>VLOOKUP(K519,[1]中国省份_标准!$B$2:$F$35,4,FALSE)</f>
        <v>东部地区</v>
      </c>
      <c r="M519" s="9" t="str">
        <f>VLOOKUP(K519,[1]中国省份_标准!$B$2:$F$35,5,FALSE)</f>
        <v>华东地区</v>
      </c>
      <c r="N519" s="13" t="s">
        <v>203</v>
      </c>
      <c r="O519" s="13" t="s">
        <v>8923</v>
      </c>
      <c r="P519" s="13" t="s">
        <v>8924</v>
      </c>
      <c r="Q519" s="13" t="s">
        <v>39</v>
      </c>
      <c r="R519" s="13" t="s">
        <v>8925</v>
      </c>
      <c r="S519" s="13" t="s">
        <v>39</v>
      </c>
      <c r="T519" s="13" t="s">
        <v>452</v>
      </c>
      <c r="U519" s="13" t="s">
        <v>8918</v>
      </c>
      <c r="V519" s="13" t="s">
        <v>39</v>
      </c>
      <c r="W519" s="13" t="s">
        <v>8926</v>
      </c>
      <c r="X519" s="13" t="s">
        <v>673</v>
      </c>
      <c r="Y519" s="13" t="s">
        <v>78</v>
      </c>
      <c r="Z519" s="13" t="s">
        <v>8927</v>
      </c>
      <c r="AA519" s="13" t="s">
        <v>80</v>
      </c>
      <c r="AB519" s="13" t="s">
        <v>106</v>
      </c>
      <c r="AC519" s="13" t="s">
        <v>107</v>
      </c>
      <c r="AD519" s="13" t="s">
        <v>8928</v>
      </c>
      <c r="AE519" s="13" t="s">
        <v>55</v>
      </c>
      <c r="AF519" s="13" t="s">
        <v>8929</v>
      </c>
      <c r="AG519" s="13" t="s">
        <v>39</v>
      </c>
      <c r="AH519" s="13" t="s">
        <v>8930</v>
      </c>
      <c r="AI519" s="13" t="s">
        <v>8931</v>
      </c>
      <c r="AJ519" s="13" t="s">
        <v>8932</v>
      </c>
      <c r="AK519" s="13" t="s">
        <v>8933</v>
      </c>
      <c r="AL519" s="13" t="s">
        <v>88</v>
      </c>
    </row>
    <row r="520" spans="1:38" x14ac:dyDescent="0.4">
      <c r="A520" s="11" t="s">
        <v>8934</v>
      </c>
      <c r="B520" s="14" t="s">
        <v>8935</v>
      </c>
      <c r="C520" s="15" t="s">
        <v>39</v>
      </c>
      <c r="D520" s="15" t="s">
        <v>92</v>
      </c>
      <c r="E520" s="15" t="s">
        <v>8936</v>
      </c>
      <c r="F520" s="15" t="s">
        <v>422</v>
      </c>
      <c r="G520" s="15" t="s">
        <v>39</v>
      </c>
      <c r="H520" s="15" t="s">
        <v>8937</v>
      </c>
      <c r="I520" s="9">
        <f t="shared" ca="1" si="8"/>
        <v>4</v>
      </c>
      <c r="J520" s="15" t="s">
        <v>8938</v>
      </c>
      <c r="K520" s="15" t="s">
        <v>97</v>
      </c>
      <c r="L520" s="9" t="str">
        <f>VLOOKUP(K520,[1]中国省份_标准!$B$2:$F$35,4,FALSE)</f>
        <v>中部地区</v>
      </c>
      <c r="M520" s="9" t="str">
        <f>VLOOKUP(K520,[1]中国省份_标准!$B$2:$F$35,5,FALSE)</f>
        <v>华中地区</v>
      </c>
      <c r="N520" s="15" t="s">
        <v>98</v>
      </c>
      <c r="O520" s="15" t="s">
        <v>120</v>
      </c>
      <c r="P520" s="15" t="s">
        <v>8939</v>
      </c>
      <c r="Q520" s="15" t="s">
        <v>39</v>
      </c>
      <c r="R520" s="15" t="s">
        <v>8940</v>
      </c>
      <c r="S520" s="15" t="s">
        <v>8941</v>
      </c>
      <c r="T520" s="15" t="s">
        <v>48</v>
      </c>
      <c r="U520" s="15" t="s">
        <v>8935</v>
      </c>
      <c r="V520" s="15" t="s">
        <v>8942</v>
      </c>
      <c r="W520" s="15" t="s">
        <v>8943</v>
      </c>
      <c r="X520" s="15" t="s">
        <v>77</v>
      </c>
      <c r="Y520" s="15" t="s">
        <v>78</v>
      </c>
      <c r="Z520" s="15" t="s">
        <v>8944</v>
      </c>
      <c r="AA520" s="15" t="s">
        <v>80</v>
      </c>
      <c r="AB520" s="15" t="s">
        <v>106</v>
      </c>
      <c r="AC520" s="15" t="s">
        <v>951</v>
      </c>
      <c r="AD520" s="15" t="s">
        <v>952</v>
      </c>
      <c r="AE520" s="15" t="s">
        <v>109</v>
      </c>
      <c r="AF520" s="15" t="s">
        <v>8945</v>
      </c>
      <c r="AG520" s="15" t="s">
        <v>39</v>
      </c>
      <c r="AH520" s="15" t="s">
        <v>39</v>
      </c>
      <c r="AI520" s="15" t="s">
        <v>8946</v>
      </c>
      <c r="AJ520" s="15" t="s">
        <v>8947</v>
      </c>
      <c r="AK520" s="15" t="s">
        <v>132</v>
      </c>
      <c r="AL520" s="15" t="s">
        <v>88</v>
      </c>
    </row>
    <row r="521" spans="1:38" x14ac:dyDescent="0.4">
      <c r="A521" s="11" t="s">
        <v>8948</v>
      </c>
      <c r="B521" s="12" t="s">
        <v>8949</v>
      </c>
      <c r="C521" s="13" t="s">
        <v>39</v>
      </c>
      <c r="D521" s="13" t="s">
        <v>92</v>
      </c>
      <c r="E521" s="13" t="s">
        <v>8950</v>
      </c>
      <c r="F521" s="13" t="s">
        <v>4095</v>
      </c>
      <c r="G521" s="13" t="s">
        <v>4095</v>
      </c>
      <c r="H521" s="13" t="s">
        <v>8951</v>
      </c>
      <c r="I521" s="9">
        <f t="shared" ca="1" si="8"/>
        <v>9</v>
      </c>
      <c r="J521" s="13" t="s">
        <v>8952</v>
      </c>
      <c r="K521" s="13" t="s">
        <v>379</v>
      </c>
      <c r="L521" s="9" t="str">
        <f>VLOOKUP(K521,[1]中国省份_标准!$B$2:$F$35,4,FALSE)</f>
        <v>东部地区</v>
      </c>
      <c r="M521" s="9" t="str">
        <f>VLOOKUP(K521,[1]中国省份_标准!$B$2:$F$35,5,FALSE)</f>
        <v>华东地区</v>
      </c>
      <c r="N521" s="13" t="s">
        <v>1221</v>
      </c>
      <c r="O521" s="13" t="s">
        <v>3319</v>
      </c>
      <c r="P521" s="13" t="s">
        <v>8953</v>
      </c>
      <c r="Q521" s="13" t="s">
        <v>8954</v>
      </c>
      <c r="R521" s="13" t="s">
        <v>8955</v>
      </c>
      <c r="S521" s="13" t="s">
        <v>8956</v>
      </c>
      <c r="T521" s="13" t="s">
        <v>3623</v>
      </c>
      <c r="U521" s="13" t="s">
        <v>8949</v>
      </c>
      <c r="V521" s="13" t="s">
        <v>8957</v>
      </c>
      <c r="W521" s="13" t="s">
        <v>8958</v>
      </c>
      <c r="X521" s="13" t="s">
        <v>8959</v>
      </c>
      <c r="Y521" s="13" t="s">
        <v>78</v>
      </c>
      <c r="Z521" s="13" t="s">
        <v>8960</v>
      </c>
      <c r="AA521" s="13" t="s">
        <v>850</v>
      </c>
      <c r="AB521" s="13" t="s">
        <v>7495</v>
      </c>
      <c r="AC521" s="13" t="s">
        <v>7496</v>
      </c>
      <c r="AD521" s="13" t="s">
        <v>8961</v>
      </c>
      <c r="AE521" s="13" t="s">
        <v>55</v>
      </c>
      <c r="AF521" s="13" t="s">
        <v>8962</v>
      </c>
      <c r="AG521" s="13" t="s">
        <v>39</v>
      </c>
      <c r="AH521" s="13" t="s">
        <v>39</v>
      </c>
      <c r="AI521" s="13" t="s">
        <v>8963</v>
      </c>
      <c r="AJ521" s="13" t="s">
        <v>8964</v>
      </c>
      <c r="AK521" s="13" t="s">
        <v>3333</v>
      </c>
      <c r="AL521" s="13" t="s">
        <v>88</v>
      </c>
    </row>
    <row r="522" spans="1:38" x14ac:dyDescent="0.4">
      <c r="A522" s="11" t="s">
        <v>8965</v>
      </c>
      <c r="B522" s="14" t="s">
        <v>8966</v>
      </c>
      <c r="C522" s="15" t="s">
        <v>39</v>
      </c>
      <c r="D522" s="15" t="s">
        <v>92</v>
      </c>
      <c r="E522" s="15" t="s">
        <v>8967</v>
      </c>
      <c r="F522" s="15" t="s">
        <v>271</v>
      </c>
      <c r="G522" s="15" t="s">
        <v>510</v>
      </c>
      <c r="H522" s="15" t="s">
        <v>8968</v>
      </c>
      <c r="I522" s="9">
        <f t="shared" ca="1" si="8"/>
        <v>10</v>
      </c>
      <c r="J522" s="15" t="s">
        <v>8969</v>
      </c>
      <c r="K522" s="15" t="s">
        <v>45</v>
      </c>
      <c r="L522" s="9" t="str">
        <f>VLOOKUP(K522,[1]中国省份_标准!$B$2:$F$35,4,FALSE)</f>
        <v>东部地区</v>
      </c>
      <c r="M522" s="9" t="str">
        <f>VLOOKUP(K522,[1]中国省份_标准!$B$2:$F$35,5,FALSE)</f>
        <v>华东地区</v>
      </c>
      <c r="N522" s="15" t="s">
        <v>45</v>
      </c>
      <c r="O522" s="15" t="s">
        <v>1123</v>
      </c>
      <c r="P522" s="15" t="s">
        <v>8970</v>
      </c>
      <c r="Q522" s="15" t="s">
        <v>8971</v>
      </c>
      <c r="R522" s="15" t="s">
        <v>8972</v>
      </c>
      <c r="S522" s="15" t="s">
        <v>39</v>
      </c>
      <c r="T522" s="15" t="s">
        <v>48</v>
      </c>
      <c r="U522" s="15" t="s">
        <v>8966</v>
      </c>
      <c r="V522" s="15" t="s">
        <v>8973</v>
      </c>
      <c r="W522" s="15" t="s">
        <v>8974</v>
      </c>
      <c r="X522" s="15" t="s">
        <v>540</v>
      </c>
      <c r="Y522" s="15" t="s">
        <v>78</v>
      </c>
      <c r="Z522" s="15" t="s">
        <v>8975</v>
      </c>
      <c r="AA522" s="15" t="s">
        <v>80</v>
      </c>
      <c r="AB522" s="15" t="s">
        <v>106</v>
      </c>
      <c r="AC522" s="15" t="s">
        <v>107</v>
      </c>
      <c r="AD522" s="15" t="s">
        <v>3545</v>
      </c>
      <c r="AE522" s="15" t="s">
        <v>55</v>
      </c>
      <c r="AF522" s="15" t="s">
        <v>8976</v>
      </c>
      <c r="AG522" s="15" t="s">
        <v>39</v>
      </c>
      <c r="AH522" s="15" t="s">
        <v>8977</v>
      </c>
      <c r="AI522" s="15" t="s">
        <v>8978</v>
      </c>
      <c r="AJ522" s="15" t="s">
        <v>8979</v>
      </c>
      <c r="AK522" s="15" t="s">
        <v>1138</v>
      </c>
      <c r="AL522" s="15" t="s">
        <v>88</v>
      </c>
    </row>
    <row r="523" spans="1:38" x14ac:dyDescent="0.4">
      <c r="A523" s="11" t="s">
        <v>8980</v>
      </c>
      <c r="B523" s="12" t="s">
        <v>8981</v>
      </c>
      <c r="C523" s="13" t="s">
        <v>8982</v>
      </c>
      <c r="D523" s="13" t="s">
        <v>92</v>
      </c>
      <c r="E523" s="13" t="s">
        <v>8983</v>
      </c>
      <c r="F523" s="13" t="s">
        <v>8984</v>
      </c>
      <c r="G523" s="13" t="s">
        <v>8984</v>
      </c>
      <c r="H523" s="13" t="s">
        <v>8985</v>
      </c>
      <c r="I523" s="9">
        <f t="shared" ca="1" si="8"/>
        <v>10</v>
      </c>
      <c r="J523" s="13" t="s">
        <v>8986</v>
      </c>
      <c r="K523" s="13" t="s">
        <v>45</v>
      </c>
      <c r="L523" s="9" t="str">
        <f>VLOOKUP(K523,[1]中国省份_标准!$B$2:$F$35,4,FALSE)</f>
        <v>东部地区</v>
      </c>
      <c r="M523" s="9" t="str">
        <f>VLOOKUP(K523,[1]中国省份_标准!$B$2:$F$35,5,FALSE)</f>
        <v>华东地区</v>
      </c>
      <c r="N523" s="13" t="s">
        <v>45</v>
      </c>
      <c r="O523" s="13" t="s">
        <v>1123</v>
      </c>
      <c r="P523" s="13" t="s">
        <v>8987</v>
      </c>
      <c r="Q523" s="13" t="s">
        <v>8988</v>
      </c>
      <c r="R523" s="13" t="s">
        <v>8989</v>
      </c>
      <c r="S523" s="13" t="s">
        <v>39</v>
      </c>
      <c r="T523" s="13" t="s">
        <v>209</v>
      </c>
      <c r="U523" s="13" t="s">
        <v>8981</v>
      </c>
      <c r="V523" s="13" t="s">
        <v>8990</v>
      </c>
      <c r="W523" s="13" t="s">
        <v>8991</v>
      </c>
      <c r="X523" s="13" t="s">
        <v>8992</v>
      </c>
      <c r="Y523" s="13" t="s">
        <v>78</v>
      </c>
      <c r="Z523" s="13" t="s">
        <v>8993</v>
      </c>
      <c r="AA523" s="13" t="s">
        <v>80</v>
      </c>
      <c r="AB523" s="13" t="s">
        <v>106</v>
      </c>
      <c r="AC523" s="13" t="s">
        <v>559</v>
      </c>
      <c r="AD523" s="13" t="s">
        <v>560</v>
      </c>
      <c r="AE523" s="13" t="s">
        <v>262</v>
      </c>
      <c r="AF523" s="13" t="s">
        <v>8994</v>
      </c>
      <c r="AG523" s="13" t="s">
        <v>8995</v>
      </c>
      <c r="AH523" s="13" t="s">
        <v>39</v>
      </c>
      <c r="AI523" s="13" t="s">
        <v>8996</v>
      </c>
      <c r="AJ523" s="13" t="s">
        <v>8997</v>
      </c>
      <c r="AK523" s="13" t="s">
        <v>1138</v>
      </c>
      <c r="AL523" s="13" t="s">
        <v>88</v>
      </c>
    </row>
    <row r="524" spans="1:38" x14ac:dyDescent="0.4">
      <c r="A524" s="11" t="s">
        <v>8998</v>
      </c>
      <c r="B524" s="14" t="s">
        <v>8999</v>
      </c>
      <c r="C524" s="15" t="s">
        <v>9000</v>
      </c>
      <c r="D524" s="15" t="s">
        <v>92</v>
      </c>
      <c r="E524" s="15" t="s">
        <v>9001</v>
      </c>
      <c r="F524" s="15" t="s">
        <v>9002</v>
      </c>
      <c r="G524" s="15" t="s">
        <v>9002</v>
      </c>
      <c r="H524" s="15" t="s">
        <v>9003</v>
      </c>
      <c r="I524" s="9">
        <f t="shared" ca="1" si="8"/>
        <v>10</v>
      </c>
      <c r="J524" s="15" t="s">
        <v>9004</v>
      </c>
      <c r="K524" s="15" t="s">
        <v>45</v>
      </c>
      <c r="L524" s="9" t="str">
        <f>VLOOKUP(K524,[1]中国省份_标准!$B$2:$F$35,4,FALSE)</f>
        <v>东部地区</v>
      </c>
      <c r="M524" s="9" t="str">
        <f>VLOOKUP(K524,[1]中国省份_标准!$B$2:$F$35,5,FALSE)</f>
        <v>华东地区</v>
      </c>
      <c r="N524" s="15" t="s">
        <v>45</v>
      </c>
      <c r="O524" s="15" t="s">
        <v>8524</v>
      </c>
      <c r="P524" s="15" t="s">
        <v>9005</v>
      </c>
      <c r="Q524" s="15" t="s">
        <v>9006</v>
      </c>
      <c r="R524" s="15" t="s">
        <v>9007</v>
      </c>
      <c r="S524" s="15" t="s">
        <v>9008</v>
      </c>
      <c r="T524" s="15" t="s">
        <v>48</v>
      </c>
      <c r="U524" s="15" t="s">
        <v>8999</v>
      </c>
      <c r="V524" s="15" t="s">
        <v>9009</v>
      </c>
      <c r="W524" s="15" t="s">
        <v>9010</v>
      </c>
      <c r="X524" s="15" t="s">
        <v>4309</v>
      </c>
      <c r="Y524" s="15" t="s">
        <v>78</v>
      </c>
      <c r="Z524" s="15" t="s">
        <v>9011</v>
      </c>
      <c r="AA524" s="15" t="s">
        <v>80</v>
      </c>
      <c r="AB524" s="15" t="s">
        <v>106</v>
      </c>
      <c r="AC524" s="15" t="s">
        <v>107</v>
      </c>
      <c r="AD524" s="15" t="s">
        <v>128</v>
      </c>
      <c r="AE524" s="15" t="s">
        <v>55</v>
      </c>
      <c r="AF524" s="15" t="s">
        <v>9012</v>
      </c>
      <c r="AG524" s="15" t="s">
        <v>39</v>
      </c>
      <c r="AH524" s="15" t="s">
        <v>39</v>
      </c>
      <c r="AI524" s="15" t="s">
        <v>9013</v>
      </c>
      <c r="AJ524" s="15" t="s">
        <v>9014</v>
      </c>
      <c r="AK524" s="15" t="s">
        <v>8533</v>
      </c>
      <c r="AL524" s="15" t="s">
        <v>88</v>
      </c>
    </row>
    <row r="525" spans="1:38" x14ac:dyDescent="0.4">
      <c r="A525" s="11" t="s">
        <v>9015</v>
      </c>
      <c r="B525" s="12" t="s">
        <v>9016</v>
      </c>
      <c r="C525" s="13" t="s">
        <v>39</v>
      </c>
      <c r="D525" s="13" t="s">
        <v>92</v>
      </c>
      <c r="E525" s="13" t="s">
        <v>9017</v>
      </c>
      <c r="F525" s="13" t="s">
        <v>999</v>
      </c>
      <c r="G525" s="13" t="s">
        <v>999</v>
      </c>
      <c r="H525" s="13" t="s">
        <v>9018</v>
      </c>
      <c r="I525" s="9">
        <f t="shared" ca="1" si="8"/>
        <v>17</v>
      </c>
      <c r="J525" s="13" t="s">
        <v>9019</v>
      </c>
      <c r="K525" s="13" t="s">
        <v>45</v>
      </c>
      <c r="L525" s="9" t="str">
        <f>VLOOKUP(K525,[1]中国省份_标准!$B$2:$F$35,4,FALSE)</f>
        <v>东部地区</v>
      </c>
      <c r="M525" s="9" t="str">
        <f>VLOOKUP(K525,[1]中国省份_标准!$B$2:$F$35,5,FALSE)</f>
        <v>华东地区</v>
      </c>
      <c r="N525" s="13" t="s">
        <v>45</v>
      </c>
      <c r="O525" s="13" t="s">
        <v>9020</v>
      </c>
      <c r="P525" s="13" t="s">
        <v>9021</v>
      </c>
      <c r="Q525" s="13" t="s">
        <v>9022</v>
      </c>
      <c r="R525" s="13" t="s">
        <v>9023</v>
      </c>
      <c r="S525" s="13" t="s">
        <v>39</v>
      </c>
      <c r="T525" s="13" t="s">
        <v>48</v>
      </c>
      <c r="U525" s="13" t="s">
        <v>9016</v>
      </c>
      <c r="V525" s="13" t="s">
        <v>9024</v>
      </c>
      <c r="W525" s="13" t="s">
        <v>9025</v>
      </c>
      <c r="X525" s="13" t="s">
        <v>77</v>
      </c>
      <c r="Y525" s="13" t="s">
        <v>283</v>
      </c>
      <c r="Z525" s="13" t="s">
        <v>9026</v>
      </c>
      <c r="AA525" s="13" t="s">
        <v>52</v>
      </c>
      <c r="AB525" s="13" t="s">
        <v>53</v>
      </c>
      <c r="AC525" s="13" t="s">
        <v>1301</v>
      </c>
      <c r="AD525" s="13" t="s">
        <v>1302</v>
      </c>
      <c r="AE525" s="13" t="s">
        <v>109</v>
      </c>
      <c r="AF525" s="13" t="s">
        <v>9027</v>
      </c>
      <c r="AG525" s="13" t="s">
        <v>39</v>
      </c>
      <c r="AH525" s="13" t="s">
        <v>9028</v>
      </c>
      <c r="AI525" s="13" t="s">
        <v>9029</v>
      </c>
      <c r="AJ525" s="13" t="s">
        <v>9030</v>
      </c>
      <c r="AK525" s="13" t="s">
        <v>9031</v>
      </c>
      <c r="AL525" s="13" t="s">
        <v>88</v>
      </c>
    </row>
    <row r="526" spans="1:38" x14ac:dyDescent="0.4">
      <c r="A526" s="11" t="s">
        <v>9032</v>
      </c>
      <c r="B526" s="14" t="s">
        <v>9033</v>
      </c>
      <c r="C526" s="15" t="s">
        <v>39</v>
      </c>
      <c r="D526" s="15" t="s">
        <v>92</v>
      </c>
      <c r="E526" s="15" t="s">
        <v>9034</v>
      </c>
      <c r="F526" s="15" t="s">
        <v>422</v>
      </c>
      <c r="G526" s="15" t="s">
        <v>39</v>
      </c>
      <c r="H526" s="15" t="s">
        <v>9035</v>
      </c>
      <c r="I526" s="9">
        <f t="shared" ca="1" si="8"/>
        <v>1</v>
      </c>
      <c r="J526" s="15" t="s">
        <v>9036</v>
      </c>
      <c r="K526" s="15" t="s">
        <v>97</v>
      </c>
      <c r="L526" s="9" t="str">
        <f>VLOOKUP(K526,[1]中国省份_标准!$B$2:$F$35,4,FALSE)</f>
        <v>中部地区</v>
      </c>
      <c r="M526" s="9" t="str">
        <f>VLOOKUP(K526,[1]中国省份_标准!$B$2:$F$35,5,FALSE)</f>
        <v>华中地区</v>
      </c>
      <c r="N526" s="15" t="s">
        <v>98</v>
      </c>
      <c r="O526" s="15" t="s">
        <v>120</v>
      </c>
      <c r="P526" s="15" t="s">
        <v>9037</v>
      </c>
      <c r="Q526" s="15" t="s">
        <v>39</v>
      </c>
      <c r="R526" s="15" t="s">
        <v>9038</v>
      </c>
      <c r="S526" s="15" t="s">
        <v>39</v>
      </c>
      <c r="T526" s="15" t="s">
        <v>281</v>
      </c>
      <c r="U526" s="15" t="s">
        <v>9033</v>
      </c>
      <c r="V526" s="15" t="s">
        <v>9039</v>
      </c>
      <c r="W526" s="15" t="s">
        <v>9040</v>
      </c>
      <c r="X526" s="15" t="s">
        <v>77</v>
      </c>
      <c r="Y526" s="15" t="s">
        <v>78</v>
      </c>
      <c r="Z526" s="15" t="s">
        <v>9041</v>
      </c>
      <c r="AA526" s="15" t="s">
        <v>80</v>
      </c>
      <c r="AB526" s="15" t="s">
        <v>106</v>
      </c>
      <c r="AC526" s="15" t="s">
        <v>107</v>
      </c>
      <c r="AD526" s="15" t="s">
        <v>128</v>
      </c>
      <c r="AE526" s="15" t="s">
        <v>109</v>
      </c>
      <c r="AF526" s="15" t="s">
        <v>9042</v>
      </c>
      <c r="AG526" s="15" t="s">
        <v>39</v>
      </c>
      <c r="AH526" s="15" t="s">
        <v>39</v>
      </c>
      <c r="AI526" s="15" t="s">
        <v>9043</v>
      </c>
      <c r="AJ526" s="15" t="s">
        <v>9044</v>
      </c>
      <c r="AK526" s="15" t="s">
        <v>132</v>
      </c>
      <c r="AL526" s="15" t="s">
        <v>88</v>
      </c>
    </row>
    <row r="527" spans="1:38" x14ac:dyDescent="0.4">
      <c r="A527" s="11" t="s">
        <v>9045</v>
      </c>
      <c r="B527" s="12" t="s">
        <v>9046</v>
      </c>
      <c r="C527" s="13" t="s">
        <v>39</v>
      </c>
      <c r="D527" s="13" t="s">
        <v>92</v>
      </c>
      <c r="E527" s="13" t="s">
        <v>9047</v>
      </c>
      <c r="F527" s="13" t="s">
        <v>422</v>
      </c>
      <c r="G527" s="13" t="s">
        <v>39</v>
      </c>
      <c r="H527" s="13" t="s">
        <v>9048</v>
      </c>
      <c r="I527" s="9">
        <f t="shared" ca="1" si="8"/>
        <v>4</v>
      </c>
      <c r="J527" s="13" t="s">
        <v>9049</v>
      </c>
      <c r="K527" s="13" t="s">
        <v>97</v>
      </c>
      <c r="L527" s="9" t="str">
        <f>VLOOKUP(K527,[1]中国省份_标准!$B$2:$F$35,4,FALSE)</f>
        <v>中部地区</v>
      </c>
      <c r="M527" s="9" t="str">
        <f>VLOOKUP(K527,[1]中国省份_标准!$B$2:$F$35,5,FALSE)</f>
        <v>华中地区</v>
      </c>
      <c r="N527" s="13" t="s">
        <v>98</v>
      </c>
      <c r="O527" s="13" t="s">
        <v>120</v>
      </c>
      <c r="P527" s="13" t="s">
        <v>9050</v>
      </c>
      <c r="Q527" s="13" t="s">
        <v>39</v>
      </c>
      <c r="R527" s="13" t="s">
        <v>9051</v>
      </c>
      <c r="S527" s="13" t="s">
        <v>9052</v>
      </c>
      <c r="T527" s="13" t="s">
        <v>48</v>
      </c>
      <c r="U527" s="13" t="s">
        <v>9046</v>
      </c>
      <c r="V527" s="13" t="s">
        <v>9053</v>
      </c>
      <c r="W527" s="13" t="s">
        <v>9054</v>
      </c>
      <c r="X527" s="13" t="s">
        <v>77</v>
      </c>
      <c r="Y527" s="13" t="s">
        <v>78</v>
      </c>
      <c r="Z527" s="13" t="s">
        <v>9055</v>
      </c>
      <c r="AA527" s="13" t="s">
        <v>80</v>
      </c>
      <c r="AB527" s="13" t="s">
        <v>106</v>
      </c>
      <c r="AC527" s="13" t="s">
        <v>107</v>
      </c>
      <c r="AD527" s="13" t="s">
        <v>128</v>
      </c>
      <c r="AE527" s="13" t="s">
        <v>55</v>
      </c>
      <c r="AF527" s="13" t="s">
        <v>9056</v>
      </c>
      <c r="AG527" s="13" t="s">
        <v>39</v>
      </c>
      <c r="AH527" s="13" t="s">
        <v>39</v>
      </c>
      <c r="AI527" s="13" t="s">
        <v>9057</v>
      </c>
      <c r="AJ527" s="13" t="s">
        <v>9058</v>
      </c>
      <c r="AK527" s="13" t="s">
        <v>132</v>
      </c>
      <c r="AL527" s="13" t="s">
        <v>88</v>
      </c>
    </row>
    <row r="528" spans="1:38" x14ac:dyDescent="0.4">
      <c r="A528" s="11" t="s">
        <v>9059</v>
      </c>
      <c r="B528" s="14" t="s">
        <v>9060</v>
      </c>
      <c r="C528" s="15" t="s">
        <v>39</v>
      </c>
      <c r="D528" s="15" t="s">
        <v>9061</v>
      </c>
      <c r="E528" s="15" t="s">
        <v>9062</v>
      </c>
      <c r="F528" s="15" t="s">
        <v>154</v>
      </c>
      <c r="G528" s="15" t="s">
        <v>39</v>
      </c>
      <c r="H528" s="15" t="s">
        <v>9063</v>
      </c>
      <c r="I528" s="9">
        <f t="shared" ca="1" si="8"/>
        <v>3</v>
      </c>
      <c r="J528" s="15" t="s">
        <v>9064</v>
      </c>
      <c r="K528" s="15" t="s">
        <v>97</v>
      </c>
      <c r="L528" s="9" t="str">
        <f>VLOOKUP(K528,[1]中国省份_标准!$B$2:$F$35,4,FALSE)</f>
        <v>中部地区</v>
      </c>
      <c r="M528" s="9" t="str">
        <f>VLOOKUP(K528,[1]中国省份_标准!$B$2:$F$35,5,FALSE)</f>
        <v>华中地区</v>
      </c>
      <c r="N528" s="15" t="s">
        <v>98</v>
      </c>
      <c r="O528" s="15" t="s">
        <v>120</v>
      </c>
      <c r="P528" s="15" t="s">
        <v>9065</v>
      </c>
      <c r="Q528" s="15" t="s">
        <v>39</v>
      </c>
      <c r="R528" s="15" t="s">
        <v>9066</v>
      </c>
      <c r="S528" s="15" t="s">
        <v>9067</v>
      </c>
      <c r="T528" s="15" t="s">
        <v>281</v>
      </c>
      <c r="U528" s="15" t="s">
        <v>9060</v>
      </c>
      <c r="V528" s="15" t="s">
        <v>9068</v>
      </c>
      <c r="W528" s="15" t="s">
        <v>9069</v>
      </c>
      <c r="X528" s="15" t="s">
        <v>77</v>
      </c>
      <c r="Y528" s="15" t="s">
        <v>78</v>
      </c>
      <c r="Z528" s="15" t="s">
        <v>9070</v>
      </c>
      <c r="AA528" s="15" t="s">
        <v>80</v>
      </c>
      <c r="AB528" s="15" t="s">
        <v>106</v>
      </c>
      <c r="AC528" s="15" t="s">
        <v>107</v>
      </c>
      <c r="AD528" s="15" t="s">
        <v>128</v>
      </c>
      <c r="AE528" s="15" t="s">
        <v>109</v>
      </c>
      <c r="AF528" s="15" t="s">
        <v>9071</v>
      </c>
      <c r="AG528" s="15" t="s">
        <v>39</v>
      </c>
      <c r="AH528" s="15" t="s">
        <v>39</v>
      </c>
      <c r="AI528" s="15" t="s">
        <v>9072</v>
      </c>
      <c r="AJ528" s="15" t="s">
        <v>9058</v>
      </c>
      <c r="AK528" s="15" t="s">
        <v>132</v>
      </c>
      <c r="AL528" s="15" t="s">
        <v>88</v>
      </c>
    </row>
    <row r="529" spans="1:38" x14ac:dyDescent="0.4">
      <c r="A529" s="11" t="s">
        <v>9073</v>
      </c>
      <c r="B529" s="12" t="s">
        <v>9074</v>
      </c>
      <c r="C529" s="13" t="s">
        <v>39</v>
      </c>
      <c r="D529" s="13" t="s">
        <v>92</v>
      </c>
      <c r="E529" s="13" t="s">
        <v>9075</v>
      </c>
      <c r="F529" s="13" t="s">
        <v>422</v>
      </c>
      <c r="G529" s="13" t="s">
        <v>39</v>
      </c>
      <c r="H529" s="13" t="s">
        <v>9076</v>
      </c>
      <c r="I529" s="9">
        <f t="shared" ca="1" si="8"/>
        <v>4</v>
      </c>
      <c r="J529" s="13" t="s">
        <v>9077</v>
      </c>
      <c r="K529" s="13" t="s">
        <v>97</v>
      </c>
      <c r="L529" s="9" t="str">
        <f>VLOOKUP(K529,[1]中国省份_标准!$B$2:$F$35,4,FALSE)</f>
        <v>中部地区</v>
      </c>
      <c r="M529" s="9" t="str">
        <f>VLOOKUP(K529,[1]中国省份_标准!$B$2:$F$35,5,FALSE)</f>
        <v>华中地区</v>
      </c>
      <c r="N529" s="13" t="s">
        <v>98</v>
      </c>
      <c r="O529" s="13" t="s">
        <v>120</v>
      </c>
      <c r="P529" s="13" t="s">
        <v>9078</v>
      </c>
      <c r="Q529" s="13" t="s">
        <v>39</v>
      </c>
      <c r="R529" s="13" t="s">
        <v>9079</v>
      </c>
      <c r="S529" s="13" t="s">
        <v>9080</v>
      </c>
      <c r="T529" s="13" t="s">
        <v>48</v>
      </c>
      <c r="U529" s="13" t="s">
        <v>9074</v>
      </c>
      <c r="V529" s="13" t="s">
        <v>9081</v>
      </c>
      <c r="W529" s="13" t="s">
        <v>9082</v>
      </c>
      <c r="X529" s="13" t="s">
        <v>77</v>
      </c>
      <c r="Y529" s="13" t="s">
        <v>78</v>
      </c>
      <c r="Z529" s="13" t="s">
        <v>9083</v>
      </c>
      <c r="AA529" s="13" t="s">
        <v>80</v>
      </c>
      <c r="AB529" s="13" t="s">
        <v>106</v>
      </c>
      <c r="AC529" s="13" t="s">
        <v>107</v>
      </c>
      <c r="AD529" s="13" t="s">
        <v>128</v>
      </c>
      <c r="AE529" s="13" t="s">
        <v>109</v>
      </c>
      <c r="AF529" s="13" t="s">
        <v>9084</v>
      </c>
      <c r="AG529" s="13" t="s">
        <v>39</v>
      </c>
      <c r="AH529" s="13" t="s">
        <v>39</v>
      </c>
      <c r="AI529" s="13" t="s">
        <v>9085</v>
      </c>
      <c r="AJ529" s="13" t="s">
        <v>9058</v>
      </c>
      <c r="AK529" s="13" t="s">
        <v>132</v>
      </c>
      <c r="AL529" s="13" t="s">
        <v>88</v>
      </c>
    </row>
    <row r="530" spans="1:38" x14ac:dyDescent="0.4">
      <c r="A530" s="11" t="s">
        <v>9086</v>
      </c>
      <c r="B530" s="14" t="s">
        <v>9087</v>
      </c>
      <c r="C530" s="15" t="s">
        <v>39</v>
      </c>
      <c r="D530" s="15" t="s">
        <v>92</v>
      </c>
      <c r="E530" s="15" t="s">
        <v>9088</v>
      </c>
      <c r="F530" s="15" t="s">
        <v>422</v>
      </c>
      <c r="G530" s="15" t="s">
        <v>39</v>
      </c>
      <c r="H530" s="15" t="s">
        <v>9089</v>
      </c>
      <c r="I530" s="9">
        <f t="shared" ca="1" si="8"/>
        <v>2</v>
      </c>
      <c r="J530" s="15" t="s">
        <v>9090</v>
      </c>
      <c r="K530" s="15" t="s">
        <v>97</v>
      </c>
      <c r="L530" s="9" t="str">
        <f>VLOOKUP(K530,[1]中国省份_标准!$B$2:$F$35,4,FALSE)</f>
        <v>中部地区</v>
      </c>
      <c r="M530" s="9" t="str">
        <f>VLOOKUP(K530,[1]中国省份_标准!$B$2:$F$35,5,FALSE)</f>
        <v>华中地区</v>
      </c>
      <c r="N530" s="15" t="s">
        <v>98</v>
      </c>
      <c r="O530" s="15" t="s">
        <v>120</v>
      </c>
      <c r="P530" s="15" t="s">
        <v>9091</v>
      </c>
      <c r="Q530" s="15" t="s">
        <v>39</v>
      </c>
      <c r="R530" s="15" t="s">
        <v>9092</v>
      </c>
      <c r="S530" s="15" t="s">
        <v>39</v>
      </c>
      <c r="T530" s="15" t="s">
        <v>48</v>
      </c>
      <c r="U530" s="15" t="s">
        <v>9087</v>
      </c>
      <c r="V530" s="15" t="s">
        <v>9093</v>
      </c>
      <c r="W530" s="15" t="s">
        <v>9094</v>
      </c>
      <c r="X530" s="15" t="s">
        <v>77</v>
      </c>
      <c r="Y530" s="15" t="s">
        <v>78</v>
      </c>
      <c r="Z530" s="15" t="s">
        <v>9095</v>
      </c>
      <c r="AA530" s="15" t="s">
        <v>80</v>
      </c>
      <c r="AB530" s="15" t="s">
        <v>106</v>
      </c>
      <c r="AC530" s="15" t="s">
        <v>107</v>
      </c>
      <c r="AD530" s="15" t="s">
        <v>128</v>
      </c>
      <c r="AE530" s="15" t="s">
        <v>109</v>
      </c>
      <c r="AF530" s="15" t="s">
        <v>9096</v>
      </c>
      <c r="AG530" s="15" t="s">
        <v>39</v>
      </c>
      <c r="AH530" s="15" t="s">
        <v>9097</v>
      </c>
      <c r="AI530" s="15" t="s">
        <v>9098</v>
      </c>
      <c r="AJ530" s="15" t="s">
        <v>9099</v>
      </c>
      <c r="AK530" s="15" t="s">
        <v>132</v>
      </c>
      <c r="AL530" s="15" t="s">
        <v>88</v>
      </c>
    </row>
    <row r="531" spans="1:38" x14ac:dyDescent="0.4">
      <c r="A531" s="11" t="s">
        <v>9100</v>
      </c>
      <c r="B531" s="12" t="s">
        <v>9101</v>
      </c>
      <c r="C531" s="13" t="s">
        <v>39</v>
      </c>
      <c r="D531" s="13" t="s">
        <v>9102</v>
      </c>
      <c r="E531" s="13" t="s">
        <v>9103</v>
      </c>
      <c r="F531" s="13" t="s">
        <v>154</v>
      </c>
      <c r="G531" s="13" t="s">
        <v>39</v>
      </c>
      <c r="H531" s="13" t="s">
        <v>9104</v>
      </c>
      <c r="I531" s="9">
        <f t="shared" ca="1" si="8"/>
        <v>3</v>
      </c>
      <c r="J531" s="13" t="s">
        <v>9105</v>
      </c>
      <c r="K531" s="13" t="s">
        <v>97</v>
      </c>
      <c r="L531" s="9" t="str">
        <f>VLOOKUP(K531,[1]中国省份_标准!$B$2:$F$35,4,FALSE)</f>
        <v>中部地区</v>
      </c>
      <c r="M531" s="9" t="str">
        <f>VLOOKUP(K531,[1]中国省份_标准!$B$2:$F$35,5,FALSE)</f>
        <v>华中地区</v>
      </c>
      <c r="N531" s="13" t="s">
        <v>98</v>
      </c>
      <c r="O531" s="13" t="s">
        <v>120</v>
      </c>
      <c r="P531" s="13" t="s">
        <v>9106</v>
      </c>
      <c r="Q531" s="13" t="s">
        <v>39</v>
      </c>
      <c r="R531" s="13" t="s">
        <v>9107</v>
      </c>
      <c r="S531" s="13" t="s">
        <v>39</v>
      </c>
      <c r="T531" s="13" t="s">
        <v>281</v>
      </c>
      <c r="U531" s="13" t="s">
        <v>9101</v>
      </c>
      <c r="V531" s="13" t="s">
        <v>9108</v>
      </c>
      <c r="W531" s="13" t="s">
        <v>9109</v>
      </c>
      <c r="X531" s="13" t="s">
        <v>77</v>
      </c>
      <c r="Y531" s="13" t="s">
        <v>78</v>
      </c>
      <c r="Z531" s="13" t="s">
        <v>9110</v>
      </c>
      <c r="AA531" s="13" t="s">
        <v>80</v>
      </c>
      <c r="AB531" s="13" t="s">
        <v>106</v>
      </c>
      <c r="AC531" s="13" t="s">
        <v>107</v>
      </c>
      <c r="AD531" s="13" t="s">
        <v>128</v>
      </c>
      <c r="AE531" s="13" t="s">
        <v>55</v>
      </c>
      <c r="AF531" s="13" t="s">
        <v>9111</v>
      </c>
      <c r="AG531" s="13" t="s">
        <v>39</v>
      </c>
      <c r="AH531" s="13" t="s">
        <v>39</v>
      </c>
      <c r="AI531" s="13" t="s">
        <v>9112</v>
      </c>
      <c r="AJ531" s="13" t="s">
        <v>9113</v>
      </c>
      <c r="AK531" s="13" t="s">
        <v>132</v>
      </c>
      <c r="AL531" s="13" t="s">
        <v>88</v>
      </c>
    </row>
    <row r="532" spans="1:38" x14ac:dyDescent="0.4">
      <c r="A532" s="11" t="s">
        <v>9114</v>
      </c>
      <c r="B532" s="14" t="s">
        <v>9115</v>
      </c>
      <c r="C532" s="15" t="s">
        <v>39</v>
      </c>
      <c r="D532" s="15" t="s">
        <v>92</v>
      </c>
      <c r="E532" s="15" t="s">
        <v>9116</v>
      </c>
      <c r="F532" s="15" t="s">
        <v>9117</v>
      </c>
      <c r="G532" s="15" t="s">
        <v>9117</v>
      </c>
      <c r="H532" s="15" t="s">
        <v>9118</v>
      </c>
      <c r="I532" s="9">
        <f t="shared" ca="1" si="8"/>
        <v>19</v>
      </c>
      <c r="J532" s="15" t="s">
        <v>9119</v>
      </c>
      <c r="K532" s="15" t="s">
        <v>3068</v>
      </c>
      <c r="L532" s="9" t="str">
        <f>VLOOKUP(K532,[1]中国省份_标准!$B$2:$F$35,4,FALSE)</f>
        <v>西部地区</v>
      </c>
      <c r="M532" s="9" t="str">
        <f>VLOOKUP(K532,[1]中国省份_标准!$B$2:$F$35,5,FALSE)</f>
        <v>西北地区</v>
      </c>
      <c r="N532" s="15" t="s">
        <v>9120</v>
      </c>
      <c r="O532" s="15" t="s">
        <v>9121</v>
      </c>
      <c r="P532" s="15" t="s">
        <v>9122</v>
      </c>
      <c r="Q532" s="15" t="s">
        <v>9123</v>
      </c>
      <c r="R532" s="15" t="s">
        <v>9124</v>
      </c>
      <c r="S532" s="15" t="s">
        <v>9125</v>
      </c>
      <c r="T532" s="15" t="s">
        <v>452</v>
      </c>
      <c r="U532" s="15" t="s">
        <v>9115</v>
      </c>
      <c r="V532" s="15" t="s">
        <v>9126</v>
      </c>
      <c r="W532" s="15" t="s">
        <v>9127</v>
      </c>
      <c r="X532" s="15" t="s">
        <v>9128</v>
      </c>
      <c r="Y532" s="15" t="s">
        <v>78</v>
      </c>
      <c r="Z532" s="15" t="s">
        <v>9129</v>
      </c>
      <c r="AA532" s="15" t="s">
        <v>9130</v>
      </c>
      <c r="AB532" s="15" t="s">
        <v>9131</v>
      </c>
      <c r="AC532" s="15" t="s">
        <v>9132</v>
      </c>
      <c r="AD532" s="15" t="s">
        <v>9133</v>
      </c>
      <c r="AE532" s="15" t="s">
        <v>262</v>
      </c>
      <c r="AF532" s="15" t="s">
        <v>9134</v>
      </c>
      <c r="AG532" s="15" t="s">
        <v>9135</v>
      </c>
      <c r="AH532" s="15" t="s">
        <v>39</v>
      </c>
      <c r="AI532" s="15" t="s">
        <v>9136</v>
      </c>
      <c r="AJ532" s="15" t="s">
        <v>9137</v>
      </c>
      <c r="AK532" s="15" t="s">
        <v>9138</v>
      </c>
      <c r="AL532" s="15" t="s">
        <v>88</v>
      </c>
    </row>
    <row r="533" spans="1:38" x14ac:dyDescent="0.4">
      <c r="A533" s="11" t="s">
        <v>9139</v>
      </c>
      <c r="B533" s="12" t="s">
        <v>9140</v>
      </c>
      <c r="C533" s="13" t="s">
        <v>9141</v>
      </c>
      <c r="D533" s="13" t="s">
        <v>92</v>
      </c>
      <c r="E533" s="13" t="s">
        <v>9142</v>
      </c>
      <c r="F533" s="13" t="s">
        <v>9143</v>
      </c>
      <c r="G533" s="13" t="s">
        <v>9143</v>
      </c>
      <c r="H533" s="13" t="s">
        <v>9144</v>
      </c>
      <c r="I533" s="9">
        <f t="shared" ca="1" si="8"/>
        <v>20</v>
      </c>
      <c r="J533" s="13" t="s">
        <v>9145</v>
      </c>
      <c r="K533" s="13" t="s">
        <v>531</v>
      </c>
      <c r="L533" s="9" t="str">
        <f>VLOOKUP(K533,[1]中国省份_标准!$B$2:$F$35,4,FALSE)</f>
        <v>东部地区</v>
      </c>
      <c r="M533" s="9" t="str">
        <f>VLOOKUP(K533,[1]中国省份_标准!$B$2:$F$35,5,FALSE)</f>
        <v>华南地区</v>
      </c>
      <c r="N533" s="13" t="s">
        <v>1450</v>
      </c>
      <c r="O533" s="13" t="s">
        <v>9146</v>
      </c>
      <c r="P533" s="13" t="s">
        <v>9147</v>
      </c>
      <c r="Q533" s="13" t="s">
        <v>9148</v>
      </c>
      <c r="R533" s="13" t="s">
        <v>9149</v>
      </c>
      <c r="S533" s="13" t="s">
        <v>9150</v>
      </c>
      <c r="T533" s="13" t="s">
        <v>3324</v>
      </c>
      <c r="U533" s="13" t="s">
        <v>9140</v>
      </c>
      <c r="V533" s="13" t="s">
        <v>9151</v>
      </c>
      <c r="W533" s="13" t="s">
        <v>9152</v>
      </c>
      <c r="X533" s="13" t="s">
        <v>9153</v>
      </c>
      <c r="Y533" s="13" t="s">
        <v>78</v>
      </c>
      <c r="Z533" s="13" t="s">
        <v>9154</v>
      </c>
      <c r="AA533" s="13" t="s">
        <v>52</v>
      </c>
      <c r="AB533" s="13" t="s">
        <v>53</v>
      </c>
      <c r="AC533" s="13" t="s">
        <v>2874</v>
      </c>
      <c r="AD533" s="13" t="s">
        <v>4311</v>
      </c>
      <c r="AE533" s="13" t="s">
        <v>262</v>
      </c>
      <c r="AF533" s="13" t="s">
        <v>9155</v>
      </c>
      <c r="AG533" s="13" t="s">
        <v>9156</v>
      </c>
      <c r="AH533" s="13" t="s">
        <v>39</v>
      </c>
      <c r="AI533" s="13" t="s">
        <v>9157</v>
      </c>
      <c r="AJ533" s="13" t="s">
        <v>9158</v>
      </c>
      <c r="AK533" s="13" t="s">
        <v>3596</v>
      </c>
      <c r="AL533" s="13" t="s">
        <v>88</v>
      </c>
    </row>
    <row r="534" spans="1:38" x14ac:dyDescent="0.4">
      <c r="A534" s="11" t="s">
        <v>9159</v>
      </c>
      <c r="B534" s="14" t="s">
        <v>9160</v>
      </c>
      <c r="C534" s="15" t="s">
        <v>39</v>
      </c>
      <c r="D534" s="15" t="s">
        <v>92</v>
      </c>
      <c r="E534" s="15" t="s">
        <v>9161</v>
      </c>
      <c r="F534" s="15" t="s">
        <v>999</v>
      </c>
      <c r="G534" s="15" t="s">
        <v>39</v>
      </c>
      <c r="H534" s="15" t="s">
        <v>9162</v>
      </c>
      <c r="I534" s="9">
        <f t="shared" ca="1" si="8"/>
        <v>5</v>
      </c>
      <c r="J534" s="15" t="s">
        <v>9163</v>
      </c>
      <c r="K534" s="15" t="s">
        <v>1752</v>
      </c>
      <c r="L534" s="9" t="str">
        <f>VLOOKUP(K534,[1]中国省份_标准!$B$2:$F$35,4,FALSE)</f>
        <v>中部地区</v>
      </c>
      <c r="M534" s="9" t="str">
        <f>VLOOKUP(K534,[1]中国省份_标准!$B$2:$F$35,5,FALSE)</f>
        <v>华中地区</v>
      </c>
      <c r="N534" s="15" t="s">
        <v>9164</v>
      </c>
      <c r="O534" s="15" t="s">
        <v>9165</v>
      </c>
      <c r="P534" s="15" t="s">
        <v>9166</v>
      </c>
      <c r="Q534" s="15" t="s">
        <v>9167</v>
      </c>
      <c r="R534" s="15" t="s">
        <v>9168</v>
      </c>
      <c r="S534" s="15" t="s">
        <v>9169</v>
      </c>
      <c r="T534" s="15" t="s">
        <v>452</v>
      </c>
      <c r="U534" s="15" t="s">
        <v>9160</v>
      </c>
      <c r="V534" s="15" t="s">
        <v>39</v>
      </c>
      <c r="W534" s="15" t="s">
        <v>9170</v>
      </c>
      <c r="X534" s="15" t="s">
        <v>77</v>
      </c>
      <c r="Y534" s="15" t="s">
        <v>78</v>
      </c>
      <c r="Z534" s="15" t="s">
        <v>9171</v>
      </c>
      <c r="AA534" s="15" t="s">
        <v>9130</v>
      </c>
      <c r="AB534" s="15" t="s">
        <v>9172</v>
      </c>
      <c r="AC534" s="15" t="s">
        <v>9172</v>
      </c>
      <c r="AD534" s="15" t="s">
        <v>9172</v>
      </c>
      <c r="AE534" s="15" t="s">
        <v>55</v>
      </c>
      <c r="AF534" s="15" t="s">
        <v>9173</v>
      </c>
      <c r="AG534" s="15" t="s">
        <v>39</v>
      </c>
      <c r="AH534" s="15" t="s">
        <v>39</v>
      </c>
      <c r="AI534" s="15" t="s">
        <v>9174</v>
      </c>
      <c r="AJ534" s="15" t="s">
        <v>9175</v>
      </c>
      <c r="AK534" s="15" t="s">
        <v>9176</v>
      </c>
      <c r="AL534" s="15" t="s">
        <v>88</v>
      </c>
    </row>
    <row r="535" spans="1:38" x14ac:dyDescent="0.4">
      <c r="A535" s="11" t="s">
        <v>9177</v>
      </c>
      <c r="B535" s="12" t="s">
        <v>9178</v>
      </c>
      <c r="C535" s="13" t="s">
        <v>9179</v>
      </c>
      <c r="D535" s="13" t="s">
        <v>63</v>
      </c>
      <c r="E535" s="13" t="s">
        <v>9180</v>
      </c>
      <c r="F535" s="13" t="s">
        <v>9181</v>
      </c>
      <c r="G535" s="13" t="s">
        <v>9181</v>
      </c>
      <c r="H535" s="13" t="s">
        <v>9182</v>
      </c>
      <c r="I535" s="9">
        <f t="shared" ca="1" si="8"/>
        <v>16</v>
      </c>
      <c r="J535" s="13" t="s">
        <v>9183</v>
      </c>
      <c r="K535" s="13" t="s">
        <v>3405</v>
      </c>
      <c r="L535" s="9" t="str">
        <f>VLOOKUP(K535,[1]中国省份_标准!$B$2:$F$35,4,FALSE)</f>
        <v>西部地区</v>
      </c>
      <c r="M535" s="9" t="str">
        <f>VLOOKUP(K535,[1]中国省份_标准!$B$2:$F$35,5,FALSE)</f>
        <v>西北地区</v>
      </c>
      <c r="N535" s="13" t="s">
        <v>6615</v>
      </c>
      <c r="O535" s="13" t="s">
        <v>9184</v>
      </c>
      <c r="P535" s="13" t="s">
        <v>9185</v>
      </c>
      <c r="Q535" s="13" t="s">
        <v>9186</v>
      </c>
      <c r="R535" s="13" t="s">
        <v>9187</v>
      </c>
      <c r="S535" s="13" t="s">
        <v>9188</v>
      </c>
      <c r="T535" s="13" t="s">
        <v>209</v>
      </c>
      <c r="U535" s="13" t="s">
        <v>9178</v>
      </c>
      <c r="V535" s="13" t="s">
        <v>9189</v>
      </c>
      <c r="W535" s="13" t="s">
        <v>9190</v>
      </c>
      <c r="X535" s="13" t="s">
        <v>9191</v>
      </c>
      <c r="Y535" s="13" t="s">
        <v>78</v>
      </c>
      <c r="Z535" s="13" t="s">
        <v>9192</v>
      </c>
      <c r="AA535" s="13" t="s">
        <v>80</v>
      </c>
      <c r="AB535" s="13" t="s">
        <v>106</v>
      </c>
      <c r="AC535" s="13" t="s">
        <v>107</v>
      </c>
      <c r="AD535" s="13" t="s">
        <v>9193</v>
      </c>
      <c r="AE535" s="13" t="s">
        <v>239</v>
      </c>
      <c r="AF535" s="13" t="s">
        <v>9194</v>
      </c>
      <c r="AG535" s="13" t="s">
        <v>9195</v>
      </c>
      <c r="AH535" s="13" t="s">
        <v>39</v>
      </c>
      <c r="AI535" s="13" t="s">
        <v>9196</v>
      </c>
      <c r="AJ535" s="13" t="s">
        <v>9197</v>
      </c>
      <c r="AK535" s="13" t="s">
        <v>9198</v>
      </c>
      <c r="AL535" s="13" t="s">
        <v>88</v>
      </c>
    </row>
    <row r="536" spans="1:38" x14ac:dyDescent="0.4">
      <c r="A536" s="11" t="s">
        <v>9199</v>
      </c>
      <c r="B536" s="14" t="s">
        <v>9200</v>
      </c>
      <c r="C536" s="15" t="s">
        <v>39</v>
      </c>
      <c r="D536" s="15" t="s">
        <v>92</v>
      </c>
      <c r="E536" s="15" t="s">
        <v>9201</v>
      </c>
      <c r="F536" s="15" t="s">
        <v>271</v>
      </c>
      <c r="G536" s="15" t="s">
        <v>154</v>
      </c>
      <c r="H536" s="15" t="s">
        <v>9202</v>
      </c>
      <c r="I536" s="9">
        <f t="shared" ca="1" si="8"/>
        <v>2</v>
      </c>
      <c r="J536" s="15" t="s">
        <v>9203</v>
      </c>
      <c r="K536" s="15" t="s">
        <v>340</v>
      </c>
      <c r="L536" s="9" t="str">
        <f>VLOOKUP(K536,[1]中国省份_标准!$B$2:$F$35,4,FALSE)</f>
        <v>东部地区</v>
      </c>
      <c r="M536" s="9" t="str">
        <f>VLOOKUP(K536,[1]中国省份_标准!$B$2:$F$35,5,FALSE)</f>
        <v>华东地区</v>
      </c>
      <c r="N536" s="15" t="s">
        <v>7272</v>
      </c>
      <c r="O536" s="15" t="s">
        <v>9204</v>
      </c>
      <c r="P536" s="15" t="s">
        <v>9205</v>
      </c>
      <c r="Q536" s="15" t="s">
        <v>39</v>
      </c>
      <c r="R536" s="15" t="s">
        <v>9206</v>
      </c>
      <c r="S536" s="15" t="s">
        <v>39</v>
      </c>
      <c r="T536" s="15" t="s">
        <v>48</v>
      </c>
      <c r="U536" s="15" t="s">
        <v>9200</v>
      </c>
      <c r="V536" s="15" t="s">
        <v>9207</v>
      </c>
      <c r="W536" s="15" t="s">
        <v>9208</v>
      </c>
      <c r="X536" s="15" t="s">
        <v>690</v>
      </c>
      <c r="Y536" s="15" t="s">
        <v>78</v>
      </c>
      <c r="Z536" s="15" t="s">
        <v>9209</v>
      </c>
      <c r="AA536" s="15" t="s">
        <v>80</v>
      </c>
      <c r="AB536" s="15" t="s">
        <v>106</v>
      </c>
      <c r="AC536" s="15" t="s">
        <v>107</v>
      </c>
      <c r="AD536" s="15" t="s">
        <v>128</v>
      </c>
      <c r="AE536" s="15" t="s">
        <v>55</v>
      </c>
      <c r="AF536" s="15" t="s">
        <v>9210</v>
      </c>
      <c r="AG536" s="15" t="s">
        <v>39</v>
      </c>
      <c r="AH536" s="15" t="s">
        <v>39</v>
      </c>
      <c r="AI536" s="15" t="s">
        <v>9211</v>
      </c>
      <c r="AJ536" s="15" t="s">
        <v>9212</v>
      </c>
      <c r="AK536" s="15" t="s">
        <v>9213</v>
      </c>
      <c r="AL536" s="15" t="s">
        <v>88</v>
      </c>
    </row>
    <row r="537" spans="1:38" x14ac:dyDescent="0.4">
      <c r="A537" s="11" t="s">
        <v>9214</v>
      </c>
      <c r="B537" s="12" t="s">
        <v>9215</v>
      </c>
      <c r="C537" s="13" t="s">
        <v>39</v>
      </c>
      <c r="D537" s="13" t="s">
        <v>92</v>
      </c>
      <c r="E537" s="13" t="s">
        <v>9216</v>
      </c>
      <c r="F537" s="13" t="s">
        <v>154</v>
      </c>
      <c r="G537" s="13" t="s">
        <v>39</v>
      </c>
      <c r="H537" s="13" t="s">
        <v>9217</v>
      </c>
      <c r="I537" s="9">
        <f t="shared" ca="1" si="8"/>
        <v>4</v>
      </c>
      <c r="J537" s="13" t="s">
        <v>9218</v>
      </c>
      <c r="K537" s="13" t="s">
        <v>97</v>
      </c>
      <c r="L537" s="9" t="str">
        <f>VLOOKUP(K537,[1]中国省份_标准!$B$2:$F$35,4,FALSE)</f>
        <v>中部地区</v>
      </c>
      <c r="M537" s="9" t="str">
        <f>VLOOKUP(K537,[1]中国省份_标准!$B$2:$F$35,5,FALSE)</f>
        <v>华中地区</v>
      </c>
      <c r="N537" s="13" t="s">
        <v>98</v>
      </c>
      <c r="O537" s="13" t="s">
        <v>120</v>
      </c>
      <c r="P537" s="13" t="s">
        <v>9219</v>
      </c>
      <c r="Q537" s="13" t="s">
        <v>39</v>
      </c>
      <c r="R537" s="13" t="s">
        <v>9220</v>
      </c>
      <c r="S537" s="13" t="s">
        <v>39</v>
      </c>
      <c r="T537" s="13" t="s">
        <v>281</v>
      </c>
      <c r="U537" s="13" t="s">
        <v>9215</v>
      </c>
      <c r="V537" s="13" t="s">
        <v>9221</v>
      </c>
      <c r="W537" s="13" t="s">
        <v>9222</v>
      </c>
      <c r="X537" s="13" t="s">
        <v>77</v>
      </c>
      <c r="Y537" s="13" t="s">
        <v>78</v>
      </c>
      <c r="Z537" s="13" t="s">
        <v>9223</v>
      </c>
      <c r="AA537" s="13" t="s">
        <v>80</v>
      </c>
      <c r="AB537" s="13" t="s">
        <v>106</v>
      </c>
      <c r="AC537" s="13" t="s">
        <v>107</v>
      </c>
      <c r="AD537" s="13" t="s">
        <v>128</v>
      </c>
      <c r="AE537" s="13" t="s">
        <v>109</v>
      </c>
      <c r="AF537" s="13" t="s">
        <v>9224</v>
      </c>
      <c r="AG537" s="13" t="s">
        <v>39</v>
      </c>
      <c r="AH537" s="13" t="s">
        <v>39</v>
      </c>
      <c r="AI537" s="13" t="s">
        <v>9225</v>
      </c>
      <c r="AJ537" s="13" t="s">
        <v>9226</v>
      </c>
      <c r="AK537" s="13" t="s">
        <v>132</v>
      </c>
      <c r="AL537" s="13" t="s">
        <v>88</v>
      </c>
    </row>
    <row r="538" spans="1:38" x14ac:dyDescent="0.4">
      <c r="A538" s="11" t="s">
        <v>9227</v>
      </c>
      <c r="B538" s="14" t="s">
        <v>9228</v>
      </c>
      <c r="C538" s="15" t="s">
        <v>39</v>
      </c>
      <c r="D538" s="15" t="s">
        <v>63</v>
      </c>
      <c r="E538" s="15" t="s">
        <v>9229</v>
      </c>
      <c r="F538" s="15" t="s">
        <v>999</v>
      </c>
      <c r="G538" s="15" t="s">
        <v>999</v>
      </c>
      <c r="H538" s="15" t="s">
        <v>9230</v>
      </c>
      <c r="I538" s="9">
        <f t="shared" ca="1" si="8"/>
        <v>5</v>
      </c>
      <c r="J538" s="15" t="s">
        <v>9231</v>
      </c>
      <c r="K538" s="15" t="s">
        <v>3405</v>
      </c>
      <c r="L538" s="9" t="str">
        <f>VLOOKUP(K538,[1]中国省份_标准!$B$2:$F$35,4,FALSE)</f>
        <v>西部地区</v>
      </c>
      <c r="M538" s="9" t="str">
        <f>VLOOKUP(K538,[1]中国省份_标准!$B$2:$F$35,5,FALSE)</f>
        <v>西北地区</v>
      </c>
      <c r="N538" s="15" t="s">
        <v>9232</v>
      </c>
      <c r="O538" s="15" t="s">
        <v>9233</v>
      </c>
      <c r="P538" s="15" t="s">
        <v>9234</v>
      </c>
      <c r="Q538" s="15" t="s">
        <v>39</v>
      </c>
      <c r="R538" s="15" t="s">
        <v>9235</v>
      </c>
      <c r="S538" s="15" t="s">
        <v>9236</v>
      </c>
      <c r="T538" s="15" t="s">
        <v>209</v>
      </c>
      <c r="U538" s="15" t="s">
        <v>9228</v>
      </c>
      <c r="V538" s="15" t="s">
        <v>39</v>
      </c>
      <c r="W538" s="15" t="s">
        <v>9237</v>
      </c>
      <c r="X538" s="15" t="s">
        <v>2171</v>
      </c>
      <c r="Y538" s="15" t="s">
        <v>78</v>
      </c>
      <c r="Z538" s="15" t="s">
        <v>9238</v>
      </c>
      <c r="AA538" s="15" t="s">
        <v>80</v>
      </c>
      <c r="AB538" s="15" t="s">
        <v>106</v>
      </c>
      <c r="AC538" s="15" t="s">
        <v>107</v>
      </c>
      <c r="AD538" s="15" t="s">
        <v>128</v>
      </c>
      <c r="AE538" s="15" t="s">
        <v>55</v>
      </c>
      <c r="AF538" s="15" t="s">
        <v>9239</v>
      </c>
      <c r="AG538" s="15" t="s">
        <v>39</v>
      </c>
      <c r="AH538" s="15" t="s">
        <v>9240</v>
      </c>
      <c r="AI538" s="15" t="s">
        <v>9241</v>
      </c>
      <c r="AJ538" s="15" t="s">
        <v>9242</v>
      </c>
      <c r="AK538" s="15" t="s">
        <v>9243</v>
      </c>
      <c r="AL538" s="15" t="s">
        <v>88</v>
      </c>
    </row>
    <row r="539" spans="1:38" x14ac:dyDescent="0.4">
      <c r="A539" s="11" t="s">
        <v>9244</v>
      </c>
      <c r="B539" s="12" t="s">
        <v>9245</v>
      </c>
      <c r="C539" s="13" t="s">
        <v>39</v>
      </c>
      <c r="D539" s="13" t="s">
        <v>92</v>
      </c>
      <c r="E539" s="13" t="s">
        <v>9246</v>
      </c>
      <c r="F539" s="13" t="s">
        <v>9247</v>
      </c>
      <c r="G539" s="13" t="s">
        <v>9247</v>
      </c>
      <c r="H539" s="13" t="s">
        <v>9248</v>
      </c>
      <c r="I539" s="9">
        <f t="shared" ca="1" si="8"/>
        <v>27</v>
      </c>
      <c r="J539" s="13" t="s">
        <v>9249</v>
      </c>
      <c r="K539" s="13" t="s">
        <v>138</v>
      </c>
      <c r="L539" s="9" t="str">
        <f>VLOOKUP(K539,[1]中国省份_标准!$B$2:$F$35,4,FALSE)</f>
        <v>西部地区</v>
      </c>
      <c r="M539" s="9" t="str">
        <f>VLOOKUP(K539,[1]中国省份_标准!$B$2:$F$35,5,FALSE)</f>
        <v>西南地区</v>
      </c>
      <c r="N539" s="13" t="s">
        <v>9250</v>
      </c>
      <c r="O539" s="13" t="s">
        <v>9251</v>
      </c>
      <c r="P539" s="13" t="s">
        <v>9252</v>
      </c>
      <c r="Q539" s="13" t="s">
        <v>9253</v>
      </c>
      <c r="R539" s="13" t="s">
        <v>9254</v>
      </c>
      <c r="S539" s="13" t="s">
        <v>9255</v>
      </c>
      <c r="T539" s="13" t="s">
        <v>9256</v>
      </c>
      <c r="U539" s="13" t="s">
        <v>9245</v>
      </c>
      <c r="V539" s="13" t="s">
        <v>9257</v>
      </c>
      <c r="W539" s="13" t="s">
        <v>9258</v>
      </c>
      <c r="X539" s="13" t="s">
        <v>9259</v>
      </c>
      <c r="Y539" s="13" t="s">
        <v>78</v>
      </c>
      <c r="Z539" s="13" t="s">
        <v>9260</v>
      </c>
      <c r="AA539" s="13" t="s">
        <v>80</v>
      </c>
      <c r="AB539" s="13" t="s">
        <v>106</v>
      </c>
      <c r="AC539" s="13" t="s">
        <v>107</v>
      </c>
      <c r="AD539" s="13" t="s">
        <v>128</v>
      </c>
      <c r="AE539" s="13" t="s">
        <v>262</v>
      </c>
      <c r="AF539" s="13" t="s">
        <v>9261</v>
      </c>
      <c r="AG539" s="13" t="s">
        <v>9262</v>
      </c>
      <c r="AH539" s="13" t="s">
        <v>39</v>
      </c>
      <c r="AI539" s="13" t="s">
        <v>9263</v>
      </c>
      <c r="AJ539" s="13" t="s">
        <v>9264</v>
      </c>
      <c r="AK539" s="13" t="s">
        <v>9265</v>
      </c>
      <c r="AL539" s="13" t="s">
        <v>88</v>
      </c>
    </row>
    <row r="540" spans="1:38" x14ac:dyDescent="0.4">
      <c r="A540" s="11" t="s">
        <v>9266</v>
      </c>
      <c r="B540" s="14" t="s">
        <v>9267</v>
      </c>
      <c r="C540" s="15" t="s">
        <v>39</v>
      </c>
      <c r="D540" s="15" t="s">
        <v>92</v>
      </c>
      <c r="E540" s="15" t="s">
        <v>9268</v>
      </c>
      <c r="F540" s="15" t="s">
        <v>271</v>
      </c>
      <c r="G540" s="15" t="s">
        <v>271</v>
      </c>
      <c r="H540" s="15" t="s">
        <v>9269</v>
      </c>
      <c r="I540" s="9">
        <f t="shared" ca="1" si="8"/>
        <v>7</v>
      </c>
      <c r="J540" s="15" t="s">
        <v>9270</v>
      </c>
      <c r="K540" s="15" t="s">
        <v>9271</v>
      </c>
      <c r="L540" s="9" t="str">
        <f>VLOOKUP(K540,[1]中国省份_标准!$B$2:$F$35,4,FALSE)</f>
        <v>西部地区</v>
      </c>
      <c r="M540" s="9" t="str">
        <f>VLOOKUP(K540,[1]中国省份_标准!$B$2:$F$35,5,FALSE)</f>
        <v>西南地区</v>
      </c>
      <c r="N540" s="15" t="s">
        <v>9272</v>
      </c>
      <c r="O540" s="15" t="s">
        <v>9273</v>
      </c>
      <c r="P540" s="15" t="s">
        <v>9274</v>
      </c>
      <c r="Q540" s="15" t="s">
        <v>39</v>
      </c>
      <c r="R540" s="15" t="s">
        <v>9275</v>
      </c>
      <c r="S540" s="15" t="s">
        <v>9276</v>
      </c>
      <c r="T540" s="15" t="s">
        <v>209</v>
      </c>
      <c r="U540" s="15" t="s">
        <v>9267</v>
      </c>
      <c r="V540" s="15" t="s">
        <v>39</v>
      </c>
      <c r="W540" s="15" t="s">
        <v>9277</v>
      </c>
      <c r="X540" s="15" t="s">
        <v>540</v>
      </c>
      <c r="Y540" s="15" t="s">
        <v>78</v>
      </c>
      <c r="Z540" s="15" t="s">
        <v>9278</v>
      </c>
      <c r="AA540" s="15" t="s">
        <v>9130</v>
      </c>
      <c r="AB540" s="15" t="s">
        <v>9131</v>
      </c>
      <c r="AC540" s="15" t="s">
        <v>9279</v>
      </c>
      <c r="AD540" s="15" t="s">
        <v>9280</v>
      </c>
      <c r="AE540" s="15" t="s">
        <v>55</v>
      </c>
      <c r="AF540" s="15" t="s">
        <v>9281</v>
      </c>
      <c r="AG540" s="15" t="s">
        <v>39</v>
      </c>
      <c r="AH540" s="15" t="s">
        <v>39</v>
      </c>
      <c r="AI540" s="15" t="s">
        <v>9282</v>
      </c>
      <c r="AJ540" s="15" t="s">
        <v>9283</v>
      </c>
      <c r="AK540" s="15" t="s">
        <v>9284</v>
      </c>
      <c r="AL540" s="15" t="s">
        <v>88</v>
      </c>
    </row>
    <row r="541" spans="1:38" x14ac:dyDescent="0.4">
      <c r="A541" s="11" t="s">
        <v>9285</v>
      </c>
      <c r="B541" s="12" t="s">
        <v>9286</v>
      </c>
      <c r="C541" s="13" t="s">
        <v>39</v>
      </c>
      <c r="D541" s="13" t="s">
        <v>92</v>
      </c>
      <c r="E541" s="13" t="s">
        <v>9287</v>
      </c>
      <c r="F541" s="13" t="s">
        <v>9288</v>
      </c>
      <c r="G541" s="13" t="s">
        <v>9289</v>
      </c>
      <c r="H541" s="13" t="s">
        <v>9290</v>
      </c>
      <c r="I541" s="9">
        <f t="shared" ca="1" si="8"/>
        <v>19</v>
      </c>
      <c r="J541" s="13" t="s">
        <v>9291</v>
      </c>
      <c r="K541" s="13" t="s">
        <v>9271</v>
      </c>
      <c r="L541" s="9" t="str">
        <f>VLOOKUP(K541,[1]中国省份_标准!$B$2:$F$35,4,FALSE)</f>
        <v>西部地区</v>
      </c>
      <c r="M541" s="9" t="str">
        <f>VLOOKUP(K541,[1]中国省份_标准!$B$2:$F$35,5,FALSE)</f>
        <v>西南地区</v>
      </c>
      <c r="N541" s="13" t="s">
        <v>9272</v>
      </c>
      <c r="O541" s="13" t="s">
        <v>9292</v>
      </c>
      <c r="P541" s="13" t="s">
        <v>9293</v>
      </c>
      <c r="Q541" s="13" t="s">
        <v>9294</v>
      </c>
      <c r="R541" s="13" t="s">
        <v>9295</v>
      </c>
      <c r="S541" s="13" t="s">
        <v>9296</v>
      </c>
      <c r="T541" s="13" t="s">
        <v>452</v>
      </c>
      <c r="U541" s="13" t="s">
        <v>9286</v>
      </c>
      <c r="V541" s="13" t="s">
        <v>9297</v>
      </c>
      <c r="W541" s="13" t="s">
        <v>9298</v>
      </c>
      <c r="X541" s="13" t="s">
        <v>9299</v>
      </c>
      <c r="Y541" s="13" t="s">
        <v>78</v>
      </c>
      <c r="Z541" s="13" t="s">
        <v>9300</v>
      </c>
      <c r="AA541" s="13" t="s">
        <v>9130</v>
      </c>
      <c r="AB541" s="13" t="s">
        <v>9131</v>
      </c>
      <c r="AC541" s="13" t="s">
        <v>9279</v>
      </c>
      <c r="AD541" s="13" t="s">
        <v>9301</v>
      </c>
      <c r="AE541" s="13" t="s">
        <v>239</v>
      </c>
      <c r="AF541" s="13" t="s">
        <v>9302</v>
      </c>
      <c r="AG541" s="13" t="s">
        <v>39</v>
      </c>
      <c r="AH541" s="13" t="s">
        <v>39</v>
      </c>
      <c r="AI541" s="13" t="s">
        <v>9303</v>
      </c>
      <c r="AJ541" s="13" t="s">
        <v>9304</v>
      </c>
      <c r="AK541" s="13" t="s">
        <v>9305</v>
      </c>
      <c r="AL541" s="13" t="s">
        <v>88</v>
      </c>
    </row>
    <row r="542" spans="1:38" x14ac:dyDescent="0.4">
      <c r="A542" s="11" t="s">
        <v>9306</v>
      </c>
      <c r="B542" s="14" t="s">
        <v>9307</v>
      </c>
      <c r="C542" s="15" t="s">
        <v>39</v>
      </c>
      <c r="D542" s="15" t="s">
        <v>9308</v>
      </c>
      <c r="E542" s="15" t="s">
        <v>9309</v>
      </c>
      <c r="F542" s="15" t="s">
        <v>961</v>
      </c>
      <c r="G542" s="15" t="s">
        <v>961</v>
      </c>
      <c r="H542" s="15" t="s">
        <v>9310</v>
      </c>
      <c r="I542" s="9">
        <f t="shared" ca="1" si="8"/>
        <v>8</v>
      </c>
      <c r="J542" s="15" t="s">
        <v>9311</v>
      </c>
      <c r="K542" s="15" t="s">
        <v>1752</v>
      </c>
      <c r="L542" s="9" t="str">
        <f>VLOOKUP(K542,[1]中国省份_标准!$B$2:$F$35,4,FALSE)</f>
        <v>中部地区</v>
      </c>
      <c r="M542" s="9" t="str">
        <f>VLOOKUP(K542,[1]中国省份_标准!$B$2:$F$35,5,FALSE)</f>
        <v>华中地区</v>
      </c>
      <c r="N542" s="15" t="s">
        <v>3717</v>
      </c>
      <c r="O542" s="15" t="s">
        <v>9312</v>
      </c>
      <c r="P542" s="15" t="s">
        <v>9313</v>
      </c>
      <c r="Q542" s="15" t="s">
        <v>9314</v>
      </c>
      <c r="R542" s="15" t="s">
        <v>9315</v>
      </c>
      <c r="S542" s="15" t="s">
        <v>39</v>
      </c>
      <c r="T542" s="15" t="s">
        <v>281</v>
      </c>
      <c r="U542" s="15" t="s">
        <v>9307</v>
      </c>
      <c r="V542" s="15" t="s">
        <v>9316</v>
      </c>
      <c r="W542" s="15" t="s">
        <v>9317</v>
      </c>
      <c r="X542" s="15" t="s">
        <v>77</v>
      </c>
      <c r="Y542" s="15" t="s">
        <v>78</v>
      </c>
      <c r="Z542" s="15" t="s">
        <v>9318</v>
      </c>
      <c r="AA542" s="15" t="s">
        <v>80</v>
      </c>
      <c r="AB542" s="15" t="s">
        <v>106</v>
      </c>
      <c r="AC542" s="15" t="s">
        <v>107</v>
      </c>
      <c r="AD542" s="15" t="s">
        <v>128</v>
      </c>
      <c r="AE542" s="15" t="s">
        <v>262</v>
      </c>
      <c r="AF542" s="15" t="s">
        <v>9319</v>
      </c>
      <c r="AG542" s="15" t="s">
        <v>39</v>
      </c>
      <c r="AH542" s="15" t="s">
        <v>39</v>
      </c>
      <c r="AI542" s="15" t="s">
        <v>9320</v>
      </c>
      <c r="AJ542" s="15" t="s">
        <v>9321</v>
      </c>
      <c r="AK542" s="15" t="s">
        <v>9322</v>
      </c>
      <c r="AL542" s="15" t="s">
        <v>88</v>
      </c>
    </row>
    <row r="543" spans="1:38" x14ac:dyDescent="0.4">
      <c r="A543" s="11" t="s">
        <v>9323</v>
      </c>
      <c r="B543" s="12" t="s">
        <v>9324</v>
      </c>
      <c r="C543" s="13" t="s">
        <v>9325</v>
      </c>
      <c r="D543" s="13" t="s">
        <v>63</v>
      </c>
      <c r="E543" s="13" t="s">
        <v>9326</v>
      </c>
      <c r="F543" s="13" t="s">
        <v>271</v>
      </c>
      <c r="G543" s="13" t="s">
        <v>9327</v>
      </c>
      <c r="H543" s="13" t="s">
        <v>9328</v>
      </c>
      <c r="I543" s="9">
        <f t="shared" ca="1" si="8"/>
        <v>5</v>
      </c>
      <c r="J543" s="13" t="s">
        <v>9329</v>
      </c>
      <c r="K543" s="13" t="s">
        <v>3405</v>
      </c>
      <c r="L543" s="9" t="str">
        <f>VLOOKUP(K543,[1]中国省份_标准!$B$2:$F$35,4,FALSE)</f>
        <v>西部地区</v>
      </c>
      <c r="M543" s="9" t="str">
        <f>VLOOKUP(K543,[1]中国省份_标准!$B$2:$F$35,5,FALSE)</f>
        <v>西北地区</v>
      </c>
      <c r="N543" s="13" t="s">
        <v>3406</v>
      </c>
      <c r="O543" s="13" t="s">
        <v>7602</v>
      </c>
      <c r="P543" s="13" t="s">
        <v>9330</v>
      </c>
      <c r="Q543" s="13" t="s">
        <v>39</v>
      </c>
      <c r="R543" s="13" t="s">
        <v>9331</v>
      </c>
      <c r="S543" s="13" t="s">
        <v>9332</v>
      </c>
      <c r="T543" s="13" t="s">
        <v>48</v>
      </c>
      <c r="U543" s="13" t="s">
        <v>9324</v>
      </c>
      <c r="V543" s="13" t="s">
        <v>39</v>
      </c>
      <c r="W543" s="13" t="s">
        <v>9333</v>
      </c>
      <c r="X543" s="13" t="s">
        <v>990</v>
      </c>
      <c r="Y543" s="13" t="s">
        <v>78</v>
      </c>
      <c r="Z543" s="13" t="s">
        <v>9334</v>
      </c>
      <c r="AA543" s="13" t="s">
        <v>9130</v>
      </c>
      <c r="AB543" s="13" t="s">
        <v>9131</v>
      </c>
      <c r="AC543" s="13" t="s">
        <v>9279</v>
      </c>
      <c r="AD543" s="13" t="s">
        <v>9335</v>
      </c>
      <c r="AE543" s="13" t="s">
        <v>55</v>
      </c>
      <c r="AF543" s="13" t="s">
        <v>9336</v>
      </c>
      <c r="AG543" s="13" t="s">
        <v>39</v>
      </c>
      <c r="AH543" s="13" t="s">
        <v>39</v>
      </c>
      <c r="AI543" s="13" t="s">
        <v>9337</v>
      </c>
      <c r="AJ543" s="13" t="s">
        <v>9338</v>
      </c>
      <c r="AK543" s="13" t="s">
        <v>9339</v>
      </c>
      <c r="AL543" s="13" t="s">
        <v>88</v>
      </c>
    </row>
    <row r="544" spans="1:38" x14ac:dyDescent="0.4">
      <c r="A544" s="11" t="s">
        <v>9340</v>
      </c>
      <c r="B544" s="14" t="s">
        <v>9341</v>
      </c>
      <c r="C544" s="15" t="s">
        <v>39</v>
      </c>
      <c r="D544" s="15" t="s">
        <v>63</v>
      </c>
      <c r="E544" s="15" t="s">
        <v>9342</v>
      </c>
      <c r="F544" s="15" t="s">
        <v>9343</v>
      </c>
      <c r="G544" s="15" t="s">
        <v>9343</v>
      </c>
      <c r="H544" s="15" t="s">
        <v>1289</v>
      </c>
      <c r="I544" s="9">
        <f t="shared" ca="1" si="8"/>
        <v>13</v>
      </c>
      <c r="J544" s="15" t="s">
        <v>9344</v>
      </c>
      <c r="K544" s="15" t="s">
        <v>3405</v>
      </c>
      <c r="L544" s="9" t="str">
        <f>VLOOKUP(K544,[1]中国省份_标准!$B$2:$F$35,4,FALSE)</f>
        <v>西部地区</v>
      </c>
      <c r="M544" s="9" t="str">
        <f>VLOOKUP(K544,[1]中国省份_标准!$B$2:$F$35,5,FALSE)</f>
        <v>西北地区</v>
      </c>
      <c r="N544" s="15" t="s">
        <v>3406</v>
      </c>
      <c r="O544" s="15" t="s">
        <v>7602</v>
      </c>
      <c r="P544" s="15" t="s">
        <v>9345</v>
      </c>
      <c r="Q544" s="15" t="s">
        <v>9346</v>
      </c>
      <c r="R544" s="15" t="s">
        <v>9347</v>
      </c>
      <c r="S544" s="15" t="s">
        <v>9332</v>
      </c>
      <c r="T544" s="15" t="s">
        <v>48</v>
      </c>
      <c r="U544" s="15" t="s">
        <v>9341</v>
      </c>
      <c r="V544" s="15" t="s">
        <v>9348</v>
      </c>
      <c r="W544" s="15" t="s">
        <v>9349</v>
      </c>
      <c r="X544" s="15" t="s">
        <v>673</v>
      </c>
      <c r="Y544" s="15" t="s">
        <v>78</v>
      </c>
      <c r="Z544" s="15" t="s">
        <v>9350</v>
      </c>
      <c r="AA544" s="15" t="s">
        <v>80</v>
      </c>
      <c r="AB544" s="15" t="s">
        <v>39</v>
      </c>
      <c r="AC544" s="15" t="s">
        <v>39</v>
      </c>
      <c r="AD544" s="15" t="s">
        <v>39</v>
      </c>
      <c r="AE544" s="15" t="s">
        <v>55</v>
      </c>
      <c r="AF544" s="15" t="s">
        <v>9351</v>
      </c>
      <c r="AG544" s="15" t="s">
        <v>39</v>
      </c>
      <c r="AH544" s="15" t="s">
        <v>9352</v>
      </c>
      <c r="AI544" s="15" t="s">
        <v>9353</v>
      </c>
      <c r="AJ544" s="15" t="s">
        <v>9354</v>
      </c>
      <c r="AK544" s="15" t="s">
        <v>9339</v>
      </c>
      <c r="AL544" s="15" t="s">
        <v>88</v>
      </c>
    </row>
    <row r="545" spans="1:38" x14ac:dyDescent="0.4">
      <c r="A545" s="11" t="s">
        <v>9355</v>
      </c>
      <c r="B545" s="12" t="s">
        <v>9356</v>
      </c>
      <c r="C545" s="13" t="s">
        <v>39</v>
      </c>
      <c r="D545" s="13" t="s">
        <v>63</v>
      </c>
      <c r="E545" s="13" t="s">
        <v>9357</v>
      </c>
      <c r="F545" s="13" t="s">
        <v>920</v>
      </c>
      <c r="G545" s="13" t="s">
        <v>3656</v>
      </c>
      <c r="H545" s="13" t="s">
        <v>9358</v>
      </c>
      <c r="I545" s="9">
        <f t="shared" ca="1" si="8"/>
        <v>12</v>
      </c>
      <c r="J545" s="13" t="s">
        <v>9359</v>
      </c>
      <c r="K545" s="13" t="s">
        <v>3405</v>
      </c>
      <c r="L545" s="9" t="str">
        <f>VLOOKUP(K545,[1]中国省份_标准!$B$2:$F$35,4,FALSE)</f>
        <v>西部地区</v>
      </c>
      <c r="M545" s="9" t="str">
        <f>VLOOKUP(K545,[1]中国省份_标准!$B$2:$F$35,5,FALSE)</f>
        <v>西北地区</v>
      </c>
      <c r="N545" s="13" t="s">
        <v>3406</v>
      </c>
      <c r="O545" s="13" t="s">
        <v>3407</v>
      </c>
      <c r="P545" s="13" t="s">
        <v>9360</v>
      </c>
      <c r="Q545" s="13" t="s">
        <v>9361</v>
      </c>
      <c r="R545" s="13" t="s">
        <v>9362</v>
      </c>
      <c r="S545" s="13" t="s">
        <v>9363</v>
      </c>
      <c r="T545" s="13" t="s">
        <v>452</v>
      </c>
      <c r="U545" s="13" t="s">
        <v>9356</v>
      </c>
      <c r="V545" s="13" t="s">
        <v>9364</v>
      </c>
      <c r="W545" s="13" t="s">
        <v>9365</v>
      </c>
      <c r="X545" s="13" t="s">
        <v>77</v>
      </c>
      <c r="Y545" s="13" t="s">
        <v>731</v>
      </c>
      <c r="Z545" s="13" t="s">
        <v>9366</v>
      </c>
      <c r="AA545" s="13" t="s">
        <v>169</v>
      </c>
      <c r="AB545" s="13" t="s">
        <v>285</v>
      </c>
      <c r="AC545" s="13" t="s">
        <v>479</v>
      </c>
      <c r="AD545" s="13" t="s">
        <v>480</v>
      </c>
      <c r="AE545" s="13" t="s">
        <v>262</v>
      </c>
      <c r="AF545" s="13" t="s">
        <v>9367</v>
      </c>
      <c r="AG545" s="13" t="s">
        <v>9368</v>
      </c>
      <c r="AH545" s="13" t="s">
        <v>39</v>
      </c>
      <c r="AI545" s="13" t="s">
        <v>9369</v>
      </c>
      <c r="AJ545" s="13" t="s">
        <v>9370</v>
      </c>
      <c r="AK545" s="13" t="s">
        <v>9371</v>
      </c>
      <c r="AL545" s="13" t="s">
        <v>88</v>
      </c>
    </row>
    <row r="546" spans="1:38" x14ac:dyDescent="0.4">
      <c r="A546" s="11" t="s">
        <v>9372</v>
      </c>
      <c r="B546" s="14" t="s">
        <v>9373</v>
      </c>
      <c r="C546" s="15" t="s">
        <v>39</v>
      </c>
      <c r="D546" s="15" t="s">
        <v>63</v>
      </c>
      <c r="E546" s="15" t="s">
        <v>9374</v>
      </c>
      <c r="F546" s="15" t="s">
        <v>271</v>
      </c>
      <c r="G546" s="15" t="s">
        <v>9375</v>
      </c>
      <c r="H546" s="15" t="s">
        <v>9376</v>
      </c>
      <c r="I546" s="9">
        <f t="shared" ca="1" si="8"/>
        <v>2</v>
      </c>
      <c r="J546" s="15" t="s">
        <v>9377</v>
      </c>
      <c r="K546" s="15" t="s">
        <v>8384</v>
      </c>
      <c r="L546" s="9" t="str">
        <f>VLOOKUP(K546,[1]中国省份_标准!$B$2:$F$35,4,FALSE)</f>
        <v>西部地区</v>
      </c>
      <c r="M546" s="9" t="str">
        <f>VLOOKUP(K546,[1]中国省份_标准!$B$2:$F$35,5,FALSE)</f>
        <v>西北地区</v>
      </c>
      <c r="N546" s="15" t="s">
        <v>8385</v>
      </c>
      <c r="O546" s="15" t="s">
        <v>8386</v>
      </c>
      <c r="P546" s="15" t="s">
        <v>9378</v>
      </c>
      <c r="Q546" s="15" t="s">
        <v>39</v>
      </c>
      <c r="R546" s="15" t="s">
        <v>9379</v>
      </c>
      <c r="S546" s="15" t="s">
        <v>39</v>
      </c>
      <c r="T546" s="15" t="s">
        <v>281</v>
      </c>
      <c r="U546" s="15" t="s">
        <v>9373</v>
      </c>
      <c r="V546" s="15" t="s">
        <v>9380</v>
      </c>
      <c r="W546" s="15" t="s">
        <v>9381</v>
      </c>
      <c r="X546" s="15" t="s">
        <v>39</v>
      </c>
      <c r="Y546" s="15" t="s">
        <v>39</v>
      </c>
      <c r="Z546" s="15" t="s">
        <v>9382</v>
      </c>
      <c r="AA546" s="15" t="s">
        <v>80</v>
      </c>
      <c r="AB546" s="15" t="s">
        <v>106</v>
      </c>
      <c r="AC546" s="15" t="s">
        <v>107</v>
      </c>
      <c r="AD546" s="15" t="s">
        <v>3545</v>
      </c>
      <c r="AE546" s="15" t="s">
        <v>55</v>
      </c>
      <c r="AF546" s="15" t="s">
        <v>9383</v>
      </c>
      <c r="AG546" s="15" t="s">
        <v>39</v>
      </c>
      <c r="AH546" s="15" t="s">
        <v>9384</v>
      </c>
      <c r="AI546" s="15" t="s">
        <v>9385</v>
      </c>
      <c r="AJ546" s="15" t="s">
        <v>9386</v>
      </c>
      <c r="AK546" s="15" t="s">
        <v>9387</v>
      </c>
      <c r="AL546" s="15" t="s">
        <v>88</v>
      </c>
    </row>
    <row r="547" spans="1:38" x14ac:dyDescent="0.4">
      <c r="A547" s="11" t="s">
        <v>9388</v>
      </c>
      <c r="B547" s="12" t="s">
        <v>9389</v>
      </c>
      <c r="C547" s="13" t="s">
        <v>39</v>
      </c>
      <c r="D547" s="13" t="s">
        <v>92</v>
      </c>
      <c r="E547" s="13" t="s">
        <v>9390</v>
      </c>
      <c r="F547" s="13" t="s">
        <v>442</v>
      </c>
      <c r="G547" s="13" t="s">
        <v>442</v>
      </c>
      <c r="H547" s="13" t="s">
        <v>9391</v>
      </c>
      <c r="I547" s="9">
        <f t="shared" ca="1" si="8"/>
        <v>7</v>
      </c>
      <c r="J547" s="13" t="s">
        <v>9392</v>
      </c>
      <c r="K547" s="13" t="s">
        <v>594</v>
      </c>
      <c r="L547" s="9" t="str">
        <f>VLOOKUP(K547,[1]中国省份_标准!$B$2:$F$35,4,FALSE)</f>
        <v>中部地区</v>
      </c>
      <c r="M547" s="9" t="str">
        <f>VLOOKUP(K547,[1]中国省份_标准!$B$2:$F$35,5,FALSE)</f>
        <v>华东地区</v>
      </c>
      <c r="N547" s="13" t="s">
        <v>9393</v>
      </c>
      <c r="O547" s="13" t="s">
        <v>9394</v>
      </c>
      <c r="P547" s="13" t="s">
        <v>9395</v>
      </c>
      <c r="Q547" s="13" t="s">
        <v>9396</v>
      </c>
      <c r="R547" s="13" t="s">
        <v>9397</v>
      </c>
      <c r="S547" s="13" t="s">
        <v>9398</v>
      </c>
      <c r="T547" s="13" t="s">
        <v>48</v>
      </c>
      <c r="U547" s="13" t="s">
        <v>9389</v>
      </c>
      <c r="V547" s="13" t="s">
        <v>9399</v>
      </c>
      <c r="W547" s="13" t="s">
        <v>9400</v>
      </c>
      <c r="X547" s="13" t="s">
        <v>2491</v>
      </c>
      <c r="Y547" s="13" t="s">
        <v>78</v>
      </c>
      <c r="Z547" s="13" t="s">
        <v>9401</v>
      </c>
      <c r="AA547" s="13" t="s">
        <v>169</v>
      </c>
      <c r="AB547" s="13" t="s">
        <v>4216</v>
      </c>
      <c r="AC547" s="13" t="s">
        <v>9402</v>
      </c>
      <c r="AD547" s="13" t="s">
        <v>9403</v>
      </c>
      <c r="AE547" s="13" t="s">
        <v>262</v>
      </c>
      <c r="AF547" s="13" t="s">
        <v>9404</v>
      </c>
      <c r="AG547" s="13" t="s">
        <v>39</v>
      </c>
      <c r="AH547" s="13" t="s">
        <v>39</v>
      </c>
      <c r="AI547" s="13" t="s">
        <v>9405</v>
      </c>
      <c r="AJ547" s="13" t="s">
        <v>9406</v>
      </c>
      <c r="AK547" s="13" t="s">
        <v>9407</v>
      </c>
      <c r="AL547" s="13" t="s">
        <v>88</v>
      </c>
    </row>
    <row r="548" spans="1:38" x14ac:dyDescent="0.4">
      <c r="A548" s="11" t="s">
        <v>9408</v>
      </c>
      <c r="B548" s="14" t="s">
        <v>9409</v>
      </c>
      <c r="C548" s="15" t="s">
        <v>39</v>
      </c>
      <c r="D548" s="15" t="s">
        <v>92</v>
      </c>
      <c r="E548" s="15" t="s">
        <v>9410</v>
      </c>
      <c r="F548" s="15" t="s">
        <v>9411</v>
      </c>
      <c r="G548" s="15" t="s">
        <v>9411</v>
      </c>
      <c r="H548" s="15" t="s">
        <v>9412</v>
      </c>
      <c r="I548" s="9">
        <f t="shared" ca="1" si="8"/>
        <v>9</v>
      </c>
      <c r="J548" s="15" t="s">
        <v>9413</v>
      </c>
      <c r="K548" s="15" t="s">
        <v>97</v>
      </c>
      <c r="L548" s="9" t="str">
        <f>VLOOKUP(K548,[1]中国省份_标准!$B$2:$F$35,4,FALSE)</f>
        <v>中部地区</v>
      </c>
      <c r="M548" s="9" t="str">
        <f>VLOOKUP(K548,[1]中国省份_标准!$B$2:$F$35,5,FALSE)</f>
        <v>华中地区</v>
      </c>
      <c r="N548" s="15" t="s">
        <v>2049</v>
      </c>
      <c r="O548" s="15" t="s">
        <v>9414</v>
      </c>
      <c r="P548" s="15" t="s">
        <v>9415</v>
      </c>
      <c r="Q548" s="15" t="s">
        <v>9416</v>
      </c>
      <c r="R548" s="15" t="s">
        <v>9417</v>
      </c>
      <c r="S548" s="15" t="s">
        <v>9418</v>
      </c>
      <c r="T548" s="15" t="s">
        <v>452</v>
      </c>
      <c r="U548" s="15" t="s">
        <v>9409</v>
      </c>
      <c r="V548" s="15" t="s">
        <v>9419</v>
      </c>
      <c r="W548" s="15" t="s">
        <v>9420</v>
      </c>
      <c r="X548" s="15" t="s">
        <v>9421</v>
      </c>
      <c r="Y548" s="15" t="s">
        <v>78</v>
      </c>
      <c r="Z548" s="15" t="s">
        <v>9422</v>
      </c>
      <c r="AA548" s="15" t="s">
        <v>1796</v>
      </c>
      <c r="AB548" s="15" t="s">
        <v>2851</v>
      </c>
      <c r="AC548" s="15" t="s">
        <v>2852</v>
      </c>
      <c r="AD548" s="15" t="s">
        <v>8842</v>
      </c>
      <c r="AE548" s="15" t="s">
        <v>262</v>
      </c>
      <c r="AF548" s="15" t="s">
        <v>9423</v>
      </c>
      <c r="AG548" s="15" t="s">
        <v>39</v>
      </c>
      <c r="AH548" s="15" t="s">
        <v>9424</v>
      </c>
      <c r="AI548" s="15" t="s">
        <v>9425</v>
      </c>
      <c r="AJ548" s="15" t="s">
        <v>9426</v>
      </c>
      <c r="AK548" s="15" t="s">
        <v>9427</v>
      </c>
      <c r="AL548" s="15" t="s">
        <v>88</v>
      </c>
    </row>
    <row r="549" spans="1:38" x14ac:dyDescent="0.4">
      <c r="A549" s="11" t="s">
        <v>9428</v>
      </c>
      <c r="B549" s="12" t="s">
        <v>9429</v>
      </c>
      <c r="C549" s="13" t="s">
        <v>39</v>
      </c>
      <c r="D549" s="13" t="s">
        <v>92</v>
      </c>
      <c r="E549" s="13" t="s">
        <v>9430</v>
      </c>
      <c r="F549" s="13" t="s">
        <v>9431</v>
      </c>
      <c r="G549" s="13" t="s">
        <v>9431</v>
      </c>
      <c r="H549" s="13" t="s">
        <v>9432</v>
      </c>
      <c r="I549" s="9">
        <f t="shared" ca="1" si="8"/>
        <v>35</v>
      </c>
      <c r="J549" s="13" t="s">
        <v>9433</v>
      </c>
      <c r="K549" s="13" t="s">
        <v>97</v>
      </c>
      <c r="L549" s="9" t="str">
        <f>VLOOKUP(K549,[1]中国省份_标准!$B$2:$F$35,4,FALSE)</f>
        <v>中部地区</v>
      </c>
      <c r="M549" s="9" t="str">
        <f>VLOOKUP(K549,[1]中国省份_标准!$B$2:$F$35,5,FALSE)</f>
        <v>华中地区</v>
      </c>
      <c r="N549" s="13" t="s">
        <v>2049</v>
      </c>
      <c r="O549" s="13" t="s">
        <v>5466</v>
      </c>
      <c r="P549" s="13" t="s">
        <v>9434</v>
      </c>
      <c r="Q549" s="13" t="s">
        <v>9435</v>
      </c>
      <c r="R549" s="13" t="s">
        <v>9436</v>
      </c>
      <c r="S549" s="13" t="s">
        <v>9437</v>
      </c>
      <c r="T549" s="13" t="s">
        <v>452</v>
      </c>
      <c r="U549" s="13" t="s">
        <v>9429</v>
      </c>
      <c r="V549" s="13" t="s">
        <v>9438</v>
      </c>
      <c r="W549" s="13" t="s">
        <v>9439</v>
      </c>
      <c r="X549" s="13" t="s">
        <v>9440</v>
      </c>
      <c r="Y549" s="13" t="s">
        <v>78</v>
      </c>
      <c r="Z549" s="13" t="s">
        <v>9441</v>
      </c>
      <c r="AA549" s="13" t="s">
        <v>850</v>
      </c>
      <c r="AB549" s="13" t="s">
        <v>9442</v>
      </c>
      <c r="AC549" s="13" t="s">
        <v>9443</v>
      </c>
      <c r="AD549" s="13" t="s">
        <v>9444</v>
      </c>
      <c r="AE549" s="13" t="s">
        <v>239</v>
      </c>
      <c r="AF549" s="13" t="s">
        <v>9445</v>
      </c>
      <c r="AG549" s="13" t="s">
        <v>39</v>
      </c>
      <c r="AH549" s="13" t="s">
        <v>39</v>
      </c>
      <c r="AI549" s="13" t="s">
        <v>9446</v>
      </c>
      <c r="AJ549" s="13" t="s">
        <v>9447</v>
      </c>
      <c r="AK549" s="13" t="s">
        <v>5475</v>
      </c>
      <c r="AL549" s="13" t="s">
        <v>88</v>
      </c>
    </row>
    <row r="550" spans="1:38" x14ac:dyDescent="0.4">
      <c r="A550" s="11" t="s">
        <v>9448</v>
      </c>
      <c r="B550" s="14" t="s">
        <v>9449</v>
      </c>
      <c r="C550" s="15" t="s">
        <v>9450</v>
      </c>
      <c r="D550" s="15" t="s">
        <v>92</v>
      </c>
      <c r="E550" s="15" t="s">
        <v>9451</v>
      </c>
      <c r="F550" s="15" t="s">
        <v>9452</v>
      </c>
      <c r="G550" s="15" t="s">
        <v>9452</v>
      </c>
      <c r="H550" s="15" t="s">
        <v>9453</v>
      </c>
      <c r="I550" s="9">
        <f t="shared" ca="1" si="8"/>
        <v>16</v>
      </c>
      <c r="J550" s="15" t="s">
        <v>9454</v>
      </c>
      <c r="K550" s="15" t="s">
        <v>1877</v>
      </c>
      <c r="L550" s="9" t="str">
        <f>VLOOKUP(K550,[1]中国省份_标准!$B$2:$F$35,4,FALSE)</f>
        <v>中部地区</v>
      </c>
      <c r="M550" s="9" t="str">
        <f>VLOOKUP(K550,[1]中国省份_标准!$B$2:$F$35,5,FALSE)</f>
        <v>华中地区</v>
      </c>
      <c r="N550" s="15" t="s">
        <v>5416</v>
      </c>
      <c r="O550" s="15" t="s">
        <v>9455</v>
      </c>
      <c r="P550" s="15" t="s">
        <v>9456</v>
      </c>
      <c r="Q550" s="15" t="s">
        <v>9457</v>
      </c>
      <c r="R550" s="15" t="s">
        <v>9458</v>
      </c>
      <c r="S550" s="15" t="s">
        <v>39</v>
      </c>
      <c r="T550" s="15" t="s">
        <v>48</v>
      </c>
      <c r="U550" s="15" t="s">
        <v>9449</v>
      </c>
      <c r="V550" s="15" t="s">
        <v>9459</v>
      </c>
      <c r="W550" s="15" t="s">
        <v>9460</v>
      </c>
      <c r="X550" s="15" t="s">
        <v>1587</v>
      </c>
      <c r="Y550" s="15" t="s">
        <v>78</v>
      </c>
      <c r="Z550" s="15" t="s">
        <v>9461</v>
      </c>
      <c r="AA550" s="15" t="s">
        <v>169</v>
      </c>
      <c r="AB550" s="15" t="s">
        <v>4216</v>
      </c>
      <c r="AC550" s="15" t="s">
        <v>9462</v>
      </c>
      <c r="AD550" s="15" t="s">
        <v>9463</v>
      </c>
      <c r="AE550" s="15" t="s">
        <v>55</v>
      </c>
      <c r="AF550" s="15" t="s">
        <v>9464</v>
      </c>
      <c r="AG550" s="15" t="s">
        <v>39</v>
      </c>
      <c r="AH550" s="15" t="s">
        <v>39</v>
      </c>
      <c r="AI550" s="15" t="s">
        <v>9465</v>
      </c>
      <c r="AJ550" s="15" t="s">
        <v>9466</v>
      </c>
      <c r="AK550" s="15" t="s">
        <v>9467</v>
      </c>
      <c r="AL550" s="15" t="s">
        <v>88</v>
      </c>
    </row>
    <row r="551" spans="1:38" x14ac:dyDescent="0.4">
      <c r="A551" s="11" t="s">
        <v>9468</v>
      </c>
      <c r="B551" s="12" t="s">
        <v>9469</v>
      </c>
      <c r="C551" s="13" t="s">
        <v>39</v>
      </c>
      <c r="D551" s="13" t="s">
        <v>92</v>
      </c>
      <c r="E551" s="13" t="s">
        <v>9470</v>
      </c>
      <c r="F551" s="13" t="s">
        <v>271</v>
      </c>
      <c r="G551" s="13" t="s">
        <v>39</v>
      </c>
      <c r="H551" s="13" t="s">
        <v>9471</v>
      </c>
      <c r="I551" s="9">
        <f t="shared" ca="1" si="8"/>
        <v>5</v>
      </c>
      <c r="J551" s="13" t="s">
        <v>9472</v>
      </c>
      <c r="K551" s="13" t="s">
        <v>1877</v>
      </c>
      <c r="L551" s="9" t="str">
        <f>VLOOKUP(K551,[1]中国省份_标准!$B$2:$F$35,4,FALSE)</f>
        <v>中部地区</v>
      </c>
      <c r="M551" s="9" t="str">
        <f>VLOOKUP(K551,[1]中国省份_标准!$B$2:$F$35,5,FALSE)</f>
        <v>华中地区</v>
      </c>
      <c r="N551" s="13" t="s">
        <v>1878</v>
      </c>
      <c r="O551" s="13" t="s">
        <v>9473</v>
      </c>
      <c r="P551" s="13" t="s">
        <v>9474</v>
      </c>
      <c r="Q551" s="13" t="s">
        <v>9475</v>
      </c>
      <c r="R551" s="13" t="s">
        <v>9476</v>
      </c>
      <c r="S551" s="13" t="s">
        <v>39</v>
      </c>
      <c r="T551" s="13" t="s">
        <v>281</v>
      </c>
      <c r="U551" s="13" t="s">
        <v>9469</v>
      </c>
      <c r="V551" s="13" t="s">
        <v>39</v>
      </c>
      <c r="W551" s="13" t="s">
        <v>9477</v>
      </c>
      <c r="X551" s="13" t="s">
        <v>1777</v>
      </c>
      <c r="Y551" s="13" t="s">
        <v>78</v>
      </c>
      <c r="Z551" s="13" t="s">
        <v>9478</v>
      </c>
      <c r="AA551" s="13" t="s">
        <v>52</v>
      </c>
      <c r="AB551" s="13" t="s">
        <v>53</v>
      </c>
      <c r="AC551" s="13" t="s">
        <v>7803</v>
      </c>
      <c r="AD551" s="13" t="s">
        <v>7804</v>
      </c>
      <c r="AE551" s="13" t="s">
        <v>55</v>
      </c>
      <c r="AF551" s="13" t="s">
        <v>9479</v>
      </c>
      <c r="AG551" s="13" t="s">
        <v>39</v>
      </c>
      <c r="AH551" s="13" t="s">
        <v>39</v>
      </c>
      <c r="AI551" s="13" t="s">
        <v>9480</v>
      </c>
      <c r="AJ551" s="13" t="s">
        <v>9481</v>
      </c>
      <c r="AK551" s="13" t="s">
        <v>9482</v>
      </c>
      <c r="AL551" s="13" t="s">
        <v>88</v>
      </c>
    </row>
    <row r="552" spans="1:38" x14ac:dyDescent="0.4">
      <c r="A552" s="11" t="s">
        <v>9483</v>
      </c>
      <c r="B552" s="14" t="s">
        <v>9484</v>
      </c>
      <c r="C552" s="15" t="s">
        <v>39</v>
      </c>
      <c r="D552" s="15" t="s">
        <v>92</v>
      </c>
      <c r="E552" s="15" t="s">
        <v>9485</v>
      </c>
      <c r="F552" s="15" t="s">
        <v>271</v>
      </c>
      <c r="G552" s="15" t="s">
        <v>271</v>
      </c>
      <c r="H552" s="15" t="s">
        <v>9486</v>
      </c>
      <c r="I552" s="9">
        <f t="shared" ca="1" si="8"/>
        <v>7</v>
      </c>
      <c r="J552" s="15" t="s">
        <v>9487</v>
      </c>
      <c r="K552" s="15" t="s">
        <v>97</v>
      </c>
      <c r="L552" s="9" t="str">
        <f>VLOOKUP(K552,[1]中国省份_标准!$B$2:$F$35,4,FALSE)</f>
        <v>中部地区</v>
      </c>
      <c r="M552" s="9" t="str">
        <f>VLOOKUP(K552,[1]中国省份_标准!$B$2:$F$35,5,FALSE)</f>
        <v>华中地区</v>
      </c>
      <c r="N552" s="15" t="s">
        <v>98</v>
      </c>
      <c r="O552" s="15" t="s">
        <v>120</v>
      </c>
      <c r="P552" s="15" t="s">
        <v>9488</v>
      </c>
      <c r="Q552" s="15" t="s">
        <v>9489</v>
      </c>
      <c r="R552" s="15" t="s">
        <v>9490</v>
      </c>
      <c r="S552" s="15" t="s">
        <v>9491</v>
      </c>
      <c r="T552" s="15" t="s">
        <v>452</v>
      </c>
      <c r="U552" s="15" t="s">
        <v>9484</v>
      </c>
      <c r="V552" s="15" t="s">
        <v>39</v>
      </c>
      <c r="W552" s="15" t="s">
        <v>9492</v>
      </c>
      <c r="X552" s="15" t="s">
        <v>9493</v>
      </c>
      <c r="Y552" s="15" t="s">
        <v>78</v>
      </c>
      <c r="Z552" s="15" t="s">
        <v>9494</v>
      </c>
      <c r="AA552" s="15" t="s">
        <v>169</v>
      </c>
      <c r="AB552" s="15" t="s">
        <v>4216</v>
      </c>
      <c r="AC552" s="15" t="s">
        <v>9402</v>
      </c>
      <c r="AD552" s="15" t="s">
        <v>9403</v>
      </c>
      <c r="AE552" s="15" t="s">
        <v>262</v>
      </c>
      <c r="AF552" s="15" t="s">
        <v>9495</v>
      </c>
      <c r="AG552" s="15" t="s">
        <v>9496</v>
      </c>
      <c r="AH552" s="15" t="s">
        <v>39</v>
      </c>
      <c r="AI552" s="15" t="s">
        <v>9497</v>
      </c>
      <c r="AJ552" s="15" t="s">
        <v>9498</v>
      </c>
      <c r="AK552" s="15" t="s">
        <v>132</v>
      </c>
      <c r="AL552" s="15" t="s">
        <v>88</v>
      </c>
    </row>
    <row r="553" spans="1:38" x14ac:dyDescent="0.4">
      <c r="A553" s="11" t="s">
        <v>9499</v>
      </c>
      <c r="B553" s="12" t="s">
        <v>9500</v>
      </c>
      <c r="C553" s="13" t="s">
        <v>39</v>
      </c>
      <c r="D553" s="13" t="s">
        <v>92</v>
      </c>
      <c r="E553" s="13" t="s">
        <v>9501</v>
      </c>
      <c r="F553" s="13" t="s">
        <v>9502</v>
      </c>
      <c r="G553" s="13" t="s">
        <v>9502</v>
      </c>
      <c r="H553" s="13" t="s">
        <v>9503</v>
      </c>
      <c r="I553" s="9">
        <f t="shared" ca="1" si="8"/>
        <v>9</v>
      </c>
      <c r="J553" s="13" t="s">
        <v>9504</v>
      </c>
      <c r="K553" s="13" t="s">
        <v>45</v>
      </c>
      <c r="L553" s="9" t="str">
        <f>VLOOKUP(K553,[1]中国省份_标准!$B$2:$F$35,4,FALSE)</f>
        <v>东部地区</v>
      </c>
      <c r="M553" s="9" t="str">
        <f>VLOOKUP(K553,[1]中国省份_标准!$B$2:$F$35,5,FALSE)</f>
        <v>华东地区</v>
      </c>
      <c r="N553" s="13" t="s">
        <v>45</v>
      </c>
      <c r="O553" s="13" t="s">
        <v>8524</v>
      </c>
      <c r="P553" s="13" t="s">
        <v>9505</v>
      </c>
      <c r="Q553" s="13" t="s">
        <v>9506</v>
      </c>
      <c r="R553" s="13" t="s">
        <v>9507</v>
      </c>
      <c r="S553" s="13" t="s">
        <v>9508</v>
      </c>
      <c r="T553" s="13" t="s">
        <v>209</v>
      </c>
      <c r="U553" s="13" t="s">
        <v>9500</v>
      </c>
      <c r="V553" s="13" t="s">
        <v>9509</v>
      </c>
      <c r="W553" s="13" t="s">
        <v>9510</v>
      </c>
      <c r="X553" s="13" t="s">
        <v>167</v>
      </c>
      <c r="Y553" s="13" t="s">
        <v>78</v>
      </c>
      <c r="Z553" s="13" t="s">
        <v>9511</v>
      </c>
      <c r="AA553" s="13" t="s">
        <v>80</v>
      </c>
      <c r="AB553" s="13" t="s">
        <v>106</v>
      </c>
      <c r="AC553" s="13" t="s">
        <v>559</v>
      </c>
      <c r="AD553" s="13" t="s">
        <v>560</v>
      </c>
      <c r="AE553" s="13" t="s">
        <v>55</v>
      </c>
      <c r="AF553" s="13" t="s">
        <v>9512</v>
      </c>
      <c r="AG553" s="13" t="s">
        <v>39</v>
      </c>
      <c r="AH553" s="13" t="s">
        <v>9513</v>
      </c>
      <c r="AI553" s="13" t="s">
        <v>9514</v>
      </c>
      <c r="AJ553" s="13" t="s">
        <v>9515</v>
      </c>
      <c r="AK553" s="13" t="s">
        <v>8533</v>
      </c>
      <c r="AL553" s="13" t="s">
        <v>88</v>
      </c>
    </row>
    <row r="554" spans="1:38" x14ac:dyDescent="0.4">
      <c r="A554" s="11" t="s">
        <v>9516</v>
      </c>
      <c r="B554" s="14" t="s">
        <v>9517</v>
      </c>
      <c r="C554" s="15" t="s">
        <v>39</v>
      </c>
      <c r="D554" s="15" t="s">
        <v>9518</v>
      </c>
      <c r="E554" s="15" t="s">
        <v>9519</v>
      </c>
      <c r="F554" s="15" t="s">
        <v>9520</v>
      </c>
      <c r="G554" s="15" t="s">
        <v>9521</v>
      </c>
      <c r="H554" s="15" t="s">
        <v>9522</v>
      </c>
      <c r="I554" s="9">
        <f t="shared" ca="1" si="8"/>
        <v>4</v>
      </c>
      <c r="J554" s="15" t="s">
        <v>9523</v>
      </c>
      <c r="K554" s="15" t="s">
        <v>97</v>
      </c>
      <c r="L554" s="9" t="str">
        <f>VLOOKUP(K554,[1]中国省份_标准!$B$2:$F$35,4,FALSE)</f>
        <v>中部地区</v>
      </c>
      <c r="M554" s="9" t="str">
        <f>VLOOKUP(K554,[1]中国省份_标准!$B$2:$F$35,5,FALSE)</f>
        <v>华中地区</v>
      </c>
      <c r="N554" s="15" t="s">
        <v>2049</v>
      </c>
      <c r="O554" s="15" t="s">
        <v>9524</v>
      </c>
      <c r="P554" s="15" t="s">
        <v>9525</v>
      </c>
      <c r="Q554" s="15" t="s">
        <v>9526</v>
      </c>
      <c r="R554" s="15" t="s">
        <v>9527</v>
      </c>
      <c r="S554" s="15" t="s">
        <v>9528</v>
      </c>
      <c r="T554" s="15" t="s">
        <v>48</v>
      </c>
      <c r="U554" s="15" t="s">
        <v>9517</v>
      </c>
      <c r="V554" s="15" t="s">
        <v>9529</v>
      </c>
      <c r="W554" s="15" t="s">
        <v>9530</v>
      </c>
      <c r="X554" s="15" t="s">
        <v>77</v>
      </c>
      <c r="Y554" s="15" t="s">
        <v>78</v>
      </c>
      <c r="Z554" s="15" t="s">
        <v>9531</v>
      </c>
      <c r="AA554" s="15" t="s">
        <v>80</v>
      </c>
      <c r="AB554" s="15" t="s">
        <v>81</v>
      </c>
      <c r="AC554" s="15" t="s">
        <v>8017</v>
      </c>
      <c r="AD554" s="15" t="s">
        <v>8018</v>
      </c>
      <c r="AE554" s="15" t="s">
        <v>55</v>
      </c>
      <c r="AF554" s="15" t="s">
        <v>9532</v>
      </c>
      <c r="AG554" s="15" t="s">
        <v>39</v>
      </c>
      <c r="AH554" s="15" t="s">
        <v>39</v>
      </c>
      <c r="AI554" s="15" t="s">
        <v>9533</v>
      </c>
      <c r="AJ554" s="15" t="s">
        <v>9534</v>
      </c>
      <c r="AK554" s="15" t="s">
        <v>9535</v>
      </c>
      <c r="AL554" s="15" t="s">
        <v>88</v>
      </c>
    </row>
    <row r="555" spans="1:38" x14ac:dyDescent="0.4">
      <c r="A555" s="11" t="s">
        <v>9536</v>
      </c>
      <c r="B555" s="12" t="s">
        <v>9537</v>
      </c>
      <c r="C555" s="13" t="s">
        <v>39</v>
      </c>
      <c r="D555" s="13" t="s">
        <v>92</v>
      </c>
      <c r="E555" s="13" t="s">
        <v>9538</v>
      </c>
      <c r="F555" s="13" t="s">
        <v>178</v>
      </c>
      <c r="G555" s="13" t="s">
        <v>1428</v>
      </c>
      <c r="H555" s="13" t="s">
        <v>9539</v>
      </c>
      <c r="I555" s="9">
        <f t="shared" ca="1" si="8"/>
        <v>1</v>
      </c>
      <c r="J555" s="13" t="s">
        <v>9540</v>
      </c>
      <c r="K555" s="13" t="s">
        <v>340</v>
      </c>
      <c r="L555" s="9" t="str">
        <f>VLOOKUP(K555,[1]中国省份_标准!$B$2:$F$35,4,FALSE)</f>
        <v>东部地区</v>
      </c>
      <c r="M555" s="9" t="str">
        <f>VLOOKUP(K555,[1]中国省份_标准!$B$2:$F$35,5,FALSE)</f>
        <v>华东地区</v>
      </c>
      <c r="N555" s="13" t="s">
        <v>7751</v>
      </c>
      <c r="O555" s="13" t="s">
        <v>9541</v>
      </c>
      <c r="P555" s="13" t="s">
        <v>9542</v>
      </c>
      <c r="Q555" s="13" t="s">
        <v>39</v>
      </c>
      <c r="R555" s="13" t="s">
        <v>9543</v>
      </c>
      <c r="S555" s="13" t="s">
        <v>39</v>
      </c>
      <c r="T555" s="13" t="s">
        <v>452</v>
      </c>
      <c r="U555" s="13" t="s">
        <v>9537</v>
      </c>
      <c r="V555" s="13" t="s">
        <v>9544</v>
      </c>
      <c r="W555" s="13" t="s">
        <v>9545</v>
      </c>
      <c r="X555" s="13" t="s">
        <v>690</v>
      </c>
      <c r="Y555" s="13" t="s">
        <v>78</v>
      </c>
      <c r="Z555" s="13" t="s">
        <v>9546</v>
      </c>
      <c r="AA555" s="13" t="s">
        <v>80</v>
      </c>
      <c r="AB555" s="13" t="s">
        <v>106</v>
      </c>
      <c r="AC555" s="13" t="s">
        <v>951</v>
      </c>
      <c r="AD555" s="13" t="s">
        <v>952</v>
      </c>
      <c r="AE555" s="13" t="s">
        <v>55</v>
      </c>
      <c r="AF555" s="13" t="s">
        <v>9547</v>
      </c>
      <c r="AG555" s="13" t="s">
        <v>39</v>
      </c>
      <c r="AH555" s="13" t="s">
        <v>39</v>
      </c>
      <c r="AI555" s="13" t="s">
        <v>9548</v>
      </c>
      <c r="AJ555" s="13" t="s">
        <v>9549</v>
      </c>
      <c r="AK555" s="13" t="s">
        <v>9550</v>
      </c>
      <c r="AL555" s="13" t="s">
        <v>88</v>
      </c>
    </row>
    <row r="556" spans="1:38" x14ac:dyDescent="0.4">
      <c r="A556" s="11" t="s">
        <v>9551</v>
      </c>
      <c r="B556" s="14" t="s">
        <v>9552</v>
      </c>
      <c r="C556" s="15" t="s">
        <v>9553</v>
      </c>
      <c r="D556" s="15" t="s">
        <v>92</v>
      </c>
      <c r="E556" s="15" t="s">
        <v>9554</v>
      </c>
      <c r="F556" s="15" t="s">
        <v>9555</v>
      </c>
      <c r="G556" s="15" t="s">
        <v>9555</v>
      </c>
      <c r="H556" s="15" t="s">
        <v>9556</v>
      </c>
      <c r="I556" s="9">
        <f t="shared" ca="1" si="8"/>
        <v>23</v>
      </c>
      <c r="J556" s="15" t="s">
        <v>9557</v>
      </c>
      <c r="K556" s="15" t="s">
        <v>531</v>
      </c>
      <c r="L556" s="9" t="str">
        <f>VLOOKUP(K556,[1]中国省份_标准!$B$2:$F$35,4,FALSE)</f>
        <v>东部地区</v>
      </c>
      <c r="M556" s="9" t="str">
        <f>VLOOKUP(K556,[1]中国省份_标准!$B$2:$F$35,5,FALSE)</f>
        <v>华南地区</v>
      </c>
      <c r="N556" s="15" t="s">
        <v>1450</v>
      </c>
      <c r="O556" s="15" t="s">
        <v>2827</v>
      </c>
      <c r="P556" s="15" t="s">
        <v>9558</v>
      </c>
      <c r="Q556" s="15" t="s">
        <v>9559</v>
      </c>
      <c r="R556" s="15" t="s">
        <v>9560</v>
      </c>
      <c r="S556" s="15" t="s">
        <v>9561</v>
      </c>
      <c r="T556" s="15" t="s">
        <v>209</v>
      </c>
      <c r="U556" s="15" t="s">
        <v>9552</v>
      </c>
      <c r="V556" s="15" t="s">
        <v>9562</v>
      </c>
      <c r="W556" s="15" t="s">
        <v>9563</v>
      </c>
      <c r="X556" s="15" t="s">
        <v>9564</v>
      </c>
      <c r="Y556" s="15" t="s">
        <v>78</v>
      </c>
      <c r="Z556" s="15" t="s">
        <v>9565</v>
      </c>
      <c r="AA556" s="15" t="s">
        <v>80</v>
      </c>
      <c r="AB556" s="15" t="s">
        <v>106</v>
      </c>
      <c r="AC556" s="15" t="s">
        <v>107</v>
      </c>
      <c r="AD556" s="15" t="s">
        <v>39</v>
      </c>
      <c r="AE556" s="15" t="s">
        <v>262</v>
      </c>
      <c r="AF556" s="15" t="s">
        <v>9566</v>
      </c>
      <c r="AG556" s="15" t="s">
        <v>9567</v>
      </c>
      <c r="AH556" s="15" t="s">
        <v>39</v>
      </c>
      <c r="AI556" s="15" t="s">
        <v>9568</v>
      </c>
      <c r="AJ556" s="15" t="s">
        <v>9569</v>
      </c>
      <c r="AK556" s="15" t="s">
        <v>5088</v>
      </c>
      <c r="AL556" s="15" t="s">
        <v>88</v>
      </c>
    </row>
    <row r="557" spans="1:38" x14ac:dyDescent="0.4">
      <c r="A557" s="11" t="s">
        <v>9570</v>
      </c>
      <c r="B557" s="12" t="s">
        <v>9571</v>
      </c>
      <c r="C557" s="13" t="s">
        <v>39</v>
      </c>
      <c r="D557" s="13" t="s">
        <v>92</v>
      </c>
      <c r="E557" s="13" t="s">
        <v>9572</v>
      </c>
      <c r="F557" s="13" t="s">
        <v>3275</v>
      </c>
      <c r="G557" s="13" t="s">
        <v>3275</v>
      </c>
      <c r="H557" s="13" t="s">
        <v>9573</v>
      </c>
      <c r="I557" s="9">
        <f t="shared" ca="1" si="8"/>
        <v>7</v>
      </c>
      <c r="J557" s="13" t="s">
        <v>9574</v>
      </c>
      <c r="K557" s="13" t="s">
        <v>4266</v>
      </c>
      <c r="L557" s="9" t="str">
        <f>VLOOKUP(K557,[1]中国省份_标准!$B$2:$F$35,4,FALSE)</f>
        <v>东部地区</v>
      </c>
      <c r="M557" s="9" t="str">
        <f>VLOOKUP(K557,[1]中国省份_标准!$B$2:$F$35,5,FALSE)</f>
        <v>华北地区</v>
      </c>
      <c r="N557" s="13" t="s">
        <v>4266</v>
      </c>
      <c r="O557" s="13" t="s">
        <v>9575</v>
      </c>
      <c r="P557" s="13" t="s">
        <v>9576</v>
      </c>
      <c r="Q557" s="13" t="s">
        <v>9577</v>
      </c>
      <c r="R557" s="13" t="s">
        <v>9578</v>
      </c>
      <c r="S557" s="13" t="s">
        <v>9579</v>
      </c>
      <c r="T557" s="13" t="s">
        <v>1028</v>
      </c>
      <c r="U557" s="13" t="s">
        <v>9571</v>
      </c>
      <c r="V557" s="13" t="s">
        <v>9580</v>
      </c>
      <c r="W557" s="13" t="s">
        <v>9581</v>
      </c>
      <c r="X557" s="13" t="s">
        <v>9582</v>
      </c>
      <c r="Y557" s="13" t="s">
        <v>78</v>
      </c>
      <c r="Z557" s="13" t="s">
        <v>9583</v>
      </c>
      <c r="AA557" s="13" t="s">
        <v>80</v>
      </c>
      <c r="AB557" s="13" t="s">
        <v>106</v>
      </c>
      <c r="AC557" s="13" t="s">
        <v>951</v>
      </c>
      <c r="AD557" s="13" t="s">
        <v>952</v>
      </c>
      <c r="AE557" s="13" t="s">
        <v>262</v>
      </c>
      <c r="AF557" s="13" t="s">
        <v>9584</v>
      </c>
      <c r="AG557" s="13" t="s">
        <v>39</v>
      </c>
      <c r="AH557" s="13" t="s">
        <v>9585</v>
      </c>
      <c r="AI557" s="13" t="s">
        <v>9586</v>
      </c>
      <c r="AJ557" s="13" t="s">
        <v>9587</v>
      </c>
      <c r="AK557" s="13" t="s">
        <v>4296</v>
      </c>
      <c r="AL557" s="13" t="s">
        <v>88</v>
      </c>
    </row>
    <row r="558" spans="1:38" x14ac:dyDescent="0.4">
      <c r="A558" s="11" t="s">
        <v>9588</v>
      </c>
      <c r="B558" s="14" t="s">
        <v>9589</v>
      </c>
      <c r="C558" s="15" t="s">
        <v>39</v>
      </c>
      <c r="D558" s="15" t="s">
        <v>92</v>
      </c>
      <c r="E558" s="15" t="s">
        <v>9590</v>
      </c>
      <c r="F558" s="15" t="s">
        <v>9591</v>
      </c>
      <c r="G558" s="15" t="s">
        <v>9592</v>
      </c>
      <c r="H558" s="15" t="s">
        <v>9593</v>
      </c>
      <c r="I558" s="9">
        <f t="shared" ca="1" si="8"/>
        <v>2</v>
      </c>
      <c r="J558" s="15" t="s">
        <v>9594</v>
      </c>
      <c r="K558" s="15" t="s">
        <v>4860</v>
      </c>
      <c r="L558" s="9" t="str">
        <f>VLOOKUP(K558,[1]中国省份_标准!$B$2:$F$35,4,FALSE)</f>
        <v>东部地区</v>
      </c>
      <c r="M558" s="9" t="str">
        <f>VLOOKUP(K558,[1]中国省份_标准!$B$2:$F$35,5,FALSE)</f>
        <v>华南地区</v>
      </c>
      <c r="N558" s="15" t="s">
        <v>8091</v>
      </c>
      <c r="O558" s="15" t="s">
        <v>39</v>
      </c>
      <c r="P558" s="15" t="s">
        <v>9595</v>
      </c>
      <c r="Q558" s="15" t="s">
        <v>39</v>
      </c>
      <c r="R558" s="15" t="s">
        <v>9596</v>
      </c>
      <c r="S558" s="15" t="s">
        <v>39</v>
      </c>
      <c r="T558" s="15" t="s">
        <v>48</v>
      </c>
      <c r="U558" s="15" t="s">
        <v>9589</v>
      </c>
      <c r="V558" s="15" t="s">
        <v>9597</v>
      </c>
      <c r="W558" s="15" t="s">
        <v>9598</v>
      </c>
      <c r="X558" s="15" t="s">
        <v>557</v>
      </c>
      <c r="Y558" s="15" t="s">
        <v>78</v>
      </c>
      <c r="Z558" s="15" t="s">
        <v>9599</v>
      </c>
      <c r="AA558" s="15" t="s">
        <v>80</v>
      </c>
      <c r="AB558" s="15" t="s">
        <v>106</v>
      </c>
      <c r="AC558" s="15" t="s">
        <v>107</v>
      </c>
      <c r="AD558" s="15" t="s">
        <v>128</v>
      </c>
      <c r="AE558" s="15" t="s">
        <v>55</v>
      </c>
      <c r="AF558" s="15" t="s">
        <v>9600</v>
      </c>
      <c r="AG558" s="15" t="s">
        <v>39</v>
      </c>
      <c r="AH558" s="15" t="s">
        <v>39</v>
      </c>
      <c r="AI558" s="15" t="s">
        <v>9601</v>
      </c>
      <c r="AJ558" s="15" t="s">
        <v>9602</v>
      </c>
      <c r="AK558" s="15" t="s">
        <v>4872</v>
      </c>
      <c r="AL558" s="15" t="s">
        <v>88</v>
      </c>
    </row>
    <row r="559" spans="1:38" x14ac:dyDescent="0.4">
      <c r="A559" s="11" t="s">
        <v>9603</v>
      </c>
      <c r="B559" s="12" t="s">
        <v>9604</v>
      </c>
      <c r="C559" s="13" t="s">
        <v>39</v>
      </c>
      <c r="D559" s="13" t="s">
        <v>92</v>
      </c>
      <c r="E559" s="13" t="s">
        <v>9605</v>
      </c>
      <c r="F559" s="13" t="s">
        <v>920</v>
      </c>
      <c r="G559" s="13" t="s">
        <v>920</v>
      </c>
      <c r="H559" s="13" t="s">
        <v>9606</v>
      </c>
      <c r="I559" s="9">
        <f t="shared" ca="1" si="8"/>
        <v>8</v>
      </c>
      <c r="J559" s="13" t="s">
        <v>9607</v>
      </c>
      <c r="K559" s="13" t="s">
        <v>4860</v>
      </c>
      <c r="L559" s="9" t="str">
        <f>VLOOKUP(K559,[1]中国省份_标准!$B$2:$F$35,4,FALSE)</f>
        <v>东部地区</v>
      </c>
      <c r="M559" s="9" t="str">
        <f>VLOOKUP(K559,[1]中国省份_标准!$B$2:$F$35,5,FALSE)</f>
        <v>华南地区</v>
      </c>
      <c r="N559" s="13" t="s">
        <v>8091</v>
      </c>
      <c r="O559" s="13" t="s">
        <v>39</v>
      </c>
      <c r="P559" s="13" t="s">
        <v>9608</v>
      </c>
      <c r="Q559" s="13" t="s">
        <v>9609</v>
      </c>
      <c r="R559" s="13" t="s">
        <v>9610</v>
      </c>
      <c r="S559" s="13" t="s">
        <v>9611</v>
      </c>
      <c r="T559" s="13" t="s">
        <v>452</v>
      </c>
      <c r="U559" s="13" t="s">
        <v>9604</v>
      </c>
      <c r="V559" s="13" t="s">
        <v>9612</v>
      </c>
      <c r="W559" s="13" t="s">
        <v>9613</v>
      </c>
      <c r="X559" s="13" t="s">
        <v>9614</v>
      </c>
      <c r="Y559" s="13" t="s">
        <v>283</v>
      </c>
      <c r="Z559" s="13" t="s">
        <v>9615</v>
      </c>
      <c r="AA559" s="13" t="s">
        <v>169</v>
      </c>
      <c r="AB559" s="13" t="s">
        <v>412</v>
      </c>
      <c r="AC559" s="13" t="s">
        <v>457</v>
      </c>
      <c r="AD559" s="13" t="s">
        <v>458</v>
      </c>
      <c r="AE559" s="13" t="s">
        <v>55</v>
      </c>
      <c r="AF559" s="13" t="s">
        <v>9616</v>
      </c>
      <c r="AG559" s="13" t="s">
        <v>39</v>
      </c>
      <c r="AH559" s="13" t="s">
        <v>39</v>
      </c>
      <c r="AI559" s="13" t="s">
        <v>9617</v>
      </c>
      <c r="AJ559" s="13" t="s">
        <v>9618</v>
      </c>
      <c r="AK559" s="13" t="s">
        <v>4872</v>
      </c>
      <c r="AL559" s="13" t="s">
        <v>88</v>
      </c>
    </row>
    <row r="560" spans="1:38" x14ac:dyDescent="0.4">
      <c r="A560" s="11" t="s">
        <v>9619</v>
      </c>
      <c r="B560" s="14" t="s">
        <v>9620</v>
      </c>
      <c r="C560" s="15" t="s">
        <v>39</v>
      </c>
      <c r="D560" s="15" t="s">
        <v>92</v>
      </c>
      <c r="E560" s="15" t="s">
        <v>9621</v>
      </c>
      <c r="F560" s="15" t="s">
        <v>154</v>
      </c>
      <c r="G560" s="15" t="s">
        <v>154</v>
      </c>
      <c r="H560" s="15" t="s">
        <v>9622</v>
      </c>
      <c r="I560" s="9">
        <f t="shared" ca="1" si="8"/>
        <v>2</v>
      </c>
      <c r="J560" s="15" t="s">
        <v>9623</v>
      </c>
      <c r="K560" s="15" t="s">
        <v>425</v>
      </c>
      <c r="L560" s="9" t="str">
        <f>VLOOKUP(K560,[1]中国省份_标准!$B$2:$F$35,4,FALSE)</f>
        <v>东部地区</v>
      </c>
      <c r="M560" s="9" t="str">
        <f>VLOOKUP(K560,[1]中国省份_标准!$B$2:$F$35,5,FALSE)</f>
        <v>华东地区</v>
      </c>
      <c r="N560" s="15" t="s">
        <v>426</v>
      </c>
      <c r="O560" s="15" t="s">
        <v>427</v>
      </c>
      <c r="P560" s="15" t="s">
        <v>9624</v>
      </c>
      <c r="Q560" s="15" t="s">
        <v>39</v>
      </c>
      <c r="R560" s="15" t="s">
        <v>39</v>
      </c>
      <c r="S560" s="15" t="s">
        <v>39</v>
      </c>
      <c r="T560" s="15" t="s">
        <v>281</v>
      </c>
      <c r="U560" s="15" t="s">
        <v>9620</v>
      </c>
      <c r="V560" s="15" t="s">
        <v>9625</v>
      </c>
      <c r="W560" s="15" t="s">
        <v>9626</v>
      </c>
      <c r="X560" s="15" t="s">
        <v>77</v>
      </c>
      <c r="Y560" s="15" t="s">
        <v>78</v>
      </c>
      <c r="Z560" s="15" t="s">
        <v>9627</v>
      </c>
      <c r="AA560" s="15" t="s">
        <v>80</v>
      </c>
      <c r="AB560" s="15" t="s">
        <v>106</v>
      </c>
      <c r="AC560" s="15" t="s">
        <v>107</v>
      </c>
      <c r="AD560" s="15" t="s">
        <v>108</v>
      </c>
      <c r="AE560" s="15" t="s">
        <v>109</v>
      </c>
      <c r="AF560" s="15" t="s">
        <v>9628</v>
      </c>
      <c r="AG560" s="15" t="s">
        <v>39</v>
      </c>
      <c r="AH560" s="15" t="s">
        <v>39</v>
      </c>
      <c r="AI560" s="15" t="s">
        <v>9629</v>
      </c>
      <c r="AJ560" s="15" t="s">
        <v>9630</v>
      </c>
      <c r="AK560" s="15" t="s">
        <v>438</v>
      </c>
      <c r="AL560" s="15" t="s">
        <v>88</v>
      </c>
    </row>
    <row r="561" spans="1:38" x14ac:dyDescent="0.4">
      <c r="A561" s="11" t="s">
        <v>9631</v>
      </c>
      <c r="B561" s="12" t="s">
        <v>9632</v>
      </c>
      <c r="C561" s="13" t="s">
        <v>39</v>
      </c>
      <c r="D561" s="13" t="s">
        <v>92</v>
      </c>
      <c r="E561" s="13" t="s">
        <v>9633</v>
      </c>
      <c r="F561" s="13" t="s">
        <v>9634</v>
      </c>
      <c r="G561" s="13" t="s">
        <v>9634</v>
      </c>
      <c r="H561" s="13" t="s">
        <v>9635</v>
      </c>
      <c r="I561" s="9">
        <f t="shared" ca="1" si="8"/>
        <v>21</v>
      </c>
      <c r="J561" s="13" t="s">
        <v>9636</v>
      </c>
      <c r="K561" s="13" t="s">
        <v>4266</v>
      </c>
      <c r="L561" s="9" t="str">
        <f>VLOOKUP(K561,[1]中国省份_标准!$B$2:$F$35,4,FALSE)</f>
        <v>东部地区</v>
      </c>
      <c r="M561" s="9" t="str">
        <f>VLOOKUP(K561,[1]中国省份_标准!$B$2:$F$35,5,FALSE)</f>
        <v>华北地区</v>
      </c>
      <c r="N561" s="13" t="s">
        <v>4266</v>
      </c>
      <c r="O561" s="13" t="s">
        <v>9575</v>
      </c>
      <c r="P561" s="13" t="s">
        <v>9637</v>
      </c>
      <c r="Q561" s="13" t="s">
        <v>9638</v>
      </c>
      <c r="R561" s="13" t="s">
        <v>9639</v>
      </c>
      <c r="S561" s="13" t="s">
        <v>9640</v>
      </c>
      <c r="T561" s="13" t="s">
        <v>670</v>
      </c>
      <c r="U561" s="13" t="s">
        <v>9632</v>
      </c>
      <c r="V561" s="13" t="s">
        <v>9641</v>
      </c>
      <c r="W561" s="13" t="s">
        <v>9642</v>
      </c>
      <c r="X561" s="13" t="s">
        <v>5520</v>
      </c>
      <c r="Y561" s="13" t="s">
        <v>78</v>
      </c>
      <c r="Z561" s="13" t="s">
        <v>9643</v>
      </c>
      <c r="AA561" s="13" t="s">
        <v>80</v>
      </c>
      <c r="AB561" s="13" t="s">
        <v>106</v>
      </c>
      <c r="AC561" s="13" t="s">
        <v>107</v>
      </c>
      <c r="AD561" s="13" t="s">
        <v>128</v>
      </c>
      <c r="AE561" s="13" t="s">
        <v>262</v>
      </c>
      <c r="AF561" s="13" t="s">
        <v>9644</v>
      </c>
      <c r="AG561" s="13" t="s">
        <v>9645</v>
      </c>
      <c r="AH561" s="13" t="s">
        <v>39</v>
      </c>
      <c r="AI561" s="13" t="s">
        <v>9646</v>
      </c>
      <c r="AJ561" s="13" t="s">
        <v>9647</v>
      </c>
      <c r="AK561" s="13" t="s">
        <v>4296</v>
      </c>
      <c r="AL561" s="13" t="s">
        <v>88</v>
      </c>
    </row>
    <row r="562" spans="1:38" x14ac:dyDescent="0.4">
      <c r="A562" s="11" t="s">
        <v>9648</v>
      </c>
      <c r="B562" s="14" t="s">
        <v>9649</v>
      </c>
      <c r="C562" s="15" t="s">
        <v>9650</v>
      </c>
      <c r="D562" s="15" t="s">
        <v>92</v>
      </c>
      <c r="E562" s="15" t="s">
        <v>9651</v>
      </c>
      <c r="F562" s="15" t="s">
        <v>9652</v>
      </c>
      <c r="G562" s="15" t="s">
        <v>9652</v>
      </c>
      <c r="H562" s="15" t="s">
        <v>9653</v>
      </c>
      <c r="I562" s="9">
        <f t="shared" ca="1" si="8"/>
        <v>28</v>
      </c>
      <c r="J562" s="15" t="s">
        <v>9654</v>
      </c>
      <c r="K562" s="15" t="s">
        <v>97</v>
      </c>
      <c r="L562" s="9" t="str">
        <f>VLOOKUP(K562,[1]中国省份_标准!$B$2:$F$35,4,FALSE)</f>
        <v>中部地区</v>
      </c>
      <c r="M562" s="9" t="str">
        <f>VLOOKUP(K562,[1]中国省份_标准!$B$2:$F$35,5,FALSE)</f>
        <v>华中地区</v>
      </c>
      <c r="N562" s="15" t="s">
        <v>4861</v>
      </c>
      <c r="O562" s="15" t="s">
        <v>9655</v>
      </c>
      <c r="P562" s="15" t="s">
        <v>9656</v>
      </c>
      <c r="Q562" s="15" t="s">
        <v>9657</v>
      </c>
      <c r="R562" s="15" t="s">
        <v>9658</v>
      </c>
      <c r="S562" s="15" t="s">
        <v>9659</v>
      </c>
      <c r="T562" s="15" t="s">
        <v>7659</v>
      </c>
      <c r="U562" s="15" t="s">
        <v>9649</v>
      </c>
      <c r="V562" s="15" t="s">
        <v>9660</v>
      </c>
      <c r="W562" s="15" t="s">
        <v>9661</v>
      </c>
      <c r="X562" s="15" t="s">
        <v>9662</v>
      </c>
      <c r="Y562" s="15" t="s">
        <v>78</v>
      </c>
      <c r="Z562" s="15" t="s">
        <v>9663</v>
      </c>
      <c r="AA562" s="15" t="s">
        <v>9130</v>
      </c>
      <c r="AB562" s="15" t="s">
        <v>9131</v>
      </c>
      <c r="AC562" s="15" t="s">
        <v>9132</v>
      </c>
      <c r="AD562" s="15" t="s">
        <v>39</v>
      </c>
      <c r="AE562" s="15" t="s">
        <v>239</v>
      </c>
      <c r="AF562" s="15" t="s">
        <v>9664</v>
      </c>
      <c r="AG562" s="15" t="s">
        <v>9665</v>
      </c>
      <c r="AH562" s="15" t="s">
        <v>39</v>
      </c>
      <c r="AI562" s="15" t="s">
        <v>9666</v>
      </c>
      <c r="AJ562" s="15" t="s">
        <v>9667</v>
      </c>
      <c r="AK562" s="15" t="s">
        <v>9668</v>
      </c>
      <c r="AL562" s="15" t="s">
        <v>88</v>
      </c>
    </row>
    <row r="563" spans="1:38" x14ac:dyDescent="0.4">
      <c r="A563" s="11" t="s">
        <v>9669</v>
      </c>
      <c r="B563" s="12" t="s">
        <v>9670</v>
      </c>
      <c r="C563" s="13" t="s">
        <v>9671</v>
      </c>
      <c r="D563" s="13" t="s">
        <v>92</v>
      </c>
      <c r="E563" s="13" t="s">
        <v>9672</v>
      </c>
      <c r="F563" s="13" t="s">
        <v>9673</v>
      </c>
      <c r="G563" s="13" t="s">
        <v>39</v>
      </c>
      <c r="H563" s="13" t="s">
        <v>9674</v>
      </c>
      <c r="I563" s="9">
        <f t="shared" ca="1" si="8"/>
        <v>36</v>
      </c>
      <c r="J563" s="13" t="s">
        <v>9675</v>
      </c>
      <c r="K563" s="13" t="s">
        <v>274</v>
      </c>
      <c r="L563" s="9" t="str">
        <f>VLOOKUP(K563,[1]中国省份_标准!$B$2:$F$35,4,FALSE)</f>
        <v>西部地区</v>
      </c>
      <c r="M563" s="9" t="str">
        <f>VLOOKUP(K563,[1]中国省份_标准!$B$2:$F$35,5,FALSE)</f>
        <v>西南地区</v>
      </c>
      <c r="N563" s="13" t="s">
        <v>6347</v>
      </c>
      <c r="O563" s="13" t="s">
        <v>9676</v>
      </c>
      <c r="P563" s="13" t="s">
        <v>9677</v>
      </c>
      <c r="Q563" s="13" t="s">
        <v>9678</v>
      </c>
      <c r="R563" s="13" t="s">
        <v>9679</v>
      </c>
      <c r="S563" s="13" t="s">
        <v>9680</v>
      </c>
      <c r="T563" s="13" t="s">
        <v>452</v>
      </c>
      <c r="U563" s="13" t="s">
        <v>9670</v>
      </c>
      <c r="V563" s="13" t="s">
        <v>9681</v>
      </c>
      <c r="W563" s="13" t="s">
        <v>9682</v>
      </c>
      <c r="X563" s="13" t="s">
        <v>8034</v>
      </c>
      <c r="Y563" s="13" t="s">
        <v>78</v>
      </c>
      <c r="Z563" s="13" t="s">
        <v>9683</v>
      </c>
      <c r="AA563" s="13" t="s">
        <v>169</v>
      </c>
      <c r="AB563" s="13" t="s">
        <v>581</v>
      </c>
      <c r="AC563" s="13" t="s">
        <v>39</v>
      </c>
      <c r="AD563" s="13" t="s">
        <v>39</v>
      </c>
      <c r="AE563" s="13" t="s">
        <v>262</v>
      </c>
      <c r="AF563" s="13" t="s">
        <v>9684</v>
      </c>
      <c r="AG563" s="13" t="s">
        <v>39</v>
      </c>
      <c r="AH563" s="13" t="s">
        <v>39</v>
      </c>
      <c r="AI563" s="13" t="s">
        <v>9685</v>
      </c>
      <c r="AJ563" s="13" t="s">
        <v>9686</v>
      </c>
      <c r="AK563" s="13" t="s">
        <v>9687</v>
      </c>
      <c r="AL563" s="13" t="s">
        <v>88</v>
      </c>
    </row>
    <row r="564" spans="1:38" x14ac:dyDescent="0.4">
      <c r="A564" s="11" t="s">
        <v>9688</v>
      </c>
      <c r="B564" s="14" t="s">
        <v>9689</v>
      </c>
      <c r="C564" s="15" t="s">
        <v>9690</v>
      </c>
      <c r="D564" s="15" t="s">
        <v>63</v>
      </c>
      <c r="E564" s="15" t="s">
        <v>9691</v>
      </c>
      <c r="F564" s="15" t="s">
        <v>999</v>
      </c>
      <c r="G564" s="15" t="s">
        <v>999</v>
      </c>
      <c r="H564" s="15" t="s">
        <v>9692</v>
      </c>
      <c r="I564" s="9">
        <f t="shared" ca="1" si="8"/>
        <v>19</v>
      </c>
      <c r="J564" s="15" t="s">
        <v>9693</v>
      </c>
      <c r="K564" s="15" t="s">
        <v>8384</v>
      </c>
      <c r="L564" s="9" t="str">
        <f>VLOOKUP(K564,[1]中国省份_标准!$B$2:$F$35,4,FALSE)</f>
        <v>西部地区</v>
      </c>
      <c r="M564" s="9" t="str">
        <f>VLOOKUP(K564,[1]中国省份_标准!$B$2:$F$35,5,FALSE)</f>
        <v>西北地区</v>
      </c>
      <c r="N564" s="15" t="s">
        <v>8385</v>
      </c>
      <c r="O564" s="15" t="s">
        <v>9694</v>
      </c>
      <c r="P564" s="15" t="s">
        <v>9695</v>
      </c>
      <c r="Q564" s="15" t="s">
        <v>9696</v>
      </c>
      <c r="R564" s="15" t="s">
        <v>9697</v>
      </c>
      <c r="S564" s="15" t="s">
        <v>9698</v>
      </c>
      <c r="T564" s="15" t="s">
        <v>209</v>
      </c>
      <c r="U564" s="15" t="s">
        <v>9689</v>
      </c>
      <c r="V564" s="15" t="s">
        <v>9699</v>
      </c>
      <c r="W564" s="15" t="s">
        <v>9700</v>
      </c>
      <c r="X564" s="15" t="s">
        <v>39</v>
      </c>
      <c r="Y564" s="15" t="s">
        <v>39</v>
      </c>
      <c r="Z564" s="15" t="s">
        <v>9701</v>
      </c>
      <c r="AA564" s="15" t="s">
        <v>169</v>
      </c>
      <c r="AB564" s="15" t="s">
        <v>9702</v>
      </c>
      <c r="AC564" s="15" t="s">
        <v>9703</v>
      </c>
      <c r="AD564" s="15" t="s">
        <v>9703</v>
      </c>
      <c r="AE564" s="15" t="s">
        <v>262</v>
      </c>
      <c r="AF564" s="15" t="s">
        <v>9704</v>
      </c>
      <c r="AG564" s="15" t="s">
        <v>39</v>
      </c>
      <c r="AH564" s="15" t="s">
        <v>39</v>
      </c>
      <c r="AI564" s="15" t="s">
        <v>9705</v>
      </c>
      <c r="AJ564" s="15" t="s">
        <v>9706</v>
      </c>
      <c r="AK564" s="15" t="s">
        <v>9707</v>
      </c>
      <c r="AL564" s="15" t="s">
        <v>88</v>
      </c>
    </row>
    <row r="565" spans="1:38" x14ac:dyDescent="0.4">
      <c r="A565" s="11" t="s">
        <v>9708</v>
      </c>
      <c r="B565" s="12" t="s">
        <v>9709</v>
      </c>
      <c r="C565" s="13" t="s">
        <v>9710</v>
      </c>
      <c r="D565" s="13" t="s">
        <v>92</v>
      </c>
      <c r="E565" s="13" t="s">
        <v>9711</v>
      </c>
      <c r="F565" s="13" t="s">
        <v>9712</v>
      </c>
      <c r="G565" s="13" t="s">
        <v>9712</v>
      </c>
      <c r="H565" s="13" t="s">
        <v>9713</v>
      </c>
      <c r="I565" s="9">
        <f t="shared" ca="1" si="8"/>
        <v>26</v>
      </c>
      <c r="J565" s="13" t="s">
        <v>9714</v>
      </c>
      <c r="K565" s="13" t="s">
        <v>4266</v>
      </c>
      <c r="L565" s="9" t="str">
        <f>VLOOKUP(K565,[1]中国省份_标准!$B$2:$F$35,4,FALSE)</f>
        <v>东部地区</v>
      </c>
      <c r="M565" s="9" t="str">
        <f>VLOOKUP(K565,[1]中国省份_标准!$B$2:$F$35,5,FALSE)</f>
        <v>华北地区</v>
      </c>
      <c r="N565" s="13" t="s">
        <v>4266</v>
      </c>
      <c r="O565" s="13" t="s">
        <v>9575</v>
      </c>
      <c r="P565" s="13" t="s">
        <v>9715</v>
      </c>
      <c r="Q565" s="13" t="s">
        <v>9716</v>
      </c>
      <c r="R565" s="13" t="s">
        <v>9717</v>
      </c>
      <c r="S565" s="13" t="s">
        <v>9718</v>
      </c>
      <c r="T565" s="13" t="s">
        <v>670</v>
      </c>
      <c r="U565" s="13" t="s">
        <v>9709</v>
      </c>
      <c r="V565" s="13" t="s">
        <v>9719</v>
      </c>
      <c r="W565" s="13" t="s">
        <v>9720</v>
      </c>
      <c r="X565" s="13" t="s">
        <v>4120</v>
      </c>
      <c r="Y565" s="13" t="s">
        <v>78</v>
      </c>
      <c r="Z565" s="13" t="s">
        <v>9721</v>
      </c>
      <c r="AA565" s="13" t="s">
        <v>1796</v>
      </c>
      <c r="AB565" s="13" t="s">
        <v>3935</v>
      </c>
      <c r="AC565" s="13" t="s">
        <v>9722</v>
      </c>
      <c r="AD565" s="13" t="s">
        <v>9723</v>
      </c>
      <c r="AE565" s="13" t="s">
        <v>55</v>
      </c>
      <c r="AF565" s="13" t="s">
        <v>9724</v>
      </c>
      <c r="AG565" s="13" t="s">
        <v>39</v>
      </c>
      <c r="AH565" s="13" t="s">
        <v>39</v>
      </c>
      <c r="AI565" s="13" t="s">
        <v>9725</v>
      </c>
      <c r="AJ565" s="13" t="s">
        <v>9726</v>
      </c>
      <c r="AK565" s="13" t="s">
        <v>9727</v>
      </c>
      <c r="AL565" s="13" t="s">
        <v>88</v>
      </c>
    </row>
    <row r="566" spans="1:38" x14ac:dyDescent="0.4">
      <c r="A566" s="11" t="s">
        <v>9728</v>
      </c>
      <c r="B566" s="14" t="s">
        <v>9729</v>
      </c>
      <c r="C566" s="15" t="s">
        <v>39</v>
      </c>
      <c r="D566" s="15" t="s">
        <v>92</v>
      </c>
      <c r="E566" s="15" t="s">
        <v>9730</v>
      </c>
      <c r="F566" s="15" t="s">
        <v>9731</v>
      </c>
      <c r="G566" s="15" t="s">
        <v>9732</v>
      </c>
      <c r="H566" s="15" t="s">
        <v>9733</v>
      </c>
      <c r="I566" s="9">
        <f t="shared" ca="1" si="8"/>
        <v>4</v>
      </c>
      <c r="J566" s="15" t="s">
        <v>9734</v>
      </c>
      <c r="K566" s="15" t="s">
        <v>4860</v>
      </c>
      <c r="L566" s="9" t="str">
        <f>VLOOKUP(K566,[1]中国省份_标准!$B$2:$F$35,4,FALSE)</f>
        <v>东部地区</v>
      </c>
      <c r="M566" s="9" t="str">
        <f>VLOOKUP(K566,[1]中国省份_标准!$B$2:$F$35,5,FALSE)</f>
        <v>华南地区</v>
      </c>
      <c r="N566" s="15" t="s">
        <v>8091</v>
      </c>
      <c r="O566" s="15" t="s">
        <v>39</v>
      </c>
      <c r="P566" s="15" t="s">
        <v>9735</v>
      </c>
      <c r="Q566" s="15" t="s">
        <v>9736</v>
      </c>
      <c r="R566" s="15" t="s">
        <v>9737</v>
      </c>
      <c r="S566" s="15" t="s">
        <v>9738</v>
      </c>
      <c r="T566" s="15" t="s">
        <v>184</v>
      </c>
      <c r="U566" s="15" t="s">
        <v>9729</v>
      </c>
      <c r="V566" s="15" t="s">
        <v>9739</v>
      </c>
      <c r="W566" s="15" t="s">
        <v>9740</v>
      </c>
      <c r="X566" s="15" t="s">
        <v>557</v>
      </c>
      <c r="Y566" s="15" t="s">
        <v>78</v>
      </c>
      <c r="Z566" s="15" t="s">
        <v>9741</v>
      </c>
      <c r="AA566" s="15" t="s">
        <v>52</v>
      </c>
      <c r="AB566" s="15" t="s">
        <v>53</v>
      </c>
      <c r="AC566" s="15" t="s">
        <v>2874</v>
      </c>
      <c r="AD566" s="15" t="s">
        <v>4311</v>
      </c>
      <c r="AE566" s="15" t="s">
        <v>262</v>
      </c>
      <c r="AF566" s="15" t="s">
        <v>9742</v>
      </c>
      <c r="AG566" s="15" t="s">
        <v>39</v>
      </c>
      <c r="AH566" s="15" t="s">
        <v>9743</v>
      </c>
      <c r="AI566" s="15" t="s">
        <v>9744</v>
      </c>
      <c r="AJ566" s="15" t="s">
        <v>9745</v>
      </c>
      <c r="AK566" s="15" t="s">
        <v>4872</v>
      </c>
      <c r="AL566" s="15" t="s">
        <v>88</v>
      </c>
    </row>
    <row r="567" spans="1:38" x14ac:dyDescent="0.4">
      <c r="A567" s="11" t="s">
        <v>9746</v>
      </c>
      <c r="B567" s="12" t="s">
        <v>9747</v>
      </c>
      <c r="C567" s="13" t="s">
        <v>39</v>
      </c>
      <c r="D567" s="13" t="s">
        <v>92</v>
      </c>
      <c r="E567" s="13" t="s">
        <v>9730</v>
      </c>
      <c r="F567" s="13" t="s">
        <v>9748</v>
      </c>
      <c r="G567" s="13" t="s">
        <v>9748</v>
      </c>
      <c r="H567" s="13" t="s">
        <v>2591</v>
      </c>
      <c r="I567" s="9">
        <f t="shared" ca="1" si="8"/>
        <v>8</v>
      </c>
      <c r="J567" s="13" t="s">
        <v>9749</v>
      </c>
      <c r="K567" s="13" t="s">
        <v>5229</v>
      </c>
      <c r="L567" s="9" t="str">
        <f>VLOOKUP(K567,[1]中国省份_标准!$B$2:$F$35,4,FALSE)</f>
        <v>西部地区</v>
      </c>
      <c r="M567" s="9" t="str">
        <f>VLOOKUP(K567,[1]中国省份_标准!$B$2:$F$35,5,FALSE)</f>
        <v>华南地区</v>
      </c>
      <c r="N567" s="13" t="s">
        <v>9750</v>
      </c>
      <c r="O567" s="13" t="s">
        <v>9751</v>
      </c>
      <c r="P567" s="13" t="s">
        <v>9752</v>
      </c>
      <c r="Q567" s="13" t="s">
        <v>9753</v>
      </c>
      <c r="R567" s="13" t="s">
        <v>9754</v>
      </c>
      <c r="S567" s="13" t="s">
        <v>9755</v>
      </c>
      <c r="T567" s="13" t="s">
        <v>209</v>
      </c>
      <c r="U567" s="13" t="s">
        <v>9747</v>
      </c>
      <c r="V567" s="13" t="s">
        <v>9756</v>
      </c>
      <c r="W567" s="13" t="s">
        <v>9757</v>
      </c>
      <c r="X567" s="13" t="s">
        <v>9758</v>
      </c>
      <c r="Y567" s="13" t="s">
        <v>78</v>
      </c>
      <c r="Z567" s="13" t="s">
        <v>2598</v>
      </c>
      <c r="AA567" s="13" t="s">
        <v>9130</v>
      </c>
      <c r="AB567" s="13" t="s">
        <v>9131</v>
      </c>
      <c r="AC567" s="13" t="s">
        <v>9279</v>
      </c>
      <c r="AD567" s="13" t="s">
        <v>9759</v>
      </c>
      <c r="AE567" s="13" t="s">
        <v>239</v>
      </c>
      <c r="AF567" s="13" t="s">
        <v>9760</v>
      </c>
      <c r="AG567" s="13" t="s">
        <v>39</v>
      </c>
      <c r="AH567" s="13" t="s">
        <v>39</v>
      </c>
      <c r="AI567" s="13" t="s">
        <v>9761</v>
      </c>
      <c r="AJ567" s="13" t="s">
        <v>9762</v>
      </c>
      <c r="AK567" s="13" t="s">
        <v>9763</v>
      </c>
      <c r="AL567" s="13" t="s">
        <v>88</v>
      </c>
    </row>
    <row r="568" spans="1:38" x14ac:dyDescent="0.4">
      <c r="A568" s="11" t="s">
        <v>9764</v>
      </c>
      <c r="B568" s="14" t="s">
        <v>9765</v>
      </c>
      <c r="C568" s="15" t="s">
        <v>9766</v>
      </c>
      <c r="D568" s="15" t="s">
        <v>92</v>
      </c>
      <c r="E568" s="15" t="s">
        <v>9767</v>
      </c>
      <c r="F568" s="15" t="s">
        <v>920</v>
      </c>
      <c r="G568" s="15" t="s">
        <v>920</v>
      </c>
      <c r="H568" s="15" t="s">
        <v>9768</v>
      </c>
      <c r="I568" s="9">
        <f t="shared" ca="1" si="8"/>
        <v>9</v>
      </c>
      <c r="J568" s="15" t="s">
        <v>9769</v>
      </c>
      <c r="K568" s="15" t="s">
        <v>4266</v>
      </c>
      <c r="L568" s="9" t="str">
        <f>VLOOKUP(K568,[1]中国省份_标准!$B$2:$F$35,4,FALSE)</f>
        <v>东部地区</v>
      </c>
      <c r="M568" s="9" t="str">
        <f>VLOOKUP(K568,[1]中国省份_标准!$B$2:$F$35,5,FALSE)</f>
        <v>华北地区</v>
      </c>
      <c r="N568" s="15" t="s">
        <v>4266</v>
      </c>
      <c r="O568" s="15" t="s">
        <v>9575</v>
      </c>
      <c r="P568" s="15" t="s">
        <v>9770</v>
      </c>
      <c r="Q568" s="15" t="s">
        <v>9771</v>
      </c>
      <c r="R568" s="15" t="s">
        <v>9772</v>
      </c>
      <c r="S568" s="15" t="s">
        <v>9773</v>
      </c>
      <c r="T568" s="15" t="s">
        <v>1028</v>
      </c>
      <c r="U568" s="15" t="s">
        <v>9765</v>
      </c>
      <c r="V568" s="15" t="s">
        <v>9774</v>
      </c>
      <c r="W568" s="15" t="s">
        <v>9775</v>
      </c>
      <c r="X568" s="15" t="s">
        <v>990</v>
      </c>
      <c r="Y568" s="15" t="s">
        <v>78</v>
      </c>
      <c r="Z568" s="15" t="s">
        <v>9776</v>
      </c>
      <c r="AA568" s="15" t="s">
        <v>80</v>
      </c>
      <c r="AB568" s="15" t="s">
        <v>106</v>
      </c>
      <c r="AC568" s="15" t="s">
        <v>107</v>
      </c>
      <c r="AD568" s="15" t="s">
        <v>39</v>
      </c>
      <c r="AE568" s="15" t="s">
        <v>55</v>
      </c>
      <c r="AF568" s="15" t="s">
        <v>9777</v>
      </c>
      <c r="AG568" s="15" t="s">
        <v>39</v>
      </c>
      <c r="AH568" s="15" t="s">
        <v>39</v>
      </c>
      <c r="AI568" s="15" t="s">
        <v>9778</v>
      </c>
      <c r="AJ568" s="15" t="s">
        <v>9779</v>
      </c>
      <c r="AK568" s="15" t="s">
        <v>9780</v>
      </c>
      <c r="AL568" s="15" t="s">
        <v>88</v>
      </c>
    </row>
    <row r="569" spans="1:38" x14ac:dyDescent="0.4">
      <c r="A569" s="11" t="s">
        <v>9781</v>
      </c>
      <c r="B569" s="12" t="s">
        <v>9782</v>
      </c>
      <c r="C569" s="13" t="s">
        <v>39</v>
      </c>
      <c r="D569" s="13" t="s">
        <v>92</v>
      </c>
      <c r="E569" s="13" t="s">
        <v>9783</v>
      </c>
      <c r="F569" s="13" t="s">
        <v>2322</v>
      </c>
      <c r="G569" s="13" t="s">
        <v>2322</v>
      </c>
      <c r="H569" s="13" t="s">
        <v>9784</v>
      </c>
      <c r="I569" s="9">
        <f t="shared" ca="1" si="8"/>
        <v>9</v>
      </c>
      <c r="J569" s="13" t="s">
        <v>9785</v>
      </c>
      <c r="K569" s="13" t="s">
        <v>227</v>
      </c>
      <c r="L569" s="9" t="str">
        <f>VLOOKUP(K569,[1]中国省份_标准!$B$2:$F$35,4,FALSE)</f>
        <v>西部地区</v>
      </c>
      <c r="M569" s="9" t="str">
        <f>VLOOKUP(K569,[1]中国省份_标准!$B$2:$F$35,5,FALSE)</f>
        <v>西北地区</v>
      </c>
      <c r="N569" s="13" t="s">
        <v>2763</v>
      </c>
      <c r="O569" s="13" t="s">
        <v>9786</v>
      </c>
      <c r="P569" s="13" t="s">
        <v>9787</v>
      </c>
      <c r="Q569" s="13" t="s">
        <v>9788</v>
      </c>
      <c r="R569" s="13" t="s">
        <v>9789</v>
      </c>
      <c r="S569" s="13" t="s">
        <v>9790</v>
      </c>
      <c r="T569" s="13" t="s">
        <v>452</v>
      </c>
      <c r="U569" s="13" t="s">
        <v>9782</v>
      </c>
      <c r="V569" s="13" t="s">
        <v>9791</v>
      </c>
      <c r="W569" s="13" t="s">
        <v>9792</v>
      </c>
      <c r="X569" s="13" t="s">
        <v>9793</v>
      </c>
      <c r="Y569" s="13" t="s">
        <v>78</v>
      </c>
      <c r="Z569" s="13" t="s">
        <v>9794</v>
      </c>
      <c r="AA569" s="13" t="s">
        <v>169</v>
      </c>
      <c r="AB569" s="13" t="s">
        <v>9795</v>
      </c>
      <c r="AC569" s="13" t="s">
        <v>9796</v>
      </c>
      <c r="AD569" s="13" t="s">
        <v>9797</v>
      </c>
      <c r="AE569" s="13" t="s">
        <v>55</v>
      </c>
      <c r="AF569" s="13" t="s">
        <v>9798</v>
      </c>
      <c r="AG569" s="13" t="s">
        <v>39</v>
      </c>
      <c r="AH569" s="13" t="s">
        <v>39</v>
      </c>
      <c r="AI569" s="13" t="s">
        <v>9799</v>
      </c>
      <c r="AJ569" s="13" t="s">
        <v>9800</v>
      </c>
      <c r="AK569" s="13" t="s">
        <v>9801</v>
      </c>
      <c r="AL569" s="13" t="s">
        <v>88</v>
      </c>
    </row>
    <row r="570" spans="1:38" x14ac:dyDescent="0.4">
      <c r="A570" s="11" t="s">
        <v>9802</v>
      </c>
      <c r="B570" s="14" t="s">
        <v>9803</v>
      </c>
      <c r="C570" s="15" t="s">
        <v>39</v>
      </c>
      <c r="D570" s="15" t="s">
        <v>92</v>
      </c>
      <c r="E570" s="15" t="s">
        <v>9804</v>
      </c>
      <c r="F570" s="15" t="s">
        <v>39</v>
      </c>
      <c r="G570" s="15" t="s">
        <v>39</v>
      </c>
      <c r="H570" s="15" t="s">
        <v>9805</v>
      </c>
      <c r="I570" s="9">
        <f t="shared" ca="1" si="8"/>
        <v>17</v>
      </c>
      <c r="J570" s="15" t="s">
        <v>9806</v>
      </c>
      <c r="K570" s="15" t="s">
        <v>3068</v>
      </c>
      <c r="L570" s="9" t="str">
        <f>VLOOKUP(K570,[1]中国省份_标准!$B$2:$F$35,4,FALSE)</f>
        <v>西部地区</v>
      </c>
      <c r="M570" s="9" t="str">
        <f>VLOOKUP(K570,[1]中国省份_标准!$B$2:$F$35,5,FALSE)</f>
        <v>西北地区</v>
      </c>
      <c r="N570" s="15" t="s">
        <v>3069</v>
      </c>
      <c r="O570" s="15" t="s">
        <v>9807</v>
      </c>
      <c r="P570" s="15" t="s">
        <v>9808</v>
      </c>
      <c r="Q570" s="15" t="s">
        <v>9809</v>
      </c>
      <c r="R570" s="15" t="s">
        <v>9810</v>
      </c>
      <c r="S570" s="15" t="s">
        <v>9811</v>
      </c>
      <c r="T570" s="15" t="s">
        <v>9812</v>
      </c>
      <c r="U570" s="15" t="s">
        <v>9803</v>
      </c>
      <c r="V570" s="15" t="s">
        <v>9813</v>
      </c>
      <c r="W570" s="15" t="s">
        <v>9814</v>
      </c>
      <c r="X570" s="15" t="s">
        <v>9815</v>
      </c>
      <c r="Y570" s="15" t="s">
        <v>78</v>
      </c>
      <c r="Z570" s="15" t="s">
        <v>9816</v>
      </c>
      <c r="AA570" s="15" t="s">
        <v>169</v>
      </c>
      <c r="AB570" s="15" t="s">
        <v>4216</v>
      </c>
      <c r="AC570" s="15" t="s">
        <v>4217</v>
      </c>
      <c r="AD570" s="15" t="s">
        <v>9817</v>
      </c>
      <c r="AE570" s="15" t="s">
        <v>39</v>
      </c>
      <c r="AF570" s="15" t="s">
        <v>9818</v>
      </c>
      <c r="AG570" s="15" t="s">
        <v>39</v>
      </c>
      <c r="AH570" s="15" t="s">
        <v>39</v>
      </c>
      <c r="AI570" s="15" t="s">
        <v>9819</v>
      </c>
      <c r="AJ570" s="15" t="s">
        <v>9820</v>
      </c>
      <c r="AK570" s="15" t="s">
        <v>9821</v>
      </c>
      <c r="AL570" s="15" t="s">
        <v>88</v>
      </c>
    </row>
    <row r="571" spans="1:38" x14ac:dyDescent="0.4">
      <c r="A571" s="11" t="s">
        <v>9822</v>
      </c>
      <c r="B571" s="12" t="s">
        <v>9823</v>
      </c>
      <c r="C571" s="13" t="s">
        <v>9824</v>
      </c>
      <c r="D571" s="13" t="s">
        <v>92</v>
      </c>
      <c r="E571" s="13" t="s">
        <v>9825</v>
      </c>
      <c r="F571" s="13" t="s">
        <v>9826</v>
      </c>
      <c r="G571" s="13" t="s">
        <v>9827</v>
      </c>
      <c r="H571" s="13" t="s">
        <v>9828</v>
      </c>
      <c r="I571" s="9">
        <f t="shared" ca="1" si="8"/>
        <v>20</v>
      </c>
      <c r="J571" s="13" t="s">
        <v>9829</v>
      </c>
      <c r="K571" s="13" t="s">
        <v>45</v>
      </c>
      <c r="L571" s="9" t="str">
        <f>VLOOKUP(K571,[1]中国省份_标准!$B$2:$F$35,4,FALSE)</f>
        <v>东部地区</v>
      </c>
      <c r="M571" s="9" t="str">
        <f>VLOOKUP(K571,[1]中国省份_标准!$B$2:$F$35,5,FALSE)</f>
        <v>华东地区</v>
      </c>
      <c r="N571" s="13" t="s">
        <v>45</v>
      </c>
      <c r="O571" s="13" t="s">
        <v>1123</v>
      </c>
      <c r="P571" s="13" t="s">
        <v>9830</v>
      </c>
      <c r="Q571" s="13" t="s">
        <v>9831</v>
      </c>
      <c r="R571" s="13" t="s">
        <v>9832</v>
      </c>
      <c r="S571" s="13" t="s">
        <v>9833</v>
      </c>
      <c r="T571" s="13" t="s">
        <v>601</v>
      </c>
      <c r="U571" s="13" t="s">
        <v>9823</v>
      </c>
      <c r="V571" s="13" t="s">
        <v>9834</v>
      </c>
      <c r="W571" s="13" t="s">
        <v>9835</v>
      </c>
      <c r="X571" s="13" t="s">
        <v>9836</v>
      </c>
      <c r="Y571" s="13" t="s">
        <v>78</v>
      </c>
      <c r="Z571" s="13" t="s">
        <v>9837</v>
      </c>
      <c r="AA571" s="13" t="s">
        <v>52</v>
      </c>
      <c r="AB571" s="13" t="s">
        <v>53</v>
      </c>
      <c r="AC571" s="13" t="s">
        <v>1301</v>
      </c>
      <c r="AD571" s="13" t="s">
        <v>1302</v>
      </c>
      <c r="AE571" s="13" t="s">
        <v>262</v>
      </c>
      <c r="AF571" s="13" t="s">
        <v>9838</v>
      </c>
      <c r="AG571" s="13" t="s">
        <v>9839</v>
      </c>
      <c r="AH571" s="13" t="s">
        <v>39</v>
      </c>
      <c r="AI571" s="13" t="s">
        <v>9840</v>
      </c>
      <c r="AJ571" s="13" t="s">
        <v>9841</v>
      </c>
      <c r="AK571" s="13" t="s">
        <v>8812</v>
      </c>
      <c r="AL571" s="13" t="s">
        <v>88</v>
      </c>
    </row>
    <row r="572" spans="1:38" x14ac:dyDescent="0.4">
      <c r="A572" s="11" t="s">
        <v>9842</v>
      </c>
      <c r="B572" s="14" t="s">
        <v>9843</v>
      </c>
      <c r="C572" s="15" t="s">
        <v>39</v>
      </c>
      <c r="D572" s="15" t="s">
        <v>92</v>
      </c>
      <c r="E572" s="15" t="s">
        <v>9844</v>
      </c>
      <c r="F572" s="15" t="s">
        <v>920</v>
      </c>
      <c r="G572" s="15" t="s">
        <v>920</v>
      </c>
      <c r="H572" s="15" t="s">
        <v>9845</v>
      </c>
      <c r="I572" s="9">
        <f t="shared" ca="1" si="8"/>
        <v>5</v>
      </c>
      <c r="J572" s="15" t="s">
        <v>9846</v>
      </c>
      <c r="K572" s="15" t="s">
        <v>531</v>
      </c>
      <c r="L572" s="9" t="str">
        <f>VLOOKUP(K572,[1]中国省份_标准!$B$2:$F$35,4,FALSE)</f>
        <v>东部地区</v>
      </c>
      <c r="M572" s="9" t="str">
        <f>VLOOKUP(K572,[1]中国省份_标准!$B$2:$F$35,5,FALSE)</f>
        <v>华南地区</v>
      </c>
      <c r="N572" s="15" t="s">
        <v>532</v>
      </c>
      <c r="O572" s="15" t="s">
        <v>2544</v>
      </c>
      <c r="P572" s="15" t="s">
        <v>9847</v>
      </c>
      <c r="Q572" s="15" t="s">
        <v>9848</v>
      </c>
      <c r="R572" s="15" t="s">
        <v>9849</v>
      </c>
      <c r="S572" s="15" t="s">
        <v>9850</v>
      </c>
      <c r="T572" s="15" t="s">
        <v>184</v>
      </c>
      <c r="U572" s="15" t="s">
        <v>9843</v>
      </c>
      <c r="V572" s="15" t="s">
        <v>9851</v>
      </c>
      <c r="W572" s="15" t="s">
        <v>9852</v>
      </c>
      <c r="X572" s="15" t="s">
        <v>1319</v>
      </c>
      <c r="Y572" s="15" t="s">
        <v>78</v>
      </c>
      <c r="Z572" s="15" t="s">
        <v>9853</v>
      </c>
      <c r="AA572" s="15" t="s">
        <v>80</v>
      </c>
      <c r="AB572" s="15" t="s">
        <v>106</v>
      </c>
      <c r="AC572" s="15" t="s">
        <v>107</v>
      </c>
      <c r="AD572" s="15" t="s">
        <v>128</v>
      </c>
      <c r="AE572" s="15" t="s">
        <v>55</v>
      </c>
      <c r="AF572" s="15" t="s">
        <v>9854</v>
      </c>
      <c r="AG572" s="15" t="s">
        <v>39</v>
      </c>
      <c r="AH572" s="15" t="s">
        <v>39</v>
      </c>
      <c r="AI572" s="15" t="s">
        <v>9855</v>
      </c>
      <c r="AJ572" s="15" t="s">
        <v>9856</v>
      </c>
      <c r="AK572" s="15" t="s">
        <v>2554</v>
      </c>
      <c r="AL572" s="15" t="s">
        <v>88</v>
      </c>
    </row>
    <row r="573" spans="1:38" x14ac:dyDescent="0.4">
      <c r="A573" s="11" t="s">
        <v>9857</v>
      </c>
      <c r="B573" s="12" t="s">
        <v>9858</v>
      </c>
      <c r="C573" s="13" t="s">
        <v>9859</v>
      </c>
      <c r="D573" s="13" t="s">
        <v>92</v>
      </c>
      <c r="E573" s="13" t="s">
        <v>9844</v>
      </c>
      <c r="F573" s="13" t="s">
        <v>9860</v>
      </c>
      <c r="G573" s="13" t="s">
        <v>9861</v>
      </c>
      <c r="H573" s="13" t="s">
        <v>9862</v>
      </c>
      <c r="I573" s="9">
        <f t="shared" ca="1" si="8"/>
        <v>23</v>
      </c>
      <c r="J573" s="13" t="s">
        <v>9863</v>
      </c>
      <c r="K573" s="13" t="s">
        <v>531</v>
      </c>
      <c r="L573" s="9" t="str">
        <f>VLOOKUP(K573,[1]中国省份_标准!$B$2:$F$35,4,FALSE)</f>
        <v>东部地区</v>
      </c>
      <c r="M573" s="9" t="str">
        <f>VLOOKUP(K573,[1]中国省份_标准!$B$2:$F$35,5,FALSE)</f>
        <v>华南地区</v>
      </c>
      <c r="N573" s="13" t="s">
        <v>532</v>
      </c>
      <c r="O573" s="13" t="s">
        <v>2544</v>
      </c>
      <c r="P573" s="13" t="s">
        <v>9848</v>
      </c>
      <c r="Q573" s="13" t="s">
        <v>9864</v>
      </c>
      <c r="R573" s="13" t="s">
        <v>9849</v>
      </c>
      <c r="S573" s="13" t="s">
        <v>9865</v>
      </c>
      <c r="T573" s="13" t="s">
        <v>452</v>
      </c>
      <c r="U573" s="13" t="s">
        <v>9858</v>
      </c>
      <c r="V573" s="13" t="s">
        <v>9866</v>
      </c>
      <c r="W573" s="13" t="s">
        <v>9867</v>
      </c>
      <c r="X573" s="13" t="s">
        <v>2171</v>
      </c>
      <c r="Y573" s="13" t="s">
        <v>78</v>
      </c>
      <c r="Z573" s="13" t="s">
        <v>9868</v>
      </c>
      <c r="AA573" s="13" t="s">
        <v>80</v>
      </c>
      <c r="AB573" s="13" t="s">
        <v>106</v>
      </c>
      <c r="AC573" s="13" t="s">
        <v>951</v>
      </c>
      <c r="AD573" s="13" t="s">
        <v>9869</v>
      </c>
      <c r="AE573" s="13" t="s">
        <v>55</v>
      </c>
      <c r="AF573" s="13" t="s">
        <v>9870</v>
      </c>
      <c r="AG573" s="13" t="s">
        <v>39</v>
      </c>
      <c r="AH573" s="13" t="s">
        <v>39</v>
      </c>
      <c r="AI573" s="13" t="s">
        <v>9871</v>
      </c>
      <c r="AJ573" s="13" t="s">
        <v>9872</v>
      </c>
      <c r="AK573" s="13" t="s">
        <v>2554</v>
      </c>
      <c r="AL573" s="13" t="s">
        <v>88</v>
      </c>
    </row>
    <row r="574" spans="1:38" x14ac:dyDescent="0.4">
      <c r="A574" s="11" t="s">
        <v>9873</v>
      </c>
      <c r="B574" s="14" t="s">
        <v>9874</v>
      </c>
      <c r="C574" s="15" t="s">
        <v>9875</v>
      </c>
      <c r="D574" s="15" t="s">
        <v>92</v>
      </c>
      <c r="E574" s="15" t="s">
        <v>9876</v>
      </c>
      <c r="F574" s="15" t="s">
        <v>999</v>
      </c>
      <c r="G574" s="15" t="s">
        <v>999</v>
      </c>
      <c r="H574" s="15" t="s">
        <v>9877</v>
      </c>
      <c r="I574" s="9">
        <f t="shared" ca="1" si="8"/>
        <v>24</v>
      </c>
      <c r="J574" s="15" t="s">
        <v>9878</v>
      </c>
      <c r="K574" s="15" t="s">
        <v>425</v>
      </c>
      <c r="L574" s="9" t="str">
        <f>VLOOKUP(K574,[1]中国省份_标准!$B$2:$F$35,4,FALSE)</f>
        <v>东部地区</v>
      </c>
      <c r="M574" s="9" t="str">
        <f>VLOOKUP(K574,[1]中国省份_标准!$B$2:$F$35,5,FALSE)</f>
        <v>华东地区</v>
      </c>
      <c r="N574" s="15" t="s">
        <v>964</v>
      </c>
      <c r="O574" s="15" t="s">
        <v>3947</v>
      </c>
      <c r="P574" s="15" t="s">
        <v>9879</v>
      </c>
      <c r="Q574" s="15" t="s">
        <v>39</v>
      </c>
      <c r="R574" s="15" t="s">
        <v>9880</v>
      </c>
      <c r="S574" s="15" t="s">
        <v>39</v>
      </c>
      <c r="T574" s="15" t="s">
        <v>48</v>
      </c>
      <c r="U574" s="15" t="s">
        <v>9874</v>
      </c>
      <c r="V574" s="15" t="s">
        <v>9881</v>
      </c>
      <c r="W574" s="15" t="s">
        <v>9882</v>
      </c>
      <c r="X574" s="15" t="s">
        <v>4309</v>
      </c>
      <c r="Y574" s="15" t="s">
        <v>78</v>
      </c>
      <c r="Z574" s="15" t="s">
        <v>9883</v>
      </c>
      <c r="AA574" s="15" t="s">
        <v>80</v>
      </c>
      <c r="AB574" s="15" t="s">
        <v>106</v>
      </c>
      <c r="AC574" s="15" t="s">
        <v>107</v>
      </c>
      <c r="AD574" s="15" t="s">
        <v>128</v>
      </c>
      <c r="AE574" s="15" t="s">
        <v>262</v>
      </c>
      <c r="AF574" s="15" t="s">
        <v>9884</v>
      </c>
      <c r="AG574" s="15" t="s">
        <v>39</v>
      </c>
      <c r="AH574" s="15" t="s">
        <v>39</v>
      </c>
      <c r="AI574" s="15" t="s">
        <v>9885</v>
      </c>
      <c r="AJ574" s="15" t="s">
        <v>9886</v>
      </c>
      <c r="AK574" s="15" t="s">
        <v>9887</v>
      </c>
      <c r="AL574" s="15" t="s">
        <v>88</v>
      </c>
    </row>
    <row r="575" spans="1:38" x14ac:dyDescent="0.4">
      <c r="A575" s="11" t="s">
        <v>9888</v>
      </c>
      <c r="B575" s="12" t="s">
        <v>9889</v>
      </c>
      <c r="C575" s="13" t="s">
        <v>39</v>
      </c>
      <c r="D575" s="13" t="s">
        <v>92</v>
      </c>
      <c r="E575" s="13" t="s">
        <v>9890</v>
      </c>
      <c r="F575" s="13" t="s">
        <v>999</v>
      </c>
      <c r="G575" s="13" t="s">
        <v>9891</v>
      </c>
      <c r="H575" s="13" t="s">
        <v>9892</v>
      </c>
      <c r="I575" s="9">
        <f t="shared" ca="1" si="8"/>
        <v>8</v>
      </c>
      <c r="J575" s="13" t="s">
        <v>9893</v>
      </c>
      <c r="K575" s="13" t="s">
        <v>340</v>
      </c>
      <c r="L575" s="9" t="str">
        <f>VLOOKUP(K575,[1]中国省份_标准!$B$2:$F$35,4,FALSE)</f>
        <v>东部地区</v>
      </c>
      <c r="M575" s="9" t="str">
        <f>VLOOKUP(K575,[1]中国省份_标准!$B$2:$F$35,5,FALSE)</f>
        <v>华东地区</v>
      </c>
      <c r="N575" s="13" t="s">
        <v>7751</v>
      </c>
      <c r="O575" s="13" t="s">
        <v>9894</v>
      </c>
      <c r="P575" s="13" t="s">
        <v>9895</v>
      </c>
      <c r="Q575" s="13" t="s">
        <v>9896</v>
      </c>
      <c r="R575" s="13" t="s">
        <v>9897</v>
      </c>
      <c r="S575" s="13" t="s">
        <v>9898</v>
      </c>
      <c r="T575" s="13" t="s">
        <v>452</v>
      </c>
      <c r="U575" s="13" t="s">
        <v>9889</v>
      </c>
      <c r="V575" s="13" t="s">
        <v>9899</v>
      </c>
      <c r="W575" s="13" t="s">
        <v>9900</v>
      </c>
      <c r="X575" s="13" t="s">
        <v>990</v>
      </c>
      <c r="Y575" s="13" t="s">
        <v>78</v>
      </c>
      <c r="Z575" s="13" t="s">
        <v>9901</v>
      </c>
      <c r="AA575" s="13" t="s">
        <v>52</v>
      </c>
      <c r="AB575" s="13" t="s">
        <v>53</v>
      </c>
      <c r="AC575" s="13" t="s">
        <v>2874</v>
      </c>
      <c r="AD575" s="13" t="s">
        <v>4311</v>
      </c>
      <c r="AE575" s="13" t="s">
        <v>55</v>
      </c>
      <c r="AF575" s="13" t="s">
        <v>9902</v>
      </c>
      <c r="AG575" s="13" t="s">
        <v>39</v>
      </c>
      <c r="AH575" s="13" t="s">
        <v>9903</v>
      </c>
      <c r="AI575" s="13" t="s">
        <v>9904</v>
      </c>
      <c r="AJ575" s="13" t="s">
        <v>9905</v>
      </c>
      <c r="AK575" s="13" t="s">
        <v>9906</v>
      </c>
      <c r="AL575" s="13" t="s">
        <v>88</v>
      </c>
    </row>
    <row r="576" spans="1:38" x14ac:dyDescent="0.4">
      <c r="A576" s="11" t="s">
        <v>9907</v>
      </c>
      <c r="B576" s="14" t="s">
        <v>9908</v>
      </c>
      <c r="C576" s="15" t="s">
        <v>39</v>
      </c>
      <c r="D576" s="15" t="s">
        <v>63</v>
      </c>
      <c r="E576" s="15" t="s">
        <v>9909</v>
      </c>
      <c r="F576" s="15" t="s">
        <v>154</v>
      </c>
      <c r="G576" s="15" t="s">
        <v>9592</v>
      </c>
      <c r="H576" s="15" t="s">
        <v>9910</v>
      </c>
      <c r="I576" s="9">
        <f t="shared" ca="1" si="8"/>
        <v>5</v>
      </c>
      <c r="J576" s="15" t="s">
        <v>9911</v>
      </c>
      <c r="K576" s="15" t="s">
        <v>425</v>
      </c>
      <c r="L576" s="9" t="str">
        <f>VLOOKUP(K576,[1]中国省份_标准!$B$2:$F$35,4,FALSE)</f>
        <v>东部地区</v>
      </c>
      <c r="M576" s="9" t="str">
        <f>VLOOKUP(K576,[1]中国省份_标准!$B$2:$F$35,5,FALSE)</f>
        <v>华东地区</v>
      </c>
      <c r="N576" s="15" t="s">
        <v>426</v>
      </c>
      <c r="O576" s="15" t="s">
        <v>427</v>
      </c>
      <c r="P576" s="15" t="s">
        <v>2229</v>
      </c>
      <c r="Q576" s="15" t="s">
        <v>9912</v>
      </c>
      <c r="R576" s="15" t="s">
        <v>2231</v>
      </c>
      <c r="S576" s="15" t="s">
        <v>39</v>
      </c>
      <c r="T576" s="15" t="s">
        <v>281</v>
      </c>
      <c r="U576" s="15" t="s">
        <v>9908</v>
      </c>
      <c r="V576" s="15" t="s">
        <v>9913</v>
      </c>
      <c r="W576" s="15" t="s">
        <v>9914</v>
      </c>
      <c r="X576" s="15" t="s">
        <v>77</v>
      </c>
      <c r="Y576" s="15" t="s">
        <v>78</v>
      </c>
      <c r="Z576" s="15" t="s">
        <v>9915</v>
      </c>
      <c r="AA576" s="15" t="s">
        <v>80</v>
      </c>
      <c r="AB576" s="15" t="s">
        <v>106</v>
      </c>
      <c r="AC576" s="15" t="s">
        <v>107</v>
      </c>
      <c r="AD576" s="15" t="s">
        <v>39</v>
      </c>
      <c r="AE576" s="15" t="s">
        <v>109</v>
      </c>
      <c r="AF576" s="15" t="s">
        <v>9916</v>
      </c>
      <c r="AG576" s="15" t="s">
        <v>39</v>
      </c>
      <c r="AH576" s="15" t="s">
        <v>39</v>
      </c>
      <c r="AI576" s="15" t="s">
        <v>9917</v>
      </c>
      <c r="AJ576" s="15" t="s">
        <v>9918</v>
      </c>
      <c r="AK576" s="15" t="s">
        <v>2191</v>
      </c>
      <c r="AL576" s="15" t="s">
        <v>88</v>
      </c>
    </row>
    <row r="577" spans="1:38" x14ac:dyDescent="0.4">
      <c r="A577" s="11" t="s">
        <v>9919</v>
      </c>
      <c r="B577" s="12" t="s">
        <v>9920</v>
      </c>
      <c r="C577" s="13" t="s">
        <v>39</v>
      </c>
      <c r="D577" s="13" t="s">
        <v>92</v>
      </c>
      <c r="E577" s="13" t="s">
        <v>9921</v>
      </c>
      <c r="F577" s="13" t="s">
        <v>271</v>
      </c>
      <c r="G577" s="13" t="s">
        <v>39</v>
      </c>
      <c r="H577" s="13" t="s">
        <v>9922</v>
      </c>
      <c r="I577" s="9">
        <f t="shared" ca="1" si="8"/>
        <v>3</v>
      </c>
      <c r="J577" s="13" t="s">
        <v>9923</v>
      </c>
      <c r="K577" s="13" t="s">
        <v>4266</v>
      </c>
      <c r="L577" s="9" t="str">
        <f>VLOOKUP(K577,[1]中国省份_标准!$B$2:$F$35,4,FALSE)</f>
        <v>东部地区</v>
      </c>
      <c r="M577" s="9" t="str">
        <f>VLOOKUP(K577,[1]中国省份_标准!$B$2:$F$35,5,FALSE)</f>
        <v>华北地区</v>
      </c>
      <c r="N577" s="13" t="s">
        <v>4266</v>
      </c>
      <c r="O577" s="13" t="s">
        <v>9575</v>
      </c>
      <c r="P577" s="13" t="s">
        <v>9924</v>
      </c>
      <c r="Q577" s="13" t="s">
        <v>39</v>
      </c>
      <c r="R577" s="13" t="s">
        <v>9925</v>
      </c>
      <c r="S577" s="13" t="s">
        <v>39</v>
      </c>
      <c r="T577" s="13" t="s">
        <v>670</v>
      </c>
      <c r="U577" s="13" t="s">
        <v>9920</v>
      </c>
      <c r="V577" s="13" t="s">
        <v>9926</v>
      </c>
      <c r="W577" s="13" t="s">
        <v>9927</v>
      </c>
      <c r="X577" s="13" t="s">
        <v>990</v>
      </c>
      <c r="Y577" s="13" t="s">
        <v>78</v>
      </c>
      <c r="Z577" s="13" t="s">
        <v>9928</v>
      </c>
      <c r="AA577" s="13" t="s">
        <v>9130</v>
      </c>
      <c r="AB577" s="13" t="s">
        <v>9131</v>
      </c>
      <c r="AC577" s="13" t="s">
        <v>9279</v>
      </c>
      <c r="AD577" s="13" t="s">
        <v>9335</v>
      </c>
      <c r="AE577" s="13" t="s">
        <v>55</v>
      </c>
      <c r="AF577" s="13" t="s">
        <v>9929</v>
      </c>
      <c r="AG577" s="13" t="s">
        <v>39</v>
      </c>
      <c r="AH577" s="13" t="s">
        <v>39</v>
      </c>
      <c r="AI577" s="13" t="s">
        <v>9930</v>
      </c>
      <c r="AJ577" s="13" t="s">
        <v>9931</v>
      </c>
      <c r="AK577" s="13" t="s">
        <v>4296</v>
      </c>
      <c r="AL577" s="13" t="s">
        <v>88</v>
      </c>
    </row>
    <row r="578" spans="1:38" x14ac:dyDescent="0.4">
      <c r="A578" s="11" t="s">
        <v>9932</v>
      </c>
      <c r="B578" s="14" t="s">
        <v>9933</v>
      </c>
      <c r="C578" s="15" t="s">
        <v>39</v>
      </c>
      <c r="D578" s="15" t="s">
        <v>63</v>
      </c>
      <c r="E578" s="15" t="s">
        <v>9934</v>
      </c>
      <c r="F578" s="15" t="s">
        <v>271</v>
      </c>
      <c r="G578" s="15" t="s">
        <v>39</v>
      </c>
      <c r="H578" s="15" t="s">
        <v>9935</v>
      </c>
      <c r="I578" s="9">
        <f t="shared" ca="1" si="8"/>
        <v>5</v>
      </c>
      <c r="J578" s="15" t="s">
        <v>9936</v>
      </c>
      <c r="K578" s="15" t="s">
        <v>531</v>
      </c>
      <c r="L578" s="9" t="str">
        <f>VLOOKUP(K578,[1]中国省份_标准!$B$2:$F$35,4,FALSE)</f>
        <v>东部地区</v>
      </c>
      <c r="M578" s="9" t="str">
        <f>VLOOKUP(K578,[1]中国省份_标准!$B$2:$F$35,5,FALSE)</f>
        <v>华南地区</v>
      </c>
      <c r="N578" s="15" t="s">
        <v>532</v>
      </c>
      <c r="O578" s="15" t="s">
        <v>533</v>
      </c>
      <c r="P578" s="15" t="s">
        <v>9937</v>
      </c>
      <c r="Q578" s="15" t="s">
        <v>9938</v>
      </c>
      <c r="R578" s="15" t="s">
        <v>9939</v>
      </c>
      <c r="S578" s="15" t="s">
        <v>39</v>
      </c>
      <c r="T578" s="15" t="s">
        <v>281</v>
      </c>
      <c r="U578" s="15" t="s">
        <v>9933</v>
      </c>
      <c r="V578" s="15" t="s">
        <v>39</v>
      </c>
      <c r="W578" s="15" t="s">
        <v>9940</v>
      </c>
      <c r="X578" s="15" t="s">
        <v>540</v>
      </c>
      <c r="Y578" s="15" t="s">
        <v>78</v>
      </c>
      <c r="Z578" s="15" t="s">
        <v>9941</v>
      </c>
      <c r="AA578" s="15" t="s">
        <v>52</v>
      </c>
      <c r="AB578" s="15" t="s">
        <v>53</v>
      </c>
      <c r="AC578" s="15" t="s">
        <v>1301</v>
      </c>
      <c r="AD578" s="15" t="s">
        <v>6277</v>
      </c>
      <c r="AE578" s="15" t="s">
        <v>55</v>
      </c>
      <c r="AF578" s="15" t="s">
        <v>9942</v>
      </c>
      <c r="AG578" s="15" t="s">
        <v>39</v>
      </c>
      <c r="AH578" s="15" t="s">
        <v>39</v>
      </c>
      <c r="AI578" s="15" t="s">
        <v>9943</v>
      </c>
      <c r="AJ578" s="15" t="s">
        <v>9944</v>
      </c>
      <c r="AK578" s="15" t="s">
        <v>545</v>
      </c>
      <c r="AL578" s="15" t="s">
        <v>88</v>
      </c>
    </row>
    <row r="579" spans="1:38" x14ac:dyDescent="0.4">
      <c r="A579" s="11" t="s">
        <v>9945</v>
      </c>
      <c r="B579" s="12" t="s">
        <v>9946</v>
      </c>
      <c r="C579" s="13" t="s">
        <v>39</v>
      </c>
      <c r="D579" s="13" t="s">
        <v>92</v>
      </c>
      <c r="E579" s="13" t="s">
        <v>9947</v>
      </c>
      <c r="F579" s="13" t="s">
        <v>178</v>
      </c>
      <c r="G579" s="13" t="s">
        <v>178</v>
      </c>
      <c r="H579" s="13" t="s">
        <v>9948</v>
      </c>
      <c r="I579" s="9">
        <f t="shared" ref="I579:I642" ca="1" si="9">DATEDIF(H579, TODAY(), "Y")</f>
        <v>7</v>
      </c>
      <c r="J579" s="13" t="s">
        <v>9949</v>
      </c>
      <c r="K579" s="13" t="s">
        <v>4645</v>
      </c>
      <c r="L579" s="9" t="str">
        <f>VLOOKUP(K579,[1]中国省份_标准!$B$2:$F$35,4,FALSE)</f>
        <v>中部地区</v>
      </c>
      <c r="M579" s="9" t="str">
        <f>VLOOKUP(K579,[1]中国省份_标准!$B$2:$F$35,5,FALSE)</f>
        <v>华北地区</v>
      </c>
      <c r="N579" s="13" t="s">
        <v>9950</v>
      </c>
      <c r="O579" s="13" t="s">
        <v>9951</v>
      </c>
      <c r="P579" s="13" t="s">
        <v>9952</v>
      </c>
      <c r="Q579" s="13" t="s">
        <v>9953</v>
      </c>
      <c r="R579" s="13" t="s">
        <v>9954</v>
      </c>
      <c r="S579" s="13" t="s">
        <v>9955</v>
      </c>
      <c r="T579" s="13" t="s">
        <v>48</v>
      </c>
      <c r="U579" s="13" t="s">
        <v>9946</v>
      </c>
      <c r="V579" s="13" t="s">
        <v>39</v>
      </c>
      <c r="W579" s="13" t="s">
        <v>9956</v>
      </c>
      <c r="X579" s="13" t="s">
        <v>990</v>
      </c>
      <c r="Y579" s="13" t="s">
        <v>78</v>
      </c>
      <c r="Z579" s="13" t="s">
        <v>9957</v>
      </c>
      <c r="AA579" s="13" t="s">
        <v>80</v>
      </c>
      <c r="AB579" s="13" t="s">
        <v>81</v>
      </c>
      <c r="AC579" s="13" t="s">
        <v>2094</v>
      </c>
      <c r="AD579" s="13" t="s">
        <v>2095</v>
      </c>
      <c r="AE579" s="13" t="s">
        <v>55</v>
      </c>
      <c r="AF579" s="13" t="s">
        <v>9958</v>
      </c>
      <c r="AG579" s="13" t="s">
        <v>39</v>
      </c>
      <c r="AH579" s="13" t="s">
        <v>39</v>
      </c>
      <c r="AI579" s="13" t="s">
        <v>9959</v>
      </c>
      <c r="AJ579" s="13" t="s">
        <v>9960</v>
      </c>
      <c r="AK579" s="13" t="s">
        <v>9961</v>
      </c>
      <c r="AL579" s="13" t="s">
        <v>88</v>
      </c>
    </row>
    <row r="580" spans="1:38" x14ac:dyDescent="0.4">
      <c r="A580" s="11" t="s">
        <v>9962</v>
      </c>
      <c r="B580" s="14" t="s">
        <v>9963</v>
      </c>
      <c r="C580" s="15" t="s">
        <v>39</v>
      </c>
      <c r="D580" s="15" t="s">
        <v>63</v>
      </c>
      <c r="E580" s="15" t="s">
        <v>9964</v>
      </c>
      <c r="F580" s="15" t="s">
        <v>271</v>
      </c>
      <c r="G580" s="15" t="s">
        <v>39</v>
      </c>
      <c r="H580" s="15" t="s">
        <v>9965</v>
      </c>
      <c r="I580" s="9">
        <f t="shared" ca="1" si="9"/>
        <v>3</v>
      </c>
      <c r="J580" s="15" t="s">
        <v>9966</v>
      </c>
      <c r="K580" s="15" t="s">
        <v>8384</v>
      </c>
      <c r="L580" s="9" t="str">
        <f>VLOOKUP(K580,[1]中国省份_标准!$B$2:$F$35,4,FALSE)</f>
        <v>西部地区</v>
      </c>
      <c r="M580" s="9" t="str">
        <f>VLOOKUP(K580,[1]中国省份_标准!$B$2:$F$35,5,FALSE)</f>
        <v>西北地区</v>
      </c>
      <c r="N580" s="15" t="s">
        <v>8385</v>
      </c>
      <c r="O580" s="15" t="s">
        <v>9967</v>
      </c>
      <c r="P580" s="15" t="s">
        <v>9968</v>
      </c>
      <c r="Q580" s="15" t="s">
        <v>39</v>
      </c>
      <c r="R580" s="15" t="s">
        <v>9969</v>
      </c>
      <c r="S580" s="15" t="s">
        <v>39</v>
      </c>
      <c r="T580" s="15" t="s">
        <v>281</v>
      </c>
      <c r="U580" s="15" t="s">
        <v>9963</v>
      </c>
      <c r="V580" s="15" t="s">
        <v>9970</v>
      </c>
      <c r="W580" s="15" t="s">
        <v>9971</v>
      </c>
      <c r="X580" s="15" t="s">
        <v>39</v>
      </c>
      <c r="Y580" s="15" t="s">
        <v>39</v>
      </c>
      <c r="Z580" s="15" t="s">
        <v>9972</v>
      </c>
      <c r="AA580" s="15" t="s">
        <v>80</v>
      </c>
      <c r="AB580" s="15" t="s">
        <v>106</v>
      </c>
      <c r="AC580" s="15" t="s">
        <v>107</v>
      </c>
      <c r="AD580" s="15" t="s">
        <v>108</v>
      </c>
      <c r="AE580" s="15" t="s">
        <v>262</v>
      </c>
      <c r="AF580" s="15" t="s">
        <v>9973</v>
      </c>
      <c r="AG580" s="15" t="s">
        <v>39</v>
      </c>
      <c r="AH580" s="15" t="s">
        <v>39</v>
      </c>
      <c r="AI580" s="15" t="s">
        <v>9974</v>
      </c>
      <c r="AJ580" s="15" t="s">
        <v>9975</v>
      </c>
      <c r="AK580" s="15" t="s">
        <v>9976</v>
      </c>
      <c r="AL580" s="15" t="s">
        <v>88</v>
      </c>
    </row>
    <row r="581" spans="1:38" x14ac:dyDescent="0.4">
      <c r="A581" s="11" t="s">
        <v>9977</v>
      </c>
      <c r="B581" s="12" t="s">
        <v>9978</v>
      </c>
      <c r="C581" s="13" t="s">
        <v>39</v>
      </c>
      <c r="D581" s="13" t="s">
        <v>63</v>
      </c>
      <c r="E581" s="13" t="s">
        <v>9979</v>
      </c>
      <c r="F581" s="13" t="s">
        <v>999</v>
      </c>
      <c r="G581" s="13" t="s">
        <v>2659</v>
      </c>
      <c r="H581" s="13" t="s">
        <v>9980</v>
      </c>
      <c r="I581" s="9">
        <f t="shared" ca="1" si="9"/>
        <v>6</v>
      </c>
      <c r="J581" s="13" t="s">
        <v>9981</v>
      </c>
      <c r="K581" s="13" t="s">
        <v>8384</v>
      </c>
      <c r="L581" s="9" t="str">
        <f>VLOOKUP(K581,[1]中国省份_标准!$B$2:$F$35,4,FALSE)</f>
        <v>西部地区</v>
      </c>
      <c r="M581" s="9" t="str">
        <f>VLOOKUP(K581,[1]中国省份_标准!$B$2:$F$35,5,FALSE)</f>
        <v>西北地区</v>
      </c>
      <c r="N581" s="13" t="s">
        <v>8385</v>
      </c>
      <c r="O581" s="13" t="s">
        <v>9694</v>
      </c>
      <c r="P581" s="13" t="s">
        <v>9982</v>
      </c>
      <c r="Q581" s="13" t="s">
        <v>9983</v>
      </c>
      <c r="R581" s="13" t="s">
        <v>9984</v>
      </c>
      <c r="S581" s="13" t="s">
        <v>9697</v>
      </c>
      <c r="T581" s="13" t="s">
        <v>209</v>
      </c>
      <c r="U581" s="13" t="s">
        <v>9978</v>
      </c>
      <c r="V581" s="13" t="s">
        <v>39</v>
      </c>
      <c r="W581" s="13" t="s">
        <v>9985</v>
      </c>
      <c r="X581" s="13" t="s">
        <v>39</v>
      </c>
      <c r="Y581" s="13" t="s">
        <v>39</v>
      </c>
      <c r="Z581" s="13" t="s">
        <v>9986</v>
      </c>
      <c r="AA581" s="13" t="s">
        <v>80</v>
      </c>
      <c r="AB581" s="13" t="s">
        <v>106</v>
      </c>
      <c r="AC581" s="13" t="s">
        <v>107</v>
      </c>
      <c r="AD581" s="13" t="s">
        <v>128</v>
      </c>
      <c r="AE581" s="13" t="s">
        <v>262</v>
      </c>
      <c r="AF581" s="13" t="s">
        <v>9987</v>
      </c>
      <c r="AG581" s="13" t="s">
        <v>39</v>
      </c>
      <c r="AH581" s="13" t="s">
        <v>9988</v>
      </c>
      <c r="AI581" s="13" t="s">
        <v>9989</v>
      </c>
      <c r="AJ581" s="13" t="s">
        <v>9990</v>
      </c>
      <c r="AK581" s="13" t="s">
        <v>9707</v>
      </c>
      <c r="AL581" s="13" t="s">
        <v>88</v>
      </c>
    </row>
    <row r="582" spans="1:38" x14ac:dyDescent="0.4">
      <c r="A582" s="11" t="s">
        <v>9991</v>
      </c>
      <c r="B582" s="14" t="s">
        <v>9992</v>
      </c>
      <c r="C582" s="15" t="s">
        <v>39</v>
      </c>
      <c r="D582" s="15" t="s">
        <v>63</v>
      </c>
      <c r="E582" s="15" t="s">
        <v>9993</v>
      </c>
      <c r="F582" s="15" t="s">
        <v>999</v>
      </c>
      <c r="G582" s="15" t="s">
        <v>9994</v>
      </c>
      <c r="H582" s="15" t="s">
        <v>9995</v>
      </c>
      <c r="I582" s="9">
        <f t="shared" ca="1" si="9"/>
        <v>7</v>
      </c>
      <c r="J582" s="15" t="s">
        <v>9996</v>
      </c>
      <c r="K582" s="15" t="s">
        <v>3405</v>
      </c>
      <c r="L582" s="9" t="str">
        <f>VLOOKUP(K582,[1]中国省份_标准!$B$2:$F$35,4,FALSE)</f>
        <v>西部地区</v>
      </c>
      <c r="M582" s="9" t="str">
        <f>VLOOKUP(K582,[1]中国省份_标准!$B$2:$F$35,5,FALSE)</f>
        <v>西北地区</v>
      </c>
      <c r="N582" s="15" t="s">
        <v>3406</v>
      </c>
      <c r="O582" s="15" t="s">
        <v>9997</v>
      </c>
      <c r="P582" s="15" t="s">
        <v>9998</v>
      </c>
      <c r="Q582" s="15" t="s">
        <v>9999</v>
      </c>
      <c r="R582" s="15" t="s">
        <v>10000</v>
      </c>
      <c r="S582" s="15" t="s">
        <v>10001</v>
      </c>
      <c r="T582" s="15" t="s">
        <v>184</v>
      </c>
      <c r="U582" s="15" t="s">
        <v>9992</v>
      </c>
      <c r="V582" s="15" t="s">
        <v>10002</v>
      </c>
      <c r="W582" s="15" t="s">
        <v>10003</v>
      </c>
      <c r="X582" s="15" t="s">
        <v>10004</v>
      </c>
      <c r="Y582" s="15" t="s">
        <v>78</v>
      </c>
      <c r="Z582" s="15" t="s">
        <v>10005</v>
      </c>
      <c r="AA582" s="15" t="s">
        <v>850</v>
      </c>
      <c r="AB582" s="15" t="s">
        <v>9442</v>
      </c>
      <c r="AC582" s="15" t="s">
        <v>10006</v>
      </c>
      <c r="AD582" s="15" t="s">
        <v>10007</v>
      </c>
      <c r="AE582" s="15" t="s">
        <v>55</v>
      </c>
      <c r="AF582" s="15" t="s">
        <v>10008</v>
      </c>
      <c r="AG582" s="15" t="s">
        <v>10009</v>
      </c>
      <c r="AH582" s="15" t="s">
        <v>39</v>
      </c>
      <c r="AI582" s="15" t="s">
        <v>10010</v>
      </c>
      <c r="AJ582" s="15" t="s">
        <v>10011</v>
      </c>
      <c r="AK582" s="15" t="s">
        <v>10012</v>
      </c>
      <c r="AL582" s="15" t="s">
        <v>88</v>
      </c>
    </row>
    <row r="583" spans="1:38" x14ac:dyDescent="0.4">
      <c r="A583" s="11" t="s">
        <v>10013</v>
      </c>
      <c r="B583" s="12" t="s">
        <v>10014</v>
      </c>
      <c r="C583" s="13" t="s">
        <v>39</v>
      </c>
      <c r="D583" s="13" t="s">
        <v>63</v>
      </c>
      <c r="E583" s="13" t="s">
        <v>10015</v>
      </c>
      <c r="F583" s="13" t="s">
        <v>10016</v>
      </c>
      <c r="G583" s="13" t="s">
        <v>178</v>
      </c>
      <c r="H583" s="13" t="s">
        <v>10017</v>
      </c>
      <c r="I583" s="9">
        <f t="shared" ca="1" si="9"/>
        <v>10</v>
      </c>
      <c r="J583" s="13" t="s">
        <v>10018</v>
      </c>
      <c r="K583" s="13" t="s">
        <v>67</v>
      </c>
      <c r="L583" s="9" t="str">
        <f>VLOOKUP(K583,[1]中国省份_标准!$B$2:$F$35,4,FALSE)</f>
        <v>东部地区</v>
      </c>
      <c r="M583" s="9" t="str">
        <f>VLOOKUP(K583,[1]中国省份_标准!$B$2:$F$35,5,FALSE)</f>
        <v>华东地区</v>
      </c>
      <c r="N583" s="13" t="s">
        <v>621</v>
      </c>
      <c r="O583" s="13" t="s">
        <v>10019</v>
      </c>
      <c r="P583" s="13" t="s">
        <v>10020</v>
      </c>
      <c r="Q583" s="13" t="s">
        <v>10021</v>
      </c>
      <c r="R583" s="13" t="s">
        <v>10022</v>
      </c>
      <c r="S583" s="13" t="s">
        <v>10023</v>
      </c>
      <c r="T583" s="13" t="s">
        <v>48</v>
      </c>
      <c r="U583" s="13" t="s">
        <v>10014</v>
      </c>
      <c r="V583" s="13" t="s">
        <v>10024</v>
      </c>
      <c r="W583" s="13" t="s">
        <v>10025</v>
      </c>
      <c r="X583" s="13" t="s">
        <v>10026</v>
      </c>
      <c r="Y583" s="13" t="s">
        <v>78</v>
      </c>
      <c r="Z583" s="13" t="s">
        <v>10027</v>
      </c>
      <c r="AA583" s="13" t="s">
        <v>169</v>
      </c>
      <c r="AB583" s="13" t="s">
        <v>5195</v>
      </c>
      <c r="AC583" s="13" t="s">
        <v>5196</v>
      </c>
      <c r="AD583" s="13" t="s">
        <v>5196</v>
      </c>
      <c r="AE583" s="13" t="s">
        <v>262</v>
      </c>
      <c r="AF583" s="13" t="s">
        <v>10028</v>
      </c>
      <c r="AG583" s="13" t="s">
        <v>39</v>
      </c>
      <c r="AH583" s="13" t="s">
        <v>39</v>
      </c>
      <c r="AI583" s="13" t="s">
        <v>10029</v>
      </c>
      <c r="AJ583" s="13" t="s">
        <v>10030</v>
      </c>
      <c r="AK583" s="13" t="s">
        <v>10031</v>
      </c>
      <c r="AL583" s="13" t="s">
        <v>88</v>
      </c>
    </row>
    <row r="584" spans="1:38" x14ac:dyDescent="0.4">
      <c r="A584" s="11" t="s">
        <v>10032</v>
      </c>
      <c r="B584" s="14" t="s">
        <v>10033</v>
      </c>
      <c r="C584" s="15" t="s">
        <v>39</v>
      </c>
      <c r="D584" s="15" t="s">
        <v>10034</v>
      </c>
      <c r="E584" s="15" t="s">
        <v>10035</v>
      </c>
      <c r="F584" s="15" t="s">
        <v>271</v>
      </c>
      <c r="G584" s="15" t="s">
        <v>154</v>
      </c>
      <c r="H584" s="15" t="s">
        <v>10036</v>
      </c>
      <c r="I584" s="9">
        <f t="shared" ca="1" si="9"/>
        <v>6</v>
      </c>
      <c r="J584" s="15" t="s">
        <v>10037</v>
      </c>
      <c r="K584" s="15" t="s">
        <v>531</v>
      </c>
      <c r="L584" s="9" t="str">
        <f>VLOOKUP(K584,[1]中国省份_标准!$B$2:$F$35,4,FALSE)</f>
        <v>东部地区</v>
      </c>
      <c r="M584" s="9" t="str">
        <f>VLOOKUP(K584,[1]中国省份_标准!$B$2:$F$35,5,FALSE)</f>
        <v>华南地区</v>
      </c>
      <c r="N584" s="15" t="s">
        <v>532</v>
      </c>
      <c r="O584" s="15" t="s">
        <v>2544</v>
      </c>
      <c r="P584" s="15" t="s">
        <v>10038</v>
      </c>
      <c r="Q584" s="15" t="s">
        <v>10039</v>
      </c>
      <c r="R584" s="15" t="s">
        <v>10040</v>
      </c>
      <c r="S584" s="15" t="s">
        <v>10041</v>
      </c>
      <c r="T584" s="15" t="s">
        <v>48</v>
      </c>
      <c r="U584" s="15" t="s">
        <v>10033</v>
      </c>
      <c r="V584" s="15" t="s">
        <v>39</v>
      </c>
      <c r="W584" s="15" t="s">
        <v>10042</v>
      </c>
      <c r="X584" s="15" t="s">
        <v>557</v>
      </c>
      <c r="Y584" s="15" t="s">
        <v>78</v>
      </c>
      <c r="Z584" s="15" t="s">
        <v>10043</v>
      </c>
      <c r="AA584" s="15" t="s">
        <v>80</v>
      </c>
      <c r="AB584" s="15" t="s">
        <v>106</v>
      </c>
      <c r="AC584" s="15" t="s">
        <v>107</v>
      </c>
      <c r="AD584" s="15" t="s">
        <v>128</v>
      </c>
      <c r="AE584" s="15" t="s">
        <v>55</v>
      </c>
      <c r="AF584" s="15" t="s">
        <v>10044</v>
      </c>
      <c r="AG584" s="15" t="s">
        <v>39</v>
      </c>
      <c r="AH584" s="15" t="s">
        <v>39</v>
      </c>
      <c r="AI584" s="15" t="s">
        <v>10045</v>
      </c>
      <c r="AJ584" s="15" t="s">
        <v>10046</v>
      </c>
      <c r="AK584" s="15" t="s">
        <v>2554</v>
      </c>
      <c r="AL584" s="15" t="s">
        <v>88</v>
      </c>
    </row>
    <row r="585" spans="1:38" x14ac:dyDescent="0.4">
      <c r="A585" s="11" t="s">
        <v>10047</v>
      </c>
      <c r="B585" s="12" t="s">
        <v>10048</v>
      </c>
      <c r="C585" s="13" t="s">
        <v>39</v>
      </c>
      <c r="D585" s="13" t="s">
        <v>92</v>
      </c>
      <c r="E585" s="13" t="s">
        <v>10049</v>
      </c>
      <c r="F585" s="13" t="s">
        <v>999</v>
      </c>
      <c r="G585" s="13" t="s">
        <v>999</v>
      </c>
      <c r="H585" s="13" t="s">
        <v>10050</v>
      </c>
      <c r="I585" s="9">
        <f t="shared" ca="1" si="9"/>
        <v>3</v>
      </c>
      <c r="J585" s="13" t="s">
        <v>10051</v>
      </c>
      <c r="K585" s="13" t="s">
        <v>274</v>
      </c>
      <c r="L585" s="9" t="str">
        <f>VLOOKUP(K585,[1]中国省份_标准!$B$2:$F$35,4,FALSE)</f>
        <v>西部地区</v>
      </c>
      <c r="M585" s="9" t="str">
        <f>VLOOKUP(K585,[1]中国省份_标准!$B$2:$F$35,5,FALSE)</f>
        <v>西南地区</v>
      </c>
      <c r="N585" s="13" t="s">
        <v>6347</v>
      </c>
      <c r="O585" s="13" t="s">
        <v>10052</v>
      </c>
      <c r="P585" s="13" t="s">
        <v>10053</v>
      </c>
      <c r="Q585" s="13" t="s">
        <v>39</v>
      </c>
      <c r="R585" s="13" t="s">
        <v>10054</v>
      </c>
      <c r="S585" s="13" t="s">
        <v>39</v>
      </c>
      <c r="T585" s="13" t="s">
        <v>281</v>
      </c>
      <c r="U585" s="13" t="s">
        <v>10048</v>
      </c>
      <c r="V585" s="13" t="s">
        <v>10055</v>
      </c>
      <c r="W585" s="13" t="s">
        <v>10056</v>
      </c>
      <c r="X585" s="13" t="s">
        <v>1587</v>
      </c>
      <c r="Y585" s="13" t="s">
        <v>78</v>
      </c>
      <c r="Z585" s="13" t="s">
        <v>10057</v>
      </c>
      <c r="AA585" s="13" t="s">
        <v>80</v>
      </c>
      <c r="AB585" s="13" t="s">
        <v>106</v>
      </c>
      <c r="AC585" s="13" t="s">
        <v>107</v>
      </c>
      <c r="AD585" s="13" t="s">
        <v>128</v>
      </c>
      <c r="AE585" s="13" t="s">
        <v>55</v>
      </c>
      <c r="AF585" s="13" t="s">
        <v>10058</v>
      </c>
      <c r="AG585" s="13" t="s">
        <v>39</v>
      </c>
      <c r="AH585" s="13" t="s">
        <v>39</v>
      </c>
      <c r="AI585" s="13" t="s">
        <v>10059</v>
      </c>
      <c r="AJ585" s="13" t="s">
        <v>10060</v>
      </c>
      <c r="AK585" s="13" t="s">
        <v>10061</v>
      </c>
      <c r="AL585" s="13" t="s">
        <v>88</v>
      </c>
    </row>
    <row r="586" spans="1:38" x14ac:dyDescent="0.4">
      <c r="A586" s="11" t="s">
        <v>10062</v>
      </c>
      <c r="B586" s="14" t="s">
        <v>10063</v>
      </c>
      <c r="C586" s="15" t="s">
        <v>10064</v>
      </c>
      <c r="D586" s="15" t="s">
        <v>10065</v>
      </c>
      <c r="E586" s="15" t="s">
        <v>10066</v>
      </c>
      <c r="F586" s="15" t="s">
        <v>10067</v>
      </c>
      <c r="G586" s="15" t="s">
        <v>3656</v>
      </c>
      <c r="H586" s="15" t="s">
        <v>10068</v>
      </c>
      <c r="I586" s="9">
        <f t="shared" ca="1" si="9"/>
        <v>6</v>
      </c>
      <c r="J586" s="15" t="s">
        <v>10069</v>
      </c>
      <c r="K586" s="15" t="s">
        <v>531</v>
      </c>
      <c r="L586" s="9" t="str">
        <f>VLOOKUP(K586,[1]中国省份_标准!$B$2:$F$35,4,FALSE)</f>
        <v>东部地区</v>
      </c>
      <c r="M586" s="9" t="str">
        <f>VLOOKUP(K586,[1]中国省份_标准!$B$2:$F$35,5,FALSE)</f>
        <v>华南地区</v>
      </c>
      <c r="N586" s="15" t="s">
        <v>1450</v>
      </c>
      <c r="O586" s="15" t="s">
        <v>10070</v>
      </c>
      <c r="P586" s="15" t="s">
        <v>10071</v>
      </c>
      <c r="Q586" s="15" t="s">
        <v>10072</v>
      </c>
      <c r="R586" s="15" t="s">
        <v>10073</v>
      </c>
      <c r="S586" s="15" t="s">
        <v>10074</v>
      </c>
      <c r="T586" s="15" t="s">
        <v>1028</v>
      </c>
      <c r="U586" s="15" t="s">
        <v>10063</v>
      </c>
      <c r="V586" s="15" t="s">
        <v>39</v>
      </c>
      <c r="W586" s="15" t="s">
        <v>10075</v>
      </c>
      <c r="X586" s="15" t="s">
        <v>167</v>
      </c>
      <c r="Y586" s="15" t="s">
        <v>283</v>
      </c>
      <c r="Z586" s="15" t="s">
        <v>10076</v>
      </c>
      <c r="AA586" s="15" t="s">
        <v>52</v>
      </c>
      <c r="AB586" s="15" t="s">
        <v>53</v>
      </c>
      <c r="AC586" s="15" t="s">
        <v>7803</v>
      </c>
      <c r="AD586" s="15" t="s">
        <v>7804</v>
      </c>
      <c r="AE586" s="15" t="s">
        <v>55</v>
      </c>
      <c r="AF586" s="15" t="s">
        <v>10077</v>
      </c>
      <c r="AG586" s="15" t="s">
        <v>39</v>
      </c>
      <c r="AH586" s="15" t="s">
        <v>39</v>
      </c>
      <c r="AI586" s="15" t="s">
        <v>10078</v>
      </c>
      <c r="AJ586" s="15" t="s">
        <v>10079</v>
      </c>
      <c r="AK586" s="15" t="s">
        <v>10080</v>
      </c>
      <c r="AL586" s="15" t="s">
        <v>88</v>
      </c>
    </row>
    <row r="587" spans="1:38" x14ac:dyDescent="0.4">
      <c r="A587" s="11" t="s">
        <v>10081</v>
      </c>
      <c r="B587" s="12" t="s">
        <v>10082</v>
      </c>
      <c r="C587" s="13" t="s">
        <v>39</v>
      </c>
      <c r="D587" s="13" t="s">
        <v>63</v>
      </c>
      <c r="E587" s="13" t="s">
        <v>10083</v>
      </c>
      <c r="F587" s="13" t="s">
        <v>999</v>
      </c>
      <c r="G587" s="13" t="s">
        <v>999</v>
      </c>
      <c r="H587" s="13" t="s">
        <v>10084</v>
      </c>
      <c r="I587" s="9">
        <f t="shared" ca="1" si="9"/>
        <v>6</v>
      </c>
      <c r="J587" s="13" t="s">
        <v>10085</v>
      </c>
      <c r="K587" s="13" t="s">
        <v>8384</v>
      </c>
      <c r="L587" s="9" t="str">
        <f>VLOOKUP(K587,[1]中国省份_标准!$B$2:$F$35,4,FALSE)</f>
        <v>西部地区</v>
      </c>
      <c r="M587" s="9" t="str">
        <f>VLOOKUP(K587,[1]中国省份_标准!$B$2:$F$35,5,FALSE)</f>
        <v>西北地区</v>
      </c>
      <c r="N587" s="13" t="s">
        <v>8385</v>
      </c>
      <c r="O587" s="13" t="s">
        <v>8386</v>
      </c>
      <c r="P587" s="13" t="s">
        <v>10086</v>
      </c>
      <c r="Q587" s="13" t="s">
        <v>10087</v>
      </c>
      <c r="R587" s="13" t="s">
        <v>10088</v>
      </c>
      <c r="S587" s="13" t="s">
        <v>10089</v>
      </c>
      <c r="T587" s="13" t="s">
        <v>48</v>
      </c>
      <c r="U587" s="13" t="s">
        <v>10082</v>
      </c>
      <c r="V587" s="13" t="s">
        <v>10090</v>
      </c>
      <c r="W587" s="13" t="s">
        <v>10091</v>
      </c>
      <c r="X587" s="13" t="s">
        <v>39</v>
      </c>
      <c r="Y587" s="13" t="s">
        <v>39</v>
      </c>
      <c r="Z587" s="13" t="s">
        <v>10092</v>
      </c>
      <c r="AA587" s="13" t="s">
        <v>52</v>
      </c>
      <c r="AB587" s="13" t="s">
        <v>53</v>
      </c>
      <c r="AC587" s="13" t="s">
        <v>7803</v>
      </c>
      <c r="AD587" s="13" t="s">
        <v>7804</v>
      </c>
      <c r="AE587" s="13" t="s">
        <v>55</v>
      </c>
      <c r="AF587" s="13" t="s">
        <v>10093</v>
      </c>
      <c r="AG587" s="13" t="s">
        <v>39</v>
      </c>
      <c r="AH587" s="13" t="s">
        <v>10094</v>
      </c>
      <c r="AI587" s="13" t="s">
        <v>10095</v>
      </c>
      <c r="AJ587" s="13" t="s">
        <v>10096</v>
      </c>
      <c r="AK587" s="13" t="s">
        <v>9387</v>
      </c>
      <c r="AL587" s="13" t="s">
        <v>88</v>
      </c>
    </row>
    <row r="588" spans="1:38" x14ac:dyDescent="0.4">
      <c r="A588" s="11" t="s">
        <v>10097</v>
      </c>
      <c r="B588" s="14" t="s">
        <v>10098</v>
      </c>
      <c r="C588" s="15" t="s">
        <v>10099</v>
      </c>
      <c r="D588" s="15" t="s">
        <v>63</v>
      </c>
      <c r="E588" s="15" t="s">
        <v>10100</v>
      </c>
      <c r="F588" s="15" t="s">
        <v>10101</v>
      </c>
      <c r="G588" s="15" t="s">
        <v>10101</v>
      </c>
      <c r="H588" s="15" t="s">
        <v>10102</v>
      </c>
      <c r="I588" s="9">
        <f t="shared" ca="1" si="9"/>
        <v>19</v>
      </c>
      <c r="J588" s="15" t="s">
        <v>10103</v>
      </c>
      <c r="K588" s="15" t="s">
        <v>67</v>
      </c>
      <c r="L588" s="9" t="str">
        <f>VLOOKUP(K588,[1]中国省份_标准!$B$2:$F$35,4,FALSE)</f>
        <v>东部地区</v>
      </c>
      <c r="M588" s="9" t="str">
        <f>VLOOKUP(K588,[1]中国省份_标准!$B$2:$F$35,5,FALSE)</f>
        <v>华东地区</v>
      </c>
      <c r="N588" s="15" t="s">
        <v>2028</v>
      </c>
      <c r="O588" s="15" t="s">
        <v>10104</v>
      </c>
      <c r="P588" s="15" t="s">
        <v>10105</v>
      </c>
      <c r="Q588" s="15" t="s">
        <v>10106</v>
      </c>
      <c r="R588" s="15" t="s">
        <v>10107</v>
      </c>
      <c r="S588" s="15" t="s">
        <v>10108</v>
      </c>
      <c r="T588" s="15" t="s">
        <v>452</v>
      </c>
      <c r="U588" s="15" t="s">
        <v>10098</v>
      </c>
      <c r="V588" s="15" t="s">
        <v>10109</v>
      </c>
      <c r="W588" s="15" t="s">
        <v>10110</v>
      </c>
      <c r="X588" s="15" t="s">
        <v>10111</v>
      </c>
      <c r="Y588" s="15" t="s">
        <v>78</v>
      </c>
      <c r="Z588" s="15" t="s">
        <v>10112</v>
      </c>
      <c r="AA588" s="15" t="s">
        <v>169</v>
      </c>
      <c r="AB588" s="15" t="s">
        <v>4216</v>
      </c>
      <c r="AC588" s="15" t="s">
        <v>10113</v>
      </c>
      <c r="AD588" s="15" t="s">
        <v>10113</v>
      </c>
      <c r="AE588" s="15" t="s">
        <v>239</v>
      </c>
      <c r="AF588" s="15" t="s">
        <v>10114</v>
      </c>
      <c r="AG588" s="15" t="s">
        <v>39</v>
      </c>
      <c r="AH588" s="15" t="s">
        <v>39</v>
      </c>
      <c r="AI588" s="15" t="s">
        <v>10115</v>
      </c>
      <c r="AJ588" s="15" t="s">
        <v>10116</v>
      </c>
      <c r="AK588" s="15" t="s">
        <v>10117</v>
      </c>
      <c r="AL588" s="15" t="s">
        <v>88</v>
      </c>
    </row>
    <row r="589" spans="1:38" x14ac:dyDescent="0.4">
      <c r="A589" s="11" t="s">
        <v>10118</v>
      </c>
      <c r="B589" s="12" t="s">
        <v>10119</v>
      </c>
      <c r="C589" s="13" t="s">
        <v>39</v>
      </c>
      <c r="D589" s="13" t="s">
        <v>92</v>
      </c>
      <c r="E589" s="13" t="s">
        <v>10120</v>
      </c>
      <c r="F589" s="13" t="s">
        <v>9002</v>
      </c>
      <c r="G589" s="13" t="s">
        <v>9002</v>
      </c>
      <c r="H589" s="13" t="s">
        <v>10121</v>
      </c>
      <c r="I589" s="9">
        <f t="shared" ca="1" si="9"/>
        <v>5</v>
      </c>
      <c r="J589" s="13" t="s">
        <v>10122</v>
      </c>
      <c r="K589" s="13" t="s">
        <v>702</v>
      </c>
      <c r="L589" s="9" t="str">
        <f>VLOOKUP(K589,[1]中国省份_标准!$B$2:$F$35,4,FALSE)</f>
        <v>东部地区</v>
      </c>
      <c r="M589" s="9" t="str">
        <f>VLOOKUP(K589,[1]中国省份_标准!$B$2:$F$35,5,FALSE)</f>
        <v>华北地区</v>
      </c>
      <c r="N589" s="13" t="s">
        <v>6790</v>
      </c>
      <c r="O589" s="13" t="s">
        <v>10123</v>
      </c>
      <c r="P589" s="13" t="s">
        <v>10124</v>
      </c>
      <c r="Q589" s="13" t="s">
        <v>39</v>
      </c>
      <c r="R589" s="13" t="s">
        <v>39</v>
      </c>
      <c r="S589" s="13" t="s">
        <v>39</v>
      </c>
      <c r="T589" s="13" t="s">
        <v>3623</v>
      </c>
      <c r="U589" s="13" t="s">
        <v>10119</v>
      </c>
      <c r="V589" s="13" t="s">
        <v>10125</v>
      </c>
      <c r="W589" s="13" t="s">
        <v>10126</v>
      </c>
      <c r="X589" s="13" t="s">
        <v>167</v>
      </c>
      <c r="Y589" s="13" t="s">
        <v>78</v>
      </c>
      <c r="Z589" s="13" t="s">
        <v>10127</v>
      </c>
      <c r="AA589" s="13" t="s">
        <v>80</v>
      </c>
      <c r="AB589" s="13" t="s">
        <v>106</v>
      </c>
      <c r="AC589" s="13" t="s">
        <v>107</v>
      </c>
      <c r="AD589" s="13" t="s">
        <v>108</v>
      </c>
      <c r="AE589" s="13" t="s">
        <v>109</v>
      </c>
      <c r="AF589" s="13" t="s">
        <v>10128</v>
      </c>
      <c r="AG589" s="13" t="s">
        <v>39</v>
      </c>
      <c r="AH589" s="13" t="s">
        <v>10129</v>
      </c>
      <c r="AI589" s="13" t="s">
        <v>10130</v>
      </c>
      <c r="AJ589" s="13" t="s">
        <v>10131</v>
      </c>
      <c r="AK589" s="13" t="s">
        <v>10132</v>
      </c>
      <c r="AL589" s="13" t="s">
        <v>88</v>
      </c>
    </row>
    <row r="590" spans="1:38" x14ac:dyDescent="0.4">
      <c r="A590" s="11" t="s">
        <v>10133</v>
      </c>
      <c r="B590" s="14" t="s">
        <v>10134</v>
      </c>
      <c r="C590" s="15" t="s">
        <v>39</v>
      </c>
      <c r="D590" s="15" t="s">
        <v>63</v>
      </c>
      <c r="E590" s="15" t="s">
        <v>10135</v>
      </c>
      <c r="F590" s="15" t="s">
        <v>2925</v>
      </c>
      <c r="G590" s="15" t="s">
        <v>271</v>
      </c>
      <c r="H590" s="15" t="s">
        <v>10136</v>
      </c>
      <c r="I590" s="9">
        <f t="shared" ca="1" si="9"/>
        <v>11</v>
      </c>
      <c r="J590" s="15" t="s">
        <v>10137</v>
      </c>
      <c r="K590" s="15" t="s">
        <v>3405</v>
      </c>
      <c r="L590" s="9" t="str">
        <f>VLOOKUP(K590,[1]中国省份_标准!$B$2:$F$35,4,FALSE)</f>
        <v>西部地区</v>
      </c>
      <c r="M590" s="9" t="str">
        <f>VLOOKUP(K590,[1]中国省份_标准!$B$2:$F$35,5,FALSE)</f>
        <v>西北地区</v>
      </c>
      <c r="N590" s="15" t="s">
        <v>3406</v>
      </c>
      <c r="O590" s="15" t="s">
        <v>10138</v>
      </c>
      <c r="P590" s="15" t="s">
        <v>10139</v>
      </c>
      <c r="Q590" s="15" t="s">
        <v>10140</v>
      </c>
      <c r="R590" s="15" t="s">
        <v>10141</v>
      </c>
      <c r="S590" s="15" t="s">
        <v>10142</v>
      </c>
      <c r="T590" s="15" t="s">
        <v>48</v>
      </c>
      <c r="U590" s="15" t="s">
        <v>10134</v>
      </c>
      <c r="V590" s="15" t="s">
        <v>10143</v>
      </c>
      <c r="W590" s="15" t="s">
        <v>10144</v>
      </c>
      <c r="X590" s="15" t="s">
        <v>4309</v>
      </c>
      <c r="Y590" s="15" t="s">
        <v>78</v>
      </c>
      <c r="Z590" s="15" t="s">
        <v>10145</v>
      </c>
      <c r="AA590" s="15" t="s">
        <v>80</v>
      </c>
      <c r="AB590" s="15" t="s">
        <v>106</v>
      </c>
      <c r="AC590" s="15" t="s">
        <v>107</v>
      </c>
      <c r="AD590" s="15" t="s">
        <v>3545</v>
      </c>
      <c r="AE590" s="15" t="s">
        <v>55</v>
      </c>
      <c r="AF590" s="15" t="s">
        <v>10146</v>
      </c>
      <c r="AG590" s="15" t="s">
        <v>39</v>
      </c>
      <c r="AH590" s="15" t="s">
        <v>10147</v>
      </c>
      <c r="AI590" s="15" t="s">
        <v>10148</v>
      </c>
      <c r="AJ590" s="15" t="s">
        <v>10149</v>
      </c>
      <c r="AK590" s="15" t="s">
        <v>10150</v>
      </c>
      <c r="AL590" s="15" t="s">
        <v>88</v>
      </c>
    </row>
    <row r="591" spans="1:38" x14ac:dyDescent="0.4">
      <c r="A591" s="11" t="s">
        <v>10151</v>
      </c>
      <c r="B591" s="12" t="s">
        <v>10152</v>
      </c>
      <c r="C591" s="13" t="s">
        <v>39</v>
      </c>
      <c r="D591" s="13" t="s">
        <v>92</v>
      </c>
      <c r="E591" s="13" t="s">
        <v>10153</v>
      </c>
      <c r="F591" s="13" t="s">
        <v>10154</v>
      </c>
      <c r="G591" s="13" t="s">
        <v>10154</v>
      </c>
      <c r="H591" s="13" t="s">
        <v>10155</v>
      </c>
      <c r="I591" s="9">
        <f t="shared" ca="1" si="9"/>
        <v>15</v>
      </c>
      <c r="J591" s="13" t="s">
        <v>10156</v>
      </c>
      <c r="K591" s="13" t="s">
        <v>983</v>
      </c>
      <c r="L591" s="9" t="str">
        <f>VLOOKUP(K591,[1]中国省份_标准!$B$2:$F$35,4,FALSE)</f>
        <v>西部地区</v>
      </c>
      <c r="M591" s="9" t="str">
        <f>VLOOKUP(K591,[1]中国省份_标准!$B$2:$F$35,5,FALSE)</f>
        <v>华北地区</v>
      </c>
      <c r="N591" s="13" t="s">
        <v>10157</v>
      </c>
      <c r="O591" s="13" t="s">
        <v>10158</v>
      </c>
      <c r="P591" s="13" t="s">
        <v>10159</v>
      </c>
      <c r="Q591" s="13" t="s">
        <v>10160</v>
      </c>
      <c r="R591" s="13" t="s">
        <v>10161</v>
      </c>
      <c r="S591" s="13" t="s">
        <v>10162</v>
      </c>
      <c r="T591" s="13" t="s">
        <v>209</v>
      </c>
      <c r="U591" s="13" t="s">
        <v>10152</v>
      </c>
      <c r="V591" s="13" t="s">
        <v>10163</v>
      </c>
      <c r="W591" s="13" t="s">
        <v>10164</v>
      </c>
      <c r="X591" s="13" t="s">
        <v>10165</v>
      </c>
      <c r="Y591" s="13" t="s">
        <v>78</v>
      </c>
      <c r="Z591" s="13" t="s">
        <v>10166</v>
      </c>
      <c r="AA591" s="13" t="s">
        <v>169</v>
      </c>
      <c r="AB591" s="13" t="s">
        <v>9795</v>
      </c>
      <c r="AC591" s="13" t="s">
        <v>10167</v>
      </c>
      <c r="AD591" s="13" t="s">
        <v>10168</v>
      </c>
      <c r="AE591" s="13" t="s">
        <v>239</v>
      </c>
      <c r="AF591" s="13" t="s">
        <v>10169</v>
      </c>
      <c r="AG591" s="13" t="s">
        <v>39</v>
      </c>
      <c r="AH591" s="13" t="s">
        <v>39</v>
      </c>
      <c r="AI591" s="13" t="s">
        <v>10170</v>
      </c>
      <c r="AJ591" s="13" t="s">
        <v>10171</v>
      </c>
      <c r="AK591" s="13" t="s">
        <v>10172</v>
      </c>
      <c r="AL591" s="13" t="s">
        <v>88</v>
      </c>
    </row>
    <row r="592" spans="1:38" x14ac:dyDescent="0.4">
      <c r="A592" s="11" t="s">
        <v>10173</v>
      </c>
      <c r="B592" s="14" t="s">
        <v>10174</v>
      </c>
      <c r="C592" s="15" t="s">
        <v>39</v>
      </c>
      <c r="D592" s="15" t="s">
        <v>10175</v>
      </c>
      <c r="E592" s="15" t="s">
        <v>10176</v>
      </c>
      <c r="F592" s="15" t="s">
        <v>271</v>
      </c>
      <c r="G592" s="15" t="s">
        <v>271</v>
      </c>
      <c r="H592" s="15" t="s">
        <v>10177</v>
      </c>
      <c r="I592" s="9">
        <f t="shared" ca="1" si="9"/>
        <v>14</v>
      </c>
      <c r="J592" s="15" t="s">
        <v>10178</v>
      </c>
      <c r="K592" s="15" t="s">
        <v>45</v>
      </c>
      <c r="L592" s="9" t="str">
        <f>VLOOKUP(K592,[1]中国省份_标准!$B$2:$F$35,4,FALSE)</f>
        <v>东部地区</v>
      </c>
      <c r="M592" s="9" t="str">
        <f>VLOOKUP(K592,[1]中国省份_标准!$B$2:$F$35,5,FALSE)</f>
        <v>华东地区</v>
      </c>
      <c r="N592" s="15" t="s">
        <v>45</v>
      </c>
      <c r="O592" s="15" t="s">
        <v>1123</v>
      </c>
      <c r="P592" s="15" t="s">
        <v>10179</v>
      </c>
      <c r="Q592" s="15" t="s">
        <v>10180</v>
      </c>
      <c r="R592" s="15" t="s">
        <v>10181</v>
      </c>
      <c r="S592" s="15" t="s">
        <v>39</v>
      </c>
      <c r="T592" s="15" t="s">
        <v>48</v>
      </c>
      <c r="U592" s="15" t="s">
        <v>10174</v>
      </c>
      <c r="V592" s="15" t="s">
        <v>10182</v>
      </c>
      <c r="W592" s="15" t="s">
        <v>10183</v>
      </c>
      <c r="X592" s="15" t="s">
        <v>2566</v>
      </c>
      <c r="Y592" s="15" t="s">
        <v>971</v>
      </c>
      <c r="Z592" s="15" t="s">
        <v>10184</v>
      </c>
      <c r="AA592" s="15" t="s">
        <v>52</v>
      </c>
      <c r="AB592" s="15" t="s">
        <v>53</v>
      </c>
      <c r="AC592" s="15" t="s">
        <v>1301</v>
      </c>
      <c r="AD592" s="15" t="s">
        <v>1302</v>
      </c>
      <c r="AE592" s="15" t="s">
        <v>262</v>
      </c>
      <c r="AF592" s="15" t="s">
        <v>10185</v>
      </c>
      <c r="AG592" s="15" t="s">
        <v>39</v>
      </c>
      <c r="AH592" s="15" t="s">
        <v>39</v>
      </c>
      <c r="AI592" s="15" t="s">
        <v>10186</v>
      </c>
      <c r="AJ592" s="15" t="s">
        <v>10187</v>
      </c>
      <c r="AK592" s="15" t="s">
        <v>1138</v>
      </c>
      <c r="AL592" s="15" t="s">
        <v>88</v>
      </c>
    </row>
    <row r="593" spans="1:38" x14ac:dyDescent="0.4">
      <c r="A593" s="11" t="s">
        <v>10188</v>
      </c>
      <c r="B593" s="12" t="s">
        <v>10189</v>
      </c>
      <c r="C593" s="13" t="s">
        <v>10190</v>
      </c>
      <c r="D593" s="13" t="s">
        <v>92</v>
      </c>
      <c r="E593" s="13" t="s">
        <v>10191</v>
      </c>
      <c r="F593" s="13" t="s">
        <v>10192</v>
      </c>
      <c r="G593" s="13" t="s">
        <v>10192</v>
      </c>
      <c r="H593" s="13" t="s">
        <v>10193</v>
      </c>
      <c r="I593" s="9">
        <f t="shared" ca="1" si="9"/>
        <v>21</v>
      </c>
      <c r="J593" s="13" t="s">
        <v>10194</v>
      </c>
      <c r="K593" s="13" t="s">
        <v>983</v>
      </c>
      <c r="L593" s="9" t="str">
        <f>VLOOKUP(K593,[1]中国省份_标准!$B$2:$F$35,4,FALSE)</f>
        <v>西部地区</v>
      </c>
      <c r="M593" s="9" t="str">
        <f>VLOOKUP(K593,[1]中国省份_标准!$B$2:$F$35,5,FALSE)</f>
        <v>华北地区</v>
      </c>
      <c r="N593" s="13" t="s">
        <v>10195</v>
      </c>
      <c r="O593" s="13" t="s">
        <v>10196</v>
      </c>
      <c r="P593" s="13" t="s">
        <v>10197</v>
      </c>
      <c r="Q593" s="13" t="s">
        <v>39</v>
      </c>
      <c r="R593" s="13" t="s">
        <v>10198</v>
      </c>
      <c r="S593" s="13" t="s">
        <v>10199</v>
      </c>
      <c r="T593" s="13" t="s">
        <v>184</v>
      </c>
      <c r="U593" s="13" t="s">
        <v>10189</v>
      </c>
      <c r="V593" s="13" t="s">
        <v>10200</v>
      </c>
      <c r="W593" s="13" t="s">
        <v>10201</v>
      </c>
      <c r="X593" s="13" t="s">
        <v>5083</v>
      </c>
      <c r="Y593" s="13" t="s">
        <v>78</v>
      </c>
      <c r="Z593" s="13" t="s">
        <v>10202</v>
      </c>
      <c r="AA593" s="13" t="s">
        <v>169</v>
      </c>
      <c r="AB593" s="13" t="s">
        <v>4158</v>
      </c>
      <c r="AC593" s="13" t="s">
        <v>39</v>
      </c>
      <c r="AD593" s="13" t="s">
        <v>39</v>
      </c>
      <c r="AE593" s="13" t="s">
        <v>262</v>
      </c>
      <c r="AF593" s="13" t="s">
        <v>10203</v>
      </c>
      <c r="AG593" s="13" t="s">
        <v>39</v>
      </c>
      <c r="AH593" s="13" t="s">
        <v>39</v>
      </c>
      <c r="AI593" s="13" t="s">
        <v>10204</v>
      </c>
      <c r="AJ593" s="13" t="s">
        <v>10205</v>
      </c>
      <c r="AK593" s="13" t="s">
        <v>10206</v>
      </c>
      <c r="AL593" s="13" t="s">
        <v>88</v>
      </c>
    </row>
    <row r="594" spans="1:38" x14ac:dyDescent="0.4">
      <c r="A594" s="11" t="s">
        <v>10207</v>
      </c>
      <c r="B594" s="14" t="s">
        <v>10208</v>
      </c>
      <c r="C594" s="15" t="s">
        <v>10209</v>
      </c>
      <c r="D594" s="15" t="s">
        <v>92</v>
      </c>
      <c r="E594" s="15" t="s">
        <v>10210</v>
      </c>
      <c r="F594" s="15" t="s">
        <v>178</v>
      </c>
      <c r="G594" s="15" t="s">
        <v>422</v>
      </c>
      <c r="H594" s="15" t="s">
        <v>10211</v>
      </c>
      <c r="I594" s="9">
        <f t="shared" ca="1" si="9"/>
        <v>9</v>
      </c>
      <c r="J594" s="15" t="s">
        <v>10212</v>
      </c>
      <c r="K594" s="15" t="s">
        <v>45</v>
      </c>
      <c r="L594" s="9" t="str">
        <f>VLOOKUP(K594,[1]中国省份_标准!$B$2:$F$35,4,FALSE)</f>
        <v>东部地区</v>
      </c>
      <c r="M594" s="9" t="str">
        <f>VLOOKUP(K594,[1]中国省份_标准!$B$2:$F$35,5,FALSE)</f>
        <v>华东地区</v>
      </c>
      <c r="N594" s="15" t="s">
        <v>45</v>
      </c>
      <c r="O594" s="15" t="s">
        <v>1123</v>
      </c>
      <c r="P594" s="15" t="s">
        <v>10213</v>
      </c>
      <c r="Q594" s="15" t="s">
        <v>10214</v>
      </c>
      <c r="R594" s="15" t="s">
        <v>10215</v>
      </c>
      <c r="S594" s="15" t="s">
        <v>10216</v>
      </c>
      <c r="T594" s="15" t="s">
        <v>48</v>
      </c>
      <c r="U594" s="15" t="s">
        <v>10208</v>
      </c>
      <c r="V594" s="15" t="s">
        <v>10217</v>
      </c>
      <c r="W594" s="15" t="s">
        <v>10218</v>
      </c>
      <c r="X594" s="15" t="s">
        <v>791</v>
      </c>
      <c r="Y594" s="15" t="s">
        <v>731</v>
      </c>
      <c r="Z594" s="15" t="s">
        <v>10219</v>
      </c>
      <c r="AA594" s="15" t="s">
        <v>52</v>
      </c>
      <c r="AB594" s="15" t="s">
        <v>53</v>
      </c>
      <c r="AC594" s="15" t="s">
        <v>2874</v>
      </c>
      <c r="AD594" s="15" t="s">
        <v>2875</v>
      </c>
      <c r="AE594" s="15" t="s">
        <v>55</v>
      </c>
      <c r="AF594" s="15" t="s">
        <v>10220</v>
      </c>
      <c r="AG594" s="15" t="s">
        <v>39</v>
      </c>
      <c r="AH594" s="15" t="s">
        <v>39</v>
      </c>
      <c r="AI594" s="15" t="s">
        <v>10221</v>
      </c>
      <c r="AJ594" s="15" t="s">
        <v>10222</v>
      </c>
      <c r="AK594" s="15" t="s">
        <v>7076</v>
      </c>
      <c r="AL594" s="15" t="s">
        <v>88</v>
      </c>
    </row>
    <row r="595" spans="1:38" x14ac:dyDescent="0.4">
      <c r="A595" s="11" t="s">
        <v>10223</v>
      </c>
      <c r="B595" s="12" t="s">
        <v>10224</v>
      </c>
      <c r="C595" s="13" t="s">
        <v>39</v>
      </c>
      <c r="D595" s="13" t="s">
        <v>92</v>
      </c>
      <c r="E595" s="13" t="s">
        <v>10135</v>
      </c>
      <c r="F595" s="13" t="s">
        <v>271</v>
      </c>
      <c r="G595" s="13" t="s">
        <v>10225</v>
      </c>
      <c r="H595" s="13" t="s">
        <v>10226</v>
      </c>
      <c r="I595" s="9">
        <f t="shared" ca="1" si="9"/>
        <v>6</v>
      </c>
      <c r="J595" s="13" t="s">
        <v>10227</v>
      </c>
      <c r="K595" s="13" t="s">
        <v>340</v>
      </c>
      <c r="L595" s="9" t="str">
        <f>VLOOKUP(K595,[1]中国省份_标准!$B$2:$F$35,4,FALSE)</f>
        <v>东部地区</v>
      </c>
      <c r="M595" s="9" t="str">
        <f>VLOOKUP(K595,[1]中国省份_标准!$B$2:$F$35,5,FALSE)</f>
        <v>华东地区</v>
      </c>
      <c r="N595" s="13" t="s">
        <v>8286</v>
      </c>
      <c r="O595" s="13" t="s">
        <v>10228</v>
      </c>
      <c r="P595" s="13" t="s">
        <v>10229</v>
      </c>
      <c r="Q595" s="13" t="s">
        <v>10230</v>
      </c>
      <c r="R595" s="13" t="s">
        <v>10231</v>
      </c>
      <c r="S595" s="13" t="s">
        <v>39</v>
      </c>
      <c r="T595" s="13" t="s">
        <v>48</v>
      </c>
      <c r="U595" s="13" t="s">
        <v>10224</v>
      </c>
      <c r="V595" s="13" t="s">
        <v>10232</v>
      </c>
      <c r="W595" s="13" t="s">
        <v>10233</v>
      </c>
      <c r="X595" s="13" t="s">
        <v>77</v>
      </c>
      <c r="Y595" s="13" t="s">
        <v>78</v>
      </c>
      <c r="Z595" s="13" t="s">
        <v>10234</v>
      </c>
      <c r="AA595" s="13" t="s">
        <v>80</v>
      </c>
      <c r="AB595" s="13" t="s">
        <v>106</v>
      </c>
      <c r="AC595" s="13" t="s">
        <v>951</v>
      </c>
      <c r="AD595" s="13" t="s">
        <v>952</v>
      </c>
      <c r="AE595" s="13" t="s">
        <v>109</v>
      </c>
      <c r="AF595" s="13" t="s">
        <v>10235</v>
      </c>
      <c r="AG595" s="13" t="s">
        <v>39</v>
      </c>
      <c r="AH595" s="13" t="s">
        <v>39</v>
      </c>
      <c r="AI595" s="13" t="s">
        <v>10236</v>
      </c>
      <c r="AJ595" s="13" t="s">
        <v>10237</v>
      </c>
      <c r="AK595" s="13" t="s">
        <v>10238</v>
      </c>
      <c r="AL595" s="13" t="s">
        <v>88</v>
      </c>
    </row>
    <row r="596" spans="1:38" x14ac:dyDescent="0.4">
      <c r="A596" s="11" t="s">
        <v>10239</v>
      </c>
      <c r="B596" s="14" t="s">
        <v>10240</v>
      </c>
      <c r="C596" s="15" t="s">
        <v>10241</v>
      </c>
      <c r="D596" s="15" t="s">
        <v>92</v>
      </c>
      <c r="E596" s="15" t="s">
        <v>10242</v>
      </c>
      <c r="F596" s="15" t="s">
        <v>9731</v>
      </c>
      <c r="G596" s="15" t="s">
        <v>9731</v>
      </c>
      <c r="H596" s="15" t="s">
        <v>10243</v>
      </c>
      <c r="I596" s="9">
        <f t="shared" ca="1" si="9"/>
        <v>7</v>
      </c>
      <c r="J596" s="15" t="s">
        <v>10244</v>
      </c>
      <c r="K596" s="15" t="s">
        <v>227</v>
      </c>
      <c r="L596" s="9" t="str">
        <f>VLOOKUP(K596,[1]中国省份_标准!$B$2:$F$35,4,FALSE)</f>
        <v>西部地区</v>
      </c>
      <c r="M596" s="9" t="str">
        <f>VLOOKUP(K596,[1]中国省份_标准!$B$2:$F$35,5,FALSE)</f>
        <v>西北地区</v>
      </c>
      <c r="N596" s="15" t="s">
        <v>228</v>
      </c>
      <c r="O596" s="15" t="s">
        <v>3618</v>
      </c>
      <c r="P596" s="15" t="s">
        <v>10245</v>
      </c>
      <c r="Q596" s="15" t="s">
        <v>10246</v>
      </c>
      <c r="R596" s="15" t="s">
        <v>10247</v>
      </c>
      <c r="S596" s="15" t="s">
        <v>39</v>
      </c>
      <c r="T596" s="15" t="s">
        <v>209</v>
      </c>
      <c r="U596" s="15" t="s">
        <v>10240</v>
      </c>
      <c r="V596" s="15" t="s">
        <v>10248</v>
      </c>
      <c r="W596" s="15" t="s">
        <v>10249</v>
      </c>
      <c r="X596" s="15" t="s">
        <v>10250</v>
      </c>
      <c r="Y596" s="15" t="s">
        <v>78</v>
      </c>
      <c r="Z596" s="15" t="s">
        <v>10251</v>
      </c>
      <c r="AA596" s="15" t="s">
        <v>309</v>
      </c>
      <c r="AB596" s="15" t="s">
        <v>654</v>
      </c>
      <c r="AC596" s="15" t="s">
        <v>8729</v>
      </c>
      <c r="AD596" s="15" t="s">
        <v>8730</v>
      </c>
      <c r="AE596" s="15" t="s">
        <v>239</v>
      </c>
      <c r="AF596" s="15" t="s">
        <v>10252</v>
      </c>
      <c r="AG596" s="15" t="s">
        <v>39</v>
      </c>
      <c r="AH596" s="15" t="s">
        <v>39</v>
      </c>
      <c r="AI596" s="15" t="s">
        <v>10253</v>
      </c>
      <c r="AJ596" s="15" t="s">
        <v>10254</v>
      </c>
      <c r="AK596" s="15" t="s">
        <v>3630</v>
      </c>
      <c r="AL596" s="15" t="s">
        <v>88</v>
      </c>
    </row>
    <row r="597" spans="1:38" x14ac:dyDescent="0.4">
      <c r="A597" s="11" t="s">
        <v>10255</v>
      </c>
      <c r="B597" s="12" t="s">
        <v>10256</v>
      </c>
      <c r="C597" s="13" t="s">
        <v>39</v>
      </c>
      <c r="D597" s="13" t="s">
        <v>92</v>
      </c>
      <c r="E597" s="13" t="s">
        <v>10257</v>
      </c>
      <c r="F597" s="13" t="s">
        <v>154</v>
      </c>
      <c r="G597" s="13" t="s">
        <v>39</v>
      </c>
      <c r="H597" s="13" t="s">
        <v>8937</v>
      </c>
      <c r="I597" s="9">
        <f t="shared" ca="1" si="9"/>
        <v>4</v>
      </c>
      <c r="J597" s="13" t="s">
        <v>10258</v>
      </c>
      <c r="K597" s="13" t="s">
        <v>425</v>
      </c>
      <c r="L597" s="9" t="str">
        <f>VLOOKUP(K597,[1]中国省份_标准!$B$2:$F$35,4,FALSE)</f>
        <v>东部地区</v>
      </c>
      <c r="M597" s="9" t="str">
        <f>VLOOKUP(K597,[1]中国省份_标准!$B$2:$F$35,5,FALSE)</f>
        <v>华东地区</v>
      </c>
      <c r="N597" s="13" t="s">
        <v>3013</v>
      </c>
      <c r="O597" s="13" t="s">
        <v>3014</v>
      </c>
      <c r="P597" s="13" t="s">
        <v>10259</v>
      </c>
      <c r="Q597" s="13" t="s">
        <v>39</v>
      </c>
      <c r="R597" s="13" t="s">
        <v>10260</v>
      </c>
      <c r="S597" s="13" t="s">
        <v>39</v>
      </c>
      <c r="T597" s="13" t="s">
        <v>48</v>
      </c>
      <c r="U597" s="13" t="s">
        <v>10256</v>
      </c>
      <c r="V597" s="13" t="s">
        <v>39</v>
      </c>
      <c r="W597" s="13" t="s">
        <v>10261</v>
      </c>
      <c r="X597" s="13" t="s">
        <v>77</v>
      </c>
      <c r="Y597" s="13" t="s">
        <v>78</v>
      </c>
      <c r="Z597" s="13" t="s">
        <v>8944</v>
      </c>
      <c r="AA597" s="13" t="s">
        <v>169</v>
      </c>
      <c r="AB597" s="13" t="s">
        <v>285</v>
      </c>
      <c r="AC597" s="13" t="s">
        <v>39</v>
      </c>
      <c r="AD597" s="13" t="s">
        <v>39</v>
      </c>
      <c r="AE597" s="13" t="s">
        <v>109</v>
      </c>
      <c r="AF597" s="13" t="s">
        <v>10262</v>
      </c>
      <c r="AG597" s="13" t="s">
        <v>39</v>
      </c>
      <c r="AH597" s="13" t="s">
        <v>39</v>
      </c>
      <c r="AI597" s="13" t="s">
        <v>10263</v>
      </c>
      <c r="AJ597" s="13" t="s">
        <v>10264</v>
      </c>
      <c r="AK597" s="13" t="s">
        <v>3023</v>
      </c>
      <c r="AL597" s="13" t="s">
        <v>88</v>
      </c>
    </row>
    <row r="598" spans="1:38" x14ac:dyDescent="0.4">
      <c r="A598" s="11" t="s">
        <v>10265</v>
      </c>
      <c r="B598" s="14" t="s">
        <v>10266</v>
      </c>
      <c r="C598" s="15" t="s">
        <v>10267</v>
      </c>
      <c r="D598" s="15" t="s">
        <v>63</v>
      </c>
      <c r="E598" s="15" t="s">
        <v>10268</v>
      </c>
      <c r="F598" s="15" t="s">
        <v>9502</v>
      </c>
      <c r="G598" s="15" t="s">
        <v>9502</v>
      </c>
      <c r="H598" s="15" t="s">
        <v>10269</v>
      </c>
      <c r="I598" s="9">
        <f t="shared" ca="1" si="9"/>
        <v>6</v>
      </c>
      <c r="J598" s="15" t="s">
        <v>10270</v>
      </c>
      <c r="K598" s="15" t="s">
        <v>3405</v>
      </c>
      <c r="L598" s="9" t="str">
        <f>VLOOKUP(K598,[1]中国省份_标准!$B$2:$F$35,4,FALSE)</f>
        <v>西部地区</v>
      </c>
      <c r="M598" s="9" t="str">
        <f>VLOOKUP(K598,[1]中国省份_标准!$B$2:$F$35,5,FALSE)</f>
        <v>西北地区</v>
      </c>
      <c r="N598" s="15" t="s">
        <v>6615</v>
      </c>
      <c r="O598" s="15" t="s">
        <v>10271</v>
      </c>
      <c r="P598" s="15" t="s">
        <v>10272</v>
      </c>
      <c r="Q598" s="15" t="s">
        <v>10273</v>
      </c>
      <c r="R598" s="15" t="s">
        <v>10274</v>
      </c>
      <c r="S598" s="15" t="s">
        <v>39</v>
      </c>
      <c r="T598" s="15" t="s">
        <v>209</v>
      </c>
      <c r="U598" s="15" t="s">
        <v>10266</v>
      </c>
      <c r="V598" s="15" t="s">
        <v>39</v>
      </c>
      <c r="W598" s="15" t="s">
        <v>10275</v>
      </c>
      <c r="X598" s="15" t="s">
        <v>10276</v>
      </c>
      <c r="Y598" s="15" t="s">
        <v>78</v>
      </c>
      <c r="Z598" s="15" t="s">
        <v>10277</v>
      </c>
      <c r="AA598" s="15" t="s">
        <v>169</v>
      </c>
      <c r="AB598" s="15" t="s">
        <v>4216</v>
      </c>
      <c r="AC598" s="15" t="s">
        <v>39</v>
      </c>
      <c r="AD598" s="15" t="s">
        <v>39</v>
      </c>
      <c r="AE598" s="15" t="s">
        <v>55</v>
      </c>
      <c r="AF598" s="15" t="s">
        <v>10278</v>
      </c>
      <c r="AG598" s="15" t="s">
        <v>39</v>
      </c>
      <c r="AH598" s="15" t="s">
        <v>39</v>
      </c>
      <c r="AI598" s="15" t="s">
        <v>10279</v>
      </c>
      <c r="AJ598" s="15" t="s">
        <v>10280</v>
      </c>
      <c r="AK598" s="15" t="s">
        <v>10281</v>
      </c>
      <c r="AL598" s="15" t="s">
        <v>88</v>
      </c>
    </row>
    <row r="599" spans="1:38" x14ac:dyDescent="0.4">
      <c r="A599" s="11" t="s">
        <v>10282</v>
      </c>
      <c r="B599" s="12" t="s">
        <v>10283</v>
      </c>
      <c r="C599" s="13" t="s">
        <v>39</v>
      </c>
      <c r="D599" s="13" t="s">
        <v>92</v>
      </c>
      <c r="E599" s="13" t="s">
        <v>10284</v>
      </c>
      <c r="F599" s="13" t="s">
        <v>10285</v>
      </c>
      <c r="G599" s="13" t="s">
        <v>10285</v>
      </c>
      <c r="H599" s="13" t="s">
        <v>10286</v>
      </c>
      <c r="I599" s="9">
        <f t="shared" ca="1" si="9"/>
        <v>8</v>
      </c>
      <c r="J599" s="13" t="s">
        <v>10287</v>
      </c>
      <c r="K599" s="13" t="s">
        <v>5229</v>
      </c>
      <c r="L599" s="9" t="str">
        <f>VLOOKUP(K599,[1]中国省份_标准!$B$2:$F$35,4,FALSE)</f>
        <v>西部地区</v>
      </c>
      <c r="M599" s="9" t="str">
        <f>VLOOKUP(K599,[1]中国省份_标准!$B$2:$F$35,5,FALSE)</f>
        <v>华南地区</v>
      </c>
      <c r="N599" s="13" t="s">
        <v>9750</v>
      </c>
      <c r="O599" s="13" t="s">
        <v>10288</v>
      </c>
      <c r="P599" s="13" t="s">
        <v>10289</v>
      </c>
      <c r="Q599" s="13" t="s">
        <v>10290</v>
      </c>
      <c r="R599" s="13" t="s">
        <v>39</v>
      </c>
      <c r="S599" s="13" t="s">
        <v>39</v>
      </c>
      <c r="T599" s="13" t="s">
        <v>452</v>
      </c>
      <c r="U599" s="13" t="s">
        <v>10283</v>
      </c>
      <c r="V599" s="13" t="s">
        <v>10291</v>
      </c>
      <c r="W599" s="13" t="s">
        <v>10292</v>
      </c>
      <c r="X599" s="13" t="s">
        <v>10293</v>
      </c>
      <c r="Y599" s="13" t="s">
        <v>78</v>
      </c>
      <c r="Z599" s="13" t="s">
        <v>10294</v>
      </c>
      <c r="AA599" s="13" t="s">
        <v>169</v>
      </c>
      <c r="AB599" s="13" t="s">
        <v>5195</v>
      </c>
      <c r="AC599" s="13" t="s">
        <v>5196</v>
      </c>
      <c r="AD599" s="13" t="s">
        <v>5196</v>
      </c>
      <c r="AE599" s="13" t="s">
        <v>262</v>
      </c>
      <c r="AF599" s="13" t="s">
        <v>10295</v>
      </c>
      <c r="AG599" s="13" t="s">
        <v>39</v>
      </c>
      <c r="AH599" s="13" t="s">
        <v>39</v>
      </c>
      <c r="AI599" s="13" t="s">
        <v>10296</v>
      </c>
      <c r="AJ599" s="13" t="s">
        <v>10297</v>
      </c>
      <c r="AK599" s="13" t="s">
        <v>10298</v>
      </c>
      <c r="AL599" s="13" t="s">
        <v>88</v>
      </c>
    </row>
    <row r="600" spans="1:38" x14ac:dyDescent="0.4">
      <c r="A600" s="11" t="s">
        <v>10299</v>
      </c>
      <c r="B600" s="14" t="s">
        <v>10300</v>
      </c>
      <c r="C600" s="15" t="s">
        <v>39</v>
      </c>
      <c r="D600" s="15" t="s">
        <v>92</v>
      </c>
      <c r="E600" s="15" t="s">
        <v>10301</v>
      </c>
      <c r="F600" s="15" t="s">
        <v>271</v>
      </c>
      <c r="G600" s="15" t="s">
        <v>271</v>
      </c>
      <c r="H600" s="15" t="s">
        <v>7560</v>
      </c>
      <c r="I600" s="9">
        <f t="shared" ca="1" si="9"/>
        <v>11</v>
      </c>
      <c r="J600" s="15" t="s">
        <v>10302</v>
      </c>
      <c r="K600" s="15" t="s">
        <v>5229</v>
      </c>
      <c r="L600" s="9" t="str">
        <f>VLOOKUP(K600,[1]中国省份_标准!$B$2:$F$35,4,FALSE)</f>
        <v>西部地区</v>
      </c>
      <c r="M600" s="9" t="str">
        <f>VLOOKUP(K600,[1]中国省份_标准!$B$2:$F$35,5,FALSE)</f>
        <v>华南地区</v>
      </c>
      <c r="N600" s="15" t="s">
        <v>9750</v>
      </c>
      <c r="O600" s="15" t="s">
        <v>10288</v>
      </c>
      <c r="P600" s="15" t="s">
        <v>10303</v>
      </c>
      <c r="Q600" s="15" t="s">
        <v>10304</v>
      </c>
      <c r="R600" s="15" t="s">
        <v>10305</v>
      </c>
      <c r="S600" s="15" t="s">
        <v>10306</v>
      </c>
      <c r="T600" s="15" t="s">
        <v>48</v>
      </c>
      <c r="U600" s="15" t="s">
        <v>10300</v>
      </c>
      <c r="V600" s="15" t="s">
        <v>10307</v>
      </c>
      <c r="W600" s="15" t="s">
        <v>10308</v>
      </c>
      <c r="X600" s="15" t="s">
        <v>77</v>
      </c>
      <c r="Y600" s="15" t="s">
        <v>78</v>
      </c>
      <c r="Z600" s="15" t="s">
        <v>8612</v>
      </c>
      <c r="AA600" s="15" t="s">
        <v>850</v>
      </c>
      <c r="AB600" s="15" t="s">
        <v>9442</v>
      </c>
      <c r="AC600" s="15" t="s">
        <v>10309</v>
      </c>
      <c r="AD600" s="15" t="s">
        <v>10310</v>
      </c>
      <c r="AE600" s="15" t="s">
        <v>109</v>
      </c>
      <c r="AF600" s="15" t="s">
        <v>10311</v>
      </c>
      <c r="AG600" s="15" t="s">
        <v>39</v>
      </c>
      <c r="AH600" s="15" t="s">
        <v>39</v>
      </c>
      <c r="AI600" s="15" t="s">
        <v>10312</v>
      </c>
      <c r="AJ600" s="15" t="s">
        <v>10313</v>
      </c>
      <c r="AK600" s="15" t="s">
        <v>10298</v>
      </c>
      <c r="AL600" s="15" t="s">
        <v>88</v>
      </c>
    </row>
    <row r="601" spans="1:38" x14ac:dyDescent="0.4">
      <c r="A601" s="11" t="s">
        <v>10314</v>
      </c>
      <c r="B601" s="12" t="s">
        <v>10315</v>
      </c>
      <c r="C601" s="13" t="s">
        <v>39</v>
      </c>
      <c r="D601" s="13" t="s">
        <v>92</v>
      </c>
      <c r="E601" s="13" t="s">
        <v>10316</v>
      </c>
      <c r="F601" s="13" t="s">
        <v>999</v>
      </c>
      <c r="G601" s="13" t="s">
        <v>10317</v>
      </c>
      <c r="H601" s="13" t="s">
        <v>10318</v>
      </c>
      <c r="I601" s="9">
        <f t="shared" ca="1" si="9"/>
        <v>3</v>
      </c>
      <c r="J601" s="13" t="s">
        <v>10319</v>
      </c>
      <c r="K601" s="13" t="s">
        <v>5229</v>
      </c>
      <c r="L601" s="9" t="str">
        <f>VLOOKUP(K601,[1]中国省份_标准!$B$2:$F$35,4,FALSE)</f>
        <v>西部地区</v>
      </c>
      <c r="M601" s="9" t="str">
        <f>VLOOKUP(K601,[1]中国省份_标准!$B$2:$F$35,5,FALSE)</f>
        <v>华南地区</v>
      </c>
      <c r="N601" s="13" t="s">
        <v>9750</v>
      </c>
      <c r="O601" s="13" t="s">
        <v>10320</v>
      </c>
      <c r="P601" s="13" t="s">
        <v>10321</v>
      </c>
      <c r="Q601" s="13" t="s">
        <v>10322</v>
      </c>
      <c r="R601" s="13" t="s">
        <v>10323</v>
      </c>
      <c r="S601" s="13" t="s">
        <v>39</v>
      </c>
      <c r="T601" s="13" t="s">
        <v>48</v>
      </c>
      <c r="U601" s="13" t="s">
        <v>10315</v>
      </c>
      <c r="V601" s="13" t="s">
        <v>10324</v>
      </c>
      <c r="W601" s="13" t="s">
        <v>10325</v>
      </c>
      <c r="X601" s="13" t="s">
        <v>6887</v>
      </c>
      <c r="Y601" s="13" t="s">
        <v>78</v>
      </c>
      <c r="Z601" s="13" t="s">
        <v>10326</v>
      </c>
      <c r="AA601" s="13" t="s">
        <v>1796</v>
      </c>
      <c r="AB601" s="13" t="s">
        <v>2851</v>
      </c>
      <c r="AC601" s="13" t="s">
        <v>3969</v>
      </c>
      <c r="AD601" s="13" t="s">
        <v>3969</v>
      </c>
      <c r="AE601" s="13" t="s">
        <v>55</v>
      </c>
      <c r="AF601" s="13" t="s">
        <v>10327</v>
      </c>
      <c r="AG601" s="13" t="s">
        <v>39</v>
      </c>
      <c r="AH601" s="13" t="s">
        <v>39</v>
      </c>
      <c r="AI601" s="13" t="s">
        <v>10328</v>
      </c>
      <c r="AJ601" s="13" t="s">
        <v>10329</v>
      </c>
      <c r="AK601" s="13" t="s">
        <v>10330</v>
      </c>
      <c r="AL601" s="13" t="s">
        <v>88</v>
      </c>
    </row>
    <row r="602" spans="1:38" x14ac:dyDescent="0.4">
      <c r="A602" s="11" t="s">
        <v>10331</v>
      </c>
      <c r="B602" s="14" t="s">
        <v>10332</v>
      </c>
      <c r="C602" s="15" t="s">
        <v>39</v>
      </c>
      <c r="D602" s="15" t="s">
        <v>92</v>
      </c>
      <c r="E602" s="15" t="s">
        <v>10333</v>
      </c>
      <c r="F602" s="15" t="s">
        <v>999</v>
      </c>
      <c r="G602" s="15" t="s">
        <v>999</v>
      </c>
      <c r="H602" s="15" t="s">
        <v>10334</v>
      </c>
      <c r="I602" s="9">
        <f t="shared" ca="1" si="9"/>
        <v>9</v>
      </c>
      <c r="J602" s="15" t="s">
        <v>10335</v>
      </c>
      <c r="K602" s="15" t="s">
        <v>5229</v>
      </c>
      <c r="L602" s="9" t="str">
        <f>VLOOKUP(K602,[1]中国省份_标准!$B$2:$F$35,4,FALSE)</f>
        <v>西部地区</v>
      </c>
      <c r="M602" s="9" t="str">
        <f>VLOOKUP(K602,[1]中国省份_标准!$B$2:$F$35,5,FALSE)</f>
        <v>华南地区</v>
      </c>
      <c r="N602" s="15" t="s">
        <v>9750</v>
      </c>
      <c r="O602" s="15" t="s">
        <v>10320</v>
      </c>
      <c r="P602" s="15" t="s">
        <v>10336</v>
      </c>
      <c r="Q602" s="15" t="s">
        <v>39</v>
      </c>
      <c r="R602" s="15" t="s">
        <v>10337</v>
      </c>
      <c r="S602" s="15" t="s">
        <v>39</v>
      </c>
      <c r="T602" s="15" t="s">
        <v>209</v>
      </c>
      <c r="U602" s="15" t="s">
        <v>10332</v>
      </c>
      <c r="V602" s="15" t="s">
        <v>10338</v>
      </c>
      <c r="W602" s="15" t="s">
        <v>10339</v>
      </c>
      <c r="X602" s="15" t="s">
        <v>10340</v>
      </c>
      <c r="Y602" s="15" t="s">
        <v>78</v>
      </c>
      <c r="Z602" s="15" t="s">
        <v>10341</v>
      </c>
      <c r="AA602" s="15" t="s">
        <v>9130</v>
      </c>
      <c r="AB602" s="15" t="s">
        <v>9131</v>
      </c>
      <c r="AC602" s="15" t="s">
        <v>9279</v>
      </c>
      <c r="AD602" s="15" t="s">
        <v>9759</v>
      </c>
      <c r="AE602" s="15" t="s">
        <v>262</v>
      </c>
      <c r="AF602" s="15" t="s">
        <v>10342</v>
      </c>
      <c r="AG602" s="15" t="s">
        <v>39</v>
      </c>
      <c r="AH602" s="15" t="s">
        <v>39</v>
      </c>
      <c r="AI602" s="15" t="s">
        <v>10343</v>
      </c>
      <c r="AJ602" s="15" t="s">
        <v>10344</v>
      </c>
      <c r="AK602" s="15" t="s">
        <v>10330</v>
      </c>
      <c r="AL602" s="15" t="s">
        <v>88</v>
      </c>
    </row>
    <row r="603" spans="1:38" x14ac:dyDescent="0.4">
      <c r="A603" s="11" t="s">
        <v>10345</v>
      </c>
      <c r="B603" s="12" t="s">
        <v>10346</v>
      </c>
      <c r="C603" s="13" t="s">
        <v>39</v>
      </c>
      <c r="D603" s="13" t="s">
        <v>92</v>
      </c>
      <c r="E603" s="13" t="s">
        <v>10347</v>
      </c>
      <c r="F603" s="13" t="s">
        <v>154</v>
      </c>
      <c r="G603" s="13" t="s">
        <v>39</v>
      </c>
      <c r="H603" s="13" t="s">
        <v>10348</v>
      </c>
      <c r="I603" s="9">
        <f t="shared" ca="1" si="9"/>
        <v>1</v>
      </c>
      <c r="J603" s="13" t="s">
        <v>10349</v>
      </c>
      <c r="K603" s="13" t="s">
        <v>594</v>
      </c>
      <c r="L603" s="9" t="str">
        <f>VLOOKUP(K603,[1]中国省份_标准!$B$2:$F$35,4,FALSE)</f>
        <v>中部地区</v>
      </c>
      <c r="M603" s="9" t="str">
        <f>VLOOKUP(K603,[1]中国省份_标准!$B$2:$F$35,5,FALSE)</f>
        <v>华东地区</v>
      </c>
      <c r="N603" s="13" t="s">
        <v>10350</v>
      </c>
      <c r="O603" s="13" t="s">
        <v>10351</v>
      </c>
      <c r="P603" s="13" t="s">
        <v>10352</v>
      </c>
      <c r="Q603" s="13" t="s">
        <v>39</v>
      </c>
      <c r="R603" s="13" t="s">
        <v>10353</v>
      </c>
      <c r="S603" s="13" t="s">
        <v>39</v>
      </c>
      <c r="T603" s="13" t="s">
        <v>164</v>
      </c>
      <c r="U603" s="13" t="s">
        <v>10346</v>
      </c>
      <c r="V603" s="13" t="s">
        <v>10354</v>
      </c>
      <c r="W603" s="13" t="s">
        <v>10355</v>
      </c>
      <c r="X603" s="13" t="s">
        <v>77</v>
      </c>
      <c r="Y603" s="13" t="s">
        <v>78</v>
      </c>
      <c r="Z603" s="13" t="s">
        <v>10356</v>
      </c>
      <c r="AA603" s="13" t="s">
        <v>80</v>
      </c>
      <c r="AB603" s="13" t="s">
        <v>106</v>
      </c>
      <c r="AC603" s="13" t="s">
        <v>107</v>
      </c>
      <c r="AD603" s="13" t="s">
        <v>128</v>
      </c>
      <c r="AE603" s="13" t="s">
        <v>109</v>
      </c>
      <c r="AF603" s="13" t="s">
        <v>10357</v>
      </c>
      <c r="AG603" s="13" t="s">
        <v>39</v>
      </c>
      <c r="AH603" s="13" t="s">
        <v>39</v>
      </c>
      <c r="AI603" s="13" t="s">
        <v>39</v>
      </c>
      <c r="AJ603" s="13" t="s">
        <v>10358</v>
      </c>
      <c r="AK603" s="13" t="s">
        <v>10359</v>
      </c>
      <c r="AL603" s="13" t="s">
        <v>39</v>
      </c>
    </row>
    <row r="604" spans="1:38" x14ac:dyDescent="0.4">
      <c r="A604" s="11" t="s">
        <v>10360</v>
      </c>
      <c r="B604" s="14" t="s">
        <v>10361</v>
      </c>
      <c r="C604" s="15" t="s">
        <v>39</v>
      </c>
      <c r="D604" s="15" t="s">
        <v>9102</v>
      </c>
      <c r="E604" s="15" t="s">
        <v>10362</v>
      </c>
      <c r="F604" s="15" t="s">
        <v>154</v>
      </c>
      <c r="G604" s="15" t="s">
        <v>39</v>
      </c>
      <c r="H604" s="15" t="s">
        <v>10363</v>
      </c>
      <c r="I604" s="9">
        <f t="shared" ca="1" si="9"/>
        <v>2</v>
      </c>
      <c r="J604" s="15" t="s">
        <v>10364</v>
      </c>
      <c r="K604" s="15" t="s">
        <v>594</v>
      </c>
      <c r="L604" s="9" t="str">
        <f>VLOOKUP(K604,[1]中国省份_标准!$B$2:$F$35,4,FALSE)</f>
        <v>中部地区</v>
      </c>
      <c r="M604" s="9" t="str">
        <f>VLOOKUP(K604,[1]中国省份_标准!$B$2:$F$35,5,FALSE)</f>
        <v>华东地区</v>
      </c>
      <c r="N604" s="15" t="s">
        <v>10350</v>
      </c>
      <c r="O604" s="15" t="s">
        <v>10351</v>
      </c>
      <c r="P604" s="15" t="s">
        <v>10365</v>
      </c>
      <c r="Q604" s="15" t="s">
        <v>39</v>
      </c>
      <c r="R604" s="15" t="s">
        <v>10366</v>
      </c>
      <c r="S604" s="15" t="s">
        <v>39</v>
      </c>
      <c r="T604" s="15" t="s">
        <v>164</v>
      </c>
      <c r="U604" s="15" t="s">
        <v>10361</v>
      </c>
      <c r="V604" s="15" t="s">
        <v>10367</v>
      </c>
      <c r="W604" s="15" t="s">
        <v>10368</v>
      </c>
      <c r="X604" s="15" t="s">
        <v>77</v>
      </c>
      <c r="Y604" s="15" t="s">
        <v>78</v>
      </c>
      <c r="Z604" s="15" t="s">
        <v>10369</v>
      </c>
      <c r="AA604" s="15" t="s">
        <v>80</v>
      </c>
      <c r="AB604" s="15" t="s">
        <v>106</v>
      </c>
      <c r="AC604" s="15" t="s">
        <v>107</v>
      </c>
      <c r="AD604" s="15" t="s">
        <v>128</v>
      </c>
      <c r="AE604" s="15" t="s">
        <v>55</v>
      </c>
      <c r="AF604" s="15" t="s">
        <v>10370</v>
      </c>
      <c r="AG604" s="15" t="s">
        <v>39</v>
      </c>
      <c r="AH604" s="15" t="s">
        <v>39</v>
      </c>
      <c r="AI604" s="15" t="s">
        <v>39</v>
      </c>
      <c r="AJ604" s="15" t="s">
        <v>10371</v>
      </c>
      <c r="AK604" s="15" t="s">
        <v>10359</v>
      </c>
      <c r="AL604" s="15" t="s">
        <v>88</v>
      </c>
    </row>
    <row r="605" spans="1:38" x14ac:dyDescent="0.4">
      <c r="A605" s="11" t="s">
        <v>10372</v>
      </c>
      <c r="B605" s="12" t="s">
        <v>10373</v>
      </c>
      <c r="C605" s="13" t="s">
        <v>10374</v>
      </c>
      <c r="D605" s="13" t="s">
        <v>92</v>
      </c>
      <c r="E605" s="13" t="s">
        <v>10375</v>
      </c>
      <c r="F605" s="13" t="s">
        <v>920</v>
      </c>
      <c r="G605" s="13" t="s">
        <v>271</v>
      </c>
      <c r="H605" s="13" t="s">
        <v>10376</v>
      </c>
      <c r="I605" s="9">
        <f t="shared" ca="1" si="9"/>
        <v>7</v>
      </c>
      <c r="J605" s="13" t="s">
        <v>10377</v>
      </c>
      <c r="K605" s="13" t="s">
        <v>3068</v>
      </c>
      <c r="L605" s="9" t="str">
        <f>VLOOKUP(K605,[1]中国省份_标准!$B$2:$F$35,4,FALSE)</f>
        <v>西部地区</v>
      </c>
      <c r="M605" s="9" t="str">
        <f>VLOOKUP(K605,[1]中国省份_标准!$B$2:$F$35,5,FALSE)</f>
        <v>西北地区</v>
      </c>
      <c r="N605" s="13" t="s">
        <v>3069</v>
      </c>
      <c r="O605" s="13" t="s">
        <v>10378</v>
      </c>
      <c r="P605" s="13" t="s">
        <v>10379</v>
      </c>
      <c r="Q605" s="13" t="s">
        <v>10380</v>
      </c>
      <c r="R605" s="13" t="s">
        <v>10381</v>
      </c>
      <c r="S605" s="13" t="s">
        <v>10382</v>
      </c>
      <c r="T605" s="13" t="s">
        <v>452</v>
      </c>
      <c r="U605" s="13" t="s">
        <v>10373</v>
      </c>
      <c r="V605" s="13" t="s">
        <v>10383</v>
      </c>
      <c r="W605" s="13" t="s">
        <v>10384</v>
      </c>
      <c r="X605" s="13" t="s">
        <v>4120</v>
      </c>
      <c r="Y605" s="13" t="s">
        <v>78</v>
      </c>
      <c r="Z605" s="13" t="s">
        <v>10385</v>
      </c>
      <c r="AA605" s="13" t="s">
        <v>80</v>
      </c>
      <c r="AB605" s="13" t="s">
        <v>106</v>
      </c>
      <c r="AC605" s="13" t="s">
        <v>107</v>
      </c>
      <c r="AD605" s="13" t="s">
        <v>128</v>
      </c>
      <c r="AE605" s="13" t="s">
        <v>262</v>
      </c>
      <c r="AF605" s="13" t="s">
        <v>10386</v>
      </c>
      <c r="AG605" s="13" t="s">
        <v>39</v>
      </c>
      <c r="AH605" s="13" t="s">
        <v>39</v>
      </c>
      <c r="AI605" s="13" t="s">
        <v>10387</v>
      </c>
      <c r="AJ605" s="13" t="s">
        <v>10388</v>
      </c>
      <c r="AK605" s="13" t="s">
        <v>10389</v>
      </c>
      <c r="AL605" s="13" t="s">
        <v>88</v>
      </c>
    </row>
    <row r="606" spans="1:38" x14ac:dyDescent="0.4">
      <c r="A606" s="11" t="s">
        <v>10390</v>
      </c>
      <c r="B606" s="14" t="s">
        <v>10391</v>
      </c>
      <c r="C606" s="15" t="s">
        <v>39</v>
      </c>
      <c r="D606" s="15" t="s">
        <v>92</v>
      </c>
      <c r="E606" s="15" t="s">
        <v>10392</v>
      </c>
      <c r="F606" s="15" t="s">
        <v>154</v>
      </c>
      <c r="G606" s="15" t="s">
        <v>39</v>
      </c>
      <c r="H606" s="15" t="s">
        <v>10393</v>
      </c>
      <c r="I606" s="9">
        <f t="shared" ca="1" si="9"/>
        <v>1</v>
      </c>
      <c r="J606" s="15" t="s">
        <v>10394</v>
      </c>
      <c r="K606" s="15" t="s">
        <v>97</v>
      </c>
      <c r="L606" s="9" t="str">
        <f>VLOOKUP(K606,[1]中国省份_标准!$B$2:$F$35,4,FALSE)</f>
        <v>中部地区</v>
      </c>
      <c r="M606" s="9" t="str">
        <f>VLOOKUP(K606,[1]中国省份_标准!$B$2:$F$35,5,FALSE)</f>
        <v>华中地区</v>
      </c>
      <c r="N606" s="15" t="s">
        <v>4861</v>
      </c>
      <c r="O606" s="15" t="s">
        <v>9655</v>
      </c>
      <c r="P606" s="15" t="s">
        <v>10395</v>
      </c>
      <c r="Q606" s="15" t="s">
        <v>39</v>
      </c>
      <c r="R606" s="15" t="s">
        <v>10396</v>
      </c>
      <c r="S606" s="15" t="s">
        <v>39</v>
      </c>
      <c r="T606" s="15" t="s">
        <v>281</v>
      </c>
      <c r="U606" s="15" t="s">
        <v>10391</v>
      </c>
      <c r="V606" s="15" t="s">
        <v>10397</v>
      </c>
      <c r="W606" s="15" t="s">
        <v>10398</v>
      </c>
      <c r="X606" s="15" t="s">
        <v>77</v>
      </c>
      <c r="Y606" s="15" t="s">
        <v>78</v>
      </c>
      <c r="Z606" s="15" t="s">
        <v>10399</v>
      </c>
      <c r="AA606" s="15" t="s">
        <v>80</v>
      </c>
      <c r="AB606" s="15" t="s">
        <v>106</v>
      </c>
      <c r="AC606" s="15" t="s">
        <v>107</v>
      </c>
      <c r="AD606" s="15" t="s">
        <v>128</v>
      </c>
      <c r="AE606" s="15" t="s">
        <v>109</v>
      </c>
      <c r="AF606" s="15" t="s">
        <v>10400</v>
      </c>
      <c r="AG606" s="15" t="s">
        <v>39</v>
      </c>
      <c r="AH606" s="15" t="s">
        <v>39</v>
      </c>
      <c r="AI606" s="15" t="s">
        <v>10401</v>
      </c>
      <c r="AJ606" s="15" t="s">
        <v>10402</v>
      </c>
      <c r="AK606" s="15" t="s">
        <v>10403</v>
      </c>
      <c r="AL606" s="15" t="s">
        <v>88</v>
      </c>
    </row>
    <row r="607" spans="1:38" x14ac:dyDescent="0.4">
      <c r="A607" s="11" t="s">
        <v>10404</v>
      </c>
      <c r="B607" s="12" t="s">
        <v>10405</v>
      </c>
      <c r="C607" s="13" t="s">
        <v>39</v>
      </c>
      <c r="D607" s="13" t="s">
        <v>92</v>
      </c>
      <c r="E607" s="13" t="s">
        <v>93</v>
      </c>
      <c r="F607" s="13" t="s">
        <v>154</v>
      </c>
      <c r="G607" s="13" t="s">
        <v>39</v>
      </c>
      <c r="H607" s="13" t="s">
        <v>10406</v>
      </c>
      <c r="I607" s="9">
        <f t="shared" ca="1" si="9"/>
        <v>1</v>
      </c>
      <c r="J607" s="13" t="s">
        <v>10407</v>
      </c>
      <c r="K607" s="13" t="s">
        <v>97</v>
      </c>
      <c r="L607" s="9" t="str">
        <f>VLOOKUP(K607,[1]中国省份_标准!$B$2:$F$35,4,FALSE)</f>
        <v>中部地区</v>
      </c>
      <c r="M607" s="9" t="str">
        <f>VLOOKUP(K607,[1]中国省份_标准!$B$2:$F$35,5,FALSE)</f>
        <v>华中地区</v>
      </c>
      <c r="N607" s="13" t="s">
        <v>98</v>
      </c>
      <c r="O607" s="13" t="s">
        <v>99</v>
      </c>
      <c r="P607" s="13" t="s">
        <v>100</v>
      </c>
      <c r="Q607" s="13" t="s">
        <v>39</v>
      </c>
      <c r="R607" s="13" t="s">
        <v>102</v>
      </c>
      <c r="S607" s="13" t="s">
        <v>39</v>
      </c>
      <c r="T607" s="13" t="s">
        <v>48</v>
      </c>
      <c r="U607" s="13" t="s">
        <v>10405</v>
      </c>
      <c r="V607" s="13" t="s">
        <v>10408</v>
      </c>
      <c r="W607" s="13" t="s">
        <v>10409</v>
      </c>
      <c r="X607" s="13" t="s">
        <v>77</v>
      </c>
      <c r="Y607" s="13" t="s">
        <v>78</v>
      </c>
      <c r="Z607" s="13" t="s">
        <v>10410</v>
      </c>
      <c r="AA607" s="13" t="s">
        <v>80</v>
      </c>
      <c r="AB607" s="13" t="s">
        <v>106</v>
      </c>
      <c r="AC607" s="13" t="s">
        <v>107</v>
      </c>
      <c r="AD607" s="13" t="s">
        <v>128</v>
      </c>
      <c r="AE607" s="13" t="s">
        <v>109</v>
      </c>
      <c r="AF607" s="13" t="s">
        <v>10411</v>
      </c>
      <c r="AG607" s="13" t="s">
        <v>39</v>
      </c>
      <c r="AH607" s="13" t="s">
        <v>39</v>
      </c>
      <c r="AI607" s="13" t="s">
        <v>10412</v>
      </c>
      <c r="AJ607" s="13" t="s">
        <v>10413</v>
      </c>
      <c r="AK607" s="13" t="s">
        <v>113</v>
      </c>
      <c r="AL607" s="13" t="s">
        <v>88</v>
      </c>
    </row>
    <row r="608" spans="1:38" x14ac:dyDescent="0.4">
      <c r="A608" s="11" t="s">
        <v>10414</v>
      </c>
      <c r="B608" s="14" t="s">
        <v>10415</v>
      </c>
      <c r="C608" s="15" t="s">
        <v>39</v>
      </c>
      <c r="D608" s="15" t="s">
        <v>92</v>
      </c>
      <c r="E608" s="15" t="s">
        <v>10416</v>
      </c>
      <c r="F608" s="15" t="s">
        <v>442</v>
      </c>
      <c r="G608" s="15" t="s">
        <v>442</v>
      </c>
      <c r="H608" s="15" t="s">
        <v>10417</v>
      </c>
      <c r="I608" s="9">
        <f t="shared" ca="1" si="9"/>
        <v>13</v>
      </c>
      <c r="J608" s="15" t="s">
        <v>10418</v>
      </c>
      <c r="K608" s="15" t="s">
        <v>97</v>
      </c>
      <c r="L608" s="9" t="str">
        <f>VLOOKUP(K608,[1]中国省份_标准!$B$2:$F$35,4,FALSE)</f>
        <v>中部地区</v>
      </c>
      <c r="M608" s="9" t="str">
        <f>VLOOKUP(K608,[1]中国省份_标准!$B$2:$F$35,5,FALSE)</f>
        <v>华中地区</v>
      </c>
      <c r="N608" s="15" t="s">
        <v>2049</v>
      </c>
      <c r="O608" s="15" t="s">
        <v>10419</v>
      </c>
      <c r="P608" s="15" t="s">
        <v>10420</v>
      </c>
      <c r="Q608" s="15" t="s">
        <v>39</v>
      </c>
      <c r="R608" s="15" t="s">
        <v>10421</v>
      </c>
      <c r="S608" s="15" t="s">
        <v>10422</v>
      </c>
      <c r="T608" s="15" t="s">
        <v>48</v>
      </c>
      <c r="U608" s="15" t="s">
        <v>10415</v>
      </c>
      <c r="V608" s="15" t="s">
        <v>10423</v>
      </c>
      <c r="W608" s="15" t="s">
        <v>10424</v>
      </c>
      <c r="X608" s="15" t="s">
        <v>990</v>
      </c>
      <c r="Y608" s="15" t="s">
        <v>78</v>
      </c>
      <c r="Z608" s="15" t="s">
        <v>10425</v>
      </c>
      <c r="AA608" s="15" t="s">
        <v>80</v>
      </c>
      <c r="AB608" s="15" t="s">
        <v>106</v>
      </c>
      <c r="AC608" s="15" t="s">
        <v>10426</v>
      </c>
      <c r="AD608" s="15" t="s">
        <v>10427</v>
      </c>
      <c r="AE608" s="15" t="s">
        <v>109</v>
      </c>
      <c r="AF608" s="15" t="s">
        <v>10428</v>
      </c>
      <c r="AG608" s="15" t="s">
        <v>39</v>
      </c>
      <c r="AH608" s="15" t="s">
        <v>39</v>
      </c>
      <c r="AI608" s="15" t="s">
        <v>10429</v>
      </c>
      <c r="AJ608" s="15" t="s">
        <v>10430</v>
      </c>
      <c r="AK608" s="15" t="s">
        <v>10431</v>
      </c>
      <c r="AL608" s="15" t="s">
        <v>88</v>
      </c>
    </row>
    <row r="609" spans="1:38" x14ac:dyDescent="0.4">
      <c r="A609" s="11" t="s">
        <v>10432</v>
      </c>
      <c r="B609" s="12" t="s">
        <v>10433</v>
      </c>
      <c r="C609" s="13" t="s">
        <v>39</v>
      </c>
      <c r="D609" s="13" t="s">
        <v>92</v>
      </c>
      <c r="E609" s="13" t="s">
        <v>10434</v>
      </c>
      <c r="F609" s="13" t="s">
        <v>10435</v>
      </c>
      <c r="G609" s="13" t="s">
        <v>10435</v>
      </c>
      <c r="H609" s="13" t="s">
        <v>10436</v>
      </c>
      <c r="I609" s="9">
        <f t="shared" ca="1" si="9"/>
        <v>14</v>
      </c>
      <c r="J609" s="13" t="s">
        <v>10437</v>
      </c>
      <c r="K609" s="13" t="s">
        <v>227</v>
      </c>
      <c r="L609" s="9" t="str">
        <f>VLOOKUP(K609,[1]中国省份_标准!$B$2:$F$35,4,FALSE)</f>
        <v>西部地区</v>
      </c>
      <c r="M609" s="9" t="str">
        <f>VLOOKUP(K609,[1]中国省份_标准!$B$2:$F$35,5,FALSE)</f>
        <v>西北地区</v>
      </c>
      <c r="N609" s="13" t="s">
        <v>2763</v>
      </c>
      <c r="O609" s="13" t="s">
        <v>10438</v>
      </c>
      <c r="P609" s="13" t="s">
        <v>10439</v>
      </c>
      <c r="Q609" s="13" t="s">
        <v>10440</v>
      </c>
      <c r="R609" s="13" t="s">
        <v>10441</v>
      </c>
      <c r="S609" s="13" t="s">
        <v>10442</v>
      </c>
      <c r="T609" s="13" t="s">
        <v>452</v>
      </c>
      <c r="U609" s="13" t="s">
        <v>10433</v>
      </c>
      <c r="V609" s="13" t="s">
        <v>10443</v>
      </c>
      <c r="W609" s="13" t="s">
        <v>10444</v>
      </c>
      <c r="X609" s="13" t="s">
        <v>10445</v>
      </c>
      <c r="Y609" s="13" t="s">
        <v>78</v>
      </c>
      <c r="Z609" s="13" t="s">
        <v>10446</v>
      </c>
      <c r="AA609" s="13" t="s">
        <v>169</v>
      </c>
      <c r="AB609" s="13" t="s">
        <v>4216</v>
      </c>
      <c r="AC609" s="13" t="s">
        <v>4217</v>
      </c>
      <c r="AD609" s="13" t="s">
        <v>4218</v>
      </c>
      <c r="AE609" s="13" t="s">
        <v>239</v>
      </c>
      <c r="AF609" s="13" t="s">
        <v>10447</v>
      </c>
      <c r="AG609" s="13" t="s">
        <v>10448</v>
      </c>
      <c r="AH609" s="13" t="s">
        <v>39</v>
      </c>
      <c r="AI609" s="13" t="s">
        <v>10449</v>
      </c>
      <c r="AJ609" s="13" t="s">
        <v>10450</v>
      </c>
      <c r="AK609" s="13" t="s">
        <v>10451</v>
      </c>
      <c r="AL609" s="13" t="s">
        <v>88</v>
      </c>
    </row>
    <row r="610" spans="1:38" x14ac:dyDescent="0.4">
      <c r="A610" s="11" t="s">
        <v>10452</v>
      </c>
      <c r="B610" s="14" t="s">
        <v>10453</v>
      </c>
      <c r="C610" s="15" t="s">
        <v>39</v>
      </c>
      <c r="D610" s="15" t="s">
        <v>92</v>
      </c>
      <c r="E610" s="15" t="s">
        <v>10454</v>
      </c>
      <c r="F610" s="15" t="s">
        <v>271</v>
      </c>
      <c r="G610" s="15" t="s">
        <v>10455</v>
      </c>
      <c r="H610" s="15" t="s">
        <v>10456</v>
      </c>
      <c r="I610" s="9">
        <f t="shared" ca="1" si="9"/>
        <v>14</v>
      </c>
      <c r="J610" s="15" t="s">
        <v>10457</v>
      </c>
      <c r="K610" s="15" t="s">
        <v>138</v>
      </c>
      <c r="L610" s="9" t="str">
        <f>VLOOKUP(K610,[1]中国省份_标准!$B$2:$F$35,4,FALSE)</f>
        <v>西部地区</v>
      </c>
      <c r="M610" s="9" t="str">
        <f>VLOOKUP(K610,[1]中国省份_标准!$B$2:$F$35,5,FALSE)</f>
        <v>西南地区</v>
      </c>
      <c r="N610" s="15" t="s">
        <v>250</v>
      </c>
      <c r="O610" s="15" t="s">
        <v>10458</v>
      </c>
      <c r="P610" s="15" t="s">
        <v>10459</v>
      </c>
      <c r="Q610" s="15" t="s">
        <v>10460</v>
      </c>
      <c r="R610" s="15" t="s">
        <v>39</v>
      </c>
      <c r="S610" s="15" t="s">
        <v>39</v>
      </c>
      <c r="T610" s="15" t="s">
        <v>48</v>
      </c>
      <c r="U610" s="15" t="s">
        <v>10453</v>
      </c>
      <c r="V610" s="15" t="s">
        <v>10461</v>
      </c>
      <c r="W610" s="15" t="s">
        <v>10462</v>
      </c>
      <c r="X610" s="15" t="s">
        <v>557</v>
      </c>
      <c r="Y610" s="15" t="s">
        <v>78</v>
      </c>
      <c r="Z610" s="15" t="s">
        <v>10463</v>
      </c>
      <c r="AA610" s="15" t="s">
        <v>80</v>
      </c>
      <c r="AB610" s="15" t="s">
        <v>106</v>
      </c>
      <c r="AC610" s="15" t="s">
        <v>107</v>
      </c>
      <c r="AD610" s="15" t="s">
        <v>3545</v>
      </c>
      <c r="AE610" s="15" t="s">
        <v>109</v>
      </c>
      <c r="AF610" s="15" t="s">
        <v>10464</v>
      </c>
      <c r="AG610" s="15" t="s">
        <v>39</v>
      </c>
      <c r="AH610" s="15" t="s">
        <v>39</v>
      </c>
      <c r="AI610" s="15" t="s">
        <v>10465</v>
      </c>
      <c r="AJ610" s="15" t="s">
        <v>10466</v>
      </c>
      <c r="AK610" s="15" t="s">
        <v>10467</v>
      </c>
      <c r="AL610" s="15" t="s">
        <v>88</v>
      </c>
    </row>
    <row r="611" spans="1:38" x14ac:dyDescent="0.4">
      <c r="A611" s="11" t="s">
        <v>10468</v>
      </c>
      <c r="B611" s="12" t="s">
        <v>10469</v>
      </c>
      <c r="C611" s="13" t="s">
        <v>39</v>
      </c>
      <c r="D611" s="13" t="s">
        <v>92</v>
      </c>
      <c r="E611" s="13" t="s">
        <v>10470</v>
      </c>
      <c r="F611" s="13" t="s">
        <v>10471</v>
      </c>
      <c r="G611" s="13" t="s">
        <v>10471</v>
      </c>
      <c r="H611" s="13" t="s">
        <v>10472</v>
      </c>
      <c r="I611" s="9">
        <f t="shared" ca="1" si="9"/>
        <v>29</v>
      </c>
      <c r="J611" s="13" t="s">
        <v>10473</v>
      </c>
      <c r="K611" s="13" t="s">
        <v>138</v>
      </c>
      <c r="L611" s="9" t="str">
        <f>VLOOKUP(K611,[1]中国省份_标准!$B$2:$F$35,4,FALSE)</f>
        <v>西部地区</v>
      </c>
      <c r="M611" s="9" t="str">
        <f>VLOOKUP(K611,[1]中国省份_标准!$B$2:$F$35,5,FALSE)</f>
        <v>西南地区</v>
      </c>
      <c r="N611" s="13" t="s">
        <v>250</v>
      </c>
      <c r="O611" s="13" t="s">
        <v>10458</v>
      </c>
      <c r="P611" s="13" t="s">
        <v>10474</v>
      </c>
      <c r="Q611" s="13" t="s">
        <v>10475</v>
      </c>
      <c r="R611" s="13" t="s">
        <v>10476</v>
      </c>
      <c r="S611" s="13" t="s">
        <v>10477</v>
      </c>
      <c r="T611" s="13" t="s">
        <v>452</v>
      </c>
      <c r="U611" s="13" t="s">
        <v>10469</v>
      </c>
      <c r="V611" s="13" t="s">
        <v>10478</v>
      </c>
      <c r="W611" s="13" t="s">
        <v>10479</v>
      </c>
      <c r="X611" s="13" t="s">
        <v>77</v>
      </c>
      <c r="Y611" s="13" t="s">
        <v>78</v>
      </c>
      <c r="Z611" s="13" t="s">
        <v>10480</v>
      </c>
      <c r="AA611" s="13" t="s">
        <v>80</v>
      </c>
      <c r="AB611" s="13" t="s">
        <v>106</v>
      </c>
      <c r="AC611" s="13" t="s">
        <v>951</v>
      </c>
      <c r="AD611" s="13" t="s">
        <v>952</v>
      </c>
      <c r="AE611" s="13" t="s">
        <v>55</v>
      </c>
      <c r="AF611" s="13" t="s">
        <v>10481</v>
      </c>
      <c r="AG611" s="13" t="s">
        <v>39</v>
      </c>
      <c r="AH611" s="13" t="s">
        <v>10482</v>
      </c>
      <c r="AI611" s="13" t="s">
        <v>10483</v>
      </c>
      <c r="AJ611" s="13" t="s">
        <v>10484</v>
      </c>
      <c r="AK611" s="13" t="s">
        <v>10467</v>
      </c>
      <c r="AL611" s="13" t="s">
        <v>88</v>
      </c>
    </row>
    <row r="612" spans="1:38" x14ac:dyDescent="0.4">
      <c r="A612" s="11" t="s">
        <v>10485</v>
      </c>
      <c r="B612" s="14" t="s">
        <v>10486</v>
      </c>
      <c r="C612" s="15" t="s">
        <v>39</v>
      </c>
      <c r="D612" s="15" t="s">
        <v>63</v>
      </c>
      <c r="E612" s="15" t="s">
        <v>10487</v>
      </c>
      <c r="F612" s="15" t="s">
        <v>920</v>
      </c>
      <c r="G612" s="15" t="s">
        <v>920</v>
      </c>
      <c r="H612" s="15" t="s">
        <v>10488</v>
      </c>
      <c r="I612" s="9">
        <f t="shared" ca="1" si="9"/>
        <v>10</v>
      </c>
      <c r="J612" s="15" t="s">
        <v>10489</v>
      </c>
      <c r="K612" s="15" t="s">
        <v>67</v>
      </c>
      <c r="L612" s="9" t="str">
        <f>VLOOKUP(K612,[1]中国省份_标准!$B$2:$F$35,4,FALSE)</f>
        <v>东部地区</v>
      </c>
      <c r="M612" s="9" t="str">
        <f>VLOOKUP(K612,[1]中国省份_标准!$B$2:$F$35,5,FALSE)</f>
        <v>华东地区</v>
      </c>
      <c r="N612" s="15" t="s">
        <v>2028</v>
      </c>
      <c r="O612" s="15" t="s">
        <v>10490</v>
      </c>
      <c r="P612" s="15" t="s">
        <v>10491</v>
      </c>
      <c r="Q612" s="15" t="s">
        <v>10492</v>
      </c>
      <c r="R612" s="15" t="s">
        <v>10493</v>
      </c>
      <c r="S612" s="15" t="s">
        <v>10494</v>
      </c>
      <c r="T612" s="15" t="s">
        <v>184</v>
      </c>
      <c r="U612" s="15" t="s">
        <v>10486</v>
      </c>
      <c r="V612" s="15" t="s">
        <v>10495</v>
      </c>
      <c r="W612" s="15" t="s">
        <v>10496</v>
      </c>
      <c r="X612" s="15" t="s">
        <v>10497</v>
      </c>
      <c r="Y612" s="15" t="s">
        <v>78</v>
      </c>
      <c r="Z612" s="15" t="s">
        <v>10498</v>
      </c>
      <c r="AA612" s="15" t="s">
        <v>169</v>
      </c>
      <c r="AB612" s="15" t="s">
        <v>9795</v>
      </c>
      <c r="AC612" s="15" t="s">
        <v>10499</v>
      </c>
      <c r="AD612" s="15" t="s">
        <v>10500</v>
      </c>
      <c r="AE612" s="15" t="s">
        <v>262</v>
      </c>
      <c r="AF612" s="15" t="s">
        <v>10501</v>
      </c>
      <c r="AG612" s="15" t="s">
        <v>10502</v>
      </c>
      <c r="AH612" s="15" t="s">
        <v>39</v>
      </c>
      <c r="AI612" s="15" t="s">
        <v>10503</v>
      </c>
      <c r="AJ612" s="15" t="s">
        <v>10504</v>
      </c>
      <c r="AK612" s="15" t="s">
        <v>10505</v>
      </c>
      <c r="AL612" s="15" t="s">
        <v>88</v>
      </c>
    </row>
    <row r="613" spans="1:38" x14ac:dyDescent="0.4">
      <c r="A613" s="11" t="s">
        <v>10506</v>
      </c>
      <c r="B613" s="12" t="s">
        <v>10507</v>
      </c>
      <c r="C613" s="13" t="s">
        <v>39</v>
      </c>
      <c r="D613" s="13" t="s">
        <v>92</v>
      </c>
      <c r="E613" s="13" t="s">
        <v>10508</v>
      </c>
      <c r="F613" s="13" t="s">
        <v>961</v>
      </c>
      <c r="G613" s="13" t="s">
        <v>961</v>
      </c>
      <c r="H613" s="13" t="s">
        <v>10509</v>
      </c>
      <c r="I613" s="9">
        <f t="shared" ca="1" si="9"/>
        <v>8</v>
      </c>
      <c r="J613" s="13" t="s">
        <v>10510</v>
      </c>
      <c r="K613" s="13" t="s">
        <v>1752</v>
      </c>
      <c r="L613" s="9" t="str">
        <f>VLOOKUP(K613,[1]中国省份_标准!$B$2:$F$35,4,FALSE)</f>
        <v>中部地区</v>
      </c>
      <c r="M613" s="9" t="str">
        <f>VLOOKUP(K613,[1]中国省份_标准!$B$2:$F$35,5,FALSE)</f>
        <v>华中地区</v>
      </c>
      <c r="N613" s="13" t="s">
        <v>10511</v>
      </c>
      <c r="O613" s="13" t="s">
        <v>10512</v>
      </c>
      <c r="P613" s="13" t="s">
        <v>10513</v>
      </c>
      <c r="Q613" s="13" t="s">
        <v>10514</v>
      </c>
      <c r="R613" s="13" t="s">
        <v>10515</v>
      </c>
      <c r="S613" s="13" t="s">
        <v>39</v>
      </c>
      <c r="T613" s="13" t="s">
        <v>48</v>
      </c>
      <c r="U613" s="13" t="s">
        <v>10507</v>
      </c>
      <c r="V613" s="13" t="s">
        <v>10516</v>
      </c>
      <c r="W613" s="13" t="s">
        <v>10517</v>
      </c>
      <c r="X613" s="13" t="s">
        <v>77</v>
      </c>
      <c r="Y613" s="13" t="s">
        <v>78</v>
      </c>
      <c r="Z613" s="13" t="s">
        <v>10518</v>
      </c>
      <c r="AA613" s="13" t="s">
        <v>80</v>
      </c>
      <c r="AB613" s="13" t="s">
        <v>106</v>
      </c>
      <c r="AC613" s="13" t="s">
        <v>107</v>
      </c>
      <c r="AD613" s="13" t="s">
        <v>128</v>
      </c>
      <c r="AE613" s="13" t="s">
        <v>55</v>
      </c>
      <c r="AF613" s="13" t="s">
        <v>10519</v>
      </c>
      <c r="AG613" s="13" t="s">
        <v>39</v>
      </c>
      <c r="AH613" s="13" t="s">
        <v>39</v>
      </c>
      <c r="AI613" s="13" t="s">
        <v>10520</v>
      </c>
      <c r="AJ613" s="13" t="s">
        <v>10521</v>
      </c>
      <c r="AK613" s="13" t="s">
        <v>10522</v>
      </c>
      <c r="AL613" s="13" t="s">
        <v>88</v>
      </c>
    </row>
    <row r="614" spans="1:38" x14ac:dyDescent="0.4">
      <c r="A614" s="11" t="s">
        <v>10523</v>
      </c>
      <c r="B614" s="14" t="s">
        <v>10524</v>
      </c>
      <c r="C614" s="15" t="s">
        <v>10525</v>
      </c>
      <c r="D614" s="15" t="s">
        <v>92</v>
      </c>
      <c r="E614" s="15" t="s">
        <v>10526</v>
      </c>
      <c r="F614" s="15" t="s">
        <v>154</v>
      </c>
      <c r="G614" s="15" t="s">
        <v>39</v>
      </c>
      <c r="H614" s="15" t="s">
        <v>10527</v>
      </c>
      <c r="I614" s="9">
        <f t="shared" ca="1" si="9"/>
        <v>2</v>
      </c>
      <c r="J614" s="15" t="s">
        <v>10528</v>
      </c>
      <c r="K614" s="15" t="s">
        <v>97</v>
      </c>
      <c r="L614" s="9" t="str">
        <f>VLOOKUP(K614,[1]中国省份_标准!$B$2:$F$35,4,FALSE)</f>
        <v>中部地区</v>
      </c>
      <c r="M614" s="9" t="str">
        <f>VLOOKUP(K614,[1]中国省份_标准!$B$2:$F$35,5,FALSE)</f>
        <v>华中地区</v>
      </c>
      <c r="N614" s="15" t="s">
        <v>4861</v>
      </c>
      <c r="O614" s="15" t="s">
        <v>9655</v>
      </c>
      <c r="P614" s="15" t="s">
        <v>10529</v>
      </c>
      <c r="Q614" s="15" t="s">
        <v>10530</v>
      </c>
      <c r="R614" s="15" t="s">
        <v>10531</v>
      </c>
      <c r="S614" s="15" t="s">
        <v>39</v>
      </c>
      <c r="T614" s="15" t="s">
        <v>281</v>
      </c>
      <c r="U614" s="15" t="s">
        <v>10524</v>
      </c>
      <c r="V614" s="15" t="s">
        <v>39</v>
      </c>
      <c r="W614" s="15" t="s">
        <v>10532</v>
      </c>
      <c r="X614" s="15" t="s">
        <v>77</v>
      </c>
      <c r="Y614" s="15" t="s">
        <v>78</v>
      </c>
      <c r="Z614" s="15" t="s">
        <v>10533</v>
      </c>
      <c r="AA614" s="15" t="s">
        <v>80</v>
      </c>
      <c r="AB614" s="15" t="s">
        <v>106</v>
      </c>
      <c r="AC614" s="15" t="s">
        <v>107</v>
      </c>
      <c r="AD614" s="15" t="s">
        <v>128</v>
      </c>
      <c r="AE614" s="15" t="s">
        <v>109</v>
      </c>
      <c r="AF614" s="15" t="s">
        <v>10534</v>
      </c>
      <c r="AG614" s="15" t="s">
        <v>39</v>
      </c>
      <c r="AH614" s="15" t="s">
        <v>39</v>
      </c>
      <c r="AI614" s="15" t="s">
        <v>10535</v>
      </c>
      <c r="AJ614" s="15" t="s">
        <v>10536</v>
      </c>
      <c r="AK614" s="15" t="s">
        <v>10403</v>
      </c>
      <c r="AL614" s="15" t="s">
        <v>88</v>
      </c>
    </row>
    <row r="615" spans="1:38" x14ac:dyDescent="0.4">
      <c r="A615" s="11" t="s">
        <v>10537</v>
      </c>
      <c r="B615" s="12" t="s">
        <v>10538</v>
      </c>
      <c r="C615" s="13" t="s">
        <v>39</v>
      </c>
      <c r="D615" s="13" t="s">
        <v>92</v>
      </c>
      <c r="E615" s="13" t="s">
        <v>10539</v>
      </c>
      <c r="F615" s="13" t="s">
        <v>154</v>
      </c>
      <c r="G615" s="13" t="s">
        <v>39</v>
      </c>
      <c r="H615" s="13" t="s">
        <v>10540</v>
      </c>
      <c r="I615" s="9">
        <f t="shared" ca="1" si="9"/>
        <v>1</v>
      </c>
      <c r="J615" s="13" t="s">
        <v>10541</v>
      </c>
      <c r="K615" s="13" t="s">
        <v>97</v>
      </c>
      <c r="L615" s="9" t="str">
        <f>VLOOKUP(K615,[1]中国省份_标准!$B$2:$F$35,4,FALSE)</f>
        <v>中部地区</v>
      </c>
      <c r="M615" s="9" t="str">
        <f>VLOOKUP(K615,[1]中国省份_标准!$B$2:$F$35,5,FALSE)</f>
        <v>华中地区</v>
      </c>
      <c r="N615" s="13" t="s">
        <v>4861</v>
      </c>
      <c r="O615" s="13" t="s">
        <v>9655</v>
      </c>
      <c r="P615" s="13" t="s">
        <v>10542</v>
      </c>
      <c r="Q615" s="13" t="s">
        <v>39</v>
      </c>
      <c r="R615" s="13" t="s">
        <v>10543</v>
      </c>
      <c r="S615" s="13" t="s">
        <v>39</v>
      </c>
      <c r="T615" s="13" t="s">
        <v>281</v>
      </c>
      <c r="U615" s="13" t="s">
        <v>10538</v>
      </c>
      <c r="V615" s="13" t="s">
        <v>39</v>
      </c>
      <c r="W615" s="13" t="s">
        <v>10544</v>
      </c>
      <c r="X615" s="13" t="s">
        <v>77</v>
      </c>
      <c r="Y615" s="13" t="s">
        <v>78</v>
      </c>
      <c r="Z615" s="13" t="s">
        <v>10545</v>
      </c>
      <c r="AA615" s="13" t="s">
        <v>80</v>
      </c>
      <c r="AB615" s="13" t="s">
        <v>106</v>
      </c>
      <c r="AC615" s="13" t="s">
        <v>107</v>
      </c>
      <c r="AD615" s="13" t="s">
        <v>128</v>
      </c>
      <c r="AE615" s="13" t="s">
        <v>109</v>
      </c>
      <c r="AF615" s="13" t="s">
        <v>10546</v>
      </c>
      <c r="AG615" s="13" t="s">
        <v>39</v>
      </c>
      <c r="AH615" s="13" t="s">
        <v>39</v>
      </c>
      <c r="AI615" s="13" t="s">
        <v>10547</v>
      </c>
      <c r="AJ615" s="13" t="s">
        <v>10536</v>
      </c>
      <c r="AK615" s="13" t="s">
        <v>10403</v>
      </c>
      <c r="AL615" s="13" t="s">
        <v>88</v>
      </c>
    </row>
    <row r="616" spans="1:38" x14ac:dyDescent="0.4">
      <c r="A616" s="11" t="s">
        <v>10548</v>
      </c>
      <c r="B616" s="14" t="s">
        <v>10549</v>
      </c>
      <c r="C616" s="15" t="s">
        <v>39</v>
      </c>
      <c r="D616" s="15" t="s">
        <v>92</v>
      </c>
      <c r="E616" s="15" t="s">
        <v>10550</v>
      </c>
      <c r="F616" s="15" t="s">
        <v>4838</v>
      </c>
      <c r="G616" s="15" t="s">
        <v>10551</v>
      </c>
      <c r="H616" s="15" t="s">
        <v>10552</v>
      </c>
      <c r="I616" s="9">
        <f t="shared" ca="1" si="9"/>
        <v>2</v>
      </c>
      <c r="J616" s="15" t="s">
        <v>10553</v>
      </c>
      <c r="K616" s="15" t="s">
        <v>531</v>
      </c>
      <c r="L616" s="9" t="str">
        <f>VLOOKUP(K616,[1]中国省份_标准!$B$2:$F$35,4,FALSE)</f>
        <v>东部地区</v>
      </c>
      <c r="M616" s="9" t="str">
        <f>VLOOKUP(K616,[1]中国省份_标准!$B$2:$F$35,5,FALSE)</f>
        <v>华南地区</v>
      </c>
      <c r="N616" s="15" t="s">
        <v>1450</v>
      </c>
      <c r="O616" s="15" t="s">
        <v>9146</v>
      </c>
      <c r="P616" s="15" t="s">
        <v>10554</v>
      </c>
      <c r="Q616" s="15" t="s">
        <v>39</v>
      </c>
      <c r="R616" s="15" t="s">
        <v>10555</v>
      </c>
      <c r="S616" s="15" t="s">
        <v>39</v>
      </c>
      <c r="T616" s="15" t="s">
        <v>1028</v>
      </c>
      <c r="U616" s="15" t="s">
        <v>10549</v>
      </c>
      <c r="V616" s="15" t="s">
        <v>10556</v>
      </c>
      <c r="W616" s="15" t="s">
        <v>10557</v>
      </c>
      <c r="X616" s="15" t="s">
        <v>673</v>
      </c>
      <c r="Y616" s="15" t="s">
        <v>78</v>
      </c>
      <c r="Z616" s="15" t="s">
        <v>10558</v>
      </c>
      <c r="AA616" s="15" t="s">
        <v>52</v>
      </c>
      <c r="AB616" s="15" t="s">
        <v>53</v>
      </c>
      <c r="AC616" s="15" t="s">
        <v>7803</v>
      </c>
      <c r="AD616" s="15" t="s">
        <v>7804</v>
      </c>
      <c r="AE616" s="15" t="s">
        <v>109</v>
      </c>
      <c r="AF616" s="15" t="s">
        <v>10559</v>
      </c>
      <c r="AG616" s="15" t="s">
        <v>39</v>
      </c>
      <c r="AH616" s="15" t="s">
        <v>39</v>
      </c>
      <c r="AI616" s="15" t="s">
        <v>10560</v>
      </c>
      <c r="AJ616" s="15" t="s">
        <v>10561</v>
      </c>
      <c r="AK616" s="15" t="s">
        <v>10562</v>
      </c>
      <c r="AL616" s="15" t="s">
        <v>88</v>
      </c>
    </row>
    <row r="617" spans="1:38" x14ac:dyDescent="0.4">
      <c r="A617" s="11" t="s">
        <v>10563</v>
      </c>
      <c r="B617" s="12" t="s">
        <v>10564</v>
      </c>
      <c r="C617" s="13" t="s">
        <v>10565</v>
      </c>
      <c r="D617" s="13" t="s">
        <v>92</v>
      </c>
      <c r="E617" s="13" t="s">
        <v>10566</v>
      </c>
      <c r="F617" s="13" t="s">
        <v>10567</v>
      </c>
      <c r="G617" s="13" t="s">
        <v>10567</v>
      </c>
      <c r="H617" s="13" t="s">
        <v>10568</v>
      </c>
      <c r="I617" s="9">
        <f t="shared" ca="1" si="9"/>
        <v>31</v>
      </c>
      <c r="J617" s="13" t="s">
        <v>10569</v>
      </c>
      <c r="K617" s="13" t="s">
        <v>531</v>
      </c>
      <c r="L617" s="9" t="str">
        <f>VLOOKUP(K617,[1]中国省份_标准!$B$2:$F$35,4,FALSE)</f>
        <v>东部地区</v>
      </c>
      <c r="M617" s="9" t="str">
        <f>VLOOKUP(K617,[1]中国省份_标准!$B$2:$F$35,5,FALSE)</f>
        <v>华南地区</v>
      </c>
      <c r="N617" s="13" t="s">
        <v>1450</v>
      </c>
      <c r="O617" s="13" t="s">
        <v>9146</v>
      </c>
      <c r="P617" s="13" t="s">
        <v>10570</v>
      </c>
      <c r="Q617" s="13" t="s">
        <v>10571</v>
      </c>
      <c r="R617" s="13" t="s">
        <v>10572</v>
      </c>
      <c r="S617" s="13" t="s">
        <v>10573</v>
      </c>
      <c r="T617" s="13" t="s">
        <v>7659</v>
      </c>
      <c r="U617" s="13" t="s">
        <v>10564</v>
      </c>
      <c r="V617" s="13" t="s">
        <v>10574</v>
      </c>
      <c r="W617" s="13" t="s">
        <v>10575</v>
      </c>
      <c r="X617" s="13" t="s">
        <v>10576</v>
      </c>
      <c r="Y617" s="13" t="s">
        <v>78</v>
      </c>
      <c r="Z617" s="13" t="s">
        <v>10577</v>
      </c>
      <c r="AA617" s="13" t="s">
        <v>52</v>
      </c>
      <c r="AB617" s="13" t="s">
        <v>53</v>
      </c>
      <c r="AC617" s="13" t="s">
        <v>7803</v>
      </c>
      <c r="AD617" s="13" t="s">
        <v>7804</v>
      </c>
      <c r="AE617" s="13" t="s">
        <v>262</v>
      </c>
      <c r="AF617" s="13" t="s">
        <v>10578</v>
      </c>
      <c r="AG617" s="13" t="s">
        <v>10579</v>
      </c>
      <c r="AH617" s="13" t="s">
        <v>39</v>
      </c>
      <c r="AI617" s="13" t="s">
        <v>10580</v>
      </c>
      <c r="AJ617" s="13" t="s">
        <v>10581</v>
      </c>
      <c r="AK617" s="13" t="s">
        <v>10562</v>
      </c>
      <c r="AL617" s="13" t="s">
        <v>88</v>
      </c>
    </row>
    <row r="618" spans="1:38" x14ac:dyDescent="0.4">
      <c r="A618" s="11" t="s">
        <v>10582</v>
      </c>
      <c r="B618" s="14" t="s">
        <v>10583</v>
      </c>
      <c r="C618" s="15" t="s">
        <v>39</v>
      </c>
      <c r="D618" s="15" t="s">
        <v>92</v>
      </c>
      <c r="E618" s="15" t="s">
        <v>10584</v>
      </c>
      <c r="F618" s="15" t="s">
        <v>920</v>
      </c>
      <c r="G618" s="15" t="s">
        <v>920</v>
      </c>
      <c r="H618" s="15" t="s">
        <v>10585</v>
      </c>
      <c r="I618" s="9">
        <f t="shared" ca="1" si="9"/>
        <v>6</v>
      </c>
      <c r="J618" s="15" t="s">
        <v>10586</v>
      </c>
      <c r="K618" s="15" t="s">
        <v>531</v>
      </c>
      <c r="L618" s="9" t="str">
        <f>VLOOKUP(K618,[1]中国省份_标准!$B$2:$F$35,4,FALSE)</f>
        <v>东部地区</v>
      </c>
      <c r="M618" s="9" t="str">
        <f>VLOOKUP(K618,[1]中国省份_标准!$B$2:$F$35,5,FALSE)</f>
        <v>华南地区</v>
      </c>
      <c r="N618" s="15" t="s">
        <v>1450</v>
      </c>
      <c r="O618" s="15" t="s">
        <v>9146</v>
      </c>
      <c r="P618" s="15" t="s">
        <v>10587</v>
      </c>
      <c r="Q618" s="15" t="s">
        <v>39</v>
      </c>
      <c r="R618" s="15" t="s">
        <v>10588</v>
      </c>
      <c r="S618" s="15" t="s">
        <v>10589</v>
      </c>
      <c r="T618" s="15" t="s">
        <v>1028</v>
      </c>
      <c r="U618" s="15" t="s">
        <v>10583</v>
      </c>
      <c r="V618" s="15" t="s">
        <v>10590</v>
      </c>
      <c r="W618" s="15" t="s">
        <v>10591</v>
      </c>
      <c r="X618" s="15" t="s">
        <v>673</v>
      </c>
      <c r="Y618" s="15" t="s">
        <v>78</v>
      </c>
      <c r="Z618" s="15" t="s">
        <v>10592</v>
      </c>
      <c r="AA618" s="15" t="s">
        <v>52</v>
      </c>
      <c r="AB618" s="15" t="s">
        <v>53</v>
      </c>
      <c r="AC618" s="15" t="s">
        <v>54</v>
      </c>
      <c r="AD618" s="15" t="s">
        <v>10593</v>
      </c>
      <c r="AE618" s="15" t="s">
        <v>55</v>
      </c>
      <c r="AF618" s="15" t="s">
        <v>10594</v>
      </c>
      <c r="AG618" s="15" t="s">
        <v>39</v>
      </c>
      <c r="AH618" s="15" t="s">
        <v>39</v>
      </c>
      <c r="AI618" s="15" t="s">
        <v>10595</v>
      </c>
      <c r="AJ618" s="15" t="s">
        <v>10596</v>
      </c>
      <c r="AK618" s="15" t="s">
        <v>10562</v>
      </c>
      <c r="AL618" s="15" t="s">
        <v>88</v>
      </c>
    </row>
    <row r="619" spans="1:38" x14ac:dyDescent="0.4">
      <c r="A619" s="11" t="s">
        <v>10597</v>
      </c>
      <c r="B619" s="12" t="s">
        <v>10598</v>
      </c>
      <c r="C619" s="13" t="s">
        <v>10599</v>
      </c>
      <c r="D619" s="13" t="s">
        <v>92</v>
      </c>
      <c r="E619" s="13" t="s">
        <v>10600</v>
      </c>
      <c r="F619" s="13" t="s">
        <v>9861</v>
      </c>
      <c r="G619" s="13" t="s">
        <v>9861</v>
      </c>
      <c r="H619" s="13" t="s">
        <v>10601</v>
      </c>
      <c r="I619" s="9">
        <f t="shared" ca="1" si="9"/>
        <v>8</v>
      </c>
      <c r="J619" s="13" t="s">
        <v>10602</v>
      </c>
      <c r="K619" s="13" t="s">
        <v>531</v>
      </c>
      <c r="L619" s="9" t="str">
        <f>VLOOKUP(K619,[1]中国省份_标准!$B$2:$F$35,4,FALSE)</f>
        <v>东部地区</v>
      </c>
      <c r="M619" s="9" t="str">
        <f>VLOOKUP(K619,[1]中国省份_标准!$B$2:$F$35,5,FALSE)</f>
        <v>华南地区</v>
      </c>
      <c r="N619" s="13" t="s">
        <v>1450</v>
      </c>
      <c r="O619" s="13" t="s">
        <v>9146</v>
      </c>
      <c r="P619" s="13" t="s">
        <v>10603</v>
      </c>
      <c r="Q619" s="13" t="s">
        <v>10604</v>
      </c>
      <c r="R619" s="13" t="s">
        <v>10605</v>
      </c>
      <c r="S619" s="13" t="s">
        <v>10606</v>
      </c>
      <c r="T619" s="13" t="s">
        <v>1028</v>
      </c>
      <c r="U619" s="13" t="s">
        <v>10598</v>
      </c>
      <c r="V619" s="13" t="s">
        <v>10607</v>
      </c>
      <c r="W619" s="13" t="s">
        <v>10608</v>
      </c>
      <c r="X619" s="13" t="s">
        <v>4309</v>
      </c>
      <c r="Y619" s="13" t="s">
        <v>78</v>
      </c>
      <c r="Z619" s="13" t="s">
        <v>10609</v>
      </c>
      <c r="AA619" s="13" t="s">
        <v>52</v>
      </c>
      <c r="AB619" s="13" t="s">
        <v>53</v>
      </c>
      <c r="AC619" s="13" t="s">
        <v>10610</v>
      </c>
      <c r="AD619" s="13" t="s">
        <v>39</v>
      </c>
      <c r="AE619" s="13" t="s">
        <v>55</v>
      </c>
      <c r="AF619" s="13" t="s">
        <v>10611</v>
      </c>
      <c r="AG619" s="13" t="s">
        <v>39</v>
      </c>
      <c r="AH619" s="13" t="s">
        <v>39</v>
      </c>
      <c r="AI619" s="13" t="s">
        <v>10612</v>
      </c>
      <c r="AJ619" s="13" t="s">
        <v>10613</v>
      </c>
      <c r="AK619" s="13" t="s">
        <v>10562</v>
      </c>
      <c r="AL619" s="13" t="s">
        <v>88</v>
      </c>
    </row>
    <row r="620" spans="1:38" x14ac:dyDescent="0.4">
      <c r="A620" s="11" t="s">
        <v>10614</v>
      </c>
      <c r="B620" s="14" t="s">
        <v>10615</v>
      </c>
      <c r="C620" s="15" t="s">
        <v>39</v>
      </c>
      <c r="D620" s="15" t="s">
        <v>92</v>
      </c>
      <c r="E620" s="15" t="s">
        <v>10616</v>
      </c>
      <c r="F620" s="15" t="s">
        <v>319</v>
      </c>
      <c r="G620" s="15" t="s">
        <v>319</v>
      </c>
      <c r="H620" s="15" t="s">
        <v>10617</v>
      </c>
      <c r="I620" s="9">
        <f t="shared" ca="1" si="9"/>
        <v>24</v>
      </c>
      <c r="J620" s="15" t="s">
        <v>10618</v>
      </c>
      <c r="K620" s="15" t="s">
        <v>138</v>
      </c>
      <c r="L620" s="9" t="str">
        <f>VLOOKUP(K620,[1]中国省份_标准!$B$2:$F$35,4,FALSE)</f>
        <v>西部地区</v>
      </c>
      <c r="M620" s="9" t="str">
        <f>VLOOKUP(K620,[1]中国省份_标准!$B$2:$F$35,5,FALSE)</f>
        <v>西南地区</v>
      </c>
      <c r="N620" s="15" t="s">
        <v>10619</v>
      </c>
      <c r="O620" s="15" t="s">
        <v>10620</v>
      </c>
      <c r="P620" s="15" t="s">
        <v>10621</v>
      </c>
      <c r="Q620" s="15" t="s">
        <v>10622</v>
      </c>
      <c r="R620" s="15" t="s">
        <v>10623</v>
      </c>
      <c r="S620" s="15" t="s">
        <v>10624</v>
      </c>
      <c r="T620" s="15" t="s">
        <v>48</v>
      </c>
      <c r="U620" s="15" t="s">
        <v>10615</v>
      </c>
      <c r="V620" s="15" t="s">
        <v>10625</v>
      </c>
      <c r="W620" s="15" t="s">
        <v>10626</v>
      </c>
      <c r="X620" s="15" t="s">
        <v>77</v>
      </c>
      <c r="Y620" s="15" t="s">
        <v>78</v>
      </c>
      <c r="Z620" s="15" t="s">
        <v>10627</v>
      </c>
      <c r="AA620" s="15" t="s">
        <v>169</v>
      </c>
      <c r="AB620" s="15" t="s">
        <v>4158</v>
      </c>
      <c r="AC620" s="15" t="s">
        <v>39</v>
      </c>
      <c r="AD620" s="15" t="s">
        <v>39</v>
      </c>
      <c r="AE620" s="15" t="s">
        <v>55</v>
      </c>
      <c r="AF620" s="15" t="s">
        <v>10628</v>
      </c>
      <c r="AG620" s="15" t="s">
        <v>39</v>
      </c>
      <c r="AH620" s="15" t="s">
        <v>39</v>
      </c>
      <c r="AI620" s="15" t="s">
        <v>10629</v>
      </c>
      <c r="AJ620" s="15" t="s">
        <v>10630</v>
      </c>
      <c r="AK620" s="15" t="s">
        <v>10631</v>
      </c>
      <c r="AL620" s="15" t="s">
        <v>88</v>
      </c>
    </row>
    <row r="621" spans="1:38" x14ac:dyDescent="0.4">
      <c r="A621" s="11" t="s">
        <v>10632</v>
      </c>
      <c r="B621" s="12" t="s">
        <v>10633</v>
      </c>
      <c r="C621" s="13" t="s">
        <v>39</v>
      </c>
      <c r="D621" s="13" t="s">
        <v>92</v>
      </c>
      <c r="E621" s="13" t="s">
        <v>10634</v>
      </c>
      <c r="F621" s="13" t="s">
        <v>271</v>
      </c>
      <c r="G621" s="13" t="s">
        <v>271</v>
      </c>
      <c r="H621" s="13" t="s">
        <v>10635</v>
      </c>
      <c r="I621" s="9">
        <f t="shared" ca="1" si="9"/>
        <v>20</v>
      </c>
      <c r="J621" s="13" t="s">
        <v>10636</v>
      </c>
      <c r="K621" s="13" t="s">
        <v>138</v>
      </c>
      <c r="L621" s="9" t="str">
        <f>VLOOKUP(K621,[1]中国省份_标准!$B$2:$F$35,4,FALSE)</f>
        <v>西部地区</v>
      </c>
      <c r="M621" s="9" t="str">
        <f>VLOOKUP(K621,[1]中国省份_标准!$B$2:$F$35,5,FALSE)</f>
        <v>西南地区</v>
      </c>
      <c r="N621" s="13" t="s">
        <v>10619</v>
      </c>
      <c r="O621" s="13" t="s">
        <v>10637</v>
      </c>
      <c r="P621" s="13" t="s">
        <v>10638</v>
      </c>
      <c r="Q621" s="13" t="s">
        <v>10639</v>
      </c>
      <c r="R621" s="13" t="s">
        <v>10640</v>
      </c>
      <c r="S621" s="13" t="s">
        <v>39</v>
      </c>
      <c r="T621" s="13" t="s">
        <v>48</v>
      </c>
      <c r="U621" s="13" t="s">
        <v>10633</v>
      </c>
      <c r="V621" s="13" t="s">
        <v>10641</v>
      </c>
      <c r="W621" s="13" t="s">
        <v>10642</v>
      </c>
      <c r="X621" s="13" t="s">
        <v>77</v>
      </c>
      <c r="Y621" s="13" t="s">
        <v>78</v>
      </c>
      <c r="Z621" s="13" t="s">
        <v>10643</v>
      </c>
      <c r="AA621" s="13" t="s">
        <v>169</v>
      </c>
      <c r="AB621" s="13" t="s">
        <v>830</v>
      </c>
      <c r="AC621" s="13" t="s">
        <v>10644</v>
      </c>
      <c r="AD621" s="13" t="s">
        <v>10644</v>
      </c>
      <c r="AE621" s="13" t="s">
        <v>109</v>
      </c>
      <c r="AF621" s="13" t="s">
        <v>10645</v>
      </c>
      <c r="AG621" s="13" t="s">
        <v>39</v>
      </c>
      <c r="AH621" s="13" t="s">
        <v>39</v>
      </c>
      <c r="AI621" s="13" t="s">
        <v>10646</v>
      </c>
      <c r="AJ621" s="13" t="s">
        <v>10647</v>
      </c>
      <c r="AK621" s="13" t="s">
        <v>10648</v>
      </c>
      <c r="AL621" s="13" t="s">
        <v>88</v>
      </c>
    </row>
    <row r="622" spans="1:38" x14ac:dyDescent="0.4">
      <c r="A622" s="11" t="s">
        <v>10649</v>
      </c>
      <c r="B622" s="14" t="s">
        <v>10650</v>
      </c>
      <c r="C622" s="15" t="s">
        <v>39</v>
      </c>
      <c r="D622" s="15" t="s">
        <v>92</v>
      </c>
      <c r="E622" s="15" t="s">
        <v>10651</v>
      </c>
      <c r="F622" s="15" t="s">
        <v>920</v>
      </c>
      <c r="G622" s="15" t="s">
        <v>442</v>
      </c>
      <c r="H622" s="15" t="s">
        <v>10652</v>
      </c>
      <c r="I622" s="9">
        <f t="shared" ca="1" si="9"/>
        <v>8</v>
      </c>
      <c r="J622" s="15" t="s">
        <v>10653</v>
      </c>
      <c r="K622" s="15" t="s">
        <v>379</v>
      </c>
      <c r="L622" s="9" t="str">
        <f>VLOOKUP(K622,[1]中国省份_标准!$B$2:$F$35,4,FALSE)</f>
        <v>东部地区</v>
      </c>
      <c r="M622" s="9" t="str">
        <f>VLOOKUP(K622,[1]中国省份_标准!$B$2:$F$35,5,FALSE)</f>
        <v>华东地区</v>
      </c>
      <c r="N622" s="15" t="s">
        <v>1552</v>
      </c>
      <c r="O622" s="15" t="s">
        <v>10654</v>
      </c>
      <c r="P622" s="15" t="s">
        <v>10655</v>
      </c>
      <c r="Q622" s="15" t="s">
        <v>10656</v>
      </c>
      <c r="R622" s="15" t="s">
        <v>39</v>
      </c>
      <c r="S622" s="15" t="s">
        <v>39</v>
      </c>
      <c r="T622" s="15" t="s">
        <v>209</v>
      </c>
      <c r="U622" s="15" t="s">
        <v>10650</v>
      </c>
      <c r="V622" s="15" t="s">
        <v>10657</v>
      </c>
      <c r="W622" s="15" t="s">
        <v>10658</v>
      </c>
      <c r="X622" s="15" t="s">
        <v>77</v>
      </c>
      <c r="Y622" s="15" t="s">
        <v>78</v>
      </c>
      <c r="Z622" s="15" t="s">
        <v>10659</v>
      </c>
      <c r="AA622" s="15" t="s">
        <v>80</v>
      </c>
      <c r="AB622" s="15" t="s">
        <v>106</v>
      </c>
      <c r="AC622" s="15" t="s">
        <v>107</v>
      </c>
      <c r="AD622" s="15" t="s">
        <v>128</v>
      </c>
      <c r="AE622" s="15" t="s">
        <v>262</v>
      </c>
      <c r="AF622" s="15" t="s">
        <v>10660</v>
      </c>
      <c r="AG622" s="15" t="s">
        <v>39</v>
      </c>
      <c r="AH622" s="15" t="s">
        <v>39</v>
      </c>
      <c r="AI622" s="15" t="s">
        <v>10661</v>
      </c>
      <c r="AJ622" s="15" t="s">
        <v>10662</v>
      </c>
      <c r="AK622" s="15" t="s">
        <v>10663</v>
      </c>
      <c r="AL622" s="15" t="s">
        <v>88</v>
      </c>
    </row>
    <row r="623" spans="1:38" x14ac:dyDescent="0.4">
      <c r="A623" s="11" t="s">
        <v>10664</v>
      </c>
      <c r="B623" s="12" t="s">
        <v>10665</v>
      </c>
      <c r="C623" s="13" t="s">
        <v>10666</v>
      </c>
      <c r="D623" s="13" t="s">
        <v>63</v>
      </c>
      <c r="E623" s="13" t="s">
        <v>10667</v>
      </c>
      <c r="F623" s="13" t="s">
        <v>422</v>
      </c>
      <c r="G623" s="13" t="s">
        <v>39</v>
      </c>
      <c r="H623" s="13" t="s">
        <v>10668</v>
      </c>
      <c r="I623" s="9">
        <f t="shared" ca="1" si="9"/>
        <v>5</v>
      </c>
      <c r="J623" s="13" t="s">
        <v>10669</v>
      </c>
      <c r="K623" s="13" t="s">
        <v>425</v>
      </c>
      <c r="L623" s="9" t="str">
        <f>VLOOKUP(K623,[1]中国省份_标准!$B$2:$F$35,4,FALSE)</f>
        <v>东部地区</v>
      </c>
      <c r="M623" s="9" t="str">
        <f>VLOOKUP(K623,[1]中国省份_标准!$B$2:$F$35,5,FALSE)</f>
        <v>华东地区</v>
      </c>
      <c r="N623" s="13" t="s">
        <v>2304</v>
      </c>
      <c r="O623" s="13" t="s">
        <v>2305</v>
      </c>
      <c r="P623" s="13" t="s">
        <v>10670</v>
      </c>
      <c r="Q623" s="13" t="s">
        <v>10671</v>
      </c>
      <c r="R623" s="13" t="s">
        <v>10672</v>
      </c>
      <c r="S623" s="13" t="s">
        <v>10673</v>
      </c>
      <c r="T623" s="13" t="s">
        <v>281</v>
      </c>
      <c r="U623" s="13" t="s">
        <v>10665</v>
      </c>
      <c r="V623" s="13" t="s">
        <v>39</v>
      </c>
      <c r="W623" s="13" t="s">
        <v>10674</v>
      </c>
      <c r="X623" s="13" t="s">
        <v>690</v>
      </c>
      <c r="Y623" s="13" t="s">
        <v>78</v>
      </c>
      <c r="Z623" s="13" t="s">
        <v>10675</v>
      </c>
      <c r="AA623" s="13" t="s">
        <v>169</v>
      </c>
      <c r="AB623" s="13" t="s">
        <v>412</v>
      </c>
      <c r="AC623" s="13" t="s">
        <v>4977</v>
      </c>
      <c r="AD623" s="13" t="s">
        <v>39</v>
      </c>
      <c r="AE623" s="13" t="s">
        <v>55</v>
      </c>
      <c r="AF623" s="13" t="s">
        <v>10676</v>
      </c>
      <c r="AG623" s="13" t="s">
        <v>39</v>
      </c>
      <c r="AH623" s="13" t="s">
        <v>39</v>
      </c>
      <c r="AI623" s="13" t="s">
        <v>10677</v>
      </c>
      <c r="AJ623" s="13" t="s">
        <v>10678</v>
      </c>
      <c r="AK623" s="13" t="s">
        <v>2317</v>
      </c>
      <c r="AL623" s="13" t="s">
        <v>88</v>
      </c>
    </row>
    <row r="624" spans="1:38" x14ac:dyDescent="0.4">
      <c r="A624" s="11" t="s">
        <v>10679</v>
      </c>
      <c r="B624" s="14" t="s">
        <v>10680</v>
      </c>
      <c r="C624" s="15" t="s">
        <v>39</v>
      </c>
      <c r="D624" s="15" t="s">
        <v>92</v>
      </c>
      <c r="E624" s="15" t="s">
        <v>10681</v>
      </c>
      <c r="F624" s="15" t="s">
        <v>442</v>
      </c>
      <c r="G624" s="15" t="s">
        <v>442</v>
      </c>
      <c r="H624" s="15" t="s">
        <v>10682</v>
      </c>
      <c r="I624" s="9">
        <f t="shared" ca="1" si="9"/>
        <v>7</v>
      </c>
      <c r="J624" s="15" t="s">
        <v>10683</v>
      </c>
      <c r="K624" s="15" t="s">
        <v>1877</v>
      </c>
      <c r="L624" s="9" t="str">
        <f>VLOOKUP(K624,[1]中国省份_标准!$B$2:$F$35,4,FALSE)</f>
        <v>中部地区</v>
      </c>
      <c r="M624" s="9" t="str">
        <f>VLOOKUP(K624,[1]中国省份_标准!$B$2:$F$35,5,FALSE)</f>
        <v>华中地区</v>
      </c>
      <c r="N624" s="15" t="s">
        <v>5416</v>
      </c>
      <c r="O624" s="15" t="s">
        <v>10684</v>
      </c>
      <c r="P624" s="15" t="s">
        <v>10685</v>
      </c>
      <c r="Q624" s="15" t="s">
        <v>39</v>
      </c>
      <c r="R624" s="15" t="s">
        <v>10686</v>
      </c>
      <c r="S624" s="15" t="s">
        <v>39</v>
      </c>
      <c r="T624" s="15" t="s">
        <v>281</v>
      </c>
      <c r="U624" s="15" t="s">
        <v>10680</v>
      </c>
      <c r="V624" s="15" t="s">
        <v>39</v>
      </c>
      <c r="W624" s="15" t="s">
        <v>10687</v>
      </c>
      <c r="X624" s="15" t="s">
        <v>77</v>
      </c>
      <c r="Y624" s="15" t="s">
        <v>78</v>
      </c>
      <c r="Z624" s="15" t="s">
        <v>10688</v>
      </c>
      <c r="AA624" s="15" t="s">
        <v>80</v>
      </c>
      <c r="AB624" s="15" t="s">
        <v>106</v>
      </c>
      <c r="AC624" s="15" t="s">
        <v>107</v>
      </c>
      <c r="AD624" s="15" t="s">
        <v>128</v>
      </c>
      <c r="AE624" s="15" t="s">
        <v>262</v>
      </c>
      <c r="AF624" s="15" t="s">
        <v>10689</v>
      </c>
      <c r="AG624" s="15" t="s">
        <v>39</v>
      </c>
      <c r="AH624" s="15" t="s">
        <v>39</v>
      </c>
      <c r="AI624" s="15" t="s">
        <v>10690</v>
      </c>
      <c r="AJ624" s="15" t="s">
        <v>10691</v>
      </c>
      <c r="AK624" s="15" t="s">
        <v>10692</v>
      </c>
      <c r="AL624" s="15" t="s">
        <v>88</v>
      </c>
    </row>
    <row r="625" spans="1:38" x14ac:dyDescent="0.4">
      <c r="A625" s="11" t="s">
        <v>10693</v>
      </c>
      <c r="B625" s="12" t="s">
        <v>10694</v>
      </c>
      <c r="C625" s="13" t="s">
        <v>10695</v>
      </c>
      <c r="D625" s="13" t="s">
        <v>92</v>
      </c>
      <c r="E625" s="13" t="s">
        <v>10696</v>
      </c>
      <c r="F625" s="13" t="s">
        <v>10697</v>
      </c>
      <c r="G625" s="13" t="s">
        <v>10698</v>
      </c>
      <c r="H625" s="13" t="s">
        <v>10699</v>
      </c>
      <c r="I625" s="9">
        <f t="shared" ca="1" si="9"/>
        <v>21</v>
      </c>
      <c r="J625" s="13" t="s">
        <v>10700</v>
      </c>
      <c r="K625" s="13" t="s">
        <v>97</v>
      </c>
      <c r="L625" s="9" t="str">
        <f>VLOOKUP(K625,[1]中国省份_标准!$B$2:$F$35,4,FALSE)</f>
        <v>中部地区</v>
      </c>
      <c r="M625" s="9" t="str">
        <f>VLOOKUP(K625,[1]中国省份_标准!$B$2:$F$35,5,FALSE)</f>
        <v>华中地区</v>
      </c>
      <c r="N625" s="13" t="s">
        <v>98</v>
      </c>
      <c r="O625" s="13" t="s">
        <v>120</v>
      </c>
      <c r="P625" s="13" t="s">
        <v>10701</v>
      </c>
      <c r="Q625" s="13" t="s">
        <v>10702</v>
      </c>
      <c r="R625" s="13" t="s">
        <v>10703</v>
      </c>
      <c r="S625" s="13" t="s">
        <v>39</v>
      </c>
      <c r="T625" s="13" t="s">
        <v>9256</v>
      </c>
      <c r="U625" s="13" t="s">
        <v>10694</v>
      </c>
      <c r="V625" s="13" t="s">
        <v>10704</v>
      </c>
      <c r="W625" s="13" t="s">
        <v>10705</v>
      </c>
      <c r="X625" s="13" t="s">
        <v>10706</v>
      </c>
      <c r="Y625" s="13" t="s">
        <v>78</v>
      </c>
      <c r="Z625" s="13" t="s">
        <v>10707</v>
      </c>
      <c r="AA625" s="13" t="s">
        <v>9130</v>
      </c>
      <c r="AB625" s="13" t="s">
        <v>9172</v>
      </c>
      <c r="AC625" s="13" t="s">
        <v>9172</v>
      </c>
      <c r="AD625" s="13" t="s">
        <v>9172</v>
      </c>
      <c r="AE625" s="13" t="s">
        <v>239</v>
      </c>
      <c r="AF625" s="13" t="s">
        <v>10708</v>
      </c>
      <c r="AG625" s="13" t="s">
        <v>39</v>
      </c>
      <c r="AH625" s="13" t="s">
        <v>39</v>
      </c>
      <c r="AI625" s="13" t="s">
        <v>10709</v>
      </c>
      <c r="AJ625" s="13" t="s">
        <v>10710</v>
      </c>
      <c r="AK625" s="13" t="s">
        <v>132</v>
      </c>
      <c r="AL625" s="13" t="s">
        <v>88</v>
      </c>
    </row>
    <row r="626" spans="1:38" x14ac:dyDescent="0.4">
      <c r="A626" s="11" t="s">
        <v>10711</v>
      </c>
      <c r="B626" s="14" t="s">
        <v>10712</v>
      </c>
      <c r="C626" s="15" t="s">
        <v>39</v>
      </c>
      <c r="D626" s="15" t="s">
        <v>92</v>
      </c>
      <c r="E626" s="15" t="s">
        <v>10713</v>
      </c>
      <c r="F626" s="15" t="s">
        <v>154</v>
      </c>
      <c r="G626" s="15" t="s">
        <v>39</v>
      </c>
      <c r="H626" s="15" t="s">
        <v>10348</v>
      </c>
      <c r="I626" s="9">
        <f t="shared" ca="1" si="9"/>
        <v>1</v>
      </c>
      <c r="J626" s="15" t="s">
        <v>10714</v>
      </c>
      <c r="K626" s="15" t="s">
        <v>97</v>
      </c>
      <c r="L626" s="9" t="str">
        <f>VLOOKUP(K626,[1]中国省份_标准!$B$2:$F$35,4,FALSE)</f>
        <v>中部地区</v>
      </c>
      <c r="M626" s="9" t="str">
        <f>VLOOKUP(K626,[1]中国省份_标准!$B$2:$F$35,5,FALSE)</f>
        <v>华中地区</v>
      </c>
      <c r="N626" s="15" t="s">
        <v>98</v>
      </c>
      <c r="O626" s="15" t="s">
        <v>120</v>
      </c>
      <c r="P626" s="15" t="s">
        <v>10715</v>
      </c>
      <c r="Q626" s="15" t="s">
        <v>39</v>
      </c>
      <c r="R626" s="15" t="s">
        <v>10716</v>
      </c>
      <c r="S626" s="15" t="s">
        <v>39</v>
      </c>
      <c r="T626" s="15" t="s">
        <v>281</v>
      </c>
      <c r="U626" s="15" t="s">
        <v>10712</v>
      </c>
      <c r="V626" s="15" t="s">
        <v>39</v>
      </c>
      <c r="W626" s="15" t="s">
        <v>10717</v>
      </c>
      <c r="X626" s="15" t="s">
        <v>77</v>
      </c>
      <c r="Y626" s="15" t="s">
        <v>78</v>
      </c>
      <c r="Z626" s="15" t="s">
        <v>10356</v>
      </c>
      <c r="AA626" s="15" t="s">
        <v>80</v>
      </c>
      <c r="AB626" s="15" t="s">
        <v>106</v>
      </c>
      <c r="AC626" s="15" t="s">
        <v>107</v>
      </c>
      <c r="AD626" s="15" t="s">
        <v>128</v>
      </c>
      <c r="AE626" s="15" t="s">
        <v>109</v>
      </c>
      <c r="AF626" s="15" t="s">
        <v>10718</v>
      </c>
      <c r="AG626" s="15" t="s">
        <v>39</v>
      </c>
      <c r="AH626" s="15" t="s">
        <v>39</v>
      </c>
      <c r="AI626" s="15" t="s">
        <v>10719</v>
      </c>
      <c r="AJ626" s="15" t="s">
        <v>10720</v>
      </c>
      <c r="AK626" s="15" t="s">
        <v>132</v>
      </c>
      <c r="AL626" s="15" t="s">
        <v>88</v>
      </c>
    </row>
    <row r="627" spans="1:38" x14ac:dyDescent="0.4">
      <c r="A627" s="11" t="s">
        <v>10721</v>
      </c>
      <c r="B627" s="12" t="s">
        <v>10722</v>
      </c>
      <c r="C627" s="13" t="s">
        <v>39</v>
      </c>
      <c r="D627" s="13" t="s">
        <v>10723</v>
      </c>
      <c r="E627" s="13" t="s">
        <v>10724</v>
      </c>
      <c r="F627" s="13" t="s">
        <v>154</v>
      </c>
      <c r="G627" s="13" t="s">
        <v>154</v>
      </c>
      <c r="H627" s="13" t="s">
        <v>5248</v>
      </c>
      <c r="I627" s="9">
        <f t="shared" ca="1" si="9"/>
        <v>4</v>
      </c>
      <c r="J627" s="13" t="s">
        <v>10725</v>
      </c>
      <c r="K627" s="13" t="s">
        <v>97</v>
      </c>
      <c r="L627" s="9" t="str">
        <f>VLOOKUP(K627,[1]中国省份_标准!$B$2:$F$35,4,FALSE)</f>
        <v>中部地区</v>
      </c>
      <c r="M627" s="9" t="str">
        <f>VLOOKUP(K627,[1]中国省份_标准!$B$2:$F$35,5,FALSE)</f>
        <v>华中地区</v>
      </c>
      <c r="N627" s="13" t="s">
        <v>98</v>
      </c>
      <c r="O627" s="13" t="s">
        <v>120</v>
      </c>
      <c r="P627" s="13" t="s">
        <v>10726</v>
      </c>
      <c r="Q627" s="13" t="s">
        <v>10727</v>
      </c>
      <c r="R627" s="13" t="s">
        <v>10728</v>
      </c>
      <c r="S627" s="13" t="s">
        <v>10729</v>
      </c>
      <c r="T627" s="13" t="s">
        <v>281</v>
      </c>
      <c r="U627" s="13" t="s">
        <v>10722</v>
      </c>
      <c r="V627" s="13" t="s">
        <v>10730</v>
      </c>
      <c r="W627" s="13" t="s">
        <v>10731</v>
      </c>
      <c r="X627" s="13" t="s">
        <v>77</v>
      </c>
      <c r="Y627" s="13" t="s">
        <v>283</v>
      </c>
      <c r="Z627" s="13" t="s">
        <v>5253</v>
      </c>
      <c r="AA627" s="13" t="s">
        <v>80</v>
      </c>
      <c r="AB627" s="13" t="s">
        <v>106</v>
      </c>
      <c r="AC627" s="13" t="s">
        <v>107</v>
      </c>
      <c r="AD627" s="13" t="s">
        <v>128</v>
      </c>
      <c r="AE627" s="13" t="s">
        <v>109</v>
      </c>
      <c r="AF627" s="13" t="s">
        <v>10732</v>
      </c>
      <c r="AG627" s="13" t="s">
        <v>39</v>
      </c>
      <c r="AH627" s="13" t="s">
        <v>39</v>
      </c>
      <c r="AI627" s="13" t="s">
        <v>10733</v>
      </c>
      <c r="AJ627" s="13" t="s">
        <v>10734</v>
      </c>
      <c r="AK627" s="13" t="s">
        <v>132</v>
      </c>
      <c r="AL627" s="13" t="s">
        <v>88</v>
      </c>
    </row>
    <row r="628" spans="1:38" x14ac:dyDescent="0.4">
      <c r="A628" s="11" t="s">
        <v>10735</v>
      </c>
      <c r="B628" s="14" t="s">
        <v>10736</v>
      </c>
      <c r="C628" s="15" t="s">
        <v>39</v>
      </c>
      <c r="D628" s="15" t="s">
        <v>92</v>
      </c>
      <c r="E628" s="15" t="s">
        <v>10737</v>
      </c>
      <c r="F628" s="15" t="s">
        <v>640</v>
      </c>
      <c r="G628" s="15" t="s">
        <v>39</v>
      </c>
      <c r="H628" s="15" t="s">
        <v>10738</v>
      </c>
      <c r="I628" s="9">
        <f t="shared" ca="1" si="9"/>
        <v>2</v>
      </c>
      <c r="J628" s="15" t="s">
        <v>10739</v>
      </c>
      <c r="K628" s="15" t="s">
        <v>97</v>
      </c>
      <c r="L628" s="9" t="str">
        <f>VLOOKUP(K628,[1]中国省份_标准!$B$2:$F$35,4,FALSE)</f>
        <v>中部地区</v>
      </c>
      <c r="M628" s="9" t="str">
        <f>VLOOKUP(K628,[1]中国省份_标准!$B$2:$F$35,5,FALSE)</f>
        <v>华中地区</v>
      </c>
      <c r="N628" s="15" t="s">
        <v>98</v>
      </c>
      <c r="O628" s="15" t="s">
        <v>120</v>
      </c>
      <c r="P628" s="15" t="s">
        <v>10740</v>
      </c>
      <c r="Q628" s="15" t="s">
        <v>39</v>
      </c>
      <c r="R628" s="15" t="s">
        <v>10741</v>
      </c>
      <c r="S628" s="15" t="s">
        <v>39</v>
      </c>
      <c r="T628" s="15" t="s">
        <v>281</v>
      </c>
      <c r="U628" s="15" t="s">
        <v>10736</v>
      </c>
      <c r="V628" s="15" t="s">
        <v>10742</v>
      </c>
      <c r="W628" s="15" t="s">
        <v>10743</v>
      </c>
      <c r="X628" s="15" t="s">
        <v>77</v>
      </c>
      <c r="Y628" s="15" t="s">
        <v>78</v>
      </c>
      <c r="Z628" s="15" t="s">
        <v>10744</v>
      </c>
      <c r="AA628" s="15" t="s">
        <v>80</v>
      </c>
      <c r="AB628" s="15" t="s">
        <v>106</v>
      </c>
      <c r="AC628" s="15" t="s">
        <v>107</v>
      </c>
      <c r="AD628" s="15" t="s">
        <v>128</v>
      </c>
      <c r="AE628" s="15" t="s">
        <v>55</v>
      </c>
      <c r="AF628" s="15" t="s">
        <v>10745</v>
      </c>
      <c r="AG628" s="15" t="s">
        <v>39</v>
      </c>
      <c r="AH628" s="15" t="s">
        <v>39</v>
      </c>
      <c r="AI628" s="15" t="s">
        <v>10746</v>
      </c>
      <c r="AJ628" s="15" t="s">
        <v>10747</v>
      </c>
      <c r="AK628" s="15" t="s">
        <v>132</v>
      </c>
      <c r="AL628" s="15" t="s">
        <v>88</v>
      </c>
    </row>
    <row r="629" spans="1:38" x14ac:dyDescent="0.4">
      <c r="A629" s="11" t="s">
        <v>10748</v>
      </c>
      <c r="B629" s="12" t="s">
        <v>10749</v>
      </c>
      <c r="C629" s="13" t="s">
        <v>39</v>
      </c>
      <c r="D629" s="13" t="s">
        <v>92</v>
      </c>
      <c r="E629" s="13" t="s">
        <v>10750</v>
      </c>
      <c r="F629" s="13" t="s">
        <v>422</v>
      </c>
      <c r="G629" s="13" t="s">
        <v>39</v>
      </c>
      <c r="H629" s="13" t="s">
        <v>10751</v>
      </c>
      <c r="I629" s="9">
        <f t="shared" ca="1" si="9"/>
        <v>2</v>
      </c>
      <c r="J629" s="13" t="s">
        <v>10752</v>
      </c>
      <c r="K629" s="13" t="s">
        <v>97</v>
      </c>
      <c r="L629" s="9" t="str">
        <f>VLOOKUP(K629,[1]中国省份_标准!$B$2:$F$35,4,FALSE)</f>
        <v>中部地区</v>
      </c>
      <c r="M629" s="9" t="str">
        <f>VLOOKUP(K629,[1]中国省份_标准!$B$2:$F$35,5,FALSE)</f>
        <v>华中地区</v>
      </c>
      <c r="N629" s="13" t="s">
        <v>98</v>
      </c>
      <c r="O629" s="13" t="s">
        <v>120</v>
      </c>
      <c r="P629" s="13" t="s">
        <v>10753</v>
      </c>
      <c r="Q629" s="13" t="s">
        <v>39</v>
      </c>
      <c r="R629" s="13" t="s">
        <v>10754</v>
      </c>
      <c r="S629" s="13" t="s">
        <v>10755</v>
      </c>
      <c r="T629" s="13" t="s">
        <v>281</v>
      </c>
      <c r="U629" s="13" t="s">
        <v>10749</v>
      </c>
      <c r="V629" s="13" t="s">
        <v>10756</v>
      </c>
      <c r="W629" s="13" t="s">
        <v>10757</v>
      </c>
      <c r="X629" s="13" t="s">
        <v>77</v>
      </c>
      <c r="Y629" s="13" t="s">
        <v>78</v>
      </c>
      <c r="Z629" s="13" t="s">
        <v>10758</v>
      </c>
      <c r="AA629" s="13" t="s">
        <v>80</v>
      </c>
      <c r="AB629" s="13" t="s">
        <v>106</v>
      </c>
      <c r="AC629" s="13" t="s">
        <v>107</v>
      </c>
      <c r="AD629" s="13" t="s">
        <v>128</v>
      </c>
      <c r="AE629" s="13" t="s">
        <v>109</v>
      </c>
      <c r="AF629" s="13" t="s">
        <v>10759</v>
      </c>
      <c r="AG629" s="13" t="s">
        <v>39</v>
      </c>
      <c r="AH629" s="13" t="s">
        <v>39</v>
      </c>
      <c r="AI629" s="13" t="s">
        <v>10760</v>
      </c>
      <c r="AJ629" s="13" t="s">
        <v>9044</v>
      </c>
      <c r="AK629" s="13" t="s">
        <v>132</v>
      </c>
      <c r="AL629" s="13" t="s">
        <v>88</v>
      </c>
    </row>
    <row r="630" spans="1:38" x14ac:dyDescent="0.4">
      <c r="A630" s="11" t="s">
        <v>10761</v>
      </c>
      <c r="B630" s="14" t="s">
        <v>10762</v>
      </c>
      <c r="C630" s="15" t="s">
        <v>10763</v>
      </c>
      <c r="D630" s="15" t="s">
        <v>92</v>
      </c>
      <c r="E630" s="15" t="s">
        <v>10764</v>
      </c>
      <c r="F630" s="15" t="s">
        <v>422</v>
      </c>
      <c r="G630" s="15" t="s">
        <v>39</v>
      </c>
      <c r="H630" s="15" t="s">
        <v>10765</v>
      </c>
      <c r="I630" s="9">
        <f t="shared" ca="1" si="9"/>
        <v>2</v>
      </c>
      <c r="J630" s="15" t="s">
        <v>10766</v>
      </c>
      <c r="K630" s="15" t="s">
        <v>97</v>
      </c>
      <c r="L630" s="9" t="str">
        <f>VLOOKUP(K630,[1]中国省份_标准!$B$2:$F$35,4,FALSE)</f>
        <v>中部地区</v>
      </c>
      <c r="M630" s="9" t="str">
        <f>VLOOKUP(K630,[1]中国省份_标准!$B$2:$F$35,5,FALSE)</f>
        <v>华中地区</v>
      </c>
      <c r="N630" s="15" t="s">
        <v>98</v>
      </c>
      <c r="O630" s="15" t="s">
        <v>120</v>
      </c>
      <c r="P630" s="15" t="s">
        <v>10767</v>
      </c>
      <c r="Q630" s="15" t="s">
        <v>39</v>
      </c>
      <c r="R630" s="15" t="s">
        <v>10768</v>
      </c>
      <c r="S630" s="15" t="s">
        <v>39</v>
      </c>
      <c r="T630" s="15" t="s">
        <v>48</v>
      </c>
      <c r="U630" s="15" t="s">
        <v>10762</v>
      </c>
      <c r="V630" s="15" t="s">
        <v>10769</v>
      </c>
      <c r="W630" s="15" t="s">
        <v>10770</v>
      </c>
      <c r="X630" s="15" t="s">
        <v>77</v>
      </c>
      <c r="Y630" s="15" t="s">
        <v>78</v>
      </c>
      <c r="Z630" s="15" t="s">
        <v>10771</v>
      </c>
      <c r="AA630" s="15" t="s">
        <v>80</v>
      </c>
      <c r="AB630" s="15" t="s">
        <v>106</v>
      </c>
      <c r="AC630" s="15" t="s">
        <v>107</v>
      </c>
      <c r="AD630" s="15" t="s">
        <v>128</v>
      </c>
      <c r="AE630" s="15" t="s">
        <v>55</v>
      </c>
      <c r="AF630" s="15" t="s">
        <v>10772</v>
      </c>
      <c r="AG630" s="15" t="s">
        <v>39</v>
      </c>
      <c r="AH630" s="15" t="s">
        <v>39</v>
      </c>
      <c r="AI630" s="15" t="s">
        <v>10773</v>
      </c>
      <c r="AJ630" s="15" t="s">
        <v>9099</v>
      </c>
      <c r="AK630" s="15" t="s">
        <v>132</v>
      </c>
      <c r="AL630" s="15" t="s">
        <v>88</v>
      </c>
    </row>
    <row r="631" spans="1:38" x14ac:dyDescent="0.4">
      <c r="A631" s="11" t="s">
        <v>10774</v>
      </c>
      <c r="B631" s="12" t="s">
        <v>10775</v>
      </c>
      <c r="C631" s="13" t="s">
        <v>39</v>
      </c>
      <c r="D631" s="13" t="s">
        <v>92</v>
      </c>
      <c r="E631" s="13" t="s">
        <v>10776</v>
      </c>
      <c r="F631" s="13" t="s">
        <v>422</v>
      </c>
      <c r="G631" s="13" t="s">
        <v>39</v>
      </c>
      <c r="H631" s="13" t="s">
        <v>10777</v>
      </c>
      <c r="I631" s="9">
        <f t="shared" ca="1" si="9"/>
        <v>2</v>
      </c>
      <c r="J631" s="13" t="s">
        <v>10778</v>
      </c>
      <c r="K631" s="13" t="s">
        <v>97</v>
      </c>
      <c r="L631" s="9" t="str">
        <f>VLOOKUP(K631,[1]中国省份_标准!$B$2:$F$35,4,FALSE)</f>
        <v>中部地区</v>
      </c>
      <c r="M631" s="9" t="str">
        <f>VLOOKUP(K631,[1]中国省份_标准!$B$2:$F$35,5,FALSE)</f>
        <v>华中地区</v>
      </c>
      <c r="N631" s="13" t="s">
        <v>98</v>
      </c>
      <c r="O631" s="13" t="s">
        <v>120</v>
      </c>
      <c r="P631" s="13" t="s">
        <v>10779</v>
      </c>
      <c r="Q631" s="13" t="s">
        <v>39</v>
      </c>
      <c r="R631" s="13" t="s">
        <v>10780</v>
      </c>
      <c r="S631" s="13" t="s">
        <v>10781</v>
      </c>
      <c r="T631" s="13" t="s">
        <v>281</v>
      </c>
      <c r="U631" s="13" t="s">
        <v>10775</v>
      </c>
      <c r="V631" s="13" t="s">
        <v>10782</v>
      </c>
      <c r="W631" s="13" t="s">
        <v>10783</v>
      </c>
      <c r="X631" s="13" t="s">
        <v>77</v>
      </c>
      <c r="Y631" s="13" t="s">
        <v>78</v>
      </c>
      <c r="Z631" s="13" t="s">
        <v>10784</v>
      </c>
      <c r="AA631" s="13" t="s">
        <v>80</v>
      </c>
      <c r="AB631" s="13" t="s">
        <v>106</v>
      </c>
      <c r="AC631" s="13" t="s">
        <v>107</v>
      </c>
      <c r="AD631" s="13" t="s">
        <v>128</v>
      </c>
      <c r="AE631" s="13" t="s">
        <v>109</v>
      </c>
      <c r="AF631" s="13" t="s">
        <v>10785</v>
      </c>
      <c r="AG631" s="13" t="s">
        <v>39</v>
      </c>
      <c r="AH631" s="13" t="s">
        <v>39</v>
      </c>
      <c r="AI631" s="13" t="s">
        <v>10786</v>
      </c>
      <c r="AJ631" s="13" t="s">
        <v>9058</v>
      </c>
      <c r="AK631" s="13" t="s">
        <v>132</v>
      </c>
      <c r="AL631" s="13" t="s">
        <v>88</v>
      </c>
    </row>
    <row r="632" spans="1:38" x14ac:dyDescent="0.4">
      <c r="A632" s="11" t="s">
        <v>10787</v>
      </c>
      <c r="B632" s="14" t="s">
        <v>10788</v>
      </c>
      <c r="C632" s="15" t="s">
        <v>39</v>
      </c>
      <c r="D632" s="15" t="s">
        <v>92</v>
      </c>
      <c r="E632" s="15" t="s">
        <v>10789</v>
      </c>
      <c r="F632" s="15" t="s">
        <v>422</v>
      </c>
      <c r="G632" s="15" t="s">
        <v>39</v>
      </c>
      <c r="H632" s="15" t="s">
        <v>10790</v>
      </c>
      <c r="I632" s="9">
        <f t="shared" ca="1" si="9"/>
        <v>4</v>
      </c>
      <c r="J632" s="15" t="s">
        <v>10791</v>
      </c>
      <c r="K632" s="15" t="s">
        <v>97</v>
      </c>
      <c r="L632" s="9" t="str">
        <f>VLOOKUP(K632,[1]中国省份_标准!$B$2:$F$35,4,FALSE)</f>
        <v>中部地区</v>
      </c>
      <c r="M632" s="9" t="str">
        <f>VLOOKUP(K632,[1]中国省份_标准!$B$2:$F$35,5,FALSE)</f>
        <v>华中地区</v>
      </c>
      <c r="N632" s="15" t="s">
        <v>98</v>
      </c>
      <c r="O632" s="15" t="s">
        <v>120</v>
      </c>
      <c r="P632" s="15" t="s">
        <v>10792</v>
      </c>
      <c r="Q632" s="15" t="s">
        <v>39</v>
      </c>
      <c r="R632" s="15" t="s">
        <v>10793</v>
      </c>
      <c r="S632" s="15" t="s">
        <v>10794</v>
      </c>
      <c r="T632" s="15" t="s">
        <v>281</v>
      </c>
      <c r="U632" s="15" t="s">
        <v>10788</v>
      </c>
      <c r="V632" s="15" t="s">
        <v>10795</v>
      </c>
      <c r="W632" s="15" t="s">
        <v>10796</v>
      </c>
      <c r="X632" s="15" t="s">
        <v>77</v>
      </c>
      <c r="Y632" s="15" t="s">
        <v>78</v>
      </c>
      <c r="Z632" s="15" t="s">
        <v>10797</v>
      </c>
      <c r="AA632" s="15" t="s">
        <v>80</v>
      </c>
      <c r="AB632" s="15" t="s">
        <v>106</v>
      </c>
      <c r="AC632" s="15" t="s">
        <v>107</v>
      </c>
      <c r="AD632" s="15" t="s">
        <v>128</v>
      </c>
      <c r="AE632" s="15" t="s">
        <v>109</v>
      </c>
      <c r="AF632" s="15" t="s">
        <v>10798</v>
      </c>
      <c r="AG632" s="15" t="s">
        <v>39</v>
      </c>
      <c r="AH632" s="15" t="s">
        <v>39</v>
      </c>
      <c r="AI632" s="15" t="s">
        <v>10799</v>
      </c>
      <c r="AJ632" s="15" t="s">
        <v>10800</v>
      </c>
      <c r="AK632" s="15" t="s">
        <v>132</v>
      </c>
      <c r="AL632" s="15" t="s">
        <v>88</v>
      </c>
    </row>
    <row r="633" spans="1:38" x14ac:dyDescent="0.4">
      <c r="A633" s="11" t="s">
        <v>10801</v>
      </c>
      <c r="B633" s="12" t="s">
        <v>10802</v>
      </c>
      <c r="C633" s="13" t="s">
        <v>39</v>
      </c>
      <c r="D633" s="13" t="s">
        <v>92</v>
      </c>
      <c r="E633" s="13" t="s">
        <v>10803</v>
      </c>
      <c r="F633" s="13" t="s">
        <v>154</v>
      </c>
      <c r="G633" s="13" t="s">
        <v>39</v>
      </c>
      <c r="H633" s="13" t="s">
        <v>5818</v>
      </c>
      <c r="I633" s="9">
        <f t="shared" ca="1" si="9"/>
        <v>7</v>
      </c>
      <c r="J633" s="13" t="s">
        <v>10804</v>
      </c>
      <c r="K633" s="13" t="s">
        <v>97</v>
      </c>
      <c r="L633" s="9" t="str">
        <f>VLOOKUP(K633,[1]中国省份_标准!$B$2:$F$35,4,FALSE)</f>
        <v>中部地区</v>
      </c>
      <c r="M633" s="9" t="str">
        <f>VLOOKUP(K633,[1]中国省份_标准!$B$2:$F$35,5,FALSE)</f>
        <v>华中地区</v>
      </c>
      <c r="N633" s="13" t="s">
        <v>98</v>
      </c>
      <c r="O633" s="13" t="s">
        <v>120</v>
      </c>
      <c r="P633" s="13" t="s">
        <v>10805</v>
      </c>
      <c r="Q633" s="13" t="s">
        <v>10806</v>
      </c>
      <c r="R633" s="13" t="s">
        <v>10807</v>
      </c>
      <c r="S633" s="13" t="s">
        <v>10808</v>
      </c>
      <c r="T633" s="13" t="s">
        <v>48</v>
      </c>
      <c r="U633" s="13" t="s">
        <v>10802</v>
      </c>
      <c r="V633" s="13" t="s">
        <v>10809</v>
      </c>
      <c r="W633" s="13" t="s">
        <v>10810</v>
      </c>
      <c r="X633" s="13" t="s">
        <v>77</v>
      </c>
      <c r="Y633" s="13" t="s">
        <v>78</v>
      </c>
      <c r="Z633" s="13" t="s">
        <v>5822</v>
      </c>
      <c r="AA633" s="13" t="s">
        <v>9130</v>
      </c>
      <c r="AB633" s="13" t="s">
        <v>9172</v>
      </c>
      <c r="AC633" s="13" t="s">
        <v>9172</v>
      </c>
      <c r="AD633" s="13" t="s">
        <v>9172</v>
      </c>
      <c r="AE633" s="13" t="s">
        <v>55</v>
      </c>
      <c r="AF633" s="13" t="s">
        <v>10811</v>
      </c>
      <c r="AG633" s="13" t="s">
        <v>39</v>
      </c>
      <c r="AH633" s="13" t="s">
        <v>39</v>
      </c>
      <c r="AI633" s="13" t="s">
        <v>10812</v>
      </c>
      <c r="AJ633" s="13" t="s">
        <v>10813</v>
      </c>
      <c r="AK633" s="13" t="s">
        <v>132</v>
      </c>
      <c r="AL633" s="13" t="s">
        <v>88</v>
      </c>
    </row>
    <row r="634" spans="1:38" x14ac:dyDescent="0.4">
      <c r="A634" s="11" t="s">
        <v>10814</v>
      </c>
      <c r="B634" s="14" t="s">
        <v>10815</v>
      </c>
      <c r="C634" s="15" t="s">
        <v>10816</v>
      </c>
      <c r="D634" s="15" t="s">
        <v>92</v>
      </c>
      <c r="E634" s="15" t="s">
        <v>10817</v>
      </c>
      <c r="F634" s="15" t="s">
        <v>10818</v>
      </c>
      <c r="G634" s="15" t="s">
        <v>39</v>
      </c>
      <c r="H634" s="15" t="s">
        <v>10819</v>
      </c>
      <c r="I634" s="9">
        <f t="shared" ca="1" si="9"/>
        <v>1</v>
      </c>
      <c r="J634" s="15" t="s">
        <v>10820</v>
      </c>
      <c r="K634" s="15" t="s">
        <v>97</v>
      </c>
      <c r="L634" s="9" t="str">
        <f>VLOOKUP(K634,[1]中国省份_标准!$B$2:$F$35,4,FALSE)</f>
        <v>中部地区</v>
      </c>
      <c r="M634" s="9" t="str">
        <f>VLOOKUP(K634,[1]中国省份_标准!$B$2:$F$35,5,FALSE)</f>
        <v>华中地区</v>
      </c>
      <c r="N634" s="15" t="s">
        <v>98</v>
      </c>
      <c r="O634" s="15" t="s">
        <v>120</v>
      </c>
      <c r="P634" s="15" t="s">
        <v>10821</v>
      </c>
      <c r="Q634" s="15" t="s">
        <v>39</v>
      </c>
      <c r="R634" s="15" t="s">
        <v>10822</v>
      </c>
      <c r="S634" s="15" t="s">
        <v>39</v>
      </c>
      <c r="T634" s="15" t="s">
        <v>281</v>
      </c>
      <c r="U634" s="15" t="s">
        <v>10815</v>
      </c>
      <c r="V634" s="15" t="s">
        <v>10823</v>
      </c>
      <c r="W634" s="15" t="s">
        <v>10824</v>
      </c>
      <c r="X634" s="15" t="s">
        <v>77</v>
      </c>
      <c r="Y634" s="15" t="s">
        <v>78</v>
      </c>
      <c r="Z634" s="15" t="s">
        <v>10825</v>
      </c>
      <c r="AA634" s="15" t="s">
        <v>80</v>
      </c>
      <c r="AB634" s="15" t="s">
        <v>106</v>
      </c>
      <c r="AC634" s="15" t="s">
        <v>107</v>
      </c>
      <c r="AD634" s="15" t="s">
        <v>128</v>
      </c>
      <c r="AE634" s="15" t="s">
        <v>109</v>
      </c>
      <c r="AF634" s="15" t="s">
        <v>10826</v>
      </c>
      <c r="AG634" s="15" t="s">
        <v>39</v>
      </c>
      <c r="AH634" s="15" t="s">
        <v>39</v>
      </c>
      <c r="AI634" s="15" t="s">
        <v>10827</v>
      </c>
      <c r="AJ634" s="15" t="s">
        <v>9099</v>
      </c>
      <c r="AK634" s="15" t="s">
        <v>132</v>
      </c>
      <c r="AL634" s="15" t="s">
        <v>88</v>
      </c>
    </row>
    <row r="635" spans="1:38" x14ac:dyDescent="0.4">
      <c r="A635" s="11" t="s">
        <v>10828</v>
      </c>
      <c r="B635" s="12" t="s">
        <v>10829</v>
      </c>
      <c r="C635" s="13" t="s">
        <v>39</v>
      </c>
      <c r="D635" s="13" t="s">
        <v>92</v>
      </c>
      <c r="E635" s="13" t="s">
        <v>10830</v>
      </c>
      <c r="F635" s="13" t="s">
        <v>10831</v>
      </c>
      <c r="G635" s="13" t="s">
        <v>10831</v>
      </c>
      <c r="H635" s="13" t="s">
        <v>10832</v>
      </c>
      <c r="I635" s="9">
        <f t="shared" ca="1" si="9"/>
        <v>22</v>
      </c>
      <c r="J635" s="13" t="s">
        <v>10833</v>
      </c>
      <c r="K635" s="13" t="s">
        <v>5229</v>
      </c>
      <c r="L635" s="9" t="str">
        <f>VLOOKUP(K635,[1]中国省份_标准!$B$2:$F$35,4,FALSE)</f>
        <v>西部地区</v>
      </c>
      <c r="M635" s="9" t="str">
        <f>VLOOKUP(K635,[1]中国省份_标准!$B$2:$F$35,5,FALSE)</f>
        <v>华南地区</v>
      </c>
      <c r="N635" s="13" t="s">
        <v>9750</v>
      </c>
      <c r="O635" s="13" t="s">
        <v>10834</v>
      </c>
      <c r="P635" s="13" t="s">
        <v>10835</v>
      </c>
      <c r="Q635" s="13" t="s">
        <v>10836</v>
      </c>
      <c r="R635" s="13" t="s">
        <v>10837</v>
      </c>
      <c r="S635" s="13" t="s">
        <v>10838</v>
      </c>
      <c r="T635" s="13" t="s">
        <v>452</v>
      </c>
      <c r="U635" s="13" t="s">
        <v>10829</v>
      </c>
      <c r="V635" s="13" t="s">
        <v>10839</v>
      </c>
      <c r="W635" s="13" t="s">
        <v>10840</v>
      </c>
      <c r="X635" s="13" t="s">
        <v>10841</v>
      </c>
      <c r="Y635" s="13" t="s">
        <v>78</v>
      </c>
      <c r="Z635" s="13" t="s">
        <v>10842</v>
      </c>
      <c r="AA635" s="13" t="s">
        <v>9130</v>
      </c>
      <c r="AB635" s="13" t="s">
        <v>9172</v>
      </c>
      <c r="AC635" s="13" t="s">
        <v>9172</v>
      </c>
      <c r="AD635" s="13" t="s">
        <v>9172</v>
      </c>
      <c r="AE635" s="13" t="s">
        <v>239</v>
      </c>
      <c r="AF635" s="13" t="s">
        <v>10843</v>
      </c>
      <c r="AG635" s="13" t="s">
        <v>39</v>
      </c>
      <c r="AH635" s="13" t="s">
        <v>39</v>
      </c>
      <c r="AI635" s="13" t="s">
        <v>10844</v>
      </c>
      <c r="AJ635" s="13" t="s">
        <v>10845</v>
      </c>
      <c r="AK635" s="13" t="s">
        <v>10846</v>
      </c>
      <c r="AL635" s="13" t="s">
        <v>88</v>
      </c>
    </row>
    <row r="636" spans="1:38" x14ac:dyDescent="0.4">
      <c r="A636" s="11" t="s">
        <v>10847</v>
      </c>
      <c r="B636" s="14" t="s">
        <v>10848</v>
      </c>
      <c r="C636" s="15" t="s">
        <v>10849</v>
      </c>
      <c r="D636" s="15" t="s">
        <v>63</v>
      </c>
      <c r="E636" s="15" t="s">
        <v>10850</v>
      </c>
      <c r="F636" s="15" t="s">
        <v>10851</v>
      </c>
      <c r="G636" s="15" t="s">
        <v>442</v>
      </c>
      <c r="H636" s="15" t="s">
        <v>10852</v>
      </c>
      <c r="I636" s="9">
        <f t="shared" ca="1" si="9"/>
        <v>25</v>
      </c>
      <c r="J636" s="15" t="s">
        <v>10853</v>
      </c>
      <c r="K636" s="15" t="s">
        <v>67</v>
      </c>
      <c r="L636" s="9" t="str">
        <f>VLOOKUP(K636,[1]中国省份_标准!$B$2:$F$35,4,FALSE)</f>
        <v>东部地区</v>
      </c>
      <c r="M636" s="9" t="str">
        <f>VLOOKUP(K636,[1]中国省份_标准!$B$2:$F$35,5,FALSE)</f>
        <v>华东地区</v>
      </c>
      <c r="N636" s="15" t="s">
        <v>2028</v>
      </c>
      <c r="O636" s="15" t="s">
        <v>2029</v>
      </c>
      <c r="P636" s="15" t="s">
        <v>10854</v>
      </c>
      <c r="Q636" s="15" t="s">
        <v>10855</v>
      </c>
      <c r="R636" s="15" t="s">
        <v>10856</v>
      </c>
      <c r="S636" s="15" t="s">
        <v>10857</v>
      </c>
      <c r="T636" s="15" t="s">
        <v>10858</v>
      </c>
      <c r="U636" s="15" t="s">
        <v>10848</v>
      </c>
      <c r="V636" s="15" t="s">
        <v>10859</v>
      </c>
      <c r="W636" s="15" t="s">
        <v>10860</v>
      </c>
      <c r="X636" s="15" t="s">
        <v>9493</v>
      </c>
      <c r="Y636" s="15" t="s">
        <v>78</v>
      </c>
      <c r="Z636" s="15" t="s">
        <v>10861</v>
      </c>
      <c r="AA636" s="15" t="s">
        <v>169</v>
      </c>
      <c r="AB636" s="15" t="s">
        <v>285</v>
      </c>
      <c r="AC636" s="15" t="s">
        <v>479</v>
      </c>
      <c r="AD636" s="15" t="s">
        <v>480</v>
      </c>
      <c r="AE636" s="15" t="s">
        <v>55</v>
      </c>
      <c r="AF636" s="15" t="s">
        <v>10862</v>
      </c>
      <c r="AG636" s="15" t="s">
        <v>39</v>
      </c>
      <c r="AH636" s="15" t="s">
        <v>39</v>
      </c>
      <c r="AI636" s="15" t="s">
        <v>10863</v>
      </c>
      <c r="AJ636" s="15" t="s">
        <v>10864</v>
      </c>
      <c r="AK636" s="15" t="s">
        <v>10865</v>
      </c>
      <c r="AL636" s="15" t="s">
        <v>88</v>
      </c>
    </row>
    <row r="637" spans="1:38" x14ac:dyDescent="0.4">
      <c r="A637" s="11" t="s">
        <v>10866</v>
      </c>
      <c r="B637" s="12" t="s">
        <v>10867</v>
      </c>
      <c r="C637" s="13" t="s">
        <v>39</v>
      </c>
      <c r="D637" s="13" t="s">
        <v>92</v>
      </c>
      <c r="E637" s="13" t="s">
        <v>10868</v>
      </c>
      <c r="F637" s="13" t="s">
        <v>178</v>
      </c>
      <c r="G637" s="13" t="s">
        <v>178</v>
      </c>
      <c r="H637" s="13" t="s">
        <v>10869</v>
      </c>
      <c r="I637" s="9">
        <f t="shared" ca="1" si="9"/>
        <v>29</v>
      </c>
      <c r="J637" s="13" t="s">
        <v>10870</v>
      </c>
      <c r="K637" s="13" t="s">
        <v>379</v>
      </c>
      <c r="L637" s="9" t="str">
        <f>VLOOKUP(K637,[1]中国省份_标准!$B$2:$F$35,4,FALSE)</f>
        <v>东部地区</v>
      </c>
      <c r="M637" s="9" t="str">
        <f>VLOOKUP(K637,[1]中国省份_标准!$B$2:$F$35,5,FALSE)</f>
        <v>华东地区</v>
      </c>
      <c r="N637" s="13" t="s">
        <v>380</v>
      </c>
      <c r="O637" s="13" t="s">
        <v>10871</v>
      </c>
      <c r="P637" s="13" t="s">
        <v>10872</v>
      </c>
      <c r="Q637" s="13" t="s">
        <v>10873</v>
      </c>
      <c r="R637" s="13" t="s">
        <v>10874</v>
      </c>
      <c r="S637" s="13" t="s">
        <v>39</v>
      </c>
      <c r="T637" s="13" t="s">
        <v>3623</v>
      </c>
      <c r="U637" s="13" t="s">
        <v>10867</v>
      </c>
      <c r="V637" s="13" t="s">
        <v>10875</v>
      </c>
      <c r="W637" s="13" t="s">
        <v>10876</v>
      </c>
      <c r="X637" s="13" t="s">
        <v>6451</v>
      </c>
      <c r="Y637" s="13" t="s">
        <v>78</v>
      </c>
      <c r="Z637" s="13" t="s">
        <v>10877</v>
      </c>
      <c r="AA637" s="13" t="s">
        <v>850</v>
      </c>
      <c r="AB637" s="13" t="s">
        <v>851</v>
      </c>
      <c r="AC637" s="13" t="s">
        <v>8130</v>
      </c>
      <c r="AD637" s="13" t="s">
        <v>8131</v>
      </c>
      <c r="AE637" s="13" t="s">
        <v>55</v>
      </c>
      <c r="AF637" s="13" t="s">
        <v>10878</v>
      </c>
      <c r="AG637" s="13" t="s">
        <v>39</v>
      </c>
      <c r="AH637" s="13" t="s">
        <v>39</v>
      </c>
      <c r="AI637" s="13" t="s">
        <v>10879</v>
      </c>
      <c r="AJ637" s="13" t="s">
        <v>10880</v>
      </c>
      <c r="AK637" s="13" t="s">
        <v>10881</v>
      </c>
      <c r="AL637" s="13" t="s">
        <v>88</v>
      </c>
    </row>
    <row r="638" spans="1:38" x14ac:dyDescent="0.4">
      <c r="A638" s="11" t="s">
        <v>10882</v>
      </c>
      <c r="B638" s="14" t="s">
        <v>10883</v>
      </c>
      <c r="C638" s="15" t="s">
        <v>39</v>
      </c>
      <c r="D638" s="15" t="s">
        <v>92</v>
      </c>
      <c r="E638" s="15" t="s">
        <v>10884</v>
      </c>
      <c r="F638" s="15" t="s">
        <v>640</v>
      </c>
      <c r="G638" s="15" t="s">
        <v>640</v>
      </c>
      <c r="H638" s="15" t="s">
        <v>10885</v>
      </c>
      <c r="I638" s="9">
        <f t="shared" ca="1" si="9"/>
        <v>0</v>
      </c>
      <c r="J638" s="15" t="s">
        <v>10886</v>
      </c>
      <c r="K638" s="15" t="s">
        <v>425</v>
      </c>
      <c r="L638" s="9" t="str">
        <f>VLOOKUP(K638,[1]中国省份_标准!$B$2:$F$35,4,FALSE)</f>
        <v>东部地区</v>
      </c>
      <c r="M638" s="9" t="str">
        <f>VLOOKUP(K638,[1]中国省份_标准!$B$2:$F$35,5,FALSE)</f>
        <v>华东地区</v>
      </c>
      <c r="N638" s="15" t="s">
        <v>426</v>
      </c>
      <c r="O638" s="15" t="s">
        <v>427</v>
      </c>
      <c r="P638" s="15" t="s">
        <v>39</v>
      </c>
      <c r="Q638" s="15" t="s">
        <v>39</v>
      </c>
      <c r="R638" s="15" t="s">
        <v>39</v>
      </c>
      <c r="S638" s="15" t="s">
        <v>39</v>
      </c>
      <c r="T638" s="15" t="s">
        <v>48</v>
      </c>
      <c r="U638" s="15" t="s">
        <v>10883</v>
      </c>
      <c r="V638" s="15" t="s">
        <v>10887</v>
      </c>
      <c r="W638" s="15" t="s">
        <v>10888</v>
      </c>
      <c r="X638" s="15" t="s">
        <v>39</v>
      </c>
      <c r="Y638" s="15" t="s">
        <v>39</v>
      </c>
      <c r="Z638" s="15" t="s">
        <v>10889</v>
      </c>
      <c r="AA638" s="15" t="s">
        <v>1321</v>
      </c>
      <c r="AB638" s="15" t="s">
        <v>6752</v>
      </c>
      <c r="AC638" s="15" t="s">
        <v>6753</v>
      </c>
      <c r="AD638" s="15" t="s">
        <v>6754</v>
      </c>
      <c r="AE638" s="15" t="s">
        <v>55</v>
      </c>
      <c r="AF638" s="15" t="s">
        <v>10890</v>
      </c>
      <c r="AG638" s="15" t="s">
        <v>39</v>
      </c>
      <c r="AH638" s="15" t="s">
        <v>39</v>
      </c>
      <c r="AI638" s="15" t="s">
        <v>10891</v>
      </c>
      <c r="AJ638" s="15" t="s">
        <v>10892</v>
      </c>
      <c r="AK638" s="15" t="s">
        <v>2191</v>
      </c>
      <c r="AL638" s="15" t="s">
        <v>88</v>
      </c>
    </row>
    <row r="639" spans="1:38" x14ac:dyDescent="0.4">
      <c r="A639" s="11" t="s">
        <v>10893</v>
      </c>
      <c r="B639" s="12" t="s">
        <v>10894</v>
      </c>
      <c r="C639" s="13" t="s">
        <v>39</v>
      </c>
      <c r="D639" s="13" t="s">
        <v>92</v>
      </c>
      <c r="E639" s="13" t="s">
        <v>10895</v>
      </c>
      <c r="F639" s="13" t="s">
        <v>271</v>
      </c>
      <c r="G639" s="13" t="s">
        <v>271</v>
      </c>
      <c r="H639" s="13" t="s">
        <v>10896</v>
      </c>
      <c r="I639" s="9">
        <f t="shared" ca="1" si="9"/>
        <v>2</v>
      </c>
      <c r="J639" s="13" t="s">
        <v>10897</v>
      </c>
      <c r="K639" s="13" t="s">
        <v>340</v>
      </c>
      <c r="L639" s="9" t="str">
        <f>VLOOKUP(K639,[1]中国省份_标准!$B$2:$F$35,4,FALSE)</f>
        <v>东部地区</v>
      </c>
      <c r="M639" s="9" t="str">
        <f>VLOOKUP(K639,[1]中国省份_标准!$B$2:$F$35,5,FALSE)</f>
        <v>华东地区</v>
      </c>
      <c r="N639" s="13" t="s">
        <v>7751</v>
      </c>
      <c r="O639" s="13" t="s">
        <v>10898</v>
      </c>
      <c r="P639" s="13" t="s">
        <v>10899</v>
      </c>
      <c r="Q639" s="13" t="s">
        <v>39</v>
      </c>
      <c r="R639" s="13" t="s">
        <v>39</v>
      </c>
      <c r="S639" s="13" t="s">
        <v>39</v>
      </c>
      <c r="T639" s="13" t="s">
        <v>48</v>
      </c>
      <c r="U639" s="13" t="s">
        <v>10894</v>
      </c>
      <c r="V639" s="13" t="s">
        <v>10900</v>
      </c>
      <c r="W639" s="13" t="s">
        <v>10901</v>
      </c>
      <c r="X639" s="13" t="s">
        <v>77</v>
      </c>
      <c r="Y639" s="13" t="s">
        <v>78</v>
      </c>
      <c r="Z639" s="13" t="s">
        <v>10902</v>
      </c>
      <c r="AA639" s="13" t="s">
        <v>10903</v>
      </c>
      <c r="AB639" s="13" t="s">
        <v>10904</v>
      </c>
      <c r="AC639" s="13" t="s">
        <v>10905</v>
      </c>
      <c r="AD639" s="13" t="s">
        <v>10905</v>
      </c>
      <c r="AE639" s="13" t="s">
        <v>109</v>
      </c>
      <c r="AF639" s="13" t="s">
        <v>10906</v>
      </c>
      <c r="AG639" s="13" t="s">
        <v>39</v>
      </c>
      <c r="AH639" s="13" t="s">
        <v>39</v>
      </c>
      <c r="AI639" s="13" t="s">
        <v>10907</v>
      </c>
      <c r="AJ639" s="13" t="s">
        <v>10908</v>
      </c>
      <c r="AK639" s="13" t="s">
        <v>10909</v>
      </c>
      <c r="AL639" s="13" t="s">
        <v>88</v>
      </c>
    </row>
    <row r="640" spans="1:38" x14ac:dyDescent="0.4">
      <c r="A640" s="11" t="s">
        <v>10910</v>
      </c>
      <c r="B640" s="14" t="s">
        <v>10911</v>
      </c>
      <c r="C640" s="15" t="s">
        <v>39</v>
      </c>
      <c r="D640" s="15" t="s">
        <v>92</v>
      </c>
      <c r="E640" s="15" t="s">
        <v>93</v>
      </c>
      <c r="F640" s="15" t="s">
        <v>154</v>
      </c>
      <c r="G640" s="15" t="s">
        <v>39</v>
      </c>
      <c r="H640" s="15" t="s">
        <v>10912</v>
      </c>
      <c r="I640" s="9">
        <f t="shared" ca="1" si="9"/>
        <v>1</v>
      </c>
      <c r="J640" s="15" t="s">
        <v>10913</v>
      </c>
      <c r="K640" s="15" t="s">
        <v>97</v>
      </c>
      <c r="L640" s="9" t="str">
        <f>VLOOKUP(K640,[1]中国省份_标准!$B$2:$F$35,4,FALSE)</f>
        <v>中部地区</v>
      </c>
      <c r="M640" s="9" t="str">
        <f>VLOOKUP(K640,[1]中国省份_标准!$B$2:$F$35,5,FALSE)</f>
        <v>华中地区</v>
      </c>
      <c r="N640" s="15" t="s">
        <v>98</v>
      </c>
      <c r="O640" s="15" t="s">
        <v>99</v>
      </c>
      <c r="P640" s="15" t="s">
        <v>39</v>
      </c>
      <c r="Q640" s="15" t="s">
        <v>39</v>
      </c>
      <c r="R640" s="15" t="s">
        <v>39</v>
      </c>
      <c r="S640" s="15" t="s">
        <v>39</v>
      </c>
      <c r="T640" s="15" t="s">
        <v>48</v>
      </c>
      <c r="U640" s="15" t="s">
        <v>10911</v>
      </c>
      <c r="V640" s="15" t="s">
        <v>10914</v>
      </c>
      <c r="W640" s="15" t="s">
        <v>10915</v>
      </c>
      <c r="X640" s="15" t="s">
        <v>39</v>
      </c>
      <c r="Y640" s="15" t="s">
        <v>39</v>
      </c>
      <c r="Z640" s="15" t="s">
        <v>10916</v>
      </c>
      <c r="AA640" s="15" t="s">
        <v>80</v>
      </c>
      <c r="AB640" s="15" t="s">
        <v>106</v>
      </c>
      <c r="AC640" s="15" t="s">
        <v>107</v>
      </c>
      <c r="AD640" s="15" t="s">
        <v>128</v>
      </c>
      <c r="AE640" s="15" t="s">
        <v>109</v>
      </c>
      <c r="AF640" s="15" t="s">
        <v>10917</v>
      </c>
      <c r="AG640" s="15" t="s">
        <v>39</v>
      </c>
      <c r="AH640" s="15" t="s">
        <v>39</v>
      </c>
      <c r="AI640" s="15" t="s">
        <v>10918</v>
      </c>
      <c r="AJ640" s="15" t="s">
        <v>10919</v>
      </c>
      <c r="AK640" s="15" t="s">
        <v>113</v>
      </c>
      <c r="AL640" s="15" t="s">
        <v>88</v>
      </c>
    </row>
    <row r="641" spans="1:38" x14ac:dyDescent="0.4">
      <c r="A641" s="11" t="s">
        <v>10920</v>
      </c>
      <c r="B641" s="12" t="s">
        <v>10921</v>
      </c>
      <c r="C641" s="13" t="s">
        <v>10922</v>
      </c>
      <c r="D641" s="13" t="s">
        <v>92</v>
      </c>
      <c r="E641" s="13" t="s">
        <v>10923</v>
      </c>
      <c r="F641" s="13" t="s">
        <v>1428</v>
      </c>
      <c r="G641" s="13" t="s">
        <v>1428</v>
      </c>
      <c r="H641" s="13" t="s">
        <v>10924</v>
      </c>
      <c r="I641" s="9">
        <f t="shared" ca="1" si="9"/>
        <v>24</v>
      </c>
      <c r="J641" s="13" t="s">
        <v>10925</v>
      </c>
      <c r="K641" s="13" t="s">
        <v>340</v>
      </c>
      <c r="L641" s="9" t="str">
        <f>VLOOKUP(K641,[1]中国省份_标准!$B$2:$F$35,4,FALSE)</f>
        <v>东部地区</v>
      </c>
      <c r="M641" s="9" t="str">
        <f>VLOOKUP(K641,[1]中国省份_标准!$B$2:$F$35,5,FALSE)</f>
        <v>华东地区</v>
      </c>
      <c r="N641" s="13" t="s">
        <v>341</v>
      </c>
      <c r="O641" s="13" t="s">
        <v>10926</v>
      </c>
      <c r="P641" s="13" t="s">
        <v>10927</v>
      </c>
      <c r="Q641" s="13" t="s">
        <v>10928</v>
      </c>
      <c r="R641" s="13" t="s">
        <v>10929</v>
      </c>
      <c r="S641" s="13" t="s">
        <v>39</v>
      </c>
      <c r="T641" s="13" t="s">
        <v>48</v>
      </c>
      <c r="U641" s="13" t="s">
        <v>10921</v>
      </c>
      <c r="V641" s="13" t="s">
        <v>10930</v>
      </c>
      <c r="W641" s="13" t="s">
        <v>10931</v>
      </c>
      <c r="X641" s="13" t="s">
        <v>2171</v>
      </c>
      <c r="Y641" s="13" t="s">
        <v>78</v>
      </c>
      <c r="Z641" s="13" t="s">
        <v>10932</v>
      </c>
      <c r="AA641" s="13" t="s">
        <v>169</v>
      </c>
      <c r="AB641" s="13" t="s">
        <v>170</v>
      </c>
      <c r="AC641" s="13" t="s">
        <v>367</v>
      </c>
      <c r="AD641" s="13" t="s">
        <v>368</v>
      </c>
      <c r="AE641" s="13" t="s">
        <v>55</v>
      </c>
      <c r="AF641" s="13" t="s">
        <v>10933</v>
      </c>
      <c r="AG641" s="13" t="s">
        <v>39</v>
      </c>
      <c r="AH641" s="13" t="s">
        <v>39</v>
      </c>
      <c r="AI641" s="13" t="s">
        <v>10934</v>
      </c>
      <c r="AJ641" s="13" t="s">
        <v>10935</v>
      </c>
      <c r="AK641" s="13" t="s">
        <v>10936</v>
      </c>
      <c r="AL641" s="13" t="s">
        <v>88</v>
      </c>
    </row>
    <row r="642" spans="1:38" x14ac:dyDescent="0.4">
      <c r="A642" s="11" t="s">
        <v>10937</v>
      </c>
      <c r="B642" s="14" t="s">
        <v>10938</v>
      </c>
      <c r="C642" s="15" t="s">
        <v>39</v>
      </c>
      <c r="D642" s="15" t="s">
        <v>92</v>
      </c>
      <c r="E642" s="15" t="s">
        <v>10939</v>
      </c>
      <c r="F642" s="15" t="s">
        <v>154</v>
      </c>
      <c r="G642" s="15" t="s">
        <v>39</v>
      </c>
      <c r="H642" s="15" t="s">
        <v>10940</v>
      </c>
      <c r="I642" s="9">
        <f t="shared" ca="1" si="9"/>
        <v>0</v>
      </c>
      <c r="J642" s="15" t="s">
        <v>10941</v>
      </c>
      <c r="K642" s="15" t="s">
        <v>97</v>
      </c>
      <c r="L642" s="9" t="str">
        <f>VLOOKUP(K642,[1]中国省份_标准!$B$2:$F$35,4,FALSE)</f>
        <v>中部地区</v>
      </c>
      <c r="M642" s="9" t="str">
        <f>VLOOKUP(K642,[1]中国省份_标准!$B$2:$F$35,5,FALSE)</f>
        <v>华中地区</v>
      </c>
      <c r="N642" s="15" t="s">
        <v>98</v>
      </c>
      <c r="O642" s="15" t="s">
        <v>120</v>
      </c>
      <c r="P642" s="15" t="s">
        <v>39</v>
      </c>
      <c r="Q642" s="15" t="s">
        <v>39</v>
      </c>
      <c r="R642" s="15" t="s">
        <v>39</v>
      </c>
      <c r="S642" s="15" t="s">
        <v>39</v>
      </c>
      <c r="T642" s="15" t="s">
        <v>281</v>
      </c>
      <c r="U642" s="15" t="s">
        <v>10938</v>
      </c>
      <c r="V642" s="15" t="s">
        <v>10942</v>
      </c>
      <c r="W642" s="15" t="s">
        <v>10943</v>
      </c>
      <c r="X642" s="15" t="s">
        <v>39</v>
      </c>
      <c r="Y642" s="15" t="s">
        <v>39</v>
      </c>
      <c r="Z642" s="15" t="s">
        <v>10944</v>
      </c>
      <c r="AA642" s="15" t="s">
        <v>80</v>
      </c>
      <c r="AB642" s="15" t="s">
        <v>106</v>
      </c>
      <c r="AC642" s="15" t="s">
        <v>107</v>
      </c>
      <c r="AD642" s="15" t="s">
        <v>128</v>
      </c>
      <c r="AE642" s="15" t="s">
        <v>109</v>
      </c>
      <c r="AF642" s="15" t="s">
        <v>10945</v>
      </c>
      <c r="AG642" s="15" t="s">
        <v>39</v>
      </c>
      <c r="AH642" s="15" t="s">
        <v>39</v>
      </c>
      <c r="AI642" s="15" t="s">
        <v>10946</v>
      </c>
      <c r="AJ642" s="15" t="s">
        <v>10947</v>
      </c>
      <c r="AK642" s="15" t="s">
        <v>132</v>
      </c>
      <c r="AL642" s="15" t="s">
        <v>88</v>
      </c>
    </row>
    <row r="643" spans="1:38" x14ac:dyDescent="0.4">
      <c r="A643" s="11" t="s">
        <v>10948</v>
      </c>
      <c r="B643" s="12" t="s">
        <v>10949</v>
      </c>
      <c r="C643" s="13" t="s">
        <v>39</v>
      </c>
      <c r="D643" s="13" t="s">
        <v>92</v>
      </c>
      <c r="E643" s="13" t="s">
        <v>10950</v>
      </c>
      <c r="F643" s="13" t="s">
        <v>422</v>
      </c>
      <c r="G643" s="13" t="s">
        <v>39</v>
      </c>
      <c r="H643" s="13" t="s">
        <v>10951</v>
      </c>
      <c r="I643" s="9">
        <f t="shared" ref="I643:I706" ca="1" si="10">DATEDIF(H643, TODAY(), "Y")</f>
        <v>0</v>
      </c>
      <c r="J643" s="13" t="s">
        <v>10952</v>
      </c>
      <c r="K643" s="13" t="s">
        <v>97</v>
      </c>
      <c r="L643" s="9" t="str">
        <f>VLOOKUP(K643,[1]中国省份_标准!$B$2:$F$35,4,FALSE)</f>
        <v>中部地区</v>
      </c>
      <c r="M643" s="9" t="str">
        <f>VLOOKUP(K643,[1]中国省份_标准!$B$2:$F$35,5,FALSE)</f>
        <v>华中地区</v>
      </c>
      <c r="N643" s="13" t="s">
        <v>98</v>
      </c>
      <c r="O643" s="13" t="s">
        <v>120</v>
      </c>
      <c r="P643" s="13" t="s">
        <v>39</v>
      </c>
      <c r="Q643" s="13" t="s">
        <v>39</v>
      </c>
      <c r="R643" s="13" t="s">
        <v>39</v>
      </c>
      <c r="S643" s="13" t="s">
        <v>39</v>
      </c>
      <c r="T643" s="13" t="s">
        <v>281</v>
      </c>
      <c r="U643" s="13" t="s">
        <v>10949</v>
      </c>
      <c r="V643" s="13" t="s">
        <v>10953</v>
      </c>
      <c r="W643" s="13" t="s">
        <v>10954</v>
      </c>
      <c r="X643" s="13" t="s">
        <v>39</v>
      </c>
      <c r="Y643" s="13" t="s">
        <v>39</v>
      </c>
      <c r="Z643" s="13" t="s">
        <v>10955</v>
      </c>
      <c r="AA643" s="13" t="s">
        <v>80</v>
      </c>
      <c r="AB643" s="13" t="s">
        <v>106</v>
      </c>
      <c r="AC643" s="13" t="s">
        <v>107</v>
      </c>
      <c r="AD643" s="13" t="s">
        <v>128</v>
      </c>
      <c r="AE643" s="13" t="s">
        <v>109</v>
      </c>
      <c r="AF643" s="13" t="s">
        <v>10956</v>
      </c>
      <c r="AG643" s="13" t="s">
        <v>39</v>
      </c>
      <c r="AH643" s="13" t="s">
        <v>39</v>
      </c>
      <c r="AI643" s="13" t="s">
        <v>10957</v>
      </c>
      <c r="AJ643" s="13" t="s">
        <v>9058</v>
      </c>
      <c r="AK643" s="13" t="s">
        <v>132</v>
      </c>
      <c r="AL643" s="13" t="s">
        <v>88</v>
      </c>
    </row>
    <row r="644" spans="1:38" x14ac:dyDescent="0.4">
      <c r="A644" s="11" t="s">
        <v>10958</v>
      </c>
      <c r="B644" s="14" t="s">
        <v>10959</v>
      </c>
      <c r="C644" s="15" t="s">
        <v>39</v>
      </c>
      <c r="D644" s="15" t="s">
        <v>92</v>
      </c>
      <c r="E644" s="15" t="s">
        <v>10960</v>
      </c>
      <c r="F644" s="15" t="s">
        <v>154</v>
      </c>
      <c r="G644" s="15" t="s">
        <v>39</v>
      </c>
      <c r="H644" s="15" t="s">
        <v>10961</v>
      </c>
      <c r="I644" s="9">
        <f t="shared" ca="1" si="10"/>
        <v>0</v>
      </c>
      <c r="J644" s="15" t="s">
        <v>10962</v>
      </c>
      <c r="K644" s="15" t="s">
        <v>97</v>
      </c>
      <c r="L644" s="9" t="str">
        <f>VLOOKUP(K644,[1]中国省份_标准!$B$2:$F$35,4,FALSE)</f>
        <v>中部地区</v>
      </c>
      <c r="M644" s="9" t="str">
        <f>VLOOKUP(K644,[1]中国省份_标准!$B$2:$F$35,5,FALSE)</f>
        <v>华中地区</v>
      </c>
      <c r="N644" s="15" t="s">
        <v>98</v>
      </c>
      <c r="O644" s="15" t="s">
        <v>120</v>
      </c>
      <c r="P644" s="15" t="s">
        <v>39</v>
      </c>
      <c r="Q644" s="15" t="s">
        <v>39</v>
      </c>
      <c r="R644" s="15" t="s">
        <v>39</v>
      </c>
      <c r="S644" s="15" t="s">
        <v>39</v>
      </c>
      <c r="T644" s="15" t="s">
        <v>281</v>
      </c>
      <c r="U644" s="15" t="s">
        <v>10959</v>
      </c>
      <c r="V644" s="15" t="s">
        <v>10963</v>
      </c>
      <c r="W644" s="15" t="s">
        <v>10964</v>
      </c>
      <c r="X644" s="15" t="s">
        <v>39</v>
      </c>
      <c r="Y644" s="15" t="s">
        <v>39</v>
      </c>
      <c r="Z644" s="15" t="s">
        <v>10965</v>
      </c>
      <c r="AA644" s="15" t="s">
        <v>80</v>
      </c>
      <c r="AB644" s="15" t="s">
        <v>106</v>
      </c>
      <c r="AC644" s="15" t="s">
        <v>107</v>
      </c>
      <c r="AD644" s="15" t="s">
        <v>128</v>
      </c>
      <c r="AE644" s="15" t="s">
        <v>109</v>
      </c>
      <c r="AF644" s="15" t="s">
        <v>10966</v>
      </c>
      <c r="AG644" s="15" t="s">
        <v>39</v>
      </c>
      <c r="AH644" s="15" t="s">
        <v>39</v>
      </c>
      <c r="AI644" s="15" t="s">
        <v>10967</v>
      </c>
      <c r="AJ644" s="15" t="s">
        <v>10968</v>
      </c>
      <c r="AK644" s="15" t="s">
        <v>132</v>
      </c>
      <c r="AL644" s="15" t="s">
        <v>88</v>
      </c>
    </row>
    <row r="645" spans="1:38" x14ac:dyDescent="0.4">
      <c r="A645" s="11" t="s">
        <v>10969</v>
      </c>
      <c r="B645" s="12" t="s">
        <v>10970</v>
      </c>
      <c r="C645" s="13" t="s">
        <v>39</v>
      </c>
      <c r="D645" s="13" t="s">
        <v>63</v>
      </c>
      <c r="E645" s="13" t="s">
        <v>10971</v>
      </c>
      <c r="F645" s="13" t="s">
        <v>154</v>
      </c>
      <c r="G645" s="13" t="s">
        <v>154</v>
      </c>
      <c r="H645" s="13" t="s">
        <v>10972</v>
      </c>
      <c r="I645" s="9">
        <f t="shared" ca="1" si="10"/>
        <v>7</v>
      </c>
      <c r="J645" s="13" t="s">
        <v>10973</v>
      </c>
      <c r="K645" s="13" t="s">
        <v>425</v>
      </c>
      <c r="L645" s="9" t="str">
        <f>VLOOKUP(K645,[1]中国省份_标准!$B$2:$F$35,4,FALSE)</f>
        <v>东部地区</v>
      </c>
      <c r="M645" s="9" t="str">
        <f>VLOOKUP(K645,[1]中国省份_标准!$B$2:$F$35,5,FALSE)</f>
        <v>华东地区</v>
      </c>
      <c r="N645" s="13" t="s">
        <v>426</v>
      </c>
      <c r="O645" s="13" t="s">
        <v>427</v>
      </c>
      <c r="P645" s="13" t="s">
        <v>10974</v>
      </c>
      <c r="Q645" s="13" t="s">
        <v>10975</v>
      </c>
      <c r="R645" s="13" t="s">
        <v>1600</v>
      </c>
      <c r="S645" s="13" t="s">
        <v>10976</v>
      </c>
      <c r="T645" s="13" t="s">
        <v>281</v>
      </c>
      <c r="U645" s="13" t="s">
        <v>10970</v>
      </c>
      <c r="V645" s="13" t="s">
        <v>39</v>
      </c>
      <c r="W645" s="13" t="s">
        <v>10977</v>
      </c>
      <c r="X645" s="13" t="s">
        <v>557</v>
      </c>
      <c r="Y645" s="13" t="s">
        <v>78</v>
      </c>
      <c r="Z645" s="13" t="s">
        <v>10978</v>
      </c>
      <c r="AA645" s="13" t="s">
        <v>169</v>
      </c>
      <c r="AB645" s="13" t="s">
        <v>170</v>
      </c>
      <c r="AC645" s="13" t="s">
        <v>171</v>
      </c>
      <c r="AD645" s="13" t="s">
        <v>39</v>
      </c>
      <c r="AE645" s="13" t="s">
        <v>109</v>
      </c>
      <c r="AF645" s="13" t="s">
        <v>10979</v>
      </c>
      <c r="AG645" s="13" t="s">
        <v>39</v>
      </c>
      <c r="AH645" s="13" t="s">
        <v>39</v>
      </c>
      <c r="AI645" s="13" t="s">
        <v>10980</v>
      </c>
      <c r="AJ645" s="13" t="s">
        <v>10981</v>
      </c>
      <c r="AK645" s="13" t="s">
        <v>2191</v>
      </c>
      <c r="AL645" s="13" t="s">
        <v>88</v>
      </c>
    </row>
    <row r="646" spans="1:38" x14ac:dyDescent="0.4">
      <c r="A646" s="11" t="s">
        <v>10982</v>
      </c>
      <c r="B646" s="14" t="s">
        <v>10983</v>
      </c>
      <c r="C646" s="15" t="s">
        <v>39</v>
      </c>
      <c r="D646" s="15" t="s">
        <v>92</v>
      </c>
      <c r="E646" s="15" t="s">
        <v>10984</v>
      </c>
      <c r="F646" s="15" t="s">
        <v>422</v>
      </c>
      <c r="G646" s="15" t="s">
        <v>39</v>
      </c>
      <c r="H646" s="15" t="s">
        <v>10985</v>
      </c>
      <c r="I646" s="9">
        <f t="shared" ca="1" si="10"/>
        <v>1</v>
      </c>
      <c r="J646" s="15" t="s">
        <v>10986</v>
      </c>
      <c r="K646" s="15" t="s">
        <v>702</v>
      </c>
      <c r="L646" s="9" t="str">
        <f>VLOOKUP(K646,[1]中国省份_标准!$B$2:$F$35,4,FALSE)</f>
        <v>东部地区</v>
      </c>
      <c r="M646" s="9" t="str">
        <f>VLOOKUP(K646,[1]中国省份_标准!$B$2:$F$35,5,FALSE)</f>
        <v>华北地区</v>
      </c>
      <c r="N646" s="15" t="s">
        <v>703</v>
      </c>
      <c r="O646" s="15" t="s">
        <v>704</v>
      </c>
      <c r="P646" s="15" t="s">
        <v>10987</v>
      </c>
      <c r="Q646" s="15" t="s">
        <v>39</v>
      </c>
      <c r="R646" s="15" t="s">
        <v>39</v>
      </c>
      <c r="S646" s="15" t="s">
        <v>39</v>
      </c>
      <c r="T646" s="15" t="s">
        <v>281</v>
      </c>
      <c r="U646" s="15" t="s">
        <v>10983</v>
      </c>
      <c r="V646" s="15" t="s">
        <v>10988</v>
      </c>
      <c r="W646" s="15" t="s">
        <v>10989</v>
      </c>
      <c r="X646" s="15" t="s">
        <v>77</v>
      </c>
      <c r="Y646" s="15" t="s">
        <v>78</v>
      </c>
      <c r="Z646" s="15" t="s">
        <v>10990</v>
      </c>
      <c r="AA646" s="15" t="s">
        <v>169</v>
      </c>
      <c r="AB646" s="15" t="s">
        <v>285</v>
      </c>
      <c r="AC646" s="15" t="s">
        <v>286</v>
      </c>
      <c r="AD646" s="15" t="s">
        <v>287</v>
      </c>
      <c r="AE646" s="15" t="s">
        <v>109</v>
      </c>
      <c r="AF646" s="15" t="s">
        <v>10991</v>
      </c>
      <c r="AG646" s="15" t="s">
        <v>39</v>
      </c>
      <c r="AH646" s="15" t="s">
        <v>39</v>
      </c>
      <c r="AI646" s="15" t="s">
        <v>10992</v>
      </c>
      <c r="AJ646" s="15" t="s">
        <v>10993</v>
      </c>
      <c r="AK646" s="15" t="s">
        <v>717</v>
      </c>
      <c r="AL646" s="15" t="s">
        <v>88</v>
      </c>
    </row>
    <row r="647" spans="1:38" x14ac:dyDescent="0.4">
      <c r="A647" s="11" t="s">
        <v>10994</v>
      </c>
      <c r="B647" s="12" t="s">
        <v>10995</v>
      </c>
      <c r="C647" s="13" t="s">
        <v>39</v>
      </c>
      <c r="D647" s="13" t="s">
        <v>92</v>
      </c>
      <c r="E647" s="13" t="s">
        <v>10996</v>
      </c>
      <c r="F647" s="13" t="s">
        <v>1235</v>
      </c>
      <c r="G647" s="13" t="s">
        <v>1235</v>
      </c>
      <c r="H647" s="13" t="s">
        <v>10997</v>
      </c>
      <c r="I647" s="9">
        <f t="shared" ca="1" si="10"/>
        <v>1</v>
      </c>
      <c r="J647" s="13" t="s">
        <v>10998</v>
      </c>
      <c r="K647" s="13" t="s">
        <v>425</v>
      </c>
      <c r="L647" s="9" t="str">
        <f>VLOOKUP(K647,[1]中国省份_标准!$B$2:$F$35,4,FALSE)</f>
        <v>东部地区</v>
      </c>
      <c r="M647" s="9" t="str">
        <f>VLOOKUP(K647,[1]中国省份_标准!$B$2:$F$35,5,FALSE)</f>
        <v>华东地区</v>
      </c>
      <c r="N647" s="13" t="s">
        <v>3013</v>
      </c>
      <c r="O647" s="13" t="s">
        <v>3014</v>
      </c>
      <c r="P647" s="13" t="s">
        <v>39</v>
      </c>
      <c r="Q647" s="13" t="s">
        <v>39</v>
      </c>
      <c r="R647" s="13" t="s">
        <v>39</v>
      </c>
      <c r="S647" s="13" t="s">
        <v>39</v>
      </c>
      <c r="T647" s="13" t="s">
        <v>48</v>
      </c>
      <c r="U647" s="13" t="s">
        <v>10995</v>
      </c>
      <c r="V647" s="13" t="s">
        <v>10999</v>
      </c>
      <c r="W647" s="13" t="s">
        <v>11000</v>
      </c>
      <c r="X647" s="13" t="s">
        <v>39</v>
      </c>
      <c r="Y647" s="13" t="s">
        <v>39</v>
      </c>
      <c r="Z647" s="13" t="s">
        <v>11001</v>
      </c>
      <c r="AA647" s="13" t="s">
        <v>1321</v>
      </c>
      <c r="AB647" s="13" t="s">
        <v>6752</v>
      </c>
      <c r="AC647" s="13" t="s">
        <v>6753</v>
      </c>
      <c r="AD647" s="13" t="s">
        <v>6754</v>
      </c>
      <c r="AE647" s="13" t="s">
        <v>55</v>
      </c>
      <c r="AF647" s="13" t="s">
        <v>11002</v>
      </c>
      <c r="AG647" s="13" t="s">
        <v>39</v>
      </c>
      <c r="AH647" s="13" t="s">
        <v>39</v>
      </c>
      <c r="AI647" s="13" t="s">
        <v>11003</v>
      </c>
      <c r="AJ647" s="13" t="s">
        <v>11004</v>
      </c>
      <c r="AK647" s="13" t="s">
        <v>11005</v>
      </c>
      <c r="AL647" s="13" t="s">
        <v>88</v>
      </c>
    </row>
    <row r="648" spans="1:38" x14ac:dyDescent="0.4">
      <c r="A648" s="11" t="s">
        <v>11006</v>
      </c>
      <c r="B648" s="14" t="s">
        <v>11007</v>
      </c>
      <c r="C648" s="15" t="s">
        <v>39</v>
      </c>
      <c r="D648" s="15" t="s">
        <v>92</v>
      </c>
      <c r="E648" s="15" t="s">
        <v>11008</v>
      </c>
      <c r="F648" s="15" t="s">
        <v>422</v>
      </c>
      <c r="G648" s="15" t="s">
        <v>39</v>
      </c>
      <c r="H648" s="15" t="s">
        <v>11009</v>
      </c>
      <c r="I648" s="9">
        <f t="shared" ca="1" si="10"/>
        <v>0</v>
      </c>
      <c r="J648" s="15" t="s">
        <v>11010</v>
      </c>
      <c r="K648" s="15" t="s">
        <v>97</v>
      </c>
      <c r="L648" s="9" t="str">
        <f>VLOOKUP(K648,[1]中国省份_标准!$B$2:$F$35,4,FALSE)</f>
        <v>中部地区</v>
      </c>
      <c r="M648" s="9" t="str">
        <f>VLOOKUP(K648,[1]中国省份_标准!$B$2:$F$35,5,FALSE)</f>
        <v>华中地区</v>
      </c>
      <c r="N648" s="15" t="s">
        <v>98</v>
      </c>
      <c r="O648" s="15" t="s">
        <v>120</v>
      </c>
      <c r="P648" s="15" t="s">
        <v>39</v>
      </c>
      <c r="Q648" s="15" t="s">
        <v>39</v>
      </c>
      <c r="R648" s="15" t="s">
        <v>39</v>
      </c>
      <c r="S648" s="15" t="s">
        <v>39</v>
      </c>
      <c r="T648" s="15" t="s">
        <v>281</v>
      </c>
      <c r="U648" s="15" t="s">
        <v>11007</v>
      </c>
      <c r="V648" s="15" t="s">
        <v>11011</v>
      </c>
      <c r="W648" s="15" t="s">
        <v>11012</v>
      </c>
      <c r="X648" s="15" t="s">
        <v>39</v>
      </c>
      <c r="Y648" s="15" t="s">
        <v>39</v>
      </c>
      <c r="Z648" s="15" t="s">
        <v>11013</v>
      </c>
      <c r="AA648" s="15" t="s">
        <v>80</v>
      </c>
      <c r="AB648" s="15" t="s">
        <v>106</v>
      </c>
      <c r="AC648" s="15" t="s">
        <v>107</v>
      </c>
      <c r="AD648" s="15" t="s">
        <v>128</v>
      </c>
      <c r="AE648" s="15" t="s">
        <v>109</v>
      </c>
      <c r="AF648" s="15" t="s">
        <v>11014</v>
      </c>
      <c r="AG648" s="15" t="s">
        <v>39</v>
      </c>
      <c r="AH648" s="15" t="s">
        <v>39</v>
      </c>
      <c r="AI648" s="15" t="s">
        <v>11015</v>
      </c>
      <c r="AJ648" s="15" t="s">
        <v>11016</v>
      </c>
      <c r="AK648" s="15" t="s">
        <v>132</v>
      </c>
      <c r="AL648" s="15" t="s">
        <v>88</v>
      </c>
    </row>
    <row r="649" spans="1:38" x14ac:dyDescent="0.4">
      <c r="A649" s="11" t="s">
        <v>11017</v>
      </c>
      <c r="B649" s="12" t="s">
        <v>11018</v>
      </c>
      <c r="C649" s="13" t="s">
        <v>11019</v>
      </c>
      <c r="D649" s="13" t="s">
        <v>63</v>
      </c>
      <c r="E649" s="13" t="s">
        <v>11020</v>
      </c>
      <c r="F649" s="13" t="s">
        <v>11021</v>
      </c>
      <c r="G649" s="13" t="s">
        <v>11021</v>
      </c>
      <c r="H649" s="13" t="s">
        <v>11022</v>
      </c>
      <c r="I649" s="9">
        <f t="shared" ca="1" si="10"/>
        <v>26</v>
      </c>
      <c r="J649" s="13" t="s">
        <v>11023</v>
      </c>
      <c r="K649" s="13" t="s">
        <v>67</v>
      </c>
      <c r="L649" s="9" t="str">
        <f>VLOOKUP(K649,[1]中国省份_标准!$B$2:$F$35,4,FALSE)</f>
        <v>东部地区</v>
      </c>
      <c r="M649" s="9" t="str">
        <f>VLOOKUP(K649,[1]中国省份_标准!$B$2:$F$35,5,FALSE)</f>
        <v>华东地区</v>
      </c>
      <c r="N649" s="13" t="s">
        <v>3695</v>
      </c>
      <c r="O649" s="13" t="s">
        <v>5594</v>
      </c>
      <c r="P649" s="13" t="s">
        <v>11024</v>
      </c>
      <c r="Q649" s="13" t="s">
        <v>11025</v>
      </c>
      <c r="R649" s="13" t="s">
        <v>11026</v>
      </c>
      <c r="S649" s="13" t="s">
        <v>11027</v>
      </c>
      <c r="T649" s="13" t="s">
        <v>11028</v>
      </c>
      <c r="U649" s="13" t="s">
        <v>11018</v>
      </c>
      <c r="V649" s="13" t="s">
        <v>11029</v>
      </c>
      <c r="W649" s="13" t="s">
        <v>11030</v>
      </c>
      <c r="X649" s="13" t="s">
        <v>11031</v>
      </c>
      <c r="Y649" s="13" t="s">
        <v>78</v>
      </c>
      <c r="Z649" s="13" t="s">
        <v>11032</v>
      </c>
      <c r="AA649" s="13" t="s">
        <v>169</v>
      </c>
      <c r="AB649" s="13" t="s">
        <v>285</v>
      </c>
      <c r="AC649" s="13" t="s">
        <v>6423</v>
      </c>
      <c r="AD649" s="13" t="s">
        <v>11033</v>
      </c>
      <c r="AE649" s="13" t="s">
        <v>239</v>
      </c>
      <c r="AF649" s="13" t="s">
        <v>11034</v>
      </c>
      <c r="AG649" s="13" t="s">
        <v>11035</v>
      </c>
      <c r="AH649" s="13" t="s">
        <v>39</v>
      </c>
      <c r="AI649" s="13" t="s">
        <v>11036</v>
      </c>
      <c r="AJ649" s="13" t="s">
        <v>11037</v>
      </c>
      <c r="AK649" s="13" t="s">
        <v>11038</v>
      </c>
      <c r="AL649" s="13" t="s">
        <v>88</v>
      </c>
    </row>
    <row r="650" spans="1:38" x14ac:dyDescent="0.4">
      <c r="A650" s="11" t="s">
        <v>11039</v>
      </c>
      <c r="B650" s="14" t="s">
        <v>11040</v>
      </c>
      <c r="C650" s="15" t="s">
        <v>11041</v>
      </c>
      <c r="D650" s="15" t="s">
        <v>92</v>
      </c>
      <c r="E650" s="15" t="s">
        <v>11042</v>
      </c>
      <c r="F650" s="15" t="s">
        <v>11043</v>
      </c>
      <c r="G650" s="15" t="s">
        <v>11043</v>
      </c>
      <c r="H650" s="15" t="s">
        <v>11044</v>
      </c>
      <c r="I650" s="9">
        <f t="shared" ca="1" si="10"/>
        <v>33</v>
      </c>
      <c r="J650" s="15" t="s">
        <v>11045</v>
      </c>
      <c r="K650" s="15" t="s">
        <v>157</v>
      </c>
      <c r="L650" s="9" t="str">
        <f>VLOOKUP(K650,[1]中国省份_标准!$B$2:$F$35,4,FALSE)</f>
        <v>东北地区</v>
      </c>
      <c r="M650" s="9" t="str">
        <f>VLOOKUP(K650,[1]中国省份_标准!$B$2:$F$35,5,FALSE)</f>
        <v>东北地区</v>
      </c>
      <c r="N650" s="15" t="s">
        <v>4244</v>
      </c>
      <c r="O650" s="15" t="s">
        <v>11046</v>
      </c>
      <c r="P650" s="15" t="s">
        <v>11047</v>
      </c>
      <c r="Q650" s="15" t="s">
        <v>11048</v>
      </c>
      <c r="R650" s="15" t="s">
        <v>11049</v>
      </c>
      <c r="S650" s="15" t="s">
        <v>11050</v>
      </c>
      <c r="T650" s="15" t="s">
        <v>452</v>
      </c>
      <c r="U650" s="15" t="s">
        <v>11040</v>
      </c>
      <c r="V650" s="15" t="s">
        <v>11051</v>
      </c>
      <c r="W650" s="15" t="s">
        <v>11052</v>
      </c>
      <c r="X650" s="15" t="s">
        <v>11053</v>
      </c>
      <c r="Y650" s="15" t="s">
        <v>78</v>
      </c>
      <c r="Z650" s="15" t="s">
        <v>11054</v>
      </c>
      <c r="AA650" s="15" t="s">
        <v>80</v>
      </c>
      <c r="AB650" s="15" t="s">
        <v>106</v>
      </c>
      <c r="AC650" s="15" t="s">
        <v>107</v>
      </c>
      <c r="AD650" s="15" t="s">
        <v>128</v>
      </c>
      <c r="AE650" s="15" t="s">
        <v>262</v>
      </c>
      <c r="AF650" s="15" t="s">
        <v>11055</v>
      </c>
      <c r="AG650" s="15" t="s">
        <v>39</v>
      </c>
      <c r="AH650" s="15" t="s">
        <v>39</v>
      </c>
      <c r="AI650" s="15" t="s">
        <v>11056</v>
      </c>
      <c r="AJ650" s="15" t="s">
        <v>11057</v>
      </c>
      <c r="AK650" s="15" t="s">
        <v>11058</v>
      </c>
      <c r="AL650" s="15" t="s">
        <v>88</v>
      </c>
    </row>
    <row r="651" spans="1:38" x14ac:dyDescent="0.4">
      <c r="A651" s="11" t="s">
        <v>11059</v>
      </c>
      <c r="B651" s="12" t="s">
        <v>11060</v>
      </c>
      <c r="C651" s="13" t="s">
        <v>11061</v>
      </c>
      <c r="D651" s="13" t="s">
        <v>63</v>
      </c>
      <c r="E651" s="13" t="s">
        <v>2397</v>
      </c>
      <c r="F651" s="13" t="s">
        <v>11062</v>
      </c>
      <c r="G651" s="13" t="s">
        <v>11062</v>
      </c>
      <c r="H651" s="13" t="s">
        <v>11063</v>
      </c>
      <c r="I651" s="9">
        <f t="shared" ca="1" si="10"/>
        <v>18</v>
      </c>
      <c r="J651" s="13" t="s">
        <v>11064</v>
      </c>
      <c r="K651" s="13" t="s">
        <v>67</v>
      </c>
      <c r="L651" s="9" t="str">
        <f>VLOOKUP(K651,[1]中国省份_标准!$B$2:$F$35,4,FALSE)</f>
        <v>东部地区</v>
      </c>
      <c r="M651" s="9" t="str">
        <f>VLOOKUP(K651,[1]中国省份_标准!$B$2:$F$35,5,FALSE)</f>
        <v>华东地区</v>
      </c>
      <c r="N651" s="13" t="s">
        <v>1986</v>
      </c>
      <c r="O651" s="13" t="s">
        <v>11065</v>
      </c>
      <c r="P651" s="13" t="s">
        <v>11066</v>
      </c>
      <c r="Q651" s="13" t="s">
        <v>11067</v>
      </c>
      <c r="R651" s="13" t="s">
        <v>11068</v>
      </c>
      <c r="S651" s="13" t="s">
        <v>11069</v>
      </c>
      <c r="T651" s="13" t="s">
        <v>209</v>
      </c>
      <c r="U651" s="13" t="s">
        <v>11060</v>
      </c>
      <c r="V651" s="13" t="s">
        <v>11070</v>
      </c>
      <c r="W651" s="13" t="s">
        <v>11071</v>
      </c>
      <c r="X651" s="13" t="s">
        <v>11072</v>
      </c>
      <c r="Y651" s="13" t="s">
        <v>78</v>
      </c>
      <c r="Z651" s="13" t="s">
        <v>11073</v>
      </c>
      <c r="AA651" s="13" t="s">
        <v>80</v>
      </c>
      <c r="AB651" s="13" t="s">
        <v>106</v>
      </c>
      <c r="AC651" s="13" t="s">
        <v>107</v>
      </c>
      <c r="AD651" s="13" t="s">
        <v>11074</v>
      </c>
      <c r="AE651" s="13" t="s">
        <v>55</v>
      </c>
      <c r="AF651" s="13" t="s">
        <v>11075</v>
      </c>
      <c r="AG651" s="13" t="s">
        <v>39</v>
      </c>
      <c r="AH651" s="13" t="s">
        <v>39</v>
      </c>
      <c r="AI651" s="13" t="s">
        <v>11076</v>
      </c>
      <c r="AJ651" s="13" t="s">
        <v>11077</v>
      </c>
      <c r="AK651" s="13" t="s">
        <v>11078</v>
      </c>
      <c r="AL651" s="13" t="s">
        <v>88</v>
      </c>
    </row>
    <row r="652" spans="1:38" x14ac:dyDescent="0.4">
      <c r="A652" s="11" t="s">
        <v>11079</v>
      </c>
      <c r="B652" s="14" t="s">
        <v>11080</v>
      </c>
      <c r="C652" s="15" t="s">
        <v>39</v>
      </c>
      <c r="D652" s="15" t="s">
        <v>92</v>
      </c>
      <c r="E652" s="15" t="s">
        <v>11081</v>
      </c>
      <c r="F652" s="15" t="s">
        <v>422</v>
      </c>
      <c r="G652" s="15" t="s">
        <v>39</v>
      </c>
      <c r="H652" s="15" t="s">
        <v>11009</v>
      </c>
      <c r="I652" s="9">
        <f t="shared" ca="1" si="10"/>
        <v>0</v>
      </c>
      <c r="J652" s="15" t="s">
        <v>11082</v>
      </c>
      <c r="K652" s="15" t="s">
        <v>97</v>
      </c>
      <c r="L652" s="9" t="str">
        <f>VLOOKUP(K652,[1]中国省份_标准!$B$2:$F$35,4,FALSE)</f>
        <v>中部地区</v>
      </c>
      <c r="M652" s="9" t="str">
        <f>VLOOKUP(K652,[1]中国省份_标准!$B$2:$F$35,5,FALSE)</f>
        <v>华中地区</v>
      </c>
      <c r="N652" s="15" t="s">
        <v>98</v>
      </c>
      <c r="O652" s="15" t="s">
        <v>120</v>
      </c>
      <c r="P652" s="15" t="s">
        <v>39</v>
      </c>
      <c r="Q652" s="15" t="s">
        <v>39</v>
      </c>
      <c r="R652" s="15" t="s">
        <v>39</v>
      </c>
      <c r="S652" s="15" t="s">
        <v>39</v>
      </c>
      <c r="T652" s="15" t="s">
        <v>281</v>
      </c>
      <c r="U652" s="15" t="s">
        <v>11080</v>
      </c>
      <c r="V652" s="15" t="s">
        <v>11083</v>
      </c>
      <c r="W652" s="15" t="s">
        <v>11084</v>
      </c>
      <c r="X652" s="15" t="s">
        <v>39</v>
      </c>
      <c r="Y652" s="15" t="s">
        <v>39</v>
      </c>
      <c r="Z652" s="15" t="s">
        <v>11013</v>
      </c>
      <c r="AA652" s="15" t="s">
        <v>80</v>
      </c>
      <c r="AB652" s="15" t="s">
        <v>106</v>
      </c>
      <c r="AC652" s="15" t="s">
        <v>107</v>
      </c>
      <c r="AD652" s="15" t="s">
        <v>128</v>
      </c>
      <c r="AE652" s="15" t="s">
        <v>109</v>
      </c>
      <c r="AF652" s="15" t="s">
        <v>11085</v>
      </c>
      <c r="AG652" s="15" t="s">
        <v>39</v>
      </c>
      <c r="AH652" s="15" t="s">
        <v>39</v>
      </c>
      <c r="AI652" s="15" t="s">
        <v>11086</v>
      </c>
      <c r="AJ652" s="15" t="s">
        <v>11016</v>
      </c>
      <c r="AK652" s="15" t="s">
        <v>132</v>
      </c>
      <c r="AL652" s="15" t="s">
        <v>88</v>
      </c>
    </row>
    <row r="653" spans="1:38" x14ac:dyDescent="0.4">
      <c r="A653" s="11" t="s">
        <v>11087</v>
      </c>
      <c r="B653" s="12" t="s">
        <v>11088</v>
      </c>
      <c r="C653" s="13" t="s">
        <v>39</v>
      </c>
      <c r="D653" s="13" t="s">
        <v>92</v>
      </c>
      <c r="E653" s="13" t="s">
        <v>11089</v>
      </c>
      <c r="F653" s="13" t="s">
        <v>11090</v>
      </c>
      <c r="G653" s="13" t="s">
        <v>11090</v>
      </c>
      <c r="H653" s="13" t="s">
        <v>11091</v>
      </c>
      <c r="I653" s="9">
        <f t="shared" ca="1" si="10"/>
        <v>3</v>
      </c>
      <c r="J653" s="13" t="s">
        <v>11092</v>
      </c>
      <c r="K653" s="13" t="s">
        <v>425</v>
      </c>
      <c r="L653" s="9" t="str">
        <f>VLOOKUP(K653,[1]中国省份_标准!$B$2:$F$35,4,FALSE)</f>
        <v>东部地区</v>
      </c>
      <c r="M653" s="9" t="str">
        <f>VLOOKUP(K653,[1]中国省份_标准!$B$2:$F$35,5,FALSE)</f>
        <v>华东地区</v>
      </c>
      <c r="N653" s="13" t="s">
        <v>426</v>
      </c>
      <c r="O653" s="13" t="s">
        <v>427</v>
      </c>
      <c r="P653" s="13" t="s">
        <v>11093</v>
      </c>
      <c r="Q653" s="13" t="s">
        <v>39</v>
      </c>
      <c r="R653" s="13" t="s">
        <v>11094</v>
      </c>
      <c r="S653" s="13" t="s">
        <v>39</v>
      </c>
      <c r="T653" s="13" t="s">
        <v>281</v>
      </c>
      <c r="U653" s="13" t="s">
        <v>11088</v>
      </c>
      <c r="V653" s="13" t="s">
        <v>11095</v>
      </c>
      <c r="W653" s="13" t="s">
        <v>11096</v>
      </c>
      <c r="X653" s="13" t="s">
        <v>77</v>
      </c>
      <c r="Y653" s="13" t="s">
        <v>78</v>
      </c>
      <c r="Z653" s="13" t="s">
        <v>11097</v>
      </c>
      <c r="AA653" s="13" t="s">
        <v>169</v>
      </c>
      <c r="AB653" s="13" t="s">
        <v>285</v>
      </c>
      <c r="AC653" s="13" t="s">
        <v>479</v>
      </c>
      <c r="AD653" s="13" t="s">
        <v>480</v>
      </c>
      <c r="AE653" s="13" t="s">
        <v>109</v>
      </c>
      <c r="AF653" s="13" t="s">
        <v>11098</v>
      </c>
      <c r="AG653" s="13" t="s">
        <v>39</v>
      </c>
      <c r="AH653" s="13" t="s">
        <v>11099</v>
      </c>
      <c r="AI653" s="13" t="s">
        <v>11100</v>
      </c>
      <c r="AJ653" s="13" t="s">
        <v>11101</v>
      </c>
      <c r="AK653" s="13" t="s">
        <v>2280</v>
      </c>
      <c r="AL653" s="13" t="s">
        <v>88</v>
      </c>
    </row>
    <row r="654" spans="1:38" x14ac:dyDescent="0.4">
      <c r="A654" s="11" t="s">
        <v>11102</v>
      </c>
      <c r="B654" s="14" t="s">
        <v>11103</v>
      </c>
      <c r="C654" s="15" t="s">
        <v>39</v>
      </c>
      <c r="D654" s="15" t="s">
        <v>63</v>
      </c>
      <c r="E654" s="15" t="s">
        <v>11104</v>
      </c>
      <c r="F654" s="15" t="s">
        <v>11105</v>
      </c>
      <c r="G654" s="15" t="s">
        <v>11106</v>
      </c>
      <c r="H654" s="15" t="s">
        <v>11107</v>
      </c>
      <c r="I654" s="9">
        <f t="shared" ca="1" si="10"/>
        <v>25</v>
      </c>
      <c r="J654" s="15" t="s">
        <v>11108</v>
      </c>
      <c r="K654" s="15" t="s">
        <v>67</v>
      </c>
      <c r="L654" s="9" t="str">
        <f>VLOOKUP(K654,[1]中国省份_标准!$B$2:$F$35,4,FALSE)</f>
        <v>东部地区</v>
      </c>
      <c r="M654" s="9" t="str">
        <f>VLOOKUP(K654,[1]中国省份_标准!$B$2:$F$35,5,FALSE)</f>
        <v>华东地区</v>
      </c>
      <c r="N654" s="15" t="s">
        <v>7581</v>
      </c>
      <c r="O654" s="15" t="s">
        <v>11109</v>
      </c>
      <c r="P654" s="15" t="s">
        <v>11110</v>
      </c>
      <c r="Q654" s="15" t="s">
        <v>11111</v>
      </c>
      <c r="R654" s="15" t="s">
        <v>11112</v>
      </c>
      <c r="S654" s="15" t="s">
        <v>11113</v>
      </c>
      <c r="T654" s="15" t="s">
        <v>498</v>
      </c>
      <c r="U654" s="15" t="s">
        <v>11103</v>
      </c>
      <c r="V654" s="15" t="s">
        <v>11114</v>
      </c>
      <c r="W654" s="15" t="s">
        <v>11115</v>
      </c>
      <c r="X654" s="15" t="s">
        <v>11116</v>
      </c>
      <c r="Y654" s="15" t="s">
        <v>78</v>
      </c>
      <c r="Z654" s="15" t="s">
        <v>11117</v>
      </c>
      <c r="AA654" s="15" t="s">
        <v>169</v>
      </c>
      <c r="AB654" s="15" t="s">
        <v>285</v>
      </c>
      <c r="AC654" s="15" t="s">
        <v>479</v>
      </c>
      <c r="AD654" s="15" t="s">
        <v>480</v>
      </c>
      <c r="AE654" s="15" t="s">
        <v>262</v>
      </c>
      <c r="AF654" s="15" t="s">
        <v>11118</v>
      </c>
      <c r="AG654" s="15" t="s">
        <v>39</v>
      </c>
      <c r="AH654" s="15" t="s">
        <v>39</v>
      </c>
      <c r="AI654" s="15" t="s">
        <v>11119</v>
      </c>
      <c r="AJ654" s="15" t="s">
        <v>11120</v>
      </c>
      <c r="AK654" s="15" t="s">
        <v>11121</v>
      </c>
      <c r="AL654" s="15" t="s">
        <v>88</v>
      </c>
    </row>
    <row r="655" spans="1:38" x14ac:dyDescent="0.4">
      <c r="A655" s="11" t="s">
        <v>11122</v>
      </c>
      <c r="B655" s="12" t="s">
        <v>11123</v>
      </c>
      <c r="C655" s="13" t="s">
        <v>39</v>
      </c>
      <c r="D655" s="13" t="s">
        <v>92</v>
      </c>
      <c r="E655" s="13" t="s">
        <v>11124</v>
      </c>
      <c r="F655" s="13" t="s">
        <v>442</v>
      </c>
      <c r="G655" s="13" t="s">
        <v>442</v>
      </c>
      <c r="H655" s="13" t="s">
        <v>11125</v>
      </c>
      <c r="I655" s="9">
        <f t="shared" ca="1" si="10"/>
        <v>5</v>
      </c>
      <c r="J655" s="13" t="s">
        <v>11126</v>
      </c>
      <c r="K655" s="13" t="s">
        <v>97</v>
      </c>
      <c r="L655" s="9" t="str">
        <f>VLOOKUP(K655,[1]中国省份_标准!$B$2:$F$35,4,FALSE)</f>
        <v>中部地区</v>
      </c>
      <c r="M655" s="9" t="str">
        <f>VLOOKUP(K655,[1]中国省份_标准!$B$2:$F$35,5,FALSE)</f>
        <v>华中地区</v>
      </c>
      <c r="N655" s="13" t="s">
        <v>98</v>
      </c>
      <c r="O655" s="13" t="s">
        <v>11127</v>
      </c>
      <c r="P655" s="13" t="s">
        <v>11128</v>
      </c>
      <c r="Q655" s="13" t="s">
        <v>39</v>
      </c>
      <c r="R655" s="13" t="s">
        <v>11129</v>
      </c>
      <c r="S655" s="13" t="s">
        <v>11130</v>
      </c>
      <c r="T655" s="13" t="s">
        <v>48</v>
      </c>
      <c r="U655" s="13" t="s">
        <v>11123</v>
      </c>
      <c r="V655" s="13" t="s">
        <v>11131</v>
      </c>
      <c r="W655" s="13" t="s">
        <v>11132</v>
      </c>
      <c r="X655" s="13" t="s">
        <v>7958</v>
      </c>
      <c r="Y655" s="13" t="s">
        <v>78</v>
      </c>
      <c r="Z655" s="13" t="s">
        <v>11133</v>
      </c>
      <c r="AA655" s="13" t="s">
        <v>169</v>
      </c>
      <c r="AB655" s="13" t="s">
        <v>4216</v>
      </c>
      <c r="AC655" s="13" t="s">
        <v>9402</v>
      </c>
      <c r="AD655" s="13" t="s">
        <v>9403</v>
      </c>
      <c r="AE655" s="13" t="s">
        <v>55</v>
      </c>
      <c r="AF655" s="13" t="s">
        <v>11134</v>
      </c>
      <c r="AG655" s="13" t="s">
        <v>39</v>
      </c>
      <c r="AH655" s="13" t="s">
        <v>39</v>
      </c>
      <c r="AI655" s="13" t="s">
        <v>11135</v>
      </c>
      <c r="AJ655" s="13" t="s">
        <v>11136</v>
      </c>
      <c r="AK655" s="13" t="s">
        <v>11137</v>
      </c>
      <c r="AL655" s="13" t="s">
        <v>88</v>
      </c>
    </row>
    <row r="656" spans="1:38" x14ac:dyDescent="0.4">
      <c r="A656" s="11" t="s">
        <v>11138</v>
      </c>
      <c r="B656" s="14" t="s">
        <v>11139</v>
      </c>
      <c r="C656" s="15" t="s">
        <v>39</v>
      </c>
      <c r="D656" s="15" t="s">
        <v>63</v>
      </c>
      <c r="E656" s="15" t="s">
        <v>11140</v>
      </c>
      <c r="F656" s="15" t="s">
        <v>154</v>
      </c>
      <c r="G656" s="15" t="s">
        <v>39</v>
      </c>
      <c r="H656" s="15" t="s">
        <v>11141</v>
      </c>
      <c r="I656" s="9">
        <f t="shared" ca="1" si="10"/>
        <v>8</v>
      </c>
      <c r="J656" s="15" t="s">
        <v>11142</v>
      </c>
      <c r="K656" s="15" t="s">
        <v>425</v>
      </c>
      <c r="L656" s="9" t="str">
        <f>VLOOKUP(K656,[1]中国省份_标准!$B$2:$F$35,4,FALSE)</f>
        <v>东部地区</v>
      </c>
      <c r="M656" s="9" t="str">
        <f>VLOOKUP(K656,[1]中国省份_标准!$B$2:$F$35,5,FALSE)</f>
        <v>华东地区</v>
      </c>
      <c r="N656" s="15" t="s">
        <v>2304</v>
      </c>
      <c r="O656" s="15" t="s">
        <v>2305</v>
      </c>
      <c r="P656" s="15" t="s">
        <v>11143</v>
      </c>
      <c r="Q656" s="15" t="s">
        <v>39</v>
      </c>
      <c r="R656" s="15" t="s">
        <v>11144</v>
      </c>
      <c r="S656" s="15" t="s">
        <v>39</v>
      </c>
      <c r="T656" s="15" t="s">
        <v>48</v>
      </c>
      <c r="U656" s="15" t="s">
        <v>11139</v>
      </c>
      <c r="V656" s="15" t="s">
        <v>11145</v>
      </c>
      <c r="W656" s="15" t="s">
        <v>11146</v>
      </c>
      <c r="X656" s="15" t="s">
        <v>77</v>
      </c>
      <c r="Y656" s="15" t="s">
        <v>78</v>
      </c>
      <c r="Z656" s="15" t="s">
        <v>11147</v>
      </c>
      <c r="AA656" s="15" t="s">
        <v>1796</v>
      </c>
      <c r="AB656" s="15" t="s">
        <v>1797</v>
      </c>
      <c r="AC656" s="15" t="s">
        <v>11148</v>
      </c>
      <c r="AD656" s="15" t="s">
        <v>11148</v>
      </c>
      <c r="AE656" s="15" t="s">
        <v>109</v>
      </c>
      <c r="AF656" s="15" t="s">
        <v>11149</v>
      </c>
      <c r="AG656" s="15" t="s">
        <v>39</v>
      </c>
      <c r="AH656" s="15" t="s">
        <v>39</v>
      </c>
      <c r="AI656" s="15" t="s">
        <v>11150</v>
      </c>
      <c r="AJ656" s="15" t="s">
        <v>11151</v>
      </c>
      <c r="AK656" s="15" t="s">
        <v>2317</v>
      </c>
      <c r="AL656" s="15" t="s">
        <v>88</v>
      </c>
    </row>
    <row r="657" spans="1:38" x14ac:dyDescent="0.4">
      <c r="A657" s="11" t="s">
        <v>11152</v>
      </c>
      <c r="B657" s="12" t="s">
        <v>11153</v>
      </c>
      <c r="C657" s="13" t="s">
        <v>39</v>
      </c>
      <c r="D657" s="13" t="s">
        <v>92</v>
      </c>
      <c r="E657" s="13" t="s">
        <v>11154</v>
      </c>
      <c r="F657" s="13" t="s">
        <v>154</v>
      </c>
      <c r="G657" s="13" t="s">
        <v>39</v>
      </c>
      <c r="H657" s="13" t="s">
        <v>11155</v>
      </c>
      <c r="I657" s="9">
        <f t="shared" ca="1" si="10"/>
        <v>0</v>
      </c>
      <c r="J657" s="13" t="s">
        <v>11156</v>
      </c>
      <c r="K657" s="13" t="s">
        <v>97</v>
      </c>
      <c r="L657" s="9" t="str">
        <f>VLOOKUP(K657,[1]中国省份_标准!$B$2:$F$35,4,FALSE)</f>
        <v>中部地区</v>
      </c>
      <c r="M657" s="9" t="str">
        <f>VLOOKUP(K657,[1]中国省份_标准!$B$2:$F$35,5,FALSE)</f>
        <v>华中地区</v>
      </c>
      <c r="N657" s="13" t="s">
        <v>98</v>
      </c>
      <c r="O657" s="13" t="s">
        <v>99</v>
      </c>
      <c r="P657" s="13" t="s">
        <v>39</v>
      </c>
      <c r="Q657" s="13" t="s">
        <v>39</v>
      </c>
      <c r="R657" s="13" t="s">
        <v>39</v>
      </c>
      <c r="S657" s="13" t="s">
        <v>39</v>
      </c>
      <c r="T657" s="13" t="s">
        <v>48</v>
      </c>
      <c r="U657" s="13" t="s">
        <v>11153</v>
      </c>
      <c r="V657" s="13" t="s">
        <v>11157</v>
      </c>
      <c r="W657" s="13" t="s">
        <v>11158</v>
      </c>
      <c r="X657" s="13" t="s">
        <v>39</v>
      </c>
      <c r="Y657" s="13" t="s">
        <v>39</v>
      </c>
      <c r="Z657" s="13" t="s">
        <v>11159</v>
      </c>
      <c r="AA657" s="13" t="s">
        <v>80</v>
      </c>
      <c r="AB657" s="13" t="s">
        <v>106</v>
      </c>
      <c r="AC657" s="13" t="s">
        <v>107</v>
      </c>
      <c r="AD657" s="13" t="s">
        <v>128</v>
      </c>
      <c r="AE657" s="13" t="s">
        <v>109</v>
      </c>
      <c r="AF657" s="13" t="s">
        <v>11160</v>
      </c>
      <c r="AG657" s="13" t="s">
        <v>39</v>
      </c>
      <c r="AH657" s="13" t="s">
        <v>39</v>
      </c>
      <c r="AI657" s="13" t="s">
        <v>11161</v>
      </c>
      <c r="AJ657" s="13" t="s">
        <v>11162</v>
      </c>
      <c r="AK657" s="13" t="s">
        <v>113</v>
      </c>
      <c r="AL657" s="13" t="s">
        <v>88</v>
      </c>
    </row>
    <row r="658" spans="1:38" x14ac:dyDescent="0.4">
      <c r="A658" s="11" t="s">
        <v>11163</v>
      </c>
      <c r="B658" s="14" t="s">
        <v>11164</v>
      </c>
      <c r="C658" s="15" t="s">
        <v>39</v>
      </c>
      <c r="D658" s="15" t="s">
        <v>92</v>
      </c>
      <c r="E658" s="15" t="s">
        <v>11165</v>
      </c>
      <c r="F658" s="15" t="s">
        <v>154</v>
      </c>
      <c r="G658" s="15" t="s">
        <v>39</v>
      </c>
      <c r="H658" s="15" t="s">
        <v>11166</v>
      </c>
      <c r="I658" s="9">
        <f t="shared" ca="1" si="10"/>
        <v>0</v>
      </c>
      <c r="J658" s="15" t="s">
        <v>11167</v>
      </c>
      <c r="K658" s="15" t="s">
        <v>97</v>
      </c>
      <c r="L658" s="9" t="str">
        <f>VLOOKUP(K658,[1]中国省份_标准!$B$2:$F$35,4,FALSE)</f>
        <v>中部地区</v>
      </c>
      <c r="M658" s="9" t="str">
        <f>VLOOKUP(K658,[1]中国省份_标准!$B$2:$F$35,5,FALSE)</f>
        <v>华中地区</v>
      </c>
      <c r="N658" s="15" t="s">
        <v>98</v>
      </c>
      <c r="O658" s="15" t="s">
        <v>120</v>
      </c>
      <c r="P658" s="15" t="s">
        <v>39</v>
      </c>
      <c r="Q658" s="15" t="s">
        <v>39</v>
      </c>
      <c r="R658" s="15" t="s">
        <v>39</v>
      </c>
      <c r="S658" s="15" t="s">
        <v>39</v>
      </c>
      <c r="T658" s="15" t="s">
        <v>281</v>
      </c>
      <c r="U658" s="15" t="s">
        <v>11164</v>
      </c>
      <c r="V658" s="15" t="s">
        <v>11168</v>
      </c>
      <c r="W658" s="15" t="s">
        <v>11169</v>
      </c>
      <c r="X658" s="15" t="s">
        <v>39</v>
      </c>
      <c r="Y658" s="15" t="s">
        <v>39</v>
      </c>
      <c r="Z658" s="15" t="s">
        <v>11170</v>
      </c>
      <c r="AA658" s="15" t="s">
        <v>80</v>
      </c>
      <c r="AB658" s="15" t="s">
        <v>106</v>
      </c>
      <c r="AC658" s="15" t="s">
        <v>107</v>
      </c>
      <c r="AD658" s="15" t="s">
        <v>128</v>
      </c>
      <c r="AE658" s="15" t="s">
        <v>109</v>
      </c>
      <c r="AF658" s="15" t="s">
        <v>11171</v>
      </c>
      <c r="AG658" s="15" t="s">
        <v>39</v>
      </c>
      <c r="AH658" s="15" t="s">
        <v>39</v>
      </c>
      <c r="AI658" s="15" t="s">
        <v>11172</v>
      </c>
      <c r="AJ658" s="15" t="s">
        <v>11173</v>
      </c>
      <c r="AK658" s="15" t="s">
        <v>132</v>
      </c>
      <c r="AL658" s="15" t="s">
        <v>88</v>
      </c>
    </row>
    <row r="659" spans="1:38" x14ac:dyDescent="0.4">
      <c r="A659" s="11" t="s">
        <v>11174</v>
      </c>
      <c r="B659" s="12" t="s">
        <v>11175</v>
      </c>
      <c r="C659" s="13" t="s">
        <v>39</v>
      </c>
      <c r="D659" s="13" t="s">
        <v>92</v>
      </c>
      <c r="E659" s="13" t="s">
        <v>11176</v>
      </c>
      <c r="F659" s="13" t="s">
        <v>1235</v>
      </c>
      <c r="G659" s="13" t="s">
        <v>39</v>
      </c>
      <c r="H659" s="13" t="s">
        <v>11177</v>
      </c>
      <c r="I659" s="9">
        <f t="shared" ca="1" si="10"/>
        <v>1</v>
      </c>
      <c r="J659" s="13" t="s">
        <v>11178</v>
      </c>
      <c r="K659" s="13" t="s">
        <v>97</v>
      </c>
      <c r="L659" s="9" t="str">
        <f>VLOOKUP(K659,[1]中国省份_标准!$B$2:$F$35,4,FALSE)</f>
        <v>中部地区</v>
      </c>
      <c r="M659" s="9" t="str">
        <f>VLOOKUP(K659,[1]中国省份_标准!$B$2:$F$35,5,FALSE)</f>
        <v>华中地区</v>
      </c>
      <c r="N659" s="13" t="s">
        <v>4926</v>
      </c>
      <c r="O659" s="13" t="s">
        <v>11179</v>
      </c>
      <c r="P659" s="13" t="s">
        <v>11180</v>
      </c>
      <c r="Q659" s="13" t="s">
        <v>39</v>
      </c>
      <c r="R659" s="13" t="s">
        <v>11181</v>
      </c>
      <c r="S659" s="13" t="s">
        <v>39</v>
      </c>
      <c r="T659" s="13" t="s">
        <v>48</v>
      </c>
      <c r="U659" s="13" t="s">
        <v>11175</v>
      </c>
      <c r="V659" s="13" t="s">
        <v>11182</v>
      </c>
      <c r="W659" s="13" t="s">
        <v>11183</v>
      </c>
      <c r="X659" s="13" t="s">
        <v>77</v>
      </c>
      <c r="Y659" s="13" t="s">
        <v>78</v>
      </c>
      <c r="Z659" s="13" t="s">
        <v>11184</v>
      </c>
      <c r="AA659" s="13" t="s">
        <v>169</v>
      </c>
      <c r="AB659" s="13" t="s">
        <v>4216</v>
      </c>
      <c r="AC659" s="13" t="s">
        <v>10113</v>
      </c>
      <c r="AD659" s="13" t="s">
        <v>10113</v>
      </c>
      <c r="AE659" s="13" t="s">
        <v>55</v>
      </c>
      <c r="AF659" s="13" t="s">
        <v>11185</v>
      </c>
      <c r="AG659" s="13" t="s">
        <v>39</v>
      </c>
      <c r="AH659" s="13" t="s">
        <v>39</v>
      </c>
      <c r="AI659" s="13" t="s">
        <v>11186</v>
      </c>
      <c r="AJ659" s="13" t="s">
        <v>11187</v>
      </c>
      <c r="AK659" s="13" t="s">
        <v>11188</v>
      </c>
      <c r="AL659" s="13" t="s">
        <v>88</v>
      </c>
    </row>
    <row r="660" spans="1:38" x14ac:dyDescent="0.4">
      <c r="A660" s="11" t="s">
        <v>11189</v>
      </c>
      <c r="B660" s="14" t="s">
        <v>11190</v>
      </c>
      <c r="C660" s="15" t="s">
        <v>39</v>
      </c>
      <c r="D660" s="15" t="s">
        <v>92</v>
      </c>
      <c r="E660" s="15" t="s">
        <v>11191</v>
      </c>
      <c r="F660" s="15" t="s">
        <v>422</v>
      </c>
      <c r="G660" s="15" t="s">
        <v>39</v>
      </c>
      <c r="H660" s="15" t="s">
        <v>11192</v>
      </c>
      <c r="I660" s="9">
        <f t="shared" ca="1" si="10"/>
        <v>2</v>
      </c>
      <c r="J660" s="15" t="s">
        <v>11193</v>
      </c>
      <c r="K660" s="15" t="s">
        <v>1752</v>
      </c>
      <c r="L660" s="9" t="str">
        <f>VLOOKUP(K660,[1]中国省份_标准!$B$2:$F$35,4,FALSE)</f>
        <v>中部地区</v>
      </c>
      <c r="M660" s="9" t="str">
        <f>VLOOKUP(K660,[1]中国省份_标准!$B$2:$F$35,5,FALSE)</f>
        <v>华中地区</v>
      </c>
      <c r="N660" s="15" t="s">
        <v>10511</v>
      </c>
      <c r="O660" s="15" t="s">
        <v>10512</v>
      </c>
      <c r="P660" s="15" t="s">
        <v>11194</v>
      </c>
      <c r="Q660" s="15" t="s">
        <v>11195</v>
      </c>
      <c r="R660" s="15" t="s">
        <v>11196</v>
      </c>
      <c r="S660" s="15" t="s">
        <v>39</v>
      </c>
      <c r="T660" s="15" t="s">
        <v>48</v>
      </c>
      <c r="U660" s="15" t="s">
        <v>11190</v>
      </c>
      <c r="V660" s="15" t="s">
        <v>11197</v>
      </c>
      <c r="W660" s="15" t="s">
        <v>11198</v>
      </c>
      <c r="X660" s="15" t="s">
        <v>77</v>
      </c>
      <c r="Y660" s="15" t="s">
        <v>78</v>
      </c>
      <c r="Z660" s="15" t="s">
        <v>11199</v>
      </c>
      <c r="AA660" s="15" t="s">
        <v>169</v>
      </c>
      <c r="AB660" s="15" t="s">
        <v>4216</v>
      </c>
      <c r="AC660" s="15" t="s">
        <v>9402</v>
      </c>
      <c r="AD660" s="15" t="s">
        <v>11200</v>
      </c>
      <c r="AE660" s="15" t="s">
        <v>109</v>
      </c>
      <c r="AF660" s="15" t="s">
        <v>11201</v>
      </c>
      <c r="AG660" s="15" t="s">
        <v>39</v>
      </c>
      <c r="AH660" s="15" t="s">
        <v>39</v>
      </c>
      <c r="AI660" s="15" t="s">
        <v>11202</v>
      </c>
      <c r="AJ660" s="15" t="s">
        <v>11203</v>
      </c>
      <c r="AK660" s="15" t="s">
        <v>10522</v>
      </c>
      <c r="AL660" s="15" t="s">
        <v>88</v>
      </c>
    </row>
    <row r="661" spans="1:38" x14ac:dyDescent="0.4">
      <c r="A661" s="11" t="s">
        <v>11204</v>
      </c>
      <c r="B661" s="12" t="s">
        <v>11205</v>
      </c>
      <c r="C661" s="13" t="s">
        <v>39</v>
      </c>
      <c r="D661" s="13" t="s">
        <v>92</v>
      </c>
      <c r="E661" s="13" t="s">
        <v>11206</v>
      </c>
      <c r="F661" s="13" t="s">
        <v>154</v>
      </c>
      <c r="G661" s="13" t="s">
        <v>39</v>
      </c>
      <c r="H661" s="13" t="s">
        <v>11207</v>
      </c>
      <c r="I661" s="9">
        <f t="shared" ca="1" si="10"/>
        <v>1</v>
      </c>
      <c r="J661" s="13" t="s">
        <v>11208</v>
      </c>
      <c r="K661" s="13" t="s">
        <v>97</v>
      </c>
      <c r="L661" s="9" t="str">
        <f>VLOOKUP(K661,[1]中国省份_标准!$B$2:$F$35,4,FALSE)</f>
        <v>中部地区</v>
      </c>
      <c r="M661" s="9" t="str">
        <f>VLOOKUP(K661,[1]中国省份_标准!$B$2:$F$35,5,FALSE)</f>
        <v>华中地区</v>
      </c>
      <c r="N661" s="13" t="s">
        <v>4861</v>
      </c>
      <c r="O661" s="13" t="s">
        <v>9655</v>
      </c>
      <c r="P661" s="13" t="s">
        <v>11209</v>
      </c>
      <c r="Q661" s="13" t="s">
        <v>39</v>
      </c>
      <c r="R661" s="13" t="s">
        <v>11210</v>
      </c>
      <c r="S661" s="13" t="s">
        <v>39</v>
      </c>
      <c r="T661" s="13" t="s">
        <v>281</v>
      </c>
      <c r="U661" s="13" t="s">
        <v>11205</v>
      </c>
      <c r="V661" s="13" t="s">
        <v>39</v>
      </c>
      <c r="W661" s="13" t="s">
        <v>11211</v>
      </c>
      <c r="X661" s="13" t="s">
        <v>77</v>
      </c>
      <c r="Y661" s="13" t="s">
        <v>78</v>
      </c>
      <c r="Z661" s="13" t="s">
        <v>11212</v>
      </c>
      <c r="AA661" s="13" t="s">
        <v>80</v>
      </c>
      <c r="AB661" s="13" t="s">
        <v>106</v>
      </c>
      <c r="AC661" s="13" t="s">
        <v>107</v>
      </c>
      <c r="AD661" s="13" t="s">
        <v>128</v>
      </c>
      <c r="AE661" s="13" t="s">
        <v>109</v>
      </c>
      <c r="AF661" s="13" t="s">
        <v>11213</v>
      </c>
      <c r="AG661" s="13" t="s">
        <v>39</v>
      </c>
      <c r="AH661" s="13" t="s">
        <v>39</v>
      </c>
      <c r="AI661" s="13" t="s">
        <v>11214</v>
      </c>
      <c r="AJ661" s="13" t="s">
        <v>10536</v>
      </c>
      <c r="AK661" s="13" t="s">
        <v>10403</v>
      </c>
      <c r="AL661" s="13" t="s">
        <v>88</v>
      </c>
    </row>
    <row r="662" spans="1:38" x14ac:dyDescent="0.4">
      <c r="A662" s="11" t="s">
        <v>11215</v>
      </c>
      <c r="B662" s="14" t="s">
        <v>11216</v>
      </c>
      <c r="C662" s="15" t="s">
        <v>39</v>
      </c>
      <c r="D662" s="15" t="s">
        <v>11217</v>
      </c>
      <c r="E662" s="15" t="s">
        <v>11218</v>
      </c>
      <c r="F662" s="15" t="s">
        <v>2419</v>
      </c>
      <c r="G662" s="15" t="s">
        <v>39</v>
      </c>
      <c r="H662" s="15" t="s">
        <v>11219</v>
      </c>
      <c r="I662" s="9">
        <f t="shared" ca="1" si="10"/>
        <v>2</v>
      </c>
      <c r="J662" s="15" t="s">
        <v>11220</v>
      </c>
      <c r="K662" s="15" t="s">
        <v>97</v>
      </c>
      <c r="L662" s="9" t="str">
        <f>VLOOKUP(K662,[1]中国省份_标准!$B$2:$F$35,4,FALSE)</f>
        <v>中部地区</v>
      </c>
      <c r="M662" s="9" t="str">
        <f>VLOOKUP(K662,[1]中国省份_标准!$B$2:$F$35,5,FALSE)</f>
        <v>华中地区</v>
      </c>
      <c r="N662" s="15" t="s">
        <v>98</v>
      </c>
      <c r="O662" s="15" t="s">
        <v>120</v>
      </c>
      <c r="P662" s="15" t="s">
        <v>11221</v>
      </c>
      <c r="Q662" s="15" t="s">
        <v>39</v>
      </c>
      <c r="R662" s="15" t="s">
        <v>11222</v>
      </c>
      <c r="S662" s="15" t="s">
        <v>39</v>
      </c>
      <c r="T662" s="15" t="s">
        <v>281</v>
      </c>
      <c r="U662" s="15" t="s">
        <v>11216</v>
      </c>
      <c r="V662" s="15" t="s">
        <v>11223</v>
      </c>
      <c r="W662" s="15" t="s">
        <v>11224</v>
      </c>
      <c r="X662" s="15" t="s">
        <v>77</v>
      </c>
      <c r="Y662" s="15" t="s">
        <v>78</v>
      </c>
      <c r="Z662" s="15" t="s">
        <v>11225</v>
      </c>
      <c r="AA662" s="15" t="s">
        <v>80</v>
      </c>
      <c r="AB662" s="15" t="s">
        <v>106</v>
      </c>
      <c r="AC662" s="15" t="s">
        <v>107</v>
      </c>
      <c r="AD662" s="15" t="s">
        <v>128</v>
      </c>
      <c r="AE662" s="15" t="s">
        <v>109</v>
      </c>
      <c r="AF662" s="15" t="s">
        <v>11226</v>
      </c>
      <c r="AG662" s="15" t="s">
        <v>39</v>
      </c>
      <c r="AH662" s="15" t="s">
        <v>11227</v>
      </c>
      <c r="AI662" s="15" t="s">
        <v>11228</v>
      </c>
      <c r="AJ662" s="15" t="s">
        <v>11229</v>
      </c>
      <c r="AK662" s="15" t="s">
        <v>132</v>
      </c>
      <c r="AL662" s="15" t="s">
        <v>88</v>
      </c>
    </row>
    <row r="663" spans="1:38" x14ac:dyDescent="0.4">
      <c r="A663" s="11" t="s">
        <v>11230</v>
      </c>
      <c r="B663" s="12" t="s">
        <v>11231</v>
      </c>
      <c r="C663" s="13" t="s">
        <v>39</v>
      </c>
      <c r="D663" s="13" t="s">
        <v>92</v>
      </c>
      <c r="E663" s="13" t="s">
        <v>11232</v>
      </c>
      <c r="F663" s="13" t="s">
        <v>422</v>
      </c>
      <c r="G663" s="13" t="s">
        <v>39</v>
      </c>
      <c r="H663" s="13" t="s">
        <v>11233</v>
      </c>
      <c r="I663" s="9">
        <f t="shared" ca="1" si="10"/>
        <v>0</v>
      </c>
      <c r="J663" s="13" t="s">
        <v>11234</v>
      </c>
      <c r="K663" s="13" t="s">
        <v>97</v>
      </c>
      <c r="L663" s="9" t="str">
        <f>VLOOKUP(K663,[1]中国省份_标准!$B$2:$F$35,4,FALSE)</f>
        <v>中部地区</v>
      </c>
      <c r="M663" s="9" t="str">
        <f>VLOOKUP(K663,[1]中国省份_标准!$B$2:$F$35,5,FALSE)</f>
        <v>华中地区</v>
      </c>
      <c r="N663" s="13" t="s">
        <v>98</v>
      </c>
      <c r="O663" s="13" t="s">
        <v>120</v>
      </c>
      <c r="P663" s="13" t="s">
        <v>39</v>
      </c>
      <c r="Q663" s="13" t="s">
        <v>39</v>
      </c>
      <c r="R663" s="13" t="s">
        <v>39</v>
      </c>
      <c r="S663" s="13" t="s">
        <v>39</v>
      </c>
      <c r="T663" s="13" t="s">
        <v>281</v>
      </c>
      <c r="U663" s="13" t="s">
        <v>11231</v>
      </c>
      <c r="V663" s="13" t="s">
        <v>11235</v>
      </c>
      <c r="W663" s="13" t="s">
        <v>11236</v>
      </c>
      <c r="X663" s="13" t="s">
        <v>39</v>
      </c>
      <c r="Y663" s="13" t="s">
        <v>39</v>
      </c>
      <c r="Z663" s="13" t="s">
        <v>11237</v>
      </c>
      <c r="AA663" s="13" t="s">
        <v>80</v>
      </c>
      <c r="AB663" s="13" t="s">
        <v>106</v>
      </c>
      <c r="AC663" s="13" t="s">
        <v>107</v>
      </c>
      <c r="AD663" s="13" t="s">
        <v>128</v>
      </c>
      <c r="AE663" s="13" t="s">
        <v>109</v>
      </c>
      <c r="AF663" s="13" t="s">
        <v>11238</v>
      </c>
      <c r="AG663" s="13" t="s">
        <v>39</v>
      </c>
      <c r="AH663" s="13" t="s">
        <v>39</v>
      </c>
      <c r="AI663" s="13" t="s">
        <v>11239</v>
      </c>
      <c r="AJ663" s="13" t="s">
        <v>9058</v>
      </c>
      <c r="AK663" s="13" t="s">
        <v>132</v>
      </c>
      <c r="AL663" s="13" t="s">
        <v>88</v>
      </c>
    </row>
    <row r="664" spans="1:38" x14ac:dyDescent="0.4">
      <c r="A664" s="11" t="s">
        <v>11240</v>
      </c>
      <c r="B664" s="14" t="s">
        <v>11241</v>
      </c>
      <c r="C664" s="15" t="s">
        <v>39</v>
      </c>
      <c r="D664" s="15" t="s">
        <v>92</v>
      </c>
      <c r="E664" s="15" t="s">
        <v>11242</v>
      </c>
      <c r="F664" s="15" t="s">
        <v>422</v>
      </c>
      <c r="G664" s="15" t="s">
        <v>39</v>
      </c>
      <c r="H664" s="15" t="s">
        <v>6537</v>
      </c>
      <c r="I664" s="9">
        <f t="shared" ca="1" si="10"/>
        <v>3</v>
      </c>
      <c r="J664" s="15" t="s">
        <v>11243</v>
      </c>
      <c r="K664" s="15" t="s">
        <v>97</v>
      </c>
      <c r="L664" s="9" t="str">
        <f>VLOOKUP(K664,[1]中国省份_标准!$B$2:$F$35,4,FALSE)</f>
        <v>中部地区</v>
      </c>
      <c r="M664" s="9" t="str">
        <f>VLOOKUP(K664,[1]中国省份_标准!$B$2:$F$35,5,FALSE)</f>
        <v>华中地区</v>
      </c>
      <c r="N664" s="15" t="s">
        <v>98</v>
      </c>
      <c r="O664" s="15" t="s">
        <v>120</v>
      </c>
      <c r="P664" s="15" t="s">
        <v>11244</v>
      </c>
      <c r="Q664" s="15" t="s">
        <v>39</v>
      </c>
      <c r="R664" s="15" t="s">
        <v>11245</v>
      </c>
      <c r="S664" s="15" t="s">
        <v>39</v>
      </c>
      <c r="T664" s="15" t="s">
        <v>281</v>
      </c>
      <c r="U664" s="15" t="s">
        <v>11241</v>
      </c>
      <c r="V664" s="15" t="s">
        <v>11246</v>
      </c>
      <c r="W664" s="15" t="s">
        <v>11247</v>
      </c>
      <c r="X664" s="15" t="s">
        <v>77</v>
      </c>
      <c r="Y664" s="15" t="s">
        <v>78</v>
      </c>
      <c r="Z664" s="15" t="s">
        <v>6544</v>
      </c>
      <c r="AA664" s="15" t="s">
        <v>80</v>
      </c>
      <c r="AB664" s="15" t="s">
        <v>106</v>
      </c>
      <c r="AC664" s="15" t="s">
        <v>107</v>
      </c>
      <c r="AD664" s="15" t="s">
        <v>128</v>
      </c>
      <c r="AE664" s="15" t="s">
        <v>109</v>
      </c>
      <c r="AF664" s="15" t="s">
        <v>11248</v>
      </c>
      <c r="AG664" s="15" t="s">
        <v>39</v>
      </c>
      <c r="AH664" s="15" t="s">
        <v>39</v>
      </c>
      <c r="AI664" s="15" t="s">
        <v>11249</v>
      </c>
      <c r="AJ664" s="15" t="s">
        <v>11250</v>
      </c>
      <c r="AK664" s="15" t="s">
        <v>132</v>
      </c>
      <c r="AL664" s="15" t="s">
        <v>88</v>
      </c>
    </row>
    <row r="665" spans="1:38" x14ac:dyDescent="0.4">
      <c r="A665" s="11" t="s">
        <v>11251</v>
      </c>
      <c r="B665" s="12" t="s">
        <v>11252</v>
      </c>
      <c r="C665" s="13" t="s">
        <v>39</v>
      </c>
      <c r="D665" s="13" t="s">
        <v>92</v>
      </c>
      <c r="E665" s="13" t="s">
        <v>11253</v>
      </c>
      <c r="F665" s="13" t="s">
        <v>640</v>
      </c>
      <c r="G665" s="13" t="s">
        <v>39</v>
      </c>
      <c r="H665" s="13" t="s">
        <v>11254</v>
      </c>
      <c r="I665" s="9">
        <f t="shared" ca="1" si="10"/>
        <v>0</v>
      </c>
      <c r="J665" s="13" t="s">
        <v>11255</v>
      </c>
      <c r="K665" s="13" t="s">
        <v>97</v>
      </c>
      <c r="L665" s="9" t="str">
        <f>VLOOKUP(K665,[1]中国省份_标准!$B$2:$F$35,4,FALSE)</f>
        <v>中部地区</v>
      </c>
      <c r="M665" s="9" t="str">
        <f>VLOOKUP(K665,[1]中国省份_标准!$B$2:$F$35,5,FALSE)</f>
        <v>华中地区</v>
      </c>
      <c r="N665" s="13" t="s">
        <v>98</v>
      </c>
      <c r="O665" s="13" t="s">
        <v>120</v>
      </c>
      <c r="P665" s="13" t="s">
        <v>39</v>
      </c>
      <c r="Q665" s="13" t="s">
        <v>39</v>
      </c>
      <c r="R665" s="13" t="s">
        <v>39</v>
      </c>
      <c r="S665" s="13" t="s">
        <v>39</v>
      </c>
      <c r="T665" s="13" t="s">
        <v>281</v>
      </c>
      <c r="U665" s="13" t="s">
        <v>11252</v>
      </c>
      <c r="V665" s="13" t="s">
        <v>11256</v>
      </c>
      <c r="W665" s="13" t="s">
        <v>11257</v>
      </c>
      <c r="X665" s="13" t="s">
        <v>39</v>
      </c>
      <c r="Y665" s="13" t="s">
        <v>39</v>
      </c>
      <c r="Z665" s="13" t="s">
        <v>11258</v>
      </c>
      <c r="AA665" s="13" t="s">
        <v>80</v>
      </c>
      <c r="AB665" s="13" t="s">
        <v>106</v>
      </c>
      <c r="AC665" s="13" t="s">
        <v>107</v>
      </c>
      <c r="AD665" s="13" t="s">
        <v>128</v>
      </c>
      <c r="AE665" s="13" t="s">
        <v>55</v>
      </c>
      <c r="AF665" s="13" t="s">
        <v>11259</v>
      </c>
      <c r="AG665" s="13" t="s">
        <v>39</v>
      </c>
      <c r="AH665" s="13" t="s">
        <v>39</v>
      </c>
      <c r="AI665" s="13" t="s">
        <v>11260</v>
      </c>
      <c r="AJ665" s="13" t="s">
        <v>11261</v>
      </c>
      <c r="AK665" s="13" t="s">
        <v>132</v>
      </c>
      <c r="AL665" s="13" t="s">
        <v>88</v>
      </c>
    </row>
    <row r="666" spans="1:38" x14ac:dyDescent="0.4">
      <c r="A666" s="11" t="s">
        <v>11262</v>
      </c>
      <c r="B666" s="14" t="s">
        <v>11263</v>
      </c>
      <c r="C666" s="15" t="s">
        <v>39</v>
      </c>
      <c r="D666" s="15" t="s">
        <v>92</v>
      </c>
      <c r="E666" s="15" t="s">
        <v>11264</v>
      </c>
      <c r="F666" s="15" t="s">
        <v>154</v>
      </c>
      <c r="G666" s="15" t="s">
        <v>39</v>
      </c>
      <c r="H666" s="15" t="s">
        <v>11265</v>
      </c>
      <c r="I666" s="9">
        <f t="shared" ca="1" si="10"/>
        <v>1</v>
      </c>
      <c r="J666" s="15" t="s">
        <v>11266</v>
      </c>
      <c r="K666" s="15" t="s">
        <v>97</v>
      </c>
      <c r="L666" s="9" t="str">
        <f>VLOOKUP(K666,[1]中国省份_标准!$B$2:$F$35,4,FALSE)</f>
        <v>中部地区</v>
      </c>
      <c r="M666" s="9" t="str">
        <f>VLOOKUP(K666,[1]中国省份_标准!$B$2:$F$35,5,FALSE)</f>
        <v>华中地区</v>
      </c>
      <c r="N666" s="15" t="s">
        <v>98</v>
      </c>
      <c r="O666" s="15" t="s">
        <v>120</v>
      </c>
      <c r="P666" s="15" t="s">
        <v>39</v>
      </c>
      <c r="Q666" s="15" t="s">
        <v>39</v>
      </c>
      <c r="R666" s="15" t="s">
        <v>39</v>
      </c>
      <c r="S666" s="15" t="s">
        <v>39</v>
      </c>
      <c r="T666" s="15" t="s">
        <v>281</v>
      </c>
      <c r="U666" s="15" t="s">
        <v>11263</v>
      </c>
      <c r="V666" s="15" t="s">
        <v>11267</v>
      </c>
      <c r="W666" s="15" t="s">
        <v>11268</v>
      </c>
      <c r="X666" s="15" t="s">
        <v>39</v>
      </c>
      <c r="Y666" s="15" t="s">
        <v>39</v>
      </c>
      <c r="Z666" s="15" t="s">
        <v>11269</v>
      </c>
      <c r="AA666" s="15" t="s">
        <v>80</v>
      </c>
      <c r="AB666" s="15" t="s">
        <v>106</v>
      </c>
      <c r="AC666" s="15" t="s">
        <v>107</v>
      </c>
      <c r="AD666" s="15" t="s">
        <v>128</v>
      </c>
      <c r="AE666" s="15" t="s">
        <v>109</v>
      </c>
      <c r="AF666" s="15" t="s">
        <v>11270</v>
      </c>
      <c r="AG666" s="15" t="s">
        <v>39</v>
      </c>
      <c r="AH666" s="15" t="s">
        <v>39</v>
      </c>
      <c r="AI666" s="15" t="s">
        <v>11271</v>
      </c>
      <c r="AJ666" s="15" t="s">
        <v>11272</v>
      </c>
      <c r="AK666" s="15" t="s">
        <v>132</v>
      </c>
      <c r="AL666" s="15" t="s">
        <v>88</v>
      </c>
    </row>
    <row r="667" spans="1:38" x14ac:dyDescent="0.4">
      <c r="A667" s="11" t="s">
        <v>11273</v>
      </c>
      <c r="B667" s="12" t="s">
        <v>11274</v>
      </c>
      <c r="C667" s="13" t="s">
        <v>39</v>
      </c>
      <c r="D667" s="13" t="s">
        <v>92</v>
      </c>
      <c r="E667" s="13" t="s">
        <v>11275</v>
      </c>
      <c r="F667" s="13" t="s">
        <v>154</v>
      </c>
      <c r="G667" s="13" t="s">
        <v>39</v>
      </c>
      <c r="H667" s="13" t="s">
        <v>11276</v>
      </c>
      <c r="I667" s="9">
        <f t="shared" ca="1" si="10"/>
        <v>0</v>
      </c>
      <c r="J667" s="13" t="s">
        <v>11277</v>
      </c>
      <c r="K667" s="13" t="s">
        <v>97</v>
      </c>
      <c r="L667" s="9" t="str">
        <f>VLOOKUP(K667,[1]中国省份_标准!$B$2:$F$35,4,FALSE)</f>
        <v>中部地区</v>
      </c>
      <c r="M667" s="9" t="str">
        <f>VLOOKUP(K667,[1]中国省份_标准!$B$2:$F$35,5,FALSE)</f>
        <v>华中地区</v>
      </c>
      <c r="N667" s="13" t="s">
        <v>98</v>
      </c>
      <c r="O667" s="13" t="s">
        <v>120</v>
      </c>
      <c r="P667" s="13" t="s">
        <v>39</v>
      </c>
      <c r="Q667" s="13" t="s">
        <v>39</v>
      </c>
      <c r="R667" s="13" t="s">
        <v>39</v>
      </c>
      <c r="S667" s="13" t="s">
        <v>39</v>
      </c>
      <c r="T667" s="13" t="s">
        <v>281</v>
      </c>
      <c r="U667" s="13" t="s">
        <v>11274</v>
      </c>
      <c r="V667" s="13" t="s">
        <v>11278</v>
      </c>
      <c r="W667" s="13" t="s">
        <v>11279</v>
      </c>
      <c r="X667" s="13" t="s">
        <v>39</v>
      </c>
      <c r="Y667" s="13" t="s">
        <v>39</v>
      </c>
      <c r="Z667" s="13" t="s">
        <v>11280</v>
      </c>
      <c r="AA667" s="13" t="s">
        <v>80</v>
      </c>
      <c r="AB667" s="13" t="s">
        <v>106</v>
      </c>
      <c r="AC667" s="13" t="s">
        <v>107</v>
      </c>
      <c r="AD667" s="13" t="s">
        <v>128</v>
      </c>
      <c r="AE667" s="13" t="s">
        <v>109</v>
      </c>
      <c r="AF667" s="13" t="s">
        <v>11281</v>
      </c>
      <c r="AG667" s="13" t="s">
        <v>39</v>
      </c>
      <c r="AH667" s="13" t="s">
        <v>39</v>
      </c>
      <c r="AI667" s="13" t="s">
        <v>11282</v>
      </c>
      <c r="AJ667" s="13" t="s">
        <v>11283</v>
      </c>
      <c r="AK667" s="13" t="s">
        <v>132</v>
      </c>
      <c r="AL667" s="13" t="s">
        <v>88</v>
      </c>
    </row>
    <row r="668" spans="1:38" x14ac:dyDescent="0.4">
      <c r="A668" s="11" t="s">
        <v>11284</v>
      </c>
      <c r="B668" s="14" t="s">
        <v>11285</v>
      </c>
      <c r="C668" s="15" t="s">
        <v>39</v>
      </c>
      <c r="D668" s="15" t="s">
        <v>92</v>
      </c>
      <c r="E668" s="15" t="s">
        <v>11286</v>
      </c>
      <c r="F668" s="15" t="s">
        <v>154</v>
      </c>
      <c r="G668" s="15" t="s">
        <v>39</v>
      </c>
      <c r="H668" s="15" t="s">
        <v>11287</v>
      </c>
      <c r="I668" s="9">
        <f t="shared" ca="1" si="10"/>
        <v>0</v>
      </c>
      <c r="J668" s="15" t="s">
        <v>11288</v>
      </c>
      <c r="K668" s="15" t="s">
        <v>97</v>
      </c>
      <c r="L668" s="9" t="str">
        <f>VLOOKUP(K668,[1]中国省份_标准!$B$2:$F$35,4,FALSE)</f>
        <v>中部地区</v>
      </c>
      <c r="M668" s="9" t="str">
        <f>VLOOKUP(K668,[1]中国省份_标准!$B$2:$F$35,5,FALSE)</f>
        <v>华中地区</v>
      </c>
      <c r="N668" s="15" t="s">
        <v>98</v>
      </c>
      <c r="O668" s="15" t="s">
        <v>99</v>
      </c>
      <c r="P668" s="15" t="s">
        <v>39</v>
      </c>
      <c r="Q668" s="15" t="s">
        <v>39</v>
      </c>
      <c r="R668" s="15" t="s">
        <v>39</v>
      </c>
      <c r="S668" s="15" t="s">
        <v>39</v>
      </c>
      <c r="T668" s="15" t="s">
        <v>48</v>
      </c>
      <c r="U668" s="15" t="s">
        <v>11285</v>
      </c>
      <c r="V668" s="15" t="s">
        <v>11289</v>
      </c>
      <c r="W668" s="15" t="s">
        <v>11290</v>
      </c>
      <c r="X668" s="15" t="s">
        <v>39</v>
      </c>
      <c r="Y668" s="15" t="s">
        <v>39</v>
      </c>
      <c r="Z668" s="15" t="s">
        <v>11291</v>
      </c>
      <c r="AA668" s="15" t="s">
        <v>80</v>
      </c>
      <c r="AB668" s="15" t="s">
        <v>106</v>
      </c>
      <c r="AC668" s="15" t="s">
        <v>107</v>
      </c>
      <c r="AD668" s="15" t="s">
        <v>128</v>
      </c>
      <c r="AE668" s="15" t="s">
        <v>109</v>
      </c>
      <c r="AF668" s="15" t="s">
        <v>11292</v>
      </c>
      <c r="AG668" s="15" t="s">
        <v>39</v>
      </c>
      <c r="AH668" s="15" t="s">
        <v>39</v>
      </c>
      <c r="AI668" s="15" t="s">
        <v>11293</v>
      </c>
      <c r="AJ668" s="15" t="s">
        <v>11294</v>
      </c>
      <c r="AK668" s="15" t="s">
        <v>113</v>
      </c>
      <c r="AL668" s="15" t="s">
        <v>88</v>
      </c>
    </row>
    <row r="669" spans="1:38" x14ac:dyDescent="0.4">
      <c r="A669" s="11" t="s">
        <v>11295</v>
      </c>
      <c r="B669" s="12" t="s">
        <v>11296</v>
      </c>
      <c r="C669" s="13" t="s">
        <v>39</v>
      </c>
      <c r="D669" s="13" t="s">
        <v>92</v>
      </c>
      <c r="E669" s="13" t="s">
        <v>11297</v>
      </c>
      <c r="F669" s="13" t="s">
        <v>154</v>
      </c>
      <c r="G669" s="13" t="s">
        <v>39</v>
      </c>
      <c r="H669" s="13" t="s">
        <v>11298</v>
      </c>
      <c r="I669" s="9">
        <f t="shared" ca="1" si="10"/>
        <v>0</v>
      </c>
      <c r="J669" s="13" t="s">
        <v>11299</v>
      </c>
      <c r="K669" s="13" t="s">
        <v>97</v>
      </c>
      <c r="L669" s="9" t="str">
        <f>VLOOKUP(K669,[1]中国省份_标准!$B$2:$F$35,4,FALSE)</f>
        <v>中部地区</v>
      </c>
      <c r="M669" s="9" t="str">
        <f>VLOOKUP(K669,[1]中国省份_标准!$B$2:$F$35,5,FALSE)</f>
        <v>华中地区</v>
      </c>
      <c r="N669" s="13" t="s">
        <v>98</v>
      </c>
      <c r="O669" s="13" t="s">
        <v>99</v>
      </c>
      <c r="P669" s="13" t="s">
        <v>39</v>
      </c>
      <c r="Q669" s="13" t="s">
        <v>39</v>
      </c>
      <c r="R669" s="13" t="s">
        <v>39</v>
      </c>
      <c r="S669" s="13" t="s">
        <v>39</v>
      </c>
      <c r="T669" s="13" t="s">
        <v>48</v>
      </c>
      <c r="U669" s="13" t="s">
        <v>11296</v>
      </c>
      <c r="V669" s="13" t="s">
        <v>11300</v>
      </c>
      <c r="W669" s="13" t="s">
        <v>11301</v>
      </c>
      <c r="X669" s="13" t="s">
        <v>39</v>
      </c>
      <c r="Y669" s="13" t="s">
        <v>39</v>
      </c>
      <c r="Z669" s="13" t="s">
        <v>11302</v>
      </c>
      <c r="AA669" s="13" t="s">
        <v>80</v>
      </c>
      <c r="AB669" s="13" t="s">
        <v>106</v>
      </c>
      <c r="AC669" s="13" t="s">
        <v>107</v>
      </c>
      <c r="AD669" s="13" t="s">
        <v>128</v>
      </c>
      <c r="AE669" s="13" t="s">
        <v>109</v>
      </c>
      <c r="AF669" s="13" t="s">
        <v>11303</v>
      </c>
      <c r="AG669" s="13" t="s">
        <v>39</v>
      </c>
      <c r="AH669" s="13" t="s">
        <v>39</v>
      </c>
      <c r="AI669" s="13" t="s">
        <v>11304</v>
      </c>
      <c r="AJ669" s="13" t="s">
        <v>11305</v>
      </c>
      <c r="AK669" s="13" t="s">
        <v>113</v>
      </c>
      <c r="AL669" s="13" t="s">
        <v>88</v>
      </c>
    </row>
    <row r="670" spans="1:38" x14ac:dyDescent="0.4">
      <c r="A670" s="11" t="s">
        <v>11306</v>
      </c>
      <c r="B670" s="14" t="s">
        <v>11307</v>
      </c>
      <c r="C670" s="15" t="s">
        <v>39</v>
      </c>
      <c r="D670" s="15" t="s">
        <v>92</v>
      </c>
      <c r="E670" s="15" t="s">
        <v>11308</v>
      </c>
      <c r="F670" s="15" t="s">
        <v>11309</v>
      </c>
      <c r="G670" s="15" t="s">
        <v>11310</v>
      </c>
      <c r="H670" s="15" t="s">
        <v>11311</v>
      </c>
      <c r="I670" s="9">
        <f t="shared" ca="1" si="10"/>
        <v>26</v>
      </c>
      <c r="J670" s="15" t="s">
        <v>11312</v>
      </c>
      <c r="K670" s="15" t="s">
        <v>340</v>
      </c>
      <c r="L670" s="9" t="str">
        <f>VLOOKUP(K670,[1]中国省份_标准!$B$2:$F$35,4,FALSE)</f>
        <v>东部地区</v>
      </c>
      <c r="M670" s="9" t="str">
        <f>VLOOKUP(K670,[1]中国省份_标准!$B$2:$F$35,5,FALSE)</f>
        <v>华东地区</v>
      </c>
      <c r="N670" s="15" t="s">
        <v>401</v>
      </c>
      <c r="O670" s="15" t="s">
        <v>784</v>
      </c>
      <c r="P670" s="15" t="s">
        <v>11313</v>
      </c>
      <c r="Q670" s="15" t="s">
        <v>11314</v>
      </c>
      <c r="R670" s="15" t="s">
        <v>11315</v>
      </c>
      <c r="S670" s="15" t="s">
        <v>39</v>
      </c>
      <c r="T670" s="15" t="s">
        <v>48</v>
      </c>
      <c r="U670" s="15" t="s">
        <v>11307</v>
      </c>
      <c r="V670" s="15" t="s">
        <v>11316</v>
      </c>
      <c r="W670" s="15" t="s">
        <v>11317</v>
      </c>
      <c r="X670" s="15" t="s">
        <v>11318</v>
      </c>
      <c r="Y670" s="15" t="s">
        <v>78</v>
      </c>
      <c r="Z670" s="15" t="s">
        <v>11319</v>
      </c>
      <c r="AA670" s="15" t="s">
        <v>169</v>
      </c>
      <c r="AB670" s="15" t="s">
        <v>285</v>
      </c>
      <c r="AC670" s="15" t="s">
        <v>6134</v>
      </c>
      <c r="AD670" s="15" t="s">
        <v>11320</v>
      </c>
      <c r="AE670" s="15" t="s">
        <v>262</v>
      </c>
      <c r="AF670" s="15" t="s">
        <v>11321</v>
      </c>
      <c r="AG670" s="15" t="s">
        <v>39</v>
      </c>
      <c r="AH670" s="15" t="s">
        <v>39</v>
      </c>
      <c r="AI670" s="15" t="s">
        <v>11322</v>
      </c>
      <c r="AJ670" s="15" t="s">
        <v>11323</v>
      </c>
      <c r="AK670" s="15" t="s">
        <v>796</v>
      </c>
      <c r="AL670" s="15" t="s">
        <v>88</v>
      </c>
    </row>
    <row r="671" spans="1:38" x14ac:dyDescent="0.4">
      <c r="A671" s="11" t="s">
        <v>11324</v>
      </c>
      <c r="B671" s="12" t="s">
        <v>11325</v>
      </c>
      <c r="C671" s="13" t="s">
        <v>39</v>
      </c>
      <c r="D671" s="13" t="s">
        <v>92</v>
      </c>
      <c r="E671" s="13" t="s">
        <v>11326</v>
      </c>
      <c r="F671" s="13" t="s">
        <v>11327</v>
      </c>
      <c r="G671" s="13" t="s">
        <v>11327</v>
      </c>
      <c r="H671" s="13" t="s">
        <v>11328</v>
      </c>
      <c r="I671" s="9">
        <f t="shared" ca="1" si="10"/>
        <v>19</v>
      </c>
      <c r="J671" s="13" t="s">
        <v>11329</v>
      </c>
      <c r="K671" s="13" t="s">
        <v>425</v>
      </c>
      <c r="L671" s="9" t="str">
        <f>VLOOKUP(K671,[1]中国省份_标准!$B$2:$F$35,4,FALSE)</f>
        <v>东部地区</v>
      </c>
      <c r="M671" s="9" t="str">
        <f>VLOOKUP(K671,[1]中国省份_标准!$B$2:$F$35,5,FALSE)</f>
        <v>华东地区</v>
      </c>
      <c r="N671" s="13" t="s">
        <v>426</v>
      </c>
      <c r="O671" s="13" t="s">
        <v>427</v>
      </c>
      <c r="P671" s="13" t="s">
        <v>11330</v>
      </c>
      <c r="Q671" s="13" t="s">
        <v>11331</v>
      </c>
      <c r="R671" s="13" t="s">
        <v>11332</v>
      </c>
      <c r="S671" s="13" t="s">
        <v>11333</v>
      </c>
      <c r="T671" s="13" t="s">
        <v>184</v>
      </c>
      <c r="U671" s="13" t="s">
        <v>11325</v>
      </c>
      <c r="V671" s="13" t="s">
        <v>11334</v>
      </c>
      <c r="W671" s="13" t="s">
        <v>11335</v>
      </c>
      <c r="X671" s="13" t="s">
        <v>9493</v>
      </c>
      <c r="Y671" s="13" t="s">
        <v>78</v>
      </c>
      <c r="Z671" s="13" t="s">
        <v>11336</v>
      </c>
      <c r="AA671" s="13" t="s">
        <v>169</v>
      </c>
      <c r="AB671" s="13" t="s">
        <v>285</v>
      </c>
      <c r="AC671" s="13" t="s">
        <v>712</v>
      </c>
      <c r="AD671" s="13" t="s">
        <v>39</v>
      </c>
      <c r="AE671" s="13" t="s">
        <v>55</v>
      </c>
      <c r="AF671" s="13" t="s">
        <v>11337</v>
      </c>
      <c r="AG671" s="13" t="s">
        <v>39</v>
      </c>
      <c r="AH671" s="13" t="s">
        <v>39</v>
      </c>
      <c r="AI671" s="13" t="s">
        <v>11338</v>
      </c>
      <c r="AJ671" s="13" t="s">
        <v>11339</v>
      </c>
      <c r="AK671" s="13" t="s">
        <v>438</v>
      </c>
      <c r="AL671" s="13" t="s">
        <v>88</v>
      </c>
    </row>
    <row r="672" spans="1:38" x14ac:dyDescent="0.4">
      <c r="A672" s="11" t="s">
        <v>11340</v>
      </c>
      <c r="B672" s="12" t="s">
        <v>11341</v>
      </c>
      <c r="C672" s="13" t="s">
        <v>39</v>
      </c>
      <c r="D672" s="13" t="s">
        <v>63</v>
      </c>
      <c r="E672" s="13" t="s">
        <v>11342</v>
      </c>
      <c r="F672" s="13" t="s">
        <v>640</v>
      </c>
      <c r="G672" s="13" t="s">
        <v>422</v>
      </c>
      <c r="H672" s="13" t="s">
        <v>11343</v>
      </c>
      <c r="I672" s="9">
        <f t="shared" ca="1" si="10"/>
        <v>11</v>
      </c>
      <c r="J672" s="13" t="s">
        <v>11344</v>
      </c>
      <c r="K672" s="13" t="s">
        <v>425</v>
      </c>
      <c r="L672" s="9" t="str">
        <f>VLOOKUP(K672,[1]中国省份_标准!$B$2:$F$35,4,FALSE)</f>
        <v>东部地区</v>
      </c>
      <c r="M672" s="9" t="str">
        <f>VLOOKUP(K672,[1]中国省份_标准!$B$2:$F$35,5,FALSE)</f>
        <v>华东地区</v>
      </c>
      <c r="N672" s="13" t="s">
        <v>3013</v>
      </c>
      <c r="O672" s="13" t="s">
        <v>3014</v>
      </c>
      <c r="P672" s="13" t="s">
        <v>11345</v>
      </c>
      <c r="Q672" s="13" t="s">
        <v>11346</v>
      </c>
      <c r="R672" s="13" t="s">
        <v>11347</v>
      </c>
      <c r="S672" s="13" t="s">
        <v>39</v>
      </c>
      <c r="T672" s="13" t="s">
        <v>48</v>
      </c>
      <c r="U672" s="13" t="s">
        <v>11341</v>
      </c>
      <c r="V672" s="13" t="s">
        <v>11348</v>
      </c>
      <c r="W672" s="13" t="s">
        <v>11349</v>
      </c>
      <c r="X672" s="13" t="s">
        <v>557</v>
      </c>
      <c r="Y672" s="13" t="s">
        <v>78</v>
      </c>
      <c r="Z672" s="13" t="s">
        <v>11350</v>
      </c>
      <c r="AA672" s="13" t="s">
        <v>169</v>
      </c>
      <c r="AB672" s="13" t="s">
        <v>285</v>
      </c>
      <c r="AC672" s="13" t="s">
        <v>712</v>
      </c>
      <c r="AD672" s="13" t="s">
        <v>713</v>
      </c>
      <c r="AE672" s="13" t="s">
        <v>109</v>
      </c>
      <c r="AF672" s="13" t="s">
        <v>11351</v>
      </c>
      <c r="AG672" s="13" t="s">
        <v>39</v>
      </c>
      <c r="AH672" s="13" t="s">
        <v>39</v>
      </c>
      <c r="AI672" s="13" t="s">
        <v>11352</v>
      </c>
      <c r="AJ672" s="13" t="s">
        <v>11353</v>
      </c>
      <c r="AK672" s="13" t="s">
        <v>11005</v>
      </c>
      <c r="AL672" s="13" t="s">
        <v>88</v>
      </c>
    </row>
    <row r="673" spans="1:38" x14ac:dyDescent="0.4">
      <c r="A673" s="11" t="s">
        <v>11354</v>
      </c>
      <c r="B673" s="14" t="s">
        <v>11355</v>
      </c>
      <c r="C673" s="15" t="s">
        <v>39</v>
      </c>
      <c r="D673" s="15" t="s">
        <v>92</v>
      </c>
      <c r="E673" s="15" t="s">
        <v>11356</v>
      </c>
      <c r="F673" s="15" t="s">
        <v>11357</v>
      </c>
      <c r="G673" s="15" t="s">
        <v>11358</v>
      </c>
      <c r="H673" s="15" t="s">
        <v>11359</v>
      </c>
      <c r="I673" s="9">
        <f t="shared" ca="1" si="10"/>
        <v>10</v>
      </c>
      <c r="J673" s="15" t="s">
        <v>11360</v>
      </c>
      <c r="K673" s="15" t="s">
        <v>425</v>
      </c>
      <c r="L673" s="9" t="str">
        <f>VLOOKUP(K673,[1]中国省份_标准!$B$2:$F$35,4,FALSE)</f>
        <v>东部地区</v>
      </c>
      <c r="M673" s="9" t="str">
        <f>VLOOKUP(K673,[1]中国省份_标准!$B$2:$F$35,5,FALSE)</f>
        <v>华东地区</v>
      </c>
      <c r="N673" s="15" t="s">
        <v>2304</v>
      </c>
      <c r="O673" s="15" t="s">
        <v>11361</v>
      </c>
      <c r="P673" s="15" t="s">
        <v>11362</v>
      </c>
      <c r="Q673" s="15" t="s">
        <v>11363</v>
      </c>
      <c r="R673" s="15" t="s">
        <v>11364</v>
      </c>
      <c r="S673" s="15" t="s">
        <v>39</v>
      </c>
      <c r="T673" s="15" t="s">
        <v>670</v>
      </c>
      <c r="U673" s="15" t="s">
        <v>11355</v>
      </c>
      <c r="V673" s="15" t="s">
        <v>11365</v>
      </c>
      <c r="W673" s="15" t="s">
        <v>11366</v>
      </c>
      <c r="X673" s="15" t="s">
        <v>9493</v>
      </c>
      <c r="Y673" s="15" t="s">
        <v>78</v>
      </c>
      <c r="Z673" s="15" t="s">
        <v>11367</v>
      </c>
      <c r="AA673" s="15" t="s">
        <v>169</v>
      </c>
      <c r="AB673" s="15" t="s">
        <v>1706</v>
      </c>
      <c r="AC673" s="15" t="s">
        <v>39</v>
      </c>
      <c r="AD673" s="15" t="s">
        <v>39</v>
      </c>
      <c r="AE673" s="15" t="s">
        <v>55</v>
      </c>
      <c r="AF673" s="15" t="s">
        <v>11368</v>
      </c>
      <c r="AG673" s="15" t="s">
        <v>39</v>
      </c>
      <c r="AH673" s="15" t="s">
        <v>39</v>
      </c>
      <c r="AI673" s="15" t="s">
        <v>11369</v>
      </c>
      <c r="AJ673" s="15" t="s">
        <v>11370</v>
      </c>
      <c r="AK673" s="15" t="s">
        <v>11371</v>
      </c>
      <c r="AL673" s="15" t="s">
        <v>88</v>
      </c>
    </row>
    <row r="674" spans="1:38" x14ac:dyDescent="0.4">
      <c r="A674" s="11" t="s">
        <v>11372</v>
      </c>
      <c r="B674" s="12" t="s">
        <v>11373</v>
      </c>
      <c r="C674" s="13" t="s">
        <v>11374</v>
      </c>
      <c r="D674" s="13" t="s">
        <v>92</v>
      </c>
      <c r="E674" s="13" t="s">
        <v>11375</v>
      </c>
      <c r="F674" s="13" t="s">
        <v>11376</v>
      </c>
      <c r="G674" s="13" t="s">
        <v>11376</v>
      </c>
      <c r="H674" s="13" t="s">
        <v>11377</v>
      </c>
      <c r="I674" s="9">
        <f t="shared" ca="1" si="10"/>
        <v>47</v>
      </c>
      <c r="J674" s="13" t="s">
        <v>11378</v>
      </c>
      <c r="K674" s="13" t="s">
        <v>425</v>
      </c>
      <c r="L674" s="9" t="str">
        <f>VLOOKUP(K674,[1]中国省份_标准!$B$2:$F$35,4,FALSE)</f>
        <v>东部地区</v>
      </c>
      <c r="M674" s="9" t="str">
        <f>VLOOKUP(K674,[1]中国省份_标准!$B$2:$F$35,5,FALSE)</f>
        <v>华东地区</v>
      </c>
      <c r="N674" s="13" t="s">
        <v>3049</v>
      </c>
      <c r="O674" s="13" t="s">
        <v>3050</v>
      </c>
      <c r="P674" s="13" t="s">
        <v>11379</v>
      </c>
      <c r="Q674" s="13" t="s">
        <v>39</v>
      </c>
      <c r="R674" s="13" t="s">
        <v>11380</v>
      </c>
      <c r="S674" s="13" t="s">
        <v>39</v>
      </c>
      <c r="T674" s="13" t="s">
        <v>1584</v>
      </c>
      <c r="U674" s="13" t="s">
        <v>11373</v>
      </c>
      <c r="V674" s="13" t="s">
        <v>11381</v>
      </c>
      <c r="W674" s="13" t="s">
        <v>11382</v>
      </c>
      <c r="X674" s="13" t="s">
        <v>11383</v>
      </c>
      <c r="Y674" s="13" t="s">
        <v>78</v>
      </c>
      <c r="Z674" s="13" t="s">
        <v>11384</v>
      </c>
      <c r="AA674" s="13" t="s">
        <v>169</v>
      </c>
      <c r="AB674" s="13" t="s">
        <v>285</v>
      </c>
      <c r="AC674" s="13" t="s">
        <v>39</v>
      </c>
      <c r="AD674" s="13" t="s">
        <v>39</v>
      </c>
      <c r="AE674" s="13" t="s">
        <v>55</v>
      </c>
      <c r="AF674" s="13" t="s">
        <v>11385</v>
      </c>
      <c r="AG674" s="13" t="s">
        <v>11386</v>
      </c>
      <c r="AH674" s="13" t="s">
        <v>39</v>
      </c>
      <c r="AI674" s="13" t="s">
        <v>11387</v>
      </c>
      <c r="AJ674" s="13" t="s">
        <v>11388</v>
      </c>
      <c r="AK674" s="13" t="s">
        <v>11389</v>
      </c>
      <c r="AL674" s="13" t="s">
        <v>88</v>
      </c>
    </row>
    <row r="675" spans="1:38" x14ac:dyDescent="0.4">
      <c r="A675" s="11" t="s">
        <v>11390</v>
      </c>
      <c r="B675" s="12" t="s">
        <v>11391</v>
      </c>
      <c r="C675" s="13" t="s">
        <v>39</v>
      </c>
      <c r="D675" s="13" t="s">
        <v>92</v>
      </c>
      <c r="E675" s="13" t="s">
        <v>11392</v>
      </c>
      <c r="F675" s="13" t="s">
        <v>39</v>
      </c>
      <c r="G675" s="13" t="s">
        <v>39</v>
      </c>
      <c r="H675" s="13" t="s">
        <v>11393</v>
      </c>
      <c r="I675" s="9">
        <f t="shared" ca="1" si="10"/>
        <v>24</v>
      </c>
      <c r="J675" s="13" t="s">
        <v>11394</v>
      </c>
      <c r="K675" s="13" t="s">
        <v>425</v>
      </c>
      <c r="L675" s="9" t="str">
        <f>VLOOKUP(K675,[1]中国省份_标准!$B$2:$F$35,4,FALSE)</f>
        <v>东部地区</v>
      </c>
      <c r="M675" s="9" t="str">
        <f>VLOOKUP(K675,[1]中国省份_标准!$B$2:$F$35,5,FALSE)</f>
        <v>华东地区</v>
      </c>
      <c r="N675" s="13" t="s">
        <v>3013</v>
      </c>
      <c r="O675" s="13" t="s">
        <v>3014</v>
      </c>
      <c r="P675" s="13" t="s">
        <v>11395</v>
      </c>
      <c r="Q675" s="13" t="s">
        <v>39</v>
      </c>
      <c r="R675" s="13" t="s">
        <v>11396</v>
      </c>
      <c r="S675" s="13" t="s">
        <v>11397</v>
      </c>
      <c r="T675" s="13" t="s">
        <v>2812</v>
      </c>
      <c r="U675" s="13" t="s">
        <v>11391</v>
      </c>
      <c r="V675" s="13" t="s">
        <v>11398</v>
      </c>
      <c r="W675" s="13" t="s">
        <v>11399</v>
      </c>
      <c r="X675" s="13" t="s">
        <v>11400</v>
      </c>
      <c r="Y675" s="13" t="s">
        <v>78</v>
      </c>
      <c r="Z675" s="13" t="s">
        <v>11401</v>
      </c>
      <c r="AA675" s="13" t="s">
        <v>169</v>
      </c>
      <c r="AB675" s="13" t="s">
        <v>285</v>
      </c>
      <c r="AC675" s="13" t="s">
        <v>712</v>
      </c>
      <c r="AD675" s="13" t="s">
        <v>39</v>
      </c>
      <c r="AE675" s="13" t="s">
        <v>39</v>
      </c>
      <c r="AF675" s="13" t="s">
        <v>11402</v>
      </c>
      <c r="AG675" s="13" t="s">
        <v>39</v>
      </c>
      <c r="AH675" s="13" t="s">
        <v>39</v>
      </c>
      <c r="AI675" s="13" t="s">
        <v>11403</v>
      </c>
      <c r="AJ675" s="13" t="s">
        <v>11404</v>
      </c>
      <c r="AK675" s="13" t="s">
        <v>3023</v>
      </c>
      <c r="AL675" s="13" t="s">
        <v>88</v>
      </c>
    </row>
    <row r="676" spans="1:38" x14ac:dyDescent="0.4">
      <c r="A676" s="11" t="s">
        <v>11405</v>
      </c>
      <c r="B676" s="14" t="s">
        <v>11406</v>
      </c>
      <c r="C676" s="15" t="s">
        <v>39</v>
      </c>
      <c r="D676" s="15" t="s">
        <v>92</v>
      </c>
      <c r="E676" s="15" t="s">
        <v>11407</v>
      </c>
      <c r="F676" s="15" t="s">
        <v>4707</v>
      </c>
      <c r="G676" s="15" t="s">
        <v>920</v>
      </c>
      <c r="H676" s="15" t="s">
        <v>1509</v>
      </c>
      <c r="I676" s="9">
        <f t="shared" ca="1" si="10"/>
        <v>5</v>
      </c>
      <c r="J676" s="15" t="s">
        <v>11408</v>
      </c>
      <c r="K676" s="15" t="s">
        <v>4860</v>
      </c>
      <c r="L676" s="9" t="str">
        <f>VLOOKUP(K676,[1]中国省份_标准!$B$2:$F$35,4,FALSE)</f>
        <v>东部地区</v>
      </c>
      <c r="M676" s="9" t="str">
        <f>VLOOKUP(K676,[1]中国省份_标准!$B$2:$F$35,5,FALSE)</f>
        <v>华南地区</v>
      </c>
      <c r="N676" s="15" t="s">
        <v>11409</v>
      </c>
      <c r="O676" s="15" t="s">
        <v>11410</v>
      </c>
      <c r="P676" s="15" t="s">
        <v>39</v>
      </c>
      <c r="Q676" s="15" t="s">
        <v>39</v>
      </c>
      <c r="R676" s="15" t="s">
        <v>11411</v>
      </c>
      <c r="S676" s="15" t="s">
        <v>39</v>
      </c>
      <c r="T676" s="15" t="s">
        <v>209</v>
      </c>
      <c r="U676" s="15" t="s">
        <v>11406</v>
      </c>
      <c r="V676" s="15" t="s">
        <v>39</v>
      </c>
      <c r="W676" s="15" t="s">
        <v>11412</v>
      </c>
      <c r="X676" s="15" t="s">
        <v>2730</v>
      </c>
      <c r="Y676" s="15" t="s">
        <v>78</v>
      </c>
      <c r="Z676" s="15" t="s">
        <v>11413</v>
      </c>
      <c r="AA676" s="15" t="s">
        <v>80</v>
      </c>
      <c r="AB676" s="15" t="s">
        <v>106</v>
      </c>
      <c r="AC676" s="15" t="s">
        <v>107</v>
      </c>
      <c r="AD676" s="15" t="s">
        <v>3348</v>
      </c>
      <c r="AE676" s="15" t="s">
        <v>262</v>
      </c>
      <c r="AF676" s="15" t="s">
        <v>11414</v>
      </c>
      <c r="AG676" s="15" t="s">
        <v>39</v>
      </c>
      <c r="AH676" s="15" t="s">
        <v>11415</v>
      </c>
      <c r="AI676" s="15" t="s">
        <v>11416</v>
      </c>
      <c r="AJ676" s="15" t="s">
        <v>11417</v>
      </c>
      <c r="AK676" s="15" t="s">
        <v>4872</v>
      </c>
      <c r="AL676" s="15" t="s">
        <v>88</v>
      </c>
    </row>
    <row r="677" spans="1:38" x14ac:dyDescent="0.4">
      <c r="A677" s="11" t="s">
        <v>11418</v>
      </c>
      <c r="B677" s="12" t="s">
        <v>11419</v>
      </c>
      <c r="C677" s="13" t="s">
        <v>39</v>
      </c>
      <c r="D677" s="13" t="s">
        <v>92</v>
      </c>
      <c r="E677" s="13" t="s">
        <v>11420</v>
      </c>
      <c r="F677" s="13" t="s">
        <v>11421</v>
      </c>
      <c r="G677" s="13" t="s">
        <v>999</v>
      </c>
      <c r="H677" s="13" t="s">
        <v>11422</v>
      </c>
      <c r="I677" s="9">
        <f t="shared" ca="1" si="10"/>
        <v>6</v>
      </c>
      <c r="J677" s="13" t="s">
        <v>11423</v>
      </c>
      <c r="K677" s="13" t="s">
        <v>4266</v>
      </c>
      <c r="L677" s="9" t="str">
        <f>VLOOKUP(K677,[1]中国省份_标准!$B$2:$F$35,4,FALSE)</f>
        <v>东部地区</v>
      </c>
      <c r="M677" s="9" t="str">
        <f>VLOOKUP(K677,[1]中国省份_标准!$B$2:$F$35,5,FALSE)</f>
        <v>华北地区</v>
      </c>
      <c r="N677" s="13" t="s">
        <v>4266</v>
      </c>
      <c r="O677" s="13" t="s">
        <v>9575</v>
      </c>
      <c r="P677" s="13" t="s">
        <v>11424</v>
      </c>
      <c r="Q677" s="13" t="s">
        <v>11425</v>
      </c>
      <c r="R677" s="13" t="s">
        <v>11426</v>
      </c>
      <c r="S677" s="13" t="s">
        <v>11427</v>
      </c>
      <c r="T677" s="13" t="s">
        <v>1028</v>
      </c>
      <c r="U677" s="13" t="s">
        <v>11419</v>
      </c>
      <c r="V677" s="13" t="s">
        <v>39</v>
      </c>
      <c r="W677" s="13" t="s">
        <v>11428</v>
      </c>
      <c r="X677" s="13" t="s">
        <v>2491</v>
      </c>
      <c r="Y677" s="13" t="s">
        <v>78</v>
      </c>
      <c r="Z677" s="13" t="s">
        <v>11429</v>
      </c>
      <c r="AA677" s="13" t="s">
        <v>80</v>
      </c>
      <c r="AB677" s="13" t="s">
        <v>106</v>
      </c>
      <c r="AC677" s="13" t="s">
        <v>951</v>
      </c>
      <c r="AD677" s="13" t="s">
        <v>952</v>
      </c>
      <c r="AE677" s="13" t="s">
        <v>262</v>
      </c>
      <c r="AF677" s="13" t="s">
        <v>11430</v>
      </c>
      <c r="AG677" s="13" t="s">
        <v>39</v>
      </c>
      <c r="AH677" s="13" t="s">
        <v>39</v>
      </c>
      <c r="AI677" s="13" t="s">
        <v>11431</v>
      </c>
      <c r="AJ677" s="13" t="s">
        <v>11432</v>
      </c>
      <c r="AK677" s="13" t="s">
        <v>11433</v>
      </c>
      <c r="AL677" s="13" t="s">
        <v>88</v>
      </c>
    </row>
    <row r="678" spans="1:38" x14ac:dyDescent="0.4">
      <c r="A678" s="11" t="s">
        <v>11434</v>
      </c>
      <c r="B678" s="14" t="s">
        <v>11435</v>
      </c>
      <c r="C678" s="15" t="s">
        <v>39</v>
      </c>
      <c r="D678" s="15" t="s">
        <v>63</v>
      </c>
      <c r="E678" s="15" t="s">
        <v>11436</v>
      </c>
      <c r="F678" s="15" t="s">
        <v>4113</v>
      </c>
      <c r="G678" s="15" t="s">
        <v>4113</v>
      </c>
      <c r="H678" s="15" t="s">
        <v>11437</v>
      </c>
      <c r="I678" s="9">
        <f t="shared" ca="1" si="10"/>
        <v>3</v>
      </c>
      <c r="J678" s="15" t="s">
        <v>11438</v>
      </c>
      <c r="K678" s="15" t="s">
        <v>67</v>
      </c>
      <c r="L678" s="9" t="str">
        <f>VLOOKUP(K678,[1]中国省份_标准!$B$2:$F$35,4,FALSE)</f>
        <v>东部地区</v>
      </c>
      <c r="M678" s="9" t="str">
        <f>VLOOKUP(K678,[1]中国省份_标准!$B$2:$F$35,5,FALSE)</f>
        <v>华东地区</v>
      </c>
      <c r="N678" s="15" t="s">
        <v>203</v>
      </c>
      <c r="O678" s="15" t="s">
        <v>944</v>
      </c>
      <c r="P678" s="15" t="s">
        <v>11439</v>
      </c>
      <c r="Q678" s="15" t="s">
        <v>11440</v>
      </c>
      <c r="R678" s="15" t="s">
        <v>11441</v>
      </c>
      <c r="S678" s="15" t="s">
        <v>39</v>
      </c>
      <c r="T678" s="15" t="s">
        <v>452</v>
      </c>
      <c r="U678" s="15" t="s">
        <v>11435</v>
      </c>
      <c r="V678" s="15" t="s">
        <v>11442</v>
      </c>
      <c r="W678" s="15" t="s">
        <v>11443</v>
      </c>
      <c r="X678" s="15" t="s">
        <v>11444</v>
      </c>
      <c r="Y678" s="15" t="s">
        <v>78</v>
      </c>
      <c r="Z678" s="15" t="s">
        <v>11445</v>
      </c>
      <c r="AA678" s="15" t="s">
        <v>80</v>
      </c>
      <c r="AB678" s="15" t="s">
        <v>106</v>
      </c>
      <c r="AC678" s="15" t="s">
        <v>107</v>
      </c>
      <c r="AD678" s="15" t="s">
        <v>128</v>
      </c>
      <c r="AE678" s="15" t="s">
        <v>262</v>
      </c>
      <c r="AF678" s="15" t="s">
        <v>11446</v>
      </c>
      <c r="AG678" s="15" t="s">
        <v>39</v>
      </c>
      <c r="AH678" s="15" t="s">
        <v>39</v>
      </c>
      <c r="AI678" s="15" t="s">
        <v>11447</v>
      </c>
      <c r="AJ678" s="15" t="s">
        <v>11448</v>
      </c>
      <c r="AK678" s="15" t="s">
        <v>3564</v>
      </c>
      <c r="AL678" s="15" t="s">
        <v>88</v>
      </c>
    </row>
    <row r="679" spans="1:38" x14ac:dyDescent="0.4">
      <c r="A679" s="11" t="s">
        <v>11449</v>
      </c>
      <c r="B679" s="12" t="s">
        <v>11450</v>
      </c>
      <c r="C679" s="13" t="s">
        <v>39</v>
      </c>
      <c r="D679" s="13" t="s">
        <v>92</v>
      </c>
      <c r="E679" s="13" t="s">
        <v>11451</v>
      </c>
      <c r="F679" s="13" t="s">
        <v>961</v>
      </c>
      <c r="G679" s="13" t="s">
        <v>39</v>
      </c>
      <c r="H679" s="13" t="s">
        <v>11452</v>
      </c>
      <c r="I679" s="9">
        <f t="shared" ca="1" si="10"/>
        <v>2</v>
      </c>
      <c r="J679" s="13" t="s">
        <v>11453</v>
      </c>
      <c r="K679" s="13" t="s">
        <v>97</v>
      </c>
      <c r="L679" s="9" t="str">
        <f>VLOOKUP(K679,[1]中国省份_标准!$B$2:$F$35,4,FALSE)</f>
        <v>中部地区</v>
      </c>
      <c r="M679" s="9" t="str">
        <f>VLOOKUP(K679,[1]中国省份_标准!$B$2:$F$35,5,FALSE)</f>
        <v>华中地区</v>
      </c>
      <c r="N679" s="13" t="s">
        <v>98</v>
      </c>
      <c r="O679" s="13" t="s">
        <v>120</v>
      </c>
      <c r="P679" s="13" t="s">
        <v>11454</v>
      </c>
      <c r="Q679" s="13" t="s">
        <v>39</v>
      </c>
      <c r="R679" s="13" t="s">
        <v>11455</v>
      </c>
      <c r="S679" s="13" t="s">
        <v>39</v>
      </c>
      <c r="T679" s="13" t="s">
        <v>281</v>
      </c>
      <c r="U679" s="13" t="s">
        <v>11450</v>
      </c>
      <c r="V679" s="13" t="s">
        <v>39</v>
      </c>
      <c r="W679" s="13" t="s">
        <v>11456</v>
      </c>
      <c r="X679" s="13" t="s">
        <v>77</v>
      </c>
      <c r="Y679" s="13" t="s">
        <v>78</v>
      </c>
      <c r="Z679" s="13" t="s">
        <v>11457</v>
      </c>
      <c r="AA679" s="13" t="s">
        <v>80</v>
      </c>
      <c r="AB679" s="13" t="s">
        <v>106</v>
      </c>
      <c r="AC679" s="13" t="s">
        <v>107</v>
      </c>
      <c r="AD679" s="13" t="s">
        <v>128</v>
      </c>
      <c r="AE679" s="13" t="s">
        <v>109</v>
      </c>
      <c r="AF679" s="13" t="s">
        <v>11458</v>
      </c>
      <c r="AG679" s="13" t="s">
        <v>39</v>
      </c>
      <c r="AH679" s="13" t="s">
        <v>39</v>
      </c>
      <c r="AI679" s="13" t="s">
        <v>11459</v>
      </c>
      <c r="AJ679" s="13" t="s">
        <v>11460</v>
      </c>
      <c r="AK679" s="13" t="s">
        <v>132</v>
      </c>
      <c r="AL679" s="13" t="s">
        <v>88</v>
      </c>
    </row>
    <row r="680" spans="1:38" x14ac:dyDescent="0.4">
      <c r="A680" s="11" t="s">
        <v>11461</v>
      </c>
      <c r="B680" s="14" t="s">
        <v>11462</v>
      </c>
      <c r="C680" s="15" t="s">
        <v>11463</v>
      </c>
      <c r="D680" s="15" t="s">
        <v>92</v>
      </c>
      <c r="E680" s="15" t="s">
        <v>11464</v>
      </c>
      <c r="F680" s="15" t="s">
        <v>11465</v>
      </c>
      <c r="G680" s="15" t="s">
        <v>920</v>
      </c>
      <c r="H680" s="15" t="s">
        <v>11466</v>
      </c>
      <c r="I680" s="9">
        <f t="shared" ca="1" si="10"/>
        <v>23</v>
      </c>
      <c r="J680" s="15" t="s">
        <v>11467</v>
      </c>
      <c r="K680" s="15" t="s">
        <v>97</v>
      </c>
      <c r="L680" s="9" t="str">
        <f>VLOOKUP(K680,[1]中国省份_标准!$B$2:$F$35,4,FALSE)</f>
        <v>中部地区</v>
      </c>
      <c r="M680" s="9" t="str">
        <f>VLOOKUP(K680,[1]中国省份_标准!$B$2:$F$35,5,FALSE)</f>
        <v>华中地区</v>
      </c>
      <c r="N680" s="15" t="s">
        <v>98</v>
      </c>
      <c r="O680" s="15" t="s">
        <v>120</v>
      </c>
      <c r="P680" s="15" t="s">
        <v>11468</v>
      </c>
      <c r="Q680" s="15" t="s">
        <v>11469</v>
      </c>
      <c r="R680" s="15" t="s">
        <v>11470</v>
      </c>
      <c r="S680" s="15" t="s">
        <v>11471</v>
      </c>
      <c r="T680" s="15" t="s">
        <v>11472</v>
      </c>
      <c r="U680" s="15" t="s">
        <v>11462</v>
      </c>
      <c r="V680" s="15" t="s">
        <v>11473</v>
      </c>
      <c r="W680" s="15" t="s">
        <v>11474</v>
      </c>
      <c r="X680" s="15" t="s">
        <v>11475</v>
      </c>
      <c r="Y680" s="15" t="s">
        <v>78</v>
      </c>
      <c r="Z680" s="15" t="s">
        <v>11476</v>
      </c>
      <c r="AA680" s="15" t="s">
        <v>169</v>
      </c>
      <c r="AB680" s="15" t="s">
        <v>4216</v>
      </c>
      <c r="AC680" s="15" t="s">
        <v>9462</v>
      </c>
      <c r="AD680" s="15" t="s">
        <v>11477</v>
      </c>
      <c r="AE680" s="15" t="s">
        <v>239</v>
      </c>
      <c r="AF680" s="15" t="s">
        <v>11478</v>
      </c>
      <c r="AG680" s="15" t="s">
        <v>11479</v>
      </c>
      <c r="AH680" s="15" t="s">
        <v>39</v>
      </c>
      <c r="AI680" s="15" t="s">
        <v>11480</v>
      </c>
      <c r="AJ680" s="15" t="s">
        <v>11481</v>
      </c>
      <c r="AK680" s="15" t="s">
        <v>9668</v>
      </c>
      <c r="AL680" s="15" t="s">
        <v>88</v>
      </c>
    </row>
    <row r="681" spans="1:38" x14ac:dyDescent="0.4">
      <c r="A681" s="11" t="s">
        <v>11482</v>
      </c>
      <c r="B681" s="12" t="s">
        <v>11483</v>
      </c>
      <c r="C681" s="13" t="s">
        <v>11484</v>
      </c>
      <c r="D681" s="13" t="s">
        <v>92</v>
      </c>
      <c r="E681" s="13" t="s">
        <v>11485</v>
      </c>
      <c r="F681" s="13" t="s">
        <v>11486</v>
      </c>
      <c r="G681" s="13" t="s">
        <v>11486</v>
      </c>
      <c r="H681" s="13" t="s">
        <v>11487</v>
      </c>
      <c r="I681" s="9">
        <f t="shared" ca="1" si="10"/>
        <v>18</v>
      </c>
      <c r="J681" s="13" t="s">
        <v>11488</v>
      </c>
      <c r="K681" s="13" t="s">
        <v>3068</v>
      </c>
      <c r="L681" s="9" t="str">
        <f>VLOOKUP(K681,[1]中国省份_标准!$B$2:$F$35,4,FALSE)</f>
        <v>西部地区</v>
      </c>
      <c r="M681" s="9" t="str">
        <f>VLOOKUP(K681,[1]中国省份_标准!$B$2:$F$35,5,FALSE)</f>
        <v>西北地区</v>
      </c>
      <c r="N681" s="13" t="s">
        <v>11489</v>
      </c>
      <c r="O681" s="13" t="s">
        <v>11490</v>
      </c>
      <c r="P681" s="13" t="s">
        <v>11491</v>
      </c>
      <c r="Q681" s="13" t="s">
        <v>11492</v>
      </c>
      <c r="R681" s="13" t="s">
        <v>11493</v>
      </c>
      <c r="S681" s="13" t="s">
        <v>11494</v>
      </c>
      <c r="T681" s="13" t="s">
        <v>11028</v>
      </c>
      <c r="U681" s="13" t="s">
        <v>11483</v>
      </c>
      <c r="V681" s="13" t="s">
        <v>11495</v>
      </c>
      <c r="W681" s="13" t="s">
        <v>11496</v>
      </c>
      <c r="X681" s="13" t="s">
        <v>11497</v>
      </c>
      <c r="Y681" s="13" t="s">
        <v>78</v>
      </c>
      <c r="Z681" s="13" t="s">
        <v>11498</v>
      </c>
      <c r="AA681" s="13" t="s">
        <v>9130</v>
      </c>
      <c r="AB681" s="13" t="s">
        <v>9131</v>
      </c>
      <c r="AC681" s="13" t="s">
        <v>9279</v>
      </c>
      <c r="AD681" s="13" t="s">
        <v>39</v>
      </c>
      <c r="AE681" s="13" t="s">
        <v>239</v>
      </c>
      <c r="AF681" s="13" t="s">
        <v>11499</v>
      </c>
      <c r="AG681" s="13" t="s">
        <v>11500</v>
      </c>
      <c r="AH681" s="13" t="s">
        <v>39</v>
      </c>
      <c r="AI681" s="13" t="s">
        <v>11501</v>
      </c>
      <c r="AJ681" s="13" t="s">
        <v>11502</v>
      </c>
      <c r="AK681" s="13" t="s">
        <v>11503</v>
      </c>
      <c r="AL681" s="13" t="s">
        <v>88</v>
      </c>
    </row>
    <row r="682" spans="1:38" x14ac:dyDescent="0.4">
      <c r="A682" s="11" t="s">
        <v>11504</v>
      </c>
      <c r="B682" s="14" t="s">
        <v>11505</v>
      </c>
      <c r="C682" s="15" t="s">
        <v>11506</v>
      </c>
      <c r="D682" s="15" t="s">
        <v>92</v>
      </c>
      <c r="E682" s="15" t="s">
        <v>11507</v>
      </c>
      <c r="F682" s="15" t="s">
        <v>4113</v>
      </c>
      <c r="G682" s="15" t="s">
        <v>4113</v>
      </c>
      <c r="H682" s="15" t="s">
        <v>11508</v>
      </c>
      <c r="I682" s="9">
        <f t="shared" ca="1" si="10"/>
        <v>11</v>
      </c>
      <c r="J682" s="15" t="s">
        <v>11509</v>
      </c>
      <c r="K682" s="15" t="s">
        <v>45</v>
      </c>
      <c r="L682" s="9" t="str">
        <f>VLOOKUP(K682,[1]中国省份_标准!$B$2:$F$35,4,FALSE)</f>
        <v>东部地区</v>
      </c>
      <c r="M682" s="9" t="str">
        <f>VLOOKUP(K682,[1]中国省份_标准!$B$2:$F$35,5,FALSE)</f>
        <v>华东地区</v>
      </c>
      <c r="N682" s="15" t="s">
        <v>45</v>
      </c>
      <c r="O682" s="15" t="s">
        <v>1123</v>
      </c>
      <c r="P682" s="15" t="s">
        <v>11510</v>
      </c>
      <c r="Q682" s="15" t="s">
        <v>11511</v>
      </c>
      <c r="R682" s="15" t="s">
        <v>11512</v>
      </c>
      <c r="S682" s="15" t="s">
        <v>11513</v>
      </c>
      <c r="T682" s="15" t="s">
        <v>209</v>
      </c>
      <c r="U682" s="15" t="s">
        <v>11505</v>
      </c>
      <c r="V682" s="15" t="s">
        <v>11514</v>
      </c>
      <c r="W682" s="15" t="s">
        <v>11515</v>
      </c>
      <c r="X682" s="15" t="s">
        <v>1777</v>
      </c>
      <c r="Y682" s="15" t="s">
        <v>78</v>
      </c>
      <c r="Z682" s="15" t="s">
        <v>11516</v>
      </c>
      <c r="AA682" s="15" t="s">
        <v>80</v>
      </c>
      <c r="AB682" s="15" t="s">
        <v>106</v>
      </c>
      <c r="AC682" s="15" t="s">
        <v>107</v>
      </c>
      <c r="AD682" s="15" t="s">
        <v>128</v>
      </c>
      <c r="AE682" s="15" t="s">
        <v>55</v>
      </c>
      <c r="AF682" s="15" t="s">
        <v>11517</v>
      </c>
      <c r="AG682" s="15" t="s">
        <v>39</v>
      </c>
      <c r="AH682" s="15" t="s">
        <v>11518</v>
      </c>
      <c r="AI682" s="15" t="s">
        <v>11519</v>
      </c>
      <c r="AJ682" s="15" t="s">
        <v>11520</v>
      </c>
      <c r="AK682" s="15" t="s">
        <v>4126</v>
      </c>
      <c r="AL682" s="15" t="s">
        <v>88</v>
      </c>
    </row>
    <row r="683" spans="1:38" x14ac:dyDescent="0.4">
      <c r="A683" s="11" t="s">
        <v>11521</v>
      </c>
      <c r="B683" s="12" t="s">
        <v>11522</v>
      </c>
      <c r="C683" s="13" t="s">
        <v>11523</v>
      </c>
      <c r="D683" s="13" t="s">
        <v>92</v>
      </c>
      <c r="E683" s="13" t="s">
        <v>11524</v>
      </c>
      <c r="F683" s="13" t="s">
        <v>11525</v>
      </c>
      <c r="G683" s="13" t="s">
        <v>11525</v>
      </c>
      <c r="H683" s="13" t="s">
        <v>11526</v>
      </c>
      <c r="I683" s="9">
        <f t="shared" ca="1" si="10"/>
        <v>25</v>
      </c>
      <c r="J683" s="13" t="s">
        <v>11527</v>
      </c>
      <c r="K683" s="13" t="s">
        <v>227</v>
      </c>
      <c r="L683" s="9" t="str">
        <f>VLOOKUP(K683,[1]中国省份_标准!$B$2:$F$35,4,FALSE)</f>
        <v>西部地区</v>
      </c>
      <c r="M683" s="9" t="str">
        <f>VLOOKUP(K683,[1]中国省份_标准!$B$2:$F$35,5,FALSE)</f>
        <v>西北地区</v>
      </c>
      <c r="N683" s="13" t="s">
        <v>3212</v>
      </c>
      <c r="O683" s="13" t="s">
        <v>11528</v>
      </c>
      <c r="P683" s="13" t="s">
        <v>11529</v>
      </c>
      <c r="Q683" s="13" t="s">
        <v>11530</v>
      </c>
      <c r="R683" s="13" t="s">
        <v>11531</v>
      </c>
      <c r="S683" s="13" t="s">
        <v>11532</v>
      </c>
      <c r="T683" s="13" t="s">
        <v>209</v>
      </c>
      <c r="U683" s="13" t="s">
        <v>11522</v>
      </c>
      <c r="V683" s="13" t="s">
        <v>11533</v>
      </c>
      <c r="W683" s="13" t="s">
        <v>11534</v>
      </c>
      <c r="X683" s="13" t="s">
        <v>1209</v>
      </c>
      <c r="Y683" s="13" t="s">
        <v>78</v>
      </c>
      <c r="Z683" s="13" t="s">
        <v>11535</v>
      </c>
      <c r="AA683" s="13" t="s">
        <v>80</v>
      </c>
      <c r="AB683" s="13" t="s">
        <v>106</v>
      </c>
      <c r="AC683" s="13" t="s">
        <v>808</v>
      </c>
      <c r="AD683" s="13" t="s">
        <v>893</v>
      </c>
      <c r="AE683" s="13" t="s">
        <v>55</v>
      </c>
      <c r="AF683" s="13" t="s">
        <v>11536</v>
      </c>
      <c r="AG683" s="13" t="s">
        <v>39</v>
      </c>
      <c r="AH683" s="13" t="s">
        <v>39</v>
      </c>
      <c r="AI683" s="13" t="s">
        <v>11537</v>
      </c>
      <c r="AJ683" s="13" t="s">
        <v>11538</v>
      </c>
      <c r="AK683" s="13" t="s">
        <v>11539</v>
      </c>
      <c r="AL683" s="13" t="s">
        <v>88</v>
      </c>
    </row>
    <row r="684" spans="1:38" x14ac:dyDescent="0.4">
      <c r="A684" s="11" t="s">
        <v>11540</v>
      </c>
      <c r="B684" s="14" t="s">
        <v>11541</v>
      </c>
      <c r="C684" s="15" t="s">
        <v>11542</v>
      </c>
      <c r="D684" s="15" t="s">
        <v>63</v>
      </c>
      <c r="E684" s="15" t="s">
        <v>11543</v>
      </c>
      <c r="F684" s="15" t="s">
        <v>490</v>
      </c>
      <c r="G684" s="15" t="s">
        <v>490</v>
      </c>
      <c r="H684" s="15" t="s">
        <v>11544</v>
      </c>
      <c r="I684" s="9">
        <f t="shared" ca="1" si="10"/>
        <v>10</v>
      </c>
      <c r="J684" s="15" t="s">
        <v>11545</v>
      </c>
      <c r="K684" s="15" t="s">
        <v>425</v>
      </c>
      <c r="L684" s="9" t="str">
        <f>VLOOKUP(K684,[1]中国省份_标准!$B$2:$F$35,4,FALSE)</f>
        <v>东部地区</v>
      </c>
      <c r="M684" s="9" t="str">
        <f>VLOOKUP(K684,[1]中国省份_标准!$B$2:$F$35,5,FALSE)</f>
        <v>华东地区</v>
      </c>
      <c r="N684" s="15" t="s">
        <v>2304</v>
      </c>
      <c r="O684" s="15" t="s">
        <v>8652</v>
      </c>
      <c r="P684" s="15" t="s">
        <v>11546</v>
      </c>
      <c r="Q684" s="15" t="s">
        <v>11547</v>
      </c>
      <c r="R684" s="15" t="s">
        <v>11548</v>
      </c>
      <c r="S684" s="15" t="s">
        <v>11549</v>
      </c>
      <c r="T684" s="15" t="s">
        <v>670</v>
      </c>
      <c r="U684" s="15" t="s">
        <v>11541</v>
      </c>
      <c r="V684" s="15" t="s">
        <v>11550</v>
      </c>
      <c r="W684" s="15" t="s">
        <v>11551</v>
      </c>
      <c r="X684" s="15" t="s">
        <v>455</v>
      </c>
      <c r="Y684" s="15" t="s">
        <v>78</v>
      </c>
      <c r="Z684" s="15" t="s">
        <v>11552</v>
      </c>
      <c r="AA684" s="15" t="s">
        <v>80</v>
      </c>
      <c r="AB684" s="15" t="s">
        <v>106</v>
      </c>
      <c r="AC684" s="15" t="s">
        <v>808</v>
      </c>
      <c r="AD684" s="15" t="s">
        <v>809</v>
      </c>
      <c r="AE684" s="15" t="s">
        <v>55</v>
      </c>
      <c r="AF684" s="15" t="s">
        <v>11553</v>
      </c>
      <c r="AG684" s="15" t="s">
        <v>39</v>
      </c>
      <c r="AH684" s="15" t="s">
        <v>39</v>
      </c>
      <c r="AI684" s="15" t="s">
        <v>11554</v>
      </c>
      <c r="AJ684" s="15" t="s">
        <v>11555</v>
      </c>
      <c r="AK684" s="15" t="s">
        <v>11556</v>
      </c>
      <c r="AL684" s="15" t="s">
        <v>88</v>
      </c>
    </row>
    <row r="685" spans="1:38" x14ac:dyDescent="0.4">
      <c r="A685" s="11" t="s">
        <v>11557</v>
      </c>
      <c r="B685" s="12" t="s">
        <v>11558</v>
      </c>
      <c r="C685" s="13" t="s">
        <v>11559</v>
      </c>
      <c r="D685" s="13" t="s">
        <v>92</v>
      </c>
      <c r="E685" s="13" t="s">
        <v>11560</v>
      </c>
      <c r="F685" s="13" t="s">
        <v>5226</v>
      </c>
      <c r="G685" s="13" t="s">
        <v>5226</v>
      </c>
      <c r="H685" s="13" t="s">
        <v>11561</v>
      </c>
      <c r="I685" s="9">
        <f t="shared" ca="1" si="10"/>
        <v>25</v>
      </c>
      <c r="J685" s="13" t="s">
        <v>11562</v>
      </c>
      <c r="K685" s="13" t="s">
        <v>425</v>
      </c>
      <c r="L685" s="9" t="str">
        <f>VLOOKUP(K685,[1]中国省份_标准!$B$2:$F$35,4,FALSE)</f>
        <v>东部地区</v>
      </c>
      <c r="M685" s="9" t="str">
        <f>VLOOKUP(K685,[1]中国省份_标准!$B$2:$F$35,5,FALSE)</f>
        <v>华东地区</v>
      </c>
      <c r="N685" s="13" t="s">
        <v>964</v>
      </c>
      <c r="O685" s="13" t="s">
        <v>3947</v>
      </c>
      <c r="P685" s="13" t="s">
        <v>11563</v>
      </c>
      <c r="Q685" s="13" t="s">
        <v>11564</v>
      </c>
      <c r="R685" s="13" t="s">
        <v>11565</v>
      </c>
      <c r="S685" s="13" t="s">
        <v>11566</v>
      </c>
      <c r="T685" s="13" t="s">
        <v>670</v>
      </c>
      <c r="U685" s="13" t="s">
        <v>11558</v>
      </c>
      <c r="V685" s="13" t="s">
        <v>11567</v>
      </c>
      <c r="W685" s="13" t="s">
        <v>11568</v>
      </c>
      <c r="X685" s="13" t="s">
        <v>11383</v>
      </c>
      <c r="Y685" s="13" t="s">
        <v>78</v>
      </c>
      <c r="Z685" s="13" t="s">
        <v>11569</v>
      </c>
      <c r="AA685" s="13" t="s">
        <v>850</v>
      </c>
      <c r="AB685" s="13" t="s">
        <v>11570</v>
      </c>
      <c r="AC685" s="13" t="s">
        <v>11571</v>
      </c>
      <c r="AD685" s="13" t="s">
        <v>39</v>
      </c>
      <c r="AE685" s="13" t="s">
        <v>262</v>
      </c>
      <c r="AF685" s="13" t="s">
        <v>11572</v>
      </c>
      <c r="AG685" s="13" t="s">
        <v>39</v>
      </c>
      <c r="AH685" s="13" t="s">
        <v>11573</v>
      </c>
      <c r="AI685" s="13" t="s">
        <v>11574</v>
      </c>
      <c r="AJ685" s="13" t="s">
        <v>11575</v>
      </c>
      <c r="AK685" s="13" t="s">
        <v>11576</v>
      </c>
      <c r="AL685" s="13" t="s">
        <v>88</v>
      </c>
    </row>
    <row r="686" spans="1:38" x14ac:dyDescent="0.4">
      <c r="A686" s="11" t="s">
        <v>11577</v>
      </c>
      <c r="B686" s="14" t="s">
        <v>11578</v>
      </c>
      <c r="C686" s="15" t="s">
        <v>11579</v>
      </c>
      <c r="D686" s="15" t="s">
        <v>63</v>
      </c>
      <c r="E686" s="15" t="s">
        <v>11580</v>
      </c>
      <c r="F686" s="15" t="s">
        <v>2659</v>
      </c>
      <c r="G686" s="15" t="s">
        <v>39</v>
      </c>
      <c r="H686" s="15" t="s">
        <v>11581</v>
      </c>
      <c r="I686" s="9">
        <f t="shared" ca="1" si="10"/>
        <v>7</v>
      </c>
      <c r="J686" s="15" t="s">
        <v>11582</v>
      </c>
      <c r="K686" s="15" t="s">
        <v>425</v>
      </c>
      <c r="L686" s="9" t="str">
        <f>VLOOKUP(K686,[1]中国省份_标准!$B$2:$F$35,4,FALSE)</f>
        <v>东部地区</v>
      </c>
      <c r="M686" s="9" t="str">
        <f>VLOOKUP(K686,[1]中国省份_标准!$B$2:$F$35,5,FALSE)</f>
        <v>华东地区</v>
      </c>
      <c r="N686" s="15" t="s">
        <v>5738</v>
      </c>
      <c r="O686" s="15" t="s">
        <v>7995</v>
      </c>
      <c r="P686" s="15" t="s">
        <v>11583</v>
      </c>
      <c r="Q686" s="15" t="s">
        <v>11584</v>
      </c>
      <c r="R686" s="15" t="s">
        <v>11585</v>
      </c>
      <c r="S686" s="15" t="s">
        <v>11586</v>
      </c>
      <c r="T686" s="15" t="s">
        <v>281</v>
      </c>
      <c r="U686" s="15" t="s">
        <v>11578</v>
      </c>
      <c r="V686" s="15" t="s">
        <v>11587</v>
      </c>
      <c r="W686" s="15" t="s">
        <v>11588</v>
      </c>
      <c r="X686" s="15" t="s">
        <v>77</v>
      </c>
      <c r="Y686" s="15" t="s">
        <v>78</v>
      </c>
      <c r="Z686" s="15" t="s">
        <v>11589</v>
      </c>
      <c r="AA686" s="15" t="s">
        <v>850</v>
      </c>
      <c r="AB686" s="15" t="s">
        <v>851</v>
      </c>
      <c r="AC686" s="15" t="s">
        <v>39</v>
      </c>
      <c r="AD686" s="15" t="s">
        <v>39</v>
      </c>
      <c r="AE686" s="15" t="s">
        <v>109</v>
      </c>
      <c r="AF686" s="15" t="s">
        <v>11590</v>
      </c>
      <c r="AG686" s="15" t="s">
        <v>39</v>
      </c>
      <c r="AH686" s="15" t="s">
        <v>39</v>
      </c>
      <c r="AI686" s="15" t="s">
        <v>11591</v>
      </c>
      <c r="AJ686" s="15" t="s">
        <v>11592</v>
      </c>
      <c r="AK686" s="15" t="s">
        <v>8004</v>
      </c>
      <c r="AL686" s="15" t="s">
        <v>88</v>
      </c>
    </row>
    <row r="687" spans="1:38" x14ac:dyDescent="0.4">
      <c r="A687" s="11" t="s">
        <v>11593</v>
      </c>
      <c r="B687" s="12" t="s">
        <v>11594</v>
      </c>
      <c r="C687" s="13" t="s">
        <v>39</v>
      </c>
      <c r="D687" s="13" t="s">
        <v>92</v>
      </c>
      <c r="E687" s="13" t="s">
        <v>11595</v>
      </c>
      <c r="F687" s="13" t="s">
        <v>640</v>
      </c>
      <c r="G687" s="13" t="s">
        <v>11596</v>
      </c>
      <c r="H687" s="13" t="s">
        <v>11597</v>
      </c>
      <c r="I687" s="9">
        <f t="shared" ca="1" si="10"/>
        <v>6</v>
      </c>
      <c r="J687" s="13" t="s">
        <v>11598</v>
      </c>
      <c r="K687" s="13" t="s">
        <v>531</v>
      </c>
      <c r="L687" s="9" t="str">
        <f>VLOOKUP(K687,[1]中国省份_标准!$B$2:$F$35,4,FALSE)</f>
        <v>东部地区</v>
      </c>
      <c r="M687" s="9" t="str">
        <f>VLOOKUP(K687,[1]中国省份_标准!$B$2:$F$35,5,FALSE)</f>
        <v>华南地区</v>
      </c>
      <c r="N687" s="13" t="s">
        <v>1450</v>
      </c>
      <c r="O687" s="13" t="s">
        <v>10070</v>
      </c>
      <c r="P687" s="13" t="s">
        <v>11599</v>
      </c>
      <c r="Q687" s="13" t="s">
        <v>11600</v>
      </c>
      <c r="R687" s="13" t="s">
        <v>11601</v>
      </c>
      <c r="S687" s="13" t="s">
        <v>11602</v>
      </c>
      <c r="T687" s="13" t="s">
        <v>452</v>
      </c>
      <c r="U687" s="13" t="s">
        <v>11594</v>
      </c>
      <c r="V687" s="13" t="s">
        <v>11603</v>
      </c>
      <c r="W687" s="13" t="s">
        <v>11604</v>
      </c>
      <c r="X687" s="13" t="s">
        <v>1209</v>
      </c>
      <c r="Y687" s="13" t="s">
        <v>78</v>
      </c>
      <c r="Z687" s="13" t="s">
        <v>11605</v>
      </c>
      <c r="AA687" s="13" t="s">
        <v>52</v>
      </c>
      <c r="AB687" s="13" t="s">
        <v>53</v>
      </c>
      <c r="AC687" s="13" t="s">
        <v>7803</v>
      </c>
      <c r="AD687" s="13" t="s">
        <v>7804</v>
      </c>
      <c r="AE687" s="13" t="s">
        <v>109</v>
      </c>
      <c r="AF687" s="13" t="s">
        <v>11606</v>
      </c>
      <c r="AG687" s="13" t="s">
        <v>39</v>
      </c>
      <c r="AH687" s="13" t="s">
        <v>39</v>
      </c>
      <c r="AI687" s="13" t="s">
        <v>11607</v>
      </c>
      <c r="AJ687" s="13" t="s">
        <v>11608</v>
      </c>
      <c r="AK687" s="13" t="s">
        <v>10080</v>
      </c>
      <c r="AL687" s="13" t="s">
        <v>88</v>
      </c>
    </row>
    <row r="688" spans="1:38" x14ac:dyDescent="0.4">
      <c r="A688" s="11" t="s">
        <v>11609</v>
      </c>
      <c r="B688" s="12" t="s">
        <v>11610</v>
      </c>
      <c r="C688" s="13" t="s">
        <v>11611</v>
      </c>
      <c r="D688" s="13" t="s">
        <v>92</v>
      </c>
      <c r="E688" s="13" t="s">
        <v>11612</v>
      </c>
      <c r="F688" s="13" t="s">
        <v>920</v>
      </c>
      <c r="G688" s="13" t="s">
        <v>920</v>
      </c>
      <c r="H688" s="13" t="s">
        <v>11613</v>
      </c>
      <c r="I688" s="9">
        <f t="shared" ca="1" si="10"/>
        <v>12</v>
      </c>
      <c r="J688" s="13" t="s">
        <v>11614</v>
      </c>
      <c r="K688" s="13" t="s">
        <v>227</v>
      </c>
      <c r="L688" s="9" t="str">
        <f>VLOOKUP(K688,[1]中国省份_标准!$B$2:$F$35,4,FALSE)</f>
        <v>西部地区</v>
      </c>
      <c r="M688" s="9" t="str">
        <f>VLOOKUP(K688,[1]中国省份_标准!$B$2:$F$35,5,FALSE)</f>
        <v>西北地区</v>
      </c>
      <c r="N688" s="13" t="s">
        <v>3212</v>
      </c>
      <c r="O688" s="13" t="s">
        <v>6826</v>
      </c>
      <c r="P688" s="13" t="s">
        <v>11615</v>
      </c>
      <c r="Q688" s="13" t="s">
        <v>11616</v>
      </c>
      <c r="R688" s="13" t="s">
        <v>11617</v>
      </c>
      <c r="S688" s="13" t="s">
        <v>11618</v>
      </c>
      <c r="T688" s="13" t="s">
        <v>209</v>
      </c>
      <c r="U688" s="13" t="s">
        <v>11610</v>
      </c>
      <c r="V688" s="13" t="s">
        <v>11619</v>
      </c>
      <c r="W688" s="13" t="s">
        <v>11620</v>
      </c>
      <c r="X688" s="13" t="s">
        <v>1938</v>
      </c>
      <c r="Y688" s="13" t="s">
        <v>78</v>
      </c>
      <c r="Z688" s="13" t="s">
        <v>11621</v>
      </c>
      <c r="AA688" s="13" t="s">
        <v>850</v>
      </c>
      <c r="AB688" s="13" t="s">
        <v>11570</v>
      </c>
      <c r="AC688" s="13" t="s">
        <v>11571</v>
      </c>
      <c r="AD688" s="13" t="s">
        <v>11622</v>
      </c>
      <c r="AE688" s="13" t="s">
        <v>55</v>
      </c>
      <c r="AF688" s="13" t="s">
        <v>11623</v>
      </c>
      <c r="AG688" s="13" t="s">
        <v>39</v>
      </c>
      <c r="AH688" s="13" t="s">
        <v>39</v>
      </c>
      <c r="AI688" s="13" t="s">
        <v>11624</v>
      </c>
      <c r="AJ688" s="13" t="s">
        <v>11625</v>
      </c>
      <c r="AK688" s="13" t="s">
        <v>11626</v>
      </c>
      <c r="AL688" s="13" t="s">
        <v>88</v>
      </c>
    </row>
    <row r="689" spans="1:38" x14ac:dyDescent="0.4">
      <c r="A689" s="11" t="s">
        <v>11627</v>
      </c>
      <c r="B689" s="14" t="s">
        <v>11628</v>
      </c>
      <c r="C689" s="15" t="s">
        <v>11629</v>
      </c>
      <c r="D689" s="15" t="s">
        <v>92</v>
      </c>
      <c r="E689" s="15" t="s">
        <v>11630</v>
      </c>
      <c r="F689" s="15" t="s">
        <v>11631</v>
      </c>
      <c r="G689" s="15" t="s">
        <v>11631</v>
      </c>
      <c r="H689" s="15" t="s">
        <v>11632</v>
      </c>
      <c r="I689" s="9">
        <f t="shared" ca="1" si="10"/>
        <v>23</v>
      </c>
      <c r="J689" s="15" t="s">
        <v>11633</v>
      </c>
      <c r="K689" s="15" t="s">
        <v>425</v>
      </c>
      <c r="L689" s="9" t="str">
        <f>VLOOKUP(K689,[1]中国省份_标准!$B$2:$F$35,4,FALSE)</f>
        <v>东部地区</v>
      </c>
      <c r="M689" s="9" t="str">
        <f>VLOOKUP(K689,[1]中国省份_标准!$B$2:$F$35,5,FALSE)</f>
        <v>华东地区</v>
      </c>
      <c r="N689" s="15" t="s">
        <v>3013</v>
      </c>
      <c r="O689" s="15" t="s">
        <v>3014</v>
      </c>
      <c r="P689" s="15" t="s">
        <v>11634</v>
      </c>
      <c r="Q689" s="15" t="s">
        <v>11635</v>
      </c>
      <c r="R689" s="15" t="s">
        <v>11636</v>
      </c>
      <c r="S689" s="15" t="s">
        <v>11637</v>
      </c>
      <c r="T689" s="15" t="s">
        <v>670</v>
      </c>
      <c r="U689" s="15" t="s">
        <v>11628</v>
      </c>
      <c r="V689" s="15" t="s">
        <v>11638</v>
      </c>
      <c r="W689" s="15" t="s">
        <v>11639</v>
      </c>
      <c r="X689" s="15" t="s">
        <v>11640</v>
      </c>
      <c r="Y689" s="15" t="s">
        <v>78</v>
      </c>
      <c r="Z689" s="15" t="s">
        <v>11641</v>
      </c>
      <c r="AA689" s="15" t="s">
        <v>850</v>
      </c>
      <c r="AB689" s="15" t="s">
        <v>7495</v>
      </c>
      <c r="AC689" s="15" t="s">
        <v>7496</v>
      </c>
      <c r="AD689" s="15" t="s">
        <v>7497</v>
      </c>
      <c r="AE689" s="15" t="s">
        <v>55</v>
      </c>
      <c r="AF689" s="15" t="s">
        <v>11642</v>
      </c>
      <c r="AG689" s="15" t="s">
        <v>11643</v>
      </c>
      <c r="AH689" s="15" t="s">
        <v>39</v>
      </c>
      <c r="AI689" s="15" t="s">
        <v>11644</v>
      </c>
      <c r="AJ689" s="15" t="s">
        <v>11645</v>
      </c>
      <c r="AK689" s="15" t="s">
        <v>11005</v>
      </c>
      <c r="AL689" s="15" t="s">
        <v>88</v>
      </c>
    </row>
    <row r="690" spans="1:38" x14ac:dyDescent="0.4">
      <c r="A690" s="11" t="s">
        <v>11646</v>
      </c>
      <c r="B690" s="12" t="s">
        <v>11647</v>
      </c>
      <c r="C690" s="13" t="s">
        <v>39</v>
      </c>
      <c r="D690" s="13" t="s">
        <v>92</v>
      </c>
      <c r="E690" s="13" t="s">
        <v>11648</v>
      </c>
      <c r="F690" s="13" t="s">
        <v>999</v>
      </c>
      <c r="G690" s="13" t="s">
        <v>154</v>
      </c>
      <c r="H690" s="13" t="s">
        <v>11649</v>
      </c>
      <c r="I690" s="9">
        <f t="shared" ca="1" si="10"/>
        <v>4</v>
      </c>
      <c r="J690" s="13" t="s">
        <v>11650</v>
      </c>
      <c r="K690" s="13" t="s">
        <v>531</v>
      </c>
      <c r="L690" s="9" t="str">
        <f>VLOOKUP(K690,[1]中国省份_标准!$B$2:$F$35,4,FALSE)</f>
        <v>东部地区</v>
      </c>
      <c r="M690" s="9" t="str">
        <f>VLOOKUP(K690,[1]中国省份_标准!$B$2:$F$35,5,FALSE)</f>
        <v>华南地区</v>
      </c>
      <c r="N690" s="13" t="s">
        <v>1450</v>
      </c>
      <c r="O690" s="13" t="s">
        <v>11651</v>
      </c>
      <c r="P690" s="13" t="s">
        <v>11652</v>
      </c>
      <c r="Q690" s="13" t="s">
        <v>11653</v>
      </c>
      <c r="R690" s="13" t="s">
        <v>39</v>
      </c>
      <c r="S690" s="13" t="s">
        <v>39</v>
      </c>
      <c r="T690" s="13" t="s">
        <v>48</v>
      </c>
      <c r="U690" s="13" t="s">
        <v>11647</v>
      </c>
      <c r="V690" s="13" t="s">
        <v>11654</v>
      </c>
      <c r="W690" s="13" t="s">
        <v>11655</v>
      </c>
      <c r="X690" s="13" t="s">
        <v>690</v>
      </c>
      <c r="Y690" s="13" t="s">
        <v>78</v>
      </c>
      <c r="Z690" s="13" t="s">
        <v>11656</v>
      </c>
      <c r="AA690" s="13" t="s">
        <v>1796</v>
      </c>
      <c r="AB690" s="13" t="s">
        <v>1797</v>
      </c>
      <c r="AC690" s="13" t="s">
        <v>11148</v>
      </c>
      <c r="AD690" s="13" t="s">
        <v>11148</v>
      </c>
      <c r="AE690" s="13" t="s">
        <v>109</v>
      </c>
      <c r="AF690" s="13" t="s">
        <v>11657</v>
      </c>
      <c r="AG690" s="13" t="s">
        <v>39</v>
      </c>
      <c r="AH690" s="13" t="s">
        <v>39</v>
      </c>
      <c r="AI690" s="13" t="s">
        <v>11658</v>
      </c>
      <c r="AJ690" s="13" t="s">
        <v>11659</v>
      </c>
      <c r="AK690" s="13" t="s">
        <v>11660</v>
      </c>
      <c r="AL690" s="13" t="s">
        <v>88</v>
      </c>
    </row>
    <row r="691" spans="1:38" x14ac:dyDescent="0.4">
      <c r="A691" s="11" t="s">
        <v>11661</v>
      </c>
      <c r="B691" s="14" t="s">
        <v>11662</v>
      </c>
      <c r="C691" s="15" t="s">
        <v>39</v>
      </c>
      <c r="D691" s="15" t="s">
        <v>92</v>
      </c>
      <c r="E691" s="15" t="s">
        <v>11663</v>
      </c>
      <c r="F691" s="15" t="s">
        <v>442</v>
      </c>
      <c r="G691" s="15" t="s">
        <v>442</v>
      </c>
      <c r="H691" s="15" t="s">
        <v>11664</v>
      </c>
      <c r="I691" s="9">
        <f t="shared" ca="1" si="10"/>
        <v>16</v>
      </c>
      <c r="J691" s="15" t="s">
        <v>11665</v>
      </c>
      <c r="K691" s="15" t="s">
        <v>983</v>
      </c>
      <c r="L691" s="9" t="str">
        <f>VLOOKUP(K691,[1]中国省份_标准!$B$2:$F$35,4,FALSE)</f>
        <v>西部地区</v>
      </c>
      <c r="M691" s="9" t="str">
        <f>VLOOKUP(K691,[1]中国省份_标准!$B$2:$F$35,5,FALSE)</f>
        <v>华北地区</v>
      </c>
      <c r="N691" s="15" t="s">
        <v>7381</v>
      </c>
      <c r="O691" s="15" t="s">
        <v>7636</v>
      </c>
      <c r="P691" s="15" t="s">
        <v>11666</v>
      </c>
      <c r="Q691" s="15" t="s">
        <v>39</v>
      </c>
      <c r="R691" s="15" t="s">
        <v>39</v>
      </c>
      <c r="S691" s="15" t="s">
        <v>39</v>
      </c>
      <c r="T691" s="15" t="s">
        <v>281</v>
      </c>
      <c r="U691" s="15" t="s">
        <v>11662</v>
      </c>
      <c r="V691" s="15" t="s">
        <v>11667</v>
      </c>
      <c r="W691" s="15" t="s">
        <v>11668</v>
      </c>
      <c r="X691" s="15" t="s">
        <v>77</v>
      </c>
      <c r="Y691" s="15" t="s">
        <v>78</v>
      </c>
      <c r="Z691" s="15" t="s">
        <v>11669</v>
      </c>
      <c r="AA691" s="15" t="s">
        <v>80</v>
      </c>
      <c r="AB691" s="15" t="s">
        <v>81</v>
      </c>
      <c r="AC691" s="15" t="s">
        <v>2094</v>
      </c>
      <c r="AD691" s="15" t="s">
        <v>2095</v>
      </c>
      <c r="AE691" s="15" t="s">
        <v>55</v>
      </c>
      <c r="AF691" s="15" t="s">
        <v>11670</v>
      </c>
      <c r="AG691" s="15" t="s">
        <v>39</v>
      </c>
      <c r="AH691" s="15" t="s">
        <v>39</v>
      </c>
      <c r="AI691" s="15" t="s">
        <v>11671</v>
      </c>
      <c r="AJ691" s="15" t="s">
        <v>11672</v>
      </c>
      <c r="AK691" s="15" t="s">
        <v>7647</v>
      </c>
      <c r="AL691" s="15" t="s">
        <v>88</v>
      </c>
    </row>
    <row r="692" spans="1:38" x14ac:dyDescent="0.4">
      <c r="A692" s="11" t="s">
        <v>11673</v>
      </c>
      <c r="B692" s="12" t="s">
        <v>11674</v>
      </c>
      <c r="C692" s="13" t="s">
        <v>39</v>
      </c>
      <c r="D692" s="13" t="s">
        <v>92</v>
      </c>
      <c r="E692" s="13" t="s">
        <v>11675</v>
      </c>
      <c r="F692" s="13" t="s">
        <v>2121</v>
      </c>
      <c r="G692" s="13" t="s">
        <v>42</v>
      </c>
      <c r="H692" s="13" t="s">
        <v>11676</v>
      </c>
      <c r="I692" s="9">
        <f t="shared" ca="1" si="10"/>
        <v>22</v>
      </c>
      <c r="J692" s="13" t="s">
        <v>11677</v>
      </c>
      <c r="K692" s="13" t="s">
        <v>983</v>
      </c>
      <c r="L692" s="9" t="str">
        <f>VLOOKUP(K692,[1]中国省份_标准!$B$2:$F$35,4,FALSE)</f>
        <v>西部地区</v>
      </c>
      <c r="M692" s="9" t="str">
        <f>VLOOKUP(K692,[1]中国省份_标准!$B$2:$F$35,5,FALSE)</f>
        <v>华北地区</v>
      </c>
      <c r="N692" s="13" t="s">
        <v>7381</v>
      </c>
      <c r="O692" s="13" t="s">
        <v>11678</v>
      </c>
      <c r="P692" s="13" t="s">
        <v>11679</v>
      </c>
      <c r="Q692" s="13" t="s">
        <v>11680</v>
      </c>
      <c r="R692" s="13" t="s">
        <v>11681</v>
      </c>
      <c r="S692" s="13" t="s">
        <v>11682</v>
      </c>
      <c r="T692" s="13" t="s">
        <v>281</v>
      </c>
      <c r="U692" s="13" t="s">
        <v>11674</v>
      </c>
      <c r="V692" s="13" t="s">
        <v>11683</v>
      </c>
      <c r="W692" s="13" t="s">
        <v>11684</v>
      </c>
      <c r="X692" s="13" t="s">
        <v>77</v>
      </c>
      <c r="Y692" s="13" t="s">
        <v>78</v>
      </c>
      <c r="Z692" s="13" t="s">
        <v>11685</v>
      </c>
      <c r="AA692" s="13" t="s">
        <v>80</v>
      </c>
      <c r="AB692" s="13" t="s">
        <v>106</v>
      </c>
      <c r="AC692" s="13" t="s">
        <v>808</v>
      </c>
      <c r="AD692" s="13" t="s">
        <v>809</v>
      </c>
      <c r="AE692" s="13" t="s">
        <v>109</v>
      </c>
      <c r="AF692" s="13" t="s">
        <v>11686</v>
      </c>
      <c r="AG692" s="13" t="s">
        <v>39</v>
      </c>
      <c r="AH692" s="13" t="s">
        <v>39</v>
      </c>
      <c r="AI692" s="13" t="s">
        <v>11687</v>
      </c>
      <c r="AJ692" s="13" t="s">
        <v>11688</v>
      </c>
      <c r="AK692" s="13" t="s">
        <v>11689</v>
      </c>
      <c r="AL692" s="13" t="s">
        <v>88</v>
      </c>
    </row>
    <row r="693" spans="1:38" x14ac:dyDescent="0.4">
      <c r="A693" s="11" t="s">
        <v>11690</v>
      </c>
      <c r="B693" s="14" t="s">
        <v>11691</v>
      </c>
      <c r="C693" s="15" t="s">
        <v>39</v>
      </c>
      <c r="D693" s="15" t="s">
        <v>92</v>
      </c>
      <c r="E693" s="15" t="s">
        <v>11692</v>
      </c>
      <c r="F693" s="15" t="s">
        <v>271</v>
      </c>
      <c r="G693" s="15" t="s">
        <v>271</v>
      </c>
      <c r="H693" s="15" t="s">
        <v>8444</v>
      </c>
      <c r="I693" s="9">
        <f t="shared" ca="1" si="10"/>
        <v>19</v>
      </c>
      <c r="J693" s="15" t="s">
        <v>11693</v>
      </c>
      <c r="K693" s="15" t="s">
        <v>983</v>
      </c>
      <c r="L693" s="9" t="str">
        <f>VLOOKUP(K693,[1]中国省份_标准!$B$2:$F$35,4,FALSE)</f>
        <v>西部地区</v>
      </c>
      <c r="M693" s="9" t="str">
        <f>VLOOKUP(K693,[1]中国省份_标准!$B$2:$F$35,5,FALSE)</f>
        <v>华北地区</v>
      </c>
      <c r="N693" s="15" t="s">
        <v>7381</v>
      </c>
      <c r="O693" s="15" t="s">
        <v>7636</v>
      </c>
      <c r="P693" s="15" t="s">
        <v>11694</v>
      </c>
      <c r="Q693" s="15" t="s">
        <v>11695</v>
      </c>
      <c r="R693" s="15" t="s">
        <v>39</v>
      </c>
      <c r="S693" s="15" t="s">
        <v>39</v>
      </c>
      <c r="T693" s="15" t="s">
        <v>281</v>
      </c>
      <c r="U693" s="15" t="s">
        <v>11691</v>
      </c>
      <c r="V693" s="15" t="s">
        <v>11696</v>
      </c>
      <c r="W693" s="15" t="s">
        <v>11697</v>
      </c>
      <c r="X693" s="15" t="s">
        <v>77</v>
      </c>
      <c r="Y693" s="15" t="s">
        <v>78</v>
      </c>
      <c r="Z693" s="15" t="s">
        <v>11698</v>
      </c>
      <c r="AA693" s="15" t="s">
        <v>80</v>
      </c>
      <c r="AB693" s="15" t="s">
        <v>106</v>
      </c>
      <c r="AC693" s="15" t="s">
        <v>808</v>
      </c>
      <c r="AD693" s="15" t="s">
        <v>809</v>
      </c>
      <c r="AE693" s="15" t="s">
        <v>55</v>
      </c>
      <c r="AF693" s="15" t="s">
        <v>11699</v>
      </c>
      <c r="AG693" s="15" t="s">
        <v>39</v>
      </c>
      <c r="AH693" s="15" t="s">
        <v>39</v>
      </c>
      <c r="AI693" s="15" t="s">
        <v>11700</v>
      </c>
      <c r="AJ693" s="15" t="s">
        <v>11701</v>
      </c>
      <c r="AK693" s="15" t="s">
        <v>7647</v>
      </c>
      <c r="AL693" s="15" t="s">
        <v>88</v>
      </c>
    </row>
    <row r="694" spans="1:38" x14ac:dyDescent="0.4">
      <c r="A694" s="11" t="s">
        <v>11702</v>
      </c>
      <c r="B694" s="12" t="s">
        <v>11703</v>
      </c>
      <c r="C694" s="13" t="s">
        <v>39</v>
      </c>
      <c r="D694" s="13" t="s">
        <v>92</v>
      </c>
      <c r="E694" s="13" t="s">
        <v>11704</v>
      </c>
      <c r="F694" s="13" t="s">
        <v>42</v>
      </c>
      <c r="G694" s="13" t="s">
        <v>42</v>
      </c>
      <c r="H694" s="13" t="s">
        <v>11705</v>
      </c>
      <c r="I694" s="9">
        <f t="shared" ca="1" si="10"/>
        <v>4</v>
      </c>
      <c r="J694" s="13" t="s">
        <v>11706</v>
      </c>
      <c r="K694" s="13" t="s">
        <v>643</v>
      </c>
      <c r="L694" s="9" t="str">
        <f>VLOOKUP(K694,[1]中国省份_标准!$B$2:$F$35,4,FALSE)</f>
        <v>东北地区</v>
      </c>
      <c r="M694" s="9" t="str">
        <f>VLOOKUP(K694,[1]中国省份_标准!$B$2:$F$35,5,FALSE)</f>
        <v>东北地区</v>
      </c>
      <c r="N694" s="13" t="s">
        <v>2807</v>
      </c>
      <c r="O694" s="13" t="s">
        <v>11707</v>
      </c>
      <c r="P694" s="13" t="s">
        <v>11708</v>
      </c>
      <c r="Q694" s="13" t="s">
        <v>11709</v>
      </c>
      <c r="R694" s="13" t="s">
        <v>11710</v>
      </c>
      <c r="S694" s="13" t="s">
        <v>11711</v>
      </c>
      <c r="T694" s="13" t="s">
        <v>48</v>
      </c>
      <c r="U694" s="13" t="s">
        <v>11703</v>
      </c>
      <c r="V694" s="13" t="s">
        <v>11712</v>
      </c>
      <c r="W694" s="13" t="s">
        <v>11713</v>
      </c>
      <c r="X694" s="13" t="s">
        <v>77</v>
      </c>
      <c r="Y694" s="13" t="s">
        <v>78</v>
      </c>
      <c r="Z694" s="13" t="s">
        <v>11714</v>
      </c>
      <c r="AA694" s="13" t="s">
        <v>80</v>
      </c>
      <c r="AB694" s="13" t="s">
        <v>106</v>
      </c>
      <c r="AC694" s="13" t="s">
        <v>10426</v>
      </c>
      <c r="AD694" s="13" t="s">
        <v>10427</v>
      </c>
      <c r="AE694" s="13" t="s">
        <v>55</v>
      </c>
      <c r="AF694" s="13" t="s">
        <v>11715</v>
      </c>
      <c r="AG694" s="13" t="s">
        <v>39</v>
      </c>
      <c r="AH694" s="13" t="s">
        <v>39</v>
      </c>
      <c r="AI694" s="13" t="s">
        <v>11716</v>
      </c>
      <c r="AJ694" s="13" t="s">
        <v>11717</v>
      </c>
      <c r="AK694" s="13" t="s">
        <v>11718</v>
      </c>
      <c r="AL694" s="13" t="s">
        <v>88</v>
      </c>
    </row>
    <row r="695" spans="1:38" x14ac:dyDescent="0.4">
      <c r="A695" s="11" t="s">
        <v>11719</v>
      </c>
      <c r="B695" s="14" t="s">
        <v>11720</v>
      </c>
      <c r="C695" s="15" t="s">
        <v>39</v>
      </c>
      <c r="D695" s="15" t="s">
        <v>92</v>
      </c>
      <c r="E695" s="15" t="s">
        <v>11721</v>
      </c>
      <c r="F695" s="15" t="s">
        <v>1120</v>
      </c>
      <c r="G695" s="15" t="s">
        <v>1120</v>
      </c>
      <c r="H695" s="15" t="s">
        <v>11722</v>
      </c>
      <c r="I695" s="9">
        <f t="shared" ca="1" si="10"/>
        <v>21</v>
      </c>
      <c r="J695" s="15" t="s">
        <v>11723</v>
      </c>
      <c r="K695" s="15" t="s">
        <v>227</v>
      </c>
      <c r="L695" s="9" t="str">
        <f>VLOOKUP(K695,[1]中国省份_标准!$B$2:$F$35,4,FALSE)</f>
        <v>西部地区</v>
      </c>
      <c r="M695" s="9" t="str">
        <f>VLOOKUP(K695,[1]中国省份_标准!$B$2:$F$35,5,FALSE)</f>
        <v>西北地区</v>
      </c>
      <c r="N695" s="15" t="s">
        <v>11724</v>
      </c>
      <c r="O695" s="15" t="s">
        <v>11725</v>
      </c>
      <c r="P695" s="15" t="s">
        <v>11726</v>
      </c>
      <c r="Q695" s="15" t="s">
        <v>11727</v>
      </c>
      <c r="R695" s="15" t="s">
        <v>11728</v>
      </c>
      <c r="S695" s="15" t="s">
        <v>11729</v>
      </c>
      <c r="T695" s="15" t="s">
        <v>48</v>
      </c>
      <c r="U695" s="15" t="s">
        <v>11720</v>
      </c>
      <c r="V695" s="15" t="s">
        <v>11730</v>
      </c>
      <c r="W695" s="15" t="s">
        <v>11731</v>
      </c>
      <c r="X695" s="15" t="s">
        <v>77</v>
      </c>
      <c r="Y695" s="15" t="s">
        <v>78</v>
      </c>
      <c r="Z695" s="15" t="s">
        <v>11732</v>
      </c>
      <c r="AA695" s="15" t="s">
        <v>309</v>
      </c>
      <c r="AB695" s="15" t="s">
        <v>772</v>
      </c>
      <c r="AC695" s="15" t="s">
        <v>773</v>
      </c>
      <c r="AD695" s="15" t="s">
        <v>774</v>
      </c>
      <c r="AE695" s="15" t="s">
        <v>55</v>
      </c>
      <c r="AF695" s="15" t="s">
        <v>11733</v>
      </c>
      <c r="AG695" s="15" t="s">
        <v>39</v>
      </c>
      <c r="AH695" s="15" t="s">
        <v>39</v>
      </c>
      <c r="AI695" s="15" t="s">
        <v>11734</v>
      </c>
      <c r="AJ695" s="15" t="s">
        <v>11735</v>
      </c>
      <c r="AK695" s="15" t="s">
        <v>11736</v>
      </c>
      <c r="AL695" s="15" t="s">
        <v>88</v>
      </c>
    </row>
    <row r="696" spans="1:38" x14ac:dyDescent="0.4">
      <c r="A696" s="11" t="s">
        <v>11737</v>
      </c>
      <c r="B696" s="12" t="s">
        <v>11738</v>
      </c>
      <c r="C696" s="13" t="s">
        <v>39</v>
      </c>
      <c r="D696" s="13" t="s">
        <v>92</v>
      </c>
      <c r="E696" s="13" t="s">
        <v>11739</v>
      </c>
      <c r="F696" s="13" t="s">
        <v>3890</v>
      </c>
      <c r="G696" s="13" t="s">
        <v>3890</v>
      </c>
      <c r="H696" s="13" t="s">
        <v>11740</v>
      </c>
      <c r="I696" s="9">
        <f t="shared" ca="1" si="10"/>
        <v>19</v>
      </c>
      <c r="J696" s="13" t="s">
        <v>11741</v>
      </c>
      <c r="K696" s="13" t="s">
        <v>227</v>
      </c>
      <c r="L696" s="9" t="str">
        <f>VLOOKUP(K696,[1]中国省份_标准!$B$2:$F$35,4,FALSE)</f>
        <v>西部地区</v>
      </c>
      <c r="M696" s="9" t="str">
        <f>VLOOKUP(K696,[1]中国省份_标准!$B$2:$F$35,5,FALSE)</f>
        <v>西北地区</v>
      </c>
      <c r="N696" s="13" t="s">
        <v>884</v>
      </c>
      <c r="O696" s="13" t="s">
        <v>885</v>
      </c>
      <c r="P696" s="13" t="s">
        <v>11742</v>
      </c>
      <c r="Q696" s="13" t="s">
        <v>11743</v>
      </c>
      <c r="R696" s="13" t="s">
        <v>11744</v>
      </c>
      <c r="S696" s="13" t="s">
        <v>11745</v>
      </c>
      <c r="T696" s="13" t="s">
        <v>48</v>
      </c>
      <c r="U696" s="13" t="s">
        <v>11738</v>
      </c>
      <c r="V696" s="13" t="s">
        <v>11746</v>
      </c>
      <c r="W696" s="13" t="s">
        <v>11747</v>
      </c>
      <c r="X696" s="13" t="s">
        <v>1130</v>
      </c>
      <c r="Y696" s="13" t="s">
        <v>78</v>
      </c>
      <c r="Z696" s="13" t="s">
        <v>11748</v>
      </c>
      <c r="AA696" s="13" t="s">
        <v>80</v>
      </c>
      <c r="AB696" s="13" t="s">
        <v>106</v>
      </c>
      <c r="AC696" s="13" t="s">
        <v>951</v>
      </c>
      <c r="AD696" s="13" t="s">
        <v>952</v>
      </c>
      <c r="AE696" s="13" t="s">
        <v>262</v>
      </c>
      <c r="AF696" s="13" t="s">
        <v>11749</v>
      </c>
      <c r="AG696" s="13" t="s">
        <v>39</v>
      </c>
      <c r="AH696" s="13" t="s">
        <v>39</v>
      </c>
      <c r="AI696" s="13" t="s">
        <v>11750</v>
      </c>
      <c r="AJ696" s="13" t="s">
        <v>11751</v>
      </c>
      <c r="AK696" s="13" t="s">
        <v>897</v>
      </c>
      <c r="AL696" s="13" t="s">
        <v>88</v>
      </c>
    </row>
    <row r="697" spans="1:38" x14ac:dyDescent="0.4">
      <c r="A697" s="11" t="s">
        <v>11752</v>
      </c>
      <c r="B697" s="14" t="s">
        <v>11753</v>
      </c>
      <c r="C697" s="15" t="s">
        <v>39</v>
      </c>
      <c r="D697" s="15" t="s">
        <v>11754</v>
      </c>
      <c r="E697" s="15" t="s">
        <v>11755</v>
      </c>
      <c r="F697" s="15" t="s">
        <v>271</v>
      </c>
      <c r="G697" s="15" t="s">
        <v>39</v>
      </c>
      <c r="H697" s="15" t="s">
        <v>4475</v>
      </c>
      <c r="I697" s="9">
        <f t="shared" ca="1" si="10"/>
        <v>5</v>
      </c>
      <c r="J697" s="15" t="s">
        <v>11756</v>
      </c>
      <c r="K697" s="15" t="s">
        <v>425</v>
      </c>
      <c r="L697" s="9" t="str">
        <f>VLOOKUP(K697,[1]中国省份_标准!$B$2:$F$35,4,FALSE)</f>
        <v>东部地区</v>
      </c>
      <c r="M697" s="9" t="str">
        <f>VLOOKUP(K697,[1]中国省份_标准!$B$2:$F$35,5,FALSE)</f>
        <v>华东地区</v>
      </c>
      <c r="N697" s="15" t="s">
        <v>426</v>
      </c>
      <c r="O697" s="15" t="s">
        <v>11757</v>
      </c>
      <c r="P697" s="15" t="s">
        <v>39</v>
      </c>
      <c r="Q697" s="15" t="s">
        <v>39</v>
      </c>
      <c r="R697" s="15" t="s">
        <v>11758</v>
      </c>
      <c r="S697" s="15" t="s">
        <v>39</v>
      </c>
      <c r="T697" s="15" t="s">
        <v>48</v>
      </c>
      <c r="U697" s="15" t="s">
        <v>11753</v>
      </c>
      <c r="V697" s="15" t="s">
        <v>11759</v>
      </c>
      <c r="W697" s="15" t="s">
        <v>11760</v>
      </c>
      <c r="X697" s="15" t="s">
        <v>540</v>
      </c>
      <c r="Y697" s="15" t="s">
        <v>731</v>
      </c>
      <c r="Z697" s="15" t="s">
        <v>4481</v>
      </c>
      <c r="AA697" s="15" t="s">
        <v>80</v>
      </c>
      <c r="AB697" s="15" t="s">
        <v>106</v>
      </c>
      <c r="AC697" s="15" t="s">
        <v>39</v>
      </c>
      <c r="AD697" s="15" t="s">
        <v>39</v>
      </c>
      <c r="AE697" s="15" t="s">
        <v>55</v>
      </c>
      <c r="AF697" s="15" t="s">
        <v>11761</v>
      </c>
      <c r="AG697" s="15" t="s">
        <v>39</v>
      </c>
      <c r="AH697" s="15" t="s">
        <v>39</v>
      </c>
      <c r="AI697" s="15" t="s">
        <v>11762</v>
      </c>
      <c r="AJ697" s="15" t="s">
        <v>11763</v>
      </c>
      <c r="AK697" s="15" t="s">
        <v>11764</v>
      </c>
      <c r="AL697" s="15" t="s">
        <v>88</v>
      </c>
    </row>
    <row r="698" spans="1:38" x14ac:dyDescent="0.4">
      <c r="A698" s="11" t="s">
        <v>11765</v>
      </c>
      <c r="B698" s="12" t="s">
        <v>11766</v>
      </c>
      <c r="C698" s="13" t="s">
        <v>39</v>
      </c>
      <c r="D698" s="13" t="s">
        <v>63</v>
      </c>
      <c r="E698" s="13" t="s">
        <v>11767</v>
      </c>
      <c r="F698" s="13" t="s">
        <v>442</v>
      </c>
      <c r="G698" s="13" t="s">
        <v>442</v>
      </c>
      <c r="H698" s="13" t="s">
        <v>11768</v>
      </c>
      <c r="I698" s="9">
        <f t="shared" ca="1" si="10"/>
        <v>18</v>
      </c>
      <c r="J698" s="13" t="s">
        <v>11769</v>
      </c>
      <c r="K698" s="13" t="s">
        <v>3405</v>
      </c>
      <c r="L698" s="9" t="str">
        <f>VLOOKUP(K698,[1]中国省份_标准!$B$2:$F$35,4,FALSE)</f>
        <v>西部地区</v>
      </c>
      <c r="M698" s="9" t="str">
        <f>VLOOKUP(K698,[1]中国省份_标准!$B$2:$F$35,5,FALSE)</f>
        <v>西北地区</v>
      </c>
      <c r="N698" s="13" t="s">
        <v>11770</v>
      </c>
      <c r="O698" s="13" t="s">
        <v>11771</v>
      </c>
      <c r="P698" s="13" t="s">
        <v>11772</v>
      </c>
      <c r="Q698" s="13" t="s">
        <v>39</v>
      </c>
      <c r="R698" s="13" t="s">
        <v>11773</v>
      </c>
      <c r="S698" s="13" t="s">
        <v>11774</v>
      </c>
      <c r="T698" s="13" t="s">
        <v>670</v>
      </c>
      <c r="U698" s="13" t="s">
        <v>11766</v>
      </c>
      <c r="V698" s="13" t="s">
        <v>11775</v>
      </c>
      <c r="W698" s="13" t="s">
        <v>11776</v>
      </c>
      <c r="X698" s="13" t="s">
        <v>11777</v>
      </c>
      <c r="Y698" s="13" t="s">
        <v>78</v>
      </c>
      <c r="Z698" s="13" t="s">
        <v>11778</v>
      </c>
      <c r="AA698" s="13" t="s">
        <v>80</v>
      </c>
      <c r="AB698" s="13" t="s">
        <v>106</v>
      </c>
      <c r="AC698" s="13" t="s">
        <v>1132</v>
      </c>
      <c r="AD698" s="13" t="s">
        <v>3591</v>
      </c>
      <c r="AE698" s="13" t="s">
        <v>262</v>
      </c>
      <c r="AF698" s="13" t="s">
        <v>11779</v>
      </c>
      <c r="AG698" s="13" t="s">
        <v>39</v>
      </c>
      <c r="AH698" s="13" t="s">
        <v>39</v>
      </c>
      <c r="AI698" s="13" t="s">
        <v>11780</v>
      </c>
      <c r="AJ698" s="13" t="s">
        <v>11781</v>
      </c>
      <c r="AK698" s="13" t="s">
        <v>11782</v>
      </c>
      <c r="AL698" s="13" t="s">
        <v>88</v>
      </c>
    </row>
    <row r="699" spans="1:38" x14ac:dyDescent="0.4">
      <c r="A699" s="11" t="s">
        <v>11783</v>
      </c>
      <c r="B699" s="14" t="s">
        <v>11784</v>
      </c>
      <c r="C699" s="15" t="s">
        <v>39</v>
      </c>
      <c r="D699" s="15" t="s">
        <v>92</v>
      </c>
      <c r="E699" s="15" t="s">
        <v>11785</v>
      </c>
      <c r="F699" s="15" t="s">
        <v>640</v>
      </c>
      <c r="G699" s="15" t="s">
        <v>640</v>
      </c>
      <c r="H699" s="15" t="s">
        <v>11786</v>
      </c>
      <c r="I699" s="9">
        <f t="shared" ca="1" si="10"/>
        <v>16</v>
      </c>
      <c r="J699" s="15" t="s">
        <v>11787</v>
      </c>
      <c r="K699" s="15" t="s">
        <v>157</v>
      </c>
      <c r="L699" s="9" t="str">
        <f>VLOOKUP(K699,[1]中国省份_标准!$B$2:$F$35,4,FALSE)</f>
        <v>东北地区</v>
      </c>
      <c r="M699" s="9" t="str">
        <f>VLOOKUP(K699,[1]中国省份_标准!$B$2:$F$35,5,FALSE)</f>
        <v>东北地区</v>
      </c>
      <c r="N699" s="15" t="s">
        <v>4244</v>
      </c>
      <c r="O699" s="15" t="s">
        <v>11788</v>
      </c>
      <c r="P699" s="15" t="s">
        <v>11789</v>
      </c>
      <c r="Q699" s="15" t="s">
        <v>11790</v>
      </c>
      <c r="R699" s="15" t="s">
        <v>11791</v>
      </c>
      <c r="S699" s="15" t="s">
        <v>11792</v>
      </c>
      <c r="T699" s="15" t="s">
        <v>48</v>
      </c>
      <c r="U699" s="15" t="s">
        <v>11784</v>
      </c>
      <c r="V699" s="15" t="s">
        <v>11793</v>
      </c>
      <c r="W699" s="15" t="s">
        <v>11794</v>
      </c>
      <c r="X699" s="15" t="s">
        <v>557</v>
      </c>
      <c r="Y699" s="15" t="s">
        <v>78</v>
      </c>
      <c r="Z699" s="15" t="s">
        <v>11795</v>
      </c>
      <c r="AA699" s="15" t="s">
        <v>80</v>
      </c>
      <c r="AB699" s="15" t="s">
        <v>106</v>
      </c>
      <c r="AC699" s="15" t="s">
        <v>808</v>
      </c>
      <c r="AD699" s="15" t="s">
        <v>39</v>
      </c>
      <c r="AE699" s="15" t="s">
        <v>55</v>
      </c>
      <c r="AF699" s="15" t="s">
        <v>11796</v>
      </c>
      <c r="AG699" s="15" t="s">
        <v>39</v>
      </c>
      <c r="AH699" s="15" t="s">
        <v>39</v>
      </c>
      <c r="AI699" s="15" t="s">
        <v>11797</v>
      </c>
      <c r="AJ699" s="15" t="s">
        <v>11798</v>
      </c>
      <c r="AK699" s="15" t="s">
        <v>11799</v>
      </c>
      <c r="AL699" s="15" t="s">
        <v>88</v>
      </c>
    </row>
    <row r="700" spans="1:38" x14ac:dyDescent="0.4">
      <c r="A700" s="11" t="s">
        <v>11800</v>
      </c>
      <c r="B700" s="12" t="s">
        <v>11801</v>
      </c>
      <c r="C700" s="13" t="s">
        <v>11802</v>
      </c>
      <c r="D700" s="13" t="s">
        <v>92</v>
      </c>
      <c r="E700" s="13" t="s">
        <v>11803</v>
      </c>
      <c r="F700" s="13" t="s">
        <v>11804</v>
      </c>
      <c r="G700" s="13" t="s">
        <v>11804</v>
      </c>
      <c r="H700" s="13" t="s">
        <v>11805</v>
      </c>
      <c r="I700" s="9">
        <f t="shared" ca="1" si="10"/>
        <v>22</v>
      </c>
      <c r="J700" s="13" t="s">
        <v>11806</v>
      </c>
      <c r="K700" s="13" t="s">
        <v>425</v>
      </c>
      <c r="L700" s="9" t="str">
        <f>VLOOKUP(K700,[1]中国省份_标准!$B$2:$F$35,4,FALSE)</f>
        <v>东部地区</v>
      </c>
      <c r="M700" s="9" t="str">
        <f>VLOOKUP(K700,[1]中国省份_标准!$B$2:$F$35,5,FALSE)</f>
        <v>华东地区</v>
      </c>
      <c r="N700" s="13" t="s">
        <v>572</v>
      </c>
      <c r="O700" s="13" t="s">
        <v>573</v>
      </c>
      <c r="P700" s="13" t="s">
        <v>11807</v>
      </c>
      <c r="Q700" s="13" t="s">
        <v>11808</v>
      </c>
      <c r="R700" s="13" t="s">
        <v>11809</v>
      </c>
      <c r="S700" s="13" t="s">
        <v>39</v>
      </c>
      <c r="T700" s="13" t="s">
        <v>670</v>
      </c>
      <c r="U700" s="13" t="s">
        <v>11801</v>
      </c>
      <c r="V700" s="13" t="s">
        <v>11810</v>
      </c>
      <c r="W700" s="13" t="s">
        <v>11811</v>
      </c>
      <c r="X700" s="13" t="s">
        <v>11812</v>
      </c>
      <c r="Y700" s="13" t="s">
        <v>78</v>
      </c>
      <c r="Z700" s="13" t="s">
        <v>11813</v>
      </c>
      <c r="AA700" s="13" t="s">
        <v>169</v>
      </c>
      <c r="AB700" s="13" t="s">
        <v>830</v>
      </c>
      <c r="AC700" s="13" t="s">
        <v>39</v>
      </c>
      <c r="AD700" s="13" t="s">
        <v>39</v>
      </c>
      <c r="AE700" s="13" t="s">
        <v>239</v>
      </c>
      <c r="AF700" s="13" t="s">
        <v>11814</v>
      </c>
      <c r="AG700" s="13" t="s">
        <v>11815</v>
      </c>
      <c r="AH700" s="13" t="s">
        <v>39</v>
      </c>
      <c r="AI700" s="13" t="s">
        <v>11816</v>
      </c>
      <c r="AJ700" s="13" t="s">
        <v>11817</v>
      </c>
      <c r="AK700" s="13" t="s">
        <v>11818</v>
      </c>
      <c r="AL700" s="13" t="s">
        <v>88</v>
      </c>
    </row>
    <row r="701" spans="1:38" x14ac:dyDescent="0.4">
      <c r="A701" s="11" t="s">
        <v>11819</v>
      </c>
      <c r="B701" s="14" t="s">
        <v>11820</v>
      </c>
      <c r="C701" s="15" t="s">
        <v>39</v>
      </c>
      <c r="D701" s="15" t="s">
        <v>92</v>
      </c>
      <c r="E701" s="15" t="s">
        <v>11821</v>
      </c>
      <c r="F701" s="15" t="s">
        <v>271</v>
      </c>
      <c r="G701" s="15" t="s">
        <v>271</v>
      </c>
      <c r="H701" s="15" t="s">
        <v>11822</v>
      </c>
      <c r="I701" s="9">
        <f t="shared" ca="1" si="10"/>
        <v>11</v>
      </c>
      <c r="J701" s="15" t="s">
        <v>11823</v>
      </c>
      <c r="K701" s="15" t="s">
        <v>903</v>
      </c>
      <c r="L701" s="9" t="str">
        <f>VLOOKUP(K701,[1]中国省份_标准!$B$2:$F$35,4,FALSE)</f>
        <v>东北地区</v>
      </c>
      <c r="M701" s="9" t="str">
        <f>VLOOKUP(K701,[1]中国省份_标准!$B$2:$F$35,5,FALSE)</f>
        <v>东北地区</v>
      </c>
      <c r="N701" s="15" t="s">
        <v>923</v>
      </c>
      <c r="O701" s="15" t="s">
        <v>6318</v>
      </c>
      <c r="P701" s="15" t="s">
        <v>11824</v>
      </c>
      <c r="Q701" s="15" t="s">
        <v>11825</v>
      </c>
      <c r="R701" s="15" t="s">
        <v>11826</v>
      </c>
      <c r="S701" s="15" t="s">
        <v>11827</v>
      </c>
      <c r="T701" s="15" t="s">
        <v>281</v>
      </c>
      <c r="U701" s="15" t="s">
        <v>11820</v>
      </c>
      <c r="V701" s="15" t="s">
        <v>11828</v>
      </c>
      <c r="W701" s="15" t="s">
        <v>11829</v>
      </c>
      <c r="X701" s="15" t="s">
        <v>77</v>
      </c>
      <c r="Y701" s="15" t="s">
        <v>78</v>
      </c>
      <c r="Z701" s="15" t="s">
        <v>11830</v>
      </c>
      <c r="AA701" s="15" t="s">
        <v>80</v>
      </c>
      <c r="AB701" s="15" t="s">
        <v>106</v>
      </c>
      <c r="AC701" s="15" t="s">
        <v>808</v>
      </c>
      <c r="AD701" s="15" t="s">
        <v>809</v>
      </c>
      <c r="AE701" s="15" t="s">
        <v>262</v>
      </c>
      <c r="AF701" s="15" t="s">
        <v>11831</v>
      </c>
      <c r="AG701" s="15" t="s">
        <v>39</v>
      </c>
      <c r="AH701" s="15" t="s">
        <v>39</v>
      </c>
      <c r="AI701" s="15" t="s">
        <v>11832</v>
      </c>
      <c r="AJ701" s="15" t="s">
        <v>11833</v>
      </c>
      <c r="AK701" s="15" t="s">
        <v>6328</v>
      </c>
      <c r="AL701" s="15" t="s">
        <v>88</v>
      </c>
    </row>
    <row r="702" spans="1:38" x14ac:dyDescent="0.4">
      <c r="A702" s="11" t="s">
        <v>11834</v>
      </c>
      <c r="B702" s="12" t="s">
        <v>11835</v>
      </c>
      <c r="C702" s="13" t="s">
        <v>11836</v>
      </c>
      <c r="D702" s="13" t="s">
        <v>92</v>
      </c>
      <c r="E702" s="13" t="s">
        <v>11837</v>
      </c>
      <c r="F702" s="13" t="s">
        <v>11838</v>
      </c>
      <c r="G702" s="13" t="s">
        <v>2161</v>
      </c>
      <c r="H702" s="13" t="s">
        <v>11839</v>
      </c>
      <c r="I702" s="9">
        <f t="shared" ca="1" si="10"/>
        <v>22</v>
      </c>
      <c r="J702" s="13" t="s">
        <v>11840</v>
      </c>
      <c r="K702" s="13" t="s">
        <v>97</v>
      </c>
      <c r="L702" s="9" t="str">
        <f>VLOOKUP(K702,[1]中国省份_标准!$B$2:$F$35,4,FALSE)</f>
        <v>中部地区</v>
      </c>
      <c r="M702" s="9" t="str">
        <f>VLOOKUP(K702,[1]中国省份_标准!$B$2:$F$35,5,FALSE)</f>
        <v>华中地区</v>
      </c>
      <c r="N702" s="13" t="s">
        <v>5357</v>
      </c>
      <c r="O702" s="13" t="s">
        <v>11841</v>
      </c>
      <c r="P702" s="13" t="s">
        <v>11842</v>
      </c>
      <c r="Q702" s="13" t="s">
        <v>11843</v>
      </c>
      <c r="R702" s="13" t="s">
        <v>11844</v>
      </c>
      <c r="S702" s="13" t="s">
        <v>11845</v>
      </c>
      <c r="T702" s="13" t="s">
        <v>209</v>
      </c>
      <c r="U702" s="13" t="s">
        <v>11835</v>
      </c>
      <c r="V702" s="13" t="s">
        <v>11846</v>
      </c>
      <c r="W702" s="13" t="s">
        <v>11847</v>
      </c>
      <c r="X702" s="13" t="s">
        <v>11848</v>
      </c>
      <c r="Y702" s="13" t="s">
        <v>283</v>
      </c>
      <c r="Z702" s="13" t="s">
        <v>11849</v>
      </c>
      <c r="AA702" s="13" t="s">
        <v>169</v>
      </c>
      <c r="AB702" s="13" t="s">
        <v>412</v>
      </c>
      <c r="AC702" s="13" t="s">
        <v>4977</v>
      </c>
      <c r="AD702" s="13" t="s">
        <v>7222</v>
      </c>
      <c r="AE702" s="13" t="s">
        <v>262</v>
      </c>
      <c r="AF702" s="13" t="s">
        <v>11850</v>
      </c>
      <c r="AG702" s="13" t="s">
        <v>11851</v>
      </c>
      <c r="AH702" s="13" t="s">
        <v>39</v>
      </c>
      <c r="AI702" s="13" t="s">
        <v>11852</v>
      </c>
      <c r="AJ702" s="13" t="s">
        <v>11853</v>
      </c>
      <c r="AK702" s="13" t="s">
        <v>11854</v>
      </c>
      <c r="AL702" s="13" t="s">
        <v>88</v>
      </c>
    </row>
    <row r="703" spans="1:38" x14ac:dyDescent="0.4">
      <c r="A703" s="11" t="s">
        <v>11855</v>
      </c>
      <c r="B703" s="14" t="s">
        <v>11856</v>
      </c>
      <c r="C703" s="15" t="s">
        <v>39</v>
      </c>
      <c r="D703" s="15" t="s">
        <v>63</v>
      </c>
      <c r="E703" s="15" t="s">
        <v>11857</v>
      </c>
      <c r="F703" s="15" t="s">
        <v>11858</v>
      </c>
      <c r="G703" s="15" t="s">
        <v>11858</v>
      </c>
      <c r="H703" s="15" t="s">
        <v>11859</v>
      </c>
      <c r="I703" s="9">
        <f t="shared" ca="1" si="10"/>
        <v>22</v>
      </c>
      <c r="J703" s="15" t="s">
        <v>11860</v>
      </c>
      <c r="K703" s="15" t="s">
        <v>67</v>
      </c>
      <c r="L703" s="9" t="str">
        <f>VLOOKUP(K703,[1]中国省份_标准!$B$2:$F$35,4,FALSE)</f>
        <v>东部地区</v>
      </c>
      <c r="M703" s="9" t="str">
        <f>VLOOKUP(K703,[1]中国省份_标准!$B$2:$F$35,5,FALSE)</f>
        <v>华东地区</v>
      </c>
      <c r="N703" s="15" t="s">
        <v>3695</v>
      </c>
      <c r="O703" s="15" t="s">
        <v>11861</v>
      </c>
      <c r="P703" s="15" t="s">
        <v>11862</v>
      </c>
      <c r="Q703" s="15" t="s">
        <v>11863</v>
      </c>
      <c r="R703" s="15" t="s">
        <v>11864</v>
      </c>
      <c r="S703" s="15" t="s">
        <v>39</v>
      </c>
      <c r="T703" s="15" t="s">
        <v>670</v>
      </c>
      <c r="U703" s="15" t="s">
        <v>11856</v>
      </c>
      <c r="V703" s="15" t="s">
        <v>11865</v>
      </c>
      <c r="W703" s="15" t="s">
        <v>11866</v>
      </c>
      <c r="X703" s="15" t="s">
        <v>2491</v>
      </c>
      <c r="Y703" s="15" t="s">
        <v>78</v>
      </c>
      <c r="Z703" s="15" t="s">
        <v>11867</v>
      </c>
      <c r="AA703" s="15" t="s">
        <v>80</v>
      </c>
      <c r="AB703" s="15" t="s">
        <v>106</v>
      </c>
      <c r="AC703" s="15" t="s">
        <v>808</v>
      </c>
      <c r="AD703" s="15" t="s">
        <v>893</v>
      </c>
      <c r="AE703" s="15" t="s">
        <v>55</v>
      </c>
      <c r="AF703" s="15" t="s">
        <v>11868</v>
      </c>
      <c r="AG703" s="15" t="s">
        <v>39</v>
      </c>
      <c r="AH703" s="15" t="s">
        <v>39</v>
      </c>
      <c r="AI703" s="15" t="s">
        <v>11869</v>
      </c>
      <c r="AJ703" s="15" t="s">
        <v>11870</v>
      </c>
      <c r="AK703" s="15" t="s">
        <v>11871</v>
      </c>
      <c r="AL703" s="15" t="s">
        <v>88</v>
      </c>
    </row>
    <row r="704" spans="1:38" x14ac:dyDescent="0.4">
      <c r="A704" s="11" t="s">
        <v>11872</v>
      </c>
      <c r="B704" s="12" t="s">
        <v>11873</v>
      </c>
      <c r="C704" s="13" t="s">
        <v>39</v>
      </c>
      <c r="D704" s="13" t="s">
        <v>63</v>
      </c>
      <c r="E704" s="13" t="s">
        <v>11874</v>
      </c>
      <c r="F704" s="13" t="s">
        <v>178</v>
      </c>
      <c r="G704" s="13" t="s">
        <v>178</v>
      </c>
      <c r="H704" s="13" t="s">
        <v>11875</v>
      </c>
      <c r="I704" s="9">
        <f t="shared" ca="1" si="10"/>
        <v>13</v>
      </c>
      <c r="J704" s="13" t="s">
        <v>11876</v>
      </c>
      <c r="K704" s="13" t="s">
        <v>425</v>
      </c>
      <c r="L704" s="9" t="str">
        <f>VLOOKUP(K704,[1]中国省份_标准!$B$2:$F$35,4,FALSE)</f>
        <v>东部地区</v>
      </c>
      <c r="M704" s="9" t="str">
        <f>VLOOKUP(K704,[1]中国省份_标准!$B$2:$F$35,5,FALSE)</f>
        <v>华东地区</v>
      </c>
      <c r="N704" s="13" t="s">
        <v>3013</v>
      </c>
      <c r="O704" s="13" t="s">
        <v>11877</v>
      </c>
      <c r="P704" s="13" t="s">
        <v>11878</v>
      </c>
      <c r="Q704" s="13" t="s">
        <v>11879</v>
      </c>
      <c r="R704" s="13" t="s">
        <v>11880</v>
      </c>
      <c r="S704" s="13" t="s">
        <v>39</v>
      </c>
      <c r="T704" s="13" t="s">
        <v>48</v>
      </c>
      <c r="U704" s="13" t="s">
        <v>11873</v>
      </c>
      <c r="V704" s="13" t="s">
        <v>11881</v>
      </c>
      <c r="W704" s="13" t="s">
        <v>11882</v>
      </c>
      <c r="X704" s="13" t="s">
        <v>77</v>
      </c>
      <c r="Y704" s="13" t="s">
        <v>78</v>
      </c>
      <c r="Z704" s="13" t="s">
        <v>11883</v>
      </c>
      <c r="AA704" s="13" t="s">
        <v>1796</v>
      </c>
      <c r="AB704" s="13" t="s">
        <v>1797</v>
      </c>
      <c r="AC704" s="13" t="s">
        <v>39</v>
      </c>
      <c r="AD704" s="13" t="s">
        <v>39</v>
      </c>
      <c r="AE704" s="13" t="s">
        <v>55</v>
      </c>
      <c r="AF704" s="13" t="s">
        <v>11884</v>
      </c>
      <c r="AG704" s="13" t="s">
        <v>39</v>
      </c>
      <c r="AH704" s="13" t="s">
        <v>39</v>
      </c>
      <c r="AI704" s="13" t="s">
        <v>11885</v>
      </c>
      <c r="AJ704" s="13" t="s">
        <v>11886</v>
      </c>
      <c r="AK704" s="13" t="s">
        <v>11887</v>
      </c>
      <c r="AL704" s="13" t="s">
        <v>88</v>
      </c>
    </row>
    <row r="705" spans="1:38" x14ac:dyDescent="0.4">
      <c r="A705" s="11" t="s">
        <v>11888</v>
      </c>
      <c r="B705" s="14" t="s">
        <v>11889</v>
      </c>
      <c r="C705" s="15" t="s">
        <v>39</v>
      </c>
      <c r="D705" s="15" t="s">
        <v>92</v>
      </c>
      <c r="E705" s="15" t="s">
        <v>11890</v>
      </c>
      <c r="F705" s="15" t="s">
        <v>271</v>
      </c>
      <c r="G705" s="15" t="s">
        <v>271</v>
      </c>
      <c r="H705" s="15" t="s">
        <v>11891</v>
      </c>
      <c r="I705" s="9">
        <f t="shared" ca="1" si="10"/>
        <v>6</v>
      </c>
      <c r="J705" s="15" t="s">
        <v>11892</v>
      </c>
      <c r="K705" s="15" t="s">
        <v>227</v>
      </c>
      <c r="L705" s="9" t="str">
        <f>VLOOKUP(K705,[1]中国省份_标准!$B$2:$F$35,4,FALSE)</f>
        <v>西部地区</v>
      </c>
      <c r="M705" s="9" t="str">
        <f>VLOOKUP(K705,[1]中国省份_标准!$B$2:$F$35,5,FALSE)</f>
        <v>西北地区</v>
      </c>
      <c r="N705" s="15" t="s">
        <v>3212</v>
      </c>
      <c r="O705" s="15" t="s">
        <v>11893</v>
      </c>
      <c r="P705" s="15" t="s">
        <v>11894</v>
      </c>
      <c r="Q705" s="15" t="s">
        <v>39</v>
      </c>
      <c r="R705" s="15" t="s">
        <v>11895</v>
      </c>
      <c r="S705" s="15" t="s">
        <v>39</v>
      </c>
      <c r="T705" s="15" t="s">
        <v>452</v>
      </c>
      <c r="U705" s="15" t="s">
        <v>11889</v>
      </c>
      <c r="V705" s="15" t="s">
        <v>11896</v>
      </c>
      <c r="W705" s="15" t="s">
        <v>11897</v>
      </c>
      <c r="X705" s="15" t="s">
        <v>77</v>
      </c>
      <c r="Y705" s="15" t="s">
        <v>78</v>
      </c>
      <c r="Z705" s="15" t="s">
        <v>11898</v>
      </c>
      <c r="AA705" s="15" t="s">
        <v>309</v>
      </c>
      <c r="AB705" s="15" t="s">
        <v>772</v>
      </c>
      <c r="AC705" s="15" t="s">
        <v>773</v>
      </c>
      <c r="AD705" s="15" t="s">
        <v>774</v>
      </c>
      <c r="AE705" s="15" t="s">
        <v>262</v>
      </c>
      <c r="AF705" s="15" t="s">
        <v>11899</v>
      </c>
      <c r="AG705" s="15" t="s">
        <v>39</v>
      </c>
      <c r="AH705" s="15" t="s">
        <v>39</v>
      </c>
      <c r="AI705" s="15" t="s">
        <v>11900</v>
      </c>
      <c r="AJ705" s="15" t="s">
        <v>11901</v>
      </c>
      <c r="AK705" s="15" t="s">
        <v>3181</v>
      </c>
      <c r="AL705" s="15" t="s">
        <v>88</v>
      </c>
    </row>
    <row r="706" spans="1:38" x14ac:dyDescent="0.4">
      <c r="A706" s="11" t="s">
        <v>11902</v>
      </c>
      <c r="B706" s="12" t="s">
        <v>11903</v>
      </c>
      <c r="C706" s="13" t="s">
        <v>11904</v>
      </c>
      <c r="D706" s="13" t="s">
        <v>92</v>
      </c>
      <c r="E706" s="13" t="s">
        <v>4319</v>
      </c>
      <c r="F706" s="13" t="s">
        <v>11905</v>
      </c>
      <c r="G706" s="13" t="s">
        <v>11905</v>
      </c>
      <c r="H706" s="13" t="s">
        <v>11906</v>
      </c>
      <c r="I706" s="9">
        <f t="shared" ca="1" si="10"/>
        <v>17</v>
      </c>
      <c r="J706" s="13" t="s">
        <v>4322</v>
      </c>
      <c r="K706" s="13" t="s">
        <v>4266</v>
      </c>
      <c r="L706" s="9" t="str">
        <f>VLOOKUP(K706,[1]中国省份_标准!$B$2:$F$35,4,FALSE)</f>
        <v>东部地区</v>
      </c>
      <c r="M706" s="9" t="str">
        <f>VLOOKUP(K706,[1]中国省份_标准!$B$2:$F$35,5,FALSE)</f>
        <v>华北地区</v>
      </c>
      <c r="N706" s="13" t="s">
        <v>4266</v>
      </c>
      <c r="O706" s="13" t="s">
        <v>4286</v>
      </c>
      <c r="P706" s="13" t="s">
        <v>4323</v>
      </c>
      <c r="Q706" s="13" t="s">
        <v>11907</v>
      </c>
      <c r="R706" s="13" t="s">
        <v>11908</v>
      </c>
      <c r="S706" s="13" t="s">
        <v>11909</v>
      </c>
      <c r="T706" s="13" t="s">
        <v>1028</v>
      </c>
      <c r="U706" s="13" t="s">
        <v>11903</v>
      </c>
      <c r="V706" s="13" t="s">
        <v>11910</v>
      </c>
      <c r="W706" s="13" t="s">
        <v>11911</v>
      </c>
      <c r="X706" s="13" t="s">
        <v>77</v>
      </c>
      <c r="Y706" s="13" t="s">
        <v>78</v>
      </c>
      <c r="Z706" s="13" t="s">
        <v>11912</v>
      </c>
      <c r="AA706" s="13" t="s">
        <v>169</v>
      </c>
      <c r="AB706" s="13" t="s">
        <v>581</v>
      </c>
      <c r="AC706" s="13" t="s">
        <v>582</v>
      </c>
      <c r="AD706" s="13" t="s">
        <v>583</v>
      </c>
      <c r="AE706" s="13" t="s">
        <v>262</v>
      </c>
      <c r="AF706" s="13" t="s">
        <v>11913</v>
      </c>
      <c r="AG706" s="13" t="s">
        <v>39</v>
      </c>
      <c r="AH706" s="13" t="s">
        <v>39</v>
      </c>
      <c r="AI706" s="13" t="s">
        <v>11914</v>
      </c>
      <c r="AJ706" s="13" t="s">
        <v>11915</v>
      </c>
      <c r="AK706" s="13" t="s">
        <v>4336</v>
      </c>
      <c r="AL706" s="13" t="s">
        <v>88</v>
      </c>
    </row>
    <row r="707" spans="1:38" x14ac:dyDescent="0.4">
      <c r="A707" s="11" t="s">
        <v>11916</v>
      </c>
      <c r="B707" s="14" t="s">
        <v>11917</v>
      </c>
      <c r="C707" s="15" t="s">
        <v>39</v>
      </c>
      <c r="D707" s="15" t="s">
        <v>63</v>
      </c>
      <c r="E707" s="15" t="s">
        <v>11918</v>
      </c>
      <c r="F707" s="15" t="s">
        <v>640</v>
      </c>
      <c r="G707" s="15" t="s">
        <v>640</v>
      </c>
      <c r="H707" s="15" t="s">
        <v>2606</v>
      </c>
      <c r="I707" s="9">
        <f t="shared" ref="I707:I770" ca="1" si="11">DATEDIF(H707, TODAY(), "Y")</f>
        <v>8</v>
      </c>
      <c r="J707" s="15" t="s">
        <v>11919</v>
      </c>
      <c r="K707" s="15" t="s">
        <v>67</v>
      </c>
      <c r="L707" s="9" t="str">
        <f>VLOOKUP(K707,[1]中国省份_标准!$B$2:$F$35,4,FALSE)</f>
        <v>东部地区</v>
      </c>
      <c r="M707" s="9" t="str">
        <f>VLOOKUP(K707,[1]中国省份_标准!$B$2:$F$35,5,FALSE)</f>
        <v>华东地区</v>
      </c>
      <c r="N707" s="15" t="s">
        <v>203</v>
      </c>
      <c r="O707" s="15" t="s">
        <v>944</v>
      </c>
      <c r="P707" s="15" t="s">
        <v>11920</v>
      </c>
      <c r="Q707" s="15" t="s">
        <v>11921</v>
      </c>
      <c r="R707" s="15" t="s">
        <v>11922</v>
      </c>
      <c r="S707" s="15" t="s">
        <v>11923</v>
      </c>
      <c r="T707" s="15" t="s">
        <v>48</v>
      </c>
      <c r="U707" s="15" t="s">
        <v>11917</v>
      </c>
      <c r="V707" s="15" t="s">
        <v>11924</v>
      </c>
      <c r="W707" s="15" t="s">
        <v>11925</v>
      </c>
      <c r="X707" s="15" t="s">
        <v>77</v>
      </c>
      <c r="Y707" s="15" t="s">
        <v>78</v>
      </c>
      <c r="Z707" s="15" t="s">
        <v>2612</v>
      </c>
      <c r="AA707" s="15" t="s">
        <v>80</v>
      </c>
      <c r="AB707" s="15" t="s">
        <v>106</v>
      </c>
      <c r="AC707" s="15" t="s">
        <v>559</v>
      </c>
      <c r="AD707" s="15" t="s">
        <v>560</v>
      </c>
      <c r="AE707" s="15" t="s">
        <v>109</v>
      </c>
      <c r="AF707" s="15" t="s">
        <v>11926</v>
      </c>
      <c r="AG707" s="15" t="s">
        <v>39</v>
      </c>
      <c r="AH707" s="15" t="s">
        <v>39</v>
      </c>
      <c r="AI707" s="15" t="s">
        <v>11927</v>
      </c>
      <c r="AJ707" s="15" t="s">
        <v>955</v>
      </c>
      <c r="AK707" s="15" t="s">
        <v>956</v>
      </c>
      <c r="AL707" s="15" t="s">
        <v>88</v>
      </c>
    </row>
    <row r="708" spans="1:38" x14ac:dyDescent="0.4">
      <c r="A708" s="11" t="s">
        <v>11928</v>
      </c>
      <c r="B708" s="12" t="s">
        <v>11929</v>
      </c>
      <c r="C708" s="13" t="s">
        <v>39</v>
      </c>
      <c r="D708" s="13" t="s">
        <v>92</v>
      </c>
      <c r="E708" s="13" t="s">
        <v>11930</v>
      </c>
      <c r="F708" s="13" t="s">
        <v>11931</v>
      </c>
      <c r="G708" s="13" t="s">
        <v>11931</v>
      </c>
      <c r="H708" s="13" t="s">
        <v>10417</v>
      </c>
      <c r="I708" s="9">
        <f t="shared" ca="1" si="11"/>
        <v>13</v>
      </c>
      <c r="J708" s="13" t="s">
        <v>11932</v>
      </c>
      <c r="K708" s="13" t="s">
        <v>97</v>
      </c>
      <c r="L708" s="9" t="str">
        <f>VLOOKUP(K708,[1]中国省份_标准!$B$2:$F$35,4,FALSE)</f>
        <v>中部地区</v>
      </c>
      <c r="M708" s="9" t="str">
        <f>VLOOKUP(K708,[1]中国省份_标准!$B$2:$F$35,5,FALSE)</f>
        <v>华中地区</v>
      </c>
      <c r="N708" s="13" t="s">
        <v>6992</v>
      </c>
      <c r="O708" s="13" t="s">
        <v>8405</v>
      </c>
      <c r="P708" s="13" t="s">
        <v>11933</v>
      </c>
      <c r="Q708" s="13" t="s">
        <v>11934</v>
      </c>
      <c r="R708" s="13" t="s">
        <v>11935</v>
      </c>
      <c r="S708" s="13" t="s">
        <v>11936</v>
      </c>
      <c r="T708" s="13" t="s">
        <v>184</v>
      </c>
      <c r="U708" s="13" t="s">
        <v>11929</v>
      </c>
      <c r="V708" s="13" t="s">
        <v>11937</v>
      </c>
      <c r="W708" s="13" t="s">
        <v>11938</v>
      </c>
      <c r="X708" s="13" t="s">
        <v>11939</v>
      </c>
      <c r="Y708" s="13" t="s">
        <v>78</v>
      </c>
      <c r="Z708" s="13" t="s">
        <v>11940</v>
      </c>
      <c r="AA708" s="13" t="s">
        <v>80</v>
      </c>
      <c r="AB708" s="13" t="s">
        <v>106</v>
      </c>
      <c r="AC708" s="13" t="s">
        <v>1132</v>
      </c>
      <c r="AD708" s="13" t="s">
        <v>3591</v>
      </c>
      <c r="AE708" s="13" t="s">
        <v>239</v>
      </c>
      <c r="AF708" s="13" t="s">
        <v>11941</v>
      </c>
      <c r="AG708" s="13" t="s">
        <v>39</v>
      </c>
      <c r="AH708" s="13" t="s">
        <v>39</v>
      </c>
      <c r="AI708" s="13" t="s">
        <v>11942</v>
      </c>
      <c r="AJ708" s="13" t="s">
        <v>11943</v>
      </c>
      <c r="AK708" s="13" t="s">
        <v>11944</v>
      </c>
      <c r="AL708" s="13" t="s">
        <v>88</v>
      </c>
    </row>
    <row r="709" spans="1:38" x14ac:dyDescent="0.4">
      <c r="A709" s="11" t="s">
        <v>11945</v>
      </c>
      <c r="B709" s="14" t="s">
        <v>11946</v>
      </c>
      <c r="C709" s="15" t="s">
        <v>39</v>
      </c>
      <c r="D709" s="15" t="s">
        <v>92</v>
      </c>
      <c r="E709" s="15" t="s">
        <v>11947</v>
      </c>
      <c r="F709" s="15" t="s">
        <v>11948</v>
      </c>
      <c r="G709" s="15" t="s">
        <v>11948</v>
      </c>
      <c r="H709" s="15" t="s">
        <v>11949</v>
      </c>
      <c r="I709" s="9">
        <f t="shared" ca="1" si="11"/>
        <v>25</v>
      </c>
      <c r="J709" s="15" t="s">
        <v>11950</v>
      </c>
      <c r="K709" s="15" t="s">
        <v>340</v>
      </c>
      <c r="L709" s="9" t="str">
        <f>VLOOKUP(K709,[1]中国省份_标准!$B$2:$F$35,4,FALSE)</f>
        <v>东部地区</v>
      </c>
      <c r="M709" s="9" t="str">
        <f>VLOOKUP(K709,[1]中国省份_标准!$B$2:$F$35,5,FALSE)</f>
        <v>华东地区</v>
      </c>
      <c r="N709" s="15" t="s">
        <v>5879</v>
      </c>
      <c r="O709" s="15" t="s">
        <v>6227</v>
      </c>
      <c r="P709" s="15" t="s">
        <v>11951</v>
      </c>
      <c r="Q709" s="15" t="s">
        <v>11952</v>
      </c>
      <c r="R709" s="15" t="s">
        <v>11953</v>
      </c>
      <c r="S709" s="15" t="s">
        <v>39</v>
      </c>
      <c r="T709" s="15" t="s">
        <v>48</v>
      </c>
      <c r="U709" s="15" t="s">
        <v>11946</v>
      </c>
      <c r="V709" s="15" t="s">
        <v>11954</v>
      </c>
      <c r="W709" s="15" t="s">
        <v>11955</v>
      </c>
      <c r="X709" s="15" t="s">
        <v>1130</v>
      </c>
      <c r="Y709" s="15" t="s">
        <v>78</v>
      </c>
      <c r="Z709" s="15" t="s">
        <v>11956</v>
      </c>
      <c r="AA709" s="15" t="s">
        <v>169</v>
      </c>
      <c r="AB709" s="15" t="s">
        <v>285</v>
      </c>
      <c r="AC709" s="15" t="s">
        <v>6423</v>
      </c>
      <c r="AD709" s="15" t="s">
        <v>6424</v>
      </c>
      <c r="AE709" s="15" t="s">
        <v>55</v>
      </c>
      <c r="AF709" s="15" t="s">
        <v>11957</v>
      </c>
      <c r="AG709" s="15" t="s">
        <v>39</v>
      </c>
      <c r="AH709" s="15" t="s">
        <v>39</v>
      </c>
      <c r="AI709" s="15" t="s">
        <v>11958</v>
      </c>
      <c r="AJ709" s="15" t="s">
        <v>11959</v>
      </c>
      <c r="AK709" s="15" t="s">
        <v>6237</v>
      </c>
      <c r="AL709" s="15" t="s">
        <v>88</v>
      </c>
    </row>
    <row r="710" spans="1:38" x14ac:dyDescent="0.4">
      <c r="A710" s="11" t="s">
        <v>11960</v>
      </c>
      <c r="B710" s="12" t="s">
        <v>11961</v>
      </c>
      <c r="C710" s="13" t="s">
        <v>39</v>
      </c>
      <c r="D710" s="13" t="s">
        <v>92</v>
      </c>
      <c r="E710" s="13" t="s">
        <v>11962</v>
      </c>
      <c r="F710" s="13" t="s">
        <v>640</v>
      </c>
      <c r="G710" s="13" t="s">
        <v>640</v>
      </c>
      <c r="H710" s="13" t="s">
        <v>11963</v>
      </c>
      <c r="I710" s="9">
        <f t="shared" ca="1" si="11"/>
        <v>7</v>
      </c>
      <c r="J710" s="13" t="s">
        <v>11964</v>
      </c>
      <c r="K710" s="13" t="s">
        <v>425</v>
      </c>
      <c r="L710" s="9" t="str">
        <f>VLOOKUP(K710,[1]中国省份_标准!$B$2:$F$35,4,FALSE)</f>
        <v>东部地区</v>
      </c>
      <c r="M710" s="9" t="str">
        <f>VLOOKUP(K710,[1]中国省份_标准!$B$2:$F$35,5,FALSE)</f>
        <v>华东地区</v>
      </c>
      <c r="N710" s="13" t="s">
        <v>3013</v>
      </c>
      <c r="O710" s="13" t="s">
        <v>3014</v>
      </c>
      <c r="P710" s="13" t="s">
        <v>11965</v>
      </c>
      <c r="Q710" s="13" t="s">
        <v>11966</v>
      </c>
      <c r="R710" s="13" t="s">
        <v>11967</v>
      </c>
      <c r="S710" s="13" t="s">
        <v>39</v>
      </c>
      <c r="T710" s="13" t="s">
        <v>48</v>
      </c>
      <c r="U710" s="13" t="s">
        <v>11961</v>
      </c>
      <c r="V710" s="13" t="s">
        <v>39</v>
      </c>
      <c r="W710" s="13" t="s">
        <v>11968</v>
      </c>
      <c r="X710" s="13" t="s">
        <v>4934</v>
      </c>
      <c r="Y710" s="13" t="s">
        <v>78</v>
      </c>
      <c r="Z710" s="13" t="s">
        <v>11969</v>
      </c>
      <c r="AA710" s="13" t="s">
        <v>1796</v>
      </c>
      <c r="AB710" s="13" t="s">
        <v>1797</v>
      </c>
      <c r="AC710" s="13" t="s">
        <v>39</v>
      </c>
      <c r="AD710" s="13" t="s">
        <v>39</v>
      </c>
      <c r="AE710" s="13" t="s">
        <v>55</v>
      </c>
      <c r="AF710" s="13" t="s">
        <v>11970</v>
      </c>
      <c r="AG710" s="13" t="s">
        <v>39</v>
      </c>
      <c r="AH710" s="13" t="s">
        <v>39</v>
      </c>
      <c r="AI710" s="13" t="s">
        <v>11971</v>
      </c>
      <c r="AJ710" s="13" t="s">
        <v>11972</v>
      </c>
      <c r="AK710" s="13" t="s">
        <v>3023</v>
      </c>
      <c r="AL710" s="13" t="s">
        <v>88</v>
      </c>
    </row>
    <row r="711" spans="1:38" x14ac:dyDescent="0.4">
      <c r="A711" s="11" t="s">
        <v>11973</v>
      </c>
      <c r="B711" s="14" t="s">
        <v>11974</v>
      </c>
      <c r="C711" s="15" t="s">
        <v>39</v>
      </c>
      <c r="D711" s="15" t="s">
        <v>92</v>
      </c>
      <c r="E711" s="15" t="s">
        <v>11975</v>
      </c>
      <c r="F711" s="15" t="s">
        <v>422</v>
      </c>
      <c r="G711" s="15" t="s">
        <v>39</v>
      </c>
      <c r="H711" s="15" t="s">
        <v>11976</v>
      </c>
      <c r="I711" s="9">
        <f t="shared" ca="1" si="11"/>
        <v>5</v>
      </c>
      <c r="J711" s="15" t="s">
        <v>11977</v>
      </c>
      <c r="K711" s="15" t="s">
        <v>531</v>
      </c>
      <c r="L711" s="9" t="str">
        <f>VLOOKUP(K711,[1]中国省份_标准!$B$2:$F$35,4,FALSE)</f>
        <v>东部地区</v>
      </c>
      <c r="M711" s="9" t="str">
        <f>VLOOKUP(K711,[1]中国省份_标准!$B$2:$F$35,5,FALSE)</f>
        <v>华南地区</v>
      </c>
      <c r="N711" s="15" t="s">
        <v>1450</v>
      </c>
      <c r="O711" s="15" t="s">
        <v>1847</v>
      </c>
      <c r="P711" s="15" t="s">
        <v>11978</v>
      </c>
      <c r="Q711" s="15" t="s">
        <v>39</v>
      </c>
      <c r="R711" s="15" t="s">
        <v>39</v>
      </c>
      <c r="S711" s="15" t="s">
        <v>39</v>
      </c>
      <c r="T711" s="15" t="s">
        <v>48</v>
      </c>
      <c r="U711" s="15" t="s">
        <v>11974</v>
      </c>
      <c r="V711" s="15" t="s">
        <v>39</v>
      </c>
      <c r="W711" s="15" t="s">
        <v>11979</v>
      </c>
      <c r="X711" s="15" t="s">
        <v>455</v>
      </c>
      <c r="Y711" s="15" t="s">
        <v>78</v>
      </c>
      <c r="Z711" s="15" t="s">
        <v>11980</v>
      </c>
      <c r="AA711" s="15" t="s">
        <v>80</v>
      </c>
      <c r="AB711" s="15" t="s">
        <v>106</v>
      </c>
      <c r="AC711" s="15" t="s">
        <v>388</v>
      </c>
      <c r="AD711" s="15" t="s">
        <v>434</v>
      </c>
      <c r="AE711" s="15" t="s">
        <v>55</v>
      </c>
      <c r="AF711" s="15" t="s">
        <v>11981</v>
      </c>
      <c r="AG711" s="15" t="s">
        <v>39</v>
      </c>
      <c r="AH711" s="15" t="s">
        <v>39</v>
      </c>
      <c r="AI711" s="15" t="s">
        <v>11982</v>
      </c>
      <c r="AJ711" s="15" t="s">
        <v>11983</v>
      </c>
      <c r="AK711" s="15" t="s">
        <v>1856</v>
      </c>
      <c r="AL711" s="15" t="s">
        <v>88</v>
      </c>
    </row>
    <row r="712" spans="1:38" x14ac:dyDescent="0.4">
      <c r="A712" s="11" t="s">
        <v>11984</v>
      </c>
      <c r="B712" s="12" t="s">
        <v>11985</v>
      </c>
      <c r="C712" s="13" t="s">
        <v>39</v>
      </c>
      <c r="D712" s="13" t="s">
        <v>92</v>
      </c>
      <c r="E712" s="13" t="s">
        <v>11986</v>
      </c>
      <c r="F712" s="13" t="s">
        <v>39</v>
      </c>
      <c r="G712" s="13" t="s">
        <v>39</v>
      </c>
      <c r="H712" s="13" t="s">
        <v>11987</v>
      </c>
      <c r="I712" s="9">
        <f t="shared" ca="1" si="11"/>
        <v>16</v>
      </c>
      <c r="J712" s="13" t="s">
        <v>11988</v>
      </c>
      <c r="K712" s="13" t="s">
        <v>702</v>
      </c>
      <c r="L712" s="9" t="str">
        <f>VLOOKUP(K712,[1]中国省份_标准!$B$2:$F$35,4,FALSE)</f>
        <v>东部地区</v>
      </c>
      <c r="M712" s="9" t="str">
        <f>VLOOKUP(K712,[1]中国省份_标准!$B$2:$F$35,5,FALSE)</f>
        <v>华北地区</v>
      </c>
      <c r="N712" s="13" t="s">
        <v>6790</v>
      </c>
      <c r="O712" s="13" t="s">
        <v>6791</v>
      </c>
      <c r="P712" s="13" t="s">
        <v>11989</v>
      </c>
      <c r="Q712" s="13" t="s">
        <v>11990</v>
      </c>
      <c r="R712" s="13" t="s">
        <v>11991</v>
      </c>
      <c r="S712" s="13" t="s">
        <v>11992</v>
      </c>
      <c r="T712" s="13" t="s">
        <v>3759</v>
      </c>
      <c r="U712" s="13" t="s">
        <v>11985</v>
      </c>
      <c r="V712" s="13" t="s">
        <v>11993</v>
      </c>
      <c r="W712" s="13" t="s">
        <v>11994</v>
      </c>
      <c r="X712" s="13" t="s">
        <v>11995</v>
      </c>
      <c r="Y712" s="13" t="s">
        <v>78</v>
      </c>
      <c r="Z712" s="13" t="s">
        <v>11996</v>
      </c>
      <c r="AA712" s="13" t="s">
        <v>169</v>
      </c>
      <c r="AB712" s="13" t="s">
        <v>4158</v>
      </c>
      <c r="AC712" s="13" t="s">
        <v>11997</v>
      </c>
      <c r="AD712" s="13" t="s">
        <v>11998</v>
      </c>
      <c r="AE712" s="13" t="s">
        <v>39</v>
      </c>
      <c r="AF712" s="13" t="s">
        <v>11999</v>
      </c>
      <c r="AG712" s="13" t="s">
        <v>39</v>
      </c>
      <c r="AH712" s="13" t="s">
        <v>39</v>
      </c>
      <c r="AI712" s="13" t="s">
        <v>12000</v>
      </c>
      <c r="AJ712" s="13" t="s">
        <v>12001</v>
      </c>
      <c r="AK712" s="13" t="s">
        <v>6802</v>
      </c>
      <c r="AL712" s="13" t="s">
        <v>88</v>
      </c>
    </row>
    <row r="713" spans="1:38" x14ac:dyDescent="0.4">
      <c r="A713" s="11" t="s">
        <v>12002</v>
      </c>
      <c r="B713" s="14" t="s">
        <v>12003</v>
      </c>
      <c r="C713" s="15" t="s">
        <v>12004</v>
      </c>
      <c r="D713" s="15" t="s">
        <v>92</v>
      </c>
      <c r="E713" s="15" t="s">
        <v>12005</v>
      </c>
      <c r="F713" s="15" t="s">
        <v>9502</v>
      </c>
      <c r="G713" s="15" t="s">
        <v>920</v>
      </c>
      <c r="H713" s="15" t="s">
        <v>12006</v>
      </c>
      <c r="I713" s="9">
        <f t="shared" ca="1" si="11"/>
        <v>40</v>
      </c>
      <c r="J713" s="15" t="s">
        <v>12007</v>
      </c>
      <c r="K713" s="15" t="s">
        <v>531</v>
      </c>
      <c r="L713" s="9" t="str">
        <f>VLOOKUP(K713,[1]中国省份_标准!$B$2:$F$35,4,FALSE)</f>
        <v>东部地区</v>
      </c>
      <c r="M713" s="9" t="str">
        <f>VLOOKUP(K713,[1]中国省份_标准!$B$2:$F$35,5,FALSE)</f>
        <v>华南地区</v>
      </c>
      <c r="N713" s="15" t="s">
        <v>12008</v>
      </c>
      <c r="O713" s="15" t="s">
        <v>12009</v>
      </c>
      <c r="P713" s="15" t="s">
        <v>12010</v>
      </c>
      <c r="Q713" s="15" t="s">
        <v>12011</v>
      </c>
      <c r="R713" s="15" t="s">
        <v>12012</v>
      </c>
      <c r="S713" s="15" t="s">
        <v>12013</v>
      </c>
      <c r="T713" s="15" t="s">
        <v>1028</v>
      </c>
      <c r="U713" s="15" t="s">
        <v>12003</v>
      </c>
      <c r="V713" s="15" t="s">
        <v>12014</v>
      </c>
      <c r="W713" s="15" t="s">
        <v>12015</v>
      </c>
      <c r="X713" s="15" t="s">
        <v>12016</v>
      </c>
      <c r="Y713" s="15" t="s">
        <v>78</v>
      </c>
      <c r="Z713" s="15" t="s">
        <v>12017</v>
      </c>
      <c r="AA713" s="15" t="s">
        <v>80</v>
      </c>
      <c r="AB713" s="15" t="s">
        <v>106</v>
      </c>
      <c r="AC713" s="15" t="s">
        <v>1132</v>
      </c>
      <c r="AD713" s="15" t="s">
        <v>3591</v>
      </c>
      <c r="AE713" s="15" t="s">
        <v>262</v>
      </c>
      <c r="AF713" s="15" t="s">
        <v>12018</v>
      </c>
      <c r="AG713" s="15" t="s">
        <v>12019</v>
      </c>
      <c r="AH713" s="15" t="s">
        <v>12020</v>
      </c>
      <c r="AI713" s="15" t="s">
        <v>12021</v>
      </c>
      <c r="AJ713" s="15" t="s">
        <v>12022</v>
      </c>
      <c r="AK713" s="15" t="s">
        <v>12023</v>
      </c>
      <c r="AL713" s="15" t="s">
        <v>88</v>
      </c>
    </row>
    <row r="714" spans="1:38" x14ac:dyDescent="0.4">
      <c r="A714" s="11" t="s">
        <v>12024</v>
      </c>
      <c r="B714" s="12" t="s">
        <v>12025</v>
      </c>
      <c r="C714" s="13" t="s">
        <v>39</v>
      </c>
      <c r="D714" s="13" t="s">
        <v>92</v>
      </c>
      <c r="E714" s="13" t="s">
        <v>12026</v>
      </c>
      <c r="F714" s="13" t="s">
        <v>12027</v>
      </c>
      <c r="G714" s="13" t="s">
        <v>12028</v>
      </c>
      <c r="H714" s="13" t="s">
        <v>12029</v>
      </c>
      <c r="I714" s="9">
        <f t="shared" ca="1" si="11"/>
        <v>6</v>
      </c>
      <c r="J714" s="13" t="s">
        <v>12030</v>
      </c>
      <c r="K714" s="13" t="s">
        <v>5229</v>
      </c>
      <c r="L714" s="9" t="str">
        <f>VLOOKUP(K714,[1]中国省份_标准!$B$2:$F$35,4,FALSE)</f>
        <v>西部地区</v>
      </c>
      <c r="M714" s="9" t="str">
        <f>VLOOKUP(K714,[1]中国省份_标准!$B$2:$F$35,5,FALSE)</f>
        <v>华南地区</v>
      </c>
      <c r="N714" s="13" t="s">
        <v>5230</v>
      </c>
      <c r="O714" s="13" t="s">
        <v>12031</v>
      </c>
      <c r="P714" s="13" t="s">
        <v>12032</v>
      </c>
      <c r="Q714" s="13" t="s">
        <v>12033</v>
      </c>
      <c r="R714" s="13" t="s">
        <v>12034</v>
      </c>
      <c r="S714" s="13" t="s">
        <v>12035</v>
      </c>
      <c r="T714" s="13" t="s">
        <v>48</v>
      </c>
      <c r="U714" s="13" t="s">
        <v>12025</v>
      </c>
      <c r="V714" s="13" t="s">
        <v>12036</v>
      </c>
      <c r="W714" s="13" t="s">
        <v>12037</v>
      </c>
      <c r="X714" s="13" t="s">
        <v>77</v>
      </c>
      <c r="Y714" s="13" t="s">
        <v>78</v>
      </c>
      <c r="Z714" s="13" t="s">
        <v>12038</v>
      </c>
      <c r="AA714" s="13" t="s">
        <v>169</v>
      </c>
      <c r="AB714" s="13" t="s">
        <v>412</v>
      </c>
      <c r="AC714" s="13" t="s">
        <v>12039</v>
      </c>
      <c r="AD714" s="13" t="s">
        <v>12039</v>
      </c>
      <c r="AE714" s="13" t="s">
        <v>55</v>
      </c>
      <c r="AF714" s="13" t="s">
        <v>12040</v>
      </c>
      <c r="AG714" s="13" t="s">
        <v>39</v>
      </c>
      <c r="AH714" s="13" t="s">
        <v>39</v>
      </c>
      <c r="AI714" s="13" t="s">
        <v>12041</v>
      </c>
      <c r="AJ714" s="13" t="s">
        <v>12042</v>
      </c>
      <c r="AK714" s="13" t="s">
        <v>12043</v>
      </c>
      <c r="AL714" s="13" t="s">
        <v>88</v>
      </c>
    </row>
    <row r="715" spans="1:38" x14ac:dyDescent="0.4">
      <c r="A715" s="11" t="s">
        <v>12044</v>
      </c>
      <c r="B715" s="14" t="s">
        <v>12045</v>
      </c>
      <c r="C715" s="15" t="s">
        <v>12046</v>
      </c>
      <c r="D715" s="15" t="s">
        <v>92</v>
      </c>
      <c r="E715" s="15" t="s">
        <v>12047</v>
      </c>
      <c r="F715" s="15" t="s">
        <v>39</v>
      </c>
      <c r="G715" s="15" t="s">
        <v>39</v>
      </c>
      <c r="H715" s="15" t="s">
        <v>12048</v>
      </c>
      <c r="I715" s="9">
        <f t="shared" ca="1" si="11"/>
        <v>17</v>
      </c>
      <c r="J715" s="15" t="s">
        <v>12049</v>
      </c>
      <c r="K715" s="15" t="s">
        <v>157</v>
      </c>
      <c r="L715" s="9" t="str">
        <f>VLOOKUP(K715,[1]中国省份_标准!$B$2:$F$35,4,FALSE)</f>
        <v>东北地区</v>
      </c>
      <c r="M715" s="9" t="str">
        <f>VLOOKUP(K715,[1]中国省份_标准!$B$2:$F$35,5,FALSE)</f>
        <v>东北地区</v>
      </c>
      <c r="N715" s="15" t="s">
        <v>4244</v>
      </c>
      <c r="O715" s="15" t="s">
        <v>4245</v>
      </c>
      <c r="P715" s="15" t="s">
        <v>12050</v>
      </c>
      <c r="Q715" s="15" t="s">
        <v>12051</v>
      </c>
      <c r="R715" s="15" t="s">
        <v>12052</v>
      </c>
      <c r="S715" s="15" t="s">
        <v>12053</v>
      </c>
      <c r="T715" s="15" t="s">
        <v>8482</v>
      </c>
      <c r="U715" s="15" t="s">
        <v>12045</v>
      </c>
      <c r="V715" s="15" t="s">
        <v>12054</v>
      </c>
      <c r="W715" s="15" t="s">
        <v>12055</v>
      </c>
      <c r="X715" s="15" t="s">
        <v>12056</v>
      </c>
      <c r="Y715" s="15" t="s">
        <v>78</v>
      </c>
      <c r="Z715" s="15" t="s">
        <v>12057</v>
      </c>
      <c r="AA715" s="15" t="s">
        <v>80</v>
      </c>
      <c r="AB715" s="15" t="s">
        <v>106</v>
      </c>
      <c r="AC715" s="15" t="s">
        <v>107</v>
      </c>
      <c r="AD715" s="15" t="s">
        <v>39</v>
      </c>
      <c r="AE715" s="15" t="s">
        <v>39</v>
      </c>
      <c r="AF715" s="15" t="s">
        <v>12058</v>
      </c>
      <c r="AG715" s="15" t="s">
        <v>39</v>
      </c>
      <c r="AH715" s="15" t="s">
        <v>39</v>
      </c>
      <c r="AI715" s="15" t="s">
        <v>12059</v>
      </c>
      <c r="AJ715" s="15" t="s">
        <v>12060</v>
      </c>
      <c r="AK715" s="15" t="s">
        <v>4258</v>
      </c>
      <c r="AL715" s="15" t="s">
        <v>88</v>
      </c>
    </row>
    <row r="716" spans="1:38" x14ac:dyDescent="0.4">
      <c r="A716" s="11" t="s">
        <v>12061</v>
      </c>
      <c r="B716" s="12" t="s">
        <v>12062</v>
      </c>
      <c r="C716" s="13" t="s">
        <v>39</v>
      </c>
      <c r="D716" s="13" t="s">
        <v>92</v>
      </c>
      <c r="E716" s="13" t="s">
        <v>12063</v>
      </c>
      <c r="F716" s="13" t="s">
        <v>2161</v>
      </c>
      <c r="G716" s="13" t="s">
        <v>39</v>
      </c>
      <c r="H716" s="13" t="s">
        <v>12064</v>
      </c>
      <c r="I716" s="9">
        <f t="shared" ca="1" si="11"/>
        <v>6</v>
      </c>
      <c r="J716" s="13" t="s">
        <v>12065</v>
      </c>
      <c r="K716" s="13" t="s">
        <v>45</v>
      </c>
      <c r="L716" s="9" t="str">
        <f>VLOOKUP(K716,[1]中国省份_标准!$B$2:$F$35,4,FALSE)</f>
        <v>东部地区</v>
      </c>
      <c r="M716" s="9" t="str">
        <f>VLOOKUP(K716,[1]中国省份_标准!$B$2:$F$35,5,FALSE)</f>
        <v>华东地区</v>
      </c>
      <c r="N716" s="13" t="s">
        <v>45</v>
      </c>
      <c r="O716" s="13" t="s">
        <v>12066</v>
      </c>
      <c r="P716" s="13" t="s">
        <v>12067</v>
      </c>
      <c r="Q716" s="13" t="s">
        <v>12068</v>
      </c>
      <c r="R716" s="13" t="s">
        <v>12069</v>
      </c>
      <c r="S716" s="13" t="s">
        <v>12070</v>
      </c>
      <c r="T716" s="13" t="s">
        <v>209</v>
      </c>
      <c r="U716" s="13" t="s">
        <v>12062</v>
      </c>
      <c r="V716" s="13" t="s">
        <v>39</v>
      </c>
      <c r="W716" s="13" t="s">
        <v>12071</v>
      </c>
      <c r="X716" s="13" t="s">
        <v>77</v>
      </c>
      <c r="Y716" s="13" t="s">
        <v>78</v>
      </c>
      <c r="Z716" s="13" t="s">
        <v>12072</v>
      </c>
      <c r="AA716" s="13" t="s">
        <v>52</v>
      </c>
      <c r="AB716" s="13" t="s">
        <v>53</v>
      </c>
      <c r="AC716" s="13" t="s">
        <v>7803</v>
      </c>
      <c r="AD716" s="13" t="s">
        <v>7804</v>
      </c>
      <c r="AE716" s="13" t="s">
        <v>55</v>
      </c>
      <c r="AF716" s="13" t="s">
        <v>12073</v>
      </c>
      <c r="AG716" s="13" t="s">
        <v>12074</v>
      </c>
      <c r="AH716" s="13" t="s">
        <v>39</v>
      </c>
      <c r="AI716" s="13" t="s">
        <v>12075</v>
      </c>
      <c r="AJ716" s="13" t="s">
        <v>12076</v>
      </c>
      <c r="AK716" s="13" t="s">
        <v>12077</v>
      </c>
      <c r="AL716" s="13" t="s">
        <v>88</v>
      </c>
    </row>
    <row r="717" spans="1:38" x14ac:dyDescent="0.4">
      <c r="A717" s="11" t="s">
        <v>12078</v>
      </c>
      <c r="B717" s="14" t="s">
        <v>12079</v>
      </c>
      <c r="C717" s="15" t="s">
        <v>39</v>
      </c>
      <c r="D717" s="15" t="s">
        <v>92</v>
      </c>
      <c r="E717" s="15" t="s">
        <v>12080</v>
      </c>
      <c r="F717" s="15" t="s">
        <v>2161</v>
      </c>
      <c r="G717" s="15" t="s">
        <v>2161</v>
      </c>
      <c r="H717" s="15" t="s">
        <v>12081</v>
      </c>
      <c r="I717" s="9">
        <f t="shared" ca="1" si="11"/>
        <v>19</v>
      </c>
      <c r="J717" s="15" t="s">
        <v>12082</v>
      </c>
      <c r="K717" s="15" t="s">
        <v>983</v>
      </c>
      <c r="L717" s="9" t="str">
        <f>VLOOKUP(K717,[1]中国省份_标准!$B$2:$F$35,4,FALSE)</f>
        <v>西部地区</v>
      </c>
      <c r="M717" s="9" t="str">
        <f>VLOOKUP(K717,[1]中国省份_标准!$B$2:$F$35,5,FALSE)</f>
        <v>华北地区</v>
      </c>
      <c r="N717" s="15" t="s">
        <v>7381</v>
      </c>
      <c r="O717" s="15" t="s">
        <v>11678</v>
      </c>
      <c r="P717" s="15" t="s">
        <v>12083</v>
      </c>
      <c r="Q717" s="15" t="s">
        <v>12084</v>
      </c>
      <c r="R717" s="15" t="s">
        <v>12085</v>
      </c>
      <c r="S717" s="15" t="s">
        <v>12086</v>
      </c>
      <c r="T717" s="15" t="s">
        <v>281</v>
      </c>
      <c r="U717" s="15" t="s">
        <v>12079</v>
      </c>
      <c r="V717" s="15" t="s">
        <v>12087</v>
      </c>
      <c r="W717" s="15" t="s">
        <v>12088</v>
      </c>
      <c r="X717" s="15" t="s">
        <v>1209</v>
      </c>
      <c r="Y717" s="15" t="s">
        <v>78</v>
      </c>
      <c r="Z717" s="15" t="s">
        <v>12089</v>
      </c>
      <c r="AA717" s="15" t="s">
        <v>80</v>
      </c>
      <c r="AB717" s="15" t="s">
        <v>106</v>
      </c>
      <c r="AC717" s="15" t="s">
        <v>808</v>
      </c>
      <c r="AD717" s="15" t="s">
        <v>809</v>
      </c>
      <c r="AE717" s="15" t="s">
        <v>55</v>
      </c>
      <c r="AF717" s="15" t="s">
        <v>12090</v>
      </c>
      <c r="AG717" s="15" t="s">
        <v>39</v>
      </c>
      <c r="AH717" s="15" t="s">
        <v>39</v>
      </c>
      <c r="AI717" s="15" t="s">
        <v>12091</v>
      </c>
      <c r="AJ717" s="15" t="s">
        <v>12092</v>
      </c>
      <c r="AK717" s="15" t="s">
        <v>11689</v>
      </c>
      <c r="AL717" s="15" t="s">
        <v>88</v>
      </c>
    </row>
    <row r="718" spans="1:38" x14ac:dyDescent="0.4">
      <c r="A718" s="11" t="s">
        <v>12093</v>
      </c>
      <c r="B718" s="12" t="s">
        <v>12094</v>
      </c>
      <c r="C718" s="13" t="s">
        <v>39</v>
      </c>
      <c r="D718" s="13" t="s">
        <v>63</v>
      </c>
      <c r="E718" s="13" t="s">
        <v>12095</v>
      </c>
      <c r="F718" s="13" t="s">
        <v>9732</v>
      </c>
      <c r="G718" s="13" t="s">
        <v>9732</v>
      </c>
      <c r="H718" s="13" t="s">
        <v>12096</v>
      </c>
      <c r="I718" s="9">
        <f t="shared" ca="1" si="11"/>
        <v>17</v>
      </c>
      <c r="J718" s="13" t="s">
        <v>12097</v>
      </c>
      <c r="K718" s="13" t="s">
        <v>425</v>
      </c>
      <c r="L718" s="9" t="str">
        <f>VLOOKUP(K718,[1]中国省份_标准!$B$2:$F$35,4,FALSE)</f>
        <v>东部地区</v>
      </c>
      <c r="M718" s="9" t="str">
        <f>VLOOKUP(K718,[1]中国省份_标准!$B$2:$F$35,5,FALSE)</f>
        <v>华东地区</v>
      </c>
      <c r="N718" s="13" t="s">
        <v>1396</v>
      </c>
      <c r="O718" s="13" t="s">
        <v>12098</v>
      </c>
      <c r="P718" s="13" t="s">
        <v>12099</v>
      </c>
      <c r="Q718" s="13" t="s">
        <v>12100</v>
      </c>
      <c r="R718" s="13" t="s">
        <v>12101</v>
      </c>
      <c r="S718" s="13" t="s">
        <v>39</v>
      </c>
      <c r="T718" s="13" t="s">
        <v>184</v>
      </c>
      <c r="U718" s="13" t="s">
        <v>12094</v>
      </c>
      <c r="V718" s="13" t="s">
        <v>12102</v>
      </c>
      <c r="W718" s="13" t="s">
        <v>12103</v>
      </c>
      <c r="X718" s="13" t="s">
        <v>12104</v>
      </c>
      <c r="Y718" s="13" t="s">
        <v>78</v>
      </c>
      <c r="Z718" s="13" t="s">
        <v>12105</v>
      </c>
      <c r="AA718" s="13" t="s">
        <v>169</v>
      </c>
      <c r="AB718" s="13" t="s">
        <v>412</v>
      </c>
      <c r="AC718" s="13" t="s">
        <v>4977</v>
      </c>
      <c r="AD718" s="13" t="s">
        <v>39</v>
      </c>
      <c r="AE718" s="13" t="s">
        <v>262</v>
      </c>
      <c r="AF718" s="13" t="s">
        <v>12106</v>
      </c>
      <c r="AG718" s="13" t="s">
        <v>39</v>
      </c>
      <c r="AH718" s="13" t="s">
        <v>39</v>
      </c>
      <c r="AI718" s="13" t="s">
        <v>12107</v>
      </c>
      <c r="AJ718" s="13" t="s">
        <v>12108</v>
      </c>
      <c r="AK718" s="13" t="s">
        <v>12109</v>
      </c>
      <c r="AL718" s="13" t="s">
        <v>88</v>
      </c>
    </row>
    <row r="719" spans="1:38" x14ac:dyDescent="0.4">
      <c r="A719" s="11" t="s">
        <v>12110</v>
      </c>
      <c r="B719" s="14" t="s">
        <v>12111</v>
      </c>
      <c r="C719" s="15" t="s">
        <v>39</v>
      </c>
      <c r="D719" s="15" t="s">
        <v>92</v>
      </c>
      <c r="E719" s="15" t="s">
        <v>12112</v>
      </c>
      <c r="F719" s="15" t="s">
        <v>640</v>
      </c>
      <c r="G719" s="15" t="s">
        <v>39</v>
      </c>
      <c r="H719" s="15" t="s">
        <v>12113</v>
      </c>
      <c r="I719" s="9">
        <f t="shared" ca="1" si="11"/>
        <v>4</v>
      </c>
      <c r="J719" s="15" t="s">
        <v>12114</v>
      </c>
      <c r="K719" s="15" t="s">
        <v>903</v>
      </c>
      <c r="L719" s="9" t="str">
        <f>VLOOKUP(K719,[1]中国省份_标准!$B$2:$F$35,4,FALSE)</f>
        <v>东北地区</v>
      </c>
      <c r="M719" s="9" t="str">
        <f>VLOOKUP(K719,[1]中国省份_标准!$B$2:$F$35,5,FALSE)</f>
        <v>东北地区</v>
      </c>
      <c r="N719" s="15" t="s">
        <v>12115</v>
      </c>
      <c r="O719" s="15" t="s">
        <v>12116</v>
      </c>
      <c r="P719" s="15" t="s">
        <v>12117</v>
      </c>
      <c r="Q719" s="15" t="s">
        <v>39</v>
      </c>
      <c r="R719" s="15" t="s">
        <v>12118</v>
      </c>
      <c r="S719" s="15" t="s">
        <v>12119</v>
      </c>
      <c r="T719" s="15" t="s">
        <v>281</v>
      </c>
      <c r="U719" s="15" t="s">
        <v>12111</v>
      </c>
      <c r="V719" s="15" t="s">
        <v>39</v>
      </c>
      <c r="W719" s="15" t="s">
        <v>12120</v>
      </c>
      <c r="X719" s="15" t="s">
        <v>77</v>
      </c>
      <c r="Y719" s="15" t="s">
        <v>78</v>
      </c>
      <c r="Z719" s="15" t="s">
        <v>12121</v>
      </c>
      <c r="AA719" s="15" t="s">
        <v>80</v>
      </c>
      <c r="AB719" s="15" t="s">
        <v>106</v>
      </c>
      <c r="AC719" s="15" t="s">
        <v>808</v>
      </c>
      <c r="AD719" s="15" t="s">
        <v>809</v>
      </c>
      <c r="AE719" s="15" t="s">
        <v>109</v>
      </c>
      <c r="AF719" s="15" t="s">
        <v>12122</v>
      </c>
      <c r="AG719" s="15" t="s">
        <v>39</v>
      </c>
      <c r="AH719" s="15" t="s">
        <v>12123</v>
      </c>
      <c r="AI719" s="15" t="s">
        <v>12124</v>
      </c>
      <c r="AJ719" s="15" t="s">
        <v>12125</v>
      </c>
      <c r="AK719" s="15" t="s">
        <v>12126</v>
      </c>
      <c r="AL719" s="15" t="s">
        <v>88</v>
      </c>
    </row>
    <row r="720" spans="1:38" x14ac:dyDescent="0.4">
      <c r="A720" s="11" t="s">
        <v>12127</v>
      </c>
      <c r="B720" s="12" t="s">
        <v>12128</v>
      </c>
      <c r="C720" s="13" t="s">
        <v>39</v>
      </c>
      <c r="D720" s="13" t="s">
        <v>92</v>
      </c>
      <c r="E720" s="13" t="s">
        <v>12129</v>
      </c>
      <c r="F720" s="13" t="s">
        <v>271</v>
      </c>
      <c r="G720" s="13" t="s">
        <v>271</v>
      </c>
      <c r="H720" s="13" t="s">
        <v>12130</v>
      </c>
      <c r="I720" s="9">
        <f t="shared" ca="1" si="11"/>
        <v>5</v>
      </c>
      <c r="J720" s="13" t="s">
        <v>12131</v>
      </c>
      <c r="K720" s="13" t="s">
        <v>702</v>
      </c>
      <c r="L720" s="9" t="str">
        <f>VLOOKUP(K720,[1]中国省份_标准!$B$2:$F$35,4,FALSE)</f>
        <v>东部地区</v>
      </c>
      <c r="M720" s="9" t="str">
        <f>VLOOKUP(K720,[1]中国省份_标准!$B$2:$F$35,5,FALSE)</f>
        <v>华北地区</v>
      </c>
      <c r="N720" s="13" t="s">
        <v>6790</v>
      </c>
      <c r="O720" s="13" t="s">
        <v>6791</v>
      </c>
      <c r="P720" s="13" t="s">
        <v>12132</v>
      </c>
      <c r="Q720" s="13" t="s">
        <v>39</v>
      </c>
      <c r="R720" s="13" t="s">
        <v>39</v>
      </c>
      <c r="S720" s="13" t="s">
        <v>39</v>
      </c>
      <c r="T720" s="13" t="s">
        <v>281</v>
      </c>
      <c r="U720" s="13" t="s">
        <v>12128</v>
      </c>
      <c r="V720" s="13" t="s">
        <v>12133</v>
      </c>
      <c r="W720" s="13" t="s">
        <v>12134</v>
      </c>
      <c r="X720" s="13" t="s">
        <v>1130</v>
      </c>
      <c r="Y720" s="13" t="s">
        <v>78</v>
      </c>
      <c r="Z720" s="13" t="s">
        <v>12135</v>
      </c>
      <c r="AA720" s="13" t="s">
        <v>80</v>
      </c>
      <c r="AB720" s="13" t="s">
        <v>106</v>
      </c>
      <c r="AC720" s="13" t="s">
        <v>808</v>
      </c>
      <c r="AD720" s="13" t="s">
        <v>809</v>
      </c>
      <c r="AE720" s="13" t="s">
        <v>55</v>
      </c>
      <c r="AF720" s="13" t="s">
        <v>12136</v>
      </c>
      <c r="AG720" s="13" t="s">
        <v>39</v>
      </c>
      <c r="AH720" s="13" t="s">
        <v>39</v>
      </c>
      <c r="AI720" s="13" t="s">
        <v>12137</v>
      </c>
      <c r="AJ720" s="13" t="s">
        <v>12138</v>
      </c>
      <c r="AK720" s="13" t="s">
        <v>6802</v>
      </c>
      <c r="AL720" s="13" t="s">
        <v>88</v>
      </c>
    </row>
    <row r="721" spans="1:38" x14ac:dyDescent="0.4">
      <c r="A721" s="11" t="s">
        <v>12139</v>
      </c>
      <c r="B721" s="14" t="s">
        <v>12140</v>
      </c>
      <c r="C721" s="15" t="s">
        <v>39</v>
      </c>
      <c r="D721" s="15" t="s">
        <v>92</v>
      </c>
      <c r="E721" s="15" t="s">
        <v>12141</v>
      </c>
      <c r="F721" s="15" t="s">
        <v>6612</v>
      </c>
      <c r="G721" s="15" t="s">
        <v>6612</v>
      </c>
      <c r="H721" s="15" t="s">
        <v>12142</v>
      </c>
      <c r="I721" s="9">
        <f t="shared" ca="1" si="11"/>
        <v>8</v>
      </c>
      <c r="J721" s="15" t="s">
        <v>12143</v>
      </c>
      <c r="K721" s="15" t="s">
        <v>97</v>
      </c>
      <c r="L721" s="9" t="str">
        <f>VLOOKUP(K721,[1]中国省份_标准!$B$2:$F$35,4,FALSE)</f>
        <v>中部地区</v>
      </c>
      <c r="M721" s="9" t="str">
        <f>VLOOKUP(K721,[1]中国省份_标准!$B$2:$F$35,5,FALSE)</f>
        <v>华中地区</v>
      </c>
      <c r="N721" s="15" t="s">
        <v>2124</v>
      </c>
      <c r="O721" s="15" t="s">
        <v>2125</v>
      </c>
      <c r="P721" s="15" t="s">
        <v>12144</v>
      </c>
      <c r="Q721" s="15" t="s">
        <v>12145</v>
      </c>
      <c r="R721" s="15" t="s">
        <v>12146</v>
      </c>
      <c r="S721" s="15" t="s">
        <v>39</v>
      </c>
      <c r="T721" s="15" t="s">
        <v>184</v>
      </c>
      <c r="U721" s="15" t="s">
        <v>12140</v>
      </c>
      <c r="V721" s="15" t="s">
        <v>12147</v>
      </c>
      <c r="W721" s="15" t="s">
        <v>12148</v>
      </c>
      <c r="X721" s="15" t="s">
        <v>12149</v>
      </c>
      <c r="Y721" s="15" t="s">
        <v>78</v>
      </c>
      <c r="Z721" s="15" t="s">
        <v>12150</v>
      </c>
      <c r="AA721" s="15" t="s">
        <v>169</v>
      </c>
      <c r="AB721" s="15" t="s">
        <v>189</v>
      </c>
      <c r="AC721" s="15" t="s">
        <v>5064</v>
      </c>
      <c r="AD721" s="15" t="s">
        <v>5065</v>
      </c>
      <c r="AE721" s="15" t="s">
        <v>55</v>
      </c>
      <c r="AF721" s="15" t="s">
        <v>12151</v>
      </c>
      <c r="AG721" s="15" t="s">
        <v>39</v>
      </c>
      <c r="AH721" s="15" t="s">
        <v>39</v>
      </c>
      <c r="AI721" s="15" t="s">
        <v>12152</v>
      </c>
      <c r="AJ721" s="15" t="s">
        <v>12153</v>
      </c>
      <c r="AK721" s="15" t="s">
        <v>2139</v>
      </c>
      <c r="AL721" s="15" t="s">
        <v>88</v>
      </c>
    </row>
    <row r="722" spans="1:38" x14ac:dyDescent="0.4">
      <c r="A722" s="11" t="s">
        <v>12154</v>
      </c>
      <c r="B722" s="12" t="s">
        <v>12155</v>
      </c>
      <c r="C722" s="13" t="s">
        <v>12156</v>
      </c>
      <c r="D722" s="13" t="s">
        <v>92</v>
      </c>
      <c r="E722" s="13" t="s">
        <v>12157</v>
      </c>
      <c r="F722" s="13" t="s">
        <v>12158</v>
      </c>
      <c r="G722" s="13" t="s">
        <v>12158</v>
      </c>
      <c r="H722" s="13" t="s">
        <v>12159</v>
      </c>
      <c r="I722" s="9">
        <f t="shared" ca="1" si="11"/>
        <v>28</v>
      </c>
      <c r="J722" s="13" t="s">
        <v>12160</v>
      </c>
      <c r="K722" s="13" t="s">
        <v>531</v>
      </c>
      <c r="L722" s="9" t="str">
        <f>VLOOKUP(K722,[1]中国省份_标准!$B$2:$F$35,4,FALSE)</f>
        <v>东部地区</v>
      </c>
      <c r="M722" s="9" t="str">
        <f>VLOOKUP(K722,[1]中国省份_标准!$B$2:$F$35,5,FALSE)</f>
        <v>华南地区</v>
      </c>
      <c r="N722" s="13" t="s">
        <v>6207</v>
      </c>
      <c r="O722" s="13" t="s">
        <v>6208</v>
      </c>
      <c r="P722" s="13" t="s">
        <v>12161</v>
      </c>
      <c r="Q722" s="13" t="s">
        <v>12162</v>
      </c>
      <c r="R722" s="13" t="s">
        <v>12163</v>
      </c>
      <c r="S722" s="13" t="s">
        <v>12164</v>
      </c>
      <c r="T722" s="13" t="s">
        <v>12165</v>
      </c>
      <c r="U722" s="13" t="s">
        <v>12155</v>
      </c>
      <c r="V722" s="13" t="s">
        <v>12166</v>
      </c>
      <c r="W722" s="13" t="s">
        <v>12167</v>
      </c>
      <c r="X722" s="13" t="s">
        <v>12168</v>
      </c>
      <c r="Y722" s="13" t="s">
        <v>78</v>
      </c>
      <c r="Z722" s="13" t="s">
        <v>12169</v>
      </c>
      <c r="AA722" s="13" t="s">
        <v>169</v>
      </c>
      <c r="AB722" s="13" t="s">
        <v>830</v>
      </c>
      <c r="AC722" s="13" t="s">
        <v>831</v>
      </c>
      <c r="AD722" s="13" t="s">
        <v>831</v>
      </c>
      <c r="AE722" s="13" t="s">
        <v>239</v>
      </c>
      <c r="AF722" s="13" t="s">
        <v>12170</v>
      </c>
      <c r="AG722" s="13" t="s">
        <v>12171</v>
      </c>
      <c r="AH722" s="13" t="s">
        <v>39</v>
      </c>
      <c r="AI722" s="13" t="s">
        <v>12172</v>
      </c>
      <c r="AJ722" s="13" t="s">
        <v>12173</v>
      </c>
      <c r="AK722" s="13" t="s">
        <v>12174</v>
      </c>
      <c r="AL722" s="13" t="s">
        <v>88</v>
      </c>
    </row>
    <row r="723" spans="1:38" x14ac:dyDescent="0.4">
      <c r="A723" s="11" t="s">
        <v>12175</v>
      </c>
      <c r="B723" s="14" t="s">
        <v>12176</v>
      </c>
      <c r="C723" s="15" t="s">
        <v>39</v>
      </c>
      <c r="D723" s="15" t="s">
        <v>92</v>
      </c>
      <c r="E723" s="15" t="s">
        <v>12177</v>
      </c>
      <c r="F723" s="15" t="s">
        <v>39</v>
      </c>
      <c r="G723" s="15" t="s">
        <v>39</v>
      </c>
      <c r="H723" s="15" t="s">
        <v>12178</v>
      </c>
      <c r="I723" s="9">
        <f t="shared" ca="1" si="11"/>
        <v>6</v>
      </c>
      <c r="J723" s="15" t="s">
        <v>12179</v>
      </c>
      <c r="K723" s="15" t="s">
        <v>531</v>
      </c>
      <c r="L723" s="9" t="str">
        <f>VLOOKUP(K723,[1]中国省份_标准!$B$2:$F$35,4,FALSE)</f>
        <v>东部地区</v>
      </c>
      <c r="M723" s="9" t="str">
        <f>VLOOKUP(K723,[1]中国省份_标准!$B$2:$F$35,5,FALSE)</f>
        <v>华南地区</v>
      </c>
      <c r="N723" s="15" t="s">
        <v>12008</v>
      </c>
      <c r="O723" s="15" t="s">
        <v>12180</v>
      </c>
      <c r="P723" s="15" t="s">
        <v>12181</v>
      </c>
      <c r="Q723" s="15" t="s">
        <v>39</v>
      </c>
      <c r="R723" s="15" t="s">
        <v>12182</v>
      </c>
      <c r="S723" s="15" t="s">
        <v>39</v>
      </c>
      <c r="T723" s="15" t="s">
        <v>12183</v>
      </c>
      <c r="U723" s="15" t="s">
        <v>12176</v>
      </c>
      <c r="V723" s="15" t="s">
        <v>12184</v>
      </c>
      <c r="W723" s="15" t="s">
        <v>12185</v>
      </c>
      <c r="X723" s="15" t="s">
        <v>77</v>
      </c>
      <c r="Y723" s="15" t="s">
        <v>78</v>
      </c>
      <c r="Z723" s="15" t="s">
        <v>12186</v>
      </c>
      <c r="AA723" s="15" t="s">
        <v>80</v>
      </c>
      <c r="AB723" s="15" t="s">
        <v>106</v>
      </c>
      <c r="AC723" s="15" t="s">
        <v>808</v>
      </c>
      <c r="AD723" s="15" t="s">
        <v>893</v>
      </c>
      <c r="AE723" s="15" t="s">
        <v>39</v>
      </c>
      <c r="AF723" s="15" t="s">
        <v>12187</v>
      </c>
      <c r="AG723" s="15" t="s">
        <v>39</v>
      </c>
      <c r="AH723" s="15" t="s">
        <v>39</v>
      </c>
      <c r="AI723" s="15" t="s">
        <v>12188</v>
      </c>
      <c r="AJ723" s="15" t="s">
        <v>12189</v>
      </c>
      <c r="AK723" s="15" t="s">
        <v>12023</v>
      </c>
      <c r="AL723" s="15" t="s">
        <v>88</v>
      </c>
    </row>
    <row r="724" spans="1:38" x14ac:dyDescent="0.4">
      <c r="A724" s="11" t="s">
        <v>12190</v>
      </c>
      <c r="B724" s="12" t="s">
        <v>12191</v>
      </c>
      <c r="C724" s="13" t="s">
        <v>39</v>
      </c>
      <c r="D724" s="13" t="s">
        <v>92</v>
      </c>
      <c r="E724" s="13" t="s">
        <v>12192</v>
      </c>
      <c r="F724" s="13" t="s">
        <v>271</v>
      </c>
      <c r="G724" s="13" t="s">
        <v>271</v>
      </c>
      <c r="H724" s="13" t="s">
        <v>12193</v>
      </c>
      <c r="I724" s="9">
        <f t="shared" ca="1" si="11"/>
        <v>13</v>
      </c>
      <c r="J724" s="13" t="s">
        <v>12194</v>
      </c>
      <c r="K724" s="13" t="s">
        <v>903</v>
      </c>
      <c r="L724" s="9" t="str">
        <f>VLOOKUP(K724,[1]中国省份_标准!$B$2:$F$35,4,FALSE)</f>
        <v>东北地区</v>
      </c>
      <c r="M724" s="9" t="str">
        <f>VLOOKUP(K724,[1]中国省份_标准!$B$2:$F$35,5,FALSE)</f>
        <v>东北地区</v>
      </c>
      <c r="N724" s="13" t="s">
        <v>904</v>
      </c>
      <c r="O724" s="13" t="s">
        <v>5003</v>
      </c>
      <c r="P724" s="13" t="s">
        <v>12195</v>
      </c>
      <c r="Q724" s="13" t="s">
        <v>12196</v>
      </c>
      <c r="R724" s="13" t="s">
        <v>12197</v>
      </c>
      <c r="S724" s="13" t="s">
        <v>12198</v>
      </c>
      <c r="T724" s="13" t="s">
        <v>281</v>
      </c>
      <c r="U724" s="13" t="s">
        <v>12191</v>
      </c>
      <c r="V724" s="13" t="s">
        <v>12199</v>
      </c>
      <c r="W724" s="13" t="s">
        <v>12200</v>
      </c>
      <c r="X724" s="13" t="s">
        <v>540</v>
      </c>
      <c r="Y724" s="13" t="s">
        <v>78</v>
      </c>
      <c r="Z724" s="13" t="s">
        <v>12201</v>
      </c>
      <c r="AA724" s="13" t="s">
        <v>80</v>
      </c>
      <c r="AB724" s="13" t="s">
        <v>106</v>
      </c>
      <c r="AC724" s="13" t="s">
        <v>808</v>
      </c>
      <c r="AD724" s="13" t="s">
        <v>809</v>
      </c>
      <c r="AE724" s="13" t="s">
        <v>109</v>
      </c>
      <c r="AF724" s="13" t="s">
        <v>12202</v>
      </c>
      <c r="AG724" s="13" t="s">
        <v>39</v>
      </c>
      <c r="AH724" s="13" t="s">
        <v>39</v>
      </c>
      <c r="AI724" s="13" t="s">
        <v>12203</v>
      </c>
      <c r="AJ724" s="13" t="s">
        <v>12204</v>
      </c>
      <c r="AK724" s="13" t="s">
        <v>5010</v>
      </c>
      <c r="AL724" s="13" t="s">
        <v>88</v>
      </c>
    </row>
    <row r="725" spans="1:38" x14ac:dyDescent="0.4">
      <c r="A725" s="11" t="s">
        <v>12205</v>
      </c>
      <c r="B725" s="14" t="s">
        <v>12206</v>
      </c>
      <c r="C725" s="15" t="s">
        <v>39</v>
      </c>
      <c r="D725" s="15" t="s">
        <v>92</v>
      </c>
      <c r="E725" s="15" t="s">
        <v>12207</v>
      </c>
      <c r="F725" s="15" t="s">
        <v>442</v>
      </c>
      <c r="G725" s="15" t="s">
        <v>442</v>
      </c>
      <c r="H725" s="15" t="s">
        <v>12208</v>
      </c>
      <c r="I725" s="9">
        <f t="shared" ca="1" si="11"/>
        <v>20</v>
      </c>
      <c r="J725" s="15" t="s">
        <v>12209</v>
      </c>
      <c r="K725" s="15" t="s">
        <v>97</v>
      </c>
      <c r="L725" s="9" t="str">
        <f>VLOOKUP(K725,[1]中国省份_标准!$B$2:$F$35,4,FALSE)</f>
        <v>中部地区</v>
      </c>
      <c r="M725" s="9" t="str">
        <f>VLOOKUP(K725,[1]中国省份_标准!$B$2:$F$35,5,FALSE)</f>
        <v>华中地区</v>
      </c>
      <c r="N725" s="15" t="s">
        <v>5017</v>
      </c>
      <c r="O725" s="15" t="s">
        <v>12210</v>
      </c>
      <c r="P725" s="15" t="s">
        <v>12211</v>
      </c>
      <c r="Q725" s="15" t="s">
        <v>12212</v>
      </c>
      <c r="R725" s="15" t="s">
        <v>12213</v>
      </c>
      <c r="S725" s="15" t="s">
        <v>12214</v>
      </c>
      <c r="T725" s="15" t="s">
        <v>209</v>
      </c>
      <c r="U725" s="15" t="s">
        <v>12206</v>
      </c>
      <c r="V725" s="15" t="s">
        <v>12215</v>
      </c>
      <c r="W725" s="15" t="s">
        <v>12216</v>
      </c>
      <c r="X725" s="15" t="s">
        <v>12149</v>
      </c>
      <c r="Y725" s="15" t="s">
        <v>78</v>
      </c>
      <c r="Z725" s="15" t="s">
        <v>12217</v>
      </c>
      <c r="AA725" s="15" t="s">
        <v>80</v>
      </c>
      <c r="AB725" s="15" t="s">
        <v>106</v>
      </c>
      <c r="AC725" s="15" t="s">
        <v>1132</v>
      </c>
      <c r="AD725" s="15" t="s">
        <v>1133</v>
      </c>
      <c r="AE725" s="15" t="s">
        <v>262</v>
      </c>
      <c r="AF725" s="15" t="s">
        <v>12218</v>
      </c>
      <c r="AG725" s="15" t="s">
        <v>39</v>
      </c>
      <c r="AH725" s="15" t="s">
        <v>39</v>
      </c>
      <c r="AI725" s="15" t="s">
        <v>12219</v>
      </c>
      <c r="AJ725" s="15" t="s">
        <v>12220</v>
      </c>
      <c r="AK725" s="15" t="s">
        <v>12221</v>
      </c>
      <c r="AL725" s="15" t="s">
        <v>88</v>
      </c>
    </row>
    <row r="726" spans="1:38" x14ac:dyDescent="0.4">
      <c r="A726" s="11" t="s">
        <v>12222</v>
      </c>
      <c r="B726" s="12" t="s">
        <v>12223</v>
      </c>
      <c r="C726" s="13" t="s">
        <v>39</v>
      </c>
      <c r="D726" s="13" t="s">
        <v>92</v>
      </c>
      <c r="E726" s="13" t="s">
        <v>12224</v>
      </c>
      <c r="F726" s="13" t="s">
        <v>640</v>
      </c>
      <c r="G726" s="13" t="s">
        <v>741</v>
      </c>
      <c r="H726" s="13" t="s">
        <v>4358</v>
      </c>
      <c r="I726" s="9">
        <f t="shared" ca="1" si="11"/>
        <v>5</v>
      </c>
      <c r="J726" s="13" t="s">
        <v>12225</v>
      </c>
      <c r="K726" s="13" t="s">
        <v>1752</v>
      </c>
      <c r="L726" s="9" t="str">
        <f>VLOOKUP(K726,[1]中国省份_标准!$B$2:$F$35,4,FALSE)</f>
        <v>中部地区</v>
      </c>
      <c r="M726" s="9" t="str">
        <f>VLOOKUP(K726,[1]中国省份_标准!$B$2:$F$35,5,FALSE)</f>
        <v>华中地区</v>
      </c>
      <c r="N726" s="13" t="s">
        <v>3717</v>
      </c>
      <c r="O726" s="13" t="s">
        <v>9312</v>
      </c>
      <c r="P726" s="13" t="s">
        <v>12226</v>
      </c>
      <c r="Q726" s="13" t="s">
        <v>39</v>
      </c>
      <c r="R726" s="13" t="s">
        <v>12227</v>
      </c>
      <c r="S726" s="13" t="s">
        <v>12228</v>
      </c>
      <c r="T726" s="13" t="s">
        <v>281</v>
      </c>
      <c r="U726" s="13" t="s">
        <v>12223</v>
      </c>
      <c r="V726" s="13" t="s">
        <v>12229</v>
      </c>
      <c r="W726" s="13" t="s">
        <v>12230</v>
      </c>
      <c r="X726" s="13" t="s">
        <v>77</v>
      </c>
      <c r="Y726" s="13" t="s">
        <v>78</v>
      </c>
      <c r="Z726" s="13" t="s">
        <v>12231</v>
      </c>
      <c r="AA726" s="13" t="s">
        <v>1796</v>
      </c>
      <c r="AB726" s="13" t="s">
        <v>2851</v>
      </c>
      <c r="AC726" s="13" t="s">
        <v>3969</v>
      </c>
      <c r="AD726" s="13" t="s">
        <v>3969</v>
      </c>
      <c r="AE726" s="13" t="s">
        <v>55</v>
      </c>
      <c r="AF726" s="13" t="s">
        <v>12232</v>
      </c>
      <c r="AG726" s="13" t="s">
        <v>39</v>
      </c>
      <c r="AH726" s="13" t="s">
        <v>39</v>
      </c>
      <c r="AI726" s="13" t="s">
        <v>12233</v>
      </c>
      <c r="AJ726" s="13" t="s">
        <v>12234</v>
      </c>
      <c r="AK726" s="13" t="s">
        <v>9322</v>
      </c>
      <c r="AL726" s="13" t="s">
        <v>88</v>
      </c>
    </row>
    <row r="727" spans="1:38" x14ac:dyDescent="0.4">
      <c r="A727" s="11" t="s">
        <v>12235</v>
      </c>
      <c r="B727" s="14" t="s">
        <v>12236</v>
      </c>
      <c r="C727" s="15" t="s">
        <v>12237</v>
      </c>
      <c r="D727" s="15" t="s">
        <v>63</v>
      </c>
      <c r="E727" s="15" t="s">
        <v>12238</v>
      </c>
      <c r="F727" s="15" t="s">
        <v>4113</v>
      </c>
      <c r="G727" s="15" t="s">
        <v>4113</v>
      </c>
      <c r="H727" s="15" t="s">
        <v>782</v>
      </c>
      <c r="I727" s="9">
        <f t="shared" ca="1" si="11"/>
        <v>13</v>
      </c>
      <c r="J727" s="15" t="s">
        <v>12239</v>
      </c>
      <c r="K727" s="15" t="s">
        <v>425</v>
      </c>
      <c r="L727" s="9" t="str">
        <f>VLOOKUP(K727,[1]中国省份_标准!$B$2:$F$35,4,FALSE)</f>
        <v>东部地区</v>
      </c>
      <c r="M727" s="9" t="str">
        <f>VLOOKUP(K727,[1]中国省份_标准!$B$2:$F$35,5,FALSE)</f>
        <v>华东地区</v>
      </c>
      <c r="N727" s="15" t="s">
        <v>426</v>
      </c>
      <c r="O727" s="15" t="s">
        <v>427</v>
      </c>
      <c r="P727" s="15" t="s">
        <v>12240</v>
      </c>
      <c r="Q727" s="15" t="s">
        <v>12241</v>
      </c>
      <c r="R727" s="15" t="s">
        <v>12242</v>
      </c>
      <c r="S727" s="15" t="s">
        <v>12243</v>
      </c>
      <c r="T727" s="15" t="s">
        <v>670</v>
      </c>
      <c r="U727" s="15" t="s">
        <v>12236</v>
      </c>
      <c r="V727" s="15" t="s">
        <v>12244</v>
      </c>
      <c r="W727" s="15" t="s">
        <v>12245</v>
      </c>
      <c r="X727" s="15" t="s">
        <v>12246</v>
      </c>
      <c r="Y727" s="15" t="s">
        <v>78</v>
      </c>
      <c r="Z727" s="15" t="s">
        <v>12247</v>
      </c>
      <c r="AA727" s="15" t="s">
        <v>80</v>
      </c>
      <c r="AB727" s="15" t="s">
        <v>106</v>
      </c>
      <c r="AC727" s="15" t="s">
        <v>388</v>
      </c>
      <c r="AD727" s="15" t="s">
        <v>39</v>
      </c>
      <c r="AE727" s="15" t="s">
        <v>239</v>
      </c>
      <c r="AF727" s="15" t="s">
        <v>12248</v>
      </c>
      <c r="AG727" s="15" t="s">
        <v>12249</v>
      </c>
      <c r="AH727" s="15" t="s">
        <v>39</v>
      </c>
      <c r="AI727" s="15" t="s">
        <v>12250</v>
      </c>
      <c r="AJ727" s="15" t="s">
        <v>12251</v>
      </c>
      <c r="AK727" s="15" t="s">
        <v>695</v>
      </c>
      <c r="AL727" s="15" t="s">
        <v>88</v>
      </c>
    </row>
    <row r="728" spans="1:38" x14ac:dyDescent="0.4">
      <c r="A728" s="11" t="s">
        <v>12252</v>
      </c>
      <c r="B728" s="12" t="s">
        <v>12253</v>
      </c>
      <c r="C728" s="13" t="s">
        <v>39</v>
      </c>
      <c r="D728" s="13" t="s">
        <v>92</v>
      </c>
      <c r="E728" s="13" t="s">
        <v>12254</v>
      </c>
      <c r="F728" s="13" t="s">
        <v>178</v>
      </c>
      <c r="G728" s="13" t="s">
        <v>178</v>
      </c>
      <c r="H728" s="13" t="s">
        <v>12255</v>
      </c>
      <c r="I728" s="9">
        <f t="shared" ca="1" si="11"/>
        <v>15</v>
      </c>
      <c r="J728" s="13" t="s">
        <v>12256</v>
      </c>
      <c r="K728" s="13" t="s">
        <v>227</v>
      </c>
      <c r="L728" s="9" t="str">
        <f>VLOOKUP(K728,[1]中国省份_标准!$B$2:$F$35,4,FALSE)</f>
        <v>西部地区</v>
      </c>
      <c r="M728" s="9" t="str">
        <f>VLOOKUP(K728,[1]中国省份_标准!$B$2:$F$35,5,FALSE)</f>
        <v>西北地区</v>
      </c>
      <c r="N728" s="13" t="s">
        <v>763</v>
      </c>
      <c r="O728" s="13" t="s">
        <v>12257</v>
      </c>
      <c r="P728" s="13" t="s">
        <v>12258</v>
      </c>
      <c r="Q728" s="13" t="s">
        <v>12259</v>
      </c>
      <c r="R728" s="13" t="s">
        <v>12260</v>
      </c>
      <c r="S728" s="13" t="s">
        <v>12261</v>
      </c>
      <c r="T728" s="13" t="s">
        <v>48</v>
      </c>
      <c r="U728" s="13" t="s">
        <v>12253</v>
      </c>
      <c r="V728" s="13" t="s">
        <v>12262</v>
      </c>
      <c r="W728" s="13" t="s">
        <v>12263</v>
      </c>
      <c r="X728" s="13" t="s">
        <v>990</v>
      </c>
      <c r="Y728" s="13" t="s">
        <v>78</v>
      </c>
      <c r="Z728" s="13" t="s">
        <v>12264</v>
      </c>
      <c r="AA728" s="13" t="s">
        <v>309</v>
      </c>
      <c r="AB728" s="13" t="s">
        <v>772</v>
      </c>
      <c r="AC728" s="13" t="s">
        <v>773</v>
      </c>
      <c r="AD728" s="13" t="s">
        <v>774</v>
      </c>
      <c r="AE728" s="13" t="s">
        <v>262</v>
      </c>
      <c r="AF728" s="13" t="s">
        <v>12265</v>
      </c>
      <c r="AG728" s="13" t="s">
        <v>39</v>
      </c>
      <c r="AH728" s="13" t="s">
        <v>39</v>
      </c>
      <c r="AI728" s="13" t="s">
        <v>12266</v>
      </c>
      <c r="AJ728" s="13" t="s">
        <v>12267</v>
      </c>
      <c r="AK728" s="13" t="s">
        <v>12268</v>
      </c>
      <c r="AL728" s="13" t="s">
        <v>88</v>
      </c>
    </row>
    <row r="729" spans="1:38" x14ac:dyDescent="0.4">
      <c r="A729" s="11" t="s">
        <v>12269</v>
      </c>
      <c r="B729" s="14" t="s">
        <v>12270</v>
      </c>
      <c r="C729" s="15" t="s">
        <v>39</v>
      </c>
      <c r="D729" s="15" t="s">
        <v>92</v>
      </c>
      <c r="E729" s="15" t="s">
        <v>12271</v>
      </c>
      <c r="F729" s="15" t="s">
        <v>640</v>
      </c>
      <c r="G729" s="15" t="s">
        <v>640</v>
      </c>
      <c r="H729" s="15" t="s">
        <v>12272</v>
      </c>
      <c r="I729" s="9">
        <f t="shared" ca="1" si="11"/>
        <v>6</v>
      </c>
      <c r="J729" s="15" t="s">
        <v>12273</v>
      </c>
      <c r="K729" s="15" t="s">
        <v>425</v>
      </c>
      <c r="L729" s="9" t="str">
        <f>VLOOKUP(K729,[1]中国省份_标准!$B$2:$F$35,4,FALSE)</f>
        <v>东部地区</v>
      </c>
      <c r="M729" s="9" t="str">
        <f>VLOOKUP(K729,[1]中国省份_标准!$B$2:$F$35,5,FALSE)</f>
        <v>华东地区</v>
      </c>
      <c r="N729" s="15" t="s">
        <v>426</v>
      </c>
      <c r="O729" s="15" t="s">
        <v>427</v>
      </c>
      <c r="P729" s="15" t="s">
        <v>12274</v>
      </c>
      <c r="Q729" s="15" t="s">
        <v>39</v>
      </c>
      <c r="R729" s="15" t="s">
        <v>12275</v>
      </c>
      <c r="S729" s="15" t="s">
        <v>39</v>
      </c>
      <c r="T729" s="15" t="s">
        <v>48</v>
      </c>
      <c r="U729" s="15" t="s">
        <v>12270</v>
      </c>
      <c r="V729" s="15" t="s">
        <v>39</v>
      </c>
      <c r="W729" s="15" t="s">
        <v>12276</v>
      </c>
      <c r="X729" s="15" t="s">
        <v>690</v>
      </c>
      <c r="Y729" s="15" t="s">
        <v>78</v>
      </c>
      <c r="Z729" s="15" t="s">
        <v>12277</v>
      </c>
      <c r="AA729" s="15" t="s">
        <v>80</v>
      </c>
      <c r="AB729" s="15" t="s">
        <v>106</v>
      </c>
      <c r="AC729" s="15" t="s">
        <v>388</v>
      </c>
      <c r="AD729" s="15" t="s">
        <v>39</v>
      </c>
      <c r="AE729" s="15" t="s">
        <v>55</v>
      </c>
      <c r="AF729" s="15" t="s">
        <v>12278</v>
      </c>
      <c r="AG729" s="15" t="s">
        <v>39</v>
      </c>
      <c r="AH729" s="15" t="s">
        <v>39</v>
      </c>
      <c r="AI729" s="15" t="s">
        <v>12279</v>
      </c>
      <c r="AJ729" s="15" t="s">
        <v>12280</v>
      </c>
      <c r="AK729" s="15" t="s">
        <v>2191</v>
      </c>
      <c r="AL729" s="15" t="s">
        <v>88</v>
      </c>
    </row>
    <row r="730" spans="1:38" x14ac:dyDescent="0.4">
      <c r="A730" s="11" t="s">
        <v>12281</v>
      </c>
      <c r="B730" s="12" t="s">
        <v>12282</v>
      </c>
      <c r="C730" s="13" t="s">
        <v>39</v>
      </c>
      <c r="D730" s="13" t="s">
        <v>92</v>
      </c>
      <c r="E730" s="13" t="s">
        <v>12283</v>
      </c>
      <c r="F730" s="13" t="s">
        <v>12284</v>
      </c>
      <c r="G730" s="13" t="s">
        <v>12285</v>
      </c>
      <c r="H730" s="13" t="s">
        <v>12286</v>
      </c>
      <c r="I730" s="9">
        <f t="shared" ca="1" si="11"/>
        <v>12</v>
      </c>
      <c r="J730" s="13" t="s">
        <v>12287</v>
      </c>
      <c r="K730" s="13" t="s">
        <v>702</v>
      </c>
      <c r="L730" s="9" t="str">
        <f>VLOOKUP(K730,[1]中国省份_标准!$B$2:$F$35,4,FALSE)</f>
        <v>东部地区</v>
      </c>
      <c r="M730" s="9" t="str">
        <f>VLOOKUP(K730,[1]中国省份_标准!$B$2:$F$35,5,FALSE)</f>
        <v>华北地区</v>
      </c>
      <c r="N730" s="13" t="s">
        <v>1043</v>
      </c>
      <c r="O730" s="13" t="s">
        <v>1044</v>
      </c>
      <c r="P730" s="13" t="s">
        <v>12288</v>
      </c>
      <c r="Q730" s="13" t="s">
        <v>12289</v>
      </c>
      <c r="R730" s="13" t="s">
        <v>12290</v>
      </c>
      <c r="S730" s="13" t="s">
        <v>12291</v>
      </c>
      <c r="T730" s="13" t="s">
        <v>825</v>
      </c>
      <c r="U730" s="13" t="s">
        <v>12282</v>
      </c>
      <c r="V730" s="13" t="s">
        <v>12292</v>
      </c>
      <c r="W730" s="13" t="s">
        <v>12293</v>
      </c>
      <c r="X730" s="13" t="s">
        <v>12294</v>
      </c>
      <c r="Y730" s="13" t="s">
        <v>78</v>
      </c>
      <c r="Z730" s="13" t="s">
        <v>12295</v>
      </c>
      <c r="AA730" s="13" t="s">
        <v>169</v>
      </c>
      <c r="AB730" s="13" t="s">
        <v>1264</v>
      </c>
      <c r="AC730" s="13" t="s">
        <v>1457</v>
      </c>
      <c r="AD730" s="13" t="s">
        <v>1557</v>
      </c>
      <c r="AE730" s="13" t="s">
        <v>55</v>
      </c>
      <c r="AF730" s="13" t="s">
        <v>12296</v>
      </c>
      <c r="AG730" s="13" t="s">
        <v>12297</v>
      </c>
      <c r="AH730" s="13" t="s">
        <v>39</v>
      </c>
      <c r="AI730" s="13" t="s">
        <v>12298</v>
      </c>
      <c r="AJ730" s="13" t="s">
        <v>12299</v>
      </c>
      <c r="AK730" s="13" t="s">
        <v>12300</v>
      </c>
      <c r="AL730" s="13" t="s">
        <v>88</v>
      </c>
    </row>
    <row r="731" spans="1:38" x14ac:dyDescent="0.4">
      <c r="A731" s="11" t="s">
        <v>12301</v>
      </c>
      <c r="B731" s="14" t="s">
        <v>12302</v>
      </c>
      <c r="C731" s="15" t="s">
        <v>39</v>
      </c>
      <c r="D731" s="15" t="s">
        <v>92</v>
      </c>
      <c r="E731" s="15" t="s">
        <v>12303</v>
      </c>
      <c r="F731" s="15" t="s">
        <v>12304</v>
      </c>
      <c r="G731" s="15" t="s">
        <v>12304</v>
      </c>
      <c r="H731" s="15" t="s">
        <v>12305</v>
      </c>
      <c r="I731" s="9">
        <f t="shared" ca="1" si="11"/>
        <v>9</v>
      </c>
      <c r="J731" s="15" t="s">
        <v>12306</v>
      </c>
      <c r="K731" s="15" t="s">
        <v>45</v>
      </c>
      <c r="L731" s="9" t="str">
        <f>VLOOKUP(K731,[1]中国省份_标准!$B$2:$F$35,4,FALSE)</f>
        <v>东部地区</v>
      </c>
      <c r="M731" s="9" t="str">
        <f>VLOOKUP(K731,[1]中国省份_标准!$B$2:$F$35,5,FALSE)</f>
        <v>华东地区</v>
      </c>
      <c r="N731" s="15" t="s">
        <v>45</v>
      </c>
      <c r="O731" s="15" t="s">
        <v>1123</v>
      </c>
      <c r="P731" s="15" t="s">
        <v>12307</v>
      </c>
      <c r="Q731" s="15" t="s">
        <v>39</v>
      </c>
      <c r="R731" s="15" t="s">
        <v>12308</v>
      </c>
      <c r="S731" s="15" t="s">
        <v>39</v>
      </c>
      <c r="T731" s="15" t="s">
        <v>209</v>
      </c>
      <c r="U731" s="15" t="s">
        <v>12302</v>
      </c>
      <c r="V731" s="15" t="s">
        <v>12309</v>
      </c>
      <c r="W731" s="15" t="s">
        <v>12310</v>
      </c>
      <c r="X731" s="15" t="s">
        <v>10250</v>
      </c>
      <c r="Y731" s="15" t="s">
        <v>78</v>
      </c>
      <c r="Z731" s="15" t="s">
        <v>12311</v>
      </c>
      <c r="AA731" s="15" t="s">
        <v>80</v>
      </c>
      <c r="AB731" s="15" t="s">
        <v>81</v>
      </c>
      <c r="AC731" s="15" t="s">
        <v>2816</v>
      </c>
      <c r="AD731" s="15" t="s">
        <v>2817</v>
      </c>
      <c r="AE731" s="15" t="s">
        <v>262</v>
      </c>
      <c r="AF731" s="15" t="s">
        <v>12312</v>
      </c>
      <c r="AG731" s="15" t="s">
        <v>39</v>
      </c>
      <c r="AH731" s="15" t="s">
        <v>12313</v>
      </c>
      <c r="AI731" s="15" t="s">
        <v>12314</v>
      </c>
      <c r="AJ731" s="15" t="s">
        <v>12315</v>
      </c>
      <c r="AK731" s="15" t="s">
        <v>4126</v>
      </c>
      <c r="AL731" s="15" t="s">
        <v>88</v>
      </c>
    </row>
    <row r="732" spans="1:38" x14ac:dyDescent="0.4">
      <c r="A732" s="11" t="s">
        <v>12316</v>
      </c>
      <c r="B732" s="12" t="s">
        <v>12317</v>
      </c>
      <c r="C732" s="13" t="s">
        <v>39</v>
      </c>
      <c r="D732" s="13" t="s">
        <v>92</v>
      </c>
      <c r="E732" s="13" t="s">
        <v>12318</v>
      </c>
      <c r="F732" s="13" t="s">
        <v>862</v>
      </c>
      <c r="G732" s="13" t="s">
        <v>862</v>
      </c>
      <c r="H732" s="13" t="s">
        <v>1913</v>
      </c>
      <c r="I732" s="9">
        <f t="shared" ca="1" si="11"/>
        <v>16</v>
      </c>
      <c r="J732" s="13" t="s">
        <v>12319</v>
      </c>
      <c r="K732" s="13" t="s">
        <v>594</v>
      </c>
      <c r="L732" s="9" t="str">
        <f>VLOOKUP(K732,[1]中国省份_标准!$B$2:$F$35,4,FALSE)</f>
        <v>中部地区</v>
      </c>
      <c r="M732" s="9" t="str">
        <f>VLOOKUP(K732,[1]中国省份_标准!$B$2:$F$35,5,FALSE)</f>
        <v>华东地区</v>
      </c>
      <c r="N732" s="13" t="s">
        <v>12320</v>
      </c>
      <c r="O732" s="13" t="s">
        <v>12321</v>
      </c>
      <c r="P732" s="13" t="s">
        <v>12322</v>
      </c>
      <c r="Q732" s="13" t="s">
        <v>12323</v>
      </c>
      <c r="R732" s="13" t="s">
        <v>12324</v>
      </c>
      <c r="S732" s="13" t="s">
        <v>12325</v>
      </c>
      <c r="T732" s="13" t="s">
        <v>184</v>
      </c>
      <c r="U732" s="13" t="s">
        <v>12317</v>
      </c>
      <c r="V732" s="13" t="s">
        <v>12326</v>
      </c>
      <c r="W732" s="13" t="s">
        <v>12327</v>
      </c>
      <c r="X732" s="13" t="s">
        <v>77</v>
      </c>
      <c r="Y732" s="13" t="s">
        <v>78</v>
      </c>
      <c r="Z732" s="13" t="s">
        <v>12328</v>
      </c>
      <c r="AA732" s="13" t="s">
        <v>169</v>
      </c>
      <c r="AB732" s="13" t="s">
        <v>412</v>
      </c>
      <c r="AC732" s="13" t="s">
        <v>413</v>
      </c>
      <c r="AD732" s="13" t="s">
        <v>39</v>
      </c>
      <c r="AE732" s="13" t="s">
        <v>55</v>
      </c>
      <c r="AF732" s="13" t="s">
        <v>12329</v>
      </c>
      <c r="AG732" s="13" t="s">
        <v>39</v>
      </c>
      <c r="AH732" s="13" t="s">
        <v>39</v>
      </c>
      <c r="AI732" s="13" t="s">
        <v>12330</v>
      </c>
      <c r="AJ732" s="13" t="s">
        <v>12331</v>
      </c>
      <c r="AK732" s="13" t="s">
        <v>12332</v>
      </c>
      <c r="AL732" s="13" t="s">
        <v>88</v>
      </c>
    </row>
    <row r="733" spans="1:38" x14ac:dyDescent="0.4">
      <c r="A733" s="11" t="s">
        <v>12333</v>
      </c>
      <c r="B733" s="14" t="s">
        <v>12334</v>
      </c>
      <c r="C733" s="15" t="s">
        <v>39</v>
      </c>
      <c r="D733" s="15" t="s">
        <v>12335</v>
      </c>
      <c r="E733" s="15" t="s">
        <v>12336</v>
      </c>
      <c r="F733" s="15" t="s">
        <v>12337</v>
      </c>
      <c r="G733" s="15" t="s">
        <v>12337</v>
      </c>
      <c r="H733" s="15" t="s">
        <v>12338</v>
      </c>
      <c r="I733" s="9">
        <f t="shared" ca="1" si="11"/>
        <v>10</v>
      </c>
      <c r="J733" s="15" t="s">
        <v>12339</v>
      </c>
      <c r="K733" s="15" t="s">
        <v>531</v>
      </c>
      <c r="L733" s="9" t="str">
        <f>VLOOKUP(K733,[1]中国省份_标准!$B$2:$F$35,4,FALSE)</f>
        <v>东部地区</v>
      </c>
      <c r="M733" s="9" t="str">
        <f>VLOOKUP(K733,[1]中国省份_标准!$B$2:$F$35,5,FALSE)</f>
        <v>华南地区</v>
      </c>
      <c r="N733" s="15" t="s">
        <v>2947</v>
      </c>
      <c r="O733" s="15" t="s">
        <v>2963</v>
      </c>
      <c r="P733" s="15" t="s">
        <v>12340</v>
      </c>
      <c r="Q733" s="15" t="s">
        <v>12341</v>
      </c>
      <c r="R733" s="15" t="s">
        <v>39</v>
      </c>
      <c r="S733" s="15" t="s">
        <v>39</v>
      </c>
      <c r="T733" s="15" t="s">
        <v>281</v>
      </c>
      <c r="U733" s="15" t="s">
        <v>12334</v>
      </c>
      <c r="V733" s="15" t="s">
        <v>12342</v>
      </c>
      <c r="W733" s="15" t="s">
        <v>12343</v>
      </c>
      <c r="X733" s="15" t="s">
        <v>39</v>
      </c>
      <c r="Y733" s="15" t="s">
        <v>39</v>
      </c>
      <c r="Z733" s="15" t="s">
        <v>12344</v>
      </c>
      <c r="AA733" s="15" t="s">
        <v>169</v>
      </c>
      <c r="AB733" s="15" t="s">
        <v>170</v>
      </c>
      <c r="AC733" s="15" t="s">
        <v>367</v>
      </c>
      <c r="AD733" s="15" t="s">
        <v>39</v>
      </c>
      <c r="AE733" s="15" t="s">
        <v>55</v>
      </c>
      <c r="AF733" s="15" t="s">
        <v>12345</v>
      </c>
      <c r="AG733" s="15" t="s">
        <v>39</v>
      </c>
      <c r="AH733" s="15" t="s">
        <v>39</v>
      </c>
      <c r="AI733" s="15" t="s">
        <v>12346</v>
      </c>
      <c r="AJ733" s="15" t="s">
        <v>12347</v>
      </c>
      <c r="AK733" s="15" t="s">
        <v>2956</v>
      </c>
      <c r="AL733" s="15" t="s">
        <v>88</v>
      </c>
    </row>
    <row r="734" spans="1:38" x14ac:dyDescent="0.4">
      <c r="A734" s="11" t="s">
        <v>12348</v>
      </c>
      <c r="B734" s="12" t="s">
        <v>12349</v>
      </c>
      <c r="C734" s="13" t="s">
        <v>39</v>
      </c>
      <c r="D734" s="13" t="s">
        <v>63</v>
      </c>
      <c r="E734" s="13" t="s">
        <v>12350</v>
      </c>
      <c r="F734" s="13" t="s">
        <v>12351</v>
      </c>
      <c r="G734" s="13" t="s">
        <v>12351</v>
      </c>
      <c r="H734" s="13" t="s">
        <v>12352</v>
      </c>
      <c r="I734" s="9">
        <f t="shared" ca="1" si="11"/>
        <v>10</v>
      </c>
      <c r="J734" s="13" t="s">
        <v>12353</v>
      </c>
      <c r="K734" s="13" t="s">
        <v>531</v>
      </c>
      <c r="L734" s="9" t="str">
        <f>VLOOKUP(K734,[1]中国省份_标准!$B$2:$F$35,4,FALSE)</f>
        <v>东部地区</v>
      </c>
      <c r="M734" s="9" t="str">
        <f>VLOOKUP(K734,[1]中国省份_标准!$B$2:$F$35,5,FALSE)</f>
        <v>华南地区</v>
      </c>
      <c r="N734" s="13" t="s">
        <v>2947</v>
      </c>
      <c r="O734" s="13" t="s">
        <v>2948</v>
      </c>
      <c r="P734" s="13" t="s">
        <v>12354</v>
      </c>
      <c r="Q734" s="13" t="s">
        <v>12355</v>
      </c>
      <c r="R734" s="13" t="s">
        <v>12356</v>
      </c>
      <c r="S734" s="13" t="s">
        <v>39</v>
      </c>
      <c r="T734" s="13" t="s">
        <v>281</v>
      </c>
      <c r="U734" s="13" t="s">
        <v>12349</v>
      </c>
      <c r="V734" s="13" t="s">
        <v>12357</v>
      </c>
      <c r="W734" s="13" t="s">
        <v>12358</v>
      </c>
      <c r="X734" s="13" t="s">
        <v>690</v>
      </c>
      <c r="Y734" s="13" t="s">
        <v>78</v>
      </c>
      <c r="Z734" s="13" t="s">
        <v>12359</v>
      </c>
      <c r="AA734" s="13" t="s">
        <v>169</v>
      </c>
      <c r="AB734" s="13" t="s">
        <v>1996</v>
      </c>
      <c r="AC734" s="13" t="s">
        <v>39</v>
      </c>
      <c r="AD734" s="13" t="s">
        <v>39</v>
      </c>
      <c r="AE734" s="13" t="s">
        <v>109</v>
      </c>
      <c r="AF734" s="13" t="s">
        <v>12360</v>
      </c>
      <c r="AG734" s="13" t="s">
        <v>39</v>
      </c>
      <c r="AH734" s="13" t="s">
        <v>39</v>
      </c>
      <c r="AI734" s="13" t="s">
        <v>12361</v>
      </c>
      <c r="AJ734" s="13" t="s">
        <v>12362</v>
      </c>
      <c r="AK734" s="13" t="s">
        <v>2956</v>
      </c>
      <c r="AL734" s="13" t="s">
        <v>88</v>
      </c>
    </row>
    <row r="735" spans="1:38" x14ac:dyDescent="0.4">
      <c r="A735" s="11" t="s">
        <v>12363</v>
      </c>
      <c r="B735" s="14" t="s">
        <v>12364</v>
      </c>
      <c r="C735" s="15" t="s">
        <v>39</v>
      </c>
      <c r="D735" s="15" t="s">
        <v>63</v>
      </c>
      <c r="E735" s="15" t="s">
        <v>12365</v>
      </c>
      <c r="F735" s="15" t="s">
        <v>154</v>
      </c>
      <c r="G735" s="15" t="s">
        <v>154</v>
      </c>
      <c r="H735" s="15" t="s">
        <v>12366</v>
      </c>
      <c r="I735" s="9">
        <f t="shared" ca="1" si="11"/>
        <v>11</v>
      </c>
      <c r="J735" s="15" t="s">
        <v>12367</v>
      </c>
      <c r="K735" s="15" t="s">
        <v>531</v>
      </c>
      <c r="L735" s="9" t="str">
        <f>VLOOKUP(K735,[1]中国省份_标准!$B$2:$F$35,4,FALSE)</f>
        <v>东部地区</v>
      </c>
      <c r="M735" s="9" t="str">
        <f>VLOOKUP(K735,[1]中国省份_标准!$B$2:$F$35,5,FALSE)</f>
        <v>华南地区</v>
      </c>
      <c r="N735" s="15" t="s">
        <v>2947</v>
      </c>
      <c r="O735" s="15" t="s">
        <v>2948</v>
      </c>
      <c r="P735" s="15" t="s">
        <v>12368</v>
      </c>
      <c r="Q735" s="15" t="s">
        <v>12369</v>
      </c>
      <c r="R735" s="15" t="s">
        <v>12370</v>
      </c>
      <c r="S735" s="15" t="s">
        <v>39</v>
      </c>
      <c r="T735" s="15" t="s">
        <v>281</v>
      </c>
      <c r="U735" s="15" t="s">
        <v>12364</v>
      </c>
      <c r="V735" s="15" t="s">
        <v>12371</v>
      </c>
      <c r="W735" s="15" t="s">
        <v>12372</v>
      </c>
      <c r="X735" s="15" t="s">
        <v>77</v>
      </c>
      <c r="Y735" s="15" t="s">
        <v>78</v>
      </c>
      <c r="Z735" s="15" t="s">
        <v>12373</v>
      </c>
      <c r="AA735" s="15" t="s">
        <v>169</v>
      </c>
      <c r="AB735" s="15" t="s">
        <v>1996</v>
      </c>
      <c r="AC735" s="15" t="s">
        <v>39</v>
      </c>
      <c r="AD735" s="15" t="s">
        <v>39</v>
      </c>
      <c r="AE735" s="15" t="s">
        <v>109</v>
      </c>
      <c r="AF735" s="15" t="s">
        <v>12374</v>
      </c>
      <c r="AG735" s="15" t="s">
        <v>39</v>
      </c>
      <c r="AH735" s="15" t="s">
        <v>39</v>
      </c>
      <c r="AI735" s="15" t="s">
        <v>12375</v>
      </c>
      <c r="AJ735" s="15" t="s">
        <v>12376</v>
      </c>
      <c r="AK735" s="15" t="s">
        <v>2956</v>
      </c>
      <c r="AL735" s="15" t="s">
        <v>88</v>
      </c>
    </row>
    <row r="736" spans="1:38" x14ac:dyDescent="0.4">
      <c r="A736" s="11" t="s">
        <v>12377</v>
      </c>
      <c r="B736" s="12" t="s">
        <v>12378</v>
      </c>
      <c r="C736" s="13" t="s">
        <v>12379</v>
      </c>
      <c r="D736" s="13" t="s">
        <v>12380</v>
      </c>
      <c r="E736" s="13" t="s">
        <v>12381</v>
      </c>
      <c r="F736" s="13" t="s">
        <v>154</v>
      </c>
      <c r="G736" s="13" t="s">
        <v>154</v>
      </c>
      <c r="H736" s="13" t="s">
        <v>12382</v>
      </c>
      <c r="I736" s="9">
        <f t="shared" ca="1" si="11"/>
        <v>13</v>
      </c>
      <c r="J736" s="13" t="s">
        <v>12383</v>
      </c>
      <c r="K736" s="13" t="s">
        <v>531</v>
      </c>
      <c r="L736" s="9" t="str">
        <f>VLOOKUP(K736,[1]中国省份_标准!$B$2:$F$35,4,FALSE)</f>
        <v>东部地区</v>
      </c>
      <c r="M736" s="9" t="str">
        <f>VLOOKUP(K736,[1]中国省份_标准!$B$2:$F$35,5,FALSE)</f>
        <v>华南地区</v>
      </c>
      <c r="N736" s="13" t="s">
        <v>2947</v>
      </c>
      <c r="O736" s="13" t="s">
        <v>2963</v>
      </c>
      <c r="P736" s="13" t="s">
        <v>12384</v>
      </c>
      <c r="Q736" s="13" t="s">
        <v>12385</v>
      </c>
      <c r="R736" s="13" t="s">
        <v>2999</v>
      </c>
      <c r="S736" s="13" t="s">
        <v>39</v>
      </c>
      <c r="T736" s="13" t="s">
        <v>281</v>
      </c>
      <c r="U736" s="13" t="s">
        <v>12378</v>
      </c>
      <c r="V736" s="13" t="s">
        <v>12386</v>
      </c>
      <c r="W736" s="13" t="s">
        <v>12387</v>
      </c>
      <c r="X736" s="13" t="s">
        <v>39</v>
      </c>
      <c r="Y736" s="13" t="s">
        <v>39</v>
      </c>
      <c r="Z736" s="13" t="s">
        <v>12388</v>
      </c>
      <c r="AA736" s="13" t="s">
        <v>169</v>
      </c>
      <c r="AB736" s="13" t="s">
        <v>170</v>
      </c>
      <c r="AC736" s="13" t="s">
        <v>1725</v>
      </c>
      <c r="AD736" s="13" t="s">
        <v>1726</v>
      </c>
      <c r="AE736" s="13" t="s">
        <v>109</v>
      </c>
      <c r="AF736" s="13" t="s">
        <v>12389</v>
      </c>
      <c r="AG736" s="13" t="s">
        <v>39</v>
      </c>
      <c r="AH736" s="13" t="s">
        <v>39</v>
      </c>
      <c r="AI736" s="13" t="s">
        <v>12390</v>
      </c>
      <c r="AJ736" s="13" t="s">
        <v>12391</v>
      </c>
      <c r="AK736" s="13" t="s">
        <v>3006</v>
      </c>
      <c r="AL736" s="13" t="s">
        <v>88</v>
      </c>
    </row>
    <row r="737" spans="1:38" x14ac:dyDescent="0.4">
      <c r="A737" s="11" t="s">
        <v>12392</v>
      </c>
      <c r="B737" s="14" t="s">
        <v>12393</v>
      </c>
      <c r="C737" s="15" t="s">
        <v>39</v>
      </c>
      <c r="D737" s="15" t="s">
        <v>92</v>
      </c>
      <c r="E737" s="15" t="s">
        <v>12394</v>
      </c>
      <c r="F737" s="15" t="s">
        <v>42</v>
      </c>
      <c r="G737" s="15" t="s">
        <v>2705</v>
      </c>
      <c r="H737" s="15" t="s">
        <v>12395</v>
      </c>
      <c r="I737" s="9">
        <f t="shared" ca="1" si="11"/>
        <v>15</v>
      </c>
      <c r="J737" s="15" t="s">
        <v>12396</v>
      </c>
      <c r="K737" s="15" t="s">
        <v>340</v>
      </c>
      <c r="L737" s="9" t="str">
        <f>VLOOKUP(K737,[1]中国省份_标准!$B$2:$F$35,4,FALSE)</f>
        <v>东部地区</v>
      </c>
      <c r="M737" s="9" t="str">
        <f>VLOOKUP(K737,[1]中国省份_标准!$B$2:$F$35,5,FALSE)</f>
        <v>华东地区</v>
      </c>
      <c r="N737" s="15" t="s">
        <v>341</v>
      </c>
      <c r="O737" s="15" t="s">
        <v>10926</v>
      </c>
      <c r="P737" s="15" t="s">
        <v>12397</v>
      </c>
      <c r="Q737" s="15" t="s">
        <v>12398</v>
      </c>
      <c r="R737" s="15" t="s">
        <v>12399</v>
      </c>
      <c r="S737" s="15" t="s">
        <v>12400</v>
      </c>
      <c r="T737" s="15" t="s">
        <v>281</v>
      </c>
      <c r="U737" s="15" t="s">
        <v>12393</v>
      </c>
      <c r="V737" s="15" t="s">
        <v>12401</v>
      </c>
      <c r="W737" s="15" t="s">
        <v>12402</v>
      </c>
      <c r="X737" s="15" t="s">
        <v>5102</v>
      </c>
      <c r="Y737" s="15" t="s">
        <v>78</v>
      </c>
      <c r="Z737" s="15" t="s">
        <v>12403</v>
      </c>
      <c r="AA737" s="15" t="s">
        <v>169</v>
      </c>
      <c r="AB737" s="15" t="s">
        <v>170</v>
      </c>
      <c r="AC737" s="15" t="s">
        <v>367</v>
      </c>
      <c r="AD737" s="15" t="s">
        <v>368</v>
      </c>
      <c r="AE737" s="15" t="s">
        <v>55</v>
      </c>
      <c r="AF737" s="15" t="s">
        <v>12404</v>
      </c>
      <c r="AG737" s="15" t="s">
        <v>39</v>
      </c>
      <c r="AH737" s="15" t="s">
        <v>39</v>
      </c>
      <c r="AI737" s="15" t="s">
        <v>12405</v>
      </c>
      <c r="AJ737" s="15" t="s">
        <v>12406</v>
      </c>
      <c r="AK737" s="15" t="s">
        <v>10936</v>
      </c>
      <c r="AL737" s="15" t="s">
        <v>88</v>
      </c>
    </row>
    <row r="738" spans="1:38" x14ac:dyDescent="0.4">
      <c r="A738" s="11" t="s">
        <v>12407</v>
      </c>
      <c r="B738" s="12" t="s">
        <v>12408</v>
      </c>
      <c r="C738" s="13" t="s">
        <v>39</v>
      </c>
      <c r="D738" s="13" t="s">
        <v>92</v>
      </c>
      <c r="E738" s="13" t="s">
        <v>12409</v>
      </c>
      <c r="F738" s="13" t="s">
        <v>12410</v>
      </c>
      <c r="G738" s="13" t="s">
        <v>12410</v>
      </c>
      <c r="H738" s="13" t="s">
        <v>12411</v>
      </c>
      <c r="I738" s="9">
        <f t="shared" ca="1" si="11"/>
        <v>12</v>
      </c>
      <c r="J738" s="13" t="s">
        <v>12412</v>
      </c>
      <c r="K738" s="13" t="s">
        <v>340</v>
      </c>
      <c r="L738" s="9" t="str">
        <f>VLOOKUP(K738,[1]中国省份_标准!$B$2:$F$35,4,FALSE)</f>
        <v>东部地区</v>
      </c>
      <c r="M738" s="9" t="str">
        <f>VLOOKUP(K738,[1]中国省份_标准!$B$2:$F$35,5,FALSE)</f>
        <v>华东地区</v>
      </c>
      <c r="N738" s="13" t="s">
        <v>341</v>
      </c>
      <c r="O738" s="13" t="s">
        <v>342</v>
      </c>
      <c r="P738" s="13" t="s">
        <v>12413</v>
      </c>
      <c r="Q738" s="13" t="s">
        <v>39</v>
      </c>
      <c r="R738" s="13" t="s">
        <v>12414</v>
      </c>
      <c r="S738" s="13" t="s">
        <v>12415</v>
      </c>
      <c r="T738" s="13" t="s">
        <v>48</v>
      </c>
      <c r="U738" s="13" t="s">
        <v>12408</v>
      </c>
      <c r="V738" s="13" t="s">
        <v>12416</v>
      </c>
      <c r="W738" s="13" t="s">
        <v>12417</v>
      </c>
      <c r="X738" s="13" t="s">
        <v>557</v>
      </c>
      <c r="Y738" s="13" t="s">
        <v>78</v>
      </c>
      <c r="Z738" s="13" t="s">
        <v>12418</v>
      </c>
      <c r="AA738" s="13" t="s">
        <v>169</v>
      </c>
      <c r="AB738" s="13" t="s">
        <v>170</v>
      </c>
      <c r="AC738" s="13" t="s">
        <v>171</v>
      </c>
      <c r="AD738" s="13" t="s">
        <v>347</v>
      </c>
      <c r="AE738" s="13" t="s">
        <v>55</v>
      </c>
      <c r="AF738" s="13" t="s">
        <v>12419</v>
      </c>
      <c r="AG738" s="13" t="s">
        <v>39</v>
      </c>
      <c r="AH738" s="13" t="s">
        <v>12420</v>
      </c>
      <c r="AI738" s="13" t="s">
        <v>12421</v>
      </c>
      <c r="AJ738" s="13" t="s">
        <v>12422</v>
      </c>
      <c r="AK738" s="13" t="s">
        <v>351</v>
      </c>
      <c r="AL738" s="13" t="s">
        <v>88</v>
      </c>
    </row>
    <row r="739" spans="1:38" x14ac:dyDescent="0.4">
      <c r="A739" s="11" t="s">
        <v>12423</v>
      </c>
      <c r="B739" s="14" t="s">
        <v>12424</v>
      </c>
      <c r="C739" s="15" t="s">
        <v>39</v>
      </c>
      <c r="D739" s="15" t="s">
        <v>92</v>
      </c>
      <c r="E739" s="15" t="s">
        <v>12425</v>
      </c>
      <c r="F739" s="15" t="s">
        <v>39</v>
      </c>
      <c r="G739" s="15" t="s">
        <v>39</v>
      </c>
      <c r="H739" s="15" t="s">
        <v>12426</v>
      </c>
      <c r="I739" s="9">
        <f t="shared" ca="1" si="11"/>
        <v>19</v>
      </c>
      <c r="J739" s="15" t="s">
        <v>12427</v>
      </c>
      <c r="K739" s="15" t="s">
        <v>340</v>
      </c>
      <c r="L739" s="9" t="str">
        <f>VLOOKUP(K739,[1]中国省份_标准!$B$2:$F$35,4,FALSE)</f>
        <v>东部地区</v>
      </c>
      <c r="M739" s="9" t="str">
        <f>VLOOKUP(K739,[1]中国省份_标准!$B$2:$F$35,5,FALSE)</f>
        <v>华东地区</v>
      </c>
      <c r="N739" s="15" t="s">
        <v>341</v>
      </c>
      <c r="O739" s="15" t="s">
        <v>342</v>
      </c>
      <c r="P739" s="15" t="s">
        <v>12428</v>
      </c>
      <c r="Q739" s="15" t="s">
        <v>39</v>
      </c>
      <c r="R739" s="15" t="s">
        <v>39</v>
      </c>
      <c r="S739" s="15" t="s">
        <v>39</v>
      </c>
      <c r="T739" s="15" t="s">
        <v>3232</v>
      </c>
      <c r="U739" s="15" t="s">
        <v>12424</v>
      </c>
      <c r="V739" s="15" t="s">
        <v>12429</v>
      </c>
      <c r="W739" s="15" t="s">
        <v>12430</v>
      </c>
      <c r="X739" s="15" t="s">
        <v>39</v>
      </c>
      <c r="Y739" s="15" t="s">
        <v>39</v>
      </c>
      <c r="Z739" s="15" t="s">
        <v>168</v>
      </c>
      <c r="AA739" s="15" t="s">
        <v>169</v>
      </c>
      <c r="AB739" s="15" t="s">
        <v>170</v>
      </c>
      <c r="AC739" s="15" t="s">
        <v>171</v>
      </c>
      <c r="AD739" s="15" t="s">
        <v>347</v>
      </c>
      <c r="AE739" s="15" t="s">
        <v>39</v>
      </c>
      <c r="AF739" s="15" t="s">
        <v>39</v>
      </c>
      <c r="AG739" s="15" t="s">
        <v>39</v>
      </c>
      <c r="AH739" s="15" t="s">
        <v>39</v>
      </c>
      <c r="AI739" s="15" t="s">
        <v>12431</v>
      </c>
      <c r="AJ739" s="15" t="s">
        <v>12432</v>
      </c>
      <c r="AK739" s="15" t="s">
        <v>351</v>
      </c>
      <c r="AL739" s="15" t="s">
        <v>39</v>
      </c>
    </row>
    <row r="740" spans="1:38" x14ac:dyDescent="0.4">
      <c r="A740" s="11" t="s">
        <v>12433</v>
      </c>
      <c r="B740" s="12" t="s">
        <v>12434</v>
      </c>
      <c r="C740" s="13" t="s">
        <v>39</v>
      </c>
      <c r="D740" s="13" t="s">
        <v>92</v>
      </c>
      <c r="E740" s="13" t="s">
        <v>12435</v>
      </c>
      <c r="F740" s="13" t="s">
        <v>1235</v>
      </c>
      <c r="G740" s="13" t="s">
        <v>3462</v>
      </c>
      <c r="H740" s="13" t="s">
        <v>12436</v>
      </c>
      <c r="I740" s="9">
        <f t="shared" ca="1" si="11"/>
        <v>9</v>
      </c>
      <c r="J740" s="13" t="s">
        <v>12437</v>
      </c>
      <c r="K740" s="13" t="s">
        <v>340</v>
      </c>
      <c r="L740" s="9" t="str">
        <f>VLOOKUP(K740,[1]中国省份_标准!$B$2:$F$35,4,FALSE)</f>
        <v>东部地区</v>
      </c>
      <c r="M740" s="9" t="str">
        <f>VLOOKUP(K740,[1]中国省份_标准!$B$2:$F$35,5,FALSE)</f>
        <v>华东地区</v>
      </c>
      <c r="N740" s="13" t="s">
        <v>341</v>
      </c>
      <c r="O740" s="13" t="s">
        <v>342</v>
      </c>
      <c r="P740" s="13" t="s">
        <v>12438</v>
      </c>
      <c r="Q740" s="13" t="s">
        <v>39</v>
      </c>
      <c r="R740" s="13" t="s">
        <v>12439</v>
      </c>
      <c r="S740" s="13" t="s">
        <v>39</v>
      </c>
      <c r="T740" s="13" t="s">
        <v>281</v>
      </c>
      <c r="U740" s="13" t="s">
        <v>12434</v>
      </c>
      <c r="V740" s="13" t="s">
        <v>12440</v>
      </c>
      <c r="W740" s="13" t="s">
        <v>12441</v>
      </c>
      <c r="X740" s="13" t="s">
        <v>557</v>
      </c>
      <c r="Y740" s="13" t="s">
        <v>78</v>
      </c>
      <c r="Z740" s="13" t="s">
        <v>12442</v>
      </c>
      <c r="AA740" s="13" t="s">
        <v>169</v>
      </c>
      <c r="AB740" s="13" t="s">
        <v>170</v>
      </c>
      <c r="AC740" s="13" t="s">
        <v>171</v>
      </c>
      <c r="AD740" s="13" t="s">
        <v>5811</v>
      </c>
      <c r="AE740" s="13" t="s">
        <v>109</v>
      </c>
      <c r="AF740" s="13" t="s">
        <v>12443</v>
      </c>
      <c r="AG740" s="13" t="s">
        <v>39</v>
      </c>
      <c r="AH740" s="13" t="s">
        <v>39</v>
      </c>
      <c r="AI740" s="13" t="s">
        <v>12444</v>
      </c>
      <c r="AJ740" s="13" t="s">
        <v>12445</v>
      </c>
      <c r="AK740" s="13" t="s">
        <v>351</v>
      </c>
      <c r="AL740" s="13" t="s">
        <v>88</v>
      </c>
    </row>
    <row r="741" spans="1:38" x14ac:dyDescent="0.4">
      <c r="A741" s="11" t="s">
        <v>12446</v>
      </c>
      <c r="B741" s="14" t="s">
        <v>12447</v>
      </c>
      <c r="C741" s="15" t="s">
        <v>39</v>
      </c>
      <c r="D741" s="15" t="s">
        <v>92</v>
      </c>
      <c r="E741" s="15" t="s">
        <v>12448</v>
      </c>
      <c r="F741" s="15" t="s">
        <v>2398</v>
      </c>
      <c r="G741" s="15" t="s">
        <v>2398</v>
      </c>
      <c r="H741" s="15" t="s">
        <v>12449</v>
      </c>
      <c r="I741" s="9">
        <f t="shared" ca="1" si="11"/>
        <v>11</v>
      </c>
      <c r="J741" s="15" t="s">
        <v>12450</v>
      </c>
      <c r="K741" s="15" t="s">
        <v>1877</v>
      </c>
      <c r="L741" s="9" t="str">
        <f>VLOOKUP(K741,[1]中国省份_标准!$B$2:$F$35,4,FALSE)</f>
        <v>中部地区</v>
      </c>
      <c r="M741" s="9" t="str">
        <f>VLOOKUP(K741,[1]中国省份_标准!$B$2:$F$35,5,FALSE)</f>
        <v>华中地区</v>
      </c>
      <c r="N741" s="15" t="s">
        <v>12451</v>
      </c>
      <c r="O741" s="15" t="s">
        <v>12452</v>
      </c>
      <c r="P741" s="15" t="s">
        <v>12453</v>
      </c>
      <c r="Q741" s="15" t="s">
        <v>12454</v>
      </c>
      <c r="R741" s="15" t="s">
        <v>12455</v>
      </c>
      <c r="S741" s="15" t="s">
        <v>12456</v>
      </c>
      <c r="T741" s="15" t="s">
        <v>184</v>
      </c>
      <c r="U741" s="15" t="s">
        <v>12447</v>
      </c>
      <c r="V741" s="15" t="s">
        <v>12457</v>
      </c>
      <c r="W741" s="15" t="s">
        <v>12458</v>
      </c>
      <c r="X741" s="15" t="s">
        <v>12459</v>
      </c>
      <c r="Y741" s="15" t="s">
        <v>78</v>
      </c>
      <c r="Z741" s="15" t="s">
        <v>12460</v>
      </c>
      <c r="AA741" s="15" t="s">
        <v>169</v>
      </c>
      <c r="AB741" s="15" t="s">
        <v>412</v>
      </c>
      <c r="AC741" s="15" t="s">
        <v>413</v>
      </c>
      <c r="AD741" s="15" t="s">
        <v>1687</v>
      </c>
      <c r="AE741" s="15" t="s">
        <v>55</v>
      </c>
      <c r="AF741" s="15" t="s">
        <v>12461</v>
      </c>
      <c r="AG741" s="15" t="s">
        <v>39</v>
      </c>
      <c r="AH741" s="15" t="s">
        <v>39</v>
      </c>
      <c r="AI741" s="15" t="s">
        <v>12462</v>
      </c>
      <c r="AJ741" s="15" t="s">
        <v>12463</v>
      </c>
      <c r="AK741" s="15" t="s">
        <v>12464</v>
      </c>
      <c r="AL741" s="15" t="s">
        <v>88</v>
      </c>
    </row>
    <row r="742" spans="1:38" x14ac:dyDescent="0.4">
      <c r="A742" s="11" t="s">
        <v>12465</v>
      </c>
      <c r="B742" s="12" t="s">
        <v>12466</v>
      </c>
      <c r="C742" s="13" t="s">
        <v>39</v>
      </c>
      <c r="D742" s="13" t="s">
        <v>92</v>
      </c>
      <c r="E742" s="13" t="s">
        <v>12467</v>
      </c>
      <c r="F742" s="13" t="s">
        <v>12468</v>
      </c>
      <c r="G742" s="13" t="s">
        <v>12468</v>
      </c>
      <c r="H742" s="13" t="s">
        <v>12469</v>
      </c>
      <c r="I742" s="9">
        <f t="shared" ca="1" si="11"/>
        <v>22</v>
      </c>
      <c r="J742" s="13" t="s">
        <v>12470</v>
      </c>
      <c r="K742" s="13" t="s">
        <v>379</v>
      </c>
      <c r="L742" s="9" t="str">
        <f>VLOOKUP(K742,[1]中国省份_标准!$B$2:$F$35,4,FALSE)</f>
        <v>东部地区</v>
      </c>
      <c r="M742" s="9" t="str">
        <f>VLOOKUP(K742,[1]中国省份_标准!$B$2:$F$35,5,FALSE)</f>
        <v>华东地区</v>
      </c>
      <c r="N742" s="13" t="s">
        <v>1276</v>
      </c>
      <c r="O742" s="13" t="s">
        <v>1315</v>
      </c>
      <c r="P742" s="13" t="s">
        <v>12471</v>
      </c>
      <c r="Q742" s="13" t="s">
        <v>12472</v>
      </c>
      <c r="R742" s="13" t="s">
        <v>39</v>
      </c>
      <c r="S742" s="13" t="s">
        <v>39</v>
      </c>
      <c r="T742" s="13" t="s">
        <v>48</v>
      </c>
      <c r="U742" s="13" t="s">
        <v>12466</v>
      </c>
      <c r="V742" s="13" t="s">
        <v>12473</v>
      </c>
      <c r="W742" s="13" t="s">
        <v>12474</v>
      </c>
      <c r="X742" s="13" t="s">
        <v>690</v>
      </c>
      <c r="Y742" s="13" t="s">
        <v>78</v>
      </c>
      <c r="Z742" s="13" t="s">
        <v>12475</v>
      </c>
      <c r="AA742" s="13" t="s">
        <v>169</v>
      </c>
      <c r="AB742" s="13" t="s">
        <v>1264</v>
      </c>
      <c r="AC742" s="13" t="s">
        <v>1457</v>
      </c>
      <c r="AD742" s="13" t="s">
        <v>1557</v>
      </c>
      <c r="AE742" s="13" t="s">
        <v>109</v>
      </c>
      <c r="AF742" s="13" t="s">
        <v>12476</v>
      </c>
      <c r="AG742" s="13" t="s">
        <v>39</v>
      </c>
      <c r="AH742" s="13" t="s">
        <v>39</v>
      </c>
      <c r="AI742" s="13" t="s">
        <v>12477</v>
      </c>
      <c r="AJ742" s="13" t="s">
        <v>12478</v>
      </c>
      <c r="AK742" s="13" t="s">
        <v>1424</v>
      </c>
      <c r="AL742" s="13" t="s">
        <v>88</v>
      </c>
    </row>
    <row r="743" spans="1:38" x14ac:dyDescent="0.4">
      <c r="A743" s="11" t="s">
        <v>12479</v>
      </c>
      <c r="B743" s="14" t="s">
        <v>12480</v>
      </c>
      <c r="C743" s="15" t="s">
        <v>39</v>
      </c>
      <c r="D743" s="15" t="s">
        <v>92</v>
      </c>
      <c r="E743" s="15" t="s">
        <v>12481</v>
      </c>
      <c r="F743" s="15" t="s">
        <v>8105</v>
      </c>
      <c r="G743" s="15" t="s">
        <v>8105</v>
      </c>
      <c r="H743" s="15" t="s">
        <v>12482</v>
      </c>
      <c r="I743" s="9">
        <f t="shared" ca="1" si="11"/>
        <v>13</v>
      </c>
      <c r="J743" s="15" t="s">
        <v>12483</v>
      </c>
      <c r="K743" s="15" t="s">
        <v>1877</v>
      </c>
      <c r="L743" s="9" t="str">
        <f>VLOOKUP(K743,[1]中国省份_标准!$B$2:$F$35,4,FALSE)</f>
        <v>中部地区</v>
      </c>
      <c r="M743" s="9" t="str">
        <f>VLOOKUP(K743,[1]中国省份_标准!$B$2:$F$35,5,FALSE)</f>
        <v>华中地区</v>
      </c>
      <c r="N743" s="15" t="s">
        <v>5339</v>
      </c>
      <c r="O743" s="15" t="s">
        <v>12484</v>
      </c>
      <c r="P743" s="15" t="s">
        <v>12485</v>
      </c>
      <c r="Q743" s="15" t="s">
        <v>12486</v>
      </c>
      <c r="R743" s="15" t="s">
        <v>12487</v>
      </c>
      <c r="S743" s="15" t="s">
        <v>12488</v>
      </c>
      <c r="T743" s="15" t="s">
        <v>407</v>
      </c>
      <c r="U743" s="15" t="s">
        <v>12480</v>
      </c>
      <c r="V743" s="15" t="s">
        <v>12489</v>
      </c>
      <c r="W743" s="15" t="s">
        <v>12490</v>
      </c>
      <c r="X743" s="15" t="s">
        <v>12491</v>
      </c>
      <c r="Y743" s="15" t="s">
        <v>78</v>
      </c>
      <c r="Z743" s="15" t="s">
        <v>12492</v>
      </c>
      <c r="AA743" s="15" t="s">
        <v>169</v>
      </c>
      <c r="AB743" s="15" t="s">
        <v>285</v>
      </c>
      <c r="AC743" s="15" t="s">
        <v>479</v>
      </c>
      <c r="AD743" s="15" t="s">
        <v>480</v>
      </c>
      <c r="AE743" s="15" t="s">
        <v>262</v>
      </c>
      <c r="AF743" s="15" t="s">
        <v>12493</v>
      </c>
      <c r="AG743" s="15" t="s">
        <v>12494</v>
      </c>
      <c r="AH743" s="15" t="s">
        <v>39</v>
      </c>
      <c r="AI743" s="15" t="s">
        <v>12495</v>
      </c>
      <c r="AJ743" s="15" t="s">
        <v>12496</v>
      </c>
      <c r="AK743" s="15" t="s">
        <v>12497</v>
      </c>
      <c r="AL743" s="15" t="s">
        <v>88</v>
      </c>
    </row>
    <row r="744" spans="1:38" x14ac:dyDescent="0.4">
      <c r="A744" s="11" t="s">
        <v>12498</v>
      </c>
      <c r="B744" s="12" t="s">
        <v>12499</v>
      </c>
      <c r="C744" s="13" t="s">
        <v>12500</v>
      </c>
      <c r="D744" s="13" t="s">
        <v>92</v>
      </c>
      <c r="E744" s="13" t="s">
        <v>12501</v>
      </c>
      <c r="F744" s="13" t="s">
        <v>11357</v>
      </c>
      <c r="G744" s="13" t="s">
        <v>11357</v>
      </c>
      <c r="H744" s="13" t="s">
        <v>12502</v>
      </c>
      <c r="I744" s="9">
        <f t="shared" ca="1" si="11"/>
        <v>22</v>
      </c>
      <c r="J744" s="13" t="s">
        <v>12503</v>
      </c>
      <c r="K744" s="13" t="s">
        <v>445</v>
      </c>
      <c r="L744" s="9" t="str">
        <f>VLOOKUP(K744,[1]中国省份_标准!$B$2:$F$35,4,FALSE)</f>
        <v>中部地区</v>
      </c>
      <c r="M744" s="9" t="str">
        <f>VLOOKUP(K744,[1]中国省份_标准!$B$2:$F$35,5,FALSE)</f>
        <v>华东地区</v>
      </c>
      <c r="N744" s="13" t="s">
        <v>12504</v>
      </c>
      <c r="O744" s="13" t="s">
        <v>12505</v>
      </c>
      <c r="P744" s="13" t="s">
        <v>12506</v>
      </c>
      <c r="Q744" s="13" t="s">
        <v>12507</v>
      </c>
      <c r="R744" s="13" t="s">
        <v>12508</v>
      </c>
      <c r="S744" s="13" t="s">
        <v>39</v>
      </c>
      <c r="T744" s="13" t="s">
        <v>48</v>
      </c>
      <c r="U744" s="13" t="s">
        <v>12499</v>
      </c>
      <c r="V744" s="13" t="s">
        <v>12509</v>
      </c>
      <c r="W744" s="13" t="s">
        <v>12510</v>
      </c>
      <c r="X744" s="13" t="s">
        <v>12294</v>
      </c>
      <c r="Y744" s="13" t="s">
        <v>78</v>
      </c>
      <c r="Z744" s="13" t="s">
        <v>12511</v>
      </c>
      <c r="AA744" s="13" t="s">
        <v>169</v>
      </c>
      <c r="AB744" s="13" t="s">
        <v>285</v>
      </c>
      <c r="AC744" s="13" t="s">
        <v>479</v>
      </c>
      <c r="AD744" s="13" t="s">
        <v>480</v>
      </c>
      <c r="AE744" s="13" t="s">
        <v>262</v>
      </c>
      <c r="AF744" s="13" t="s">
        <v>12512</v>
      </c>
      <c r="AG744" s="13" t="s">
        <v>12513</v>
      </c>
      <c r="AH744" s="13" t="s">
        <v>12514</v>
      </c>
      <c r="AI744" s="13" t="s">
        <v>12515</v>
      </c>
      <c r="AJ744" s="13" t="s">
        <v>12516</v>
      </c>
      <c r="AK744" s="13" t="s">
        <v>12517</v>
      </c>
      <c r="AL744" s="13" t="s">
        <v>88</v>
      </c>
    </row>
    <row r="745" spans="1:38" x14ac:dyDescent="0.4">
      <c r="A745" s="11" t="s">
        <v>12518</v>
      </c>
      <c r="B745" s="14" t="s">
        <v>12519</v>
      </c>
      <c r="C745" s="15" t="s">
        <v>39</v>
      </c>
      <c r="D745" s="15" t="s">
        <v>92</v>
      </c>
      <c r="E745" s="15" t="s">
        <v>12520</v>
      </c>
      <c r="F745" s="15" t="s">
        <v>271</v>
      </c>
      <c r="G745" s="15" t="s">
        <v>12521</v>
      </c>
      <c r="H745" s="15" t="s">
        <v>12522</v>
      </c>
      <c r="I745" s="9">
        <f t="shared" ca="1" si="11"/>
        <v>8</v>
      </c>
      <c r="J745" s="15" t="s">
        <v>12523</v>
      </c>
      <c r="K745" s="15" t="s">
        <v>97</v>
      </c>
      <c r="L745" s="9" t="str">
        <f>VLOOKUP(K745,[1]中国省份_标准!$B$2:$F$35,4,FALSE)</f>
        <v>中部地区</v>
      </c>
      <c r="M745" s="9" t="str">
        <f>VLOOKUP(K745,[1]中国省份_标准!$B$2:$F$35,5,FALSE)</f>
        <v>华中地区</v>
      </c>
      <c r="N745" s="15" t="s">
        <v>5357</v>
      </c>
      <c r="O745" s="15" t="s">
        <v>12524</v>
      </c>
      <c r="P745" s="15" t="s">
        <v>12525</v>
      </c>
      <c r="Q745" s="15" t="s">
        <v>12526</v>
      </c>
      <c r="R745" s="15" t="s">
        <v>12527</v>
      </c>
      <c r="S745" s="15" t="s">
        <v>39</v>
      </c>
      <c r="T745" s="15" t="s">
        <v>48</v>
      </c>
      <c r="U745" s="15" t="s">
        <v>12519</v>
      </c>
      <c r="V745" s="15" t="s">
        <v>12528</v>
      </c>
      <c r="W745" s="15" t="s">
        <v>12529</v>
      </c>
      <c r="X745" s="15" t="s">
        <v>540</v>
      </c>
      <c r="Y745" s="15" t="s">
        <v>78</v>
      </c>
      <c r="Z745" s="15" t="s">
        <v>12530</v>
      </c>
      <c r="AA745" s="15" t="s">
        <v>169</v>
      </c>
      <c r="AB745" s="15" t="s">
        <v>285</v>
      </c>
      <c r="AC745" s="15" t="s">
        <v>479</v>
      </c>
      <c r="AD745" s="15" t="s">
        <v>480</v>
      </c>
      <c r="AE745" s="15" t="s">
        <v>55</v>
      </c>
      <c r="AF745" s="15" t="s">
        <v>12531</v>
      </c>
      <c r="AG745" s="15" t="s">
        <v>39</v>
      </c>
      <c r="AH745" s="15" t="s">
        <v>39</v>
      </c>
      <c r="AI745" s="15" t="s">
        <v>12532</v>
      </c>
      <c r="AJ745" s="15" t="s">
        <v>12533</v>
      </c>
      <c r="AK745" s="15" t="s">
        <v>12534</v>
      </c>
      <c r="AL745" s="15" t="s">
        <v>88</v>
      </c>
    </row>
    <row r="746" spans="1:38" x14ac:dyDescent="0.4">
      <c r="A746" s="11" t="s">
        <v>12535</v>
      </c>
      <c r="B746" s="12" t="s">
        <v>12536</v>
      </c>
      <c r="C746" s="13" t="s">
        <v>39</v>
      </c>
      <c r="D746" s="13" t="s">
        <v>9102</v>
      </c>
      <c r="E746" s="13" t="s">
        <v>1610</v>
      </c>
      <c r="F746" s="13" t="s">
        <v>1235</v>
      </c>
      <c r="G746" s="13" t="s">
        <v>1235</v>
      </c>
      <c r="H746" s="13" t="s">
        <v>12537</v>
      </c>
      <c r="I746" s="9">
        <f t="shared" ca="1" si="11"/>
        <v>13</v>
      </c>
      <c r="J746" s="13" t="s">
        <v>12538</v>
      </c>
      <c r="K746" s="13" t="s">
        <v>5229</v>
      </c>
      <c r="L746" s="9" t="str">
        <f>VLOOKUP(K746,[1]中国省份_标准!$B$2:$F$35,4,FALSE)</f>
        <v>西部地区</v>
      </c>
      <c r="M746" s="9" t="str">
        <f>VLOOKUP(K746,[1]中国省份_标准!$B$2:$F$35,5,FALSE)</f>
        <v>华南地区</v>
      </c>
      <c r="N746" s="13" t="s">
        <v>12539</v>
      </c>
      <c r="O746" s="13" t="s">
        <v>12540</v>
      </c>
      <c r="P746" s="13" t="s">
        <v>1293</v>
      </c>
      <c r="Q746" s="13" t="s">
        <v>12541</v>
      </c>
      <c r="R746" s="13" t="s">
        <v>1295</v>
      </c>
      <c r="S746" s="13" t="s">
        <v>12542</v>
      </c>
      <c r="T746" s="13" t="s">
        <v>209</v>
      </c>
      <c r="U746" s="13" t="s">
        <v>12536</v>
      </c>
      <c r="V746" s="13" t="s">
        <v>12543</v>
      </c>
      <c r="W746" s="13" t="s">
        <v>12544</v>
      </c>
      <c r="X746" s="13" t="s">
        <v>77</v>
      </c>
      <c r="Y746" s="13" t="s">
        <v>78</v>
      </c>
      <c r="Z746" s="13" t="s">
        <v>12545</v>
      </c>
      <c r="AA746" s="13" t="s">
        <v>1796</v>
      </c>
      <c r="AB746" s="13" t="s">
        <v>2851</v>
      </c>
      <c r="AC746" s="13" t="s">
        <v>2852</v>
      </c>
      <c r="AD746" s="13" t="s">
        <v>2896</v>
      </c>
      <c r="AE746" s="13" t="s">
        <v>55</v>
      </c>
      <c r="AF746" s="13" t="s">
        <v>12546</v>
      </c>
      <c r="AG746" s="13" t="s">
        <v>39</v>
      </c>
      <c r="AH746" s="13" t="s">
        <v>39</v>
      </c>
      <c r="AI746" s="13" t="s">
        <v>12547</v>
      </c>
      <c r="AJ746" s="13" t="s">
        <v>12548</v>
      </c>
      <c r="AK746" s="13" t="s">
        <v>12549</v>
      </c>
      <c r="AL746" s="13" t="s">
        <v>39</v>
      </c>
    </row>
    <row r="747" spans="1:38" x14ac:dyDescent="0.4">
      <c r="A747" s="11" t="s">
        <v>12550</v>
      </c>
      <c r="B747" s="14" t="s">
        <v>12551</v>
      </c>
      <c r="C747" s="15" t="s">
        <v>39</v>
      </c>
      <c r="D747" s="15" t="s">
        <v>63</v>
      </c>
      <c r="E747" s="15" t="s">
        <v>1610</v>
      </c>
      <c r="F747" s="15" t="s">
        <v>12552</v>
      </c>
      <c r="G747" s="15" t="s">
        <v>12552</v>
      </c>
      <c r="H747" s="15" t="s">
        <v>12553</v>
      </c>
      <c r="I747" s="9">
        <f t="shared" ca="1" si="11"/>
        <v>22</v>
      </c>
      <c r="J747" s="15" t="s">
        <v>12554</v>
      </c>
      <c r="K747" s="15" t="s">
        <v>531</v>
      </c>
      <c r="L747" s="9" t="str">
        <f>VLOOKUP(K747,[1]中国省份_标准!$B$2:$F$35,4,FALSE)</f>
        <v>东部地区</v>
      </c>
      <c r="M747" s="9" t="str">
        <f>VLOOKUP(K747,[1]中国省份_标准!$B$2:$F$35,5,FALSE)</f>
        <v>华南地区</v>
      </c>
      <c r="N747" s="15" t="s">
        <v>6207</v>
      </c>
      <c r="O747" s="15" t="s">
        <v>7618</v>
      </c>
      <c r="P747" s="15" t="s">
        <v>1293</v>
      </c>
      <c r="Q747" s="15" t="s">
        <v>12555</v>
      </c>
      <c r="R747" s="15" t="s">
        <v>12556</v>
      </c>
      <c r="S747" s="15" t="s">
        <v>12557</v>
      </c>
      <c r="T747" s="15" t="s">
        <v>2932</v>
      </c>
      <c r="U747" s="15" t="s">
        <v>12551</v>
      </c>
      <c r="V747" s="15" t="s">
        <v>12558</v>
      </c>
      <c r="W747" s="15" t="s">
        <v>12559</v>
      </c>
      <c r="X747" s="15" t="s">
        <v>12560</v>
      </c>
      <c r="Y747" s="15" t="s">
        <v>78</v>
      </c>
      <c r="Z747" s="15" t="s">
        <v>12561</v>
      </c>
      <c r="AA747" s="15" t="s">
        <v>169</v>
      </c>
      <c r="AB747" s="15" t="s">
        <v>412</v>
      </c>
      <c r="AC747" s="15" t="s">
        <v>413</v>
      </c>
      <c r="AD747" s="15" t="s">
        <v>39</v>
      </c>
      <c r="AE747" s="15" t="s">
        <v>262</v>
      </c>
      <c r="AF747" s="15" t="s">
        <v>12562</v>
      </c>
      <c r="AG747" s="15" t="s">
        <v>4979</v>
      </c>
      <c r="AH747" s="15" t="s">
        <v>39</v>
      </c>
      <c r="AI747" s="15" t="s">
        <v>12563</v>
      </c>
      <c r="AJ747" s="15" t="s">
        <v>12564</v>
      </c>
      <c r="AK747" s="15" t="s">
        <v>12174</v>
      </c>
      <c r="AL747" s="15" t="s">
        <v>88</v>
      </c>
    </row>
    <row r="748" spans="1:38" x14ac:dyDescent="0.4">
      <c r="A748" s="11" t="s">
        <v>12565</v>
      </c>
      <c r="B748" s="12" t="s">
        <v>12566</v>
      </c>
      <c r="C748" s="13" t="s">
        <v>39</v>
      </c>
      <c r="D748" s="13" t="s">
        <v>92</v>
      </c>
      <c r="E748" s="13" t="s">
        <v>1610</v>
      </c>
      <c r="F748" s="13" t="s">
        <v>1120</v>
      </c>
      <c r="G748" s="13" t="s">
        <v>1235</v>
      </c>
      <c r="H748" s="13" t="s">
        <v>12567</v>
      </c>
      <c r="I748" s="9">
        <f t="shared" ca="1" si="11"/>
        <v>14</v>
      </c>
      <c r="J748" s="13" t="s">
        <v>12568</v>
      </c>
      <c r="K748" s="13" t="s">
        <v>5229</v>
      </c>
      <c r="L748" s="9" t="str">
        <f>VLOOKUP(K748,[1]中国省份_标准!$B$2:$F$35,4,FALSE)</f>
        <v>西部地区</v>
      </c>
      <c r="M748" s="9" t="str">
        <f>VLOOKUP(K748,[1]中国省份_标准!$B$2:$F$35,5,FALSE)</f>
        <v>华南地区</v>
      </c>
      <c r="N748" s="13" t="s">
        <v>7951</v>
      </c>
      <c r="O748" s="13" t="s">
        <v>12569</v>
      </c>
      <c r="P748" s="13" t="s">
        <v>1293</v>
      </c>
      <c r="Q748" s="13" t="s">
        <v>12570</v>
      </c>
      <c r="R748" s="13" t="s">
        <v>1295</v>
      </c>
      <c r="S748" s="13" t="s">
        <v>12571</v>
      </c>
      <c r="T748" s="13" t="s">
        <v>825</v>
      </c>
      <c r="U748" s="13" t="s">
        <v>12566</v>
      </c>
      <c r="V748" s="13" t="s">
        <v>12572</v>
      </c>
      <c r="W748" s="13" t="s">
        <v>12573</v>
      </c>
      <c r="X748" s="13" t="s">
        <v>8034</v>
      </c>
      <c r="Y748" s="13" t="s">
        <v>78</v>
      </c>
      <c r="Z748" s="13" t="s">
        <v>12574</v>
      </c>
      <c r="AA748" s="13" t="s">
        <v>169</v>
      </c>
      <c r="AB748" s="13" t="s">
        <v>412</v>
      </c>
      <c r="AC748" s="13" t="s">
        <v>413</v>
      </c>
      <c r="AD748" s="13" t="s">
        <v>1687</v>
      </c>
      <c r="AE748" s="13" t="s">
        <v>55</v>
      </c>
      <c r="AF748" s="13" t="s">
        <v>12575</v>
      </c>
      <c r="AG748" s="13" t="s">
        <v>4979</v>
      </c>
      <c r="AH748" s="13" t="s">
        <v>39</v>
      </c>
      <c r="AI748" s="13" t="s">
        <v>12576</v>
      </c>
      <c r="AJ748" s="13" t="s">
        <v>12577</v>
      </c>
      <c r="AK748" s="13" t="s">
        <v>7964</v>
      </c>
      <c r="AL748" s="13" t="s">
        <v>88</v>
      </c>
    </row>
    <row r="749" spans="1:38" x14ac:dyDescent="0.4">
      <c r="A749" s="11" t="s">
        <v>12578</v>
      </c>
      <c r="B749" s="14" t="s">
        <v>12579</v>
      </c>
      <c r="C749" s="15" t="s">
        <v>39</v>
      </c>
      <c r="D749" s="15" t="s">
        <v>92</v>
      </c>
      <c r="E749" s="15" t="s">
        <v>12580</v>
      </c>
      <c r="F749" s="15" t="s">
        <v>271</v>
      </c>
      <c r="G749" s="15" t="s">
        <v>271</v>
      </c>
      <c r="H749" s="15" t="s">
        <v>12581</v>
      </c>
      <c r="I749" s="9">
        <f t="shared" ca="1" si="11"/>
        <v>16</v>
      </c>
      <c r="J749" s="15" t="s">
        <v>12582</v>
      </c>
      <c r="K749" s="15" t="s">
        <v>5229</v>
      </c>
      <c r="L749" s="9" t="str">
        <f>VLOOKUP(K749,[1]中国省份_标准!$B$2:$F$35,4,FALSE)</f>
        <v>西部地区</v>
      </c>
      <c r="M749" s="9" t="str">
        <f>VLOOKUP(K749,[1]中国省份_标准!$B$2:$F$35,5,FALSE)</f>
        <v>华南地区</v>
      </c>
      <c r="N749" s="15" t="s">
        <v>5230</v>
      </c>
      <c r="O749" s="15" t="s">
        <v>12031</v>
      </c>
      <c r="P749" s="15" t="s">
        <v>1293</v>
      </c>
      <c r="Q749" s="15" t="s">
        <v>12583</v>
      </c>
      <c r="R749" s="15" t="s">
        <v>1295</v>
      </c>
      <c r="S749" s="15" t="s">
        <v>12584</v>
      </c>
      <c r="T749" s="15" t="s">
        <v>209</v>
      </c>
      <c r="U749" s="15" t="s">
        <v>12579</v>
      </c>
      <c r="V749" s="15" t="s">
        <v>12585</v>
      </c>
      <c r="W749" s="15" t="s">
        <v>12586</v>
      </c>
      <c r="X749" s="15" t="s">
        <v>410</v>
      </c>
      <c r="Y749" s="15" t="s">
        <v>78</v>
      </c>
      <c r="Z749" s="15" t="s">
        <v>12587</v>
      </c>
      <c r="AA749" s="15" t="s">
        <v>169</v>
      </c>
      <c r="AB749" s="15" t="s">
        <v>412</v>
      </c>
      <c r="AC749" s="15" t="s">
        <v>413</v>
      </c>
      <c r="AD749" s="15" t="s">
        <v>1687</v>
      </c>
      <c r="AE749" s="15" t="s">
        <v>55</v>
      </c>
      <c r="AF749" s="15" t="s">
        <v>12588</v>
      </c>
      <c r="AG749" s="15" t="s">
        <v>39</v>
      </c>
      <c r="AH749" s="15" t="s">
        <v>39</v>
      </c>
      <c r="AI749" s="15" t="s">
        <v>12589</v>
      </c>
      <c r="AJ749" s="15" t="s">
        <v>12590</v>
      </c>
      <c r="AK749" s="15" t="s">
        <v>12591</v>
      </c>
      <c r="AL749" s="15" t="s">
        <v>88</v>
      </c>
    </row>
    <row r="750" spans="1:38" x14ac:dyDescent="0.4">
      <c r="A750" s="11" t="s">
        <v>12592</v>
      </c>
      <c r="B750" s="12" t="s">
        <v>12593</v>
      </c>
      <c r="C750" s="13" t="s">
        <v>39</v>
      </c>
      <c r="D750" s="13" t="s">
        <v>63</v>
      </c>
      <c r="E750" s="13" t="s">
        <v>12594</v>
      </c>
      <c r="F750" s="13" t="s">
        <v>12595</v>
      </c>
      <c r="G750" s="13" t="s">
        <v>39</v>
      </c>
      <c r="H750" s="13" t="s">
        <v>1429</v>
      </c>
      <c r="I750" s="9">
        <f t="shared" ca="1" si="11"/>
        <v>19</v>
      </c>
      <c r="J750" s="13" t="s">
        <v>12596</v>
      </c>
      <c r="K750" s="13" t="s">
        <v>425</v>
      </c>
      <c r="L750" s="9" t="str">
        <f>VLOOKUP(K750,[1]中国省份_标准!$B$2:$F$35,4,FALSE)</f>
        <v>东部地区</v>
      </c>
      <c r="M750" s="9" t="str">
        <f>VLOOKUP(K750,[1]中国省份_标准!$B$2:$F$35,5,FALSE)</f>
        <v>华东地区</v>
      </c>
      <c r="N750" s="13" t="s">
        <v>2304</v>
      </c>
      <c r="O750" s="13" t="s">
        <v>2305</v>
      </c>
      <c r="P750" s="13" t="s">
        <v>12597</v>
      </c>
      <c r="Q750" s="13" t="s">
        <v>12598</v>
      </c>
      <c r="R750" s="13" t="s">
        <v>12599</v>
      </c>
      <c r="S750" s="13" t="s">
        <v>39</v>
      </c>
      <c r="T750" s="13" t="s">
        <v>48</v>
      </c>
      <c r="U750" s="13" t="s">
        <v>12593</v>
      </c>
      <c r="V750" s="13" t="s">
        <v>12600</v>
      </c>
      <c r="W750" s="13" t="s">
        <v>12601</v>
      </c>
      <c r="X750" s="13" t="s">
        <v>4309</v>
      </c>
      <c r="Y750" s="13" t="s">
        <v>78</v>
      </c>
      <c r="Z750" s="13" t="s">
        <v>12602</v>
      </c>
      <c r="AA750" s="13" t="s">
        <v>169</v>
      </c>
      <c r="AB750" s="13" t="s">
        <v>285</v>
      </c>
      <c r="AC750" s="13" t="s">
        <v>39</v>
      </c>
      <c r="AD750" s="13" t="s">
        <v>39</v>
      </c>
      <c r="AE750" s="13" t="s">
        <v>55</v>
      </c>
      <c r="AF750" s="13" t="s">
        <v>12603</v>
      </c>
      <c r="AG750" s="13" t="s">
        <v>39</v>
      </c>
      <c r="AH750" s="13" t="s">
        <v>39</v>
      </c>
      <c r="AI750" s="13" t="s">
        <v>12604</v>
      </c>
      <c r="AJ750" s="13" t="s">
        <v>12605</v>
      </c>
      <c r="AK750" s="13" t="s">
        <v>12606</v>
      </c>
      <c r="AL750" s="13" t="s">
        <v>88</v>
      </c>
    </row>
    <row r="751" spans="1:38" x14ac:dyDescent="0.4">
      <c r="A751" s="11" t="s">
        <v>12607</v>
      </c>
      <c r="B751" s="14" t="s">
        <v>12608</v>
      </c>
      <c r="C751" s="15" t="s">
        <v>39</v>
      </c>
      <c r="D751" s="15" t="s">
        <v>92</v>
      </c>
      <c r="E751" s="15" t="s">
        <v>12609</v>
      </c>
      <c r="F751" s="15" t="s">
        <v>12610</v>
      </c>
      <c r="G751" s="15" t="s">
        <v>12610</v>
      </c>
      <c r="H751" s="15" t="s">
        <v>12611</v>
      </c>
      <c r="I751" s="9">
        <f t="shared" ca="1" si="11"/>
        <v>16</v>
      </c>
      <c r="J751" s="15" t="s">
        <v>12612</v>
      </c>
      <c r="K751" s="15" t="s">
        <v>425</v>
      </c>
      <c r="L751" s="9" t="str">
        <f>VLOOKUP(K751,[1]中国省份_标准!$B$2:$F$35,4,FALSE)</f>
        <v>东部地区</v>
      </c>
      <c r="M751" s="9" t="str">
        <f>VLOOKUP(K751,[1]中国省份_标准!$B$2:$F$35,5,FALSE)</f>
        <v>华东地区</v>
      </c>
      <c r="N751" s="15" t="s">
        <v>3013</v>
      </c>
      <c r="O751" s="15" t="s">
        <v>11877</v>
      </c>
      <c r="P751" s="15" t="s">
        <v>12613</v>
      </c>
      <c r="Q751" s="15" t="s">
        <v>12614</v>
      </c>
      <c r="R751" s="15" t="s">
        <v>12615</v>
      </c>
      <c r="S751" s="15" t="s">
        <v>12616</v>
      </c>
      <c r="T751" s="15" t="s">
        <v>48</v>
      </c>
      <c r="U751" s="15" t="s">
        <v>12608</v>
      </c>
      <c r="V751" s="15" t="s">
        <v>12617</v>
      </c>
      <c r="W751" s="15" t="s">
        <v>12618</v>
      </c>
      <c r="X751" s="15" t="s">
        <v>990</v>
      </c>
      <c r="Y751" s="15" t="s">
        <v>78</v>
      </c>
      <c r="Z751" s="15" t="s">
        <v>12619</v>
      </c>
      <c r="AA751" s="15" t="s">
        <v>80</v>
      </c>
      <c r="AB751" s="15" t="s">
        <v>106</v>
      </c>
      <c r="AC751" s="15" t="s">
        <v>388</v>
      </c>
      <c r="AD751" s="15" t="s">
        <v>389</v>
      </c>
      <c r="AE751" s="15" t="s">
        <v>55</v>
      </c>
      <c r="AF751" s="15" t="s">
        <v>12620</v>
      </c>
      <c r="AG751" s="15" t="s">
        <v>39</v>
      </c>
      <c r="AH751" s="15" t="s">
        <v>39</v>
      </c>
      <c r="AI751" s="15" t="s">
        <v>12621</v>
      </c>
      <c r="AJ751" s="15" t="s">
        <v>12622</v>
      </c>
      <c r="AK751" s="15" t="s">
        <v>11887</v>
      </c>
      <c r="AL751" s="15" t="s">
        <v>88</v>
      </c>
    </row>
    <row r="752" spans="1:38" x14ac:dyDescent="0.4">
      <c r="A752" s="11" t="s">
        <v>12623</v>
      </c>
      <c r="B752" s="12" t="s">
        <v>12624</v>
      </c>
      <c r="C752" s="13" t="s">
        <v>39</v>
      </c>
      <c r="D752" s="13" t="s">
        <v>92</v>
      </c>
      <c r="E752" s="13" t="s">
        <v>12625</v>
      </c>
      <c r="F752" s="13" t="s">
        <v>271</v>
      </c>
      <c r="G752" s="13" t="s">
        <v>39</v>
      </c>
      <c r="H752" s="13" t="s">
        <v>12626</v>
      </c>
      <c r="I752" s="9">
        <f t="shared" ca="1" si="11"/>
        <v>7</v>
      </c>
      <c r="J752" s="13" t="s">
        <v>12627</v>
      </c>
      <c r="K752" s="13" t="s">
        <v>425</v>
      </c>
      <c r="L752" s="9" t="str">
        <f>VLOOKUP(K752,[1]中国省份_标准!$B$2:$F$35,4,FALSE)</f>
        <v>东部地区</v>
      </c>
      <c r="M752" s="9" t="str">
        <f>VLOOKUP(K752,[1]中国省份_标准!$B$2:$F$35,5,FALSE)</f>
        <v>华东地区</v>
      </c>
      <c r="N752" s="13" t="s">
        <v>3013</v>
      </c>
      <c r="O752" s="13" t="s">
        <v>11877</v>
      </c>
      <c r="P752" s="13" t="s">
        <v>12628</v>
      </c>
      <c r="Q752" s="13" t="s">
        <v>12629</v>
      </c>
      <c r="R752" s="13" t="s">
        <v>12630</v>
      </c>
      <c r="S752" s="13" t="s">
        <v>12631</v>
      </c>
      <c r="T752" s="13" t="s">
        <v>281</v>
      </c>
      <c r="U752" s="13" t="s">
        <v>12624</v>
      </c>
      <c r="V752" s="13" t="s">
        <v>39</v>
      </c>
      <c r="W752" s="13" t="s">
        <v>12632</v>
      </c>
      <c r="X752" s="13" t="s">
        <v>557</v>
      </c>
      <c r="Y752" s="13" t="s">
        <v>78</v>
      </c>
      <c r="Z752" s="13" t="s">
        <v>12633</v>
      </c>
      <c r="AA752" s="13" t="s">
        <v>1796</v>
      </c>
      <c r="AB752" s="13" t="s">
        <v>1797</v>
      </c>
      <c r="AC752" s="13" t="s">
        <v>11148</v>
      </c>
      <c r="AD752" s="13" t="s">
        <v>11148</v>
      </c>
      <c r="AE752" s="13" t="s">
        <v>109</v>
      </c>
      <c r="AF752" s="13" t="s">
        <v>12634</v>
      </c>
      <c r="AG752" s="13" t="s">
        <v>39</v>
      </c>
      <c r="AH752" s="13" t="s">
        <v>39</v>
      </c>
      <c r="AI752" s="13" t="s">
        <v>12635</v>
      </c>
      <c r="AJ752" s="13" t="s">
        <v>12636</v>
      </c>
      <c r="AK752" s="13" t="s">
        <v>11887</v>
      </c>
      <c r="AL752" s="13" t="s">
        <v>88</v>
      </c>
    </row>
    <row r="753" spans="1:38" x14ac:dyDescent="0.4">
      <c r="A753" s="11" t="s">
        <v>12637</v>
      </c>
      <c r="B753" s="14" t="s">
        <v>12638</v>
      </c>
      <c r="C753" s="15" t="s">
        <v>39</v>
      </c>
      <c r="D753" s="15" t="s">
        <v>63</v>
      </c>
      <c r="E753" s="15" t="s">
        <v>12639</v>
      </c>
      <c r="F753" s="15" t="s">
        <v>961</v>
      </c>
      <c r="G753" s="15" t="s">
        <v>961</v>
      </c>
      <c r="H753" s="15" t="s">
        <v>12640</v>
      </c>
      <c r="I753" s="9">
        <f t="shared" ca="1" si="11"/>
        <v>22</v>
      </c>
      <c r="J753" s="15" t="s">
        <v>12641</v>
      </c>
      <c r="K753" s="15" t="s">
        <v>425</v>
      </c>
      <c r="L753" s="9" t="str">
        <f>VLOOKUP(K753,[1]中国省份_标准!$B$2:$F$35,4,FALSE)</f>
        <v>东部地区</v>
      </c>
      <c r="M753" s="9" t="str">
        <f>VLOOKUP(K753,[1]中国省份_标准!$B$2:$F$35,5,FALSE)</f>
        <v>华东地区</v>
      </c>
      <c r="N753" s="15" t="s">
        <v>572</v>
      </c>
      <c r="O753" s="15" t="s">
        <v>12642</v>
      </c>
      <c r="P753" s="15" t="s">
        <v>12643</v>
      </c>
      <c r="Q753" s="15" t="s">
        <v>12644</v>
      </c>
      <c r="R753" s="15" t="s">
        <v>12645</v>
      </c>
      <c r="S753" s="15" t="s">
        <v>12646</v>
      </c>
      <c r="T753" s="15" t="s">
        <v>209</v>
      </c>
      <c r="U753" s="15" t="s">
        <v>12638</v>
      </c>
      <c r="V753" s="15" t="s">
        <v>12647</v>
      </c>
      <c r="W753" s="15" t="s">
        <v>12648</v>
      </c>
      <c r="X753" s="15" t="s">
        <v>77</v>
      </c>
      <c r="Y753" s="15" t="s">
        <v>78</v>
      </c>
      <c r="Z753" s="15" t="s">
        <v>12649</v>
      </c>
      <c r="AA753" s="15" t="s">
        <v>169</v>
      </c>
      <c r="AB753" s="15" t="s">
        <v>412</v>
      </c>
      <c r="AC753" s="15" t="s">
        <v>413</v>
      </c>
      <c r="AD753" s="15" t="s">
        <v>39</v>
      </c>
      <c r="AE753" s="15" t="s">
        <v>109</v>
      </c>
      <c r="AF753" s="15" t="s">
        <v>12650</v>
      </c>
      <c r="AG753" s="15" t="s">
        <v>39</v>
      </c>
      <c r="AH753" s="15" t="s">
        <v>39</v>
      </c>
      <c r="AI753" s="15" t="s">
        <v>12651</v>
      </c>
      <c r="AJ753" s="15" t="s">
        <v>12652</v>
      </c>
      <c r="AK753" s="15" t="s">
        <v>12653</v>
      </c>
      <c r="AL753" s="15" t="s">
        <v>88</v>
      </c>
    </row>
    <row r="754" spans="1:38" x14ac:dyDescent="0.4">
      <c r="A754" s="11" t="s">
        <v>12654</v>
      </c>
      <c r="B754" s="12" t="s">
        <v>12655</v>
      </c>
      <c r="C754" s="13" t="s">
        <v>12656</v>
      </c>
      <c r="D754" s="13" t="s">
        <v>92</v>
      </c>
      <c r="E754" s="13" t="s">
        <v>12657</v>
      </c>
      <c r="F754" s="13" t="s">
        <v>42</v>
      </c>
      <c r="G754" s="13" t="s">
        <v>42</v>
      </c>
      <c r="H754" s="13" t="s">
        <v>10177</v>
      </c>
      <c r="I754" s="9">
        <f t="shared" ca="1" si="11"/>
        <v>14</v>
      </c>
      <c r="J754" s="13" t="s">
        <v>12658</v>
      </c>
      <c r="K754" s="13" t="s">
        <v>425</v>
      </c>
      <c r="L754" s="9" t="str">
        <f>VLOOKUP(K754,[1]中国省份_标准!$B$2:$F$35,4,FALSE)</f>
        <v>东部地区</v>
      </c>
      <c r="M754" s="9" t="str">
        <f>VLOOKUP(K754,[1]中国省份_标准!$B$2:$F$35,5,FALSE)</f>
        <v>华东地区</v>
      </c>
      <c r="N754" s="13" t="s">
        <v>572</v>
      </c>
      <c r="O754" s="13" t="s">
        <v>7934</v>
      </c>
      <c r="P754" s="13" t="s">
        <v>12659</v>
      </c>
      <c r="Q754" s="13" t="s">
        <v>12660</v>
      </c>
      <c r="R754" s="13" t="s">
        <v>12661</v>
      </c>
      <c r="S754" s="13" t="s">
        <v>39</v>
      </c>
      <c r="T754" s="13" t="s">
        <v>48</v>
      </c>
      <c r="U754" s="13" t="s">
        <v>12655</v>
      </c>
      <c r="V754" s="13" t="s">
        <v>12662</v>
      </c>
      <c r="W754" s="13" t="s">
        <v>12663</v>
      </c>
      <c r="X754" s="13" t="s">
        <v>690</v>
      </c>
      <c r="Y754" s="13" t="s">
        <v>78</v>
      </c>
      <c r="Z754" s="13" t="s">
        <v>12664</v>
      </c>
      <c r="AA754" s="13" t="s">
        <v>169</v>
      </c>
      <c r="AB754" s="13" t="s">
        <v>170</v>
      </c>
      <c r="AC754" s="13" t="s">
        <v>39</v>
      </c>
      <c r="AD754" s="13" t="s">
        <v>39</v>
      </c>
      <c r="AE754" s="13" t="s">
        <v>109</v>
      </c>
      <c r="AF754" s="13" t="s">
        <v>12665</v>
      </c>
      <c r="AG754" s="13" t="s">
        <v>39</v>
      </c>
      <c r="AH754" s="13" t="s">
        <v>39</v>
      </c>
      <c r="AI754" s="13" t="s">
        <v>12666</v>
      </c>
      <c r="AJ754" s="13" t="s">
        <v>12667</v>
      </c>
      <c r="AK754" s="13" t="s">
        <v>7943</v>
      </c>
      <c r="AL754" s="13" t="s">
        <v>88</v>
      </c>
    </row>
    <row r="755" spans="1:38" x14ac:dyDescent="0.4">
      <c r="A755" s="11" t="s">
        <v>12668</v>
      </c>
      <c r="B755" s="14" t="s">
        <v>12669</v>
      </c>
      <c r="C755" s="15" t="s">
        <v>39</v>
      </c>
      <c r="D755" s="15" t="s">
        <v>63</v>
      </c>
      <c r="E755" s="15" t="s">
        <v>12670</v>
      </c>
      <c r="F755" s="15" t="s">
        <v>12671</v>
      </c>
      <c r="G755" s="15" t="s">
        <v>12671</v>
      </c>
      <c r="H755" s="15" t="s">
        <v>12672</v>
      </c>
      <c r="I755" s="9">
        <f t="shared" ca="1" si="11"/>
        <v>17</v>
      </c>
      <c r="J755" s="15" t="s">
        <v>12673</v>
      </c>
      <c r="K755" s="15" t="s">
        <v>425</v>
      </c>
      <c r="L755" s="9" t="str">
        <f>VLOOKUP(K755,[1]中国省份_标准!$B$2:$F$35,4,FALSE)</f>
        <v>东部地区</v>
      </c>
      <c r="M755" s="9" t="str">
        <f>VLOOKUP(K755,[1]中国省份_标准!$B$2:$F$35,5,FALSE)</f>
        <v>华东地区</v>
      </c>
      <c r="N755" s="15" t="s">
        <v>572</v>
      </c>
      <c r="O755" s="15" t="s">
        <v>7934</v>
      </c>
      <c r="P755" s="15" t="s">
        <v>12674</v>
      </c>
      <c r="Q755" s="15" t="s">
        <v>12675</v>
      </c>
      <c r="R755" s="15" t="s">
        <v>12676</v>
      </c>
      <c r="S755" s="15" t="s">
        <v>12677</v>
      </c>
      <c r="T755" s="15" t="s">
        <v>209</v>
      </c>
      <c r="U755" s="15" t="s">
        <v>12669</v>
      </c>
      <c r="V755" s="15" t="s">
        <v>12678</v>
      </c>
      <c r="W755" s="15" t="s">
        <v>12679</v>
      </c>
      <c r="X755" s="15" t="s">
        <v>1319</v>
      </c>
      <c r="Y755" s="15" t="s">
        <v>78</v>
      </c>
      <c r="Z755" s="15" t="s">
        <v>12680</v>
      </c>
      <c r="AA755" s="15" t="s">
        <v>169</v>
      </c>
      <c r="AB755" s="15" t="s">
        <v>412</v>
      </c>
      <c r="AC755" s="15" t="s">
        <v>413</v>
      </c>
      <c r="AD755" s="15" t="s">
        <v>39</v>
      </c>
      <c r="AE755" s="15" t="s">
        <v>55</v>
      </c>
      <c r="AF755" s="15" t="s">
        <v>12681</v>
      </c>
      <c r="AG755" s="15" t="s">
        <v>39</v>
      </c>
      <c r="AH755" s="15" t="s">
        <v>39</v>
      </c>
      <c r="AI755" s="15" t="s">
        <v>12682</v>
      </c>
      <c r="AJ755" s="15" t="s">
        <v>12683</v>
      </c>
      <c r="AK755" s="15" t="s">
        <v>12684</v>
      </c>
      <c r="AL755" s="15" t="s">
        <v>88</v>
      </c>
    </row>
    <row r="756" spans="1:38" x14ac:dyDescent="0.4">
      <c r="A756" s="11" t="s">
        <v>12685</v>
      </c>
      <c r="B756" s="12" t="s">
        <v>12686</v>
      </c>
      <c r="C756" s="13" t="s">
        <v>39</v>
      </c>
      <c r="D756" s="13" t="s">
        <v>92</v>
      </c>
      <c r="E756" s="13" t="s">
        <v>12687</v>
      </c>
      <c r="F756" s="13" t="s">
        <v>178</v>
      </c>
      <c r="G756" s="13" t="s">
        <v>42</v>
      </c>
      <c r="H756" s="13" t="s">
        <v>12688</v>
      </c>
      <c r="I756" s="9">
        <f t="shared" ca="1" si="11"/>
        <v>10</v>
      </c>
      <c r="J756" s="13" t="s">
        <v>12689</v>
      </c>
      <c r="K756" s="13" t="s">
        <v>425</v>
      </c>
      <c r="L756" s="9" t="str">
        <f>VLOOKUP(K756,[1]中国省份_标准!$B$2:$F$35,4,FALSE)</f>
        <v>东部地区</v>
      </c>
      <c r="M756" s="9" t="str">
        <f>VLOOKUP(K756,[1]中国省份_标准!$B$2:$F$35,5,FALSE)</f>
        <v>华东地区</v>
      </c>
      <c r="N756" s="13" t="s">
        <v>572</v>
      </c>
      <c r="O756" s="13" t="s">
        <v>12690</v>
      </c>
      <c r="P756" s="13" t="s">
        <v>12691</v>
      </c>
      <c r="Q756" s="13" t="s">
        <v>12692</v>
      </c>
      <c r="R756" s="13" t="s">
        <v>12693</v>
      </c>
      <c r="S756" s="13" t="s">
        <v>12694</v>
      </c>
      <c r="T756" s="13" t="s">
        <v>48</v>
      </c>
      <c r="U756" s="13" t="s">
        <v>12686</v>
      </c>
      <c r="V756" s="13" t="s">
        <v>12695</v>
      </c>
      <c r="W756" s="13" t="s">
        <v>12696</v>
      </c>
      <c r="X756" s="13" t="s">
        <v>167</v>
      </c>
      <c r="Y756" s="13" t="s">
        <v>78</v>
      </c>
      <c r="Z756" s="13" t="s">
        <v>12697</v>
      </c>
      <c r="AA756" s="13" t="s">
        <v>169</v>
      </c>
      <c r="AB756" s="13" t="s">
        <v>285</v>
      </c>
      <c r="AC756" s="13" t="s">
        <v>39</v>
      </c>
      <c r="AD756" s="13" t="s">
        <v>39</v>
      </c>
      <c r="AE756" s="13" t="s">
        <v>55</v>
      </c>
      <c r="AF756" s="13" t="s">
        <v>12698</v>
      </c>
      <c r="AG756" s="13" t="s">
        <v>39</v>
      </c>
      <c r="AH756" s="13" t="s">
        <v>39</v>
      </c>
      <c r="AI756" s="13" t="s">
        <v>12699</v>
      </c>
      <c r="AJ756" s="13" t="s">
        <v>12700</v>
      </c>
      <c r="AK756" s="13" t="s">
        <v>12701</v>
      </c>
      <c r="AL756" s="13" t="s">
        <v>88</v>
      </c>
    </row>
    <row r="757" spans="1:38" x14ac:dyDescent="0.4">
      <c r="A757" s="11" t="s">
        <v>12702</v>
      </c>
      <c r="B757" s="14" t="s">
        <v>12703</v>
      </c>
      <c r="C757" s="15" t="s">
        <v>39</v>
      </c>
      <c r="D757" s="15" t="s">
        <v>63</v>
      </c>
      <c r="E757" s="15" t="s">
        <v>12704</v>
      </c>
      <c r="F757" s="15" t="s">
        <v>12705</v>
      </c>
      <c r="G757" s="15" t="s">
        <v>12705</v>
      </c>
      <c r="H757" s="15" t="s">
        <v>12706</v>
      </c>
      <c r="I757" s="9">
        <f t="shared" ca="1" si="11"/>
        <v>14</v>
      </c>
      <c r="J757" s="15" t="s">
        <v>12707</v>
      </c>
      <c r="K757" s="15" t="s">
        <v>425</v>
      </c>
      <c r="L757" s="9" t="str">
        <f>VLOOKUP(K757,[1]中国省份_标准!$B$2:$F$35,4,FALSE)</f>
        <v>东部地区</v>
      </c>
      <c r="M757" s="9" t="str">
        <f>VLOOKUP(K757,[1]中国省份_标准!$B$2:$F$35,5,FALSE)</f>
        <v>华东地区</v>
      </c>
      <c r="N757" s="15" t="s">
        <v>572</v>
      </c>
      <c r="O757" s="15" t="s">
        <v>12690</v>
      </c>
      <c r="P757" s="15" t="s">
        <v>12708</v>
      </c>
      <c r="Q757" s="15" t="s">
        <v>12709</v>
      </c>
      <c r="R757" s="15" t="s">
        <v>12710</v>
      </c>
      <c r="S757" s="15" t="s">
        <v>12711</v>
      </c>
      <c r="T757" s="15" t="s">
        <v>184</v>
      </c>
      <c r="U757" s="15" t="s">
        <v>12703</v>
      </c>
      <c r="V757" s="15" t="s">
        <v>12712</v>
      </c>
      <c r="W757" s="15" t="s">
        <v>12713</v>
      </c>
      <c r="X757" s="15" t="s">
        <v>12714</v>
      </c>
      <c r="Y757" s="15" t="s">
        <v>78</v>
      </c>
      <c r="Z757" s="15" t="s">
        <v>12715</v>
      </c>
      <c r="AA757" s="15" t="s">
        <v>309</v>
      </c>
      <c r="AB757" s="15" t="s">
        <v>310</v>
      </c>
      <c r="AC757" s="15" t="s">
        <v>311</v>
      </c>
      <c r="AD757" s="15" t="s">
        <v>312</v>
      </c>
      <c r="AE757" s="15" t="s">
        <v>262</v>
      </c>
      <c r="AF757" s="15" t="s">
        <v>12716</v>
      </c>
      <c r="AG757" s="15" t="s">
        <v>39</v>
      </c>
      <c r="AH757" s="15" t="s">
        <v>39</v>
      </c>
      <c r="AI757" s="15" t="s">
        <v>12717</v>
      </c>
      <c r="AJ757" s="15" t="s">
        <v>12718</v>
      </c>
      <c r="AK757" s="15" t="s">
        <v>12719</v>
      </c>
      <c r="AL757" s="15" t="s">
        <v>88</v>
      </c>
    </row>
    <row r="758" spans="1:38" x14ac:dyDescent="0.4">
      <c r="A758" s="11" t="s">
        <v>12720</v>
      </c>
      <c r="B758" s="12" t="s">
        <v>12721</v>
      </c>
      <c r="C758" s="13" t="s">
        <v>39</v>
      </c>
      <c r="D758" s="13" t="s">
        <v>63</v>
      </c>
      <c r="E758" s="13" t="s">
        <v>12722</v>
      </c>
      <c r="F758" s="13" t="s">
        <v>12723</v>
      </c>
      <c r="G758" s="13" t="s">
        <v>12723</v>
      </c>
      <c r="H758" s="13" t="s">
        <v>12724</v>
      </c>
      <c r="I758" s="9">
        <f t="shared" ca="1" si="11"/>
        <v>25</v>
      </c>
      <c r="J758" s="13" t="s">
        <v>12725</v>
      </c>
      <c r="K758" s="13" t="s">
        <v>425</v>
      </c>
      <c r="L758" s="9" t="str">
        <f>VLOOKUP(K758,[1]中国省份_标准!$B$2:$F$35,4,FALSE)</f>
        <v>东部地区</v>
      </c>
      <c r="M758" s="9" t="str">
        <f>VLOOKUP(K758,[1]中国省份_标准!$B$2:$F$35,5,FALSE)</f>
        <v>华东地区</v>
      </c>
      <c r="N758" s="13" t="s">
        <v>3049</v>
      </c>
      <c r="O758" s="13" t="s">
        <v>3050</v>
      </c>
      <c r="P758" s="13" t="s">
        <v>12726</v>
      </c>
      <c r="Q758" s="13" t="s">
        <v>39</v>
      </c>
      <c r="R758" s="13" t="s">
        <v>12727</v>
      </c>
      <c r="S758" s="13" t="s">
        <v>12728</v>
      </c>
      <c r="T758" s="13" t="s">
        <v>670</v>
      </c>
      <c r="U758" s="13" t="s">
        <v>12721</v>
      </c>
      <c r="V758" s="13" t="s">
        <v>12729</v>
      </c>
      <c r="W758" s="13" t="s">
        <v>12730</v>
      </c>
      <c r="X758" s="13" t="s">
        <v>557</v>
      </c>
      <c r="Y758" s="13" t="s">
        <v>78</v>
      </c>
      <c r="Z758" s="13" t="s">
        <v>12731</v>
      </c>
      <c r="AA758" s="13" t="s">
        <v>169</v>
      </c>
      <c r="AB758" s="13" t="s">
        <v>1996</v>
      </c>
      <c r="AC758" s="13" t="s">
        <v>39</v>
      </c>
      <c r="AD758" s="13" t="s">
        <v>39</v>
      </c>
      <c r="AE758" s="13" t="s">
        <v>109</v>
      </c>
      <c r="AF758" s="13" t="s">
        <v>12732</v>
      </c>
      <c r="AG758" s="13" t="s">
        <v>39</v>
      </c>
      <c r="AH758" s="13" t="s">
        <v>39</v>
      </c>
      <c r="AI758" s="13" t="s">
        <v>12733</v>
      </c>
      <c r="AJ758" s="13" t="s">
        <v>12734</v>
      </c>
      <c r="AK758" s="13" t="s">
        <v>12735</v>
      </c>
      <c r="AL758" s="13" t="s">
        <v>39</v>
      </c>
    </row>
    <row r="759" spans="1:38" x14ac:dyDescent="0.4">
      <c r="A759" s="11" t="s">
        <v>12736</v>
      </c>
      <c r="B759" s="14" t="s">
        <v>12737</v>
      </c>
      <c r="C759" s="15" t="s">
        <v>39</v>
      </c>
      <c r="D759" s="15" t="s">
        <v>63</v>
      </c>
      <c r="E759" s="15" t="s">
        <v>12738</v>
      </c>
      <c r="F759" s="15" t="s">
        <v>12739</v>
      </c>
      <c r="G759" s="15" t="s">
        <v>12739</v>
      </c>
      <c r="H759" s="15" t="s">
        <v>12740</v>
      </c>
      <c r="I759" s="9">
        <f t="shared" ca="1" si="11"/>
        <v>16</v>
      </c>
      <c r="J759" s="15" t="s">
        <v>12741</v>
      </c>
      <c r="K759" s="15" t="s">
        <v>425</v>
      </c>
      <c r="L759" s="9" t="str">
        <f>VLOOKUP(K759,[1]中国省份_标准!$B$2:$F$35,4,FALSE)</f>
        <v>东部地区</v>
      </c>
      <c r="M759" s="9" t="str">
        <f>VLOOKUP(K759,[1]中国省份_标准!$B$2:$F$35,5,FALSE)</f>
        <v>华东地区</v>
      </c>
      <c r="N759" s="15" t="s">
        <v>3049</v>
      </c>
      <c r="O759" s="15" t="s">
        <v>3050</v>
      </c>
      <c r="P759" s="15" t="s">
        <v>12742</v>
      </c>
      <c r="Q759" s="15" t="s">
        <v>12743</v>
      </c>
      <c r="R759" s="15" t="s">
        <v>12744</v>
      </c>
      <c r="S759" s="15" t="s">
        <v>39</v>
      </c>
      <c r="T759" s="15" t="s">
        <v>48</v>
      </c>
      <c r="U759" s="15" t="s">
        <v>12737</v>
      </c>
      <c r="V759" s="15" t="s">
        <v>12745</v>
      </c>
      <c r="W759" s="15" t="s">
        <v>12746</v>
      </c>
      <c r="X759" s="15" t="s">
        <v>540</v>
      </c>
      <c r="Y759" s="15" t="s">
        <v>78</v>
      </c>
      <c r="Z759" s="15" t="s">
        <v>12747</v>
      </c>
      <c r="AA759" s="15" t="s">
        <v>169</v>
      </c>
      <c r="AB759" s="15" t="s">
        <v>1264</v>
      </c>
      <c r="AC759" s="15" t="s">
        <v>1457</v>
      </c>
      <c r="AD759" s="15" t="s">
        <v>39</v>
      </c>
      <c r="AE759" s="15" t="s">
        <v>109</v>
      </c>
      <c r="AF759" s="15" t="s">
        <v>12748</v>
      </c>
      <c r="AG759" s="15" t="s">
        <v>39</v>
      </c>
      <c r="AH759" s="15" t="s">
        <v>12749</v>
      </c>
      <c r="AI759" s="15" t="s">
        <v>12750</v>
      </c>
      <c r="AJ759" s="15" t="s">
        <v>12751</v>
      </c>
      <c r="AK759" s="15" t="s">
        <v>12735</v>
      </c>
      <c r="AL759" s="15" t="s">
        <v>88</v>
      </c>
    </row>
    <row r="760" spans="1:38" x14ac:dyDescent="0.4">
      <c r="A760" s="11" t="s">
        <v>12752</v>
      </c>
      <c r="B760" s="12" t="s">
        <v>12753</v>
      </c>
      <c r="C760" s="13" t="s">
        <v>39</v>
      </c>
      <c r="D760" s="13" t="s">
        <v>92</v>
      </c>
      <c r="E760" s="13" t="s">
        <v>12754</v>
      </c>
      <c r="F760" s="13" t="s">
        <v>640</v>
      </c>
      <c r="G760" s="13" t="s">
        <v>39</v>
      </c>
      <c r="H760" s="13" t="s">
        <v>12755</v>
      </c>
      <c r="I760" s="9">
        <f t="shared" ca="1" si="11"/>
        <v>5</v>
      </c>
      <c r="J760" s="13" t="s">
        <v>12756</v>
      </c>
      <c r="K760" s="13" t="s">
        <v>425</v>
      </c>
      <c r="L760" s="9" t="str">
        <f>VLOOKUP(K760,[1]中国省份_标准!$B$2:$F$35,4,FALSE)</f>
        <v>东部地区</v>
      </c>
      <c r="M760" s="9" t="str">
        <f>VLOOKUP(K760,[1]中国省份_标准!$B$2:$F$35,5,FALSE)</f>
        <v>华东地区</v>
      </c>
      <c r="N760" s="13" t="s">
        <v>964</v>
      </c>
      <c r="O760" s="13" t="s">
        <v>7486</v>
      </c>
      <c r="P760" s="13" t="s">
        <v>12757</v>
      </c>
      <c r="Q760" s="13" t="s">
        <v>39</v>
      </c>
      <c r="R760" s="13" t="s">
        <v>12758</v>
      </c>
      <c r="S760" s="13" t="s">
        <v>12759</v>
      </c>
      <c r="T760" s="13" t="s">
        <v>281</v>
      </c>
      <c r="U760" s="13" t="s">
        <v>12753</v>
      </c>
      <c r="V760" s="13" t="s">
        <v>12760</v>
      </c>
      <c r="W760" s="13" t="s">
        <v>12761</v>
      </c>
      <c r="X760" s="13" t="s">
        <v>690</v>
      </c>
      <c r="Y760" s="13" t="s">
        <v>78</v>
      </c>
      <c r="Z760" s="13" t="s">
        <v>12762</v>
      </c>
      <c r="AA760" s="13" t="s">
        <v>80</v>
      </c>
      <c r="AB760" s="13" t="s">
        <v>81</v>
      </c>
      <c r="AC760" s="13" t="s">
        <v>2094</v>
      </c>
      <c r="AD760" s="13" t="s">
        <v>12763</v>
      </c>
      <c r="AE760" s="13" t="s">
        <v>55</v>
      </c>
      <c r="AF760" s="13" t="s">
        <v>12764</v>
      </c>
      <c r="AG760" s="13" t="s">
        <v>39</v>
      </c>
      <c r="AH760" s="13" t="s">
        <v>39</v>
      </c>
      <c r="AI760" s="13" t="s">
        <v>12765</v>
      </c>
      <c r="AJ760" s="13" t="s">
        <v>12766</v>
      </c>
      <c r="AK760" s="13" t="s">
        <v>12767</v>
      </c>
      <c r="AL760" s="13" t="s">
        <v>88</v>
      </c>
    </row>
    <row r="761" spans="1:38" x14ac:dyDescent="0.4">
      <c r="A761" s="11" t="s">
        <v>12768</v>
      </c>
      <c r="B761" s="14" t="s">
        <v>12769</v>
      </c>
      <c r="C761" s="15" t="s">
        <v>39</v>
      </c>
      <c r="D761" s="15" t="s">
        <v>92</v>
      </c>
      <c r="E761" s="15" t="s">
        <v>12770</v>
      </c>
      <c r="F761" s="15" t="s">
        <v>2380</v>
      </c>
      <c r="G761" s="15" t="s">
        <v>2380</v>
      </c>
      <c r="H761" s="15" t="s">
        <v>12771</v>
      </c>
      <c r="I761" s="9">
        <f t="shared" ca="1" si="11"/>
        <v>23</v>
      </c>
      <c r="J761" s="15" t="s">
        <v>12772</v>
      </c>
      <c r="K761" s="15" t="s">
        <v>425</v>
      </c>
      <c r="L761" s="9" t="str">
        <f>VLOOKUP(K761,[1]中国省份_标准!$B$2:$F$35,4,FALSE)</f>
        <v>东部地区</v>
      </c>
      <c r="M761" s="9" t="str">
        <f>VLOOKUP(K761,[1]中国省份_标准!$B$2:$F$35,5,FALSE)</f>
        <v>华东地区</v>
      </c>
      <c r="N761" s="15" t="s">
        <v>964</v>
      </c>
      <c r="O761" s="15" t="s">
        <v>965</v>
      </c>
      <c r="P761" s="15" t="s">
        <v>12773</v>
      </c>
      <c r="Q761" s="15" t="s">
        <v>39</v>
      </c>
      <c r="R761" s="15" t="s">
        <v>12774</v>
      </c>
      <c r="S761" s="15" t="s">
        <v>12775</v>
      </c>
      <c r="T761" s="15" t="s">
        <v>48</v>
      </c>
      <c r="U761" s="15" t="s">
        <v>12769</v>
      </c>
      <c r="V761" s="15" t="s">
        <v>12776</v>
      </c>
      <c r="W761" s="15" t="s">
        <v>12777</v>
      </c>
      <c r="X761" s="15" t="s">
        <v>1319</v>
      </c>
      <c r="Y761" s="15" t="s">
        <v>78</v>
      </c>
      <c r="Z761" s="15" t="s">
        <v>12778</v>
      </c>
      <c r="AA761" s="15" t="s">
        <v>169</v>
      </c>
      <c r="AB761" s="15" t="s">
        <v>1996</v>
      </c>
      <c r="AC761" s="15" t="s">
        <v>1997</v>
      </c>
      <c r="AD761" s="15" t="s">
        <v>1997</v>
      </c>
      <c r="AE761" s="15" t="s">
        <v>109</v>
      </c>
      <c r="AF761" s="15" t="s">
        <v>12779</v>
      </c>
      <c r="AG761" s="15" t="s">
        <v>39</v>
      </c>
      <c r="AH761" s="15" t="s">
        <v>39</v>
      </c>
      <c r="AI761" s="15" t="s">
        <v>12780</v>
      </c>
      <c r="AJ761" s="15" t="s">
        <v>12781</v>
      </c>
      <c r="AK761" s="15" t="s">
        <v>976</v>
      </c>
      <c r="AL761" s="15" t="s">
        <v>88</v>
      </c>
    </row>
    <row r="762" spans="1:38" x14ac:dyDescent="0.4">
      <c r="A762" s="11" t="s">
        <v>12782</v>
      </c>
      <c r="B762" s="12" t="s">
        <v>12783</v>
      </c>
      <c r="C762" s="13" t="s">
        <v>39</v>
      </c>
      <c r="D762" s="13" t="s">
        <v>92</v>
      </c>
      <c r="E762" s="13" t="s">
        <v>11580</v>
      </c>
      <c r="F762" s="13" t="s">
        <v>640</v>
      </c>
      <c r="G762" s="13" t="s">
        <v>422</v>
      </c>
      <c r="H762" s="13" t="s">
        <v>12784</v>
      </c>
      <c r="I762" s="9">
        <f t="shared" ca="1" si="11"/>
        <v>16</v>
      </c>
      <c r="J762" s="13" t="s">
        <v>12785</v>
      </c>
      <c r="K762" s="13" t="s">
        <v>425</v>
      </c>
      <c r="L762" s="9" t="str">
        <f>VLOOKUP(K762,[1]中国省份_标准!$B$2:$F$35,4,FALSE)</f>
        <v>东部地区</v>
      </c>
      <c r="M762" s="9" t="str">
        <f>VLOOKUP(K762,[1]中国省份_标准!$B$2:$F$35,5,FALSE)</f>
        <v>华东地区</v>
      </c>
      <c r="N762" s="13" t="s">
        <v>964</v>
      </c>
      <c r="O762" s="13" t="s">
        <v>12786</v>
      </c>
      <c r="P762" s="13" t="s">
        <v>12787</v>
      </c>
      <c r="Q762" s="13" t="s">
        <v>12788</v>
      </c>
      <c r="R762" s="13" t="s">
        <v>12789</v>
      </c>
      <c r="S762" s="13" t="s">
        <v>39</v>
      </c>
      <c r="T762" s="13" t="s">
        <v>48</v>
      </c>
      <c r="U762" s="13" t="s">
        <v>12783</v>
      </c>
      <c r="V762" s="13" t="s">
        <v>12790</v>
      </c>
      <c r="W762" s="13" t="s">
        <v>12791</v>
      </c>
      <c r="X762" s="13" t="s">
        <v>540</v>
      </c>
      <c r="Y762" s="13" t="s">
        <v>78</v>
      </c>
      <c r="Z762" s="13" t="s">
        <v>12792</v>
      </c>
      <c r="AA762" s="13" t="s">
        <v>80</v>
      </c>
      <c r="AB762" s="13" t="s">
        <v>106</v>
      </c>
      <c r="AC762" s="13" t="s">
        <v>107</v>
      </c>
      <c r="AD762" s="13" t="s">
        <v>39</v>
      </c>
      <c r="AE762" s="13" t="s">
        <v>109</v>
      </c>
      <c r="AF762" s="13" t="s">
        <v>12793</v>
      </c>
      <c r="AG762" s="13" t="s">
        <v>12794</v>
      </c>
      <c r="AH762" s="13" t="s">
        <v>39</v>
      </c>
      <c r="AI762" s="13" t="s">
        <v>12795</v>
      </c>
      <c r="AJ762" s="13" t="s">
        <v>12796</v>
      </c>
      <c r="AK762" s="13" t="s">
        <v>12797</v>
      </c>
      <c r="AL762" s="13" t="s">
        <v>88</v>
      </c>
    </row>
    <row r="763" spans="1:38" x14ac:dyDescent="0.4">
      <c r="A763" s="11" t="s">
        <v>12798</v>
      </c>
      <c r="B763" s="14" t="s">
        <v>12799</v>
      </c>
      <c r="C763" s="15" t="s">
        <v>39</v>
      </c>
      <c r="D763" s="15" t="s">
        <v>63</v>
      </c>
      <c r="E763" s="15" t="s">
        <v>12800</v>
      </c>
      <c r="F763" s="15" t="s">
        <v>178</v>
      </c>
      <c r="G763" s="15" t="s">
        <v>1428</v>
      </c>
      <c r="H763" s="15" t="s">
        <v>12801</v>
      </c>
      <c r="I763" s="9">
        <f t="shared" ca="1" si="11"/>
        <v>10</v>
      </c>
      <c r="J763" s="15" t="s">
        <v>12802</v>
      </c>
      <c r="K763" s="15" t="s">
        <v>425</v>
      </c>
      <c r="L763" s="9" t="str">
        <f>VLOOKUP(K763,[1]中国省份_标准!$B$2:$F$35,4,FALSE)</f>
        <v>东部地区</v>
      </c>
      <c r="M763" s="9" t="str">
        <f>VLOOKUP(K763,[1]中国省份_标准!$B$2:$F$35,5,FALSE)</f>
        <v>华东地区</v>
      </c>
      <c r="N763" s="15" t="s">
        <v>964</v>
      </c>
      <c r="O763" s="15" t="s">
        <v>7486</v>
      </c>
      <c r="P763" s="15" t="s">
        <v>12803</v>
      </c>
      <c r="Q763" s="15" t="s">
        <v>12804</v>
      </c>
      <c r="R763" s="15" t="s">
        <v>12805</v>
      </c>
      <c r="S763" s="15" t="s">
        <v>12806</v>
      </c>
      <c r="T763" s="15" t="s">
        <v>48</v>
      </c>
      <c r="U763" s="15" t="s">
        <v>12799</v>
      </c>
      <c r="V763" s="15" t="s">
        <v>12807</v>
      </c>
      <c r="W763" s="15" t="s">
        <v>12808</v>
      </c>
      <c r="X763" s="15" t="s">
        <v>1777</v>
      </c>
      <c r="Y763" s="15" t="s">
        <v>78</v>
      </c>
      <c r="Z763" s="15" t="s">
        <v>12809</v>
      </c>
      <c r="AA763" s="15" t="s">
        <v>52</v>
      </c>
      <c r="AB763" s="15" t="s">
        <v>53</v>
      </c>
      <c r="AC763" s="15" t="s">
        <v>7803</v>
      </c>
      <c r="AD763" s="15" t="s">
        <v>7804</v>
      </c>
      <c r="AE763" s="15" t="s">
        <v>109</v>
      </c>
      <c r="AF763" s="15" t="s">
        <v>12810</v>
      </c>
      <c r="AG763" s="15" t="s">
        <v>39</v>
      </c>
      <c r="AH763" s="15" t="s">
        <v>12811</v>
      </c>
      <c r="AI763" s="15" t="s">
        <v>12812</v>
      </c>
      <c r="AJ763" s="15" t="s">
        <v>12813</v>
      </c>
      <c r="AK763" s="15" t="s">
        <v>7501</v>
      </c>
      <c r="AL763" s="15" t="s">
        <v>88</v>
      </c>
    </row>
    <row r="764" spans="1:38" x14ac:dyDescent="0.4">
      <c r="A764" s="11" t="s">
        <v>12814</v>
      </c>
      <c r="B764" s="12" t="s">
        <v>12815</v>
      </c>
      <c r="C764" s="13" t="s">
        <v>39</v>
      </c>
      <c r="D764" s="13" t="s">
        <v>63</v>
      </c>
      <c r="E764" s="13" t="s">
        <v>12816</v>
      </c>
      <c r="F764" s="13" t="s">
        <v>12817</v>
      </c>
      <c r="G764" s="13" t="s">
        <v>12817</v>
      </c>
      <c r="H764" s="13" t="s">
        <v>12818</v>
      </c>
      <c r="I764" s="9">
        <f t="shared" ca="1" si="11"/>
        <v>31</v>
      </c>
      <c r="J764" s="13" t="s">
        <v>12819</v>
      </c>
      <c r="K764" s="13" t="s">
        <v>425</v>
      </c>
      <c r="L764" s="9" t="str">
        <f>VLOOKUP(K764,[1]中国省份_标准!$B$2:$F$35,4,FALSE)</f>
        <v>东部地区</v>
      </c>
      <c r="M764" s="9" t="str">
        <f>VLOOKUP(K764,[1]中国省份_标准!$B$2:$F$35,5,FALSE)</f>
        <v>华东地区</v>
      </c>
      <c r="N764" s="13" t="s">
        <v>3013</v>
      </c>
      <c r="O764" s="13" t="s">
        <v>3014</v>
      </c>
      <c r="P764" s="13" t="s">
        <v>12820</v>
      </c>
      <c r="Q764" s="13" t="s">
        <v>12821</v>
      </c>
      <c r="R764" s="13" t="s">
        <v>12822</v>
      </c>
      <c r="S764" s="13" t="s">
        <v>12823</v>
      </c>
      <c r="T764" s="13" t="s">
        <v>12824</v>
      </c>
      <c r="U764" s="13" t="s">
        <v>12815</v>
      </c>
      <c r="V764" s="13" t="s">
        <v>12825</v>
      </c>
      <c r="W764" s="13" t="s">
        <v>12826</v>
      </c>
      <c r="X764" s="13" t="s">
        <v>12827</v>
      </c>
      <c r="Y764" s="13" t="s">
        <v>78</v>
      </c>
      <c r="Z764" s="13" t="s">
        <v>12828</v>
      </c>
      <c r="AA764" s="13" t="s">
        <v>169</v>
      </c>
      <c r="AB764" s="13" t="s">
        <v>285</v>
      </c>
      <c r="AC764" s="13" t="s">
        <v>479</v>
      </c>
      <c r="AD764" s="13" t="s">
        <v>1050</v>
      </c>
      <c r="AE764" s="13" t="s">
        <v>239</v>
      </c>
      <c r="AF764" s="13" t="s">
        <v>12829</v>
      </c>
      <c r="AG764" s="13" t="s">
        <v>12830</v>
      </c>
      <c r="AH764" s="13" t="s">
        <v>39</v>
      </c>
      <c r="AI764" s="13" t="s">
        <v>12831</v>
      </c>
      <c r="AJ764" s="13" t="s">
        <v>12832</v>
      </c>
      <c r="AK764" s="13" t="s">
        <v>12833</v>
      </c>
      <c r="AL764" s="13" t="s">
        <v>88</v>
      </c>
    </row>
    <row r="765" spans="1:38" x14ac:dyDescent="0.4">
      <c r="A765" s="11" t="s">
        <v>12834</v>
      </c>
      <c r="B765" s="14" t="s">
        <v>12835</v>
      </c>
      <c r="C765" s="15" t="s">
        <v>39</v>
      </c>
      <c r="D765" s="15" t="s">
        <v>92</v>
      </c>
      <c r="E765" s="15" t="s">
        <v>12836</v>
      </c>
      <c r="F765" s="15" t="s">
        <v>640</v>
      </c>
      <c r="G765" s="15" t="s">
        <v>12837</v>
      </c>
      <c r="H765" s="15" t="s">
        <v>12838</v>
      </c>
      <c r="I765" s="9">
        <f t="shared" ca="1" si="11"/>
        <v>8</v>
      </c>
      <c r="J765" s="15" t="s">
        <v>12839</v>
      </c>
      <c r="K765" s="15" t="s">
        <v>425</v>
      </c>
      <c r="L765" s="9" t="str">
        <f>VLOOKUP(K765,[1]中国省份_标准!$B$2:$F$35,4,FALSE)</f>
        <v>东部地区</v>
      </c>
      <c r="M765" s="9" t="str">
        <f>VLOOKUP(K765,[1]中国省份_标准!$B$2:$F$35,5,FALSE)</f>
        <v>华东地区</v>
      </c>
      <c r="N765" s="15" t="s">
        <v>3013</v>
      </c>
      <c r="O765" s="15" t="s">
        <v>12840</v>
      </c>
      <c r="P765" s="15" t="s">
        <v>12841</v>
      </c>
      <c r="Q765" s="15" t="s">
        <v>12842</v>
      </c>
      <c r="R765" s="15" t="s">
        <v>12843</v>
      </c>
      <c r="S765" s="15" t="s">
        <v>12844</v>
      </c>
      <c r="T765" s="15" t="s">
        <v>48</v>
      </c>
      <c r="U765" s="15" t="s">
        <v>12835</v>
      </c>
      <c r="V765" s="15" t="s">
        <v>12845</v>
      </c>
      <c r="W765" s="15" t="s">
        <v>12846</v>
      </c>
      <c r="X765" s="15" t="s">
        <v>557</v>
      </c>
      <c r="Y765" s="15" t="s">
        <v>78</v>
      </c>
      <c r="Z765" s="15" t="s">
        <v>12847</v>
      </c>
      <c r="AA765" s="15" t="s">
        <v>80</v>
      </c>
      <c r="AB765" s="15" t="s">
        <v>106</v>
      </c>
      <c r="AC765" s="15" t="s">
        <v>388</v>
      </c>
      <c r="AD765" s="15" t="s">
        <v>39</v>
      </c>
      <c r="AE765" s="15" t="s">
        <v>109</v>
      </c>
      <c r="AF765" s="15" t="s">
        <v>12848</v>
      </c>
      <c r="AG765" s="15" t="s">
        <v>39</v>
      </c>
      <c r="AH765" s="15" t="s">
        <v>39</v>
      </c>
      <c r="AI765" s="15" t="s">
        <v>12849</v>
      </c>
      <c r="AJ765" s="15" t="s">
        <v>12850</v>
      </c>
      <c r="AK765" s="15" t="s">
        <v>12851</v>
      </c>
      <c r="AL765" s="15" t="s">
        <v>88</v>
      </c>
    </row>
    <row r="766" spans="1:38" x14ac:dyDescent="0.4">
      <c r="A766" s="11" t="s">
        <v>12852</v>
      </c>
      <c r="B766" s="12" t="s">
        <v>12853</v>
      </c>
      <c r="C766" s="13" t="s">
        <v>39</v>
      </c>
      <c r="D766" s="13" t="s">
        <v>63</v>
      </c>
      <c r="E766" s="13" t="s">
        <v>12854</v>
      </c>
      <c r="F766" s="13" t="s">
        <v>94</v>
      </c>
      <c r="G766" s="13" t="s">
        <v>94</v>
      </c>
      <c r="H766" s="13" t="s">
        <v>12855</v>
      </c>
      <c r="I766" s="9">
        <f t="shared" ca="1" si="11"/>
        <v>9</v>
      </c>
      <c r="J766" s="13" t="s">
        <v>12856</v>
      </c>
      <c r="K766" s="13" t="s">
        <v>425</v>
      </c>
      <c r="L766" s="9" t="str">
        <f>VLOOKUP(K766,[1]中国省份_标准!$B$2:$F$35,4,FALSE)</f>
        <v>东部地区</v>
      </c>
      <c r="M766" s="9" t="str">
        <f>VLOOKUP(K766,[1]中国省份_标准!$B$2:$F$35,5,FALSE)</f>
        <v>华东地区</v>
      </c>
      <c r="N766" s="13" t="s">
        <v>3013</v>
      </c>
      <c r="O766" s="13" t="s">
        <v>12840</v>
      </c>
      <c r="P766" s="13" t="s">
        <v>12857</v>
      </c>
      <c r="Q766" s="13" t="s">
        <v>12858</v>
      </c>
      <c r="R766" s="13" t="s">
        <v>12859</v>
      </c>
      <c r="S766" s="13" t="s">
        <v>39</v>
      </c>
      <c r="T766" s="13" t="s">
        <v>48</v>
      </c>
      <c r="U766" s="13" t="s">
        <v>12853</v>
      </c>
      <c r="V766" s="13" t="s">
        <v>12860</v>
      </c>
      <c r="W766" s="13" t="s">
        <v>12861</v>
      </c>
      <c r="X766" s="13" t="s">
        <v>990</v>
      </c>
      <c r="Y766" s="13" t="s">
        <v>78</v>
      </c>
      <c r="Z766" s="13" t="s">
        <v>12862</v>
      </c>
      <c r="AA766" s="13" t="s">
        <v>80</v>
      </c>
      <c r="AB766" s="13" t="s">
        <v>106</v>
      </c>
      <c r="AC766" s="13" t="s">
        <v>388</v>
      </c>
      <c r="AD766" s="13" t="s">
        <v>434</v>
      </c>
      <c r="AE766" s="13" t="s">
        <v>109</v>
      </c>
      <c r="AF766" s="13" t="s">
        <v>12863</v>
      </c>
      <c r="AG766" s="13" t="s">
        <v>39</v>
      </c>
      <c r="AH766" s="13" t="s">
        <v>39</v>
      </c>
      <c r="AI766" s="13" t="s">
        <v>12864</v>
      </c>
      <c r="AJ766" s="13" t="s">
        <v>12865</v>
      </c>
      <c r="AK766" s="13" t="s">
        <v>12851</v>
      </c>
      <c r="AL766" s="13" t="s">
        <v>88</v>
      </c>
    </row>
    <row r="767" spans="1:38" x14ac:dyDescent="0.4">
      <c r="A767" s="11" t="s">
        <v>12866</v>
      </c>
      <c r="B767" s="14" t="s">
        <v>12867</v>
      </c>
      <c r="C767" s="15" t="s">
        <v>39</v>
      </c>
      <c r="D767" s="15" t="s">
        <v>63</v>
      </c>
      <c r="E767" s="15" t="s">
        <v>12868</v>
      </c>
      <c r="F767" s="15" t="s">
        <v>271</v>
      </c>
      <c r="G767" s="15" t="s">
        <v>39</v>
      </c>
      <c r="H767" s="15" t="s">
        <v>5863</v>
      </c>
      <c r="I767" s="9">
        <f t="shared" ca="1" si="11"/>
        <v>8</v>
      </c>
      <c r="J767" s="15" t="s">
        <v>12869</v>
      </c>
      <c r="K767" s="15" t="s">
        <v>425</v>
      </c>
      <c r="L767" s="9" t="str">
        <f>VLOOKUP(K767,[1]中国省份_标准!$B$2:$F$35,4,FALSE)</f>
        <v>东部地区</v>
      </c>
      <c r="M767" s="9" t="str">
        <f>VLOOKUP(K767,[1]中国省份_标准!$B$2:$F$35,5,FALSE)</f>
        <v>华东地区</v>
      </c>
      <c r="N767" s="15" t="s">
        <v>3013</v>
      </c>
      <c r="O767" s="15" t="s">
        <v>12870</v>
      </c>
      <c r="P767" s="15" t="s">
        <v>12871</v>
      </c>
      <c r="Q767" s="15" t="s">
        <v>39</v>
      </c>
      <c r="R767" s="15" t="s">
        <v>12872</v>
      </c>
      <c r="S767" s="15" t="s">
        <v>39</v>
      </c>
      <c r="T767" s="15" t="s">
        <v>48</v>
      </c>
      <c r="U767" s="15" t="s">
        <v>12867</v>
      </c>
      <c r="V767" s="15" t="s">
        <v>12873</v>
      </c>
      <c r="W767" s="15" t="s">
        <v>12874</v>
      </c>
      <c r="X767" s="15" t="s">
        <v>690</v>
      </c>
      <c r="Y767" s="15" t="s">
        <v>78</v>
      </c>
      <c r="Z767" s="15" t="s">
        <v>5869</v>
      </c>
      <c r="AA767" s="15" t="s">
        <v>80</v>
      </c>
      <c r="AB767" s="15" t="s">
        <v>106</v>
      </c>
      <c r="AC767" s="15" t="s">
        <v>559</v>
      </c>
      <c r="AD767" s="15" t="s">
        <v>39</v>
      </c>
      <c r="AE767" s="15" t="s">
        <v>109</v>
      </c>
      <c r="AF767" s="15" t="s">
        <v>12875</v>
      </c>
      <c r="AG767" s="15" t="s">
        <v>39</v>
      </c>
      <c r="AH767" s="15" t="s">
        <v>39</v>
      </c>
      <c r="AI767" s="15" t="s">
        <v>12876</v>
      </c>
      <c r="AJ767" s="15" t="s">
        <v>12877</v>
      </c>
      <c r="AK767" s="15" t="s">
        <v>12878</v>
      </c>
      <c r="AL767" s="15" t="s">
        <v>88</v>
      </c>
    </row>
    <row r="768" spans="1:38" x14ac:dyDescent="0.4">
      <c r="A768" s="11" t="s">
        <v>12879</v>
      </c>
      <c r="B768" s="12" t="s">
        <v>12880</v>
      </c>
      <c r="C768" s="13" t="s">
        <v>39</v>
      </c>
      <c r="D768" s="13" t="s">
        <v>92</v>
      </c>
      <c r="E768" s="13" t="s">
        <v>12881</v>
      </c>
      <c r="F768" s="13" t="s">
        <v>4045</v>
      </c>
      <c r="G768" s="13" t="s">
        <v>12351</v>
      </c>
      <c r="H768" s="13" t="s">
        <v>12882</v>
      </c>
      <c r="I768" s="9">
        <f t="shared" ca="1" si="11"/>
        <v>13</v>
      </c>
      <c r="J768" s="13" t="s">
        <v>12883</v>
      </c>
      <c r="K768" s="13" t="s">
        <v>425</v>
      </c>
      <c r="L768" s="9" t="str">
        <f>VLOOKUP(K768,[1]中国省份_标准!$B$2:$F$35,4,FALSE)</f>
        <v>东部地区</v>
      </c>
      <c r="M768" s="9" t="str">
        <f>VLOOKUP(K768,[1]中国省份_标准!$B$2:$F$35,5,FALSE)</f>
        <v>华东地区</v>
      </c>
      <c r="N768" s="13" t="s">
        <v>3013</v>
      </c>
      <c r="O768" s="13" t="s">
        <v>3014</v>
      </c>
      <c r="P768" s="13" t="s">
        <v>12884</v>
      </c>
      <c r="Q768" s="13" t="s">
        <v>12885</v>
      </c>
      <c r="R768" s="13" t="s">
        <v>12886</v>
      </c>
      <c r="S768" s="13" t="s">
        <v>12887</v>
      </c>
      <c r="T768" s="13" t="s">
        <v>48</v>
      </c>
      <c r="U768" s="13" t="s">
        <v>12880</v>
      </c>
      <c r="V768" s="13" t="s">
        <v>12888</v>
      </c>
      <c r="W768" s="13" t="s">
        <v>12889</v>
      </c>
      <c r="X768" s="13" t="s">
        <v>1130</v>
      </c>
      <c r="Y768" s="13" t="s">
        <v>78</v>
      </c>
      <c r="Z768" s="13" t="s">
        <v>12890</v>
      </c>
      <c r="AA768" s="13" t="s">
        <v>80</v>
      </c>
      <c r="AB768" s="13" t="s">
        <v>106</v>
      </c>
      <c r="AC768" s="13" t="s">
        <v>388</v>
      </c>
      <c r="AD768" s="13" t="s">
        <v>434</v>
      </c>
      <c r="AE768" s="13" t="s">
        <v>55</v>
      </c>
      <c r="AF768" s="13" t="s">
        <v>12891</v>
      </c>
      <c r="AG768" s="13" t="s">
        <v>39</v>
      </c>
      <c r="AH768" s="13" t="s">
        <v>39</v>
      </c>
      <c r="AI768" s="13" t="s">
        <v>12892</v>
      </c>
      <c r="AJ768" s="13" t="s">
        <v>12893</v>
      </c>
      <c r="AK768" s="13" t="s">
        <v>3023</v>
      </c>
      <c r="AL768" s="13" t="s">
        <v>88</v>
      </c>
    </row>
    <row r="769" spans="1:38" x14ac:dyDescent="0.4">
      <c r="A769" s="11" t="s">
        <v>12894</v>
      </c>
      <c r="B769" s="14" t="s">
        <v>12895</v>
      </c>
      <c r="C769" s="15" t="s">
        <v>39</v>
      </c>
      <c r="D769" s="15" t="s">
        <v>92</v>
      </c>
      <c r="E769" s="15" t="s">
        <v>12896</v>
      </c>
      <c r="F769" s="15" t="s">
        <v>2419</v>
      </c>
      <c r="G769" s="15" t="s">
        <v>2419</v>
      </c>
      <c r="H769" s="15" t="s">
        <v>12897</v>
      </c>
      <c r="I769" s="9">
        <f t="shared" ca="1" si="11"/>
        <v>11</v>
      </c>
      <c r="J769" s="15" t="s">
        <v>12898</v>
      </c>
      <c r="K769" s="15" t="s">
        <v>425</v>
      </c>
      <c r="L769" s="9" t="str">
        <f>VLOOKUP(K769,[1]中国省份_标准!$B$2:$F$35,4,FALSE)</f>
        <v>东部地区</v>
      </c>
      <c r="M769" s="9" t="str">
        <f>VLOOKUP(K769,[1]中国省份_标准!$B$2:$F$35,5,FALSE)</f>
        <v>华东地区</v>
      </c>
      <c r="N769" s="15" t="s">
        <v>3013</v>
      </c>
      <c r="O769" s="15" t="s">
        <v>3014</v>
      </c>
      <c r="P769" s="15" t="s">
        <v>12899</v>
      </c>
      <c r="Q769" s="15" t="s">
        <v>39</v>
      </c>
      <c r="R769" s="15" t="s">
        <v>12900</v>
      </c>
      <c r="S769" s="15" t="s">
        <v>39</v>
      </c>
      <c r="T769" s="15" t="s">
        <v>48</v>
      </c>
      <c r="U769" s="15" t="s">
        <v>12895</v>
      </c>
      <c r="V769" s="15" t="s">
        <v>12901</v>
      </c>
      <c r="W769" s="15" t="s">
        <v>12902</v>
      </c>
      <c r="X769" s="15" t="s">
        <v>6451</v>
      </c>
      <c r="Y769" s="15" t="s">
        <v>78</v>
      </c>
      <c r="Z769" s="15" t="s">
        <v>12903</v>
      </c>
      <c r="AA769" s="15" t="s">
        <v>169</v>
      </c>
      <c r="AB769" s="15" t="s">
        <v>285</v>
      </c>
      <c r="AC769" s="15" t="s">
        <v>712</v>
      </c>
      <c r="AD769" s="15" t="s">
        <v>39</v>
      </c>
      <c r="AE769" s="15" t="s">
        <v>55</v>
      </c>
      <c r="AF769" s="15" t="s">
        <v>12904</v>
      </c>
      <c r="AG769" s="15" t="s">
        <v>39</v>
      </c>
      <c r="AH769" s="15" t="s">
        <v>39</v>
      </c>
      <c r="AI769" s="15" t="s">
        <v>12905</v>
      </c>
      <c r="AJ769" s="15" t="s">
        <v>12906</v>
      </c>
      <c r="AK769" s="15" t="s">
        <v>3023</v>
      </c>
      <c r="AL769" s="15" t="s">
        <v>88</v>
      </c>
    </row>
    <row r="770" spans="1:38" x14ac:dyDescent="0.4">
      <c r="A770" s="11" t="s">
        <v>12907</v>
      </c>
      <c r="B770" s="12" t="s">
        <v>12908</v>
      </c>
      <c r="C770" s="13" t="s">
        <v>39</v>
      </c>
      <c r="D770" s="13" t="s">
        <v>92</v>
      </c>
      <c r="E770" s="13" t="s">
        <v>12909</v>
      </c>
      <c r="F770" s="13" t="s">
        <v>640</v>
      </c>
      <c r="G770" s="13" t="s">
        <v>154</v>
      </c>
      <c r="H770" s="13" t="s">
        <v>12910</v>
      </c>
      <c r="I770" s="9">
        <f t="shared" ca="1" si="11"/>
        <v>14</v>
      </c>
      <c r="J770" s="13" t="s">
        <v>12911</v>
      </c>
      <c r="K770" s="13" t="s">
        <v>425</v>
      </c>
      <c r="L770" s="9" t="str">
        <f>VLOOKUP(K770,[1]中国省份_标准!$B$2:$F$35,4,FALSE)</f>
        <v>东部地区</v>
      </c>
      <c r="M770" s="9" t="str">
        <f>VLOOKUP(K770,[1]中国省份_标准!$B$2:$F$35,5,FALSE)</f>
        <v>华东地区</v>
      </c>
      <c r="N770" s="13" t="s">
        <v>3013</v>
      </c>
      <c r="O770" s="13" t="s">
        <v>3014</v>
      </c>
      <c r="P770" s="13" t="s">
        <v>12912</v>
      </c>
      <c r="Q770" s="13" t="s">
        <v>39</v>
      </c>
      <c r="R770" s="13" t="s">
        <v>39</v>
      </c>
      <c r="S770" s="13" t="s">
        <v>39</v>
      </c>
      <c r="T770" s="13" t="s">
        <v>48</v>
      </c>
      <c r="U770" s="13" t="s">
        <v>12908</v>
      </c>
      <c r="V770" s="13" t="s">
        <v>12913</v>
      </c>
      <c r="W770" s="13" t="s">
        <v>12914</v>
      </c>
      <c r="X770" s="13" t="s">
        <v>557</v>
      </c>
      <c r="Y770" s="13" t="s">
        <v>78</v>
      </c>
      <c r="Z770" s="13" t="s">
        <v>12915</v>
      </c>
      <c r="AA770" s="13" t="s">
        <v>169</v>
      </c>
      <c r="AB770" s="13" t="s">
        <v>285</v>
      </c>
      <c r="AC770" s="13" t="s">
        <v>712</v>
      </c>
      <c r="AD770" s="13" t="s">
        <v>39</v>
      </c>
      <c r="AE770" s="13" t="s">
        <v>55</v>
      </c>
      <c r="AF770" s="13" t="s">
        <v>12916</v>
      </c>
      <c r="AG770" s="13" t="s">
        <v>39</v>
      </c>
      <c r="AH770" s="13" t="s">
        <v>12917</v>
      </c>
      <c r="AI770" s="13" t="s">
        <v>12918</v>
      </c>
      <c r="AJ770" s="13" t="s">
        <v>12919</v>
      </c>
      <c r="AK770" s="13" t="s">
        <v>3023</v>
      </c>
      <c r="AL770" s="13" t="s">
        <v>88</v>
      </c>
    </row>
    <row r="771" spans="1:38" x14ac:dyDescent="0.4">
      <c r="A771" s="11" t="s">
        <v>12920</v>
      </c>
      <c r="B771" s="14" t="s">
        <v>12921</v>
      </c>
      <c r="C771" s="15" t="s">
        <v>39</v>
      </c>
      <c r="D771" s="15" t="s">
        <v>92</v>
      </c>
      <c r="E771" s="15" t="s">
        <v>12922</v>
      </c>
      <c r="F771" s="15" t="s">
        <v>422</v>
      </c>
      <c r="G771" s="15" t="s">
        <v>422</v>
      </c>
      <c r="H771" s="15" t="s">
        <v>12923</v>
      </c>
      <c r="I771" s="9">
        <f t="shared" ref="I771:I834" ca="1" si="12">DATEDIF(H771, TODAY(), "Y")</f>
        <v>25</v>
      </c>
      <c r="J771" s="15" t="s">
        <v>11344</v>
      </c>
      <c r="K771" s="15" t="s">
        <v>425</v>
      </c>
      <c r="L771" s="9" t="str">
        <f>VLOOKUP(K771,[1]中国省份_标准!$B$2:$F$35,4,FALSE)</f>
        <v>东部地区</v>
      </c>
      <c r="M771" s="9" t="str">
        <f>VLOOKUP(K771,[1]中国省份_标准!$B$2:$F$35,5,FALSE)</f>
        <v>华东地区</v>
      </c>
      <c r="N771" s="15" t="s">
        <v>3013</v>
      </c>
      <c r="O771" s="15" t="s">
        <v>3014</v>
      </c>
      <c r="P771" s="15" t="s">
        <v>12924</v>
      </c>
      <c r="Q771" s="15" t="s">
        <v>39</v>
      </c>
      <c r="R771" s="15" t="s">
        <v>39</v>
      </c>
      <c r="S771" s="15" t="s">
        <v>39</v>
      </c>
      <c r="T771" s="15" t="s">
        <v>48</v>
      </c>
      <c r="U771" s="15" t="s">
        <v>12921</v>
      </c>
      <c r="V771" s="15" t="s">
        <v>12925</v>
      </c>
      <c r="W771" s="15" t="s">
        <v>12926</v>
      </c>
      <c r="X771" s="15" t="s">
        <v>990</v>
      </c>
      <c r="Y771" s="15" t="s">
        <v>78</v>
      </c>
      <c r="Z771" s="15" t="s">
        <v>12927</v>
      </c>
      <c r="AA771" s="15" t="s">
        <v>169</v>
      </c>
      <c r="AB771" s="15" t="s">
        <v>285</v>
      </c>
      <c r="AC771" s="15" t="s">
        <v>712</v>
      </c>
      <c r="AD771" s="15" t="s">
        <v>39</v>
      </c>
      <c r="AE771" s="15" t="s">
        <v>55</v>
      </c>
      <c r="AF771" s="15" t="s">
        <v>12928</v>
      </c>
      <c r="AG771" s="15" t="s">
        <v>39</v>
      </c>
      <c r="AH771" s="15" t="s">
        <v>39</v>
      </c>
      <c r="AI771" s="15" t="s">
        <v>12929</v>
      </c>
      <c r="AJ771" s="15" t="s">
        <v>12930</v>
      </c>
      <c r="AK771" s="15" t="s">
        <v>3023</v>
      </c>
      <c r="AL771" s="15" t="s">
        <v>88</v>
      </c>
    </row>
    <row r="772" spans="1:38" x14ac:dyDescent="0.4">
      <c r="A772" s="11" t="s">
        <v>12931</v>
      </c>
      <c r="B772" s="12" t="s">
        <v>12932</v>
      </c>
      <c r="C772" s="13" t="s">
        <v>12933</v>
      </c>
      <c r="D772" s="13" t="s">
        <v>63</v>
      </c>
      <c r="E772" s="13" t="s">
        <v>12934</v>
      </c>
      <c r="F772" s="13" t="s">
        <v>9002</v>
      </c>
      <c r="G772" s="13" t="s">
        <v>9002</v>
      </c>
      <c r="H772" s="13" t="s">
        <v>12935</v>
      </c>
      <c r="I772" s="9">
        <f t="shared" ca="1" si="12"/>
        <v>9</v>
      </c>
      <c r="J772" s="13" t="s">
        <v>12936</v>
      </c>
      <c r="K772" s="13" t="s">
        <v>425</v>
      </c>
      <c r="L772" s="9" t="str">
        <f>VLOOKUP(K772,[1]中国省份_标准!$B$2:$F$35,4,FALSE)</f>
        <v>东部地区</v>
      </c>
      <c r="M772" s="9" t="str">
        <f>VLOOKUP(K772,[1]中国省份_标准!$B$2:$F$35,5,FALSE)</f>
        <v>华东地区</v>
      </c>
      <c r="N772" s="13" t="s">
        <v>964</v>
      </c>
      <c r="O772" s="13" t="s">
        <v>3947</v>
      </c>
      <c r="P772" s="13" t="s">
        <v>12937</v>
      </c>
      <c r="Q772" s="13" t="s">
        <v>12938</v>
      </c>
      <c r="R772" s="13" t="s">
        <v>12939</v>
      </c>
      <c r="S772" s="13" t="s">
        <v>12940</v>
      </c>
      <c r="T772" s="13" t="s">
        <v>670</v>
      </c>
      <c r="U772" s="13" t="s">
        <v>12932</v>
      </c>
      <c r="V772" s="13" t="s">
        <v>12941</v>
      </c>
      <c r="W772" s="13" t="s">
        <v>12942</v>
      </c>
      <c r="X772" s="13" t="s">
        <v>12943</v>
      </c>
      <c r="Y772" s="13" t="s">
        <v>78</v>
      </c>
      <c r="Z772" s="13" t="s">
        <v>12944</v>
      </c>
      <c r="AA772" s="13" t="s">
        <v>850</v>
      </c>
      <c r="AB772" s="13" t="s">
        <v>11570</v>
      </c>
      <c r="AC772" s="13" t="s">
        <v>39</v>
      </c>
      <c r="AD772" s="13" t="s">
        <v>39</v>
      </c>
      <c r="AE772" s="13" t="s">
        <v>55</v>
      </c>
      <c r="AF772" s="13" t="s">
        <v>12945</v>
      </c>
      <c r="AG772" s="13" t="s">
        <v>12946</v>
      </c>
      <c r="AH772" s="13" t="s">
        <v>39</v>
      </c>
      <c r="AI772" s="13" t="s">
        <v>12947</v>
      </c>
      <c r="AJ772" s="13" t="s">
        <v>12948</v>
      </c>
      <c r="AK772" s="13" t="s">
        <v>9887</v>
      </c>
      <c r="AL772" s="13" t="s">
        <v>88</v>
      </c>
    </row>
    <row r="773" spans="1:38" x14ac:dyDescent="0.4">
      <c r="A773" s="11" t="s">
        <v>12949</v>
      </c>
      <c r="B773" s="14" t="s">
        <v>12950</v>
      </c>
      <c r="C773" s="15" t="s">
        <v>39</v>
      </c>
      <c r="D773" s="15" t="s">
        <v>92</v>
      </c>
      <c r="E773" s="15" t="s">
        <v>12951</v>
      </c>
      <c r="F773" s="15" t="s">
        <v>422</v>
      </c>
      <c r="G773" s="15" t="s">
        <v>422</v>
      </c>
      <c r="H773" s="15" t="s">
        <v>12952</v>
      </c>
      <c r="I773" s="9">
        <f t="shared" ca="1" si="12"/>
        <v>23</v>
      </c>
      <c r="J773" s="15" t="s">
        <v>12953</v>
      </c>
      <c r="K773" s="15" t="s">
        <v>425</v>
      </c>
      <c r="L773" s="9" t="str">
        <f>VLOOKUP(K773,[1]中国省份_标准!$B$2:$F$35,4,FALSE)</f>
        <v>东部地区</v>
      </c>
      <c r="M773" s="9" t="str">
        <f>VLOOKUP(K773,[1]中国省份_标准!$B$2:$F$35,5,FALSE)</f>
        <v>华东地区</v>
      </c>
      <c r="N773" s="15" t="s">
        <v>3013</v>
      </c>
      <c r="O773" s="15" t="s">
        <v>3014</v>
      </c>
      <c r="P773" s="15" t="s">
        <v>12954</v>
      </c>
      <c r="Q773" s="15" t="s">
        <v>12955</v>
      </c>
      <c r="R773" s="15" t="s">
        <v>39</v>
      </c>
      <c r="S773" s="15" t="s">
        <v>39</v>
      </c>
      <c r="T773" s="15" t="s">
        <v>48</v>
      </c>
      <c r="U773" s="15" t="s">
        <v>12950</v>
      </c>
      <c r="V773" s="15" t="s">
        <v>12956</v>
      </c>
      <c r="W773" s="15" t="s">
        <v>12957</v>
      </c>
      <c r="X773" s="15" t="s">
        <v>673</v>
      </c>
      <c r="Y773" s="15" t="s">
        <v>78</v>
      </c>
      <c r="Z773" s="15" t="s">
        <v>12958</v>
      </c>
      <c r="AA773" s="15" t="s">
        <v>80</v>
      </c>
      <c r="AB773" s="15" t="s">
        <v>106</v>
      </c>
      <c r="AC773" s="15" t="s">
        <v>388</v>
      </c>
      <c r="AD773" s="15" t="s">
        <v>39</v>
      </c>
      <c r="AE773" s="15" t="s">
        <v>55</v>
      </c>
      <c r="AF773" s="15" t="s">
        <v>12959</v>
      </c>
      <c r="AG773" s="15" t="s">
        <v>39</v>
      </c>
      <c r="AH773" s="15" t="s">
        <v>39</v>
      </c>
      <c r="AI773" s="15" t="s">
        <v>12960</v>
      </c>
      <c r="AJ773" s="15" t="s">
        <v>12961</v>
      </c>
      <c r="AK773" s="15" t="s">
        <v>3023</v>
      </c>
      <c r="AL773" s="15" t="s">
        <v>88</v>
      </c>
    </row>
    <row r="774" spans="1:38" x14ac:dyDescent="0.4">
      <c r="A774" s="11" t="s">
        <v>12962</v>
      </c>
      <c r="B774" s="12" t="s">
        <v>12963</v>
      </c>
      <c r="C774" s="13" t="s">
        <v>39</v>
      </c>
      <c r="D774" s="13" t="s">
        <v>92</v>
      </c>
      <c r="E774" s="13" t="s">
        <v>12964</v>
      </c>
      <c r="F774" s="13" t="s">
        <v>12965</v>
      </c>
      <c r="G774" s="13" t="s">
        <v>12965</v>
      </c>
      <c r="H774" s="13" t="s">
        <v>12966</v>
      </c>
      <c r="I774" s="9">
        <f t="shared" ca="1" si="12"/>
        <v>22</v>
      </c>
      <c r="J774" s="13" t="s">
        <v>12967</v>
      </c>
      <c r="K774" s="13" t="s">
        <v>425</v>
      </c>
      <c r="L774" s="9" t="str">
        <f>VLOOKUP(K774,[1]中国省份_标准!$B$2:$F$35,4,FALSE)</f>
        <v>东部地区</v>
      </c>
      <c r="M774" s="9" t="str">
        <f>VLOOKUP(K774,[1]中国省份_标准!$B$2:$F$35,5,FALSE)</f>
        <v>华东地区</v>
      </c>
      <c r="N774" s="13" t="s">
        <v>3013</v>
      </c>
      <c r="O774" s="13" t="s">
        <v>3014</v>
      </c>
      <c r="P774" s="13" t="s">
        <v>12968</v>
      </c>
      <c r="Q774" s="13" t="s">
        <v>12969</v>
      </c>
      <c r="R774" s="13" t="s">
        <v>12970</v>
      </c>
      <c r="S774" s="13" t="s">
        <v>39</v>
      </c>
      <c r="T774" s="13" t="s">
        <v>48</v>
      </c>
      <c r="U774" s="13" t="s">
        <v>12963</v>
      </c>
      <c r="V774" s="13" t="s">
        <v>12971</v>
      </c>
      <c r="W774" s="13" t="s">
        <v>12972</v>
      </c>
      <c r="X774" s="13" t="s">
        <v>1777</v>
      </c>
      <c r="Y774" s="13" t="s">
        <v>78</v>
      </c>
      <c r="Z774" s="13" t="s">
        <v>12973</v>
      </c>
      <c r="AA774" s="13" t="s">
        <v>169</v>
      </c>
      <c r="AB774" s="13" t="s">
        <v>285</v>
      </c>
      <c r="AC774" s="13" t="s">
        <v>39</v>
      </c>
      <c r="AD774" s="13" t="s">
        <v>39</v>
      </c>
      <c r="AE774" s="13" t="s">
        <v>109</v>
      </c>
      <c r="AF774" s="13" t="s">
        <v>12974</v>
      </c>
      <c r="AG774" s="13" t="s">
        <v>39</v>
      </c>
      <c r="AH774" s="13" t="s">
        <v>39</v>
      </c>
      <c r="AI774" s="13" t="s">
        <v>12975</v>
      </c>
      <c r="AJ774" s="13" t="s">
        <v>12976</v>
      </c>
      <c r="AK774" s="13" t="s">
        <v>3023</v>
      </c>
      <c r="AL774" s="13" t="s">
        <v>88</v>
      </c>
    </row>
    <row r="775" spans="1:38" x14ac:dyDescent="0.4">
      <c r="A775" s="11" t="s">
        <v>12977</v>
      </c>
      <c r="B775" s="14" t="s">
        <v>12978</v>
      </c>
      <c r="C775" s="15" t="s">
        <v>39</v>
      </c>
      <c r="D775" s="15" t="s">
        <v>92</v>
      </c>
      <c r="E775" s="15" t="s">
        <v>12979</v>
      </c>
      <c r="F775" s="15" t="s">
        <v>154</v>
      </c>
      <c r="G775" s="15" t="s">
        <v>11090</v>
      </c>
      <c r="H775" s="15" t="s">
        <v>12980</v>
      </c>
      <c r="I775" s="9">
        <f t="shared" ca="1" si="12"/>
        <v>9</v>
      </c>
      <c r="J775" s="15" t="s">
        <v>12981</v>
      </c>
      <c r="K775" s="15" t="s">
        <v>425</v>
      </c>
      <c r="L775" s="9" t="str">
        <f>VLOOKUP(K775,[1]中国省份_标准!$B$2:$F$35,4,FALSE)</f>
        <v>东部地区</v>
      </c>
      <c r="M775" s="9" t="str">
        <f>VLOOKUP(K775,[1]中国省份_标准!$B$2:$F$35,5,FALSE)</f>
        <v>华东地区</v>
      </c>
      <c r="N775" s="15" t="s">
        <v>3013</v>
      </c>
      <c r="O775" s="15" t="s">
        <v>3014</v>
      </c>
      <c r="P775" s="15" t="s">
        <v>12982</v>
      </c>
      <c r="Q775" s="15" t="s">
        <v>39</v>
      </c>
      <c r="R775" s="15" t="s">
        <v>39</v>
      </c>
      <c r="S775" s="15" t="s">
        <v>39</v>
      </c>
      <c r="T775" s="15" t="s">
        <v>48</v>
      </c>
      <c r="U775" s="15" t="s">
        <v>12978</v>
      </c>
      <c r="V775" s="15" t="s">
        <v>12983</v>
      </c>
      <c r="W775" s="15" t="s">
        <v>12984</v>
      </c>
      <c r="X775" s="15" t="s">
        <v>690</v>
      </c>
      <c r="Y775" s="15" t="s">
        <v>78</v>
      </c>
      <c r="Z775" s="15" t="s">
        <v>12985</v>
      </c>
      <c r="AA775" s="15" t="s">
        <v>80</v>
      </c>
      <c r="AB775" s="15" t="s">
        <v>106</v>
      </c>
      <c r="AC775" s="15" t="s">
        <v>388</v>
      </c>
      <c r="AD775" s="15" t="s">
        <v>434</v>
      </c>
      <c r="AE775" s="15" t="s">
        <v>109</v>
      </c>
      <c r="AF775" s="15" t="s">
        <v>12986</v>
      </c>
      <c r="AG775" s="15" t="s">
        <v>39</v>
      </c>
      <c r="AH775" s="15" t="s">
        <v>39</v>
      </c>
      <c r="AI775" s="15" t="s">
        <v>12987</v>
      </c>
      <c r="AJ775" s="15" t="s">
        <v>12988</v>
      </c>
      <c r="AK775" s="15" t="s">
        <v>3023</v>
      </c>
      <c r="AL775" s="15" t="s">
        <v>88</v>
      </c>
    </row>
    <row r="776" spans="1:38" x14ac:dyDescent="0.4">
      <c r="A776" s="11" t="s">
        <v>12989</v>
      </c>
      <c r="B776" s="12" t="s">
        <v>12990</v>
      </c>
      <c r="C776" s="13" t="s">
        <v>39</v>
      </c>
      <c r="D776" s="13" t="s">
        <v>63</v>
      </c>
      <c r="E776" s="13" t="s">
        <v>12991</v>
      </c>
      <c r="F776" s="13" t="s">
        <v>1428</v>
      </c>
      <c r="G776" s="13" t="s">
        <v>1428</v>
      </c>
      <c r="H776" s="13" t="s">
        <v>12992</v>
      </c>
      <c r="I776" s="9">
        <f t="shared" ca="1" si="12"/>
        <v>9</v>
      </c>
      <c r="J776" s="13" t="s">
        <v>12993</v>
      </c>
      <c r="K776" s="13" t="s">
        <v>425</v>
      </c>
      <c r="L776" s="9" t="str">
        <f>VLOOKUP(K776,[1]中国省份_标准!$B$2:$F$35,4,FALSE)</f>
        <v>东部地区</v>
      </c>
      <c r="M776" s="9" t="str">
        <f>VLOOKUP(K776,[1]中国省份_标准!$B$2:$F$35,5,FALSE)</f>
        <v>华东地区</v>
      </c>
      <c r="N776" s="13" t="s">
        <v>3013</v>
      </c>
      <c r="O776" s="13" t="s">
        <v>3014</v>
      </c>
      <c r="P776" s="13" t="s">
        <v>12994</v>
      </c>
      <c r="Q776" s="13" t="s">
        <v>12995</v>
      </c>
      <c r="R776" s="13" t="s">
        <v>12996</v>
      </c>
      <c r="S776" s="13" t="s">
        <v>39</v>
      </c>
      <c r="T776" s="13" t="s">
        <v>48</v>
      </c>
      <c r="U776" s="13" t="s">
        <v>12990</v>
      </c>
      <c r="V776" s="13" t="s">
        <v>12997</v>
      </c>
      <c r="W776" s="13" t="s">
        <v>12998</v>
      </c>
      <c r="X776" s="13" t="s">
        <v>2566</v>
      </c>
      <c r="Y776" s="13" t="s">
        <v>78</v>
      </c>
      <c r="Z776" s="13" t="s">
        <v>12999</v>
      </c>
      <c r="AA776" s="13" t="s">
        <v>169</v>
      </c>
      <c r="AB776" s="13" t="s">
        <v>285</v>
      </c>
      <c r="AC776" s="13" t="s">
        <v>479</v>
      </c>
      <c r="AD776" s="13" t="s">
        <v>39</v>
      </c>
      <c r="AE776" s="13" t="s">
        <v>55</v>
      </c>
      <c r="AF776" s="13" t="s">
        <v>13000</v>
      </c>
      <c r="AG776" s="13" t="s">
        <v>39</v>
      </c>
      <c r="AH776" s="13" t="s">
        <v>39</v>
      </c>
      <c r="AI776" s="13" t="s">
        <v>13001</v>
      </c>
      <c r="AJ776" s="13" t="s">
        <v>13002</v>
      </c>
      <c r="AK776" s="13" t="s">
        <v>11005</v>
      </c>
      <c r="AL776" s="13" t="s">
        <v>88</v>
      </c>
    </row>
    <row r="777" spans="1:38" x14ac:dyDescent="0.4">
      <c r="A777" s="11" t="s">
        <v>13003</v>
      </c>
      <c r="B777" s="14" t="s">
        <v>13004</v>
      </c>
      <c r="C777" s="15" t="s">
        <v>39</v>
      </c>
      <c r="D777" s="15" t="s">
        <v>63</v>
      </c>
      <c r="E777" s="15" t="s">
        <v>13005</v>
      </c>
      <c r="F777" s="15" t="s">
        <v>640</v>
      </c>
      <c r="G777" s="15" t="s">
        <v>39</v>
      </c>
      <c r="H777" s="15" t="s">
        <v>13006</v>
      </c>
      <c r="I777" s="9">
        <f t="shared" ca="1" si="12"/>
        <v>7</v>
      </c>
      <c r="J777" s="15" t="s">
        <v>13007</v>
      </c>
      <c r="K777" s="15" t="s">
        <v>425</v>
      </c>
      <c r="L777" s="9" t="str">
        <f>VLOOKUP(K777,[1]中国省份_标准!$B$2:$F$35,4,FALSE)</f>
        <v>东部地区</v>
      </c>
      <c r="M777" s="9" t="str">
        <f>VLOOKUP(K777,[1]中国省份_标准!$B$2:$F$35,5,FALSE)</f>
        <v>华东地区</v>
      </c>
      <c r="N777" s="15" t="s">
        <v>3013</v>
      </c>
      <c r="O777" s="15" t="s">
        <v>3014</v>
      </c>
      <c r="P777" s="15" t="s">
        <v>13008</v>
      </c>
      <c r="Q777" s="15" t="s">
        <v>13009</v>
      </c>
      <c r="R777" s="15" t="s">
        <v>13010</v>
      </c>
      <c r="S777" s="15" t="s">
        <v>13011</v>
      </c>
      <c r="T777" s="15" t="s">
        <v>281</v>
      </c>
      <c r="U777" s="15" t="s">
        <v>13004</v>
      </c>
      <c r="V777" s="15" t="s">
        <v>13012</v>
      </c>
      <c r="W777" s="15" t="s">
        <v>13013</v>
      </c>
      <c r="X777" s="15" t="s">
        <v>77</v>
      </c>
      <c r="Y777" s="15" t="s">
        <v>78</v>
      </c>
      <c r="Z777" s="15" t="s">
        <v>13014</v>
      </c>
      <c r="AA777" s="15" t="s">
        <v>169</v>
      </c>
      <c r="AB777" s="15" t="s">
        <v>170</v>
      </c>
      <c r="AC777" s="15" t="s">
        <v>171</v>
      </c>
      <c r="AD777" s="15" t="s">
        <v>39</v>
      </c>
      <c r="AE777" s="15" t="s">
        <v>109</v>
      </c>
      <c r="AF777" s="15" t="s">
        <v>13015</v>
      </c>
      <c r="AG777" s="15" t="s">
        <v>13016</v>
      </c>
      <c r="AH777" s="15" t="s">
        <v>39</v>
      </c>
      <c r="AI777" s="15" t="s">
        <v>13017</v>
      </c>
      <c r="AJ777" s="15" t="s">
        <v>13018</v>
      </c>
      <c r="AK777" s="15" t="s">
        <v>11005</v>
      </c>
      <c r="AL777" s="15" t="s">
        <v>88</v>
      </c>
    </row>
    <row r="778" spans="1:38" x14ac:dyDescent="0.4">
      <c r="A778" s="11" t="s">
        <v>13019</v>
      </c>
      <c r="B778" s="12" t="s">
        <v>13020</v>
      </c>
      <c r="C778" s="13" t="s">
        <v>39</v>
      </c>
      <c r="D778" s="13" t="s">
        <v>63</v>
      </c>
      <c r="E778" s="13" t="s">
        <v>13021</v>
      </c>
      <c r="F778" s="13" t="s">
        <v>13022</v>
      </c>
      <c r="G778" s="13" t="s">
        <v>39</v>
      </c>
      <c r="H778" s="13" t="s">
        <v>13023</v>
      </c>
      <c r="I778" s="9">
        <f t="shared" ca="1" si="12"/>
        <v>5</v>
      </c>
      <c r="J778" s="13" t="s">
        <v>13024</v>
      </c>
      <c r="K778" s="13" t="s">
        <v>425</v>
      </c>
      <c r="L778" s="9" t="str">
        <f>VLOOKUP(K778,[1]中国省份_标准!$B$2:$F$35,4,FALSE)</f>
        <v>东部地区</v>
      </c>
      <c r="M778" s="9" t="str">
        <f>VLOOKUP(K778,[1]中国省份_标准!$B$2:$F$35,5,FALSE)</f>
        <v>华东地区</v>
      </c>
      <c r="N778" s="13" t="s">
        <v>3013</v>
      </c>
      <c r="O778" s="13" t="s">
        <v>3014</v>
      </c>
      <c r="P778" s="13" t="s">
        <v>13025</v>
      </c>
      <c r="Q778" s="13" t="s">
        <v>39</v>
      </c>
      <c r="R778" s="13" t="s">
        <v>13026</v>
      </c>
      <c r="S778" s="13" t="s">
        <v>39</v>
      </c>
      <c r="T778" s="13" t="s">
        <v>281</v>
      </c>
      <c r="U778" s="13" t="s">
        <v>13020</v>
      </c>
      <c r="V778" s="13" t="s">
        <v>39</v>
      </c>
      <c r="W778" s="13" t="s">
        <v>13027</v>
      </c>
      <c r="X778" s="13" t="s">
        <v>77</v>
      </c>
      <c r="Y778" s="13" t="s">
        <v>78</v>
      </c>
      <c r="Z778" s="13" t="s">
        <v>13028</v>
      </c>
      <c r="AA778" s="13" t="s">
        <v>169</v>
      </c>
      <c r="AB778" s="13" t="s">
        <v>4454</v>
      </c>
      <c r="AC778" s="13" t="s">
        <v>13029</v>
      </c>
      <c r="AD778" s="13" t="s">
        <v>13030</v>
      </c>
      <c r="AE778" s="13" t="s">
        <v>109</v>
      </c>
      <c r="AF778" s="13" t="s">
        <v>13031</v>
      </c>
      <c r="AG778" s="13" t="s">
        <v>39</v>
      </c>
      <c r="AH778" s="13" t="s">
        <v>39</v>
      </c>
      <c r="AI778" s="13" t="s">
        <v>13032</v>
      </c>
      <c r="AJ778" s="13" t="s">
        <v>13033</v>
      </c>
      <c r="AK778" s="13" t="s">
        <v>3023</v>
      </c>
      <c r="AL778" s="13" t="s">
        <v>88</v>
      </c>
    </row>
    <row r="779" spans="1:38" x14ac:dyDescent="0.4">
      <c r="A779" s="11" t="s">
        <v>13034</v>
      </c>
      <c r="B779" s="14" t="s">
        <v>13035</v>
      </c>
      <c r="C779" s="15" t="s">
        <v>39</v>
      </c>
      <c r="D779" s="15" t="s">
        <v>63</v>
      </c>
      <c r="E779" s="15" t="s">
        <v>13036</v>
      </c>
      <c r="F779" s="15" t="s">
        <v>1235</v>
      </c>
      <c r="G779" s="15" t="s">
        <v>1235</v>
      </c>
      <c r="H779" s="15" t="s">
        <v>9162</v>
      </c>
      <c r="I779" s="9">
        <f t="shared" ca="1" si="12"/>
        <v>5</v>
      </c>
      <c r="J779" s="15" t="s">
        <v>13037</v>
      </c>
      <c r="K779" s="15" t="s">
        <v>425</v>
      </c>
      <c r="L779" s="9" t="str">
        <f>VLOOKUP(K779,[1]中国省份_标准!$B$2:$F$35,4,FALSE)</f>
        <v>东部地区</v>
      </c>
      <c r="M779" s="9" t="str">
        <f>VLOOKUP(K779,[1]中国省份_标准!$B$2:$F$35,5,FALSE)</f>
        <v>华东地区</v>
      </c>
      <c r="N779" s="15" t="s">
        <v>3013</v>
      </c>
      <c r="O779" s="15" t="s">
        <v>3014</v>
      </c>
      <c r="P779" s="15" t="s">
        <v>13038</v>
      </c>
      <c r="Q779" s="15" t="s">
        <v>39</v>
      </c>
      <c r="R779" s="15" t="s">
        <v>13039</v>
      </c>
      <c r="S779" s="15" t="s">
        <v>13040</v>
      </c>
      <c r="T779" s="15" t="s">
        <v>48</v>
      </c>
      <c r="U779" s="15" t="s">
        <v>13035</v>
      </c>
      <c r="V779" s="15" t="s">
        <v>39</v>
      </c>
      <c r="W779" s="15" t="s">
        <v>13041</v>
      </c>
      <c r="X779" s="15" t="s">
        <v>212</v>
      </c>
      <c r="Y779" s="15" t="s">
        <v>78</v>
      </c>
      <c r="Z779" s="15" t="s">
        <v>13042</v>
      </c>
      <c r="AA779" s="15" t="s">
        <v>1796</v>
      </c>
      <c r="AB779" s="15" t="s">
        <v>1797</v>
      </c>
      <c r="AC779" s="15" t="s">
        <v>39</v>
      </c>
      <c r="AD779" s="15" t="s">
        <v>39</v>
      </c>
      <c r="AE779" s="15" t="s">
        <v>55</v>
      </c>
      <c r="AF779" s="15" t="s">
        <v>13043</v>
      </c>
      <c r="AG779" s="15" t="s">
        <v>39</v>
      </c>
      <c r="AH779" s="15" t="s">
        <v>39</v>
      </c>
      <c r="AI779" s="15" t="s">
        <v>13044</v>
      </c>
      <c r="AJ779" s="15" t="s">
        <v>13045</v>
      </c>
      <c r="AK779" s="15" t="s">
        <v>3023</v>
      </c>
      <c r="AL779" s="15" t="s">
        <v>88</v>
      </c>
    </row>
    <row r="780" spans="1:38" x14ac:dyDescent="0.4">
      <c r="A780" s="11" t="s">
        <v>13046</v>
      </c>
      <c r="B780" s="12" t="s">
        <v>13047</v>
      </c>
      <c r="C780" s="13" t="s">
        <v>13048</v>
      </c>
      <c r="D780" s="13" t="s">
        <v>92</v>
      </c>
      <c r="E780" s="13" t="s">
        <v>13049</v>
      </c>
      <c r="F780" s="13" t="s">
        <v>2437</v>
      </c>
      <c r="G780" s="13" t="s">
        <v>2437</v>
      </c>
      <c r="H780" s="13" t="s">
        <v>13050</v>
      </c>
      <c r="I780" s="9">
        <f t="shared" ca="1" si="12"/>
        <v>41</v>
      </c>
      <c r="J780" s="13" t="s">
        <v>13051</v>
      </c>
      <c r="K780" s="13" t="s">
        <v>340</v>
      </c>
      <c r="L780" s="9" t="str">
        <f>VLOOKUP(K780,[1]中国省份_标准!$B$2:$F$35,4,FALSE)</f>
        <v>东部地区</v>
      </c>
      <c r="M780" s="9" t="str">
        <f>VLOOKUP(K780,[1]中国省份_标准!$B$2:$F$35,5,FALSE)</f>
        <v>华东地区</v>
      </c>
      <c r="N780" s="13" t="s">
        <v>469</v>
      </c>
      <c r="O780" s="13" t="s">
        <v>3465</v>
      </c>
      <c r="P780" s="13" t="s">
        <v>13052</v>
      </c>
      <c r="Q780" s="13" t="s">
        <v>13053</v>
      </c>
      <c r="R780" s="13" t="s">
        <v>13054</v>
      </c>
      <c r="S780" s="13" t="s">
        <v>13055</v>
      </c>
      <c r="T780" s="13" t="s">
        <v>281</v>
      </c>
      <c r="U780" s="13" t="s">
        <v>13047</v>
      </c>
      <c r="V780" s="13" t="s">
        <v>13056</v>
      </c>
      <c r="W780" s="13" t="s">
        <v>13057</v>
      </c>
      <c r="X780" s="13" t="s">
        <v>4544</v>
      </c>
      <c r="Y780" s="13" t="s">
        <v>78</v>
      </c>
      <c r="Z780" s="13" t="s">
        <v>13058</v>
      </c>
      <c r="AA780" s="13" t="s">
        <v>169</v>
      </c>
      <c r="AB780" s="13" t="s">
        <v>285</v>
      </c>
      <c r="AC780" s="13" t="s">
        <v>712</v>
      </c>
      <c r="AD780" s="13" t="s">
        <v>3490</v>
      </c>
      <c r="AE780" s="13" t="s">
        <v>55</v>
      </c>
      <c r="AF780" s="13" t="s">
        <v>13059</v>
      </c>
      <c r="AG780" s="13" t="s">
        <v>39</v>
      </c>
      <c r="AH780" s="13" t="s">
        <v>39</v>
      </c>
      <c r="AI780" s="13" t="s">
        <v>13060</v>
      </c>
      <c r="AJ780" s="13" t="s">
        <v>13061</v>
      </c>
      <c r="AK780" s="13" t="s">
        <v>3476</v>
      </c>
      <c r="AL780" s="13" t="s">
        <v>88</v>
      </c>
    </row>
    <row r="781" spans="1:38" x14ac:dyDescent="0.4">
      <c r="A781" s="11" t="s">
        <v>13062</v>
      </c>
      <c r="B781" s="14" t="s">
        <v>13063</v>
      </c>
      <c r="C781" s="15" t="s">
        <v>39</v>
      </c>
      <c r="D781" s="15" t="s">
        <v>63</v>
      </c>
      <c r="E781" s="15" t="s">
        <v>13064</v>
      </c>
      <c r="F781" s="15" t="s">
        <v>9731</v>
      </c>
      <c r="G781" s="15" t="s">
        <v>13065</v>
      </c>
      <c r="H781" s="15" t="s">
        <v>13066</v>
      </c>
      <c r="I781" s="9">
        <f t="shared" ca="1" si="12"/>
        <v>8</v>
      </c>
      <c r="J781" s="15" t="s">
        <v>13067</v>
      </c>
      <c r="K781" s="15" t="s">
        <v>3405</v>
      </c>
      <c r="L781" s="9" t="str">
        <f>VLOOKUP(K781,[1]中国省份_标准!$B$2:$F$35,4,FALSE)</f>
        <v>西部地区</v>
      </c>
      <c r="M781" s="9" t="str">
        <f>VLOOKUP(K781,[1]中国省份_标准!$B$2:$F$35,5,FALSE)</f>
        <v>西北地区</v>
      </c>
      <c r="N781" s="15" t="s">
        <v>11770</v>
      </c>
      <c r="O781" s="15" t="s">
        <v>13068</v>
      </c>
      <c r="P781" s="15" t="s">
        <v>13069</v>
      </c>
      <c r="Q781" s="15" t="s">
        <v>13070</v>
      </c>
      <c r="R781" s="15" t="s">
        <v>13071</v>
      </c>
      <c r="S781" s="15" t="s">
        <v>13072</v>
      </c>
      <c r="T781" s="15" t="s">
        <v>209</v>
      </c>
      <c r="U781" s="15" t="s">
        <v>13063</v>
      </c>
      <c r="V781" s="15" t="s">
        <v>13073</v>
      </c>
      <c r="W781" s="15" t="s">
        <v>13074</v>
      </c>
      <c r="X781" s="15" t="s">
        <v>77</v>
      </c>
      <c r="Y781" s="15" t="s">
        <v>78</v>
      </c>
      <c r="Z781" s="15" t="s">
        <v>13075</v>
      </c>
      <c r="AA781" s="15" t="s">
        <v>80</v>
      </c>
      <c r="AB781" s="15" t="s">
        <v>106</v>
      </c>
      <c r="AC781" s="15" t="s">
        <v>388</v>
      </c>
      <c r="AD781" s="15" t="s">
        <v>434</v>
      </c>
      <c r="AE781" s="15" t="s">
        <v>262</v>
      </c>
      <c r="AF781" s="15" t="s">
        <v>13076</v>
      </c>
      <c r="AG781" s="15" t="s">
        <v>39</v>
      </c>
      <c r="AH781" s="15" t="s">
        <v>39</v>
      </c>
      <c r="AI781" s="15" t="s">
        <v>13077</v>
      </c>
      <c r="AJ781" s="15" t="s">
        <v>13078</v>
      </c>
      <c r="AK781" s="15" t="s">
        <v>13079</v>
      </c>
      <c r="AL781" s="15" t="s">
        <v>88</v>
      </c>
    </row>
    <row r="782" spans="1:38" x14ac:dyDescent="0.4">
      <c r="A782" s="11" t="s">
        <v>13080</v>
      </c>
      <c r="B782" s="12" t="s">
        <v>13081</v>
      </c>
      <c r="C782" s="13" t="s">
        <v>39</v>
      </c>
      <c r="D782" s="13" t="s">
        <v>63</v>
      </c>
      <c r="E782" s="13" t="s">
        <v>13082</v>
      </c>
      <c r="F782" s="13" t="s">
        <v>13083</v>
      </c>
      <c r="G782" s="13" t="s">
        <v>13083</v>
      </c>
      <c r="H782" s="13" t="s">
        <v>13084</v>
      </c>
      <c r="I782" s="9">
        <f t="shared" ca="1" si="12"/>
        <v>22</v>
      </c>
      <c r="J782" s="13" t="s">
        <v>13085</v>
      </c>
      <c r="K782" s="13" t="s">
        <v>3405</v>
      </c>
      <c r="L782" s="9" t="str">
        <f>VLOOKUP(K782,[1]中国省份_标准!$B$2:$F$35,4,FALSE)</f>
        <v>西部地区</v>
      </c>
      <c r="M782" s="9" t="str">
        <f>VLOOKUP(K782,[1]中国省份_标准!$B$2:$F$35,5,FALSE)</f>
        <v>西北地区</v>
      </c>
      <c r="N782" s="13" t="s">
        <v>11770</v>
      </c>
      <c r="O782" s="13" t="s">
        <v>13086</v>
      </c>
      <c r="P782" s="13" t="s">
        <v>13087</v>
      </c>
      <c r="Q782" s="13" t="s">
        <v>39</v>
      </c>
      <c r="R782" s="13" t="s">
        <v>13088</v>
      </c>
      <c r="S782" s="13" t="s">
        <v>39</v>
      </c>
      <c r="T782" s="13" t="s">
        <v>48</v>
      </c>
      <c r="U782" s="13" t="s">
        <v>13081</v>
      </c>
      <c r="V782" s="13" t="s">
        <v>13089</v>
      </c>
      <c r="W782" s="13" t="s">
        <v>13090</v>
      </c>
      <c r="X782" s="13" t="s">
        <v>77</v>
      </c>
      <c r="Y782" s="13" t="s">
        <v>78</v>
      </c>
      <c r="Z782" s="13" t="s">
        <v>13091</v>
      </c>
      <c r="AA782" s="13" t="s">
        <v>169</v>
      </c>
      <c r="AB782" s="13" t="s">
        <v>285</v>
      </c>
      <c r="AC782" s="13" t="s">
        <v>6423</v>
      </c>
      <c r="AD782" s="13" t="s">
        <v>6424</v>
      </c>
      <c r="AE782" s="13" t="s">
        <v>55</v>
      </c>
      <c r="AF782" s="13" t="s">
        <v>13092</v>
      </c>
      <c r="AG782" s="13" t="s">
        <v>39</v>
      </c>
      <c r="AH782" s="13" t="s">
        <v>39</v>
      </c>
      <c r="AI782" s="13" t="s">
        <v>13093</v>
      </c>
      <c r="AJ782" s="13" t="s">
        <v>13094</v>
      </c>
      <c r="AK782" s="13" t="s">
        <v>13095</v>
      </c>
      <c r="AL782" s="13" t="s">
        <v>88</v>
      </c>
    </row>
    <row r="783" spans="1:38" x14ac:dyDescent="0.4">
      <c r="A783" s="11" t="s">
        <v>13096</v>
      </c>
      <c r="B783" s="14" t="s">
        <v>13097</v>
      </c>
      <c r="C783" s="15" t="s">
        <v>39</v>
      </c>
      <c r="D783" s="15" t="s">
        <v>63</v>
      </c>
      <c r="E783" s="15" t="s">
        <v>13098</v>
      </c>
      <c r="F783" s="15" t="s">
        <v>178</v>
      </c>
      <c r="G783" s="15" t="s">
        <v>178</v>
      </c>
      <c r="H783" s="15" t="s">
        <v>13099</v>
      </c>
      <c r="I783" s="9">
        <f t="shared" ca="1" si="12"/>
        <v>13</v>
      </c>
      <c r="J783" s="15" t="s">
        <v>13100</v>
      </c>
      <c r="K783" s="15" t="s">
        <v>3405</v>
      </c>
      <c r="L783" s="9" t="str">
        <f>VLOOKUP(K783,[1]中国省份_标准!$B$2:$F$35,4,FALSE)</f>
        <v>西部地区</v>
      </c>
      <c r="M783" s="9" t="str">
        <f>VLOOKUP(K783,[1]中国省份_标准!$B$2:$F$35,5,FALSE)</f>
        <v>西北地区</v>
      </c>
      <c r="N783" s="15" t="s">
        <v>11770</v>
      </c>
      <c r="O783" s="15" t="s">
        <v>13101</v>
      </c>
      <c r="P783" s="15" t="s">
        <v>13102</v>
      </c>
      <c r="Q783" s="15" t="s">
        <v>13103</v>
      </c>
      <c r="R783" s="15" t="s">
        <v>13104</v>
      </c>
      <c r="S783" s="15" t="s">
        <v>13105</v>
      </c>
      <c r="T783" s="15" t="s">
        <v>184</v>
      </c>
      <c r="U783" s="15" t="s">
        <v>13097</v>
      </c>
      <c r="V783" s="15" t="s">
        <v>13106</v>
      </c>
      <c r="W783" s="15" t="s">
        <v>13107</v>
      </c>
      <c r="X783" s="15" t="s">
        <v>3327</v>
      </c>
      <c r="Y783" s="15" t="s">
        <v>78</v>
      </c>
      <c r="Z783" s="15" t="s">
        <v>13108</v>
      </c>
      <c r="AA783" s="15" t="s">
        <v>309</v>
      </c>
      <c r="AB783" s="15" t="s">
        <v>310</v>
      </c>
      <c r="AC783" s="15" t="s">
        <v>311</v>
      </c>
      <c r="AD783" s="15" t="s">
        <v>312</v>
      </c>
      <c r="AE783" s="15" t="s">
        <v>262</v>
      </c>
      <c r="AF783" s="15" t="s">
        <v>13109</v>
      </c>
      <c r="AG783" s="15" t="s">
        <v>39</v>
      </c>
      <c r="AH783" s="15" t="s">
        <v>39</v>
      </c>
      <c r="AI783" s="15" t="s">
        <v>13110</v>
      </c>
      <c r="AJ783" s="15" t="s">
        <v>13111</v>
      </c>
      <c r="AK783" s="15" t="s">
        <v>13112</v>
      </c>
      <c r="AL783" s="15" t="s">
        <v>88</v>
      </c>
    </row>
    <row r="784" spans="1:38" x14ac:dyDescent="0.4">
      <c r="A784" s="11" t="s">
        <v>13113</v>
      </c>
      <c r="B784" s="12" t="s">
        <v>13114</v>
      </c>
      <c r="C784" s="13" t="s">
        <v>39</v>
      </c>
      <c r="D784" s="13" t="s">
        <v>63</v>
      </c>
      <c r="E784" s="13" t="s">
        <v>13115</v>
      </c>
      <c r="F784" s="13" t="s">
        <v>271</v>
      </c>
      <c r="G784" s="13" t="s">
        <v>117</v>
      </c>
      <c r="H784" s="13" t="s">
        <v>13116</v>
      </c>
      <c r="I784" s="9">
        <f t="shared" ca="1" si="12"/>
        <v>7</v>
      </c>
      <c r="J784" s="13" t="s">
        <v>13117</v>
      </c>
      <c r="K784" s="13" t="s">
        <v>3405</v>
      </c>
      <c r="L784" s="9" t="str">
        <f>VLOOKUP(K784,[1]中国省份_标准!$B$2:$F$35,4,FALSE)</f>
        <v>西部地区</v>
      </c>
      <c r="M784" s="9" t="str">
        <f>VLOOKUP(K784,[1]中国省份_标准!$B$2:$F$35,5,FALSE)</f>
        <v>西北地区</v>
      </c>
      <c r="N784" s="13" t="s">
        <v>13118</v>
      </c>
      <c r="O784" s="13" t="s">
        <v>13119</v>
      </c>
      <c r="P784" s="13" t="s">
        <v>13120</v>
      </c>
      <c r="Q784" s="13" t="s">
        <v>39</v>
      </c>
      <c r="R784" s="13" t="s">
        <v>13121</v>
      </c>
      <c r="S784" s="13" t="s">
        <v>39</v>
      </c>
      <c r="T784" s="13" t="s">
        <v>48</v>
      </c>
      <c r="U784" s="13" t="s">
        <v>13114</v>
      </c>
      <c r="V784" s="13" t="s">
        <v>39</v>
      </c>
      <c r="W784" s="13" t="s">
        <v>13122</v>
      </c>
      <c r="X784" s="13" t="s">
        <v>77</v>
      </c>
      <c r="Y784" s="13" t="s">
        <v>78</v>
      </c>
      <c r="Z784" s="13" t="s">
        <v>13123</v>
      </c>
      <c r="AA784" s="13" t="s">
        <v>80</v>
      </c>
      <c r="AB784" s="13" t="s">
        <v>106</v>
      </c>
      <c r="AC784" s="13" t="s">
        <v>107</v>
      </c>
      <c r="AD784" s="13" t="s">
        <v>3348</v>
      </c>
      <c r="AE784" s="13" t="s">
        <v>55</v>
      </c>
      <c r="AF784" s="13" t="s">
        <v>13124</v>
      </c>
      <c r="AG784" s="13" t="s">
        <v>39</v>
      </c>
      <c r="AH784" s="13" t="s">
        <v>39</v>
      </c>
      <c r="AI784" s="13" t="s">
        <v>13125</v>
      </c>
      <c r="AJ784" s="13" t="s">
        <v>13126</v>
      </c>
      <c r="AK784" s="13" t="s">
        <v>13127</v>
      </c>
      <c r="AL784" s="13" t="s">
        <v>88</v>
      </c>
    </row>
    <row r="785" spans="1:38" x14ac:dyDescent="0.4">
      <c r="A785" s="11" t="s">
        <v>13128</v>
      </c>
      <c r="B785" s="14" t="s">
        <v>13129</v>
      </c>
      <c r="C785" s="15" t="s">
        <v>39</v>
      </c>
      <c r="D785" s="15" t="s">
        <v>63</v>
      </c>
      <c r="E785" s="15" t="s">
        <v>13130</v>
      </c>
      <c r="F785" s="15" t="s">
        <v>42</v>
      </c>
      <c r="G785" s="15" t="s">
        <v>741</v>
      </c>
      <c r="H785" s="15" t="s">
        <v>13131</v>
      </c>
      <c r="I785" s="9">
        <f t="shared" ca="1" si="12"/>
        <v>12</v>
      </c>
      <c r="J785" s="15" t="s">
        <v>13132</v>
      </c>
      <c r="K785" s="15" t="s">
        <v>67</v>
      </c>
      <c r="L785" s="9" t="str">
        <f>VLOOKUP(K785,[1]中国省份_标准!$B$2:$F$35,4,FALSE)</f>
        <v>东部地区</v>
      </c>
      <c r="M785" s="9" t="str">
        <f>VLOOKUP(K785,[1]中国省份_标准!$B$2:$F$35,5,FALSE)</f>
        <v>华东地区</v>
      </c>
      <c r="N785" s="15" t="s">
        <v>203</v>
      </c>
      <c r="O785" s="15" t="s">
        <v>944</v>
      </c>
      <c r="P785" s="15" t="s">
        <v>13133</v>
      </c>
      <c r="Q785" s="15" t="s">
        <v>13134</v>
      </c>
      <c r="R785" s="15" t="s">
        <v>13135</v>
      </c>
      <c r="S785" s="15" t="s">
        <v>13136</v>
      </c>
      <c r="T785" s="15" t="s">
        <v>48</v>
      </c>
      <c r="U785" s="15" t="s">
        <v>13129</v>
      </c>
      <c r="V785" s="15" t="s">
        <v>13137</v>
      </c>
      <c r="W785" s="15" t="s">
        <v>13138</v>
      </c>
      <c r="X785" s="15" t="s">
        <v>690</v>
      </c>
      <c r="Y785" s="15" t="s">
        <v>78</v>
      </c>
      <c r="Z785" s="15" t="s">
        <v>13139</v>
      </c>
      <c r="AA785" s="15" t="s">
        <v>80</v>
      </c>
      <c r="AB785" s="15" t="s">
        <v>106</v>
      </c>
      <c r="AC785" s="15" t="s">
        <v>951</v>
      </c>
      <c r="AD785" s="15" t="s">
        <v>952</v>
      </c>
      <c r="AE785" s="15" t="s">
        <v>109</v>
      </c>
      <c r="AF785" s="15" t="s">
        <v>13140</v>
      </c>
      <c r="AG785" s="15" t="s">
        <v>39</v>
      </c>
      <c r="AH785" s="15" t="s">
        <v>39</v>
      </c>
      <c r="AI785" s="15" t="s">
        <v>13141</v>
      </c>
      <c r="AJ785" s="15" t="s">
        <v>13142</v>
      </c>
      <c r="AK785" s="15" t="s">
        <v>956</v>
      </c>
      <c r="AL785" s="15" t="s">
        <v>88</v>
      </c>
    </row>
    <row r="786" spans="1:38" x14ac:dyDescent="0.4">
      <c r="A786" s="11" t="s">
        <v>13143</v>
      </c>
      <c r="B786" s="12" t="s">
        <v>13144</v>
      </c>
      <c r="C786" s="13" t="s">
        <v>13145</v>
      </c>
      <c r="D786" s="13" t="s">
        <v>92</v>
      </c>
      <c r="E786" s="13" t="s">
        <v>13146</v>
      </c>
      <c r="F786" s="13" t="s">
        <v>271</v>
      </c>
      <c r="G786" s="13" t="s">
        <v>13083</v>
      </c>
      <c r="H786" s="13" t="s">
        <v>13147</v>
      </c>
      <c r="I786" s="9">
        <f t="shared" ca="1" si="12"/>
        <v>8</v>
      </c>
      <c r="J786" s="13" t="s">
        <v>13148</v>
      </c>
      <c r="K786" s="13" t="s">
        <v>13149</v>
      </c>
      <c r="L786" s="9" t="str">
        <f>VLOOKUP(K786,[1]中国省份_标准!$B$2:$F$35,4,FALSE)</f>
        <v>西部地区</v>
      </c>
      <c r="M786" s="9" t="str">
        <f>VLOOKUP(K786,[1]中国省份_标准!$B$2:$F$35,5,FALSE)</f>
        <v>西北地区</v>
      </c>
      <c r="N786" s="13" t="s">
        <v>13150</v>
      </c>
      <c r="O786" s="13" t="s">
        <v>13151</v>
      </c>
      <c r="P786" s="13" t="s">
        <v>13152</v>
      </c>
      <c r="Q786" s="13" t="s">
        <v>39</v>
      </c>
      <c r="R786" s="13" t="s">
        <v>13153</v>
      </c>
      <c r="S786" s="13" t="s">
        <v>13154</v>
      </c>
      <c r="T786" s="13" t="s">
        <v>48</v>
      </c>
      <c r="U786" s="13" t="s">
        <v>13144</v>
      </c>
      <c r="V786" s="13" t="s">
        <v>13155</v>
      </c>
      <c r="W786" s="13" t="s">
        <v>13156</v>
      </c>
      <c r="X786" s="13" t="s">
        <v>557</v>
      </c>
      <c r="Y786" s="13" t="s">
        <v>78</v>
      </c>
      <c r="Z786" s="13" t="s">
        <v>13157</v>
      </c>
      <c r="AA786" s="13" t="s">
        <v>80</v>
      </c>
      <c r="AB786" s="13" t="s">
        <v>81</v>
      </c>
      <c r="AC786" s="13" t="s">
        <v>2094</v>
      </c>
      <c r="AD786" s="13" t="s">
        <v>2095</v>
      </c>
      <c r="AE786" s="13" t="s">
        <v>55</v>
      </c>
      <c r="AF786" s="13" t="s">
        <v>13158</v>
      </c>
      <c r="AG786" s="13" t="s">
        <v>39</v>
      </c>
      <c r="AH786" s="13" t="s">
        <v>39</v>
      </c>
      <c r="AI786" s="13" t="s">
        <v>13159</v>
      </c>
      <c r="AJ786" s="13" t="s">
        <v>13160</v>
      </c>
      <c r="AK786" s="13" t="s">
        <v>13161</v>
      </c>
      <c r="AL786" s="13" t="s">
        <v>88</v>
      </c>
    </row>
    <row r="787" spans="1:38" x14ac:dyDescent="0.4">
      <c r="A787" s="11" t="s">
        <v>13162</v>
      </c>
      <c r="B787" s="14" t="s">
        <v>13163</v>
      </c>
      <c r="C787" s="15" t="s">
        <v>39</v>
      </c>
      <c r="D787" s="15" t="s">
        <v>63</v>
      </c>
      <c r="E787" s="15" t="s">
        <v>13164</v>
      </c>
      <c r="F787" s="15" t="s">
        <v>2925</v>
      </c>
      <c r="G787" s="15" t="s">
        <v>2925</v>
      </c>
      <c r="H787" s="15" t="s">
        <v>13165</v>
      </c>
      <c r="I787" s="9">
        <f t="shared" ca="1" si="12"/>
        <v>23</v>
      </c>
      <c r="J787" s="15" t="s">
        <v>13166</v>
      </c>
      <c r="K787" s="15" t="s">
        <v>67</v>
      </c>
      <c r="L787" s="9" t="str">
        <f>VLOOKUP(K787,[1]中国省份_标准!$B$2:$F$35,4,FALSE)</f>
        <v>东部地区</v>
      </c>
      <c r="M787" s="9" t="str">
        <f>VLOOKUP(K787,[1]中国省份_标准!$B$2:$F$35,5,FALSE)</f>
        <v>华东地区</v>
      </c>
      <c r="N787" s="15" t="s">
        <v>1809</v>
      </c>
      <c r="O787" s="15" t="s">
        <v>3875</v>
      </c>
      <c r="P787" s="15" t="s">
        <v>13167</v>
      </c>
      <c r="Q787" s="15" t="s">
        <v>13168</v>
      </c>
      <c r="R787" s="15" t="s">
        <v>13169</v>
      </c>
      <c r="S787" s="15" t="s">
        <v>13170</v>
      </c>
      <c r="T787" s="15" t="s">
        <v>48</v>
      </c>
      <c r="U787" s="15" t="s">
        <v>13163</v>
      </c>
      <c r="V787" s="15" t="s">
        <v>13171</v>
      </c>
      <c r="W787" s="15" t="s">
        <v>13172</v>
      </c>
      <c r="X787" s="15" t="s">
        <v>7493</v>
      </c>
      <c r="Y787" s="15" t="s">
        <v>78</v>
      </c>
      <c r="Z787" s="15" t="s">
        <v>13173</v>
      </c>
      <c r="AA787" s="15" t="s">
        <v>169</v>
      </c>
      <c r="AB787" s="15" t="s">
        <v>285</v>
      </c>
      <c r="AC787" s="15" t="s">
        <v>479</v>
      </c>
      <c r="AD787" s="15" t="s">
        <v>480</v>
      </c>
      <c r="AE787" s="15" t="s">
        <v>55</v>
      </c>
      <c r="AF787" s="15" t="s">
        <v>13174</v>
      </c>
      <c r="AG787" s="15" t="s">
        <v>39</v>
      </c>
      <c r="AH787" s="15" t="s">
        <v>39</v>
      </c>
      <c r="AI787" s="15" t="s">
        <v>13175</v>
      </c>
      <c r="AJ787" s="15" t="s">
        <v>13176</v>
      </c>
      <c r="AK787" s="15" t="s">
        <v>3886</v>
      </c>
      <c r="AL787" s="15" t="s">
        <v>88</v>
      </c>
    </row>
    <row r="788" spans="1:38" x14ac:dyDescent="0.4">
      <c r="A788" s="11" t="s">
        <v>13177</v>
      </c>
      <c r="B788" s="12" t="s">
        <v>13178</v>
      </c>
      <c r="C788" s="13" t="s">
        <v>39</v>
      </c>
      <c r="D788" s="13" t="s">
        <v>92</v>
      </c>
      <c r="E788" s="13" t="s">
        <v>13179</v>
      </c>
      <c r="F788" s="13" t="s">
        <v>13180</v>
      </c>
      <c r="G788" s="13" t="s">
        <v>13180</v>
      </c>
      <c r="H788" s="13" t="s">
        <v>13181</v>
      </c>
      <c r="I788" s="9">
        <f t="shared" ca="1" si="12"/>
        <v>15</v>
      </c>
      <c r="J788" s="13" t="s">
        <v>13182</v>
      </c>
      <c r="K788" s="13" t="s">
        <v>227</v>
      </c>
      <c r="L788" s="9" t="str">
        <f>VLOOKUP(K788,[1]中国省份_标准!$B$2:$F$35,4,FALSE)</f>
        <v>西部地区</v>
      </c>
      <c r="M788" s="9" t="str">
        <f>VLOOKUP(K788,[1]中国省份_标准!$B$2:$F$35,5,FALSE)</f>
        <v>西北地区</v>
      </c>
      <c r="N788" s="13" t="s">
        <v>763</v>
      </c>
      <c r="O788" s="13" t="s">
        <v>6880</v>
      </c>
      <c r="P788" s="13" t="s">
        <v>13183</v>
      </c>
      <c r="Q788" s="13" t="s">
        <v>13184</v>
      </c>
      <c r="R788" s="13" t="s">
        <v>13185</v>
      </c>
      <c r="S788" s="13" t="s">
        <v>13186</v>
      </c>
      <c r="T788" s="13" t="s">
        <v>452</v>
      </c>
      <c r="U788" s="13" t="s">
        <v>13178</v>
      </c>
      <c r="V788" s="13" t="s">
        <v>13187</v>
      </c>
      <c r="W788" s="13" t="s">
        <v>13188</v>
      </c>
      <c r="X788" s="13" t="s">
        <v>13189</v>
      </c>
      <c r="Y788" s="13" t="s">
        <v>78</v>
      </c>
      <c r="Z788" s="13" t="s">
        <v>13190</v>
      </c>
      <c r="AA788" s="13" t="s">
        <v>169</v>
      </c>
      <c r="AB788" s="13" t="s">
        <v>285</v>
      </c>
      <c r="AC788" s="13" t="s">
        <v>479</v>
      </c>
      <c r="AD788" s="13" t="s">
        <v>480</v>
      </c>
      <c r="AE788" s="13" t="s">
        <v>239</v>
      </c>
      <c r="AF788" s="13" t="s">
        <v>13191</v>
      </c>
      <c r="AG788" s="13" t="s">
        <v>13192</v>
      </c>
      <c r="AH788" s="13" t="s">
        <v>39</v>
      </c>
      <c r="AI788" s="13" t="s">
        <v>13193</v>
      </c>
      <c r="AJ788" s="13" t="s">
        <v>13194</v>
      </c>
      <c r="AK788" s="13" t="s">
        <v>6892</v>
      </c>
      <c r="AL788" s="13" t="s">
        <v>88</v>
      </c>
    </row>
    <row r="789" spans="1:38" x14ac:dyDescent="0.4">
      <c r="A789" s="11" t="s">
        <v>13195</v>
      </c>
      <c r="B789" s="14" t="s">
        <v>13196</v>
      </c>
      <c r="C789" s="15" t="s">
        <v>39</v>
      </c>
      <c r="D789" s="15" t="s">
        <v>92</v>
      </c>
      <c r="E789" s="15" t="s">
        <v>13197</v>
      </c>
      <c r="F789" s="15" t="s">
        <v>640</v>
      </c>
      <c r="G789" s="15" t="s">
        <v>640</v>
      </c>
      <c r="H789" s="15" t="s">
        <v>13198</v>
      </c>
      <c r="I789" s="9">
        <f t="shared" ca="1" si="12"/>
        <v>11</v>
      </c>
      <c r="J789" s="15" t="s">
        <v>13199</v>
      </c>
      <c r="K789" s="15" t="s">
        <v>227</v>
      </c>
      <c r="L789" s="9" t="str">
        <f>VLOOKUP(K789,[1]中国省份_标准!$B$2:$F$35,4,FALSE)</f>
        <v>西部地区</v>
      </c>
      <c r="M789" s="9" t="str">
        <f>VLOOKUP(K789,[1]中国省份_标准!$B$2:$F$35,5,FALSE)</f>
        <v>西北地区</v>
      </c>
      <c r="N789" s="15" t="s">
        <v>228</v>
      </c>
      <c r="O789" s="15" t="s">
        <v>13200</v>
      </c>
      <c r="P789" s="15" t="s">
        <v>13201</v>
      </c>
      <c r="Q789" s="15" t="s">
        <v>13202</v>
      </c>
      <c r="R789" s="15" t="s">
        <v>13203</v>
      </c>
      <c r="S789" s="15" t="s">
        <v>13204</v>
      </c>
      <c r="T789" s="15" t="s">
        <v>48</v>
      </c>
      <c r="U789" s="15" t="s">
        <v>13196</v>
      </c>
      <c r="V789" s="15" t="s">
        <v>13205</v>
      </c>
      <c r="W789" s="15" t="s">
        <v>13206</v>
      </c>
      <c r="X789" s="15" t="s">
        <v>77</v>
      </c>
      <c r="Y789" s="15" t="s">
        <v>78</v>
      </c>
      <c r="Z789" s="15" t="s">
        <v>13207</v>
      </c>
      <c r="AA789" s="15" t="s">
        <v>80</v>
      </c>
      <c r="AB789" s="15" t="s">
        <v>106</v>
      </c>
      <c r="AC789" s="15" t="s">
        <v>388</v>
      </c>
      <c r="AD789" s="15" t="s">
        <v>434</v>
      </c>
      <c r="AE789" s="15" t="s">
        <v>109</v>
      </c>
      <c r="AF789" s="15" t="s">
        <v>13208</v>
      </c>
      <c r="AG789" s="15" t="s">
        <v>39</v>
      </c>
      <c r="AH789" s="15" t="s">
        <v>39</v>
      </c>
      <c r="AI789" s="15" t="s">
        <v>13209</v>
      </c>
      <c r="AJ789" s="15" t="s">
        <v>13210</v>
      </c>
      <c r="AK789" s="15" t="s">
        <v>13211</v>
      </c>
      <c r="AL789" s="15" t="s">
        <v>88</v>
      </c>
    </row>
    <row r="790" spans="1:38" x14ac:dyDescent="0.4">
      <c r="A790" s="11" t="s">
        <v>13212</v>
      </c>
      <c r="B790" s="12" t="s">
        <v>13213</v>
      </c>
      <c r="C790" s="13" t="s">
        <v>39</v>
      </c>
      <c r="D790" s="13" t="s">
        <v>92</v>
      </c>
      <c r="E790" s="13" t="s">
        <v>13214</v>
      </c>
      <c r="F790" s="13" t="s">
        <v>39</v>
      </c>
      <c r="G790" s="13" t="s">
        <v>39</v>
      </c>
      <c r="H790" s="13" t="s">
        <v>1380</v>
      </c>
      <c r="I790" s="9">
        <f t="shared" ca="1" si="12"/>
        <v>9</v>
      </c>
      <c r="J790" s="13" t="s">
        <v>13215</v>
      </c>
      <c r="K790" s="13" t="s">
        <v>227</v>
      </c>
      <c r="L790" s="9" t="str">
        <f>VLOOKUP(K790,[1]中国省份_标准!$B$2:$F$35,4,FALSE)</f>
        <v>西部地区</v>
      </c>
      <c r="M790" s="9" t="str">
        <f>VLOOKUP(K790,[1]中国省份_标准!$B$2:$F$35,5,FALSE)</f>
        <v>西北地区</v>
      </c>
      <c r="N790" s="13" t="s">
        <v>228</v>
      </c>
      <c r="O790" s="13" t="s">
        <v>229</v>
      </c>
      <c r="P790" s="13" t="s">
        <v>13216</v>
      </c>
      <c r="Q790" s="13" t="s">
        <v>39</v>
      </c>
      <c r="R790" s="13" t="s">
        <v>13217</v>
      </c>
      <c r="S790" s="13" t="s">
        <v>13218</v>
      </c>
      <c r="T790" s="13" t="s">
        <v>143</v>
      </c>
      <c r="U790" s="13" t="s">
        <v>13213</v>
      </c>
      <c r="V790" s="13" t="s">
        <v>13219</v>
      </c>
      <c r="W790" s="13" t="s">
        <v>13220</v>
      </c>
      <c r="X790" s="13" t="s">
        <v>77</v>
      </c>
      <c r="Y790" s="13" t="s">
        <v>78</v>
      </c>
      <c r="Z790" s="13" t="s">
        <v>13221</v>
      </c>
      <c r="AA790" s="13" t="s">
        <v>80</v>
      </c>
      <c r="AB790" s="13" t="s">
        <v>106</v>
      </c>
      <c r="AC790" s="13" t="s">
        <v>10426</v>
      </c>
      <c r="AD790" s="13" t="s">
        <v>13222</v>
      </c>
      <c r="AE790" s="13" t="s">
        <v>39</v>
      </c>
      <c r="AF790" s="13" t="s">
        <v>13223</v>
      </c>
      <c r="AG790" s="13" t="s">
        <v>39</v>
      </c>
      <c r="AH790" s="13" t="s">
        <v>39</v>
      </c>
      <c r="AI790" s="13" t="s">
        <v>13224</v>
      </c>
      <c r="AJ790" s="13" t="s">
        <v>13225</v>
      </c>
      <c r="AK790" s="13" t="s">
        <v>13226</v>
      </c>
      <c r="AL790" s="13" t="s">
        <v>88</v>
      </c>
    </row>
    <row r="791" spans="1:38" x14ac:dyDescent="0.4">
      <c r="A791" s="11" t="s">
        <v>13227</v>
      </c>
      <c r="B791" s="14" t="s">
        <v>13228</v>
      </c>
      <c r="C791" s="15" t="s">
        <v>13229</v>
      </c>
      <c r="D791" s="15" t="s">
        <v>92</v>
      </c>
      <c r="E791" s="15" t="s">
        <v>13230</v>
      </c>
      <c r="F791" s="15" t="s">
        <v>920</v>
      </c>
      <c r="G791" s="15" t="s">
        <v>999</v>
      </c>
      <c r="H791" s="15" t="s">
        <v>13231</v>
      </c>
      <c r="I791" s="9">
        <f t="shared" ca="1" si="12"/>
        <v>8</v>
      </c>
      <c r="J791" s="15" t="s">
        <v>13232</v>
      </c>
      <c r="K791" s="15" t="s">
        <v>227</v>
      </c>
      <c r="L791" s="9" t="str">
        <f>VLOOKUP(K791,[1]中国省份_标准!$B$2:$F$35,4,FALSE)</f>
        <v>西部地区</v>
      </c>
      <c r="M791" s="9" t="str">
        <f>VLOOKUP(K791,[1]中国省份_标准!$B$2:$F$35,5,FALSE)</f>
        <v>西北地区</v>
      </c>
      <c r="N791" s="15" t="s">
        <v>228</v>
      </c>
      <c r="O791" s="15" t="s">
        <v>13200</v>
      </c>
      <c r="P791" s="15" t="s">
        <v>13233</v>
      </c>
      <c r="Q791" s="15" t="s">
        <v>13234</v>
      </c>
      <c r="R791" s="15" t="s">
        <v>13235</v>
      </c>
      <c r="S791" s="15" t="s">
        <v>13236</v>
      </c>
      <c r="T791" s="15" t="s">
        <v>452</v>
      </c>
      <c r="U791" s="15" t="s">
        <v>13228</v>
      </c>
      <c r="V791" s="15" t="s">
        <v>13237</v>
      </c>
      <c r="W791" s="15" t="s">
        <v>13238</v>
      </c>
      <c r="X791" s="15" t="s">
        <v>7345</v>
      </c>
      <c r="Y791" s="15" t="s">
        <v>78</v>
      </c>
      <c r="Z791" s="15" t="s">
        <v>13239</v>
      </c>
      <c r="AA791" s="15" t="s">
        <v>52</v>
      </c>
      <c r="AB791" s="15" t="s">
        <v>53</v>
      </c>
      <c r="AC791" s="15" t="s">
        <v>1301</v>
      </c>
      <c r="AD791" s="15" t="s">
        <v>13240</v>
      </c>
      <c r="AE791" s="15" t="s">
        <v>55</v>
      </c>
      <c r="AF791" s="15" t="s">
        <v>13241</v>
      </c>
      <c r="AG791" s="15" t="s">
        <v>39</v>
      </c>
      <c r="AH791" s="15" t="s">
        <v>39</v>
      </c>
      <c r="AI791" s="15" t="s">
        <v>13242</v>
      </c>
      <c r="AJ791" s="15" t="s">
        <v>13243</v>
      </c>
      <c r="AK791" s="15" t="s">
        <v>13211</v>
      </c>
      <c r="AL791" s="15" t="s">
        <v>88</v>
      </c>
    </row>
    <row r="792" spans="1:38" x14ac:dyDescent="0.4">
      <c r="A792" s="11" t="s">
        <v>13244</v>
      </c>
      <c r="B792" s="12" t="s">
        <v>13245</v>
      </c>
      <c r="C792" s="13" t="s">
        <v>13246</v>
      </c>
      <c r="D792" s="13" t="s">
        <v>92</v>
      </c>
      <c r="E792" s="13" t="s">
        <v>13247</v>
      </c>
      <c r="F792" s="13" t="s">
        <v>422</v>
      </c>
      <c r="G792" s="13" t="s">
        <v>422</v>
      </c>
      <c r="H792" s="13" t="s">
        <v>13248</v>
      </c>
      <c r="I792" s="9">
        <f t="shared" ca="1" si="12"/>
        <v>17</v>
      </c>
      <c r="J792" s="13" t="s">
        <v>13249</v>
      </c>
      <c r="K792" s="13" t="s">
        <v>227</v>
      </c>
      <c r="L792" s="9" t="str">
        <f>VLOOKUP(K792,[1]中国省份_标准!$B$2:$F$35,4,FALSE)</f>
        <v>西部地区</v>
      </c>
      <c r="M792" s="9" t="str">
        <f>VLOOKUP(K792,[1]中国省份_标准!$B$2:$F$35,5,FALSE)</f>
        <v>西北地区</v>
      </c>
      <c r="N792" s="13" t="s">
        <v>228</v>
      </c>
      <c r="O792" s="13" t="s">
        <v>3089</v>
      </c>
      <c r="P792" s="13" t="s">
        <v>13250</v>
      </c>
      <c r="Q792" s="13" t="s">
        <v>13251</v>
      </c>
      <c r="R792" s="13" t="s">
        <v>13252</v>
      </c>
      <c r="S792" s="13" t="s">
        <v>13253</v>
      </c>
      <c r="T792" s="13" t="s">
        <v>48</v>
      </c>
      <c r="U792" s="13" t="s">
        <v>13245</v>
      </c>
      <c r="V792" s="13" t="s">
        <v>13254</v>
      </c>
      <c r="W792" s="13" t="s">
        <v>13255</v>
      </c>
      <c r="X792" s="13" t="s">
        <v>2566</v>
      </c>
      <c r="Y792" s="13" t="s">
        <v>78</v>
      </c>
      <c r="Z792" s="13" t="s">
        <v>13256</v>
      </c>
      <c r="AA792" s="13" t="s">
        <v>80</v>
      </c>
      <c r="AB792" s="13" t="s">
        <v>106</v>
      </c>
      <c r="AC792" s="13" t="s">
        <v>388</v>
      </c>
      <c r="AD792" s="13" t="s">
        <v>434</v>
      </c>
      <c r="AE792" s="13" t="s">
        <v>55</v>
      </c>
      <c r="AF792" s="13" t="s">
        <v>13257</v>
      </c>
      <c r="AG792" s="13" t="s">
        <v>39</v>
      </c>
      <c r="AH792" s="13" t="s">
        <v>39</v>
      </c>
      <c r="AI792" s="13" t="s">
        <v>13258</v>
      </c>
      <c r="AJ792" s="13" t="s">
        <v>13259</v>
      </c>
      <c r="AK792" s="13" t="s">
        <v>3103</v>
      </c>
      <c r="AL792" s="13" t="s">
        <v>88</v>
      </c>
    </row>
    <row r="793" spans="1:38" x14ac:dyDescent="0.4">
      <c r="A793" s="11" t="s">
        <v>13260</v>
      </c>
      <c r="B793" s="14" t="s">
        <v>13261</v>
      </c>
      <c r="C793" s="15" t="s">
        <v>39</v>
      </c>
      <c r="D793" s="15" t="s">
        <v>92</v>
      </c>
      <c r="E793" s="15" t="s">
        <v>13262</v>
      </c>
      <c r="F793" s="15" t="s">
        <v>640</v>
      </c>
      <c r="G793" s="15" t="s">
        <v>640</v>
      </c>
      <c r="H793" s="15" t="s">
        <v>13263</v>
      </c>
      <c r="I793" s="9">
        <f t="shared" ca="1" si="12"/>
        <v>11</v>
      </c>
      <c r="J793" s="15" t="s">
        <v>13264</v>
      </c>
      <c r="K793" s="15" t="s">
        <v>227</v>
      </c>
      <c r="L793" s="9" t="str">
        <f>VLOOKUP(K793,[1]中国省份_标准!$B$2:$F$35,4,FALSE)</f>
        <v>西部地区</v>
      </c>
      <c r="M793" s="9" t="str">
        <f>VLOOKUP(K793,[1]中国省份_标准!$B$2:$F$35,5,FALSE)</f>
        <v>西北地区</v>
      </c>
      <c r="N793" s="15" t="s">
        <v>2763</v>
      </c>
      <c r="O793" s="15" t="s">
        <v>3260</v>
      </c>
      <c r="P793" s="15" t="s">
        <v>13265</v>
      </c>
      <c r="Q793" s="15" t="s">
        <v>13266</v>
      </c>
      <c r="R793" s="15" t="s">
        <v>13267</v>
      </c>
      <c r="S793" s="15" t="s">
        <v>13268</v>
      </c>
      <c r="T793" s="15" t="s">
        <v>452</v>
      </c>
      <c r="U793" s="15" t="s">
        <v>13261</v>
      </c>
      <c r="V793" s="15" t="s">
        <v>13269</v>
      </c>
      <c r="W793" s="15" t="s">
        <v>13270</v>
      </c>
      <c r="X793" s="15" t="s">
        <v>1587</v>
      </c>
      <c r="Y793" s="15" t="s">
        <v>78</v>
      </c>
      <c r="Z793" s="15" t="s">
        <v>13271</v>
      </c>
      <c r="AA793" s="15" t="s">
        <v>1796</v>
      </c>
      <c r="AB793" s="15" t="s">
        <v>2851</v>
      </c>
      <c r="AC793" s="15" t="s">
        <v>2852</v>
      </c>
      <c r="AD793" s="15" t="s">
        <v>2896</v>
      </c>
      <c r="AE793" s="15" t="s">
        <v>55</v>
      </c>
      <c r="AF793" s="15" t="s">
        <v>13272</v>
      </c>
      <c r="AG793" s="15" t="s">
        <v>39</v>
      </c>
      <c r="AH793" s="15" t="s">
        <v>13273</v>
      </c>
      <c r="AI793" s="15" t="s">
        <v>13274</v>
      </c>
      <c r="AJ793" s="15" t="s">
        <v>13275</v>
      </c>
      <c r="AK793" s="15" t="s">
        <v>3271</v>
      </c>
      <c r="AL793" s="15" t="s">
        <v>88</v>
      </c>
    </row>
    <row r="794" spans="1:38" x14ac:dyDescent="0.4">
      <c r="A794" s="11" t="s">
        <v>13276</v>
      </c>
      <c r="B794" s="12" t="s">
        <v>13277</v>
      </c>
      <c r="C794" s="13" t="s">
        <v>39</v>
      </c>
      <c r="D794" s="13" t="s">
        <v>92</v>
      </c>
      <c r="E794" s="13" t="s">
        <v>13278</v>
      </c>
      <c r="F794" s="13" t="s">
        <v>490</v>
      </c>
      <c r="G794" s="13" t="s">
        <v>490</v>
      </c>
      <c r="H794" s="13" t="s">
        <v>2863</v>
      </c>
      <c r="I794" s="9">
        <f t="shared" ca="1" si="12"/>
        <v>9</v>
      </c>
      <c r="J794" s="13" t="s">
        <v>13279</v>
      </c>
      <c r="K794" s="13" t="s">
        <v>227</v>
      </c>
      <c r="L794" s="9" t="str">
        <f>VLOOKUP(K794,[1]中国省份_标准!$B$2:$F$35,4,FALSE)</f>
        <v>西部地区</v>
      </c>
      <c r="M794" s="9" t="str">
        <f>VLOOKUP(K794,[1]中国省份_标准!$B$2:$F$35,5,FALSE)</f>
        <v>西北地区</v>
      </c>
      <c r="N794" s="13" t="s">
        <v>13280</v>
      </c>
      <c r="O794" s="13" t="s">
        <v>13281</v>
      </c>
      <c r="P794" s="13" t="s">
        <v>13282</v>
      </c>
      <c r="Q794" s="13" t="s">
        <v>13283</v>
      </c>
      <c r="R794" s="13" t="s">
        <v>13284</v>
      </c>
      <c r="S794" s="13" t="s">
        <v>13285</v>
      </c>
      <c r="T794" s="13" t="s">
        <v>48</v>
      </c>
      <c r="U794" s="13" t="s">
        <v>13277</v>
      </c>
      <c r="V794" s="13" t="s">
        <v>13286</v>
      </c>
      <c r="W794" s="13" t="s">
        <v>13287</v>
      </c>
      <c r="X794" s="13" t="s">
        <v>11072</v>
      </c>
      <c r="Y794" s="13" t="s">
        <v>78</v>
      </c>
      <c r="Z794" s="13" t="s">
        <v>2873</v>
      </c>
      <c r="AA794" s="13" t="s">
        <v>169</v>
      </c>
      <c r="AB794" s="13" t="s">
        <v>285</v>
      </c>
      <c r="AC794" s="13" t="s">
        <v>479</v>
      </c>
      <c r="AD794" s="13" t="s">
        <v>480</v>
      </c>
      <c r="AE794" s="13" t="s">
        <v>55</v>
      </c>
      <c r="AF794" s="13" t="s">
        <v>13288</v>
      </c>
      <c r="AG794" s="13" t="s">
        <v>39</v>
      </c>
      <c r="AH794" s="13" t="s">
        <v>39</v>
      </c>
      <c r="AI794" s="13" t="s">
        <v>13289</v>
      </c>
      <c r="AJ794" s="13" t="s">
        <v>13290</v>
      </c>
      <c r="AK794" s="13" t="s">
        <v>13291</v>
      </c>
      <c r="AL794" s="13" t="s">
        <v>88</v>
      </c>
    </row>
    <row r="795" spans="1:38" x14ac:dyDescent="0.4">
      <c r="A795" s="11" t="s">
        <v>13292</v>
      </c>
      <c r="B795" s="14" t="s">
        <v>13293</v>
      </c>
      <c r="C795" s="15" t="s">
        <v>39</v>
      </c>
      <c r="D795" s="15" t="s">
        <v>92</v>
      </c>
      <c r="E795" s="15" t="s">
        <v>13294</v>
      </c>
      <c r="F795" s="15" t="s">
        <v>398</v>
      </c>
      <c r="G795" s="15" t="s">
        <v>398</v>
      </c>
      <c r="H795" s="15" t="s">
        <v>13295</v>
      </c>
      <c r="I795" s="9">
        <f t="shared" ca="1" si="12"/>
        <v>22</v>
      </c>
      <c r="J795" s="15" t="s">
        <v>13296</v>
      </c>
      <c r="K795" s="15" t="s">
        <v>227</v>
      </c>
      <c r="L795" s="9" t="str">
        <f>VLOOKUP(K795,[1]中国省份_标准!$B$2:$F$35,4,FALSE)</f>
        <v>西部地区</v>
      </c>
      <c r="M795" s="9" t="str">
        <f>VLOOKUP(K795,[1]中国省份_标准!$B$2:$F$35,5,FALSE)</f>
        <v>西北地区</v>
      </c>
      <c r="N795" s="15" t="s">
        <v>2763</v>
      </c>
      <c r="O795" s="15" t="s">
        <v>3260</v>
      </c>
      <c r="P795" s="15" t="s">
        <v>13297</v>
      </c>
      <c r="Q795" s="15" t="s">
        <v>13298</v>
      </c>
      <c r="R795" s="15" t="s">
        <v>13299</v>
      </c>
      <c r="S795" s="15" t="s">
        <v>39</v>
      </c>
      <c r="T795" s="15" t="s">
        <v>184</v>
      </c>
      <c r="U795" s="15" t="s">
        <v>13293</v>
      </c>
      <c r="V795" s="15" t="s">
        <v>13300</v>
      </c>
      <c r="W795" s="15" t="s">
        <v>13301</v>
      </c>
      <c r="X795" s="15" t="s">
        <v>77</v>
      </c>
      <c r="Y795" s="15" t="s">
        <v>78</v>
      </c>
      <c r="Z795" s="15" t="s">
        <v>13302</v>
      </c>
      <c r="AA795" s="15" t="s">
        <v>169</v>
      </c>
      <c r="AB795" s="15" t="s">
        <v>285</v>
      </c>
      <c r="AC795" s="15" t="s">
        <v>479</v>
      </c>
      <c r="AD795" s="15" t="s">
        <v>480</v>
      </c>
      <c r="AE795" s="15" t="s">
        <v>55</v>
      </c>
      <c r="AF795" s="15" t="s">
        <v>13303</v>
      </c>
      <c r="AG795" s="15" t="s">
        <v>39</v>
      </c>
      <c r="AH795" s="15" t="s">
        <v>39</v>
      </c>
      <c r="AI795" s="15" t="s">
        <v>13304</v>
      </c>
      <c r="AJ795" s="15" t="s">
        <v>13305</v>
      </c>
      <c r="AK795" s="15" t="s">
        <v>3271</v>
      </c>
      <c r="AL795" s="15" t="s">
        <v>88</v>
      </c>
    </row>
    <row r="796" spans="1:38" x14ac:dyDescent="0.4">
      <c r="A796" s="11" t="s">
        <v>13306</v>
      </c>
      <c r="B796" s="12" t="s">
        <v>13307</v>
      </c>
      <c r="C796" s="13" t="s">
        <v>39</v>
      </c>
      <c r="D796" s="13" t="s">
        <v>92</v>
      </c>
      <c r="E796" s="13" t="s">
        <v>13308</v>
      </c>
      <c r="F796" s="13" t="s">
        <v>178</v>
      </c>
      <c r="G796" s="13" t="s">
        <v>178</v>
      </c>
      <c r="H796" s="13" t="s">
        <v>13309</v>
      </c>
      <c r="I796" s="9">
        <f t="shared" ca="1" si="12"/>
        <v>18</v>
      </c>
      <c r="J796" s="13" t="s">
        <v>13310</v>
      </c>
      <c r="K796" s="13" t="s">
        <v>227</v>
      </c>
      <c r="L796" s="9" t="str">
        <f>VLOOKUP(K796,[1]中国省份_标准!$B$2:$F$35,4,FALSE)</f>
        <v>西部地区</v>
      </c>
      <c r="M796" s="9" t="str">
        <f>VLOOKUP(K796,[1]中国省份_标准!$B$2:$F$35,5,FALSE)</f>
        <v>西北地区</v>
      </c>
      <c r="N796" s="13" t="s">
        <v>1002</v>
      </c>
      <c r="O796" s="13" t="s">
        <v>3278</v>
      </c>
      <c r="P796" s="13" t="s">
        <v>13311</v>
      </c>
      <c r="Q796" s="13" t="s">
        <v>13312</v>
      </c>
      <c r="R796" s="13" t="s">
        <v>13313</v>
      </c>
      <c r="S796" s="13" t="s">
        <v>13314</v>
      </c>
      <c r="T796" s="13" t="s">
        <v>48</v>
      </c>
      <c r="U796" s="13" t="s">
        <v>13307</v>
      </c>
      <c r="V796" s="13" t="s">
        <v>13315</v>
      </c>
      <c r="W796" s="13" t="s">
        <v>13316</v>
      </c>
      <c r="X796" s="13" t="s">
        <v>2171</v>
      </c>
      <c r="Y796" s="13" t="s">
        <v>78</v>
      </c>
      <c r="Z796" s="13" t="s">
        <v>13317</v>
      </c>
      <c r="AA796" s="13" t="s">
        <v>309</v>
      </c>
      <c r="AB796" s="13" t="s">
        <v>654</v>
      </c>
      <c r="AC796" s="13" t="s">
        <v>8729</v>
      </c>
      <c r="AD796" s="13" t="s">
        <v>8730</v>
      </c>
      <c r="AE796" s="13" t="s">
        <v>262</v>
      </c>
      <c r="AF796" s="13" t="s">
        <v>13318</v>
      </c>
      <c r="AG796" s="13" t="s">
        <v>39</v>
      </c>
      <c r="AH796" s="13" t="s">
        <v>39</v>
      </c>
      <c r="AI796" s="13" t="s">
        <v>13319</v>
      </c>
      <c r="AJ796" s="13" t="s">
        <v>13320</v>
      </c>
      <c r="AK796" s="13" t="s">
        <v>3903</v>
      </c>
      <c r="AL796" s="13" t="s">
        <v>88</v>
      </c>
    </row>
    <row r="797" spans="1:38" x14ac:dyDescent="0.4">
      <c r="A797" s="11" t="s">
        <v>13321</v>
      </c>
      <c r="B797" s="14" t="s">
        <v>13322</v>
      </c>
      <c r="C797" s="15" t="s">
        <v>39</v>
      </c>
      <c r="D797" s="15" t="s">
        <v>92</v>
      </c>
      <c r="E797" s="15" t="s">
        <v>13323</v>
      </c>
      <c r="F797" s="15" t="s">
        <v>271</v>
      </c>
      <c r="G797" s="15" t="s">
        <v>13324</v>
      </c>
      <c r="H797" s="15" t="s">
        <v>13325</v>
      </c>
      <c r="I797" s="9">
        <f t="shared" ca="1" si="12"/>
        <v>14</v>
      </c>
      <c r="J797" s="15" t="s">
        <v>13326</v>
      </c>
      <c r="K797" s="15" t="s">
        <v>531</v>
      </c>
      <c r="L797" s="9" t="str">
        <f>VLOOKUP(K797,[1]中国省份_标准!$B$2:$F$35,4,FALSE)</f>
        <v>东部地区</v>
      </c>
      <c r="M797" s="9" t="str">
        <f>VLOOKUP(K797,[1]中国省份_标准!$B$2:$F$35,5,FALSE)</f>
        <v>华南地区</v>
      </c>
      <c r="N797" s="15" t="s">
        <v>13327</v>
      </c>
      <c r="O797" s="15" t="s">
        <v>13328</v>
      </c>
      <c r="P797" s="15" t="s">
        <v>13329</v>
      </c>
      <c r="Q797" s="15" t="s">
        <v>13330</v>
      </c>
      <c r="R797" s="15" t="s">
        <v>13331</v>
      </c>
      <c r="S797" s="15" t="s">
        <v>13332</v>
      </c>
      <c r="T797" s="15" t="s">
        <v>48</v>
      </c>
      <c r="U797" s="15" t="s">
        <v>13322</v>
      </c>
      <c r="V797" s="15" t="s">
        <v>13333</v>
      </c>
      <c r="W797" s="15" t="s">
        <v>13334</v>
      </c>
      <c r="X797" s="15" t="s">
        <v>1130</v>
      </c>
      <c r="Y797" s="15" t="s">
        <v>78</v>
      </c>
      <c r="Z797" s="15" t="s">
        <v>13335</v>
      </c>
      <c r="AA797" s="15" t="s">
        <v>169</v>
      </c>
      <c r="AB797" s="15" t="s">
        <v>285</v>
      </c>
      <c r="AC797" s="15" t="s">
        <v>39</v>
      </c>
      <c r="AD797" s="15" t="s">
        <v>39</v>
      </c>
      <c r="AE797" s="15" t="s">
        <v>109</v>
      </c>
      <c r="AF797" s="15" t="s">
        <v>13336</v>
      </c>
      <c r="AG797" s="15" t="s">
        <v>39</v>
      </c>
      <c r="AH797" s="15" t="s">
        <v>39</v>
      </c>
      <c r="AI797" s="15" t="s">
        <v>13337</v>
      </c>
      <c r="AJ797" s="15" t="s">
        <v>13338</v>
      </c>
      <c r="AK797" s="15" t="s">
        <v>13339</v>
      </c>
      <c r="AL797" s="15" t="s">
        <v>88</v>
      </c>
    </row>
    <row r="798" spans="1:38" x14ac:dyDescent="0.4">
      <c r="A798" s="11" t="s">
        <v>13340</v>
      </c>
      <c r="B798" s="12" t="s">
        <v>13341</v>
      </c>
      <c r="C798" s="13" t="s">
        <v>39</v>
      </c>
      <c r="D798" s="13" t="s">
        <v>92</v>
      </c>
      <c r="E798" s="13" t="s">
        <v>13342</v>
      </c>
      <c r="F798" s="13" t="s">
        <v>640</v>
      </c>
      <c r="G798" s="13" t="s">
        <v>640</v>
      </c>
      <c r="H798" s="13" t="s">
        <v>13343</v>
      </c>
      <c r="I798" s="9">
        <f t="shared" ca="1" si="12"/>
        <v>23</v>
      </c>
      <c r="J798" s="13" t="s">
        <v>13344</v>
      </c>
      <c r="K798" s="13" t="s">
        <v>227</v>
      </c>
      <c r="L798" s="9" t="str">
        <f>VLOOKUP(K798,[1]中国省份_标准!$B$2:$F$35,4,FALSE)</f>
        <v>西部地区</v>
      </c>
      <c r="M798" s="9" t="str">
        <f>VLOOKUP(K798,[1]中国省份_标准!$B$2:$F$35,5,FALSE)</f>
        <v>西北地区</v>
      </c>
      <c r="N798" s="13" t="s">
        <v>763</v>
      </c>
      <c r="O798" s="13" t="s">
        <v>6880</v>
      </c>
      <c r="P798" s="13" t="s">
        <v>13345</v>
      </c>
      <c r="Q798" s="13" t="s">
        <v>13346</v>
      </c>
      <c r="R798" s="13" t="s">
        <v>13347</v>
      </c>
      <c r="S798" s="13" t="s">
        <v>39</v>
      </c>
      <c r="T798" s="13" t="s">
        <v>281</v>
      </c>
      <c r="U798" s="13" t="s">
        <v>13341</v>
      </c>
      <c r="V798" s="13" t="s">
        <v>13348</v>
      </c>
      <c r="W798" s="13" t="s">
        <v>13349</v>
      </c>
      <c r="X798" s="13" t="s">
        <v>990</v>
      </c>
      <c r="Y798" s="13" t="s">
        <v>78</v>
      </c>
      <c r="Z798" s="13" t="s">
        <v>13350</v>
      </c>
      <c r="AA798" s="13" t="s">
        <v>309</v>
      </c>
      <c r="AB798" s="13" t="s">
        <v>772</v>
      </c>
      <c r="AC798" s="13" t="s">
        <v>773</v>
      </c>
      <c r="AD798" s="13" t="s">
        <v>774</v>
      </c>
      <c r="AE798" s="13" t="s">
        <v>262</v>
      </c>
      <c r="AF798" s="13" t="s">
        <v>13351</v>
      </c>
      <c r="AG798" s="13" t="s">
        <v>39</v>
      </c>
      <c r="AH798" s="13" t="s">
        <v>39</v>
      </c>
      <c r="AI798" s="13" t="s">
        <v>13352</v>
      </c>
      <c r="AJ798" s="13" t="s">
        <v>13353</v>
      </c>
      <c r="AK798" s="13" t="s">
        <v>6892</v>
      </c>
      <c r="AL798" s="13" t="s">
        <v>88</v>
      </c>
    </row>
    <row r="799" spans="1:38" x14ac:dyDescent="0.4">
      <c r="A799" s="11" t="s">
        <v>13354</v>
      </c>
      <c r="B799" s="14" t="s">
        <v>13355</v>
      </c>
      <c r="C799" s="15" t="s">
        <v>39</v>
      </c>
      <c r="D799" s="15" t="s">
        <v>92</v>
      </c>
      <c r="E799" s="15" t="s">
        <v>3479</v>
      </c>
      <c r="F799" s="15" t="s">
        <v>178</v>
      </c>
      <c r="G799" s="15" t="s">
        <v>178</v>
      </c>
      <c r="H799" s="15" t="s">
        <v>13356</v>
      </c>
      <c r="I799" s="9">
        <f t="shared" ca="1" si="12"/>
        <v>15</v>
      </c>
      <c r="J799" s="15" t="s">
        <v>13357</v>
      </c>
      <c r="K799" s="15" t="s">
        <v>227</v>
      </c>
      <c r="L799" s="9" t="str">
        <f>VLOOKUP(K799,[1]中国省份_标准!$B$2:$F$35,4,FALSE)</f>
        <v>西部地区</v>
      </c>
      <c r="M799" s="9" t="str">
        <f>VLOOKUP(K799,[1]中国省份_标准!$B$2:$F$35,5,FALSE)</f>
        <v>西北地区</v>
      </c>
      <c r="N799" s="15" t="s">
        <v>763</v>
      </c>
      <c r="O799" s="15" t="s">
        <v>13358</v>
      </c>
      <c r="P799" s="15" t="s">
        <v>13359</v>
      </c>
      <c r="Q799" s="15" t="s">
        <v>13360</v>
      </c>
      <c r="R799" s="15" t="s">
        <v>13361</v>
      </c>
      <c r="S799" s="15" t="s">
        <v>13362</v>
      </c>
      <c r="T799" s="15" t="s">
        <v>184</v>
      </c>
      <c r="U799" s="15" t="s">
        <v>13355</v>
      </c>
      <c r="V799" s="15" t="s">
        <v>13363</v>
      </c>
      <c r="W799" s="15" t="s">
        <v>13364</v>
      </c>
      <c r="X799" s="15" t="s">
        <v>2491</v>
      </c>
      <c r="Y799" s="15" t="s">
        <v>78</v>
      </c>
      <c r="Z799" s="15" t="s">
        <v>13365</v>
      </c>
      <c r="AA799" s="15" t="s">
        <v>309</v>
      </c>
      <c r="AB799" s="15" t="s">
        <v>654</v>
      </c>
      <c r="AC799" s="15" t="s">
        <v>8729</v>
      </c>
      <c r="AD799" s="15" t="s">
        <v>8730</v>
      </c>
      <c r="AE799" s="15" t="s">
        <v>262</v>
      </c>
      <c r="AF799" s="15" t="s">
        <v>13366</v>
      </c>
      <c r="AG799" s="15" t="s">
        <v>13367</v>
      </c>
      <c r="AH799" s="15" t="s">
        <v>39</v>
      </c>
      <c r="AI799" s="15" t="s">
        <v>13368</v>
      </c>
      <c r="AJ799" s="15" t="s">
        <v>13369</v>
      </c>
      <c r="AK799" s="15" t="s">
        <v>13370</v>
      </c>
      <c r="AL799" s="15" t="s">
        <v>88</v>
      </c>
    </row>
    <row r="800" spans="1:38" x14ac:dyDescent="0.4">
      <c r="A800" s="11" t="s">
        <v>13371</v>
      </c>
      <c r="B800" s="12" t="s">
        <v>13372</v>
      </c>
      <c r="C800" s="13" t="s">
        <v>39</v>
      </c>
      <c r="D800" s="13" t="s">
        <v>92</v>
      </c>
      <c r="E800" s="13" t="s">
        <v>13373</v>
      </c>
      <c r="F800" s="13" t="s">
        <v>422</v>
      </c>
      <c r="G800" s="13" t="s">
        <v>13374</v>
      </c>
      <c r="H800" s="13" t="s">
        <v>3873</v>
      </c>
      <c r="I800" s="9">
        <f t="shared" ca="1" si="12"/>
        <v>11</v>
      </c>
      <c r="J800" s="13" t="s">
        <v>13375</v>
      </c>
      <c r="K800" s="13" t="s">
        <v>531</v>
      </c>
      <c r="L800" s="9" t="str">
        <f>VLOOKUP(K800,[1]中国省份_标准!$B$2:$F$35,4,FALSE)</f>
        <v>东部地区</v>
      </c>
      <c r="M800" s="9" t="str">
        <f>VLOOKUP(K800,[1]中国省份_标准!$B$2:$F$35,5,FALSE)</f>
        <v>华南地区</v>
      </c>
      <c r="N800" s="13" t="s">
        <v>532</v>
      </c>
      <c r="O800" s="13" t="s">
        <v>13376</v>
      </c>
      <c r="P800" s="13" t="s">
        <v>13377</v>
      </c>
      <c r="Q800" s="13" t="s">
        <v>13378</v>
      </c>
      <c r="R800" s="13" t="s">
        <v>13379</v>
      </c>
      <c r="S800" s="13" t="s">
        <v>39</v>
      </c>
      <c r="T800" s="13" t="s">
        <v>281</v>
      </c>
      <c r="U800" s="13" t="s">
        <v>13372</v>
      </c>
      <c r="V800" s="13" t="s">
        <v>13380</v>
      </c>
      <c r="W800" s="13" t="s">
        <v>13381</v>
      </c>
      <c r="X800" s="13" t="s">
        <v>1130</v>
      </c>
      <c r="Y800" s="13" t="s">
        <v>78</v>
      </c>
      <c r="Z800" s="13" t="s">
        <v>3882</v>
      </c>
      <c r="AA800" s="13" t="s">
        <v>169</v>
      </c>
      <c r="AB800" s="13" t="s">
        <v>1264</v>
      </c>
      <c r="AC800" s="13" t="s">
        <v>39</v>
      </c>
      <c r="AD800" s="13" t="s">
        <v>39</v>
      </c>
      <c r="AE800" s="13" t="s">
        <v>109</v>
      </c>
      <c r="AF800" s="13" t="s">
        <v>13382</v>
      </c>
      <c r="AG800" s="13" t="s">
        <v>39</v>
      </c>
      <c r="AH800" s="13" t="s">
        <v>39</v>
      </c>
      <c r="AI800" s="13" t="s">
        <v>13383</v>
      </c>
      <c r="AJ800" s="13" t="s">
        <v>13384</v>
      </c>
      <c r="AK800" s="13" t="s">
        <v>13385</v>
      </c>
      <c r="AL800" s="13" t="s">
        <v>88</v>
      </c>
    </row>
    <row r="801" spans="1:38" x14ac:dyDescent="0.4">
      <c r="A801" s="11" t="s">
        <v>13386</v>
      </c>
      <c r="B801" s="14" t="s">
        <v>13387</v>
      </c>
      <c r="C801" s="15" t="s">
        <v>39</v>
      </c>
      <c r="D801" s="15" t="s">
        <v>92</v>
      </c>
      <c r="E801" s="15" t="s">
        <v>13388</v>
      </c>
      <c r="F801" s="15" t="s">
        <v>398</v>
      </c>
      <c r="G801" s="15" t="s">
        <v>398</v>
      </c>
      <c r="H801" s="15" t="s">
        <v>13389</v>
      </c>
      <c r="I801" s="9">
        <f t="shared" ca="1" si="12"/>
        <v>8</v>
      </c>
      <c r="J801" s="15" t="s">
        <v>13390</v>
      </c>
      <c r="K801" s="15" t="s">
        <v>227</v>
      </c>
      <c r="L801" s="9" t="str">
        <f>VLOOKUP(K801,[1]中国省份_标准!$B$2:$F$35,4,FALSE)</f>
        <v>西部地区</v>
      </c>
      <c r="M801" s="9" t="str">
        <f>VLOOKUP(K801,[1]中国省份_标准!$B$2:$F$35,5,FALSE)</f>
        <v>西北地区</v>
      </c>
      <c r="N801" s="15" t="s">
        <v>763</v>
      </c>
      <c r="O801" s="15" t="s">
        <v>13358</v>
      </c>
      <c r="P801" s="15" t="s">
        <v>766</v>
      </c>
      <c r="Q801" s="15" t="s">
        <v>13391</v>
      </c>
      <c r="R801" s="15" t="s">
        <v>13392</v>
      </c>
      <c r="S801" s="15" t="s">
        <v>13393</v>
      </c>
      <c r="T801" s="15" t="s">
        <v>48</v>
      </c>
      <c r="U801" s="15" t="s">
        <v>13387</v>
      </c>
      <c r="V801" s="15" t="s">
        <v>13394</v>
      </c>
      <c r="W801" s="15" t="s">
        <v>13395</v>
      </c>
      <c r="X801" s="15" t="s">
        <v>540</v>
      </c>
      <c r="Y801" s="15" t="s">
        <v>78</v>
      </c>
      <c r="Z801" s="15" t="s">
        <v>13396</v>
      </c>
      <c r="AA801" s="15" t="s">
        <v>309</v>
      </c>
      <c r="AB801" s="15" t="s">
        <v>772</v>
      </c>
      <c r="AC801" s="15" t="s">
        <v>773</v>
      </c>
      <c r="AD801" s="15" t="s">
        <v>774</v>
      </c>
      <c r="AE801" s="15" t="s">
        <v>262</v>
      </c>
      <c r="AF801" s="15" t="s">
        <v>13397</v>
      </c>
      <c r="AG801" s="15" t="s">
        <v>39</v>
      </c>
      <c r="AH801" s="15" t="s">
        <v>39</v>
      </c>
      <c r="AI801" s="15" t="s">
        <v>13398</v>
      </c>
      <c r="AJ801" s="15" t="s">
        <v>13399</v>
      </c>
      <c r="AK801" s="15" t="s">
        <v>13370</v>
      </c>
      <c r="AL801" s="15" t="s">
        <v>88</v>
      </c>
    </row>
    <row r="802" spans="1:38" x14ac:dyDescent="0.4">
      <c r="A802" s="11" t="s">
        <v>13400</v>
      </c>
      <c r="B802" s="12" t="s">
        <v>13401</v>
      </c>
      <c r="C802" s="13" t="s">
        <v>13402</v>
      </c>
      <c r="D802" s="13" t="s">
        <v>92</v>
      </c>
      <c r="E802" s="13" t="s">
        <v>13403</v>
      </c>
      <c r="F802" s="13" t="s">
        <v>9731</v>
      </c>
      <c r="G802" s="13" t="s">
        <v>9731</v>
      </c>
      <c r="H802" s="13" t="s">
        <v>13404</v>
      </c>
      <c r="I802" s="9">
        <f t="shared" ca="1" si="12"/>
        <v>34</v>
      </c>
      <c r="J802" s="13" t="s">
        <v>13405</v>
      </c>
      <c r="K802" s="13" t="s">
        <v>227</v>
      </c>
      <c r="L802" s="9" t="str">
        <f>VLOOKUP(K802,[1]中国省份_标准!$B$2:$F$35,4,FALSE)</f>
        <v>西部地区</v>
      </c>
      <c r="M802" s="9" t="str">
        <f>VLOOKUP(K802,[1]中国省份_标准!$B$2:$F$35,5,FALSE)</f>
        <v>西北地区</v>
      </c>
      <c r="N802" s="13" t="s">
        <v>3212</v>
      </c>
      <c r="O802" s="13" t="s">
        <v>13406</v>
      </c>
      <c r="P802" s="13" t="s">
        <v>13407</v>
      </c>
      <c r="Q802" s="13" t="s">
        <v>13408</v>
      </c>
      <c r="R802" s="13" t="s">
        <v>13409</v>
      </c>
      <c r="S802" s="13" t="s">
        <v>13410</v>
      </c>
      <c r="T802" s="13" t="s">
        <v>7659</v>
      </c>
      <c r="U802" s="13" t="s">
        <v>13401</v>
      </c>
      <c r="V802" s="13" t="s">
        <v>13411</v>
      </c>
      <c r="W802" s="13" t="s">
        <v>13412</v>
      </c>
      <c r="X802" s="13" t="s">
        <v>1836</v>
      </c>
      <c r="Y802" s="13" t="s">
        <v>78</v>
      </c>
      <c r="Z802" s="13" t="s">
        <v>13413</v>
      </c>
      <c r="AA802" s="13" t="s">
        <v>80</v>
      </c>
      <c r="AB802" s="13" t="s">
        <v>106</v>
      </c>
      <c r="AC802" s="13" t="s">
        <v>808</v>
      </c>
      <c r="AD802" s="13" t="s">
        <v>893</v>
      </c>
      <c r="AE802" s="13" t="s">
        <v>262</v>
      </c>
      <c r="AF802" s="13" t="s">
        <v>13414</v>
      </c>
      <c r="AG802" s="13" t="s">
        <v>39</v>
      </c>
      <c r="AH802" s="13" t="s">
        <v>39</v>
      </c>
      <c r="AI802" s="13" t="s">
        <v>13415</v>
      </c>
      <c r="AJ802" s="13" t="s">
        <v>13416</v>
      </c>
      <c r="AK802" s="13" t="s">
        <v>13417</v>
      </c>
      <c r="AL802" s="13" t="s">
        <v>88</v>
      </c>
    </row>
    <row r="803" spans="1:38" x14ac:dyDescent="0.4">
      <c r="A803" s="11" t="s">
        <v>13418</v>
      </c>
      <c r="B803" s="14" t="s">
        <v>13419</v>
      </c>
      <c r="C803" s="15" t="s">
        <v>13420</v>
      </c>
      <c r="D803" s="15" t="s">
        <v>92</v>
      </c>
      <c r="E803" s="15" t="s">
        <v>13421</v>
      </c>
      <c r="F803" s="15" t="s">
        <v>999</v>
      </c>
      <c r="G803" s="15" t="s">
        <v>999</v>
      </c>
      <c r="H803" s="15" t="s">
        <v>13422</v>
      </c>
      <c r="I803" s="9">
        <f t="shared" ca="1" si="12"/>
        <v>16</v>
      </c>
      <c r="J803" s="15" t="s">
        <v>13423</v>
      </c>
      <c r="K803" s="15" t="s">
        <v>227</v>
      </c>
      <c r="L803" s="9" t="str">
        <f>VLOOKUP(K803,[1]中国省份_标准!$B$2:$F$35,4,FALSE)</f>
        <v>西部地区</v>
      </c>
      <c r="M803" s="9" t="str">
        <f>VLOOKUP(K803,[1]中国省份_标准!$B$2:$F$35,5,FALSE)</f>
        <v>西北地区</v>
      </c>
      <c r="N803" s="15" t="s">
        <v>884</v>
      </c>
      <c r="O803" s="15" t="s">
        <v>13424</v>
      </c>
      <c r="P803" s="15" t="s">
        <v>13425</v>
      </c>
      <c r="Q803" s="15" t="s">
        <v>13426</v>
      </c>
      <c r="R803" s="15" t="s">
        <v>13427</v>
      </c>
      <c r="S803" s="15" t="s">
        <v>13428</v>
      </c>
      <c r="T803" s="15" t="s">
        <v>48</v>
      </c>
      <c r="U803" s="15" t="s">
        <v>13419</v>
      </c>
      <c r="V803" s="15" t="s">
        <v>13429</v>
      </c>
      <c r="W803" s="15" t="s">
        <v>13430</v>
      </c>
      <c r="X803" s="15" t="s">
        <v>6451</v>
      </c>
      <c r="Y803" s="15" t="s">
        <v>78</v>
      </c>
      <c r="Z803" s="15" t="s">
        <v>13431</v>
      </c>
      <c r="AA803" s="15" t="s">
        <v>309</v>
      </c>
      <c r="AB803" s="15" t="s">
        <v>772</v>
      </c>
      <c r="AC803" s="15" t="s">
        <v>773</v>
      </c>
      <c r="AD803" s="15" t="s">
        <v>774</v>
      </c>
      <c r="AE803" s="15" t="s">
        <v>262</v>
      </c>
      <c r="AF803" s="15" t="s">
        <v>13432</v>
      </c>
      <c r="AG803" s="15" t="s">
        <v>39</v>
      </c>
      <c r="AH803" s="15" t="s">
        <v>39</v>
      </c>
      <c r="AI803" s="15" t="s">
        <v>13433</v>
      </c>
      <c r="AJ803" s="15" t="s">
        <v>13434</v>
      </c>
      <c r="AK803" s="15" t="s">
        <v>13435</v>
      </c>
      <c r="AL803" s="15" t="s">
        <v>88</v>
      </c>
    </row>
    <row r="804" spans="1:38" x14ac:dyDescent="0.4">
      <c r="A804" s="11" t="s">
        <v>13436</v>
      </c>
      <c r="B804" s="12" t="s">
        <v>13437</v>
      </c>
      <c r="C804" s="13" t="s">
        <v>39</v>
      </c>
      <c r="D804" s="13" t="s">
        <v>92</v>
      </c>
      <c r="E804" s="13" t="s">
        <v>13438</v>
      </c>
      <c r="F804" s="13" t="s">
        <v>862</v>
      </c>
      <c r="G804" s="13" t="s">
        <v>862</v>
      </c>
      <c r="H804" s="13" t="s">
        <v>1380</v>
      </c>
      <c r="I804" s="9">
        <f t="shared" ca="1" si="12"/>
        <v>9</v>
      </c>
      <c r="J804" s="13" t="s">
        <v>13439</v>
      </c>
      <c r="K804" s="13" t="s">
        <v>227</v>
      </c>
      <c r="L804" s="9" t="str">
        <f>VLOOKUP(K804,[1]中国省份_标准!$B$2:$F$35,4,FALSE)</f>
        <v>西部地区</v>
      </c>
      <c r="M804" s="9" t="str">
        <f>VLOOKUP(K804,[1]中国省份_标准!$B$2:$F$35,5,FALSE)</f>
        <v>西北地区</v>
      </c>
      <c r="N804" s="13" t="s">
        <v>884</v>
      </c>
      <c r="O804" s="13" t="s">
        <v>13440</v>
      </c>
      <c r="P804" s="13" t="s">
        <v>13441</v>
      </c>
      <c r="Q804" s="13" t="s">
        <v>13442</v>
      </c>
      <c r="R804" s="13" t="s">
        <v>13443</v>
      </c>
      <c r="S804" s="13" t="s">
        <v>13444</v>
      </c>
      <c r="T804" s="13" t="s">
        <v>48</v>
      </c>
      <c r="U804" s="13" t="s">
        <v>13437</v>
      </c>
      <c r="V804" s="13" t="s">
        <v>13445</v>
      </c>
      <c r="W804" s="13" t="s">
        <v>13446</v>
      </c>
      <c r="X804" s="13" t="s">
        <v>690</v>
      </c>
      <c r="Y804" s="13" t="s">
        <v>78</v>
      </c>
      <c r="Z804" s="13" t="s">
        <v>13447</v>
      </c>
      <c r="AA804" s="13" t="s">
        <v>309</v>
      </c>
      <c r="AB804" s="13" t="s">
        <v>772</v>
      </c>
      <c r="AC804" s="13" t="s">
        <v>773</v>
      </c>
      <c r="AD804" s="13" t="s">
        <v>774</v>
      </c>
      <c r="AE804" s="13" t="s">
        <v>262</v>
      </c>
      <c r="AF804" s="13" t="s">
        <v>13448</v>
      </c>
      <c r="AG804" s="13" t="s">
        <v>39</v>
      </c>
      <c r="AH804" s="13" t="s">
        <v>39</v>
      </c>
      <c r="AI804" s="13" t="s">
        <v>13449</v>
      </c>
      <c r="AJ804" s="13" t="s">
        <v>13450</v>
      </c>
      <c r="AK804" s="13" t="s">
        <v>13451</v>
      </c>
      <c r="AL804" s="13" t="s">
        <v>88</v>
      </c>
    </row>
    <row r="805" spans="1:38" x14ac:dyDescent="0.4">
      <c r="A805" s="11" t="s">
        <v>13452</v>
      </c>
      <c r="B805" s="14" t="s">
        <v>13453</v>
      </c>
      <c r="C805" s="15" t="s">
        <v>13454</v>
      </c>
      <c r="D805" s="15" t="s">
        <v>92</v>
      </c>
      <c r="E805" s="15" t="s">
        <v>13455</v>
      </c>
      <c r="F805" s="15" t="s">
        <v>640</v>
      </c>
      <c r="G805" s="15" t="s">
        <v>640</v>
      </c>
      <c r="H805" s="15" t="s">
        <v>13456</v>
      </c>
      <c r="I805" s="9">
        <f t="shared" ca="1" si="12"/>
        <v>12</v>
      </c>
      <c r="J805" s="15" t="s">
        <v>13457</v>
      </c>
      <c r="K805" s="15" t="s">
        <v>227</v>
      </c>
      <c r="L805" s="9" t="str">
        <f>VLOOKUP(K805,[1]中国省份_标准!$B$2:$F$35,4,FALSE)</f>
        <v>西部地区</v>
      </c>
      <c r="M805" s="9" t="str">
        <f>VLOOKUP(K805,[1]中国省份_标准!$B$2:$F$35,5,FALSE)</f>
        <v>西北地区</v>
      </c>
      <c r="N805" s="15" t="s">
        <v>884</v>
      </c>
      <c r="O805" s="15" t="s">
        <v>885</v>
      </c>
      <c r="P805" s="15" t="s">
        <v>13458</v>
      </c>
      <c r="Q805" s="15" t="s">
        <v>13459</v>
      </c>
      <c r="R805" s="15" t="s">
        <v>13460</v>
      </c>
      <c r="S805" s="15" t="s">
        <v>13461</v>
      </c>
      <c r="T805" s="15" t="s">
        <v>281</v>
      </c>
      <c r="U805" s="15" t="s">
        <v>13453</v>
      </c>
      <c r="V805" s="15" t="s">
        <v>13462</v>
      </c>
      <c r="W805" s="15" t="s">
        <v>13463</v>
      </c>
      <c r="X805" s="15" t="s">
        <v>77</v>
      </c>
      <c r="Y805" s="15" t="s">
        <v>78</v>
      </c>
      <c r="Z805" s="15" t="s">
        <v>13464</v>
      </c>
      <c r="AA805" s="15" t="s">
        <v>80</v>
      </c>
      <c r="AB805" s="15" t="s">
        <v>106</v>
      </c>
      <c r="AC805" s="15" t="s">
        <v>808</v>
      </c>
      <c r="AD805" s="15" t="s">
        <v>893</v>
      </c>
      <c r="AE805" s="15" t="s">
        <v>55</v>
      </c>
      <c r="AF805" s="15" t="s">
        <v>13465</v>
      </c>
      <c r="AG805" s="15" t="s">
        <v>39</v>
      </c>
      <c r="AH805" s="15" t="s">
        <v>39</v>
      </c>
      <c r="AI805" s="15" t="s">
        <v>13466</v>
      </c>
      <c r="AJ805" s="15" t="s">
        <v>13467</v>
      </c>
      <c r="AK805" s="15" t="s">
        <v>897</v>
      </c>
      <c r="AL805" s="15" t="s">
        <v>88</v>
      </c>
    </row>
    <row r="806" spans="1:38" x14ac:dyDescent="0.4">
      <c r="A806" s="11" t="s">
        <v>13468</v>
      </c>
      <c r="B806" s="12" t="s">
        <v>13469</v>
      </c>
      <c r="C806" s="13" t="s">
        <v>39</v>
      </c>
      <c r="D806" s="13" t="s">
        <v>92</v>
      </c>
      <c r="E806" s="13" t="s">
        <v>13470</v>
      </c>
      <c r="F806" s="13" t="s">
        <v>154</v>
      </c>
      <c r="G806" s="13" t="s">
        <v>154</v>
      </c>
      <c r="H806" s="13" t="s">
        <v>13471</v>
      </c>
      <c r="I806" s="9">
        <f t="shared" ca="1" si="12"/>
        <v>12</v>
      </c>
      <c r="J806" s="13" t="s">
        <v>13472</v>
      </c>
      <c r="K806" s="13" t="s">
        <v>531</v>
      </c>
      <c r="L806" s="9" t="str">
        <f>VLOOKUP(K806,[1]中国省份_标准!$B$2:$F$35,4,FALSE)</f>
        <v>东部地区</v>
      </c>
      <c r="M806" s="9" t="str">
        <f>VLOOKUP(K806,[1]中国省份_标准!$B$2:$F$35,5,FALSE)</f>
        <v>华南地区</v>
      </c>
      <c r="N806" s="13" t="s">
        <v>1450</v>
      </c>
      <c r="O806" s="13" t="s">
        <v>1847</v>
      </c>
      <c r="P806" s="13" t="s">
        <v>13473</v>
      </c>
      <c r="Q806" s="13" t="s">
        <v>13474</v>
      </c>
      <c r="R806" s="13" t="s">
        <v>13475</v>
      </c>
      <c r="S806" s="13" t="s">
        <v>39</v>
      </c>
      <c r="T806" s="13" t="s">
        <v>281</v>
      </c>
      <c r="U806" s="13" t="s">
        <v>13469</v>
      </c>
      <c r="V806" s="13" t="s">
        <v>13476</v>
      </c>
      <c r="W806" s="13" t="s">
        <v>13477</v>
      </c>
      <c r="X806" s="13" t="s">
        <v>990</v>
      </c>
      <c r="Y806" s="13" t="s">
        <v>78</v>
      </c>
      <c r="Z806" s="13" t="s">
        <v>13478</v>
      </c>
      <c r="AA806" s="13" t="s">
        <v>80</v>
      </c>
      <c r="AB806" s="13" t="s">
        <v>106</v>
      </c>
      <c r="AC806" s="13" t="s">
        <v>388</v>
      </c>
      <c r="AD806" s="13" t="s">
        <v>434</v>
      </c>
      <c r="AE806" s="13" t="s">
        <v>109</v>
      </c>
      <c r="AF806" s="13" t="s">
        <v>13479</v>
      </c>
      <c r="AG806" s="13" t="s">
        <v>39</v>
      </c>
      <c r="AH806" s="13" t="s">
        <v>39</v>
      </c>
      <c r="AI806" s="13" t="s">
        <v>13480</v>
      </c>
      <c r="AJ806" s="13" t="s">
        <v>13481</v>
      </c>
      <c r="AK806" s="13" t="s">
        <v>1856</v>
      </c>
      <c r="AL806" s="13" t="s">
        <v>88</v>
      </c>
    </row>
    <row r="807" spans="1:38" x14ac:dyDescent="0.4">
      <c r="A807" s="11" t="s">
        <v>13482</v>
      </c>
      <c r="B807" s="14" t="s">
        <v>13483</v>
      </c>
      <c r="C807" s="15" t="s">
        <v>39</v>
      </c>
      <c r="D807" s="15" t="s">
        <v>92</v>
      </c>
      <c r="E807" s="15" t="s">
        <v>13484</v>
      </c>
      <c r="F807" s="15" t="s">
        <v>13485</v>
      </c>
      <c r="G807" s="15" t="s">
        <v>13485</v>
      </c>
      <c r="H807" s="15" t="s">
        <v>13486</v>
      </c>
      <c r="I807" s="9">
        <f t="shared" ca="1" si="12"/>
        <v>6</v>
      </c>
      <c r="J807" s="15" t="s">
        <v>13487</v>
      </c>
      <c r="K807" s="15" t="s">
        <v>227</v>
      </c>
      <c r="L807" s="9" t="str">
        <f>VLOOKUP(K807,[1]中国省份_标准!$B$2:$F$35,4,FALSE)</f>
        <v>西部地区</v>
      </c>
      <c r="M807" s="9" t="str">
        <f>VLOOKUP(K807,[1]中国省份_标准!$B$2:$F$35,5,FALSE)</f>
        <v>西北地区</v>
      </c>
      <c r="N807" s="15" t="s">
        <v>884</v>
      </c>
      <c r="O807" s="15" t="s">
        <v>885</v>
      </c>
      <c r="P807" s="15" t="s">
        <v>13488</v>
      </c>
      <c r="Q807" s="15" t="s">
        <v>39</v>
      </c>
      <c r="R807" s="15" t="s">
        <v>13489</v>
      </c>
      <c r="S807" s="15" t="s">
        <v>39</v>
      </c>
      <c r="T807" s="15" t="s">
        <v>48</v>
      </c>
      <c r="U807" s="15" t="s">
        <v>13483</v>
      </c>
      <c r="V807" s="15" t="s">
        <v>13490</v>
      </c>
      <c r="W807" s="15" t="s">
        <v>13491</v>
      </c>
      <c r="X807" s="15" t="s">
        <v>77</v>
      </c>
      <c r="Y807" s="15" t="s">
        <v>78</v>
      </c>
      <c r="Z807" s="15" t="s">
        <v>13492</v>
      </c>
      <c r="AA807" s="15" t="s">
        <v>80</v>
      </c>
      <c r="AB807" s="15" t="s">
        <v>106</v>
      </c>
      <c r="AC807" s="15" t="s">
        <v>808</v>
      </c>
      <c r="AD807" s="15" t="s">
        <v>893</v>
      </c>
      <c r="AE807" s="15" t="s">
        <v>109</v>
      </c>
      <c r="AF807" s="15" t="s">
        <v>13493</v>
      </c>
      <c r="AG807" s="15" t="s">
        <v>39</v>
      </c>
      <c r="AH807" s="15" t="s">
        <v>39</v>
      </c>
      <c r="AI807" s="15" t="s">
        <v>13494</v>
      </c>
      <c r="AJ807" s="15" t="s">
        <v>13495</v>
      </c>
      <c r="AK807" s="15" t="s">
        <v>897</v>
      </c>
      <c r="AL807" s="15" t="s">
        <v>88</v>
      </c>
    </row>
    <row r="808" spans="1:38" x14ac:dyDescent="0.4">
      <c r="A808" s="11" t="s">
        <v>13496</v>
      </c>
      <c r="B808" s="12" t="s">
        <v>13497</v>
      </c>
      <c r="C808" s="13" t="s">
        <v>39</v>
      </c>
      <c r="D808" s="13" t="s">
        <v>92</v>
      </c>
      <c r="E808" s="13" t="s">
        <v>13498</v>
      </c>
      <c r="F808" s="13" t="s">
        <v>999</v>
      </c>
      <c r="G808" s="13" t="s">
        <v>13499</v>
      </c>
      <c r="H808" s="13" t="s">
        <v>13500</v>
      </c>
      <c r="I808" s="9">
        <f t="shared" ca="1" si="12"/>
        <v>6</v>
      </c>
      <c r="J808" s="13" t="s">
        <v>13501</v>
      </c>
      <c r="K808" s="13" t="s">
        <v>227</v>
      </c>
      <c r="L808" s="9" t="str">
        <f>VLOOKUP(K808,[1]中国省份_标准!$B$2:$F$35,4,FALSE)</f>
        <v>西部地区</v>
      </c>
      <c r="M808" s="9" t="str">
        <f>VLOOKUP(K808,[1]中国省份_标准!$B$2:$F$35,5,FALSE)</f>
        <v>西北地区</v>
      </c>
      <c r="N808" s="13" t="s">
        <v>884</v>
      </c>
      <c r="O808" s="13" t="s">
        <v>885</v>
      </c>
      <c r="P808" s="13" t="s">
        <v>13502</v>
      </c>
      <c r="Q808" s="13" t="s">
        <v>13503</v>
      </c>
      <c r="R808" s="13" t="s">
        <v>13504</v>
      </c>
      <c r="S808" s="13" t="s">
        <v>13505</v>
      </c>
      <c r="T808" s="13" t="s">
        <v>48</v>
      </c>
      <c r="U808" s="13" t="s">
        <v>13497</v>
      </c>
      <c r="V808" s="13" t="s">
        <v>13506</v>
      </c>
      <c r="W808" s="13" t="s">
        <v>13507</v>
      </c>
      <c r="X808" s="13" t="s">
        <v>77</v>
      </c>
      <c r="Y808" s="13" t="s">
        <v>78</v>
      </c>
      <c r="Z808" s="13" t="s">
        <v>13508</v>
      </c>
      <c r="AA808" s="13" t="s">
        <v>309</v>
      </c>
      <c r="AB808" s="13" t="s">
        <v>772</v>
      </c>
      <c r="AC808" s="13" t="s">
        <v>773</v>
      </c>
      <c r="AD808" s="13" t="s">
        <v>774</v>
      </c>
      <c r="AE808" s="13" t="s">
        <v>55</v>
      </c>
      <c r="AF808" s="13" t="s">
        <v>13509</v>
      </c>
      <c r="AG808" s="13" t="s">
        <v>39</v>
      </c>
      <c r="AH808" s="13" t="s">
        <v>39</v>
      </c>
      <c r="AI808" s="13" t="s">
        <v>13510</v>
      </c>
      <c r="AJ808" s="13" t="s">
        <v>13511</v>
      </c>
      <c r="AK808" s="13" t="s">
        <v>897</v>
      </c>
      <c r="AL808" s="13" t="s">
        <v>88</v>
      </c>
    </row>
    <row r="809" spans="1:38" x14ac:dyDescent="0.4">
      <c r="A809" s="11" t="s">
        <v>13512</v>
      </c>
      <c r="B809" s="14" t="s">
        <v>13513</v>
      </c>
      <c r="C809" s="15" t="s">
        <v>39</v>
      </c>
      <c r="D809" s="15" t="s">
        <v>92</v>
      </c>
      <c r="E809" s="15" t="s">
        <v>13514</v>
      </c>
      <c r="F809" s="15" t="s">
        <v>271</v>
      </c>
      <c r="G809" s="15" t="s">
        <v>271</v>
      </c>
      <c r="H809" s="15" t="s">
        <v>1103</v>
      </c>
      <c r="I809" s="9">
        <f t="shared" ca="1" si="12"/>
        <v>5</v>
      </c>
      <c r="J809" s="15" t="s">
        <v>13515</v>
      </c>
      <c r="K809" s="15" t="s">
        <v>227</v>
      </c>
      <c r="L809" s="9" t="str">
        <f>VLOOKUP(K809,[1]中国省份_标准!$B$2:$F$35,4,FALSE)</f>
        <v>西部地区</v>
      </c>
      <c r="M809" s="9" t="str">
        <f>VLOOKUP(K809,[1]中国省份_标准!$B$2:$F$35,5,FALSE)</f>
        <v>西北地区</v>
      </c>
      <c r="N809" s="15" t="s">
        <v>884</v>
      </c>
      <c r="O809" s="15" t="s">
        <v>885</v>
      </c>
      <c r="P809" s="15" t="s">
        <v>13516</v>
      </c>
      <c r="Q809" s="15" t="s">
        <v>39</v>
      </c>
      <c r="R809" s="15" t="s">
        <v>13517</v>
      </c>
      <c r="S809" s="15" t="s">
        <v>39</v>
      </c>
      <c r="T809" s="15" t="s">
        <v>48</v>
      </c>
      <c r="U809" s="15" t="s">
        <v>13513</v>
      </c>
      <c r="V809" s="15" t="s">
        <v>39</v>
      </c>
      <c r="W809" s="15" t="s">
        <v>13518</v>
      </c>
      <c r="X809" s="15" t="s">
        <v>77</v>
      </c>
      <c r="Y809" s="15" t="s">
        <v>78</v>
      </c>
      <c r="Z809" s="15" t="s">
        <v>1112</v>
      </c>
      <c r="AA809" s="15" t="s">
        <v>169</v>
      </c>
      <c r="AB809" s="15" t="s">
        <v>285</v>
      </c>
      <c r="AC809" s="15" t="s">
        <v>479</v>
      </c>
      <c r="AD809" s="15" t="s">
        <v>480</v>
      </c>
      <c r="AE809" s="15" t="s">
        <v>55</v>
      </c>
      <c r="AF809" s="15" t="s">
        <v>13519</v>
      </c>
      <c r="AG809" s="15" t="s">
        <v>39</v>
      </c>
      <c r="AH809" s="15" t="s">
        <v>39</v>
      </c>
      <c r="AI809" s="15" t="s">
        <v>13520</v>
      </c>
      <c r="AJ809" s="15" t="s">
        <v>13521</v>
      </c>
      <c r="AK809" s="15" t="s">
        <v>897</v>
      </c>
      <c r="AL809" s="15" t="s">
        <v>88</v>
      </c>
    </row>
    <row r="810" spans="1:38" x14ac:dyDescent="0.4">
      <c r="A810" s="11" t="s">
        <v>13522</v>
      </c>
      <c r="B810" s="12" t="s">
        <v>13523</v>
      </c>
      <c r="C810" s="13" t="s">
        <v>39</v>
      </c>
      <c r="D810" s="13" t="s">
        <v>92</v>
      </c>
      <c r="E810" s="13" t="s">
        <v>9451</v>
      </c>
      <c r="F810" s="13" t="s">
        <v>13524</v>
      </c>
      <c r="G810" s="13" t="s">
        <v>13524</v>
      </c>
      <c r="H810" s="13" t="s">
        <v>13525</v>
      </c>
      <c r="I810" s="9">
        <f t="shared" ca="1" si="12"/>
        <v>23</v>
      </c>
      <c r="J810" s="13" t="s">
        <v>13526</v>
      </c>
      <c r="K810" s="13" t="s">
        <v>227</v>
      </c>
      <c r="L810" s="9" t="str">
        <f>VLOOKUP(K810,[1]中国省份_标准!$B$2:$F$35,4,FALSE)</f>
        <v>西部地区</v>
      </c>
      <c r="M810" s="9" t="str">
        <f>VLOOKUP(K810,[1]中国省份_标准!$B$2:$F$35,5,FALSE)</f>
        <v>西北地区</v>
      </c>
      <c r="N810" s="13" t="s">
        <v>7434</v>
      </c>
      <c r="O810" s="13" t="s">
        <v>13527</v>
      </c>
      <c r="P810" s="13" t="s">
        <v>13528</v>
      </c>
      <c r="Q810" s="13" t="s">
        <v>13529</v>
      </c>
      <c r="R810" s="13" t="s">
        <v>13530</v>
      </c>
      <c r="S810" s="13" t="s">
        <v>13531</v>
      </c>
      <c r="T810" s="13" t="s">
        <v>452</v>
      </c>
      <c r="U810" s="13" t="s">
        <v>13523</v>
      </c>
      <c r="V810" s="13" t="s">
        <v>13532</v>
      </c>
      <c r="W810" s="13" t="s">
        <v>13533</v>
      </c>
      <c r="X810" s="13" t="s">
        <v>990</v>
      </c>
      <c r="Y810" s="13" t="s">
        <v>78</v>
      </c>
      <c r="Z810" s="13" t="s">
        <v>13534</v>
      </c>
      <c r="AA810" s="13" t="s">
        <v>309</v>
      </c>
      <c r="AB810" s="13" t="s">
        <v>772</v>
      </c>
      <c r="AC810" s="13" t="s">
        <v>773</v>
      </c>
      <c r="AD810" s="13" t="s">
        <v>774</v>
      </c>
      <c r="AE810" s="13" t="s">
        <v>262</v>
      </c>
      <c r="AF810" s="13" t="s">
        <v>13535</v>
      </c>
      <c r="AG810" s="13" t="s">
        <v>39</v>
      </c>
      <c r="AH810" s="13" t="s">
        <v>39</v>
      </c>
      <c r="AI810" s="13" t="s">
        <v>13536</v>
      </c>
      <c r="AJ810" s="13" t="s">
        <v>13537</v>
      </c>
      <c r="AK810" s="13" t="s">
        <v>13538</v>
      </c>
      <c r="AL810" s="13" t="s">
        <v>88</v>
      </c>
    </row>
    <row r="811" spans="1:38" x14ac:dyDescent="0.4">
      <c r="A811" s="11" t="s">
        <v>13539</v>
      </c>
      <c r="B811" s="14" t="s">
        <v>13540</v>
      </c>
      <c r="C811" s="15" t="s">
        <v>13541</v>
      </c>
      <c r="D811" s="15" t="s">
        <v>92</v>
      </c>
      <c r="E811" s="15" t="s">
        <v>13542</v>
      </c>
      <c r="F811" s="15" t="s">
        <v>9502</v>
      </c>
      <c r="G811" s="15" t="s">
        <v>9502</v>
      </c>
      <c r="H811" s="15" t="s">
        <v>13543</v>
      </c>
      <c r="I811" s="9">
        <f t="shared" ca="1" si="12"/>
        <v>34</v>
      </c>
      <c r="J811" s="15" t="s">
        <v>13544</v>
      </c>
      <c r="K811" s="15" t="s">
        <v>227</v>
      </c>
      <c r="L811" s="9" t="str">
        <f>VLOOKUP(K811,[1]中国省份_标准!$B$2:$F$35,4,FALSE)</f>
        <v>西部地区</v>
      </c>
      <c r="M811" s="9" t="str">
        <f>VLOOKUP(K811,[1]中国省份_标准!$B$2:$F$35,5,FALSE)</f>
        <v>西北地区</v>
      </c>
      <c r="N811" s="15" t="s">
        <v>3212</v>
      </c>
      <c r="O811" s="15" t="s">
        <v>13545</v>
      </c>
      <c r="P811" s="15" t="s">
        <v>13546</v>
      </c>
      <c r="Q811" s="15" t="s">
        <v>13547</v>
      </c>
      <c r="R811" s="15" t="s">
        <v>13548</v>
      </c>
      <c r="S811" s="15" t="s">
        <v>13549</v>
      </c>
      <c r="T811" s="15" t="s">
        <v>209</v>
      </c>
      <c r="U811" s="15" t="s">
        <v>13540</v>
      </c>
      <c r="V811" s="15" t="s">
        <v>13550</v>
      </c>
      <c r="W811" s="15" t="s">
        <v>13551</v>
      </c>
      <c r="X811" s="15" t="s">
        <v>4934</v>
      </c>
      <c r="Y811" s="15" t="s">
        <v>78</v>
      </c>
      <c r="Z811" s="15" t="s">
        <v>13552</v>
      </c>
      <c r="AA811" s="15" t="s">
        <v>169</v>
      </c>
      <c r="AB811" s="15" t="s">
        <v>285</v>
      </c>
      <c r="AC811" s="15" t="s">
        <v>479</v>
      </c>
      <c r="AD811" s="15" t="s">
        <v>480</v>
      </c>
      <c r="AE811" s="15" t="s">
        <v>55</v>
      </c>
      <c r="AF811" s="15" t="s">
        <v>13553</v>
      </c>
      <c r="AG811" s="15" t="s">
        <v>39</v>
      </c>
      <c r="AH811" s="15" t="s">
        <v>39</v>
      </c>
      <c r="AI811" s="15" t="s">
        <v>13554</v>
      </c>
      <c r="AJ811" s="15" t="s">
        <v>13555</v>
      </c>
      <c r="AK811" s="15" t="s">
        <v>13556</v>
      </c>
      <c r="AL811" s="15" t="s">
        <v>88</v>
      </c>
    </row>
    <row r="812" spans="1:38" x14ac:dyDescent="0.4">
      <c r="A812" s="11" t="s">
        <v>13557</v>
      </c>
      <c r="B812" s="12" t="s">
        <v>13558</v>
      </c>
      <c r="C812" s="13" t="s">
        <v>39</v>
      </c>
      <c r="D812" s="13" t="s">
        <v>92</v>
      </c>
      <c r="E812" s="13" t="s">
        <v>13559</v>
      </c>
      <c r="F812" s="13" t="s">
        <v>271</v>
      </c>
      <c r="G812" s="13" t="s">
        <v>271</v>
      </c>
      <c r="H812" s="13" t="s">
        <v>13560</v>
      </c>
      <c r="I812" s="9">
        <f t="shared" ca="1" si="12"/>
        <v>27</v>
      </c>
      <c r="J812" s="13" t="s">
        <v>13561</v>
      </c>
      <c r="K812" s="13" t="s">
        <v>4860</v>
      </c>
      <c r="L812" s="9" t="str">
        <f>VLOOKUP(K812,[1]中国省份_标准!$B$2:$F$35,4,FALSE)</f>
        <v>东部地区</v>
      </c>
      <c r="M812" s="9" t="str">
        <f>VLOOKUP(K812,[1]中国省份_标准!$B$2:$F$35,5,FALSE)</f>
        <v>华南地区</v>
      </c>
      <c r="N812" s="13" t="s">
        <v>4861</v>
      </c>
      <c r="O812" s="13" t="s">
        <v>13562</v>
      </c>
      <c r="P812" s="13" t="s">
        <v>13563</v>
      </c>
      <c r="Q812" s="13" t="s">
        <v>13564</v>
      </c>
      <c r="R812" s="13" t="s">
        <v>13565</v>
      </c>
      <c r="S812" s="13" t="s">
        <v>13566</v>
      </c>
      <c r="T812" s="13" t="s">
        <v>48</v>
      </c>
      <c r="U812" s="13" t="s">
        <v>13558</v>
      </c>
      <c r="V812" s="13" t="s">
        <v>13567</v>
      </c>
      <c r="W812" s="13" t="s">
        <v>13568</v>
      </c>
      <c r="X812" s="13" t="s">
        <v>10576</v>
      </c>
      <c r="Y812" s="13" t="s">
        <v>78</v>
      </c>
      <c r="Z812" s="13" t="s">
        <v>13569</v>
      </c>
      <c r="AA812" s="13" t="s">
        <v>169</v>
      </c>
      <c r="AB812" s="13" t="s">
        <v>412</v>
      </c>
      <c r="AC812" s="13" t="s">
        <v>413</v>
      </c>
      <c r="AD812" s="13" t="s">
        <v>1687</v>
      </c>
      <c r="AE812" s="13" t="s">
        <v>55</v>
      </c>
      <c r="AF812" s="13" t="s">
        <v>13570</v>
      </c>
      <c r="AG812" s="13" t="s">
        <v>39</v>
      </c>
      <c r="AH812" s="13" t="s">
        <v>39</v>
      </c>
      <c r="AI812" s="13" t="s">
        <v>13571</v>
      </c>
      <c r="AJ812" s="13" t="s">
        <v>13572</v>
      </c>
      <c r="AK812" s="13" t="s">
        <v>13573</v>
      </c>
      <c r="AL812" s="13" t="s">
        <v>88</v>
      </c>
    </row>
    <row r="813" spans="1:38" x14ac:dyDescent="0.4">
      <c r="A813" s="11" t="s">
        <v>13574</v>
      </c>
      <c r="B813" s="14" t="s">
        <v>13575</v>
      </c>
      <c r="C813" s="15" t="s">
        <v>13576</v>
      </c>
      <c r="D813" s="15" t="s">
        <v>92</v>
      </c>
      <c r="E813" s="15" t="s">
        <v>13577</v>
      </c>
      <c r="F813" s="15" t="s">
        <v>13578</v>
      </c>
      <c r="G813" s="15" t="s">
        <v>13578</v>
      </c>
      <c r="H813" s="15" t="s">
        <v>1429</v>
      </c>
      <c r="I813" s="9">
        <f t="shared" ca="1" si="12"/>
        <v>19</v>
      </c>
      <c r="J813" s="15" t="s">
        <v>13579</v>
      </c>
      <c r="K813" s="15" t="s">
        <v>3189</v>
      </c>
      <c r="L813" s="9" t="str">
        <f>VLOOKUP(K813,[1]中国省份_标准!$B$2:$F$35,4,FALSE)</f>
        <v>西部地区</v>
      </c>
      <c r="M813" s="9" t="str">
        <f>VLOOKUP(K813,[1]中国省份_标准!$B$2:$F$35,5,FALSE)</f>
        <v>西南地区</v>
      </c>
      <c r="N813" s="15" t="s">
        <v>3189</v>
      </c>
      <c r="O813" s="15" t="s">
        <v>13580</v>
      </c>
      <c r="P813" s="15" t="s">
        <v>13581</v>
      </c>
      <c r="Q813" s="15" t="s">
        <v>13582</v>
      </c>
      <c r="R813" s="15" t="s">
        <v>13583</v>
      </c>
      <c r="S813" s="15" t="s">
        <v>13584</v>
      </c>
      <c r="T813" s="15" t="s">
        <v>4884</v>
      </c>
      <c r="U813" s="15" t="s">
        <v>13575</v>
      </c>
      <c r="V813" s="15" t="s">
        <v>13585</v>
      </c>
      <c r="W813" s="15" t="s">
        <v>13586</v>
      </c>
      <c r="X813" s="15" t="s">
        <v>3117</v>
      </c>
      <c r="Y813" s="15" t="s">
        <v>78</v>
      </c>
      <c r="Z813" s="15" t="s">
        <v>13587</v>
      </c>
      <c r="AA813" s="15" t="s">
        <v>169</v>
      </c>
      <c r="AB813" s="15" t="s">
        <v>412</v>
      </c>
      <c r="AC813" s="15" t="s">
        <v>413</v>
      </c>
      <c r="AD813" s="15" t="s">
        <v>1687</v>
      </c>
      <c r="AE813" s="15" t="s">
        <v>55</v>
      </c>
      <c r="AF813" s="15" t="s">
        <v>13588</v>
      </c>
      <c r="AG813" s="15" t="s">
        <v>13589</v>
      </c>
      <c r="AH813" s="15" t="s">
        <v>39</v>
      </c>
      <c r="AI813" s="15" t="s">
        <v>13590</v>
      </c>
      <c r="AJ813" s="15" t="s">
        <v>13591</v>
      </c>
      <c r="AK813" s="15" t="s">
        <v>13592</v>
      </c>
      <c r="AL813" s="15" t="s">
        <v>88</v>
      </c>
    </row>
    <row r="814" spans="1:38" x14ac:dyDescent="0.4">
      <c r="A814" s="11" t="s">
        <v>13593</v>
      </c>
      <c r="B814" s="12" t="s">
        <v>13594</v>
      </c>
      <c r="C814" s="13" t="s">
        <v>13595</v>
      </c>
      <c r="D814" s="13" t="s">
        <v>92</v>
      </c>
      <c r="E814" s="13" t="s">
        <v>13596</v>
      </c>
      <c r="F814" s="13" t="s">
        <v>271</v>
      </c>
      <c r="G814" s="13" t="s">
        <v>271</v>
      </c>
      <c r="H814" s="13" t="s">
        <v>13597</v>
      </c>
      <c r="I814" s="9">
        <f t="shared" ca="1" si="12"/>
        <v>28</v>
      </c>
      <c r="J814" s="13" t="s">
        <v>13598</v>
      </c>
      <c r="K814" s="13" t="s">
        <v>227</v>
      </c>
      <c r="L814" s="9" t="str">
        <f>VLOOKUP(K814,[1]中国省份_标准!$B$2:$F$35,4,FALSE)</f>
        <v>西部地区</v>
      </c>
      <c r="M814" s="9" t="str">
        <f>VLOOKUP(K814,[1]中国省份_标准!$B$2:$F$35,5,FALSE)</f>
        <v>西北地区</v>
      </c>
      <c r="N814" s="13" t="s">
        <v>744</v>
      </c>
      <c r="O814" s="13" t="s">
        <v>745</v>
      </c>
      <c r="P814" s="13" t="s">
        <v>13599</v>
      </c>
      <c r="Q814" s="13" t="s">
        <v>13600</v>
      </c>
      <c r="R814" s="13" t="s">
        <v>13601</v>
      </c>
      <c r="S814" s="13" t="s">
        <v>39</v>
      </c>
      <c r="T814" s="13" t="s">
        <v>48</v>
      </c>
      <c r="U814" s="13" t="s">
        <v>13594</v>
      </c>
      <c r="V814" s="13" t="s">
        <v>13602</v>
      </c>
      <c r="W814" s="13" t="s">
        <v>13603</v>
      </c>
      <c r="X814" s="13" t="s">
        <v>540</v>
      </c>
      <c r="Y814" s="13" t="s">
        <v>78</v>
      </c>
      <c r="Z814" s="13" t="s">
        <v>13604</v>
      </c>
      <c r="AA814" s="13" t="s">
        <v>169</v>
      </c>
      <c r="AB814" s="13" t="s">
        <v>285</v>
      </c>
      <c r="AC814" s="13" t="s">
        <v>479</v>
      </c>
      <c r="AD814" s="13" t="s">
        <v>480</v>
      </c>
      <c r="AE814" s="13" t="s">
        <v>55</v>
      </c>
      <c r="AF814" s="13" t="s">
        <v>13605</v>
      </c>
      <c r="AG814" s="13" t="s">
        <v>39</v>
      </c>
      <c r="AH814" s="13" t="s">
        <v>39</v>
      </c>
      <c r="AI814" s="13" t="s">
        <v>13606</v>
      </c>
      <c r="AJ814" s="13" t="s">
        <v>13607</v>
      </c>
      <c r="AK814" s="13" t="s">
        <v>755</v>
      </c>
      <c r="AL814" s="13" t="s">
        <v>88</v>
      </c>
    </row>
    <row r="815" spans="1:38" x14ac:dyDescent="0.4">
      <c r="A815" s="11" t="s">
        <v>13608</v>
      </c>
      <c r="B815" s="14" t="s">
        <v>13609</v>
      </c>
      <c r="C815" s="15" t="s">
        <v>39</v>
      </c>
      <c r="D815" s="15" t="s">
        <v>92</v>
      </c>
      <c r="E815" s="15" t="s">
        <v>13610</v>
      </c>
      <c r="F815" s="15" t="s">
        <v>271</v>
      </c>
      <c r="G815" s="15" t="s">
        <v>271</v>
      </c>
      <c r="H815" s="15" t="s">
        <v>13611</v>
      </c>
      <c r="I815" s="9">
        <f t="shared" ca="1" si="12"/>
        <v>17</v>
      </c>
      <c r="J815" s="15" t="s">
        <v>13612</v>
      </c>
      <c r="K815" s="15" t="s">
        <v>227</v>
      </c>
      <c r="L815" s="9" t="str">
        <f>VLOOKUP(K815,[1]中国省份_标准!$B$2:$F$35,4,FALSE)</f>
        <v>西部地区</v>
      </c>
      <c r="M815" s="9" t="str">
        <f>VLOOKUP(K815,[1]中国省份_标准!$B$2:$F$35,5,FALSE)</f>
        <v>西北地区</v>
      </c>
      <c r="N815" s="15" t="s">
        <v>744</v>
      </c>
      <c r="O815" s="15" t="s">
        <v>745</v>
      </c>
      <c r="P815" s="15" t="s">
        <v>13613</v>
      </c>
      <c r="Q815" s="15" t="s">
        <v>13614</v>
      </c>
      <c r="R815" s="15" t="s">
        <v>13615</v>
      </c>
      <c r="S815" s="15" t="s">
        <v>39</v>
      </c>
      <c r="T815" s="15" t="s">
        <v>48</v>
      </c>
      <c r="U815" s="15" t="s">
        <v>13609</v>
      </c>
      <c r="V815" s="15" t="s">
        <v>13616</v>
      </c>
      <c r="W815" s="15" t="s">
        <v>13617</v>
      </c>
      <c r="X815" s="15" t="s">
        <v>791</v>
      </c>
      <c r="Y815" s="15" t="s">
        <v>78</v>
      </c>
      <c r="Z815" s="15" t="s">
        <v>13618</v>
      </c>
      <c r="AA815" s="15" t="s">
        <v>169</v>
      </c>
      <c r="AB815" s="15" t="s">
        <v>285</v>
      </c>
      <c r="AC815" s="15" t="s">
        <v>6423</v>
      </c>
      <c r="AD815" s="15" t="s">
        <v>6424</v>
      </c>
      <c r="AE815" s="15" t="s">
        <v>55</v>
      </c>
      <c r="AF815" s="15" t="s">
        <v>13619</v>
      </c>
      <c r="AG815" s="15" t="s">
        <v>39</v>
      </c>
      <c r="AH815" s="15" t="s">
        <v>39</v>
      </c>
      <c r="AI815" s="15" t="s">
        <v>13620</v>
      </c>
      <c r="AJ815" s="15" t="s">
        <v>13621</v>
      </c>
      <c r="AK815" s="15" t="s">
        <v>755</v>
      </c>
      <c r="AL815" s="15" t="s">
        <v>88</v>
      </c>
    </row>
    <row r="816" spans="1:38" x14ac:dyDescent="0.4">
      <c r="A816" s="11" t="s">
        <v>13622</v>
      </c>
      <c r="B816" s="12" t="s">
        <v>13623</v>
      </c>
      <c r="C816" s="13" t="s">
        <v>13624</v>
      </c>
      <c r="D816" s="13" t="s">
        <v>92</v>
      </c>
      <c r="E816" s="13" t="s">
        <v>9451</v>
      </c>
      <c r="F816" s="13" t="s">
        <v>13625</v>
      </c>
      <c r="G816" s="13" t="s">
        <v>13625</v>
      </c>
      <c r="H816" s="13" t="s">
        <v>13626</v>
      </c>
      <c r="I816" s="9">
        <f t="shared" ca="1" si="12"/>
        <v>22</v>
      </c>
      <c r="J816" s="13" t="s">
        <v>13627</v>
      </c>
      <c r="K816" s="13" t="s">
        <v>227</v>
      </c>
      <c r="L816" s="9" t="str">
        <f>VLOOKUP(K816,[1]中国省份_标准!$B$2:$F$35,4,FALSE)</f>
        <v>西部地区</v>
      </c>
      <c r="M816" s="9" t="str">
        <f>VLOOKUP(K816,[1]中国省份_标准!$B$2:$F$35,5,FALSE)</f>
        <v>西北地区</v>
      </c>
      <c r="N816" s="13" t="s">
        <v>744</v>
      </c>
      <c r="O816" s="13" t="s">
        <v>745</v>
      </c>
      <c r="P816" s="13" t="s">
        <v>13628</v>
      </c>
      <c r="Q816" s="13" t="s">
        <v>13629</v>
      </c>
      <c r="R816" s="13" t="s">
        <v>13630</v>
      </c>
      <c r="S816" s="13" t="s">
        <v>13631</v>
      </c>
      <c r="T816" s="13" t="s">
        <v>452</v>
      </c>
      <c r="U816" s="13" t="s">
        <v>13623</v>
      </c>
      <c r="V816" s="13" t="s">
        <v>13632</v>
      </c>
      <c r="W816" s="13" t="s">
        <v>13633</v>
      </c>
      <c r="X816" s="13" t="s">
        <v>557</v>
      </c>
      <c r="Y816" s="13" t="s">
        <v>78</v>
      </c>
      <c r="Z816" s="13" t="s">
        <v>13634</v>
      </c>
      <c r="AA816" s="13" t="s">
        <v>169</v>
      </c>
      <c r="AB816" s="13" t="s">
        <v>285</v>
      </c>
      <c r="AC816" s="13" t="s">
        <v>479</v>
      </c>
      <c r="AD816" s="13" t="s">
        <v>480</v>
      </c>
      <c r="AE816" s="13" t="s">
        <v>55</v>
      </c>
      <c r="AF816" s="13" t="s">
        <v>13635</v>
      </c>
      <c r="AG816" s="13" t="s">
        <v>39</v>
      </c>
      <c r="AH816" s="13" t="s">
        <v>39</v>
      </c>
      <c r="AI816" s="13" t="s">
        <v>13636</v>
      </c>
      <c r="AJ816" s="13" t="s">
        <v>13637</v>
      </c>
      <c r="AK816" s="13" t="s">
        <v>755</v>
      </c>
      <c r="AL816" s="13" t="s">
        <v>88</v>
      </c>
    </row>
    <row r="817" spans="1:38" x14ac:dyDescent="0.4">
      <c r="A817" s="11" t="s">
        <v>13638</v>
      </c>
      <c r="B817" s="14" t="s">
        <v>13639</v>
      </c>
      <c r="C817" s="15" t="s">
        <v>39</v>
      </c>
      <c r="D817" s="15" t="s">
        <v>92</v>
      </c>
      <c r="E817" s="15" t="s">
        <v>13640</v>
      </c>
      <c r="F817" s="15" t="s">
        <v>640</v>
      </c>
      <c r="G817" s="15" t="s">
        <v>1235</v>
      </c>
      <c r="H817" s="15" t="s">
        <v>13641</v>
      </c>
      <c r="I817" s="9">
        <f t="shared" ca="1" si="12"/>
        <v>20</v>
      </c>
      <c r="J817" s="15" t="s">
        <v>13642</v>
      </c>
      <c r="K817" s="15" t="s">
        <v>227</v>
      </c>
      <c r="L817" s="9" t="str">
        <f>VLOOKUP(K817,[1]中国省份_标准!$B$2:$F$35,4,FALSE)</f>
        <v>西部地区</v>
      </c>
      <c r="M817" s="9" t="str">
        <f>VLOOKUP(K817,[1]中国省份_标准!$B$2:$F$35,5,FALSE)</f>
        <v>西北地区</v>
      </c>
      <c r="N817" s="15" t="s">
        <v>744</v>
      </c>
      <c r="O817" s="15" t="s">
        <v>745</v>
      </c>
      <c r="P817" s="15" t="s">
        <v>13643</v>
      </c>
      <c r="Q817" s="15" t="s">
        <v>13644</v>
      </c>
      <c r="R817" s="15" t="s">
        <v>13645</v>
      </c>
      <c r="S817" s="15" t="s">
        <v>13646</v>
      </c>
      <c r="T817" s="15" t="s">
        <v>184</v>
      </c>
      <c r="U817" s="15" t="s">
        <v>13639</v>
      </c>
      <c r="V817" s="15" t="s">
        <v>13647</v>
      </c>
      <c r="W817" s="15" t="s">
        <v>13648</v>
      </c>
      <c r="X817" s="15" t="s">
        <v>1130</v>
      </c>
      <c r="Y817" s="15" t="s">
        <v>78</v>
      </c>
      <c r="Z817" s="15" t="s">
        <v>13649</v>
      </c>
      <c r="AA817" s="15" t="s">
        <v>169</v>
      </c>
      <c r="AB817" s="15" t="s">
        <v>285</v>
      </c>
      <c r="AC817" s="15" t="s">
        <v>479</v>
      </c>
      <c r="AD817" s="15" t="s">
        <v>480</v>
      </c>
      <c r="AE817" s="15" t="s">
        <v>55</v>
      </c>
      <c r="AF817" s="15" t="s">
        <v>13650</v>
      </c>
      <c r="AG817" s="15" t="s">
        <v>39</v>
      </c>
      <c r="AH817" s="15" t="s">
        <v>39</v>
      </c>
      <c r="AI817" s="15" t="s">
        <v>13651</v>
      </c>
      <c r="AJ817" s="15" t="s">
        <v>13652</v>
      </c>
      <c r="AK817" s="15" t="s">
        <v>755</v>
      </c>
      <c r="AL817" s="15" t="s">
        <v>88</v>
      </c>
    </row>
    <row r="818" spans="1:38" x14ac:dyDescent="0.4">
      <c r="A818" s="11" t="s">
        <v>13653</v>
      </c>
      <c r="B818" s="12" t="s">
        <v>13654</v>
      </c>
      <c r="C818" s="13" t="s">
        <v>39</v>
      </c>
      <c r="D818" s="13" t="s">
        <v>92</v>
      </c>
      <c r="E818" s="13" t="s">
        <v>13655</v>
      </c>
      <c r="F818" s="13" t="s">
        <v>271</v>
      </c>
      <c r="G818" s="13" t="s">
        <v>271</v>
      </c>
      <c r="H818" s="13" t="s">
        <v>10376</v>
      </c>
      <c r="I818" s="9">
        <f t="shared" ca="1" si="12"/>
        <v>7</v>
      </c>
      <c r="J818" s="13" t="s">
        <v>13656</v>
      </c>
      <c r="K818" s="13" t="s">
        <v>227</v>
      </c>
      <c r="L818" s="9" t="str">
        <f>VLOOKUP(K818,[1]中国省份_标准!$B$2:$F$35,4,FALSE)</f>
        <v>西部地区</v>
      </c>
      <c r="M818" s="9" t="str">
        <f>VLOOKUP(K818,[1]中国省份_标准!$B$2:$F$35,5,FALSE)</f>
        <v>西北地区</v>
      </c>
      <c r="N818" s="13" t="s">
        <v>3212</v>
      </c>
      <c r="O818" s="13" t="s">
        <v>6826</v>
      </c>
      <c r="P818" s="13" t="s">
        <v>13657</v>
      </c>
      <c r="Q818" s="13" t="s">
        <v>39</v>
      </c>
      <c r="R818" s="13" t="s">
        <v>13658</v>
      </c>
      <c r="S818" s="13" t="s">
        <v>13659</v>
      </c>
      <c r="T818" s="13" t="s">
        <v>3623</v>
      </c>
      <c r="U818" s="13" t="s">
        <v>13654</v>
      </c>
      <c r="V818" s="13" t="s">
        <v>39</v>
      </c>
      <c r="W818" s="13" t="s">
        <v>13660</v>
      </c>
      <c r="X818" s="13" t="s">
        <v>557</v>
      </c>
      <c r="Y818" s="13" t="s">
        <v>78</v>
      </c>
      <c r="Z818" s="13" t="s">
        <v>13661</v>
      </c>
      <c r="AA818" s="13" t="s">
        <v>80</v>
      </c>
      <c r="AB818" s="13" t="s">
        <v>106</v>
      </c>
      <c r="AC818" s="13" t="s">
        <v>808</v>
      </c>
      <c r="AD818" s="13" t="s">
        <v>893</v>
      </c>
      <c r="AE818" s="13" t="s">
        <v>55</v>
      </c>
      <c r="AF818" s="13" t="s">
        <v>13662</v>
      </c>
      <c r="AG818" s="13" t="s">
        <v>39</v>
      </c>
      <c r="AH818" s="13" t="s">
        <v>39</v>
      </c>
      <c r="AI818" s="13" t="s">
        <v>13663</v>
      </c>
      <c r="AJ818" s="13" t="s">
        <v>13664</v>
      </c>
      <c r="AK818" s="13" t="s">
        <v>6834</v>
      </c>
      <c r="AL818" s="13" t="s">
        <v>88</v>
      </c>
    </row>
    <row r="819" spans="1:38" x14ac:dyDescent="0.4">
      <c r="A819" s="11" t="s">
        <v>13665</v>
      </c>
      <c r="B819" s="14" t="s">
        <v>13666</v>
      </c>
      <c r="C819" s="15" t="s">
        <v>39</v>
      </c>
      <c r="D819" s="15" t="s">
        <v>92</v>
      </c>
      <c r="E819" s="15" t="s">
        <v>13667</v>
      </c>
      <c r="F819" s="15" t="s">
        <v>271</v>
      </c>
      <c r="G819" s="15" t="s">
        <v>271</v>
      </c>
      <c r="H819" s="15" t="s">
        <v>13668</v>
      </c>
      <c r="I819" s="9">
        <f t="shared" ca="1" si="12"/>
        <v>7</v>
      </c>
      <c r="J819" s="15" t="s">
        <v>13669</v>
      </c>
      <c r="K819" s="15" t="s">
        <v>227</v>
      </c>
      <c r="L819" s="9" t="str">
        <f>VLOOKUP(K819,[1]中国省份_标准!$B$2:$F$35,4,FALSE)</f>
        <v>西部地区</v>
      </c>
      <c r="M819" s="9" t="str">
        <f>VLOOKUP(K819,[1]中国省份_标准!$B$2:$F$35,5,FALSE)</f>
        <v>西北地区</v>
      </c>
      <c r="N819" s="15" t="s">
        <v>3212</v>
      </c>
      <c r="O819" s="15" t="s">
        <v>6826</v>
      </c>
      <c r="P819" s="15" t="s">
        <v>13670</v>
      </c>
      <c r="Q819" s="15" t="s">
        <v>39</v>
      </c>
      <c r="R819" s="15" t="s">
        <v>13671</v>
      </c>
      <c r="S819" s="15" t="s">
        <v>13659</v>
      </c>
      <c r="T819" s="15" t="s">
        <v>3623</v>
      </c>
      <c r="U819" s="15" t="s">
        <v>13666</v>
      </c>
      <c r="V819" s="15" t="s">
        <v>13672</v>
      </c>
      <c r="W819" s="15" t="s">
        <v>13673</v>
      </c>
      <c r="X819" s="15" t="s">
        <v>77</v>
      </c>
      <c r="Y819" s="15" t="s">
        <v>78</v>
      </c>
      <c r="Z819" s="15" t="s">
        <v>13674</v>
      </c>
      <c r="AA819" s="15" t="s">
        <v>80</v>
      </c>
      <c r="AB819" s="15" t="s">
        <v>106</v>
      </c>
      <c r="AC819" s="15" t="s">
        <v>808</v>
      </c>
      <c r="AD819" s="15" t="s">
        <v>893</v>
      </c>
      <c r="AE819" s="15" t="s">
        <v>55</v>
      </c>
      <c r="AF819" s="15" t="s">
        <v>13675</v>
      </c>
      <c r="AG819" s="15" t="s">
        <v>39</v>
      </c>
      <c r="AH819" s="15" t="s">
        <v>39</v>
      </c>
      <c r="AI819" s="15" t="s">
        <v>13676</v>
      </c>
      <c r="AJ819" s="15" t="s">
        <v>13664</v>
      </c>
      <c r="AK819" s="15" t="s">
        <v>6834</v>
      </c>
      <c r="AL819" s="15" t="s">
        <v>88</v>
      </c>
    </row>
    <row r="820" spans="1:38" x14ac:dyDescent="0.4">
      <c r="A820" s="11" t="s">
        <v>13677</v>
      </c>
      <c r="B820" s="12" t="s">
        <v>13678</v>
      </c>
      <c r="C820" s="13" t="s">
        <v>39</v>
      </c>
      <c r="D820" s="13" t="s">
        <v>92</v>
      </c>
      <c r="E820" s="13" t="s">
        <v>11890</v>
      </c>
      <c r="F820" s="13" t="s">
        <v>39</v>
      </c>
      <c r="G820" s="13" t="s">
        <v>39</v>
      </c>
      <c r="H820" s="13" t="s">
        <v>13679</v>
      </c>
      <c r="I820" s="9">
        <f t="shared" ca="1" si="12"/>
        <v>7</v>
      </c>
      <c r="J820" s="13" t="s">
        <v>13680</v>
      </c>
      <c r="K820" s="13" t="s">
        <v>227</v>
      </c>
      <c r="L820" s="9" t="str">
        <f>VLOOKUP(K820,[1]中国省份_标准!$B$2:$F$35,4,FALSE)</f>
        <v>西部地区</v>
      </c>
      <c r="M820" s="9" t="str">
        <f>VLOOKUP(K820,[1]中国省份_标准!$B$2:$F$35,5,FALSE)</f>
        <v>西北地区</v>
      </c>
      <c r="N820" s="13" t="s">
        <v>3212</v>
      </c>
      <c r="O820" s="13" t="s">
        <v>6826</v>
      </c>
      <c r="P820" s="13" t="s">
        <v>13681</v>
      </c>
      <c r="Q820" s="13" t="s">
        <v>39</v>
      </c>
      <c r="R820" s="13" t="s">
        <v>13682</v>
      </c>
      <c r="S820" s="13" t="s">
        <v>39</v>
      </c>
      <c r="T820" s="13" t="s">
        <v>13683</v>
      </c>
      <c r="U820" s="13" t="s">
        <v>13678</v>
      </c>
      <c r="V820" s="13" t="s">
        <v>39</v>
      </c>
      <c r="W820" s="13" t="s">
        <v>13684</v>
      </c>
      <c r="X820" s="13" t="s">
        <v>77</v>
      </c>
      <c r="Y820" s="13" t="s">
        <v>78</v>
      </c>
      <c r="Z820" s="13" t="s">
        <v>13685</v>
      </c>
      <c r="AA820" s="13" t="s">
        <v>80</v>
      </c>
      <c r="AB820" s="13" t="s">
        <v>106</v>
      </c>
      <c r="AC820" s="13" t="s">
        <v>388</v>
      </c>
      <c r="AD820" s="13" t="s">
        <v>434</v>
      </c>
      <c r="AE820" s="13" t="s">
        <v>39</v>
      </c>
      <c r="AF820" s="13" t="s">
        <v>13686</v>
      </c>
      <c r="AG820" s="13" t="s">
        <v>39</v>
      </c>
      <c r="AH820" s="13" t="s">
        <v>39</v>
      </c>
      <c r="AI820" s="13" t="s">
        <v>13687</v>
      </c>
      <c r="AJ820" s="13" t="s">
        <v>13688</v>
      </c>
      <c r="AK820" s="13" t="s">
        <v>13689</v>
      </c>
      <c r="AL820" s="13" t="s">
        <v>88</v>
      </c>
    </row>
    <row r="821" spans="1:38" x14ac:dyDescent="0.4">
      <c r="A821" s="11" t="s">
        <v>13690</v>
      </c>
      <c r="B821" s="14" t="s">
        <v>13691</v>
      </c>
      <c r="C821" s="15" t="s">
        <v>39</v>
      </c>
      <c r="D821" s="15" t="s">
        <v>92</v>
      </c>
      <c r="E821" s="15" t="s">
        <v>13692</v>
      </c>
      <c r="F821" s="15" t="s">
        <v>442</v>
      </c>
      <c r="G821" s="15" t="s">
        <v>4537</v>
      </c>
      <c r="H821" s="15" t="s">
        <v>13693</v>
      </c>
      <c r="I821" s="9">
        <f t="shared" ca="1" si="12"/>
        <v>6</v>
      </c>
      <c r="J821" s="15" t="s">
        <v>13694</v>
      </c>
      <c r="K821" s="15" t="s">
        <v>227</v>
      </c>
      <c r="L821" s="9" t="str">
        <f>VLOOKUP(K821,[1]中国省份_标准!$B$2:$F$35,4,FALSE)</f>
        <v>西部地区</v>
      </c>
      <c r="M821" s="9" t="str">
        <f>VLOOKUP(K821,[1]中国省份_标准!$B$2:$F$35,5,FALSE)</f>
        <v>西北地区</v>
      </c>
      <c r="N821" s="15" t="s">
        <v>3212</v>
      </c>
      <c r="O821" s="15" t="s">
        <v>6826</v>
      </c>
      <c r="P821" s="15" t="s">
        <v>13695</v>
      </c>
      <c r="Q821" s="15" t="s">
        <v>39</v>
      </c>
      <c r="R821" s="15" t="s">
        <v>13696</v>
      </c>
      <c r="S821" s="15" t="s">
        <v>13697</v>
      </c>
      <c r="T821" s="15" t="s">
        <v>48</v>
      </c>
      <c r="U821" s="15" t="s">
        <v>13691</v>
      </c>
      <c r="V821" s="15" t="s">
        <v>39</v>
      </c>
      <c r="W821" s="15" t="s">
        <v>13698</v>
      </c>
      <c r="X821" s="15" t="s">
        <v>77</v>
      </c>
      <c r="Y821" s="15" t="s">
        <v>78</v>
      </c>
      <c r="Z821" s="15" t="s">
        <v>13699</v>
      </c>
      <c r="AA821" s="15" t="s">
        <v>169</v>
      </c>
      <c r="AB821" s="15" t="s">
        <v>285</v>
      </c>
      <c r="AC821" s="15" t="s">
        <v>479</v>
      </c>
      <c r="AD821" s="15" t="s">
        <v>1050</v>
      </c>
      <c r="AE821" s="15" t="s">
        <v>55</v>
      </c>
      <c r="AF821" s="15" t="s">
        <v>13700</v>
      </c>
      <c r="AG821" s="15" t="s">
        <v>39</v>
      </c>
      <c r="AH821" s="15" t="s">
        <v>13701</v>
      </c>
      <c r="AI821" s="15" t="s">
        <v>13702</v>
      </c>
      <c r="AJ821" s="15" t="s">
        <v>13703</v>
      </c>
      <c r="AK821" s="15" t="s">
        <v>6834</v>
      </c>
      <c r="AL821" s="15" t="s">
        <v>88</v>
      </c>
    </row>
    <row r="822" spans="1:38" x14ac:dyDescent="0.4">
      <c r="A822" s="11" t="s">
        <v>13704</v>
      </c>
      <c r="B822" s="12" t="s">
        <v>13705</v>
      </c>
      <c r="C822" s="13" t="s">
        <v>39</v>
      </c>
      <c r="D822" s="13" t="s">
        <v>92</v>
      </c>
      <c r="E822" s="13" t="s">
        <v>6156</v>
      </c>
      <c r="F822" s="13" t="s">
        <v>2006</v>
      </c>
      <c r="G822" s="13" t="s">
        <v>2006</v>
      </c>
      <c r="H822" s="13" t="s">
        <v>13706</v>
      </c>
      <c r="I822" s="9">
        <f t="shared" ca="1" si="12"/>
        <v>14</v>
      </c>
      <c r="J822" s="13" t="s">
        <v>13707</v>
      </c>
      <c r="K822" s="13" t="s">
        <v>3189</v>
      </c>
      <c r="L822" s="9" t="str">
        <f>VLOOKUP(K822,[1]中国省份_标准!$B$2:$F$35,4,FALSE)</f>
        <v>西部地区</v>
      </c>
      <c r="M822" s="9" t="str">
        <f>VLOOKUP(K822,[1]中国省份_标准!$B$2:$F$35,5,FALSE)</f>
        <v>西南地区</v>
      </c>
      <c r="N822" s="13" t="s">
        <v>3189</v>
      </c>
      <c r="O822" s="13" t="s">
        <v>13708</v>
      </c>
      <c r="P822" s="13" t="s">
        <v>13709</v>
      </c>
      <c r="Q822" s="13" t="s">
        <v>13710</v>
      </c>
      <c r="R822" s="13" t="s">
        <v>13711</v>
      </c>
      <c r="S822" s="13" t="s">
        <v>13712</v>
      </c>
      <c r="T822" s="13" t="s">
        <v>184</v>
      </c>
      <c r="U822" s="13" t="s">
        <v>13705</v>
      </c>
      <c r="V822" s="13" t="s">
        <v>13713</v>
      </c>
      <c r="W822" s="13" t="s">
        <v>13714</v>
      </c>
      <c r="X822" s="13" t="s">
        <v>13715</v>
      </c>
      <c r="Y822" s="13" t="s">
        <v>78</v>
      </c>
      <c r="Z822" s="13" t="s">
        <v>13716</v>
      </c>
      <c r="AA822" s="13" t="s">
        <v>80</v>
      </c>
      <c r="AB822" s="13" t="s">
        <v>106</v>
      </c>
      <c r="AC822" s="13" t="s">
        <v>808</v>
      </c>
      <c r="AD822" s="13" t="s">
        <v>3307</v>
      </c>
      <c r="AE822" s="13" t="s">
        <v>262</v>
      </c>
      <c r="AF822" s="13" t="s">
        <v>13717</v>
      </c>
      <c r="AG822" s="13" t="s">
        <v>39</v>
      </c>
      <c r="AH822" s="13" t="s">
        <v>39</v>
      </c>
      <c r="AI822" s="13" t="s">
        <v>13718</v>
      </c>
      <c r="AJ822" s="13" t="s">
        <v>13719</v>
      </c>
      <c r="AK822" s="13" t="s">
        <v>13720</v>
      </c>
      <c r="AL822" s="13" t="s">
        <v>88</v>
      </c>
    </row>
    <row r="823" spans="1:38" x14ac:dyDescent="0.4">
      <c r="A823" s="11" t="s">
        <v>13721</v>
      </c>
      <c r="B823" s="14" t="s">
        <v>13722</v>
      </c>
      <c r="C823" s="15" t="s">
        <v>39</v>
      </c>
      <c r="D823" s="15" t="s">
        <v>92</v>
      </c>
      <c r="E823" s="15" t="s">
        <v>1610</v>
      </c>
      <c r="F823" s="15" t="s">
        <v>1120</v>
      </c>
      <c r="G823" s="15" t="s">
        <v>1235</v>
      </c>
      <c r="H823" s="15" t="s">
        <v>13723</v>
      </c>
      <c r="I823" s="9">
        <f t="shared" ca="1" si="12"/>
        <v>14</v>
      </c>
      <c r="J823" s="15" t="s">
        <v>13724</v>
      </c>
      <c r="K823" s="15" t="s">
        <v>3189</v>
      </c>
      <c r="L823" s="9" t="str">
        <f>VLOOKUP(K823,[1]中国省份_标准!$B$2:$F$35,4,FALSE)</f>
        <v>西部地区</v>
      </c>
      <c r="M823" s="9" t="str">
        <f>VLOOKUP(K823,[1]中国省份_标准!$B$2:$F$35,5,FALSE)</f>
        <v>西南地区</v>
      </c>
      <c r="N823" s="15" t="s">
        <v>3189</v>
      </c>
      <c r="O823" s="15" t="s">
        <v>13725</v>
      </c>
      <c r="P823" s="15" t="s">
        <v>1293</v>
      </c>
      <c r="Q823" s="15" t="s">
        <v>13726</v>
      </c>
      <c r="R823" s="15" t="s">
        <v>1295</v>
      </c>
      <c r="S823" s="15" t="s">
        <v>13727</v>
      </c>
      <c r="T823" s="15" t="s">
        <v>825</v>
      </c>
      <c r="U823" s="15" t="s">
        <v>13722</v>
      </c>
      <c r="V823" s="15" t="s">
        <v>13728</v>
      </c>
      <c r="W823" s="15" t="s">
        <v>13729</v>
      </c>
      <c r="X823" s="15" t="s">
        <v>3095</v>
      </c>
      <c r="Y823" s="15" t="s">
        <v>78</v>
      </c>
      <c r="Z823" s="15" t="s">
        <v>13730</v>
      </c>
      <c r="AA823" s="15" t="s">
        <v>169</v>
      </c>
      <c r="AB823" s="15" t="s">
        <v>412</v>
      </c>
      <c r="AC823" s="15" t="s">
        <v>413</v>
      </c>
      <c r="AD823" s="15" t="s">
        <v>1687</v>
      </c>
      <c r="AE823" s="15" t="s">
        <v>55</v>
      </c>
      <c r="AF823" s="15" t="s">
        <v>13731</v>
      </c>
      <c r="AG823" s="15" t="s">
        <v>4979</v>
      </c>
      <c r="AH823" s="15" t="s">
        <v>39</v>
      </c>
      <c r="AI823" s="15" t="s">
        <v>13732</v>
      </c>
      <c r="AJ823" s="15" t="s">
        <v>13733</v>
      </c>
      <c r="AK823" s="15" t="s">
        <v>3204</v>
      </c>
      <c r="AL823" s="15" t="s">
        <v>88</v>
      </c>
    </row>
    <row r="824" spans="1:38" x14ac:dyDescent="0.4">
      <c r="A824" s="11" t="s">
        <v>13734</v>
      </c>
      <c r="B824" s="12" t="s">
        <v>13735</v>
      </c>
      <c r="C824" s="13" t="s">
        <v>39</v>
      </c>
      <c r="D824" s="13" t="s">
        <v>92</v>
      </c>
      <c r="E824" s="13" t="s">
        <v>13736</v>
      </c>
      <c r="F824" s="13" t="s">
        <v>920</v>
      </c>
      <c r="G824" s="13" t="s">
        <v>13737</v>
      </c>
      <c r="H824" s="13" t="s">
        <v>13738</v>
      </c>
      <c r="I824" s="9">
        <f t="shared" ca="1" si="12"/>
        <v>4</v>
      </c>
      <c r="J824" s="13" t="s">
        <v>13739</v>
      </c>
      <c r="K824" s="13" t="s">
        <v>227</v>
      </c>
      <c r="L824" s="9" t="str">
        <f>VLOOKUP(K824,[1]中国省份_标准!$B$2:$F$35,4,FALSE)</f>
        <v>西部地区</v>
      </c>
      <c r="M824" s="9" t="str">
        <f>VLOOKUP(K824,[1]中国省份_标准!$B$2:$F$35,5,FALSE)</f>
        <v>西北地区</v>
      </c>
      <c r="N824" s="13" t="s">
        <v>3212</v>
      </c>
      <c r="O824" s="13" t="s">
        <v>13406</v>
      </c>
      <c r="P824" s="13" t="s">
        <v>13740</v>
      </c>
      <c r="Q824" s="13" t="s">
        <v>13741</v>
      </c>
      <c r="R824" s="13" t="s">
        <v>13742</v>
      </c>
      <c r="S824" s="13" t="s">
        <v>13743</v>
      </c>
      <c r="T824" s="13" t="s">
        <v>209</v>
      </c>
      <c r="U824" s="13" t="s">
        <v>13735</v>
      </c>
      <c r="V824" s="13" t="s">
        <v>13744</v>
      </c>
      <c r="W824" s="13" t="s">
        <v>13745</v>
      </c>
      <c r="X824" s="13" t="s">
        <v>187</v>
      </c>
      <c r="Y824" s="13" t="s">
        <v>78</v>
      </c>
      <c r="Z824" s="13" t="s">
        <v>13746</v>
      </c>
      <c r="AA824" s="13" t="s">
        <v>169</v>
      </c>
      <c r="AB824" s="13" t="s">
        <v>285</v>
      </c>
      <c r="AC824" s="13" t="s">
        <v>479</v>
      </c>
      <c r="AD824" s="13" t="s">
        <v>480</v>
      </c>
      <c r="AE824" s="13" t="s">
        <v>55</v>
      </c>
      <c r="AF824" s="13" t="s">
        <v>13747</v>
      </c>
      <c r="AG824" s="13" t="s">
        <v>39</v>
      </c>
      <c r="AH824" s="13" t="s">
        <v>13748</v>
      </c>
      <c r="AI824" s="13" t="s">
        <v>13749</v>
      </c>
      <c r="AJ824" s="13" t="s">
        <v>13750</v>
      </c>
      <c r="AK824" s="13" t="s">
        <v>13417</v>
      </c>
      <c r="AL824" s="13" t="s">
        <v>88</v>
      </c>
    </row>
    <row r="825" spans="1:38" x14ac:dyDescent="0.4">
      <c r="A825" s="11" t="s">
        <v>13751</v>
      </c>
      <c r="B825" s="14" t="s">
        <v>13752</v>
      </c>
      <c r="C825" s="15" t="s">
        <v>13753</v>
      </c>
      <c r="D825" s="15" t="s">
        <v>92</v>
      </c>
      <c r="E825" s="15" t="s">
        <v>13754</v>
      </c>
      <c r="F825" s="15" t="s">
        <v>999</v>
      </c>
      <c r="G825" s="15" t="s">
        <v>999</v>
      </c>
      <c r="H825" s="15" t="s">
        <v>13755</v>
      </c>
      <c r="I825" s="9">
        <f t="shared" ca="1" si="12"/>
        <v>19</v>
      </c>
      <c r="J825" s="15" t="s">
        <v>13756</v>
      </c>
      <c r="K825" s="15" t="s">
        <v>227</v>
      </c>
      <c r="L825" s="9" t="str">
        <f>VLOOKUP(K825,[1]中国省份_标准!$B$2:$F$35,4,FALSE)</f>
        <v>西部地区</v>
      </c>
      <c r="M825" s="9" t="str">
        <f>VLOOKUP(K825,[1]中国省份_标准!$B$2:$F$35,5,FALSE)</f>
        <v>西北地区</v>
      </c>
      <c r="N825" s="15" t="s">
        <v>3212</v>
      </c>
      <c r="O825" s="15" t="s">
        <v>4173</v>
      </c>
      <c r="P825" s="15" t="s">
        <v>13757</v>
      </c>
      <c r="Q825" s="15" t="s">
        <v>13758</v>
      </c>
      <c r="R825" s="15" t="s">
        <v>13759</v>
      </c>
      <c r="S825" s="15" t="s">
        <v>13760</v>
      </c>
      <c r="T825" s="15" t="s">
        <v>281</v>
      </c>
      <c r="U825" s="15" t="s">
        <v>13752</v>
      </c>
      <c r="V825" s="15" t="s">
        <v>13761</v>
      </c>
      <c r="W825" s="15" t="s">
        <v>13762</v>
      </c>
      <c r="X825" s="15" t="s">
        <v>77</v>
      </c>
      <c r="Y825" s="15" t="s">
        <v>78</v>
      </c>
      <c r="Z825" s="15" t="s">
        <v>13763</v>
      </c>
      <c r="AA825" s="15" t="s">
        <v>169</v>
      </c>
      <c r="AB825" s="15" t="s">
        <v>285</v>
      </c>
      <c r="AC825" s="15" t="s">
        <v>6423</v>
      </c>
      <c r="AD825" s="15" t="s">
        <v>6424</v>
      </c>
      <c r="AE825" s="15" t="s">
        <v>55</v>
      </c>
      <c r="AF825" s="15" t="s">
        <v>13764</v>
      </c>
      <c r="AG825" s="15" t="s">
        <v>39</v>
      </c>
      <c r="AH825" s="15" t="s">
        <v>39</v>
      </c>
      <c r="AI825" s="15" t="s">
        <v>13765</v>
      </c>
      <c r="AJ825" s="15" t="s">
        <v>13766</v>
      </c>
      <c r="AK825" s="15" t="s">
        <v>4185</v>
      </c>
      <c r="AL825" s="15" t="s">
        <v>88</v>
      </c>
    </row>
    <row r="826" spans="1:38" x14ac:dyDescent="0.4">
      <c r="A826" s="11" t="s">
        <v>13767</v>
      </c>
      <c r="B826" s="12" t="s">
        <v>13768</v>
      </c>
      <c r="C826" s="13" t="s">
        <v>39</v>
      </c>
      <c r="D826" s="13" t="s">
        <v>92</v>
      </c>
      <c r="E826" s="13" t="s">
        <v>13769</v>
      </c>
      <c r="F826" s="13" t="s">
        <v>178</v>
      </c>
      <c r="G826" s="13" t="s">
        <v>398</v>
      </c>
      <c r="H826" s="13" t="s">
        <v>13770</v>
      </c>
      <c r="I826" s="9">
        <f t="shared" ca="1" si="12"/>
        <v>5</v>
      </c>
      <c r="J826" s="13" t="s">
        <v>13771</v>
      </c>
      <c r="K826" s="13" t="s">
        <v>227</v>
      </c>
      <c r="L826" s="9" t="str">
        <f>VLOOKUP(K826,[1]中国省份_标准!$B$2:$F$35,4,FALSE)</f>
        <v>西部地区</v>
      </c>
      <c r="M826" s="9" t="str">
        <f>VLOOKUP(K826,[1]中国省份_标准!$B$2:$F$35,5,FALSE)</f>
        <v>西北地区</v>
      </c>
      <c r="N826" s="13" t="s">
        <v>3212</v>
      </c>
      <c r="O826" s="13" t="s">
        <v>4173</v>
      </c>
      <c r="P826" s="13" t="s">
        <v>13772</v>
      </c>
      <c r="Q826" s="13" t="s">
        <v>13773</v>
      </c>
      <c r="R826" s="13" t="s">
        <v>13774</v>
      </c>
      <c r="S826" s="13" t="s">
        <v>13775</v>
      </c>
      <c r="T826" s="13" t="s">
        <v>48</v>
      </c>
      <c r="U826" s="13" t="s">
        <v>13768</v>
      </c>
      <c r="V826" s="13" t="s">
        <v>39</v>
      </c>
      <c r="W826" s="13" t="s">
        <v>13776</v>
      </c>
      <c r="X826" s="13" t="s">
        <v>540</v>
      </c>
      <c r="Y826" s="13" t="s">
        <v>78</v>
      </c>
      <c r="Z826" s="13" t="s">
        <v>13777</v>
      </c>
      <c r="AA826" s="13" t="s">
        <v>309</v>
      </c>
      <c r="AB826" s="13" t="s">
        <v>772</v>
      </c>
      <c r="AC826" s="13" t="s">
        <v>773</v>
      </c>
      <c r="AD826" s="13" t="s">
        <v>774</v>
      </c>
      <c r="AE826" s="13" t="s">
        <v>262</v>
      </c>
      <c r="AF826" s="13" t="s">
        <v>13778</v>
      </c>
      <c r="AG826" s="13" t="s">
        <v>39</v>
      </c>
      <c r="AH826" s="13" t="s">
        <v>39</v>
      </c>
      <c r="AI826" s="13" t="s">
        <v>13779</v>
      </c>
      <c r="AJ826" s="13" t="s">
        <v>13780</v>
      </c>
      <c r="AK826" s="13" t="s">
        <v>4185</v>
      </c>
      <c r="AL826" s="13" t="s">
        <v>88</v>
      </c>
    </row>
    <row r="827" spans="1:38" x14ac:dyDescent="0.4">
      <c r="A827" s="11" t="s">
        <v>13781</v>
      </c>
      <c r="B827" s="14" t="s">
        <v>13782</v>
      </c>
      <c r="C827" s="15" t="s">
        <v>39</v>
      </c>
      <c r="D827" s="15" t="s">
        <v>92</v>
      </c>
      <c r="E827" s="15" t="s">
        <v>1287</v>
      </c>
      <c r="F827" s="15" t="s">
        <v>5376</v>
      </c>
      <c r="G827" s="15" t="s">
        <v>5376</v>
      </c>
      <c r="H827" s="15" t="s">
        <v>13783</v>
      </c>
      <c r="I827" s="9">
        <f t="shared" ca="1" si="12"/>
        <v>19</v>
      </c>
      <c r="J827" s="15" t="s">
        <v>13784</v>
      </c>
      <c r="K827" s="15" t="s">
        <v>138</v>
      </c>
      <c r="L827" s="9" t="str">
        <f>VLOOKUP(K827,[1]中国省份_标准!$B$2:$F$35,4,FALSE)</f>
        <v>西部地区</v>
      </c>
      <c r="M827" s="9" t="str">
        <f>VLOOKUP(K827,[1]中国省份_标准!$B$2:$F$35,5,FALSE)</f>
        <v>西南地区</v>
      </c>
      <c r="N827" s="15" t="s">
        <v>139</v>
      </c>
      <c r="O827" s="15" t="s">
        <v>13785</v>
      </c>
      <c r="P827" s="15" t="s">
        <v>1293</v>
      </c>
      <c r="Q827" s="15" t="s">
        <v>13786</v>
      </c>
      <c r="R827" s="15" t="s">
        <v>12556</v>
      </c>
      <c r="S827" s="15" t="s">
        <v>13787</v>
      </c>
      <c r="T827" s="15" t="s">
        <v>1584</v>
      </c>
      <c r="U827" s="15" t="s">
        <v>13782</v>
      </c>
      <c r="V827" s="15" t="s">
        <v>13788</v>
      </c>
      <c r="W827" s="15" t="s">
        <v>13789</v>
      </c>
      <c r="X827" s="15" t="s">
        <v>13790</v>
      </c>
      <c r="Y827" s="15" t="s">
        <v>78</v>
      </c>
      <c r="Z827" s="15" t="s">
        <v>13791</v>
      </c>
      <c r="AA827" s="15" t="s">
        <v>169</v>
      </c>
      <c r="AB827" s="15" t="s">
        <v>412</v>
      </c>
      <c r="AC827" s="15" t="s">
        <v>413</v>
      </c>
      <c r="AD827" s="15" t="s">
        <v>1687</v>
      </c>
      <c r="AE827" s="15" t="s">
        <v>55</v>
      </c>
      <c r="AF827" s="15" t="s">
        <v>13792</v>
      </c>
      <c r="AG827" s="15" t="s">
        <v>4979</v>
      </c>
      <c r="AH827" s="15" t="s">
        <v>39</v>
      </c>
      <c r="AI827" s="15" t="s">
        <v>13793</v>
      </c>
      <c r="AJ827" s="15" t="s">
        <v>13794</v>
      </c>
      <c r="AK827" s="15" t="s">
        <v>150</v>
      </c>
      <c r="AL827" s="15" t="s">
        <v>88</v>
      </c>
    </row>
    <row r="828" spans="1:38" x14ac:dyDescent="0.4">
      <c r="A828" s="11" t="s">
        <v>13795</v>
      </c>
      <c r="B828" s="12" t="s">
        <v>13796</v>
      </c>
      <c r="C828" s="13" t="s">
        <v>39</v>
      </c>
      <c r="D828" s="13" t="s">
        <v>92</v>
      </c>
      <c r="E828" s="13" t="s">
        <v>13797</v>
      </c>
      <c r="F828" s="13" t="s">
        <v>178</v>
      </c>
      <c r="G828" s="13" t="s">
        <v>13798</v>
      </c>
      <c r="H828" s="13" t="s">
        <v>13799</v>
      </c>
      <c r="I828" s="9">
        <f t="shared" ca="1" si="12"/>
        <v>5</v>
      </c>
      <c r="J828" s="13" t="s">
        <v>13800</v>
      </c>
      <c r="K828" s="13" t="s">
        <v>227</v>
      </c>
      <c r="L828" s="9" t="str">
        <f>VLOOKUP(K828,[1]中国省份_标准!$B$2:$F$35,4,FALSE)</f>
        <v>西部地区</v>
      </c>
      <c r="M828" s="9" t="str">
        <f>VLOOKUP(K828,[1]中国省份_标准!$B$2:$F$35,5,FALSE)</f>
        <v>西北地区</v>
      </c>
      <c r="N828" s="13" t="s">
        <v>3212</v>
      </c>
      <c r="O828" s="13" t="s">
        <v>13801</v>
      </c>
      <c r="P828" s="13" t="s">
        <v>13802</v>
      </c>
      <c r="Q828" s="13" t="s">
        <v>13803</v>
      </c>
      <c r="R828" s="13" t="s">
        <v>13804</v>
      </c>
      <c r="S828" s="13" t="s">
        <v>39</v>
      </c>
      <c r="T828" s="13" t="s">
        <v>48</v>
      </c>
      <c r="U828" s="13" t="s">
        <v>13796</v>
      </c>
      <c r="V828" s="13" t="s">
        <v>13805</v>
      </c>
      <c r="W828" s="13" t="s">
        <v>13806</v>
      </c>
      <c r="X828" s="13" t="s">
        <v>540</v>
      </c>
      <c r="Y828" s="13" t="s">
        <v>78</v>
      </c>
      <c r="Z828" s="13" t="s">
        <v>13807</v>
      </c>
      <c r="AA828" s="13" t="s">
        <v>309</v>
      </c>
      <c r="AB828" s="13" t="s">
        <v>772</v>
      </c>
      <c r="AC828" s="13" t="s">
        <v>773</v>
      </c>
      <c r="AD828" s="13" t="s">
        <v>774</v>
      </c>
      <c r="AE828" s="13" t="s">
        <v>262</v>
      </c>
      <c r="AF828" s="13" t="s">
        <v>13808</v>
      </c>
      <c r="AG828" s="13" t="s">
        <v>39</v>
      </c>
      <c r="AH828" s="13" t="s">
        <v>39</v>
      </c>
      <c r="AI828" s="13" t="s">
        <v>13809</v>
      </c>
      <c r="AJ828" s="13" t="s">
        <v>13810</v>
      </c>
      <c r="AK828" s="13" t="s">
        <v>13811</v>
      </c>
      <c r="AL828" s="13" t="s">
        <v>88</v>
      </c>
    </row>
    <row r="829" spans="1:38" x14ac:dyDescent="0.4">
      <c r="A829" s="11" t="s">
        <v>13812</v>
      </c>
      <c r="B829" s="14" t="s">
        <v>13813</v>
      </c>
      <c r="C829" s="15" t="s">
        <v>39</v>
      </c>
      <c r="D829" s="15" t="s">
        <v>92</v>
      </c>
      <c r="E829" s="15" t="s">
        <v>13814</v>
      </c>
      <c r="F829" s="15" t="s">
        <v>13815</v>
      </c>
      <c r="G829" s="15" t="s">
        <v>39</v>
      </c>
      <c r="H829" s="15" t="s">
        <v>13816</v>
      </c>
      <c r="I829" s="9">
        <f t="shared" ca="1" si="12"/>
        <v>18</v>
      </c>
      <c r="J829" s="15" t="s">
        <v>13817</v>
      </c>
      <c r="K829" s="15" t="s">
        <v>425</v>
      </c>
      <c r="L829" s="9" t="str">
        <f>VLOOKUP(K829,[1]中国省份_标准!$B$2:$F$35,4,FALSE)</f>
        <v>东部地区</v>
      </c>
      <c r="M829" s="9" t="str">
        <f>VLOOKUP(K829,[1]中国省份_标准!$B$2:$F$35,5,FALSE)</f>
        <v>华东地区</v>
      </c>
      <c r="N829" s="15" t="s">
        <v>3013</v>
      </c>
      <c r="O829" s="15" t="s">
        <v>3014</v>
      </c>
      <c r="P829" s="15" t="s">
        <v>13818</v>
      </c>
      <c r="Q829" s="15" t="s">
        <v>13819</v>
      </c>
      <c r="R829" s="15" t="s">
        <v>39</v>
      </c>
      <c r="S829" s="15" t="s">
        <v>39</v>
      </c>
      <c r="T829" s="15" t="s">
        <v>3232</v>
      </c>
      <c r="U829" s="15" t="s">
        <v>13813</v>
      </c>
      <c r="V829" s="15" t="s">
        <v>13820</v>
      </c>
      <c r="W829" s="15" t="s">
        <v>13821</v>
      </c>
      <c r="X829" s="15" t="s">
        <v>39</v>
      </c>
      <c r="Y829" s="15" t="s">
        <v>39</v>
      </c>
      <c r="Z829" s="15" t="s">
        <v>168</v>
      </c>
      <c r="AA829" s="15" t="s">
        <v>169</v>
      </c>
      <c r="AB829" s="15" t="s">
        <v>170</v>
      </c>
      <c r="AC829" s="15" t="s">
        <v>367</v>
      </c>
      <c r="AD829" s="15" t="s">
        <v>39</v>
      </c>
      <c r="AE829" s="15" t="s">
        <v>39</v>
      </c>
      <c r="AF829" s="15" t="s">
        <v>39</v>
      </c>
      <c r="AG829" s="15" t="s">
        <v>39</v>
      </c>
      <c r="AH829" s="15" t="s">
        <v>39</v>
      </c>
      <c r="AI829" s="15" t="s">
        <v>13822</v>
      </c>
      <c r="AJ829" s="15" t="s">
        <v>13823</v>
      </c>
      <c r="AK829" s="15" t="s">
        <v>3023</v>
      </c>
      <c r="AL829" s="15" t="s">
        <v>39</v>
      </c>
    </row>
    <row r="830" spans="1:38" x14ac:dyDescent="0.4">
      <c r="A830" s="11" t="s">
        <v>13824</v>
      </c>
      <c r="B830" s="12" t="s">
        <v>13825</v>
      </c>
      <c r="C830" s="13" t="s">
        <v>39</v>
      </c>
      <c r="D830" s="13" t="s">
        <v>92</v>
      </c>
      <c r="E830" s="13" t="s">
        <v>13826</v>
      </c>
      <c r="F830" s="13" t="s">
        <v>1447</v>
      </c>
      <c r="G830" s="13" t="s">
        <v>39</v>
      </c>
      <c r="H830" s="13" t="s">
        <v>13827</v>
      </c>
      <c r="I830" s="9">
        <f t="shared" ca="1" si="12"/>
        <v>15</v>
      </c>
      <c r="J830" s="13" t="s">
        <v>13828</v>
      </c>
      <c r="K830" s="13" t="s">
        <v>425</v>
      </c>
      <c r="L830" s="9" t="str">
        <f>VLOOKUP(K830,[1]中国省份_标准!$B$2:$F$35,4,FALSE)</f>
        <v>东部地区</v>
      </c>
      <c r="M830" s="9" t="str">
        <f>VLOOKUP(K830,[1]中国省份_标准!$B$2:$F$35,5,FALSE)</f>
        <v>华东地区</v>
      </c>
      <c r="N830" s="13" t="s">
        <v>426</v>
      </c>
      <c r="O830" s="13" t="s">
        <v>2286</v>
      </c>
      <c r="P830" s="13" t="s">
        <v>13829</v>
      </c>
      <c r="Q830" s="13" t="s">
        <v>39</v>
      </c>
      <c r="R830" s="13" t="s">
        <v>39</v>
      </c>
      <c r="S830" s="13" t="s">
        <v>39</v>
      </c>
      <c r="T830" s="13" t="s">
        <v>3232</v>
      </c>
      <c r="U830" s="13" t="s">
        <v>13825</v>
      </c>
      <c r="V830" s="13" t="s">
        <v>13830</v>
      </c>
      <c r="W830" s="13" t="s">
        <v>13831</v>
      </c>
      <c r="X830" s="13" t="s">
        <v>39</v>
      </c>
      <c r="Y830" s="13" t="s">
        <v>39</v>
      </c>
      <c r="Z830" s="13" t="s">
        <v>168</v>
      </c>
      <c r="AA830" s="13" t="s">
        <v>169</v>
      </c>
      <c r="AB830" s="13" t="s">
        <v>170</v>
      </c>
      <c r="AC830" s="13" t="s">
        <v>367</v>
      </c>
      <c r="AD830" s="13" t="s">
        <v>39</v>
      </c>
      <c r="AE830" s="13" t="s">
        <v>39</v>
      </c>
      <c r="AF830" s="13" t="s">
        <v>39</v>
      </c>
      <c r="AG830" s="13" t="s">
        <v>39</v>
      </c>
      <c r="AH830" s="13" t="s">
        <v>39</v>
      </c>
      <c r="AI830" s="13" t="s">
        <v>13832</v>
      </c>
      <c r="AJ830" s="13" t="s">
        <v>13833</v>
      </c>
      <c r="AK830" s="13" t="s">
        <v>13834</v>
      </c>
      <c r="AL830" s="13" t="s">
        <v>39</v>
      </c>
    </row>
    <row r="831" spans="1:38" x14ac:dyDescent="0.4">
      <c r="A831" s="11" t="s">
        <v>13835</v>
      </c>
      <c r="B831" s="14" t="s">
        <v>13836</v>
      </c>
      <c r="C831" s="15" t="s">
        <v>39</v>
      </c>
      <c r="D831" s="15" t="s">
        <v>92</v>
      </c>
      <c r="E831" s="15" t="s">
        <v>13837</v>
      </c>
      <c r="F831" s="15" t="s">
        <v>39</v>
      </c>
      <c r="G831" s="15" t="s">
        <v>39</v>
      </c>
      <c r="H831" s="15" t="s">
        <v>13838</v>
      </c>
      <c r="I831" s="9">
        <f t="shared" ca="1" si="12"/>
        <v>8</v>
      </c>
      <c r="J831" s="15" t="s">
        <v>13839</v>
      </c>
      <c r="K831" s="15" t="s">
        <v>340</v>
      </c>
      <c r="L831" s="9" t="str">
        <f>VLOOKUP(K831,[1]中国省份_标准!$B$2:$F$35,4,FALSE)</f>
        <v>东部地区</v>
      </c>
      <c r="M831" s="9" t="str">
        <f>VLOOKUP(K831,[1]中国省份_标准!$B$2:$F$35,5,FALSE)</f>
        <v>华东地区</v>
      </c>
      <c r="N831" s="15" t="s">
        <v>341</v>
      </c>
      <c r="O831" s="15" t="s">
        <v>342</v>
      </c>
      <c r="P831" s="15" t="s">
        <v>13840</v>
      </c>
      <c r="Q831" s="15" t="s">
        <v>39</v>
      </c>
      <c r="R831" s="15" t="s">
        <v>39</v>
      </c>
      <c r="S831" s="15" t="s">
        <v>39</v>
      </c>
      <c r="T831" s="15" t="s">
        <v>3232</v>
      </c>
      <c r="U831" s="15" t="s">
        <v>13836</v>
      </c>
      <c r="V831" s="15" t="s">
        <v>13841</v>
      </c>
      <c r="W831" s="15" t="s">
        <v>13842</v>
      </c>
      <c r="X831" s="15" t="s">
        <v>39</v>
      </c>
      <c r="Y831" s="15" t="s">
        <v>39</v>
      </c>
      <c r="Z831" s="15" t="s">
        <v>168</v>
      </c>
      <c r="AA831" s="15" t="s">
        <v>169</v>
      </c>
      <c r="AB831" s="15" t="s">
        <v>170</v>
      </c>
      <c r="AC831" s="15" t="s">
        <v>171</v>
      </c>
      <c r="AD831" s="15" t="s">
        <v>347</v>
      </c>
      <c r="AE831" s="15" t="s">
        <v>39</v>
      </c>
      <c r="AF831" s="15" t="s">
        <v>39</v>
      </c>
      <c r="AG831" s="15" t="s">
        <v>39</v>
      </c>
      <c r="AH831" s="15" t="s">
        <v>39</v>
      </c>
      <c r="AI831" s="15" t="s">
        <v>13843</v>
      </c>
      <c r="AJ831" s="15" t="s">
        <v>13844</v>
      </c>
      <c r="AK831" s="15" t="s">
        <v>351</v>
      </c>
      <c r="AL831" s="15" t="s">
        <v>88</v>
      </c>
    </row>
    <row r="832" spans="1:38" x14ac:dyDescent="0.4">
      <c r="A832" s="11" t="s">
        <v>13845</v>
      </c>
      <c r="B832" s="12" t="s">
        <v>13846</v>
      </c>
      <c r="C832" s="13" t="s">
        <v>39</v>
      </c>
      <c r="D832" s="13" t="s">
        <v>92</v>
      </c>
      <c r="E832" s="13" t="s">
        <v>13847</v>
      </c>
      <c r="F832" s="13" t="s">
        <v>961</v>
      </c>
      <c r="G832" s="13" t="s">
        <v>1428</v>
      </c>
      <c r="H832" s="13" t="s">
        <v>13848</v>
      </c>
      <c r="I832" s="9">
        <f t="shared" ca="1" si="12"/>
        <v>18</v>
      </c>
      <c r="J832" s="13" t="s">
        <v>13849</v>
      </c>
      <c r="K832" s="13" t="s">
        <v>425</v>
      </c>
      <c r="L832" s="9" t="str">
        <f>VLOOKUP(K832,[1]中国省份_标准!$B$2:$F$35,4,FALSE)</f>
        <v>东部地区</v>
      </c>
      <c r="M832" s="9" t="str">
        <f>VLOOKUP(K832,[1]中国省份_标准!$B$2:$F$35,5,FALSE)</f>
        <v>华东地区</v>
      </c>
      <c r="N832" s="13" t="s">
        <v>572</v>
      </c>
      <c r="O832" s="13" t="s">
        <v>3031</v>
      </c>
      <c r="P832" s="13" t="s">
        <v>13850</v>
      </c>
      <c r="Q832" s="13" t="s">
        <v>13851</v>
      </c>
      <c r="R832" s="13" t="s">
        <v>13852</v>
      </c>
      <c r="S832" s="13" t="s">
        <v>39</v>
      </c>
      <c r="T832" s="13" t="s">
        <v>48</v>
      </c>
      <c r="U832" s="13" t="s">
        <v>13846</v>
      </c>
      <c r="V832" s="13" t="s">
        <v>13853</v>
      </c>
      <c r="W832" s="13" t="s">
        <v>13854</v>
      </c>
      <c r="X832" s="13" t="s">
        <v>13855</v>
      </c>
      <c r="Y832" s="13" t="s">
        <v>78</v>
      </c>
      <c r="Z832" s="13" t="s">
        <v>13856</v>
      </c>
      <c r="AA832" s="13" t="s">
        <v>169</v>
      </c>
      <c r="AB832" s="13" t="s">
        <v>285</v>
      </c>
      <c r="AC832" s="13" t="s">
        <v>39</v>
      </c>
      <c r="AD832" s="13" t="s">
        <v>39</v>
      </c>
      <c r="AE832" s="13" t="s">
        <v>55</v>
      </c>
      <c r="AF832" s="13" t="s">
        <v>13857</v>
      </c>
      <c r="AG832" s="13" t="s">
        <v>39</v>
      </c>
      <c r="AH832" s="13" t="s">
        <v>39</v>
      </c>
      <c r="AI832" s="13" t="s">
        <v>13858</v>
      </c>
      <c r="AJ832" s="13" t="s">
        <v>13859</v>
      </c>
      <c r="AK832" s="13" t="s">
        <v>13860</v>
      </c>
      <c r="AL832" s="13" t="s">
        <v>88</v>
      </c>
    </row>
    <row r="833" spans="1:38" x14ac:dyDescent="0.4">
      <c r="A833" s="11" t="s">
        <v>13861</v>
      </c>
      <c r="B833" s="14" t="s">
        <v>13862</v>
      </c>
      <c r="C833" s="15" t="s">
        <v>39</v>
      </c>
      <c r="D833" s="15" t="s">
        <v>63</v>
      </c>
      <c r="E833" s="15" t="s">
        <v>13863</v>
      </c>
      <c r="F833" s="15" t="s">
        <v>640</v>
      </c>
      <c r="G833" s="15" t="s">
        <v>39</v>
      </c>
      <c r="H833" s="15" t="s">
        <v>13864</v>
      </c>
      <c r="I833" s="9">
        <f t="shared" ca="1" si="12"/>
        <v>11</v>
      </c>
      <c r="J833" s="15" t="s">
        <v>13865</v>
      </c>
      <c r="K833" s="15" t="s">
        <v>67</v>
      </c>
      <c r="L833" s="9" t="str">
        <f>VLOOKUP(K833,[1]中国省份_标准!$B$2:$F$35,4,FALSE)</f>
        <v>东部地区</v>
      </c>
      <c r="M833" s="9" t="str">
        <f>VLOOKUP(K833,[1]中国省份_标准!$B$2:$F$35,5,FALSE)</f>
        <v>华东地区</v>
      </c>
      <c r="N833" s="15" t="s">
        <v>203</v>
      </c>
      <c r="O833" s="15" t="s">
        <v>944</v>
      </c>
      <c r="P833" s="15" t="s">
        <v>13866</v>
      </c>
      <c r="Q833" s="15" t="s">
        <v>39</v>
      </c>
      <c r="R833" s="15" t="s">
        <v>13867</v>
      </c>
      <c r="S833" s="15" t="s">
        <v>39</v>
      </c>
      <c r="T833" s="15" t="s">
        <v>48</v>
      </c>
      <c r="U833" s="15" t="s">
        <v>13862</v>
      </c>
      <c r="V833" s="15" t="s">
        <v>13868</v>
      </c>
      <c r="W833" s="15" t="s">
        <v>13869</v>
      </c>
      <c r="X833" s="15" t="s">
        <v>77</v>
      </c>
      <c r="Y833" s="15" t="s">
        <v>78</v>
      </c>
      <c r="Z833" s="15" t="s">
        <v>13870</v>
      </c>
      <c r="AA833" s="15" t="s">
        <v>80</v>
      </c>
      <c r="AB833" s="15" t="s">
        <v>106</v>
      </c>
      <c r="AC833" s="15" t="s">
        <v>951</v>
      </c>
      <c r="AD833" s="15" t="s">
        <v>952</v>
      </c>
      <c r="AE833" s="15" t="s">
        <v>55</v>
      </c>
      <c r="AF833" s="15" t="s">
        <v>13871</v>
      </c>
      <c r="AG833" s="15" t="s">
        <v>39</v>
      </c>
      <c r="AH833" s="15" t="s">
        <v>13872</v>
      </c>
      <c r="AI833" s="15" t="s">
        <v>13873</v>
      </c>
      <c r="AJ833" s="15" t="s">
        <v>13874</v>
      </c>
      <c r="AK833" s="15" t="s">
        <v>956</v>
      </c>
      <c r="AL833" s="15" t="s">
        <v>88</v>
      </c>
    </row>
    <row r="834" spans="1:38" x14ac:dyDescent="0.4">
      <c r="A834" s="11" t="s">
        <v>13875</v>
      </c>
      <c r="B834" s="12" t="s">
        <v>13876</v>
      </c>
      <c r="C834" s="13" t="s">
        <v>39</v>
      </c>
      <c r="D834" s="13" t="s">
        <v>92</v>
      </c>
      <c r="E834" s="13" t="s">
        <v>13877</v>
      </c>
      <c r="F834" s="13" t="s">
        <v>154</v>
      </c>
      <c r="G834" s="13" t="s">
        <v>154</v>
      </c>
      <c r="H834" s="13" t="s">
        <v>13878</v>
      </c>
      <c r="I834" s="9">
        <f t="shared" ca="1" si="12"/>
        <v>11</v>
      </c>
      <c r="J834" s="13" t="s">
        <v>13879</v>
      </c>
      <c r="K834" s="13" t="s">
        <v>340</v>
      </c>
      <c r="L834" s="9" t="str">
        <f>VLOOKUP(K834,[1]中国省份_标准!$B$2:$F$35,4,FALSE)</f>
        <v>东部地区</v>
      </c>
      <c r="M834" s="9" t="str">
        <f>VLOOKUP(K834,[1]中国省份_标准!$B$2:$F$35,5,FALSE)</f>
        <v>华东地区</v>
      </c>
      <c r="N834" s="13" t="s">
        <v>401</v>
      </c>
      <c r="O834" s="13" t="s">
        <v>784</v>
      </c>
      <c r="P834" s="13" t="s">
        <v>13880</v>
      </c>
      <c r="Q834" s="13" t="s">
        <v>13881</v>
      </c>
      <c r="R834" s="13" t="s">
        <v>13882</v>
      </c>
      <c r="S834" s="13" t="s">
        <v>13883</v>
      </c>
      <c r="T834" s="13" t="s">
        <v>48</v>
      </c>
      <c r="U834" s="13" t="s">
        <v>13876</v>
      </c>
      <c r="V834" s="13" t="s">
        <v>13884</v>
      </c>
      <c r="W834" s="13" t="s">
        <v>13885</v>
      </c>
      <c r="X834" s="13" t="s">
        <v>990</v>
      </c>
      <c r="Y834" s="13" t="s">
        <v>78</v>
      </c>
      <c r="Z834" s="13" t="s">
        <v>13886</v>
      </c>
      <c r="AA834" s="13" t="s">
        <v>80</v>
      </c>
      <c r="AB834" s="13" t="s">
        <v>106</v>
      </c>
      <c r="AC834" s="13" t="s">
        <v>388</v>
      </c>
      <c r="AD834" s="13" t="s">
        <v>434</v>
      </c>
      <c r="AE834" s="13" t="s">
        <v>109</v>
      </c>
      <c r="AF834" s="13" t="s">
        <v>13887</v>
      </c>
      <c r="AG834" s="13" t="s">
        <v>39</v>
      </c>
      <c r="AH834" s="13" t="s">
        <v>39</v>
      </c>
      <c r="AI834" s="13" t="s">
        <v>13888</v>
      </c>
      <c r="AJ834" s="13" t="s">
        <v>13889</v>
      </c>
      <c r="AK834" s="13" t="s">
        <v>796</v>
      </c>
      <c r="AL834" s="13" t="s">
        <v>88</v>
      </c>
    </row>
    <row r="835" spans="1:38" x14ac:dyDescent="0.4">
      <c r="A835" s="11" t="s">
        <v>13890</v>
      </c>
      <c r="B835" s="14" t="s">
        <v>13891</v>
      </c>
      <c r="C835" s="15" t="s">
        <v>39</v>
      </c>
      <c r="D835" s="15" t="s">
        <v>92</v>
      </c>
      <c r="E835" s="15" t="s">
        <v>3107</v>
      </c>
      <c r="F835" s="15" t="s">
        <v>13892</v>
      </c>
      <c r="G835" s="15" t="s">
        <v>13892</v>
      </c>
      <c r="H835" s="15" t="s">
        <v>13893</v>
      </c>
      <c r="I835" s="9">
        <f t="shared" ref="I835:I898" ca="1" si="13">DATEDIF(H835, TODAY(), "Y")</f>
        <v>29</v>
      </c>
      <c r="J835" s="15" t="s">
        <v>13894</v>
      </c>
      <c r="K835" s="15" t="s">
        <v>138</v>
      </c>
      <c r="L835" s="9" t="str">
        <f>VLOOKUP(K835,[1]中国省份_标准!$B$2:$F$35,4,FALSE)</f>
        <v>西部地区</v>
      </c>
      <c r="M835" s="9" t="str">
        <f>VLOOKUP(K835,[1]中国省份_标准!$B$2:$F$35,5,FALSE)</f>
        <v>西南地区</v>
      </c>
      <c r="N835" s="15" t="s">
        <v>139</v>
      </c>
      <c r="O835" s="15" t="s">
        <v>13785</v>
      </c>
      <c r="P835" s="15" t="s">
        <v>13895</v>
      </c>
      <c r="Q835" s="15" t="s">
        <v>13896</v>
      </c>
      <c r="R835" s="15" t="s">
        <v>13897</v>
      </c>
      <c r="S835" s="15" t="s">
        <v>13898</v>
      </c>
      <c r="T835" s="15" t="s">
        <v>6814</v>
      </c>
      <c r="U835" s="15" t="s">
        <v>13891</v>
      </c>
      <c r="V835" s="15" t="s">
        <v>13899</v>
      </c>
      <c r="W835" s="15" t="s">
        <v>13900</v>
      </c>
      <c r="X835" s="15" t="s">
        <v>13901</v>
      </c>
      <c r="Y835" s="15" t="s">
        <v>78</v>
      </c>
      <c r="Z835" s="15" t="s">
        <v>13902</v>
      </c>
      <c r="AA835" s="15" t="s">
        <v>169</v>
      </c>
      <c r="AB835" s="15" t="s">
        <v>412</v>
      </c>
      <c r="AC835" s="15" t="s">
        <v>413</v>
      </c>
      <c r="AD835" s="15" t="s">
        <v>1687</v>
      </c>
      <c r="AE835" s="15" t="s">
        <v>55</v>
      </c>
      <c r="AF835" s="15" t="s">
        <v>13903</v>
      </c>
      <c r="AG835" s="15" t="s">
        <v>39</v>
      </c>
      <c r="AH835" s="15" t="s">
        <v>39</v>
      </c>
      <c r="AI835" s="15" t="s">
        <v>13904</v>
      </c>
      <c r="AJ835" s="15" t="s">
        <v>13905</v>
      </c>
      <c r="AK835" s="15" t="s">
        <v>13906</v>
      </c>
      <c r="AL835" s="15" t="s">
        <v>88</v>
      </c>
    </row>
    <row r="836" spans="1:38" x14ac:dyDescent="0.4">
      <c r="A836" s="11" t="s">
        <v>13907</v>
      </c>
      <c r="B836" s="12" t="s">
        <v>13908</v>
      </c>
      <c r="C836" s="13" t="s">
        <v>39</v>
      </c>
      <c r="D836" s="13" t="s">
        <v>92</v>
      </c>
      <c r="E836" s="13" t="s">
        <v>13909</v>
      </c>
      <c r="F836" s="13" t="s">
        <v>154</v>
      </c>
      <c r="G836" s="13" t="s">
        <v>154</v>
      </c>
      <c r="H836" s="13" t="s">
        <v>13910</v>
      </c>
      <c r="I836" s="9">
        <f t="shared" ca="1" si="13"/>
        <v>10</v>
      </c>
      <c r="J836" s="13" t="s">
        <v>13911</v>
      </c>
      <c r="K836" s="13" t="s">
        <v>138</v>
      </c>
      <c r="L836" s="9" t="str">
        <f>VLOOKUP(K836,[1]中国省份_标准!$B$2:$F$35,4,FALSE)</f>
        <v>西部地区</v>
      </c>
      <c r="M836" s="9" t="str">
        <f>VLOOKUP(K836,[1]中国省份_标准!$B$2:$F$35,5,FALSE)</f>
        <v>西南地区</v>
      </c>
      <c r="N836" s="13" t="s">
        <v>139</v>
      </c>
      <c r="O836" s="13" t="s">
        <v>13912</v>
      </c>
      <c r="P836" s="13" t="s">
        <v>13913</v>
      </c>
      <c r="Q836" s="13" t="s">
        <v>39</v>
      </c>
      <c r="R836" s="13" t="s">
        <v>13914</v>
      </c>
      <c r="S836" s="13" t="s">
        <v>13915</v>
      </c>
      <c r="T836" s="13" t="s">
        <v>48</v>
      </c>
      <c r="U836" s="13" t="s">
        <v>13908</v>
      </c>
      <c r="V836" s="13" t="s">
        <v>13916</v>
      </c>
      <c r="W836" s="13" t="s">
        <v>13917</v>
      </c>
      <c r="X836" s="13" t="s">
        <v>4180</v>
      </c>
      <c r="Y836" s="13" t="s">
        <v>78</v>
      </c>
      <c r="Z836" s="13" t="s">
        <v>13918</v>
      </c>
      <c r="AA836" s="13" t="s">
        <v>169</v>
      </c>
      <c r="AB836" s="13" t="s">
        <v>170</v>
      </c>
      <c r="AC836" s="13" t="s">
        <v>171</v>
      </c>
      <c r="AD836" s="13" t="s">
        <v>5811</v>
      </c>
      <c r="AE836" s="13" t="s">
        <v>55</v>
      </c>
      <c r="AF836" s="13" t="s">
        <v>13919</v>
      </c>
      <c r="AG836" s="13" t="s">
        <v>39</v>
      </c>
      <c r="AH836" s="13" t="s">
        <v>13920</v>
      </c>
      <c r="AI836" s="13" t="s">
        <v>13921</v>
      </c>
      <c r="AJ836" s="13" t="s">
        <v>13922</v>
      </c>
      <c r="AK836" s="13" t="s">
        <v>13923</v>
      </c>
      <c r="AL836" s="13" t="s">
        <v>88</v>
      </c>
    </row>
    <row r="837" spans="1:38" x14ac:dyDescent="0.4">
      <c r="A837" s="11" t="s">
        <v>13924</v>
      </c>
      <c r="B837" s="14" t="s">
        <v>13925</v>
      </c>
      <c r="C837" s="15" t="s">
        <v>13926</v>
      </c>
      <c r="D837" s="15" t="s">
        <v>92</v>
      </c>
      <c r="E837" s="15" t="s">
        <v>13927</v>
      </c>
      <c r="F837" s="15" t="s">
        <v>13928</v>
      </c>
      <c r="G837" s="15" t="s">
        <v>13928</v>
      </c>
      <c r="H837" s="15" t="s">
        <v>13929</v>
      </c>
      <c r="I837" s="9">
        <f t="shared" ca="1" si="13"/>
        <v>30</v>
      </c>
      <c r="J837" s="15" t="s">
        <v>13930</v>
      </c>
      <c r="K837" s="15" t="s">
        <v>138</v>
      </c>
      <c r="L837" s="9" t="str">
        <f>VLOOKUP(K837,[1]中国省份_标准!$B$2:$F$35,4,FALSE)</f>
        <v>西部地区</v>
      </c>
      <c r="M837" s="9" t="str">
        <f>VLOOKUP(K837,[1]中国省份_标准!$B$2:$F$35,5,FALSE)</f>
        <v>西南地区</v>
      </c>
      <c r="N837" s="15" t="s">
        <v>139</v>
      </c>
      <c r="O837" s="15" t="s">
        <v>181</v>
      </c>
      <c r="P837" s="15" t="s">
        <v>13931</v>
      </c>
      <c r="Q837" s="15" t="s">
        <v>13932</v>
      </c>
      <c r="R837" s="15" t="s">
        <v>13933</v>
      </c>
      <c r="S837" s="15" t="s">
        <v>13934</v>
      </c>
      <c r="T837" s="15" t="s">
        <v>407</v>
      </c>
      <c r="U837" s="15" t="s">
        <v>13925</v>
      </c>
      <c r="V837" s="15" t="s">
        <v>13935</v>
      </c>
      <c r="W837" s="15" t="s">
        <v>13936</v>
      </c>
      <c r="X837" s="15" t="s">
        <v>13937</v>
      </c>
      <c r="Y837" s="15" t="s">
        <v>78</v>
      </c>
      <c r="Z837" s="15" t="s">
        <v>13938</v>
      </c>
      <c r="AA837" s="15" t="s">
        <v>169</v>
      </c>
      <c r="AB837" s="15" t="s">
        <v>412</v>
      </c>
      <c r="AC837" s="15" t="s">
        <v>413</v>
      </c>
      <c r="AD837" s="15" t="s">
        <v>1687</v>
      </c>
      <c r="AE837" s="15" t="s">
        <v>262</v>
      </c>
      <c r="AF837" s="15" t="s">
        <v>13939</v>
      </c>
      <c r="AG837" s="15" t="s">
        <v>13940</v>
      </c>
      <c r="AH837" s="15" t="s">
        <v>39</v>
      </c>
      <c r="AI837" s="15" t="s">
        <v>13941</v>
      </c>
      <c r="AJ837" s="15" t="s">
        <v>13942</v>
      </c>
      <c r="AK837" s="15" t="s">
        <v>150</v>
      </c>
      <c r="AL837" s="15" t="s">
        <v>88</v>
      </c>
    </row>
    <row r="838" spans="1:38" x14ac:dyDescent="0.4">
      <c r="A838" s="11" t="s">
        <v>13943</v>
      </c>
      <c r="B838" s="12" t="s">
        <v>13944</v>
      </c>
      <c r="C838" s="13" t="s">
        <v>39</v>
      </c>
      <c r="D838" s="13" t="s">
        <v>92</v>
      </c>
      <c r="E838" s="13" t="s">
        <v>13945</v>
      </c>
      <c r="F838" s="13" t="s">
        <v>39</v>
      </c>
      <c r="G838" s="13" t="s">
        <v>39</v>
      </c>
      <c r="H838" s="13" t="s">
        <v>12672</v>
      </c>
      <c r="I838" s="9">
        <f t="shared" ca="1" si="13"/>
        <v>17</v>
      </c>
      <c r="J838" s="13" t="s">
        <v>13946</v>
      </c>
      <c r="K838" s="13" t="s">
        <v>340</v>
      </c>
      <c r="L838" s="9" t="str">
        <f>VLOOKUP(K838,[1]中国省份_标准!$B$2:$F$35,4,FALSE)</f>
        <v>东部地区</v>
      </c>
      <c r="M838" s="9" t="str">
        <f>VLOOKUP(K838,[1]中国省份_标准!$B$2:$F$35,5,FALSE)</f>
        <v>华东地区</v>
      </c>
      <c r="N838" s="13" t="s">
        <v>341</v>
      </c>
      <c r="O838" s="13" t="s">
        <v>342</v>
      </c>
      <c r="P838" s="13" t="s">
        <v>13947</v>
      </c>
      <c r="Q838" s="13" t="s">
        <v>13948</v>
      </c>
      <c r="R838" s="13" t="s">
        <v>39</v>
      </c>
      <c r="S838" s="13" t="s">
        <v>39</v>
      </c>
      <c r="T838" s="13" t="s">
        <v>3232</v>
      </c>
      <c r="U838" s="13" t="s">
        <v>13944</v>
      </c>
      <c r="V838" s="13" t="s">
        <v>13949</v>
      </c>
      <c r="W838" s="13" t="s">
        <v>13950</v>
      </c>
      <c r="X838" s="13" t="s">
        <v>39</v>
      </c>
      <c r="Y838" s="13" t="s">
        <v>39</v>
      </c>
      <c r="Z838" s="13" t="s">
        <v>168</v>
      </c>
      <c r="AA838" s="13" t="s">
        <v>169</v>
      </c>
      <c r="AB838" s="13" t="s">
        <v>170</v>
      </c>
      <c r="AC838" s="13" t="s">
        <v>171</v>
      </c>
      <c r="AD838" s="13" t="s">
        <v>347</v>
      </c>
      <c r="AE838" s="13" t="s">
        <v>39</v>
      </c>
      <c r="AF838" s="13" t="s">
        <v>39</v>
      </c>
      <c r="AG838" s="13" t="s">
        <v>39</v>
      </c>
      <c r="AH838" s="13" t="s">
        <v>39</v>
      </c>
      <c r="AI838" s="13" t="s">
        <v>13951</v>
      </c>
      <c r="AJ838" s="13" t="s">
        <v>13952</v>
      </c>
      <c r="AK838" s="13" t="s">
        <v>351</v>
      </c>
      <c r="AL838" s="13" t="s">
        <v>88</v>
      </c>
    </row>
    <row r="839" spans="1:38" x14ac:dyDescent="0.4">
      <c r="A839" s="11" t="s">
        <v>13953</v>
      </c>
      <c r="B839" s="14" t="s">
        <v>13954</v>
      </c>
      <c r="C839" s="15" t="s">
        <v>39</v>
      </c>
      <c r="D839" s="15" t="s">
        <v>92</v>
      </c>
      <c r="E839" s="15" t="s">
        <v>13955</v>
      </c>
      <c r="F839" s="15" t="s">
        <v>39</v>
      </c>
      <c r="G839" s="15" t="s">
        <v>39</v>
      </c>
      <c r="H839" s="15" t="s">
        <v>13956</v>
      </c>
      <c r="I839" s="9">
        <f t="shared" ca="1" si="13"/>
        <v>13</v>
      </c>
      <c r="J839" s="15" t="s">
        <v>13957</v>
      </c>
      <c r="K839" s="15" t="s">
        <v>340</v>
      </c>
      <c r="L839" s="9" t="str">
        <f>VLOOKUP(K839,[1]中国省份_标准!$B$2:$F$35,4,FALSE)</f>
        <v>东部地区</v>
      </c>
      <c r="M839" s="9" t="str">
        <f>VLOOKUP(K839,[1]中国省份_标准!$B$2:$F$35,5,FALSE)</f>
        <v>华东地区</v>
      </c>
      <c r="N839" s="15" t="s">
        <v>3150</v>
      </c>
      <c r="O839" s="15" t="s">
        <v>13958</v>
      </c>
      <c r="P839" s="15" t="s">
        <v>13959</v>
      </c>
      <c r="Q839" s="15" t="s">
        <v>39</v>
      </c>
      <c r="R839" s="15" t="s">
        <v>39</v>
      </c>
      <c r="S839" s="15" t="s">
        <v>39</v>
      </c>
      <c r="T839" s="15" t="s">
        <v>3232</v>
      </c>
      <c r="U839" s="15" t="s">
        <v>13954</v>
      </c>
      <c r="V839" s="15" t="s">
        <v>13960</v>
      </c>
      <c r="W839" s="15" t="s">
        <v>13961</v>
      </c>
      <c r="X839" s="15" t="s">
        <v>39</v>
      </c>
      <c r="Y839" s="15" t="s">
        <v>39</v>
      </c>
      <c r="Z839" s="15" t="s">
        <v>168</v>
      </c>
      <c r="AA839" s="15" t="s">
        <v>169</v>
      </c>
      <c r="AB839" s="15" t="s">
        <v>1996</v>
      </c>
      <c r="AC839" s="15" t="s">
        <v>13962</v>
      </c>
      <c r="AD839" s="15" t="s">
        <v>13962</v>
      </c>
      <c r="AE839" s="15" t="s">
        <v>39</v>
      </c>
      <c r="AF839" s="15" t="s">
        <v>39</v>
      </c>
      <c r="AG839" s="15" t="s">
        <v>39</v>
      </c>
      <c r="AH839" s="15" t="s">
        <v>39</v>
      </c>
      <c r="AI839" s="15" t="s">
        <v>13963</v>
      </c>
      <c r="AJ839" s="15" t="s">
        <v>13964</v>
      </c>
      <c r="AK839" s="15" t="s">
        <v>13965</v>
      </c>
      <c r="AL839" s="15" t="s">
        <v>39</v>
      </c>
    </row>
    <row r="840" spans="1:38" x14ac:dyDescent="0.4">
      <c r="A840" s="11" t="s">
        <v>13966</v>
      </c>
      <c r="B840" s="12" t="s">
        <v>13967</v>
      </c>
      <c r="C840" s="13" t="s">
        <v>13968</v>
      </c>
      <c r="D840" s="13" t="s">
        <v>63</v>
      </c>
      <c r="E840" s="13" t="s">
        <v>13969</v>
      </c>
      <c r="F840" s="13" t="s">
        <v>39</v>
      </c>
      <c r="G840" s="13" t="s">
        <v>39</v>
      </c>
      <c r="H840" s="13" t="s">
        <v>13970</v>
      </c>
      <c r="I840" s="9">
        <f t="shared" ca="1" si="13"/>
        <v>24</v>
      </c>
      <c r="J840" s="13" t="s">
        <v>13971</v>
      </c>
      <c r="K840" s="13" t="s">
        <v>531</v>
      </c>
      <c r="L840" s="9" t="str">
        <f>VLOOKUP(K840,[1]中国省份_标准!$B$2:$F$35,4,FALSE)</f>
        <v>东部地区</v>
      </c>
      <c r="M840" s="9" t="str">
        <f>VLOOKUP(K840,[1]中国省份_标准!$B$2:$F$35,5,FALSE)</f>
        <v>华南地区</v>
      </c>
      <c r="N840" s="13" t="s">
        <v>2483</v>
      </c>
      <c r="O840" s="13" t="s">
        <v>2504</v>
      </c>
      <c r="P840" s="13" t="s">
        <v>13972</v>
      </c>
      <c r="Q840" s="13" t="s">
        <v>39</v>
      </c>
      <c r="R840" s="13" t="s">
        <v>39</v>
      </c>
      <c r="S840" s="13" t="s">
        <v>39</v>
      </c>
      <c r="T840" s="13" t="s">
        <v>3232</v>
      </c>
      <c r="U840" s="13" t="s">
        <v>13967</v>
      </c>
      <c r="V840" s="13" t="s">
        <v>13973</v>
      </c>
      <c r="W840" s="13" t="s">
        <v>13974</v>
      </c>
      <c r="X840" s="13" t="s">
        <v>39</v>
      </c>
      <c r="Y840" s="13" t="s">
        <v>39</v>
      </c>
      <c r="Z840" s="13" t="s">
        <v>168</v>
      </c>
      <c r="AA840" s="13" t="s">
        <v>169</v>
      </c>
      <c r="AB840" s="13" t="s">
        <v>1264</v>
      </c>
      <c r="AC840" s="13" t="s">
        <v>1457</v>
      </c>
      <c r="AD840" s="13" t="s">
        <v>1557</v>
      </c>
      <c r="AE840" s="13" t="s">
        <v>39</v>
      </c>
      <c r="AF840" s="13" t="s">
        <v>39</v>
      </c>
      <c r="AG840" s="13" t="s">
        <v>39</v>
      </c>
      <c r="AH840" s="13" t="s">
        <v>39</v>
      </c>
      <c r="AI840" s="13" t="s">
        <v>13975</v>
      </c>
      <c r="AJ840" s="13" t="s">
        <v>13976</v>
      </c>
      <c r="AK840" s="13" t="s">
        <v>2516</v>
      </c>
      <c r="AL840" s="13" t="s">
        <v>39</v>
      </c>
    </row>
    <row r="841" spans="1:38" x14ac:dyDescent="0.4">
      <c r="A841" s="11" t="s">
        <v>13977</v>
      </c>
      <c r="B841" s="14" t="s">
        <v>13978</v>
      </c>
      <c r="C841" s="15" t="s">
        <v>39</v>
      </c>
      <c r="D841" s="15" t="s">
        <v>63</v>
      </c>
      <c r="E841" s="15" t="s">
        <v>13979</v>
      </c>
      <c r="F841" s="15" t="s">
        <v>94</v>
      </c>
      <c r="G841" s="15" t="s">
        <v>39</v>
      </c>
      <c r="H841" s="15" t="s">
        <v>13980</v>
      </c>
      <c r="I841" s="9">
        <f t="shared" ca="1" si="13"/>
        <v>13</v>
      </c>
      <c r="J841" s="15" t="s">
        <v>13981</v>
      </c>
      <c r="K841" s="15" t="s">
        <v>531</v>
      </c>
      <c r="L841" s="9" t="str">
        <f>VLOOKUP(K841,[1]中国省份_标准!$B$2:$F$35,4,FALSE)</f>
        <v>东部地区</v>
      </c>
      <c r="M841" s="9" t="str">
        <f>VLOOKUP(K841,[1]中国省份_标准!$B$2:$F$35,5,FALSE)</f>
        <v>华南地区</v>
      </c>
      <c r="N841" s="15" t="s">
        <v>2483</v>
      </c>
      <c r="O841" s="15" t="s">
        <v>2504</v>
      </c>
      <c r="P841" s="15" t="s">
        <v>13982</v>
      </c>
      <c r="Q841" s="15" t="s">
        <v>13983</v>
      </c>
      <c r="R841" s="15" t="s">
        <v>39</v>
      </c>
      <c r="S841" s="15" t="s">
        <v>39</v>
      </c>
      <c r="T841" s="15" t="s">
        <v>3232</v>
      </c>
      <c r="U841" s="15" t="s">
        <v>13978</v>
      </c>
      <c r="V841" s="15" t="s">
        <v>13984</v>
      </c>
      <c r="W841" s="15" t="s">
        <v>13985</v>
      </c>
      <c r="X841" s="15" t="s">
        <v>39</v>
      </c>
      <c r="Y841" s="15" t="s">
        <v>39</v>
      </c>
      <c r="Z841" s="15" t="s">
        <v>168</v>
      </c>
      <c r="AA841" s="15" t="s">
        <v>169</v>
      </c>
      <c r="AB841" s="15" t="s">
        <v>285</v>
      </c>
      <c r="AC841" s="15" t="s">
        <v>286</v>
      </c>
      <c r="AD841" s="15" t="s">
        <v>39</v>
      </c>
      <c r="AE841" s="15" t="s">
        <v>39</v>
      </c>
      <c r="AF841" s="15" t="s">
        <v>39</v>
      </c>
      <c r="AG841" s="15" t="s">
        <v>39</v>
      </c>
      <c r="AH841" s="15" t="s">
        <v>39</v>
      </c>
      <c r="AI841" s="15" t="s">
        <v>13986</v>
      </c>
      <c r="AJ841" s="15" t="s">
        <v>13987</v>
      </c>
      <c r="AK841" s="15" t="s">
        <v>2516</v>
      </c>
      <c r="AL841" s="15" t="s">
        <v>88</v>
      </c>
    </row>
    <row r="842" spans="1:38" x14ac:dyDescent="0.4">
      <c r="A842" s="11" t="s">
        <v>13988</v>
      </c>
      <c r="B842" s="12" t="s">
        <v>13989</v>
      </c>
      <c r="C842" s="13" t="s">
        <v>39</v>
      </c>
      <c r="D842" s="13" t="s">
        <v>63</v>
      </c>
      <c r="E842" s="13" t="s">
        <v>13990</v>
      </c>
      <c r="F842" s="13" t="s">
        <v>39</v>
      </c>
      <c r="G842" s="13" t="s">
        <v>39</v>
      </c>
      <c r="H842" s="13" t="s">
        <v>13991</v>
      </c>
      <c r="I842" s="9">
        <f t="shared" ca="1" si="13"/>
        <v>18</v>
      </c>
      <c r="J842" s="13" t="s">
        <v>13992</v>
      </c>
      <c r="K842" s="13" t="s">
        <v>531</v>
      </c>
      <c r="L842" s="9" t="str">
        <f>VLOOKUP(K842,[1]中国省份_标准!$B$2:$F$35,4,FALSE)</f>
        <v>东部地区</v>
      </c>
      <c r="M842" s="9" t="str">
        <f>VLOOKUP(K842,[1]中国省份_标准!$B$2:$F$35,5,FALSE)</f>
        <v>华南地区</v>
      </c>
      <c r="N842" s="13" t="s">
        <v>2483</v>
      </c>
      <c r="O842" s="13" t="s">
        <v>2504</v>
      </c>
      <c r="P842" s="13" t="s">
        <v>13993</v>
      </c>
      <c r="Q842" s="13" t="s">
        <v>39</v>
      </c>
      <c r="R842" s="13" t="s">
        <v>39</v>
      </c>
      <c r="S842" s="13" t="s">
        <v>39</v>
      </c>
      <c r="T842" s="13" t="s">
        <v>3232</v>
      </c>
      <c r="U842" s="13" t="s">
        <v>13989</v>
      </c>
      <c r="V842" s="13" t="s">
        <v>13994</v>
      </c>
      <c r="W842" s="13" t="s">
        <v>13995</v>
      </c>
      <c r="X842" s="13" t="s">
        <v>39</v>
      </c>
      <c r="Y842" s="13" t="s">
        <v>39</v>
      </c>
      <c r="Z842" s="13" t="s">
        <v>168</v>
      </c>
      <c r="AA842" s="13" t="s">
        <v>169</v>
      </c>
      <c r="AB842" s="13" t="s">
        <v>1264</v>
      </c>
      <c r="AC842" s="13" t="s">
        <v>1457</v>
      </c>
      <c r="AD842" s="13" t="s">
        <v>1557</v>
      </c>
      <c r="AE842" s="13" t="s">
        <v>39</v>
      </c>
      <c r="AF842" s="13" t="s">
        <v>39</v>
      </c>
      <c r="AG842" s="13" t="s">
        <v>39</v>
      </c>
      <c r="AH842" s="13" t="s">
        <v>39</v>
      </c>
      <c r="AI842" s="13" t="s">
        <v>13996</v>
      </c>
      <c r="AJ842" s="13" t="s">
        <v>13997</v>
      </c>
      <c r="AK842" s="13" t="s">
        <v>2516</v>
      </c>
      <c r="AL842" s="13" t="s">
        <v>39</v>
      </c>
    </row>
    <row r="843" spans="1:38" x14ac:dyDescent="0.4">
      <c r="A843" s="11" t="s">
        <v>13998</v>
      </c>
      <c r="B843" s="14" t="s">
        <v>13999</v>
      </c>
      <c r="C843" s="15" t="s">
        <v>39</v>
      </c>
      <c r="D843" s="15" t="s">
        <v>92</v>
      </c>
      <c r="E843" s="15" t="s">
        <v>14000</v>
      </c>
      <c r="F843" s="15" t="s">
        <v>422</v>
      </c>
      <c r="G843" s="15" t="s">
        <v>1447</v>
      </c>
      <c r="H843" s="15" t="s">
        <v>14001</v>
      </c>
      <c r="I843" s="9">
        <f t="shared" ca="1" si="13"/>
        <v>12</v>
      </c>
      <c r="J843" s="15" t="s">
        <v>14002</v>
      </c>
      <c r="K843" s="15" t="s">
        <v>531</v>
      </c>
      <c r="L843" s="9" t="str">
        <f>VLOOKUP(K843,[1]中国省份_标准!$B$2:$F$35,4,FALSE)</f>
        <v>东部地区</v>
      </c>
      <c r="M843" s="9" t="str">
        <f>VLOOKUP(K843,[1]中国省份_标准!$B$2:$F$35,5,FALSE)</f>
        <v>华南地区</v>
      </c>
      <c r="N843" s="15" t="s">
        <v>532</v>
      </c>
      <c r="O843" s="15" t="s">
        <v>13376</v>
      </c>
      <c r="P843" s="15" t="s">
        <v>14003</v>
      </c>
      <c r="Q843" s="15" t="s">
        <v>14004</v>
      </c>
      <c r="R843" s="15" t="s">
        <v>14005</v>
      </c>
      <c r="S843" s="15" t="s">
        <v>14006</v>
      </c>
      <c r="T843" s="15" t="s">
        <v>48</v>
      </c>
      <c r="U843" s="15" t="s">
        <v>13999</v>
      </c>
      <c r="V843" s="15" t="s">
        <v>14007</v>
      </c>
      <c r="W843" s="15" t="s">
        <v>14008</v>
      </c>
      <c r="X843" s="15" t="s">
        <v>673</v>
      </c>
      <c r="Y843" s="15" t="s">
        <v>78</v>
      </c>
      <c r="Z843" s="15" t="s">
        <v>14009</v>
      </c>
      <c r="AA843" s="15" t="s">
        <v>169</v>
      </c>
      <c r="AB843" s="15" t="s">
        <v>285</v>
      </c>
      <c r="AC843" s="15" t="s">
        <v>39</v>
      </c>
      <c r="AD843" s="15" t="s">
        <v>39</v>
      </c>
      <c r="AE843" s="15" t="s">
        <v>109</v>
      </c>
      <c r="AF843" s="15" t="s">
        <v>14010</v>
      </c>
      <c r="AG843" s="15" t="s">
        <v>39</v>
      </c>
      <c r="AH843" s="15" t="s">
        <v>39</v>
      </c>
      <c r="AI843" s="15" t="s">
        <v>14011</v>
      </c>
      <c r="AJ843" s="15" t="s">
        <v>14012</v>
      </c>
      <c r="AK843" s="15" t="s">
        <v>13385</v>
      </c>
      <c r="AL843" s="15" t="s">
        <v>88</v>
      </c>
    </row>
    <row r="844" spans="1:38" x14ac:dyDescent="0.4">
      <c r="A844" s="11" t="s">
        <v>14013</v>
      </c>
      <c r="B844" s="12" t="s">
        <v>14014</v>
      </c>
      <c r="C844" s="13" t="s">
        <v>39</v>
      </c>
      <c r="D844" s="13" t="s">
        <v>92</v>
      </c>
      <c r="E844" s="13" t="s">
        <v>14015</v>
      </c>
      <c r="F844" s="13" t="s">
        <v>154</v>
      </c>
      <c r="G844" s="13" t="s">
        <v>39</v>
      </c>
      <c r="H844" s="13" t="s">
        <v>14016</v>
      </c>
      <c r="I844" s="9">
        <f t="shared" ca="1" si="13"/>
        <v>0</v>
      </c>
      <c r="J844" s="13" t="s">
        <v>14017</v>
      </c>
      <c r="K844" s="13" t="s">
        <v>4645</v>
      </c>
      <c r="L844" s="9" t="str">
        <f>VLOOKUP(K844,[1]中国省份_标准!$B$2:$F$35,4,FALSE)</f>
        <v>中部地区</v>
      </c>
      <c r="M844" s="9" t="str">
        <f>VLOOKUP(K844,[1]中国省份_标准!$B$2:$F$35,5,FALSE)</f>
        <v>华北地区</v>
      </c>
      <c r="N844" s="13" t="s">
        <v>4646</v>
      </c>
      <c r="O844" s="13" t="s">
        <v>4647</v>
      </c>
      <c r="P844" s="13" t="s">
        <v>39</v>
      </c>
      <c r="Q844" s="13" t="s">
        <v>39</v>
      </c>
      <c r="R844" s="13" t="s">
        <v>39</v>
      </c>
      <c r="S844" s="13" t="s">
        <v>39</v>
      </c>
      <c r="T844" s="13" t="s">
        <v>281</v>
      </c>
      <c r="U844" s="13" t="s">
        <v>14014</v>
      </c>
      <c r="V844" s="13" t="s">
        <v>14018</v>
      </c>
      <c r="W844" s="13" t="s">
        <v>14019</v>
      </c>
      <c r="X844" s="13" t="s">
        <v>39</v>
      </c>
      <c r="Y844" s="13" t="s">
        <v>39</v>
      </c>
      <c r="Z844" s="13" t="s">
        <v>14020</v>
      </c>
      <c r="AA844" s="13" t="s">
        <v>80</v>
      </c>
      <c r="AB844" s="13" t="s">
        <v>106</v>
      </c>
      <c r="AC844" s="13" t="s">
        <v>39</v>
      </c>
      <c r="AD844" s="13" t="s">
        <v>39</v>
      </c>
      <c r="AE844" s="13" t="s">
        <v>109</v>
      </c>
      <c r="AF844" s="13" t="s">
        <v>14021</v>
      </c>
      <c r="AG844" s="13" t="s">
        <v>39</v>
      </c>
      <c r="AH844" s="13" t="s">
        <v>39</v>
      </c>
      <c r="AI844" s="13" t="s">
        <v>14022</v>
      </c>
      <c r="AJ844" s="13" t="s">
        <v>14023</v>
      </c>
      <c r="AK844" s="13" t="s">
        <v>14024</v>
      </c>
      <c r="AL844" s="13" t="s">
        <v>88</v>
      </c>
    </row>
    <row r="845" spans="1:38" x14ac:dyDescent="0.4">
      <c r="A845" s="11" t="s">
        <v>14025</v>
      </c>
      <c r="B845" s="14" t="s">
        <v>14026</v>
      </c>
      <c r="C845" s="15" t="s">
        <v>39</v>
      </c>
      <c r="D845" s="15" t="s">
        <v>92</v>
      </c>
      <c r="E845" s="15" t="s">
        <v>14027</v>
      </c>
      <c r="F845" s="15" t="s">
        <v>8521</v>
      </c>
      <c r="G845" s="15" t="s">
        <v>8521</v>
      </c>
      <c r="H845" s="15" t="s">
        <v>14028</v>
      </c>
      <c r="I845" s="9">
        <f t="shared" ca="1" si="13"/>
        <v>7</v>
      </c>
      <c r="J845" s="15" t="s">
        <v>14029</v>
      </c>
      <c r="K845" s="15" t="s">
        <v>643</v>
      </c>
      <c r="L845" s="9" t="str">
        <f>VLOOKUP(K845,[1]中国省份_标准!$B$2:$F$35,4,FALSE)</f>
        <v>东北地区</v>
      </c>
      <c r="M845" s="9" t="str">
        <f>VLOOKUP(K845,[1]中国省份_标准!$B$2:$F$35,5,FALSE)</f>
        <v>东北地区</v>
      </c>
      <c r="N845" s="15" t="s">
        <v>2807</v>
      </c>
      <c r="O845" s="15" t="s">
        <v>14030</v>
      </c>
      <c r="P845" s="15" t="s">
        <v>14031</v>
      </c>
      <c r="Q845" s="15" t="s">
        <v>39</v>
      </c>
      <c r="R845" s="15" t="s">
        <v>14032</v>
      </c>
      <c r="S845" s="15" t="s">
        <v>14033</v>
      </c>
      <c r="T845" s="15" t="s">
        <v>452</v>
      </c>
      <c r="U845" s="15" t="s">
        <v>14026</v>
      </c>
      <c r="V845" s="15" t="s">
        <v>14034</v>
      </c>
      <c r="W845" s="15" t="s">
        <v>14035</v>
      </c>
      <c r="X845" s="15" t="s">
        <v>13937</v>
      </c>
      <c r="Y845" s="15" t="s">
        <v>78</v>
      </c>
      <c r="Z845" s="15" t="s">
        <v>14036</v>
      </c>
      <c r="AA845" s="15" t="s">
        <v>169</v>
      </c>
      <c r="AB845" s="15" t="s">
        <v>6796</v>
      </c>
      <c r="AC845" s="15" t="s">
        <v>14037</v>
      </c>
      <c r="AD845" s="15" t="s">
        <v>14038</v>
      </c>
      <c r="AE845" s="15" t="s">
        <v>55</v>
      </c>
      <c r="AF845" s="15" t="s">
        <v>14039</v>
      </c>
      <c r="AG845" s="15" t="s">
        <v>14040</v>
      </c>
      <c r="AH845" s="15" t="s">
        <v>39</v>
      </c>
      <c r="AI845" s="15" t="s">
        <v>14041</v>
      </c>
      <c r="AJ845" s="15" t="s">
        <v>14042</v>
      </c>
      <c r="AK845" s="15" t="s">
        <v>14043</v>
      </c>
      <c r="AL845" s="15" t="s">
        <v>88</v>
      </c>
    </row>
    <row r="846" spans="1:38" x14ac:dyDescent="0.4">
      <c r="A846" s="11" t="s">
        <v>14044</v>
      </c>
      <c r="B846" s="12" t="s">
        <v>14045</v>
      </c>
      <c r="C846" s="13" t="s">
        <v>39</v>
      </c>
      <c r="D846" s="13" t="s">
        <v>92</v>
      </c>
      <c r="E846" s="13" t="s">
        <v>14046</v>
      </c>
      <c r="F846" s="13" t="s">
        <v>154</v>
      </c>
      <c r="G846" s="13" t="s">
        <v>39</v>
      </c>
      <c r="H846" s="13" t="s">
        <v>14047</v>
      </c>
      <c r="I846" s="9">
        <f t="shared" ca="1" si="13"/>
        <v>0</v>
      </c>
      <c r="J846" s="13" t="s">
        <v>14048</v>
      </c>
      <c r="K846" s="13" t="s">
        <v>97</v>
      </c>
      <c r="L846" s="9" t="str">
        <f>VLOOKUP(K846,[1]中国省份_标准!$B$2:$F$35,4,FALSE)</f>
        <v>中部地区</v>
      </c>
      <c r="M846" s="9" t="str">
        <f>VLOOKUP(K846,[1]中国省份_标准!$B$2:$F$35,5,FALSE)</f>
        <v>华中地区</v>
      </c>
      <c r="N846" s="13" t="s">
        <v>98</v>
      </c>
      <c r="O846" s="13" t="s">
        <v>120</v>
      </c>
      <c r="P846" s="13" t="s">
        <v>39</v>
      </c>
      <c r="Q846" s="13" t="s">
        <v>39</v>
      </c>
      <c r="R846" s="13" t="s">
        <v>39</v>
      </c>
      <c r="S846" s="13" t="s">
        <v>39</v>
      </c>
      <c r="T846" s="13" t="s">
        <v>281</v>
      </c>
      <c r="U846" s="13" t="s">
        <v>14045</v>
      </c>
      <c r="V846" s="13" t="s">
        <v>39</v>
      </c>
      <c r="W846" s="13" t="s">
        <v>14049</v>
      </c>
      <c r="X846" s="13" t="s">
        <v>39</v>
      </c>
      <c r="Y846" s="13" t="s">
        <v>39</v>
      </c>
      <c r="Z846" s="13" t="s">
        <v>14050</v>
      </c>
      <c r="AA846" s="13" t="s">
        <v>80</v>
      </c>
      <c r="AB846" s="13" t="s">
        <v>106</v>
      </c>
      <c r="AC846" s="13" t="s">
        <v>39</v>
      </c>
      <c r="AD846" s="13" t="s">
        <v>39</v>
      </c>
      <c r="AE846" s="13" t="s">
        <v>109</v>
      </c>
      <c r="AF846" s="13" t="s">
        <v>14051</v>
      </c>
      <c r="AG846" s="13" t="s">
        <v>39</v>
      </c>
      <c r="AH846" s="13" t="s">
        <v>39</v>
      </c>
      <c r="AI846" s="13" t="s">
        <v>14052</v>
      </c>
      <c r="AJ846" s="13" t="s">
        <v>14053</v>
      </c>
      <c r="AK846" s="13" t="s">
        <v>132</v>
      </c>
      <c r="AL846" s="13" t="s">
        <v>88</v>
      </c>
    </row>
    <row r="847" spans="1:38" x14ac:dyDescent="0.4">
      <c r="A847" s="11" t="s">
        <v>14054</v>
      </c>
      <c r="B847" s="14" t="s">
        <v>14055</v>
      </c>
      <c r="C847" s="15" t="s">
        <v>39</v>
      </c>
      <c r="D847" s="15" t="s">
        <v>92</v>
      </c>
      <c r="E847" s="15" t="s">
        <v>14056</v>
      </c>
      <c r="F847" s="15" t="s">
        <v>271</v>
      </c>
      <c r="G847" s="15" t="s">
        <v>422</v>
      </c>
      <c r="H847" s="15" t="s">
        <v>14057</v>
      </c>
      <c r="I847" s="9">
        <f t="shared" ca="1" si="13"/>
        <v>5</v>
      </c>
      <c r="J847" s="15" t="s">
        <v>14058</v>
      </c>
      <c r="K847" s="15" t="s">
        <v>594</v>
      </c>
      <c r="L847" s="9" t="str">
        <f>VLOOKUP(K847,[1]中国省份_标准!$B$2:$F$35,4,FALSE)</f>
        <v>中部地区</v>
      </c>
      <c r="M847" s="9" t="str">
        <f>VLOOKUP(K847,[1]中国省份_标准!$B$2:$F$35,5,FALSE)</f>
        <v>华东地区</v>
      </c>
      <c r="N847" s="15" t="s">
        <v>14059</v>
      </c>
      <c r="O847" s="15" t="s">
        <v>14060</v>
      </c>
      <c r="P847" s="15" t="s">
        <v>14061</v>
      </c>
      <c r="Q847" s="15" t="s">
        <v>14062</v>
      </c>
      <c r="R847" s="15" t="s">
        <v>14063</v>
      </c>
      <c r="S847" s="15" t="s">
        <v>39</v>
      </c>
      <c r="T847" s="15" t="s">
        <v>209</v>
      </c>
      <c r="U847" s="15" t="s">
        <v>14055</v>
      </c>
      <c r="V847" s="15" t="s">
        <v>14064</v>
      </c>
      <c r="W847" s="15" t="s">
        <v>14065</v>
      </c>
      <c r="X847" s="15" t="s">
        <v>77</v>
      </c>
      <c r="Y847" s="15" t="s">
        <v>78</v>
      </c>
      <c r="Z847" s="15" t="s">
        <v>14066</v>
      </c>
      <c r="AA847" s="15" t="s">
        <v>14067</v>
      </c>
      <c r="AB847" s="15" t="s">
        <v>14068</v>
      </c>
      <c r="AC847" s="15" t="s">
        <v>14069</v>
      </c>
      <c r="AD847" s="15" t="s">
        <v>14069</v>
      </c>
      <c r="AE847" s="15" t="s">
        <v>55</v>
      </c>
      <c r="AF847" s="15" t="s">
        <v>14070</v>
      </c>
      <c r="AG847" s="15" t="s">
        <v>39</v>
      </c>
      <c r="AH847" s="15" t="s">
        <v>39</v>
      </c>
      <c r="AI847" s="15" t="s">
        <v>14071</v>
      </c>
      <c r="AJ847" s="15" t="s">
        <v>14072</v>
      </c>
      <c r="AK847" s="15" t="s">
        <v>14073</v>
      </c>
      <c r="AL847" s="15" t="s">
        <v>88</v>
      </c>
    </row>
    <row r="848" spans="1:38" x14ac:dyDescent="0.4">
      <c r="A848" s="11" t="s">
        <v>14074</v>
      </c>
      <c r="B848" s="12" t="s">
        <v>14075</v>
      </c>
      <c r="C848" s="13" t="s">
        <v>39</v>
      </c>
      <c r="D848" s="13" t="s">
        <v>63</v>
      </c>
      <c r="E848" s="13" t="s">
        <v>14076</v>
      </c>
      <c r="F848" s="13" t="s">
        <v>640</v>
      </c>
      <c r="G848" s="13" t="s">
        <v>640</v>
      </c>
      <c r="H848" s="13" t="s">
        <v>14077</v>
      </c>
      <c r="I848" s="9">
        <f t="shared" ca="1" si="13"/>
        <v>4</v>
      </c>
      <c r="J848" s="13" t="s">
        <v>14078</v>
      </c>
      <c r="K848" s="13" t="s">
        <v>531</v>
      </c>
      <c r="L848" s="9" t="str">
        <f>VLOOKUP(K848,[1]中国省份_标准!$B$2:$F$35,4,FALSE)</f>
        <v>东部地区</v>
      </c>
      <c r="M848" s="9" t="str">
        <f>VLOOKUP(K848,[1]中国省份_标准!$B$2:$F$35,5,FALSE)</f>
        <v>华南地区</v>
      </c>
      <c r="N848" s="13" t="s">
        <v>802</v>
      </c>
      <c r="O848" s="13" t="s">
        <v>803</v>
      </c>
      <c r="P848" s="13" t="s">
        <v>14079</v>
      </c>
      <c r="Q848" s="13" t="s">
        <v>39</v>
      </c>
      <c r="R848" s="13" t="s">
        <v>14080</v>
      </c>
      <c r="S848" s="13" t="s">
        <v>39</v>
      </c>
      <c r="T848" s="13" t="s">
        <v>281</v>
      </c>
      <c r="U848" s="13" t="s">
        <v>14075</v>
      </c>
      <c r="V848" s="13" t="s">
        <v>39</v>
      </c>
      <c r="W848" s="13" t="s">
        <v>14081</v>
      </c>
      <c r="X848" s="13" t="s">
        <v>2566</v>
      </c>
      <c r="Y848" s="13" t="s">
        <v>78</v>
      </c>
      <c r="Z848" s="13" t="s">
        <v>14082</v>
      </c>
      <c r="AA848" s="13" t="s">
        <v>80</v>
      </c>
      <c r="AB848" s="13" t="s">
        <v>106</v>
      </c>
      <c r="AC848" s="13" t="s">
        <v>808</v>
      </c>
      <c r="AD848" s="13" t="s">
        <v>1741</v>
      </c>
      <c r="AE848" s="13" t="s">
        <v>55</v>
      </c>
      <c r="AF848" s="13" t="s">
        <v>14083</v>
      </c>
      <c r="AG848" s="13" t="s">
        <v>39</v>
      </c>
      <c r="AH848" s="13" t="s">
        <v>39</v>
      </c>
      <c r="AI848" s="13" t="s">
        <v>14084</v>
      </c>
      <c r="AJ848" s="13" t="s">
        <v>14085</v>
      </c>
      <c r="AK848" s="13" t="s">
        <v>813</v>
      </c>
      <c r="AL848" s="13" t="s">
        <v>88</v>
      </c>
    </row>
    <row r="849" spans="1:38" x14ac:dyDescent="0.4">
      <c r="A849" s="11" t="s">
        <v>14086</v>
      </c>
      <c r="B849" s="14" t="s">
        <v>14087</v>
      </c>
      <c r="C849" s="15" t="s">
        <v>14088</v>
      </c>
      <c r="D849" s="15" t="s">
        <v>63</v>
      </c>
      <c r="E849" s="15" t="s">
        <v>14089</v>
      </c>
      <c r="F849" s="15" t="s">
        <v>14090</v>
      </c>
      <c r="G849" s="15" t="s">
        <v>14090</v>
      </c>
      <c r="H849" s="15" t="s">
        <v>14091</v>
      </c>
      <c r="I849" s="9">
        <f t="shared" ca="1" si="13"/>
        <v>30</v>
      </c>
      <c r="J849" s="15" t="s">
        <v>14092</v>
      </c>
      <c r="K849" s="15" t="s">
        <v>425</v>
      </c>
      <c r="L849" s="9" t="str">
        <f>VLOOKUP(K849,[1]中国省份_标准!$B$2:$F$35,4,FALSE)</f>
        <v>东部地区</v>
      </c>
      <c r="M849" s="9" t="str">
        <f>VLOOKUP(K849,[1]中国省份_标准!$B$2:$F$35,5,FALSE)</f>
        <v>华东地区</v>
      </c>
      <c r="N849" s="15" t="s">
        <v>426</v>
      </c>
      <c r="O849" s="15" t="s">
        <v>14093</v>
      </c>
      <c r="P849" s="15" t="s">
        <v>14094</v>
      </c>
      <c r="Q849" s="15" t="s">
        <v>14095</v>
      </c>
      <c r="R849" s="15" t="s">
        <v>14096</v>
      </c>
      <c r="S849" s="15" t="s">
        <v>14097</v>
      </c>
      <c r="T849" s="15" t="s">
        <v>825</v>
      </c>
      <c r="U849" s="15" t="s">
        <v>14087</v>
      </c>
      <c r="V849" s="15" t="s">
        <v>14098</v>
      </c>
      <c r="W849" s="15" t="s">
        <v>14099</v>
      </c>
      <c r="X849" s="15" t="s">
        <v>14100</v>
      </c>
      <c r="Y849" s="15" t="s">
        <v>78</v>
      </c>
      <c r="Z849" s="15" t="s">
        <v>14101</v>
      </c>
      <c r="AA849" s="15" t="s">
        <v>169</v>
      </c>
      <c r="AB849" s="15" t="s">
        <v>606</v>
      </c>
      <c r="AC849" s="15" t="s">
        <v>14102</v>
      </c>
      <c r="AD849" s="15" t="s">
        <v>39</v>
      </c>
      <c r="AE849" s="15" t="s">
        <v>262</v>
      </c>
      <c r="AF849" s="15" t="s">
        <v>14103</v>
      </c>
      <c r="AG849" s="15" t="s">
        <v>14104</v>
      </c>
      <c r="AH849" s="15" t="s">
        <v>39</v>
      </c>
      <c r="AI849" s="15" t="s">
        <v>14105</v>
      </c>
      <c r="AJ849" s="15" t="s">
        <v>14106</v>
      </c>
      <c r="AK849" s="15" t="s">
        <v>14107</v>
      </c>
      <c r="AL849" s="15" t="s">
        <v>88</v>
      </c>
    </row>
    <row r="850" spans="1:38" x14ac:dyDescent="0.4">
      <c r="A850" s="11" t="s">
        <v>14108</v>
      </c>
      <c r="B850" s="12" t="s">
        <v>14109</v>
      </c>
      <c r="C850" s="13" t="s">
        <v>39</v>
      </c>
      <c r="D850" s="13" t="s">
        <v>92</v>
      </c>
      <c r="E850" s="13" t="s">
        <v>14110</v>
      </c>
      <c r="F850" s="13" t="s">
        <v>42</v>
      </c>
      <c r="G850" s="13" t="s">
        <v>39</v>
      </c>
      <c r="H850" s="13" t="s">
        <v>14111</v>
      </c>
      <c r="I850" s="9">
        <f t="shared" ca="1" si="13"/>
        <v>0</v>
      </c>
      <c r="J850" s="13" t="s">
        <v>14112</v>
      </c>
      <c r="K850" s="13" t="s">
        <v>1877</v>
      </c>
      <c r="L850" s="9" t="str">
        <f>VLOOKUP(K850,[1]中国省份_标准!$B$2:$F$35,4,FALSE)</f>
        <v>中部地区</v>
      </c>
      <c r="M850" s="9" t="str">
        <f>VLOOKUP(K850,[1]中国省份_标准!$B$2:$F$35,5,FALSE)</f>
        <v>华中地区</v>
      </c>
      <c r="N850" s="13" t="s">
        <v>5416</v>
      </c>
      <c r="O850" s="13" t="s">
        <v>14113</v>
      </c>
      <c r="P850" s="13" t="s">
        <v>39</v>
      </c>
      <c r="Q850" s="13" t="s">
        <v>39</v>
      </c>
      <c r="R850" s="13" t="s">
        <v>39</v>
      </c>
      <c r="S850" s="13" t="s">
        <v>39</v>
      </c>
      <c r="T850" s="13" t="s">
        <v>48</v>
      </c>
      <c r="U850" s="13" t="s">
        <v>14109</v>
      </c>
      <c r="V850" s="13" t="s">
        <v>14114</v>
      </c>
      <c r="W850" s="13" t="s">
        <v>14115</v>
      </c>
      <c r="X850" s="13" t="s">
        <v>39</v>
      </c>
      <c r="Y850" s="13" t="s">
        <v>39</v>
      </c>
      <c r="Z850" s="13" t="s">
        <v>14116</v>
      </c>
      <c r="AA850" s="13" t="s">
        <v>1796</v>
      </c>
      <c r="AB850" s="13" t="s">
        <v>2851</v>
      </c>
      <c r="AC850" s="13" t="s">
        <v>2852</v>
      </c>
      <c r="AD850" s="13" t="s">
        <v>6905</v>
      </c>
      <c r="AE850" s="13" t="s">
        <v>55</v>
      </c>
      <c r="AF850" s="13" t="s">
        <v>14117</v>
      </c>
      <c r="AG850" s="13" t="s">
        <v>39</v>
      </c>
      <c r="AH850" s="13" t="s">
        <v>39</v>
      </c>
      <c r="AI850" s="13" t="s">
        <v>14118</v>
      </c>
      <c r="AJ850" s="13" t="s">
        <v>14119</v>
      </c>
      <c r="AK850" s="13" t="s">
        <v>14120</v>
      </c>
      <c r="AL850" s="13" t="s">
        <v>88</v>
      </c>
    </row>
    <row r="851" spans="1:38" x14ac:dyDescent="0.4">
      <c r="A851" s="11" t="s">
        <v>14121</v>
      </c>
      <c r="B851" s="14" t="s">
        <v>14122</v>
      </c>
      <c r="C851" s="15" t="s">
        <v>39</v>
      </c>
      <c r="D851" s="15" t="s">
        <v>92</v>
      </c>
      <c r="E851" s="15" t="s">
        <v>14123</v>
      </c>
      <c r="F851" s="15" t="s">
        <v>42</v>
      </c>
      <c r="G851" s="15" t="s">
        <v>39</v>
      </c>
      <c r="H851" s="15" t="s">
        <v>14124</v>
      </c>
      <c r="I851" s="9">
        <f t="shared" ca="1" si="13"/>
        <v>0</v>
      </c>
      <c r="J851" s="15" t="s">
        <v>14125</v>
      </c>
      <c r="K851" s="15" t="s">
        <v>1877</v>
      </c>
      <c r="L851" s="9" t="str">
        <f>VLOOKUP(K851,[1]中国省份_标准!$B$2:$F$35,4,FALSE)</f>
        <v>中部地区</v>
      </c>
      <c r="M851" s="9" t="str">
        <f>VLOOKUP(K851,[1]中国省份_标准!$B$2:$F$35,5,FALSE)</f>
        <v>华中地区</v>
      </c>
      <c r="N851" s="15" t="s">
        <v>5416</v>
      </c>
      <c r="O851" s="15" t="s">
        <v>14126</v>
      </c>
      <c r="P851" s="15" t="s">
        <v>39</v>
      </c>
      <c r="Q851" s="15" t="s">
        <v>39</v>
      </c>
      <c r="R851" s="15" t="s">
        <v>39</v>
      </c>
      <c r="S851" s="15" t="s">
        <v>39</v>
      </c>
      <c r="T851" s="15" t="s">
        <v>452</v>
      </c>
      <c r="U851" s="15" t="s">
        <v>14122</v>
      </c>
      <c r="V851" s="15" t="s">
        <v>14127</v>
      </c>
      <c r="W851" s="15" t="s">
        <v>14128</v>
      </c>
      <c r="X851" s="15" t="s">
        <v>39</v>
      </c>
      <c r="Y851" s="15" t="s">
        <v>39</v>
      </c>
      <c r="Z851" s="15" t="s">
        <v>14129</v>
      </c>
      <c r="AA851" s="15" t="s">
        <v>9130</v>
      </c>
      <c r="AB851" s="15" t="s">
        <v>14130</v>
      </c>
      <c r="AC851" s="15" t="s">
        <v>14131</v>
      </c>
      <c r="AD851" s="15" t="s">
        <v>14132</v>
      </c>
      <c r="AE851" s="15" t="s">
        <v>55</v>
      </c>
      <c r="AF851" s="15" t="s">
        <v>14133</v>
      </c>
      <c r="AG851" s="15" t="s">
        <v>39</v>
      </c>
      <c r="AH851" s="15" t="s">
        <v>39</v>
      </c>
      <c r="AI851" s="15" t="s">
        <v>14134</v>
      </c>
      <c r="AJ851" s="15" t="s">
        <v>14135</v>
      </c>
      <c r="AK851" s="15" t="s">
        <v>14136</v>
      </c>
      <c r="AL851" s="15" t="s">
        <v>88</v>
      </c>
    </row>
    <row r="852" spans="1:38" x14ac:dyDescent="0.4">
      <c r="A852" s="11" t="s">
        <v>14137</v>
      </c>
      <c r="B852" s="12" t="s">
        <v>14138</v>
      </c>
      <c r="C852" s="13" t="s">
        <v>39</v>
      </c>
      <c r="D852" s="13" t="s">
        <v>92</v>
      </c>
      <c r="E852" s="13" t="s">
        <v>14139</v>
      </c>
      <c r="F852" s="13" t="s">
        <v>154</v>
      </c>
      <c r="G852" s="13" t="s">
        <v>422</v>
      </c>
      <c r="H852" s="13" t="s">
        <v>7969</v>
      </c>
      <c r="I852" s="9">
        <f t="shared" ca="1" si="13"/>
        <v>8</v>
      </c>
      <c r="J852" s="13" t="s">
        <v>14140</v>
      </c>
      <c r="K852" s="13" t="s">
        <v>379</v>
      </c>
      <c r="L852" s="9" t="str">
        <f>VLOOKUP(K852,[1]中国省份_标准!$B$2:$F$35,4,FALSE)</f>
        <v>东部地区</v>
      </c>
      <c r="M852" s="9" t="str">
        <f>VLOOKUP(K852,[1]中国省份_标准!$B$2:$F$35,5,FALSE)</f>
        <v>华东地区</v>
      </c>
      <c r="N852" s="13" t="s">
        <v>380</v>
      </c>
      <c r="O852" s="13" t="s">
        <v>14141</v>
      </c>
      <c r="P852" s="13" t="s">
        <v>14142</v>
      </c>
      <c r="Q852" s="13" t="s">
        <v>39</v>
      </c>
      <c r="R852" s="13" t="s">
        <v>14143</v>
      </c>
      <c r="S852" s="13" t="s">
        <v>39</v>
      </c>
      <c r="T852" s="13" t="s">
        <v>281</v>
      </c>
      <c r="U852" s="13" t="s">
        <v>14138</v>
      </c>
      <c r="V852" s="13" t="s">
        <v>14144</v>
      </c>
      <c r="W852" s="13" t="s">
        <v>14145</v>
      </c>
      <c r="X852" s="13" t="s">
        <v>540</v>
      </c>
      <c r="Y852" s="13" t="s">
        <v>78</v>
      </c>
      <c r="Z852" s="13" t="s">
        <v>14146</v>
      </c>
      <c r="AA852" s="13" t="s">
        <v>169</v>
      </c>
      <c r="AB852" s="13" t="s">
        <v>170</v>
      </c>
      <c r="AC852" s="13" t="s">
        <v>1651</v>
      </c>
      <c r="AD852" s="13" t="s">
        <v>14147</v>
      </c>
      <c r="AE852" s="13" t="s">
        <v>109</v>
      </c>
      <c r="AF852" s="13" t="s">
        <v>14148</v>
      </c>
      <c r="AG852" s="13" t="s">
        <v>39</v>
      </c>
      <c r="AH852" s="13" t="s">
        <v>39</v>
      </c>
      <c r="AI852" s="13" t="s">
        <v>14149</v>
      </c>
      <c r="AJ852" s="13" t="s">
        <v>14150</v>
      </c>
      <c r="AK852" s="13" t="s">
        <v>14151</v>
      </c>
      <c r="AL852" s="13" t="s">
        <v>88</v>
      </c>
    </row>
    <row r="853" spans="1:38" x14ac:dyDescent="0.4">
      <c r="A853" s="11" t="s">
        <v>14152</v>
      </c>
      <c r="B853" s="14" t="s">
        <v>14153</v>
      </c>
      <c r="C853" s="15" t="s">
        <v>39</v>
      </c>
      <c r="D853" s="15" t="s">
        <v>63</v>
      </c>
      <c r="E853" s="15" t="s">
        <v>14154</v>
      </c>
      <c r="F853" s="15" t="s">
        <v>640</v>
      </c>
      <c r="G853" s="15" t="s">
        <v>640</v>
      </c>
      <c r="H853" s="15" t="s">
        <v>14155</v>
      </c>
      <c r="I853" s="9">
        <f t="shared" ca="1" si="13"/>
        <v>19</v>
      </c>
      <c r="J853" s="15" t="s">
        <v>14156</v>
      </c>
      <c r="K853" s="15" t="s">
        <v>425</v>
      </c>
      <c r="L853" s="9" t="str">
        <f>VLOOKUP(K853,[1]中国省份_标准!$B$2:$F$35,4,FALSE)</f>
        <v>东部地区</v>
      </c>
      <c r="M853" s="9" t="str">
        <f>VLOOKUP(K853,[1]中国省份_标准!$B$2:$F$35,5,FALSE)</f>
        <v>华东地区</v>
      </c>
      <c r="N853" s="15" t="s">
        <v>3049</v>
      </c>
      <c r="O853" s="15" t="s">
        <v>3050</v>
      </c>
      <c r="P853" s="15" t="s">
        <v>14157</v>
      </c>
      <c r="Q853" s="15" t="s">
        <v>14158</v>
      </c>
      <c r="R853" s="15" t="s">
        <v>14159</v>
      </c>
      <c r="S853" s="15" t="s">
        <v>14160</v>
      </c>
      <c r="T853" s="15" t="s">
        <v>48</v>
      </c>
      <c r="U853" s="15" t="s">
        <v>14153</v>
      </c>
      <c r="V853" s="15" t="s">
        <v>14161</v>
      </c>
      <c r="W853" s="15" t="s">
        <v>14162</v>
      </c>
      <c r="X853" s="15" t="s">
        <v>990</v>
      </c>
      <c r="Y853" s="15" t="s">
        <v>78</v>
      </c>
      <c r="Z853" s="15" t="s">
        <v>14163</v>
      </c>
      <c r="AA853" s="15" t="s">
        <v>80</v>
      </c>
      <c r="AB853" s="15" t="s">
        <v>106</v>
      </c>
      <c r="AC853" s="15" t="s">
        <v>10426</v>
      </c>
      <c r="AD853" s="15" t="s">
        <v>39</v>
      </c>
      <c r="AE853" s="15" t="s">
        <v>55</v>
      </c>
      <c r="AF853" s="15" t="s">
        <v>14164</v>
      </c>
      <c r="AG853" s="15" t="s">
        <v>39</v>
      </c>
      <c r="AH853" s="15" t="s">
        <v>39</v>
      </c>
      <c r="AI853" s="15" t="s">
        <v>14165</v>
      </c>
      <c r="AJ853" s="15" t="s">
        <v>14166</v>
      </c>
      <c r="AK853" s="15" t="s">
        <v>3061</v>
      </c>
      <c r="AL853" s="15" t="s">
        <v>88</v>
      </c>
    </row>
    <row r="854" spans="1:38" x14ac:dyDescent="0.4">
      <c r="A854" s="11" t="s">
        <v>14167</v>
      </c>
      <c r="B854" s="12" t="s">
        <v>14168</v>
      </c>
      <c r="C854" s="13" t="s">
        <v>39</v>
      </c>
      <c r="D854" s="13" t="s">
        <v>92</v>
      </c>
      <c r="E854" s="13" t="s">
        <v>14169</v>
      </c>
      <c r="F854" s="13" t="s">
        <v>178</v>
      </c>
      <c r="G854" s="13" t="s">
        <v>14170</v>
      </c>
      <c r="H854" s="13" t="s">
        <v>14171</v>
      </c>
      <c r="I854" s="9">
        <f t="shared" ca="1" si="13"/>
        <v>11</v>
      </c>
      <c r="J854" s="13" t="s">
        <v>14172</v>
      </c>
      <c r="K854" s="13" t="s">
        <v>45</v>
      </c>
      <c r="L854" s="9" t="str">
        <f>VLOOKUP(K854,[1]中国省份_标准!$B$2:$F$35,4,FALSE)</f>
        <v>东部地区</v>
      </c>
      <c r="M854" s="9" t="str">
        <f>VLOOKUP(K854,[1]中国省份_标准!$B$2:$F$35,5,FALSE)</f>
        <v>华东地区</v>
      </c>
      <c r="N854" s="13" t="s">
        <v>45</v>
      </c>
      <c r="O854" s="13" t="s">
        <v>14173</v>
      </c>
      <c r="P854" s="13" t="s">
        <v>14174</v>
      </c>
      <c r="Q854" s="13" t="s">
        <v>14175</v>
      </c>
      <c r="R854" s="13" t="s">
        <v>14176</v>
      </c>
      <c r="S854" s="13" t="s">
        <v>39</v>
      </c>
      <c r="T854" s="13" t="s">
        <v>281</v>
      </c>
      <c r="U854" s="13" t="s">
        <v>14168</v>
      </c>
      <c r="V854" s="13" t="s">
        <v>14177</v>
      </c>
      <c r="W854" s="13" t="s">
        <v>14178</v>
      </c>
      <c r="X854" s="13" t="s">
        <v>690</v>
      </c>
      <c r="Y854" s="13" t="s">
        <v>78</v>
      </c>
      <c r="Z854" s="13" t="s">
        <v>14179</v>
      </c>
      <c r="AA854" s="13" t="s">
        <v>80</v>
      </c>
      <c r="AB854" s="13" t="s">
        <v>106</v>
      </c>
      <c r="AC854" s="13" t="s">
        <v>10426</v>
      </c>
      <c r="AD854" s="13" t="s">
        <v>10427</v>
      </c>
      <c r="AE854" s="13" t="s">
        <v>109</v>
      </c>
      <c r="AF854" s="13" t="s">
        <v>14180</v>
      </c>
      <c r="AG854" s="13" t="s">
        <v>39</v>
      </c>
      <c r="AH854" s="13" t="s">
        <v>14181</v>
      </c>
      <c r="AI854" s="13" t="s">
        <v>14182</v>
      </c>
      <c r="AJ854" s="13" t="s">
        <v>14183</v>
      </c>
      <c r="AK854" s="13" t="s">
        <v>14184</v>
      </c>
      <c r="AL854" s="13" t="s">
        <v>88</v>
      </c>
    </row>
    <row r="855" spans="1:38" x14ac:dyDescent="0.4">
      <c r="A855" s="11" t="s">
        <v>14185</v>
      </c>
      <c r="B855" s="14" t="s">
        <v>14186</v>
      </c>
      <c r="C855" s="15" t="s">
        <v>39</v>
      </c>
      <c r="D855" s="15" t="s">
        <v>92</v>
      </c>
      <c r="E855" s="15" t="s">
        <v>14187</v>
      </c>
      <c r="F855" s="15" t="s">
        <v>640</v>
      </c>
      <c r="G855" s="15" t="s">
        <v>39</v>
      </c>
      <c r="H855" s="15" t="s">
        <v>14188</v>
      </c>
      <c r="I855" s="9">
        <f t="shared" ca="1" si="13"/>
        <v>2</v>
      </c>
      <c r="J855" s="15" t="s">
        <v>14189</v>
      </c>
      <c r="K855" s="15" t="s">
        <v>1877</v>
      </c>
      <c r="L855" s="9" t="str">
        <f>VLOOKUP(K855,[1]中国省份_标准!$B$2:$F$35,4,FALSE)</f>
        <v>中部地区</v>
      </c>
      <c r="M855" s="9" t="str">
        <f>VLOOKUP(K855,[1]中国省份_标准!$B$2:$F$35,5,FALSE)</f>
        <v>华中地区</v>
      </c>
      <c r="N855" s="15" t="s">
        <v>1878</v>
      </c>
      <c r="O855" s="15" t="s">
        <v>14190</v>
      </c>
      <c r="P855" s="15" t="s">
        <v>14191</v>
      </c>
      <c r="Q855" s="15" t="s">
        <v>14192</v>
      </c>
      <c r="R855" s="15" t="s">
        <v>14193</v>
      </c>
      <c r="S855" s="15" t="s">
        <v>39</v>
      </c>
      <c r="T855" s="15" t="s">
        <v>452</v>
      </c>
      <c r="U855" s="15" t="s">
        <v>14186</v>
      </c>
      <c r="V855" s="15" t="s">
        <v>14194</v>
      </c>
      <c r="W855" s="15" t="s">
        <v>14195</v>
      </c>
      <c r="X855" s="15" t="s">
        <v>1777</v>
      </c>
      <c r="Y855" s="15" t="s">
        <v>78</v>
      </c>
      <c r="Z855" s="15" t="s">
        <v>14196</v>
      </c>
      <c r="AA855" s="15" t="s">
        <v>80</v>
      </c>
      <c r="AB855" s="15" t="s">
        <v>106</v>
      </c>
      <c r="AC855" s="15" t="s">
        <v>107</v>
      </c>
      <c r="AD855" s="15" t="s">
        <v>128</v>
      </c>
      <c r="AE855" s="15" t="s">
        <v>55</v>
      </c>
      <c r="AF855" s="15" t="s">
        <v>14197</v>
      </c>
      <c r="AG855" s="15" t="s">
        <v>14198</v>
      </c>
      <c r="AH855" s="15" t="s">
        <v>39</v>
      </c>
      <c r="AI855" s="15" t="s">
        <v>14199</v>
      </c>
      <c r="AJ855" s="15" t="s">
        <v>14200</v>
      </c>
      <c r="AK855" s="15" t="s">
        <v>14201</v>
      </c>
      <c r="AL855" s="15" t="s">
        <v>88</v>
      </c>
    </row>
    <row r="856" spans="1:38" x14ac:dyDescent="0.4">
      <c r="A856" s="11" t="s">
        <v>14202</v>
      </c>
      <c r="B856" s="12" t="s">
        <v>14203</v>
      </c>
      <c r="C856" s="13" t="s">
        <v>39</v>
      </c>
      <c r="D856" s="13" t="s">
        <v>92</v>
      </c>
      <c r="E856" s="13" t="s">
        <v>14204</v>
      </c>
      <c r="F856" s="13" t="s">
        <v>178</v>
      </c>
      <c r="G856" s="13" t="s">
        <v>14205</v>
      </c>
      <c r="H856" s="13" t="s">
        <v>14206</v>
      </c>
      <c r="I856" s="9">
        <f t="shared" ca="1" si="13"/>
        <v>3</v>
      </c>
      <c r="J856" s="13" t="s">
        <v>14207</v>
      </c>
      <c r="K856" s="13" t="s">
        <v>97</v>
      </c>
      <c r="L856" s="9" t="str">
        <f>VLOOKUP(K856,[1]中国省份_标准!$B$2:$F$35,4,FALSE)</f>
        <v>中部地区</v>
      </c>
      <c r="M856" s="9" t="str">
        <f>VLOOKUP(K856,[1]中国省份_标准!$B$2:$F$35,5,FALSE)</f>
        <v>华中地区</v>
      </c>
      <c r="N856" s="13" t="s">
        <v>98</v>
      </c>
      <c r="O856" s="13" t="s">
        <v>120</v>
      </c>
      <c r="P856" s="13" t="s">
        <v>14208</v>
      </c>
      <c r="Q856" s="13" t="s">
        <v>14209</v>
      </c>
      <c r="R856" s="13" t="s">
        <v>14210</v>
      </c>
      <c r="S856" s="13" t="s">
        <v>14211</v>
      </c>
      <c r="T856" s="13" t="s">
        <v>209</v>
      </c>
      <c r="U856" s="13" t="s">
        <v>14203</v>
      </c>
      <c r="V856" s="13" t="s">
        <v>14212</v>
      </c>
      <c r="W856" s="13" t="s">
        <v>14213</v>
      </c>
      <c r="X856" s="13" t="s">
        <v>167</v>
      </c>
      <c r="Y856" s="13" t="s">
        <v>78</v>
      </c>
      <c r="Z856" s="13" t="s">
        <v>14214</v>
      </c>
      <c r="AA856" s="13" t="s">
        <v>80</v>
      </c>
      <c r="AB856" s="13" t="s">
        <v>106</v>
      </c>
      <c r="AC856" s="13" t="s">
        <v>107</v>
      </c>
      <c r="AD856" s="13" t="s">
        <v>128</v>
      </c>
      <c r="AE856" s="13" t="s">
        <v>55</v>
      </c>
      <c r="AF856" s="13" t="s">
        <v>14215</v>
      </c>
      <c r="AG856" s="13" t="s">
        <v>39</v>
      </c>
      <c r="AH856" s="13" t="s">
        <v>39</v>
      </c>
      <c r="AI856" s="13" t="s">
        <v>14216</v>
      </c>
      <c r="AJ856" s="13" t="s">
        <v>14217</v>
      </c>
      <c r="AK856" s="13" t="s">
        <v>132</v>
      </c>
      <c r="AL856" s="13" t="s">
        <v>88</v>
      </c>
    </row>
    <row r="857" spans="1:38" x14ac:dyDescent="0.4">
      <c r="A857" s="11" t="s">
        <v>14218</v>
      </c>
      <c r="B857" s="14" t="s">
        <v>14219</v>
      </c>
      <c r="C857" s="15" t="s">
        <v>39</v>
      </c>
      <c r="D857" s="15" t="s">
        <v>92</v>
      </c>
      <c r="E857" s="15" t="s">
        <v>14220</v>
      </c>
      <c r="F857" s="15" t="s">
        <v>154</v>
      </c>
      <c r="G857" s="15" t="s">
        <v>154</v>
      </c>
      <c r="H857" s="15" t="s">
        <v>14221</v>
      </c>
      <c r="I857" s="9">
        <f t="shared" ca="1" si="13"/>
        <v>11</v>
      </c>
      <c r="J857" s="15" t="s">
        <v>14222</v>
      </c>
      <c r="K857" s="15" t="s">
        <v>45</v>
      </c>
      <c r="L857" s="9" t="str">
        <f>VLOOKUP(K857,[1]中国省份_标准!$B$2:$F$35,4,FALSE)</f>
        <v>东部地区</v>
      </c>
      <c r="M857" s="9" t="str">
        <f>VLOOKUP(K857,[1]中国省份_标准!$B$2:$F$35,5,FALSE)</f>
        <v>华东地区</v>
      </c>
      <c r="N857" s="15" t="s">
        <v>45</v>
      </c>
      <c r="O857" s="15" t="s">
        <v>14173</v>
      </c>
      <c r="P857" s="15" t="s">
        <v>14223</v>
      </c>
      <c r="Q857" s="15" t="s">
        <v>14224</v>
      </c>
      <c r="R857" s="15" t="s">
        <v>14225</v>
      </c>
      <c r="S857" s="15" t="s">
        <v>39</v>
      </c>
      <c r="T857" s="15" t="s">
        <v>281</v>
      </c>
      <c r="U857" s="15" t="s">
        <v>14219</v>
      </c>
      <c r="V857" s="15" t="s">
        <v>14226</v>
      </c>
      <c r="W857" s="15" t="s">
        <v>14227</v>
      </c>
      <c r="X857" s="15" t="s">
        <v>6451</v>
      </c>
      <c r="Y857" s="15" t="s">
        <v>78</v>
      </c>
      <c r="Z857" s="15" t="s">
        <v>14228</v>
      </c>
      <c r="AA857" s="15" t="s">
        <v>80</v>
      </c>
      <c r="AB857" s="15" t="s">
        <v>106</v>
      </c>
      <c r="AC857" s="15" t="s">
        <v>388</v>
      </c>
      <c r="AD857" s="15" t="s">
        <v>434</v>
      </c>
      <c r="AE857" s="15" t="s">
        <v>55</v>
      </c>
      <c r="AF857" s="15" t="s">
        <v>14229</v>
      </c>
      <c r="AG857" s="15" t="s">
        <v>39</v>
      </c>
      <c r="AH857" s="15" t="s">
        <v>39</v>
      </c>
      <c r="AI857" s="15" t="s">
        <v>14230</v>
      </c>
      <c r="AJ857" s="15" t="s">
        <v>14231</v>
      </c>
      <c r="AK857" s="15" t="s">
        <v>14184</v>
      </c>
      <c r="AL857" s="15" t="s">
        <v>88</v>
      </c>
    </row>
    <row r="858" spans="1:38" x14ac:dyDescent="0.4">
      <c r="A858" s="11" t="s">
        <v>14232</v>
      </c>
      <c r="B858" s="12" t="s">
        <v>14233</v>
      </c>
      <c r="C858" s="13" t="s">
        <v>39</v>
      </c>
      <c r="D858" s="13" t="s">
        <v>63</v>
      </c>
      <c r="E858" s="13" t="s">
        <v>14234</v>
      </c>
      <c r="F858" s="13" t="s">
        <v>154</v>
      </c>
      <c r="G858" s="13" t="s">
        <v>39</v>
      </c>
      <c r="H858" s="13" t="s">
        <v>14235</v>
      </c>
      <c r="I858" s="9">
        <f t="shared" ca="1" si="13"/>
        <v>1</v>
      </c>
      <c r="J858" s="13" t="s">
        <v>14236</v>
      </c>
      <c r="K858" s="13" t="s">
        <v>425</v>
      </c>
      <c r="L858" s="9" t="str">
        <f>VLOOKUP(K858,[1]中国省份_标准!$B$2:$F$35,4,FALSE)</f>
        <v>东部地区</v>
      </c>
      <c r="M858" s="9" t="str">
        <f>VLOOKUP(K858,[1]中国省份_标准!$B$2:$F$35,5,FALSE)</f>
        <v>华东地区</v>
      </c>
      <c r="N858" s="13" t="s">
        <v>3013</v>
      </c>
      <c r="O858" s="13" t="s">
        <v>14237</v>
      </c>
      <c r="P858" s="13" t="s">
        <v>14238</v>
      </c>
      <c r="Q858" s="13" t="s">
        <v>39</v>
      </c>
      <c r="R858" s="13" t="s">
        <v>14239</v>
      </c>
      <c r="S858" s="13" t="s">
        <v>39</v>
      </c>
      <c r="T858" s="13" t="s">
        <v>48</v>
      </c>
      <c r="U858" s="13" t="s">
        <v>14233</v>
      </c>
      <c r="V858" s="13" t="s">
        <v>14240</v>
      </c>
      <c r="W858" s="13" t="s">
        <v>14241</v>
      </c>
      <c r="X858" s="13" t="s">
        <v>77</v>
      </c>
      <c r="Y858" s="13" t="s">
        <v>78</v>
      </c>
      <c r="Z858" s="13" t="s">
        <v>14242</v>
      </c>
      <c r="AA858" s="13" t="s">
        <v>80</v>
      </c>
      <c r="AB858" s="13" t="s">
        <v>106</v>
      </c>
      <c r="AC858" s="13" t="s">
        <v>388</v>
      </c>
      <c r="AD858" s="13" t="s">
        <v>434</v>
      </c>
      <c r="AE858" s="13" t="s">
        <v>109</v>
      </c>
      <c r="AF858" s="13" t="s">
        <v>14243</v>
      </c>
      <c r="AG858" s="13" t="s">
        <v>39</v>
      </c>
      <c r="AH858" s="13" t="s">
        <v>39</v>
      </c>
      <c r="AI858" s="13" t="s">
        <v>14244</v>
      </c>
      <c r="AJ858" s="13" t="s">
        <v>14245</v>
      </c>
      <c r="AK858" s="13" t="s">
        <v>14246</v>
      </c>
      <c r="AL858" s="13" t="s">
        <v>88</v>
      </c>
    </row>
    <row r="859" spans="1:38" x14ac:dyDescent="0.4">
      <c r="A859" s="11" t="s">
        <v>14247</v>
      </c>
      <c r="B859" s="14" t="s">
        <v>14248</v>
      </c>
      <c r="C859" s="15" t="s">
        <v>39</v>
      </c>
      <c r="D859" s="15" t="s">
        <v>63</v>
      </c>
      <c r="E859" s="15" t="s">
        <v>14249</v>
      </c>
      <c r="F859" s="15" t="s">
        <v>42</v>
      </c>
      <c r="G859" s="15" t="s">
        <v>3462</v>
      </c>
      <c r="H859" s="15" t="s">
        <v>14250</v>
      </c>
      <c r="I859" s="9">
        <f t="shared" ca="1" si="13"/>
        <v>6</v>
      </c>
      <c r="J859" s="15" t="s">
        <v>14251</v>
      </c>
      <c r="K859" s="15" t="s">
        <v>425</v>
      </c>
      <c r="L859" s="9" t="str">
        <f>VLOOKUP(K859,[1]中国省份_标准!$B$2:$F$35,4,FALSE)</f>
        <v>东部地区</v>
      </c>
      <c r="M859" s="9" t="str">
        <f>VLOOKUP(K859,[1]中国省份_标准!$B$2:$F$35,5,FALSE)</f>
        <v>华东地区</v>
      </c>
      <c r="N859" s="15" t="s">
        <v>3013</v>
      </c>
      <c r="O859" s="15" t="s">
        <v>3014</v>
      </c>
      <c r="P859" s="15" t="s">
        <v>14252</v>
      </c>
      <c r="Q859" s="15" t="s">
        <v>39</v>
      </c>
      <c r="R859" s="15" t="s">
        <v>14253</v>
      </c>
      <c r="S859" s="15" t="s">
        <v>39</v>
      </c>
      <c r="T859" s="15" t="s">
        <v>48</v>
      </c>
      <c r="U859" s="15" t="s">
        <v>14248</v>
      </c>
      <c r="V859" s="15" t="s">
        <v>14254</v>
      </c>
      <c r="W859" s="15" t="s">
        <v>14255</v>
      </c>
      <c r="X859" s="15" t="s">
        <v>1130</v>
      </c>
      <c r="Y859" s="15" t="s">
        <v>78</v>
      </c>
      <c r="Z859" s="15" t="s">
        <v>14256</v>
      </c>
      <c r="AA859" s="15" t="s">
        <v>169</v>
      </c>
      <c r="AB859" s="15" t="s">
        <v>285</v>
      </c>
      <c r="AC859" s="15" t="s">
        <v>39</v>
      </c>
      <c r="AD859" s="15" t="s">
        <v>39</v>
      </c>
      <c r="AE859" s="15" t="s">
        <v>109</v>
      </c>
      <c r="AF859" s="15" t="s">
        <v>14257</v>
      </c>
      <c r="AG859" s="15" t="s">
        <v>39</v>
      </c>
      <c r="AH859" s="15" t="s">
        <v>39</v>
      </c>
      <c r="AI859" s="15" t="s">
        <v>14258</v>
      </c>
      <c r="AJ859" s="15" t="s">
        <v>14259</v>
      </c>
      <c r="AK859" s="15" t="s">
        <v>3023</v>
      </c>
      <c r="AL859" s="15" t="s">
        <v>88</v>
      </c>
    </row>
    <row r="860" spans="1:38" x14ac:dyDescent="0.4">
      <c r="A860" s="11" t="s">
        <v>14260</v>
      </c>
      <c r="B860" s="12" t="s">
        <v>14261</v>
      </c>
      <c r="C860" s="13" t="s">
        <v>39</v>
      </c>
      <c r="D860" s="13" t="s">
        <v>92</v>
      </c>
      <c r="E860" s="13" t="s">
        <v>14262</v>
      </c>
      <c r="F860" s="13" t="s">
        <v>640</v>
      </c>
      <c r="G860" s="13" t="s">
        <v>640</v>
      </c>
      <c r="H860" s="13" t="s">
        <v>14263</v>
      </c>
      <c r="I860" s="9">
        <f t="shared" ca="1" si="13"/>
        <v>19</v>
      </c>
      <c r="J860" s="13" t="s">
        <v>14264</v>
      </c>
      <c r="K860" s="13" t="s">
        <v>425</v>
      </c>
      <c r="L860" s="9" t="str">
        <f>VLOOKUP(K860,[1]中国省份_标准!$B$2:$F$35,4,FALSE)</f>
        <v>东部地区</v>
      </c>
      <c r="M860" s="9" t="str">
        <f>VLOOKUP(K860,[1]中国省份_标准!$B$2:$F$35,5,FALSE)</f>
        <v>华东地区</v>
      </c>
      <c r="N860" s="13" t="s">
        <v>426</v>
      </c>
      <c r="O860" s="13" t="s">
        <v>427</v>
      </c>
      <c r="P860" s="13" t="s">
        <v>14265</v>
      </c>
      <c r="Q860" s="13" t="s">
        <v>14266</v>
      </c>
      <c r="R860" s="13" t="s">
        <v>14267</v>
      </c>
      <c r="S860" s="13" t="s">
        <v>14268</v>
      </c>
      <c r="T860" s="13" t="s">
        <v>48</v>
      </c>
      <c r="U860" s="13" t="s">
        <v>14261</v>
      </c>
      <c r="V860" s="13" t="s">
        <v>14269</v>
      </c>
      <c r="W860" s="13" t="s">
        <v>14270</v>
      </c>
      <c r="X860" s="13" t="s">
        <v>10250</v>
      </c>
      <c r="Y860" s="13" t="s">
        <v>78</v>
      </c>
      <c r="Z860" s="13" t="s">
        <v>14271</v>
      </c>
      <c r="AA860" s="13" t="s">
        <v>850</v>
      </c>
      <c r="AB860" s="13" t="s">
        <v>11570</v>
      </c>
      <c r="AC860" s="13" t="s">
        <v>11571</v>
      </c>
      <c r="AD860" s="13" t="s">
        <v>39</v>
      </c>
      <c r="AE860" s="13" t="s">
        <v>55</v>
      </c>
      <c r="AF860" s="13" t="s">
        <v>14272</v>
      </c>
      <c r="AG860" s="13" t="s">
        <v>39</v>
      </c>
      <c r="AH860" s="13" t="s">
        <v>14273</v>
      </c>
      <c r="AI860" s="13" t="s">
        <v>14274</v>
      </c>
      <c r="AJ860" s="13" t="s">
        <v>14275</v>
      </c>
      <c r="AK860" s="13" t="s">
        <v>438</v>
      </c>
      <c r="AL860" s="13" t="s">
        <v>88</v>
      </c>
    </row>
    <row r="861" spans="1:38" x14ac:dyDescent="0.4">
      <c r="A861" s="11" t="s">
        <v>14276</v>
      </c>
      <c r="B861" s="14" t="s">
        <v>14277</v>
      </c>
      <c r="C861" s="15" t="s">
        <v>39</v>
      </c>
      <c r="D861" s="15" t="s">
        <v>92</v>
      </c>
      <c r="E861" s="15" t="s">
        <v>14278</v>
      </c>
      <c r="F861" s="15" t="s">
        <v>2161</v>
      </c>
      <c r="G861" s="15" t="s">
        <v>2161</v>
      </c>
      <c r="H861" s="15" t="s">
        <v>14279</v>
      </c>
      <c r="I861" s="9">
        <f t="shared" ca="1" si="13"/>
        <v>11</v>
      </c>
      <c r="J861" s="15" t="s">
        <v>14280</v>
      </c>
      <c r="K861" s="15" t="s">
        <v>531</v>
      </c>
      <c r="L861" s="9" t="str">
        <f>VLOOKUP(K861,[1]中国省份_标准!$B$2:$F$35,4,FALSE)</f>
        <v>东部地区</v>
      </c>
      <c r="M861" s="9" t="str">
        <f>VLOOKUP(K861,[1]中国省份_标准!$B$2:$F$35,5,FALSE)</f>
        <v>华南地区</v>
      </c>
      <c r="N861" s="15" t="s">
        <v>1450</v>
      </c>
      <c r="O861" s="15" t="s">
        <v>10070</v>
      </c>
      <c r="P861" s="15" t="s">
        <v>14281</v>
      </c>
      <c r="Q861" s="15" t="s">
        <v>14282</v>
      </c>
      <c r="R861" s="15" t="s">
        <v>14283</v>
      </c>
      <c r="S861" s="15" t="s">
        <v>14284</v>
      </c>
      <c r="T861" s="15" t="s">
        <v>14285</v>
      </c>
      <c r="U861" s="15" t="s">
        <v>14277</v>
      </c>
      <c r="V861" s="15" t="s">
        <v>14286</v>
      </c>
      <c r="W861" s="15" t="s">
        <v>14287</v>
      </c>
      <c r="X861" s="15" t="s">
        <v>14288</v>
      </c>
      <c r="Y861" s="15" t="s">
        <v>78</v>
      </c>
      <c r="Z861" s="15" t="s">
        <v>14289</v>
      </c>
      <c r="AA861" s="15" t="s">
        <v>850</v>
      </c>
      <c r="AB861" s="15" t="s">
        <v>851</v>
      </c>
      <c r="AC861" s="15" t="s">
        <v>3990</v>
      </c>
      <c r="AD861" s="15" t="s">
        <v>3990</v>
      </c>
      <c r="AE861" s="15" t="s">
        <v>55</v>
      </c>
      <c r="AF861" s="15" t="s">
        <v>14290</v>
      </c>
      <c r="AG861" s="15" t="s">
        <v>39</v>
      </c>
      <c r="AH861" s="15" t="s">
        <v>39</v>
      </c>
      <c r="AI861" s="15" t="s">
        <v>14291</v>
      </c>
      <c r="AJ861" s="15" t="s">
        <v>14292</v>
      </c>
      <c r="AK861" s="15" t="s">
        <v>10080</v>
      </c>
      <c r="AL861" s="15" t="s">
        <v>88</v>
      </c>
    </row>
    <row r="862" spans="1:38" x14ac:dyDescent="0.4">
      <c r="A862" s="11" t="s">
        <v>14293</v>
      </c>
      <c r="B862" s="12" t="s">
        <v>14294</v>
      </c>
      <c r="C862" s="13" t="s">
        <v>39</v>
      </c>
      <c r="D862" s="13" t="s">
        <v>63</v>
      </c>
      <c r="E862" s="13" t="s">
        <v>14295</v>
      </c>
      <c r="F862" s="13" t="s">
        <v>271</v>
      </c>
      <c r="G862" s="13" t="s">
        <v>154</v>
      </c>
      <c r="H862" s="13" t="s">
        <v>14296</v>
      </c>
      <c r="I862" s="9">
        <f t="shared" ca="1" si="13"/>
        <v>25</v>
      </c>
      <c r="J862" s="13" t="s">
        <v>14297</v>
      </c>
      <c r="K862" s="13" t="s">
        <v>67</v>
      </c>
      <c r="L862" s="9" t="str">
        <f>VLOOKUP(K862,[1]中国省份_标准!$B$2:$F$35,4,FALSE)</f>
        <v>东部地区</v>
      </c>
      <c r="M862" s="9" t="str">
        <f>VLOOKUP(K862,[1]中国省份_标准!$B$2:$F$35,5,FALSE)</f>
        <v>华东地区</v>
      </c>
      <c r="N862" s="13" t="s">
        <v>203</v>
      </c>
      <c r="O862" s="13" t="s">
        <v>14298</v>
      </c>
      <c r="P862" s="13" t="s">
        <v>14299</v>
      </c>
      <c r="Q862" s="13" t="s">
        <v>14300</v>
      </c>
      <c r="R862" s="13" t="s">
        <v>14301</v>
      </c>
      <c r="S862" s="13" t="s">
        <v>14302</v>
      </c>
      <c r="T862" s="13" t="s">
        <v>48</v>
      </c>
      <c r="U862" s="13" t="s">
        <v>14294</v>
      </c>
      <c r="V862" s="13" t="s">
        <v>14303</v>
      </c>
      <c r="W862" s="13" t="s">
        <v>14304</v>
      </c>
      <c r="X862" s="13" t="s">
        <v>7958</v>
      </c>
      <c r="Y862" s="13" t="s">
        <v>78</v>
      </c>
      <c r="Z862" s="13" t="s">
        <v>14305</v>
      </c>
      <c r="AA862" s="13" t="s">
        <v>169</v>
      </c>
      <c r="AB862" s="13" t="s">
        <v>412</v>
      </c>
      <c r="AC862" s="13" t="s">
        <v>14306</v>
      </c>
      <c r="AD862" s="13" t="s">
        <v>14307</v>
      </c>
      <c r="AE862" s="13" t="s">
        <v>55</v>
      </c>
      <c r="AF862" s="13" t="s">
        <v>14308</v>
      </c>
      <c r="AG862" s="13" t="s">
        <v>14309</v>
      </c>
      <c r="AH862" s="13" t="s">
        <v>39</v>
      </c>
      <c r="AI862" s="13" t="s">
        <v>14310</v>
      </c>
      <c r="AJ862" s="13" t="s">
        <v>14311</v>
      </c>
      <c r="AK862" s="13" t="s">
        <v>14312</v>
      </c>
      <c r="AL862" s="13" t="s">
        <v>88</v>
      </c>
    </row>
    <row r="863" spans="1:38" x14ac:dyDescent="0.4">
      <c r="A863" s="11" t="s">
        <v>14313</v>
      </c>
      <c r="B863" s="14" t="s">
        <v>14314</v>
      </c>
      <c r="C863" s="15" t="s">
        <v>39</v>
      </c>
      <c r="D863" s="15" t="s">
        <v>63</v>
      </c>
      <c r="E863" s="15" t="s">
        <v>14315</v>
      </c>
      <c r="F863" s="15" t="s">
        <v>2419</v>
      </c>
      <c r="G863" s="15" t="s">
        <v>39</v>
      </c>
      <c r="H863" s="15" t="s">
        <v>7560</v>
      </c>
      <c r="I863" s="9">
        <f t="shared" ca="1" si="13"/>
        <v>11</v>
      </c>
      <c r="J863" s="15" t="s">
        <v>14316</v>
      </c>
      <c r="K863" s="15" t="s">
        <v>531</v>
      </c>
      <c r="L863" s="9" t="str">
        <f>VLOOKUP(K863,[1]中国省份_标准!$B$2:$F$35,4,FALSE)</f>
        <v>东部地区</v>
      </c>
      <c r="M863" s="9" t="str">
        <f>VLOOKUP(K863,[1]中国省份_标准!$B$2:$F$35,5,FALSE)</f>
        <v>华南地区</v>
      </c>
      <c r="N863" s="15" t="s">
        <v>2560</v>
      </c>
      <c r="O863" s="15" t="s">
        <v>39</v>
      </c>
      <c r="P863" s="15" t="s">
        <v>14317</v>
      </c>
      <c r="Q863" s="15" t="s">
        <v>14318</v>
      </c>
      <c r="R863" s="15" t="s">
        <v>14319</v>
      </c>
      <c r="S863" s="15" t="s">
        <v>39</v>
      </c>
      <c r="T863" s="15" t="s">
        <v>452</v>
      </c>
      <c r="U863" s="15" t="s">
        <v>14314</v>
      </c>
      <c r="V863" s="15" t="s">
        <v>14320</v>
      </c>
      <c r="W863" s="15" t="s">
        <v>14321</v>
      </c>
      <c r="X863" s="15" t="s">
        <v>1209</v>
      </c>
      <c r="Y863" s="15" t="s">
        <v>78</v>
      </c>
      <c r="Z863" s="15" t="s">
        <v>8612</v>
      </c>
      <c r="AA863" s="15" t="s">
        <v>850</v>
      </c>
      <c r="AB863" s="15" t="s">
        <v>11570</v>
      </c>
      <c r="AC863" s="15" t="s">
        <v>11571</v>
      </c>
      <c r="AD863" s="15" t="s">
        <v>14322</v>
      </c>
      <c r="AE863" s="15" t="s">
        <v>109</v>
      </c>
      <c r="AF863" s="15" t="s">
        <v>14323</v>
      </c>
      <c r="AG863" s="15" t="s">
        <v>39</v>
      </c>
      <c r="AH863" s="15" t="s">
        <v>39</v>
      </c>
      <c r="AI863" s="15" t="s">
        <v>14324</v>
      </c>
      <c r="AJ863" s="15" t="s">
        <v>14325</v>
      </c>
      <c r="AK863" s="15" t="s">
        <v>2572</v>
      </c>
      <c r="AL863" s="15" t="s">
        <v>88</v>
      </c>
    </row>
    <row r="864" spans="1:38" x14ac:dyDescent="0.4">
      <c r="A864" s="11" t="s">
        <v>14326</v>
      </c>
      <c r="B864" s="12" t="s">
        <v>14327</v>
      </c>
      <c r="C864" s="13" t="s">
        <v>39</v>
      </c>
      <c r="D864" s="13" t="s">
        <v>92</v>
      </c>
      <c r="E864" s="13" t="s">
        <v>14328</v>
      </c>
      <c r="F864" s="13" t="s">
        <v>178</v>
      </c>
      <c r="G864" s="13" t="s">
        <v>178</v>
      </c>
      <c r="H864" s="13" t="s">
        <v>14329</v>
      </c>
      <c r="I864" s="9">
        <f t="shared" ca="1" si="13"/>
        <v>4</v>
      </c>
      <c r="J864" s="13" t="s">
        <v>14330</v>
      </c>
      <c r="K864" s="13" t="s">
        <v>45</v>
      </c>
      <c r="L864" s="9" t="str">
        <f>VLOOKUP(K864,[1]中国省份_标准!$B$2:$F$35,4,FALSE)</f>
        <v>东部地区</v>
      </c>
      <c r="M864" s="9" t="str">
        <f>VLOOKUP(K864,[1]中国省份_标准!$B$2:$F$35,5,FALSE)</f>
        <v>华东地区</v>
      </c>
      <c r="N864" s="13" t="s">
        <v>45</v>
      </c>
      <c r="O864" s="13" t="s">
        <v>1123</v>
      </c>
      <c r="P864" s="13" t="s">
        <v>14331</v>
      </c>
      <c r="Q864" s="13" t="s">
        <v>39</v>
      </c>
      <c r="R864" s="13" t="s">
        <v>14332</v>
      </c>
      <c r="S864" s="13" t="s">
        <v>39</v>
      </c>
      <c r="T864" s="13" t="s">
        <v>601</v>
      </c>
      <c r="U864" s="13" t="s">
        <v>14327</v>
      </c>
      <c r="V864" s="13" t="s">
        <v>14333</v>
      </c>
      <c r="W864" s="13" t="s">
        <v>14334</v>
      </c>
      <c r="X864" s="13" t="s">
        <v>14335</v>
      </c>
      <c r="Y864" s="13" t="s">
        <v>78</v>
      </c>
      <c r="Z864" s="13" t="s">
        <v>14336</v>
      </c>
      <c r="AA864" s="13" t="s">
        <v>1796</v>
      </c>
      <c r="AB864" s="13" t="s">
        <v>2851</v>
      </c>
      <c r="AC864" s="13" t="s">
        <v>3969</v>
      </c>
      <c r="AD864" s="13" t="s">
        <v>3969</v>
      </c>
      <c r="AE864" s="13" t="s">
        <v>55</v>
      </c>
      <c r="AF864" s="13" t="s">
        <v>14337</v>
      </c>
      <c r="AG864" s="13" t="s">
        <v>14338</v>
      </c>
      <c r="AH864" s="13" t="s">
        <v>39</v>
      </c>
      <c r="AI864" s="13" t="s">
        <v>14339</v>
      </c>
      <c r="AJ864" s="13" t="s">
        <v>14340</v>
      </c>
      <c r="AK864" s="13" t="s">
        <v>7076</v>
      </c>
      <c r="AL864" s="13" t="s">
        <v>88</v>
      </c>
    </row>
    <row r="865" spans="1:38" x14ac:dyDescent="0.4">
      <c r="A865" s="11" t="s">
        <v>14341</v>
      </c>
      <c r="B865" s="14" t="s">
        <v>14342</v>
      </c>
      <c r="C865" s="15" t="s">
        <v>14343</v>
      </c>
      <c r="D865" s="15" t="s">
        <v>63</v>
      </c>
      <c r="E865" s="15" t="s">
        <v>14344</v>
      </c>
      <c r="F865" s="15" t="s">
        <v>14345</v>
      </c>
      <c r="G865" s="15" t="s">
        <v>14345</v>
      </c>
      <c r="H865" s="15" t="s">
        <v>14346</v>
      </c>
      <c r="I865" s="9">
        <f t="shared" ca="1" si="13"/>
        <v>18</v>
      </c>
      <c r="J865" s="15" t="s">
        <v>14347</v>
      </c>
      <c r="K865" s="15" t="s">
        <v>531</v>
      </c>
      <c r="L865" s="9" t="str">
        <f>VLOOKUP(K865,[1]中国省份_标准!$B$2:$F$35,4,FALSE)</f>
        <v>东部地区</v>
      </c>
      <c r="M865" s="9" t="str">
        <f>VLOOKUP(K865,[1]中国省份_标准!$B$2:$F$35,5,FALSE)</f>
        <v>华南地区</v>
      </c>
      <c r="N865" s="15" t="s">
        <v>2560</v>
      </c>
      <c r="O865" s="15" t="s">
        <v>39</v>
      </c>
      <c r="P865" s="15" t="s">
        <v>14348</v>
      </c>
      <c r="Q865" s="15" t="s">
        <v>14349</v>
      </c>
      <c r="R865" s="15" t="s">
        <v>14350</v>
      </c>
      <c r="S865" s="15" t="s">
        <v>14351</v>
      </c>
      <c r="T865" s="15" t="s">
        <v>601</v>
      </c>
      <c r="U865" s="15" t="s">
        <v>14342</v>
      </c>
      <c r="V865" s="15" t="s">
        <v>14352</v>
      </c>
      <c r="W865" s="15" t="s">
        <v>14353</v>
      </c>
      <c r="X865" s="15" t="s">
        <v>14354</v>
      </c>
      <c r="Y865" s="15" t="s">
        <v>78</v>
      </c>
      <c r="Z865" s="15" t="s">
        <v>14355</v>
      </c>
      <c r="AA865" s="15" t="s">
        <v>169</v>
      </c>
      <c r="AB865" s="15" t="s">
        <v>4158</v>
      </c>
      <c r="AC865" s="15" t="s">
        <v>11997</v>
      </c>
      <c r="AD865" s="15" t="s">
        <v>39</v>
      </c>
      <c r="AE865" s="15" t="s">
        <v>55</v>
      </c>
      <c r="AF865" s="15" t="s">
        <v>14356</v>
      </c>
      <c r="AG865" s="15" t="s">
        <v>39</v>
      </c>
      <c r="AH865" s="15" t="s">
        <v>39</v>
      </c>
      <c r="AI865" s="15" t="s">
        <v>14357</v>
      </c>
      <c r="AJ865" s="15" t="s">
        <v>14358</v>
      </c>
      <c r="AK865" s="15" t="s">
        <v>2572</v>
      </c>
      <c r="AL865" s="15" t="s">
        <v>88</v>
      </c>
    </row>
    <row r="866" spans="1:38" x14ac:dyDescent="0.4">
      <c r="A866" s="11" t="s">
        <v>14359</v>
      </c>
      <c r="B866" s="12" t="s">
        <v>14360</v>
      </c>
      <c r="C866" s="13" t="s">
        <v>14361</v>
      </c>
      <c r="D866" s="13" t="s">
        <v>63</v>
      </c>
      <c r="E866" s="13" t="s">
        <v>14362</v>
      </c>
      <c r="F866" s="13" t="s">
        <v>14363</v>
      </c>
      <c r="G866" s="13" t="s">
        <v>14363</v>
      </c>
      <c r="H866" s="13" t="s">
        <v>11676</v>
      </c>
      <c r="I866" s="9">
        <f t="shared" ca="1" si="13"/>
        <v>22</v>
      </c>
      <c r="J866" s="13" t="s">
        <v>14364</v>
      </c>
      <c r="K866" s="13" t="s">
        <v>425</v>
      </c>
      <c r="L866" s="9" t="str">
        <f>VLOOKUP(K866,[1]中国省份_标准!$B$2:$F$35,4,FALSE)</f>
        <v>东部地区</v>
      </c>
      <c r="M866" s="9" t="str">
        <f>VLOOKUP(K866,[1]中国省份_标准!$B$2:$F$35,5,FALSE)</f>
        <v>华东地区</v>
      </c>
      <c r="N866" s="13" t="s">
        <v>2344</v>
      </c>
      <c r="O866" s="13" t="s">
        <v>14365</v>
      </c>
      <c r="P866" s="13" t="s">
        <v>14366</v>
      </c>
      <c r="Q866" s="13" t="s">
        <v>14367</v>
      </c>
      <c r="R866" s="13" t="s">
        <v>14368</v>
      </c>
      <c r="S866" s="13" t="s">
        <v>14369</v>
      </c>
      <c r="T866" s="13" t="s">
        <v>2932</v>
      </c>
      <c r="U866" s="13" t="s">
        <v>14360</v>
      </c>
      <c r="V866" s="13" t="s">
        <v>14370</v>
      </c>
      <c r="W866" s="13" t="s">
        <v>14371</v>
      </c>
      <c r="X866" s="13" t="s">
        <v>14372</v>
      </c>
      <c r="Y866" s="13" t="s">
        <v>78</v>
      </c>
      <c r="Z866" s="13" t="s">
        <v>14373</v>
      </c>
      <c r="AA866" s="13" t="s">
        <v>169</v>
      </c>
      <c r="AB866" s="13" t="s">
        <v>4158</v>
      </c>
      <c r="AC866" s="13" t="s">
        <v>11997</v>
      </c>
      <c r="AD866" s="13" t="s">
        <v>39</v>
      </c>
      <c r="AE866" s="13" t="s">
        <v>262</v>
      </c>
      <c r="AF866" s="13" t="s">
        <v>14374</v>
      </c>
      <c r="AG866" s="13" t="s">
        <v>39</v>
      </c>
      <c r="AH866" s="13" t="s">
        <v>39</v>
      </c>
      <c r="AI866" s="13" t="s">
        <v>14375</v>
      </c>
      <c r="AJ866" s="13" t="s">
        <v>14376</v>
      </c>
      <c r="AK866" s="13" t="s">
        <v>14377</v>
      </c>
      <c r="AL866" s="13" t="s">
        <v>88</v>
      </c>
    </row>
    <row r="867" spans="1:38" x14ac:dyDescent="0.4">
      <c r="A867" s="11" t="s">
        <v>14378</v>
      </c>
      <c r="B867" s="14" t="s">
        <v>14379</v>
      </c>
      <c r="C867" s="15" t="s">
        <v>14380</v>
      </c>
      <c r="D867" s="15" t="s">
        <v>92</v>
      </c>
      <c r="E867" s="15" t="s">
        <v>14381</v>
      </c>
      <c r="F867" s="15" t="s">
        <v>14382</v>
      </c>
      <c r="G867" s="15" t="s">
        <v>14382</v>
      </c>
      <c r="H867" s="15" t="s">
        <v>14383</v>
      </c>
      <c r="I867" s="9">
        <f t="shared" ca="1" si="13"/>
        <v>21</v>
      </c>
      <c r="J867" s="15" t="s">
        <v>14384</v>
      </c>
      <c r="K867" s="15" t="s">
        <v>4266</v>
      </c>
      <c r="L867" s="9" t="str">
        <f>VLOOKUP(K867,[1]中国省份_标准!$B$2:$F$35,4,FALSE)</f>
        <v>东部地区</v>
      </c>
      <c r="M867" s="9" t="str">
        <f>VLOOKUP(K867,[1]中国省份_标准!$B$2:$F$35,5,FALSE)</f>
        <v>华北地区</v>
      </c>
      <c r="N867" s="15" t="s">
        <v>4266</v>
      </c>
      <c r="O867" s="15" t="s">
        <v>9575</v>
      </c>
      <c r="P867" s="15" t="s">
        <v>14385</v>
      </c>
      <c r="Q867" s="15" t="s">
        <v>14386</v>
      </c>
      <c r="R867" s="15" t="s">
        <v>14387</v>
      </c>
      <c r="S867" s="15" t="s">
        <v>14388</v>
      </c>
      <c r="T867" s="15" t="s">
        <v>601</v>
      </c>
      <c r="U867" s="15" t="s">
        <v>14379</v>
      </c>
      <c r="V867" s="15" t="s">
        <v>14389</v>
      </c>
      <c r="W867" s="15" t="s">
        <v>14390</v>
      </c>
      <c r="X867" s="15" t="s">
        <v>13715</v>
      </c>
      <c r="Y867" s="15" t="s">
        <v>78</v>
      </c>
      <c r="Z867" s="15" t="s">
        <v>14391</v>
      </c>
      <c r="AA867" s="15" t="s">
        <v>1796</v>
      </c>
      <c r="AB867" s="15" t="s">
        <v>3935</v>
      </c>
      <c r="AC867" s="15" t="s">
        <v>39</v>
      </c>
      <c r="AD867" s="15" t="s">
        <v>39</v>
      </c>
      <c r="AE867" s="15" t="s">
        <v>262</v>
      </c>
      <c r="AF867" s="15" t="s">
        <v>14392</v>
      </c>
      <c r="AG867" s="15" t="s">
        <v>39</v>
      </c>
      <c r="AH867" s="15" t="s">
        <v>39</v>
      </c>
      <c r="AI867" s="15" t="s">
        <v>14393</v>
      </c>
      <c r="AJ867" s="15" t="s">
        <v>14394</v>
      </c>
      <c r="AK867" s="15" t="s">
        <v>4296</v>
      </c>
      <c r="AL867" s="15" t="s">
        <v>88</v>
      </c>
    </row>
    <row r="868" spans="1:38" x14ac:dyDescent="0.4">
      <c r="A868" s="11" t="s">
        <v>14395</v>
      </c>
      <c r="B868" s="12" t="s">
        <v>14396</v>
      </c>
      <c r="C868" s="13" t="s">
        <v>39</v>
      </c>
      <c r="D868" s="13" t="s">
        <v>92</v>
      </c>
      <c r="E868" s="13" t="s">
        <v>14397</v>
      </c>
      <c r="F868" s="13" t="s">
        <v>42</v>
      </c>
      <c r="G868" s="13" t="s">
        <v>39</v>
      </c>
      <c r="H868" s="13" t="s">
        <v>14398</v>
      </c>
      <c r="I868" s="9">
        <f t="shared" ca="1" si="13"/>
        <v>9</v>
      </c>
      <c r="J868" s="13" t="s">
        <v>14399</v>
      </c>
      <c r="K868" s="13" t="s">
        <v>379</v>
      </c>
      <c r="L868" s="9" t="str">
        <f>VLOOKUP(K868,[1]中国省份_标准!$B$2:$F$35,4,FALSE)</f>
        <v>东部地区</v>
      </c>
      <c r="M868" s="9" t="str">
        <f>VLOOKUP(K868,[1]中国省份_标准!$B$2:$F$35,5,FALSE)</f>
        <v>华东地区</v>
      </c>
      <c r="N868" s="13" t="s">
        <v>380</v>
      </c>
      <c r="O868" s="13" t="s">
        <v>381</v>
      </c>
      <c r="P868" s="13" t="s">
        <v>14400</v>
      </c>
      <c r="Q868" s="13" t="s">
        <v>14401</v>
      </c>
      <c r="R868" s="13" t="s">
        <v>14402</v>
      </c>
      <c r="S868" s="13" t="s">
        <v>39</v>
      </c>
      <c r="T868" s="13" t="s">
        <v>281</v>
      </c>
      <c r="U868" s="13" t="s">
        <v>14396</v>
      </c>
      <c r="V868" s="13" t="s">
        <v>14403</v>
      </c>
      <c r="W868" s="13" t="s">
        <v>14404</v>
      </c>
      <c r="X868" s="13" t="s">
        <v>212</v>
      </c>
      <c r="Y868" s="13" t="s">
        <v>78</v>
      </c>
      <c r="Z868" s="13" t="s">
        <v>14405</v>
      </c>
      <c r="AA868" s="13" t="s">
        <v>52</v>
      </c>
      <c r="AB868" s="13" t="s">
        <v>53</v>
      </c>
      <c r="AC868" s="13" t="s">
        <v>7803</v>
      </c>
      <c r="AD868" s="13" t="s">
        <v>7804</v>
      </c>
      <c r="AE868" s="13" t="s">
        <v>109</v>
      </c>
      <c r="AF868" s="13" t="s">
        <v>14406</v>
      </c>
      <c r="AG868" s="13" t="s">
        <v>39</v>
      </c>
      <c r="AH868" s="13" t="s">
        <v>39</v>
      </c>
      <c r="AI868" s="13" t="s">
        <v>14407</v>
      </c>
      <c r="AJ868" s="13" t="s">
        <v>14408</v>
      </c>
      <c r="AK868" s="13" t="s">
        <v>393</v>
      </c>
      <c r="AL868" s="13" t="s">
        <v>88</v>
      </c>
    </row>
    <row r="869" spans="1:38" x14ac:dyDescent="0.4">
      <c r="A869" s="11" t="s">
        <v>14409</v>
      </c>
      <c r="B869" s="14" t="s">
        <v>14410</v>
      </c>
      <c r="C869" s="15" t="s">
        <v>39</v>
      </c>
      <c r="D869" s="15" t="s">
        <v>92</v>
      </c>
      <c r="E869" s="15" t="s">
        <v>14411</v>
      </c>
      <c r="F869" s="15" t="s">
        <v>640</v>
      </c>
      <c r="G869" s="15" t="s">
        <v>13022</v>
      </c>
      <c r="H869" s="15" t="s">
        <v>7154</v>
      </c>
      <c r="I869" s="9">
        <f t="shared" ca="1" si="13"/>
        <v>5</v>
      </c>
      <c r="J869" s="15" t="s">
        <v>14412</v>
      </c>
      <c r="K869" s="15" t="s">
        <v>531</v>
      </c>
      <c r="L869" s="9" t="str">
        <f>VLOOKUP(K869,[1]中国省份_标准!$B$2:$F$35,4,FALSE)</f>
        <v>东部地区</v>
      </c>
      <c r="M869" s="9" t="str">
        <f>VLOOKUP(K869,[1]中国省份_标准!$B$2:$F$35,5,FALSE)</f>
        <v>华南地区</v>
      </c>
      <c r="N869" s="15" t="s">
        <v>1450</v>
      </c>
      <c r="O869" s="15" t="s">
        <v>11651</v>
      </c>
      <c r="P869" s="15" t="s">
        <v>14413</v>
      </c>
      <c r="Q869" s="15" t="s">
        <v>39</v>
      </c>
      <c r="R869" s="15" t="s">
        <v>14414</v>
      </c>
      <c r="S869" s="15" t="s">
        <v>39</v>
      </c>
      <c r="T869" s="15" t="s">
        <v>48</v>
      </c>
      <c r="U869" s="15" t="s">
        <v>14410</v>
      </c>
      <c r="V869" s="15" t="s">
        <v>39</v>
      </c>
      <c r="W869" s="15" t="s">
        <v>14415</v>
      </c>
      <c r="X869" s="15" t="s">
        <v>212</v>
      </c>
      <c r="Y869" s="15" t="s">
        <v>78</v>
      </c>
      <c r="Z869" s="15" t="s">
        <v>7163</v>
      </c>
      <c r="AA869" s="15" t="s">
        <v>850</v>
      </c>
      <c r="AB869" s="15" t="s">
        <v>11570</v>
      </c>
      <c r="AC869" s="15" t="s">
        <v>11571</v>
      </c>
      <c r="AD869" s="15" t="s">
        <v>11622</v>
      </c>
      <c r="AE869" s="15" t="s">
        <v>109</v>
      </c>
      <c r="AF869" s="15" t="s">
        <v>14416</v>
      </c>
      <c r="AG869" s="15" t="s">
        <v>39</v>
      </c>
      <c r="AH869" s="15" t="s">
        <v>39</v>
      </c>
      <c r="AI869" s="15" t="s">
        <v>14417</v>
      </c>
      <c r="AJ869" s="15" t="s">
        <v>14418</v>
      </c>
      <c r="AK869" s="15" t="s">
        <v>11660</v>
      </c>
      <c r="AL869" s="15" t="s">
        <v>39</v>
      </c>
    </row>
    <row r="870" spans="1:38" x14ac:dyDescent="0.4">
      <c r="A870" s="11" t="s">
        <v>14419</v>
      </c>
      <c r="B870" s="12" t="s">
        <v>14420</v>
      </c>
      <c r="C870" s="13" t="s">
        <v>14421</v>
      </c>
      <c r="D870" s="13" t="s">
        <v>92</v>
      </c>
      <c r="E870" s="13" t="s">
        <v>14422</v>
      </c>
      <c r="F870" s="13" t="s">
        <v>8521</v>
      </c>
      <c r="G870" s="13" t="s">
        <v>8521</v>
      </c>
      <c r="H870" s="13" t="s">
        <v>4676</v>
      </c>
      <c r="I870" s="9">
        <f t="shared" ca="1" si="13"/>
        <v>22</v>
      </c>
      <c r="J870" s="13" t="s">
        <v>14423</v>
      </c>
      <c r="K870" s="13" t="s">
        <v>531</v>
      </c>
      <c r="L870" s="9" t="str">
        <f>VLOOKUP(K870,[1]中国省份_标准!$B$2:$F$35,4,FALSE)</f>
        <v>东部地区</v>
      </c>
      <c r="M870" s="9" t="str">
        <f>VLOOKUP(K870,[1]中国省份_标准!$B$2:$F$35,5,FALSE)</f>
        <v>华南地区</v>
      </c>
      <c r="N870" s="13" t="s">
        <v>1450</v>
      </c>
      <c r="O870" s="13" t="s">
        <v>11651</v>
      </c>
      <c r="P870" s="13" t="s">
        <v>14424</v>
      </c>
      <c r="Q870" s="13" t="s">
        <v>14425</v>
      </c>
      <c r="R870" s="13" t="s">
        <v>14426</v>
      </c>
      <c r="S870" s="13" t="s">
        <v>14427</v>
      </c>
      <c r="T870" s="13" t="s">
        <v>2034</v>
      </c>
      <c r="U870" s="13" t="s">
        <v>14420</v>
      </c>
      <c r="V870" s="13" t="s">
        <v>14428</v>
      </c>
      <c r="W870" s="13" t="s">
        <v>14429</v>
      </c>
      <c r="X870" s="13" t="s">
        <v>4562</v>
      </c>
      <c r="Y870" s="13" t="s">
        <v>78</v>
      </c>
      <c r="Z870" s="13" t="s">
        <v>14430</v>
      </c>
      <c r="AA870" s="13" t="s">
        <v>850</v>
      </c>
      <c r="AB870" s="13" t="s">
        <v>851</v>
      </c>
      <c r="AC870" s="13" t="s">
        <v>3990</v>
      </c>
      <c r="AD870" s="13" t="s">
        <v>3990</v>
      </c>
      <c r="AE870" s="13" t="s">
        <v>262</v>
      </c>
      <c r="AF870" s="13" t="s">
        <v>14431</v>
      </c>
      <c r="AG870" s="13" t="s">
        <v>39</v>
      </c>
      <c r="AH870" s="13" t="s">
        <v>39</v>
      </c>
      <c r="AI870" s="13" t="s">
        <v>14432</v>
      </c>
      <c r="AJ870" s="13" t="s">
        <v>14433</v>
      </c>
      <c r="AK870" s="13" t="s">
        <v>11660</v>
      </c>
      <c r="AL870" s="13" t="s">
        <v>88</v>
      </c>
    </row>
    <row r="871" spans="1:38" x14ac:dyDescent="0.4">
      <c r="A871" s="11" t="s">
        <v>14434</v>
      </c>
      <c r="B871" s="14" t="s">
        <v>14435</v>
      </c>
      <c r="C871" s="15" t="s">
        <v>39</v>
      </c>
      <c r="D871" s="15" t="s">
        <v>92</v>
      </c>
      <c r="E871" s="15" t="s">
        <v>14422</v>
      </c>
      <c r="F871" s="15" t="s">
        <v>5392</v>
      </c>
      <c r="G871" s="15" t="s">
        <v>5392</v>
      </c>
      <c r="H871" s="15" t="s">
        <v>14436</v>
      </c>
      <c r="I871" s="9">
        <f t="shared" ca="1" si="13"/>
        <v>23</v>
      </c>
      <c r="J871" s="15" t="s">
        <v>14437</v>
      </c>
      <c r="K871" s="15" t="s">
        <v>531</v>
      </c>
      <c r="L871" s="9" t="str">
        <f>VLOOKUP(K871,[1]中国省份_标准!$B$2:$F$35,4,FALSE)</f>
        <v>东部地区</v>
      </c>
      <c r="M871" s="9" t="str">
        <f>VLOOKUP(K871,[1]中国省份_标准!$B$2:$F$35,5,FALSE)</f>
        <v>华南地区</v>
      </c>
      <c r="N871" s="15" t="s">
        <v>1450</v>
      </c>
      <c r="O871" s="15" t="s">
        <v>11651</v>
      </c>
      <c r="P871" s="15" t="s">
        <v>14438</v>
      </c>
      <c r="Q871" s="15" t="s">
        <v>14439</v>
      </c>
      <c r="R871" s="15" t="s">
        <v>14440</v>
      </c>
      <c r="S871" s="15" t="s">
        <v>14441</v>
      </c>
      <c r="T871" s="15" t="s">
        <v>452</v>
      </c>
      <c r="U871" s="15" t="s">
        <v>14435</v>
      </c>
      <c r="V871" s="15" t="s">
        <v>14442</v>
      </c>
      <c r="W871" s="15" t="s">
        <v>14443</v>
      </c>
      <c r="X871" s="15" t="s">
        <v>10293</v>
      </c>
      <c r="Y871" s="15" t="s">
        <v>78</v>
      </c>
      <c r="Z871" s="15" t="s">
        <v>14444</v>
      </c>
      <c r="AA871" s="15" t="s">
        <v>850</v>
      </c>
      <c r="AB871" s="15" t="s">
        <v>851</v>
      </c>
      <c r="AC871" s="15" t="s">
        <v>14445</v>
      </c>
      <c r="AD871" s="15" t="s">
        <v>14445</v>
      </c>
      <c r="AE871" s="15" t="s">
        <v>55</v>
      </c>
      <c r="AF871" s="15" t="s">
        <v>14446</v>
      </c>
      <c r="AG871" s="15" t="s">
        <v>39</v>
      </c>
      <c r="AH871" s="15" t="s">
        <v>39</v>
      </c>
      <c r="AI871" s="15" t="s">
        <v>14447</v>
      </c>
      <c r="AJ871" s="15" t="s">
        <v>14448</v>
      </c>
      <c r="AK871" s="15" t="s">
        <v>11660</v>
      </c>
      <c r="AL871" s="15" t="s">
        <v>88</v>
      </c>
    </row>
    <row r="872" spans="1:38" x14ac:dyDescent="0.4">
      <c r="A872" s="11" t="s">
        <v>14449</v>
      </c>
      <c r="B872" s="12" t="s">
        <v>14450</v>
      </c>
      <c r="C872" s="13" t="s">
        <v>39</v>
      </c>
      <c r="D872" s="13" t="s">
        <v>92</v>
      </c>
      <c r="E872" s="13" t="s">
        <v>14451</v>
      </c>
      <c r="F872" s="13" t="s">
        <v>640</v>
      </c>
      <c r="G872" s="13" t="s">
        <v>640</v>
      </c>
      <c r="H872" s="13" t="s">
        <v>14452</v>
      </c>
      <c r="I872" s="9">
        <f t="shared" ca="1" si="13"/>
        <v>16</v>
      </c>
      <c r="J872" s="13" t="s">
        <v>14453</v>
      </c>
      <c r="K872" s="13" t="s">
        <v>531</v>
      </c>
      <c r="L872" s="9" t="str">
        <f>VLOOKUP(K872,[1]中国省份_标准!$B$2:$F$35,4,FALSE)</f>
        <v>东部地区</v>
      </c>
      <c r="M872" s="9" t="str">
        <f>VLOOKUP(K872,[1]中国省份_标准!$B$2:$F$35,5,FALSE)</f>
        <v>华南地区</v>
      </c>
      <c r="N872" s="13" t="s">
        <v>1450</v>
      </c>
      <c r="O872" s="13" t="s">
        <v>5553</v>
      </c>
      <c r="P872" s="13" t="s">
        <v>14454</v>
      </c>
      <c r="Q872" s="13" t="s">
        <v>39</v>
      </c>
      <c r="R872" s="13" t="s">
        <v>14455</v>
      </c>
      <c r="S872" s="13" t="s">
        <v>14456</v>
      </c>
      <c r="T872" s="13" t="s">
        <v>48</v>
      </c>
      <c r="U872" s="13" t="s">
        <v>14450</v>
      </c>
      <c r="V872" s="13" t="s">
        <v>14457</v>
      </c>
      <c r="W872" s="13" t="s">
        <v>14458</v>
      </c>
      <c r="X872" s="13" t="s">
        <v>690</v>
      </c>
      <c r="Y872" s="13" t="s">
        <v>78</v>
      </c>
      <c r="Z872" s="13" t="s">
        <v>14459</v>
      </c>
      <c r="AA872" s="13" t="s">
        <v>850</v>
      </c>
      <c r="AB872" s="13" t="s">
        <v>11570</v>
      </c>
      <c r="AC872" s="13" t="s">
        <v>11571</v>
      </c>
      <c r="AD872" s="13" t="s">
        <v>11622</v>
      </c>
      <c r="AE872" s="13" t="s">
        <v>109</v>
      </c>
      <c r="AF872" s="13" t="s">
        <v>14460</v>
      </c>
      <c r="AG872" s="13" t="s">
        <v>39</v>
      </c>
      <c r="AH872" s="13" t="s">
        <v>39</v>
      </c>
      <c r="AI872" s="13" t="s">
        <v>14461</v>
      </c>
      <c r="AJ872" s="13" t="s">
        <v>14462</v>
      </c>
      <c r="AK872" s="13" t="s">
        <v>5565</v>
      </c>
      <c r="AL872" s="13" t="s">
        <v>88</v>
      </c>
    </row>
    <row r="873" spans="1:38" x14ac:dyDescent="0.4">
      <c r="A873" s="11" t="s">
        <v>14463</v>
      </c>
      <c r="B873" s="14" t="s">
        <v>14464</v>
      </c>
      <c r="C873" s="15" t="s">
        <v>14465</v>
      </c>
      <c r="D873" s="15" t="s">
        <v>92</v>
      </c>
      <c r="E873" s="15" t="s">
        <v>14466</v>
      </c>
      <c r="F873" s="15" t="s">
        <v>640</v>
      </c>
      <c r="G873" s="15" t="s">
        <v>640</v>
      </c>
      <c r="H873" s="15" t="s">
        <v>14467</v>
      </c>
      <c r="I873" s="9">
        <f t="shared" ca="1" si="13"/>
        <v>25</v>
      </c>
      <c r="J873" s="15" t="s">
        <v>14468</v>
      </c>
      <c r="K873" s="15" t="s">
        <v>531</v>
      </c>
      <c r="L873" s="9" t="str">
        <f>VLOOKUP(K873,[1]中国省份_标准!$B$2:$F$35,4,FALSE)</f>
        <v>东部地区</v>
      </c>
      <c r="M873" s="9" t="str">
        <f>VLOOKUP(K873,[1]中国省份_标准!$B$2:$F$35,5,FALSE)</f>
        <v>华南地区</v>
      </c>
      <c r="N873" s="15" t="s">
        <v>1450</v>
      </c>
      <c r="O873" s="15" t="s">
        <v>10070</v>
      </c>
      <c r="P873" s="15" t="s">
        <v>14469</v>
      </c>
      <c r="Q873" s="15" t="s">
        <v>14470</v>
      </c>
      <c r="R873" s="15" t="s">
        <v>14471</v>
      </c>
      <c r="S873" s="15" t="s">
        <v>14472</v>
      </c>
      <c r="T873" s="15" t="s">
        <v>48</v>
      </c>
      <c r="U873" s="15" t="s">
        <v>14464</v>
      </c>
      <c r="V873" s="15" t="s">
        <v>14473</v>
      </c>
      <c r="W873" s="15" t="s">
        <v>14474</v>
      </c>
      <c r="X873" s="15" t="s">
        <v>1319</v>
      </c>
      <c r="Y873" s="15" t="s">
        <v>283</v>
      </c>
      <c r="Z873" s="15" t="s">
        <v>14475</v>
      </c>
      <c r="AA873" s="15" t="s">
        <v>850</v>
      </c>
      <c r="AB873" s="15" t="s">
        <v>11570</v>
      </c>
      <c r="AC873" s="15" t="s">
        <v>11571</v>
      </c>
      <c r="AD873" s="15" t="s">
        <v>11622</v>
      </c>
      <c r="AE873" s="15" t="s">
        <v>109</v>
      </c>
      <c r="AF873" s="15" t="s">
        <v>14476</v>
      </c>
      <c r="AG873" s="15" t="s">
        <v>39</v>
      </c>
      <c r="AH873" s="15" t="s">
        <v>39</v>
      </c>
      <c r="AI873" s="15" t="s">
        <v>14477</v>
      </c>
      <c r="AJ873" s="15" t="s">
        <v>14478</v>
      </c>
      <c r="AK873" s="15" t="s">
        <v>10080</v>
      </c>
      <c r="AL873" s="15" t="s">
        <v>88</v>
      </c>
    </row>
    <row r="874" spans="1:38" x14ac:dyDescent="0.4">
      <c r="A874" s="11" t="s">
        <v>14479</v>
      </c>
      <c r="B874" s="12" t="s">
        <v>14480</v>
      </c>
      <c r="C874" s="13" t="s">
        <v>14481</v>
      </c>
      <c r="D874" s="13" t="s">
        <v>92</v>
      </c>
      <c r="E874" s="13" t="s">
        <v>14482</v>
      </c>
      <c r="F874" s="13" t="s">
        <v>14483</v>
      </c>
      <c r="G874" s="13" t="s">
        <v>14483</v>
      </c>
      <c r="H874" s="13" t="s">
        <v>14484</v>
      </c>
      <c r="I874" s="9">
        <f t="shared" ca="1" si="13"/>
        <v>21</v>
      </c>
      <c r="J874" s="13" t="s">
        <v>14485</v>
      </c>
      <c r="K874" s="13" t="s">
        <v>531</v>
      </c>
      <c r="L874" s="9" t="str">
        <f>VLOOKUP(K874,[1]中国省份_标准!$B$2:$F$35,4,FALSE)</f>
        <v>东部地区</v>
      </c>
      <c r="M874" s="9" t="str">
        <f>VLOOKUP(K874,[1]中国省份_标准!$B$2:$F$35,5,FALSE)</f>
        <v>华南地区</v>
      </c>
      <c r="N874" s="13" t="s">
        <v>1450</v>
      </c>
      <c r="O874" s="13" t="s">
        <v>11651</v>
      </c>
      <c r="P874" s="13" t="s">
        <v>14486</v>
      </c>
      <c r="Q874" s="13" t="s">
        <v>14487</v>
      </c>
      <c r="R874" s="13" t="s">
        <v>14488</v>
      </c>
      <c r="S874" s="13" t="s">
        <v>14489</v>
      </c>
      <c r="T874" s="13" t="s">
        <v>452</v>
      </c>
      <c r="U874" s="13" t="s">
        <v>14480</v>
      </c>
      <c r="V874" s="13" t="s">
        <v>14490</v>
      </c>
      <c r="W874" s="13" t="s">
        <v>14491</v>
      </c>
      <c r="X874" s="13" t="s">
        <v>3916</v>
      </c>
      <c r="Y874" s="13" t="s">
        <v>283</v>
      </c>
      <c r="Z874" s="13" t="s">
        <v>14492</v>
      </c>
      <c r="AA874" s="13" t="s">
        <v>850</v>
      </c>
      <c r="AB874" s="13" t="s">
        <v>851</v>
      </c>
      <c r="AC874" s="13" t="s">
        <v>3990</v>
      </c>
      <c r="AD874" s="13" t="s">
        <v>3990</v>
      </c>
      <c r="AE874" s="13" t="s">
        <v>262</v>
      </c>
      <c r="AF874" s="13" t="s">
        <v>14493</v>
      </c>
      <c r="AG874" s="13" t="s">
        <v>39</v>
      </c>
      <c r="AH874" s="13" t="s">
        <v>39</v>
      </c>
      <c r="AI874" s="13" t="s">
        <v>14494</v>
      </c>
      <c r="AJ874" s="13" t="s">
        <v>14495</v>
      </c>
      <c r="AK874" s="13" t="s">
        <v>11660</v>
      </c>
      <c r="AL874" s="13" t="s">
        <v>88</v>
      </c>
    </row>
    <row r="875" spans="1:38" x14ac:dyDescent="0.4">
      <c r="A875" s="11" t="s">
        <v>14496</v>
      </c>
      <c r="B875" s="14" t="s">
        <v>14497</v>
      </c>
      <c r="C875" s="15" t="s">
        <v>14498</v>
      </c>
      <c r="D875" s="15" t="s">
        <v>92</v>
      </c>
      <c r="E875" s="15" t="s">
        <v>14499</v>
      </c>
      <c r="F875" s="15" t="s">
        <v>178</v>
      </c>
      <c r="G875" s="15" t="s">
        <v>271</v>
      </c>
      <c r="H875" s="15" t="s">
        <v>14500</v>
      </c>
      <c r="I875" s="9">
        <f t="shared" ca="1" si="13"/>
        <v>14</v>
      </c>
      <c r="J875" s="15" t="s">
        <v>14501</v>
      </c>
      <c r="K875" s="15" t="s">
        <v>531</v>
      </c>
      <c r="L875" s="9" t="str">
        <f>VLOOKUP(K875,[1]中国省份_标准!$B$2:$F$35,4,FALSE)</f>
        <v>东部地区</v>
      </c>
      <c r="M875" s="9" t="str">
        <f>VLOOKUP(K875,[1]中国省份_标准!$B$2:$F$35,5,FALSE)</f>
        <v>华南地区</v>
      </c>
      <c r="N875" s="15" t="s">
        <v>1450</v>
      </c>
      <c r="O875" s="15" t="s">
        <v>11651</v>
      </c>
      <c r="P875" s="15" t="s">
        <v>14502</v>
      </c>
      <c r="Q875" s="15" t="s">
        <v>14503</v>
      </c>
      <c r="R875" s="15" t="s">
        <v>14504</v>
      </c>
      <c r="S875" s="15" t="s">
        <v>14505</v>
      </c>
      <c r="T875" s="15" t="s">
        <v>48</v>
      </c>
      <c r="U875" s="15" t="s">
        <v>14497</v>
      </c>
      <c r="V875" s="15" t="s">
        <v>14506</v>
      </c>
      <c r="W875" s="15" t="s">
        <v>14507</v>
      </c>
      <c r="X875" s="15" t="s">
        <v>14508</v>
      </c>
      <c r="Y875" s="15" t="s">
        <v>78</v>
      </c>
      <c r="Z875" s="15" t="s">
        <v>14509</v>
      </c>
      <c r="AA875" s="15" t="s">
        <v>850</v>
      </c>
      <c r="AB875" s="15" t="s">
        <v>11570</v>
      </c>
      <c r="AC875" s="15" t="s">
        <v>11571</v>
      </c>
      <c r="AD875" s="15" t="s">
        <v>11622</v>
      </c>
      <c r="AE875" s="15" t="s">
        <v>262</v>
      </c>
      <c r="AF875" s="15" t="s">
        <v>14510</v>
      </c>
      <c r="AG875" s="15" t="s">
        <v>39</v>
      </c>
      <c r="AH875" s="15" t="s">
        <v>39</v>
      </c>
      <c r="AI875" s="15" t="s">
        <v>14511</v>
      </c>
      <c r="AJ875" s="15" t="s">
        <v>14512</v>
      </c>
      <c r="AK875" s="15" t="s">
        <v>11660</v>
      </c>
      <c r="AL875" s="15" t="s">
        <v>88</v>
      </c>
    </row>
    <row r="876" spans="1:38" x14ac:dyDescent="0.4">
      <c r="A876" s="11" t="s">
        <v>14513</v>
      </c>
      <c r="B876" s="12" t="s">
        <v>14514</v>
      </c>
      <c r="C876" s="13" t="s">
        <v>39</v>
      </c>
      <c r="D876" s="13" t="s">
        <v>92</v>
      </c>
      <c r="E876" s="13" t="s">
        <v>14515</v>
      </c>
      <c r="F876" s="13" t="s">
        <v>640</v>
      </c>
      <c r="G876" s="13" t="s">
        <v>39</v>
      </c>
      <c r="H876" s="13" t="s">
        <v>11141</v>
      </c>
      <c r="I876" s="9">
        <f t="shared" ca="1" si="13"/>
        <v>8</v>
      </c>
      <c r="J876" s="13" t="s">
        <v>14516</v>
      </c>
      <c r="K876" s="13" t="s">
        <v>531</v>
      </c>
      <c r="L876" s="9" t="str">
        <f>VLOOKUP(K876,[1]中国省份_标准!$B$2:$F$35,4,FALSE)</f>
        <v>东部地区</v>
      </c>
      <c r="M876" s="9" t="str">
        <f>VLOOKUP(K876,[1]中国省份_标准!$B$2:$F$35,5,FALSE)</f>
        <v>华南地区</v>
      </c>
      <c r="N876" s="13" t="s">
        <v>1450</v>
      </c>
      <c r="O876" s="13" t="s">
        <v>11651</v>
      </c>
      <c r="P876" s="13" t="s">
        <v>14517</v>
      </c>
      <c r="Q876" s="13" t="s">
        <v>14518</v>
      </c>
      <c r="R876" s="13" t="s">
        <v>14519</v>
      </c>
      <c r="S876" s="13" t="s">
        <v>14520</v>
      </c>
      <c r="T876" s="13" t="s">
        <v>281</v>
      </c>
      <c r="U876" s="13" t="s">
        <v>14514</v>
      </c>
      <c r="V876" s="13" t="s">
        <v>14521</v>
      </c>
      <c r="W876" s="13" t="s">
        <v>14522</v>
      </c>
      <c r="X876" s="13" t="s">
        <v>1130</v>
      </c>
      <c r="Y876" s="13" t="s">
        <v>78</v>
      </c>
      <c r="Z876" s="13" t="s">
        <v>11147</v>
      </c>
      <c r="AA876" s="13" t="s">
        <v>850</v>
      </c>
      <c r="AB876" s="13" t="s">
        <v>9442</v>
      </c>
      <c r="AC876" s="13" t="s">
        <v>10006</v>
      </c>
      <c r="AD876" s="13" t="s">
        <v>39</v>
      </c>
      <c r="AE876" s="13" t="s">
        <v>109</v>
      </c>
      <c r="AF876" s="13" t="s">
        <v>14523</v>
      </c>
      <c r="AG876" s="13" t="s">
        <v>39</v>
      </c>
      <c r="AH876" s="13" t="s">
        <v>39</v>
      </c>
      <c r="AI876" s="13" t="s">
        <v>14524</v>
      </c>
      <c r="AJ876" s="13" t="s">
        <v>14525</v>
      </c>
      <c r="AK876" s="13" t="s">
        <v>11660</v>
      </c>
      <c r="AL876" s="13" t="s">
        <v>88</v>
      </c>
    </row>
    <row r="877" spans="1:38" x14ac:dyDescent="0.4">
      <c r="A877" s="11" t="s">
        <v>14526</v>
      </c>
      <c r="B877" s="14" t="s">
        <v>14527</v>
      </c>
      <c r="C877" s="15" t="s">
        <v>39</v>
      </c>
      <c r="D877" s="15" t="s">
        <v>92</v>
      </c>
      <c r="E877" s="15" t="s">
        <v>14528</v>
      </c>
      <c r="F877" s="15" t="s">
        <v>14529</v>
      </c>
      <c r="G877" s="15" t="s">
        <v>14529</v>
      </c>
      <c r="H877" s="15" t="s">
        <v>14530</v>
      </c>
      <c r="I877" s="9">
        <f t="shared" ca="1" si="13"/>
        <v>21</v>
      </c>
      <c r="J877" s="15" t="s">
        <v>14531</v>
      </c>
      <c r="K877" s="15" t="s">
        <v>531</v>
      </c>
      <c r="L877" s="9" t="str">
        <f>VLOOKUP(K877,[1]中国省份_标准!$B$2:$F$35,4,FALSE)</f>
        <v>东部地区</v>
      </c>
      <c r="M877" s="9" t="str">
        <f>VLOOKUP(K877,[1]中国省份_标准!$B$2:$F$35,5,FALSE)</f>
        <v>华南地区</v>
      </c>
      <c r="N877" s="15" t="s">
        <v>1450</v>
      </c>
      <c r="O877" s="15" t="s">
        <v>11651</v>
      </c>
      <c r="P877" s="15" t="s">
        <v>14532</v>
      </c>
      <c r="Q877" s="15" t="s">
        <v>14533</v>
      </c>
      <c r="R877" s="15" t="s">
        <v>14534</v>
      </c>
      <c r="S877" s="15" t="s">
        <v>39</v>
      </c>
      <c r="T877" s="15" t="s">
        <v>452</v>
      </c>
      <c r="U877" s="15" t="s">
        <v>14527</v>
      </c>
      <c r="V877" s="15" t="s">
        <v>14535</v>
      </c>
      <c r="W877" s="15" t="s">
        <v>14536</v>
      </c>
      <c r="X877" s="15" t="s">
        <v>14537</v>
      </c>
      <c r="Y877" s="15" t="s">
        <v>78</v>
      </c>
      <c r="Z877" s="15" t="s">
        <v>14538</v>
      </c>
      <c r="AA877" s="15" t="s">
        <v>850</v>
      </c>
      <c r="AB877" s="15" t="s">
        <v>7495</v>
      </c>
      <c r="AC877" s="15" t="s">
        <v>7496</v>
      </c>
      <c r="AD877" s="15" t="s">
        <v>7497</v>
      </c>
      <c r="AE877" s="15" t="s">
        <v>55</v>
      </c>
      <c r="AF877" s="15" t="s">
        <v>14539</v>
      </c>
      <c r="AG877" s="15" t="s">
        <v>39</v>
      </c>
      <c r="AH877" s="15" t="s">
        <v>39</v>
      </c>
      <c r="AI877" s="15" t="s">
        <v>14540</v>
      </c>
      <c r="AJ877" s="15" t="s">
        <v>14541</v>
      </c>
      <c r="AK877" s="15" t="s">
        <v>11660</v>
      </c>
      <c r="AL877" s="15" t="s">
        <v>88</v>
      </c>
    </row>
    <row r="878" spans="1:38" x14ac:dyDescent="0.4">
      <c r="A878" s="11" t="s">
        <v>14542</v>
      </c>
      <c r="B878" s="12" t="s">
        <v>14543</v>
      </c>
      <c r="C878" s="13" t="s">
        <v>14544</v>
      </c>
      <c r="D878" s="13" t="s">
        <v>63</v>
      </c>
      <c r="E878" s="13" t="s">
        <v>14545</v>
      </c>
      <c r="F878" s="13" t="s">
        <v>9002</v>
      </c>
      <c r="G878" s="13" t="s">
        <v>9002</v>
      </c>
      <c r="H878" s="13" t="s">
        <v>14546</v>
      </c>
      <c r="I878" s="9">
        <f t="shared" ca="1" si="13"/>
        <v>29</v>
      </c>
      <c r="J878" s="13" t="s">
        <v>14547</v>
      </c>
      <c r="K878" s="13" t="s">
        <v>67</v>
      </c>
      <c r="L878" s="9" t="str">
        <f>VLOOKUP(K878,[1]中国省份_标准!$B$2:$F$35,4,FALSE)</f>
        <v>东部地区</v>
      </c>
      <c r="M878" s="9" t="str">
        <f>VLOOKUP(K878,[1]中国省份_标准!$B$2:$F$35,5,FALSE)</f>
        <v>华东地区</v>
      </c>
      <c r="N878" s="13" t="s">
        <v>203</v>
      </c>
      <c r="O878" s="13" t="s">
        <v>14548</v>
      </c>
      <c r="P878" s="13" t="s">
        <v>14549</v>
      </c>
      <c r="Q878" s="13" t="s">
        <v>14550</v>
      </c>
      <c r="R878" s="13" t="s">
        <v>14551</v>
      </c>
      <c r="S878" s="13" t="s">
        <v>14552</v>
      </c>
      <c r="T878" s="13" t="s">
        <v>209</v>
      </c>
      <c r="U878" s="13" t="s">
        <v>14543</v>
      </c>
      <c r="V878" s="13" t="s">
        <v>14553</v>
      </c>
      <c r="W878" s="13" t="s">
        <v>14554</v>
      </c>
      <c r="X878" s="13" t="s">
        <v>14555</v>
      </c>
      <c r="Y878" s="13" t="s">
        <v>78</v>
      </c>
      <c r="Z878" s="13" t="s">
        <v>14556</v>
      </c>
      <c r="AA878" s="13" t="s">
        <v>850</v>
      </c>
      <c r="AB878" s="13" t="s">
        <v>39</v>
      </c>
      <c r="AC878" s="13" t="s">
        <v>39</v>
      </c>
      <c r="AD878" s="13" t="s">
        <v>39</v>
      </c>
      <c r="AE878" s="13" t="s">
        <v>262</v>
      </c>
      <c r="AF878" s="13" t="s">
        <v>14557</v>
      </c>
      <c r="AG878" s="13" t="s">
        <v>14558</v>
      </c>
      <c r="AH878" s="13" t="s">
        <v>39</v>
      </c>
      <c r="AI878" s="13" t="s">
        <v>14559</v>
      </c>
      <c r="AJ878" s="13" t="s">
        <v>14560</v>
      </c>
      <c r="AK878" s="13" t="s">
        <v>5587</v>
      </c>
      <c r="AL878" s="13" t="s">
        <v>88</v>
      </c>
    </row>
    <row r="879" spans="1:38" x14ac:dyDescent="0.4">
      <c r="A879" s="11" t="s">
        <v>14561</v>
      </c>
      <c r="B879" s="14" t="s">
        <v>14562</v>
      </c>
      <c r="C879" s="15" t="s">
        <v>39</v>
      </c>
      <c r="D879" s="15" t="s">
        <v>92</v>
      </c>
      <c r="E879" s="15" t="s">
        <v>14563</v>
      </c>
      <c r="F879" s="15" t="s">
        <v>490</v>
      </c>
      <c r="G879" s="15" t="s">
        <v>490</v>
      </c>
      <c r="H879" s="15" t="s">
        <v>14564</v>
      </c>
      <c r="I879" s="9">
        <f t="shared" ca="1" si="13"/>
        <v>11</v>
      </c>
      <c r="J879" s="15" t="s">
        <v>14565</v>
      </c>
      <c r="K879" s="15" t="s">
        <v>531</v>
      </c>
      <c r="L879" s="9" t="str">
        <f>VLOOKUP(K879,[1]中国省份_标准!$B$2:$F$35,4,FALSE)</f>
        <v>东部地区</v>
      </c>
      <c r="M879" s="9" t="str">
        <f>VLOOKUP(K879,[1]中国省份_标准!$B$2:$F$35,5,FALSE)</f>
        <v>华南地区</v>
      </c>
      <c r="N879" s="15" t="s">
        <v>13327</v>
      </c>
      <c r="O879" s="15" t="s">
        <v>14566</v>
      </c>
      <c r="P879" s="15" t="s">
        <v>14567</v>
      </c>
      <c r="Q879" s="15" t="s">
        <v>14568</v>
      </c>
      <c r="R879" s="15" t="s">
        <v>14569</v>
      </c>
      <c r="S879" s="15" t="s">
        <v>39</v>
      </c>
      <c r="T879" s="15" t="s">
        <v>281</v>
      </c>
      <c r="U879" s="15" t="s">
        <v>14562</v>
      </c>
      <c r="V879" s="15" t="s">
        <v>14570</v>
      </c>
      <c r="W879" s="15" t="s">
        <v>14571</v>
      </c>
      <c r="X879" s="15" t="s">
        <v>14572</v>
      </c>
      <c r="Y879" s="15" t="s">
        <v>78</v>
      </c>
      <c r="Z879" s="15" t="s">
        <v>14573</v>
      </c>
      <c r="AA879" s="15" t="s">
        <v>169</v>
      </c>
      <c r="AB879" s="15" t="s">
        <v>4158</v>
      </c>
      <c r="AC879" s="15" t="s">
        <v>11997</v>
      </c>
      <c r="AD879" s="15" t="s">
        <v>39</v>
      </c>
      <c r="AE879" s="15" t="s">
        <v>262</v>
      </c>
      <c r="AF879" s="15" t="s">
        <v>14574</v>
      </c>
      <c r="AG879" s="15" t="s">
        <v>14575</v>
      </c>
      <c r="AH879" s="15" t="s">
        <v>39</v>
      </c>
      <c r="AI879" s="15" t="s">
        <v>14576</v>
      </c>
      <c r="AJ879" s="15" t="s">
        <v>14577</v>
      </c>
      <c r="AK879" s="15" t="s">
        <v>14578</v>
      </c>
      <c r="AL879" s="15" t="s">
        <v>88</v>
      </c>
    </row>
    <row r="880" spans="1:38" x14ac:dyDescent="0.4">
      <c r="A880" s="11" t="s">
        <v>14579</v>
      </c>
      <c r="B880" s="12" t="s">
        <v>14580</v>
      </c>
      <c r="C880" s="13" t="s">
        <v>39</v>
      </c>
      <c r="D880" s="13" t="s">
        <v>92</v>
      </c>
      <c r="E880" s="13" t="s">
        <v>14581</v>
      </c>
      <c r="F880" s="13" t="s">
        <v>271</v>
      </c>
      <c r="G880" s="13" t="s">
        <v>640</v>
      </c>
      <c r="H880" s="13" t="s">
        <v>14582</v>
      </c>
      <c r="I880" s="9">
        <f t="shared" ca="1" si="13"/>
        <v>18</v>
      </c>
      <c r="J880" s="13" t="s">
        <v>14583</v>
      </c>
      <c r="K880" s="13" t="s">
        <v>425</v>
      </c>
      <c r="L880" s="9" t="str">
        <f>VLOOKUP(K880,[1]中国省份_标准!$B$2:$F$35,4,FALSE)</f>
        <v>东部地区</v>
      </c>
      <c r="M880" s="9" t="str">
        <f>VLOOKUP(K880,[1]中国省份_标准!$B$2:$F$35,5,FALSE)</f>
        <v>华东地区</v>
      </c>
      <c r="N880" s="13" t="s">
        <v>2344</v>
      </c>
      <c r="O880" s="13" t="s">
        <v>14584</v>
      </c>
      <c r="P880" s="13" t="s">
        <v>14585</v>
      </c>
      <c r="Q880" s="13" t="s">
        <v>14586</v>
      </c>
      <c r="R880" s="13" t="s">
        <v>14587</v>
      </c>
      <c r="S880" s="13" t="s">
        <v>14588</v>
      </c>
      <c r="T880" s="13" t="s">
        <v>48</v>
      </c>
      <c r="U880" s="13" t="s">
        <v>14580</v>
      </c>
      <c r="V880" s="13" t="s">
        <v>14589</v>
      </c>
      <c r="W880" s="13" t="s">
        <v>14590</v>
      </c>
      <c r="X880" s="13" t="s">
        <v>1777</v>
      </c>
      <c r="Y880" s="13" t="s">
        <v>78</v>
      </c>
      <c r="Z880" s="13" t="s">
        <v>14591</v>
      </c>
      <c r="AA880" s="13" t="s">
        <v>850</v>
      </c>
      <c r="AB880" s="13" t="s">
        <v>11570</v>
      </c>
      <c r="AC880" s="13" t="s">
        <v>11571</v>
      </c>
      <c r="AD880" s="13" t="s">
        <v>11622</v>
      </c>
      <c r="AE880" s="13" t="s">
        <v>109</v>
      </c>
      <c r="AF880" s="13" t="s">
        <v>14592</v>
      </c>
      <c r="AG880" s="13" t="s">
        <v>39</v>
      </c>
      <c r="AH880" s="13" t="s">
        <v>14593</v>
      </c>
      <c r="AI880" s="13" t="s">
        <v>14594</v>
      </c>
      <c r="AJ880" s="13" t="s">
        <v>14595</v>
      </c>
      <c r="AK880" s="13" t="s">
        <v>14596</v>
      </c>
      <c r="AL880" s="13" t="s">
        <v>88</v>
      </c>
    </row>
    <row r="881" spans="1:38" x14ac:dyDescent="0.4">
      <c r="A881" s="11" t="s">
        <v>14597</v>
      </c>
      <c r="B881" s="14" t="s">
        <v>14598</v>
      </c>
      <c r="C881" s="15" t="s">
        <v>39</v>
      </c>
      <c r="D881" s="15" t="s">
        <v>63</v>
      </c>
      <c r="E881" s="15" t="s">
        <v>14599</v>
      </c>
      <c r="F881" s="15" t="s">
        <v>640</v>
      </c>
      <c r="G881" s="15" t="s">
        <v>422</v>
      </c>
      <c r="H881" s="15" t="s">
        <v>14600</v>
      </c>
      <c r="I881" s="9">
        <f t="shared" ca="1" si="13"/>
        <v>13</v>
      </c>
      <c r="J881" s="15" t="s">
        <v>14601</v>
      </c>
      <c r="K881" s="15" t="s">
        <v>425</v>
      </c>
      <c r="L881" s="9" t="str">
        <f>VLOOKUP(K881,[1]中国省份_标准!$B$2:$F$35,4,FALSE)</f>
        <v>东部地区</v>
      </c>
      <c r="M881" s="9" t="str">
        <f>VLOOKUP(K881,[1]中国省份_标准!$B$2:$F$35,5,FALSE)</f>
        <v>华东地区</v>
      </c>
      <c r="N881" s="15" t="s">
        <v>964</v>
      </c>
      <c r="O881" s="15" t="s">
        <v>14602</v>
      </c>
      <c r="P881" s="15" t="s">
        <v>14603</v>
      </c>
      <c r="Q881" s="15" t="s">
        <v>14604</v>
      </c>
      <c r="R881" s="15" t="s">
        <v>14605</v>
      </c>
      <c r="S881" s="15" t="s">
        <v>39</v>
      </c>
      <c r="T881" s="15" t="s">
        <v>48</v>
      </c>
      <c r="U881" s="15" t="s">
        <v>14598</v>
      </c>
      <c r="V881" s="15" t="s">
        <v>14606</v>
      </c>
      <c r="W881" s="15" t="s">
        <v>14607</v>
      </c>
      <c r="X881" s="15" t="s">
        <v>673</v>
      </c>
      <c r="Y881" s="15" t="s">
        <v>78</v>
      </c>
      <c r="Z881" s="15" t="s">
        <v>14608</v>
      </c>
      <c r="AA881" s="15" t="s">
        <v>850</v>
      </c>
      <c r="AB881" s="15" t="s">
        <v>11570</v>
      </c>
      <c r="AC881" s="15" t="s">
        <v>11571</v>
      </c>
      <c r="AD881" s="15" t="s">
        <v>14322</v>
      </c>
      <c r="AE881" s="15" t="s">
        <v>109</v>
      </c>
      <c r="AF881" s="15" t="s">
        <v>14609</v>
      </c>
      <c r="AG881" s="15" t="s">
        <v>14610</v>
      </c>
      <c r="AH881" s="15" t="s">
        <v>14611</v>
      </c>
      <c r="AI881" s="15" t="s">
        <v>14612</v>
      </c>
      <c r="AJ881" s="15" t="s">
        <v>14613</v>
      </c>
      <c r="AK881" s="15" t="s">
        <v>14614</v>
      </c>
      <c r="AL881" s="15" t="s">
        <v>88</v>
      </c>
    </row>
    <row r="882" spans="1:38" x14ac:dyDescent="0.4">
      <c r="A882" s="11" t="s">
        <v>14615</v>
      </c>
      <c r="B882" s="12" t="s">
        <v>14616</v>
      </c>
      <c r="C882" s="13" t="s">
        <v>39</v>
      </c>
      <c r="D882" s="13" t="s">
        <v>63</v>
      </c>
      <c r="E882" s="13" t="s">
        <v>14617</v>
      </c>
      <c r="F882" s="13" t="s">
        <v>1428</v>
      </c>
      <c r="G882" s="13" t="s">
        <v>1428</v>
      </c>
      <c r="H882" s="13" t="s">
        <v>14618</v>
      </c>
      <c r="I882" s="9">
        <f t="shared" ca="1" si="13"/>
        <v>20</v>
      </c>
      <c r="J882" s="13" t="s">
        <v>14619</v>
      </c>
      <c r="K882" s="13" t="s">
        <v>67</v>
      </c>
      <c r="L882" s="9" t="str">
        <f>VLOOKUP(K882,[1]中国省份_标准!$B$2:$F$35,4,FALSE)</f>
        <v>东部地区</v>
      </c>
      <c r="M882" s="9" t="str">
        <f>VLOOKUP(K882,[1]中国省份_标准!$B$2:$F$35,5,FALSE)</f>
        <v>华东地区</v>
      </c>
      <c r="N882" s="13" t="s">
        <v>203</v>
      </c>
      <c r="O882" s="13" t="s">
        <v>14548</v>
      </c>
      <c r="P882" s="13" t="s">
        <v>14620</v>
      </c>
      <c r="Q882" s="13" t="s">
        <v>39</v>
      </c>
      <c r="R882" s="13" t="s">
        <v>14621</v>
      </c>
      <c r="S882" s="13" t="s">
        <v>14622</v>
      </c>
      <c r="T882" s="13" t="s">
        <v>48</v>
      </c>
      <c r="U882" s="13" t="s">
        <v>14616</v>
      </c>
      <c r="V882" s="13" t="s">
        <v>14623</v>
      </c>
      <c r="W882" s="13" t="s">
        <v>14624</v>
      </c>
      <c r="X882" s="13" t="s">
        <v>212</v>
      </c>
      <c r="Y882" s="13" t="s">
        <v>78</v>
      </c>
      <c r="Z882" s="13" t="s">
        <v>14625</v>
      </c>
      <c r="AA882" s="13" t="s">
        <v>850</v>
      </c>
      <c r="AB882" s="13" t="s">
        <v>11570</v>
      </c>
      <c r="AC882" s="13" t="s">
        <v>11571</v>
      </c>
      <c r="AD882" s="13" t="s">
        <v>11622</v>
      </c>
      <c r="AE882" s="13" t="s">
        <v>109</v>
      </c>
      <c r="AF882" s="13" t="s">
        <v>14626</v>
      </c>
      <c r="AG882" s="13" t="s">
        <v>39</v>
      </c>
      <c r="AH882" s="13" t="s">
        <v>39</v>
      </c>
      <c r="AI882" s="13" t="s">
        <v>14627</v>
      </c>
      <c r="AJ882" s="13" t="s">
        <v>14628</v>
      </c>
      <c r="AK882" s="13" t="s">
        <v>14629</v>
      </c>
      <c r="AL882" s="13" t="s">
        <v>88</v>
      </c>
    </row>
    <row r="883" spans="1:38" x14ac:dyDescent="0.4">
      <c r="A883" s="11" t="s">
        <v>14630</v>
      </c>
      <c r="B883" s="14" t="s">
        <v>14631</v>
      </c>
      <c r="C883" s="15" t="s">
        <v>39</v>
      </c>
      <c r="D883" s="15" t="s">
        <v>63</v>
      </c>
      <c r="E883" s="15" t="s">
        <v>14632</v>
      </c>
      <c r="F883" s="15" t="s">
        <v>640</v>
      </c>
      <c r="G883" s="15" t="s">
        <v>14633</v>
      </c>
      <c r="H883" s="15" t="s">
        <v>14634</v>
      </c>
      <c r="I883" s="9">
        <f t="shared" ca="1" si="13"/>
        <v>4</v>
      </c>
      <c r="J883" s="15" t="s">
        <v>14635</v>
      </c>
      <c r="K883" s="15" t="s">
        <v>67</v>
      </c>
      <c r="L883" s="9" t="str">
        <f>VLOOKUP(K883,[1]中国省份_标准!$B$2:$F$35,4,FALSE)</f>
        <v>东部地区</v>
      </c>
      <c r="M883" s="9" t="str">
        <f>VLOOKUP(K883,[1]中国省份_标准!$B$2:$F$35,5,FALSE)</f>
        <v>华东地区</v>
      </c>
      <c r="N883" s="15" t="s">
        <v>203</v>
      </c>
      <c r="O883" s="15" t="s">
        <v>944</v>
      </c>
      <c r="P883" s="15" t="s">
        <v>14636</v>
      </c>
      <c r="Q883" s="15" t="s">
        <v>14637</v>
      </c>
      <c r="R883" s="15" t="s">
        <v>14638</v>
      </c>
      <c r="S883" s="15" t="s">
        <v>39</v>
      </c>
      <c r="T883" s="15" t="s">
        <v>452</v>
      </c>
      <c r="U883" s="15" t="s">
        <v>14631</v>
      </c>
      <c r="V883" s="15" t="s">
        <v>39</v>
      </c>
      <c r="W883" s="15" t="s">
        <v>14639</v>
      </c>
      <c r="X883" s="15" t="s">
        <v>990</v>
      </c>
      <c r="Y883" s="15" t="s">
        <v>78</v>
      </c>
      <c r="Z883" s="15" t="s">
        <v>14640</v>
      </c>
      <c r="AA883" s="15" t="s">
        <v>52</v>
      </c>
      <c r="AB883" s="15" t="s">
        <v>53</v>
      </c>
      <c r="AC883" s="15" t="s">
        <v>2874</v>
      </c>
      <c r="AD883" s="15" t="s">
        <v>4311</v>
      </c>
      <c r="AE883" s="15" t="s">
        <v>109</v>
      </c>
      <c r="AF883" s="15" t="s">
        <v>14641</v>
      </c>
      <c r="AG883" s="15" t="s">
        <v>39</v>
      </c>
      <c r="AH883" s="15" t="s">
        <v>39</v>
      </c>
      <c r="AI883" s="15" t="s">
        <v>14642</v>
      </c>
      <c r="AJ883" s="15" t="s">
        <v>14643</v>
      </c>
      <c r="AK883" s="15" t="s">
        <v>3564</v>
      </c>
      <c r="AL883" s="15" t="s">
        <v>88</v>
      </c>
    </row>
    <row r="884" spans="1:38" x14ac:dyDescent="0.4">
      <c r="A884" s="11" t="s">
        <v>14644</v>
      </c>
      <c r="B884" s="12" t="s">
        <v>14645</v>
      </c>
      <c r="C884" s="13" t="s">
        <v>39</v>
      </c>
      <c r="D884" s="13" t="s">
        <v>63</v>
      </c>
      <c r="E884" s="13" t="s">
        <v>14646</v>
      </c>
      <c r="F884" s="13" t="s">
        <v>14647</v>
      </c>
      <c r="G884" s="13" t="s">
        <v>14647</v>
      </c>
      <c r="H884" s="13" t="s">
        <v>9828</v>
      </c>
      <c r="I884" s="9">
        <f t="shared" ca="1" si="13"/>
        <v>20</v>
      </c>
      <c r="J884" s="13" t="s">
        <v>14648</v>
      </c>
      <c r="K884" s="13" t="s">
        <v>67</v>
      </c>
      <c r="L884" s="9" t="str">
        <f>VLOOKUP(K884,[1]中国省份_标准!$B$2:$F$35,4,FALSE)</f>
        <v>东部地区</v>
      </c>
      <c r="M884" s="9" t="str">
        <f>VLOOKUP(K884,[1]中国省份_标准!$B$2:$F$35,5,FALSE)</f>
        <v>华东地区</v>
      </c>
      <c r="N884" s="13" t="s">
        <v>203</v>
      </c>
      <c r="O884" s="13" t="s">
        <v>14548</v>
      </c>
      <c r="P884" s="13" t="s">
        <v>14649</v>
      </c>
      <c r="Q884" s="13" t="s">
        <v>14650</v>
      </c>
      <c r="R884" s="13" t="s">
        <v>14651</v>
      </c>
      <c r="S884" s="13" t="s">
        <v>14652</v>
      </c>
      <c r="T884" s="13" t="s">
        <v>48</v>
      </c>
      <c r="U884" s="13" t="s">
        <v>14645</v>
      </c>
      <c r="V884" s="13" t="s">
        <v>14653</v>
      </c>
      <c r="W884" s="13" t="s">
        <v>14654</v>
      </c>
      <c r="X884" s="13" t="s">
        <v>540</v>
      </c>
      <c r="Y884" s="13" t="s">
        <v>78</v>
      </c>
      <c r="Z884" s="13" t="s">
        <v>14655</v>
      </c>
      <c r="AA884" s="13" t="s">
        <v>850</v>
      </c>
      <c r="AB884" s="13" t="s">
        <v>11570</v>
      </c>
      <c r="AC884" s="13" t="s">
        <v>11571</v>
      </c>
      <c r="AD884" s="13" t="s">
        <v>11622</v>
      </c>
      <c r="AE884" s="13" t="s">
        <v>109</v>
      </c>
      <c r="AF884" s="13" t="s">
        <v>14656</v>
      </c>
      <c r="AG884" s="13" t="s">
        <v>39</v>
      </c>
      <c r="AH884" s="13" t="s">
        <v>39</v>
      </c>
      <c r="AI884" s="13" t="s">
        <v>14657</v>
      </c>
      <c r="AJ884" s="13" t="s">
        <v>14658</v>
      </c>
      <c r="AK884" s="13" t="s">
        <v>5587</v>
      </c>
      <c r="AL884" s="13" t="s">
        <v>88</v>
      </c>
    </row>
    <row r="885" spans="1:38" x14ac:dyDescent="0.4">
      <c r="A885" s="11" t="s">
        <v>14659</v>
      </c>
      <c r="B885" s="14" t="s">
        <v>14660</v>
      </c>
      <c r="C885" s="15" t="s">
        <v>39</v>
      </c>
      <c r="D885" s="15" t="s">
        <v>92</v>
      </c>
      <c r="E885" s="15" t="s">
        <v>14661</v>
      </c>
      <c r="F885" s="15" t="s">
        <v>640</v>
      </c>
      <c r="G885" s="15" t="s">
        <v>2945</v>
      </c>
      <c r="H885" s="15" t="s">
        <v>14662</v>
      </c>
      <c r="I885" s="9">
        <f t="shared" ca="1" si="13"/>
        <v>11</v>
      </c>
      <c r="J885" s="15" t="s">
        <v>14663</v>
      </c>
      <c r="K885" s="15" t="s">
        <v>425</v>
      </c>
      <c r="L885" s="9" t="str">
        <f>VLOOKUP(K885,[1]中国省份_标准!$B$2:$F$35,4,FALSE)</f>
        <v>东部地区</v>
      </c>
      <c r="M885" s="9" t="str">
        <f>VLOOKUP(K885,[1]中国省份_标准!$B$2:$F$35,5,FALSE)</f>
        <v>华东地区</v>
      </c>
      <c r="N885" s="15" t="s">
        <v>426</v>
      </c>
      <c r="O885" s="15" t="s">
        <v>427</v>
      </c>
      <c r="P885" s="15" t="s">
        <v>14664</v>
      </c>
      <c r="Q885" s="15" t="s">
        <v>14665</v>
      </c>
      <c r="R885" s="15" t="s">
        <v>14666</v>
      </c>
      <c r="S885" s="15" t="s">
        <v>14667</v>
      </c>
      <c r="T885" s="15" t="s">
        <v>184</v>
      </c>
      <c r="U885" s="15" t="s">
        <v>14660</v>
      </c>
      <c r="V885" s="15" t="s">
        <v>14668</v>
      </c>
      <c r="W885" s="15" t="s">
        <v>14669</v>
      </c>
      <c r="X885" s="15" t="s">
        <v>212</v>
      </c>
      <c r="Y885" s="15" t="s">
        <v>78</v>
      </c>
      <c r="Z885" s="15" t="s">
        <v>14670</v>
      </c>
      <c r="AA885" s="15" t="s">
        <v>52</v>
      </c>
      <c r="AB885" s="15" t="s">
        <v>53</v>
      </c>
      <c r="AC885" s="15" t="s">
        <v>7803</v>
      </c>
      <c r="AD885" s="15" t="s">
        <v>39</v>
      </c>
      <c r="AE885" s="15" t="s">
        <v>55</v>
      </c>
      <c r="AF885" s="15" t="s">
        <v>14671</v>
      </c>
      <c r="AG885" s="15" t="s">
        <v>39</v>
      </c>
      <c r="AH885" s="15" t="s">
        <v>14672</v>
      </c>
      <c r="AI885" s="15" t="s">
        <v>14673</v>
      </c>
      <c r="AJ885" s="15" t="s">
        <v>14674</v>
      </c>
      <c r="AK885" s="15" t="s">
        <v>438</v>
      </c>
      <c r="AL885" s="15" t="s">
        <v>88</v>
      </c>
    </row>
    <row r="886" spans="1:38" x14ac:dyDescent="0.4">
      <c r="A886" s="11" t="s">
        <v>14675</v>
      </c>
      <c r="B886" s="12" t="s">
        <v>14676</v>
      </c>
      <c r="C886" s="13" t="s">
        <v>39</v>
      </c>
      <c r="D886" s="13" t="s">
        <v>63</v>
      </c>
      <c r="E886" s="13" t="s">
        <v>14677</v>
      </c>
      <c r="F886" s="13" t="s">
        <v>640</v>
      </c>
      <c r="G886" s="13" t="s">
        <v>640</v>
      </c>
      <c r="H886" s="13" t="s">
        <v>14678</v>
      </c>
      <c r="I886" s="9">
        <f t="shared" ca="1" si="13"/>
        <v>20</v>
      </c>
      <c r="J886" s="13" t="s">
        <v>14679</v>
      </c>
      <c r="K886" s="13" t="s">
        <v>67</v>
      </c>
      <c r="L886" s="9" t="str">
        <f>VLOOKUP(K886,[1]中国省份_标准!$B$2:$F$35,4,FALSE)</f>
        <v>东部地区</v>
      </c>
      <c r="M886" s="9" t="str">
        <f>VLOOKUP(K886,[1]中国省份_标准!$B$2:$F$35,5,FALSE)</f>
        <v>华东地区</v>
      </c>
      <c r="N886" s="13" t="s">
        <v>3910</v>
      </c>
      <c r="O886" s="13" t="s">
        <v>14680</v>
      </c>
      <c r="P886" s="13" t="s">
        <v>14681</v>
      </c>
      <c r="Q886" s="13" t="s">
        <v>14682</v>
      </c>
      <c r="R886" s="13" t="s">
        <v>14683</v>
      </c>
      <c r="S886" s="13" t="s">
        <v>14684</v>
      </c>
      <c r="T886" s="13" t="s">
        <v>184</v>
      </c>
      <c r="U886" s="13" t="s">
        <v>14676</v>
      </c>
      <c r="V886" s="13" t="s">
        <v>14685</v>
      </c>
      <c r="W886" s="13" t="s">
        <v>14686</v>
      </c>
      <c r="X886" s="13" t="s">
        <v>2510</v>
      </c>
      <c r="Y886" s="13" t="s">
        <v>78</v>
      </c>
      <c r="Z886" s="13" t="s">
        <v>14687</v>
      </c>
      <c r="AA886" s="13" t="s">
        <v>52</v>
      </c>
      <c r="AB886" s="13" t="s">
        <v>53</v>
      </c>
      <c r="AC886" s="13" t="s">
        <v>7803</v>
      </c>
      <c r="AD886" s="13" t="s">
        <v>7804</v>
      </c>
      <c r="AE886" s="13" t="s">
        <v>55</v>
      </c>
      <c r="AF886" s="13" t="s">
        <v>14688</v>
      </c>
      <c r="AG886" s="13" t="s">
        <v>39</v>
      </c>
      <c r="AH886" s="13" t="s">
        <v>39</v>
      </c>
      <c r="AI886" s="13" t="s">
        <v>14689</v>
      </c>
      <c r="AJ886" s="13" t="s">
        <v>14690</v>
      </c>
      <c r="AK886" s="13" t="s">
        <v>14691</v>
      </c>
      <c r="AL886" s="13" t="s">
        <v>88</v>
      </c>
    </row>
    <row r="887" spans="1:38" x14ac:dyDescent="0.4">
      <c r="A887" s="11" t="s">
        <v>14692</v>
      </c>
      <c r="B887" s="14" t="s">
        <v>14693</v>
      </c>
      <c r="C887" s="15" t="s">
        <v>39</v>
      </c>
      <c r="D887" s="15" t="s">
        <v>92</v>
      </c>
      <c r="E887" s="15" t="s">
        <v>14694</v>
      </c>
      <c r="F887" s="15" t="s">
        <v>640</v>
      </c>
      <c r="G887" s="15" t="s">
        <v>741</v>
      </c>
      <c r="H887" s="15" t="s">
        <v>14695</v>
      </c>
      <c r="I887" s="9">
        <f t="shared" ca="1" si="13"/>
        <v>5</v>
      </c>
      <c r="J887" s="15" t="s">
        <v>14696</v>
      </c>
      <c r="K887" s="15" t="s">
        <v>45</v>
      </c>
      <c r="L887" s="9" t="str">
        <f>VLOOKUP(K887,[1]中国省份_标准!$B$2:$F$35,4,FALSE)</f>
        <v>东部地区</v>
      </c>
      <c r="M887" s="9" t="str">
        <f>VLOOKUP(K887,[1]中国省份_标准!$B$2:$F$35,5,FALSE)</f>
        <v>华东地区</v>
      </c>
      <c r="N887" s="15" t="s">
        <v>45</v>
      </c>
      <c r="O887" s="15" t="s">
        <v>9020</v>
      </c>
      <c r="P887" s="15" t="s">
        <v>14697</v>
      </c>
      <c r="Q887" s="15" t="s">
        <v>39</v>
      </c>
      <c r="R887" s="15" t="s">
        <v>14698</v>
      </c>
      <c r="S887" s="15" t="s">
        <v>39</v>
      </c>
      <c r="T887" s="15" t="s">
        <v>48</v>
      </c>
      <c r="U887" s="15" t="s">
        <v>14693</v>
      </c>
      <c r="V887" s="15" t="s">
        <v>14699</v>
      </c>
      <c r="W887" s="15" t="s">
        <v>14700</v>
      </c>
      <c r="X887" s="15" t="s">
        <v>557</v>
      </c>
      <c r="Y887" s="15" t="s">
        <v>78</v>
      </c>
      <c r="Z887" s="15" t="s">
        <v>14701</v>
      </c>
      <c r="AA887" s="15" t="s">
        <v>52</v>
      </c>
      <c r="AB887" s="15" t="s">
        <v>53</v>
      </c>
      <c r="AC887" s="15" t="s">
        <v>2874</v>
      </c>
      <c r="AD887" s="15" t="s">
        <v>2875</v>
      </c>
      <c r="AE887" s="15" t="s">
        <v>109</v>
      </c>
      <c r="AF887" s="15" t="s">
        <v>14702</v>
      </c>
      <c r="AG887" s="15" t="s">
        <v>39</v>
      </c>
      <c r="AH887" s="15" t="s">
        <v>39</v>
      </c>
      <c r="AI887" s="15" t="s">
        <v>14703</v>
      </c>
      <c r="AJ887" s="15" t="s">
        <v>14704</v>
      </c>
      <c r="AK887" s="15" t="s">
        <v>14705</v>
      </c>
      <c r="AL887" s="15" t="s">
        <v>88</v>
      </c>
    </row>
    <row r="888" spans="1:38" x14ac:dyDescent="0.4">
      <c r="A888" s="11" t="s">
        <v>14706</v>
      </c>
      <c r="B888" s="12" t="s">
        <v>14707</v>
      </c>
      <c r="C888" s="13" t="s">
        <v>14708</v>
      </c>
      <c r="D888" s="13" t="s">
        <v>92</v>
      </c>
      <c r="E888" s="13" t="s">
        <v>14709</v>
      </c>
      <c r="F888" s="13" t="s">
        <v>640</v>
      </c>
      <c r="G888" s="13" t="s">
        <v>640</v>
      </c>
      <c r="H888" s="13" t="s">
        <v>14710</v>
      </c>
      <c r="I888" s="9">
        <f t="shared" ca="1" si="13"/>
        <v>17</v>
      </c>
      <c r="J888" s="13" t="s">
        <v>14711</v>
      </c>
      <c r="K888" s="13" t="s">
        <v>45</v>
      </c>
      <c r="L888" s="9" t="str">
        <f>VLOOKUP(K888,[1]中国省份_标准!$B$2:$F$35,4,FALSE)</f>
        <v>东部地区</v>
      </c>
      <c r="M888" s="9" t="str">
        <f>VLOOKUP(K888,[1]中国省份_标准!$B$2:$F$35,5,FALSE)</f>
        <v>华东地区</v>
      </c>
      <c r="N888" s="13" t="s">
        <v>45</v>
      </c>
      <c r="O888" s="13" t="s">
        <v>551</v>
      </c>
      <c r="P888" s="13" t="s">
        <v>14712</v>
      </c>
      <c r="Q888" s="13" t="s">
        <v>14713</v>
      </c>
      <c r="R888" s="13" t="s">
        <v>14714</v>
      </c>
      <c r="S888" s="13" t="s">
        <v>14715</v>
      </c>
      <c r="T888" s="13" t="s">
        <v>48</v>
      </c>
      <c r="U888" s="13" t="s">
        <v>14707</v>
      </c>
      <c r="V888" s="13" t="s">
        <v>14716</v>
      </c>
      <c r="W888" s="13" t="s">
        <v>14717</v>
      </c>
      <c r="X888" s="13" t="s">
        <v>791</v>
      </c>
      <c r="Y888" s="13" t="s">
        <v>78</v>
      </c>
      <c r="Z888" s="13" t="s">
        <v>14718</v>
      </c>
      <c r="AA888" s="13" t="s">
        <v>850</v>
      </c>
      <c r="AB888" s="13" t="s">
        <v>11570</v>
      </c>
      <c r="AC888" s="13" t="s">
        <v>11571</v>
      </c>
      <c r="AD888" s="13" t="s">
        <v>11622</v>
      </c>
      <c r="AE888" s="13" t="s">
        <v>55</v>
      </c>
      <c r="AF888" s="13" t="s">
        <v>14719</v>
      </c>
      <c r="AG888" s="13" t="s">
        <v>39</v>
      </c>
      <c r="AH888" s="13" t="s">
        <v>14720</v>
      </c>
      <c r="AI888" s="13" t="s">
        <v>14721</v>
      </c>
      <c r="AJ888" s="13" t="s">
        <v>14722</v>
      </c>
      <c r="AK888" s="13" t="s">
        <v>564</v>
      </c>
      <c r="AL888" s="13" t="s">
        <v>88</v>
      </c>
    </row>
    <row r="889" spans="1:38" x14ac:dyDescent="0.4">
      <c r="A889" s="11" t="s">
        <v>14723</v>
      </c>
      <c r="B889" s="14" t="s">
        <v>14724</v>
      </c>
      <c r="C889" s="15" t="s">
        <v>39</v>
      </c>
      <c r="D889" s="15" t="s">
        <v>92</v>
      </c>
      <c r="E889" s="15" t="s">
        <v>14725</v>
      </c>
      <c r="F889" s="15" t="s">
        <v>178</v>
      </c>
      <c r="G889" s="15" t="s">
        <v>178</v>
      </c>
      <c r="H889" s="15" t="s">
        <v>14726</v>
      </c>
      <c r="I889" s="9">
        <f t="shared" ca="1" si="13"/>
        <v>21</v>
      </c>
      <c r="J889" s="15" t="s">
        <v>14727</v>
      </c>
      <c r="K889" s="15" t="s">
        <v>45</v>
      </c>
      <c r="L889" s="9" t="str">
        <f>VLOOKUP(K889,[1]中国省份_标准!$B$2:$F$35,4,FALSE)</f>
        <v>东部地区</v>
      </c>
      <c r="M889" s="9" t="str">
        <f>VLOOKUP(K889,[1]中国省份_标准!$B$2:$F$35,5,FALSE)</f>
        <v>华东地区</v>
      </c>
      <c r="N889" s="15" t="s">
        <v>45</v>
      </c>
      <c r="O889" s="15" t="s">
        <v>1123</v>
      </c>
      <c r="P889" s="15" t="s">
        <v>14728</v>
      </c>
      <c r="Q889" s="15" t="s">
        <v>39</v>
      </c>
      <c r="R889" s="15" t="s">
        <v>14729</v>
      </c>
      <c r="S889" s="15" t="s">
        <v>14730</v>
      </c>
      <c r="T889" s="15" t="s">
        <v>209</v>
      </c>
      <c r="U889" s="15" t="s">
        <v>14724</v>
      </c>
      <c r="V889" s="15" t="s">
        <v>14731</v>
      </c>
      <c r="W889" s="15" t="s">
        <v>14732</v>
      </c>
      <c r="X889" s="15" t="s">
        <v>14733</v>
      </c>
      <c r="Y889" s="15" t="s">
        <v>78</v>
      </c>
      <c r="Z889" s="15" t="s">
        <v>14734</v>
      </c>
      <c r="AA889" s="15" t="s">
        <v>80</v>
      </c>
      <c r="AB889" s="15" t="s">
        <v>106</v>
      </c>
      <c r="AC889" s="15" t="s">
        <v>1132</v>
      </c>
      <c r="AD889" s="15" t="s">
        <v>3591</v>
      </c>
      <c r="AE889" s="15" t="s">
        <v>262</v>
      </c>
      <c r="AF889" s="15" t="s">
        <v>14735</v>
      </c>
      <c r="AG889" s="15" t="s">
        <v>39</v>
      </c>
      <c r="AH889" s="15" t="s">
        <v>14736</v>
      </c>
      <c r="AI889" s="15" t="s">
        <v>14737</v>
      </c>
      <c r="AJ889" s="15" t="s">
        <v>14738</v>
      </c>
      <c r="AK889" s="15" t="s">
        <v>7076</v>
      </c>
      <c r="AL889" s="15" t="s">
        <v>88</v>
      </c>
    </row>
    <row r="890" spans="1:38" x14ac:dyDescent="0.4">
      <c r="A890" s="11" t="s">
        <v>14739</v>
      </c>
      <c r="B890" s="12" t="s">
        <v>14740</v>
      </c>
      <c r="C890" s="13" t="s">
        <v>39</v>
      </c>
      <c r="D890" s="13" t="s">
        <v>92</v>
      </c>
      <c r="E890" s="13" t="s">
        <v>14741</v>
      </c>
      <c r="F890" s="13" t="s">
        <v>2419</v>
      </c>
      <c r="G890" s="13" t="s">
        <v>2419</v>
      </c>
      <c r="H890" s="13" t="s">
        <v>14742</v>
      </c>
      <c r="I890" s="9">
        <f t="shared" ca="1" si="13"/>
        <v>14</v>
      </c>
      <c r="J890" s="13" t="s">
        <v>14743</v>
      </c>
      <c r="K890" s="13" t="s">
        <v>45</v>
      </c>
      <c r="L890" s="9" t="str">
        <f>VLOOKUP(K890,[1]中国省份_标准!$B$2:$F$35,4,FALSE)</f>
        <v>东部地区</v>
      </c>
      <c r="M890" s="9" t="str">
        <f>VLOOKUP(K890,[1]中国省份_标准!$B$2:$F$35,5,FALSE)</f>
        <v>华东地区</v>
      </c>
      <c r="N890" s="13" t="s">
        <v>45</v>
      </c>
      <c r="O890" s="13" t="s">
        <v>551</v>
      </c>
      <c r="P890" s="13" t="s">
        <v>14744</v>
      </c>
      <c r="Q890" s="13" t="s">
        <v>14745</v>
      </c>
      <c r="R890" s="13" t="s">
        <v>14746</v>
      </c>
      <c r="S890" s="13" t="s">
        <v>14747</v>
      </c>
      <c r="T890" s="13" t="s">
        <v>281</v>
      </c>
      <c r="U890" s="13" t="s">
        <v>14740</v>
      </c>
      <c r="V890" s="13" t="s">
        <v>14748</v>
      </c>
      <c r="W890" s="13" t="s">
        <v>14749</v>
      </c>
      <c r="X890" s="13" t="s">
        <v>6451</v>
      </c>
      <c r="Y890" s="13" t="s">
        <v>78</v>
      </c>
      <c r="Z890" s="13" t="s">
        <v>14750</v>
      </c>
      <c r="AA890" s="13" t="s">
        <v>850</v>
      </c>
      <c r="AB890" s="13" t="s">
        <v>11570</v>
      </c>
      <c r="AC890" s="13" t="s">
        <v>11571</v>
      </c>
      <c r="AD890" s="13" t="s">
        <v>14322</v>
      </c>
      <c r="AE890" s="13" t="s">
        <v>109</v>
      </c>
      <c r="AF890" s="13" t="s">
        <v>14751</v>
      </c>
      <c r="AG890" s="13" t="s">
        <v>39</v>
      </c>
      <c r="AH890" s="13" t="s">
        <v>14752</v>
      </c>
      <c r="AI890" s="13" t="s">
        <v>14753</v>
      </c>
      <c r="AJ890" s="13" t="s">
        <v>14754</v>
      </c>
      <c r="AK890" s="13" t="s">
        <v>14755</v>
      </c>
      <c r="AL890" s="13" t="s">
        <v>88</v>
      </c>
    </row>
    <row r="891" spans="1:38" x14ac:dyDescent="0.4">
      <c r="A891" s="11" t="s">
        <v>14756</v>
      </c>
      <c r="B891" s="14" t="s">
        <v>14757</v>
      </c>
      <c r="C891" s="15" t="s">
        <v>39</v>
      </c>
      <c r="D891" s="15" t="s">
        <v>92</v>
      </c>
      <c r="E891" s="15" t="s">
        <v>14758</v>
      </c>
      <c r="F891" s="15" t="s">
        <v>442</v>
      </c>
      <c r="G891" s="15" t="s">
        <v>39</v>
      </c>
      <c r="H891" s="15" t="s">
        <v>12935</v>
      </c>
      <c r="I891" s="9">
        <f t="shared" ca="1" si="13"/>
        <v>9</v>
      </c>
      <c r="J891" s="15" t="s">
        <v>14759</v>
      </c>
      <c r="K891" s="15" t="s">
        <v>4266</v>
      </c>
      <c r="L891" s="9" t="str">
        <f>VLOOKUP(K891,[1]中国省份_标准!$B$2:$F$35,4,FALSE)</f>
        <v>东部地区</v>
      </c>
      <c r="M891" s="9" t="str">
        <f>VLOOKUP(K891,[1]中国省份_标准!$B$2:$F$35,5,FALSE)</f>
        <v>华北地区</v>
      </c>
      <c r="N891" s="15" t="s">
        <v>4266</v>
      </c>
      <c r="O891" s="15" t="s">
        <v>9575</v>
      </c>
      <c r="P891" s="15" t="s">
        <v>14760</v>
      </c>
      <c r="Q891" s="15" t="s">
        <v>39</v>
      </c>
      <c r="R891" s="15" t="s">
        <v>14761</v>
      </c>
      <c r="S891" s="15" t="s">
        <v>39</v>
      </c>
      <c r="T891" s="15" t="s">
        <v>670</v>
      </c>
      <c r="U891" s="15" t="s">
        <v>14757</v>
      </c>
      <c r="V891" s="15" t="s">
        <v>14762</v>
      </c>
      <c r="W891" s="15" t="s">
        <v>14763</v>
      </c>
      <c r="X891" s="15" t="s">
        <v>1209</v>
      </c>
      <c r="Y891" s="15" t="s">
        <v>78</v>
      </c>
      <c r="Z891" s="15" t="s">
        <v>14764</v>
      </c>
      <c r="AA891" s="15" t="s">
        <v>1796</v>
      </c>
      <c r="AB891" s="15" t="s">
        <v>2851</v>
      </c>
      <c r="AC891" s="15" t="s">
        <v>2852</v>
      </c>
      <c r="AD891" s="15" t="s">
        <v>8842</v>
      </c>
      <c r="AE891" s="15" t="s">
        <v>109</v>
      </c>
      <c r="AF891" s="15" t="s">
        <v>14765</v>
      </c>
      <c r="AG891" s="15" t="s">
        <v>39</v>
      </c>
      <c r="AH891" s="15" t="s">
        <v>39</v>
      </c>
      <c r="AI891" s="15" t="s">
        <v>14766</v>
      </c>
      <c r="AJ891" s="15" t="s">
        <v>14767</v>
      </c>
      <c r="AK891" s="15" t="s">
        <v>4296</v>
      </c>
      <c r="AL891" s="15" t="s">
        <v>88</v>
      </c>
    </row>
    <row r="892" spans="1:38" x14ac:dyDescent="0.4">
      <c r="A892" s="11" t="s">
        <v>14768</v>
      </c>
      <c r="B892" s="12" t="s">
        <v>14769</v>
      </c>
      <c r="C892" s="13" t="s">
        <v>39</v>
      </c>
      <c r="D892" s="13" t="s">
        <v>92</v>
      </c>
      <c r="E892" s="13" t="s">
        <v>14770</v>
      </c>
      <c r="F892" s="13" t="s">
        <v>14771</v>
      </c>
      <c r="G892" s="13" t="s">
        <v>94</v>
      </c>
      <c r="H892" s="13" t="s">
        <v>14772</v>
      </c>
      <c r="I892" s="9">
        <f t="shared" ca="1" si="13"/>
        <v>11</v>
      </c>
      <c r="J892" s="13" t="s">
        <v>14773</v>
      </c>
      <c r="K892" s="13" t="s">
        <v>1752</v>
      </c>
      <c r="L892" s="9" t="str">
        <f>VLOOKUP(K892,[1]中国省份_标准!$B$2:$F$35,4,FALSE)</f>
        <v>中部地区</v>
      </c>
      <c r="M892" s="9" t="str">
        <f>VLOOKUP(K892,[1]中国省份_标准!$B$2:$F$35,5,FALSE)</f>
        <v>华中地区</v>
      </c>
      <c r="N892" s="13" t="s">
        <v>1753</v>
      </c>
      <c r="O892" s="13" t="s">
        <v>14774</v>
      </c>
      <c r="P892" s="13" t="s">
        <v>14775</v>
      </c>
      <c r="Q892" s="13" t="s">
        <v>14776</v>
      </c>
      <c r="R892" s="13" t="s">
        <v>14777</v>
      </c>
      <c r="S892" s="13" t="s">
        <v>14778</v>
      </c>
      <c r="T892" s="13" t="s">
        <v>281</v>
      </c>
      <c r="U892" s="13" t="s">
        <v>14769</v>
      </c>
      <c r="V892" s="13" t="s">
        <v>14779</v>
      </c>
      <c r="W892" s="13" t="s">
        <v>14780</v>
      </c>
      <c r="X892" s="13" t="s">
        <v>990</v>
      </c>
      <c r="Y892" s="13" t="s">
        <v>78</v>
      </c>
      <c r="Z892" s="13" t="s">
        <v>14781</v>
      </c>
      <c r="AA892" s="13" t="s">
        <v>52</v>
      </c>
      <c r="AB892" s="13" t="s">
        <v>53</v>
      </c>
      <c r="AC892" s="13" t="s">
        <v>54</v>
      </c>
      <c r="AD892" s="13" t="s">
        <v>6545</v>
      </c>
      <c r="AE892" s="13" t="s">
        <v>109</v>
      </c>
      <c r="AF892" s="13" t="s">
        <v>14782</v>
      </c>
      <c r="AG892" s="13" t="s">
        <v>39</v>
      </c>
      <c r="AH892" s="13" t="s">
        <v>39</v>
      </c>
      <c r="AI892" s="13" t="s">
        <v>14783</v>
      </c>
      <c r="AJ892" s="13" t="s">
        <v>14784</v>
      </c>
      <c r="AK892" s="13" t="s">
        <v>14785</v>
      </c>
      <c r="AL892" s="13" t="s">
        <v>39</v>
      </c>
    </row>
    <row r="893" spans="1:38" x14ac:dyDescent="0.4">
      <c r="A893" s="11" t="s">
        <v>14786</v>
      </c>
      <c r="B893" s="14" t="s">
        <v>14787</v>
      </c>
      <c r="C893" s="15" t="s">
        <v>39</v>
      </c>
      <c r="D893" s="15" t="s">
        <v>92</v>
      </c>
      <c r="E893" s="15" t="s">
        <v>14788</v>
      </c>
      <c r="F893" s="15" t="s">
        <v>39</v>
      </c>
      <c r="G893" s="15" t="s">
        <v>39</v>
      </c>
      <c r="H893" s="15" t="s">
        <v>14789</v>
      </c>
      <c r="I893" s="9">
        <f t="shared" ca="1" si="13"/>
        <v>13</v>
      </c>
      <c r="J893" s="15" t="s">
        <v>14790</v>
      </c>
      <c r="K893" s="15" t="s">
        <v>1877</v>
      </c>
      <c r="L893" s="9" t="str">
        <f>VLOOKUP(K893,[1]中国省份_标准!$B$2:$F$35,4,FALSE)</f>
        <v>中部地区</v>
      </c>
      <c r="M893" s="9" t="str">
        <f>VLOOKUP(K893,[1]中国省份_标准!$B$2:$F$35,5,FALSE)</f>
        <v>华中地区</v>
      </c>
      <c r="N893" s="15" t="s">
        <v>1878</v>
      </c>
      <c r="O893" s="15" t="s">
        <v>5188</v>
      </c>
      <c r="P893" s="15" t="s">
        <v>14791</v>
      </c>
      <c r="Q893" s="15" t="s">
        <v>39</v>
      </c>
      <c r="R893" s="15" t="s">
        <v>39</v>
      </c>
      <c r="S893" s="15" t="s">
        <v>39</v>
      </c>
      <c r="T893" s="15" t="s">
        <v>143</v>
      </c>
      <c r="U893" s="15" t="s">
        <v>14787</v>
      </c>
      <c r="V893" s="15" t="s">
        <v>14792</v>
      </c>
      <c r="W893" s="15" t="s">
        <v>14793</v>
      </c>
      <c r="X893" s="15" t="s">
        <v>673</v>
      </c>
      <c r="Y893" s="15" t="s">
        <v>78</v>
      </c>
      <c r="Z893" s="15" t="s">
        <v>14794</v>
      </c>
      <c r="AA893" s="15" t="s">
        <v>850</v>
      </c>
      <c r="AB893" s="15" t="s">
        <v>11570</v>
      </c>
      <c r="AC893" s="15" t="s">
        <v>11571</v>
      </c>
      <c r="AD893" s="15" t="s">
        <v>11622</v>
      </c>
      <c r="AE893" s="15" t="s">
        <v>39</v>
      </c>
      <c r="AF893" s="15" t="s">
        <v>14795</v>
      </c>
      <c r="AG893" s="15" t="s">
        <v>14796</v>
      </c>
      <c r="AH893" s="15" t="s">
        <v>39</v>
      </c>
      <c r="AI893" s="15" t="s">
        <v>14797</v>
      </c>
      <c r="AJ893" s="15" t="s">
        <v>14798</v>
      </c>
      <c r="AK893" s="15" t="s">
        <v>14799</v>
      </c>
      <c r="AL893" s="15" t="s">
        <v>88</v>
      </c>
    </row>
    <row r="894" spans="1:38" x14ac:dyDescent="0.4">
      <c r="A894" s="11" t="s">
        <v>14800</v>
      </c>
      <c r="B894" s="12" t="s">
        <v>14801</v>
      </c>
      <c r="C894" s="13" t="s">
        <v>14802</v>
      </c>
      <c r="D894" s="13" t="s">
        <v>63</v>
      </c>
      <c r="E894" s="13" t="s">
        <v>14803</v>
      </c>
      <c r="F894" s="13" t="s">
        <v>42</v>
      </c>
      <c r="G894" s="13" t="s">
        <v>42</v>
      </c>
      <c r="H894" s="13" t="s">
        <v>14804</v>
      </c>
      <c r="I894" s="9">
        <f t="shared" ca="1" si="13"/>
        <v>16</v>
      </c>
      <c r="J894" s="13" t="s">
        <v>14805</v>
      </c>
      <c r="K894" s="13" t="s">
        <v>531</v>
      </c>
      <c r="L894" s="9" t="str">
        <f>VLOOKUP(K894,[1]中国省份_标准!$B$2:$F$35,4,FALSE)</f>
        <v>东部地区</v>
      </c>
      <c r="M894" s="9" t="str">
        <f>VLOOKUP(K894,[1]中国省份_标准!$B$2:$F$35,5,FALSE)</f>
        <v>华南地区</v>
      </c>
      <c r="N894" s="13" t="s">
        <v>724</v>
      </c>
      <c r="O894" s="13" t="s">
        <v>14806</v>
      </c>
      <c r="P894" s="13" t="s">
        <v>14807</v>
      </c>
      <c r="Q894" s="13" t="s">
        <v>39</v>
      </c>
      <c r="R894" s="13" t="s">
        <v>14808</v>
      </c>
      <c r="S894" s="13" t="s">
        <v>39</v>
      </c>
      <c r="T894" s="13" t="s">
        <v>48</v>
      </c>
      <c r="U894" s="13" t="s">
        <v>14801</v>
      </c>
      <c r="V894" s="13" t="s">
        <v>14809</v>
      </c>
      <c r="W894" s="13" t="s">
        <v>14810</v>
      </c>
      <c r="X894" s="13" t="s">
        <v>673</v>
      </c>
      <c r="Y894" s="13" t="s">
        <v>78</v>
      </c>
      <c r="Z894" s="13" t="s">
        <v>14811</v>
      </c>
      <c r="AA894" s="13" t="s">
        <v>80</v>
      </c>
      <c r="AB894" s="13" t="s">
        <v>106</v>
      </c>
      <c r="AC894" s="13" t="s">
        <v>107</v>
      </c>
      <c r="AD894" s="13" t="s">
        <v>39</v>
      </c>
      <c r="AE894" s="13" t="s">
        <v>109</v>
      </c>
      <c r="AF894" s="13" t="s">
        <v>14812</v>
      </c>
      <c r="AG894" s="13" t="s">
        <v>39</v>
      </c>
      <c r="AH894" s="13" t="s">
        <v>39</v>
      </c>
      <c r="AI894" s="13" t="s">
        <v>14813</v>
      </c>
      <c r="AJ894" s="13" t="s">
        <v>14814</v>
      </c>
      <c r="AK894" s="13" t="s">
        <v>14815</v>
      </c>
      <c r="AL894" s="13" t="s">
        <v>39</v>
      </c>
    </row>
    <row r="895" spans="1:38" x14ac:dyDescent="0.4">
      <c r="A895" s="11" t="s">
        <v>14816</v>
      </c>
      <c r="B895" s="14" t="s">
        <v>14817</v>
      </c>
      <c r="C895" s="15" t="s">
        <v>39</v>
      </c>
      <c r="D895" s="15" t="s">
        <v>92</v>
      </c>
      <c r="E895" s="15" t="s">
        <v>14818</v>
      </c>
      <c r="F895" s="15" t="s">
        <v>640</v>
      </c>
      <c r="G895" s="15" t="s">
        <v>94</v>
      </c>
      <c r="H895" s="15" t="s">
        <v>14819</v>
      </c>
      <c r="I895" s="9">
        <f t="shared" ca="1" si="13"/>
        <v>7</v>
      </c>
      <c r="J895" s="15" t="s">
        <v>14820</v>
      </c>
      <c r="K895" s="15" t="s">
        <v>425</v>
      </c>
      <c r="L895" s="9" t="str">
        <f>VLOOKUP(K895,[1]中国省份_标准!$B$2:$F$35,4,FALSE)</f>
        <v>东部地区</v>
      </c>
      <c r="M895" s="9" t="str">
        <f>VLOOKUP(K895,[1]中国省份_标准!$B$2:$F$35,5,FALSE)</f>
        <v>华东地区</v>
      </c>
      <c r="N895" s="15" t="s">
        <v>426</v>
      </c>
      <c r="O895" s="15" t="s">
        <v>427</v>
      </c>
      <c r="P895" s="15" t="s">
        <v>14821</v>
      </c>
      <c r="Q895" s="15" t="s">
        <v>39</v>
      </c>
      <c r="R895" s="15" t="s">
        <v>14267</v>
      </c>
      <c r="S895" s="15" t="s">
        <v>14268</v>
      </c>
      <c r="T895" s="15" t="s">
        <v>48</v>
      </c>
      <c r="U895" s="15" t="s">
        <v>14817</v>
      </c>
      <c r="V895" s="15" t="s">
        <v>39</v>
      </c>
      <c r="W895" s="15" t="s">
        <v>14822</v>
      </c>
      <c r="X895" s="15" t="s">
        <v>557</v>
      </c>
      <c r="Y895" s="15" t="s">
        <v>78</v>
      </c>
      <c r="Z895" s="15" t="s">
        <v>14823</v>
      </c>
      <c r="AA895" s="15" t="s">
        <v>850</v>
      </c>
      <c r="AB895" s="15" t="s">
        <v>11570</v>
      </c>
      <c r="AC895" s="15" t="s">
        <v>11571</v>
      </c>
      <c r="AD895" s="15" t="s">
        <v>39</v>
      </c>
      <c r="AE895" s="15" t="s">
        <v>109</v>
      </c>
      <c r="AF895" s="15" t="s">
        <v>14824</v>
      </c>
      <c r="AG895" s="15" t="s">
        <v>39</v>
      </c>
      <c r="AH895" s="15" t="s">
        <v>39</v>
      </c>
      <c r="AI895" s="15" t="s">
        <v>14825</v>
      </c>
      <c r="AJ895" s="15" t="s">
        <v>14826</v>
      </c>
      <c r="AK895" s="15" t="s">
        <v>438</v>
      </c>
      <c r="AL895" s="15" t="s">
        <v>88</v>
      </c>
    </row>
    <row r="896" spans="1:38" x14ac:dyDescent="0.4">
      <c r="A896" s="11" t="s">
        <v>14827</v>
      </c>
      <c r="B896" s="12" t="s">
        <v>14828</v>
      </c>
      <c r="C896" s="13" t="s">
        <v>39</v>
      </c>
      <c r="D896" s="13" t="s">
        <v>92</v>
      </c>
      <c r="E896" s="13" t="s">
        <v>14829</v>
      </c>
      <c r="F896" s="13" t="s">
        <v>14830</v>
      </c>
      <c r="G896" s="13" t="s">
        <v>14830</v>
      </c>
      <c r="H896" s="13" t="s">
        <v>14831</v>
      </c>
      <c r="I896" s="9">
        <f t="shared" ca="1" si="13"/>
        <v>21</v>
      </c>
      <c r="J896" s="13" t="s">
        <v>14832</v>
      </c>
      <c r="K896" s="13" t="s">
        <v>425</v>
      </c>
      <c r="L896" s="9" t="str">
        <f>VLOOKUP(K896,[1]中国省份_标准!$B$2:$F$35,4,FALSE)</f>
        <v>东部地区</v>
      </c>
      <c r="M896" s="9" t="str">
        <f>VLOOKUP(K896,[1]中国省份_标准!$B$2:$F$35,5,FALSE)</f>
        <v>华东地区</v>
      </c>
      <c r="N896" s="13" t="s">
        <v>426</v>
      </c>
      <c r="O896" s="13" t="s">
        <v>427</v>
      </c>
      <c r="P896" s="13" t="s">
        <v>14833</v>
      </c>
      <c r="Q896" s="13" t="s">
        <v>14834</v>
      </c>
      <c r="R896" s="13" t="s">
        <v>14835</v>
      </c>
      <c r="S896" s="13" t="s">
        <v>14836</v>
      </c>
      <c r="T896" s="13" t="s">
        <v>184</v>
      </c>
      <c r="U896" s="13" t="s">
        <v>14828</v>
      </c>
      <c r="V896" s="13" t="s">
        <v>14837</v>
      </c>
      <c r="W896" s="13" t="s">
        <v>14838</v>
      </c>
      <c r="X896" s="13" t="s">
        <v>7958</v>
      </c>
      <c r="Y896" s="13" t="s">
        <v>78</v>
      </c>
      <c r="Z896" s="13" t="s">
        <v>14839</v>
      </c>
      <c r="AA896" s="13" t="s">
        <v>850</v>
      </c>
      <c r="AB896" s="13" t="s">
        <v>851</v>
      </c>
      <c r="AC896" s="13" t="s">
        <v>3990</v>
      </c>
      <c r="AD896" s="13" t="s">
        <v>3990</v>
      </c>
      <c r="AE896" s="13" t="s">
        <v>55</v>
      </c>
      <c r="AF896" s="13" t="s">
        <v>14840</v>
      </c>
      <c r="AG896" s="13" t="s">
        <v>39</v>
      </c>
      <c r="AH896" s="13" t="s">
        <v>39</v>
      </c>
      <c r="AI896" s="13" t="s">
        <v>14841</v>
      </c>
      <c r="AJ896" s="13" t="s">
        <v>14842</v>
      </c>
      <c r="AK896" s="13" t="s">
        <v>438</v>
      </c>
      <c r="AL896" s="13" t="s">
        <v>88</v>
      </c>
    </row>
    <row r="897" spans="1:38" x14ac:dyDescent="0.4">
      <c r="A897" s="11" t="s">
        <v>14843</v>
      </c>
      <c r="B897" s="14" t="s">
        <v>14844</v>
      </c>
      <c r="C897" s="15" t="s">
        <v>14845</v>
      </c>
      <c r="D897" s="15" t="s">
        <v>92</v>
      </c>
      <c r="E897" s="15" t="s">
        <v>14846</v>
      </c>
      <c r="F897" s="15" t="s">
        <v>14847</v>
      </c>
      <c r="G897" s="15" t="s">
        <v>14848</v>
      </c>
      <c r="H897" s="15" t="s">
        <v>14849</v>
      </c>
      <c r="I897" s="9">
        <f t="shared" ca="1" si="13"/>
        <v>22</v>
      </c>
      <c r="J897" s="15" t="s">
        <v>14850</v>
      </c>
      <c r="K897" s="15" t="s">
        <v>531</v>
      </c>
      <c r="L897" s="9" t="str">
        <f>VLOOKUP(K897,[1]中国省份_标准!$B$2:$F$35,4,FALSE)</f>
        <v>东部地区</v>
      </c>
      <c r="M897" s="9" t="str">
        <f>VLOOKUP(K897,[1]中国省份_标准!$B$2:$F$35,5,FALSE)</f>
        <v>华南地区</v>
      </c>
      <c r="N897" s="15" t="s">
        <v>2560</v>
      </c>
      <c r="O897" s="15" t="s">
        <v>39</v>
      </c>
      <c r="P897" s="15" t="s">
        <v>14851</v>
      </c>
      <c r="Q897" s="15" t="s">
        <v>39</v>
      </c>
      <c r="R897" s="15" t="s">
        <v>14852</v>
      </c>
      <c r="S897" s="15" t="s">
        <v>14853</v>
      </c>
      <c r="T897" s="15" t="s">
        <v>209</v>
      </c>
      <c r="U897" s="15" t="s">
        <v>14844</v>
      </c>
      <c r="V897" s="15" t="s">
        <v>14854</v>
      </c>
      <c r="W897" s="15" t="s">
        <v>14855</v>
      </c>
      <c r="X897" s="15" t="s">
        <v>14856</v>
      </c>
      <c r="Y897" s="15" t="s">
        <v>78</v>
      </c>
      <c r="Z897" s="15" t="s">
        <v>14857</v>
      </c>
      <c r="AA897" s="15" t="s">
        <v>169</v>
      </c>
      <c r="AB897" s="15" t="s">
        <v>412</v>
      </c>
      <c r="AC897" s="15" t="s">
        <v>630</v>
      </c>
      <c r="AD897" s="15" t="s">
        <v>631</v>
      </c>
      <c r="AE897" s="15" t="s">
        <v>262</v>
      </c>
      <c r="AF897" s="15" t="s">
        <v>14858</v>
      </c>
      <c r="AG897" s="15" t="s">
        <v>39</v>
      </c>
      <c r="AH897" s="15" t="s">
        <v>39</v>
      </c>
      <c r="AI897" s="15" t="s">
        <v>14859</v>
      </c>
      <c r="AJ897" s="15" t="s">
        <v>14860</v>
      </c>
      <c r="AK897" s="15" t="s">
        <v>2572</v>
      </c>
      <c r="AL897" s="15" t="s">
        <v>88</v>
      </c>
    </row>
    <row r="898" spans="1:38" x14ac:dyDescent="0.4">
      <c r="A898" s="11" t="s">
        <v>14861</v>
      </c>
      <c r="B898" s="12" t="s">
        <v>14862</v>
      </c>
      <c r="C898" s="13" t="s">
        <v>14863</v>
      </c>
      <c r="D898" s="13" t="s">
        <v>63</v>
      </c>
      <c r="E898" s="13" t="s">
        <v>14864</v>
      </c>
      <c r="F898" s="13" t="s">
        <v>14865</v>
      </c>
      <c r="G898" s="13" t="s">
        <v>14865</v>
      </c>
      <c r="H898" s="13" t="s">
        <v>14866</v>
      </c>
      <c r="I898" s="9">
        <f t="shared" ca="1" si="13"/>
        <v>44</v>
      </c>
      <c r="J898" s="13" t="s">
        <v>14867</v>
      </c>
      <c r="K898" s="13" t="s">
        <v>425</v>
      </c>
      <c r="L898" s="9" t="str">
        <f>VLOOKUP(K898,[1]中国省份_标准!$B$2:$F$35,4,FALSE)</f>
        <v>东部地区</v>
      </c>
      <c r="M898" s="9" t="str">
        <f>VLOOKUP(K898,[1]中国省份_标准!$B$2:$F$35,5,FALSE)</f>
        <v>华东地区</v>
      </c>
      <c r="N898" s="13" t="s">
        <v>964</v>
      </c>
      <c r="O898" s="13" t="s">
        <v>3947</v>
      </c>
      <c r="P898" s="13" t="s">
        <v>14868</v>
      </c>
      <c r="Q898" s="13" t="s">
        <v>39</v>
      </c>
      <c r="R898" s="13" t="s">
        <v>14869</v>
      </c>
      <c r="S898" s="13" t="s">
        <v>14870</v>
      </c>
      <c r="T898" s="13" t="s">
        <v>209</v>
      </c>
      <c r="U898" s="13" t="s">
        <v>14862</v>
      </c>
      <c r="V898" s="13" t="s">
        <v>14871</v>
      </c>
      <c r="W898" s="13" t="s">
        <v>14872</v>
      </c>
      <c r="X898" s="13" t="s">
        <v>2371</v>
      </c>
      <c r="Y898" s="13" t="s">
        <v>78</v>
      </c>
      <c r="Z898" s="13" t="s">
        <v>14873</v>
      </c>
      <c r="AA898" s="13" t="s">
        <v>80</v>
      </c>
      <c r="AB898" s="13" t="s">
        <v>106</v>
      </c>
      <c r="AC898" s="13" t="s">
        <v>559</v>
      </c>
      <c r="AD898" s="13" t="s">
        <v>39</v>
      </c>
      <c r="AE898" s="13" t="s">
        <v>262</v>
      </c>
      <c r="AF898" s="13" t="s">
        <v>14874</v>
      </c>
      <c r="AG898" s="13" t="s">
        <v>14875</v>
      </c>
      <c r="AH898" s="13" t="s">
        <v>39</v>
      </c>
      <c r="AI898" s="13" t="s">
        <v>14876</v>
      </c>
      <c r="AJ898" s="13" t="s">
        <v>14877</v>
      </c>
      <c r="AK898" s="13" t="s">
        <v>9887</v>
      </c>
      <c r="AL898" s="13" t="s">
        <v>88</v>
      </c>
    </row>
    <row r="899" spans="1:38" x14ac:dyDescent="0.4">
      <c r="A899" s="11" t="s">
        <v>14878</v>
      </c>
      <c r="B899" s="14" t="s">
        <v>14879</v>
      </c>
      <c r="C899" s="15" t="s">
        <v>14880</v>
      </c>
      <c r="D899" s="15" t="s">
        <v>63</v>
      </c>
      <c r="E899" s="15" t="s">
        <v>14881</v>
      </c>
      <c r="F899" s="15" t="s">
        <v>442</v>
      </c>
      <c r="G899" s="15" t="s">
        <v>442</v>
      </c>
      <c r="H899" s="15" t="s">
        <v>14882</v>
      </c>
      <c r="I899" s="9">
        <f t="shared" ref="I899:I962" ca="1" si="14">DATEDIF(H899, TODAY(), "Y")</f>
        <v>32</v>
      </c>
      <c r="J899" s="15" t="s">
        <v>14883</v>
      </c>
      <c r="K899" s="15" t="s">
        <v>67</v>
      </c>
      <c r="L899" s="9" t="str">
        <f>VLOOKUP(K899,[1]中国省份_标准!$B$2:$F$35,4,FALSE)</f>
        <v>东部地区</v>
      </c>
      <c r="M899" s="9" t="str">
        <f>VLOOKUP(K899,[1]中国省份_标准!$B$2:$F$35,5,FALSE)</f>
        <v>华东地区</v>
      </c>
      <c r="N899" s="15" t="s">
        <v>2164</v>
      </c>
      <c r="O899" s="15" t="s">
        <v>14884</v>
      </c>
      <c r="P899" s="15" t="s">
        <v>14885</v>
      </c>
      <c r="Q899" s="15" t="s">
        <v>14886</v>
      </c>
      <c r="R899" s="15" t="s">
        <v>14887</v>
      </c>
      <c r="S899" s="15" t="s">
        <v>14888</v>
      </c>
      <c r="T899" s="15" t="s">
        <v>209</v>
      </c>
      <c r="U899" s="15" t="s">
        <v>14879</v>
      </c>
      <c r="V899" s="15" t="s">
        <v>14889</v>
      </c>
      <c r="W899" s="15" t="s">
        <v>14890</v>
      </c>
      <c r="X899" s="15" t="s">
        <v>14891</v>
      </c>
      <c r="Y899" s="15" t="s">
        <v>78</v>
      </c>
      <c r="Z899" s="15" t="s">
        <v>14892</v>
      </c>
      <c r="AA899" s="15" t="s">
        <v>850</v>
      </c>
      <c r="AB899" s="15" t="s">
        <v>11570</v>
      </c>
      <c r="AC899" s="15" t="s">
        <v>11571</v>
      </c>
      <c r="AD899" s="15" t="s">
        <v>14322</v>
      </c>
      <c r="AE899" s="15" t="s">
        <v>55</v>
      </c>
      <c r="AF899" s="15" t="s">
        <v>14893</v>
      </c>
      <c r="AG899" s="15" t="s">
        <v>39</v>
      </c>
      <c r="AH899" s="15" t="s">
        <v>39</v>
      </c>
      <c r="AI899" s="15" t="s">
        <v>14894</v>
      </c>
      <c r="AJ899" s="15" t="s">
        <v>14895</v>
      </c>
      <c r="AK899" s="15" t="s">
        <v>14896</v>
      </c>
      <c r="AL899" s="15" t="s">
        <v>88</v>
      </c>
    </row>
    <row r="900" spans="1:38" x14ac:dyDescent="0.4">
      <c r="A900" s="11" t="s">
        <v>14897</v>
      </c>
      <c r="B900" s="12" t="s">
        <v>14898</v>
      </c>
      <c r="C900" s="13" t="s">
        <v>14899</v>
      </c>
      <c r="D900" s="13" t="s">
        <v>63</v>
      </c>
      <c r="E900" s="13" t="s">
        <v>14900</v>
      </c>
      <c r="F900" s="13" t="s">
        <v>14901</v>
      </c>
      <c r="G900" s="13" t="s">
        <v>14901</v>
      </c>
      <c r="H900" s="13" t="s">
        <v>14902</v>
      </c>
      <c r="I900" s="9">
        <f t="shared" ca="1" si="14"/>
        <v>32</v>
      </c>
      <c r="J900" s="13" t="s">
        <v>14903</v>
      </c>
      <c r="K900" s="13" t="s">
        <v>425</v>
      </c>
      <c r="L900" s="9" t="str">
        <f>VLOOKUP(K900,[1]中国省份_标准!$B$2:$F$35,4,FALSE)</f>
        <v>东部地区</v>
      </c>
      <c r="M900" s="9" t="str">
        <f>VLOOKUP(K900,[1]中国省份_标准!$B$2:$F$35,5,FALSE)</f>
        <v>华东地区</v>
      </c>
      <c r="N900" s="13" t="s">
        <v>426</v>
      </c>
      <c r="O900" s="13" t="s">
        <v>427</v>
      </c>
      <c r="P900" s="13" t="s">
        <v>14904</v>
      </c>
      <c r="Q900" s="13" t="s">
        <v>14905</v>
      </c>
      <c r="R900" s="13" t="s">
        <v>14906</v>
      </c>
      <c r="S900" s="13" t="s">
        <v>39</v>
      </c>
      <c r="T900" s="13" t="s">
        <v>825</v>
      </c>
      <c r="U900" s="13" t="s">
        <v>14898</v>
      </c>
      <c r="V900" s="13" t="s">
        <v>14907</v>
      </c>
      <c r="W900" s="13" t="s">
        <v>14908</v>
      </c>
      <c r="X900" s="13" t="s">
        <v>14909</v>
      </c>
      <c r="Y900" s="13" t="s">
        <v>78</v>
      </c>
      <c r="Z900" s="13" t="s">
        <v>14910</v>
      </c>
      <c r="AA900" s="13" t="s">
        <v>169</v>
      </c>
      <c r="AB900" s="13" t="s">
        <v>412</v>
      </c>
      <c r="AC900" s="13" t="s">
        <v>39</v>
      </c>
      <c r="AD900" s="13" t="s">
        <v>39</v>
      </c>
      <c r="AE900" s="13" t="s">
        <v>239</v>
      </c>
      <c r="AF900" s="13" t="s">
        <v>14911</v>
      </c>
      <c r="AG900" s="13" t="s">
        <v>39</v>
      </c>
      <c r="AH900" s="13" t="s">
        <v>39</v>
      </c>
      <c r="AI900" s="13" t="s">
        <v>14912</v>
      </c>
      <c r="AJ900" s="13" t="s">
        <v>14913</v>
      </c>
      <c r="AK900" s="13" t="s">
        <v>2191</v>
      </c>
      <c r="AL900" s="13" t="s">
        <v>88</v>
      </c>
    </row>
    <row r="901" spans="1:38" x14ac:dyDescent="0.4">
      <c r="A901" s="11" t="s">
        <v>14914</v>
      </c>
      <c r="B901" s="14" t="s">
        <v>14915</v>
      </c>
      <c r="C901" s="15" t="s">
        <v>14916</v>
      </c>
      <c r="D901" s="15" t="s">
        <v>63</v>
      </c>
      <c r="E901" s="15" t="s">
        <v>14917</v>
      </c>
      <c r="F901" s="15" t="s">
        <v>14918</v>
      </c>
      <c r="G901" s="15" t="s">
        <v>14918</v>
      </c>
      <c r="H901" s="15" t="s">
        <v>14919</v>
      </c>
      <c r="I901" s="9">
        <f t="shared" ca="1" si="14"/>
        <v>21</v>
      </c>
      <c r="J901" s="15" t="s">
        <v>14920</v>
      </c>
      <c r="K901" s="15" t="s">
        <v>425</v>
      </c>
      <c r="L901" s="9" t="str">
        <f>VLOOKUP(K901,[1]中国省份_标准!$B$2:$F$35,4,FALSE)</f>
        <v>东部地区</v>
      </c>
      <c r="M901" s="9" t="str">
        <f>VLOOKUP(K901,[1]中国省份_标准!$B$2:$F$35,5,FALSE)</f>
        <v>华东地区</v>
      </c>
      <c r="N901" s="15" t="s">
        <v>1396</v>
      </c>
      <c r="O901" s="15" t="s">
        <v>1397</v>
      </c>
      <c r="P901" s="15" t="s">
        <v>14921</v>
      </c>
      <c r="Q901" s="15" t="s">
        <v>14922</v>
      </c>
      <c r="R901" s="15" t="s">
        <v>14923</v>
      </c>
      <c r="S901" s="15" t="s">
        <v>14924</v>
      </c>
      <c r="T901" s="15" t="s">
        <v>4884</v>
      </c>
      <c r="U901" s="15" t="s">
        <v>14915</v>
      </c>
      <c r="V901" s="15" t="s">
        <v>14925</v>
      </c>
      <c r="W901" s="15" t="s">
        <v>14926</v>
      </c>
      <c r="X901" s="15" t="s">
        <v>14927</v>
      </c>
      <c r="Y901" s="15" t="s">
        <v>78</v>
      </c>
      <c r="Z901" s="15" t="s">
        <v>14928</v>
      </c>
      <c r="AA901" s="15" t="s">
        <v>169</v>
      </c>
      <c r="AB901" s="15" t="s">
        <v>412</v>
      </c>
      <c r="AC901" s="15" t="s">
        <v>630</v>
      </c>
      <c r="AD901" s="15" t="s">
        <v>39</v>
      </c>
      <c r="AE901" s="15" t="s">
        <v>262</v>
      </c>
      <c r="AF901" s="15" t="s">
        <v>14929</v>
      </c>
      <c r="AG901" s="15" t="s">
        <v>39</v>
      </c>
      <c r="AH901" s="15" t="s">
        <v>39</v>
      </c>
      <c r="AI901" s="15" t="s">
        <v>14930</v>
      </c>
      <c r="AJ901" s="15" t="s">
        <v>14931</v>
      </c>
      <c r="AK901" s="15" t="s">
        <v>14932</v>
      </c>
      <c r="AL901" s="15" t="s">
        <v>88</v>
      </c>
    </row>
    <row r="902" spans="1:38" x14ac:dyDescent="0.4">
      <c r="A902" s="11" t="s">
        <v>14933</v>
      </c>
      <c r="B902" s="12" t="s">
        <v>14934</v>
      </c>
      <c r="C902" s="13" t="s">
        <v>14935</v>
      </c>
      <c r="D902" s="13" t="s">
        <v>92</v>
      </c>
      <c r="E902" s="13" t="s">
        <v>14936</v>
      </c>
      <c r="F902" s="13" t="s">
        <v>442</v>
      </c>
      <c r="G902" s="13" t="s">
        <v>39</v>
      </c>
      <c r="H902" s="13" t="s">
        <v>14937</v>
      </c>
      <c r="I902" s="9">
        <f t="shared" ca="1" si="14"/>
        <v>26</v>
      </c>
      <c r="J902" s="13" t="s">
        <v>14938</v>
      </c>
      <c r="K902" s="13" t="s">
        <v>227</v>
      </c>
      <c r="L902" s="9" t="str">
        <f>VLOOKUP(K902,[1]中国省份_标准!$B$2:$F$35,4,FALSE)</f>
        <v>西部地区</v>
      </c>
      <c r="M902" s="9" t="str">
        <f>VLOOKUP(K902,[1]中国省份_标准!$B$2:$F$35,5,FALSE)</f>
        <v>西北地区</v>
      </c>
      <c r="N902" s="13" t="s">
        <v>763</v>
      </c>
      <c r="O902" s="13" t="s">
        <v>6880</v>
      </c>
      <c r="P902" s="13" t="s">
        <v>14939</v>
      </c>
      <c r="Q902" s="13" t="s">
        <v>14940</v>
      </c>
      <c r="R902" s="13" t="s">
        <v>14941</v>
      </c>
      <c r="S902" s="13" t="s">
        <v>39</v>
      </c>
      <c r="T902" s="13" t="s">
        <v>452</v>
      </c>
      <c r="U902" s="13" t="s">
        <v>14934</v>
      </c>
      <c r="V902" s="13" t="s">
        <v>14942</v>
      </c>
      <c r="W902" s="13" t="s">
        <v>14943</v>
      </c>
      <c r="X902" s="13" t="s">
        <v>1836</v>
      </c>
      <c r="Y902" s="13" t="s">
        <v>78</v>
      </c>
      <c r="Z902" s="13" t="s">
        <v>14944</v>
      </c>
      <c r="AA902" s="13" t="s">
        <v>309</v>
      </c>
      <c r="AB902" s="13" t="s">
        <v>772</v>
      </c>
      <c r="AC902" s="13" t="s">
        <v>773</v>
      </c>
      <c r="AD902" s="13" t="s">
        <v>774</v>
      </c>
      <c r="AE902" s="13" t="s">
        <v>262</v>
      </c>
      <c r="AF902" s="13" t="s">
        <v>14945</v>
      </c>
      <c r="AG902" s="13" t="s">
        <v>39</v>
      </c>
      <c r="AH902" s="13" t="s">
        <v>39</v>
      </c>
      <c r="AI902" s="13" t="s">
        <v>14946</v>
      </c>
      <c r="AJ902" s="13" t="s">
        <v>14947</v>
      </c>
      <c r="AK902" s="13" t="s">
        <v>6892</v>
      </c>
      <c r="AL902" s="13" t="s">
        <v>88</v>
      </c>
    </row>
    <row r="903" spans="1:38" x14ac:dyDescent="0.4">
      <c r="A903" s="11" t="s">
        <v>14948</v>
      </c>
      <c r="B903" s="14" t="s">
        <v>14949</v>
      </c>
      <c r="C903" s="15" t="s">
        <v>39</v>
      </c>
      <c r="D903" s="15" t="s">
        <v>92</v>
      </c>
      <c r="E903" s="15" t="s">
        <v>14950</v>
      </c>
      <c r="F903" s="15" t="s">
        <v>178</v>
      </c>
      <c r="G903" s="15" t="s">
        <v>178</v>
      </c>
      <c r="H903" s="15" t="s">
        <v>5307</v>
      </c>
      <c r="I903" s="9">
        <f t="shared" ca="1" si="14"/>
        <v>8</v>
      </c>
      <c r="J903" s="15" t="s">
        <v>14951</v>
      </c>
      <c r="K903" s="15" t="s">
        <v>227</v>
      </c>
      <c r="L903" s="9" t="str">
        <f>VLOOKUP(K903,[1]中国省份_标准!$B$2:$F$35,4,FALSE)</f>
        <v>西部地区</v>
      </c>
      <c r="M903" s="9" t="str">
        <f>VLOOKUP(K903,[1]中国省份_标准!$B$2:$F$35,5,FALSE)</f>
        <v>西北地区</v>
      </c>
      <c r="N903" s="15" t="s">
        <v>3212</v>
      </c>
      <c r="O903" s="15" t="s">
        <v>11528</v>
      </c>
      <c r="P903" s="15" t="s">
        <v>14952</v>
      </c>
      <c r="Q903" s="15" t="s">
        <v>14953</v>
      </c>
      <c r="R903" s="15" t="s">
        <v>14954</v>
      </c>
      <c r="S903" s="15" t="s">
        <v>14955</v>
      </c>
      <c r="T903" s="15" t="s">
        <v>452</v>
      </c>
      <c r="U903" s="15" t="s">
        <v>14949</v>
      </c>
      <c r="V903" s="15" t="s">
        <v>14956</v>
      </c>
      <c r="W903" s="15" t="s">
        <v>14957</v>
      </c>
      <c r="X903" s="15" t="s">
        <v>2171</v>
      </c>
      <c r="Y903" s="15" t="s">
        <v>78</v>
      </c>
      <c r="Z903" s="15" t="s">
        <v>14958</v>
      </c>
      <c r="AA903" s="15" t="s">
        <v>850</v>
      </c>
      <c r="AB903" s="15" t="s">
        <v>9442</v>
      </c>
      <c r="AC903" s="15" t="s">
        <v>10006</v>
      </c>
      <c r="AD903" s="15" t="s">
        <v>14959</v>
      </c>
      <c r="AE903" s="15" t="s">
        <v>55</v>
      </c>
      <c r="AF903" s="15" t="s">
        <v>14960</v>
      </c>
      <c r="AG903" s="15" t="s">
        <v>39</v>
      </c>
      <c r="AH903" s="15" t="s">
        <v>39</v>
      </c>
      <c r="AI903" s="15" t="s">
        <v>14961</v>
      </c>
      <c r="AJ903" s="15" t="s">
        <v>14962</v>
      </c>
      <c r="AK903" s="15" t="s">
        <v>11539</v>
      </c>
      <c r="AL903" s="15" t="s">
        <v>88</v>
      </c>
    </row>
    <row r="904" spans="1:38" x14ac:dyDescent="0.4">
      <c r="A904" s="11" t="s">
        <v>14963</v>
      </c>
      <c r="B904" s="12" t="s">
        <v>14964</v>
      </c>
      <c r="C904" s="13" t="s">
        <v>39</v>
      </c>
      <c r="D904" s="13" t="s">
        <v>92</v>
      </c>
      <c r="E904" s="13" t="s">
        <v>14965</v>
      </c>
      <c r="F904" s="13" t="s">
        <v>271</v>
      </c>
      <c r="G904" s="13" t="s">
        <v>271</v>
      </c>
      <c r="H904" s="13" t="s">
        <v>14966</v>
      </c>
      <c r="I904" s="9">
        <f t="shared" ca="1" si="14"/>
        <v>12</v>
      </c>
      <c r="J904" s="13" t="s">
        <v>14967</v>
      </c>
      <c r="K904" s="13" t="s">
        <v>227</v>
      </c>
      <c r="L904" s="9" t="str">
        <f>VLOOKUP(K904,[1]中国省份_标准!$B$2:$F$35,4,FALSE)</f>
        <v>西部地区</v>
      </c>
      <c r="M904" s="9" t="str">
        <f>VLOOKUP(K904,[1]中国省份_标准!$B$2:$F$35,5,FALSE)</f>
        <v>西北地区</v>
      </c>
      <c r="N904" s="13" t="s">
        <v>228</v>
      </c>
      <c r="O904" s="13" t="s">
        <v>14968</v>
      </c>
      <c r="P904" s="13" t="s">
        <v>14969</v>
      </c>
      <c r="Q904" s="13" t="s">
        <v>14970</v>
      </c>
      <c r="R904" s="13" t="s">
        <v>14971</v>
      </c>
      <c r="S904" s="13" t="s">
        <v>14972</v>
      </c>
      <c r="T904" s="13" t="s">
        <v>281</v>
      </c>
      <c r="U904" s="13" t="s">
        <v>14964</v>
      </c>
      <c r="V904" s="13" t="s">
        <v>14973</v>
      </c>
      <c r="W904" s="13" t="s">
        <v>14974</v>
      </c>
      <c r="X904" s="13" t="s">
        <v>7958</v>
      </c>
      <c r="Y904" s="13" t="s">
        <v>78</v>
      </c>
      <c r="Z904" s="13" t="s">
        <v>14975</v>
      </c>
      <c r="AA904" s="13" t="s">
        <v>850</v>
      </c>
      <c r="AB904" s="13" t="s">
        <v>851</v>
      </c>
      <c r="AC904" s="13" t="s">
        <v>14445</v>
      </c>
      <c r="AD904" s="13" t="s">
        <v>14445</v>
      </c>
      <c r="AE904" s="13" t="s">
        <v>55</v>
      </c>
      <c r="AF904" s="13" t="s">
        <v>14976</v>
      </c>
      <c r="AG904" s="13" t="s">
        <v>39</v>
      </c>
      <c r="AH904" s="13" t="s">
        <v>39</v>
      </c>
      <c r="AI904" s="13" t="s">
        <v>14977</v>
      </c>
      <c r="AJ904" s="13" t="s">
        <v>14978</v>
      </c>
      <c r="AK904" s="13" t="s">
        <v>14979</v>
      </c>
      <c r="AL904" s="13" t="s">
        <v>88</v>
      </c>
    </row>
    <row r="905" spans="1:38" x14ac:dyDescent="0.4">
      <c r="A905" s="11" t="s">
        <v>14980</v>
      </c>
      <c r="B905" s="14" t="s">
        <v>14981</v>
      </c>
      <c r="C905" s="15" t="s">
        <v>39</v>
      </c>
      <c r="D905" s="15" t="s">
        <v>63</v>
      </c>
      <c r="E905" s="15" t="s">
        <v>14982</v>
      </c>
      <c r="F905" s="15" t="s">
        <v>14983</v>
      </c>
      <c r="G905" s="15" t="s">
        <v>14983</v>
      </c>
      <c r="H905" s="15" t="s">
        <v>11676</v>
      </c>
      <c r="I905" s="9">
        <f t="shared" ca="1" si="14"/>
        <v>22</v>
      </c>
      <c r="J905" s="15" t="s">
        <v>14984</v>
      </c>
      <c r="K905" s="15" t="s">
        <v>67</v>
      </c>
      <c r="L905" s="9" t="str">
        <f>VLOOKUP(K905,[1]中国省份_标准!$B$2:$F$35,4,FALSE)</f>
        <v>东部地区</v>
      </c>
      <c r="M905" s="9" t="str">
        <f>VLOOKUP(K905,[1]中国省份_标准!$B$2:$F$35,5,FALSE)</f>
        <v>华东地区</v>
      </c>
      <c r="N905" s="15" t="s">
        <v>5058</v>
      </c>
      <c r="O905" s="15" t="s">
        <v>5059</v>
      </c>
      <c r="P905" s="15" t="s">
        <v>14985</v>
      </c>
      <c r="Q905" s="15" t="s">
        <v>14986</v>
      </c>
      <c r="R905" s="15" t="s">
        <v>14987</v>
      </c>
      <c r="S905" s="15" t="s">
        <v>39</v>
      </c>
      <c r="T905" s="15" t="s">
        <v>3623</v>
      </c>
      <c r="U905" s="15" t="s">
        <v>14981</v>
      </c>
      <c r="V905" s="15" t="s">
        <v>14988</v>
      </c>
      <c r="W905" s="15" t="s">
        <v>14989</v>
      </c>
      <c r="X905" s="15" t="s">
        <v>14990</v>
      </c>
      <c r="Y905" s="15" t="s">
        <v>78</v>
      </c>
      <c r="Z905" s="15" t="s">
        <v>14991</v>
      </c>
      <c r="AA905" s="15" t="s">
        <v>80</v>
      </c>
      <c r="AB905" s="15" t="s">
        <v>106</v>
      </c>
      <c r="AC905" s="15" t="s">
        <v>808</v>
      </c>
      <c r="AD905" s="15" t="s">
        <v>893</v>
      </c>
      <c r="AE905" s="15" t="s">
        <v>55</v>
      </c>
      <c r="AF905" s="15" t="s">
        <v>14992</v>
      </c>
      <c r="AG905" s="15" t="s">
        <v>39</v>
      </c>
      <c r="AH905" s="15" t="s">
        <v>39</v>
      </c>
      <c r="AI905" s="15" t="s">
        <v>14993</v>
      </c>
      <c r="AJ905" s="15" t="s">
        <v>14994</v>
      </c>
      <c r="AK905" s="15" t="s">
        <v>14995</v>
      </c>
      <c r="AL905" s="15" t="s">
        <v>88</v>
      </c>
    </row>
    <row r="906" spans="1:38" x14ac:dyDescent="0.4">
      <c r="A906" s="11" t="s">
        <v>14996</v>
      </c>
      <c r="B906" s="12" t="s">
        <v>14997</v>
      </c>
      <c r="C906" s="13" t="s">
        <v>14998</v>
      </c>
      <c r="D906" s="13" t="s">
        <v>92</v>
      </c>
      <c r="E906" s="13" t="s">
        <v>14999</v>
      </c>
      <c r="F906" s="13" t="s">
        <v>15000</v>
      </c>
      <c r="G906" s="13" t="s">
        <v>15000</v>
      </c>
      <c r="H906" s="13" t="s">
        <v>15001</v>
      </c>
      <c r="I906" s="9">
        <f t="shared" ca="1" si="14"/>
        <v>19</v>
      </c>
      <c r="J906" s="13" t="s">
        <v>15002</v>
      </c>
      <c r="K906" s="13" t="s">
        <v>227</v>
      </c>
      <c r="L906" s="9" t="str">
        <f>VLOOKUP(K906,[1]中国省份_标准!$B$2:$F$35,4,FALSE)</f>
        <v>西部地区</v>
      </c>
      <c r="M906" s="9" t="str">
        <f>VLOOKUP(K906,[1]中国省份_标准!$B$2:$F$35,5,FALSE)</f>
        <v>西北地区</v>
      </c>
      <c r="N906" s="13" t="s">
        <v>884</v>
      </c>
      <c r="O906" s="13" t="s">
        <v>885</v>
      </c>
      <c r="P906" s="13" t="s">
        <v>15003</v>
      </c>
      <c r="Q906" s="13" t="s">
        <v>15004</v>
      </c>
      <c r="R906" s="13" t="s">
        <v>15005</v>
      </c>
      <c r="S906" s="13" t="s">
        <v>39</v>
      </c>
      <c r="T906" s="13" t="s">
        <v>9256</v>
      </c>
      <c r="U906" s="13" t="s">
        <v>14997</v>
      </c>
      <c r="V906" s="13" t="s">
        <v>15006</v>
      </c>
      <c r="W906" s="13" t="s">
        <v>15007</v>
      </c>
      <c r="X906" s="13" t="s">
        <v>12560</v>
      </c>
      <c r="Y906" s="13" t="s">
        <v>78</v>
      </c>
      <c r="Z906" s="13" t="s">
        <v>15008</v>
      </c>
      <c r="AA906" s="13" t="s">
        <v>850</v>
      </c>
      <c r="AB906" s="13" t="s">
        <v>851</v>
      </c>
      <c r="AC906" s="13" t="s">
        <v>852</v>
      </c>
      <c r="AD906" s="13" t="s">
        <v>15009</v>
      </c>
      <c r="AE906" s="13" t="s">
        <v>55</v>
      </c>
      <c r="AF906" s="13" t="s">
        <v>15010</v>
      </c>
      <c r="AG906" s="13" t="s">
        <v>39</v>
      </c>
      <c r="AH906" s="13" t="s">
        <v>39</v>
      </c>
      <c r="AI906" s="13" t="s">
        <v>15011</v>
      </c>
      <c r="AJ906" s="13" t="s">
        <v>15012</v>
      </c>
      <c r="AK906" s="13" t="s">
        <v>15013</v>
      </c>
      <c r="AL906" s="13" t="s">
        <v>88</v>
      </c>
    </row>
    <row r="907" spans="1:38" x14ac:dyDescent="0.4">
      <c r="A907" s="11" t="s">
        <v>15014</v>
      </c>
      <c r="B907" s="14" t="s">
        <v>15015</v>
      </c>
      <c r="C907" s="15" t="s">
        <v>15016</v>
      </c>
      <c r="D907" s="15" t="s">
        <v>92</v>
      </c>
      <c r="E907" s="15" t="s">
        <v>15017</v>
      </c>
      <c r="F907" s="15" t="s">
        <v>39</v>
      </c>
      <c r="G907" s="15" t="s">
        <v>39</v>
      </c>
      <c r="H907" s="15" t="s">
        <v>15018</v>
      </c>
      <c r="I907" s="9">
        <f t="shared" ca="1" si="14"/>
        <v>35</v>
      </c>
      <c r="J907" s="15" t="s">
        <v>15019</v>
      </c>
      <c r="K907" s="15" t="s">
        <v>1752</v>
      </c>
      <c r="L907" s="9" t="str">
        <f>VLOOKUP(K907,[1]中国省份_标准!$B$2:$F$35,4,FALSE)</f>
        <v>中部地区</v>
      </c>
      <c r="M907" s="9" t="str">
        <f>VLOOKUP(K907,[1]中国省份_标准!$B$2:$F$35,5,FALSE)</f>
        <v>华中地区</v>
      </c>
      <c r="N907" s="15" t="s">
        <v>15020</v>
      </c>
      <c r="O907" s="15" t="s">
        <v>15021</v>
      </c>
      <c r="P907" s="15" t="s">
        <v>15022</v>
      </c>
      <c r="Q907" s="15" t="s">
        <v>15023</v>
      </c>
      <c r="R907" s="15" t="s">
        <v>15024</v>
      </c>
      <c r="S907" s="15" t="s">
        <v>15025</v>
      </c>
      <c r="T907" s="15" t="s">
        <v>15026</v>
      </c>
      <c r="U907" s="15" t="s">
        <v>15015</v>
      </c>
      <c r="V907" s="15" t="s">
        <v>15027</v>
      </c>
      <c r="W907" s="15" t="s">
        <v>15028</v>
      </c>
      <c r="X907" s="15" t="s">
        <v>9582</v>
      </c>
      <c r="Y907" s="15" t="s">
        <v>78</v>
      </c>
      <c r="Z907" s="15" t="s">
        <v>15029</v>
      </c>
      <c r="AA907" s="15" t="s">
        <v>850</v>
      </c>
      <c r="AB907" s="15" t="s">
        <v>851</v>
      </c>
      <c r="AC907" s="15" t="s">
        <v>14445</v>
      </c>
      <c r="AD907" s="15" t="s">
        <v>14445</v>
      </c>
      <c r="AE907" s="15" t="s">
        <v>39</v>
      </c>
      <c r="AF907" s="15" t="s">
        <v>15030</v>
      </c>
      <c r="AG907" s="15" t="s">
        <v>39</v>
      </c>
      <c r="AH907" s="15" t="s">
        <v>39</v>
      </c>
      <c r="AI907" s="15" t="s">
        <v>39</v>
      </c>
      <c r="AJ907" s="15" t="s">
        <v>15031</v>
      </c>
      <c r="AK907" s="15" t="s">
        <v>15032</v>
      </c>
      <c r="AL907" s="15" t="s">
        <v>88</v>
      </c>
    </row>
    <row r="908" spans="1:38" x14ac:dyDescent="0.4">
      <c r="A908" s="11" t="s">
        <v>15033</v>
      </c>
      <c r="B908" s="12" t="s">
        <v>15034</v>
      </c>
      <c r="C908" s="13" t="s">
        <v>39</v>
      </c>
      <c r="D908" s="13" t="s">
        <v>92</v>
      </c>
      <c r="E908" s="13" t="s">
        <v>15035</v>
      </c>
      <c r="F908" s="13" t="s">
        <v>271</v>
      </c>
      <c r="G908" s="13" t="s">
        <v>271</v>
      </c>
      <c r="H908" s="13" t="s">
        <v>15036</v>
      </c>
      <c r="I908" s="9">
        <f t="shared" ca="1" si="14"/>
        <v>21</v>
      </c>
      <c r="J908" s="13" t="s">
        <v>15037</v>
      </c>
      <c r="K908" s="13" t="s">
        <v>97</v>
      </c>
      <c r="L908" s="9" t="str">
        <f>VLOOKUP(K908,[1]中国省份_标准!$B$2:$F$35,4,FALSE)</f>
        <v>中部地区</v>
      </c>
      <c r="M908" s="9" t="str">
        <f>VLOOKUP(K908,[1]中国省份_标准!$B$2:$F$35,5,FALSE)</f>
        <v>华中地区</v>
      </c>
      <c r="N908" s="13" t="s">
        <v>2049</v>
      </c>
      <c r="O908" s="13" t="s">
        <v>15038</v>
      </c>
      <c r="P908" s="13" t="s">
        <v>15039</v>
      </c>
      <c r="Q908" s="13" t="s">
        <v>39</v>
      </c>
      <c r="R908" s="13" t="s">
        <v>15040</v>
      </c>
      <c r="S908" s="13" t="s">
        <v>39</v>
      </c>
      <c r="T908" s="13" t="s">
        <v>209</v>
      </c>
      <c r="U908" s="13" t="s">
        <v>15034</v>
      </c>
      <c r="V908" s="13" t="s">
        <v>15041</v>
      </c>
      <c r="W908" s="13" t="s">
        <v>15042</v>
      </c>
      <c r="X908" s="13" t="s">
        <v>4180</v>
      </c>
      <c r="Y908" s="13" t="s">
        <v>78</v>
      </c>
      <c r="Z908" s="13" t="s">
        <v>15043</v>
      </c>
      <c r="AA908" s="13" t="s">
        <v>850</v>
      </c>
      <c r="AB908" s="13" t="s">
        <v>851</v>
      </c>
      <c r="AC908" s="13" t="s">
        <v>852</v>
      </c>
      <c r="AD908" s="13" t="s">
        <v>853</v>
      </c>
      <c r="AE908" s="13" t="s">
        <v>55</v>
      </c>
      <c r="AF908" s="13" t="s">
        <v>15044</v>
      </c>
      <c r="AG908" s="13" t="s">
        <v>15045</v>
      </c>
      <c r="AH908" s="13" t="s">
        <v>39</v>
      </c>
      <c r="AI908" s="13" t="s">
        <v>15046</v>
      </c>
      <c r="AJ908" s="13" t="s">
        <v>15047</v>
      </c>
      <c r="AK908" s="13" t="s">
        <v>15048</v>
      </c>
      <c r="AL908" s="13" t="s">
        <v>88</v>
      </c>
    </row>
    <row r="909" spans="1:38" x14ac:dyDescent="0.4">
      <c r="A909" s="11" t="s">
        <v>15049</v>
      </c>
      <c r="B909" s="14" t="s">
        <v>15050</v>
      </c>
      <c r="C909" s="15" t="s">
        <v>15051</v>
      </c>
      <c r="D909" s="15" t="s">
        <v>63</v>
      </c>
      <c r="E909" s="15" t="s">
        <v>15052</v>
      </c>
      <c r="F909" s="15" t="s">
        <v>15053</v>
      </c>
      <c r="G909" s="15" t="s">
        <v>39</v>
      </c>
      <c r="H909" s="15" t="s">
        <v>15054</v>
      </c>
      <c r="I909" s="9">
        <f t="shared" ca="1" si="14"/>
        <v>26</v>
      </c>
      <c r="J909" s="15" t="s">
        <v>15055</v>
      </c>
      <c r="K909" s="15" t="s">
        <v>67</v>
      </c>
      <c r="L909" s="9" t="str">
        <f>VLOOKUP(K909,[1]中国省份_标准!$B$2:$F$35,4,FALSE)</f>
        <v>东部地区</v>
      </c>
      <c r="M909" s="9" t="str">
        <f>VLOOKUP(K909,[1]中国省份_标准!$B$2:$F$35,5,FALSE)</f>
        <v>华东地区</v>
      </c>
      <c r="N909" s="15" t="s">
        <v>68</v>
      </c>
      <c r="O909" s="15" t="s">
        <v>69</v>
      </c>
      <c r="P909" s="15" t="s">
        <v>15056</v>
      </c>
      <c r="Q909" s="15" t="s">
        <v>15057</v>
      </c>
      <c r="R909" s="15" t="s">
        <v>15058</v>
      </c>
      <c r="S909" s="15" t="s">
        <v>39</v>
      </c>
      <c r="T909" s="15" t="s">
        <v>1815</v>
      </c>
      <c r="U909" s="15" t="s">
        <v>15050</v>
      </c>
      <c r="V909" s="15" t="s">
        <v>15059</v>
      </c>
      <c r="W909" s="15" t="s">
        <v>15060</v>
      </c>
      <c r="X909" s="15" t="s">
        <v>77</v>
      </c>
      <c r="Y909" s="15" t="s">
        <v>78</v>
      </c>
      <c r="Z909" s="15" t="s">
        <v>168</v>
      </c>
      <c r="AA909" s="15" t="s">
        <v>169</v>
      </c>
      <c r="AB909" s="15" t="s">
        <v>285</v>
      </c>
      <c r="AC909" s="15" t="s">
        <v>6423</v>
      </c>
      <c r="AD909" s="15" t="s">
        <v>6424</v>
      </c>
      <c r="AE909" s="15" t="s">
        <v>55</v>
      </c>
      <c r="AF909" s="15" t="s">
        <v>15061</v>
      </c>
      <c r="AG909" s="15" t="s">
        <v>39</v>
      </c>
      <c r="AH909" s="15" t="s">
        <v>15062</v>
      </c>
      <c r="AI909" s="15" t="s">
        <v>39</v>
      </c>
      <c r="AJ909" s="15" t="s">
        <v>15063</v>
      </c>
      <c r="AK909" s="15" t="s">
        <v>87</v>
      </c>
      <c r="AL909" s="15" t="s">
        <v>39</v>
      </c>
    </row>
    <row r="910" spans="1:38" x14ac:dyDescent="0.4">
      <c r="A910" s="11" t="s">
        <v>15064</v>
      </c>
      <c r="B910" s="12" t="s">
        <v>15065</v>
      </c>
      <c r="C910" s="13" t="s">
        <v>15066</v>
      </c>
      <c r="D910" s="13" t="s">
        <v>63</v>
      </c>
      <c r="E910" s="13" t="s">
        <v>15067</v>
      </c>
      <c r="F910" s="13" t="s">
        <v>15068</v>
      </c>
      <c r="G910" s="13" t="s">
        <v>15068</v>
      </c>
      <c r="H910" s="13" t="s">
        <v>15069</v>
      </c>
      <c r="I910" s="9">
        <f t="shared" ca="1" si="14"/>
        <v>31</v>
      </c>
      <c r="J910" s="13" t="s">
        <v>15070</v>
      </c>
      <c r="K910" s="13" t="s">
        <v>67</v>
      </c>
      <c r="L910" s="9" t="str">
        <f>VLOOKUP(K910,[1]中国省份_标准!$B$2:$F$35,4,FALSE)</f>
        <v>东部地区</v>
      </c>
      <c r="M910" s="9" t="str">
        <f>VLOOKUP(K910,[1]中国省份_标准!$B$2:$F$35,5,FALSE)</f>
        <v>华东地区</v>
      </c>
      <c r="N910" s="13" t="s">
        <v>68</v>
      </c>
      <c r="O910" s="13" t="s">
        <v>15071</v>
      </c>
      <c r="P910" s="13" t="s">
        <v>15072</v>
      </c>
      <c r="Q910" s="13" t="s">
        <v>15073</v>
      </c>
      <c r="R910" s="13" t="s">
        <v>15074</v>
      </c>
      <c r="S910" s="13" t="s">
        <v>15075</v>
      </c>
      <c r="T910" s="13" t="s">
        <v>1815</v>
      </c>
      <c r="U910" s="13" t="s">
        <v>15065</v>
      </c>
      <c r="V910" s="13" t="s">
        <v>15076</v>
      </c>
      <c r="W910" s="13" t="s">
        <v>15077</v>
      </c>
      <c r="X910" s="13" t="s">
        <v>15078</v>
      </c>
      <c r="Y910" s="13" t="s">
        <v>78</v>
      </c>
      <c r="Z910" s="13" t="s">
        <v>15079</v>
      </c>
      <c r="AA910" s="13" t="s">
        <v>80</v>
      </c>
      <c r="AB910" s="13" t="s">
        <v>106</v>
      </c>
      <c r="AC910" s="13" t="s">
        <v>808</v>
      </c>
      <c r="AD910" s="13" t="s">
        <v>893</v>
      </c>
      <c r="AE910" s="13" t="s">
        <v>55</v>
      </c>
      <c r="AF910" s="13" t="s">
        <v>15080</v>
      </c>
      <c r="AG910" s="13" t="s">
        <v>39</v>
      </c>
      <c r="AH910" s="13" t="s">
        <v>39</v>
      </c>
      <c r="AI910" s="13" t="s">
        <v>39</v>
      </c>
      <c r="AJ910" s="13" t="s">
        <v>15081</v>
      </c>
      <c r="AK910" s="13" t="s">
        <v>87</v>
      </c>
      <c r="AL910" s="13" t="s">
        <v>88</v>
      </c>
    </row>
    <row r="911" spans="1:38" x14ac:dyDescent="0.4">
      <c r="A911" s="11" t="s">
        <v>15082</v>
      </c>
      <c r="B911" s="14" t="s">
        <v>15083</v>
      </c>
      <c r="C911" s="15" t="s">
        <v>15084</v>
      </c>
      <c r="D911" s="15" t="s">
        <v>63</v>
      </c>
      <c r="E911" s="15" t="s">
        <v>15052</v>
      </c>
      <c r="F911" s="15" t="s">
        <v>5226</v>
      </c>
      <c r="G911" s="15" t="s">
        <v>42</v>
      </c>
      <c r="H911" s="15" t="s">
        <v>15085</v>
      </c>
      <c r="I911" s="9">
        <f t="shared" ca="1" si="14"/>
        <v>31</v>
      </c>
      <c r="J911" s="15" t="s">
        <v>15086</v>
      </c>
      <c r="K911" s="15" t="s">
        <v>67</v>
      </c>
      <c r="L911" s="9" t="str">
        <f>VLOOKUP(K911,[1]中国省份_标准!$B$2:$F$35,4,FALSE)</f>
        <v>东部地区</v>
      </c>
      <c r="M911" s="9" t="str">
        <f>VLOOKUP(K911,[1]中国省份_标准!$B$2:$F$35,5,FALSE)</f>
        <v>华东地区</v>
      </c>
      <c r="N911" s="15" t="s">
        <v>68</v>
      </c>
      <c r="O911" s="15" t="s">
        <v>69</v>
      </c>
      <c r="P911" s="15" t="s">
        <v>15056</v>
      </c>
      <c r="Q911" s="15" t="s">
        <v>15057</v>
      </c>
      <c r="R911" s="15" t="s">
        <v>15058</v>
      </c>
      <c r="S911" s="15" t="s">
        <v>39</v>
      </c>
      <c r="T911" s="15" t="s">
        <v>1815</v>
      </c>
      <c r="U911" s="15" t="s">
        <v>15083</v>
      </c>
      <c r="V911" s="15" t="s">
        <v>15087</v>
      </c>
      <c r="W911" s="15" t="s">
        <v>15088</v>
      </c>
      <c r="X911" s="15" t="s">
        <v>13937</v>
      </c>
      <c r="Y911" s="15" t="s">
        <v>78</v>
      </c>
      <c r="Z911" s="15" t="s">
        <v>15089</v>
      </c>
      <c r="AA911" s="15" t="s">
        <v>80</v>
      </c>
      <c r="AB911" s="15" t="s">
        <v>106</v>
      </c>
      <c r="AC911" s="15" t="s">
        <v>808</v>
      </c>
      <c r="AD911" s="15" t="s">
        <v>893</v>
      </c>
      <c r="AE911" s="15" t="s">
        <v>55</v>
      </c>
      <c r="AF911" s="15" t="s">
        <v>15090</v>
      </c>
      <c r="AG911" s="15" t="s">
        <v>39</v>
      </c>
      <c r="AH911" s="15" t="s">
        <v>39</v>
      </c>
      <c r="AI911" s="15" t="s">
        <v>39</v>
      </c>
      <c r="AJ911" s="15" t="s">
        <v>15091</v>
      </c>
      <c r="AK911" s="15" t="s">
        <v>87</v>
      </c>
      <c r="AL911" s="15" t="s">
        <v>88</v>
      </c>
    </row>
    <row r="912" spans="1:38" x14ac:dyDescent="0.4">
      <c r="A912" s="11" t="s">
        <v>15092</v>
      </c>
      <c r="B912" s="12" t="s">
        <v>15093</v>
      </c>
      <c r="C912" s="13" t="s">
        <v>39</v>
      </c>
      <c r="D912" s="13" t="s">
        <v>92</v>
      </c>
      <c r="E912" s="13" t="s">
        <v>15094</v>
      </c>
      <c r="F912" s="13" t="s">
        <v>39</v>
      </c>
      <c r="G912" s="13" t="s">
        <v>39</v>
      </c>
      <c r="H912" s="13" t="s">
        <v>15095</v>
      </c>
      <c r="I912" s="9">
        <f t="shared" ca="1" si="14"/>
        <v>35</v>
      </c>
      <c r="J912" s="13" t="s">
        <v>15096</v>
      </c>
      <c r="K912" s="13" t="s">
        <v>702</v>
      </c>
      <c r="L912" s="9" t="str">
        <f>VLOOKUP(K912,[1]中国省份_标准!$B$2:$F$35,4,FALSE)</f>
        <v>东部地区</v>
      </c>
      <c r="M912" s="9" t="str">
        <f>VLOOKUP(K912,[1]中国省份_标准!$B$2:$F$35,5,FALSE)</f>
        <v>华北地区</v>
      </c>
      <c r="N912" s="13" t="s">
        <v>15097</v>
      </c>
      <c r="O912" s="13" t="s">
        <v>15098</v>
      </c>
      <c r="P912" s="13" t="s">
        <v>15099</v>
      </c>
      <c r="Q912" s="13" t="s">
        <v>15100</v>
      </c>
      <c r="R912" s="13" t="s">
        <v>15101</v>
      </c>
      <c r="S912" s="13" t="s">
        <v>39</v>
      </c>
      <c r="T912" s="13" t="s">
        <v>15102</v>
      </c>
      <c r="U912" s="13" t="s">
        <v>15093</v>
      </c>
      <c r="V912" s="13" t="s">
        <v>15103</v>
      </c>
      <c r="W912" s="13" t="s">
        <v>15104</v>
      </c>
      <c r="X912" s="13" t="s">
        <v>77</v>
      </c>
      <c r="Y912" s="13" t="s">
        <v>78</v>
      </c>
      <c r="Z912" s="13" t="s">
        <v>15105</v>
      </c>
      <c r="AA912" s="13" t="s">
        <v>850</v>
      </c>
      <c r="AB912" s="13" t="s">
        <v>851</v>
      </c>
      <c r="AC912" s="13" t="s">
        <v>3990</v>
      </c>
      <c r="AD912" s="13" t="s">
        <v>3990</v>
      </c>
      <c r="AE912" s="13" t="s">
        <v>39</v>
      </c>
      <c r="AF912" s="13" t="s">
        <v>15106</v>
      </c>
      <c r="AG912" s="13" t="s">
        <v>39</v>
      </c>
      <c r="AH912" s="13" t="s">
        <v>15107</v>
      </c>
      <c r="AI912" s="13" t="s">
        <v>39</v>
      </c>
      <c r="AJ912" s="13" t="s">
        <v>15108</v>
      </c>
      <c r="AK912" s="13" t="s">
        <v>15109</v>
      </c>
      <c r="AL912" s="13" t="s">
        <v>39</v>
      </c>
    </row>
    <row r="913" spans="1:38" x14ac:dyDescent="0.4">
      <c r="A913" s="11" t="s">
        <v>15110</v>
      </c>
      <c r="B913" s="14" t="s">
        <v>15111</v>
      </c>
      <c r="C913" s="15" t="s">
        <v>15112</v>
      </c>
      <c r="D913" s="15" t="s">
        <v>92</v>
      </c>
      <c r="E913" s="15" t="s">
        <v>15113</v>
      </c>
      <c r="F913" s="15" t="s">
        <v>442</v>
      </c>
      <c r="G913" s="15" t="s">
        <v>39</v>
      </c>
      <c r="H913" s="15" t="s">
        <v>15114</v>
      </c>
      <c r="I913" s="9">
        <f t="shared" ca="1" si="14"/>
        <v>7</v>
      </c>
      <c r="J913" s="15" t="s">
        <v>15115</v>
      </c>
      <c r="K913" s="15" t="s">
        <v>1752</v>
      </c>
      <c r="L913" s="9" t="str">
        <f>VLOOKUP(K913,[1]中国省份_标准!$B$2:$F$35,4,FALSE)</f>
        <v>中部地区</v>
      </c>
      <c r="M913" s="9" t="str">
        <f>VLOOKUP(K913,[1]中国省份_标准!$B$2:$F$35,5,FALSE)</f>
        <v>华中地区</v>
      </c>
      <c r="N913" s="15" t="s">
        <v>1753</v>
      </c>
      <c r="O913" s="15" t="s">
        <v>4841</v>
      </c>
      <c r="P913" s="15" t="s">
        <v>15116</v>
      </c>
      <c r="Q913" s="15" t="s">
        <v>15117</v>
      </c>
      <c r="R913" s="15" t="s">
        <v>15118</v>
      </c>
      <c r="S913" s="15" t="s">
        <v>39</v>
      </c>
      <c r="T913" s="15" t="s">
        <v>48</v>
      </c>
      <c r="U913" s="15" t="s">
        <v>15111</v>
      </c>
      <c r="V913" s="15" t="s">
        <v>15119</v>
      </c>
      <c r="W913" s="15" t="s">
        <v>15120</v>
      </c>
      <c r="X913" s="15" t="s">
        <v>77</v>
      </c>
      <c r="Y913" s="15" t="s">
        <v>78</v>
      </c>
      <c r="Z913" s="15" t="s">
        <v>15121</v>
      </c>
      <c r="AA913" s="15" t="s">
        <v>850</v>
      </c>
      <c r="AB913" s="15" t="s">
        <v>11570</v>
      </c>
      <c r="AC913" s="15" t="s">
        <v>11571</v>
      </c>
      <c r="AD913" s="15" t="s">
        <v>11622</v>
      </c>
      <c r="AE913" s="15" t="s">
        <v>109</v>
      </c>
      <c r="AF913" s="15" t="s">
        <v>15122</v>
      </c>
      <c r="AG913" s="15" t="s">
        <v>39</v>
      </c>
      <c r="AH913" s="15" t="s">
        <v>39</v>
      </c>
      <c r="AI913" s="15" t="s">
        <v>15123</v>
      </c>
      <c r="AJ913" s="15" t="s">
        <v>15124</v>
      </c>
      <c r="AK913" s="15" t="s">
        <v>4854</v>
      </c>
      <c r="AL913" s="15" t="s">
        <v>88</v>
      </c>
    </row>
    <row r="914" spans="1:38" x14ac:dyDescent="0.4">
      <c r="A914" s="11" t="s">
        <v>15125</v>
      </c>
      <c r="B914" s="12" t="s">
        <v>15126</v>
      </c>
      <c r="C914" s="13" t="s">
        <v>15127</v>
      </c>
      <c r="D914" s="13" t="s">
        <v>63</v>
      </c>
      <c r="E914" s="13" t="s">
        <v>15128</v>
      </c>
      <c r="F914" s="13" t="s">
        <v>15129</v>
      </c>
      <c r="G914" s="13" t="s">
        <v>15129</v>
      </c>
      <c r="H914" s="13" t="s">
        <v>15130</v>
      </c>
      <c r="I914" s="9">
        <f t="shared" ca="1" si="14"/>
        <v>23</v>
      </c>
      <c r="J914" s="13" t="s">
        <v>15131</v>
      </c>
      <c r="K914" s="13" t="s">
        <v>425</v>
      </c>
      <c r="L914" s="9" t="str">
        <f>VLOOKUP(K914,[1]中国省份_标准!$B$2:$F$35,4,FALSE)</f>
        <v>东部地区</v>
      </c>
      <c r="M914" s="9" t="str">
        <f>VLOOKUP(K914,[1]中国省份_标准!$B$2:$F$35,5,FALSE)</f>
        <v>华东地区</v>
      </c>
      <c r="N914" s="13" t="s">
        <v>2364</v>
      </c>
      <c r="O914" s="13" t="s">
        <v>2365</v>
      </c>
      <c r="P914" s="13" t="s">
        <v>15132</v>
      </c>
      <c r="Q914" s="13" t="s">
        <v>15133</v>
      </c>
      <c r="R914" s="13" t="s">
        <v>15134</v>
      </c>
      <c r="S914" s="13" t="s">
        <v>15135</v>
      </c>
      <c r="T914" s="13" t="s">
        <v>48</v>
      </c>
      <c r="U914" s="13" t="s">
        <v>15126</v>
      </c>
      <c r="V914" s="13" t="s">
        <v>15136</v>
      </c>
      <c r="W914" s="13" t="s">
        <v>15137</v>
      </c>
      <c r="X914" s="13" t="s">
        <v>1836</v>
      </c>
      <c r="Y914" s="13" t="s">
        <v>78</v>
      </c>
      <c r="Z914" s="13" t="s">
        <v>15138</v>
      </c>
      <c r="AA914" s="13" t="s">
        <v>52</v>
      </c>
      <c r="AB914" s="13" t="s">
        <v>53</v>
      </c>
      <c r="AC914" s="13" t="s">
        <v>2874</v>
      </c>
      <c r="AD914" s="13" t="s">
        <v>4311</v>
      </c>
      <c r="AE914" s="13" t="s">
        <v>55</v>
      </c>
      <c r="AF914" s="13" t="s">
        <v>15139</v>
      </c>
      <c r="AG914" s="13" t="s">
        <v>15140</v>
      </c>
      <c r="AH914" s="13" t="s">
        <v>39</v>
      </c>
      <c r="AI914" s="13" t="s">
        <v>15141</v>
      </c>
      <c r="AJ914" s="13" t="s">
        <v>15142</v>
      </c>
      <c r="AK914" s="13" t="s">
        <v>2376</v>
      </c>
      <c r="AL914" s="13" t="s">
        <v>88</v>
      </c>
    </row>
    <row r="915" spans="1:38" x14ac:dyDescent="0.4">
      <c r="A915" s="11" t="s">
        <v>15143</v>
      </c>
      <c r="B915" s="14" t="s">
        <v>15144</v>
      </c>
      <c r="C915" s="15" t="s">
        <v>39</v>
      </c>
      <c r="D915" s="15" t="s">
        <v>92</v>
      </c>
      <c r="E915" s="15" t="s">
        <v>15145</v>
      </c>
      <c r="F915" s="15" t="s">
        <v>999</v>
      </c>
      <c r="G915" s="15" t="s">
        <v>999</v>
      </c>
      <c r="H915" s="15" t="s">
        <v>15146</v>
      </c>
      <c r="I915" s="9">
        <f t="shared" ca="1" si="14"/>
        <v>6</v>
      </c>
      <c r="J915" s="15" t="s">
        <v>15147</v>
      </c>
      <c r="K915" s="15" t="s">
        <v>227</v>
      </c>
      <c r="L915" s="9" t="str">
        <f>VLOOKUP(K915,[1]中国省份_标准!$B$2:$F$35,4,FALSE)</f>
        <v>西部地区</v>
      </c>
      <c r="M915" s="9" t="str">
        <f>VLOOKUP(K915,[1]中国省份_标准!$B$2:$F$35,5,FALSE)</f>
        <v>西北地区</v>
      </c>
      <c r="N915" s="15" t="s">
        <v>763</v>
      </c>
      <c r="O915" s="15" t="s">
        <v>8074</v>
      </c>
      <c r="P915" s="15" t="s">
        <v>15148</v>
      </c>
      <c r="Q915" s="15" t="s">
        <v>15149</v>
      </c>
      <c r="R915" s="15" t="s">
        <v>15150</v>
      </c>
      <c r="S915" s="15" t="s">
        <v>15151</v>
      </c>
      <c r="T915" s="15" t="s">
        <v>281</v>
      </c>
      <c r="U915" s="15" t="s">
        <v>15144</v>
      </c>
      <c r="V915" s="15" t="s">
        <v>15152</v>
      </c>
      <c r="W915" s="15" t="s">
        <v>15153</v>
      </c>
      <c r="X915" s="15" t="s">
        <v>673</v>
      </c>
      <c r="Y915" s="15" t="s">
        <v>78</v>
      </c>
      <c r="Z915" s="15" t="s">
        <v>15154</v>
      </c>
      <c r="AA915" s="15" t="s">
        <v>850</v>
      </c>
      <c r="AB915" s="15" t="s">
        <v>851</v>
      </c>
      <c r="AC915" s="15" t="s">
        <v>852</v>
      </c>
      <c r="AD915" s="15" t="s">
        <v>15009</v>
      </c>
      <c r="AE915" s="15" t="s">
        <v>55</v>
      </c>
      <c r="AF915" s="15" t="s">
        <v>15155</v>
      </c>
      <c r="AG915" s="15" t="s">
        <v>39</v>
      </c>
      <c r="AH915" s="15" t="s">
        <v>39</v>
      </c>
      <c r="AI915" s="15" t="s">
        <v>15156</v>
      </c>
      <c r="AJ915" s="15" t="s">
        <v>15157</v>
      </c>
      <c r="AK915" s="15" t="s">
        <v>8084</v>
      </c>
      <c r="AL915" s="15" t="s">
        <v>88</v>
      </c>
    </row>
    <row r="916" spans="1:38" x14ac:dyDescent="0.4">
      <c r="A916" s="11" t="s">
        <v>15158</v>
      </c>
      <c r="B916" s="12" t="s">
        <v>15159</v>
      </c>
      <c r="C916" s="13" t="s">
        <v>15160</v>
      </c>
      <c r="D916" s="13" t="s">
        <v>92</v>
      </c>
      <c r="E916" s="13" t="s">
        <v>15161</v>
      </c>
      <c r="F916" s="13" t="s">
        <v>8521</v>
      </c>
      <c r="G916" s="13" t="s">
        <v>8521</v>
      </c>
      <c r="H916" s="13" t="s">
        <v>15162</v>
      </c>
      <c r="I916" s="9">
        <f t="shared" ca="1" si="14"/>
        <v>13</v>
      </c>
      <c r="J916" s="13" t="s">
        <v>15163</v>
      </c>
      <c r="K916" s="13" t="s">
        <v>227</v>
      </c>
      <c r="L916" s="9" t="str">
        <f>VLOOKUP(K916,[1]中国省份_标准!$B$2:$F$35,4,FALSE)</f>
        <v>西部地区</v>
      </c>
      <c r="M916" s="9" t="str">
        <f>VLOOKUP(K916,[1]中国省份_标准!$B$2:$F$35,5,FALSE)</f>
        <v>西北地区</v>
      </c>
      <c r="N916" s="13" t="s">
        <v>2763</v>
      </c>
      <c r="O916" s="13" t="s">
        <v>2764</v>
      </c>
      <c r="P916" s="13" t="s">
        <v>15164</v>
      </c>
      <c r="Q916" s="13" t="s">
        <v>15165</v>
      </c>
      <c r="R916" s="13" t="s">
        <v>15166</v>
      </c>
      <c r="S916" s="13" t="s">
        <v>15167</v>
      </c>
      <c r="T916" s="13" t="s">
        <v>209</v>
      </c>
      <c r="U916" s="13" t="s">
        <v>15159</v>
      </c>
      <c r="V916" s="13" t="s">
        <v>15168</v>
      </c>
      <c r="W916" s="13" t="s">
        <v>15169</v>
      </c>
      <c r="X916" s="13" t="s">
        <v>9614</v>
      </c>
      <c r="Y916" s="13" t="s">
        <v>78</v>
      </c>
      <c r="Z916" s="13" t="s">
        <v>15170</v>
      </c>
      <c r="AA916" s="13" t="s">
        <v>309</v>
      </c>
      <c r="AB916" s="13" t="s">
        <v>15171</v>
      </c>
      <c r="AC916" s="13" t="s">
        <v>15172</v>
      </c>
      <c r="AD916" s="13" t="s">
        <v>15173</v>
      </c>
      <c r="AE916" s="13" t="s">
        <v>239</v>
      </c>
      <c r="AF916" s="13" t="s">
        <v>15174</v>
      </c>
      <c r="AG916" s="13" t="s">
        <v>39</v>
      </c>
      <c r="AH916" s="13" t="s">
        <v>39</v>
      </c>
      <c r="AI916" s="13" t="s">
        <v>15175</v>
      </c>
      <c r="AJ916" s="13" t="s">
        <v>15176</v>
      </c>
      <c r="AK916" s="13" t="s">
        <v>2776</v>
      </c>
      <c r="AL916" s="13" t="s">
        <v>88</v>
      </c>
    </row>
    <row r="917" spans="1:38" x14ac:dyDescent="0.4">
      <c r="A917" s="11" t="s">
        <v>15177</v>
      </c>
      <c r="B917" s="14" t="s">
        <v>15178</v>
      </c>
      <c r="C917" s="15" t="s">
        <v>15179</v>
      </c>
      <c r="D917" s="15" t="s">
        <v>92</v>
      </c>
      <c r="E917" s="15" t="s">
        <v>15180</v>
      </c>
      <c r="F917" s="15" t="s">
        <v>15181</v>
      </c>
      <c r="G917" s="15" t="s">
        <v>15181</v>
      </c>
      <c r="H917" s="15" t="s">
        <v>15182</v>
      </c>
      <c r="I917" s="9">
        <f t="shared" ca="1" si="14"/>
        <v>16</v>
      </c>
      <c r="J917" s="15" t="s">
        <v>15183</v>
      </c>
      <c r="K917" s="15" t="s">
        <v>13149</v>
      </c>
      <c r="L917" s="9" t="str">
        <f>VLOOKUP(K917,[1]中国省份_标准!$B$2:$F$35,4,FALSE)</f>
        <v>西部地区</v>
      </c>
      <c r="M917" s="9" t="str">
        <f>VLOOKUP(K917,[1]中国省份_标准!$B$2:$F$35,5,FALSE)</f>
        <v>西北地区</v>
      </c>
      <c r="N917" s="15" t="s">
        <v>13150</v>
      </c>
      <c r="O917" s="15" t="s">
        <v>15184</v>
      </c>
      <c r="P917" s="15" t="s">
        <v>15185</v>
      </c>
      <c r="Q917" s="15" t="s">
        <v>15186</v>
      </c>
      <c r="R917" s="15" t="s">
        <v>15187</v>
      </c>
      <c r="S917" s="15" t="s">
        <v>15188</v>
      </c>
      <c r="T917" s="15" t="s">
        <v>209</v>
      </c>
      <c r="U917" s="15" t="s">
        <v>15178</v>
      </c>
      <c r="V917" s="15" t="s">
        <v>15189</v>
      </c>
      <c r="W917" s="15" t="s">
        <v>15190</v>
      </c>
      <c r="X917" s="15" t="s">
        <v>3095</v>
      </c>
      <c r="Y917" s="15" t="s">
        <v>78</v>
      </c>
      <c r="Z917" s="15" t="s">
        <v>15191</v>
      </c>
      <c r="AA917" s="15" t="s">
        <v>850</v>
      </c>
      <c r="AB917" s="15" t="s">
        <v>9442</v>
      </c>
      <c r="AC917" s="15" t="s">
        <v>10309</v>
      </c>
      <c r="AD917" s="15" t="s">
        <v>10310</v>
      </c>
      <c r="AE917" s="15" t="s">
        <v>55</v>
      </c>
      <c r="AF917" s="15" t="s">
        <v>15192</v>
      </c>
      <c r="AG917" s="15" t="s">
        <v>39</v>
      </c>
      <c r="AH917" s="15" t="s">
        <v>15193</v>
      </c>
      <c r="AI917" s="15" t="s">
        <v>15194</v>
      </c>
      <c r="AJ917" s="15" t="s">
        <v>15195</v>
      </c>
      <c r="AK917" s="15" t="s">
        <v>13161</v>
      </c>
      <c r="AL917" s="15" t="s">
        <v>88</v>
      </c>
    </row>
    <row r="918" spans="1:38" x14ac:dyDescent="0.4">
      <c r="A918" s="11" t="s">
        <v>15196</v>
      </c>
      <c r="B918" s="12" t="s">
        <v>15197</v>
      </c>
      <c r="C918" s="13" t="s">
        <v>15198</v>
      </c>
      <c r="D918" s="13" t="s">
        <v>92</v>
      </c>
      <c r="E918" s="13" t="s">
        <v>15199</v>
      </c>
      <c r="F918" s="13" t="s">
        <v>9502</v>
      </c>
      <c r="G918" s="13" t="s">
        <v>9502</v>
      </c>
      <c r="H918" s="13" t="s">
        <v>15200</v>
      </c>
      <c r="I918" s="9">
        <f t="shared" ca="1" si="14"/>
        <v>24</v>
      </c>
      <c r="J918" s="13" t="s">
        <v>15201</v>
      </c>
      <c r="K918" s="13" t="s">
        <v>379</v>
      </c>
      <c r="L918" s="9" t="str">
        <f>VLOOKUP(K918,[1]中国省份_标准!$B$2:$F$35,4,FALSE)</f>
        <v>东部地区</v>
      </c>
      <c r="M918" s="9" t="str">
        <f>VLOOKUP(K918,[1]中国省份_标准!$B$2:$F$35,5,FALSE)</f>
        <v>华东地区</v>
      </c>
      <c r="N918" s="13" t="s">
        <v>1221</v>
      </c>
      <c r="O918" s="13" t="s">
        <v>3319</v>
      </c>
      <c r="P918" s="13" t="s">
        <v>15202</v>
      </c>
      <c r="Q918" s="13" t="s">
        <v>15203</v>
      </c>
      <c r="R918" s="13" t="s">
        <v>15204</v>
      </c>
      <c r="S918" s="13" t="s">
        <v>15205</v>
      </c>
      <c r="T918" s="13" t="s">
        <v>15206</v>
      </c>
      <c r="U918" s="13" t="s">
        <v>15197</v>
      </c>
      <c r="V918" s="13" t="s">
        <v>15207</v>
      </c>
      <c r="W918" s="13" t="s">
        <v>15208</v>
      </c>
      <c r="X918" s="13" t="s">
        <v>5674</v>
      </c>
      <c r="Y918" s="13" t="s">
        <v>78</v>
      </c>
      <c r="Z918" s="13" t="s">
        <v>15209</v>
      </c>
      <c r="AA918" s="13" t="s">
        <v>850</v>
      </c>
      <c r="AB918" s="13" t="s">
        <v>11570</v>
      </c>
      <c r="AC918" s="13" t="s">
        <v>11571</v>
      </c>
      <c r="AD918" s="13" t="s">
        <v>11622</v>
      </c>
      <c r="AE918" s="13" t="s">
        <v>262</v>
      </c>
      <c r="AF918" s="13" t="s">
        <v>15210</v>
      </c>
      <c r="AG918" s="13" t="s">
        <v>15211</v>
      </c>
      <c r="AH918" s="13" t="s">
        <v>39</v>
      </c>
      <c r="AI918" s="13" t="s">
        <v>15212</v>
      </c>
      <c r="AJ918" s="13" t="s">
        <v>15213</v>
      </c>
      <c r="AK918" s="13" t="s">
        <v>3333</v>
      </c>
      <c r="AL918" s="13" t="s">
        <v>88</v>
      </c>
    </row>
    <row r="919" spans="1:38" x14ac:dyDescent="0.4">
      <c r="A919" s="11" t="s">
        <v>15214</v>
      </c>
      <c r="B919" s="14" t="s">
        <v>15215</v>
      </c>
      <c r="C919" s="15" t="s">
        <v>39</v>
      </c>
      <c r="D919" s="15" t="s">
        <v>63</v>
      </c>
      <c r="E919" s="15" t="s">
        <v>15216</v>
      </c>
      <c r="F919" s="15" t="s">
        <v>15217</v>
      </c>
      <c r="G919" s="15" t="s">
        <v>15217</v>
      </c>
      <c r="H919" s="15" t="s">
        <v>15218</v>
      </c>
      <c r="I919" s="9">
        <f t="shared" ca="1" si="14"/>
        <v>34</v>
      </c>
      <c r="J919" s="15" t="s">
        <v>15219</v>
      </c>
      <c r="K919" s="15" t="s">
        <v>67</v>
      </c>
      <c r="L919" s="9" t="str">
        <f>VLOOKUP(K919,[1]中国省份_标准!$B$2:$F$35,4,FALSE)</f>
        <v>东部地区</v>
      </c>
      <c r="M919" s="9" t="str">
        <f>VLOOKUP(K919,[1]中国省份_标准!$B$2:$F$35,5,FALSE)</f>
        <v>华东地区</v>
      </c>
      <c r="N919" s="15" t="s">
        <v>1809</v>
      </c>
      <c r="O919" s="15" t="s">
        <v>15220</v>
      </c>
      <c r="P919" s="15" t="s">
        <v>15221</v>
      </c>
      <c r="Q919" s="15" t="s">
        <v>15222</v>
      </c>
      <c r="R919" s="15" t="s">
        <v>15223</v>
      </c>
      <c r="S919" s="15" t="s">
        <v>15224</v>
      </c>
      <c r="T919" s="15" t="s">
        <v>1815</v>
      </c>
      <c r="U919" s="15" t="s">
        <v>15215</v>
      </c>
      <c r="V919" s="15" t="s">
        <v>15225</v>
      </c>
      <c r="W919" s="15" t="s">
        <v>15226</v>
      </c>
      <c r="X919" s="15" t="s">
        <v>7493</v>
      </c>
      <c r="Y919" s="15" t="s">
        <v>78</v>
      </c>
      <c r="Z919" s="15" t="s">
        <v>15227</v>
      </c>
      <c r="AA919" s="15" t="s">
        <v>80</v>
      </c>
      <c r="AB919" s="15" t="s">
        <v>106</v>
      </c>
      <c r="AC919" s="15" t="s">
        <v>808</v>
      </c>
      <c r="AD919" s="15" t="s">
        <v>893</v>
      </c>
      <c r="AE919" s="15" t="s">
        <v>55</v>
      </c>
      <c r="AF919" s="15" t="s">
        <v>15228</v>
      </c>
      <c r="AG919" s="15" t="s">
        <v>39</v>
      </c>
      <c r="AH919" s="15" t="s">
        <v>39</v>
      </c>
      <c r="AI919" s="15" t="s">
        <v>39</v>
      </c>
      <c r="AJ919" s="15" t="s">
        <v>15229</v>
      </c>
      <c r="AK919" s="15" t="s">
        <v>15230</v>
      </c>
      <c r="AL919" s="15" t="s">
        <v>88</v>
      </c>
    </row>
    <row r="920" spans="1:38" x14ac:dyDescent="0.4">
      <c r="A920" s="11" t="s">
        <v>15231</v>
      </c>
      <c r="B920" s="12" t="s">
        <v>15232</v>
      </c>
      <c r="C920" s="13" t="s">
        <v>39</v>
      </c>
      <c r="D920" s="13" t="s">
        <v>92</v>
      </c>
      <c r="E920" s="13" t="s">
        <v>15233</v>
      </c>
      <c r="F920" s="13" t="s">
        <v>271</v>
      </c>
      <c r="G920" s="13" t="s">
        <v>271</v>
      </c>
      <c r="H920" s="13" t="s">
        <v>15234</v>
      </c>
      <c r="I920" s="9">
        <f t="shared" ca="1" si="14"/>
        <v>5</v>
      </c>
      <c r="J920" s="13" t="s">
        <v>15235</v>
      </c>
      <c r="K920" s="13" t="s">
        <v>227</v>
      </c>
      <c r="L920" s="9" t="str">
        <f>VLOOKUP(K920,[1]中国省份_标准!$B$2:$F$35,4,FALSE)</f>
        <v>西部地区</v>
      </c>
      <c r="M920" s="9" t="str">
        <f>VLOOKUP(K920,[1]中国省份_标准!$B$2:$F$35,5,FALSE)</f>
        <v>西北地区</v>
      </c>
      <c r="N920" s="13" t="s">
        <v>1002</v>
      </c>
      <c r="O920" s="13" t="s">
        <v>3278</v>
      </c>
      <c r="P920" s="13" t="s">
        <v>15236</v>
      </c>
      <c r="Q920" s="13" t="s">
        <v>15237</v>
      </c>
      <c r="R920" s="13" t="s">
        <v>15238</v>
      </c>
      <c r="S920" s="13" t="s">
        <v>15239</v>
      </c>
      <c r="T920" s="13" t="s">
        <v>209</v>
      </c>
      <c r="U920" s="13" t="s">
        <v>15232</v>
      </c>
      <c r="V920" s="13" t="s">
        <v>15240</v>
      </c>
      <c r="W920" s="13" t="s">
        <v>15241</v>
      </c>
      <c r="X920" s="13" t="s">
        <v>4120</v>
      </c>
      <c r="Y920" s="13" t="s">
        <v>78</v>
      </c>
      <c r="Z920" s="13" t="s">
        <v>15242</v>
      </c>
      <c r="AA920" s="13" t="s">
        <v>850</v>
      </c>
      <c r="AB920" s="13" t="s">
        <v>851</v>
      </c>
      <c r="AC920" s="13" t="s">
        <v>3990</v>
      </c>
      <c r="AD920" s="13" t="s">
        <v>3990</v>
      </c>
      <c r="AE920" s="13" t="s">
        <v>55</v>
      </c>
      <c r="AF920" s="13" t="s">
        <v>15243</v>
      </c>
      <c r="AG920" s="13" t="s">
        <v>39</v>
      </c>
      <c r="AH920" s="13" t="s">
        <v>39</v>
      </c>
      <c r="AI920" s="13" t="s">
        <v>15244</v>
      </c>
      <c r="AJ920" s="13" t="s">
        <v>15245</v>
      </c>
      <c r="AK920" s="13" t="s">
        <v>3903</v>
      </c>
      <c r="AL920" s="13" t="s">
        <v>88</v>
      </c>
    </row>
    <row r="921" spans="1:38" x14ac:dyDescent="0.4">
      <c r="A921" s="11" t="s">
        <v>15246</v>
      </c>
      <c r="B921" s="14" t="s">
        <v>15247</v>
      </c>
      <c r="C921" s="15" t="s">
        <v>39</v>
      </c>
      <c r="D921" s="15" t="s">
        <v>92</v>
      </c>
      <c r="E921" s="15" t="s">
        <v>15248</v>
      </c>
      <c r="F921" s="15" t="s">
        <v>15249</v>
      </c>
      <c r="G921" s="15" t="s">
        <v>15250</v>
      </c>
      <c r="H921" s="15" t="s">
        <v>3753</v>
      </c>
      <c r="I921" s="9">
        <f t="shared" ca="1" si="14"/>
        <v>25</v>
      </c>
      <c r="J921" s="15" t="s">
        <v>15251</v>
      </c>
      <c r="K921" s="15" t="s">
        <v>227</v>
      </c>
      <c r="L921" s="9" t="str">
        <f>VLOOKUP(K921,[1]中国省份_标准!$B$2:$F$35,4,FALSE)</f>
        <v>西部地区</v>
      </c>
      <c r="M921" s="9" t="str">
        <f>VLOOKUP(K921,[1]中国省份_标准!$B$2:$F$35,5,FALSE)</f>
        <v>西北地区</v>
      </c>
      <c r="N921" s="15" t="s">
        <v>228</v>
      </c>
      <c r="O921" s="15" t="s">
        <v>3618</v>
      </c>
      <c r="P921" s="15" t="s">
        <v>15252</v>
      </c>
      <c r="Q921" s="15" t="s">
        <v>15253</v>
      </c>
      <c r="R921" s="15" t="s">
        <v>15254</v>
      </c>
      <c r="S921" s="15" t="s">
        <v>15255</v>
      </c>
      <c r="T921" s="15" t="s">
        <v>209</v>
      </c>
      <c r="U921" s="15" t="s">
        <v>15247</v>
      </c>
      <c r="V921" s="15" t="s">
        <v>15256</v>
      </c>
      <c r="W921" s="15" t="s">
        <v>15257</v>
      </c>
      <c r="X921" s="15" t="s">
        <v>15258</v>
      </c>
      <c r="Y921" s="15" t="s">
        <v>78</v>
      </c>
      <c r="Z921" s="15" t="s">
        <v>3763</v>
      </c>
      <c r="AA921" s="15" t="s">
        <v>52</v>
      </c>
      <c r="AB921" s="15" t="s">
        <v>53</v>
      </c>
      <c r="AC921" s="15" t="s">
        <v>2874</v>
      </c>
      <c r="AD921" s="15" t="s">
        <v>4311</v>
      </c>
      <c r="AE921" s="15" t="s">
        <v>262</v>
      </c>
      <c r="AF921" s="15" t="s">
        <v>15259</v>
      </c>
      <c r="AG921" s="15" t="s">
        <v>39</v>
      </c>
      <c r="AH921" s="15" t="s">
        <v>39</v>
      </c>
      <c r="AI921" s="15" t="s">
        <v>15260</v>
      </c>
      <c r="AJ921" s="15" t="s">
        <v>15261</v>
      </c>
      <c r="AK921" s="15" t="s">
        <v>3630</v>
      </c>
      <c r="AL921" s="15" t="s">
        <v>88</v>
      </c>
    </row>
    <row r="922" spans="1:38" x14ac:dyDescent="0.4">
      <c r="A922" s="11" t="s">
        <v>15262</v>
      </c>
      <c r="B922" s="12" t="s">
        <v>15263</v>
      </c>
      <c r="C922" s="13" t="s">
        <v>39</v>
      </c>
      <c r="D922" s="13" t="s">
        <v>92</v>
      </c>
      <c r="E922" s="13" t="s">
        <v>15264</v>
      </c>
      <c r="F922" s="13" t="s">
        <v>999</v>
      </c>
      <c r="G922" s="13" t="s">
        <v>999</v>
      </c>
      <c r="H922" s="13" t="s">
        <v>15265</v>
      </c>
      <c r="I922" s="9">
        <f t="shared" ca="1" si="14"/>
        <v>6</v>
      </c>
      <c r="J922" s="13" t="s">
        <v>15266</v>
      </c>
      <c r="K922" s="13" t="s">
        <v>227</v>
      </c>
      <c r="L922" s="9" t="str">
        <f>VLOOKUP(K922,[1]中国省份_标准!$B$2:$F$35,4,FALSE)</f>
        <v>西部地区</v>
      </c>
      <c r="M922" s="9" t="str">
        <f>VLOOKUP(K922,[1]中国省份_标准!$B$2:$F$35,5,FALSE)</f>
        <v>西北地区</v>
      </c>
      <c r="N922" s="13" t="s">
        <v>15267</v>
      </c>
      <c r="O922" s="13" t="s">
        <v>15268</v>
      </c>
      <c r="P922" s="13" t="s">
        <v>15269</v>
      </c>
      <c r="Q922" s="13" t="s">
        <v>15270</v>
      </c>
      <c r="R922" s="13" t="s">
        <v>15271</v>
      </c>
      <c r="S922" s="13" t="s">
        <v>15272</v>
      </c>
      <c r="T922" s="13" t="s">
        <v>209</v>
      </c>
      <c r="U922" s="13" t="s">
        <v>15263</v>
      </c>
      <c r="V922" s="13" t="s">
        <v>39</v>
      </c>
      <c r="W922" s="13" t="s">
        <v>15273</v>
      </c>
      <c r="X922" s="13" t="s">
        <v>1209</v>
      </c>
      <c r="Y922" s="13" t="s">
        <v>78</v>
      </c>
      <c r="Z922" s="13" t="s">
        <v>15274</v>
      </c>
      <c r="AA922" s="13" t="s">
        <v>169</v>
      </c>
      <c r="AB922" s="13" t="s">
        <v>285</v>
      </c>
      <c r="AC922" s="13" t="s">
        <v>479</v>
      </c>
      <c r="AD922" s="13" t="s">
        <v>480</v>
      </c>
      <c r="AE922" s="13" t="s">
        <v>109</v>
      </c>
      <c r="AF922" s="13" t="s">
        <v>15275</v>
      </c>
      <c r="AG922" s="13" t="s">
        <v>39</v>
      </c>
      <c r="AH922" s="13" t="s">
        <v>39</v>
      </c>
      <c r="AI922" s="13" t="s">
        <v>15276</v>
      </c>
      <c r="AJ922" s="13" t="s">
        <v>15277</v>
      </c>
      <c r="AK922" s="13" t="s">
        <v>15278</v>
      </c>
      <c r="AL922" s="13" t="s">
        <v>88</v>
      </c>
    </row>
    <row r="923" spans="1:38" x14ac:dyDescent="0.4">
      <c r="A923" s="11" t="s">
        <v>15279</v>
      </c>
      <c r="B923" s="14" t="s">
        <v>15280</v>
      </c>
      <c r="C923" s="15" t="s">
        <v>15281</v>
      </c>
      <c r="D923" s="15" t="s">
        <v>92</v>
      </c>
      <c r="E923" s="15" t="s">
        <v>15282</v>
      </c>
      <c r="F923" s="15" t="s">
        <v>39</v>
      </c>
      <c r="G923" s="15" t="s">
        <v>39</v>
      </c>
      <c r="H923" s="15" t="s">
        <v>15283</v>
      </c>
      <c r="I923" s="9">
        <f t="shared" ca="1" si="14"/>
        <v>16</v>
      </c>
      <c r="J923" s="15" t="s">
        <v>15284</v>
      </c>
      <c r="K923" s="15" t="s">
        <v>227</v>
      </c>
      <c r="L923" s="9" t="str">
        <f>VLOOKUP(K923,[1]中国省份_标准!$B$2:$F$35,4,FALSE)</f>
        <v>西部地区</v>
      </c>
      <c r="M923" s="9" t="str">
        <f>VLOOKUP(K923,[1]中国省份_标准!$B$2:$F$35,5,FALSE)</f>
        <v>西北地区</v>
      </c>
      <c r="N923" s="15" t="s">
        <v>763</v>
      </c>
      <c r="O923" s="15" t="s">
        <v>6880</v>
      </c>
      <c r="P923" s="15" t="s">
        <v>15285</v>
      </c>
      <c r="Q923" s="15" t="s">
        <v>15286</v>
      </c>
      <c r="R923" s="15" t="s">
        <v>15287</v>
      </c>
      <c r="S923" s="15" t="s">
        <v>15288</v>
      </c>
      <c r="T923" s="15" t="s">
        <v>15289</v>
      </c>
      <c r="U923" s="15" t="s">
        <v>15280</v>
      </c>
      <c r="V923" s="15" t="s">
        <v>15290</v>
      </c>
      <c r="W923" s="15" t="s">
        <v>15291</v>
      </c>
      <c r="X923" s="15" t="s">
        <v>9493</v>
      </c>
      <c r="Y923" s="15" t="s">
        <v>78</v>
      </c>
      <c r="Z923" s="15" t="s">
        <v>15292</v>
      </c>
      <c r="AA923" s="15" t="s">
        <v>80</v>
      </c>
      <c r="AB923" s="15" t="s">
        <v>106</v>
      </c>
      <c r="AC923" s="15" t="s">
        <v>808</v>
      </c>
      <c r="AD923" s="15" t="s">
        <v>893</v>
      </c>
      <c r="AE923" s="15" t="s">
        <v>39</v>
      </c>
      <c r="AF923" s="15" t="s">
        <v>15293</v>
      </c>
      <c r="AG923" s="15" t="s">
        <v>39</v>
      </c>
      <c r="AH923" s="15" t="s">
        <v>39</v>
      </c>
      <c r="AI923" s="15" t="s">
        <v>15294</v>
      </c>
      <c r="AJ923" s="15" t="s">
        <v>15295</v>
      </c>
      <c r="AK923" s="15" t="s">
        <v>6892</v>
      </c>
      <c r="AL923" s="15" t="s">
        <v>88</v>
      </c>
    </row>
    <row r="924" spans="1:38" x14ac:dyDescent="0.4">
      <c r="A924" s="11" t="s">
        <v>15296</v>
      </c>
      <c r="B924" s="12" t="s">
        <v>15297</v>
      </c>
      <c r="C924" s="13" t="s">
        <v>39</v>
      </c>
      <c r="D924" s="13" t="s">
        <v>92</v>
      </c>
      <c r="E924" s="13" t="s">
        <v>15298</v>
      </c>
      <c r="F924" s="13" t="s">
        <v>15299</v>
      </c>
      <c r="G924" s="13" t="s">
        <v>15300</v>
      </c>
      <c r="H924" s="13" t="s">
        <v>15301</v>
      </c>
      <c r="I924" s="9">
        <f t="shared" ca="1" si="14"/>
        <v>19</v>
      </c>
      <c r="J924" s="13" t="s">
        <v>15302</v>
      </c>
      <c r="K924" s="13" t="s">
        <v>227</v>
      </c>
      <c r="L924" s="9" t="str">
        <f>VLOOKUP(K924,[1]中国省份_标准!$B$2:$F$35,4,FALSE)</f>
        <v>西部地区</v>
      </c>
      <c r="M924" s="9" t="str">
        <f>VLOOKUP(K924,[1]中国省份_标准!$B$2:$F$35,5,FALSE)</f>
        <v>西北地区</v>
      </c>
      <c r="N924" s="13" t="s">
        <v>763</v>
      </c>
      <c r="O924" s="13" t="s">
        <v>6880</v>
      </c>
      <c r="P924" s="13" t="s">
        <v>15303</v>
      </c>
      <c r="Q924" s="13" t="s">
        <v>15304</v>
      </c>
      <c r="R924" s="13" t="s">
        <v>15305</v>
      </c>
      <c r="S924" s="13" t="s">
        <v>15306</v>
      </c>
      <c r="T924" s="13" t="s">
        <v>452</v>
      </c>
      <c r="U924" s="13" t="s">
        <v>15297</v>
      </c>
      <c r="V924" s="13" t="s">
        <v>15307</v>
      </c>
      <c r="W924" s="13" t="s">
        <v>15308</v>
      </c>
      <c r="X924" s="13" t="s">
        <v>6451</v>
      </c>
      <c r="Y924" s="13" t="s">
        <v>78</v>
      </c>
      <c r="Z924" s="13" t="s">
        <v>15309</v>
      </c>
      <c r="AA924" s="13" t="s">
        <v>850</v>
      </c>
      <c r="AB924" s="13" t="s">
        <v>11570</v>
      </c>
      <c r="AC924" s="13" t="s">
        <v>11571</v>
      </c>
      <c r="AD924" s="13" t="s">
        <v>14322</v>
      </c>
      <c r="AE924" s="13" t="s">
        <v>109</v>
      </c>
      <c r="AF924" s="13" t="s">
        <v>15310</v>
      </c>
      <c r="AG924" s="13" t="s">
        <v>39</v>
      </c>
      <c r="AH924" s="13" t="s">
        <v>39</v>
      </c>
      <c r="AI924" s="13" t="s">
        <v>15311</v>
      </c>
      <c r="AJ924" s="13" t="s">
        <v>15312</v>
      </c>
      <c r="AK924" s="13" t="s">
        <v>6892</v>
      </c>
      <c r="AL924" s="13" t="s">
        <v>88</v>
      </c>
    </row>
    <row r="925" spans="1:38" x14ac:dyDescent="0.4">
      <c r="A925" s="11" t="s">
        <v>15313</v>
      </c>
      <c r="B925" s="14" t="s">
        <v>15314</v>
      </c>
      <c r="C925" s="15" t="s">
        <v>39</v>
      </c>
      <c r="D925" s="15" t="s">
        <v>92</v>
      </c>
      <c r="E925" s="15" t="s">
        <v>15315</v>
      </c>
      <c r="F925" s="15" t="s">
        <v>15316</v>
      </c>
      <c r="G925" s="15" t="s">
        <v>39</v>
      </c>
      <c r="H925" s="15" t="s">
        <v>15317</v>
      </c>
      <c r="I925" s="9">
        <f t="shared" ca="1" si="14"/>
        <v>41</v>
      </c>
      <c r="J925" s="15" t="s">
        <v>15318</v>
      </c>
      <c r="K925" s="15" t="s">
        <v>227</v>
      </c>
      <c r="L925" s="9" t="str">
        <f>VLOOKUP(K925,[1]中国省份_标准!$B$2:$F$35,4,FALSE)</f>
        <v>西部地区</v>
      </c>
      <c r="M925" s="9" t="str">
        <f>VLOOKUP(K925,[1]中国省份_标准!$B$2:$F$35,5,FALSE)</f>
        <v>西北地区</v>
      </c>
      <c r="N925" s="15" t="s">
        <v>228</v>
      </c>
      <c r="O925" s="15" t="s">
        <v>13200</v>
      </c>
      <c r="P925" s="15" t="s">
        <v>15319</v>
      </c>
      <c r="Q925" s="15" t="s">
        <v>15320</v>
      </c>
      <c r="R925" s="15" t="s">
        <v>15321</v>
      </c>
      <c r="S925" s="15" t="s">
        <v>39</v>
      </c>
      <c r="T925" s="15" t="s">
        <v>1815</v>
      </c>
      <c r="U925" s="15" t="s">
        <v>15314</v>
      </c>
      <c r="V925" s="15" t="s">
        <v>15322</v>
      </c>
      <c r="W925" s="15" t="s">
        <v>15323</v>
      </c>
      <c r="X925" s="15" t="s">
        <v>1794</v>
      </c>
      <c r="Y925" s="15" t="s">
        <v>78</v>
      </c>
      <c r="Z925" s="15" t="s">
        <v>15324</v>
      </c>
      <c r="AA925" s="15" t="s">
        <v>80</v>
      </c>
      <c r="AB925" s="15" t="s">
        <v>106</v>
      </c>
      <c r="AC925" s="15" t="s">
        <v>808</v>
      </c>
      <c r="AD925" s="15" t="s">
        <v>893</v>
      </c>
      <c r="AE925" s="15" t="s">
        <v>55</v>
      </c>
      <c r="AF925" s="15" t="s">
        <v>15325</v>
      </c>
      <c r="AG925" s="15" t="s">
        <v>39</v>
      </c>
      <c r="AH925" s="15" t="s">
        <v>39</v>
      </c>
      <c r="AI925" s="15" t="s">
        <v>39</v>
      </c>
      <c r="AJ925" s="15" t="s">
        <v>15326</v>
      </c>
      <c r="AK925" s="15" t="s">
        <v>13211</v>
      </c>
      <c r="AL925" s="15" t="s">
        <v>88</v>
      </c>
    </row>
    <row r="926" spans="1:38" x14ac:dyDescent="0.4">
      <c r="A926" s="11" t="s">
        <v>15327</v>
      </c>
      <c r="B926" s="12" t="s">
        <v>15328</v>
      </c>
      <c r="C926" s="13" t="s">
        <v>39</v>
      </c>
      <c r="D926" s="13" t="s">
        <v>92</v>
      </c>
      <c r="E926" s="13" t="s">
        <v>15329</v>
      </c>
      <c r="F926" s="13" t="s">
        <v>39</v>
      </c>
      <c r="G926" s="13" t="s">
        <v>39</v>
      </c>
      <c r="H926" s="13" t="s">
        <v>15330</v>
      </c>
      <c r="I926" s="9">
        <f t="shared" ca="1" si="14"/>
        <v>7</v>
      </c>
      <c r="J926" s="13" t="s">
        <v>15331</v>
      </c>
      <c r="K926" s="13" t="s">
        <v>227</v>
      </c>
      <c r="L926" s="9" t="str">
        <f>VLOOKUP(K926,[1]中国省份_标准!$B$2:$F$35,4,FALSE)</f>
        <v>西部地区</v>
      </c>
      <c r="M926" s="9" t="str">
        <f>VLOOKUP(K926,[1]中国省份_标准!$B$2:$F$35,5,FALSE)</f>
        <v>西北地区</v>
      </c>
      <c r="N926" s="13" t="s">
        <v>7434</v>
      </c>
      <c r="O926" s="13" t="s">
        <v>13527</v>
      </c>
      <c r="P926" s="13" t="s">
        <v>15332</v>
      </c>
      <c r="Q926" s="13" t="s">
        <v>15333</v>
      </c>
      <c r="R926" s="13" t="s">
        <v>15334</v>
      </c>
      <c r="S926" s="13" t="s">
        <v>39</v>
      </c>
      <c r="T926" s="13" t="s">
        <v>13683</v>
      </c>
      <c r="U926" s="13" t="s">
        <v>15328</v>
      </c>
      <c r="V926" s="13" t="s">
        <v>15335</v>
      </c>
      <c r="W926" s="13" t="s">
        <v>15336</v>
      </c>
      <c r="X926" s="13" t="s">
        <v>2935</v>
      </c>
      <c r="Y926" s="13" t="s">
        <v>78</v>
      </c>
      <c r="Z926" s="13" t="s">
        <v>15337</v>
      </c>
      <c r="AA926" s="13" t="s">
        <v>80</v>
      </c>
      <c r="AB926" s="13" t="s">
        <v>106</v>
      </c>
      <c r="AC926" s="13" t="s">
        <v>808</v>
      </c>
      <c r="AD926" s="13" t="s">
        <v>893</v>
      </c>
      <c r="AE926" s="13" t="s">
        <v>39</v>
      </c>
      <c r="AF926" s="13" t="s">
        <v>15338</v>
      </c>
      <c r="AG926" s="13" t="s">
        <v>39</v>
      </c>
      <c r="AH926" s="13" t="s">
        <v>39</v>
      </c>
      <c r="AI926" s="13" t="s">
        <v>15339</v>
      </c>
      <c r="AJ926" s="13" t="s">
        <v>15340</v>
      </c>
      <c r="AK926" s="13" t="s">
        <v>13538</v>
      </c>
      <c r="AL926" s="13" t="s">
        <v>88</v>
      </c>
    </row>
    <row r="927" spans="1:38" x14ac:dyDescent="0.4">
      <c r="A927" s="11" t="s">
        <v>15341</v>
      </c>
      <c r="B927" s="14" t="s">
        <v>15342</v>
      </c>
      <c r="C927" s="15" t="s">
        <v>39</v>
      </c>
      <c r="D927" s="15" t="s">
        <v>92</v>
      </c>
      <c r="E927" s="15" t="s">
        <v>15343</v>
      </c>
      <c r="F927" s="15" t="s">
        <v>15344</v>
      </c>
      <c r="G927" s="15" t="s">
        <v>15344</v>
      </c>
      <c r="H927" s="15" t="s">
        <v>15345</v>
      </c>
      <c r="I927" s="9">
        <f t="shared" ca="1" si="14"/>
        <v>11</v>
      </c>
      <c r="J927" s="15" t="s">
        <v>15346</v>
      </c>
      <c r="K927" s="15" t="s">
        <v>227</v>
      </c>
      <c r="L927" s="9" t="str">
        <f>VLOOKUP(K927,[1]中国省份_标准!$B$2:$F$35,4,FALSE)</f>
        <v>西部地区</v>
      </c>
      <c r="M927" s="9" t="str">
        <f>VLOOKUP(K927,[1]中国省份_标准!$B$2:$F$35,5,FALSE)</f>
        <v>西北地区</v>
      </c>
      <c r="N927" s="15" t="s">
        <v>7434</v>
      </c>
      <c r="O927" s="15" t="s">
        <v>13527</v>
      </c>
      <c r="P927" s="15" t="s">
        <v>15347</v>
      </c>
      <c r="Q927" s="15" t="s">
        <v>15348</v>
      </c>
      <c r="R927" s="15" t="s">
        <v>15349</v>
      </c>
      <c r="S927" s="15" t="s">
        <v>15350</v>
      </c>
      <c r="T927" s="15" t="s">
        <v>3623</v>
      </c>
      <c r="U927" s="15" t="s">
        <v>15342</v>
      </c>
      <c r="V927" s="15" t="s">
        <v>15351</v>
      </c>
      <c r="W927" s="15" t="s">
        <v>15352</v>
      </c>
      <c r="X927" s="15" t="s">
        <v>14990</v>
      </c>
      <c r="Y927" s="15" t="s">
        <v>78</v>
      </c>
      <c r="Z927" s="15" t="s">
        <v>15353</v>
      </c>
      <c r="AA927" s="15" t="s">
        <v>80</v>
      </c>
      <c r="AB927" s="15" t="s">
        <v>106</v>
      </c>
      <c r="AC927" s="15" t="s">
        <v>808</v>
      </c>
      <c r="AD927" s="15" t="s">
        <v>893</v>
      </c>
      <c r="AE927" s="15" t="s">
        <v>55</v>
      </c>
      <c r="AF927" s="15" t="s">
        <v>15354</v>
      </c>
      <c r="AG927" s="15" t="s">
        <v>39</v>
      </c>
      <c r="AH927" s="15" t="s">
        <v>39</v>
      </c>
      <c r="AI927" s="15" t="s">
        <v>15355</v>
      </c>
      <c r="AJ927" s="15" t="s">
        <v>15356</v>
      </c>
      <c r="AK927" s="15" t="s">
        <v>13538</v>
      </c>
      <c r="AL927" s="15" t="s">
        <v>88</v>
      </c>
    </row>
    <row r="928" spans="1:38" x14ac:dyDescent="0.4">
      <c r="A928" s="11" t="s">
        <v>15357</v>
      </c>
      <c r="B928" s="12" t="s">
        <v>15358</v>
      </c>
      <c r="C928" s="13" t="s">
        <v>39</v>
      </c>
      <c r="D928" s="13" t="s">
        <v>92</v>
      </c>
      <c r="E928" s="13" t="s">
        <v>15359</v>
      </c>
      <c r="F928" s="13" t="s">
        <v>178</v>
      </c>
      <c r="G928" s="13" t="s">
        <v>39</v>
      </c>
      <c r="H928" s="13" t="s">
        <v>15360</v>
      </c>
      <c r="I928" s="9">
        <f t="shared" ca="1" si="14"/>
        <v>1</v>
      </c>
      <c r="J928" s="13" t="s">
        <v>15361</v>
      </c>
      <c r="K928" s="13" t="s">
        <v>227</v>
      </c>
      <c r="L928" s="9" t="str">
        <f>VLOOKUP(K928,[1]中国省份_标准!$B$2:$F$35,4,FALSE)</f>
        <v>西部地区</v>
      </c>
      <c r="M928" s="9" t="str">
        <f>VLOOKUP(K928,[1]中国省份_标准!$B$2:$F$35,5,FALSE)</f>
        <v>西北地区</v>
      </c>
      <c r="N928" s="13" t="s">
        <v>2763</v>
      </c>
      <c r="O928" s="13" t="s">
        <v>3260</v>
      </c>
      <c r="P928" s="13" t="s">
        <v>15362</v>
      </c>
      <c r="Q928" s="13" t="s">
        <v>15363</v>
      </c>
      <c r="R928" s="13" t="s">
        <v>15364</v>
      </c>
      <c r="S928" s="13" t="s">
        <v>39</v>
      </c>
      <c r="T928" s="13" t="s">
        <v>209</v>
      </c>
      <c r="U928" s="13" t="s">
        <v>15358</v>
      </c>
      <c r="V928" s="13" t="s">
        <v>39</v>
      </c>
      <c r="W928" s="13" t="s">
        <v>15365</v>
      </c>
      <c r="X928" s="13" t="s">
        <v>77</v>
      </c>
      <c r="Y928" s="13" t="s">
        <v>78</v>
      </c>
      <c r="Z928" s="13" t="s">
        <v>15366</v>
      </c>
      <c r="AA928" s="13" t="s">
        <v>850</v>
      </c>
      <c r="AB928" s="13" t="s">
        <v>851</v>
      </c>
      <c r="AC928" s="13" t="s">
        <v>852</v>
      </c>
      <c r="AD928" s="13" t="s">
        <v>15009</v>
      </c>
      <c r="AE928" s="13" t="s">
        <v>55</v>
      </c>
      <c r="AF928" s="13" t="s">
        <v>15367</v>
      </c>
      <c r="AG928" s="13" t="s">
        <v>39</v>
      </c>
      <c r="AH928" s="13" t="s">
        <v>39</v>
      </c>
      <c r="AI928" s="13" t="s">
        <v>15368</v>
      </c>
      <c r="AJ928" s="13" t="s">
        <v>15369</v>
      </c>
      <c r="AK928" s="13" t="s">
        <v>4185</v>
      </c>
      <c r="AL928" s="13" t="s">
        <v>88</v>
      </c>
    </row>
    <row r="929" spans="1:38" x14ac:dyDescent="0.4">
      <c r="A929" s="11" t="s">
        <v>15370</v>
      </c>
      <c r="B929" s="14" t="s">
        <v>15371</v>
      </c>
      <c r="C929" s="15" t="s">
        <v>15372</v>
      </c>
      <c r="D929" s="15" t="s">
        <v>92</v>
      </c>
      <c r="E929" s="15" t="s">
        <v>15373</v>
      </c>
      <c r="F929" s="15" t="s">
        <v>15374</v>
      </c>
      <c r="G929" s="15" t="s">
        <v>15374</v>
      </c>
      <c r="H929" s="15" t="s">
        <v>15375</v>
      </c>
      <c r="I929" s="9">
        <f t="shared" ca="1" si="14"/>
        <v>22</v>
      </c>
      <c r="J929" s="15" t="s">
        <v>15376</v>
      </c>
      <c r="K929" s="15" t="s">
        <v>227</v>
      </c>
      <c r="L929" s="9" t="str">
        <f>VLOOKUP(K929,[1]中国省份_标准!$B$2:$F$35,4,FALSE)</f>
        <v>西部地区</v>
      </c>
      <c r="M929" s="9" t="str">
        <f>VLOOKUP(K929,[1]中国省份_标准!$B$2:$F$35,5,FALSE)</f>
        <v>西北地区</v>
      </c>
      <c r="N929" s="15" t="s">
        <v>7434</v>
      </c>
      <c r="O929" s="15" t="s">
        <v>13527</v>
      </c>
      <c r="P929" s="15" t="s">
        <v>15377</v>
      </c>
      <c r="Q929" s="15" t="s">
        <v>15378</v>
      </c>
      <c r="R929" s="15" t="s">
        <v>15379</v>
      </c>
      <c r="S929" s="15" t="s">
        <v>15380</v>
      </c>
      <c r="T929" s="15" t="s">
        <v>209</v>
      </c>
      <c r="U929" s="15" t="s">
        <v>15371</v>
      </c>
      <c r="V929" s="15" t="s">
        <v>15381</v>
      </c>
      <c r="W929" s="15" t="s">
        <v>15382</v>
      </c>
      <c r="X929" s="15" t="s">
        <v>3056</v>
      </c>
      <c r="Y929" s="15" t="s">
        <v>78</v>
      </c>
      <c r="Z929" s="15" t="s">
        <v>15383</v>
      </c>
      <c r="AA929" s="15" t="s">
        <v>309</v>
      </c>
      <c r="AB929" s="15" t="s">
        <v>772</v>
      </c>
      <c r="AC929" s="15" t="s">
        <v>773</v>
      </c>
      <c r="AD929" s="15" t="s">
        <v>774</v>
      </c>
      <c r="AE929" s="15" t="s">
        <v>262</v>
      </c>
      <c r="AF929" s="15" t="s">
        <v>15384</v>
      </c>
      <c r="AG929" s="15" t="s">
        <v>39</v>
      </c>
      <c r="AH929" s="15" t="s">
        <v>39</v>
      </c>
      <c r="AI929" s="15" t="s">
        <v>15385</v>
      </c>
      <c r="AJ929" s="15" t="s">
        <v>15386</v>
      </c>
      <c r="AK929" s="15" t="s">
        <v>13538</v>
      </c>
      <c r="AL929" s="15" t="s">
        <v>88</v>
      </c>
    </row>
    <row r="930" spans="1:38" x14ac:dyDescent="0.4">
      <c r="A930" s="11" t="s">
        <v>15387</v>
      </c>
      <c r="B930" s="12" t="s">
        <v>15388</v>
      </c>
      <c r="C930" s="13" t="s">
        <v>15389</v>
      </c>
      <c r="D930" s="13" t="s">
        <v>92</v>
      </c>
      <c r="E930" s="13" t="s">
        <v>15390</v>
      </c>
      <c r="F930" s="13" t="s">
        <v>398</v>
      </c>
      <c r="G930" s="13" t="s">
        <v>398</v>
      </c>
      <c r="H930" s="13" t="s">
        <v>15391</v>
      </c>
      <c r="I930" s="9">
        <f t="shared" ca="1" si="14"/>
        <v>12</v>
      </c>
      <c r="J930" s="13" t="s">
        <v>15392</v>
      </c>
      <c r="K930" s="13" t="s">
        <v>227</v>
      </c>
      <c r="L930" s="9" t="str">
        <f>VLOOKUP(K930,[1]中国省份_标准!$B$2:$F$35,4,FALSE)</f>
        <v>西部地区</v>
      </c>
      <c r="M930" s="9" t="str">
        <f>VLOOKUP(K930,[1]中国省份_标准!$B$2:$F$35,5,FALSE)</f>
        <v>西北地区</v>
      </c>
      <c r="N930" s="13" t="s">
        <v>3212</v>
      </c>
      <c r="O930" s="13" t="s">
        <v>13801</v>
      </c>
      <c r="P930" s="13" t="s">
        <v>15393</v>
      </c>
      <c r="Q930" s="13" t="s">
        <v>15394</v>
      </c>
      <c r="R930" s="13" t="s">
        <v>15395</v>
      </c>
      <c r="S930" s="13" t="s">
        <v>15396</v>
      </c>
      <c r="T930" s="13" t="s">
        <v>209</v>
      </c>
      <c r="U930" s="13" t="s">
        <v>15388</v>
      </c>
      <c r="V930" s="13" t="s">
        <v>15397</v>
      </c>
      <c r="W930" s="13" t="s">
        <v>15398</v>
      </c>
      <c r="X930" s="13" t="s">
        <v>6451</v>
      </c>
      <c r="Y930" s="13" t="s">
        <v>78</v>
      </c>
      <c r="Z930" s="13" t="s">
        <v>15399</v>
      </c>
      <c r="AA930" s="13" t="s">
        <v>850</v>
      </c>
      <c r="AB930" s="13" t="s">
        <v>851</v>
      </c>
      <c r="AC930" s="13" t="s">
        <v>15400</v>
      </c>
      <c r="AD930" s="13" t="s">
        <v>15400</v>
      </c>
      <c r="AE930" s="13" t="s">
        <v>109</v>
      </c>
      <c r="AF930" s="13" t="s">
        <v>15401</v>
      </c>
      <c r="AG930" s="13" t="s">
        <v>39</v>
      </c>
      <c r="AH930" s="13" t="s">
        <v>39</v>
      </c>
      <c r="AI930" s="13" t="s">
        <v>15402</v>
      </c>
      <c r="AJ930" s="13" t="s">
        <v>15403</v>
      </c>
      <c r="AK930" s="13" t="s">
        <v>13811</v>
      </c>
      <c r="AL930" s="13" t="s">
        <v>88</v>
      </c>
    </row>
    <row r="931" spans="1:38" x14ac:dyDescent="0.4">
      <c r="A931" s="11" t="s">
        <v>15404</v>
      </c>
      <c r="B931" s="14" t="s">
        <v>15405</v>
      </c>
      <c r="C931" s="15" t="s">
        <v>39</v>
      </c>
      <c r="D931" s="15" t="s">
        <v>92</v>
      </c>
      <c r="E931" s="15" t="s">
        <v>15406</v>
      </c>
      <c r="F931" s="15" t="s">
        <v>920</v>
      </c>
      <c r="G931" s="15" t="s">
        <v>920</v>
      </c>
      <c r="H931" s="15" t="s">
        <v>15407</v>
      </c>
      <c r="I931" s="9">
        <f t="shared" ca="1" si="14"/>
        <v>12</v>
      </c>
      <c r="J931" s="15" t="s">
        <v>15408</v>
      </c>
      <c r="K931" s="15" t="s">
        <v>227</v>
      </c>
      <c r="L931" s="9" t="str">
        <f>VLOOKUP(K931,[1]中国省份_标准!$B$2:$F$35,4,FALSE)</f>
        <v>西部地区</v>
      </c>
      <c r="M931" s="9" t="str">
        <f>VLOOKUP(K931,[1]中国省份_标准!$B$2:$F$35,5,FALSE)</f>
        <v>西北地区</v>
      </c>
      <c r="N931" s="15" t="s">
        <v>1002</v>
      </c>
      <c r="O931" s="15" t="s">
        <v>3278</v>
      </c>
      <c r="P931" s="15" t="s">
        <v>15409</v>
      </c>
      <c r="Q931" s="15" t="s">
        <v>15410</v>
      </c>
      <c r="R931" s="15" t="s">
        <v>15411</v>
      </c>
      <c r="S931" s="15" t="s">
        <v>15412</v>
      </c>
      <c r="T931" s="15" t="s">
        <v>209</v>
      </c>
      <c r="U931" s="15" t="s">
        <v>15405</v>
      </c>
      <c r="V931" s="15" t="s">
        <v>15413</v>
      </c>
      <c r="W931" s="15" t="s">
        <v>15414</v>
      </c>
      <c r="X931" s="15" t="s">
        <v>2171</v>
      </c>
      <c r="Y931" s="15" t="s">
        <v>78</v>
      </c>
      <c r="Z931" s="15" t="s">
        <v>15415</v>
      </c>
      <c r="AA931" s="15" t="s">
        <v>850</v>
      </c>
      <c r="AB931" s="15" t="s">
        <v>851</v>
      </c>
      <c r="AC931" s="15" t="s">
        <v>852</v>
      </c>
      <c r="AD931" s="15" t="s">
        <v>15009</v>
      </c>
      <c r="AE931" s="15" t="s">
        <v>55</v>
      </c>
      <c r="AF931" s="15" t="s">
        <v>15416</v>
      </c>
      <c r="AG931" s="15" t="s">
        <v>39</v>
      </c>
      <c r="AH931" s="15" t="s">
        <v>39</v>
      </c>
      <c r="AI931" s="15" t="s">
        <v>15417</v>
      </c>
      <c r="AJ931" s="15" t="s">
        <v>15418</v>
      </c>
      <c r="AK931" s="15" t="s">
        <v>3903</v>
      </c>
      <c r="AL931" s="15" t="s">
        <v>88</v>
      </c>
    </row>
    <row r="932" spans="1:38" x14ac:dyDescent="0.4">
      <c r="A932" s="11" t="s">
        <v>15419</v>
      </c>
      <c r="B932" s="12" t="s">
        <v>15420</v>
      </c>
      <c r="C932" s="13" t="s">
        <v>39</v>
      </c>
      <c r="D932" s="13" t="s">
        <v>92</v>
      </c>
      <c r="E932" s="13" t="s">
        <v>15421</v>
      </c>
      <c r="F932" s="13" t="s">
        <v>271</v>
      </c>
      <c r="G932" s="13" t="s">
        <v>271</v>
      </c>
      <c r="H932" s="13" t="s">
        <v>15422</v>
      </c>
      <c r="I932" s="9">
        <f t="shared" ca="1" si="14"/>
        <v>15</v>
      </c>
      <c r="J932" s="13" t="s">
        <v>15423</v>
      </c>
      <c r="K932" s="13" t="s">
        <v>227</v>
      </c>
      <c r="L932" s="9" t="str">
        <f>VLOOKUP(K932,[1]中国省份_标准!$B$2:$F$35,4,FALSE)</f>
        <v>西部地区</v>
      </c>
      <c r="M932" s="9" t="str">
        <f>VLOOKUP(K932,[1]中国省份_标准!$B$2:$F$35,5,FALSE)</f>
        <v>西北地区</v>
      </c>
      <c r="N932" s="13" t="s">
        <v>1002</v>
      </c>
      <c r="O932" s="13" t="s">
        <v>3278</v>
      </c>
      <c r="P932" s="13" t="s">
        <v>15424</v>
      </c>
      <c r="Q932" s="13" t="s">
        <v>15425</v>
      </c>
      <c r="R932" s="13" t="s">
        <v>15426</v>
      </c>
      <c r="S932" s="13" t="s">
        <v>15427</v>
      </c>
      <c r="T932" s="13" t="s">
        <v>452</v>
      </c>
      <c r="U932" s="13" t="s">
        <v>15420</v>
      </c>
      <c r="V932" s="13" t="s">
        <v>15428</v>
      </c>
      <c r="W932" s="13" t="s">
        <v>15429</v>
      </c>
      <c r="X932" s="13" t="s">
        <v>2730</v>
      </c>
      <c r="Y932" s="13" t="s">
        <v>78</v>
      </c>
      <c r="Z932" s="13" t="s">
        <v>15430</v>
      </c>
      <c r="AA932" s="13" t="s">
        <v>850</v>
      </c>
      <c r="AB932" s="13" t="s">
        <v>851</v>
      </c>
      <c r="AC932" s="13" t="s">
        <v>3990</v>
      </c>
      <c r="AD932" s="13" t="s">
        <v>3990</v>
      </c>
      <c r="AE932" s="13" t="s">
        <v>55</v>
      </c>
      <c r="AF932" s="13" t="s">
        <v>15431</v>
      </c>
      <c r="AG932" s="13" t="s">
        <v>39</v>
      </c>
      <c r="AH932" s="13" t="s">
        <v>39</v>
      </c>
      <c r="AI932" s="13" t="s">
        <v>15432</v>
      </c>
      <c r="AJ932" s="13" t="s">
        <v>15433</v>
      </c>
      <c r="AK932" s="13" t="s">
        <v>3903</v>
      </c>
      <c r="AL932" s="13" t="s">
        <v>88</v>
      </c>
    </row>
    <row r="933" spans="1:38" x14ac:dyDescent="0.4">
      <c r="A933" s="11" t="s">
        <v>15434</v>
      </c>
      <c r="B933" s="14" t="s">
        <v>15435</v>
      </c>
      <c r="C933" s="15" t="s">
        <v>39</v>
      </c>
      <c r="D933" s="15" t="s">
        <v>63</v>
      </c>
      <c r="E933" s="15" t="s">
        <v>8604</v>
      </c>
      <c r="F933" s="15" t="s">
        <v>15436</v>
      </c>
      <c r="G933" s="15" t="s">
        <v>15436</v>
      </c>
      <c r="H933" s="15" t="s">
        <v>15437</v>
      </c>
      <c r="I933" s="9">
        <f t="shared" ca="1" si="14"/>
        <v>15</v>
      </c>
      <c r="J933" s="15" t="s">
        <v>15438</v>
      </c>
      <c r="K933" s="15" t="s">
        <v>67</v>
      </c>
      <c r="L933" s="9" t="str">
        <f>VLOOKUP(K933,[1]中国省份_标准!$B$2:$F$35,4,FALSE)</f>
        <v>东部地区</v>
      </c>
      <c r="M933" s="9" t="str">
        <f>VLOOKUP(K933,[1]中国省份_标准!$B$2:$F$35,5,FALSE)</f>
        <v>华东地区</v>
      </c>
      <c r="N933" s="15" t="s">
        <v>3695</v>
      </c>
      <c r="O933" s="15" t="s">
        <v>15439</v>
      </c>
      <c r="P933" s="15" t="s">
        <v>15440</v>
      </c>
      <c r="Q933" s="15" t="s">
        <v>15441</v>
      </c>
      <c r="R933" s="15" t="s">
        <v>15442</v>
      </c>
      <c r="S933" s="15" t="s">
        <v>15443</v>
      </c>
      <c r="T933" s="15" t="s">
        <v>209</v>
      </c>
      <c r="U933" s="15" t="s">
        <v>15435</v>
      </c>
      <c r="V933" s="15" t="s">
        <v>15444</v>
      </c>
      <c r="W933" s="15" t="s">
        <v>15445</v>
      </c>
      <c r="X933" s="15" t="s">
        <v>4180</v>
      </c>
      <c r="Y933" s="15" t="s">
        <v>78</v>
      </c>
      <c r="Z933" s="15" t="s">
        <v>15446</v>
      </c>
      <c r="AA933" s="15" t="s">
        <v>850</v>
      </c>
      <c r="AB933" s="15" t="s">
        <v>851</v>
      </c>
      <c r="AC933" s="15" t="s">
        <v>852</v>
      </c>
      <c r="AD933" s="15" t="s">
        <v>853</v>
      </c>
      <c r="AE933" s="15" t="s">
        <v>55</v>
      </c>
      <c r="AF933" s="15" t="s">
        <v>15447</v>
      </c>
      <c r="AG933" s="15" t="s">
        <v>39</v>
      </c>
      <c r="AH933" s="15" t="s">
        <v>39</v>
      </c>
      <c r="AI933" s="15" t="s">
        <v>15448</v>
      </c>
      <c r="AJ933" s="15" t="s">
        <v>15449</v>
      </c>
      <c r="AK933" s="15" t="s">
        <v>15450</v>
      </c>
      <c r="AL933" s="15" t="s">
        <v>88</v>
      </c>
    </row>
    <row r="934" spans="1:38" x14ac:dyDescent="0.4">
      <c r="A934" s="11" t="s">
        <v>15451</v>
      </c>
      <c r="B934" s="12" t="s">
        <v>15452</v>
      </c>
      <c r="C934" s="13" t="s">
        <v>39</v>
      </c>
      <c r="D934" s="13" t="s">
        <v>92</v>
      </c>
      <c r="E934" s="13" t="s">
        <v>15453</v>
      </c>
      <c r="F934" s="13" t="s">
        <v>15454</v>
      </c>
      <c r="G934" s="13" t="s">
        <v>15454</v>
      </c>
      <c r="H934" s="13" t="s">
        <v>11822</v>
      </c>
      <c r="I934" s="9">
        <f t="shared" ca="1" si="14"/>
        <v>11</v>
      </c>
      <c r="J934" s="13" t="s">
        <v>15455</v>
      </c>
      <c r="K934" s="13" t="s">
        <v>227</v>
      </c>
      <c r="L934" s="9" t="str">
        <f>VLOOKUP(K934,[1]中国省份_标准!$B$2:$F$35,4,FALSE)</f>
        <v>西部地区</v>
      </c>
      <c r="M934" s="9" t="str">
        <f>VLOOKUP(K934,[1]中国省份_标准!$B$2:$F$35,5,FALSE)</f>
        <v>西北地区</v>
      </c>
      <c r="N934" s="13" t="s">
        <v>2763</v>
      </c>
      <c r="O934" s="13" t="s">
        <v>2764</v>
      </c>
      <c r="P934" s="13" t="s">
        <v>15456</v>
      </c>
      <c r="Q934" s="13" t="s">
        <v>15457</v>
      </c>
      <c r="R934" s="13" t="s">
        <v>15458</v>
      </c>
      <c r="S934" s="13" t="s">
        <v>15459</v>
      </c>
      <c r="T934" s="13" t="s">
        <v>452</v>
      </c>
      <c r="U934" s="13" t="s">
        <v>15452</v>
      </c>
      <c r="V934" s="13" t="s">
        <v>15460</v>
      </c>
      <c r="W934" s="13" t="s">
        <v>15461</v>
      </c>
      <c r="X934" s="13" t="s">
        <v>1130</v>
      </c>
      <c r="Y934" s="13" t="s">
        <v>78</v>
      </c>
      <c r="Z934" s="13" t="s">
        <v>11830</v>
      </c>
      <c r="AA934" s="13" t="s">
        <v>3415</v>
      </c>
      <c r="AB934" s="13" t="s">
        <v>15462</v>
      </c>
      <c r="AC934" s="13" t="s">
        <v>15463</v>
      </c>
      <c r="AD934" s="13" t="s">
        <v>15464</v>
      </c>
      <c r="AE934" s="13" t="s">
        <v>55</v>
      </c>
      <c r="AF934" s="13" t="s">
        <v>15465</v>
      </c>
      <c r="AG934" s="13" t="s">
        <v>39</v>
      </c>
      <c r="AH934" s="13" t="s">
        <v>39</v>
      </c>
      <c r="AI934" s="13" t="s">
        <v>15466</v>
      </c>
      <c r="AJ934" s="13" t="s">
        <v>15467</v>
      </c>
      <c r="AK934" s="13" t="s">
        <v>15468</v>
      </c>
      <c r="AL934" s="13" t="s">
        <v>88</v>
      </c>
    </row>
    <row r="935" spans="1:38" x14ac:dyDescent="0.4">
      <c r="A935" s="11" t="s">
        <v>15469</v>
      </c>
      <c r="B935" s="14" t="s">
        <v>15470</v>
      </c>
      <c r="C935" s="15" t="s">
        <v>15471</v>
      </c>
      <c r="D935" s="15" t="s">
        <v>63</v>
      </c>
      <c r="E935" s="15" t="s">
        <v>15472</v>
      </c>
      <c r="F935" s="15" t="s">
        <v>15473</v>
      </c>
      <c r="G935" s="15" t="s">
        <v>15473</v>
      </c>
      <c r="H935" s="15" t="s">
        <v>15474</v>
      </c>
      <c r="I935" s="9">
        <f t="shared" ca="1" si="14"/>
        <v>18</v>
      </c>
      <c r="J935" s="15" t="s">
        <v>15475</v>
      </c>
      <c r="K935" s="15" t="s">
        <v>425</v>
      </c>
      <c r="L935" s="9" t="str">
        <f>VLOOKUP(K935,[1]中国省份_标准!$B$2:$F$35,4,FALSE)</f>
        <v>东部地区</v>
      </c>
      <c r="M935" s="9" t="str">
        <f>VLOOKUP(K935,[1]中国省份_标准!$B$2:$F$35,5,FALSE)</f>
        <v>华东地区</v>
      </c>
      <c r="N935" s="15" t="s">
        <v>426</v>
      </c>
      <c r="O935" s="15" t="s">
        <v>427</v>
      </c>
      <c r="P935" s="15" t="s">
        <v>15476</v>
      </c>
      <c r="Q935" s="15" t="s">
        <v>39</v>
      </c>
      <c r="R935" s="15" t="s">
        <v>15477</v>
      </c>
      <c r="S935" s="15" t="s">
        <v>15478</v>
      </c>
      <c r="T935" s="15" t="s">
        <v>48</v>
      </c>
      <c r="U935" s="15" t="s">
        <v>15470</v>
      </c>
      <c r="V935" s="15" t="s">
        <v>15479</v>
      </c>
      <c r="W935" s="15" t="s">
        <v>15480</v>
      </c>
      <c r="X935" s="15" t="s">
        <v>4934</v>
      </c>
      <c r="Y935" s="15" t="s">
        <v>78</v>
      </c>
      <c r="Z935" s="15" t="s">
        <v>15481</v>
      </c>
      <c r="AA935" s="15" t="s">
        <v>850</v>
      </c>
      <c r="AB935" s="15" t="s">
        <v>851</v>
      </c>
      <c r="AC935" s="15" t="s">
        <v>39</v>
      </c>
      <c r="AD935" s="15" t="s">
        <v>39</v>
      </c>
      <c r="AE935" s="15" t="s">
        <v>55</v>
      </c>
      <c r="AF935" s="15" t="s">
        <v>15482</v>
      </c>
      <c r="AG935" s="15" t="s">
        <v>39</v>
      </c>
      <c r="AH935" s="15" t="s">
        <v>39</v>
      </c>
      <c r="AI935" s="15" t="s">
        <v>15483</v>
      </c>
      <c r="AJ935" s="15" t="s">
        <v>15484</v>
      </c>
      <c r="AK935" s="15" t="s">
        <v>438</v>
      </c>
      <c r="AL935" s="15" t="s">
        <v>88</v>
      </c>
    </row>
    <row r="936" spans="1:38" x14ac:dyDescent="0.4">
      <c r="A936" s="11" t="s">
        <v>15485</v>
      </c>
      <c r="B936" s="12" t="s">
        <v>15486</v>
      </c>
      <c r="C936" s="13" t="s">
        <v>39</v>
      </c>
      <c r="D936" s="13" t="s">
        <v>92</v>
      </c>
      <c r="E936" s="13" t="s">
        <v>15487</v>
      </c>
      <c r="F936" s="13" t="s">
        <v>15488</v>
      </c>
      <c r="G936" s="13" t="s">
        <v>15489</v>
      </c>
      <c r="H936" s="13" t="s">
        <v>15490</v>
      </c>
      <c r="I936" s="9">
        <f t="shared" ca="1" si="14"/>
        <v>13</v>
      </c>
      <c r="J936" s="13" t="s">
        <v>15491</v>
      </c>
      <c r="K936" s="13" t="s">
        <v>4860</v>
      </c>
      <c r="L936" s="9" t="str">
        <f>VLOOKUP(K936,[1]中国省份_标准!$B$2:$F$35,4,FALSE)</f>
        <v>东部地区</v>
      </c>
      <c r="M936" s="9" t="str">
        <f>VLOOKUP(K936,[1]中国省份_标准!$B$2:$F$35,5,FALSE)</f>
        <v>华南地区</v>
      </c>
      <c r="N936" s="13" t="s">
        <v>8091</v>
      </c>
      <c r="O936" s="13" t="s">
        <v>39</v>
      </c>
      <c r="P936" s="13" t="s">
        <v>15492</v>
      </c>
      <c r="Q936" s="13" t="s">
        <v>39</v>
      </c>
      <c r="R936" s="13" t="s">
        <v>15493</v>
      </c>
      <c r="S936" s="13" t="s">
        <v>15494</v>
      </c>
      <c r="T936" s="13" t="s">
        <v>825</v>
      </c>
      <c r="U936" s="13" t="s">
        <v>15486</v>
      </c>
      <c r="V936" s="13" t="s">
        <v>15495</v>
      </c>
      <c r="W936" s="13" t="s">
        <v>15496</v>
      </c>
      <c r="X936" s="13" t="s">
        <v>15497</v>
      </c>
      <c r="Y936" s="13" t="s">
        <v>78</v>
      </c>
      <c r="Z936" s="13" t="s">
        <v>15498</v>
      </c>
      <c r="AA936" s="13" t="s">
        <v>14067</v>
      </c>
      <c r="AB936" s="13" t="s">
        <v>14068</v>
      </c>
      <c r="AC936" s="13" t="s">
        <v>14069</v>
      </c>
      <c r="AD936" s="13" t="s">
        <v>14069</v>
      </c>
      <c r="AE936" s="13" t="s">
        <v>239</v>
      </c>
      <c r="AF936" s="13" t="s">
        <v>15499</v>
      </c>
      <c r="AG936" s="13" t="s">
        <v>39</v>
      </c>
      <c r="AH936" s="13" t="s">
        <v>39</v>
      </c>
      <c r="AI936" s="13" t="s">
        <v>15500</v>
      </c>
      <c r="AJ936" s="13" t="s">
        <v>15501</v>
      </c>
      <c r="AK936" s="13" t="s">
        <v>4872</v>
      </c>
      <c r="AL936" s="13" t="s">
        <v>88</v>
      </c>
    </row>
    <row r="937" spans="1:38" x14ac:dyDescent="0.4">
      <c r="A937" s="11" t="s">
        <v>15502</v>
      </c>
      <c r="B937" s="14" t="s">
        <v>15503</v>
      </c>
      <c r="C937" s="15" t="s">
        <v>15504</v>
      </c>
      <c r="D937" s="15" t="s">
        <v>63</v>
      </c>
      <c r="E937" s="15" t="s">
        <v>15505</v>
      </c>
      <c r="F937" s="15" t="s">
        <v>15506</v>
      </c>
      <c r="G937" s="15" t="s">
        <v>862</v>
      </c>
      <c r="H937" s="15" t="s">
        <v>15507</v>
      </c>
      <c r="I937" s="9">
        <f t="shared" ca="1" si="14"/>
        <v>23</v>
      </c>
      <c r="J937" s="15" t="s">
        <v>15508</v>
      </c>
      <c r="K937" s="15" t="s">
        <v>67</v>
      </c>
      <c r="L937" s="9" t="str">
        <f>VLOOKUP(K937,[1]中国省份_标准!$B$2:$F$35,4,FALSE)</f>
        <v>东部地区</v>
      </c>
      <c r="M937" s="9" t="str">
        <f>VLOOKUP(K937,[1]中国省份_标准!$B$2:$F$35,5,FALSE)</f>
        <v>华东地区</v>
      </c>
      <c r="N937" s="15" t="s">
        <v>5058</v>
      </c>
      <c r="O937" s="15" t="s">
        <v>5059</v>
      </c>
      <c r="P937" s="15" t="s">
        <v>15509</v>
      </c>
      <c r="Q937" s="15" t="s">
        <v>39</v>
      </c>
      <c r="R937" s="15" t="s">
        <v>15510</v>
      </c>
      <c r="S937" s="15" t="s">
        <v>39</v>
      </c>
      <c r="T937" s="15" t="s">
        <v>452</v>
      </c>
      <c r="U937" s="15" t="s">
        <v>15503</v>
      </c>
      <c r="V937" s="15" t="s">
        <v>15511</v>
      </c>
      <c r="W937" s="15" t="s">
        <v>15512</v>
      </c>
      <c r="X937" s="15" t="s">
        <v>5102</v>
      </c>
      <c r="Y937" s="15" t="s">
        <v>78</v>
      </c>
      <c r="Z937" s="15" t="s">
        <v>15513</v>
      </c>
      <c r="AA937" s="15" t="s">
        <v>80</v>
      </c>
      <c r="AB937" s="15" t="s">
        <v>81</v>
      </c>
      <c r="AC937" s="15" t="s">
        <v>2816</v>
      </c>
      <c r="AD937" s="15" t="s">
        <v>2817</v>
      </c>
      <c r="AE937" s="15" t="s">
        <v>55</v>
      </c>
      <c r="AF937" s="15" t="s">
        <v>15514</v>
      </c>
      <c r="AG937" s="15" t="s">
        <v>39</v>
      </c>
      <c r="AH937" s="15" t="s">
        <v>15515</v>
      </c>
      <c r="AI937" s="15" t="s">
        <v>15516</v>
      </c>
      <c r="AJ937" s="15" t="s">
        <v>15517</v>
      </c>
      <c r="AK937" s="15" t="s">
        <v>5069</v>
      </c>
      <c r="AL937" s="15" t="s">
        <v>88</v>
      </c>
    </row>
    <row r="938" spans="1:38" x14ac:dyDescent="0.4">
      <c r="A938" s="11" t="s">
        <v>15518</v>
      </c>
      <c r="B938" s="12" t="s">
        <v>15519</v>
      </c>
      <c r="C938" s="13" t="s">
        <v>15520</v>
      </c>
      <c r="D938" s="13" t="s">
        <v>63</v>
      </c>
      <c r="E938" s="13" t="s">
        <v>15521</v>
      </c>
      <c r="F938" s="13" t="s">
        <v>15522</v>
      </c>
      <c r="G938" s="13" t="s">
        <v>15522</v>
      </c>
      <c r="H938" s="13" t="s">
        <v>15523</v>
      </c>
      <c r="I938" s="9">
        <f t="shared" ca="1" si="14"/>
        <v>27</v>
      </c>
      <c r="J938" s="13" t="s">
        <v>15524</v>
      </c>
      <c r="K938" s="13" t="s">
        <v>67</v>
      </c>
      <c r="L938" s="9" t="str">
        <f>VLOOKUP(K938,[1]中国省份_标准!$B$2:$F$35,4,FALSE)</f>
        <v>东部地区</v>
      </c>
      <c r="M938" s="9" t="str">
        <f>VLOOKUP(K938,[1]中国省份_标准!$B$2:$F$35,5,FALSE)</f>
        <v>华东地区</v>
      </c>
      <c r="N938" s="13" t="s">
        <v>5058</v>
      </c>
      <c r="O938" s="13" t="s">
        <v>5059</v>
      </c>
      <c r="P938" s="13" t="s">
        <v>15525</v>
      </c>
      <c r="Q938" s="13" t="s">
        <v>15526</v>
      </c>
      <c r="R938" s="13" t="s">
        <v>15527</v>
      </c>
      <c r="S938" s="13" t="s">
        <v>39</v>
      </c>
      <c r="T938" s="13" t="s">
        <v>452</v>
      </c>
      <c r="U938" s="13" t="s">
        <v>15519</v>
      </c>
      <c r="V938" s="13" t="s">
        <v>15528</v>
      </c>
      <c r="W938" s="13" t="s">
        <v>15529</v>
      </c>
      <c r="X938" s="13" t="s">
        <v>167</v>
      </c>
      <c r="Y938" s="13" t="s">
        <v>78</v>
      </c>
      <c r="Z938" s="13" t="s">
        <v>15530</v>
      </c>
      <c r="AA938" s="13" t="s">
        <v>80</v>
      </c>
      <c r="AB938" s="13" t="s">
        <v>106</v>
      </c>
      <c r="AC938" s="13" t="s">
        <v>1132</v>
      </c>
      <c r="AD938" s="13" t="s">
        <v>3591</v>
      </c>
      <c r="AE938" s="13" t="s">
        <v>262</v>
      </c>
      <c r="AF938" s="13" t="s">
        <v>15531</v>
      </c>
      <c r="AG938" s="13" t="s">
        <v>39</v>
      </c>
      <c r="AH938" s="13" t="s">
        <v>39</v>
      </c>
      <c r="AI938" s="13" t="s">
        <v>15532</v>
      </c>
      <c r="AJ938" s="13" t="s">
        <v>15533</v>
      </c>
      <c r="AK938" s="13" t="s">
        <v>5069</v>
      </c>
      <c r="AL938" s="13" t="s">
        <v>88</v>
      </c>
    </row>
    <row r="939" spans="1:38" x14ac:dyDescent="0.4">
      <c r="A939" s="11" t="s">
        <v>15534</v>
      </c>
      <c r="B939" s="14" t="s">
        <v>15535</v>
      </c>
      <c r="C939" s="15" t="s">
        <v>39</v>
      </c>
      <c r="D939" s="15" t="s">
        <v>92</v>
      </c>
      <c r="E939" s="15" t="s">
        <v>15536</v>
      </c>
      <c r="F939" s="15" t="s">
        <v>1428</v>
      </c>
      <c r="G939" s="15" t="s">
        <v>1428</v>
      </c>
      <c r="H939" s="15" t="s">
        <v>15537</v>
      </c>
      <c r="I939" s="9">
        <f t="shared" ca="1" si="14"/>
        <v>20</v>
      </c>
      <c r="J939" s="15" t="s">
        <v>15538</v>
      </c>
      <c r="K939" s="15" t="s">
        <v>4860</v>
      </c>
      <c r="L939" s="9" t="str">
        <f>VLOOKUP(K939,[1]中国省份_标准!$B$2:$F$35,4,FALSE)</f>
        <v>东部地区</v>
      </c>
      <c r="M939" s="9" t="str">
        <f>VLOOKUP(K939,[1]中国省份_标准!$B$2:$F$35,5,FALSE)</f>
        <v>华南地区</v>
      </c>
      <c r="N939" s="15" t="s">
        <v>15539</v>
      </c>
      <c r="O939" s="15" t="s">
        <v>39</v>
      </c>
      <c r="P939" s="15" t="s">
        <v>15540</v>
      </c>
      <c r="Q939" s="15" t="s">
        <v>15541</v>
      </c>
      <c r="R939" s="15" t="s">
        <v>15542</v>
      </c>
      <c r="S939" s="15" t="s">
        <v>15543</v>
      </c>
      <c r="T939" s="15" t="s">
        <v>209</v>
      </c>
      <c r="U939" s="15" t="s">
        <v>15535</v>
      </c>
      <c r="V939" s="15" t="s">
        <v>15544</v>
      </c>
      <c r="W939" s="15" t="s">
        <v>15545</v>
      </c>
      <c r="X939" s="15" t="s">
        <v>4544</v>
      </c>
      <c r="Y939" s="15" t="s">
        <v>78</v>
      </c>
      <c r="Z939" s="15" t="s">
        <v>15546</v>
      </c>
      <c r="AA939" s="15" t="s">
        <v>850</v>
      </c>
      <c r="AB939" s="15" t="s">
        <v>7495</v>
      </c>
      <c r="AC939" s="15" t="s">
        <v>7496</v>
      </c>
      <c r="AD939" s="15" t="s">
        <v>8961</v>
      </c>
      <c r="AE939" s="15" t="s">
        <v>109</v>
      </c>
      <c r="AF939" s="15" t="s">
        <v>15547</v>
      </c>
      <c r="AG939" s="15" t="s">
        <v>39</v>
      </c>
      <c r="AH939" s="15" t="s">
        <v>39</v>
      </c>
      <c r="AI939" s="15" t="s">
        <v>15548</v>
      </c>
      <c r="AJ939" s="15" t="s">
        <v>15549</v>
      </c>
      <c r="AK939" s="15" t="s">
        <v>4872</v>
      </c>
      <c r="AL939" s="15" t="s">
        <v>88</v>
      </c>
    </row>
    <row r="940" spans="1:38" x14ac:dyDescent="0.4">
      <c r="A940" s="11" t="s">
        <v>15550</v>
      </c>
      <c r="B940" s="12" t="s">
        <v>15551</v>
      </c>
      <c r="C940" s="13" t="s">
        <v>15552</v>
      </c>
      <c r="D940" s="13" t="s">
        <v>92</v>
      </c>
      <c r="E940" s="13" t="s">
        <v>15553</v>
      </c>
      <c r="F940" s="13" t="s">
        <v>640</v>
      </c>
      <c r="G940" s="13" t="s">
        <v>640</v>
      </c>
      <c r="H940" s="13" t="s">
        <v>15554</v>
      </c>
      <c r="I940" s="9">
        <f t="shared" ca="1" si="14"/>
        <v>20</v>
      </c>
      <c r="J940" s="13" t="s">
        <v>15555</v>
      </c>
      <c r="K940" s="13" t="s">
        <v>425</v>
      </c>
      <c r="L940" s="9" t="str">
        <f>VLOOKUP(K940,[1]中国省份_标准!$B$2:$F$35,4,FALSE)</f>
        <v>东部地区</v>
      </c>
      <c r="M940" s="9" t="str">
        <f>VLOOKUP(K940,[1]中国省份_标准!$B$2:$F$35,5,FALSE)</f>
        <v>华东地区</v>
      </c>
      <c r="N940" s="13" t="s">
        <v>426</v>
      </c>
      <c r="O940" s="13" t="s">
        <v>427</v>
      </c>
      <c r="P940" s="13" t="s">
        <v>15556</v>
      </c>
      <c r="Q940" s="13" t="s">
        <v>39</v>
      </c>
      <c r="R940" s="13" t="s">
        <v>15557</v>
      </c>
      <c r="S940" s="13" t="s">
        <v>15558</v>
      </c>
      <c r="T940" s="13" t="s">
        <v>48</v>
      </c>
      <c r="U940" s="13" t="s">
        <v>15551</v>
      </c>
      <c r="V940" s="13" t="s">
        <v>15559</v>
      </c>
      <c r="W940" s="13" t="s">
        <v>15560</v>
      </c>
      <c r="X940" s="13" t="s">
        <v>673</v>
      </c>
      <c r="Y940" s="13" t="s">
        <v>78</v>
      </c>
      <c r="Z940" s="13" t="s">
        <v>15561</v>
      </c>
      <c r="AA940" s="13" t="s">
        <v>850</v>
      </c>
      <c r="AB940" s="13" t="s">
        <v>11570</v>
      </c>
      <c r="AC940" s="13" t="s">
        <v>11571</v>
      </c>
      <c r="AD940" s="13" t="s">
        <v>39</v>
      </c>
      <c r="AE940" s="13" t="s">
        <v>109</v>
      </c>
      <c r="AF940" s="13" t="s">
        <v>15562</v>
      </c>
      <c r="AG940" s="13" t="s">
        <v>39</v>
      </c>
      <c r="AH940" s="13" t="s">
        <v>15563</v>
      </c>
      <c r="AI940" s="13" t="s">
        <v>15564</v>
      </c>
      <c r="AJ940" s="13" t="s">
        <v>15565</v>
      </c>
      <c r="AK940" s="13" t="s">
        <v>438</v>
      </c>
      <c r="AL940" s="13" t="s">
        <v>88</v>
      </c>
    </row>
    <row r="941" spans="1:38" x14ac:dyDescent="0.4">
      <c r="A941" s="11" t="s">
        <v>15566</v>
      </c>
      <c r="B941" s="14" t="s">
        <v>15567</v>
      </c>
      <c r="C941" s="15" t="s">
        <v>39</v>
      </c>
      <c r="D941" s="15" t="s">
        <v>63</v>
      </c>
      <c r="E941" s="15" t="s">
        <v>15568</v>
      </c>
      <c r="F941" s="15" t="s">
        <v>271</v>
      </c>
      <c r="G941" s="15" t="s">
        <v>39</v>
      </c>
      <c r="H941" s="15" t="s">
        <v>15569</v>
      </c>
      <c r="I941" s="9">
        <f t="shared" ca="1" si="14"/>
        <v>5</v>
      </c>
      <c r="J941" s="15" t="s">
        <v>15570</v>
      </c>
      <c r="K941" s="15" t="s">
        <v>425</v>
      </c>
      <c r="L941" s="9" t="str">
        <f>VLOOKUP(K941,[1]中国省份_标准!$B$2:$F$35,4,FALSE)</f>
        <v>东部地区</v>
      </c>
      <c r="M941" s="9" t="str">
        <f>VLOOKUP(K941,[1]中国省份_标准!$B$2:$F$35,5,FALSE)</f>
        <v>华东地区</v>
      </c>
      <c r="N941" s="15" t="s">
        <v>5738</v>
      </c>
      <c r="O941" s="15" t="s">
        <v>15571</v>
      </c>
      <c r="P941" s="15" t="s">
        <v>15572</v>
      </c>
      <c r="Q941" s="15" t="s">
        <v>15573</v>
      </c>
      <c r="R941" s="15" t="s">
        <v>15574</v>
      </c>
      <c r="S941" s="15" t="s">
        <v>39</v>
      </c>
      <c r="T941" s="15" t="s">
        <v>281</v>
      </c>
      <c r="U941" s="15" t="s">
        <v>15567</v>
      </c>
      <c r="V941" s="15" t="s">
        <v>15575</v>
      </c>
      <c r="W941" s="15" t="s">
        <v>15576</v>
      </c>
      <c r="X941" s="15" t="s">
        <v>673</v>
      </c>
      <c r="Y941" s="15" t="s">
        <v>78</v>
      </c>
      <c r="Z941" s="15" t="s">
        <v>15577</v>
      </c>
      <c r="AA941" s="15" t="s">
        <v>80</v>
      </c>
      <c r="AB941" s="15" t="s">
        <v>81</v>
      </c>
      <c r="AC941" s="15" t="s">
        <v>2816</v>
      </c>
      <c r="AD941" s="15" t="s">
        <v>39</v>
      </c>
      <c r="AE941" s="15" t="s">
        <v>55</v>
      </c>
      <c r="AF941" s="15" t="s">
        <v>15578</v>
      </c>
      <c r="AG941" s="15" t="s">
        <v>39</v>
      </c>
      <c r="AH941" s="15" t="s">
        <v>39</v>
      </c>
      <c r="AI941" s="15" t="s">
        <v>15579</v>
      </c>
      <c r="AJ941" s="15" t="s">
        <v>15580</v>
      </c>
      <c r="AK941" s="15" t="s">
        <v>15581</v>
      </c>
      <c r="AL941" s="15" t="s">
        <v>88</v>
      </c>
    </row>
    <row r="942" spans="1:38" x14ac:dyDescent="0.4">
      <c r="A942" s="11" t="s">
        <v>15582</v>
      </c>
      <c r="B942" s="12" t="s">
        <v>15583</v>
      </c>
      <c r="C942" s="13" t="s">
        <v>15584</v>
      </c>
      <c r="D942" s="13" t="s">
        <v>92</v>
      </c>
      <c r="E942" s="13" t="s">
        <v>15585</v>
      </c>
      <c r="F942" s="13" t="s">
        <v>15586</v>
      </c>
      <c r="G942" s="13" t="s">
        <v>15586</v>
      </c>
      <c r="H942" s="13" t="s">
        <v>15587</v>
      </c>
      <c r="I942" s="9">
        <f t="shared" ca="1" si="14"/>
        <v>19</v>
      </c>
      <c r="J942" s="13" t="s">
        <v>15588</v>
      </c>
      <c r="K942" s="13" t="s">
        <v>157</v>
      </c>
      <c r="L942" s="9" t="str">
        <f>VLOOKUP(K942,[1]中国省份_标准!$B$2:$F$35,4,FALSE)</f>
        <v>东北地区</v>
      </c>
      <c r="M942" s="9" t="str">
        <f>VLOOKUP(K942,[1]中国省份_标准!$B$2:$F$35,5,FALSE)</f>
        <v>东北地区</v>
      </c>
      <c r="N942" s="13" t="s">
        <v>1087</v>
      </c>
      <c r="O942" s="13" t="s">
        <v>15589</v>
      </c>
      <c r="P942" s="13" t="s">
        <v>15590</v>
      </c>
      <c r="Q942" s="13" t="s">
        <v>15591</v>
      </c>
      <c r="R942" s="13" t="s">
        <v>15592</v>
      </c>
      <c r="S942" s="13" t="s">
        <v>15593</v>
      </c>
      <c r="T942" s="13" t="s">
        <v>209</v>
      </c>
      <c r="U942" s="13" t="s">
        <v>15583</v>
      </c>
      <c r="V942" s="13" t="s">
        <v>15594</v>
      </c>
      <c r="W942" s="13" t="s">
        <v>15595</v>
      </c>
      <c r="X942" s="13" t="s">
        <v>9493</v>
      </c>
      <c r="Y942" s="13" t="s">
        <v>78</v>
      </c>
      <c r="Z942" s="13" t="s">
        <v>15596</v>
      </c>
      <c r="AA942" s="13" t="s">
        <v>1796</v>
      </c>
      <c r="AB942" s="13" t="s">
        <v>3935</v>
      </c>
      <c r="AC942" s="13" t="s">
        <v>15597</v>
      </c>
      <c r="AD942" s="13" t="s">
        <v>39</v>
      </c>
      <c r="AE942" s="13" t="s">
        <v>55</v>
      </c>
      <c r="AF942" s="13" t="s">
        <v>15598</v>
      </c>
      <c r="AG942" s="13" t="s">
        <v>39</v>
      </c>
      <c r="AH942" s="13" t="s">
        <v>39</v>
      </c>
      <c r="AI942" s="13" t="s">
        <v>15599</v>
      </c>
      <c r="AJ942" s="13" t="s">
        <v>15600</v>
      </c>
      <c r="AK942" s="13" t="s">
        <v>15601</v>
      </c>
      <c r="AL942" s="13" t="s">
        <v>88</v>
      </c>
    </row>
    <row r="943" spans="1:38" x14ac:dyDescent="0.4">
      <c r="A943" s="11" t="s">
        <v>15602</v>
      </c>
      <c r="B943" s="14" t="s">
        <v>15603</v>
      </c>
      <c r="C943" s="15" t="s">
        <v>39</v>
      </c>
      <c r="D943" s="15" t="s">
        <v>63</v>
      </c>
      <c r="E943" s="15" t="s">
        <v>15604</v>
      </c>
      <c r="F943" s="15" t="s">
        <v>442</v>
      </c>
      <c r="G943" s="15" t="s">
        <v>442</v>
      </c>
      <c r="H943" s="15" t="s">
        <v>15605</v>
      </c>
      <c r="I943" s="9">
        <f t="shared" ca="1" si="14"/>
        <v>16</v>
      </c>
      <c r="J943" s="15" t="s">
        <v>15606</v>
      </c>
      <c r="K943" s="15" t="s">
        <v>67</v>
      </c>
      <c r="L943" s="9" t="str">
        <f>VLOOKUP(K943,[1]中国省份_标准!$B$2:$F$35,4,FALSE)</f>
        <v>东部地区</v>
      </c>
      <c r="M943" s="9" t="str">
        <f>VLOOKUP(K943,[1]中国省份_标准!$B$2:$F$35,5,FALSE)</f>
        <v>华东地区</v>
      </c>
      <c r="N943" s="15" t="s">
        <v>203</v>
      </c>
      <c r="O943" s="15" t="s">
        <v>944</v>
      </c>
      <c r="P943" s="15" t="s">
        <v>15607</v>
      </c>
      <c r="Q943" s="15" t="s">
        <v>39</v>
      </c>
      <c r="R943" s="15" t="s">
        <v>15608</v>
      </c>
      <c r="S943" s="15" t="s">
        <v>15609</v>
      </c>
      <c r="T943" s="15" t="s">
        <v>48</v>
      </c>
      <c r="U943" s="15" t="s">
        <v>15603</v>
      </c>
      <c r="V943" s="15" t="s">
        <v>15610</v>
      </c>
      <c r="W943" s="15" t="s">
        <v>15611</v>
      </c>
      <c r="X943" s="15" t="s">
        <v>212</v>
      </c>
      <c r="Y943" s="15" t="s">
        <v>78</v>
      </c>
      <c r="Z943" s="15" t="s">
        <v>15612</v>
      </c>
      <c r="AA943" s="15" t="s">
        <v>850</v>
      </c>
      <c r="AB943" s="15" t="s">
        <v>11570</v>
      </c>
      <c r="AC943" s="15" t="s">
        <v>11571</v>
      </c>
      <c r="AD943" s="15" t="s">
        <v>11622</v>
      </c>
      <c r="AE943" s="15" t="s">
        <v>109</v>
      </c>
      <c r="AF943" s="15" t="s">
        <v>15613</v>
      </c>
      <c r="AG943" s="15" t="s">
        <v>39</v>
      </c>
      <c r="AH943" s="15" t="s">
        <v>39</v>
      </c>
      <c r="AI943" s="15" t="s">
        <v>15614</v>
      </c>
      <c r="AJ943" s="15" t="s">
        <v>15615</v>
      </c>
      <c r="AK943" s="15" t="s">
        <v>956</v>
      </c>
      <c r="AL943" s="15" t="s">
        <v>88</v>
      </c>
    </row>
    <row r="944" spans="1:38" x14ac:dyDescent="0.4">
      <c r="A944" s="11" t="s">
        <v>15616</v>
      </c>
      <c r="B944" s="12" t="s">
        <v>15617</v>
      </c>
      <c r="C944" s="13" t="s">
        <v>39</v>
      </c>
      <c r="D944" s="13" t="s">
        <v>92</v>
      </c>
      <c r="E944" s="13" t="s">
        <v>15618</v>
      </c>
      <c r="F944" s="13" t="s">
        <v>15619</v>
      </c>
      <c r="G944" s="13" t="s">
        <v>15619</v>
      </c>
      <c r="H944" s="13" t="s">
        <v>15620</v>
      </c>
      <c r="I944" s="9">
        <f t="shared" ca="1" si="14"/>
        <v>5</v>
      </c>
      <c r="J944" s="13" t="s">
        <v>15621</v>
      </c>
      <c r="K944" s="13" t="s">
        <v>227</v>
      </c>
      <c r="L944" s="9" t="str">
        <f>VLOOKUP(K944,[1]中国省份_标准!$B$2:$F$35,4,FALSE)</f>
        <v>西部地区</v>
      </c>
      <c r="M944" s="9" t="str">
        <f>VLOOKUP(K944,[1]中国省份_标准!$B$2:$F$35,5,FALSE)</f>
        <v>西北地区</v>
      </c>
      <c r="N944" s="13" t="s">
        <v>3212</v>
      </c>
      <c r="O944" s="13" t="s">
        <v>6826</v>
      </c>
      <c r="P944" s="13" t="s">
        <v>15622</v>
      </c>
      <c r="Q944" s="13" t="s">
        <v>15623</v>
      </c>
      <c r="R944" s="13" t="s">
        <v>15624</v>
      </c>
      <c r="S944" s="13" t="s">
        <v>39</v>
      </c>
      <c r="T944" s="13" t="s">
        <v>3623</v>
      </c>
      <c r="U944" s="13" t="s">
        <v>15617</v>
      </c>
      <c r="V944" s="13" t="s">
        <v>15625</v>
      </c>
      <c r="W944" s="13" t="s">
        <v>15626</v>
      </c>
      <c r="X944" s="13" t="s">
        <v>6706</v>
      </c>
      <c r="Y944" s="13" t="s">
        <v>78</v>
      </c>
      <c r="Z944" s="13" t="s">
        <v>15627</v>
      </c>
      <c r="AA944" s="13" t="s">
        <v>850</v>
      </c>
      <c r="AB944" s="13" t="s">
        <v>9442</v>
      </c>
      <c r="AC944" s="13" t="s">
        <v>10006</v>
      </c>
      <c r="AD944" s="13" t="s">
        <v>10007</v>
      </c>
      <c r="AE944" s="13" t="s">
        <v>55</v>
      </c>
      <c r="AF944" s="13" t="s">
        <v>15628</v>
      </c>
      <c r="AG944" s="13" t="s">
        <v>39</v>
      </c>
      <c r="AH944" s="13" t="s">
        <v>39</v>
      </c>
      <c r="AI944" s="13" t="s">
        <v>15629</v>
      </c>
      <c r="AJ944" s="13" t="s">
        <v>15630</v>
      </c>
      <c r="AK944" s="13" t="s">
        <v>15631</v>
      </c>
      <c r="AL944" s="13" t="s">
        <v>88</v>
      </c>
    </row>
    <row r="945" spans="1:38" x14ac:dyDescent="0.4">
      <c r="A945" s="11" t="s">
        <v>15632</v>
      </c>
      <c r="B945" s="14" t="s">
        <v>15633</v>
      </c>
      <c r="C945" s="15" t="s">
        <v>39</v>
      </c>
      <c r="D945" s="15" t="s">
        <v>92</v>
      </c>
      <c r="E945" s="15" t="s">
        <v>15634</v>
      </c>
      <c r="F945" s="15" t="s">
        <v>640</v>
      </c>
      <c r="G945" s="15" t="s">
        <v>640</v>
      </c>
      <c r="H945" s="15" t="s">
        <v>15635</v>
      </c>
      <c r="I945" s="9">
        <f t="shared" ca="1" si="14"/>
        <v>18</v>
      </c>
      <c r="J945" s="15" t="s">
        <v>15636</v>
      </c>
      <c r="K945" s="15" t="s">
        <v>425</v>
      </c>
      <c r="L945" s="9" t="str">
        <f>VLOOKUP(K945,[1]中国省份_标准!$B$2:$F$35,4,FALSE)</f>
        <v>东部地区</v>
      </c>
      <c r="M945" s="9" t="str">
        <f>VLOOKUP(K945,[1]中国省份_标准!$B$2:$F$35,5,FALSE)</f>
        <v>华东地区</v>
      </c>
      <c r="N945" s="15" t="s">
        <v>3049</v>
      </c>
      <c r="O945" s="15" t="s">
        <v>3050</v>
      </c>
      <c r="P945" s="15" t="s">
        <v>15637</v>
      </c>
      <c r="Q945" s="15" t="s">
        <v>15638</v>
      </c>
      <c r="R945" s="15" t="s">
        <v>15639</v>
      </c>
      <c r="S945" s="15" t="s">
        <v>15640</v>
      </c>
      <c r="T945" s="15" t="s">
        <v>281</v>
      </c>
      <c r="U945" s="15" t="s">
        <v>15633</v>
      </c>
      <c r="V945" s="15" t="s">
        <v>15641</v>
      </c>
      <c r="W945" s="15" t="s">
        <v>15642</v>
      </c>
      <c r="X945" s="15" t="s">
        <v>167</v>
      </c>
      <c r="Y945" s="15" t="s">
        <v>78</v>
      </c>
      <c r="Z945" s="15" t="s">
        <v>15643</v>
      </c>
      <c r="AA945" s="15" t="s">
        <v>850</v>
      </c>
      <c r="AB945" s="15" t="s">
        <v>11570</v>
      </c>
      <c r="AC945" s="15" t="s">
        <v>11571</v>
      </c>
      <c r="AD945" s="15" t="s">
        <v>11622</v>
      </c>
      <c r="AE945" s="15" t="s">
        <v>55</v>
      </c>
      <c r="AF945" s="15" t="s">
        <v>15644</v>
      </c>
      <c r="AG945" s="15" t="s">
        <v>39</v>
      </c>
      <c r="AH945" s="15" t="s">
        <v>39</v>
      </c>
      <c r="AI945" s="15" t="s">
        <v>15645</v>
      </c>
      <c r="AJ945" s="15" t="s">
        <v>15646</v>
      </c>
      <c r="AK945" s="15" t="s">
        <v>12735</v>
      </c>
      <c r="AL945" s="15" t="s">
        <v>88</v>
      </c>
    </row>
    <row r="946" spans="1:38" x14ac:dyDescent="0.4">
      <c r="A946" s="11" t="s">
        <v>15647</v>
      </c>
      <c r="B946" s="12" t="s">
        <v>15648</v>
      </c>
      <c r="C946" s="13" t="s">
        <v>39</v>
      </c>
      <c r="D946" s="13" t="s">
        <v>92</v>
      </c>
      <c r="E946" s="13" t="s">
        <v>15649</v>
      </c>
      <c r="F946" s="13" t="s">
        <v>271</v>
      </c>
      <c r="G946" s="13" t="s">
        <v>640</v>
      </c>
      <c r="H946" s="13" t="s">
        <v>15650</v>
      </c>
      <c r="I946" s="9">
        <f t="shared" ca="1" si="14"/>
        <v>12</v>
      </c>
      <c r="J946" s="13" t="s">
        <v>15651</v>
      </c>
      <c r="K946" s="13" t="s">
        <v>425</v>
      </c>
      <c r="L946" s="9" t="str">
        <f>VLOOKUP(K946,[1]中国省份_标准!$B$2:$F$35,4,FALSE)</f>
        <v>东部地区</v>
      </c>
      <c r="M946" s="9" t="str">
        <f>VLOOKUP(K946,[1]中国省份_标准!$B$2:$F$35,5,FALSE)</f>
        <v>华东地区</v>
      </c>
      <c r="N946" s="13" t="s">
        <v>426</v>
      </c>
      <c r="O946" s="13" t="s">
        <v>427</v>
      </c>
      <c r="P946" s="13" t="s">
        <v>15652</v>
      </c>
      <c r="Q946" s="13" t="s">
        <v>39</v>
      </c>
      <c r="R946" s="13" t="s">
        <v>15653</v>
      </c>
      <c r="S946" s="13" t="s">
        <v>15654</v>
      </c>
      <c r="T946" s="13" t="s">
        <v>48</v>
      </c>
      <c r="U946" s="13" t="s">
        <v>15648</v>
      </c>
      <c r="V946" s="13" t="s">
        <v>15655</v>
      </c>
      <c r="W946" s="13" t="s">
        <v>15656</v>
      </c>
      <c r="X946" s="13" t="s">
        <v>4544</v>
      </c>
      <c r="Y946" s="13" t="s">
        <v>78</v>
      </c>
      <c r="Z946" s="13" t="s">
        <v>15657</v>
      </c>
      <c r="AA946" s="13" t="s">
        <v>850</v>
      </c>
      <c r="AB946" s="13" t="s">
        <v>11570</v>
      </c>
      <c r="AC946" s="13" t="s">
        <v>11571</v>
      </c>
      <c r="AD946" s="13" t="s">
        <v>11622</v>
      </c>
      <c r="AE946" s="13" t="s">
        <v>109</v>
      </c>
      <c r="AF946" s="13" t="s">
        <v>15658</v>
      </c>
      <c r="AG946" s="13" t="s">
        <v>39</v>
      </c>
      <c r="AH946" s="13" t="s">
        <v>39</v>
      </c>
      <c r="AI946" s="13" t="s">
        <v>15659</v>
      </c>
      <c r="AJ946" s="13" t="s">
        <v>15660</v>
      </c>
      <c r="AK946" s="13" t="s">
        <v>438</v>
      </c>
      <c r="AL946" s="13" t="s">
        <v>88</v>
      </c>
    </row>
    <row r="947" spans="1:38" x14ac:dyDescent="0.4">
      <c r="A947" s="11" t="s">
        <v>15661</v>
      </c>
      <c r="B947" s="14" t="s">
        <v>15662</v>
      </c>
      <c r="C947" s="15" t="s">
        <v>15663</v>
      </c>
      <c r="D947" s="15" t="s">
        <v>92</v>
      </c>
      <c r="E947" s="15" t="s">
        <v>15664</v>
      </c>
      <c r="F947" s="15" t="s">
        <v>178</v>
      </c>
      <c r="G947" s="15" t="s">
        <v>15665</v>
      </c>
      <c r="H947" s="15" t="s">
        <v>15666</v>
      </c>
      <c r="I947" s="9">
        <f t="shared" ca="1" si="14"/>
        <v>15</v>
      </c>
      <c r="J947" s="15" t="s">
        <v>15667</v>
      </c>
      <c r="K947" s="15" t="s">
        <v>1752</v>
      </c>
      <c r="L947" s="9" t="str">
        <f>VLOOKUP(K947,[1]中国省份_标准!$B$2:$F$35,4,FALSE)</f>
        <v>中部地区</v>
      </c>
      <c r="M947" s="9" t="str">
        <f>VLOOKUP(K947,[1]中国省份_标准!$B$2:$F$35,5,FALSE)</f>
        <v>华中地区</v>
      </c>
      <c r="N947" s="15" t="s">
        <v>3717</v>
      </c>
      <c r="O947" s="15" t="s">
        <v>15668</v>
      </c>
      <c r="P947" s="15" t="s">
        <v>15669</v>
      </c>
      <c r="Q947" s="15" t="s">
        <v>15670</v>
      </c>
      <c r="R947" s="15" t="s">
        <v>15671</v>
      </c>
      <c r="S947" s="15" t="s">
        <v>15672</v>
      </c>
      <c r="T947" s="15" t="s">
        <v>48</v>
      </c>
      <c r="U947" s="15" t="s">
        <v>15662</v>
      </c>
      <c r="V947" s="15" t="s">
        <v>15673</v>
      </c>
      <c r="W947" s="15" t="s">
        <v>15674</v>
      </c>
      <c r="X947" s="15" t="s">
        <v>7958</v>
      </c>
      <c r="Y947" s="15" t="s">
        <v>78</v>
      </c>
      <c r="Z947" s="15" t="s">
        <v>15675</v>
      </c>
      <c r="AA947" s="15" t="s">
        <v>850</v>
      </c>
      <c r="AB947" s="15" t="s">
        <v>9442</v>
      </c>
      <c r="AC947" s="15" t="s">
        <v>10309</v>
      </c>
      <c r="AD947" s="15" t="s">
        <v>39</v>
      </c>
      <c r="AE947" s="15" t="s">
        <v>55</v>
      </c>
      <c r="AF947" s="15" t="s">
        <v>15676</v>
      </c>
      <c r="AG947" s="15" t="s">
        <v>15677</v>
      </c>
      <c r="AH947" s="15" t="s">
        <v>39</v>
      </c>
      <c r="AI947" s="15" t="s">
        <v>15678</v>
      </c>
      <c r="AJ947" s="15" t="s">
        <v>15679</v>
      </c>
      <c r="AK947" s="15" t="s">
        <v>15680</v>
      </c>
      <c r="AL947" s="15" t="s">
        <v>88</v>
      </c>
    </row>
    <row r="948" spans="1:38" x14ac:dyDescent="0.4">
      <c r="A948" s="11" t="s">
        <v>15681</v>
      </c>
      <c r="B948" s="12" t="s">
        <v>15682</v>
      </c>
      <c r="C948" s="13" t="s">
        <v>39</v>
      </c>
      <c r="D948" s="13" t="s">
        <v>63</v>
      </c>
      <c r="E948" s="13" t="s">
        <v>15683</v>
      </c>
      <c r="F948" s="13" t="s">
        <v>15684</v>
      </c>
      <c r="G948" s="13" t="s">
        <v>15684</v>
      </c>
      <c r="H948" s="13" t="s">
        <v>15685</v>
      </c>
      <c r="I948" s="9">
        <f t="shared" ca="1" si="14"/>
        <v>14</v>
      </c>
      <c r="J948" s="13" t="s">
        <v>15686</v>
      </c>
      <c r="K948" s="13" t="s">
        <v>67</v>
      </c>
      <c r="L948" s="9" t="str">
        <f>VLOOKUP(K948,[1]中国省份_标准!$B$2:$F$35,4,FALSE)</f>
        <v>东部地区</v>
      </c>
      <c r="M948" s="9" t="str">
        <f>VLOOKUP(K948,[1]中国省份_标准!$B$2:$F$35,5,FALSE)</f>
        <v>华东地区</v>
      </c>
      <c r="N948" s="13" t="s">
        <v>15687</v>
      </c>
      <c r="O948" s="13" t="s">
        <v>15688</v>
      </c>
      <c r="P948" s="13" t="s">
        <v>15689</v>
      </c>
      <c r="Q948" s="13" t="s">
        <v>15690</v>
      </c>
      <c r="R948" s="13" t="s">
        <v>15691</v>
      </c>
      <c r="S948" s="13" t="s">
        <v>15692</v>
      </c>
      <c r="T948" s="13" t="s">
        <v>184</v>
      </c>
      <c r="U948" s="13" t="s">
        <v>15682</v>
      </c>
      <c r="V948" s="13" t="s">
        <v>15693</v>
      </c>
      <c r="W948" s="13" t="s">
        <v>15694</v>
      </c>
      <c r="X948" s="13" t="s">
        <v>12560</v>
      </c>
      <c r="Y948" s="13" t="s">
        <v>78</v>
      </c>
      <c r="Z948" s="13" t="s">
        <v>15695</v>
      </c>
      <c r="AA948" s="13" t="s">
        <v>850</v>
      </c>
      <c r="AB948" s="13" t="s">
        <v>9442</v>
      </c>
      <c r="AC948" s="13" t="s">
        <v>10006</v>
      </c>
      <c r="AD948" s="13" t="s">
        <v>14959</v>
      </c>
      <c r="AE948" s="13" t="s">
        <v>55</v>
      </c>
      <c r="AF948" s="13" t="s">
        <v>15696</v>
      </c>
      <c r="AG948" s="13" t="s">
        <v>15697</v>
      </c>
      <c r="AH948" s="13" t="s">
        <v>39</v>
      </c>
      <c r="AI948" s="13" t="s">
        <v>15698</v>
      </c>
      <c r="AJ948" s="13" t="s">
        <v>15699</v>
      </c>
      <c r="AK948" s="13" t="s">
        <v>15700</v>
      </c>
      <c r="AL948" s="13" t="s">
        <v>88</v>
      </c>
    </row>
    <row r="949" spans="1:38" x14ac:dyDescent="0.4">
      <c r="A949" s="11" t="s">
        <v>15701</v>
      </c>
      <c r="B949" s="14" t="s">
        <v>15702</v>
      </c>
      <c r="C949" s="15" t="s">
        <v>39</v>
      </c>
      <c r="D949" s="15" t="s">
        <v>63</v>
      </c>
      <c r="E949" s="15" t="s">
        <v>15703</v>
      </c>
      <c r="F949" s="15" t="s">
        <v>178</v>
      </c>
      <c r="G949" s="15" t="s">
        <v>178</v>
      </c>
      <c r="H949" s="15" t="s">
        <v>4573</v>
      </c>
      <c r="I949" s="9">
        <f t="shared" ca="1" si="14"/>
        <v>22</v>
      </c>
      <c r="J949" s="15" t="s">
        <v>15704</v>
      </c>
      <c r="K949" s="15" t="s">
        <v>67</v>
      </c>
      <c r="L949" s="9" t="str">
        <f>VLOOKUP(K949,[1]中国省份_标准!$B$2:$F$35,4,FALSE)</f>
        <v>东部地区</v>
      </c>
      <c r="M949" s="9" t="str">
        <f>VLOOKUP(K949,[1]中国省份_标准!$B$2:$F$35,5,FALSE)</f>
        <v>华东地区</v>
      </c>
      <c r="N949" s="15" t="s">
        <v>203</v>
      </c>
      <c r="O949" s="15" t="s">
        <v>944</v>
      </c>
      <c r="P949" s="15" t="s">
        <v>15705</v>
      </c>
      <c r="Q949" s="15" t="s">
        <v>15706</v>
      </c>
      <c r="R949" s="15" t="s">
        <v>15707</v>
      </c>
      <c r="S949" s="15" t="s">
        <v>39</v>
      </c>
      <c r="T949" s="15" t="s">
        <v>452</v>
      </c>
      <c r="U949" s="15" t="s">
        <v>15702</v>
      </c>
      <c r="V949" s="15" t="s">
        <v>15708</v>
      </c>
      <c r="W949" s="15" t="s">
        <v>15709</v>
      </c>
      <c r="X949" s="15" t="s">
        <v>77</v>
      </c>
      <c r="Y949" s="15" t="s">
        <v>78</v>
      </c>
      <c r="Z949" s="15" t="s">
        <v>15710</v>
      </c>
      <c r="AA949" s="15" t="s">
        <v>850</v>
      </c>
      <c r="AB949" s="15" t="s">
        <v>851</v>
      </c>
      <c r="AC949" s="15" t="s">
        <v>3990</v>
      </c>
      <c r="AD949" s="15" t="s">
        <v>3990</v>
      </c>
      <c r="AE949" s="15" t="s">
        <v>55</v>
      </c>
      <c r="AF949" s="15" t="s">
        <v>15711</v>
      </c>
      <c r="AG949" s="15" t="s">
        <v>39</v>
      </c>
      <c r="AH949" s="15" t="s">
        <v>39</v>
      </c>
      <c r="AI949" s="15" t="s">
        <v>15712</v>
      </c>
      <c r="AJ949" s="15" t="s">
        <v>15713</v>
      </c>
      <c r="AK949" s="15" t="s">
        <v>956</v>
      </c>
      <c r="AL949" s="15" t="s">
        <v>88</v>
      </c>
    </row>
    <row r="950" spans="1:38" x14ac:dyDescent="0.4">
      <c r="A950" s="11" t="s">
        <v>15714</v>
      </c>
      <c r="B950" s="12" t="s">
        <v>15715</v>
      </c>
      <c r="C950" s="13" t="s">
        <v>39</v>
      </c>
      <c r="D950" s="13" t="s">
        <v>63</v>
      </c>
      <c r="E950" s="13" t="s">
        <v>15703</v>
      </c>
      <c r="F950" s="13" t="s">
        <v>15716</v>
      </c>
      <c r="G950" s="13" t="s">
        <v>15716</v>
      </c>
      <c r="H950" s="13" t="s">
        <v>15717</v>
      </c>
      <c r="I950" s="9">
        <f t="shared" ca="1" si="14"/>
        <v>19</v>
      </c>
      <c r="J950" s="13" t="s">
        <v>15718</v>
      </c>
      <c r="K950" s="13" t="s">
        <v>67</v>
      </c>
      <c r="L950" s="9" t="str">
        <f>VLOOKUP(K950,[1]中国省份_标准!$B$2:$F$35,4,FALSE)</f>
        <v>东部地区</v>
      </c>
      <c r="M950" s="9" t="str">
        <f>VLOOKUP(K950,[1]中国省份_标准!$B$2:$F$35,5,FALSE)</f>
        <v>华东地区</v>
      </c>
      <c r="N950" s="13" t="s">
        <v>203</v>
      </c>
      <c r="O950" s="13" t="s">
        <v>944</v>
      </c>
      <c r="P950" s="13" t="s">
        <v>15719</v>
      </c>
      <c r="Q950" s="13" t="s">
        <v>15706</v>
      </c>
      <c r="R950" s="13" t="s">
        <v>15707</v>
      </c>
      <c r="S950" s="13" t="s">
        <v>39</v>
      </c>
      <c r="T950" s="13" t="s">
        <v>1584</v>
      </c>
      <c r="U950" s="13" t="s">
        <v>15715</v>
      </c>
      <c r="V950" s="13" t="s">
        <v>15720</v>
      </c>
      <c r="W950" s="13" t="s">
        <v>15721</v>
      </c>
      <c r="X950" s="13" t="s">
        <v>77</v>
      </c>
      <c r="Y950" s="13" t="s">
        <v>78</v>
      </c>
      <c r="Z950" s="13" t="s">
        <v>15722</v>
      </c>
      <c r="AA950" s="13" t="s">
        <v>850</v>
      </c>
      <c r="AB950" s="13" t="s">
        <v>851</v>
      </c>
      <c r="AC950" s="13" t="s">
        <v>3990</v>
      </c>
      <c r="AD950" s="13" t="s">
        <v>3990</v>
      </c>
      <c r="AE950" s="13" t="s">
        <v>55</v>
      </c>
      <c r="AF950" s="13" t="s">
        <v>15723</v>
      </c>
      <c r="AG950" s="13" t="s">
        <v>39</v>
      </c>
      <c r="AH950" s="13" t="s">
        <v>39</v>
      </c>
      <c r="AI950" s="13" t="s">
        <v>15724</v>
      </c>
      <c r="AJ950" s="13" t="s">
        <v>15725</v>
      </c>
      <c r="AK950" s="13" t="s">
        <v>3564</v>
      </c>
      <c r="AL950" s="13" t="s">
        <v>88</v>
      </c>
    </row>
    <row r="951" spans="1:38" x14ac:dyDescent="0.4">
      <c r="A951" s="11" t="s">
        <v>15726</v>
      </c>
      <c r="B951" s="14" t="s">
        <v>15727</v>
      </c>
      <c r="C951" s="15" t="s">
        <v>39</v>
      </c>
      <c r="D951" s="15" t="s">
        <v>63</v>
      </c>
      <c r="E951" s="15" t="s">
        <v>15728</v>
      </c>
      <c r="F951" s="15" t="s">
        <v>15729</v>
      </c>
      <c r="G951" s="15" t="s">
        <v>15730</v>
      </c>
      <c r="H951" s="15" t="s">
        <v>14279</v>
      </c>
      <c r="I951" s="9">
        <f t="shared" ca="1" si="14"/>
        <v>11</v>
      </c>
      <c r="J951" s="15" t="s">
        <v>15731</v>
      </c>
      <c r="K951" s="15" t="s">
        <v>67</v>
      </c>
      <c r="L951" s="9" t="str">
        <f>VLOOKUP(K951,[1]中国省份_标准!$B$2:$F$35,4,FALSE)</f>
        <v>东部地区</v>
      </c>
      <c r="M951" s="9" t="str">
        <f>VLOOKUP(K951,[1]中国省份_标准!$B$2:$F$35,5,FALSE)</f>
        <v>华东地区</v>
      </c>
      <c r="N951" s="15" t="s">
        <v>203</v>
      </c>
      <c r="O951" s="15" t="s">
        <v>944</v>
      </c>
      <c r="P951" s="15" t="s">
        <v>15732</v>
      </c>
      <c r="Q951" s="15" t="s">
        <v>15733</v>
      </c>
      <c r="R951" s="15" t="s">
        <v>15734</v>
      </c>
      <c r="S951" s="15" t="s">
        <v>15735</v>
      </c>
      <c r="T951" s="15" t="s">
        <v>48</v>
      </c>
      <c r="U951" s="15" t="s">
        <v>15727</v>
      </c>
      <c r="V951" s="15" t="s">
        <v>15736</v>
      </c>
      <c r="W951" s="15" t="s">
        <v>15737</v>
      </c>
      <c r="X951" s="15" t="s">
        <v>990</v>
      </c>
      <c r="Y951" s="15" t="s">
        <v>78</v>
      </c>
      <c r="Z951" s="15" t="s">
        <v>15738</v>
      </c>
      <c r="AA951" s="15" t="s">
        <v>850</v>
      </c>
      <c r="AB951" s="15" t="s">
        <v>11570</v>
      </c>
      <c r="AC951" s="15" t="s">
        <v>11571</v>
      </c>
      <c r="AD951" s="15" t="s">
        <v>11622</v>
      </c>
      <c r="AE951" s="15" t="s">
        <v>109</v>
      </c>
      <c r="AF951" s="15" t="s">
        <v>15739</v>
      </c>
      <c r="AG951" s="15" t="s">
        <v>39</v>
      </c>
      <c r="AH951" s="15" t="s">
        <v>15740</v>
      </c>
      <c r="AI951" s="15" t="s">
        <v>15741</v>
      </c>
      <c r="AJ951" s="15" t="s">
        <v>15742</v>
      </c>
      <c r="AK951" s="15" t="s">
        <v>956</v>
      </c>
      <c r="AL951" s="15" t="s">
        <v>88</v>
      </c>
    </row>
    <row r="952" spans="1:38" x14ac:dyDescent="0.4">
      <c r="A952" s="11" t="s">
        <v>15743</v>
      </c>
      <c r="B952" s="12" t="s">
        <v>15744</v>
      </c>
      <c r="C952" s="13" t="s">
        <v>39</v>
      </c>
      <c r="D952" s="13" t="s">
        <v>63</v>
      </c>
      <c r="E952" s="13" t="s">
        <v>15745</v>
      </c>
      <c r="F952" s="13" t="s">
        <v>640</v>
      </c>
      <c r="G952" s="13" t="s">
        <v>422</v>
      </c>
      <c r="H952" s="13" t="s">
        <v>15746</v>
      </c>
      <c r="I952" s="9">
        <f t="shared" ca="1" si="14"/>
        <v>13</v>
      </c>
      <c r="J952" s="13" t="s">
        <v>15747</v>
      </c>
      <c r="K952" s="13" t="s">
        <v>67</v>
      </c>
      <c r="L952" s="9" t="str">
        <f>VLOOKUP(K952,[1]中国省份_标准!$B$2:$F$35,4,FALSE)</f>
        <v>东部地区</v>
      </c>
      <c r="M952" s="9" t="str">
        <f>VLOOKUP(K952,[1]中国省份_标准!$B$2:$F$35,5,FALSE)</f>
        <v>华东地区</v>
      </c>
      <c r="N952" s="13" t="s">
        <v>203</v>
      </c>
      <c r="O952" s="13" t="s">
        <v>944</v>
      </c>
      <c r="P952" s="13" t="s">
        <v>15748</v>
      </c>
      <c r="Q952" s="13" t="s">
        <v>15749</v>
      </c>
      <c r="R952" s="13" t="s">
        <v>15750</v>
      </c>
      <c r="S952" s="13" t="s">
        <v>39</v>
      </c>
      <c r="T952" s="13" t="s">
        <v>48</v>
      </c>
      <c r="U952" s="13" t="s">
        <v>15744</v>
      </c>
      <c r="V952" s="13" t="s">
        <v>15751</v>
      </c>
      <c r="W952" s="13" t="s">
        <v>15752</v>
      </c>
      <c r="X952" s="13" t="s">
        <v>6451</v>
      </c>
      <c r="Y952" s="13" t="s">
        <v>78</v>
      </c>
      <c r="Z952" s="13" t="s">
        <v>15753</v>
      </c>
      <c r="AA952" s="13" t="s">
        <v>850</v>
      </c>
      <c r="AB952" s="13" t="s">
        <v>851</v>
      </c>
      <c r="AC952" s="13" t="s">
        <v>14445</v>
      </c>
      <c r="AD952" s="13" t="s">
        <v>14445</v>
      </c>
      <c r="AE952" s="13" t="s">
        <v>109</v>
      </c>
      <c r="AF952" s="13" t="s">
        <v>15754</v>
      </c>
      <c r="AG952" s="13" t="s">
        <v>39</v>
      </c>
      <c r="AH952" s="13" t="s">
        <v>39</v>
      </c>
      <c r="AI952" s="13" t="s">
        <v>15755</v>
      </c>
      <c r="AJ952" s="13" t="s">
        <v>15756</v>
      </c>
      <c r="AK952" s="13" t="s">
        <v>3564</v>
      </c>
      <c r="AL952" s="13" t="s">
        <v>88</v>
      </c>
    </row>
    <row r="953" spans="1:38" x14ac:dyDescent="0.4">
      <c r="A953" s="11" t="s">
        <v>15757</v>
      </c>
      <c r="B953" s="14" t="s">
        <v>15758</v>
      </c>
      <c r="C953" s="15" t="s">
        <v>15759</v>
      </c>
      <c r="D953" s="15" t="s">
        <v>63</v>
      </c>
      <c r="E953" s="15" t="s">
        <v>15760</v>
      </c>
      <c r="F953" s="15" t="s">
        <v>271</v>
      </c>
      <c r="G953" s="15" t="s">
        <v>271</v>
      </c>
      <c r="H953" s="15" t="s">
        <v>15761</v>
      </c>
      <c r="I953" s="9">
        <f t="shared" ca="1" si="14"/>
        <v>20</v>
      </c>
      <c r="J953" s="15" t="s">
        <v>15762</v>
      </c>
      <c r="K953" s="15" t="s">
        <v>67</v>
      </c>
      <c r="L953" s="9" t="str">
        <f>VLOOKUP(K953,[1]中国省份_标准!$B$2:$F$35,4,FALSE)</f>
        <v>东部地区</v>
      </c>
      <c r="M953" s="9" t="str">
        <f>VLOOKUP(K953,[1]中国省份_标准!$B$2:$F$35,5,FALSE)</f>
        <v>华东地区</v>
      </c>
      <c r="N953" s="15" t="s">
        <v>203</v>
      </c>
      <c r="O953" s="15" t="s">
        <v>204</v>
      </c>
      <c r="P953" s="15" t="s">
        <v>15763</v>
      </c>
      <c r="Q953" s="15" t="s">
        <v>39</v>
      </c>
      <c r="R953" s="15" t="s">
        <v>15764</v>
      </c>
      <c r="S953" s="15" t="s">
        <v>15765</v>
      </c>
      <c r="T953" s="15" t="s">
        <v>48</v>
      </c>
      <c r="U953" s="15" t="s">
        <v>15758</v>
      </c>
      <c r="V953" s="15" t="s">
        <v>15766</v>
      </c>
      <c r="W953" s="15" t="s">
        <v>15767</v>
      </c>
      <c r="X953" s="15" t="s">
        <v>1319</v>
      </c>
      <c r="Y953" s="15" t="s">
        <v>78</v>
      </c>
      <c r="Z953" s="15" t="s">
        <v>15768</v>
      </c>
      <c r="AA953" s="15" t="s">
        <v>80</v>
      </c>
      <c r="AB953" s="15" t="s">
        <v>106</v>
      </c>
      <c r="AC953" s="15" t="s">
        <v>951</v>
      </c>
      <c r="AD953" s="15" t="s">
        <v>952</v>
      </c>
      <c r="AE953" s="15" t="s">
        <v>55</v>
      </c>
      <c r="AF953" s="15" t="s">
        <v>15769</v>
      </c>
      <c r="AG953" s="15" t="s">
        <v>39</v>
      </c>
      <c r="AH953" s="15" t="s">
        <v>39</v>
      </c>
      <c r="AI953" s="15" t="s">
        <v>15770</v>
      </c>
      <c r="AJ953" s="15" t="s">
        <v>15771</v>
      </c>
      <c r="AK953" s="15" t="s">
        <v>219</v>
      </c>
      <c r="AL953" s="15" t="s">
        <v>88</v>
      </c>
    </row>
    <row r="954" spans="1:38" x14ac:dyDescent="0.4">
      <c r="A954" s="11" t="s">
        <v>15772</v>
      </c>
      <c r="B954" s="12" t="s">
        <v>15773</v>
      </c>
      <c r="C954" s="13" t="s">
        <v>39</v>
      </c>
      <c r="D954" s="13" t="s">
        <v>63</v>
      </c>
      <c r="E954" s="13" t="s">
        <v>15774</v>
      </c>
      <c r="F954" s="13" t="s">
        <v>15775</v>
      </c>
      <c r="G954" s="13" t="s">
        <v>39</v>
      </c>
      <c r="H954" s="13" t="s">
        <v>1565</v>
      </c>
      <c r="I954" s="9">
        <f t="shared" ca="1" si="14"/>
        <v>4</v>
      </c>
      <c r="J954" s="13" t="s">
        <v>15776</v>
      </c>
      <c r="K954" s="13" t="s">
        <v>67</v>
      </c>
      <c r="L954" s="9" t="str">
        <f>VLOOKUP(K954,[1]中国省份_标准!$B$2:$F$35,4,FALSE)</f>
        <v>东部地区</v>
      </c>
      <c r="M954" s="9" t="str">
        <f>VLOOKUP(K954,[1]中国省份_标准!$B$2:$F$35,5,FALSE)</f>
        <v>华东地区</v>
      </c>
      <c r="N954" s="13" t="s">
        <v>203</v>
      </c>
      <c r="O954" s="13" t="s">
        <v>944</v>
      </c>
      <c r="P954" s="13" t="s">
        <v>15777</v>
      </c>
      <c r="Q954" s="13" t="s">
        <v>39</v>
      </c>
      <c r="R954" s="13" t="s">
        <v>15778</v>
      </c>
      <c r="S954" s="13" t="s">
        <v>39</v>
      </c>
      <c r="T954" s="13" t="s">
        <v>281</v>
      </c>
      <c r="U954" s="13" t="s">
        <v>15773</v>
      </c>
      <c r="V954" s="13" t="s">
        <v>39</v>
      </c>
      <c r="W954" s="13" t="s">
        <v>15779</v>
      </c>
      <c r="X954" s="13" t="s">
        <v>690</v>
      </c>
      <c r="Y954" s="13" t="s">
        <v>78</v>
      </c>
      <c r="Z954" s="13" t="s">
        <v>1569</v>
      </c>
      <c r="AA954" s="13" t="s">
        <v>850</v>
      </c>
      <c r="AB954" s="13" t="s">
        <v>851</v>
      </c>
      <c r="AC954" s="13" t="s">
        <v>852</v>
      </c>
      <c r="AD954" s="13" t="s">
        <v>15009</v>
      </c>
      <c r="AE954" s="13" t="s">
        <v>109</v>
      </c>
      <c r="AF954" s="13" t="s">
        <v>15780</v>
      </c>
      <c r="AG954" s="13" t="s">
        <v>39</v>
      </c>
      <c r="AH954" s="13" t="s">
        <v>39</v>
      </c>
      <c r="AI954" s="13" t="s">
        <v>15781</v>
      </c>
      <c r="AJ954" s="13" t="s">
        <v>15782</v>
      </c>
      <c r="AK954" s="13" t="s">
        <v>956</v>
      </c>
      <c r="AL954" s="13" t="s">
        <v>88</v>
      </c>
    </row>
    <row r="955" spans="1:38" x14ac:dyDescent="0.4">
      <c r="A955" s="11" t="s">
        <v>15783</v>
      </c>
      <c r="B955" s="14" t="s">
        <v>15784</v>
      </c>
      <c r="C955" s="15" t="s">
        <v>39</v>
      </c>
      <c r="D955" s="15" t="s">
        <v>63</v>
      </c>
      <c r="E955" s="15" t="s">
        <v>15785</v>
      </c>
      <c r="F955" s="15" t="s">
        <v>999</v>
      </c>
      <c r="G955" s="15" t="s">
        <v>271</v>
      </c>
      <c r="H955" s="15" t="s">
        <v>15786</v>
      </c>
      <c r="I955" s="9">
        <f t="shared" ca="1" si="14"/>
        <v>11</v>
      </c>
      <c r="J955" s="15" t="s">
        <v>15787</v>
      </c>
      <c r="K955" s="15" t="s">
        <v>67</v>
      </c>
      <c r="L955" s="9" t="str">
        <f>VLOOKUP(K955,[1]中国省份_标准!$B$2:$F$35,4,FALSE)</f>
        <v>东部地区</v>
      </c>
      <c r="M955" s="9" t="str">
        <f>VLOOKUP(K955,[1]中国省份_标准!$B$2:$F$35,5,FALSE)</f>
        <v>华东地区</v>
      </c>
      <c r="N955" s="15" t="s">
        <v>203</v>
      </c>
      <c r="O955" s="15" t="s">
        <v>204</v>
      </c>
      <c r="P955" s="15" t="s">
        <v>15788</v>
      </c>
      <c r="Q955" s="15" t="s">
        <v>15789</v>
      </c>
      <c r="R955" s="15" t="s">
        <v>15790</v>
      </c>
      <c r="S955" s="15" t="s">
        <v>15791</v>
      </c>
      <c r="T955" s="15" t="s">
        <v>281</v>
      </c>
      <c r="U955" s="15" t="s">
        <v>15784</v>
      </c>
      <c r="V955" s="15" t="s">
        <v>15792</v>
      </c>
      <c r="W955" s="15" t="s">
        <v>15793</v>
      </c>
      <c r="X955" s="15" t="s">
        <v>6451</v>
      </c>
      <c r="Y955" s="15" t="s">
        <v>78</v>
      </c>
      <c r="Z955" s="15" t="s">
        <v>15794</v>
      </c>
      <c r="AA955" s="15" t="s">
        <v>52</v>
      </c>
      <c r="AB955" s="15" t="s">
        <v>53</v>
      </c>
      <c r="AC955" s="15" t="s">
        <v>7803</v>
      </c>
      <c r="AD955" s="15" t="s">
        <v>7804</v>
      </c>
      <c r="AE955" s="15" t="s">
        <v>55</v>
      </c>
      <c r="AF955" s="15" t="s">
        <v>15795</v>
      </c>
      <c r="AG955" s="15" t="s">
        <v>39</v>
      </c>
      <c r="AH955" s="15" t="s">
        <v>39</v>
      </c>
      <c r="AI955" s="15" t="s">
        <v>15796</v>
      </c>
      <c r="AJ955" s="15" t="s">
        <v>15797</v>
      </c>
      <c r="AK955" s="15" t="s">
        <v>219</v>
      </c>
      <c r="AL955" s="15" t="s">
        <v>88</v>
      </c>
    </row>
    <row r="956" spans="1:38" x14ac:dyDescent="0.4">
      <c r="A956" s="11" t="s">
        <v>15798</v>
      </c>
      <c r="B956" s="12" t="s">
        <v>15799</v>
      </c>
      <c r="C956" s="13" t="s">
        <v>15800</v>
      </c>
      <c r="D956" s="13" t="s">
        <v>63</v>
      </c>
      <c r="E956" s="13" t="s">
        <v>15801</v>
      </c>
      <c r="F956" s="13" t="s">
        <v>271</v>
      </c>
      <c r="G956" s="13" t="s">
        <v>271</v>
      </c>
      <c r="H956" s="13" t="s">
        <v>15802</v>
      </c>
      <c r="I956" s="9">
        <f t="shared" ca="1" si="14"/>
        <v>22</v>
      </c>
      <c r="J956" s="13" t="s">
        <v>15803</v>
      </c>
      <c r="K956" s="13" t="s">
        <v>67</v>
      </c>
      <c r="L956" s="9" t="str">
        <f>VLOOKUP(K956,[1]中国省份_标准!$B$2:$F$35,4,FALSE)</f>
        <v>东部地区</v>
      </c>
      <c r="M956" s="9" t="str">
        <f>VLOOKUP(K956,[1]中国省份_标准!$B$2:$F$35,5,FALSE)</f>
        <v>华东地区</v>
      </c>
      <c r="N956" s="13" t="s">
        <v>203</v>
      </c>
      <c r="O956" s="13" t="s">
        <v>944</v>
      </c>
      <c r="P956" s="13" t="s">
        <v>15804</v>
      </c>
      <c r="Q956" s="13" t="s">
        <v>15805</v>
      </c>
      <c r="R956" s="13" t="s">
        <v>15806</v>
      </c>
      <c r="S956" s="13" t="s">
        <v>39</v>
      </c>
      <c r="T956" s="13" t="s">
        <v>670</v>
      </c>
      <c r="U956" s="13" t="s">
        <v>15799</v>
      </c>
      <c r="V956" s="13" t="s">
        <v>15807</v>
      </c>
      <c r="W956" s="13" t="s">
        <v>15808</v>
      </c>
      <c r="X956" s="13" t="s">
        <v>6451</v>
      </c>
      <c r="Y956" s="13" t="s">
        <v>78</v>
      </c>
      <c r="Z956" s="13" t="s">
        <v>15809</v>
      </c>
      <c r="AA956" s="13" t="s">
        <v>850</v>
      </c>
      <c r="AB956" s="13" t="s">
        <v>11570</v>
      </c>
      <c r="AC956" s="13" t="s">
        <v>11571</v>
      </c>
      <c r="AD956" s="13" t="s">
        <v>11622</v>
      </c>
      <c r="AE956" s="13" t="s">
        <v>109</v>
      </c>
      <c r="AF956" s="13" t="s">
        <v>15810</v>
      </c>
      <c r="AG956" s="13" t="s">
        <v>15811</v>
      </c>
      <c r="AH956" s="13" t="s">
        <v>39</v>
      </c>
      <c r="AI956" s="13" t="s">
        <v>15812</v>
      </c>
      <c r="AJ956" s="13" t="s">
        <v>15813</v>
      </c>
      <c r="AK956" s="13" t="s">
        <v>956</v>
      </c>
      <c r="AL956" s="13" t="s">
        <v>88</v>
      </c>
    </row>
    <row r="957" spans="1:38" x14ac:dyDescent="0.4">
      <c r="A957" s="11" t="s">
        <v>15814</v>
      </c>
      <c r="B957" s="14" t="s">
        <v>15815</v>
      </c>
      <c r="C957" s="15" t="s">
        <v>39</v>
      </c>
      <c r="D957" s="15" t="s">
        <v>63</v>
      </c>
      <c r="E957" s="15" t="s">
        <v>15816</v>
      </c>
      <c r="F957" s="15" t="s">
        <v>640</v>
      </c>
      <c r="G957" s="15" t="s">
        <v>1235</v>
      </c>
      <c r="H957" s="15" t="s">
        <v>15817</v>
      </c>
      <c r="I957" s="9">
        <f t="shared" ca="1" si="14"/>
        <v>6</v>
      </c>
      <c r="J957" s="15" t="s">
        <v>15818</v>
      </c>
      <c r="K957" s="15" t="s">
        <v>67</v>
      </c>
      <c r="L957" s="9" t="str">
        <f>VLOOKUP(K957,[1]中国省份_标准!$B$2:$F$35,4,FALSE)</f>
        <v>东部地区</v>
      </c>
      <c r="M957" s="9" t="str">
        <f>VLOOKUP(K957,[1]中国省份_标准!$B$2:$F$35,5,FALSE)</f>
        <v>华东地区</v>
      </c>
      <c r="N957" s="15" t="s">
        <v>203</v>
      </c>
      <c r="O957" s="15" t="s">
        <v>944</v>
      </c>
      <c r="P957" s="15" t="s">
        <v>15819</v>
      </c>
      <c r="Q957" s="15" t="s">
        <v>15820</v>
      </c>
      <c r="R957" s="15" t="s">
        <v>15821</v>
      </c>
      <c r="S957" s="15" t="s">
        <v>15822</v>
      </c>
      <c r="T957" s="15" t="s">
        <v>48</v>
      </c>
      <c r="U957" s="15" t="s">
        <v>15815</v>
      </c>
      <c r="V957" s="15" t="s">
        <v>39</v>
      </c>
      <c r="W957" s="15" t="s">
        <v>15823</v>
      </c>
      <c r="X957" s="15" t="s">
        <v>212</v>
      </c>
      <c r="Y957" s="15" t="s">
        <v>78</v>
      </c>
      <c r="Z957" s="15" t="s">
        <v>15824</v>
      </c>
      <c r="AA957" s="15" t="s">
        <v>850</v>
      </c>
      <c r="AB957" s="15" t="s">
        <v>9442</v>
      </c>
      <c r="AC957" s="15" t="s">
        <v>10006</v>
      </c>
      <c r="AD957" s="15" t="s">
        <v>10007</v>
      </c>
      <c r="AE957" s="15" t="s">
        <v>109</v>
      </c>
      <c r="AF957" s="15" t="s">
        <v>15825</v>
      </c>
      <c r="AG957" s="15" t="s">
        <v>39</v>
      </c>
      <c r="AH957" s="15" t="s">
        <v>39</v>
      </c>
      <c r="AI957" s="15" t="s">
        <v>15826</v>
      </c>
      <c r="AJ957" s="15" t="s">
        <v>15827</v>
      </c>
      <c r="AK957" s="15" t="s">
        <v>956</v>
      </c>
      <c r="AL957" s="15" t="s">
        <v>88</v>
      </c>
    </row>
    <row r="958" spans="1:38" x14ac:dyDescent="0.4">
      <c r="A958" s="11" t="s">
        <v>15828</v>
      </c>
      <c r="B958" s="12" t="s">
        <v>15829</v>
      </c>
      <c r="C958" s="13" t="s">
        <v>39</v>
      </c>
      <c r="D958" s="13" t="s">
        <v>92</v>
      </c>
      <c r="E958" s="13" t="s">
        <v>15830</v>
      </c>
      <c r="F958" s="13" t="s">
        <v>3656</v>
      </c>
      <c r="G958" s="13" t="s">
        <v>3656</v>
      </c>
      <c r="H958" s="13" t="s">
        <v>15831</v>
      </c>
      <c r="I958" s="9">
        <f t="shared" ca="1" si="14"/>
        <v>12</v>
      </c>
      <c r="J958" s="13" t="s">
        <v>15832</v>
      </c>
      <c r="K958" s="13" t="s">
        <v>97</v>
      </c>
      <c r="L958" s="9" t="str">
        <f>VLOOKUP(K958,[1]中国省份_标准!$B$2:$F$35,4,FALSE)</f>
        <v>中部地区</v>
      </c>
      <c r="M958" s="9" t="str">
        <f>VLOOKUP(K958,[1]中国省份_标准!$B$2:$F$35,5,FALSE)</f>
        <v>华中地区</v>
      </c>
      <c r="N958" s="13" t="s">
        <v>15833</v>
      </c>
      <c r="O958" s="13" t="s">
        <v>15834</v>
      </c>
      <c r="P958" s="13" t="s">
        <v>15835</v>
      </c>
      <c r="Q958" s="13" t="s">
        <v>15836</v>
      </c>
      <c r="R958" s="13" t="s">
        <v>15837</v>
      </c>
      <c r="S958" s="13" t="s">
        <v>15838</v>
      </c>
      <c r="T958" s="13" t="s">
        <v>452</v>
      </c>
      <c r="U958" s="13" t="s">
        <v>15829</v>
      </c>
      <c r="V958" s="13" t="s">
        <v>15839</v>
      </c>
      <c r="W958" s="13" t="s">
        <v>15840</v>
      </c>
      <c r="X958" s="13" t="s">
        <v>10250</v>
      </c>
      <c r="Y958" s="13" t="s">
        <v>78</v>
      </c>
      <c r="Z958" s="13" t="s">
        <v>15841</v>
      </c>
      <c r="AA958" s="13" t="s">
        <v>850</v>
      </c>
      <c r="AB958" s="13" t="s">
        <v>9442</v>
      </c>
      <c r="AC958" s="13" t="s">
        <v>10309</v>
      </c>
      <c r="AD958" s="13" t="s">
        <v>15842</v>
      </c>
      <c r="AE958" s="13" t="s">
        <v>55</v>
      </c>
      <c r="AF958" s="13" t="s">
        <v>15843</v>
      </c>
      <c r="AG958" s="13" t="s">
        <v>39</v>
      </c>
      <c r="AH958" s="13" t="s">
        <v>39</v>
      </c>
      <c r="AI958" s="13" t="s">
        <v>15844</v>
      </c>
      <c r="AJ958" s="13" t="s">
        <v>15845</v>
      </c>
      <c r="AK958" s="13" t="s">
        <v>15846</v>
      </c>
      <c r="AL958" s="13" t="s">
        <v>88</v>
      </c>
    </row>
    <row r="959" spans="1:38" x14ac:dyDescent="0.4">
      <c r="A959" s="11" t="s">
        <v>15847</v>
      </c>
      <c r="B959" s="14" t="s">
        <v>15848</v>
      </c>
      <c r="C959" s="15" t="s">
        <v>15849</v>
      </c>
      <c r="D959" s="15" t="s">
        <v>92</v>
      </c>
      <c r="E959" s="15" t="s">
        <v>15850</v>
      </c>
      <c r="F959" s="15" t="s">
        <v>39</v>
      </c>
      <c r="G959" s="15" t="s">
        <v>39</v>
      </c>
      <c r="H959" s="15" t="s">
        <v>15851</v>
      </c>
      <c r="I959" s="9">
        <f t="shared" ca="1" si="14"/>
        <v>27</v>
      </c>
      <c r="J959" s="15" t="s">
        <v>15852</v>
      </c>
      <c r="K959" s="15" t="s">
        <v>3068</v>
      </c>
      <c r="L959" s="9" t="str">
        <f>VLOOKUP(K959,[1]中国省份_标准!$B$2:$F$35,4,FALSE)</f>
        <v>西部地区</v>
      </c>
      <c r="M959" s="9" t="str">
        <f>VLOOKUP(K959,[1]中国省份_标准!$B$2:$F$35,5,FALSE)</f>
        <v>西北地区</v>
      </c>
      <c r="N959" s="15" t="s">
        <v>15853</v>
      </c>
      <c r="O959" s="15" t="s">
        <v>15854</v>
      </c>
      <c r="P959" s="15" t="s">
        <v>15855</v>
      </c>
      <c r="Q959" s="15" t="s">
        <v>15856</v>
      </c>
      <c r="R959" s="15" t="s">
        <v>15857</v>
      </c>
      <c r="S959" s="15" t="s">
        <v>15858</v>
      </c>
      <c r="T959" s="15" t="s">
        <v>9812</v>
      </c>
      <c r="U959" s="15" t="s">
        <v>15848</v>
      </c>
      <c r="V959" s="15" t="s">
        <v>15859</v>
      </c>
      <c r="W959" s="15" t="s">
        <v>15860</v>
      </c>
      <c r="X959" s="15" t="s">
        <v>212</v>
      </c>
      <c r="Y959" s="15" t="s">
        <v>78</v>
      </c>
      <c r="Z959" s="15" t="s">
        <v>15861</v>
      </c>
      <c r="AA959" s="15" t="s">
        <v>169</v>
      </c>
      <c r="AB959" s="15" t="s">
        <v>412</v>
      </c>
      <c r="AC959" s="15" t="s">
        <v>457</v>
      </c>
      <c r="AD959" s="15" t="s">
        <v>458</v>
      </c>
      <c r="AE959" s="15" t="s">
        <v>39</v>
      </c>
      <c r="AF959" s="15" t="s">
        <v>15862</v>
      </c>
      <c r="AG959" s="15" t="s">
        <v>39</v>
      </c>
      <c r="AH959" s="15" t="s">
        <v>39</v>
      </c>
      <c r="AI959" s="15" t="s">
        <v>15863</v>
      </c>
      <c r="AJ959" s="15" t="s">
        <v>15864</v>
      </c>
      <c r="AK959" s="15" t="s">
        <v>15865</v>
      </c>
      <c r="AL959" s="15" t="s">
        <v>88</v>
      </c>
    </row>
    <row r="960" spans="1:38" x14ac:dyDescent="0.4">
      <c r="A960" s="11" t="s">
        <v>15866</v>
      </c>
      <c r="B960" s="12" t="s">
        <v>15867</v>
      </c>
      <c r="C960" s="13" t="s">
        <v>15868</v>
      </c>
      <c r="D960" s="13" t="s">
        <v>92</v>
      </c>
      <c r="E960" s="13" t="s">
        <v>15869</v>
      </c>
      <c r="F960" s="13" t="s">
        <v>271</v>
      </c>
      <c r="G960" s="13" t="s">
        <v>640</v>
      </c>
      <c r="H960" s="13" t="s">
        <v>15870</v>
      </c>
      <c r="I960" s="9">
        <f t="shared" ca="1" si="14"/>
        <v>13</v>
      </c>
      <c r="J960" s="13" t="s">
        <v>15871</v>
      </c>
      <c r="K960" s="13" t="s">
        <v>4266</v>
      </c>
      <c r="L960" s="9" t="str">
        <f>VLOOKUP(K960,[1]中国省份_标准!$B$2:$F$35,4,FALSE)</f>
        <v>东部地区</v>
      </c>
      <c r="M960" s="9" t="str">
        <f>VLOOKUP(K960,[1]中国省份_标准!$B$2:$F$35,5,FALSE)</f>
        <v>华北地区</v>
      </c>
      <c r="N960" s="13" t="s">
        <v>4266</v>
      </c>
      <c r="O960" s="13" t="s">
        <v>9575</v>
      </c>
      <c r="P960" s="13" t="s">
        <v>15872</v>
      </c>
      <c r="Q960" s="13" t="s">
        <v>15873</v>
      </c>
      <c r="R960" s="13" t="s">
        <v>15874</v>
      </c>
      <c r="S960" s="13" t="s">
        <v>15875</v>
      </c>
      <c r="T960" s="13" t="s">
        <v>670</v>
      </c>
      <c r="U960" s="13" t="s">
        <v>15867</v>
      </c>
      <c r="V960" s="13" t="s">
        <v>15876</v>
      </c>
      <c r="W960" s="13" t="s">
        <v>15877</v>
      </c>
      <c r="X960" s="13" t="s">
        <v>212</v>
      </c>
      <c r="Y960" s="13" t="s">
        <v>78</v>
      </c>
      <c r="Z960" s="13" t="s">
        <v>15878</v>
      </c>
      <c r="AA960" s="13" t="s">
        <v>850</v>
      </c>
      <c r="AB960" s="13" t="s">
        <v>11570</v>
      </c>
      <c r="AC960" s="13" t="s">
        <v>11571</v>
      </c>
      <c r="AD960" s="13" t="s">
        <v>11622</v>
      </c>
      <c r="AE960" s="13" t="s">
        <v>109</v>
      </c>
      <c r="AF960" s="13" t="s">
        <v>15879</v>
      </c>
      <c r="AG960" s="13" t="s">
        <v>39</v>
      </c>
      <c r="AH960" s="13" t="s">
        <v>39</v>
      </c>
      <c r="AI960" s="13" t="s">
        <v>15880</v>
      </c>
      <c r="AJ960" s="13" t="s">
        <v>15881</v>
      </c>
      <c r="AK960" s="13" t="s">
        <v>9780</v>
      </c>
      <c r="AL960" s="13" t="s">
        <v>88</v>
      </c>
    </row>
    <row r="961" spans="1:38" x14ac:dyDescent="0.4">
      <c r="A961" s="11" t="s">
        <v>15882</v>
      </c>
      <c r="B961" s="14" t="s">
        <v>15883</v>
      </c>
      <c r="C961" s="15" t="s">
        <v>15884</v>
      </c>
      <c r="D961" s="15" t="s">
        <v>92</v>
      </c>
      <c r="E961" s="15" t="s">
        <v>15885</v>
      </c>
      <c r="F961" s="15" t="s">
        <v>961</v>
      </c>
      <c r="G961" s="15" t="s">
        <v>961</v>
      </c>
      <c r="H961" s="15" t="s">
        <v>15886</v>
      </c>
      <c r="I961" s="9">
        <f t="shared" ca="1" si="14"/>
        <v>26</v>
      </c>
      <c r="J961" s="15" t="s">
        <v>15887</v>
      </c>
      <c r="K961" s="15" t="s">
        <v>4266</v>
      </c>
      <c r="L961" s="9" t="str">
        <f>VLOOKUP(K961,[1]中国省份_标准!$B$2:$F$35,4,FALSE)</f>
        <v>东部地区</v>
      </c>
      <c r="M961" s="9" t="str">
        <f>VLOOKUP(K961,[1]中国省份_标准!$B$2:$F$35,5,FALSE)</f>
        <v>华北地区</v>
      </c>
      <c r="N961" s="15" t="s">
        <v>4266</v>
      </c>
      <c r="O961" s="15" t="s">
        <v>9575</v>
      </c>
      <c r="P961" s="15" t="s">
        <v>15888</v>
      </c>
      <c r="Q961" s="15" t="s">
        <v>15889</v>
      </c>
      <c r="R961" s="15" t="s">
        <v>15890</v>
      </c>
      <c r="S961" s="15" t="s">
        <v>39</v>
      </c>
      <c r="T961" s="15" t="s">
        <v>670</v>
      </c>
      <c r="U961" s="15" t="s">
        <v>15883</v>
      </c>
      <c r="V961" s="15" t="s">
        <v>15891</v>
      </c>
      <c r="W961" s="15" t="s">
        <v>15892</v>
      </c>
      <c r="X961" s="15" t="s">
        <v>1209</v>
      </c>
      <c r="Y961" s="15" t="s">
        <v>78</v>
      </c>
      <c r="Z961" s="15" t="s">
        <v>15893</v>
      </c>
      <c r="AA961" s="15" t="s">
        <v>850</v>
      </c>
      <c r="AB961" s="15" t="s">
        <v>11570</v>
      </c>
      <c r="AC961" s="15" t="s">
        <v>11571</v>
      </c>
      <c r="AD961" s="15" t="s">
        <v>11622</v>
      </c>
      <c r="AE961" s="15" t="s">
        <v>109</v>
      </c>
      <c r="AF961" s="15" t="s">
        <v>15894</v>
      </c>
      <c r="AG961" s="15" t="s">
        <v>39</v>
      </c>
      <c r="AH961" s="15" t="s">
        <v>15895</v>
      </c>
      <c r="AI961" s="15" t="s">
        <v>15896</v>
      </c>
      <c r="AJ961" s="15" t="s">
        <v>15897</v>
      </c>
      <c r="AK961" s="15" t="s">
        <v>15898</v>
      </c>
      <c r="AL961" s="15" t="s">
        <v>88</v>
      </c>
    </row>
    <row r="962" spans="1:38" x14ac:dyDescent="0.4">
      <c r="A962" s="11" t="s">
        <v>15899</v>
      </c>
      <c r="B962" s="12" t="s">
        <v>15900</v>
      </c>
      <c r="C962" s="13" t="s">
        <v>39</v>
      </c>
      <c r="D962" s="13" t="s">
        <v>63</v>
      </c>
      <c r="E962" s="13" t="s">
        <v>15901</v>
      </c>
      <c r="F962" s="13" t="s">
        <v>178</v>
      </c>
      <c r="G962" s="13" t="s">
        <v>178</v>
      </c>
      <c r="H962" s="13" t="s">
        <v>15902</v>
      </c>
      <c r="I962" s="9">
        <f t="shared" ca="1" si="14"/>
        <v>9</v>
      </c>
      <c r="J962" s="13" t="s">
        <v>15903</v>
      </c>
      <c r="K962" s="13" t="s">
        <v>67</v>
      </c>
      <c r="L962" s="9" t="str">
        <f>VLOOKUP(K962,[1]中国省份_标准!$B$2:$F$35,4,FALSE)</f>
        <v>东部地区</v>
      </c>
      <c r="M962" s="9" t="str">
        <f>VLOOKUP(K962,[1]中国省份_标准!$B$2:$F$35,5,FALSE)</f>
        <v>华东地区</v>
      </c>
      <c r="N962" s="13" t="s">
        <v>203</v>
      </c>
      <c r="O962" s="13" t="s">
        <v>944</v>
      </c>
      <c r="P962" s="13" t="s">
        <v>15904</v>
      </c>
      <c r="Q962" s="13" t="s">
        <v>15905</v>
      </c>
      <c r="R962" s="13" t="s">
        <v>15906</v>
      </c>
      <c r="S962" s="13" t="s">
        <v>15907</v>
      </c>
      <c r="T962" s="13" t="s">
        <v>209</v>
      </c>
      <c r="U962" s="13" t="s">
        <v>15900</v>
      </c>
      <c r="V962" s="13" t="s">
        <v>15908</v>
      </c>
      <c r="W962" s="13" t="s">
        <v>15909</v>
      </c>
      <c r="X962" s="13" t="s">
        <v>8641</v>
      </c>
      <c r="Y962" s="13" t="s">
        <v>78</v>
      </c>
      <c r="Z962" s="13" t="s">
        <v>15910</v>
      </c>
      <c r="AA962" s="13" t="s">
        <v>52</v>
      </c>
      <c r="AB962" s="13" t="s">
        <v>53</v>
      </c>
      <c r="AC962" s="13" t="s">
        <v>2874</v>
      </c>
      <c r="AD962" s="13" t="s">
        <v>4311</v>
      </c>
      <c r="AE962" s="13" t="s">
        <v>55</v>
      </c>
      <c r="AF962" s="13" t="s">
        <v>15911</v>
      </c>
      <c r="AG962" s="13" t="s">
        <v>39</v>
      </c>
      <c r="AH962" s="13" t="s">
        <v>39</v>
      </c>
      <c r="AI962" s="13" t="s">
        <v>15912</v>
      </c>
      <c r="AJ962" s="13" t="s">
        <v>15913</v>
      </c>
      <c r="AK962" s="13" t="s">
        <v>956</v>
      </c>
      <c r="AL962" s="13" t="s">
        <v>88</v>
      </c>
    </row>
    <row r="963" spans="1:38" x14ac:dyDescent="0.4">
      <c r="A963" s="11" t="s">
        <v>15914</v>
      </c>
      <c r="B963" s="14" t="s">
        <v>15915</v>
      </c>
      <c r="C963" s="15" t="s">
        <v>39</v>
      </c>
      <c r="D963" s="15" t="s">
        <v>92</v>
      </c>
      <c r="E963" s="15" t="s">
        <v>15916</v>
      </c>
      <c r="F963" s="15" t="s">
        <v>490</v>
      </c>
      <c r="G963" s="15" t="s">
        <v>490</v>
      </c>
      <c r="H963" s="15" t="s">
        <v>15917</v>
      </c>
      <c r="I963" s="9">
        <f t="shared" ref="I963:I1026" ca="1" si="15">DATEDIF(H963, TODAY(), "Y")</f>
        <v>17</v>
      </c>
      <c r="J963" s="15" t="s">
        <v>15918</v>
      </c>
      <c r="K963" s="15" t="s">
        <v>227</v>
      </c>
      <c r="L963" s="9" t="str">
        <f>VLOOKUP(K963,[1]中国省份_标准!$B$2:$F$35,4,FALSE)</f>
        <v>西部地区</v>
      </c>
      <c r="M963" s="9" t="str">
        <f>VLOOKUP(K963,[1]中国省份_标准!$B$2:$F$35,5,FALSE)</f>
        <v>西北地区</v>
      </c>
      <c r="N963" s="15" t="s">
        <v>7434</v>
      </c>
      <c r="O963" s="15" t="s">
        <v>13527</v>
      </c>
      <c r="P963" s="15" t="s">
        <v>15919</v>
      </c>
      <c r="Q963" s="15" t="s">
        <v>15920</v>
      </c>
      <c r="R963" s="15" t="s">
        <v>15921</v>
      </c>
      <c r="S963" s="15" t="s">
        <v>15922</v>
      </c>
      <c r="T963" s="15" t="s">
        <v>48</v>
      </c>
      <c r="U963" s="15" t="s">
        <v>15915</v>
      </c>
      <c r="V963" s="15" t="s">
        <v>15923</v>
      </c>
      <c r="W963" s="15" t="s">
        <v>15924</v>
      </c>
      <c r="X963" s="15" t="s">
        <v>8641</v>
      </c>
      <c r="Y963" s="15" t="s">
        <v>78</v>
      </c>
      <c r="Z963" s="15" t="s">
        <v>15925</v>
      </c>
      <c r="AA963" s="15" t="s">
        <v>850</v>
      </c>
      <c r="AB963" s="15" t="s">
        <v>851</v>
      </c>
      <c r="AC963" s="15" t="s">
        <v>852</v>
      </c>
      <c r="AD963" s="15" t="s">
        <v>853</v>
      </c>
      <c r="AE963" s="15" t="s">
        <v>55</v>
      </c>
      <c r="AF963" s="15" t="s">
        <v>15926</v>
      </c>
      <c r="AG963" s="15" t="s">
        <v>15927</v>
      </c>
      <c r="AH963" s="15" t="s">
        <v>39</v>
      </c>
      <c r="AI963" s="15" t="s">
        <v>15928</v>
      </c>
      <c r="AJ963" s="15" t="s">
        <v>15929</v>
      </c>
      <c r="AK963" s="15" t="s">
        <v>13538</v>
      </c>
      <c r="AL963" s="15" t="s">
        <v>88</v>
      </c>
    </row>
    <row r="964" spans="1:38" x14ac:dyDescent="0.4">
      <c r="A964" s="11" t="s">
        <v>15930</v>
      </c>
      <c r="B964" s="12" t="s">
        <v>15931</v>
      </c>
      <c r="C964" s="13" t="s">
        <v>39</v>
      </c>
      <c r="D964" s="13" t="s">
        <v>63</v>
      </c>
      <c r="E964" s="13" t="s">
        <v>15932</v>
      </c>
      <c r="F964" s="13" t="s">
        <v>271</v>
      </c>
      <c r="G964" s="13" t="s">
        <v>640</v>
      </c>
      <c r="H964" s="13" t="s">
        <v>15933</v>
      </c>
      <c r="I964" s="9">
        <f t="shared" ca="1" si="15"/>
        <v>18</v>
      </c>
      <c r="J964" s="13" t="s">
        <v>15934</v>
      </c>
      <c r="K964" s="13" t="s">
        <v>67</v>
      </c>
      <c r="L964" s="9" t="str">
        <f>VLOOKUP(K964,[1]中国省份_标准!$B$2:$F$35,4,FALSE)</f>
        <v>东部地区</v>
      </c>
      <c r="M964" s="9" t="str">
        <f>VLOOKUP(K964,[1]中国省份_标准!$B$2:$F$35,5,FALSE)</f>
        <v>华东地区</v>
      </c>
      <c r="N964" s="13" t="s">
        <v>203</v>
      </c>
      <c r="O964" s="13" t="s">
        <v>944</v>
      </c>
      <c r="P964" s="13" t="s">
        <v>15935</v>
      </c>
      <c r="Q964" s="13" t="s">
        <v>15936</v>
      </c>
      <c r="R964" s="13" t="s">
        <v>15937</v>
      </c>
      <c r="S964" s="13" t="s">
        <v>15938</v>
      </c>
      <c r="T964" s="13" t="s">
        <v>184</v>
      </c>
      <c r="U964" s="13" t="s">
        <v>15931</v>
      </c>
      <c r="V964" s="13" t="s">
        <v>15939</v>
      </c>
      <c r="W964" s="13" t="s">
        <v>15940</v>
      </c>
      <c r="X964" s="13" t="s">
        <v>2491</v>
      </c>
      <c r="Y964" s="13" t="s">
        <v>78</v>
      </c>
      <c r="Z964" s="13" t="s">
        <v>15941</v>
      </c>
      <c r="AA964" s="13" t="s">
        <v>850</v>
      </c>
      <c r="AB964" s="13" t="s">
        <v>9442</v>
      </c>
      <c r="AC964" s="13" t="s">
        <v>10006</v>
      </c>
      <c r="AD964" s="13" t="s">
        <v>39</v>
      </c>
      <c r="AE964" s="13" t="s">
        <v>55</v>
      </c>
      <c r="AF964" s="13" t="s">
        <v>15942</v>
      </c>
      <c r="AG964" s="13" t="s">
        <v>39</v>
      </c>
      <c r="AH964" s="13" t="s">
        <v>39</v>
      </c>
      <c r="AI964" s="13" t="s">
        <v>15943</v>
      </c>
      <c r="AJ964" s="13" t="s">
        <v>15944</v>
      </c>
      <c r="AK964" s="13" t="s">
        <v>956</v>
      </c>
      <c r="AL964" s="13" t="s">
        <v>88</v>
      </c>
    </row>
    <row r="965" spans="1:38" x14ac:dyDescent="0.4">
      <c r="A965" s="11" t="s">
        <v>15945</v>
      </c>
      <c r="B965" s="14" t="s">
        <v>15946</v>
      </c>
      <c r="C965" s="15" t="s">
        <v>39</v>
      </c>
      <c r="D965" s="15" t="s">
        <v>92</v>
      </c>
      <c r="E965" s="15" t="s">
        <v>15947</v>
      </c>
      <c r="F965" s="15" t="s">
        <v>15948</v>
      </c>
      <c r="G965" s="15" t="s">
        <v>15948</v>
      </c>
      <c r="H965" s="15" t="s">
        <v>684</v>
      </c>
      <c r="I965" s="9">
        <f t="shared" ca="1" si="15"/>
        <v>7</v>
      </c>
      <c r="J965" s="15" t="s">
        <v>15949</v>
      </c>
      <c r="K965" s="15" t="s">
        <v>227</v>
      </c>
      <c r="L965" s="9" t="str">
        <f>VLOOKUP(K965,[1]中国省份_标准!$B$2:$F$35,4,FALSE)</f>
        <v>西部地区</v>
      </c>
      <c r="M965" s="9" t="str">
        <f>VLOOKUP(K965,[1]中国省份_标准!$B$2:$F$35,5,FALSE)</f>
        <v>西北地区</v>
      </c>
      <c r="N965" s="15" t="s">
        <v>3212</v>
      </c>
      <c r="O965" s="15" t="s">
        <v>11893</v>
      </c>
      <c r="P965" s="15" t="s">
        <v>15950</v>
      </c>
      <c r="Q965" s="15" t="s">
        <v>15951</v>
      </c>
      <c r="R965" s="15" t="s">
        <v>15952</v>
      </c>
      <c r="S965" s="15" t="s">
        <v>15953</v>
      </c>
      <c r="T965" s="15" t="s">
        <v>452</v>
      </c>
      <c r="U965" s="15" t="s">
        <v>15946</v>
      </c>
      <c r="V965" s="15" t="s">
        <v>39</v>
      </c>
      <c r="W965" s="15" t="s">
        <v>15954</v>
      </c>
      <c r="X965" s="15" t="s">
        <v>7958</v>
      </c>
      <c r="Y965" s="15" t="s">
        <v>78</v>
      </c>
      <c r="Z965" s="15" t="s">
        <v>691</v>
      </c>
      <c r="AA965" s="15" t="s">
        <v>850</v>
      </c>
      <c r="AB965" s="15" t="s">
        <v>851</v>
      </c>
      <c r="AC965" s="15" t="s">
        <v>852</v>
      </c>
      <c r="AD965" s="15" t="s">
        <v>15009</v>
      </c>
      <c r="AE965" s="15" t="s">
        <v>55</v>
      </c>
      <c r="AF965" s="15" t="s">
        <v>15955</v>
      </c>
      <c r="AG965" s="15" t="s">
        <v>39</v>
      </c>
      <c r="AH965" s="15" t="s">
        <v>39</v>
      </c>
      <c r="AI965" s="15" t="s">
        <v>15956</v>
      </c>
      <c r="AJ965" s="15" t="s">
        <v>15957</v>
      </c>
      <c r="AK965" s="15" t="s">
        <v>3181</v>
      </c>
      <c r="AL965" s="15" t="s">
        <v>88</v>
      </c>
    </row>
    <row r="966" spans="1:38" x14ac:dyDescent="0.4">
      <c r="A966" s="11" t="s">
        <v>15958</v>
      </c>
      <c r="B966" s="12" t="s">
        <v>15959</v>
      </c>
      <c r="C966" s="13" t="s">
        <v>39</v>
      </c>
      <c r="D966" s="13" t="s">
        <v>92</v>
      </c>
      <c r="E966" s="13" t="s">
        <v>15960</v>
      </c>
      <c r="F966" s="13" t="s">
        <v>442</v>
      </c>
      <c r="G966" s="13" t="s">
        <v>961</v>
      </c>
      <c r="H966" s="13" t="s">
        <v>15961</v>
      </c>
      <c r="I966" s="9">
        <f t="shared" ca="1" si="15"/>
        <v>4</v>
      </c>
      <c r="J966" s="13" t="s">
        <v>15962</v>
      </c>
      <c r="K966" s="13" t="s">
        <v>227</v>
      </c>
      <c r="L966" s="9" t="str">
        <f>VLOOKUP(K966,[1]中国省份_标准!$B$2:$F$35,4,FALSE)</f>
        <v>西部地区</v>
      </c>
      <c r="M966" s="9" t="str">
        <f>VLOOKUP(K966,[1]中国省份_标准!$B$2:$F$35,5,FALSE)</f>
        <v>西北地区</v>
      </c>
      <c r="N966" s="13" t="s">
        <v>3212</v>
      </c>
      <c r="O966" s="13" t="s">
        <v>6826</v>
      </c>
      <c r="P966" s="13" t="s">
        <v>15963</v>
      </c>
      <c r="Q966" s="13" t="s">
        <v>15964</v>
      </c>
      <c r="R966" s="13" t="s">
        <v>15965</v>
      </c>
      <c r="S966" s="13" t="s">
        <v>15966</v>
      </c>
      <c r="T966" s="13" t="s">
        <v>452</v>
      </c>
      <c r="U966" s="13" t="s">
        <v>15959</v>
      </c>
      <c r="V966" s="13" t="s">
        <v>39</v>
      </c>
      <c r="W966" s="13" t="s">
        <v>15967</v>
      </c>
      <c r="X966" s="13" t="s">
        <v>1319</v>
      </c>
      <c r="Y966" s="13" t="s">
        <v>78</v>
      </c>
      <c r="Z966" s="13" t="s">
        <v>15968</v>
      </c>
      <c r="AA966" s="13" t="s">
        <v>850</v>
      </c>
      <c r="AB966" s="13" t="s">
        <v>851</v>
      </c>
      <c r="AC966" s="13" t="s">
        <v>3990</v>
      </c>
      <c r="AD966" s="13" t="s">
        <v>3990</v>
      </c>
      <c r="AE966" s="13" t="s">
        <v>109</v>
      </c>
      <c r="AF966" s="13" t="s">
        <v>15969</v>
      </c>
      <c r="AG966" s="13" t="s">
        <v>39</v>
      </c>
      <c r="AH966" s="13" t="s">
        <v>39</v>
      </c>
      <c r="AI966" s="13" t="s">
        <v>15970</v>
      </c>
      <c r="AJ966" s="13" t="s">
        <v>15971</v>
      </c>
      <c r="AK966" s="13" t="s">
        <v>11626</v>
      </c>
      <c r="AL966" s="13" t="s">
        <v>88</v>
      </c>
    </row>
    <row r="967" spans="1:38" x14ac:dyDescent="0.4">
      <c r="A967" s="11" t="s">
        <v>15972</v>
      </c>
      <c r="B967" s="14" t="s">
        <v>15973</v>
      </c>
      <c r="C967" s="15" t="s">
        <v>39</v>
      </c>
      <c r="D967" s="15" t="s">
        <v>92</v>
      </c>
      <c r="E967" s="15" t="s">
        <v>15974</v>
      </c>
      <c r="F967" s="15" t="s">
        <v>15975</v>
      </c>
      <c r="G967" s="15" t="s">
        <v>15975</v>
      </c>
      <c r="H967" s="15" t="s">
        <v>15976</v>
      </c>
      <c r="I967" s="9">
        <f t="shared" ca="1" si="15"/>
        <v>21</v>
      </c>
      <c r="J967" s="15" t="s">
        <v>15977</v>
      </c>
      <c r="K967" s="15" t="s">
        <v>227</v>
      </c>
      <c r="L967" s="9" t="str">
        <f>VLOOKUP(K967,[1]中国省份_标准!$B$2:$F$35,4,FALSE)</f>
        <v>西部地区</v>
      </c>
      <c r="M967" s="9" t="str">
        <f>VLOOKUP(K967,[1]中国省份_标准!$B$2:$F$35,5,FALSE)</f>
        <v>西北地区</v>
      </c>
      <c r="N967" s="15" t="s">
        <v>1002</v>
      </c>
      <c r="O967" s="15" t="s">
        <v>3278</v>
      </c>
      <c r="P967" s="15" t="s">
        <v>15978</v>
      </c>
      <c r="Q967" s="15" t="s">
        <v>15979</v>
      </c>
      <c r="R967" s="15" t="s">
        <v>15980</v>
      </c>
      <c r="S967" s="15" t="s">
        <v>15981</v>
      </c>
      <c r="T967" s="15" t="s">
        <v>209</v>
      </c>
      <c r="U967" s="15" t="s">
        <v>15973</v>
      </c>
      <c r="V967" s="15" t="s">
        <v>15982</v>
      </c>
      <c r="W967" s="15" t="s">
        <v>15983</v>
      </c>
      <c r="X967" s="15" t="s">
        <v>12016</v>
      </c>
      <c r="Y967" s="15" t="s">
        <v>78</v>
      </c>
      <c r="Z967" s="15" t="s">
        <v>15984</v>
      </c>
      <c r="AA967" s="15" t="s">
        <v>850</v>
      </c>
      <c r="AB967" s="15" t="s">
        <v>9442</v>
      </c>
      <c r="AC967" s="15" t="s">
        <v>10006</v>
      </c>
      <c r="AD967" s="15" t="s">
        <v>14959</v>
      </c>
      <c r="AE967" s="15" t="s">
        <v>55</v>
      </c>
      <c r="AF967" s="15" t="s">
        <v>15985</v>
      </c>
      <c r="AG967" s="15" t="s">
        <v>39</v>
      </c>
      <c r="AH967" s="15" t="s">
        <v>39</v>
      </c>
      <c r="AI967" s="15" t="s">
        <v>15986</v>
      </c>
      <c r="AJ967" s="15" t="s">
        <v>15987</v>
      </c>
      <c r="AK967" s="15" t="s">
        <v>3903</v>
      </c>
      <c r="AL967" s="15" t="s">
        <v>88</v>
      </c>
    </row>
    <row r="968" spans="1:38" x14ac:dyDescent="0.4">
      <c r="A968" s="11" t="s">
        <v>15988</v>
      </c>
      <c r="B968" s="12" t="s">
        <v>15989</v>
      </c>
      <c r="C968" s="13" t="s">
        <v>15990</v>
      </c>
      <c r="D968" s="13" t="s">
        <v>92</v>
      </c>
      <c r="E968" s="13" t="s">
        <v>15329</v>
      </c>
      <c r="F968" s="13" t="s">
        <v>39</v>
      </c>
      <c r="G968" s="13" t="s">
        <v>39</v>
      </c>
      <c r="H968" s="13" t="s">
        <v>15991</v>
      </c>
      <c r="I968" s="9">
        <f t="shared" ca="1" si="15"/>
        <v>23</v>
      </c>
      <c r="J968" s="13" t="s">
        <v>15992</v>
      </c>
      <c r="K968" s="13" t="s">
        <v>227</v>
      </c>
      <c r="L968" s="9" t="str">
        <f>VLOOKUP(K968,[1]中国省份_标准!$B$2:$F$35,4,FALSE)</f>
        <v>西部地区</v>
      </c>
      <c r="M968" s="9" t="str">
        <f>VLOOKUP(K968,[1]中国省份_标准!$B$2:$F$35,5,FALSE)</f>
        <v>西北地区</v>
      </c>
      <c r="N968" s="13" t="s">
        <v>7434</v>
      </c>
      <c r="O968" s="13" t="s">
        <v>13527</v>
      </c>
      <c r="P968" s="13" t="s">
        <v>15332</v>
      </c>
      <c r="Q968" s="13" t="s">
        <v>15993</v>
      </c>
      <c r="R968" s="13" t="s">
        <v>15334</v>
      </c>
      <c r="S968" s="13" t="s">
        <v>15994</v>
      </c>
      <c r="T968" s="13" t="s">
        <v>15995</v>
      </c>
      <c r="U968" s="13" t="s">
        <v>15989</v>
      </c>
      <c r="V968" s="13" t="s">
        <v>15996</v>
      </c>
      <c r="W968" s="13" t="s">
        <v>15997</v>
      </c>
      <c r="X968" s="13" t="s">
        <v>410</v>
      </c>
      <c r="Y968" s="13" t="s">
        <v>78</v>
      </c>
      <c r="Z968" s="13" t="s">
        <v>15998</v>
      </c>
      <c r="AA968" s="13" t="s">
        <v>850</v>
      </c>
      <c r="AB968" s="13" t="s">
        <v>851</v>
      </c>
      <c r="AC968" s="13" t="s">
        <v>3990</v>
      </c>
      <c r="AD968" s="13" t="s">
        <v>3990</v>
      </c>
      <c r="AE968" s="13" t="s">
        <v>39</v>
      </c>
      <c r="AF968" s="13" t="s">
        <v>15999</v>
      </c>
      <c r="AG968" s="13" t="s">
        <v>39</v>
      </c>
      <c r="AH968" s="13" t="s">
        <v>39</v>
      </c>
      <c r="AI968" s="13" t="s">
        <v>16000</v>
      </c>
      <c r="AJ968" s="13" t="s">
        <v>16001</v>
      </c>
      <c r="AK968" s="13" t="s">
        <v>13538</v>
      </c>
      <c r="AL968" s="13" t="s">
        <v>88</v>
      </c>
    </row>
    <row r="969" spans="1:38" x14ac:dyDescent="0.4">
      <c r="A969" s="11" t="s">
        <v>16002</v>
      </c>
      <c r="B969" s="14" t="s">
        <v>16003</v>
      </c>
      <c r="C969" s="15" t="s">
        <v>39</v>
      </c>
      <c r="D969" s="15" t="s">
        <v>63</v>
      </c>
      <c r="E969" s="15" t="s">
        <v>16004</v>
      </c>
      <c r="F969" s="15" t="s">
        <v>271</v>
      </c>
      <c r="G969" s="15" t="s">
        <v>271</v>
      </c>
      <c r="H969" s="15" t="s">
        <v>1000</v>
      </c>
      <c r="I969" s="9">
        <f t="shared" ca="1" si="15"/>
        <v>19</v>
      </c>
      <c r="J969" s="15" t="s">
        <v>16005</v>
      </c>
      <c r="K969" s="15" t="s">
        <v>425</v>
      </c>
      <c r="L969" s="9" t="str">
        <f>VLOOKUP(K969,[1]中国省份_标准!$B$2:$F$35,4,FALSE)</f>
        <v>东部地区</v>
      </c>
      <c r="M969" s="9" t="str">
        <f>VLOOKUP(K969,[1]中国省份_标准!$B$2:$F$35,5,FALSE)</f>
        <v>华东地区</v>
      </c>
      <c r="N969" s="15" t="s">
        <v>3013</v>
      </c>
      <c r="O969" s="15" t="s">
        <v>3014</v>
      </c>
      <c r="P969" s="15" t="s">
        <v>16006</v>
      </c>
      <c r="Q969" s="15" t="s">
        <v>16007</v>
      </c>
      <c r="R969" s="15" t="s">
        <v>16008</v>
      </c>
      <c r="S969" s="15" t="s">
        <v>16009</v>
      </c>
      <c r="T969" s="15" t="s">
        <v>209</v>
      </c>
      <c r="U969" s="15" t="s">
        <v>16003</v>
      </c>
      <c r="V969" s="15" t="s">
        <v>16010</v>
      </c>
      <c r="W969" s="15" t="s">
        <v>16011</v>
      </c>
      <c r="X969" s="15" t="s">
        <v>11400</v>
      </c>
      <c r="Y969" s="15" t="s">
        <v>78</v>
      </c>
      <c r="Z969" s="15" t="s">
        <v>16012</v>
      </c>
      <c r="AA969" s="15" t="s">
        <v>80</v>
      </c>
      <c r="AB969" s="15" t="s">
        <v>106</v>
      </c>
      <c r="AC969" s="15" t="s">
        <v>39</v>
      </c>
      <c r="AD969" s="15" t="s">
        <v>39</v>
      </c>
      <c r="AE969" s="15" t="s">
        <v>262</v>
      </c>
      <c r="AF969" s="15" t="s">
        <v>16013</v>
      </c>
      <c r="AG969" s="15" t="s">
        <v>39</v>
      </c>
      <c r="AH969" s="15" t="s">
        <v>39</v>
      </c>
      <c r="AI969" s="15" t="s">
        <v>16014</v>
      </c>
      <c r="AJ969" s="15" t="s">
        <v>16015</v>
      </c>
      <c r="AK969" s="15" t="s">
        <v>11005</v>
      </c>
      <c r="AL969" s="15" t="s">
        <v>88</v>
      </c>
    </row>
    <row r="970" spans="1:38" x14ac:dyDescent="0.4">
      <c r="A970" s="11" t="s">
        <v>16016</v>
      </c>
      <c r="B970" s="12" t="s">
        <v>16017</v>
      </c>
      <c r="C970" s="13" t="s">
        <v>39</v>
      </c>
      <c r="D970" s="13" t="s">
        <v>92</v>
      </c>
      <c r="E970" s="13" t="s">
        <v>15406</v>
      </c>
      <c r="F970" s="13" t="s">
        <v>16018</v>
      </c>
      <c r="G970" s="13" t="s">
        <v>295</v>
      </c>
      <c r="H970" s="13" t="s">
        <v>16019</v>
      </c>
      <c r="I970" s="9">
        <f t="shared" ca="1" si="15"/>
        <v>12</v>
      </c>
      <c r="J970" s="13" t="s">
        <v>16020</v>
      </c>
      <c r="K970" s="13" t="s">
        <v>227</v>
      </c>
      <c r="L970" s="9" t="str">
        <f>VLOOKUP(K970,[1]中国省份_标准!$B$2:$F$35,4,FALSE)</f>
        <v>西部地区</v>
      </c>
      <c r="M970" s="9" t="str">
        <f>VLOOKUP(K970,[1]中国省份_标准!$B$2:$F$35,5,FALSE)</f>
        <v>西北地区</v>
      </c>
      <c r="N970" s="13" t="s">
        <v>763</v>
      </c>
      <c r="O970" s="13" t="s">
        <v>12257</v>
      </c>
      <c r="P970" s="13" t="s">
        <v>15409</v>
      </c>
      <c r="Q970" s="13" t="s">
        <v>16021</v>
      </c>
      <c r="R970" s="13" t="s">
        <v>16022</v>
      </c>
      <c r="S970" s="13" t="s">
        <v>16023</v>
      </c>
      <c r="T970" s="13" t="s">
        <v>3623</v>
      </c>
      <c r="U970" s="13" t="s">
        <v>16017</v>
      </c>
      <c r="V970" s="13" t="s">
        <v>16024</v>
      </c>
      <c r="W970" s="13" t="s">
        <v>16025</v>
      </c>
      <c r="X970" s="13" t="s">
        <v>167</v>
      </c>
      <c r="Y970" s="13" t="s">
        <v>78</v>
      </c>
      <c r="Z970" s="13" t="s">
        <v>16026</v>
      </c>
      <c r="AA970" s="13" t="s">
        <v>850</v>
      </c>
      <c r="AB970" s="13" t="s">
        <v>851</v>
      </c>
      <c r="AC970" s="13" t="s">
        <v>3990</v>
      </c>
      <c r="AD970" s="13" t="s">
        <v>3990</v>
      </c>
      <c r="AE970" s="13" t="s">
        <v>55</v>
      </c>
      <c r="AF970" s="13" t="s">
        <v>16027</v>
      </c>
      <c r="AG970" s="13" t="s">
        <v>39</v>
      </c>
      <c r="AH970" s="13" t="s">
        <v>39</v>
      </c>
      <c r="AI970" s="13" t="s">
        <v>16028</v>
      </c>
      <c r="AJ970" s="13" t="s">
        <v>16029</v>
      </c>
      <c r="AK970" s="13" t="s">
        <v>12268</v>
      </c>
      <c r="AL970" s="13" t="s">
        <v>88</v>
      </c>
    </row>
    <row r="971" spans="1:38" x14ac:dyDescent="0.4">
      <c r="A971" s="11" t="s">
        <v>16030</v>
      </c>
      <c r="B971" s="14" t="s">
        <v>16031</v>
      </c>
      <c r="C971" s="15" t="s">
        <v>39</v>
      </c>
      <c r="D971" s="15" t="s">
        <v>92</v>
      </c>
      <c r="E971" s="15" t="s">
        <v>16032</v>
      </c>
      <c r="F971" s="15" t="s">
        <v>271</v>
      </c>
      <c r="G971" s="15" t="s">
        <v>16033</v>
      </c>
      <c r="H971" s="15" t="s">
        <v>16034</v>
      </c>
      <c r="I971" s="9">
        <f t="shared" ca="1" si="15"/>
        <v>10</v>
      </c>
      <c r="J971" s="15" t="s">
        <v>16035</v>
      </c>
      <c r="K971" s="15" t="s">
        <v>227</v>
      </c>
      <c r="L971" s="9" t="str">
        <f>VLOOKUP(K971,[1]中国省份_标准!$B$2:$F$35,4,FALSE)</f>
        <v>西部地区</v>
      </c>
      <c r="M971" s="9" t="str">
        <f>VLOOKUP(K971,[1]中国省份_标准!$B$2:$F$35,5,FALSE)</f>
        <v>西北地区</v>
      </c>
      <c r="N971" s="15" t="s">
        <v>884</v>
      </c>
      <c r="O971" s="15" t="s">
        <v>16036</v>
      </c>
      <c r="P971" s="15" t="s">
        <v>16037</v>
      </c>
      <c r="Q971" s="15" t="s">
        <v>16038</v>
      </c>
      <c r="R971" s="15" t="s">
        <v>16039</v>
      </c>
      <c r="S971" s="15" t="s">
        <v>16040</v>
      </c>
      <c r="T971" s="15" t="s">
        <v>48</v>
      </c>
      <c r="U971" s="15" t="s">
        <v>16031</v>
      </c>
      <c r="V971" s="15" t="s">
        <v>16041</v>
      </c>
      <c r="W971" s="15" t="s">
        <v>16042</v>
      </c>
      <c r="X971" s="15" t="s">
        <v>990</v>
      </c>
      <c r="Y971" s="15" t="s">
        <v>78</v>
      </c>
      <c r="Z971" s="15" t="s">
        <v>16043</v>
      </c>
      <c r="AA971" s="15" t="s">
        <v>850</v>
      </c>
      <c r="AB971" s="15" t="s">
        <v>851</v>
      </c>
      <c r="AC971" s="15" t="s">
        <v>3990</v>
      </c>
      <c r="AD971" s="15" t="s">
        <v>3990</v>
      </c>
      <c r="AE971" s="15" t="s">
        <v>55</v>
      </c>
      <c r="AF971" s="15" t="s">
        <v>16044</v>
      </c>
      <c r="AG971" s="15" t="s">
        <v>39</v>
      </c>
      <c r="AH971" s="15" t="s">
        <v>39</v>
      </c>
      <c r="AI971" s="15" t="s">
        <v>16045</v>
      </c>
      <c r="AJ971" s="15" t="s">
        <v>16046</v>
      </c>
      <c r="AK971" s="15" t="s">
        <v>16047</v>
      </c>
      <c r="AL971" s="15" t="s">
        <v>88</v>
      </c>
    </row>
    <row r="972" spans="1:38" x14ac:dyDescent="0.4">
      <c r="A972" s="11" t="s">
        <v>16048</v>
      </c>
      <c r="B972" s="12" t="s">
        <v>16049</v>
      </c>
      <c r="C972" s="13" t="s">
        <v>16050</v>
      </c>
      <c r="D972" s="13" t="s">
        <v>92</v>
      </c>
      <c r="E972" s="13" t="s">
        <v>16051</v>
      </c>
      <c r="F972" s="13" t="s">
        <v>5226</v>
      </c>
      <c r="G972" s="13" t="s">
        <v>1235</v>
      </c>
      <c r="H972" s="13" t="s">
        <v>16052</v>
      </c>
      <c r="I972" s="9">
        <f t="shared" ca="1" si="15"/>
        <v>32</v>
      </c>
      <c r="J972" s="13" t="s">
        <v>16053</v>
      </c>
      <c r="K972" s="13" t="s">
        <v>425</v>
      </c>
      <c r="L972" s="9" t="str">
        <f>VLOOKUP(K972,[1]中国省份_标准!$B$2:$F$35,4,FALSE)</f>
        <v>东部地区</v>
      </c>
      <c r="M972" s="9" t="str">
        <f>VLOOKUP(K972,[1]中国省份_标准!$B$2:$F$35,5,FALSE)</f>
        <v>华东地区</v>
      </c>
      <c r="N972" s="13" t="s">
        <v>3013</v>
      </c>
      <c r="O972" s="13" t="s">
        <v>3014</v>
      </c>
      <c r="P972" s="13" t="s">
        <v>16054</v>
      </c>
      <c r="Q972" s="13" t="s">
        <v>16055</v>
      </c>
      <c r="R972" s="13" t="s">
        <v>16056</v>
      </c>
      <c r="S972" s="13" t="s">
        <v>16057</v>
      </c>
      <c r="T972" s="13" t="s">
        <v>48</v>
      </c>
      <c r="U972" s="13" t="s">
        <v>16049</v>
      </c>
      <c r="V972" s="13" t="s">
        <v>16058</v>
      </c>
      <c r="W972" s="13" t="s">
        <v>16059</v>
      </c>
      <c r="X972" s="13" t="s">
        <v>1994</v>
      </c>
      <c r="Y972" s="13" t="s">
        <v>78</v>
      </c>
      <c r="Z972" s="13" t="s">
        <v>16060</v>
      </c>
      <c r="AA972" s="13" t="s">
        <v>169</v>
      </c>
      <c r="AB972" s="13" t="s">
        <v>285</v>
      </c>
      <c r="AC972" s="13" t="s">
        <v>39</v>
      </c>
      <c r="AD972" s="13" t="s">
        <v>39</v>
      </c>
      <c r="AE972" s="13" t="s">
        <v>55</v>
      </c>
      <c r="AF972" s="13" t="s">
        <v>16061</v>
      </c>
      <c r="AG972" s="13" t="s">
        <v>16062</v>
      </c>
      <c r="AH972" s="13" t="s">
        <v>39</v>
      </c>
      <c r="AI972" s="13" t="s">
        <v>16063</v>
      </c>
      <c r="AJ972" s="13" t="s">
        <v>16064</v>
      </c>
      <c r="AK972" s="13" t="s">
        <v>3023</v>
      </c>
      <c r="AL972" s="13" t="s">
        <v>88</v>
      </c>
    </row>
    <row r="973" spans="1:38" x14ac:dyDescent="0.4">
      <c r="A973" s="11" t="s">
        <v>16065</v>
      </c>
      <c r="B973" s="14" t="s">
        <v>16066</v>
      </c>
      <c r="C973" s="15" t="s">
        <v>39</v>
      </c>
      <c r="D973" s="15" t="s">
        <v>92</v>
      </c>
      <c r="E973" s="15" t="s">
        <v>16067</v>
      </c>
      <c r="F973" s="15" t="s">
        <v>16068</v>
      </c>
      <c r="G973" s="15" t="s">
        <v>16068</v>
      </c>
      <c r="H973" s="15" t="s">
        <v>16069</v>
      </c>
      <c r="I973" s="9">
        <f t="shared" ca="1" si="15"/>
        <v>12</v>
      </c>
      <c r="J973" s="15" t="s">
        <v>16070</v>
      </c>
      <c r="K973" s="15" t="s">
        <v>227</v>
      </c>
      <c r="L973" s="9" t="str">
        <f>VLOOKUP(K973,[1]中国省份_标准!$B$2:$F$35,4,FALSE)</f>
        <v>西部地区</v>
      </c>
      <c r="M973" s="9" t="str">
        <f>VLOOKUP(K973,[1]中国省份_标准!$B$2:$F$35,5,FALSE)</f>
        <v>西北地区</v>
      </c>
      <c r="N973" s="15" t="s">
        <v>744</v>
      </c>
      <c r="O973" s="15" t="s">
        <v>745</v>
      </c>
      <c r="P973" s="15" t="s">
        <v>16071</v>
      </c>
      <c r="Q973" s="15" t="s">
        <v>16072</v>
      </c>
      <c r="R973" s="15" t="s">
        <v>16073</v>
      </c>
      <c r="S973" s="15" t="s">
        <v>16074</v>
      </c>
      <c r="T973" s="15" t="s">
        <v>209</v>
      </c>
      <c r="U973" s="15" t="s">
        <v>16066</v>
      </c>
      <c r="V973" s="15" t="s">
        <v>16075</v>
      </c>
      <c r="W973" s="15" t="s">
        <v>16076</v>
      </c>
      <c r="X973" s="15" t="s">
        <v>557</v>
      </c>
      <c r="Y973" s="15" t="s">
        <v>78</v>
      </c>
      <c r="Z973" s="15" t="s">
        <v>16077</v>
      </c>
      <c r="AA973" s="15" t="s">
        <v>850</v>
      </c>
      <c r="AB973" s="15" t="s">
        <v>851</v>
      </c>
      <c r="AC973" s="15" t="s">
        <v>3990</v>
      </c>
      <c r="AD973" s="15" t="s">
        <v>3990</v>
      </c>
      <c r="AE973" s="15" t="s">
        <v>109</v>
      </c>
      <c r="AF973" s="15" t="s">
        <v>16078</v>
      </c>
      <c r="AG973" s="15" t="s">
        <v>39</v>
      </c>
      <c r="AH973" s="15" t="s">
        <v>39</v>
      </c>
      <c r="AI973" s="15" t="s">
        <v>16079</v>
      </c>
      <c r="AJ973" s="15" t="s">
        <v>16080</v>
      </c>
      <c r="AK973" s="15" t="s">
        <v>755</v>
      </c>
      <c r="AL973" s="15" t="s">
        <v>88</v>
      </c>
    </row>
    <row r="974" spans="1:38" x14ac:dyDescent="0.4">
      <c r="A974" s="11" t="s">
        <v>16081</v>
      </c>
      <c r="B974" s="12" t="s">
        <v>16082</v>
      </c>
      <c r="C974" s="13" t="s">
        <v>39</v>
      </c>
      <c r="D974" s="13" t="s">
        <v>63</v>
      </c>
      <c r="E974" s="13" t="s">
        <v>16083</v>
      </c>
      <c r="F974" s="13" t="s">
        <v>16084</v>
      </c>
      <c r="G974" s="13" t="s">
        <v>16084</v>
      </c>
      <c r="H974" s="13" t="s">
        <v>16085</v>
      </c>
      <c r="I974" s="9">
        <f t="shared" ca="1" si="15"/>
        <v>9</v>
      </c>
      <c r="J974" s="13" t="s">
        <v>16086</v>
      </c>
      <c r="K974" s="13" t="s">
        <v>425</v>
      </c>
      <c r="L974" s="9" t="str">
        <f>VLOOKUP(K974,[1]中国省份_标准!$B$2:$F$35,4,FALSE)</f>
        <v>东部地区</v>
      </c>
      <c r="M974" s="9" t="str">
        <f>VLOOKUP(K974,[1]中国省份_标准!$B$2:$F$35,5,FALSE)</f>
        <v>华东地区</v>
      </c>
      <c r="N974" s="13" t="s">
        <v>426</v>
      </c>
      <c r="O974" s="13" t="s">
        <v>427</v>
      </c>
      <c r="P974" s="13" t="s">
        <v>16087</v>
      </c>
      <c r="Q974" s="13" t="s">
        <v>16088</v>
      </c>
      <c r="R974" s="13" t="s">
        <v>16089</v>
      </c>
      <c r="S974" s="13" t="s">
        <v>2231</v>
      </c>
      <c r="T974" s="13" t="s">
        <v>48</v>
      </c>
      <c r="U974" s="13" t="s">
        <v>16082</v>
      </c>
      <c r="V974" s="13" t="s">
        <v>16090</v>
      </c>
      <c r="W974" s="13" t="s">
        <v>16091</v>
      </c>
      <c r="X974" s="13" t="s">
        <v>557</v>
      </c>
      <c r="Y974" s="13" t="s">
        <v>78</v>
      </c>
      <c r="Z974" s="13" t="s">
        <v>16092</v>
      </c>
      <c r="AA974" s="13" t="s">
        <v>850</v>
      </c>
      <c r="AB974" s="13" t="s">
        <v>9442</v>
      </c>
      <c r="AC974" s="13" t="s">
        <v>39</v>
      </c>
      <c r="AD974" s="13" t="s">
        <v>39</v>
      </c>
      <c r="AE974" s="13" t="s">
        <v>109</v>
      </c>
      <c r="AF974" s="13" t="s">
        <v>16093</v>
      </c>
      <c r="AG974" s="13" t="s">
        <v>39</v>
      </c>
      <c r="AH974" s="13" t="s">
        <v>16094</v>
      </c>
      <c r="AI974" s="13" t="s">
        <v>16095</v>
      </c>
      <c r="AJ974" s="13" t="s">
        <v>16096</v>
      </c>
      <c r="AK974" s="13" t="s">
        <v>2191</v>
      </c>
      <c r="AL974" s="13" t="s">
        <v>88</v>
      </c>
    </row>
    <row r="975" spans="1:38" x14ac:dyDescent="0.4">
      <c r="A975" s="11" t="s">
        <v>16097</v>
      </c>
      <c r="B975" s="14" t="s">
        <v>16098</v>
      </c>
      <c r="C975" s="15" t="s">
        <v>39</v>
      </c>
      <c r="D975" s="15" t="s">
        <v>92</v>
      </c>
      <c r="E975" s="15" t="s">
        <v>16099</v>
      </c>
      <c r="F975" s="15" t="s">
        <v>1428</v>
      </c>
      <c r="G975" s="15" t="s">
        <v>1428</v>
      </c>
      <c r="H975" s="15" t="s">
        <v>16100</v>
      </c>
      <c r="I975" s="9">
        <f t="shared" ca="1" si="15"/>
        <v>13</v>
      </c>
      <c r="J975" s="15" t="s">
        <v>16101</v>
      </c>
      <c r="K975" s="15" t="s">
        <v>1752</v>
      </c>
      <c r="L975" s="9" t="str">
        <f>VLOOKUP(K975,[1]中国省份_标准!$B$2:$F$35,4,FALSE)</f>
        <v>中部地区</v>
      </c>
      <c r="M975" s="9" t="str">
        <f>VLOOKUP(K975,[1]中国省份_标准!$B$2:$F$35,5,FALSE)</f>
        <v>华中地区</v>
      </c>
      <c r="N975" s="15" t="s">
        <v>15020</v>
      </c>
      <c r="O975" s="15" t="s">
        <v>15021</v>
      </c>
      <c r="P975" s="15" t="s">
        <v>16102</v>
      </c>
      <c r="Q975" s="15" t="s">
        <v>16103</v>
      </c>
      <c r="R975" s="15" t="s">
        <v>16104</v>
      </c>
      <c r="S975" s="15" t="s">
        <v>16105</v>
      </c>
      <c r="T975" s="15" t="s">
        <v>48</v>
      </c>
      <c r="U975" s="15" t="s">
        <v>16098</v>
      </c>
      <c r="V975" s="15" t="s">
        <v>16106</v>
      </c>
      <c r="W975" s="15" t="s">
        <v>16107</v>
      </c>
      <c r="X975" s="15" t="s">
        <v>540</v>
      </c>
      <c r="Y975" s="15" t="s">
        <v>78</v>
      </c>
      <c r="Z975" s="15" t="s">
        <v>16108</v>
      </c>
      <c r="AA975" s="15" t="s">
        <v>850</v>
      </c>
      <c r="AB975" s="15" t="s">
        <v>851</v>
      </c>
      <c r="AC975" s="15" t="s">
        <v>3990</v>
      </c>
      <c r="AD975" s="15" t="s">
        <v>3990</v>
      </c>
      <c r="AE975" s="15" t="s">
        <v>55</v>
      </c>
      <c r="AF975" s="15" t="s">
        <v>16109</v>
      </c>
      <c r="AG975" s="15" t="s">
        <v>39</v>
      </c>
      <c r="AH975" s="15" t="s">
        <v>16110</v>
      </c>
      <c r="AI975" s="15" t="s">
        <v>16111</v>
      </c>
      <c r="AJ975" s="15" t="s">
        <v>16112</v>
      </c>
      <c r="AK975" s="15" t="s">
        <v>15032</v>
      </c>
      <c r="AL975" s="15" t="s">
        <v>88</v>
      </c>
    </row>
    <row r="976" spans="1:38" x14ac:dyDescent="0.4">
      <c r="A976" s="11" t="s">
        <v>16113</v>
      </c>
      <c r="B976" s="12" t="s">
        <v>16114</v>
      </c>
      <c r="C976" s="13" t="s">
        <v>39</v>
      </c>
      <c r="D976" s="13" t="s">
        <v>63</v>
      </c>
      <c r="E976" s="13" t="s">
        <v>16115</v>
      </c>
      <c r="F976" s="13" t="s">
        <v>640</v>
      </c>
      <c r="G976" s="13" t="s">
        <v>39</v>
      </c>
      <c r="H976" s="13" t="s">
        <v>16116</v>
      </c>
      <c r="I976" s="9">
        <f t="shared" ca="1" si="15"/>
        <v>10</v>
      </c>
      <c r="J976" s="13" t="s">
        <v>16117</v>
      </c>
      <c r="K976" s="13" t="s">
        <v>67</v>
      </c>
      <c r="L976" s="9" t="str">
        <f>VLOOKUP(K976,[1]中国省份_标准!$B$2:$F$35,4,FALSE)</f>
        <v>东部地区</v>
      </c>
      <c r="M976" s="9" t="str">
        <f>VLOOKUP(K976,[1]中国省份_标准!$B$2:$F$35,5,FALSE)</f>
        <v>华东地区</v>
      </c>
      <c r="N976" s="13" t="s">
        <v>1809</v>
      </c>
      <c r="O976" s="13" t="s">
        <v>1810</v>
      </c>
      <c r="P976" s="13" t="s">
        <v>16118</v>
      </c>
      <c r="Q976" s="13" t="s">
        <v>39</v>
      </c>
      <c r="R976" s="13" t="s">
        <v>16119</v>
      </c>
      <c r="S976" s="13" t="s">
        <v>16120</v>
      </c>
      <c r="T976" s="13" t="s">
        <v>48</v>
      </c>
      <c r="U976" s="13" t="s">
        <v>16114</v>
      </c>
      <c r="V976" s="13" t="s">
        <v>16121</v>
      </c>
      <c r="W976" s="13" t="s">
        <v>16122</v>
      </c>
      <c r="X976" s="13" t="s">
        <v>77</v>
      </c>
      <c r="Y976" s="13" t="s">
        <v>78</v>
      </c>
      <c r="Z976" s="13" t="s">
        <v>16123</v>
      </c>
      <c r="AA976" s="13" t="s">
        <v>850</v>
      </c>
      <c r="AB976" s="13" t="s">
        <v>9442</v>
      </c>
      <c r="AC976" s="13" t="s">
        <v>10006</v>
      </c>
      <c r="AD976" s="13" t="s">
        <v>14959</v>
      </c>
      <c r="AE976" s="13" t="s">
        <v>109</v>
      </c>
      <c r="AF976" s="13" t="s">
        <v>16124</v>
      </c>
      <c r="AG976" s="13" t="s">
        <v>39</v>
      </c>
      <c r="AH976" s="13" t="s">
        <v>39</v>
      </c>
      <c r="AI976" s="13" t="s">
        <v>16125</v>
      </c>
      <c r="AJ976" s="13" t="s">
        <v>16126</v>
      </c>
      <c r="AK976" s="13" t="s">
        <v>1821</v>
      </c>
      <c r="AL976" s="13" t="s">
        <v>88</v>
      </c>
    </row>
    <row r="977" spans="1:38" x14ac:dyDescent="0.4">
      <c r="A977" s="11" t="s">
        <v>16127</v>
      </c>
      <c r="B977" s="14" t="s">
        <v>16128</v>
      </c>
      <c r="C977" s="15" t="s">
        <v>39</v>
      </c>
      <c r="D977" s="15" t="s">
        <v>63</v>
      </c>
      <c r="E977" s="15" t="s">
        <v>16129</v>
      </c>
      <c r="F977" s="15" t="s">
        <v>16130</v>
      </c>
      <c r="G977" s="15" t="s">
        <v>39</v>
      </c>
      <c r="H977" s="15" t="s">
        <v>16131</v>
      </c>
      <c r="I977" s="9">
        <f t="shared" ca="1" si="15"/>
        <v>8</v>
      </c>
      <c r="J977" s="15" t="s">
        <v>16132</v>
      </c>
      <c r="K977" s="15" t="s">
        <v>425</v>
      </c>
      <c r="L977" s="9" t="str">
        <f>VLOOKUP(K977,[1]中国省份_标准!$B$2:$F$35,4,FALSE)</f>
        <v>东部地区</v>
      </c>
      <c r="M977" s="9" t="str">
        <f>VLOOKUP(K977,[1]中国省份_标准!$B$2:$F$35,5,FALSE)</f>
        <v>华东地区</v>
      </c>
      <c r="N977" s="15" t="s">
        <v>3013</v>
      </c>
      <c r="O977" s="15" t="s">
        <v>3014</v>
      </c>
      <c r="P977" s="15" t="s">
        <v>16133</v>
      </c>
      <c r="Q977" s="15" t="s">
        <v>16134</v>
      </c>
      <c r="R977" s="15" t="s">
        <v>16135</v>
      </c>
      <c r="S977" s="15" t="s">
        <v>39</v>
      </c>
      <c r="T977" s="15" t="s">
        <v>281</v>
      </c>
      <c r="U977" s="15" t="s">
        <v>16128</v>
      </c>
      <c r="V977" s="15" t="s">
        <v>16136</v>
      </c>
      <c r="W977" s="15" t="s">
        <v>16137</v>
      </c>
      <c r="X977" s="15" t="s">
        <v>690</v>
      </c>
      <c r="Y977" s="15" t="s">
        <v>78</v>
      </c>
      <c r="Z977" s="15" t="s">
        <v>16138</v>
      </c>
      <c r="AA977" s="15" t="s">
        <v>850</v>
      </c>
      <c r="AB977" s="15" t="s">
        <v>9442</v>
      </c>
      <c r="AC977" s="15" t="s">
        <v>10006</v>
      </c>
      <c r="AD977" s="15" t="s">
        <v>39</v>
      </c>
      <c r="AE977" s="15" t="s">
        <v>109</v>
      </c>
      <c r="AF977" s="15" t="s">
        <v>16139</v>
      </c>
      <c r="AG977" s="15" t="s">
        <v>39</v>
      </c>
      <c r="AH977" s="15" t="s">
        <v>39</v>
      </c>
      <c r="AI977" s="15" t="s">
        <v>16140</v>
      </c>
      <c r="AJ977" s="15" t="s">
        <v>16141</v>
      </c>
      <c r="AK977" s="15" t="s">
        <v>3023</v>
      </c>
      <c r="AL977" s="15" t="s">
        <v>88</v>
      </c>
    </row>
    <row r="978" spans="1:38" x14ac:dyDescent="0.4">
      <c r="A978" s="11" t="s">
        <v>16142</v>
      </c>
      <c r="B978" s="12" t="s">
        <v>16143</v>
      </c>
      <c r="C978" s="13" t="s">
        <v>39</v>
      </c>
      <c r="D978" s="13" t="s">
        <v>92</v>
      </c>
      <c r="E978" s="13" t="s">
        <v>16144</v>
      </c>
      <c r="F978" s="13" t="s">
        <v>1235</v>
      </c>
      <c r="G978" s="13" t="s">
        <v>1235</v>
      </c>
      <c r="H978" s="13" t="s">
        <v>12193</v>
      </c>
      <c r="I978" s="9">
        <f t="shared" ca="1" si="15"/>
        <v>13</v>
      </c>
      <c r="J978" s="13" t="s">
        <v>16145</v>
      </c>
      <c r="K978" s="13" t="s">
        <v>227</v>
      </c>
      <c r="L978" s="9" t="str">
        <f>VLOOKUP(K978,[1]中国省份_标准!$B$2:$F$35,4,FALSE)</f>
        <v>西部地区</v>
      </c>
      <c r="M978" s="9" t="str">
        <f>VLOOKUP(K978,[1]中国省份_标准!$B$2:$F$35,5,FALSE)</f>
        <v>西北地区</v>
      </c>
      <c r="N978" s="13" t="s">
        <v>3212</v>
      </c>
      <c r="O978" s="13" t="s">
        <v>6826</v>
      </c>
      <c r="P978" s="13" t="s">
        <v>16146</v>
      </c>
      <c r="Q978" s="13" t="s">
        <v>16147</v>
      </c>
      <c r="R978" s="13" t="s">
        <v>16148</v>
      </c>
      <c r="S978" s="13" t="s">
        <v>16149</v>
      </c>
      <c r="T978" s="13" t="s">
        <v>48</v>
      </c>
      <c r="U978" s="13" t="s">
        <v>16143</v>
      </c>
      <c r="V978" s="13" t="s">
        <v>16150</v>
      </c>
      <c r="W978" s="13" t="s">
        <v>16151</v>
      </c>
      <c r="X978" s="13" t="s">
        <v>540</v>
      </c>
      <c r="Y978" s="13" t="s">
        <v>78</v>
      </c>
      <c r="Z978" s="13" t="s">
        <v>12201</v>
      </c>
      <c r="AA978" s="13" t="s">
        <v>850</v>
      </c>
      <c r="AB978" s="13" t="s">
        <v>9442</v>
      </c>
      <c r="AC978" s="13" t="s">
        <v>10006</v>
      </c>
      <c r="AD978" s="13" t="s">
        <v>14959</v>
      </c>
      <c r="AE978" s="13" t="s">
        <v>109</v>
      </c>
      <c r="AF978" s="13" t="s">
        <v>16152</v>
      </c>
      <c r="AG978" s="13" t="s">
        <v>39</v>
      </c>
      <c r="AH978" s="13" t="s">
        <v>39</v>
      </c>
      <c r="AI978" s="13" t="s">
        <v>16153</v>
      </c>
      <c r="AJ978" s="13" t="s">
        <v>16154</v>
      </c>
      <c r="AK978" s="13" t="s">
        <v>13689</v>
      </c>
      <c r="AL978" s="13" t="s">
        <v>88</v>
      </c>
    </row>
    <row r="979" spans="1:38" x14ac:dyDescent="0.4">
      <c r="A979" s="11" t="s">
        <v>16155</v>
      </c>
      <c r="B979" s="14" t="s">
        <v>16156</v>
      </c>
      <c r="C979" s="15" t="s">
        <v>39</v>
      </c>
      <c r="D979" s="15" t="s">
        <v>92</v>
      </c>
      <c r="E979" s="15" t="s">
        <v>16157</v>
      </c>
      <c r="F979" s="15" t="s">
        <v>422</v>
      </c>
      <c r="G979" s="15" t="s">
        <v>422</v>
      </c>
      <c r="H979" s="15" t="s">
        <v>16158</v>
      </c>
      <c r="I979" s="9">
        <f t="shared" ca="1" si="15"/>
        <v>9</v>
      </c>
      <c r="J979" s="15" t="s">
        <v>16159</v>
      </c>
      <c r="K979" s="15" t="s">
        <v>227</v>
      </c>
      <c r="L979" s="9" t="str">
        <f>VLOOKUP(K979,[1]中国省份_标准!$B$2:$F$35,4,FALSE)</f>
        <v>西部地区</v>
      </c>
      <c r="M979" s="9" t="str">
        <f>VLOOKUP(K979,[1]中国省份_标准!$B$2:$F$35,5,FALSE)</f>
        <v>西北地区</v>
      </c>
      <c r="N979" s="15" t="s">
        <v>884</v>
      </c>
      <c r="O979" s="15" t="s">
        <v>885</v>
      </c>
      <c r="P979" s="15" t="s">
        <v>16160</v>
      </c>
      <c r="Q979" s="15" t="s">
        <v>16161</v>
      </c>
      <c r="R979" s="15" t="s">
        <v>16162</v>
      </c>
      <c r="S979" s="15" t="s">
        <v>16163</v>
      </c>
      <c r="T979" s="15" t="s">
        <v>281</v>
      </c>
      <c r="U979" s="15" t="s">
        <v>16156</v>
      </c>
      <c r="V979" s="15" t="s">
        <v>16164</v>
      </c>
      <c r="W979" s="15" t="s">
        <v>16165</v>
      </c>
      <c r="X979" s="15" t="s">
        <v>77</v>
      </c>
      <c r="Y979" s="15" t="s">
        <v>78</v>
      </c>
      <c r="Z979" s="15" t="s">
        <v>16166</v>
      </c>
      <c r="AA979" s="15" t="s">
        <v>850</v>
      </c>
      <c r="AB979" s="15" t="s">
        <v>9442</v>
      </c>
      <c r="AC979" s="15" t="s">
        <v>10006</v>
      </c>
      <c r="AD979" s="15" t="s">
        <v>14959</v>
      </c>
      <c r="AE979" s="15" t="s">
        <v>109</v>
      </c>
      <c r="AF979" s="15" t="s">
        <v>16167</v>
      </c>
      <c r="AG979" s="15" t="s">
        <v>39</v>
      </c>
      <c r="AH979" s="15" t="s">
        <v>39</v>
      </c>
      <c r="AI979" s="15" t="s">
        <v>16168</v>
      </c>
      <c r="AJ979" s="15" t="s">
        <v>16169</v>
      </c>
      <c r="AK979" s="15" t="s">
        <v>897</v>
      </c>
      <c r="AL979" s="15" t="s">
        <v>39</v>
      </c>
    </row>
    <row r="980" spans="1:38" x14ac:dyDescent="0.4">
      <c r="A980" s="11" t="s">
        <v>16170</v>
      </c>
      <c r="B980" s="12" t="s">
        <v>16171</v>
      </c>
      <c r="C980" s="13" t="s">
        <v>39</v>
      </c>
      <c r="D980" s="13" t="s">
        <v>92</v>
      </c>
      <c r="E980" s="13" t="s">
        <v>16172</v>
      </c>
      <c r="F980" s="13" t="s">
        <v>1428</v>
      </c>
      <c r="G980" s="13" t="s">
        <v>39</v>
      </c>
      <c r="H980" s="13" t="s">
        <v>16173</v>
      </c>
      <c r="I980" s="9">
        <f t="shared" ca="1" si="15"/>
        <v>8</v>
      </c>
      <c r="J980" s="13" t="s">
        <v>16174</v>
      </c>
      <c r="K980" s="13" t="s">
        <v>1752</v>
      </c>
      <c r="L980" s="9" t="str">
        <f>VLOOKUP(K980,[1]中国省份_标准!$B$2:$F$35,4,FALSE)</f>
        <v>中部地区</v>
      </c>
      <c r="M980" s="9" t="str">
        <f>VLOOKUP(K980,[1]中国省份_标准!$B$2:$F$35,5,FALSE)</f>
        <v>华中地区</v>
      </c>
      <c r="N980" s="13" t="s">
        <v>1753</v>
      </c>
      <c r="O980" s="13" t="s">
        <v>4841</v>
      </c>
      <c r="P980" s="13" t="s">
        <v>16175</v>
      </c>
      <c r="Q980" s="13" t="s">
        <v>16176</v>
      </c>
      <c r="R980" s="13" t="s">
        <v>16177</v>
      </c>
      <c r="S980" s="13" t="s">
        <v>16178</v>
      </c>
      <c r="T980" s="13" t="s">
        <v>48</v>
      </c>
      <c r="U980" s="13" t="s">
        <v>16171</v>
      </c>
      <c r="V980" s="13" t="s">
        <v>16179</v>
      </c>
      <c r="W980" s="13" t="s">
        <v>16180</v>
      </c>
      <c r="X980" s="13" t="s">
        <v>557</v>
      </c>
      <c r="Y980" s="13" t="s">
        <v>78</v>
      </c>
      <c r="Z980" s="13" t="s">
        <v>16181</v>
      </c>
      <c r="AA980" s="13" t="s">
        <v>850</v>
      </c>
      <c r="AB980" s="13" t="s">
        <v>9442</v>
      </c>
      <c r="AC980" s="13" t="s">
        <v>10006</v>
      </c>
      <c r="AD980" s="13" t="s">
        <v>10007</v>
      </c>
      <c r="AE980" s="13" t="s">
        <v>109</v>
      </c>
      <c r="AF980" s="13" t="s">
        <v>16182</v>
      </c>
      <c r="AG980" s="13" t="s">
        <v>39</v>
      </c>
      <c r="AH980" s="13" t="s">
        <v>16183</v>
      </c>
      <c r="AI980" s="13" t="s">
        <v>16184</v>
      </c>
      <c r="AJ980" s="13" t="s">
        <v>16185</v>
      </c>
      <c r="AK980" s="13" t="s">
        <v>4854</v>
      </c>
      <c r="AL980" s="13" t="s">
        <v>88</v>
      </c>
    </row>
    <row r="981" spans="1:38" x14ac:dyDescent="0.4">
      <c r="A981" s="11" t="s">
        <v>16186</v>
      </c>
      <c r="B981" s="14" t="s">
        <v>16187</v>
      </c>
      <c r="C981" s="15" t="s">
        <v>39</v>
      </c>
      <c r="D981" s="15" t="s">
        <v>92</v>
      </c>
      <c r="E981" s="15" t="s">
        <v>16188</v>
      </c>
      <c r="F981" s="15" t="s">
        <v>862</v>
      </c>
      <c r="G981" s="15" t="s">
        <v>862</v>
      </c>
      <c r="H981" s="15" t="s">
        <v>16189</v>
      </c>
      <c r="I981" s="9">
        <f t="shared" ca="1" si="15"/>
        <v>25</v>
      </c>
      <c r="J981" s="15" t="s">
        <v>16190</v>
      </c>
      <c r="K981" s="15" t="s">
        <v>1022</v>
      </c>
      <c r="L981" s="9" t="str">
        <f>VLOOKUP(K981,[1]中国省份_标准!$B$2:$F$35,4,FALSE)</f>
        <v>东部地区</v>
      </c>
      <c r="M981" s="9" t="str">
        <f>VLOOKUP(K981,[1]中国省份_标准!$B$2:$F$35,5,FALSE)</f>
        <v>华北地区</v>
      </c>
      <c r="N981" s="15" t="s">
        <v>1022</v>
      </c>
      <c r="O981" s="15" t="s">
        <v>16191</v>
      </c>
      <c r="P981" s="15" t="s">
        <v>3962</v>
      </c>
      <c r="Q981" s="15" t="s">
        <v>3963</v>
      </c>
      <c r="R981" s="15" t="s">
        <v>3964</v>
      </c>
      <c r="S981" s="15" t="s">
        <v>3965</v>
      </c>
      <c r="T981" s="15" t="s">
        <v>452</v>
      </c>
      <c r="U981" s="15" t="s">
        <v>16187</v>
      </c>
      <c r="V981" s="15" t="s">
        <v>16192</v>
      </c>
      <c r="W981" s="15" t="s">
        <v>16193</v>
      </c>
      <c r="X981" s="15" t="s">
        <v>77</v>
      </c>
      <c r="Y981" s="15" t="s">
        <v>78</v>
      </c>
      <c r="Z981" s="15" t="s">
        <v>16194</v>
      </c>
      <c r="AA981" s="15" t="s">
        <v>80</v>
      </c>
      <c r="AB981" s="15" t="s">
        <v>106</v>
      </c>
      <c r="AC981" s="15" t="s">
        <v>808</v>
      </c>
      <c r="AD981" s="15" t="s">
        <v>893</v>
      </c>
      <c r="AE981" s="15" t="s">
        <v>55</v>
      </c>
      <c r="AF981" s="15" t="s">
        <v>16195</v>
      </c>
      <c r="AG981" s="15" t="s">
        <v>39</v>
      </c>
      <c r="AH981" s="15" t="s">
        <v>3972</v>
      </c>
      <c r="AI981" s="15" t="s">
        <v>16196</v>
      </c>
      <c r="AJ981" s="15" t="s">
        <v>16197</v>
      </c>
      <c r="AK981" s="15" t="s">
        <v>16198</v>
      </c>
      <c r="AL981" s="15" t="s">
        <v>88</v>
      </c>
    </row>
    <row r="982" spans="1:38" x14ac:dyDescent="0.4">
      <c r="A982" s="11" t="s">
        <v>16199</v>
      </c>
      <c r="B982" s="12" t="s">
        <v>16200</v>
      </c>
      <c r="C982" s="13" t="s">
        <v>39</v>
      </c>
      <c r="D982" s="13" t="s">
        <v>92</v>
      </c>
      <c r="E982" s="13" t="s">
        <v>16201</v>
      </c>
      <c r="F982" s="13" t="s">
        <v>42</v>
      </c>
      <c r="G982" s="13" t="s">
        <v>42</v>
      </c>
      <c r="H982" s="13" t="s">
        <v>16202</v>
      </c>
      <c r="I982" s="9">
        <f t="shared" ca="1" si="15"/>
        <v>13</v>
      </c>
      <c r="J982" s="13" t="s">
        <v>16203</v>
      </c>
      <c r="K982" s="13" t="s">
        <v>531</v>
      </c>
      <c r="L982" s="9" t="str">
        <f>VLOOKUP(K982,[1]中国省份_标准!$B$2:$F$35,4,FALSE)</f>
        <v>东部地区</v>
      </c>
      <c r="M982" s="9" t="str">
        <f>VLOOKUP(K982,[1]中国省份_标准!$B$2:$F$35,5,FALSE)</f>
        <v>华南地区</v>
      </c>
      <c r="N982" s="13" t="s">
        <v>1450</v>
      </c>
      <c r="O982" s="13" t="s">
        <v>11651</v>
      </c>
      <c r="P982" s="13" t="s">
        <v>16204</v>
      </c>
      <c r="Q982" s="13" t="s">
        <v>16205</v>
      </c>
      <c r="R982" s="13" t="s">
        <v>16206</v>
      </c>
      <c r="S982" s="13" t="s">
        <v>16207</v>
      </c>
      <c r="T982" s="13" t="s">
        <v>452</v>
      </c>
      <c r="U982" s="13" t="s">
        <v>16200</v>
      </c>
      <c r="V982" s="13" t="s">
        <v>16208</v>
      </c>
      <c r="W982" s="13" t="s">
        <v>16209</v>
      </c>
      <c r="X982" s="13" t="s">
        <v>4934</v>
      </c>
      <c r="Y982" s="13" t="s">
        <v>78</v>
      </c>
      <c r="Z982" s="13" t="s">
        <v>16210</v>
      </c>
      <c r="AA982" s="13" t="s">
        <v>850</v>
      </c>
      <c r="AB982" s="13" t="s">
        <v>11570</v>
      </c>
      <c r="AC982" s="13" t="s">
        <v>11571</v>
      </c>
      <c r="AD982" s="13" t="s">
        <v>11622</v>
      </c>
      <c r="AE982" s="13" t="s">
        <v>55</v>
      </c>
      <c r="AF982" s="13" t="s">
        <v>16211</v>
      </c>
      <c r="AG982" s="13" t="s">
        <v>39</v>
      </c>
      <c r="AH982" s="13" t="s">
        <v>39</v>
      </c>
      <c r="AI982" s="13" t="s">
        <v>16212</v>
      </c>
      <c r="AJ982" s="13" t="s">
        <v>16213</v>
      </c>
      <c r="AK982" s="13" t="s">
        <v>11660</v>
      </c>
      <c r="AL982" s="13" t="s">
        <v>88</v>
      </c>
    </row>
    <row r="983" spans="1:38" x14ac:dyDescent="0.4">
      <c r="A983" s="11" t="s">
        <v>16214</v>
      </c>
      <c r="B983" s="14" t="s">
        <v>16215</v>
      </c>
      <c r="C983" s="15" t="s">
        <v>39</v>
      </c>
      <c r="D983" s="15" t="s">
        <v>63</v>
      </c>
      <c r="E983" s="15" t="s">
        <v>16216</v>
      </c>
      <c r="F983" s="15" t="s">
        <v>16217</v>
      </c>
      <c r="G983" s="15" t="s">
        <v>16218</v>
      </c>
      <c r="H983" s="15" t="s">
        <v>1680</v>
      </c>
      <c r="I983" s="9">
        <f t="shared" ca="1" si="15"/>
        <v>8</v>
      </c>
      <c r="J983" s="15" t="s">
        <v>16219</v>
      </c>
      <c r="K983" s="15" t="s">
        <v>425</v>
      </c>
      <c r="L983" s="9" t="str">
        <f>VLOOKUP(K983,[1]中国省份_标准!$B$2:$F$35,4,FALSE)</f>
        <v>东部地区</v>
      </c>
      <c r="M983" s="9" t="str">
        <f>VLOOKUP(K983,[1]中国省份_标准!$B$2:$F$35,5,FALSE)</f>
        <v>华东地区</v>
      </c>
      <c r="N983" s="15" t="s">
        <v>426</v>
      </c>
      <c r="O983" s="15" t="s">
        <v>2286</v>
      </c>
      <c r="P983" s="15" t="s">
        <v>16220</v>
      </c>
      <c r="Q983" s="15" t="s">
        <v>16221</v>
      </c>
      <c r="R983" s="15" t="s">
        <v>16222</v>
      </c>
      <c r="S983" s="15" t="s">
        <v>39</v>
      </c>
      <c r="T983" s="15" t="s">
        <v>48</v>
      </c>
      <c r="U983" s="15" t="s">
        <v>16215</v>
      </c>
      <c r="V983" s="15" t="s">
        <v>16223</v>
      </c>
      <c r="W983" s="15" t="s">
        <v>16224</v>
      </c>
      <c r="X983" s="15" t="s">
        <v>1777</v>
      </c>
      <c r="Y983" s="15" t="s">
        <v>78</v>
      </c>
      <c r="Z983" s="15" t="s">
        <v>16225</v>
      </c>
      <c r="AA983" s="15" t="s">
        <v>850</v>
      </c>
      <c r="AB983" s="15" t="s">
        <v>11570</v>
      </c>
      <c r="AC983" s="15" t="s">
        <v>39</v>
      </c>
      <c r="AD983" s="15" t="s">
        <v>39</v>
      </c>
      <c r="AE983" s="15" t="s">
        <v>55</v>
      </c>
      <c r="AF983" s="15" t="s">
        <v>16226</v>
      </c>
      <c r="AG983" s="15" t="s">
        <v>39</v>
      </c>
      <c r="AH983" s="15" t="s">
        <v>39</v>
      </c>
      <c r="AI983" s="15" t="s">
        <v>16227</v>
      </c>
      <c r="AJ983" s="15" t="s">
        <v>16228</v>
      </c>
      <c r="AK983" s="15" t="s">
        <v>2297</v>
      </c>
      <c r="AL983" s="15" t="s">
        <v>88</v>
      </c>
    </row>
    <row r="984" spans="1:38" x14ac:dyDescent="0.4">
      <c r="A984" s="11" t="s">
        <v>16229</v>
      </c>
      <c r="B984" s="12" t="s">
        <v>16230</v>
      </c>
      <c r="C984" s="13" t="s">
        <v>39</v>
      </c>
      <c r="D984" s="13" t="s">
        <v>63</v>
      </c>
      <c r="E984" s="13" t="s">
        <v>16231</v>
      </c>
      <c r="F984" s="13" t="s">
        <v>271</v>
      </c>
      <c r="G984" s="13" t="s">
        <v>39</v>
      </c>
      <c r="H984" s="13" t="s">
        <v>16232</v>
      </c>
      <c r="I984" s="9">
        <f t="shared" ca="1" si="15"/>
        <v>7</v>
      </c>
      <c r="J984" s="13" t="s">
        <v>16233</v>
      </c>
      <c r="K984" s="13" t="s">
        <v>425</v>
      </c>
      <c r="L984" s="9" t="str">
        <f>VLOOKUP(K984,[1]中国省份_标准!$B$2:$F$35,4,FALSE)</f>
        <v>东部地区</v>
      </c>
      <c r="M984" s="9" t="str">
        <f>VLOOKUP(K984,[1]中国省份_标准!$B$2:$F$35,5,FALSE)</f>
        <v>华东地区</v>
      </c>
      <c r="N984" s="13" t="s">
        <v>426</v>
      </c>
      <c r="O984" s="13" t="s">
        <v>427</v>
      </c>
      <c r="P984" s="13" t="s">
        <v>16234</v>
      </c>
      <c r="Q984" s="13" t="s">
        <v>16235</v>
      </c>
      <c r="R984" s="13" t="s">
        <v>16236</v>
      </c>
      <c r="S984" s="13" t="s">
        <v>39</v>
      </c>
      <c r="T984" s="13" t="s">
        <v>48</v>
      </c>
      <c r="U984" s="13" t="s">
        <v>16230</v>
      </c>
      <c r="V984" s="13" t="s">
        <v>16237</v>
      </c>
      <c r="W984" s="13" t="s">
        <v>16238</v>
      </c>
      <c r="X984" s="13" t="s">
        <v>1777</v>
      </c>
      <c r="Y984" s="13" t="s">
        <v>78</v>
      </c>
      <c r="Z984" s="13" t="s">
        <v>16239</v>
      </c>
      <c r="AA984" s="13" t="s">
        <v>850</v>
      </c>
      <c r="AB984" s="13" t="s">
        <v>851</v>
      </c>
      <c r="AC984" s="13" t="s">
        <v>3990</v>
      </c>
      <c r="AD984" s="13" t="s">
        <v>3990</v>
      </c>
      <c r="AE984" s="13" t="s">
        <v>109</v>
      </c>
      <c r="AF984" s="13" t="s">
        <v>16240</v>
      </c>
      <c r="AG984" s="13" t="s">
        <v>39</v>
      </c>
      <c r="AH984" s="13" t="s">
        <v>39</v>
      </c>
      <c r="AI984" s="13" t="s">
        <v>16241</v>
      </c>
      <c r="AJ984" s="13" t="s">
        <v>16242</v>
      </c>
      <c r="AK984" s="13" t="s">
        <v>2191</v>
      </c>
      <c r="AL984" s="13" t="s">
        <v>88</v>
      </c>
    </row>
    <row r="985" spans="1:38" x14ac:dyDescent="0.4">
      <c r="A985" s="11" t="s">
        <v>16243</v>
      </c>
      <c r="B985" s="14" t="s">
        <v>16244</v>
      </c>
      <c r="C985" s="15" t="s">
        <v>16245</v>
      </c>
      <c r="D985" s="15" t="s">
        <v>63</v>
      </c>
      <c r="E985" s="15" t="s">
        <v>16246</v>
      </c>
      <c r="F985" s="15" t="s">
        <v>4204</v>
      </c>
      <c r="G985" s="15" t="s">
        <v>16247</v>
      </c>
      <c r="H985" s="15" t="s">
        <v>16248</v>
      </c>
      <c r="I985" s="9">
        <f t="shared" ca="1" si="15"/>
        <v>19</v>
      </c>
      <c r="J985" s="15" t="s">
        <v>16249</v>
      </c>
      <c r="K985" s="15" t="s">
        <v>425</v>
      </c>
      <c r="L985" s="9" t="str">
        <f>VLOOKUP(K985,[1]中国省份_标准!$B$2:$F$35,4,FALSE)</f>
        <v>东部地区</v>
      </c>
      <c r="M985" s="9" t="str">
        <f>VLOOKUP(K985,[1]中国省份_标准!$B$2:$F$35,5,FALSE)</f>
        <v>华东地区</v>
      </c>
      <c r="N985" s="15" t="s">
        <v>7399</v>
      </c>
      <c r="O985" s="15" t="s">
        <v>7400</v>
      </c>
      <c r="P985" s="15" t="s">
        <v>16250</v>
      </c>
      <c r="Q985" s="15" t="s">
        <v>16251</v>
      </c>
      <c r="R985" s="15" t="s">
        <v>16252</v>
      </c>
      <c r="S985" s="15" t="s">
        <v>16253</v>
      </c>
      <c r="T985" s="15" t="s">
        <v>184</v>
      </c>
      <c r="U985" s="15" t="s">
        <v>16244</v>
      </c>
      <c r="V985" s="15" t="s">
        <v>16254</v>
      </c>
      <c r="W985" s="15" t="s">
        <v>16255</v>
      </c>
      <c r="X985" s="15" t="s">
        <v>16256</v>
      </c>
      <c r="Y985" s="15" t="s">
        <v>78</v>
      </c>
      <c r="Z985" s="15" t="s">
        <v>16257</v>
      </c>
      <c r="AA985" s="15" t="s">
        <v>850</v>
      </c>
      <c r="AB985" s="15" t="s">
        <v>7495</v>
      </c>
      <c r="AC985" s="15" t="s">
        <v>7496</v>
      </c>
      <c r="AD985" s="15" t="s">
        <v>7497</v>
      </c>
      <c r="AE985" s="15" t="s">
        <v>55</v>
      </c>
      <c r="AF985" s="15" t="s">
        <v>16258</v>
      </c>
      <c r="AG985" s="15" t="s">
        <v>16259</v>
      </c>
      <c r="AH985" s="15" t="s">
        <v>39</v>
      </c>
      <c r="AI985" s="15" t="s">
        <v>16260</v>
      </c>
      <c r="AJ985" s="15" t="s">
        <v>16261</v>
      </c>
      <c r="AK985" s="15" t="s">
        <v>7411</v>
      </c>
      <c r="AL985" s="15" t="s">
        <v>88</v>
      </c>
    </row>
    <row r="986" spans="1:38" x14ac:dyDescent="0.4">
      <c r="A986" s="11" t="s">
        <v>16262</v>
      </c>
      <c r="B986" s="12" t="s">
        <v>16263</v>
      </c>
      <c r="C986" s="13" t="s">
        <v>16264</v>
      </c>
      <c r="D986" s="13" t="s">
        <v>92</v>
      </c>
      <c r="E986" s="13" t="s">
        <v>16265</v>
      </c>
      <c r="F986" s="13" t="s">
        <v>490</v>
      </c>
      <c r="G986" s="13" t="s">
        <v>16266</v>
      </c>
      <c r="H986" s="13" t="s">
        <v>14564</v>
      </c>
      <c r="I986" s="9">
        <f t="shared" ca="1" si="15"/>
        <v>11</v>
      </c>
      <c r="J986" s="13" t="s">
        <v>16267</v>
      </c>
      <c r="K986" s="13" t="s">
        <v>425</v>
      </c>
      <c r="L986" s="9" t="str">
        <f>VLOOKUP(K986,[1]中国省份_标准!$B$2:$F$35,4,FALSE)</f>
        <v>东部地区</v>
      </c>
      <c r="M986" s="9" t="str">
        <f>VLOOKUP(K986,[1]中国省份_标准!$B$2:$F$35,5,FALSE)</f>
        <v>华东地区</v>
      </c>
      <c r="N986" s="13" t="s">
        <v>426</v>
      </c>
      <c r="O986" s="13" t="s">
        <v>427</v>
      </c>
      <c r="P986" s="13" t="s">
        <v>16268</v>
      </c>
      <c r="Q986" s="13" t="s">
        <v>16269</v>
      </c>
      <c r="R986" s="13" t="s">
        <v>16270</v>
      </c>
      <c r="S986" s="13" t="s">
        <v>16271</v>
      </c>
      <c r="T986" s="13" t="s">
        <v>48</v>
      </c>
      <c r="U986" s="13" t="s">
        <v>16263</v>
      </c>
      <c r="V986" s="13" t="s">
        <v>16272</v>
      </c>
      <c r="W986" s="13" t="s">
        <v>16273</v>
      </c>
      <c r="X986" s="13" t="s">
        <v>16274</v>
      </c>
      <c r="Y986" s="13" t="s">
        <v>78</v>
      </c>
      <c r="Z986" s="13" t="s">
        <v>14573</v>
      </c>
      <c r="AA986" s="13" t="s">
        <v>850</v>
      </c>
      <c r="AB986" s="13" t="s">
        <v>9442</v>
      </c>
      <c r="AC986" s="13" t="s">
        <v>39</v>
      </c>
      <c r="AD986" s="13" t="s">
        <v>39</v>
      </c>
      <c r="AE986" s="13" t="s">
        <v>55</v>
      </c>
      <c r="AF986" s="13" t="s">
        <v>16275</v>
      </c>
      <c r="AG986" s="13" t="s">
        <v>39</v>
      </c>
      <c r="AH986" s="13" t="s">
        <v>16276</v>
      </c>
      <c r="AI986" s="13" t="s">
        <v>16277</v>
      </c>
      <c r="AJ986" s="13" t="s">
        <v>16278</v>
      </c>
      <c r="AK986" s="13" t="s">
        <v>438</v>
      </c>
      <c r="AL986" s="13" t="s">
        <v>88</v>
      </c>
    </row>
    <row r="987" spans="1:38" x14ac:dyDescent="0.4">
      <c r="A987" s="11" t="s">
        <v>16279</v>
      </c>
      <c r="B987" s="14" t="s">
        <v>16280</v>
      </c>
      <c r="C987" s="15" t="s">
        <v>39</v>
      </c>
      <c r="D987" s="15" t="s">
        <v>92</v>
      </c>
      <c r="E987" s="15" t="s">
        <v>16281</v>
      </c>
      <c r="F987" s="15" t="s">
        <v>640</v>
      </c>
      <c r="G987" s="15" t="s">
        <v>640</v>
      </c>
      <c r="H987" s="15" t="s">
        <v>16282</v>
      </c>
      <c r="I987" s="9">
        <f t="shared" ca="1" si="15"/>
        <v>16</v>
      </c>
      <c r="J987" s="15" t="s">
        <v>16283</v>
      </c>
      <c r="K987" s="15" t="s">
        <v>425</v>
      </c>
      <c r="L987" s="9" t="str">
        <f>VLOOKUP(K987,[1]中国省份_标准!$B$2:$F$35,4,FALSE)</f>
        <v>东部地区</v>
      </c>
      <c r="M987" s="9" t="str">
        <f>VLOOKUP(K987,[1]中国省份_标准!$B$2:$F$35,5,FALSE)</f>
        <v>华东地区</v>
      </c>
      <c r="N987" s="15" t="s">
        <v>426</v>
      </c>
      <c r="O987" s="15" t="s">
        <v>427</v>
      </c>
      <c r="P987" s="15" t="s">
        <v>16284</v>
      </c>
      <c r="Q987" s="15" t="s">
        <v>16285</v>
      </c>
      <c r="R987" s="15" t="s">
        <v>16286</v>
      </c>
      <c r="S987" s="15" t="s">
        <v>16287</v>
      </c>
      <c r="T987" s="15" t="s">
        <v>48</v>
      </c>
      <c r="U987" s="15" t="s">
        <v>16280</v>
      </c>
      <c r="V987" s="15" t="s">
        <v>16288</v>
      </c>
      <c r="W987" s="15" t="s">
        <v>16289</v>
      </c>
      <c r="X987" s="15" t="s">
        <v>455</v>
      </c>
      <c r="Y987" s="15" t="s">
        <v>78</v>
      </c>
      <c r="Z987" s="15" t="s">
        <v>16290</v>
      </c>
      <c r="AA987" s="15" t="s">
        <v>850</v>
      </c>
      <c r="AB987" s="15" t="s">
        <v>9442</v>
      </c>
      <c r="AC987" s="15" t="s">
        <v>10309</v>
      </c>
      <c r="AD987" s="15" t="s">
        <v>10310</v>
      </c>
      <c r="AE987" s="15" t="s">
        <v>109</v>
      </c>
      <c r="AF987" s="15" t="s">
        <v>16291</v>
      </c>
      <c r="AG987" s="15" t="s">
        <v>39</v>
      </c>
      <c r="AH987" s="15" t="s">
        <v>16292</v>
      </c>
      <c r="AI987" s="15" t="s">
        <v>16293</v>
      </c>
      <c r="AJ987" s="15" t="s">
        <v>15660</v>
      </c>
      <c r="AK987" s="15" t="s">
        <v>438</v>
      </c>
      <c r="AL987" s="15" t="s">
        <v>88</v>
      </c>
    </row>
    <row r="988" spans="1:38" x14ac:dyDescent="0.4">
      <c r="A988" s="11" t="s">
        <v>16294</v>
      </c>
      <c r="B988" s="12" t="s">
        <v>16295</v>
      </c>
      <c r="C988" s="13" t="s">
        <v>16296</v>
      </c>
      <c r="D988" s="13" t="s">
        <v>63</v>
      </c>
      <c r="E988" s="13" t="s">
        <v>16297</v>
      </c>
      <c r="F988" s="13" t="s">
        <v>16298</v>
      </c>
      <c r="G988" s="13" t="s">
        <v>16298</v>
      </c>
      <c r="H988" s="13" t="s">
        <v>16299</v>
      </c>
      <c r="I988" s="9">
        <f t="shared" ca="1" si="15"/>
        <v>20</v>
      </c>
      <c r="J988" s="13" t="s">
        <v>16300</v>
      </c>
      <c r="K988" s="13" t="s">
        <v>425</v>
      </c>
      <c r="L988" s="9" t="str">
        <f>VLOOKUP(K988,[1]中国省份_标准!$B$2:$F$35,4,FALSE)</f>
        <v>东部地区</v>
      </c>
      <c r="M988" s="9" t="str">
        <f>VLOOKUP(K988,[1]中国省份_标准!$B$2:$F$35,5,FALSE)</f>
        <v>华东地区</v>
      </c>
      <c r="N988" s="13" t="s">
        <v>1396</v>
      </c>
      <c r="O988" s="13" t="s">
        <v>16301</v>
      </c>
      <c r="P988" s="13" t="s">
        <v>16302</v>
      </c>
      <c r="Q988" s="13" t="s">
        <v>39</v>
      </c>
      <c r="R988" s="13" t="s">
        <v>16303</v>
      </c>
      <c r="S988" s="13" t="s">
        <v>39</v>
      </c>
      <c r="T988" s="13" t="s">
        <v>184</v>
      </c>
      <c r="U988" s="13" t="s">
        <v>16295</v>
      </c>
      <c r="V988" s="13" t="s">
        <v>16304</v>
      </c>
      <c r="W988" s="13" t="s">
        <v>16305</v>
      </c>
      <c r="X988" s="13" t="s">
        <v>16306</v>
      </c>
      <c r="Y988" s="13" t="s">
        <v>78</v>
      </c>
      <c r="Z988" s="13" t="s">
        <v>16307</v>
      </c>
      <c r="AA988" s="13" t="s">
        <v>850</v>
      </c>
      <c r="AB988" s="13" t="s">
        <v>7495</v>
      </c>
      <c r="AC988" s="13" t="s">
        <v>7496</v>
      </c>
      <c r="AD988" s="13" t="s">
        <v>7497</v>
      </c>
      <c r="AE988" s="13" t="s">
        <v>262</v>
      </c>
      <c r="AF988" s="13" t="s">
        <v>16308</v>
      </c>
      <c r="AG988" s="13" t="s">
        <v>39</v>
      </c>
      <c r="AH988" s="13" t="s">
        <v>39</v>
      </c>
      <c r="AI988" s="13" t="s">
        <v>16309</v>
      </c>
      <c r="AJ988" s="13" t="s">
        <v>16310</v>
      </c>
      <c r="AK988" s="13" t="s">
        <v>16311</v>
      </c>
      <c r="AL988" s="13" t="s">
        <v>88</v>
      </c>
    </row>
    <row r="989" spans="1:38" x14ac:dyDescent="0.4">
      <c r="A989" s="11" t="s">
        <v>16312</v>
      </c>
      <c r="B989" s="14" t="s">
        <v>16313</v>
      </c>
      <c r="C989" s="15" t="s">
        <v>39</v>
      </c>
      <c r="D989" s="15" t="s">
        <v>92</v>
      </c>
      <c r="E989" s="15" t="s">
        <v>16314</v>
      </c>
      <c r="F989" s="15" t="s">
        <v>640</v>
      </c>
      <c r="G989" s="15" t="s">
        <v>154</v>
      </c>
      <c r="H989" s="15" t="s">
        <v>16315</v>
      </c>
      <c r="I989" s="9">
        <f t="shared" ca="1" si="15"/>
        <v>15</v>
      </c>
      <c r="J989" s="15" t="s">
        <v>16316</v>
      </c>
      <c r="K989" s="15" t="s">
        <v>425</v>
      </c>
      <c r="L989" s="9" t="str">
        <f>VLOOKUP(K989,[1]中国省份_标准!$B$2:$F$35,4,FALSE)</f>
        <v>东部地区</v>
      </c>
      <c r="M989" s="9" t="str">
        <f>VLOOKUP(K989,[1]中国省份_标准!$B$2:$F$35,5,FALSE)</f>
        <v>华东地区</v>
      </c>
      <c r="N989" s="15" t="s">
        <v>1396</v>
      </c>
      <c r="O989" s="15" t="s">
        <v>16301</v>
      </c>
      <c r="P989" s="15" t="s">
        <v>16317</v>
      </c>
      <c r="Q989" s="15" t="s">
        <v>39</v>
      </c>
      <c r="R989" s="15" t="s">
        <v>16318</v>
      </c>
      <c r="S989" s="15" t="s">
        <v>39</v>
      </c>
      <c r="T989" s="15" t="s">
        <v>48</v>
      </c>
      <c r="U989" s="15" t="s">
        <v>16313</v>
      </c>
      <c r="V989" s="15" t="s">
        <v>16319</v>
      </c>
      <c r="W989" s="15" t="s">
        <v>16320</v>
      </c>
      <c r="X989" s="15" t="s">
        <v>1209</v>
      </c>
      <c r="Y989" s="15" t="s">
        <v>78</v>
      </c>
      <c r="Z989" s="15" t="s">
        <v>16321</v>
      </c>
      <c r="AA989" s="15" t="s">
        <v>850</v>
      </c>
      <c r="AB989" s="15" t="s">
        <v>11570</v>
      </c>
      <c r="AC989" s="15" t="s">
        <v>11571</v>
      </c>
      <c r="AD989" s="15" t="s">
        <v>39</v>
      </c>
      <c r="AE989" s="15" t="s">
        <v>109</v>
      </c>
      <c r="AF989" s="15" t="s">
        <v>16322</v>
      </c>
      <c r="AG989" s="15" t="s">
        <v>39</v>
      </c>
      <c r="AH989" s="15" t="s">
        <v>16323</v>
      </c>
      <c r="AI989" s="15" t="s">
        <v>16324</v>
      </c>
      <c r="AJ989" s="15" t="s">
        <v>16325</v>
      </c>
      <c r="AK989" s="15" t="s">
        <v>16326</v>
      </c>
      <c r="AL989" s="15" t="s">
        <v>39</v>
      </c>
    </row>
    <row r="990" spans="1:38" x14ac:dyDescent="0.4">
      <c r="A990" s="11" t="s">
        <v>16327</v>
      </c>
      <c r="B990" s="12" t="s">
        <v>16328</v>
      </c>
      <c r="C990" s="13" t="s">
        <v>39</v>
      </c>
      <c r="D990" s="13" t="s">
        <v>63</v>
      </c>
      <c r="E990" s="13" t="s">
        <v>16329</v>
      </c>
      <c r="F990" s="13" t="s">
        <v>16330</v>
      </c>
      <c r="G990" s="13" t="s">
        <v>16331</v>
      </c>
      <c r="H990" s="13" t="s">
        <v>16332</v>
      </c>
      <c r="I990" s="9">
        <f t="shared" ca="1" si="15"/>
        <v>14</v>
      </c>
      <c r="J990" s="13" t="s">
        <v>16333</v>
      </c>
      <c r="K990" s="13" t="s">
        <v>67</v>
      </c>
      <c r="L990" s="9" t="str">
        <f>VLOOKUP(K990,[1]中国省份_标准!$B$2:$F$35,4,FALSE)</f>
        <v>东部地区</v>
      </c>
      <c r="M990" s="9" t="str">
        <f>VLOOKUP(K990,[1]中国省份_标准!$B$2:$F$35,5,FALSE)</f>
        <v>华东地区</v>
      </c>
      <c r="N990" s="13" t="s">
        <v>203</v>
      </c>
      <c r="O990" s="13" t="s">
        <v>944</v>
      </c>
      <c r="P990" s="13" t="s">
        <v>16334</v>
      </c>
      <c r="Q990" s="13" t="s">
        <v>16335</v>
      </c>
      <c r="R990" s="13" t="s">
        <v>16336</v>
      </c>
      <c r="S990" s="13" t="s">
        <v>16337</v>
      </c>
      <c r="T990" s="13" t="s">
        <v>48</v>
      </c>
      <c r="U990" s="13" t="s">
        <v>16328</v>
      </c>
      <c r="V990" s="13" t="s">
        <v>16338</v>
      </c>
      <c r="W990" s="13" t="s">
        <v>16339</v>
      </c>
      <c r="X990" s="13" t="s">
        <v>1130</v>
      </c>
      <c r="Y990" s="13" t="s">
        <v>78</v>
      </c>
      <c r="Z990" s="13" t="s">
        <v>16340</v>
      </c>
      <c r="AA990" s="13" t="s">
        <v>850</v>
      </c>
      <c r="AB990" s="13" t="s">
        <v>851</v>
      </c>
      <c r="AC990" s="13" t="s">
        <v>3990</v>
      </c>
      <c r="AD990" s="13" t="s">
        <v>3990</v>
      </c>
      <c r="AE990" s="13" t="s">
        <v>109</v>
      </c>
      <c r="AF990" s="13" t="s">
        <v>16341</v>
      </c>
      <c r="AG990" s="13" t="s">
        <v>39</v>
      </c>
      <c r="AH990" s="13" t="s">
        <v>39</v>
      </c>
      <c r="AI990" s="13" t="s">
        <v>16342</v>
      </c>
      <c r="AJ990" s="13" t="s">
        <v>16343</v>
      </c>
      <c r="AK990" s="13" t="s">
        <v>3564</v>
      </c>
      <c r="AL990" s="13" t="s">
        <v>88</v>
      </c>
    </row>
    <row r="991" spans="1:38" x14ac:dyDescent="0.4">
      <c r="A991" s="11" t="s">
        <v>16344</v>
      </c>
      <c r="B991" s="14" t="s">
        <v>16345</v>
      </c>
      <c r="C991" s="15" t="s">
        <v>39</v>
      </c>
      <c r="D991" s="15" t="s">
        <v>63</v>
      </c>
      <c r="E991" s="15" t="s">
        <v>16346</v>
      </c>
      <c r="F991" s="15" t="s">
        <v>999</v>
      </c>
      <c r="G991" s="15" t="s">
        <v>999</v>
      </c>
      <c r="H991" s="15" t="s">
        <v>16347</v>
      </c>
      <c r="I991" s="9">
        <f t="shared" ca="1" si="15"/>
        <v>15</v>
      </c>
      <c r="J991" s="15" t="s">
        <v>16348</v>
      </c>
      <c r="K991" s="15" t="s">
        <v>67</v>
      </c>
      <c r="L991" s="9" t="str">
        <f>VLOOKUP(K991,[1]中国省份_标准!$B$2:$F$35,4,FALSE)</f>
        <v>东部地区</v>
      </c>
      <c r="M991" s="9" t="str">
        <f>VLOOKUP(K991,[1]中国省份_标准!$B$2:$F$35,5,FALSE)</f>
        <v>华东地区</v>
      </c>
      <c r="N991" s="15" t="s">
        <v>203</v>
      </c>
      <c r="O991" s="15" t="s">
        <v>944</v>
      </c>
      <c r="P991" s="15" t="s">
        <v>16349</v>
      </c>
      <c r="Q991" s="15" t="s">
        <v>16350</v>
      </c>
      <c r="R991" s="15" t="s">
        <v>16351</v>
      </c>
      <c r="S991" s="15" t="s">
        <v>16352</v>
      </c>
      <c r="T991" s="15" t="s">
        <v>48</v>
      </c>
      <c r="U991" s="15" t="s">
        <v>16345</v>
      </c>
      <c r="V991" s="15" t="s">
        <v>16353</v>
      </c>
      <c r="W991" s="15" t="s">
        <v>16354</v>
      </c>
      <c r="X991" s="15" t="s">
        <v>1130</v>
      </c>
      <c r="Y991" s="15" t="s">
        <v>78</v>
      </c>
      <c r="Z991" s="15" t="s">
        <v>16355</v>
      </c>
      <c r="AA991" s="15" t="s">
        <v>52</v>
      </c>
      <c r="AB991" s="15" t="s">
        <v>53</v>
      </c>
      <c r="AC991" s="15" t="s">
        <v>1301</v>
      </c>
      <c r="AD991" s="15" t="s">
        <v>1302</v>
      </c>
      <c r="AE991" s="15" t="s">
        <v>55</v>
      </c>
      <c r="AF991" s="15" t="s">
        <v>16356</v>
      </c>
      <c r="AG991" s="15" t="s">
        <v>16357</v>
      </c>
      <c r="AH991" s="15" t="s">
        <v>39</v>
      </c>
      <c r="AI991" s="15" t="s">
        <v>16358</v>
      </c>
      <c r="AJ991" s="15" t="s">
        <v>16359</v>
      </c>
      <c r="AK991" s="15" t="s">
        <v>956</v>
      </c>
      <c r="AL991" s="15" t="s">
        <v>88</v>
      </c>
    </row>
    <row r="992" spans="1:38" x14ac:dyDescent="0.4">
      <c r="A992" s="11" t="s">
        <v>16360</v>
      </c>
      <c r="B992" s="12" t="s">
        <v>16361</v>
      </c>
      <c r="C992" s="13" t="s">
        <v>39</v>
      </c>
      <c r="D992" s="13" t="s">
        <v>92</v>
      </c>
      <c r="E992" s="13" t="s">
        <v>16362</v>
      </c>
      <c r="F992" s="13" t="s">
        <v>1428</v>
      </c>
      <c r="G992" s="13" t="s">
        <v>39</v>
      </c>
      <c r="H992" s="13" t="s">
        <v>8679</v>
      </c>
      <c r="I992" s="9">
        <f t="shared" ca="1" si="15"/>
        <v>11</v>
      </c>
      <c r="J992" s="13" t="s">
        <v>16363</v>
      </c>
      <c r="K992" s="13" t="s">
        <v>45</v>
      </c>
      <c r="L992" s="9" t="str">
        <f>VLOOKUP(K992,[1]中国省份_标准!$B$2:$F$35,4,FALSE)</f>
        <v>东部地区</v>
      </c>
      <c r="M992" s="9" t="str">
        <f>VLOOKUP(K992,[1]中国省份_标准!$B$2:$F$35,5,FALSE)</f>
        <v>华东地区</v>
      </c>
      <c r="N992" s="13" t="s">
        <v>45</v>
      </c>
      <c r="O992" s="13" t="s">
        <v>46</v>
      </c>
      <c r="P992" s="13" t="s">
        <v>16364</v>
      </c>
      <c r="Q992" s="13" t="s">
        <v>39</v>
      </c>
      <c r="R992" s="13" t="s">
        <v>39</v>
      </c>
      <c r="S992" s="13" t="s">
        <v>39</v>
      </c>
      <c r="T992" s="13" t="s">
        <v>48</v>
      </c>
      <c r="U992" s="13" t="s">
        <v>16361</v>
      </c>
      <c r="V992" s="13" t="s">
        <v>16365</v>
      </c>
      <c r="W992" s="13" t="s">
        <v>16366</v>
      </c>
      <c r="X992" s="13" t="s">
        <v>2491</v>
      </c>
      <c r="Y992" s="13" t="s">
        <v>731</v>
      </c>
      <c r="Z992" s="13" t="s">
        <v>8687</v>
      </c>
      <c r="AA992" s="13" t="s">
        <v>850</v>
      </c>
      <c r="AB992" s="13" t="s">
        <v>9442</v>
      </c>
      <c r="AC992" s="13" t="s">
        <v>10006</v>
      </c>
      <c r="AD992" s="13" t="s">
        <v>10007</v>
      </c>
      <c r="AE992" s="13" t="s">
        <v>55</v>
      </c>
      <c r="AF992" s="13" t="s">
        <v>16367</v>
      </c>
      <c r="AG992" s="13" t="s">
        <v>39</v>
      </c>
      <c r="AH992" s="13" t="s">
        <v>16368</v>
      </c>
      <c r="AI992" s="13" t="s">
        <v>16369</v>
      </c>
      <c r="AJ992" s="13" t="s">
        <v>16370</v>
      </c>
      <c r="AK992" s="13" t="s">
        <v>59</v>
      </c>
      <c r="AL992" s="13" t="s">
        <v>88</v>
      </c>
    </row>
    <row r="993" spans="1:38" x14ac:dyDescent="0.4">
      <c r="A993" s="11" t="s">
        <v>16371</v>
      </c>
      <c r="B993" s="14" t="s">
        <v>16372</v>
      </c>
      <c r="C993" s="15" t="s">
        <v>39</v>
      </c>
      <c r="D993" s="15" t="s">
        <v>92</v>
      </c>
      <c r="E993" s="15" t="s">
        <v>16373</v>
      </c>
      <c r="F993" s="15" t="s">
        <v>999</v>
      </c>
      <c r="G993" s="15" t="s">
        <v>999</v>
      </c>
      <c r="H993" s="15" t="s">
        <v>16374</v>
      </c>
      <c r="I993" s="9">
        <f t="shared" ca="1" si="15"/>
        <v>22</v>
      </c>
      <c r="J993" s="15" t="s">
        <v>16375</v>
      </c>
      <c r="K993" s="15" t="s">
        <v>531</v>
      </c>
      <c r="L993" s="9" t="str">
        <f>VLOOKUP(K993,[1]中国省份_标准!$B$2:$F$35,4,FALSE)</f>
        <v>东部地区</v>
      </c>
      <c r="M993" s="9" t="str">
        <f>VLOOKUP(K993,[1]中国省份_标准!$B$2:$F$35,5,FALSE)</f>
        <v>华南地区</v>
      </c>
      <c r="N993" s="15" t="s">
        <v>12008</v>
      </c>
      <c r="O993" s="15" t="s">
        <v>16376</v>
      </c>
      <c r="P993" s="15" t="s">
        <v>16377</v>
      </c>
      <c r="Q993" s="15" t="s">
        <v>16378</v>
      </c>
      <c r="R993" s="15" t="s">
        <v>16379</v>
      </c>
      <c r="S993" s="15" t="s">
        <v>16380</v>
      </c>
      <c r="T993" s="15" t="s">
        <v>670</v>
      </c>
      <c r="U993" s="15" t="s">
        <v>16372</v>
      </c>
      <c r="V993" s="15" t="s">
        <v>16381</v>
      </c>
      <c r="W993" s="15" t="s">
        <v>16382</v>
      </c>
      <c r="X993" s="15" t="s">
        <v>1704</v>
      </c>
      <c r="Y993" s="15" t="s">
        <v>78</v>
      </c>
      <c r="Z993" s="15" t="s">
        <v>16383</v>
      </c>
      <c r="AA993" s="15" t="s">
        <v>850</v>
      </c>
      <c r="AB993" s="15" t="s">
        <v>9442</v>
      </c>
      <c r="AC993" s="15" t="s">
        <v>10006</v>
      </c>
      <c r="AD993" s="15" t="s">
        <v>14959</v>
      </c>
      <c r="AE993" s="15" t="s">
        <v>55</v>
      </c>
      <c r="AF993" s="15" t="s">
        <v>16384</v>
      </c>
      <c r="AG993" s="15" t="s">
        <v>16385</v>
      </c>
      <c r="AH993" s="15" t="s">
        <v>39</v>
      </c>
      <c r="AI993" s="15" t="s">
        <v>16386</v>
      </c>
      <c r="AJ993" s="15" t="s">
        <v>16387</v>
      </c>
      <c r="AK993" s="15" t="s">
        <v>12023</v>
      </c>
      <c r="AL993" s="15" t="s">
        <v>88</v>
      </c>
    </row>
    <row r="994" spans="1:38" x14ac:dyDescent="0.4">
      <c r="A994" s="11" t="s">
        <v>16388</v>
      </c>
      <c r="B994" s="12" t="s">
        <v>16389</v>
      </c>
      <c r="C994" s="13" t="s">
        <v>16390</v>
      </c>
      <c r="D994" s="13" t="s">
        <v>63</v>
      </c>
      <c r="E994" s="13" t="s">
        <v>16391</v>
      </c>
      <c r="F994" s="13" t="s">
        <v>640</v>
      </c>
      <c r="G994" s="13" t="s">
        <v>640</v>
      </c>
      <c r="H994" s="13" t="s">
        <v>16392</v>
      </c>
      <c r="I994" s="9">
        <f t="shared" ca="1" si="15"/>
        <v>29</v>
      </c>
      <c r="J994" s="13" t="s">
        <v>16393</v>
      </c>
      <c r="K994" s="13" t="s">
        <v>425</v>
      </c>
      <c r="L994" s="9" t="str">
        <f>VLOOKUP(K994,[1]中国省份_标准!$B$2:$F$35,4,FALSE)</f>
        <v>东部地区</v>
      </c>
      <c r="M994" s="9" t="str">
        <f>VLOOKUP(K994,[1]中国省份_标准!$B$2:$F$35,5,FALSE)</f>
        <v>华东地区</v>
      </c>
      <c r="N994" s="13" t="s">
        <v>426</v>
      </c>
      <c r="O994" s="13" t="s">
        <v>427</v>
      </c>
      <c r="P994" s="13" t="s">
        <v>16394</v>
      </c>
      <c r="Q994" s="13" t="s">
        <v>16395</v>
      </c>
      <c r="R994" s="13" t="s">
        <v>16396</v>
      </c>
      <c r="S994" s="13" t="s">
        <v>16397</v>
      </c>
      <c r="T994" s="13" t="s">
        <v>670</v>
      </c>
      <c r="U994" s="13" t="s">
        <v>16389</v>
      </c>
      <c r="V994" s="13" t="s">
        <v>16398</v>
      </c>
      <c r="W994" s="13" t="s">
        <v>16399</v>
      </c>
      <c r="X994" s="13" t="s">
        <v>10250</v>
      </c>
      <c r="Y994" s="13" t="s">
        <v>78</v>
      </c>
      <c r="Z994" s="13" t="s">
        <v>16400</v>
      </c>
      <c r="AA994" s="13" t="s">
        <v>850</v>
      </c>
      <c r="AB994" s="13" t="s">
        <v>7495</v>
      </c>
      <c r="AC994" s="13" t="s">
        <v>39</v>
      </c>
      <c r="AD994" s="13" t="s">
        <v>39</v>
      </c>
      <c r="AE994" s="13" t="s">
        <v>55</v>
      </c>
      <c r="AF994" s="13" t="s">
        <v>16401</v>
      </c>
      <c r="AG994" s="13" t="s">
        <v>39</v>
      </c>
      <c r="AH994" s="13" t="s">
        <v>39</v>
      </c>
      <c r="AI994" s="13" t="s">
        <v>16402</v>
      </c>
      <c r="AJ994" s="13" t="s">
        <v>16403</v>
      </c>
      <c r="AK994" s="13" t="s">
        <v>2191</v>
      </c>
      <c r="AL994" s="13" t="s">
        <v>88</v>
      </c>
    </row>
    <row r="995" spans="1:38" x14ac:dyDescent="0.4">
      <c r="A995" s="11" t="s">
        <v>16404</v>
      </c>
      <c r="B995" s="14" t="s">
        <v>16405</v>
      </c>
      <c r="C995" s="15" t="s">
        <v>39</v>
      </c>
      <c r="D995" s="15" t="s">
        <v>63</v>
      </c>
      <c r="E995" s="15" t="s">
        <v>16406</v>
      </c>
      <c r="F995" s="15" t="s">
        <v>16407</v>
      </c>
      <c r="G995" s="15" t="s">
        <v>16407</v>
      </c>
      <c r="H995" s="15" t="s">
        <v>16408</v>
      </c>
      <c r="I995" s="9">
        <f t="shared" ca="1" si="15"/>
        <v>19</v>
      </c>
      <c r="J995" s="15" t="s">
        <v>16409</v>
      </c>
      <c r="K995" s="15" t="s">
        <v>425</v>
      </c>
      <c r="L995" s="9" t="str">
        <f>VLOOKUP(K995,[1]中国省份_标准!$B$2:$F$35,4,FALSE)</f>
        <v>东部地区</v>
      </c>
      <c r="M995" s="9" t="str">
        <f>VLOOKUP(K995,[1]中国省份_标准!$B$2:$F$35,5,FALSE)</f>
        <v>华东地区</v>
      </c>
      <c r="N995" s="15" t="s">
        <v>426</v>
      </c>
      <c r="O995" s="15" t="s">
        <v>2286</v>
      </c>
      <c r="P995" s="15" t="s">
        <v>16410</v>
      </c>
      <c r="Q995" s="15" t="s">
        <v>39</v>
      </c>
      <c r="R995" s="15" t="s">
        <v>16411</v>
      </c>
      <c r="S995" s="15" t="s">
        <v>16412</v>
      </c>
      <c r="T995" s="15" t="s">
        <v>48</v>
      </c>
      <c r="U995" s="15" t="s">
        <v>16405</v>
      </c>
      <c r="V995" s="15" t="s">
        <v>16413</v>
      </c>
      <c r="W995" s="15" t="s">
        <v>16414</v>
      </c>
      <c r="X995" s="15" t="s">
        <v>9614</v>
      </c>
      <c r="Y995" s="15" t="s">
        <v>78</v>
      </c>
      <c r="Z995" s="15" t="s">
        <v>16415</v>
      </c>
      <c r="AA995" s="15" t="s">
        <v>850</v>
      </c>
      <c r="AB995" s="15" t="s">
        <v>11570</v>
      </c>
      <c r="AC995" s="15" t="s">
        <v>11571</v>
      </c>
      <c r="AD995" s="15" t="s">
        <v>39</v>
      </c>
      <c r="AE995" s="15" t="s">
        <v>55</v>
      </c>
      <c r="AF995" s="15" t="s">
        <v>16416</v>
      </c>
      <c r="AG995" s="15" t="s">
        <v>39</v>
      </c>
      <c r="AH995" s="15" t="s">
        <v>16417</v>
      </c>
      <c r="AI995" s="15" t="s">
        <v>16418</v>
      </c>
      <c r="AJ995" s="15" t="s">
        <v>16419</v>
      </c>
      <c r="AK995" s="15" t="s">
        <v>13834</v>
      </c>
      <c r="AL995" s="15" t="s">
        <v>88</v>
      </c>
    </row>
    <row r="996" spans="1:38" x14ac:dyDescent="0.4">
      <c r="A996" s="11" t="s">
        <v>16420</v>
      </c>
      <c r="B996" s="12" t="s">
        <v>16421</v>
      </c>
      <c r="C996" s="13" t="s">
        <v>39</v>
      </c>
      <c r="D996" s="13" t="s">
        <v>92</v>
      </c>
      <c r="E996" s="13" t="s">
        <v>16422</v>
      </c>
      <c r="F996" s="13" t="s">
        <v>640</v>
      </c>
      <c r="G996" s="13" t="s">
        <v>16423</v>
      </c>
      <c r="H996" s="13" t="s">
        <v>16424</v>
      </c>
      <c r="I996" s="9">
        <f t="shared" ca="1" si="15"/>
        <v>6</v>
      </c>
      <c r="J996" s="13" t="s">
        <v>16425</v>
      </c>
      <c r="K996" s="13" t="s">
        <v>425</v>
      </c>
      <c r="L996" s="9" t="str">
        <f>VLOOKUP(K996,[1]中国省份_标准!$B$2:$F$35,4,FALSE)</f>
        <v>东部地区</v>
      </c>
      <c r="M996" s="9" t="str">
        <f>VLOOKUP(K996,[1]中国省份_标准!$B$2:$F$35,5,FALSE)</f>
        <v>华东地区</v>
      </c>
      <c r="N996" s="13" t="s">
        <v>426</v>
      </c>
      <c r="O996" s="13" t="s">
        <v>2286</v>
      </c>
      <c r="P996" s="13" t="s">
        <v>16426</v>
      </c>
      <c r="Q996" s="13" t="s">
        <v>16427</v>
      </c>
      <c r="R996" s="13" t="s">
        <v>16428</v>
      </c>
      <c r="S996" s="13" t="s">
        <v>39</v>
      </c>
      <c r="T996" s="13" t="s">
        <v>48</v>
      </c>
      <c r="U996" s="13" t="s">
        <v>16421</v>
      </c>
      <c r="V996" s="13" t="s">
        <v>39</v>
      </c>
      <c r="W996" s="13" t="s">
        <v>16429</v>
      </c>
      <c r="X996" s="13" t="s">
        <v>673</v>
      </c>
      <c r="Y996" s="13" t="s">
        <v>78</v>
      </c>
      <c r="Z996" s="13" t="s">
        <v>16430</v>
      </c>
      <c r="AA996" s="13" t="s">
        <v>850</v>
      </c>
      <c r="AB996" s="13" t="s">
        <v>851</v>
      </c>
      <c r="AC996" s="13" t="s">
        <v>39</v>
      </c>
      <c r="AD996" s="13" t="s">
        <v>39</v>
      </c>
      <c r="AE996" s="13" t="s">
        <v>109</v>
      </c>
      <c r="AF996" s="13" t="s">
        <v>16431</v>
      </c>
      <c r="AG996" s="13" t="s">
        <v>39</v>
      </c>
      <c r="AH996" s="13" t="s">
        <v>39</v>
      </c>
      <c r="AI996" s="13" t="s">
        <v>16432</v>
      </c>
      <c r="AJ996" s="13" t="s">
        <v>16433</v>
      </c>
      <c r="AK996" s="13" t="s">
        <v>13834</v>
      </c>
      <c r="AL996" s="13" t="s">
        <v>88</v>
      </c>
    </row>
    <row r="997" spans="1:38" x14ac:dyDescent="0.4">
      <c r="A997" s="11" t="s">
        <v>16434</v>
      </c>
      <c r="B997" s="14" t="s">
        <v>16435</v>
      </c>
      <c r="C997" s="15" t="s">
        <v>39</v>
      </c>
      <c r="D997" s="15" t="s">
        <v>92</v>
      </c>
      <c r="E997" s="15" t="s">
        <v>16436</v>
      </c>
      <c r="F997" s="15" t="s">
        <v>640</v>
      </c>
      <c r="G997" s="15" t="s">
        <v>16437</v>
      </c>
      <c r="H997" s="15" t="s">
        <v>16438</v>
      </c>
      <c r="I997" s="9">
        <f t="shared" ca="1" si="15"/>
        <v>8</v>
      </c>
      <c r="J997" s="15" t="s">
        <v>16439</v>
      </c>
      <c r="K997" s="15" t="s">
        <v>425</v>
      </c>
      <c r="L997" s="9" t="str">
        <f>VLOOKUP(K997,[1]中国省份_标准!$B$2:$F$35,4,FALSE)</f>
        <v>东部地区</v>
      </c>
      <c r="M997" s="9" t="str">
        <f>VLOOKUP(K997,[1]中国省份_标准!$B$2:$F$35,5,FALSE)</f>
        <v>华东地区</v>
      </c>
      <c r="N997" s="15" t="s">
        <v>426</v>
      </c>
      <c r="O997" s="15" t="s">
        <v>2286</v>
      </c>
      <c r="P997" s="15" t="s">
        <v>16427</v>
      </c>
      <c r="Q997" s="15" t="s">
        <v>39</v>
      </c>
      <c r="R997" s="15" t="s">
        <v>16428</v>
      </c>
      <c r="S997" s="15" t="s">
        <v>39</v>
      </c>
      <c r="T997" s="15" t="s">
        <v>48</v>
      </c>
      <c r="U997" s="15" t="s">
        <v>16435</v>
      </c>
      <c r="V997" s="15" t="s">
        <v>16440</v>
      </c>
      <c r="W997" s="15" t="s">
        <v>16441</v>
      </c>
      <c r="X997" s="15" t="s">
        <v>1209</v>
      </c>
      <c r="Y997" s="15" t="s">
        <v>78</v>
      </c>
      <c r="Z997" s="15" t="s">
        <v>16442</v>
      </c>
      <c r="AA997" s="15" t="s">
        <v>52</v>
      </c>
      <c r="AB997" s="15" t="s">
        <v>53</v>
      </c>
      <c r="AC997" s="15" t="s">
        <v>1301</v>
      </c>
      <c r="AD997" s="15" t="s">
        <v>39</v>
      </c>
      <c r="AE997" s="15" t="s">
        <v>109</v>
      </c>
      <c r="AF997" s="15" t="s">
        <v>16443</v>
      </c>
      <c r="AG997" s="15" t="s">
        <v>39</v>
      </c>
      <c r="AH997" s="15" t="s">
        <v>39</v>
      </c>
      <c r="AI997" s="15" t="s">
        <v>16444</v>
      </c>
      <c r="AJ997" s="15" t="s">
        <v>16445</v>
      </c>
      <c r="AK997" s="15" t="s">
        <v>13834</v>
      </c>
      <c r="AL997" s="15" t="s">
        <v>88</v>
      </c>
    </row>
    <row r="998" spans="1:38" x14ac:dyDescent="0.4">
      <c r="A998" s="11" t="s">
        <v>16446</v>
      </c>
      <c r="B998" s="12" t="s">
        <v>16447</v>
      </c>
      <c r="C998" s="13" t="s">
        <v>39</v>
      </c>
      <c r="D998" s="13" t="s">
        <v>63</v>
      </c>
      <c r="E998" s="13" t="s">
        <v>16448</v>
      </c>
      <c r="F998" s="13" t="s">
        <v>2161</v>
      </c>
      <c r="G998" s="13" t="s">
        <v>2161</v>
      </c>
      <c r="H998" s="13" t="s">
        <v>16449</v>
      </c>
      <c r="I998" s="9">
        <f t="shared" ca="1" si="15"/>
        <v>20</v>
      </c>
      <c r="J998" s="13" t="s">
        <v>16450</v>
      </c>
      <c r="K998" s="13" t="s">
        <v>425</v>
      </c>
      <c r="L998" s="9" t="str">
        <f>VLOOKUP(K998,[1]中国省份_标准!$B$2:$F$35,4,FALSE)</f>
        <v>东部地区</v>
      </c>
      <c r="M998" s="9" t="str">
        <f>VLOOKUP(K998,[1]中国省份_标准!$B$2:$F$35,5,FALSE)</f>
        <v>华东地区</v>
      </c>
      <c r="N998" s="13" t="s">
        <v>426</v>
      </c>
      <c r="O998" s="13" t="s">
        <v>2286</v>
      </c>
      <c r="P998" s="13" t="s">
        <v>16451</v>
      </c>
      <c r="Q998" s="13" t="s">
        <v>16452</v>
      </c>
      <c r="R998" s="13" t="s">
        <v>16453</v>
      </c>
      <c r="S998" s="13" t="s">
        <v>16454</v>
      </c>
      <c r="T998" s="13" t="s">
        <v>48</v>
      </c>
      <c r="U998" s="13" t="s">
        <v>16447</v>
      </c>
      <c r="V998" s="13" t="s">
        <v>16455</v>
      </c>
      <c r="W998" s="13" t="s">
        <v>16456</v>
      </c>
      <c r="X998" s="13" t="s">
        <v>7345</v>
      </c>
      <c r="Y998" s="13" t="s">
        <v>78</v>
      </c>
      <c r="Z998" s="13" t="s">
        <v>16457</v>
      </c>
      <c r="AA998" s="13" t="s">
        <v>1796</v>
      </c>
      <c r="AB998" s="13" t="s">
        <v>2851</v>
      </c>
      <c r="AC998" s="13" t="s">
        <v>39</v>
      </c>
      <c r="AD998" s="13" t="s">
        <v>39</v>
      </c>
      <c r="AE998" s="13" t="s">
        <v>55</v>
      </c>
      <c r="AF998" s="13" t="s">
        <v>16458</v>
      </c>
      <c r="AG998" s="13" t="s">
        <v>39</v>
      </c>
      <c r="AH998" s="13" t="s">
        <v>39</v>
      </c>
      <c r="AI998" s="13" t="s">
        <v>16459</v>
      </c>
      <c r="AJ998" s="13" t="s">
        <v>16460</v>
      </c>
      <c r="AK998" s="13" t="s">
        <v>13834</v>
      </c>
      <c r="AL998" s="13" t="s">
        <v>88</v>
      </c>
    </row>
    <row r="999" spans="1:38" x14ac:dyDescent="0.4">
      <c r="A999" s="11" t="s">
        <v>16461</v>
      </c>
      <c r="B999" s="14" t="s">
        <v>16462</v>
      </c>
      <c r="C999" s="15" t="s">
        <v>39</v>
      </c>
      <c r="D999" s="15" t="s">
        <v>92</v>
      </c>
      <c r="E999" s="15" t="s">
        <v>16463</v>
      </c>
      <c r="F999" s="15" t="s">
        <v>640</v>
      </c>
      <c r="G999" s="15" t="s">
        <v>640</v>
      </c>
      <c r="H999" s="15" t="s">
        <v>16464</v>
      </c>
      <c r="I999" s="9">
        <f t="shared" ca="1" si="15"/>
        <v>19</v>
      </c>
      <c r="J999" s="15" t="s">
        <v>16465</v>
      </c>
      <c r="K999" s="15" t="s">
        <v>425</v>
      </c>
      <c r="L999" s="9" t="str">
        <f>VLOOKUP(K999,[1]中国省份_标准!$B$2:$F$35,4,FALSE)</f>
        <v>东部地区</v>
      </c>
      <c r="M999" s="9" t="str">
        <f>VLOOKUP(K999,[1]中国省份_标准!$B$2:$F$35,5,FALSE)</f>
        <v>华东地区</v>
      </c>
      <c r="N999" s="15" t="s">
        <v>426</v>
      </c>
      <c r="O999" s="15" t="s">
        <v>2286</v>
      </c>
      <c r="P999" s="15" t="s">
        <v>16466</v>
      </c>
      <c r="Q999" s="15" t="s">
        <v>16467</v>
      </c>
      <c r="R999" s="15" t="s">
        <v>16468</v>
      </c>
      <c r="S999" s="15" t="s">
        <v>16469</v>
      </c>
      <c r="T999" s="15" t="s">
        <v>48</v>
      </c>
      <c r="U999" s="15" t="s">
        <v>16462</v>
      </c>
      <c r="V999" s="15" t="s">
        <v>16470</v>
      </c>
      <c r="W999" s="15" t="s">
        <v>16471</v>
      </c>
      <c r="X999" s="15" t="s">
        <v>455</v>
      </c>
      <c r="Y999" s="15" t="s">
        <v>78</v>
      </c>
      <c r="Z999" s="15" t="s">
        <v>16472</v>
      </c>
      <c r="AA999" s="15" t="s">
        <v>850</v>
      </c>
      <c r="AB999" s="15" t="s">
        <v>11570</v>
      </c>
      <c r="AC999" s="15" t="s">
        <v>11571</v>
      </c>
      <c r="AD999" s="15" t="s">
        <v>39</v>
      </c>
      <c r="AE999" s="15" t="s">
        <v>109</v>
      </c>
      <c r="AF999" s="15" t="s">
        <v>16473</v>
      </c>
      <c r="AG999" s="15" t="s">
        <v>39</v>
      </c>
      <c r="AH999" s="15" t="s">
        <v>39</v>
      </c>
      <c r="AI999" s="15" t="s">
        <v>16474</v>
      </c>
      <c r="AJ999" s="15" t="s">
        <v>16475</v>
      </c>
      <c r="AK999" s="15" t="s">
        <v>13834</v>
      </c>
      <c r="AL999" s="15" t="s">
        <v>88</v>
      </c>
    </row>
    <row r="1000" spans="1:38" x14ac:dyDescent="0.4">
      <c r="A1000" s="11" t="s">
        <v>16476</v>
      </c>
      <c r="B1000" s="12" t="s">
        <v>16477</v>
      </c>
      <c r="C1000" s="13" t="s">
        <v>39</v>
      </c>
      <c r="D1000" s="13" t="s">
        <v>63</v>
      </c>
      <c r="E1000" s="13" t="s">
        <v>16478</v>
      </c>
      <c r="F1000" s="13" t="s">
        <v>16479</v>
      </c>
      <c r="G1000" s="13" t="s">
        <v>16479</v>
      </c>
      <c r="H1000" s="13" t="s">
        <v>16480</v>
      </c>
      <c r="I1000" s="9">
        <f t="shared" ca="1" si="15"/>
        <v>8</v>
      </c>
      <c r="J1000" s="13" t="s">
        <v>16481</v>
      </c>
      <c r="K1000" s="13" t="s">
        <v>425</v>
      </c>
      <c r="L1000" s="9" t="str">
        <f>VLOOKUP(K1000,[1]中国省份_标准!$B$2:$F$35,4,FALSE)</f>
        <v>东部地区</v>
      </c>
      <c r="M1000" s="9" t="str">
        <f>VLOOKUP(K1000,[1]中国省份_标准!$B$2:$F$35,5,FALSE)</f>
        <v>华东地区</v>
      </c>
      <c r="N1000" s="13" t="s">
        <v>426</v>
      </c>
      <c r="O1000" s="13" t="s">
        <v>2286</v>
      </c>
      <c r="P1000" s="13" t="s">
        <v>16482</v>
      </c>
      <c r="Q1000" s="13" t="s">
        <v>16483</v>
      </c>
      <c r="R1000" s="13" t="s">
        <v>16484</v>
      </c>
      <c r="S1000" s="13" t="s">
        <v>39</v>
      </c>
      <c r="T1000" s="13" t="s">
        <v>670</v>
      </c>
      <c r="U1000" s="13" t="s">
        <v>16477</v>
      </c>
      <c r="V1000" s="13" t="s">
        <v>16485</v>
      </c>
      <c r="W1000" s="13" t="s">
        <v>16486</v>
      </c>
      <c r="X1000" s="13" t="s">
        <v>1587</v>
      </c>
      <c r="Y1000" s="13" t="s">
        <v>78</v>
      </c>
      <c r="Z1000" s="13" t="s">
        <v>16487</v>
      </c>
      <c r="AA1000" s="13" t="s">
        <v>52</v>
      </c>
      <c r="AB1000" s="13" t="s">
        <v>53</v>
      </c>
      <c r="AC1000" s="13" t="s">
        <v>2874</v>
      </c>
      <c r="AD1000" s="13" t="s">
        <v>16488</v>
      </c>
      <c r="AE1000" s="13" t="s">
        <v>55</v>
      </c>
      <c r="AF1000" s="13" t="s">
        <v>16489</v>
      </c>
      <c r="AG1000" s="13" t="s">
        <v>16490</v>
      </c>
      <c r="AH1000" s="13" t="s">
        <v>39</v>
      </c>
      <c r="AI1000" s="13" t="s">
        <v>16491</v>
      </c>
      <c r="AJ1000" s="13" t="s">
        <v>16492</v>
      </c>
      <c r="AK1000" s="13" t="s">
        <v>2297</v>
      </c>
      <c r="AL1000" s="13" t="s">
        <v>88</v>
      </c>
    </row>
    <row r="1001" spans="1:38" x14ac:dyDescent="0.4">
      <c r="A1001" s="11" t="s">
        <v>16493</v>
      </c>
      <c r="B1001" s="14" t="s">
        <v>16494</v>
      </c>
      <c r="C1001" s="15" t="s">
        <v>39</v>
      </c>
      <c r="D1001" s="15" t="s">
        <v>92</v>
      </c>
      <c r="E1001" s="15" t="s">
        <v>16495</v>
      </c>
      <c r="F1001" s="15" t="s">
        <v>640</v>
      </c>
      <c r="G1001" s="15" t="s">
        <v>16496</v>
      </c>
      <c r="H1001" s="15" t="s">
        <v>16497</v>
      </c>
      <c r="I1001" s="9">
        <f t="shared" ca="1" si="15"/>
        <v>10</v>
      </c>
      <c r="J1001" s="15" t="s">
        <v>16498</v>
      </c>
      <c r="K1001" s="15" t="s">
        <v>425</v>
      </c>
      <c r="L1001" s="9" t="str">
        <f>VLOOKUP(K1001,[1]中国省份_标准!$B$2:$F$35,4,FALSE)</f>
        <v>东部地区</v>
      </c>
      <c r="M1001" s="9" t="str">
        <f>VLOOKUP(K1001,[1]中国省份_标准!$B$2:$F$35,5,FALSE)</f>
        <v>华东地区</v>
      </c>
      <c r="N1001" s="15" t="s">
        <v>426</v>
      </c>
      <c r="O1001" s="15" t="s">
        <v>427</v>
      </c>
      <c r="P1001" s="15" t="s">
        <v>16499</v>
      </c>
      <c r="Q1001" s="15" t="s">
        <v>39</v>
      </c>
      <c r="R1001" s="15" t="s">
        <v>16500</v>
      </c>
      <c r="S1001" s="15" t="s">
        <v>16501</v>
      </c>
      <c r="T1001" s="15" t="s">
        <v>281</v>
      </c>
      <c r="U1001" s="15" t="s">
        <v>16494</v>
      </c>
      <c r="V1001" s="15" t="s">
        <v>16502</v>
      </c>
      <c r="W1001" s="15" t="s">
        <v>16503</v>
      </c>
      <c r="X1001" s="15" t="s">
        <v>673</v>
      </c>
      <c r="Y1001" s="15" t="s">
        <v>78</v>
      </c>
      <c r="Z1001" s="15" t="s">
        <v>16504</v>
      </c>
      <c r="AA1001" s="15" t="s">
        <v>850</v>
      </c>
      <c r="AB1001" s="15" t="s">
        <v>11570</v>
      </c>
      <c r="AC1001" s="15" t="s">
        <v>11571</v>
      </c>
      <c r="AD1001" s="15" t="s">
        <v>39</v>
      </c>
      <c r="AE1001" s="15" t="s">
        <v>109</v>
      </c>
      <c r="AF1001" s="15" t="s">
        <v>16505</v>
      </c>
      <c r="AG1001" s="15" t="s">
        <v>39</v>
      </c>
      <c r="AH1001" s="15" t="s">
        <v>16506</v>
      </c>
      <c r="AI1001" s="15" t="s">
        <v>16507</v>
      </c>
      <c r="AJ1001" s="15" t="s">
        <v>16508</v>
      </c>
      <c r="AK1001" s="15" t="s">
        <v>438</v>
      </c>
      <c r="AL1001" s="15" t="s">
        <v>88</v>
      </c>
    </row>
    <row r="1002" spans="1:38" x14ac:dyDescent="0.4">
      <c r="A1002" s="11" t="s">
        <v>16509</v>
      </c>
      <c r="B1002" s="12" t="s">
        <v>16510</v>
      </c>
      <c r="C1002" s="13" t="s">
        <v>39</v>
      </c>
      <c r="D1002" s="13" t="s">
        <v>92</v>
      </c>
      <c r="E1002" s="13" t="s">
        <v>16511</v>
      </c>
      <c r="F1002" s="13" t="s">
        <v>640</v>
      </c>
      <c r="G1002" s="13" t="s">
        <v>16512</v>
      </c>
      <c r="H1002" s="13" t="s">
        <v>16513</v>
      </c>
      <c r="I1002" s="9">
        <f t="shared" ca="1" si="15"/>
        <v>7</v>
      </c>
      <c r="J1002" s="13" t="s">
        <v>16514</v>
      </c>
      <c r="K1002" s="13" t="s">
        <v>425</v>
      </c>
      <c r="L1002" s="9" t="str">
        <f>VLOOKUP(K1002,[1]中国省份_标准!$B$2:$F$35,4,FALSE)</f>
        <v>东部地区</v>
      </c>
      <c r="M1002" s="9" t="str">
        <f>VLOOKUP(K1002,[1]中国省份_标准!$B$2:$F$35,5,FALSE)</f>
        <v>华东地区</v>
      </c>
      <c r="N1002" s="13" t="s">
        <v>426</v>
      </c>
      <c r="O1002" s="13" t="s">
        <v>427</v>
      </c>
      <c r="P1002" s="13" t="s">
        <v>16515</v>
      </c>
      <c r="Q1002" s="13" t="s">
        <v>16516</v>
      </c>
      <c r="R1002" s="13" t="s">
        <v>16517</v>
      </c>
      <c r="S1002" s="13" t="s">
        <v>39</v>
      </c>
      <c r="T1002" s="13" t="s">
        <v>48</v>
      </c>
      <c r="U1002" s="13" t="s">
        <v>16510</v>
      </c>
      <c r="V1002" s="13" t="s">
        <v>39</v>
      </c>
      <c r="W1002" s="13" t="s">
        <v>16518</v>
      </c>
      <c r="X1002" s="13" t="s">
        <v>540</v>
      </c>
      <c r="Y1002" s="13" t="s">
        <v>78</v>
      </c>
      <c r="Z1002" s="13" t="s">
        <v>16519</v>
      </c>
      <c r="AA1002" s="13" t="s">
        <v>850</v>
      </c>
      <c r="AB1002" s="13" t="s">
        <v>11570</v>
      </c>
      <c r="AC1002" s="13" t="s">
        <v>11571</v>
      </c>
      <c r="AD1002" s="13" t="s">
        <v>11622</v>
      </c>
      <c r="AE1002" s="13" t="s">
        <v>109</v>
      </c>
      <c r="AF1002" s="13" t="s">
        <v>16520</v>
      </c>
      <c r="AG1002" s="13" t="s">
        <v>39</v>
      </c>
      <c r="AH1002" s="13" t="s">
        <v>16521</v>
      </c>
      <c r="AI1002" s="13" t="s">
        <v>16522</v>
      </c>
      <c r="AJ1002" s="13" t="s">
        <v>16523</v>
      </c>
      <c r="AK1002" s="13" t="s">
        <v>438</v>
      </c>
      <c r="AL1002" s="13" t="s">
        <v>88</v>
      </c>
    </row>
    <row r="1003" spans="1:38" x14ac:dyDescent="0.4">
      <c r="A1003" s="11" t="s">
        <v>16524</v>
      </c>
      <c r="B1003" s="14" t="s">
        <v>16525</v>
      </c>
      <c r="C1003" s="15" t="s">
        <v>16526</v>
      </c>
      <c r="D1003" s="15" t="s">
        <v>63</v>
      </c>
      <c r="E1003" s="15" t="s">
        <v>16391</v>
      </c>
      <c r="F1003" s="15" t="s">
        <v>39</v>
      </c>
      <c r="G1003" s="15" t="s">
        <v>39</v>
      </c>
      <c r="H1003" s="15" t="s">
        <v>16527</v>
      </c>
      <c r="I1003" s="9">
        <f t="shared" ca="1" si="15"/>
        <v>30</v>
      </c>
      <c r="J1003" s="15" t="s">
        <v>39</v>
      </c>
      <c r="K1003" s="15" t="s">
        <v>425</v>
      </c>
      <c r="L1003" s="9" t="str">
        <f>VLOOKUP(K1003,[1]中国省份_标准!$B$2:$F$35,4,FALSE)</f>
        <v>东部地区</v>
      </c>
      <c r="M1003" s="9" t="str">
        <f>VLOOKUP(K1003,[1]中国省份_标准!$B$2:$F$35,5,FALSE)</f>
        <v>华东地区</v>
      </c>
      <c r="N1003" s="15" t="s">
        <v>426</v>
      </c>
      <c r="O1003" s="15" t="s">
        <v>427</v>
      </c>
      <c r="P1003" s="15" t="s">
        <v>16394</v>
      </c>
      <c r="Q1003" s="15" t="s">
        <v>16395</v>
      </c>
      <c r="R1003" s="15" t="s">
        <v>16396</v>
      </c>
      <c r="S1003" s="15" t="s">
        <v>39</v>
      </c>
      <c r="T1003" s="15" t="s">
        <v>12183</v>
      </c>
      <c r="U1003" s="15" t="s">
        <v>16525</v>
      </c>
      <c r="V1003" s="15" t="s">
        <v>16528</v>
      </c>
      <c r="W1003" s="15" t="s">
        <v>16529</v>
      </c>
      <c r="X1003" s="15" t="s">
        <v>7958</v>
      </c>
      <c r="Y1003" s="15" t="s">
        <v>78</v>
      </c>
      <c r="Z1003" s="15" t="s">
        <v>16530</v>
      </c>
      <c r="AA1003" s="15" t="s">
        <v>850</v>
      </c>
      <c r="AB1003" s="15" t="s">
        <v>851</v>
      </c>
      <c r="AC1003" s="15" t="s">
        <v>14445</v>
      </c>
      <c r="AD1003" s="15" t="s">
        <v>14445</v>
      </c>
      <c r="AE1003" s="15" t="s">
        <v>39</v>
      </c>
      <c r="AF1003" s="15" t="s">
        <v>16531</v>
      </c>
      <c r="AG1003" s="15" t="s">
        <v>39</v>
      </c>
      <c r="AH1003" s="15" t="s">
        <v>39</v>
      </c>
      <c r="AI1003" s="15" t="s">
        <v>16532</v>
      </c>
      <c r="AJ1003" s="15" t="s">
        <v>16533</v>
      </c>
      <c r="AK1003" s="15" t="s">
        <v>2191</v>
      </c>
      <c r="AL1003" s="15" t="s">
        <v>88</v>
      </c>
    </row>
    <row r="1004" spans="1:38" x14ac:dyDescent="0.4">
      <c r="A1004" s="11" t="s">
        <v>16534</v>
      </c>
      <c r="B1004" s="12" t="s">
        <v>16535</v>
      </c>
      <c r="C1004" s="13" t="s">
        <v>39</v>
      </c>
      <c r="D1004" s="13" t="s">
        <v>92</v>
      </c>
      <c r="E1004" s="13" t="s">
        <v>16536</v>
      </c>
      <c r="F1004" s="13" t="s">
        <v>2419</v>
      </c>
      <c r="G1004" s="13" t="s">
        <v>2419</v>
      </c>
      <c r="H1004" s="13" t="s">
        <v>16537</v>
      </c>
      <c r="I1004" s="9">
        <f t="shared" ca="1" si="15"/>
        <v>29</v>
      </c>
      <c r="J1004" s="13" t="s">
        <v>16538</v>
      </c>
      <c r="K1004" s="13" t="s">
        <v>425</v>
      </c>
      <c r="L1004" s="9" t="str">
        <f>VLOOKUP(K1004,[1]中国省份_标准!$B$2:$F$35,4,FALSE)</f>
        <v>东部地区</v>
      </c>
      <c r="M1004" s="9" t="str">
        <f>VLOOKUP(K1004,[1]中国省份_标准!$B$2:$F$35,5,FALSE)</f>
        <v>华东地区</v>
      </c>
      <c r="N1004" s="13" t="s">
        <v>426</v>
      </c>
      <c r="O1004" s="13" t="s">
        <v>427</v>
      </c>
      <c r="P1004" s="13" t="s">
        <v>16539</v>
      </c>
      <c r="Q1004" s="13" t="s">
        <v>16540</v>
      </c>
      <c r="R1004" s="13" t="s">
        <v>16541</v>
      </c>
      <c r="S1004" s="13" t="s">
        <v>16542</v>
      </c>
      <c r="T1004" s="13" t="s">
        <v>1815</v>
      </c>
      <c r="U1004" s="13" t="s">
        <v>16535</v>
      </c>
      <c r="V1004" s="13" t="s">
        <v>16543</v>
      </c>
      <c r="W1004" s="13" t="s">
        <v>16544</v>
      </c>
      <c r="X1004" s="13" t="s">
        <v>673</v>
      </c>
      <c r="Y1004" s="13" t="s">
        <v>78</v>
      </c>
      <c r="Z1004" s="13" t="s">
        <v>16545</v>
      </c>
      <c r="AA1004" s="13" t="s">
        <v>80</v>
      </c>
      <c r="AB1004" s="13" t="s">
        <v>106</v>
      </c>
      <c r="AC1004" s="13" t="s">
        <v>559</v>
      </c>
      <c r="AD1004" s="13" t="s">
        <v>39</v>
      </c>
      <c r="AE1004" s="13" t="s">
        <v>109</v>
      </c>
      <c r="AF1004" s="13" t="s">
        <v>16546</v>
      </c>
      <c r="AG1004" s="13" t="s">
        <v>39</v>
      </c>
      <c r="AH1004" s="13" t="s">
        <v>16547</v>
      </c>
      <c r="AI1004" s="13" t="s">
        <v>39</v>
      </c>
      <c r="AJ1004" s="13" t="s">
        <v>16548</v>
      </c>
      <c r="AK1004" s="13" t="s">
        <v>438</v>
      </c>
      <c r="AL1004" s="13" t="s">
        <v>88</v>
      </c>
    </row>
    <row r="1005" spans="1:38" x14ac:dyDescent="0.4">
      <c r="A1005" s="11" t="s">
        <v>16549</v>
      </c>
      <c r="B1005" s="14" t="s">
        <v>16550</v>
      </c>
      <c r="C1005" s="15" t="s">
        <v>39</v>
      </c>
      <c r="D1005" s="15" t="s">
        <v>63</v>
      </c>
      <c r="E1005" s="15" t="s">
        <v>16551</v>
      </c>
      <c r="F1005" s="15" t="s">
        <v>640</v>
      </c>
      <c r="G1005" s="15" t="s">
        <v>640</v>
      </c>
      <c r="H1005" s="15" t="s">
        <v>16552</v>
      </c>
      <c r="I1005" s="9">
        <f t="shared" ca="1" si="15"/>
        <v>19</v>
      </c>
      <c r="J1005" s="15" t="s">
        <v>16553</v>
      </c>
      <c r="K1005" s="15" t="s">
        <v>425</v>
      </c>
      <c r="L1005" s="9" t="str">
        <f>VLOOKUP(K1005,[1]中国省份_标准!$B$2:$F$35,4,FALSE)</f>
        <v>东部地区</v>
      </c>
      <c r="M1005" s="9" t="str">
        <f>VLOOKUP(K1005,[1]中国省份_标准!$B$2:$F$35,5,FALSE)</f>
        <v>华东地区</v>
      </c>
      <c r="N1005" s="15" t="s">
        <v>426</v>
      </c>
      <c r="O1005" s="15" t="s">
        <v>427</v>
      </c>
      <c r="P1005" s="15" t="s">
        <v>16554</v>
      </c>
      <c r="Q1005" s="15" t="s">
        <v>16555</v>
      </c>
      <c r="R1005" s="15" t="s">
        <v>16556</v>
      </c>
      <c r="S1005" s="15" t="s">
        <v>16557</v>
      </c>
      <c r="T1005" s="15" t="s">
        <v>48</v>
      </c>
      <c r="U1005" s="15" t="s">
        <v>16550</v>
      </c>
      <c r="V1005" s="15" t="s">
        <v>16558</v>
      </c>
      <c r="W1005" s="15" t="s">
        <v>16559</v>
      </c>
      <c r="X1005" s="15" t="s">
        <v>4544</v>
      </c>
      <c r="Y1005" s="15" t="s">
        <v>78</v>
      </c>
      <c r="Z1005" s="15" t="s">
        <v>16560</v>
      </c>
      <c r="AA1005" s="15" t="s">
        <v>850</v>
      </c>
      <c r="AB1005" s="15" t="s">
        <v>11570</v>
      </c>
      <c r="AC1005" s="15" t="s">
        <v>11571</v>
      </c>
      <c r="AD1005" s="15" t="s">
        <v>39</v>
      </c>
      <c r="AE1005" s="15" t="s">
        <v>109</v>
      </c>
      <c r="AF1005" s="15" t="s">
        <v>16561</v>
      </c>
      <c r="AG1005" s="15" t="s">
        <v>39</v>
      </c>
      <c r="AH1005" s="15" t="s">
        <v>16562</v>
      </c>
      <c r="AI1005" s="15" t="s">
        <v>16563</v>
      </c>
      <c r="AJ1005" s="15" t="s">
        <v>15660</v>
      </c>
      <c r="AK1005" s="15" t="s">
        <v>438</v>
      </c>
      <c r="AL1005" s="15" t="s">
        <v>88</v>
      </c>
    </row>
    <row r="1006" spans="1:38" x14ac:dyDescent="0.4">
      <c r="A1006" s="11" t="s">
        <v>16564</v>
      </c>
      <c r="B1006" s="12" t="s">
        <v>16565</v>
      </c>
      <c r="C1006" s="13" t="s">
        <v>16566</v>
      </c>
      <c r="D1006" s="13" t="s">
        <v>63</v>
      </c>
      <c r="E1006" s="13" t="s">
        <v>16567</v>
      </c>
      <c r="F1006" s="13" t="s">
        <v>178</v>
      </c>
      <c r="G1006" s="13" t="s">
        <v>271</v>
      </c>
      <c r="H1006" s="13" t="s">
        <v>16568</v>
      </c>
      <c r="I1006" s="9">
        <f t="shared" ca="1" si="15"/>
        <v>32</v>
      </c>
      <c r="J1006" s="13" t="s">
        <v>16569</v>
      </c>
      <c r="K1006" s="13" t="s">
        <v>425</v>
      </c>
      <c r="L1006" s="9" t="str">
        <f>VLOOKUP(K1006,[1]中国省份_标准!$B$2:$F$35,4,FALSE)</f>
        <v>东部地区</v>
      </c>
      <c r="M1006" s="9" t="str">
        <f>VLOOKUP(K1006,[1]中国省份_标准!$B$2:$F$35,5,FALSE)</f>
        <v>华东地区</v>
      </c>
      <c r="N1006" s="13" t="s">
        <v>964</v>
      </c>
      <c r="O1006" s="13" t="s">
        <v>16570</v>
      </c>
      <c r="P1006" s="13" t="s">
        <v>16571</v>
      </c>
      <c r="Q1006" s="13" t="s">
        <v>39</v>
      </c>
      <c r="R1006" s="13" t="s">
        <v>16572</v>
      </c>
      <c r="S1006" s="13" t="s">
        <v>16573</v>
      </c>
      <c r="T1006" s="13" t="s">
        <v>48</v>
      </c>
      <c r="U1006" s="13" t="s">
        <v>16565</v>
      </c>
      <c r="V1006" s="13" t="s">
        <v>16574</v>
      </c>
      <c r="W1006" s="13" t="s">
        <v>16575</v>
      </c>
      <c r="X1006" s="13" t="s">
        <v>5403</v>
      </c>
      <c r="Y1006" s="13" t="s">
        <v>78</v>
      </c>
      <c r="Z1006" s="13" t="s">
        <v>16576</v>
      </c>
      <c r="AA1006" s="13" t="s">
        <v>850</v>
      </c>
      <c r="AB1006" s="13" t="s">
        <v>11570</v>
      </c>
      <c r="AC1006" s="13" t="s">
        <v>11571</v>
      </c>
      <c r="AD1006" s="13" t="s">
        <v>39</v>
      </c>
      <c r="AE1006" s="13" t="s">
        <v>55</v>
      </c>
      <c r="AF1006" s="13" t="s">
        <v>16577</v>
      </c>
      <c r="AG1006" s="13" t="s">
        <v>16578</v>
      </c>
      <c r="AH1006" s="13" t="s">
        <v>39</v>
      </c>
      <c r="AI1006" s="13" t="s">
        <v>16579</v>
      </c>
      <c r="AJ1006" s="13" t="s">
        <v>16580</v>
      </c>
      <c r="AK1006" s="13" t="s">
        <v>16581</v>
      </c>
      <c r="AL1006" s="13" t="s">
        <v>88</v>
      </c>
    </row>
    <row r="1007" spans="1:38" x14ac:dyDescent="0.4">
      <c r="A1007" s="11" t="s">
        <v>16582</v>
      </c>
      <c r="B1007" s="14" t="s">
        <v>16583</v>
      </c>
      <c r="C1007" s="15" t="s">
        <v>16584</v>
      </c>
      <c r="D1007" s="15" t="s">
        <v>92</v>
      </c>
      <c r="E1007" s="15" t="s">
        <v>16585</v>
      </c>
      <c r="F1007" s="15" t="s">
        <v>2862</v>
      </c>
      <c r="G1007" s="15" t="s">
        <v>2862</v>
      </c>
      <c r="H1007" s="15" t="s">
        <v>16586</v>
      </c>
      <c r="I1007" s="9">
        <f t="shared" ca="1" si="15"/>
        <v>22</v>
      </c>
      <c r="J1007" s="15" t="s">
        <v>16587</v>
      </c>
      <c r="K1007" s="15" t="s">
        <v>425</v>
      </c>
      <c r="L1007" s="9" t="str">
        <f>VLOOKUP(K1007,[1]中国省份_标准!$B$2:$F$35,4,FALSE)</f>
        <v>东部地区</v>
      </c>
      <c r="M1007" s="9" t="str">
        <f>VLOOKUP(K1007,[1]中国省份_标准!$B$2:$F$35,5,FALSE)</f>
        <v>华东地区</v>
      </c>
      <c r="N1007" s="15" t="s">
        <v>426</v>
      </c>
      <c r="O1007" s="15" t="s">
        <v>2286</v>
      </c>
      <c r="P1007" s="15" t="s">
        <v>16588</v>
      </c>
      <c r="Q1007" s="15" t="s">
        <v>16589</v>
      </c>
      <c r="R1007" s="15" t="s">
        <v>16590</v>
      </c>
      <c r="S1007" s="15" t="s">
        <v>16591</v>
      </c>
      <c r="T1007" s="15" t="s">
        <v>209</v>
      </c>
      <c r="U1007" s="15" t="s">
        <v>16583</v>
      </c>
      <c r="V1007" s="15" t="s">
        <v>16592</v>
      </c>
      <c r="W1007" s="15" t="s">
        <v>16593</v>
      </c>
      <c r="X1007" s="15" t="s">
        <v>2771</v>
      </c>
      <c r="Y1007" s="15" t="s">
        <v>78</v>
      </c>
      <c r="Z1007" s="15" t="s">
        <v>16594</v>
      </c>
      <c r="AA1007" s="15" t="s">
        <v>850</v>
      </c>
      <c r="AB1007" s="15" t="s">
        <v>7495</v>
      </c>
      <c r="AC1007" s="15" t="s">
        <v>7496</v>
      </c>
      <c r="AD1007" s="15" t="s">
        <v>7497</v>
      </c>
      <c r="AE1007" s="15" t="s">
        <v>55</v>
      </c>
      <c r="AF1007" s="15" t="s">
        <v>16595</v>
      </c>
      <c r="AG1007" s="15" t="s">
        <v>16596</v>
      </c>
      <c r="AH1007" s="15" t="s">
        <v>16597</v>
      </c>
      <c r="AI1007" s="15" t="s">
        <v>16598</v>
      </c>
      <c r="AJ1007" s="15" t="s">
        <v>16599</v>
      </c>
      <c r="AK1007" s="15" t="s">
        <v>2297</v>
      </c>
      <c r="AL1007" s="15" t="s">
        <v>88</v>
      </c>
    </row>
    <row r="1008" spans="1:38" x14ac:dyDescent="0.4">
      <c r="A1008" s="11" t="s">
        <v>16600</v>
      </c>
      <c r="B1008" s="12" t="s">
        <v>16601</v>
      </c>
      <c r="C1008" s="13" t="s">
        <v>39</v>
      </c>
      <c r="D1008" s="13" t="s">
        <v>63</v>
      </c>
      <c r="E1008" s="13" t="s">
        <v>16602</v>
      </c>
      <c r="F1008" s="13" t="s">
        <v>39</v>
      </c>
      <c r="G1008" s="13" t="s">
        <v>39</v>
      </c>
      <c r="H1008" s="13" t="s">
        <v>16603</v>
      </c>
      <c r="I1008" s="9">
        <f t="shared" ca="1" si="15"/>
        <v>18</v>
      </c>
      <c r="J1008" s="13" t="s">
        <v>16604</v>
      </c>
      <c r="K1008" s="13" t="s">
        <v>425</v>
      </c>
      <c r="L1008" s="9" t="str">
        <f>VLOOKUP(K1008,[1]中国省份_标准!$B$2:$F$35,4,FALSE)</f>
        <v>东部地区</v>
      </c>
      <c r="M1008" s="9" t="str">
        <f>VLOOKUP(K1008,[1]中国省份_标准!$B$2:$F$35,5,FALSE)</f>
        <v>华东地区</v>
      </c>
      <c r="N1008" s="13" t="s">
        <v>5738</v>
      </c>
      <c r="O1008" s="13" t="s">
        <v>7995</v>
      </c>
      <c r="P1008" s="13" t="s">
        <v>16605</v>
      </c>
      <c r="Q1008" s="13" t="s">
        <v>39</v>
      </c>
      <c r="R1008" s="13" t="s">
        <v>16606</v>
      </c>
      <c r="S1008" s="13" t="s">
        <v>39</v>
      </c>
      <c r="T1008" s="13" t="s">
        <v>143</v>
      </c>
      <c r="U1008" s="13" t="s">
        <v>16601</v>
      </c>
      <c r="V1008" s="13" t="s">
        <v>16607</v>
      </c>
      <c r="W1008" s="13" t="s">
        <v>16608</v>
      </c>
      <c r="X1008" s="13" t="s">
        <v>77</v>
      </c>
      <c r="Y1008" s="13" t="s">
        <v>78</v>
      </c>
      <c r="Z1008" s="13" t="s">
        <v>16609</v>
      </c>
      <c r="AA1008" s="13" t="s">
        <v>850</v>
      </c>
      <c r="AB1008" s="13" t="s">
        <v>7495</v>
      </c>
      <c r="AC1008" s="13" t="s">
        <v>7496</v>
      </c>
      <c r="AD1008" s="13" t="s">
        <v>7497</v>
      </c>
      <c r="AE1008" s="13" t="s">
        <v>39</v>
      </c>
      <c r="AF1008" s="13" t="s">
        <v>16610</v>
      </c>
      <c r="AG1008" s="13" t="s">
        <v>39</v>
      </c>
      <c r="AH1008" s="13" t="s">
        <v>16611</v>
      </c>
      <c r="AI1008" s="13" t="s">
        <v>16612</v>
      </c>
      <c r="AJ1008" s="13" t="s">
        <v>16613</v>
      </c>
      <c r="AK1008" s="13" t="s">
        <v>16614</v>
      </c>
      <c r="AL1008" s="13" t="s">
        <v>88</v>
      </c>
    </row>
    <row r="1009" spans="1:38" x14ac:dyDescent="0.4">
      <c r="A1009" s="11" t="s">
        <v>16615</v>
      </c>
      <c r="B1009" s="14" t="s">
        <v>16616</v>
      </c>
      <c r="C1009" s="15" t="s">
        <v>39</v>
      </c>
      <c r="D1009" s="15" t="s">
        <v>63</v>
      </c>
      <c r="E1009" s="15" t="s">
        <v>16617</v>
      </c>
      <c r="F1009" s="15" t="s">
        <v>16618</v>
      </c>
      <c r="G1009" s="15" t="s">
        <v>16618</v>
      </c>
      <c r="H1009" s="15" t="s">
        <v>16619</v>
      </c>
      <c r="I1009" s="9">
        <f t="shared" ca="1" si="15"/>
        <v>19</v>
      </c>
      <c r="J1009" s="15" t="s">
        <v>16620</v>
      </c>
      <c r="K1009" s="15" t="s">
        <v>67</v>
      </c>
      <c r="L1009" s="9" t="str">
        <f>VLOOKUP(K1009,[1]中国省份_标准!$B$2:$F$35,4,FALSE)</f>
        <v>东部地区</v>
      </c>
      <c r="M1009" s="9" t="str">
        <f>VLOOKUP(K1009,[1]中国省份_标准!$B$2:$F$35,5,FALSE)</f>
        <v>华东地区</v>
      </c>
      <c r="N1009" s="15" t="s">
        <v>2164</v>
      </c>
      <c r="O1009" s="15" t="s">
        <v>2165</v>
      </c>
      <c r="P1009" s="15" t="s">
        <v>16621</v>
      </c>
      <c r="Q1009" s="15" t="s">
        <v>16622</v>
      </c>
      <c r="R1009" s="15" t="s">
        <v>16623</v>
      </c>
      <c r="S1009" s="15" t="s">
        <v>16624</v>
      </c>
      <c r="T1009" s="15" t="s">
        <v>452</v>
      </c>
      <c r="U1009" s="15" t="s">
        <v>16616</v>
      </c>
      <c r="V1009" s="15" t="s">
        <v>16625</v>
      </c>
      <c r="W1009" s="15" t="s">
        <v>16626</v>
      </c>
      <c r="X1009" s="15" t="s">
        <v>2566</v>
      </c>
      <c r="Y1009" s="15" t="s">
        <v>78</v>
      </c>
      <c r="Z1009" s="15" t="s">
        <v>16627</v>
      </c>
      <c r="AA1009" s="15" t="s">
        <v>850</v>
      </c>
      <c r="AB1009" s="15" t="s">
        <v>851</v>
      </c>
      <c r="AC1009" s="15" t="s">
        <v>14445</v>
      </c>
      <c r="AD1009" s="15" t="s">
        <v>14445</v>
      </c>
      <c r="AE1009" s="15" t="s">
        <v>55</v>
      </c>
      <c r="AF1009" s="15" t="s">
        <v>16628</v>
      </c>
      <c r="AG1009" s="15" t="s">
        <v>39</v>
      </c>
      <c r="AH1009" s="15" t="s">
        <v>39</v>
      </c>
      <c r="AI1009" s="15" t="s">
        <v>16629</v>
      </c>
      <c r="AJ1009" s="15" t="s">
        <v>16630</v>
      </c>
      <c r="AK1009" s="15" t="s">
        <v>2177</v>
      </c>
      <c r="AL1009" s="15" t="s">
        <v>88</v>
      </c>
    </row>
    <row r="1010" spans="1:38" x14ac:dyDescent="0.4">
      <c r="A1010" s="11" t="s">
        <v>16631</v>
      </c>
      <c r="B1010" s="12" t="s">
        <v>16632</v>
      </c>
      <c r="C1010" s="13" t="s">
        <v>39</v>
      </c>
      <c r="D1010" s="13" t="s">
        <v>63</v>
      </c>
      <c r="E1010" s="13" t="s">
        <v>16633</v>
      </c>
      <c r="F1010" s="13" t="s">
        <v>640</v>
      </c>
      <c r="G1010" s="13" t="s">
        <v>1235</v>
      </c>
      <c r="H1010" s="13" t="s">
        <v>16634</v>
      </c>
      <c r="I1010" s="9">
        <f t="shared" ca="1" si="15"/>
        <v>10</v>
      </c>
      <c r="J1010" s="13" t="s">
        <v>16635</v>
      </c>
      <c r="K1010" s="13" t="s">
        <v>67</v>
      </c>
      <c r="L1010" s="9" t="str">
        <f>VLOOKUP(K1010,[1]中国省份_标准!$B$2:$F$35,4,FALSE)</f>
        <v>东部地区</v>
      </c>
      <c r="M1010" s="9" t="str">
        <f>VLOOKUP(K1010,[1]中国省份_标准!$B$2:$F$35,5,FALSE)</f>
        <v>华东地区</v>
      </c>
      <c r="N1010" s="13" t="s">
        <v>2164</v>
      </c>
      <c r="O1010" s="13" t="s">
        <v>14884</v>
      </c>
      <c r="P1010" s="13" t="s">
        <v>16636</v>
      </c>
      <c r="Q1010" s="13" t="s">
        <v>16637</v>
      </c>
      <c r="R1010" s="13" t="s">
        <v>16638</v>
      </c>
      <c r="S1010" s="13" t="s">
        <v>16639</v>
      </c>
      <c r="T1010" s="13" t="s">
        <v>48</v>
      </c>
      <c r="U1010" s="13" t="s">
        <v>16632</v>
      </c>
      <c r="V1010" s="13" t="s">
        <v>16640</v>
      </c>
      <c r="W1010" s="13" t="s">
        <v>16641</v>
      </c>
      <c r="X1010" s="13" t="s">
        <v>1777</v>
      </c>
      <c r="Y1010" s="13" t="s">
        <v>78</v>
      </c>
      <c r="Z1010" s="13" t="s">
        <v>16642</v>
      </c>
      <c r="AA1010" s="13" t="s">
        <v>850</v>
      </c>
      <c r="AB1010" s="13" t="s">
        <v>7495</v>
      </c>
      <c r="AC1010" s="13" t="s">
        <v>7496</v>
      </c>
      <c r="AD1010" s="13" t="s">
        <v>8961</v>
      </c>
      <c r="AE1010" s="13" t="s">
        <v>55</v>
      </c>
      <c r="AF1010" s="13" t="s">
        <v>16643</v>
      </c>
      <c r="AG1010" s="13" t="s">
        <v>39</v>
      </c>
      <c r="AH1010" s="13" t="s">
        <v>39</v>
      </c>
      <c r="AI1010" s="13" t="s">
        <v>16644</v>
      </c>
      <c r="AJ1010" s="13" t="s">
        <v>16645</v>
      </c>
      <c r="AK1010" s="13" t="s">
        <v>14896</v>
      </c>
      <c r="AL1010" s="13" t="s">
        <v>88</v>
      </c>
    </row>
    <row r="1011" spans="1:38" x14ac:dyDescent="0.4">
      <c r="A1011" s="11" t="s">
        <v>16646</v>
      </c>
      <c r="B1011" s="14" t="s">
        <v>16647</v>
      </c>
      <c r="C1011" s="15" t="s">
        <v>39</v>
      </c>
      <c r="D1011" s="15" t="s">
        <v>92</v>
      </c>
      <c r="E1011" s="15" t="s">
        <v>16648</v>
      </c>
      <c r="F1011" s="15" t="s">
        <v>16649</v>
      </c>
      <c r="G1011" s="15" t="s">
        <v>16649</v>
      </c>
      <c r="H1011" s="15" t="s">
        <v>16650</v>
      </c>
      <c r="I1011" s="9">
        <f t="shared" ca="1" si="15"/>
        <v>21</v>
      </c>
      <c r="J1011" s="15" t="s">
        <v>16651</v>
      </c>
      <c r="K1011" s="15" t="s">
        <v>425</v>
      </c>
      <c r="L1011" s="9" t="str">
        <f>VLOOKUP(K1011,[1]中国省份_标准!$B$2:$F$35,4,FALSE)</f>
        <v>东部地区</v>
      </c>
      <c r="M1011" s="9" t="str">
        <f>VLOOKUP(K1011,[1]中国省份_标准!$B$2:$F$35,5,FALSE)</f>
        <v>华东地区</v>
      </c>
      <c r="N1011" s="15" t="s">
        <v>426</v>
      </c>
      <c r="O1011" s="15" t="s">
        <v>427</v>
      </c>
      <c r="P1011" s="15" t="s">
        <v>16652</v>
      </c>
      <c r="Q1011" s="15" t="s">
        <v>39</v>
      </c>
      <c r="R1011" s="15" t="s">
        <v>16653</v>
      </c>
      <c r="S1011" s="15" t="s">
        <v>39</v>
      </c>
      <c r="T1011" s="15" t="s">
        <v>601</v>
      </c>
      <c r="U1011" s="15" t="s">
        <v>16647</v>
      </c>
      <c r="V1011" s="15" t="s">
        <v>16654</v>
      </c>
      <c r="W1011" s="15" t="s">
        <v>16655</v>
      </c>
      <c r="X1011" s="15" t="s">
        <v>16656</v>
      </c>
      <c r="Y1011" s="15" t="s">
        <v>78</v>
      </c>
      <c r="Z1011" s="15" t="s">
        <v>16657</v>
      </c>
      <c r="AA1011" s="15" t="s">
        <v>169</v>
      </c>
      <c r="AB1011" s="15" t="s">
        <v>285</v>
      </c>
      <c r="AC1011" s="15" t="s">
        <v>712</v>
      </c>
      <c r="AD1011" s="15" t="s">
        <v>39</v>
      </c>
      <c r="AE1011" s="15" t="s">
        <v>55</v>
      </c>
      <c r="AF1011" s="15" t="s">
        <v>16658</v>
      </c>
      <c r="AG1011" s="15" t="s">
        <v>39</v>
      </c>
      <c r="AH1011" s="15" t="s">
        <v>39</v>
      </c>
      <c r="AI1011" s="15" t="s">
        <v>16659</v>
      </c>
      <c r="AJ1011" s="15" t="s">
        <v>16660</v>
      </c>
      <c r="AK1011" s="15" t="s">
        <v>16661</v>
      </c>
      <c r="AL1011" s="15" t="s">
        <v>88</v>
      </c>
    </row>
    <row r="1012" spans="1:38" x14ac:dyDescent="0.4">
      <c r="A1012" s="11" t="s">
        <v>16662</v>
      </c>
      <c r="B1012" s="12" t="s">
        <v>16663</v>
      </c>
      <c r="C1012" s="13" t="s">
        <v>16664</v>
      </c>
      <c r="D1012" s="13" t="s">
        <v>92</v>
      </c>
      <c r="E1012" s="13" t="s">
        <v>16665</v>
      </c>
      <c r="F1012" s="13" t="s">
        <v>999</v>
      </c>
      <c r="G1012" s="13" t="s">
        <v>999</v>
      </c>
      <c r="H1012" s="13" t="s">
        <v>16666</v>
      </c>
      <c r="I1012" s="9">
        <f t="shared" ca="1" si="15"/>
        <v>25</v>
      </c>
      <c r="J1012" s="13" t="s">
        <v>16667</v>
      </c>
      <c r="K1012" s="13" t="s">
        <v>425</v>
      </c>
      <c r="L1012" s="9" t="str">
        <f>VLOOKUP(K1012,[1]中国省份_标准!$B$2:$F$35,4,FALSE)</f>
        <v>东部地区</v>
      </c>
      <c r="M1012" s="9" t="str">
        <f>VLOOKUP(K1012,[1]中国省份_标准!$B$2:$F$35,5,FALSE)</f>
        <v>华东地区</v>
      </c>
      <c r="N1012" s="13" t="s">
        <v>426</v>
      </c>
      <c r="O1012" s="13" t="s">
        <v>16668</v>
      </c>
      <c r="P1012" s="13" t="s">
        <v>16669</v>
      </c>
      <c r="Q1012" s="13" t="s">
        <v>39</v>
      </c>
      <c r="R1012" s="13" t="s">
        <v>16670</v>
      </c>
      <c r="S1012" s="13" t="s">
        <v>39</v>
      </c>
      <c r="T1012" s="13" t="s">
        <v>48</v>
      </c>
      <c r="U1012" s="13" t="s">
        <v>16663</v>
      </c>
      <c r="V1012" s="13" t="s">
        <v>16671</v>
      </c>
      <c r="W1012" s="13" t="s">
        <v>16672</v>
      </c>
      <c r="X1012" s="13" t="s">
        <v>16673</v>
      </c>
      <c r="Y1012" s="13" t="s">
        <v>78</v>
      </c>
      <c r="Z1012" s="13" t="s">
        <v>16674</v>
      </c>
      <c r="AA1012" s="13" t="s">
        <v>169</v>
      </c>
      <c r="AB1012" s="13" t="s">
        <v>285</v>
      </c>
      <c r="AC1012" s="13" t="s">
        <v>39</v>
      </c>
      <c r="AD1012" s="13" t="s">
        <v>39</v>
      </c>
      <c r="AE1012" s="13" t="s">
        <v>55</v>
      </c>
      <c r="AF1012" s="13" t="s">
        <v>16675</v>
      </c>
      <c r="AG1012" s="13" t="s">
        <v>16676</v>
      </c>
      <c r="AH1012" s="13" t="s">
        <v>39</v>
      </c>
      <c r="AI1012" s="13" t="s">
        <v>16677</v>
      </c>
      <c r="AJ1012" s="13" t="s">
        <v>16678</v>
      </c>
      <c r="AK1012" s="13" t="s">
        <v>16679</v>
      </c>
      <c r="AL1012" s="13" t="s">
        <v>88</v>
      </c>
    </row>
    <row r="1013" spans="1:38" x14ac:dyDescent="0.4">
      <c r="A1013" s="11" t="s">
        <v>16680</v>
      </c>
      <c r="B1013" s="14" t="s">
        <v>16681</v>
      </c>
      <c r="C1013" s="15" t="s">
        <v>39</v>
      </c>
      <c r="D1013" s="15" t="s">
        <v>92</v>
      </c>
      <c r="E1013" s="15" t="s">
        <v>16682</v>
      </c>
      <c r="F1013" s="15" t="s">
        <v>16683</v>
      </c>
      <c r="G1013" s="15" t="s">
        <v>16683</v>
      </c>
      <c r="H1013" s="15" t="s">
        <v>16684</v>
      </c>
      <c r="I1013" s="9">
        <f t="shared" ca="1" si="15"/>
        <v>19</v>
      </c>
      <c r="J1013" s="15" t="s">
        <v>16685</v>
      </c>
      <c r="K1013" s="15" t="s">
        <v>425</v>
      </c>
      <c r="L1013" s="9" t="str">
        <f>VLOOKUP(K1013,[1]中国省份_标准!$B$2:$F$35,4,FALSE)</f>
        <v>东部地区</v>
      </c>
      <c r="M1013" s="9" t="str">
        <f>VLOOKUP(K1013,[1]中国省份_标准!$B$2:$F$35,5,FALSE)</f>
        <v>华东地区</v>
      </c>
      <c r="N1013" s="15" t="s">
        <v>426</v>
      </c>
      <c r="O1013" s="15" t="s">
        <v>3230</v>
      </c>
      <c r="P1013" s="15" t="s">
        <v>16686</v>
      </c>
      <c r="Q1013" s="15" t="s">
        <v>16687</v>
      </c>
      <c r="R1013" s="15" t="s">
        <v>16688</v>
      </c>
      <c r="S1013" s="15" t="s">
        <v>16689</v>
      </c>
      <c r="T1013" s="15" t="s">
        <v>601</v>
      </c>
      <c r="U1013" s="15" t="s">
        <v>16681</v>
      </c>
      <c r="V1013" s="15" t="s">
        <v>16690</v>
      </c>
      <c r="W1013" s="15" t="s">
        <v>16691</v>
      </c>
      <c r="X1013" s="15" t="s">
        <v>5540</v>
      </c>
      <c r="Y1013" s="15" t="s">
        <v>78</v>
      </c>
      <c r="Z1013" s="15" t="s">
        <v>16692</v>
      </c>
      <c r="AA1013" s="15" t="s">
        <v>169</v>
      </c>
      <c r="AB1013" s="15" t="s">
        <v>1706</v>
      </c>
      <c r="AC1013" s="15" t="s">
        <v>5635</v>
      </c>
      <c r="AD1013" s="15" t="s">
        <v>5636</v>
      </c>
      <c r="AE1013" s="15" t="s">
        <v>55</v>
      </c>
      <c r="AF1013" s="15" t="s">
        <v>16693</v>
      </c>
      <c r="AG1013" s="15" t="s">
        <v>16694</v>
      </c>
      <c r="AH1013" s="15" t="s">
        <v>39</v>
      </c>
      <c r="AI1013" s="15" t="s">
        <v>16695</v>
      </c>
      <c r="AJ1013" s="15" t="s">
        <v>16696</v>
      </c>
      <c r="AK1013" s="15" t="s">
        <v>16697</v>
      </c>
      <c r="AL1013" s="15" t="s">
        <v>88</v>
      </c>
    </row>
    <row r="1014" spans="1:38" x14ac:dyDescent="0.4">
      <c r="A1014" s="11" t="s">
        <v>16698</v>
      </c>
      <c r="B1014" s="12" t="s">
        <v>16699</v>
      </c>
      <c r="C1014" s="13" t="s">
        <v>39</v>
      </c>
      <c r="D1014" s="13" t="s">
        <v>92</v>
      </c>
      <c r="E1014" s="13" t="s">
        <v>16700</v>
      </c>
      <c r="F1014" s="13" t="s">
        <v>640</v>
      </c>
      <c r="G1014" s="13" t="s">
        <v>12739</v>
      </c>
      <c r="H1014" s="13" t="s">
        <v>16701</v>
      </c>
      <c r="I1014" s="9">
        <f t="shared" ca="1" si="15"/>
        <v>17</v>
      </c>
      <c r="J1014" s="13" t="s">
        <v>16702</v>
      </c>
      <c r="K1014" s="13" t="s">
        <v>425</v>
      </c>
      <c r="L1014" s="9" t="str">
        <f>VLOOKUP(K1014,[1]中国省份_标准!$B$2:$F$35,4,FALSE)</f>
        <v>东部地区</v>
      </c>
      <c r="M1014" s="9" t="str">
        <f>VLOOKUP(K1014,[1]中国省份_标准!$B$2:$F$35,5,FALSE)</f>
        <v>华东地区</v>
      </c>
      <c r="N1014" s="13" t="s">
        <v>3013</v>
      </c>
      <c r="O1014" s="13" t="s">
        <v>14237</v>
      </c>
      <c r="P1014" s="13" t="s">
        <v>16703</v>
      </c>
      <c r="Q1014" s="13" t="s">
        <v>16704</v>
      </c>
      <c r="R1014" s="13" t="s">
        <v>16705</v>
      </c>
      <c r="S1014" s="13" t="s">
        <v>16706</v>
      </c>
      <c r="T1014" s="13" t="s">
        <v>281</v>
      </c>
      <c r="U1014" s="13" t="s">
        <v>16699</v>
      </c>
      <c r="V1014" s="13" t="s">
        <v>16707</v>
      </c>
      <c r="W1014" s="13" t="s">
        <v>16708</v>
      </c>
      <c r="X1014" s="13" t="s">
        <v>2491</v>
      </c>
      <c r="Y1014" s="13" t="s">
        <v>78</v>
      </c>
      <c r="Z1014" s="13" t="s">
        <v>16709</v>
      </c>
      <c r="AA1014" s="13" t="s">
        <v>169</v>
      </c>
      <c r="AB1014" s="13" t="s">
        <v>285</v>
      </c>
      <c r="AC1014" s="13" t="s">
        <v>479</v>
      </c>
      <c r="AD1014" s="13" t="s">
        <v>480</v>
      </c>
      <c r="AE1014" s="13" t="s">
        <v>55</v>
      </c>
      <c r="AF1014" s="13" t="s">
        <v>16710</v>
      </c>
      <c r="AG1014" s="13" t="s">
        <v>39</v>
      </c>
      <c r="AH1014" s="13" t="s">
        <v>39</v>
      </c>
      <c r="AI1014" s="13" t="s">
        <v>16711</v>
      </c>
      <c r="AJ1014" s="13" t="s">
        <v>16712</v>
      </c>
      <c r="AK1014" s="13" t="s">
        <v>16713</v>
      </c>
      <c r="AL1014" s="13" t="s">
        <v>88</v>
      </c>
    </row>
    <row r="1015" spans="1:38" x14ac:dyDescent="0.4">
      <c r="A1015" s="11" t="s">
        <v>16714</v>
      </c>
      <c r="B1015" s="14" t="s">
        <v>16715</v>
      </c>
      <c r="C1015" s="15" t="s">
        <v>39</v>
      </c>
      <c r="D1015" s="15" t="s">
        <v>63</v>
      </c>
      <c r="E1015" s="15" t="s">
        <v>16716</v>
      </c>
      <c r="F1015" s="15" t="s">
        <v>640</v>
      </c>
      <c r="G1015" s="15" t="s">
        <v>640</v>
      </c>
      <c r="H1015" s="15" t="s">
        <v>16717</v>
      </c>
      <c r="I1015" s="9">
        <f t="shared" ca="1" si="15"/>
        <v>7</v>
      </c>
      <c r="J1015" s="15" t="s">
        <v>16718</v>
      </c>
      <c r="K1015" s="15" t="s">
        <v>425</v>
      </c>
      <c r="L1015" s="9" t="str">
        <f>VLOOKUP(K1015,[1]中国省份_标准!$B$2:$F$35,4,FALSE)</f>
        <v>东部地区</v>
      </c>
      <c r="M1015" s="9" t="str">
        <f>VLOOKUP(K1015,[1]中国省份_标准!$B$2:$F$35,5,FALSE)</f>
        <v>华东地区</v>
      </c>
      <c r="N1015" s="15" t="s">
        <v>3013</v>
      </c>
      <c r="O1015" s="15" t="s">
        <v>4879</v>
      </c>
      <c r="P1015" s="15" t="s">
        <v>16719</v>
      </c>
      <c r="Q1015" s="15" t="s">
        <v>39</v>
      </c>
      <c r="R1015" s="15" t="s">
        <v>16720</v>
      </c>
      <c r="S1015" s="15" t="s">
        <v>39</v>
      </c>
      <c r="T1015" s="15" t="s">
        <v>281</v>
      </c>
      <c r="U1015" s="15" t="s">
        <v>16715</v>
      </c>
      <c r="V1015" s="15" t="s">
        <v>16721</v>
      </c>
      <c r="W1015" s="15" t="s">
        <v>16722</v>
      </c>
      <c r="X1015" s="15" t="s">
        <v>7958</v>
      </c>
      <c r="Y1015" s="15" t="s">
        <v>78</v>
      </c>
      <c r="Z1015" s="15" t="s">
        <v>16723</v>
      </c>
      <c r="AA1015" s="15" t="s">
        <v>169</v>
      </c>
      <c r="AB1015" s="15" t="s">
        <v>1706</v>
      </c>
      <c r="AC1015" s="15" t="s">
        <v>5635</v>
      </c>
      <c r="AD1015" s="15" t="s">
        <v>5636</v>
      </c>
      <c r="AE1015" s="15" t="s">
        <v>55</v>
      </c>
      <c r="AF1015" s="15" t="s">
        <v>16724</v>
      </c>
      <c r="AG1015" s="15" t="s">
        <v>39</v>
      </c>
      <c r="AH1015" s="15" t="s">
        <v>39</v>
      </c>
      <c r="AI1015" s="15" t="s">
        <v>16725</v>
      </c>
      <c r="AJ1015" s="15" t="s">
        <v>16726</v>
      </c>
      <c r="AK1015" s="15" t="s">
        <v>16727</v>
      </c>
      <c r="AL1015" s="15" t="s">
        <v>88</v>
      </c>
    </row>
    <row r="1016" spans="1:38" x14ac:dyDescent="0.4">
      <c r="A1016" s="11" t="s">
        <v>16728</v>
      </c>
      <c r="B1016" s="12" t="s">
        <v>16729</v>
      </c>
      <c r="C1016" s="13" t="s">
        <v>16730</v>
      </c>
      <c r="D1016" s="13" t="s">
        <v>63</v>
      </c>
      <c r="E1016" s="13" t="s">
        <v>16731</v>
      </c>
      <c r="F1016" s="13" t="s">
        <v>16732</v>
      </c>
      <c r="G1016" s="13" t="s">
        <v>16732</v>
      </c>
      <c r="H1016" s="13" t="s">
        <v>16733</v>
      </c>
      <c r="I1016" s="9">
        <f t="shared" ca="1" si="15"/>
        <v>33</v>
      </c>
      <c r="J1016" s="13" t="s">
        <v>16734</v>
      </c>
      <c r="K1016" s="13" t="s">
        <v>425</v>
      </c>
      <c r="L1016" s="9" t="str">
        <f>VLOOKUP(K1016,[1]中国省份_标准!$B$2:$F$35,4,FALSE)</f>
        <v>东部地区</v>
      </c>
      <c r="M1016" s="9" t="str">
        <f>VLOOKUP(K1016,[1]中国省份_标准!$B$2:$F$35,5,FALSE)</f>
        <v>华东地区</v>
      </c>
      <c r="N1016" s="13" t="s">
        <v>3013</v>
      </c>
      <c r="O1016" s="13" t="s">
        <v>3014</v>
      </c>
      <c r="P1016" s="13" t="s">
        <v>16735</v>
      </c>
      <c r="Q1016" s="13" t="s">
        <v>16736</v>
      </c>
      <c r="R1016" s="13" t="s">
        <v>16737</v>
      </c>
      <c r="S1016" s="13" t="s">
        <v>39</v>
      </c>
      <c r="T1016" s="13" t="s">
        <v>48</v>
      </c>
      <c r="U1016" s="13" t="s">
        <v>16729</v>
      </c>
      <c r="V1016" s="13" t="s">
        <v>16738</v>
      </c>
      <c r="W1016" s="13" t="s">
        <v>16739</v>
      </c>
      <c r="X1016" s="13" t="s">
        <v>2491</v>
      </c>
      <c r="Y1016" s="13" t="s">
        <v>78</v>
      </c>
      <c r="Z1016" s="13" t="s">
        <v>16740</v>
      </c>
      <c r="AA1016" s="13" t="s">
        <v>169</v>
      </c>
      <c r="AB1016" s="13" t="s">
        <v>285</v>
      </c>
      <c r="AC1016" s="13" t="s">
        <v>39</v>
      </c>
      <c r="AD1016" s="13" t="s">
        <v>39</v>
      </c>
      <c r="AE1016" s="13" t="s">
        <v>55</v>
      </c>
      <c r="AF1016" s="13" t="s">
        <v>16741</v>
      </c>
      <c r="AG1016" s="13" t="s">
        <v>39</v>
      </c>
      <c r="AH1016" s="13" t="s">
        <v>39</v>
      </c>
      <c r="AI1016" s="13" t="s">
        <v>16742</v>
      </c>
      <c r="AJ1016" s="13" t="s">
        <v>16743</v>
      </c>
      <c r="AK1016" s="13" t="s">
        <v>11005</v>
      </c>
      <c r="AL1016" s="13" t="s">
        <v>88</v>
      </c>
    </row>
    <row r="1017" spans="1:38" x14ac:dyDescent="0.4">
      <c r="A1017" s="11" t="s">
        <v>16744</v>
      </c>
      <c r="B1017" s="14" t="s">
        <v>16745</v>
      </c>
      <c r="C1017" s="15" t="s">
        <v>16746</v>
      </c>
      <c r="D1017" s="15" t="s">
        <v>63</v>
      </c>
      <c r="E1017" s="15" t="s">
        <v>16747</v>
      </c>
      <c r="F1017" s="15" t="s">
        <v>1235</v>
      </c>
      <c r="G1017" s="15" t="s">
        <v>1235</v>
      </c>
      <c r="H1017" s="15" t="s">
        <v>16748</v>
      </c>
      <c r="I1017" s="9">
        <f t="shared" ca="1" si="15"/>
        <v>21</v>
      </c>
      <c r="J1017" s="15" t="s">
        <v>16749</v>
      </c>
      <c r="K1017" s="15" t="s">
        <v>425</v>
      </c>
      <c r="L1017" s="9" t="str">
        <f>VLOOKUP(K1017,[1]中国省份_标准!$B$2:$F$35,4,FALSE)</f>
        <v>东部地区</v>
      </c>
      <c r="M1017" s="9" t="str">
        <f>VLOOKUP(K1017,[1]中国省份_标准!$B$2:$F$35,5,FALSE)</f>
        <v>华东地区</v>
      </c>
      <c r="N1017" s="15" t="s">
        <v>3013</v>
      </c>
      <c r="O1017" s="15" t="s">
        <v>3014</v>
      </c>
      <c r="P1017" s="15" t="s">
        <v>16750</v>
      </c>
      <c r="Q1017" s="15" t="s">
        <v>16751</v>
      </c>
      <c r="R1017" s="15" t="s">
        <v>16752</v>
      </c>
      <c r="S1017" s="15" t="s">
        <v>39</v>
      </c>
      <c r="T1017" s="15" t="s">
        <v>48</v>
      </c>
      <c r="U1017" s="15" t="s">
        <v>16745</v>
      </c>
      <c r="V1017" s="15" t="s">
        <v>16753</v>
      </c>
      <c r="W1017" s="15" t="s">
        <v>16754</v>
      </c>
      <c r="X1017" s="15" t="s">
        <v>7958</v>
      </c>
      <c r="Y1017" s="15" t="s">
        <v>78</v>
      </c>
      <c r="Z1017" s="15" t="s">
        <v>16755</v>
      </c>
      <c r="AA1017" s="15" t="s">
        <v>169</v>
      </c>
      <c r="AB1017" s="15" t="s">
        <v>285</v>
      </c>
      <c r="AC1017" s="15" t="s">
        <v>712</v>
      </c>
      <c r="AD1017" s="15" t="s">
        <v>39</v>
      </c>
      <c r="AE1017" s="15" t="s">
        <v>55</v>
      </c>
      <c r="AF1017" s="15" t="s">
        <v>16756</v>
      </c>
      <c r="AG1017" s="15" t="s">
        <v>39</v>
      </c>
      <c r="AH1017" s="15" t="s">
        <v>39</v>
      </c>
      <c r="AI1017" s="15" t="s">
        <v>16757</v>
      </c>
      <c r="AJ1017" s="15" t="s">
        <v>16758</v>
      </c>
      <c r="AK1017" s="15" t="s">
        <v>3023</v>
      </c>
      <c r="AL1017" s="15" t="s">
        <v>88</v>
      </c>
    </row>
    <row r="1018" spans="1:38" x14ac:dyDescent="0.4">
      <c r="A1018" s="11" t="s">
        <v>16759</v>
      </c>
      <c r="B1018" s="12" t="s">
        <v>16760</v>
      </c>
      <c r="C1018" s="13" t="s">
        <v>39</v>
      </c>
      <c r="D1018" s="13" t="s">
        <v>92</v>
      </c>
      <c r="E1018" s="13" t="s">
        <v>16761</v>
      </c>
      <c r="F1018" s="13" t="s">
        <v>640</v>
      </c>
      <c r="G1018" s="13" t="s">
        <v>640</v>
      </c>
      <c r="H1018" s="13" t="s">
        <v>16762</v>
      </c>
      <c r="I1018" s="9">
        <f t="shared" ca="1" si="15"/>
        <v>24</v>
      </c>
      <c r="J1018" s="13" t="s">
        <v>16763</v>
      </c>
      <c r="K1018" s="13" t="s">
        <v>425</v>
      </c>
      <c r="L1018" s="9" t="str">
        <f>VLOOKUP(K1018,[1]中国省份_标准!$B$2:$F$35,4,FALSE)</f>
        <v>东部地区</v>
      </c>
      <c r="M1018" s="9" t="str">
        <f>VLOOKUP(K1018,[1]中国省份_标准!$B$2:$F$35,5,FALSE)</f>
        <v>华东地区</v>
      </c>
      <c r="N1018" s="13" t="s">
        <v>3013</v>
      </c>
      <c r="O1018" s="13" t="s">
        <v>3014</v>
      </c>
      <c r="P1018" s="13" t="s">
        <v>16764</v>
      </c>
      <c r="Q1018" s="13" t="s">
        <v>16765</v>
      </c>
      <c r="R1018" s="13" t="s">
        <v>16766</v>
      </c>
      <c r="S1018" s="13" t="s">
        <v>39</v>
      </c>
      <c r="T1018" s="13" t="s">
        <v>48</v>
      </c>
      <c r="U1018" s="13" t="s">
        <v>16760</v>
      </c>
      <c r="V1018" s="13" t="s">
        <v>16767</v>
      </c>
      <c r="W1018" s="13" t="s">
        <v>16768</v>
      </c>
      <c r="X1018" s="13" t="s">
        <v>673</v>
      </c>
      <c r="Y1018" s="13" t="s">
        <v>78</v>
      </c>
      <c r="Z1018" s="13" t="s">
        <v>16769</v>
      </c>
      <c r="AA1018" s="13" t="s">
        <v>169</v>
      </c>
      <c r="AB1018" s="13" t="s">
        <v>285</v>
      </c>
      <c r="AC1018" s="13" t="s">
        <v>39</v>
      </c>
      <c r="AD1018" s="13" t="s">
        <v>39</v>
      </c>
      <c r="AE1018" s="13" t="s">
        <v>109</v>
      </c>
      <c r="AF1018" s="13" t="s">
        <v>16770</v>
      </c>
      <c r="AG1018" s="13" t="s">
        <v>39</v>
      </c>
      <c r="AH1018" s="13" t="s">
        <v>39</v>
      </c>
      <c r="AI1018" s="13" t="s">
        <v>16771</v>
      </c>
      <c r="AJ1018" s="13" t="s">
        <v>16772</v>
      </c>
      <c r="AK1018" s="13" t="s">
        <v>3023</v>
      </c>
      <c r="AL1018" s="13" t="s">
        <v>88</v>
      </c>
    </row>
    <row r="1019" spans="1:38" x14ac:dyDescent="0.4">
      <c r="A1019" s="11" t="s">
        <v>16773</v>
      </c>
      <c r="B1019" s="14" t="s">
        <v>16774</v>
      </c>
      <c r="C1019" s="15" t="s">
        <v>39</v>
      </c>
      <c r="D1019" s="15" t="s">
        <v>63</v>
      </c>
      <c r="E1019" s="15" t="s">
        <v>16775</v>
      </c>
      <c r="F1019" s="15" t="s">
        <v>442</v>
      </c>
      <c r="G1019" s="15" t="s">
        <v>442</v>
      </c>
      <c r="H1019" s="15" t="s">
        <v>16776</v>
      </c>
      <c r="I1019" s="9">
        <f t="shared" ca="1" si="15"/>
        <v>10</v>
      </c>
      <c r="J1019" s="15" t="s">
        <v>16777</v>
      </c>
      <c r="K1019" s="15" t="s">
        <v>425</v>
      </c>
      <c r="L1019" s="9" t="str">
        <f>VLOOKUP(K1019,[1]中国省份_标准!$B$2:$F$35,4,FALSE)</f>
        <v>东部地区</v>
      </c>
      <c r="M1019" s="9" t="str">
        <f>VLOOKUP(K1019,[1]中国省份_标准!$B$2:$F$35,5,FALSE)</f>
        <v>华东地区</v>
      </c>
      <c r="N1019" s="15" t="s">
        <v>2304</v>
      </c>
      <c r="O1019" s="15" t="s">
        <v>8652</v>
      </c>
      <c r="P1019" s="15" t="s">
        <v>16778</v>
      </c>
      <c r="Q1019" s="15" t="s">
        <v>16779</v>
      </c>
      <c r="R1019" s="15" t="s">
        <v>16780</v>
      </c>
      <c r="S1019" s="15" t="s">
        <v>16781</v>
      </c>
      <c r="T1019" s="15" t="s">
        <v>184</v>
      </c>
      <c r="U1019" s="15" t="s">
        <v>16774</v>
      </c>
      <c r="V1019" s="15" t="s">
        <v>16782</v>
      </c>
      <c r="W1019" s="15" t="s">
        <v>16783</v>
      </c>
      <c r="X1019" s="15" t="s">
        <v>2171</v>
      </c>
      <c r="Y1019" s="15" t="s">
        <v>78</v>
      </c>
      <c r="Z1019" s="15" t="s">
        <v>16784</v>
      </c>
      <c r="AA1019" s="15" t="s">
        <v>850</v>
      </c>
      <c r="AB1019" s="15" t="s">
        <v>851</v>
      </c>
      <c r="AC1019" s="15" t="s">
        <v>39</v>
      </c>
      <c r="AD1019" s="15" t="s">
        <v>39</v>
      </c>
      <c r="AE1019" s="15" t="s">
        <v>109</v>
      </c>
      <c r="AF1019" s="15" t="s">
        <v>16785</v>
      </c>
      <c r="AG1019" s="15" t="s">
        <v>39</v>
      </c>
      <c r="AH1019" s="15" t="s">
        <v>39</v>
      </c>
      <c r="AI1019" s="15" t="s">
        <v>16786</v>
      </c>
      <c r="AJ1019" s="15" t="s">
        <v>16787</v>
      </c>
      <c r="AK1019" s="15" t="s">
        <v>11556</v>
      </c>
      <c r="AL1019" s="15" t="s">
        <v>88</v>
      </c>
    </row>
    <row r="1020" spans="1:38" x14ac:dyDescent="0.4">
      <c r="A1020" s="11" t="s">
        <v>16788</v>
      </c>
      <c r="B1020" s="12" t="s">
        <v>16789</v>
      </c>
      <c r="C1020" s="13" t="s">
        <v>39</v>
      </c>
      <c r="D1020" s="13" t="s">
        <v>92</v>
      </c>
      <c r="E1020" s="13" t="s">
        <v>16790</v>
      </c>
      <c r="F1020" s="13" t="s">
        <v>640</v>
      </c>
      <c r="G1020" s="13" t="s">
        <v>640</v>
      </c>
      <c r="H1020" s="13" t="s">
        <v>16791</v>
      </c>
      <c r="I1020" s="9">
        <f t="shared" ca="1" si="15"/>
        <v>22</v>
      </c>
      <c r="J1020" s="13" t="s">
        <v>16792</v>
      </c>
      <c r="K1020" s="13" t="s">
        <v>425</v>
      </c>
      <c r="L1020" s="9" t="str">
        <f>VLOOKUP(K1020,[1]中国省份_标准!$B$2:$F$35,4,FALSE)</f>
        <v>东部地区</v>
      </c>
      <c r="M1020" s="9" t="str">
        <f>VLOOKUP(K1020,[1]中国省份_标准!$B$2:$F$35,5,FALSE)</f>
        <v>华东地区</v>
      </c>
      <c r="N1020" s="13" t="s">
        <v>3013</v>
      </c>
      <c r="O1020" s="13" t="s">
        <v>3014</v>
      </c>
      <c r="P1020" s="13" t="s">
        <v>16793</v>
      </c>
      <c r="Q1020" s="13" t="s">
        <v>16794</v>
      </c>
      <c r="R1020" s="13" t="s">
        <v>16795</v>
      </c>
      <c r="S1020" s="13" t="s">
        <v>39</v>
      </c>
      <c r="T1020" s="13" t="s">
        <v>48</v>
      </c>
      <c r="U1020" s="13" t="s">
        <v>16789</v>
      </c>
      <c r="V1020" s="13" t="s">
        <v>16796</v>
      </c>
      <c r="W1020" s="13" t="s">
        <v>16797</v>
      </c>
      <c r="X1020" s="13" t="s">
        <v>77</v>
      </c>
      <c r="Y1020" s="13" t="s">
        <v>78</v>
      </c>
      <c r="Z1020" s="13" t="s">
        <v>16798</v>
      </c>
      <c r="AA1020" s="13" t="s">
        <v>169</v>
      </c>
      <c r="AB1020" s="13" t="s">
        <v>285</v>
      </c>
      <c r="AC1020" s="13" t="s">
        <v>712</v>
      </c>
      <c r="AD1020" s="13" t="s">
        <v>39</v>
      </c>
      <c r="AE1020" s="13" t="s">
        <v>109</v>
      </c>
      <c r="AF1020" s="13" t="s">
        <v>16799</v>
      </c>
      <c r="AG1020" s="13" t="s">
        <v>39</v>
      </c>
      <c r="AH1020" s="13" t="s">
        <v>39</v>
      </c>
      <c r="AI1020" s="13" t="s">
        <v>16800</v>
      </c>
      <c r="AJ1020" s="13" t="s">
        <v>16801</v>
      </c>
      <c r="AK1020" s="13" t="s">
        <v>3023</v>
      </c>
      <c r="AL1020" s="13" t="s">
        <v>88</v>
      </c>
    </row>
    <row r="1021" spans="1:38" x14ac:dyDescent="0.4">
      <c r="A1021" s="11" t="s">
        <v>16802</v>
      </c>
      <c r="B1021" s="14" t="s">
        <v>16803</v>
      </c>
      <c r="C1021" s="15" t="s">
        <v>16804</v>
      </c>
      <c r="D1021" s="15" t="s">
        <v>63</v>
      </c>
      <c r="E1021" s="15" t="s">
        <v>16805</v>
      </c>
      <c r="F1021" s="15" t="s">
        <v>640</v>
      </c>
      <c r="G1021" s="15" t="s">
        <v>640</v>
      </c>
      <c r="H1021" s="15" t="s">
        <v>16806</v>
      </c>
      <c r="I1021" s="9">
        <f t="shared" ca="1" si="15"/>
        <v>15</v>
      </c>
      <c r="J1021" s="15" t="s">
        <v>16807</v>
      </c>
      <c r="K1021" s="15" t="s">
        <v>425</v>
      </c>
      <c r="L1021" s="9" t="str">
        <f>VLOOKUP(K1021,[1]中国省份_标准!$B$2:$F$35,4,FALSE)</f>
        <v>东部地区</v>
      </c>
      <c r="M1021" s="9" t="str">
        <f>VLOOKUP(K1021,[1]中国省份_标准!$B$2:$F$35,5,FALSE)</f>
        <v>华东地区</v>
      </c>
      <c r="N1021" s="15" t="s">
        <v>3049</v>
      </c>
      <c r="O1021" s="15" t="s">
        <v>16808</v>
      </c>
      <c r="P1021" s="15" t="s">
        <v>16809</v>
      </c>
      <c r="Q1021" s="15" t="s">
        <v>16810</v>
      </c>
      <c r="R1021" s="15" t="s">
        <v>16811</v>
      </c>
      <c r="S1021" s="15" t="s">
        <v>16812</v>
      </c>
      <c r="T1021" s="15" t="s">
        <v>281</v>
      </c>
      <c r="U1021" s="15" t="s">
        <v>16803</v>
      </c>
      <c r="V1021" s="15" t="s">
        <v>16813</v>
      </c>
      <c r="W1021" s="15" t="s">
        <v>16814</v>
      </c>
      <c r="X1021" s="15" t="s">
        <v>557</v>
      </c>
      <c r="Y1021" s="15" t="s">
        <v>78</v>
      </c>
      <c r="Z1021" s="15" t="s">
        <v>16815</v>
      </c>
      <c r="AA1021" s="15" t="s">
        <v>80</v>
      </c>
      <c r="AB1021" s="15" t="s">
        <v>106</v>
      </c>
      <c r="AC1021" s="15" t="s">
        <v>39</v>
      </c>
      <c r="AD1021" s="15" t="s">
        <v>39</v>
      </c>
      <c r="AE1021" s="15" t="s">
        <v>109</v>
      </c>
      <c r="AF1021" s="15" t="s">
        <v>16816</v>
      </c>
      <c r="AG1021" s="15" t="s">
        <v>39</v>
      </c>
      <c r="AH1021" s="15" t="s">
        <v>39</v>
      </c>
      <c r="AI1021" s="15" t="s">
        <v>16817</v>
      </c>
      <c r="AJ1021" s="15" t="s">
        <v>16818</v>
      </c>
      <c r="AK1021" s="15" t="s">
        <v>16819</v>
      </c>
      <c r="AL1021" s="15" t="s">
        <v>88</v>
      </c>
    </row>
    <row r="1022" spans="1:38" x14ac:dyDescent="0.4">
      <c r="A1022" s="11" t="s">
        <v>16820</v>
      </c>
      <c r="B1022" s="12" t="s">
        <v>16821</v>
      </c>
      <c r="C1022" s="13" t="s">
        <v>16822</v>
      </c>
      <c r="D1022" s="13" t="s">
        <v>92</v>
      </c>
      <c r="E1022" s="13" t="s">
        <v>16823</v>
      </c>
      <c r="F1022" s="13" t="s">
        <v>442</v>
      </c>
      <c r="G1022" s="13" t="s">
        <v>442</v>
      </c>
      <c r="H1022" s="13" t="s">
        <v>16824</v>
      </c>
      <c r="I1022" s="9">
        <f t="shared" ca="1" si="15"/>
        <v>9</v>
      </c>
      <c r="J1022" s="13" t="s">
        <v>16825</v>
      </c>
      <c r="K1022" s="13" t="s">
        <v>340</v>
      </c>
      <c r="L1022" s="9" t="str">
        <f>VLOOKUP(K1022,[1]中国省份_标准!$B$2:$F$35,4,FALSE)</f>
        <v>东部地区</v>
      </c>
      <c r="M1022" s="9" t="str">
        <f>VLOOKUP(K1022,[1]中国省份_标准!$B$2:$F$35,5,FALSE)</f>
        <v>华东地区</v>
      </c>
      <c r="N1022" s="13" t="s">
        <v>401</v>
      </c>
      <c r="O1022" s="13" t="s">
        <v>16826</v>
      </c>
      <c r="P1022" s="13" t="s">
        <v>16827</v>
      </c>
      <c r="Q1022" s="13" t="s">
        <v>16828</v>
      </c>
      <c r="R1022" s="13" t="s">
        <v>16829</v>
      </c>
      <c r="S1022" s="13" t="s">
        <v>39</v>
      </c>
      <c r="T1022" s="13" t="s">
        <v>407</v>
      </c>
      <c r="U1022" s="13" t="s">
        <v>16821</v>
      </c>
      <c r="V1022" s="13" t="s">
        <v>16830</v>
      </c>
      <c r="W1022" s="13" t="s">
        <v>16831</v>
      </c>
      <c r="X1022" s="13" t="s">
        <v>212</v>
      </c>
      <c r="Y1022" s="13" t="s">
        <v>78</v>
      </c>
      <c r="Z1022" s="13" t="s">
        <v>16832</v>
      </c>
      <c r="AA1022" s="13" t="s">
        <v>80</v>
      </c>
      <c r="AB1022" s="13" t="s">
        <v>81</v>
      </c>
      <c r="AC1022" s="13" t="s">
        <v>2094</v>
      </c>
      <c r="AD1022" s="13" t="s">
        <v>2095</v>
      </c>
      <c r="AE1022" s="13" t="s">
        <v>55</v>
      </c>
      <c r="AF1022" s="13" t="s">
        <v>16833</v>
      </c>
      <c r="AG1022" s="13" t="s">
        <v>39</v>
      </c>
      <c r="AH1022" s="13" t="s">
        <v>39</v>
      </c>
      <c r="AI1022" s="13" t="s">
        <v>16834</v>
      </c>
      <c r="AJ1022" s="13" t="s">
        <v>16835</v>
      </c>
      <c r="AK1022" s="13" t="s">
        <v>418</v>
      </c>
      <c r="AL1022" s="13" t="s">
        <v>88</v>
      </c>
    </row>
    <row r="1023" spans="1:38" x14ac:dyDescent="0.4">
      <c r="A1023" s="11" t="s">
        <v>16836</v>
      </c>
      <c r="B1023" s="14" t="s">
        <v>16837</v>
      </c>
      <c r="C1023" s="15" t="s">
        <v>39</v>
      </c>
      <c r="D1023" s="15" t="s">
        <v>92</v>
      </c>
      <c r="E1023" s="15" t="s">
        <v>16838</v>
      </c>
      <c r="F1023" s="15" t="s">
        <v>16839</v>
      </c>
      <c r="G1023" s="15" t="s">
        <v>16840</v>
      </c>
      <c r="H1023" s="15" t="s">
        <v>16841</v>
      </c>
      <c r="I1023" s="9">
        <f t="shared" ca="1" si="15"/>
        <v>30</v>
      </c>
      <c r="J1023" s="15" t="s">
        <v>16842</v>
      </c>
      <c r="K1023" s="15" t="s">
        <v>425</v>
      </c>
      <c r="L1023" s="9" t="str">
        <f>VLOOKUP(K1023,[1]中国省份_标准!$B$2:$F$35,4,FALSE)</f>
        <v>东部地区</v>
      </c>
      <c r="M1023" s="9" t="str">
        <f>VLOOKUP(K1023,[1]中国省份_标准!$B$2:$F$35,5,FALSE)</f>
        <v>华东地区</v>
      </c>
      <c r="N1023" s="15" t="s">
        <v>426</v>
      </c>
      <c r="O1023" s="15" t="s">
        <v>427</v>
      </c>
      <c r="P1023" s="15" t="s">
        <v>16843</v>
      </c>
      <c r="Q1023" s="15" t="s">
        <v>16844</v>
      </c>
      <c r="R1023" s="15" t="s">
        <v>16845</v>
      </c>
      <c r="S1023" s="15" t="s">
        <v>16846</v>
      </c>
      <c r="T1023" s="15" t="s">
        <v>825</v>
      </c>
      <c r="U1023" s="15" t="s">
        <v>16837</v>
      </c>
      <c r="V1023" s="15" t="s">
        <v>16847</v>
      </c>
      <c r="W1023" s="15" t="s">
        <v>16848</v>
      </c>
      <c r="X1023" s="15" t="s">
        <v>16849</v>
      </c>
      <c r="Y1023" s="15" t="s">
        <v>78</v>
      </c>
      <c r="Z1023" s="15" t="s">
        <v>16850</v>
      </c>
      <c r="AA1023" s="15" t="s">
        <v>169</v>
      </c>
      <c r="AB1023" s="15" t="s">
        <v>285</v>
      </c>
      <c r="AC1023" s="15" t="s">
        <v>712</v>
      </c>
      <c r="AD1023" s="15" t="s">
        <v>39</v>
      </c>
      <c r="AE1023" s="15" t="s">
        <v>55</v>
      </c>
      <c r="AF1023" s="15" t="s">
        <v>16851</v>
      </c>
      <c r="AG1023" s="15" t="s">
        <v>39</v>
      </c>
      <c r="AH1023" s="15" t="s">
        <v>39</v>
      </c>
      <c r="AI1023" s="15" t="s">
        <v>16852</v>
      </c>
      <c r="AJ1023" s="15" t="s">
        <v>16853</v>
      </c>
      <c r="AK1023" s="15" t="s">
        <v>16661</v>
      </c>
      <c r="AL1023" s="15" t="s">
        <v>88</v>
      </c>
    </row>
    <row r="1024" spans="1:38" x14ac:dyDescent="0.4">
      <c r="A1024" s="11" t="s">
        <v>16854</v>
      </c>
      <c r="B1024" s="12" t="s">
        <v>16855</v>
      </c>
      <c r="C1024" s="13" t="s">
        <v>39</v>
      </c>
      <c r="D1024" s="13" t="s">
        <v>92</v>
      </c>
      <c r="E1024" s="13" t="s">
        <v>16856</v>
      </c>
      <c r="F1024" s="13" t="s">
        <v>640</v>
      </c>
      <c r="G1024" s="13" t="s">
        <v>640</v>
      </c>
      <c r="H1024" s="13" t="s">
        <v>16857</v>
      </c>
      <c r="I1024" s="9">
        <f t="shared" ca="1" si="15"/>
        <v>18</v>
      </c>
      <c r="J1024" s="13" t="s">
        <v>16858</v>
      </c>
      <c r="K1024" s="13" t="s">
        <v>425</v>
      </c>
      <c r="L1024" s="9" t="str">
        <f>VLOOKUP(K1024,[1]中国省份_标准!$B$2:$F$35,4,FALSE)</f>
        <v>东部地区</v>
      </c>
      <c r="M1024" s="9" t="str">
        <f>VLOOKUP(K1024,[1]中国省份_标准!$B$2:$F$35,5,FALSE)</f>
        <v>华东地区</v>
      </c>
      <c r="N1024" s="13" t="s">
        <v>426</v>
      </c>
      <c r="O1024" s="13" t="s">
        <v>427</v>
      </c>
      <c r="P1024" s="13" t="s">
        <v>16859</v>
      </c>
      <c r="Q1024" s="13" t="s">
        <v>16860</v>
      </c>
      <c r="R1024" s="13" t="s">
        <v>16861</v>
      </c>
      <c r="S1024" s="13" t="s">
        <v>16862</v>
      </c>
      <c r="T1024" s="13" t="s">
        <v>48</v>
      </c>
      <c r="U1024" s="13" t="s">
        <v>16855</v>
      </c>
      <c r="V1024" s="13" t="s">
        <v>16863</v>
      </c>
      <c r="W1024" s="13" t="s">
        <v>16864</v>
      </c>
      <c r="X1024" s="13" t="s">
        <v>1938</v>
      </c>
      <c r="Y1024" s="13" t="s">
        <v>78</v>
      </c>
      <c r="Z1024" s="13" t="s">
        <v>16865</v>
      </c>
      <c r="AA1024" s="13" t="s">
        <v>850</v>
      </c>
      <c r="AB1024" s="13" t="s">
        <v>7495</v>
      </c>
      <c r="AC1024" s="13" t="s">
        <v>7496</v>
      </c>
      <c r="AD1024" s="13" t="s">
        <v>39</v>
      </c>
      <c r="AE1024" s="13" t="s">
        <v>55</v>
      </c>
      <c r="AF1024" s="13" t="s">
        <v>16866</v>
      </c>
      <c r="AG1024" s="13" t="s">
        <v>39</v>
      </c>
      <c r="AH1024" s="13" t="s">
        <v>16867</v>
      </c>
      <c r="AI1024" s="13" t="s">
        <v>16868</v>
      </c>
      <c r="AJ1024" s="13" t="s">
        <v>15660</v>
      </c>
      <c r="AK1024" s="13" t="s">
        <v>438</v>
      </c>
      <c r="AL1024" s="13" t="s">
        <v>88</v>
      </c>
    </row>
    <row r="1025" spans="1:38" x14ac:dyDescent="0.4">
      <c r="A1025" s="11" t="s">
        <v>16869</v>
      </c>
      <c r="B1025" s="14" t="s">
        <v>16870</v>
      </c>
      <c r="C1025" s="15" t="s">
        <v>39</v>
      </c>
      <c r="D1025" s="15" t="s">
        <v>92</v>
      </c>
      <c r="E1025" s="15" t="s">
        <v>16871</v>
      </c>
      <c r="F1025" s="15" t="s">
        <v>1428</v>
      </c>
      <c r="G1025" s="15" t="s">
        <v>39</v>
      </c>
      <c r="H1025" s="15" t="s">
        <v>16872</v>
      </c>
      <c r="I1025" s="9">
        <f t="shared" ca="1" si="15"/>
        <v>6</v>
      </c>
      <c r="J1025" s="15" t="s">
        <v>16873</v>
      </c>
      <c r="K1025" s="15" t="s">
        <v>340</v>
      </c>
      <c r="L1025" s="9" t="str">
        <f>VLOOKUP(K1025,[1]中国省份_标准!$B$2:$F$35,4,FALSE)</f>
        <v>东部地区</v>
      </c>
      <c r="M1025" s="9" t="str">
        <f>VLOOKUP(K1025,[1]中国省份_标准!$B$2:$F$35,5,FALSE)</f>
        <v>华东地区</v>
      </c>
      <c r="N1025" s="15" t="s">
        <v>341</v>
      </c>
      <c r="O1025" s="15" t="s">
        <v>493</v>
      </c>
      <c r="P1025" s="15" t="s">
        <v>16874</v>
      </c>
      <c r="Q1025" s="15" t="s">
        <v>39</v>
      </c>
      <c r="R1025" s="15" t="s">
        <v>16875</v>
      </c>
      <c r="S1025" s="15" t="s">
        <v>39</v>
      </c>
      <c r="T1025" s="15" t="s">
        <v>48</v>
      </c>
      <c r="U1025" s="15" t="s">
        <v>16870</v>
      </c>
      <c r="V1025" s="15" t="s">
        <v>16876</v>
      </c>
      <c r="W1025" s="15" t="s">
        <v>16877</v>
      </c>
      <c r="X1025" s="15" t="s">
        <v>455</v>
      </c>
      <c r="Y1025" s="15" t="s">
        <v>78</v>
      </c>
      <c r="Z1025" s="15" t="s">
        <v>16878</v>
      </c>
      <c r="AA1025" s="15" t="s">
        <v>80</v>
      </c>
      <c r="AB1025" s="15" t="s">
        <v>106</v>
      </c>
      <c r="AC1025" s="15" t="s">
        <v>388</v>
      </c>
      <c r="AD1025" s="15" t="s">
        <v>434</v>
      </c>
      <c r="AE1025" s="15" t="s">
        <v>109</v>
      </c>
      <c r="AF1025" s="15" t="s">
        <v>16879</v>
      </c>
      <c r="AG1025" s="15" t="s">
        <v>39</v>
      </c>
      <c r="AH1025" s="15" t="s">
        <v>39</v>
      </c>
      <c r="AI1025" s="15" t="s">
        <v>16880</v>
      </c>
      <c r="AJ1025" s="15" t="s">
        <v>16881</v>
      </c>
      <c r="AK1025" s="15" t="s">
        <v>16882</v>
      </c>
      <c r="AL1025" s="15" t="s">
        <v>88</v>
      </c>
    </row>
    <row r="1026" spans="1:38" x14ac:dyDescent="0.4">
      <c r="A1026" s="11" t="s">
        <v>16883</v>
      </c>
      <c r="B1026" s="12" t="s">
        <v>16884</v>
      </c>
      <c r="C1026" s="13" t="s">
        <v>39</v>
      </c>
      <c r="D1026" s="13" t="s">
        <v>63</v>
      </c>
      <c r="E1026" s="13" t="s">
        <v>16885</v>
      </c>
      <c r="F1026" s="13" t="s">
        <v>640</v>
      </c>
      <c r="G1026" s="13" t="s">
        <v>640</v>
      </c>
      <c r="H1026" s="13" t="s">
        <v>16886</v>
      </c>
      <c r="I1026" s="9">
        <f t="shared" ca="1" si="15"/>
        <v>15</v>
      </c>
      <c r="J1026" s="13" t="s">
        <v>16887</v>
      </c>
      <c r="K1026" s="13" t="s">
        <v>425</v>
      </c>
      <c r="L1026" s="9" t="str">
        <f>VLOOKUP(K1026,[1]中国省份_标准!$B$2:$F$35,4,FALSE)</f>
        <v>东部地区</v>
      </c>
      <c r="M1026" s="9" t="str">
        <f>VLOOKUP(K1026,[1]中国省份_标准!$B$2:$F$35,5,FALSE)</f>
        <v>华东地区</v>
      </c>
      <c r="N1026" s="13" t="s">
        <v>426</v>
      </c>
      <c r="O1026" s="13" t="s">
        <v>427</v>
      </c>
      <c r="P1026" s="13" t="s">
        <v>16888</v>
      </c>
      <c r="Q1026" s="13" t="s">
        <v>16889</v>
      </c>
      <c r="R1026" s="13" t="s">
        <v>16890</v>
      </c>
      <c r="S1026" s="13" t="s">
        <v>39</v>
      </c>
      <c r="T1026" s="13" t="s">
        <v>48</v>
      </c>
      <c r="U1026" s="13" t="s">
        <v>16884</v>
      </c>
      <c r="V1026" s="13" t="s">
        <v>16891</v>
      </c>
      <c r="W1026" s="13" t="s">
        <v>16892</v>
      </c>
      <c r="X1026" s="13" t="s">
        <v>1777</v>
      </c>
      <c r="Y1026" s="13" t="s">
        <v>78</v>
      </c>
      <c r="Z1026" s="13" t="s">
        <v>16893</v>
      </c>
      <c r="AA1026" s="13" t="s">
        <v>850</v>
      </c>
      <c r="AB1026" s="13" t="s">
        <v>9442</v>
      </c>
      <c r="AC1026" s="13" t="s">
        <v>39</v>
      </c>
      <c r="AD1026" s="13" t="s">
        <v>39</v>
      </c>
      <c r="AE1026" s="13" t="s">
        <v>109</v>
      </c>
      <c r="AF1026" s="13" t="s">
        <v>16894</v>
      </c>
      <c r="AG1026" s="13" t="s">
        <v>39</v>
      </c>
      <c r="AH1026" s="13" t="s">
        <v>39</v>
      </c>
      <c r="AI1026" s="13" t="s">
        <v>16895</v>
      </c>
      <c r="AJ1026" s="13" t="s">
        <v>16896</v>
      </c>
      <c r="AK1026" s="13" t="s">
        <v>695</v>
      </c>
      <c r="AL1026" s="13" t="s">
        <v>88</v>
      </c>
    </row>
    <row r="1027" spans="1:38" x14ac:dyDescent="0.4">
      <c r="A1027" s="11" t="s">
        <v>16897</v>
      </c>
      <c r="B1027" s="14" t="s">
        <v>16898</v>
      </c>
      <c r="C1027" s="15" t="s">
        <v>39</v>
      </c>
      <c r="D1027" s="15" t="s">
        <v>63</v>
      </c>
      <c r="E1027" s="15" t="s">
        <v>16899</v>
      </c>
      <c r="F1027" s="15" t="s">
        <v>2419</v>
      </c>
      <c r="G1027" s="15" t="s">
        <v>2419</v>
      </c>
      <c r="H1027" s="15" t="s">
        <v>16900</v>
      </c>
      <c r="I1027" s="9">
        <f t="shared" ref="I1027:I1087" ca="1" si="16">DATEDIF(H1027, TODAY(), "Y")</f>
        <v>12</v>
      </c>
      <c r="J1027" s="15" t="s">
        <v>16901</v>
      </c>
      <c r="K1027" s="15" t="s">
        <v>425</v>
      </c>
      <c r="L1027" s="9" t="str">
        <f>VLOOKUP(K1027,[1]中国省份_标准!$B$2:$F$35,4,FALSE)</f>
        <v>东部地区</v>
      </c>
      <c r="M1027" s="9" t="str">
        <f>VLOOKUP(K1027,[1]中国省份_标准!$B$2:$F$35,5,FALSE)</f>
        <v>华东地区</v>
      </c>
      <c r="N1027" s="15" t="s">
        <v>3013</v>
      </c>
      <c r="O1027" s="15" t="s">
        <v>14237</v>
      </c>
      <c r="P1027" s="15" t="s">
        <v>16902</v>
      </c>
      <c r="Q1027" s="15" t="s">
        <v>16903</v>
      </c>
      <c r="R1027" s="15" t="s">
        <v>16904</v>
      </c>
      <c r="S1027" s="15" t="s">
        <v>16905</v>
      </c>
      <c r="T1027" s="15" t="s">
        <v>48</v>
      </c>
      <c r="U1027" s="15" t="s">
        <v>16898</v>
      </c>
      <c r="V1027" s="15" t="s">
        <v>16906</v>
      </c>
      <c r="W1027" s="15" t="s">
        <v>16907</v>
      </c>
      <c r="X1027" s="15" t="s">
        <v>77</v>
      </c>
      <c r="Y1027" s="15" t="s">
        <v>78</v>
      </c>
      <c r="Z1027" s="15" t="s">
        <v>16908</v>
      </c>
      <c r="AA1027" s="15" t="s">
        <v>850</v>
      </c>
      <c r="AB1027" s="15" t="s">
        <v>9442</v>
      </c>
      <c r="AC1027" s="15" t="s">
        <v>39</v>
      </c>
      <c r="AD1027" s="15" t="s">
        <v>39</v>
      </c>
      <c r="AE1027" s="15" t="s">
        <v>109</v>
      </c>
      <c r="AF1027" s="15" t="s">
        <v>16909</v>
      </c>
      <c r="AG1027" s="15" t="s">
        <v>39</v>
      </c>
      <c r="AH1027" s="15" t="s">
        <v>39</v>
      </c>
      <c r="AI1027" s="15" t="s">
        <v>16910</v>
      </c>
      <c r="AJ1027" s="15" t="s">
        <v>16911</v>
      </c>
      <c r="AK1027" s="15" t="s">
        <v>16713</v>
      </c>
      <c r="AL1027" s="15" t="s">
        <v>88</v>
      </c>
    </row>
    <row r="1028" spans="1:38" x14ac:dyDescent="0.4">
      <c r="A1028" s="11" t="s">
        <v>16912</v>
      </c>
      <c r="B1028" s="12" t="s">
        <v>16913</v>
      </c>
      <c r="C1028" s="13" t="s">
        <v>39</v>
      </c>
      <c r="D1028" s="13" t="s">
        <v>92</v>
      </c>
      <c r="E1028" s="13" t="s">
        <v>16914</v>
      </c>
      <c r="F1028" s="13" t="s">
        <v>640</v>
      </c>
      <c r="G1028" s="13" t="s">
        <v>640</v>
      </c>
      <c r="H1028" s="13" t="s">
        <v>16915</v>
      </c>
      <c r="I1028" s="9">
        <f t="shared" ca="1" si="16"/>
        <v>21</v>
      </c>
      <c r="J1028" s="13" t="s">
        <v>16916</v>
      </c>
      <c r="K1028" s="13" t="s">
        <v>1752</v>
      </c>
      <c r="L1028" s="9" t="str">
        <f>VLOOKUP(K1028,[1]中国省份_标准!$B$2:$F$35,4,FALSE)</f>
        <v>中部地区</v>
      </c>
      <c r="M1028" s="9" t="str">
        <f>VLOOKUP(K1028,[1]中国省份_标准!$B$2:$F$35,5,FALSE)</f>
        <v>华中地区</v>
      </c>
      <c r="N1028" s="13" t="s">
        <v>1753</v>
      </c>
      <c r="O1028" s="13" t="s">
        <v>5095</v>
      </c>
      <c r="P1028" s="13" t="s">
        <v>16917</v>
      </c>
      <c r="Q1028" s="13" t="s">
        <v>16918</v>
      </c>
      <c r="R1028" s="13" t="s">
        <v>16919</v>
      </c>
      <c r="S1028" s="13" t="s">
        <v>16920</v>
      </c>
      <c r="T1028" s="13" t="s">
        <v>48</v>
      </c>
      <c r="U1028" s="13" t="s">
        <v>16913</v>
      </c>
      <c r="V1028" s="13" t="s">
        <v>16921</v>
      </c>
      <c r="W1028" s="13" t="s">
        <v>16922</v>
      </c>
      <c r="X1028" s="13" t="s">
        <v>6887</v>
      </c>
      <c r="Y1028" s="13" t="s">
        <v>78</v>
      </c>
      <c r="Z1028" s="13" t="s">
        <v>16923</v>
      </c>
      <c r="AA1028" s="13" t="s">
        <v>850</v>
      </c>
      <c r="AB1028" s="13" t="s">
        <v>11570</v>
      </c>
      <c r="AC1028" s="13" t="s">
        <v>11571</v>
      </c>
      <c r="AD1028" s="13" t="s">
        <v>14322</v>
      </c>
      <c r="AE1028" s="13" t="s">
        <v>55</v>
      </c>
      <c r="AF1028" s="13" t="s">
        <v>16924</v>
      </c>
      <c r="AG1028" s="13" t="s">
        <v>39</v>
      </c>
      <c r="AH1028" s="13" t="s">
        <v>39</v>
      </c>
      <c r="AI1028" s="13" t="s">
        <v>16925</v>
      </c>
      <c r="AJ1028" s="13" t="s">
        <v>16926</v>
      </c>
      <c r="AK1028" s="13" t="s">
        <v>5108</v>
      </c>
      <c r="AL1028" s="13" t="s">
        <v>88</v>
      </c>
    </row>
    <row r="1029" spans="1:38" x14ac:dyDescent="0.4">
      <c r="A1029" s="11" t="s">
        <v>16927</v>
      </c>
      <c r="B1029" s="14" t="s">
        <v>16928</v>
      </c>
      <c r="C1029" s="15" t="s">
        <v>16929</v>
      </c>
      <c r="D1029" s="15" t="s">
        <v>92</v>
      </c>
      <c r="E1029" s="15" t="s">
        <v>16930</v>
      </c>
      <c r="F1029" s="15" t="s">
        <v>640</v>
      </c>
      <c r="G1029" s="15" t="s">
        <v>640</v>
      </c>
      <c r="H1029" s="15" t="s">
        <v>16931</v>
      </c>
      <c r="I1029" s="9">
        <f t="shared" ca="1" si="16"/>
        <v>32</v>
      </c>
      <c r="J1029" s="15" t="s">
        <v>16932</v>
      </c>
      <c r="K1029" s="15" t="s">
        <v>45</v>
      </c>
      <c r="L1029" s="9" t="str">
        <f>VLOOKUP(K1029,[1]中国省份_标准!$B$2:$F$35,4,FALSE)</f>
        <v>东部地区</v>
      </c>
      <c r="M1029" s="9" t="str">
        <f>VLOOKUP(K1029,[1]中国省份_标准!$B$2:$F$35,5,FALSE)</f>
        <v>华东地区</v>
      </c>
      <c r="N1029" s="15" t="s">
        <v>45</v>
      </c>
      <c r="O1029" s="15" t="s">
        <v>16933</v>
      </c>
      <c r="P1029" s="15" t="s">
        <v>16934</v>
      </c>
      <c r="Q1029" s="15" t="s">
        <v>39</v>
      </c>
      <c r="R1029" s="15" t="s">
        <v>16935</v>
      </c>
      <c r="S1029" s="15" t="s">
        <v>39</v>
      </c>
      <c r="T1029" s="15" t="s">
        <v>48</v>
      </c>
      <c r="U1029" s="15" t="s">
        <v>16928</v>
      </c>
      <c r="V1029" s="15" t="s">
        <v>16936</v>
      </c>
      <c r="W1029" s="15" t="s">
        <v>16937</v>
      </c>
      <c r="X1029" s="15" t="s">
        <v>1130</v>
      </c>
      <c r="Y1029" s="15" t="s">
        <v>78</v>
      </c>
      <c r="Z1029" s="15" t="s">
        <v>16938</v>
      </c>
      <c r="AA1029" s="15" t="s">
        <v>850</v>
      </c>
      <c r="AB1029" s="15" t="s">
        <v>9442</v>
      </c>
      <c r="AC1029" s="15" t="s">
        <v>10006</v>
      </c>
      <c r="AD1029" s="15" t="s">
        <v>10007</v>
      </c>
      <c r="AE1029" s="15" t="s">
        <v>109</v>
      </c>
      <c r="AF1029" s="15" t="s">
        <v>16939</v>
      </c>
      <c r="AG1029" s="15" t="s">
        <v>39</v>
      </c>
      <c r="AH1029" s="15" t="s">
        <v>39</v>
      </c>
      <c r="AI1029" s="15" t="s">
        <v>16940</v>
      </c>
      <c r="AJ1029" s="15" t="s">
        <v>16941</v>
      </c>
      <c r="AK1029" s="15" t="s">
        <v>16942</v>
      </c>
      <c r="AL1029" s="15" t="s">
        <v>88</v>
      </c>
    </row>
    <row r="1030" spans="1:38" x14ac:dyDescent="0.4">
      <c r="A1030" s="11" t="s">
        <v>16943</v>
      </c>
      <c r="B1030" s="12" t="s">
        <v>16944</v>
      </c>
      <c r="C1030" s="13" t="s">
        <v>16945</v>
      </c>
      <c r="D1030" s="13" t="s">
        <v>92</v>
      </c>
      <c r="E1030" s="13" t="s">
        <v>16946</v>
      </c>
      <c r="F1030" s="13" t="s">
        <v>640</v>
      </c>
      <c r="G1030" s="13" t="s">
        <v>640</v>
      </c>
      <c r="H1030" s="13" t="s">
        <v>16947</v>
      </c>
      <c r="I1030" s="9">
        <f t="shared" ca="1" si="16"/>
        <v>18</v>
      </c>
      <c r="J1030" s="13" t="s">
        <v>16948</v>
      </c>
      <c r="K1030" s="13" t="s">
        <v>4266</v>
      </c>
      <c r="L1030" s="9" t="str">
        <f>VLOOKUP(K1030,[1]中国省份_标准!$B$2:$F$35,4,FALSE)</f>
        <v>东部地区</v>
      </c>
      <c r="M1030" s="9" t="str">
        <f>VLOOKUP(K1030,[1]中国省份_标准!$B$2:$F$35,5,FALSE)</f>
        <v>华北地区</v>
      </c>
      <c r="N1030" s="13" t="s">
        <v>4266</v>
      </c>
      <c r="O1030" s="13" t="s">
        <v>9575</v>
      </c>
      <c r="P1030" s="13" t="s">
        <v>16949</v>
      </c>
      <c r="Q1030" s="13" t="s">
        <v>16950</v>
      </c>
      <c r="R1030" s="13" t="s">
        <v>16951</v>
      </c>
      <c r="S1030" s="13" t="s">
        <v>16952</v>
      </c>
      <c r="T1030" s="13" t="s">
        <v>670</v>
      </c>
      <c r="U1030" s="13" t="s">
        <v>16944</v>
      </c>
      <c r="V1030" s="13" t="s">
        <v>16953</v>
      </c>
      <c r="W1030" s="13" t="s">
        <v>16954</v>
      </c>
      <c r="X1030" s="13" t="s">
        <v>1777</v>
      </c>
      <c r="Y1030" s="13" t="s">
        <v>78</v>
      </c>
      <c r="Z1030" s="13" t="s">
        <v>16955</v>
      </c>
      <c r="AA1030" s="13" t="s">
        <v>850</v>
      </c>
      <c r="AB1030" s="13" t="s">
        <v>851</v>
      </c>
      <c r="AC1030" s="13" t="s">
        <v>39</v>
      </c>
      <c r="AD1030" s="13" t="s">
        <v>39</v>
      </c>
      <c r="AE1030" s="13" t="s">
        <v>109</v>
      </c>
      <c r="AF1030" s="13" t="s">
        <v>16956</v>
      </c>
      <c r="AG1030" s="13" t="s">
        <v>39</v>
      </c>
      <c r="AH1030" s="13" t="s">
        <v>39</v>
      </c>
      <c r="AI1030" s="13" t="s">
        <v>16957</v>
      </c>
      <c r="AJ1030" s="13" t="s">
        <v>16958</v>
      </c>
      <c r="AK1030" s="13" t="s">
        <v>9780</v>
      </c>
      <c r="AL1030" s="13" t="s">
        <v>88</v>
      </c>
    </row>
    <row r="1031" spans="1:38" x14ac:dyDescent="0.4">
      <c r="A1031" s="11" t="s">
        <v>16959</v>
      </c>
      <c r="B1031" s="14" t="s">
        <v>16960</v>
      </c>
      <c r="C1031" s="15" t="s">
        <v>39</v>
      </c>
      <c r="D1031" s="15" t="s">
        <v>92</v>
      </c>
      <c r="E1031" s="15" t="s">
        <v>16961</v>
      </c>
      <c r="F1031" s="15" t="s">
        <v>16962</v>
      </c>
      <c r="G1031" s="15" t="s">
        <v>12284</v>
      </c>
      <c r="H1031" s="15" t="s">
        <v>16963</v>
      </c>
      <c r="I1031" s="9">
        <f t="shared" ca="1" si="16"/>
        <v>21</v>
      </c>
      <c r="J1031" s="15" t="s">
        <v>16964</v>
      </c>
      <c r="K1031" s="15" t="s">
        <v>531</v>
      </c>
      <c r="L1031" s="9" t="str">
        <f>VLOOKUP(K1031,[1]中国省份_标准!$B$2:$F$35,4,FALSE)</f>
        <v>东部地区</v>
      </c>
      <c r="M1031" s="9" t="str">
        <f>VLOOKUP(K1031,[1]中国省份_标准!$B$2:$F$35,5,FALSE)</f>
        <v>华南地区</v>
      </c>
      <c r="N1031" s="15" t="s">
        <v>2560</v>
      </c>
      <c r="O1031" s="15" t="s">
        <v>39</v>
      </c>
      <c r="P1031" s="15" t="s">
        <v>16965</v>
      </c>
      <c r="Q1031" s="15" t="s">
        <v>16966</v>
      </c>
      <c r="R1031" s="15" t="s">
        <v>16967</v>
      </c>
      <c r="S1031" s="15" t="s">
        <v>16968</v>
      </c>
      <c r="T1031" s="15" t="s">
        <v>2932</v>
      </c>
      <c r="U1031" s="15" t="s">
        <v>16960</v>
      </c>
      <c r="V1031" s="15" t="s">
        <v>16969</v>
      </c>
      <c r="W1031" s="15" t="s">
        <v>16970</v>
      </c>
      <c r="X1031" s="15" t="s">
        <v>16971</v>
      </c>
      <c r="Y1031" s="15" t="s">
        <v>78</v>
      </c>
      <c r="Z1031" s="15" t="s">
        <v>16972</v>
      </c>
      <c r="AA1031" s="15" t="s">
        <v>850</v>
      </c>
      <c r="AB1031" s="15" t="s">
        <v>851</v>
      </c>
      <c r="AC1031" s="15" t="s">
        <v>3990</v>
      </c>
      <c r="AD1031" s="15" t="s">
        <v>3990</v>
      </c>
      <c r="AE1031" s="15" t="s">
        <v>262</v>
      </c>
      <c r="AF1031" s="15" t="s">
        <v>16973</v>
      </c>
      <c r="AG1031" s="15" t="s">
        <v>39</v>
      </c>
      <c r="AH1031" s="15" t="s">
        <v>39</v>
      </c>
      <c r="AI1031" s="15" t="s">
        <v>16974</v>
      </c>
      <c r="AJ1031" s="15" t="s">
        <v>16975</v>
      </c>
      <c r="AK1031" s="15" t="s">
        <v>2572</v>
      </c>
      <c r="AL1031" s="15" t="s">
        <v>88</v>
      </c>
    </row>
    <row r="1032" spans="1:38" x14ac:dyDescent="0.4">
      <c r="A1032" s="11" t="s">
        <v>16976</v>
      </c>
      <c r="B1032" s="12" t="s">
        <v>16977</v>
      </c>
      <c r="C1032" s="13" t="s">
        <v>16978</v>
      </c>
      <c r="D1032" s="13" t="s">
        <v>92</v>
      </c>
      <c r="E1032" s="13" t="s">
        <v>16979</v>
      </c>
      <c r="F1032" s="13" t="s">
        <v>2322</v>
      </c>
      <c r="G1032" s="13" t="s">
        <v>2322</v>
      </c>
      <c r="H1032" s="13" t="s">
        <v>16980</v>
      </c>
      <c r="I1032" s="9">
        <f t="shared" ca="1" si="16"/>
        <v>23</v>
      </c>
      <c r="J1032" s="13" t="s">
        <v>16981</v>
      </c>
      <c r="K1032" s="13" t="s">
        <v>157</v>
      </c>
      <c r="L1032" s="9" t="str">
        <f>VLOOKUP(K1032,[1]中国省份_标准!$B$2:$F$35,4,FALSE)</f>
        <v>东北地区</v>
      </c>
      <c r="M1032" s="9" t="str">
        <f>VLOOKUP(K1032,[1]中国省份_标准!$B$2:$F$35,5,FALSE)</f>
        <v>东北地区</v>
      </c>
      <c r="N1032" s="13" t="s">
        <v>1087</v>
      </c>
      <c r="O1032" s="13" t="s">
        <v>15589</v>
      </c>
      <c r="P1032" s="13" t="s">
        <v>16982</v>
      </c>
      <c r="Q1032" s="13" t="s">
        <v>16983</v>
      </c>
      <c r="R1032" s="13" t="s">
        <v>16984</v>
      </c>
      <c r="S1032" s="13" t="s">
        <v>16985</v>
      </c>
      <c r="T1032" s="13" t="s">
        <v>209</v>
      </c>
      <c r="U1032" s="13" t="s">
        <v>16977</v>
      </c>
      <c r="V1032" s="13" t="s">
        <v>16986</v>
      </c>
      <c r="W1032" s="13" t="s">
        <v>16987</v>
      </c>
      <c r="X1032" s="13" t="s">
        <v>16988</v>
      </c>
      <c r="Y1032" s="13" t="s">
        <v>78</v>
      </c>
      <c r="Z1032" s="13" t="s">
        <v>16989</v>
      </c>
      <c r="AA1032" s="13" t="s">
        <v>850</v>
      </c>
      <c r="AB1032" s="13" t="s">
        <v>851</v>
      </c>
      <c r="AC1032" s="13" t="s">
        <v>15400</v>
      </c>
      <c r="AD1032" s="13" t="s">
        <v>15400</v>
      </c>
      <c r="AE1032" s="13" t="s">
        <v>55</v>
      </c>
      <c r="AF1032" s="13" t="s">
        <v>16990</v>
      </c>
      <c r="AG1032" s="13" t="s">
        <v>39</v>
      </c>
      <c r="AH1032" s="13" t="s">
        <v>39</v>
      </c>
      <c r="AI1032" s="13" t="s">
        <v>16991</v>
      </c>
      <c r="AJ1032" s="13" t="s">
        <v>16992</v>
      </c>
      <c r="AK1032" s="13" t="s">
        <v>15601</v>
      </c>
      <c r="AL1032" s="13" t="s">
        <v>88</v>
      </c>
    </row>
    <row r="1033" spans="1:38" x14ac:dyDescent="0.4">
      <c r="A1033" s="11" t="s">
        <v>16993</v>
      </c>
      <c r="B1033" s="14" t="s">
        <v>16994</v>
      </c>
      <c r="C1033" s="15" t="s">
        <v>39</v>
      </c>
      <c r="D1033" s="15" t="s">
        <v>92</v>
      </c>
      <c r="E1033" s="15" t="s">
        <v>16995</v>
      </c>
      <c r="F1033" s="15" t="s">
        <v>271</v>
      </c>
      <c r="G1033" s="15" t="s">
        <v>271</v>
      </c>
      <c r="H1033" s="15" t="s">
        <v>7560</v>
      </c>
      <c r="I1033" s="9">
        <f t="shared" ca="1" si="16"/>
        <v>11</v>
      </c>
      <c r="J1033" s="15" t="s">
        <v>16996</v>
      </c>
      <c r="K1033" s="15" t="s">
        <v>531</v>
      </c>
      <c r="L1033" s="9" t="str">
        <f>VLOOKUP(K1033,[1]中国省份_标准!$B$2:$F$35,4,FALSE)</f>
        <v>东部地区</v>
      </c>
      <c r="M1033" s="9" t="str">
        <f>VLOOKUP(K1033,[1]中国省份_标准!$B$2:$F$35,5,FALSE)</f>
        <v>华南地区</v>
      </c>
      <c r="N1033" s="15" t="s">
        <v>2560</v>
      </c>
      <c r="O1033" s="15" t="s">
        <v>39</v>
      </c>
      <c r="P1033" s="15" t="s">
        <v>16997</v>
      </c>
      <c r="Q1033" s="15" t="s">
        <v>16998</v>
      </c>
      <c r="R1033" s="15" t="s">
        <v>16999</v>
      </c>
      <c r="S1033" s="15" t="s">
        <v>17000</v>
      </c>
      <c r="T1033" s="15" t="s">
        <v>48</v>
      </c>
      <c r="U1033" s="15" t="s">
        <v>16994</v>
      </c>
      <c r="V1033" s="15" t="s">
        <v>17001</v>
      </c>
      <c r="W1033" s="15" t="s">
        <v>17002</v>
      </c>
      <c r="X1033" s="15" t="s">
        <v>2448</v>
      </c>
      <c r="Y1033" s="15" t="s">
        <v>78</v>
      </c>
      <c r="Z1033" s="15" t="s">
        <v>8612</v>
      </c>
      <c r="AA1033" s="15" t="s">
        <v>850</v>
      </c>
      <c r="AB1033" s="15" t="s">
        <v>9442</v>
      </c>
      <c r="AC1033" s="15" t="s">
        <v>39</v>
      </c>
      <c r="AD1033" s="15" t="s">
        <v>39</v>
      </c>
      <c r="AE1033" s="15" t="s">
        <v>55</v>
      </c>
      <c r="AF1033" s="15" t="s">
        <v>17003</v>
      </c>
      <c r="AG1033" s="15" t="s">
        <v>39</v>
      </c>
      <c r="AH1033" s="15" t="s">
        <v>39</v>
      </c>
      <c r="AI1033" s="15" t="s">
        <v>17004</v>
      </c>
      <c r="AJ1033" s="15" t="s">
        <v>17005</v>
      </c>
      <c r="AK1033" s="15" t="s">
        <v>2572</v>
      </c>
      <c r="AL1033" s="15" t="s">
        <v>88</v>
      </c>
    </row>
    <row r="1034" spans="1:38" x14ac:dyDescent="0.4">
      <c r="A1034" s="11" t="s">
        <v>17006</v>
      </c>
      <c r="B1034" s="12" t="s">
        <v>17007</v>
      </c>
      <c r="C1034" s="13" t="s">
        <v>39</v>
      </c>
      <c r="D1034" s="13" t="s">
        <v>92</v>
      </c>
      <c r="E1034" s="13" t="s">
        <v>17008</v>
      </c>
      <c r="F1034" s="13" t="s">
        <v>17009</v>
      </c>
      <c r="G1034" s="13" t="s">
        <v>17009</v>
      </c>
      <c r="H1034" s="13" t="s">
        <v>17010</v>
      </c>
      <c r="I1034" s="9">
        <f t="shared" ca="1" si="16"/>
        <v>14</v>
      </c>
      <c r="J1034" s="13" t="s">
        <v>17011</v>
      </c>
      <c r="K1034" s="13" t="s">
        <v>1877</v>
      </c>
      <c r="L1034" s="9" t="str">
        <f>VLOOKUP(K1034,[1]中国省份_标准!$B$2:$F$35,4,FALSE)</f>
        <v>中部地区</v>
      </c>
      <c r="M1034" s="9" t="str">
        <f>VLOOKUP(K1034,[1]中国省份_标准!$B$2:$F$35,5,FALSE)</f>
        <v>华中地区</v>
      </c>
      <c r="N1034" s="13" t="s">
        <v>5339</v>
      </c>
      <c r="O1034" s="13" t="s">
        <v>17012</v>
      </c>
      <c r="P1034" s="13" t="s">
        <v>17013</v>
      </c>
      <c r="Q1034" s="13" t="s">
        <v>17014</v>
      </c>
      <c r="R1034" s="13" t="s">
        <v>17015</v>
      </c>
      <c r="S1034" s="13" t="s">
        <v>17016</v>
      </c>
      <c r="T1034" s="13" t="s">
        <v>5710</v>
      </c>
      <c r="U1034" s="13" t="s">
        <v>17007</v>
      </c>
      <c r="V1034" s="13" t="s">
        <v>17017</v>
      </c>
      <c r="W1034" s="13" t="s">
        <v>17018</v>
      </c>
      <c r="X1034" s="13" t="s">
        <v>7220</v>
      </c>
      <c r="Y1034" s="13" t="s">
        <v>78</v>
      </c>
      <c r="Z1034" s="13" t="s">
        <v>17019</v>
      </c>
      <c r="AA1034" s="13" t="s">
        <v>850</v>
      </c>
      <c r="AB1034" s="13" t="s">
        <v>851</v>
      </c>
      <c r="AC1034" s="13" t="s">
        <v>3990</v>
      </c>
      <c r="AD1034" s="13" t="s">
        <v>3990</v>
      </c>
      <c r="AE1034" s="13" t="s">
        <v>262</v>
      </c>
      <c r="AF1034" s="13" t="s">
        <v>17020</v>
      </c>
      <c r="AG1034" s="13" t="s">
        <v>39</v>
      </c>
      <c r="AH1034" s="13" t="s">
        <v>17021</v>
      </c>
      <c r="AI1034" s="13" t="s">
        <v>17022</v>
      </c>
      <c r="AJ1034" s="13" t="s">
        <v>17023</v>
      </c>
      <c r="AK1034" s="13" t="s">
        <v>5679</v>
      </c>
      <c r="AL1034" s="13" t="s">
        <v>88</v>
      </c>
    </row>
    <row r="1035" spans="1:38" x14ac:dyDescent="0.4">
      <c r="A1035" s="11" t="s">
        <v>17024</v>
      </c>
      <c r="B1035" s="14" t="s">
        <v>17025</v>
      </c>
      <c r="C1035" s="15" t="s">
        <v>39</v>
      </c>
      <c r="D1035" s="15" t="s">
        <v>92</v>
      </c>
      <c r="E1035" s="15" t="s">
        <v>17026</v>
      </c>
      <c r="F1035" s="15" t="s">
        <v>271</v>
      </c>
      <c r="G1035" s="15" t="s">
        <v>16330</v>
      </c>
      <c r="H1035" s="15" t="s">
        <v>17027</v>
      </c>
      <c r="I1035" s="9">
        <f t="shared" ca="1" si="16"/>
        <v>17</v>
      </c>
      <c r="J1035" s="15" t="s">
        <v>17028</v>
      </c>
      <c r="K1035" s="15" t="s">
        <v>1877</v>
      </c>
      <c r="L1035" s="9" t="str">
        <f>VLOOKUP(K1035,[1]中国省份_标准!$B$2:$F$35,4,FALSE)</f>
        <v>中部地区</v>
      </c>
      <c r="M1035" s="9" t="str">
        <f>VLOOKUP(K1035,[1]中国省份_标准!$B$2:$F$35,5,FALSE)</f>
        <v>华中地区</v>
      </c>
      <c r="N1035" s="15" t="s">
        <v>5339</v>
      </c>
      <c r="O1035" s="15" t="s">
        <v>5667</v>
      </c>
      <c r="P1035" s="15" t="s">
        <v>17029</v>
      </c>
      <c r="Q1035" s="15" t="s">
        <v>17030</v>
      </c>
      <c r="R1035" s="15" t="s">
        <v>39</v>
      </c>
      <c r="S1035" s="15" t="s">
        <v>39</v>
      </c>
      <c r="T1035" s="15" t="s">
        <v>48</v>
      </c>
      <c r="U1035" s="15" t="s">
        <v>17025</v>
      </c>
      <c r="V1035" s="15" t="s">
        <v>17031</v>
      </c>
      <c r="W1035" s="15" t="s">
        <v>17032</v>
      </c>
      <c r="X1035" s="15" t="s">
        <v>1794</v>
      </c>
      <c r="Y1035" s="15" t="s">
        <v>78</v>
      </c>
      <c r="Z1035" s="15" t="s">
        <v>17033</v>
      </c>
      <c r="AA1035" s="15" t="s">
        <v>850</v>
      </c>
      <c r="AB1035" s="15" t="s">
        <v>9442</v>
      </c>
      <c r="AC1035" s="15" t="s">
        <v>10006</v>
      </c>
      <c r="AD1035" s="15" t="s">
        <v>14959</v>
      </c>
      <c r="AE1035" s="15" t="s">
        <v>55</v>
      </c>
      <c r="AF1035" s="15" t="s">
        <v>17034</v>
      </c>
      <c r="AG1035" s="15" t="s">
        <v>39</v>
      </c>
      <c r="AH1035" s="15" t="s">
        <v>39</v>
      </c>
      <c r="AI1035" s="15" t="s">
        <v>17035</v>
      </c>
      <c r="AJ1035" s="15" t="s">
        <v>17036</v>
      </c>
      <c r="AK1035" s="15" t="s">
        <v>8575</v>
      </c>
      <c r="AL1035" s="15" t="s">
        <v>88</v>
      </c>
    </row>
    <row r="1036" spans="1:38" x14ac:dyDescent="0.4">
      <c r="A1036" s="11" t="s">
        <v>17037</v>
      </c>
      <c r="B1036" s="12" t="s">
        <v>17038</v>
      </c>
      <c r="C1036" s="13" t="s">
        <v>17039</v>
      </c>
      <c r="D1036" s="13" t="s">
        <v>63</v>
      </c>
      <c r="E1036" s="13" t="s">
        <v>17040</v>
      </c>
      <c r="F1036" s="13" t="s">
        <v>178</v>
      </c>
      <c r="G1036" s="13" t="s">
        <v>271</v>
      </c>
      <c r="H1036" s="13" t="s">
        <v>17041</v>
      </c>
      <c r="I1036" s="9">
        <f t="shared" ca="1" si="16"/>
        <v>19</v>
      </c>
      <c r="J1036" s="13" t="s">
        <v>17042</v>
      </c>
      <c r="K1036" s="13" t="s">
        <v>67</v>
      </c>
      <c r="L1036" s="9" t="str">
        <f>VLOOKUP(K1036,[1]中国省份_标准!$B$2:$F$35,4,FALSE)</f>
        <v>东部地区</v>
      </c>
      <c r="M1036" s="9" t="str">
        <f>VLOOKUP(K1036,[1]中国省份_标准!$B$2:$F$35,5,FALSE)</f>
        <v>华东地区</v>
      </c>
      <c r="N1036" s="13" t="s">
        <v>1986</v>
      </c>
      <c r="O1036" s="13" t="s">
        <v>17043</v>
      </c>
      <c r="P1036" s="13" t="s">
        <v>17044</v>
      </c>
      <c r="Q1036" s="13" t="s">
        <v>17045</v>
      </c>
      <c r="R1036" s="13" t="s">
        <v>17046</v>
      </c>
      <c r="S1036" s="13" t="s">
        <v>17047</v>
      </c>
      <c r="T1036" s="13" t="s">
        <v>48</v>
      </c>
      <c r="U1036" s="13" t="s">
        <v>17038</v>
      </c>
      <c r="V1036" s="13" t="s">
        <v>17048</v>
      </c>
      <c r="W1036" s="13" t="s">
        <v>17049</v>
      </c>
      <c r="X1036" s="13" t="s">
        <v>14927</v>
      </c>
      <c r="Y1036" s="13" t="s">
        <v>78</v>
      </c>
      <c r="Z1036" s="13" t="s">
        <v>17050</v>
      </c>
      <c r="AA1036" s="13" t="s">
        <v>850</v>
      </c>
      <c r="AB1036" s="13" t="s">
        <v>11570</v>
      </c>
      <c r="AC1036" s="13" t="s">
        <v>11571</v>
      </c>
      <c r="AD1036" s="13" t="s">
        <v>11622</v>
      </c>
      <c r="AE1036" s="13" t="s">
        <v>55</v>
      </c>
      <c r="AF1036" s="13" t="s">
        <v>17051</v>
      </c>
      <c r="AG1036" s="13" t="s">
        <v>17052</v>
      </c>
      <c r="AH1036" s="13" t="s">
        <v>39</v>
      </c>
      <c r="AI1036" s="13" t="s">
        <v>17053</v>
      </c>
      <c r="AJ1036" s="13" t="s">
        <v>17054</v>
      </c>
      <c r="AK1036" s="13" t="s">
        <v>17055</v>
      </c>
      <c r="AL1036" s="13" t="s">
        <v>88</v>
      </c>
    </row>
    <row r="1037" spans="1:38" x14ac:dyDescent="0.4">
      <c r="A1037" s="11" t="s">
        <v>17056</v>
      </c>
      <c r="B1037" s="14" t="s">
        <v>17057</v>
      </c>
      <c r="C1037" s="15" t="s">
        <v>17058</v>
      </c>
      <c r="D1037" s="15" t="s">
        <v>63</v>
      </c>
      <c r="E1037" s="15" t="s">
        <v>17059</v>
      </c>
      <c r="F1037" s="15" t="s">
        <v>442</v>
      </c>
      <c r="G1037" s="15" t="s">
        <v>39</v>
      </c>
      <c r="H1037" s="15" t="s">
        <v>7560</v>
      </c>
      <c r="I1037" s="9">
        <f t="shared" ca="1" si="16"/>
        <v>11</v>
      </c>
      <c r="J1037" s="15" t="s">
        <v>17060</v>
      </c>
      <c r="K1037" s="15" t="s">
        <v>67</v>
      </c>
      <c r="L1037" s="9" t="str">
        <f>VLOOKUP(K1037,[1]中国省份_标准!$B$2:$F$35,4,FALSE)</f>
        <v>东部地区</v>
      </c>
      <c r="M1037" s="9" t="str">
        <f>VLOOKUP(K1037,[1]中国省份_标准!$B$2:$F$35,5,FALSE)</f>
        <v>华东地区</v>
      </c>
      <c r="N1037" s="15" t="s">
        <v>2164</v>
      </c>
      <c r="O1037" s="15" t="s">
        <v>14884</v>
      </c>
      <c r="P1037" s="15" t="s">
        <v>17061</v>
      </c>
      <c r="Q1037" s="15" t="s">
        <v>17062</v>
      </c>
      <c r="R1037" s="15" t="s">
        <v>17063</v>
      </c>
      <c r="S1037" s="15" t="s">
        <v>17064</v>
      </c>
      <c r="T1037" s="15" t="s">
        <v>452</v>
      </c>
      <c r="U1037" s="15" t="s">
        <v>17057</v>
      </c>
      <c r="V1037" s="15" t="s">
        <v>17065</v>
      </c>
      <c r="W1037" s="15" t="s">
        <v>17066</v>
      </c>
      <c r="X1037" s="15" t="s">
        <v>1938</v>
      </c>
      <c r="Y1037" s="15" t="s">
        <v>78</v>
      </c>
      <c r="Z1037" s="15" t="s">
        <v>8612</v>
      </c>
      <c r="AA1037" s="15" t="s">
        <v>850</v>
      </c>
      <c r="AB1037" s="15" t="s">
        <v>7495</v>
      </c>
      <c r="AC1037" s="15" t="s">
        <v>17067</v>
      </c>
      <c r="AD1037" s="15" t="s">
        <v>17068</v>
      </c>
      <c r="AE1037" s="15" t="s">
        <v>55</v>
      </c>
      <c r="AF1037" s="15" t="s">
        <v>17069</v>
      </c>
      <c r="AG1037" s="15" t="s">
        <v>39</v>
      </c>
      <c r="AH1037" s="15" t="s">
        <v>39</v>
      </c>
      <c r="AI1037" s="15" t="s">
        <v>17070</v>
      </c>
      <c r="AJ1037" s="15" t="s">
        <v>17071</v>
      </c>
      <c r="AK1037" s="15" t="s">
        <v>14896</v>
      </c>
      <c r="AL1037" s="15" t="s">
        <v>88</v>
      </c>
    </row>
    <row r="1038" spans="1:38" x14ac:dyDescent="0.4">
      <c r="A1038" s="11" t="s">
        <v>17072</v>
      </c>
      <c r="B1038" s="12" t="s">
        <v>17073</v>
      </c>
      <c r="C1038" s="13" t="s">
        <v>17074</v>
      </c>
      <c r="D1038" s="13" t="s">
        <v>63</v>
      </c>
      <c r="E1038" s="13" t="s">
        <v>17075</v>
      </c>
      <c r="F1038" s="13" t="s">
        <v>17076</v>
      </c>
      <c r="G1038" s="13" t="s">
        <v>17076</v>
      </c>
      <c r="H1038" s="13" t="s">
        <v>17077</v>
      </c>
      <c r="I1038" s="9">
        <f t="shared" ca="1" si="16"/>
        <v>21</v>
      </c>
      <c r="J1038" s="13" t="s">
        <v>17078</v>
      </c>
      <c r="K1038" s="13" t="s">
        <v>425</v>
      </c>
      <c r="L1038" s="9" t="str">
        <f>VLOOKUP(K1038,[1]中国省份_标准!$B$2:$F$35,4,FALSE)</f>
        <v>东部地区</v>
      </c>
      <c r="M1038" s="9" t="str">
        <f>VLOOKUP(K1038,[1]中国省份_标准!$B$2:$F$35,5,FALSE)</f>
        <v>华东地区</v>
      </c>
      <c r="N1038" s="13" t="s">
        <v>2304</v>
      </c>
      <c r="O1038" s="13" t="s">
        <v>2305</v>
      </c>
      <c r="P1038" s="13" t="s">
        <v>17079</v>
      </c>
      <c r="Q1038" s="13" t="s">
        <v>17080</v>
      </c>
      <c r="R1038" s="13" t="s">
        <v>17081</v>
      </c>
      <c r="S1038" s="13" t="s">
        <v>17082</v>
      </c>
      <c r="T1038" s="13" t="s">
        <v>209</v>
      </c>
      <c r="U1038" s="13" t="s">
        <v>17073</v>
      </c>
      <c r="V1038" s="13" t="s">
        <v>17083</v>
      </c>
      <c r="W1038" s="13" t="s">
        <v>17084</v>
      </c>
      <c r="X1038" s="13" t="s">
        <v>3916</v>
      </c>
      <c r="Y1038" s="13" t="s">
        <v>78</v>
      </c>
      <c r="Z1038" s="13" t="s">
        <v>17085</v>
      </c>
      <c r="AA1038" s="13" t="s">
        <v>850</v>
      </c>
      <c r="AB1038" s="13" t="s">
        <v>851</v>
      </c>
      <c r="AC1038" s="13" t="s">
        <v>14445</v>
      </c>
      <c r="AD1038" s="13" t="s">
        <v>14445</v>
      </c>
      <c r="AE1038" s="13" t="s">
        <v>55</v>
      </c>
      <c r="AF1038" s="13" t="s">
        <v>17086</v>
      </c>
      <c r="AG1038" s="13" t="s">
        <v>39</v>
      </c>
      <c r="AH1038" s="13" t="s">
        <v>39</v>
      </c>
      <c r="AI1038" s="13" t="s">
        <v>17087</v>
      </c>
      <c r="AJ1038" s="13" t="s">
        <v>17088</v>
      </c>
      <c r="AK1038" s="13" t="s">
        <v>2317</v>
      </c>
      <c r="AL1038" s="13" t="s">
        <v>88</v>
      </c>
    </row>
    <row r="1039" spans="1:38" x14ac:dyDescent="0.4">
      <c r="A1039" s="11" t="s">
        <v>17089</v>
      </c>
      <c r="B1039" s="14" t="s">
        <v>17090</v>
      </c>
      <c r="C1039" s="15" t="s">
        <v>39</v>
      </c>
      <c r="D1039" s="15" t="s">
        <v>63</v>
      </c>
      <c r="E1039" s="15" t="s">
        <v>16961</v>
      </c>
      <c r="F1039" s="15" t="s">
        <v>17091</v>
      </c>
      <c r="G1039" s="15" t="s">
        <v>17091</v>
      </c>
      <c r="H1039" s="15" t="s">
        <v>17092</v>
      </c>
      <c r="I1039" s="9">
        <f t="shared" ca="1" si="16"/>
        <v>12</v>
      </c>
      <c r="J1039" s="15" t="s">
        <v>17093</v>
      </c>
      <c r="K1039" s="15" t="s">
        <v>531</v>
      </c>
      <c r="L1039" s="9" t="str">
        <f>VLOOKUP(K1039,[1]中国省份_标准!$B$2:$F$35,4,FALSE)</f>
        <v>东部地区</v>
      </c>
      <c r="M1039" s="9" t="str">
        <f>VLOOKUP(K1039,[1]中国省份_标准!$B$2:$F$35,5,FALSE)</f>
        <v>华南地区</v>
      </c>
      <c r="N1039" s="15" t="s">
        <v>2560</v>
      </c>
      <c r="O1039" s="15" t="s">
        <v>39</v>
      </c>
      <c r="P1039" s="15" t="s">
        <v>17094</v>
      </c>
      <c r="Q1039" s="15" t="s">
        <v>17095</v>
      </c>
      <c r="R1039" s="15" t="s">
        <v>17096</v>
      </c>
      <c r="S1039" s="15" t="s">
        <v>17097</v>
      </c>
      <c r="T1039" s="15" t="s">
        <v>209</v>
      </c>
      <c r="U1039" s="15" t="s">
        <v>17090</v>
      </c>
      <c r="V1039" s="15" t="s">
        <v>17098</v>
      </c>
      <c r="W1039" s="15" t="s">
        <v>17099</v>
      </c>
      <c r="X1039" s="15" t="s">
        <v>17100</v>
      </c>
      <c r="Y1039" s="15" t="s">
        <v>78</v>
      </c>
      <c r="Z1039" s="15" t="s">
        <v>17101</v>
      </c>
      <c r="AA1039" s="15" t="s">
        <v>850</v>
      </c>
      <c r="AB1039" s="15" t="s">
        <v>851</v>
      </c>
      <c r="AC1039" s="15" t="s">
        <v>39</v>
      </c>
      <c r="AD1039" s="15" t="s">
        <v>39</v>
      </c>
      <c r="AE1039" s="15" t="s">
        <v>55</v>
      </c>
      <c r="AF1039" s="15" t="s">
        <v>17102</v>
      </c>
      <c r="AG1039" s="15" t="s">
        <v>39</v>
      </c>
      <c r="AH1039" s="15" t="s">
        <v>39</v>
      </c>
      <c r="AI1039" s="15" t="s">
        <v>17103</v>
      </c>
      <c r="AJ1039" s="15" t="s">
        <v>17104</v>
      </c>
      <c r="AK1039" s="15" t="s">
        <v>2572</v>
      </c>
      <c r="AL1039" s="15" t="s">
        <v>88</v>
      </c>
    </row>
    <row r="1040" spans="1:38" x14ac:dyDescent="0.4">
      <c r="A1040" s="11" t="s">
        <v>17105</v>
      </c>
      <c r="B1040" s="12" t="s">
        <v>17106</v>
      </c>
      <c r="C1040" s="13" t="s">
        <v>17107</v>
      </c>
      <c r="D1040" s="13" t="s">
        <v>63</v>
      </c>
      <c r="E1040" s="13" t="s">
        <v>17108</v>
      </c>
      <c r="F1040" s="13" t="s">
        <v>2322</v>
      </c>
      <c r="G1040" s="13" t="s">
        <v>2322</v>
      </c>
      <c r="H1040" s="13" t="s">
        <v>17109</v>
      </c>
      <c r="I1040" s="9">
        <f t="shared" ca="1" si="16"/>
        <v>16</v>
      </c>
      <c r="J1040" s="13" t="s">
        <v>17110</v>
      </c>
      <c r="K1040" s="13" t="s">
        <v>425</v>
      </c>
      <c r="L1040" s="9" t="str">
        <f>VLOOKUP(K1040,[1]中国省份_标准!$B$2:$F$35,4,FALSE)</f>
        <v>东部地区</v>
      </c>
      <c r="M1040" s="9" t="str">
        <f>VLOOKUP(K1040,[1]中国省份_标准!$B$2:$F$35,5,FALSE)</f>
        <v>华东地区</v>
      </c>
      <c r="N1040" s="13" t="s">
        <v>3049</v>
      </c>
      <c r="O1040" s="13" t="s">
        <v>17111</v>
      </c>
      <c r="P1040" s="13" t="s">
        <v>17112</v>
      </c>
      <c r="Q1040" s="13" t="s">
        <v>17113</v>
      </c>
      <c r="R1040" s="13" t="s">
        <v>17114</v>
      </c>
      <c r="S1040" s="13" t="s">
        <v>17115</v>
      </c>
      <c r="T1040" s="13" t="s">
        <v>48</v>
      </c>
      <c r="U1040" s="13" t="s">
        <v>17106</v>
      </c>
      <c r="V1040" s="13" t="s">
        <v>17116</v>
      </c>
      <c r="W1040" s="13" t="s">
        <v>17117</v>
      </c>
      <c r="X1040" s="13" t="s">
        <v>17118</v>
      </c>
      <c r="Y1040" s="13" t="s">
        <v>78</v>
      </c>
      <c r="Z1040" s="13" t="s">
        <v>17119</v>
      </c>
      <c r="AA1040" s="13" t="s">
        <v>850</v>
      </c>
      <c r="AB1040" s="13" t="s">
        <v>851</v>
      </c>
      <c r="AC1040" s="13" t="s">
        <v>39</v>
      </c>
      <c r="AD1040" s="13" t="s">
        <v>39</v>
      </c>
      <c r="AE1040" s="13" t="s">
        <v>55</v>
      </c>
      <c r="AF1040" s="13" t="s">
        <v>17120</v>
      </c>
      <c r="AG1040" s="13" t="s">
        <v>17121</v>
      </c>
      <c r="AH1040" s="13" t="s">
        <v>39</v>
      </c>
      <c r="AI1040" s="13" t="s">
        <v>17122</v>
      </c>
      <c r="AJ1040" s="13" t="s">
        <v>17123</v>
      </c>
      <c r="AK1040" s="13" t="s">
        <v>17124</v>
      </c>
      <c r="AL1040" s="13" t="s">
        <v>88</v>
      </c>
    </row>
    <row r="1041" spans="1:38" x14ac:dyDescent="0.4">
      <c r="A1041" s="11" t="s">
        <v>17125</v>
      </c>
      <c r="B1041" s="14" t="s">
        <v>17126</v>
      </c>
      <c r="C1041" s="15" t="s">
        <v>39</v>
      </c>
      <c r="D1041" s="15" t="s">
        <v>92</v>
      </c>
      <c r="E1041" s="15" t="s">
        <v>17127</v>
      </c>
      <c r="F1041" s="15" t="s">
        <v>17128</v>
      </c>
      <c r="G1041" s="15" t="s">
        <v>17128</v>
      </c>
      <c r="H1041" s="15" t="s">
        <v>17129</v>
      </c>
      <c r="I1041" s="9">
        <f t="shared" ca="1" si="16"/>
        <v>18</v>
      </c>
      <c r="J1041" s="15" t="s">
        <v>17130</v>
      </c>
      <c r="K1041" s="15" t="s">
        <v>4266</v>
      </c>
      <c r="L1041" s="9" t="str">
        <f>VLOOKUP(K1041,[1]中国省份_标准!$B$2:$F$35,4,FALSE)</f>
        <v>东部地区</v>
      </c>
      <c r="M1041" s="9" t="str">
        <f>VLOOKUP(K1041,[1]中国省份_标准!$B$2:$F$35,5,FALSE)</f>
        <v>华北地区</v>
      </c>
      <c r="N1041" s="15" t="s">
        <v>4266</v>
      </c>
      <c r="O1041" s="15" t="s">
        <v>9575</v>
      </c>
      <c r="P1041" s="15" t="s">
        <v>17131</v>
      </c>
      <c r="Q1041" s="15" t="s">
        <v>17132</v>
      </c>
      <c r="R1041" s="15" t="s">
        <v>17133</v>
      </c>
      <c r="S1041" s="15" t="s">
        <v>17134</v>
      </c>
      <c r="T1041" s="15" t="s">
        <v>2932</v>
      </c>
      <c r="U1041" s="15" t="s">
        <v>17126</v>
      </c>
      <c r="V1041" s="15" t="s">
        <v>17135</v>
      </c>
      <c r="W1041" s="15" t="s">
        <v>17136</v>
      </c>
      <c r="X1041" s="15" t="s">
        <v>17137</v>
      </c>
      <c r="Y1041" s="15" t="s">
        <v>78</v>
      </c>
      <c r="Z1041" s="15" t="s">
        <v>17138</v>
      </c>
      <c r="AA1041" s="15" t="s">
        <v>850</v>
      </c>
      <c r="AB1041" s="15" t="s">
        <v>851</v>
      </c>
      <c r="AC1041" s="15" t="s">
        <v>3990</v>
      </c>
      <c r="AD1041" s="15" t="s">
        <v>3990</v>
      </c>
      <c r="AE1041" s="15" t="s">
        <v>262</v>
      </c>
      <c r="AF1041" s="15" t="s">
        <v>17139</v>
      </c>
      <c r="AG1041" s="15" t="s">
        <v>39</v>
      </c>
      <c r="AH1041" s="15" t="s">
        <v>17140</v>
      </c>
      <c r="AI1041" s="15" t="s">
        <v>17141</v>
      </c>
      <c r="AJ1041" s="15" t="s">
        <v>17142</v>
      </c>
      <c r="AK1041" s="15" t="s">
        <v>4296</v>
      </c>
      <c r="AL1041" s="15" t="s">
        <v>88</v>
      </c>
    </row>
    <row r="1042" spans="1:38" x14ac:dyDescent="0.4">
      <c r="A1042" s="11" t="s">
        <v>17143</v>
      </c>
      <c r="B1042" s="12" t="s">
        <v>17144</v>
      </c>
      <c r="C1042" s="13" t="s">
        <v>39</v>
      </c>
      <c r="D1042" s="13" t="s">
        <v>92</v>
      </c>
      <c r="E1042" s="13" t="s">
        <v>17145</v>
      </c>
      <c r="F1042" s="13" t="s">
        <v>17146</v>
      </c>
      <c r="G1042" s="13" t="s">
        <v>17146</v>
      </c>
      <c r="H1042" s="13" t="s">
        <v>17147</v>
      </c>
      <c r="I1042" s="9">
        <f t="shared" ca="1" si="16"/>
        <v>18</v>
      </c>
      <c r="J1042" s="13" t="s">
        <v>17148</v>
      </c>
      <c r="K1042" s="13" t="s">
        <v>4266</v>
      </c>
      <c r="L1042" s="9" t="str">
        <f>VLOOKUP(K1042,[1]中国省份_标准!$B$2:$F$35,4,FALSE)</f>
        <v>东部地区</v>
      </c>
      <c r="M1042" s="9" t="str">
        <f>VLOOKUP(K1042,[1]中国省份_标准!$B$2:$F$35,5,FALSE)</f>
        <v>华北地区</v>
      </c>
      <c r="N1042" s="13" t="s">
        <v>4266</v>
      </c>
      <c r="O1042" s="13" t="s">
        <v>9575</v>
      </c>
      <c r="P1042" s="13" t="s">
        <v>17149</v>
      </c>
      <c r="Q1042" s="13" t="s">
        <v>39</v>
      </c>
      <c r="R1042" s="13" t="s">
        <v>17150</v>
      </c>
      <c r="S1042" s="13" t="s">
        <v>39</v>
      </c>
      <c r="T1042" s="13" t="s">
        <v>670</v>
      </c>
      <c r="U1042" s="13" t="s">
        <v>17144</v>
      </c>
      <c r="V1042" s="13" t="s">
        <v>17151</v>
      </c>
      <c r="W1042" s="13" t="s">
        <v>17152</v>
      </c>
      <c r="X1042" s="13" t="s">
        <v>11072</v>
      </c>
      <c r="Y1042" s="13" t="s">
        <v>78</v>
      </c>
      <c r="Z1042" s="13" t="s">
        <v>17153</v>
      </c>
      <c r="AA1042" s="13" t="s">
        <v>52</v>
      </c>
      <c r="AB1042" s="13" t="s">
        <v>53</v>
      </c>
      <c r="AC1042" s="13" t="s">
        <v>54</v>
      </c>
      <c r="AD1042" s="13" t="s">
        <v>10593</v>
      </c>
      <c r="AE1042" s="13" t="s">
        <v>55</v>
      </c>
      <c r="AF1042" s="13" t="s">
        <v>17154</v>
      </c>
      <c r="AG1042" s="13" t="s">
        <v>39</v>
      </c>
      <c r="AH1042" s="13" t="s">
        <v>39</v>
      </c>
      <c r="AI1042" s="13" t="s">
        <v>17155</v>
      </c>
      <c r="AJ1042" s="13" t="s">
        <v>17156</v>
      </c>
      <c r="AK1042" s="13" t="s">
        <v>15898</v>
      </c>
      <c r="AL1042" s="13" t="s">
        <v>88</v>
      </c>
    </row>
    <row r="1043" spans="1:38" x14ac:dyDescent="0.4">
      <c r="A1043" s="11" t="s">
        <v>17157</v>
      </c>
      <c r="B1043" s="14" t="s">
        <v>17158</v>
      </c>
      <c r="C1043" s="15" t="s">
        <v>17159</v>
      </c>
      <c r="D1043" s="15" t="s">
        <v>63</v>
      </c>
      <c r="E1043" s="15" t="s">
        <v>17160</v>
      </c>
      <c r="F1043" s="15" t="s">
        <v>17161</v>
      </c>
      <c r="G1043" s="15" t="s">
        <v>17161</v>
      </c>
      <c r="H1043" s="15" t="s">
        <v>17162</v>
      </c>
      <c r="I1043" s="9">
        <f t="shared" ca="1" si="16"/>
        <v>23</v>
      </c>
      <c r="J1043" s="15" t="s">
        <v>17163</v>
      </c>
      <c r="K1043" s="15" t="s">
        <v>425</v>
      </c>
      <c r="L1043" s="9" t="str">
        <f>VLOOKUP(K1043,[1]中国省份_标准!$B$2:$F$35,4,FALSE)</f>
        <v>东部地区</v>
      </c>
      <c r="M1043" s="9" t="str">
        <f>VLOOKUP(K1043,[1]中国省份_标准!$B$2:$F$35,5,FALSE)</f>
        <v>华东地区</v>
      </c>
      <c r="N1043" s="15" t="s">
        <v>3013</v>
      </c>
      <c r="O1043" s="15" t="s">
        <v>3014</v>
      </c>
      <c r="P1043" s="15" t="s">
        <v>17164</v>
      </c>
      <c r="Q1043" s="15" t="s">
        <v>17165</v>
      </c>
      <c r="R1043" s="15" t="s">
        <v>17166</v>
      </c>
      <c r="S1043" s="15" t="s">
        <v>17167</v>
      </c>
      <c r="T1043" s="15" t="s">
        <v>209</v>
      </c>
      <c r="U1043" s="15" t="s">
        <v>17158</v>
      </c>
      <c r="V1043" s="15" t="s">
        <v>17168</v>
      </c>
      <c r="W1043" s="15" t="s">
        <v>17169</v>
      </c>
      <c r="X1043" s="15" t="s">
        <v>17170</v>
      </c>
      <c r="Y1043" s="15" t="s">
        <v>78</v>
      </c>
      <c r="Z1043" s="15" t="s">
        <v>17171</v>
      </c>
      <c r="AA1043" s="15" t="s">
        <v>850</v>
      </c>
      <c r="AB1043" s="15" t="s">
        <v>7495</v>
      </c>
      <c r="AC1043" s="15" t="s">
        <v>7496</v>
      </c>
      <c r="AD1043" s="15" t="s">
        <v>7497</v>
      </c>
      <c r="AE1043" s="15" t="s">
        <v>55</v>
      </c>
      <c r="AF1043" s="15" t="s">
        <v>17172</v>
      </c>
      <c r="AG1043" s="15" t="s">
        <v>17173</v>
      </c>
      <c r="AH1043" s="15" t="s">
        <v>39</v>
      </c>
      <c r="AI1043" s="15" t="s">
        <v>17174</v>
      </c>
      <c r="AJ1043" s="15" t="s">
        <v>17175</v>
      </c>
      <c r="AK1043" s="15" t="s">
        <v>3023</v>
      </c>
      <c r="AL1043" s="15" t="s">
        <v>88</v>
      </c>
    </row>
    <row r="1044" spans="1:38" x14ac:dyDescent="0.4">
      <c r="A1044" s="11" t="s">
        <v>17176</v>
      </c>
      <c r="B1044" s="12" t="s">
        <v>17177</v>
      </c>
      <c r="C1044" s="13" t="s">
        <v>39</v>
      </c>
      <c r="D1044" s="13" t="s">
        <v>63</v>
      </c>
      <c r="E1044" s="13" t="s">
        <v>17178</v>
      </c>
      <c r="F1044" s="13" t="s">
        <v>271</v>
      </c>
      <c r="G1044" s="13" t="s">
        <v>17179</v>
      </c>
      <c r="H1044" s="13" t="s">
        <v>17180</v>
      </c>
      <c r="I1044" s="9">
        <f t="shared" ca="1" si="16"/>
        <v>9</v>
      </c>
      <c r="J1044" s="13" t="s">
        <v>17181</v>
      </c>
      <c r="K1044" s="13" t="s">
        <v>67</v>
      </c>
      <c r="L1044" s="9" t="str">
        <f>VLOOKUP(K1044,[1]中国省份_标准!$B$2:$F$35,4,FALSE)</f>
        <v>东部地区</v>
      </c>
      <c r="M1044" s="9" t="str">
        <f>VLOOKUP(K1044,[1]中国省份_标准!$B$2:$F$35,5,FALSE)</f>
        <v>华东地区</v>
      </c>
      <c r="N1044" s="13" t="s">
        <v>7581</v>
      </c>
      <c r="O1044" s="13" t="s">
        <v>17182</v>
      </c>
      <c r="P1044" s="13" t="s">
        <v>17183</v>
      </c>
      <c r="Q1044" s="13" t="s">
        <v>17184</v>
      </c>
      <c r="R1044" s="13" t="s">
        <v>17185</v>
      </c>
      <c r="S1044" s="13" t="s">
        <v>17186</v>
      </c>
      <c r="T1044" s="13" t="s">
        <v>281</v>
      </c>
      <c r="U1044" s="13" t="s">
        <v>17177</v>
      </c>
      <c r="V1044" s="13" t="s">
        <v>17187</v>
      </c>
      <c r="W1044" s="13" t="s">
        <v>17188</v>
      </c>
      <c r="X1044" s="13" t="s">
        <v>5102</v>
      </c>
      <c r="Y1044" s="13" t="s">
        <v>78</v>
      </c>
      <c r="Z1044" s="13" t="s">
        <v>17189</v>
      </c>
      <c r="AA1044" s="13" t="s">
        <v>850</v>
      </c>
      <c r="AB1044" s="13" t="s">
        <v>9442</v>
      </c>
      <c r="AC1044" s="13" t="s">
        <v>10006</v>
      </c>
      <c r="AD1044" s="13" t="s">
        <v>14959</v>
      </c>
      <c r="AE1044" s="13" t="s">
        <v>109</v>
      </c>
      <c r="AF1044" s="13" t="s">
        <v>17190</v>
      </c>
      <c r="AG1044" s="13" t="s">
        <v>39</v>
      </c>
      <c r="AH1044" s="13" t="s">
        <v>39</v>
      </c>
      <c r="AI1044" s="13" t="s">
        <v>17191</v>
      </c>
      <c r="AJ1044" s="13" t="s">
        <v>17192</v>
      </c>
      <c r="AK1044" s="13" t="s">
        <v>17193</v>
      </c>
      <c r="AL1044" s="13" t="s">
        <v>88</v>
      </c>
    </row>
    <row r="1045" spans="1:38" x14ac:dyDescent="0.4">
      <c r="A1045" s="11" t="s">
        <v>17194</v>
      </c>
      <c r="B1045" s="14" t="s">
        <v>17195</v>
      </c>
      <c r="C1045" s="15" t="s">
        <v>39</v>
      </c>
      <c r="D1045" s="15" t="s">
        <v>92</v>
      </c>
      <c r="E1045" s="15" t="s">
        <v>17196</v>
      </c>
      <c r="F1045" s="15" t="s">
        <v>271</v>
      </c>
      <c r="G1045" s="15" t="s">
        <v>17197</v>
      </c>
      <c r="H1045" s="15" t="s">
        <v>17198</v>
      </c>
      <c r="I1045" s="9">
        <f t="shared" ca="1" si="16"/>
        <v>9</v>
      </c>
      <c r="J1045" s="15" t="s">
        <v>17199</v>
      </c>
      <c r="K1045" s="15" t="s">
        <v>531</v>
      </c>
      <c r="L1045" s="9" t="str">
        <f>VLOOKUP(K1045,[1]中国省份_标准!$B$2:$F$35,4,FALSE)</f>
        <v>东部地区</v>
      </c>
      <c r="M1045" s="9" t="str">
        <f>VLOOKUP(K1045,[1]中国省份_标准!$B$2:$F$35,5,FALSE)</f>
        <v>华南地区</v>
      </c>
      <c r="N1045" s="15" t="s">
        <v>1450</v>
      </c>
      <c r="O1045" s="15" t="s">
        <v>10070</v>
      </c>
      <c r="P1045" s="15" t="s">
        <v>17200</v>
      </c>
      <c r="Q1045" s="15" t="s">
        <v>17201</v>
      </c>
      <c r="R1045" s="15" t="s">
        <v>17202</v>
      </c>
      <c r="S1045" s="15" t="s">
        <v>39</v>
      </c>
      <c r="T1045" s="15" t="s">
        <v>48</v>
      </c>
      <c r="U1045" s="15" t="s">
        <v>17195</v>
      </c>
      <c r="V1045" s="15" t="s">
        <v>17203</v>
      </c>
      <c r="W1045" s="15" t="s">
        <v>17204</v>
      </c>
      <c r="X1045" s="15" t="s">
        <v>1209</v>
      </c>
      <c r="Y1045" s="15" t="s">
        <v>78</v>
      </c>
      <c r="Z1045" s="15" t="s">
        <v>17205</v>
      </c>
      <c r="AA1045" s="15" t="s">
        <v>52</v>
      </c>
      <c r="AB1045" s="15" t="s">
        <v>53</v>
      </c>
      <c r="AC1045" s="15" t="s">
        <v>1301</v>
      </c>
      <c r="AD1045" s="15" t="s">
        <v>6277</v>
      </c>
      <c r="AE1045" s="15" t="s">
        <v>109</v>
      </c>
      <c r="AF1045" s="15" t="s">
        <v>17206</v>
      </c>
      <c r="AG1045" s="15" t="s">
        <v>39</v>
      </c>
      <c r="AH1045" s="15" t="s">
        <v>39</v>
      </c>
      <c r="AI1045" s="15" t="s">
        <v>17207</v>
      </c>
      <c r="AJ1045" s="15" t="s">
        <v>17208</v>
      </c>
      <c r="AK1045" s="15" t="s">
        <v>10080</v>
      </c>
      <c r="AL1045" s="15" t="s">
        <v>88</v>
      </c>
    </row>
    <row r="1046" spans="1:38" x14ac:dyDescent="0.4">
      <c r="A1046" s="11" t="s">
        <v>17209</v>
      </c>
      <c r="B1046" s="12" t="s">
        <v>17210</v>
      </c>
      <c r="C1046" s="13" t="s">
        <v>39</v>
      </c>
      <c r="D1046" s="13" t="s">
        <v>63</v>
      </c>
      <c r="E1046" s="13" t="s">
        <v>17211</v>
      </c>
      <c r="F1046" s="13" t="s">
        <v>640</v>
      </c>
      <c r="G1046" s="13" t="s">
        <v>640</v>
      </c>
      <c r="H1046" s="13" t="s">
        <v>17212</v>
      </c>
      <c r="I1046" s="9">
        <f t="shared" ca="1" si="16"/>
        <v>10</v>
      </c>
      <c r="J1046" s="13" t="s">
        <v>17213</v>
      </c>
      <c r="K1046" s="13" t="s">
        <v>425</v>
      </c>
      <c r="L1046" s="9" t="str">
        <f>VLOOKUP(K1046,[1]中国省份_标准!$B$2:$F$35,4,FALSE)</f>
        <v>东部地区</v>
      </c>
      <c r="M1046" s="9" t="str">
        <f>VLOOKUP(K1046,[1]中国省份_标准!$B$2:$F$35,5,FALSE)</f>
        <v>华东地区</v>
      </c>
      <c r="N1046" s="13" t="s">
        <v>426</v>
      </c>
      <c r="O1046" s="13" t="s">
        <v>427</v>
      </c>
      <c r="P1046" s="13" t="s">
        <v>17214</v>
      </c>
      <c r="Q1046" s="13" t="s">
        <v>17215</v>
      </c>
      <c r="R1046" s="13" t="s">
        <v>17216</v>
      </c>
      <c r="S1046" s="13" t="s">
        <v>17217</v>
      </c>
      <c r="T1046" s="13" t="s">
        <v>670</v>
      </c>
      <c r="U1046" s="13" t="s">
        <v>17210</v>
      </c>
      <c r="V1046" s="13" t="s">
        <v>17218</v>
      </c>
      <c r="W1046" s="13" t="s">
        <v>17219</v>
      </c>
      <c r="X1046" s="13" t="s">
        <v>557</v>
      </c>
      <c r="Y1046" s="13" t="s">
        <v>78</v>
      </c>
      <c r="Z1046" s="13" t="s">
        <v>17220</v>
      </c>
      <c r="AA1046" s="13" t="s">
        <v>850</v>
      </c>
      <c r="AB1046" s="13" t="s">
        <v>11570</v>
      </c>
      <c r="AC1046" s="13" t="s">
        <v>11571</v>
      </c>
      <c r="AD1046" s="13" t="s">
        <v>39</v>
      </c>
      <c r="AE1046" s="13" t="s">
        <v>109</v>
      </c>
      <c r="AF1046" s="13" t="s">
        <v>17221</v>
      </c>
      <c r="AG1046" s="13" t="s">
        <v>39</v>
      </c>
      <c r="AH1046" s="13" t="s">
        <v>17222</v>
      </c>
      <c r="AI1046" s="13" t="s">
        <v>17223</v>
      </c>
      <c r="AJ1046" s="13" t="s">
        <v>17224</v>
      </c>
      <c r="AK1046" s="13" t="s">
        <v>2191</v>
      </c>
      <c r="AL1046" s="13" t="s">
        <v>88</v>
      </c>
    </row>
    <row r="1047" spans="1:38" x14ac:dyDescent="0.4">
      <c r="A1047" s="11" t="s">
        <v>17225</v>
      </c>
      <c r="B1047" s="14" t="s">
        <v>17226</v>
      </c>
      <c r="C1047" s="15" t="s">
        <v>17227</v>
      </c>
      <c r="D1047" s="15" t="s">
        <v>92</v>
      </c>
      <c r="E1047" s="15" t="s">
        <v>17228</v>
      </c>
      <c r="F1047" s="15" t="s">
        <v>10551</v>
      </c>
      <c r="G1047" s="15" t="s">
        <v>13524</v>
      </c>
      <c r="H1047" s="15" t="s">
        <v>11632</v>
      </c>
      <c r="I1047" s="9">
        <f t="shared" ca="1" si="16"/>
        <v>23</v>
      </c>
      <c r="J1047" s="15" t="s">
        <v>17229</v>
      </c>
      <c r="K1047" s="15" t="s">
        <v>227</v>
      </c>
      <c r="L1047" s="9" t="str">
        <f>VLOOKUP(K1047,[1]中国省份_标准!$B$2:$F$35,4,FALSE)</f>
        <v>西部地区</v>
      </c>
      <c r="M1047" s="9" t="str">
        <f>VLOOKUP(K1047,[1]中国省份_标准!$B$2:$F$35,5,FALSE)</f>
        <v>西北地区</v>
      </c>
      <c r="N1047" s="15" t="s">
        <v>15267</v>
      </c>
      <c r="O1047" s="15" t="s">
        <v>17230</v>
      </c>
      <c r="P1047" s="15" t="s">
        <v>17231</v>
      </c>
      <c r="Q1047" s="15" t="s">
        <v>17232</v>
      </c>
      <c r="R1047" s="15" t="s">
        <v>17233</v>
      </c>
      <c r="S1047" s="15" t="s">
        <v>17234</v>
      </c>
      <c r="T1047" s="15" t="s">
        <v>209</v>
      </c>
      <c r="U1047" s="15" t="s">
        <v>17226</v>
      </c>
      <c r="V1047" s="15" t="s">
        <v>17235</v>
      </c>
      <c r="W1047" s="15" t="s">
        <v>17236</v>
      </c>
      <c r="X1047" s="15" t="s">
        <v>3077</v>
      </c>
      <c r="Y1047" s="15" t="s">
        <v>78</v>
      </c>
      <c r="Z1047" s="15" t="s">
        <v>17237</v>
      </c>
      <c r="AA1047" s="15" t="s">
        <v>850</v>
      </c>
      <c r="AB1047" s="15" t="s">
        <v>9442</v>
      </c>
      <c r="AC1047" s="15" t="s">
        <v>10006</v>
      </c>
      <c r="AD1047" s="15" t="s">
        <v>10007</v>
      </c>
      <c r="AE1047" s="15" t="s">
        <v>55</v>
      </c>
      <c r="AF1047" s="15" t="s">
        <v>17238</v>
      </c>
      <c r="AG1047" s="15" t="s">
        <v>39</v>
      </c>
      <c r="AH1047" s="15" t="s">
        <v>39</v>
      </c>
      <c r="AI1047" s="15" t="s">
        <v>17239</v>
      </c>
      <c r="AJ1047" s="15" t="s">
        <v>17240</v>
      </c>
      <c r="AK1047" s="15" t="s">
        <v>17241</v>
      </c>
      <c r="AL1047" s="15" t="s">
        <v>88</v>
      </c>
    </row>
    <row r="1048" spans="1:38" x14ac:dyDescent="0.4">
      <c r="A1048" s="11" t="s">
        <v>17242</v>
      </c>
      <c r="B1048" s="12" t="s">
        <v>17243</v>
      </c>
      <c r="C1048" s="13" t="s">
        <v>17244</v>
      </c>
      <c r="D1048" s="13" t="s">
        <v>92</v>
      </c>
      <c r="E1048" s="13" t="s">
        <v>17245</v>
      </c>
      <c r="F1048" s="13" t="s">
        <v>178</v>
      </c>
      <c r="G1048" s="13" t="s">
        <v>17246</v>
      </c>
      <c r="H1048" s="13" t="s">
        <v>17247</v>
      </c>
      <c r="I1048" s="9">
        <f t="shared" ca="1" si="16"/>
        <v>8</v>
      </c>
      <c r="J1048" s="13" t="s">
        <v>17248</v>
      </c>
      <c r="K1048" s="13" t="s">
        <v>45</v>
      </c>
      <c r="L1048" s="9" t="str">
        <f>VLOOKUP(K1048,[1]中国省份_标准!$B$2:$F$35,4,FALSE)</f>
        <v>东部地区</v>
      </c>
      <c r="M1048" s="9" t="str">
        <f>VLOOKUP(K1048,[1]中国省份_标准!$B$2:$F$35,5,FALSE)</f>
        <v>华东地区</v>
      </c>
      <c r="N1048" s="13" t="s">
        <v>45</v>
      </c>
      <c r="O1048" s="13" t="s">
        <v>14173</v>
      </c>
      <c r="P1048" s="13" t="s">
        <v>17249</v>
      </c>
      <c r="Q1048" s="13" t="s">
        <v>17250</v>
      </c>
      <c r="R1048" s="13" t="s">
        <v>17251</v>
      </c>
      <c r="S1048" s="13" t="s">
        <v>39</v>
      </c>
      <c r="T1048" s="13" t="s">
        <v>48</v>
      </c>
      <c r="U1048" s="13" t="s">
        <v>17243</v>
      </c>
      <c r="V1048" s="13" t="s">
        <v>17252</v>
      </c>
      <c r="W1048" s="13" t="s">
        <v>17253</v>
      </c>
      <c r="X1048" s="13" t="s">
        <v>1209</v>
      </c>
      <c r="Y1048" s="13" t="s">
        <v>78</v>
      </c>
      <c r="Z1048" s="13" t="s">
        <v>17254</v>
      </c>
      <c r="AA1048" s="13" t="s">
        <v>850</v>
      </c>
      <c r="AB1048" s="13" t="s">
        <v>11570</v>
      </c>
      <c r="AC1048" s="13" t="s">
        <v>11571</v>
      </c>
      <c r="AD1048" s="13" t="s">
        <v>14322</v>
      </c>
      <c r="AE1048" s="13" t="s">
        <v>109</v>
      </c>
      <c r="AF1048" s="13" t="s">
        <v>17255</v>
      </c>
      <c r="AG1048" s="13" t="s">
        <v>39</v>
      </c>
      <c r="AH1048" s="13" t="s">
        <v>17256</v>
      </c>
      <c r="AI1048" s="13" t="s">
        <v>17257</v>
      </c>
      <c r="AJ1048" s="13" t="s">
        <v>17258</v>
      </c>
      <c r="AK1048" s="13" t="s">
        <v>14184</v>
      </c>
      <c r="AL1048" s="13" t="s">
        <v>88</v>
      </c>
    </row>
    <row r="1049" spans="1:38" x14ac:dyDescent="0.4">
      <c r="A1049" s="11" t="s">
        <v>17259</v>
      </c>
      <c r="B1049" s="14" t="s">
        <v>17260</v>
      </c>
      <c r="C1049" s="15" t="s">
        <v>39</v>
      </c>
      <c r="D1049" s="15" t="s">
        <v>63</v>
      </c>
      <c r="E1049" s="15" t="s">
        <v>17261</v>
      </c>
      <c r="F1049" s="15" t="s">
        <v>640</v>
      </c>
      <c r="G1049" s="15" t="s">
        <v>640</v>
      </c>
      <c r="H1049" s="15" t="s">
        <v>17262</v>
      </c>
      <c r="I1049" s="9">
        <f t="shared" ca="1" si="16"/>
        <v>9</v>
      </c>
      <c r="J1049" s="15" t="s">
        <v>17263</v>
      </c>
      <c r="K1049" s="15" t="s">
        <v>67</v>
      </c>
      <c r="L1049" s="9" t="str">
        <f>VLOOKUP(K1049,[1]中国省份_标准!$B$2:$F$35,4,FALSE)</f>
        <v>东部地区</v>
      </c>
      <c r="M1049" s="9" t="str">
        <f>VLOOKUP(K1049,[1]中国省份_标准!$B$2:$F$35,5,FALSE)</f>
        <v>华东地区</v>
      </c>
      <c r="N1049" s="15" t="s">
        <v>203</v>
      </c>
      <c r="O1049" s="15" t="s">
        <v>8923</v>
      </c>
      <c r="P1049" s="15" t="s">
        <v>17264</v>
      </c>
      <c r="Q1049" s="15" t="s">
        <v>39</v>
      </c>
      <c r="R1049" s="15" t="s">
        <v>17265</v>
      </c>
      <c r="S1049" s="15" t="s">
        <v>39</v>
      </c>
      <c r="T1049" s="15" t="s">
        <v>452</v>
      </c>
      <c r="U1049" s="15" t="s">
        <v>17260</v>
      </c>
      <c r="V1049" s="15" t="s">
        <v>17266</v>
      </c>
      <c r="W1049" s="15" t="s">
        <v>17267</v>
      </c>
      <c r="X1049" s="15" t="s">
        <v>8641</v>
      </c>
      <c r="Y1049" s="15" t="s">
        <v>78</v>
      </c>
      <c r="Z1049" s="15" t="s">
        <v>17268</v>
      </c>
      <c r="AA1049" s="15" t="s">
        <v>850</v>
      </c>
      <c r="AB1049" s="15" t="s">
        <v>7495</v>
      </c>
      <c r="AC1049" s="15" t="s">
        <v>7496</v>
      </c>
      <c r="AD1049" s="15" t="s">
        <v>8961</v>
      </c>
      <c r="AE1049" s="15" t="s">
        <v>55</v>
      </c>
      <c r="AF1049" s="15" t="s">
        <v>17269</v>
      </c>
      <c r="AG1049" s="15" t="s">
        <v>17270</v>
      </c>
      <c r="AH1049" s="15" t="s">
        <v>17271</v>
      </c>
      <c r="AI1049" s="15" t="s">
        <v>17272</v>
      </c>
      <c r="AJ1049" s="15" t="s">
        <v>17273</v>
      </c>
      <c r="AK1049" s="15" t="s">
        <v>8933</v>
      </c>
      <c r="AL1049" s="15" t="s">
        <v>88</v>
      </c>
    </row>
    <row r="1050" spans="1:38" x14ac:dyDescent="0.4">
      <c r="A1050" s="11" t="s">
        <v>17274</v>
      </c>
      <c r="B1050" s="12" t="s">
        <v>17275</v>
      </c>
      <c r="C1050" s="13" t="s">
        <v>17276</v>
      </c>
      <c r="D1050" s="13" t="s">
        <v>63</v>
      </c>
      <c r="E1050" s="13" t="s">
        <v>17277</v>
      </c>
      <c r="F1050" s="13" t="s">
        <v>2161</v>
      </c>
      <c r="G1050" s="13" t="s">
        <v>2161</v>
      </c>
      <c r="H1050" s="13" t="s">
        <v>17278</v>
      </c>
      <c r="I1050" s="9">
        <f t="shared" ca="1" si="16"/>
        <v>19</v>
      </c>
      <c r="J1050" s="13" t="s">
        <v>17279</v>
      </c>
      <c r="K1050" s="13" t="s">
        <v>67</v>
      </c>
      <c r="L1050" s="9" t="str">
        <f>VLOOKUP(K1050,[1]中国省份_标准!$B$2:$F$35,4,FALSE)</f>
        <v>东部地区</v>
      </c>
      <c r="M1050" s="9" t="str">
        <f>VLOOKUP(K1050,[1]中国省份_标准!$B$2:$F$35,5,FALSE)</f>
        <v>华东地区</v>
      </c>
      <c r="N1050" s="13" t="s">
        <v>203</v>
      </c>
      <c r="O1050" s="13" t="s">
        <v>14548</v>
      </c>
      <c r="P1050" s="13" t="s">
        <v>17280</v>
      </c>
      <c r="Q1050" s="13" t="s">
        <v>17281</v>
      </c>
      <c r="R1050" s="13" t="s">
        <v>17282</v>
      </c>
      <c r="S1050" s="13" t="s">
        <v>17283</v>
      </c>
      <c r="T1050" s="13" t="s">
        <v>48</v>
      </c>
      <c r="U1050" s="13" t="s">
        <v>17275</v>
      </c>
      <c r="V1050" s="13" t="s">
        <v>17284</v>
      </c>
      <c r="W1050" s="13" t="s">
        <v>17285</v>
      </c>
      <c r="X1050" s="13" t="s">
        <v>16656</v>
      </c>
      <c r="Y1050" s="13" t="s">
        <v>78</v>
      </c>
      <c r="Z1050" s="13" t="s">
        <v>17286</v>
      </c>
      <c r="AA1050" s="13" t="s">
        <v>850</v>
      </c>
      <c r="AB1050" s="13" t="s">
        <v>11570</v>
      </c>
      <c r="AC1050" s="13" t="s">
        <v>11571</v>
      </c>
      <c r="AD1050" s="13" t="s">
        <v>11622</v>
      </c>
      <c r="AE1050" s="13" t="s">
        <v>55</v>
      </c>
      <c r="AF1050" s="13" t="s">
        <v>17287</v>
      </c>
      <c r="AG1050" s="13" t="s">
        <v>17288</v>
      </c>
      <c r="AH1050" s="13" t="s">
        <v>17289</v>
      </c>
      <c r="AI1050" s="13" t="s">
        <v>17290</v>
      </c>
      <c r="AJ1050" s="13" t="s">
        <v>17291</v>
      </c>
      <c r="AK1050" s="13" t="s">
        <v>14629</v>
      </c>
      <c r="AL1050" s="13" t="s">
        <v>88</v>
      </c>
    </row>
    <row r="1051" spans="1:38" x14ac:dyDescent="0.4">
      <c r="A1051" s="11" t="s">
        <v>17292</v>
      </c>
      <c r="B1051" s="14" t="s">
        <v>17293</v>
      </c>
      <c r="C1051" s="15" t="s">
        <v>39</v>
      </c>
      <c r="D1051" s="15" t="s">
        <v>92</v>
      </c>
      <c r="E1051" s="15" t="s">
        <v>17294</v>
      </c>
      <c r="F1051" s="15" t="s">
        <v>640</v>
      </c>
      <c r="G1051" s="15" t="s">
        <v>640</v>
      </c>
      <c r="H1051" s="15" t="s">
        <v>12567</v>
      </c>
      <c r="I1051" s="9">
        <f t="shared" ca="1" si="16"/>
        <v>14</v>
      </c>
      <c r="J1051" s="15" t="s">
        <v>17295</v>
      </c>
      <c r="K1051" s="15" t="s">
        <v>379</v>
      </c>
      <c r="L1051" s="9" t="str">
        <f>VLOOKUP(K1051,[1]中国省份_标准!$B$2:$F$35,4,FALSE)</f>
        <v>东部地区</v>
      </c>
      <c r="M1051" s="9" t="str">
        <f>VLOOKUP(K1051,[1]中国省份_标准!$B$2:$F$35,5,FALSE)</f>
        <v>华东地区</v>
      </c>
      <c r="N1051" s="15" t="s">
        <v>1221</v>
      </c>
      <c r="O1051" s="15" t="s">
        <v>17296</v>
      </c>
      <c r="P1051" s="15" t="s">
        <v>17297</v>
      </c>
      <c r="Q1051" s="15" t="s">
        <v>17298</v>
      </c>
      <c r="R1051" s="15" t="s">
        <v>17299</v>
      </c>
      <c r="S1051" s="15" t="s">
        <v>17300</v>
      </c>
      <c r="T1051" s="15" t="s">
        <v>48</v>
      </c>
      <c r="U1051" s="15" t="s">
        <v>17293</v>
      </c>
      <c r="V1051" s="15" t="s">
        <v>17301</v>
      </c>
      <c r="W1051" s="15" t="s">
        <v>17302</v>
      </c>
      <c r="X1051" s="15" t="s">
        <v>455</v>
      </c>
      <c r="Y1051" s="15" t="s">
        <v>78</v>
      </c>
      <c r="Z1051" s="15" t="s">
        <v>17303</v>
      </c>
      <c r="AA1051" s="15" t="s">
        <v>850</v>
      </c>
      <c r="AB1051" s="15" t="s">
        <v>11570</v>
      </c>
      <c r="AC1051" s="15" t="s">
        <v>11571</v>
      </c>
      <c r="AD1051" s="15" t="s">
        <v>14322</v>
      </c>
      <c r="AE1051" s="15" t="s">
        <v>109</v>
      </c>
      <c r="AF1051" s="15" t="s">
        <v>17304</v>
      </c>
      <c r="AG1051" s="15" t="s">
        <v>17305</v>
      </c>
      <c r="AH1051" s="15" t="s">
        <v>39</v>
      </c>
      <c r="AI1051" s="15" t="s">
        <v>17306</v>
      </c>
      <c r="AJ1051" s="15" t="s">
        <v>17307</v>
      </c>
      <c r="AK1051" s="15" t="s">
        <v>17308</v>
      </c>
      <c r="AL1051" s="15" t="s">
        <v>88</v>
      </c>
    </row>
    <row r="1052" spans="1:38" x14ac:dyDescent="0.4">
      <c r="A1052" s="11" t="s">
        <v>17309</v>
      </c>
      <c r="B1052" s="12" t="s">
        <v>17310</v>
      </c>
      <c r="C1052" s="13" t="s">
        <v>39</v>
      </c>
      <c r="D1052" s="13" t="s">
        <v>92</v>
      </c>
      <c r="E1052" s="13" t="s">
        <v>17311</v>
      </c>
      <c r="F1052" s="13" t="s">
        <v>178</v>
      </c>
      <c r="G1052" s="13" t="s">
        <v>178</v>
      </c>
      <c r="H1052" s="13" t="s">
        <v>17312</v>
      </c>
      <c r="I1052" s="9">
        <f t="shared" ca="1" si="16"/>
        <v>9</v>
      </c>
      <c r="J1052" s="13" t="s">
        <v>17313</v>
      </c>
      <c r="K1052" s="13" t="s">
        <v>425</v>
      </c>
      <c r="L1052" s="9" t="str">
        <f>VLOOKUP(K1052,[1]中国省份_标准!$B$2:$F$35,4,FALSE)</f>
        <v>东部地区</v>
      </c>
      <c r="M1052" s="9" t="str">
        <f>VLOOKUP(K1052,[1]中国省份_标准!$B$2:$F$35,5,FALSE)</f>
        <v>华东地区</v>
      </c>
      <c r="N1052" s="13" t="s">
        <v>2304</v>
      </c>
      <c r="O1052" s="13" t="s">
        <v>8652</v>
      </c>
      <c r="P1052" s="13" t="s">
        <v>17314</v>
      </c>
      <c r="Q1052" s="13" t="s">
        <v>11546</v>
      </c>
      <c r="R1052" s="13" t="s">
        <v>17315</v>
      </c>
      <c r="S1052" s="13" t="s">
        <v>39</v>
      </c>
      <c r="T1052" s="13" t="s">
        <v>209</v>
      </c>
      <c r="U1052" s="13" t="s">
        <v>17310</v>
      </c>
      <c r="V1052" s="13" t="s">
        <v>17316</v>
      </c>
      <c r="W1052" s="13" t="s">
        <v>17317</v>
      </c>
      <c r="X1052" s="13" t="s">
        <v>10276</v>
      </c>
      <c r="Y1052" s="13" t="s">
        <v>78</v>
      </c>
      <c r="Z1052" s="13" t="s">
        <v>17318</v>
      </c>
      <c r="AA1052" s="13" t="s">
        <v>850</v>
      </c>
      <c r="AB1052" s="13" t="s">
        <v>7495</v>
      </c>
      <c r="AC1052" s="13" t="s">
        <v>17067</v>
      </c>
      <c r="AD1052" s="13" t="s">
        <v>39</v>
      </c>
      <c r="AE1052" s="13" t="s">
        <v>55</v>
      </c>
      <c r="AF1052" s="13" t="s">
        <v>17319</v>
      </c>
      <c r="AG1052" s="13" t="s">
        <v>39</v>
      </c>
      <c r="AH1052" s="13" t="s">
        <v>39</v>
      </c>
      <c r="AI1052" s="13" t="s">
        <v>17320</v>
      </c>
      <c r="AJ1052" s="13" t="s">
        <v>17321</v>
      </c>
      <c r="AK1052" s="13" t="s">
        <v>11556</v>
      </c>
      <c r="AL1052" s="13" t="s">
        <v>88</v>
      </c>
    </row>
    <row r="1053" spans="1:38" x14ac:dyDescent="0.4">
      <c r="A1053" s="11" t="s">
        <v>17322</v>
      </c>
      <c r="B1053" s="14" t="s">
        <v>17323</v>
      </c>
      <c r="C1053" s="15" t="s">
        <v>39</v>
      </c>
      <c r="D1053" s="15" t="s">
        <v>92</v>
      </c>
      <c r="E1053" s="15" t="s">
        <v>17324</v>
      </c>
      <c r="F1053" s="15" t="s">
        <v>999</v>
      </c>
      <c r="G1053" s="15" t="s">
        <v>999</v>
      </c>
      <c r="H1053" s="15" t="s">
        <v>17325</v>
      </c>
      <c r="I1053" s="9">
        <f t="shared" ca="1" si="16"/>
        <v>7</v>
      </c>
      <c r="J1053" s="15" t="s">
        <v>17326</v>
      </c>
      <c r="K1053" s="15" t="s">
        <v>702</v>
      </c>
      <c r="L1053" s="9" t="str">
        <f>VLOOKUP(K1053,[1]中国省份_标准!$B$2:$F$35,4,FALSE)</f>
        <v>东部地区</v>
      </c>
      <c r="M1053" s="9" t="str">
        <f>VLOOKUP(K1053,[1]中国省份_标准!$B$2:$F$35,5,FALSE)</f>
        <v>华北地区</v>
      </c>
      <c r="N1053" s="15" t="s">
        <v>820</v>
      </c>
      <c r="O1053" s="15" t="s">
        <v>3737</v>
      </c>
      <c r="P1053" s="15" t="s">
        <v>17327</v>
      </c>
      <c r="Q1053" s="15" t="s">
        <v>39</v>
      </c>
      <c r="R1053" s="15" t="s">
        <v>17328</v>
      </c>
      <c r="S1053" s="15" t="s">
        <v>39</v>
      </c>
      <c r="T1053" s="15" t="s">
        <v>452</v>
      </c>
      <c r="U1053" s="15" t="s">
        <v>17323</v>
      </c>
      <c r="V1053" s="15" t="s">
        <v>17329</v>
      </c>
      <c r="W1053" s="15" t="s">
        <v>17330</v>
      </c>
      <c r="X1053" s="15" t="s">
        <v>557</v>
      </c>
      <c r="Y1053" s="15" t="s">
        <v>78</v>
      </c>
      <c r="Z1053" s="15" t="s">
        <v>17331</v>
      </c>
      <c r="AA1053" s="15" t="s">
        <v>850</v>
      </c>
      <c r="AB1053" s="15" t="s">
        <v>9442</v>
      </c>
      <c r="AC1053" s="15" t="s">
        <v>10006</v>
      </c>
      <c r="AD1053" s="15" t="s">
        <v>10007</v>
      </c>
      <c r="AE1053" s="15" t="s">
        <v>109</v>
      </c>
      <c r="AF1053" s="15" t="s">
        <v>17332</v>
      </c>
      <c r="AG1053" s="15" t="s">
        <v>39</v>
      </c>
      <c r="AH1053" s="15" t="s">
        <v>39</v>
      </c>
      <c r="AI1053" s="15" t="s">
        <v>17333</v>
      </c>
      <c r="AJ1053" s="15" t="s">
        <v>17334</v>
      </c>
      <c r="AK1053" s="15" t="s">
        <v>3748</v>
      </c>
      <c r="AL1053" s="15" t="s">
        <v>88</v>
      </c>
    </row>
    <row r="1054" spans="1:38" x14ac:dyDescent="0.4">
      <c r="A1054" s="11" t="s">
        <v>17335</v>
      </c>
      <c r="B1054" s="12" t="s">
        <v>17336</v>
      </c>
      <c r="C1054" s="13" t="s">
        <v>39</v>
      </c>
      <c r="D1054" s="13" t="s">
        <v>92</v>
      </c>
      <c r="E1054" s="13" t="s">
        <v>15618</v>
      </c>
      <c r="F1054" s="13" t="s">
        <v>3890</v>
      </c>
      <c r="G1054" s="13" t="s">
        <v>3890</v>
      </c>
      <c r="H1054" s="13" t="s">
        <v>17337</v>
      </c>
      <c r="I1054" s="9">
        <f t="shared" ca="1" si="16"/>
        <v>11</v>
      </c>
      <c r="J1054" s="13" t="s">
        <v>17338</v>
      </c>
      <c r="K1054" s="13" t="s">
        <v>138</v>
      </c>
      <c r="L1054" s="9" t="str">
        <f>VLOOKUP(K1054,[1]中国省份_标准!$B$2:$F$35,4,FALSE)</f>
        <v>西部地区</v>
      </c>
      <c r="M1054" s="9" t="str">
        <f>VLOOKUP(K1054,[1]中国省份_标准!$B$2:$F$35,5,FALSE)</f>
        <v>西南地区</v>
      </c>
      <c r="N1054" s="13" t="s">
        <v>4803</v>
      </c>
      <c r="O1054" s="13" t="s">
        <v>4804</v>
      </c>
      <c r="P1054" s="13" t="s">
        <v>17339</v>
      </c>
      <c r="Q1054" s="13" t="s">
        <v>17340</v>
      </c>
      <c r="R1054" s="13" t="s">
        <v>17341</v>
      </c>
      <c r="S1054" s="13" t="s">
        <v>39</v>
      </c>
      <c r="T1054" s="13" t="s">
        <v>48</v>
      </c>
      <c r="U1054" s="13" t="s">
        <v>17336</v>
      </c>
      <c r="V1054" s="13" t="s">
        <v>17342</v>
      </c>
      <c r="W1054" s="13" t="s">
        <v>17343</v>
      </c>
      <c r="X1054" s="13" t="s">
        <v>17344</v>
      </c>
      <c r="Y1054" s="13" t="s">
        <v>78</v>
      </c>
      <c r="Z1054" s="13" t="s">
        <v>17345</v>
      </c>
      <c r="AA1054" s="13" t="s">
        <v>850</v>
      </c>
      <c r="AB1054" s="13" t="s">
        <v>7495</v>
      </c>
      <c r="AC1054" s="13" t="s">
        <v>17067</v>
      </c>
      <c r="AD1054" s="13" t="s">
        <v>17346</v>
      </c>
      <c r="AE1054" s="13" t="s">
        <v>55</v>
      </c>
      <c r="AF1054" s="13" t="s">
        <v>17347</v>
      </c>
      <c r="AG1054" s="13" t="s">
        <v>39</v>
      </c>
      <c r="AH1054" s="13" t="s">
        <v>39</v>
      </c>
      <c r="AI1054" s="13" t="s">
        <v>17348</v>
      </c>
      <c r="AJ1054" s="13" t="s">
        <v>17349</v>
      </c>
      <c r="AK1054" s="13" t="s">
        <v>4814</v>
      </c>
      <c r="AL1054" s="13" t="s">
        <v>88</v>
      </c>
    </row>
    <row r="1055" spans="1:38" x14ac:dyDescent="0.4">
      <c r="A1055" s="11" t="s">
        <v>17350</v>
      </c>
      <c r="B1055" s="14" t="s">
        <v>17351</v>
      </c>
      <c r="C1055" s="15" t="s">
        <v>39</v>
      </c>
      <c r="D1055" s="15" t="s">
        <v>92</v>
      </c>
      <c r="E1055" s="15" t="s">
        <v>17352</v>
      </c>
      <c r="F1055" s="15" t="s">
        <v>271</v>
      </c>
      <c r="G1055" s="15" t="s">
        <v>271</v>
      </c>
      <c r="H1055" s="15" t="s">
        <v>17353</v>
      </c>
      <c r="I1055" s="9">
        <f t="shared" ca="1" si="16"/>
        <v>9</v>
      </c>
      <c r="J1055" s="15" t="s">
        <v>17354</v>
      </c>
      <c r="K1055" s="15" t="s">
        <v>425</v>
      </c>
      <c r="L1055" s="9" t="str">
        <f>VLOOKUP(K1055,[1]中国省份_标准!$B$2:$F$35,4,FALSE)</f>
        <v>东部地区</v>
      </c>
      <c r="M1055" s="9" t="str">
        <f>VLOOKUP(K1055,[1]中国省份_标准!$B$2:$F$35,5,FALSE)</f>
        <v>华东地区</v>
      </c>
      <c r="N1055" s="15" t="s">
        <v>2304</v>
      </c>
      <c r="O1055" s="15" t="s">
        <v>17355</v>
      </c>
      <c r="P1055" s="15" t="s">
        <v>17356</v>
      </c>
      <c r="Q1055" s="15" t="s">
        <v>17357</v>
      </c>
      <c r="R1055" s="15" t="s">
        <v>17358</v>
      </c>
      <c r="S1055" s="15" t="s">
        <v>17359</v>
      </c>
      <c r="T1055" s="15" t="s">
        <v>281</v>
      </c>
      <c r="U1055" s="15" t="s">
        <v>17351</v>
      </c>
      <c r="V1055" s="15" t="s">
        <v>17360</v>
      </c>
      <c r="W1055" s="15" t="s">
        <v>17361</v>
      </c>
      <c r="X1055" s="15" t="s">
        <v>690</v>
      </c>
      <c r="Y1055" s="15" t="s">
        <v>78</v>
      </c>
      <c r="Z1055" s="15" t="s">
        <v>17362</v>
      </c>
      <c r="AA1055" s="15" t="s">
        <v>80</v>
      </c>
      <c r="AB1055" s="15" t="s">
        <v>106</v>
      </c>
      <c r="AC1055" s="15" t="s">
        <v>107</v>
      </c>
      <c r="AD1055" s="15" t="s">
        <v>11074</v>
      </c>
      <c r="AE1055" s="15" t="s">
        <v>109</v>
      </c>
      <c r="AF1055" s="15" t="s">
        <v>17363</v>
      </c>
      <c r="AG1055" s="15" t="s">
        <v>39</v>
      </c>
      <c r="AH1055" s="15" t="s">
        <v>39</v>
      </c>
      <c r="AI1055" s="15" t="s">
        <v>17364</v>
      </c>
      <c r="AJ1055" s="15" t="s">
        <v>17365</v>
      </c>
      <c r="AK1055" s="15" t="s">
        <v>17366</v>
      </c>
      <c r="AL1055" s="15" t="s">
        <v>88</v>
      </c>
    </row>
    <row r="1056" spans="1:38" x14ac:dyDescent="0.4">
      <c r="A1056" s="11" t="s">
        <v>17367</v>
      </c>
      <c r="B1056" s="12" t="s">
        <v>17368</v>
      </c>
      <c r="C1056" s="13" t="s">
        <v>39</v>
      </c>
      <c r="D1056" s="13" t="s">
        <v>92</v>
      </c>
      <c r="E1056" s="13" t="s">
        <v>17369</v>
      </c>
      <c r="F1056" s="13" t="s">
        <v>640</v>
      </c>
      <c r="G1056" s="13" t="s">
        <v>13022</v>
      </c>
      <c r="H1056" s="13" t="s">
        <v>17370</v>
      </c>
      <c r="I1056" s="9">
        <f t="shared" ca="1" si="16"/>
        <v>11</v>
      </c>
      <c r="J1056" s="13" t="s">
        <v>17371</v>
      </c>
      <c r="K1056" s="13" t="s">
        <v>425</v>
      </c>
      <c r="L1056" s="9" t="str">
        <f>VLOOKUP(K1056,[1]中国省份_标准!$B$2:$F$35,4,FALSE)</f>
        <v>东部地区</v>
      </c>
      <c r="M1056" s="9" t="str">
        <f>VLOOKUP(K1056,[1]中国省份_标准!$B$2:$F$35,5,FALSE)</f>
        <v>华东地区</v>
      </c>
      <c r="N1056" s="13" t="s">
        <v>2304</v>
      </c>
      <c r="O1056" s="13" t="s">
        <v>17355</v>
      </c>
      <c r="P1056" s="13" t="s">
        <v>17372</v>
      </c>
      <c r="Q1056" s="13" t="s">
        <v>17373</v>
      </c>
      <c r="R1056" s="13" t="s">
        <v>17374</v>
      </c>
      <c r="S1056" s="13" t="s">
        <v>17375</v>
      </c>
      <c r="T1056" s="13" t="s">
        <v>48</v>
      </c>
      <c r="U1056" s="13" t="s">
        <v>17368</v>
      </c>
      <c r="V1056" s="13" t="s">
        <v>17376</v>
      </c>
      <c r="W1056" s="13" t="s">
        <v>17377</v>
      </c>
      <c r="X1056" s="13" t="s">
        <v>2171</v>
      </c>
      <c r="Y1056" s="13" t="s">
        <v>78</v>
      </c>
      <c r="Z1056" s="13" t="s">
        <v>17378</v>
      </c>
      <c r="AA1056" s="13" t="s">
        <v>850</v>
      </c>
      <c r="AB1056" s="13" t="s">
        <v>11570</v>
      </c>
      <c r="AC1056" s="13" t="s">
        <v>11571</v>
      </c>
      <c r="AD1056" s="13" t="s">
        <v>39</v>
      </c>
      <c r="AE1056" s="13" t="s">
        <v>109</v>
      </c>
      <c r="AF1056" s="13" t="s">
        <v>17379</v>
      </c>
      <c r="AG1056" s="13" t="s">
        <v>39</v>
      </c>
      <c r="AH1056" s="13" t="s">
        <v>39</v>
      </c>
      <c r="AI1056" s="13" t="s">
        <v>17380</v>
      </c>
      <c r="AJ1056" s="13" t="s">
        <v>17381</v>
      </c>
      <c r="AK1056" s="13" t="s">
        <v>17366</v>
      </c>
      <c r="AL1056" s="13" t="s">
        <v>88</v>
      </c>
    </row>
    <row r="1057" spans="1:38" x14ac:dyDescent="0.4">
      <c r="A1057" s="11" t="s">
        <v>17382</v>
      </c>
      <c r="B1057" s="14" t="s">
        <v>17383</v>
      </c>
      <c r="C1057" s="15" t="s">
        <v>17384</v>
      </c>
      <c r="D1057" s="15" t="s">
        <v>63</v>
      </c>
      <c r="E1057" s="15" t="s">
        <v>1695</v>
      </c>
      <c r="F1057" s="15" t="s">
        <v>17385</v>
      </c>
      <c r="G1057" s="15" t="s">
        <v>17385</v>
      </c>
      <c r="H1057" s="15" t="s">
        <v>4818</v>
      </c>
      <c r="I1057" s="9">
        <f t="shared" ca="1" si="16"/>
        <v>22</v>
      </c>
      <c r="J1057" s="15" t="s">
        <v>17386</v>
      </c>
      <c r="K1057" s="15" t="s">
        <v>425</v>
      </c>
      <c r="L1057" s="9" t="str">
        <f>VLOOKUP(K1057,[1]中国省份_标准!$B$2:$F$35,4,FALSE)</f>
        <v>东部地区</v>
      </c>
      <c r="M1057" s="9" t="str">
        <f>VLOOKUP(K1057,[1]中国省份_标准!$B$2:$F$35,5,FALSE)</f>
        <v>华东地区</v>
      </c>
      <c r="N1057" s="15" t="s">
        <v>2304</v>
      </c>
      <c r="O1057" s="15" t="s">
        <v>6565</v>
      </c>
      <c r="P1057" s="15" t="s">
        <v>17387</v>
      </c>
      <c r="Q1057" s="15" t="s">
        <v>17388</v>
      </c>
      <c r="R1057" s="15" t="s">
        <v>17389</v>
      </c>
      <c r="S1057" s="15" t="s">
        <v>17390</v>
      </c>
      <c r="T1057" s="15" t="s">
        <v>184</v>
      </c>
      <c r="U1057" s="15" t="s">
        <v>17383</v>
      </c>
      <c r="V1057" s="15" t="s">
        <v>17391</v>
      </c>
      <c r="W1057" s="15" t="s">
        <v>17392</v>
      </c>
      <c r="X1057" s="15" t="s">
        <v>17393</v>
      </c>
      <c r="Y1057" s="15" t="s">
        <v>78</v>
      </c>
      <c r="Z1057" s="15" t="s">
        <v>17394</v>
      </c>
      <c r="AA1057" s="15" t="s">
        <v>850</v>
      </c>
      <c r="AB1057" s="15" t="s">
        <v>851</v>
      </c>
      <c r="AC1057" s="15" t="s">
        <v>39</v>
      </c>
      <c r="AD1057" s="15" t="s">
        <v>39</v>
      </c>
      <c r="AE1057" s="15" t="s">
        <v>262</v>
      </c>
      <c r="AF1057" s="15" t="s">
        <v>17395</v>
      </c>
      <c r="AG1057" s="15" t="s">
        <v>39</v>
      </c>
      <c r="AH1057" s="15" t="s">
        <v>39</v>
      </c>
      <c r="AI1057" s="15" t="s">
        <v>17396</v>
      </c>
      <c r="AJ1057" s="15" t="s">
        <v>17397</v>
      </c>
      <c r="AK1057" s="15" t="s">
        <v>6572</v>
      </c>
      <c r="AL1057" s="15" t="s">
        <v>88</v>
      </c>
    </row>
    <row r="1058" spans="1:38" x14ac:dyDescent="0.4">
      <c r="A1058" s="11" t="s">
        <v>17398</v>
      </c>
      <c r="B1058" s="12" t="s">
        <v>17399</v>
      </c>
      <c r="C1058" s="13" t="s">
        <v>39</v>
      </c>
      <c r="D1058" s="13" t="s">
        <v>63</v>
      </c>
      <c r="E1058" s="13" t="s">
        <v>17400</v>
      </c>
      <c r="F1058" s="13" t="s">
        <v>2925</v>
      </c>
      <c r="G1058" s="13" t="s">
        <v>17401</v>
      </c>
      <c r="H1058" s="13" t="s">
        <v>17402</v>
      </c>
      <c r="I1058" s="9">
        <f t="shared" ca="1" si="16"/>
        <v>11</v>
      </c>
      <c r="J1058" s="13" t="s">
        <v>17403</v>
      </c>
      <c r="K1058" s="13" t="s">
        <v>425</v>
      </c>
      <c r="L1058" s="9" t="str">
        <f>VLOOKUP(K1058,[1]中国省份_标准!$B$2:$F$35,4,FALSE)</f>
        <v>东部地区</v>
      </c>
      <c r="M1058" s="9" t="str">
        <f>VLOOKUP(K1058,[1]中国省份_标准!$B$2:$F$35,5,FALSE)</f>
        <v>华东地区</v>
      </c>
      <c r="N1058" s="13" t="s">
        <v>2304</v>
      </c>
      <c r="O1058" s="13" t="s">
        <v>17355</v>
      </c>
      <c r="P1058" s="13" t="s">
        <v>17404</v>
      </c>
      <c r="Q1058" s="13" t="s">
        <v>17405</v>
      </c>
      <c r="R1058" s="13" t="s">
        <v>17406</v>
      </c>
      <c r="S1058" s="13" t="s">
        <v>17407</v>
      </c>
      <c r="T1058" s="13" t="s">
        <v>48</v>
      </c>
      <c r="U1058" s="13" t="s">
        <v>17399</v>
      </c>
      <c r="V1058" s="13" t="s">
        <v>17408</v>
      </c>
      <c r="W1058" s="13" t="s">
        <v>17409</v>
      </c>
      <c r="X1058" s="13" t="s">
        <v>1777</v>
      </c>
      <c r="Y1058" s="13" t="s">
        <v>78</v>
      </c>
      <c r="Z1058" s="13" t="s">
        <v>17410</v>
      </c>
      <c r="AA1058" s="13" t="s">
        <v>850</v>
      </c>
      <c r="AB1058" s="13" t="s">
        <v>11570</v>
      </c>
      <c r="AC1058" s="13" t="s">
        <v>11571</v>
      </c>
      <c r="AD1058" s="13" t="s">
        <v>11622</v>
      </c>
      <c r="AE1058" s="13" t="s">
        <v>109</v>
      </c>
      <c r="AF1058" s="13" t="s">
        <v>17411</v>
      </c>
      <c r="AG1058" s="13" t="s">
        <v>39</v>
      </c>
      <c r="AH1058" s="13" t="s">
        <v>39</v>
      </c>
      <c r="AI1058" s="13" t="s">
        <v>17412</v>
      </c>
      <c r="AJ1058" s="13" t="s">
        <v>17413</v>
      </c>
      <c r="AK1058" s="13" t="s">
        <v>17366</v>
      </c>
      <c r="AL1058" s="13" t="s">
        <v>88</v>
      </c>
    </row>
    <row r="1059" spans="1:38" x14ac:dyDescent="0.4">
      <c r="A1059" s="11" t="s">
        <v>17414</v>
      </c>
      <c r="B1059" s="14" t="s">
        <v>17415</v>
      </c>
      <c r="C1059" s="15" t="s">
        <v>39</v>
      </c>
      <c r="D1059" s="15" t="s">
        <v>92</v>
      </c>
      <c r="E1059" s="15" t="s">
        <v>17416</v>
      </c>
      <c r="F1059" s="15" t="s">
        <v>178</v>
      </c>
      <c r="G1059" s="15" t="s">
        <v>178</v>
      </c>
      <c r="H1059" s="15" t="s">
        <v>17417</v>
      </c>
      <c r="I1059" s="9">
        <f t="shared" ca="1" si="16"/>
        <v>9</v>
      </c>
      <c r="J1059" s="15" t="s">
        <v>17418</v>
      </c>
      <c r="K1059" s="15" t="s">
        <v>531</v>
      </c>
      <c r="L1059" s="9" t="str">
        <f>VLOOKUP(K1059,[1]中国省份_标准!$B$2:$F$35,4,FALSE)</f>
        <v>东部地区</v>
      </c>
      <c r="M1059" s="9" t="str">
        <f>VLOOKUP(K1059,[1]中国省份_标准!$B$2:$F$35,5,FALSE)</f>
        <v>华南地区</v>
      </c>
      <c r="N1059" s="15" t="s">
        <v>12008</v>
      </c>
      <c r="O1059" s="15" t="s">
        <v>17419</v>
      </c>
      <c r="P1059" s="15" t="s">
        <v>17420</v>
      </c>
      <c r="Q1059" s="15" t="s">
        <v>17421</v>
      </c>
      <c r="R1059" s="15" t="s">
        <v>17422</v>
      </c>
      <c r="S1059" s="15" t="s">
        <v>39</v>
      </c>
      <c r="T1059" s="15" t="s">
        <v>670</v>
      </c>
      <c r="U1059" s="15" t="s">
        <v>17415</v>
      </c>
      <c r="V1059" s="15" t="s">
        <v>17423</v>
      </c>
      <c r="W1059" s="15" t="s">
        <v>17424</v>
      </c>
      <c r="X1059" s="15" t="s">
        <v>4544</v>
      </c>
      <c r="Y1059" s="15" t="s">
        <v>78</v>
      </c>
      <c r="Z1059" s="15" t="s">
        <v>17425</v>
      </c>
      <c r="AA1059" s="15" t="s">
        <v>850</v>
      </c>
      <c r="AB1059" s="15" t="s">
        <v>7495</v>
      </c>
      <c r="AC1059" s="15" t="s">
        <v>7496</v>
      </c>
      <c r="AD1059" s="15" t="s">
        <v>8961</v>
      </c>
      <c r="AE1059" s="15" t="s">
        <v>262</v>
      </c>
      <c r="AF1059" s="15" t="s">
        <v>17426</v>
      </c>
      <c r="AG1059" s="15" t="s">
        <v>39</v>
      </c>
      <c r="AH1059" s="15" t="s">
        <v>17427</v>
      </c>
      <c r="AI1059" s="15" t="s">
        <v>17428</v>
      </c>
      <c r="AJ1059" s="15" t="s">
        <v>17429</v>
      </c>
      <c r="AK1059" s="15" t="s">
        <v>12023</v>
      </c>
      <c r="AL1059" s="15" t="s">
        <v>88</v>
      </c>
    </row>
    <row r="1060" spans="1:38" x14ac:dyDescent="0.4">
      <c r="A1060" s="11" t="s">
        <v>17430</v>
      </c>
      <c r="B1060" s="12" t="s">
        <v>17431</v>
      </c>
      <c r="C1060" s="13" t="s">
        <v>17432</v>
      </c>
      <c r="D1060" s="13" t="s">
        <v>92</v>
      </c>
      <c r="E1060" s="13" t="s">
        <v>17433</v>
      </c>
      <c r="F1060" s="13" t="s">
        <v>640</v>
      </c>
      <c r="G1060" s="13" t="s">
        <v>17434</v>
      </c>
      <c r="H1060" s="13" t="s">
        <v>17435</v>
      </c>
      <c r="I1060" s="9">
        <f t="shared" ca="1" si="16"/>
        <v>11</v>
      </c>
      <c r="J1060" s="13" t="s">
        <v>17436</v>
      </c>
      <c r="K1060" s="13" t="s">
        <v>1877</v>
      </c>
      <c r="L1060" s="9" t="str">
        <f>VLOOKUP(K1060,[1]中国省份_标准!$B$2:$F$35,4,FALSE)</f>
        <v>中部地区</v>
      </c>
      <c r="M1060" s="9" t="str">
        <f>VLOOKUP(K1060,[1]中国省份_标准!$B$2:$F$35,5,FALSE)</f>
        <v>华中地区</v>
      </c>
      <c r="N1060" s="13" t="s">
        <v>1878</v>
      </c>
      <c r="O1060" s="13" t="s">
        <v>14190</v>
      </c>
      <c r="P1060" s="13" t="s">
        <v>17437</v>
      </c>
      <c r="Q1060" s="13" t="s">
        <v>17438</v>
      </c>
      <c r="R1060" s="13" t="s">
        <v>17439</v>
      </c>
      <c r="S1060" s="13" t="s">
        <v>17440</v>
      </c>
      <c r="T1060" s="13" t="s">
        <v>281</v>
      </c>
      <c r="U1060" s="13" t="s">
        <v>17431</v>
      </c>
      <c r="V1060" s="13" t="s">
        <v>17441</v>
      </c>
      <c r="W1060" s="13" t="s">
        <v>17442</v>
      </c>
      <c r="X1060" s="13" t="s">
        <v>557</v>
      </c>
      <c r="Y1060" s="13" t="s">
        <v>78</v>
      </c>
      <c r="Z1060" s="13" t="s">
        <v>17443</v>
      </c>
      <c r="AA1060" s="13" t="s">
        <v>850</v>
      </c>
      <c r="AB1060" s="13" t="s">
        <v>11570</v>
      </c>
      <c r="AC1060" s="13" t="s">
        <v>11571</v>
      </c>
      <c r="AD1060" s="13" t="s">
        <v>11622</v>
      </c>
      <c r="AE1060" s="13" t="s">
        <v>55</v>
      </c>
      <c r="AF1060" s="13" t="s">
        <v>17444</v>
      </c>
      <c r="AG1060" s="13" t="s">
        <v>39</v>
      </c>
      <c r="AH1060" s="13" t="s">
        <v>39</v>
      </c>
      <c r="AI1060" s="13" t="s">
        <v>17445</v>
      </c>
      <c r="AJ1060" s="13" t="s">
        <v>17446</v>
      </c>
      <c r="AK1060" s="13" t="s">
        <v>14201</v>
      </c>
      <c r="AL1060" s="13" t="s">
        <v>88</v>
      </c>
    </row>
    <row r="1061" spans="1:38" x14ac:dyDescent="0.4">
      <c r="A1061" s="11" t="s">
        <v>17447</v>
      </c>
      <c r="B1061" s="14" t="s">
        <v>17448</v>
      </c>
      <c r="C1061" s="15" t="s">
        <v>39</v>
      </c>
      <c r="D1061" s="15" t="s">
        <v>63</v>
      </c>
      <c r="E1061" s="15" t="s">
        <v>17449</v>
      </c>
      <c r="F1061" s="15" t="s">
        <v>271</v>
      </c>
      <c r="G1061" s="15" t="s">
        <v>39</v>
      </c>
      <c r="H1061" s="15" t="s">
        <v>17450</v>
      </c>
      <c r="I1061" s="9">
        <f t="shared" ca="1" si="16"/>
        <v>3</v>
      </c>
      <c r="J1061" s="15" t="s">
        <v>17451</v>
      </c>
      <c r="K1061" s="15" t="s">
        <v>425</v>
      </c>
      <c r="L1061" s="9" t="str">
        <f>VLOOKUP(K1061,[1]中国省份_标准!$B$2:$F$35,4,FALSE)</f>
        <v>东部地区</v>
      </c>
      <c r="M1061" s="9" t="str">
        <f>VLOOKUP(K1061,[1]中国省份_标准!$B$2:$F$35,5,FALSE)</f>
        <v>华东地区</v>
      </c>
      <c r="N1061" s="15" t="s">
        <v>964</v>
      </c>
      <c r="O1061" s="15" t="s">
        <v>16570</v>
      </c>
      <c r="P1061" s="15" t="s">
        <v>17452</v>
      </c>
      <c r="Q1061" s="15" t="s">
        <v>17453</v>
      </c>
      <c r="R1061" s="15" t="s">
        <v>39</v>
      </c>
      <c r="S1061" s="15" t="s">
        <v>39</v>
      </c>
      <c r="T1061" s="15" t="s">
        <v>281</v>
      </c>
      <c r="U1061" s="15" t="s">
        <v>17448</v>
      </c>
      <c r="V1061" s="15" t="s">
        <v>17454</v>
      </c>
      <c r="W1061" s="15" t="s">
        <v>17455</v>
      </c>
      <c r="X1061" s="15" t="s">
        <v>990</v>
      </c>
      <c r="Y1061" s="15" t="s">
        <v>78</v>
      </c>
      <c r="Z1061" s="15" t="s">
        <v>17456</v>
      </c>
      <c r="AA1061" s="15" t="s">
        <v>80</v>
      </c>
      <c r="AB1061" s="15" t="s">
        <v>106</v>
      </c>
      <c r="AC1061" s="15" t="s">
        <v>559</v>
      </c>
      <c r="AD1061" s="15" t="s">
        <v>39</v>
      </c>
      <c r="AE1061" s="15" t="s">
        <v>109</v>
      </c>
      <c r="AF1061" s="15" t="s">
        <v>17457</v>
      </c>
      <c r="AG1061" s="15" t="s">
        <v>39</v>
      </c>
      <c r="AH1061" s="15" t="s">
        <v>39</v>
      </c>
      <c r="AI1061" s="15" t="s">
        <v>17458</v>
      </c>
      <c r="AJ1061" s="15" t="s">
        <v>17459</v>
      </c>
      <c r="AK1061" s="15" t="s">
        <v>16581</v>
      </c>
      <c r="AL1061" s="15" t="s">
        <v>88</v>
      </c>
    </row>
    <row r="1062" spans="1:38" x14ac:dyDescent="0.4">
      <c r="A1062" s="11" t="s">
        <v>17460</v>
      </c>
      <c r="B1062" s="12" t="s">
        <v>17461</v>
      </c>
      <c r="C1062" s="13" t="s">
        <v>39</v>
      </c>
      <c r="D1062" s="13" t="s">
        <v>92</v>
      </c>
      <c r="E1062" s="13" t="s">
        <v>17462</v>
      </c>
      <c r="F1062" s="13" t="s">
        <v>640</v>
      </c>
      <c r="G1062" s="13" t="s">
        <v>17463</v>
      </c>
      <c r="H1062" s="13" t="s">
        <v>17464</v>
      </c>
      <c r="I1062" s="9">
        <f t="shared" ca="1" si="16"/>
        <v>7</v>
      </c>
      <c r="J1062" s="13" t="s">
        <v>17465</v>
      </c>
      <c r="K1062" s="13" t="s">
        <v>157</v>
      </c>
      <c r="L1062" s="9" t="str">
        <f>VLOOKUP(K1062,[1]中国省份_标准!$B$2:$F$35,4,FALSE)</f>
        <v>东北地区</v>
      </c>
      <c r="M1062" s="9" t="str">
        <f>VLOOKUP(K1062,[1]中国省份_标准!$B$2:$F$35,5,FALSE)</f>
        <v>东北地区</v>
      </c>
      <c r="N1062" s="13" t="s">
        <v>1105</v>
      </c>
      <c r="O1062" s="13" t="s">
        <v>1106</v>
      </c>
      <c r="P1062" s="13" t="s">
        <v>17466</v>
      </c>
      <c r="Q1062" s="13" t="s">
        <v>17467</v>
      </c>
      <c r="R1062" s="13" t="s">
        <v>17468</v>
      </c>
      <c r="S1062" s="13" t="s">
        <v>17469</v>
      </c>
      <c r="T1062" s="13" t="s">
        <v>281</v>
      </c>
      <c r="U1062" s="13" t="s">
        <v>17461</v>
      </c>
      <c r="V1062" s="13" t="s">
        <v>17470</v>
      </c>
      <c r="W1062" s="13" t="s">
        <v>17471</v>
      </c>
      <c r="X1062" s="13" t="s">
        <v>1777</v>
      </c>
      <c r="Y1062" s="13" t="s">
        <v>78</v>
      </c>
      <c r="Z1062" s="13" t="s">
        <v>17472</v>
      </c>
      <c r="AA1062" s="13" t="s">
        <v>850</v>
      </c>
      <c r="AB1062" s="13" t="s">
        <v>9442</v>
      </c>
      <c r="AC1062" s="13" t="s">
        <v>10006</v>
      </c>
      <c r="AD1062" s="13" t="s">
        <v>10007</v>
      </c>
      <c r="AE1062" s="13" t="s">
        <v>55</v>
      </c>
      <c r="AF1062" s="13" t="s">
        <v>17473</v>
      </c>
      <c r="AG1062" s="13" t="s">
        <v>39</v>
      </c>
      <c r="AH1062" s="13" t="s">
        <v>39</v>
      </c>
      <c r="AI1062" s="13" t="s">
        <v>17474</v>
      </c>
      <c r="AJ1062" s="13" t="s">
        <v>17475</v>
      </c>
      <c r="AK1062" s="13" t="s">
        <v>1116</v>
      </c>
      <c r="AL1062" s="13" t="s">
        <v>88</v>
      </c>
    </row>
    <row r="1063" spans="1:38" x14ac:dyDescent="0.4">
      <c r="A1063" s="11" t="s">
        <v>17476</v>
      </c>
      <c r="B1063" s="14" t="s">
        <v>17477</v>
      </c>
      <c r="C1063" s="15" t="s">
        <v>17478</v>
      </c>
      <c r="D1063" s="15" t="s">
        <v>92</v>
      </c>
      <c r="E1063" s="15" t="s">
        <v>17479</v>
      </c>
      <c r="F1063" s="15" t="s">
        <v>42</v>
      </c>
      <c r="G1063" s="15" t="s">
        <v>39</v>
      </c>
      <c r="H1063" s="15" t="s">
        <v>10751</v>
      </c>
      <c r="I1063" s="9">
        <f t="shared" ca="1" si="16"/>
        <v>2</v>
      </c>
      <c r="J1063" s="15" t="s">
        <v>17480</v>
      </c>
      <c r="K1063" s="15" t="s">
        <v>531</v>
      </c>
      <c r="L1063" s="9" t="str">
        <f>VLOOKUP(K1063,[1]中国省份_标准!$B$2:$F$35,4,FALSE)</f>
        <v>东部地区</v>
      </c>
      <c r="M1063" s="9" t="str">
        <f>VLOOKUP(K1063,[1]中国省份_标准!$B$2:$F$35,5,FALSE)</f>
        <v>华南地区</v>
      </c>
      <c r="N1063" s="15" t="s">
        <v>1450</v>
      </c>
      <c r="O1063" s="15" t="s">
        <v>10070</v>
      </c>
      <c r="P1063" s="15" t="s">
        <v>17481</v>
      </c>
      <c r="Q1063" s="15" t="s">
        <v>39</v>
      </c>
      <c r="R1063" s="15" t="s">
        <v>17482</v>
      </c>
      <c r="S1063" s="15" t="s">
        <v>39</v>
      </c>
      <c r="T1063" s="15" t="s">
        <v>48</v>
      </c>
      <c r="U1063" s="15" t="s">
        <v>17477</v>
      </c>
      <c r="V1063" s="15" t="s">
        <v>17483</v>
      </c>
      <c r="W1063" s="15" t="s">
        <v>17484</v>
      </c>
      <c r="X1063" s="15" t="s">
        <v>77</v>
      </c>
      <c r="Y1063" s="15" t="s">
        <v>78</v>
      </c>
      <c r="Z1063" s="15" t="s">
        <v>10758</v>
      </c>
      <c r="AA1063" s="15" t="s">
        <v>850</v>
      </c>
      <c r="AB1063" s="15" t="s">
        <v>851</v>
      </c>
      <c r="AC1063" s="15" t="s">
        <v>3990</v>
      </c>
      <c r="AD1063" s="15" t="s">
        <v>3990</v>
      </c>
      <c r="AE1063" s="15" t="s">
        <v>55</v>
      </c>
      <c r="AF1063" s="15" t="s">
        <v>17485</v>
      </c>
      <c r="AG1063" s="15" t="s">
        <v>39</v>
      </c>
      <c r="AH1063" s="15" t="s">
        <v>39</v>
      </c>
      <c r="AI1063" s="15" t="s">
        <v>17486</v>
      </c>
      <c r="AJ1063" s="15" t="s">
        <v>17487</v>
      </c>
      <c r="AK1063" s="15" t="s">
        <v>10080</v>
      </c>
      <c r="AL1063" s="15" t="s">
        <v>39</v>
      </c>
    </row>
    <row r="1064" spans="1:38" x14ac:dyDescent="0.4">
      <c r="A1064" s="11" t="s">
        <v>17488</v>
      </c>
      <c r="B1064" s="12" t="s">
        <v>17489</v>
      </c>
      <c r="C1064" s="13" t="s">
        <v>39</v>
      </c>
      <c r="D1064" s="13" t="s">
        <v>63</v>
      </c>
      <c r="E1064" s="13" t="s">
        <v>17490</v>
      </c>
      <c r="F1064" s="13" t="s">
        <v>17491</v>
      </c>
      <c r="G1064" s="13" t="s">
        <v>1447</v>
      </c>
      <c r="H1064" s="13" t="s">
        <v>17492</v>
      </c>
      <c r="I1064" s="9">
        <f t="shared" ca="1" si="16"/>
        <v>13</v>
      </c>
      <c r="J1064" s="13" t="s">
        <v>17493</v>
      </c>
      <c r="K1064" s="13" t="s">
        <v>531</v>
      </c>
      <c r="L1064" s="9" t="str">
        <f>VLOOKUP(K1064,[1]中国省份_标准!$B$2:$F$35,4,FALSE)</f>
        <v>东部地区</v>
      </c>
      <c r="M1064" s="9" t="str">
        <f>VLOOKUP(K1064,[1]中国省份_标准!$B$2:$F$35,5,FALSE)</f>
        <v>华南地区</v>
      </c>
      <c r="N1064" s="13" t="s">
        <v>532</v>
      </c>
      <c r="O1064" s="13" t="s">
        <v>2544</v>
      </c>
      <c r="P1064" s="13" t="s">
        <v>17494</v>
      </c>
      <c r="Q1064" s="13" t="s">
        <v>39</v>
      </c>
      <c r="R1064" s="13" t="s">
        <v>39</v>
      </c>
      <c r="S1064" s="13" t="s">
        <v>39</v>
      </c>
      <c r="T1064" s="13" t="s">
        <v>281</v>
      </c>
      <c r="U1064" s="13" t="s">
        <v>17489</v>
      </c>
      <c r="V1064" s="13" t="s">
        <v>17495</v>
      </c>
      <c r="W1064" s="13" t="s">
        <v>17496</v>
      </c>
      <c r="X1064" s="13" t="s">
        <v>1130</v>
      </c>
      <c r="Y1064" s="13" t="s">
        <v>78</v>
      </c>
      <c r="Z1064" s="13" t="s">
        <v>17497</v>
      </c>
      <c r="AA1064" s="13" t="s">
        <v>850</v>
      </c>
      <c r="AB1064" s="13" t="s">
        <v>7495</v>
      </c>
      <c r="AC1064" s="13" t="s">
        <v>7496</v>
      </c>
      <c r="AD1064" s="13" t="s">
        <v>8961</v>
      </c>
      <c r="AE1064" s="13" t="s">
        <v>109</v>
      </c>
      <c r="AF1064" s="13" t="s">
        <v>17498</v>
      </c>
      <c r="AG1064" s="13" t="s">
        <v>17499</v>
      </c>
      <c r="AH1064" s="13" t="s">
        <v>39</v>
      </c>
      <c r="AI1064" s="13" t="s">
        <v>17500</v>
      </c>
      <c r="AJ1064" s="13" t="s">
        <v>17501</v>
      </c>
      <c r="AK1064" s="13" t="s">
        <v>2554</v>
      </c>
      <c r="AL1064" s="13" t="s">
        <v>88</v>
      </c>
    </row>
    <row r="1065" spans="1:38" x14ac:dyDescent="0.4">
      <c r="A1065" s="11" t="s">
        <v>17502</v>
      </c>
      <c r="B1065" s="14" t="s">
        <v>17503</v>
      </c>
      <c r="C1065" s="15" t="s">
        <v>39</v>
      </c>
      <c r="D1065" s="15" t="s">
        <v>92</v>
      </c>
      <c r="E1065" s="15" t="s">
        <v>17504</v>
      </c>
      <c r="F1065" s="15" t="s">
        <v>442</v>
      </c>
      <c r="G1065" s="15" t="s">
        <v>442</v>
      </c>
      <c r="H1065" s="15" t="s">
        <v>17505</v>
      </c>
      <c r="I1065" s="9">
        <f t="shared" ca="1" si="16"/>
        <v>12</v>
      </c>
      <c r="J1065" s="15" t="s">
        <v>17506</v>
      </c>
      <c r="K1065" s="15" t="s">
        <v>227</v>
      </c>
      <c r="L1065" s="9" t="str">
        <f>VLOOKUP(K1065,[1]中国省份_标准!$B$2:$F$35,4,FALSE)</f>
        <v>西部地区</v>
      </c>
      <c r="M1065" s="9" t="str">
        <f>VLOOKUP(K1065,[1]中国省份_标准!$B$2:$F$35,5,FALSE)</f>
        <v>西北地区</v>
      </c>
      <c r="N1065" s="15" t="s">
        <v>884</v>
      </c>
      <c r="O1065" s="15" t="s">
        <v>885</v>
      </c>
      <c r="P1065" s="15" t="s">
        <v>17507</v>
      </c>
      <c r="Q1065" s="15" t="s">
        <v>17508</v>
      </c>
      <c r="R1065" s="15" t="s">
        <v>17509</v>
      </c>
      <c r="S1065" s="15" t="s">
        <v>17510</v>
      </c>
      <c r="T1065" s="15" t="s">
        <v>48</v>
      </c>
      <c r="U1065" s="15" t="s">
        <v>17503</v>
      </c>
      <c r="V1065" s="15" t="s">
        <v>17511</v>
      </c>
      <c r="W1065" s="15" t="s">
        <v>17512</v>
      </c>
      <c r="X1065" s="15" t="s">
        <v>3095</v>
      </c>
      <c r="Y1065" s="15" t="s">
        <v>78</v>
      </c>
      <c r="Z1065" s="15" t="s">
        <v>17513</v>
      </c>
      <c r="AA1065" s="15" t="s">
        <v>850</v>
      </c>
      <c r="AB1065" s="15" t="s">
        <v>851</v>
      </c>
      <c r="AC1065" s="15" t="s">
        <v>3990</v>
      </c>
      <c r="AD1065" s="15" t="s">
        <v>3990</v>
      </c>
      <c r="AE1065" s="15" t="s">
        <v>55</v>
      </c>
      <c r="AF1065" s="15" t="s">
        <v>17514</v>
      </c>
      <c r="AG1065" s="15" t="s">
        <v>39</v>
      </c>
      <c r="AH1065" s="15" t="s">
        <v>39</v>
      </c>
      <c r="AI1065" s="15" t="s">
        <v>17515</v>
      </c>
      <c r="AJ1065" s="15" t="s">
        <v>17516</v>
      </c>
      <c r="AK1065" s="15" t="s">
        <v>897</v>
      </c>
      <c r="AL1065" s="15" t="s">
        <v>88</v>
      </c>
    </row>
    <row r="1066" spans="1:38" x14ac:dyDescent="0.4">
      <c r="A1066" s="11" t="s">
        <v>17517</v>
      </c>
      <c r="B1066" s="12" t="s">
        <v>17518</v>
      </c>
      <c r="C1066" s="13" t="s">
        <v>39</v>
      </c>
      <c r="D1066" s="13" t="s">
        <v>92</v>
      </c>
      <c r="E1066" s="13" t="s">
        <v>17519</v>
      </c>
      <c r="F1066" s="13" t="s">
        <v>271</v>
      </c>
      <c r="G1066" s="13" t="s">
        <v>271</v>
      </c>
      <c r="H1066" s="13" t="s">
        <v>17520</v>
      </c>
      <c r="I1066" s="9">
        <f t="shared" ca="1" si="16"/>
        <v>6</v>
      </c>
      <c r="J1066" s="13" t="s">
        <v>17521</v>
      </c>
      <c r="K1066" s="13" t="s">
        <v>45</v>
      </c>
      <c r="L1066" s="9" t="str">
        <f>VLOOKUP(K1066,[1]中国省份_标准!$B$2:$F$35,4,FALSE)</f>
        <v>东部地区</v>
      </c>
      <c r="M1066" s="9" t="str">
        <f>VLOOKUP(K1066,[1]中国省份_标准!$B$2:$F$35,5,FALSE)</f>
        <v>华东地区</v>
      </c>
      <c r="N1066" s="13" t="s">
        <v>45</v>
      </c>
      <c r="O1066" s="13" t="s">
        <v>17522</v>
      </c>
      <c r="P1066" s="13" t="s">
        <v>17523</v>
      </c>
      <c r="Q1066" s="13" t="s">
        <v>39</v>
      </c>
      <c r="R1066" s="13" t="s">
        <v>39</v>
      </c>
      <c r="S1066" s="13" t="s">
        <v>39</v>
      </c>
      <c r="T1066" s="13" t="s">
        <v>48</v>
      </c>
      <c r="U1066" s="13" t="s">
        <v>17518</v>
      </c>
      <c r="V1066" s="13" t="s">
        <v>39</v>
      </c>
      <c r="W1066" s="13" t="s">
        <v>17524</v>
      </c>
      <c r="X1066" s="13" t="s">
        <v>455</v>
      </c>
      <c r="Y1066" s="13" t="s">
        <v>78</v>
      </c>
      <c r="Z1066" s="13" t="s">
        <v>17525</v>
      </c>
      <c r="AA1066" s="13" t="s">
        <v>850</v>
      </c>
      <c r="AB1066" s="13" t="s">
        <v>11570</v>
      </c>
      <c r="AC1066" s="13" t="s">
        <v>11571</v>
      </c>
      <c r="AD1066" s="13" t="s">
        <v>11622</v>
      </c>
      <c r="AE1066" s="13" t="s">
        <v>109</v>
      </c>
      <c r="AF1066" s="13" t="s">
        <v>17526</v>
      </c>
      <c r="AG1066" s="13" t="s">
        <v>39</v>
      </c>
      <c r="AH1066" s="13" t="s">
        <v>17527</v>
      </c>
      <c r="AI1066" s="13" t="s">
        <v>17528</v>
      </c>
      <c r="AJ1066" s="13" t="s">
        <v>17529</v>
      </c>
      <c r="AK1066" s="13" t="s">
        <v>17530</v>
      </c>
      <c r="AL1066" s="13" t="s">
        <v>88</v>
      </c>
    </row>
    <row r="1067" spans="1:38" x14ac:dyDescent="0.4">
      <c r="A1067" s="11" t="s">
        <v>17531</v>
      </c>
      <c r="B1067" s="14" t="s">
        <v>17532</v>
      </c>
      <c r="C1067" s="15" t="s">
        <v>17533</v>
      </c>
      <c r="D1067" s="15" t="s">
        <v>92</v>
      </c>
      <c r="E1067" s="15" t="s">
        <v>17534</v>
      </c>
      <c r="F1067" s="15" t="s">
        <v>42</v>
      </c>
      <c r="G1067" s="15" t="s">
        <v>39</v>
      </c>
      <c r="H1067" s="15" t="s">
        <v>17535</v>
      </c>
      <c r="I1067" s="9">
        <f t="shared" ca="1" si="16"/>
        <v>9</v>
      </c>
      <c r="J1067" s="15" t="s">
        <v>17536</v>
      </c>
      <c r="K1067" s="15" t="s">
        <v>3189</v>
      </c>
      <c r="L1067" s="9" t="str">
        <f>VLOOKUP(K1067,[1]中国省份_标准!$B$2:$F$35,4,FALSE)</f>
        <v>西部地区</v>
      </c>
      <c r="M1067" s="9" t="str">
        <f>VLOOKUP(K1067,[1]中国省份_标准!$B$2:$F$35,5,FALSE)</f>
        <v>西南地区</v>
      </c>
      <c r="N1067" s="15" t="s">
        <v>3189</v>
      </c>
      <c r="O1067" s="15" t="s">
        <v>9894</v>
      </c>
      <c r="P1067" s="15" t="s">
        <v>17537</v>
      </c>
      <c r="Q1067" s="15" t="s">
        <v>17538</v>
      </c>
      <c r="R1067" s="15" t="s">
        <v>17539</v>
      </c>
      <c r="S1067" s="15" t="s">
        <v>39</v>
      </c>
      <c r="T1067" s="15" t="s">
        <v>48</v>
      </c>
      <c r="U1067" s="15" t="s">
        <v>17532</v>
      </c>
      <c r="V1067" s="15" t="s">
        <v>17540</v>
      </c>
      <c r="W1067" s="15" t="s">
        <v>17541</v>
      </c>
      <c r="X1067" s="15" t="s">
        <v>77</v>
      </c>
      <c r="Y1067" s="15" t="s">
        <v>78</v>
      </c>
      <c r="Z1067" s="15" t="s">
        <v>17542</v>
      </c>
      <c r="AA1067" s="15" t="s">
        <v>850</v>
      </c>
      <c r="AB1067" s="15" t="s">
        <v>11570</v>
      </c>
      <c r="AC1067" s="15" t="s">
        <v>11571</v>
      </c>
      <c r="AD1067" s="15" t="s">
        <v>11622</v>
      </c>
      <c r="AE1067" s="15" t="s">
        <v>109</v>
      </c>
      <c r="AF1067" s="15" t="s">
        <v>17543</v>
      </c>
      <c r="AG1067" s="15" t="s">
        <v>39</v>
      </c>
      <c r="AH1067" s="15" t="s">
        <v>39</v>
      </c>
      <c r="AI1067" s="15" t="s">
        <v>17544</v>
      </c>
      <c r="AJ1067" s="15" t="s">
        <v>17545</v>
      </c>
      <c r="AK1067" s="15" t="s">
        <v>17546</v>
      </c>
      <c r="AL1067" s="15" t="s">
        <v>88</v>
      </c>
    </row>
    <row r="1068" spans="1:38" x14ac:dyDescent="0.4">
      <c r="A1068" s="11" t="s">
        <v>17547</v>
      </c>
      <c r="B1068" s="12" t="s">
        <v>17548</v>
      </c>
      <c r="C1068" s="13" t="s">
        <v>39</v>
      </c>
      <c r="D1068" s="13" t="s">
        <v>92</v>
      </c>
      <c r="E1068" s="13" t="s">
        <v>17549</v>
      </c>
      <c r="F1068" s="13" t="s">
        <v>640</v>
      </c>
      <c r="G1068" s="13" t="s">
        <v>39</v>
      </c>
      <c r="H1068" s="13" t="s">
        <v>17550</v>
      </c>
      <c r="I1068" s="9">
        <f t="shared" ca="1" si="16"/>
        <v>9</v>
      </c>
      <c r="J1068" s="13" t="s">
        <v>17551</v>
      </c>
      <c r="K1068" s="13" t="s">
        <v>340</v>
      </c>
      <c r="L1068" s="9" t="str">
        <f>VLOOKUP(K1068,[1]中国省份_标准!$B$2:$F$35,4,FALSE)</f>
        <v>东部地区</v>
      </c>
      <c r="M1068" s="9" t="str">
        <f>VLOOKUP(K1068,[1]中国省份_标准!$B$2:$F$35,5,FALSE)</f>
        <v>华东地区</v>
      </c>
      <c r="N1068" s="13" t="s">
        <v>7751</v>
      </c>
      <c r="O1068" s="13" t="s">
        <v>10898</v>
      </c>
      <c r="P1068" s="13" t="s">
        <v>17552</v>
      </c>
      <c r="Q1068" s="13" t="s">
        <v>17553</v>
      </c>
      <c r="R1068" s="13" t="s">
        <v>17554</v>
      </c>
      <c r="S1068" s="13" t="s">
        <v>39</v>
      </c>
      <c r="T1068" s="13" t="s">
        <v>281</v>
      </c>
      <c r="U1068" s="13" t="s">
        <v>17548</v>
      </c>
      <c r="V1068" s="13" t="s">
        <v>17555</v>
      </c>
      <c r="W1068" s="13" t="s">
        <v>17556</v>
      </c>
      <c r="X1068" s="13" t="s">
        <v>1130</v>
      </c>
      <c r="Y1068" s="13" t="s">
        <v>78</v>
      </c>
      <c r="Z1068" s="13" t="s">
        <v>17557</v>
      </c>
      <c r="AA1068" s="13" t="s">
        <v>850</v>
      </c>
      <c r="AB1068" s="13" t="s">
        <v>11570</v>
      </c>
      <c r="AC1068" s="13" t="s">
        <v>11571</v>
      </c>
      <c r="AD1068" s="13" t="s">
        <v>11622</v>
      </c>
      <c r="AE1068" s="13" t="s">
        <v>109</v>
      </c>
      <c r="AF1068" s="13" t="s">
        <v>17558</v>
      </c>
      <c r="AG1068" s="13" t="s">
        <v>39</v>
      </c>
      <c r="AH1068" s="13" t="s">
        <v>39</v>
      </c>
      <c r="AI1068" s="13" t="s">
        <v>17559</v>
      </c>
      <c r="AJ1068" s="13" t="s">
        <v>17560</v>
      </c>
      <c r="AK1068" s="13" t="s">
        <v>10909</v>
      </c>
      <c r="AL1068" s="13" t="s">
        <v>88</v>
      </c>
    </row>
    <row r="1069" spans="1:38" x14ac:dyDescent="0.4">
      <c r="A1069" s="11" t="s">
        <v>17561</v>
      </c>
      <c r="B1069" s="14" t="s">
        <v>17562</v>
      </c>
      <c r="C1069" s="15" t="s">
        <v>17563</v>
      </c>
      <c r="D1069" s="15" t="s">
        <v>92</v>
      </c>
      <c r="E1069" s="15" t="s">
        <v>17564</v>
      </c>
      <c r="F1069" s="15" t="s">
        <v>17565</v>
      </c>
      <c r="G1069" s="15" t="s">
        <v>17565</v>
      </c>
      <c r="H1069" s="15" t="s">
        <v>11786</v>
      </c>
      <c r="I1069" s="9">
        <f t="shared" ca="1" si="16"/>
        <v>16</v>
      </c>
      <c r="J1069" s="15" t="s">
        <v>17566</v>
      </c>
      <c r="K1069" s="15" t="s">
        <v>531</v>
      </c>
      <c r="L1069" s="9" t="str">
        <f>VLOOKUP(K1069,[1]中国省份_标准!$B$2:$F$35,4,FALSE)</f>
        <v>东部地区</v>
      </c>
      <c r="M1069" s="9" t="str">
        <f>VLOOKUP(K1069,[1]中国省份_标准!$B$2:$F$35,5,FALSE)</f>
        <v>华南地区</v>
      </c>
      <c r="N1069" s="15" t="s">
        <v>1450</v>
      </c>
      <c r="O1069" s="15" t="s">
        <v>10070</v>
      </c>
      <c r="P1069" s="15" t="s">
        <v>17567</v>
      </c>
      <c r="Q1069" s="15" t="s">
        <v>17568</v>
      </c>
      <c r="R1069" s="15" t="s">
        <v>17569</v>
      </c>
      <c r="S1069" s="15" t="s">
        <v>17570</v>
      </c>
      <c r="T1069" s="15" t="s">
        <v>498</v>
      </c>
      <c r="U1069" s="15" t="s">
        <v>17562</v>
      </c>
      <c r="V1069" s="15" t="s">
        <v>17571</v>
      </c>
      <c r="W1069" s="15" t="s">
        <v>17572</v>
      </c>
      <c r="X1069" s="15" t="s">
        <v>17573</v>
      </c>
      <c r="Y1069" s="15" t="s">
        <v>78</v>
      </c>
      <c r="Z1069" s="15" t="s">
        <v>11795</v>
      </c>
      <c r="AA1069" s="15" t="s">
        <v>850</v>
      </c>
      <c r="AB1069" s="15" t="s">
        <v>11570</v>
      </c>
      <c r="AC1069" s="15" t="s">
        <v>11571</v>
      </c>
      <c r="AD1069" s="15" t="s">
        <v>11622</v>
      </c>
      <c r="AE1069" s="15" t="s">
        <v>262</v>
      </c>
      <c r="AF1069" s="15" t="s">
        <v>17574</v>
      </c>
      <c r="AG1069" s="15" t="s">
        <v>17575</v>
      </c>
      <c r="AH1069" s="15" t="s">
        <v>39</v>
      </c>
      <c r="AI1069" s="15" t="s">
        <v>17576</v>
      </c>
      <c r="AJ1069" s="15" t="s">
        <v>17577</v>
      </c>
      <c r="AK1069" s="15" t="s">
        <v>3596</v>
      </c>
      <c r="AL1069" s="15" t="s">
        <v>88</v>
      </c>
    </row>
    <row r="1070" spans="1:38" x14ac:dyDescent="0.4">
      <c r="A1070" s="11" t="s">
        <v>17578</v>
      </c>
      <c r="B1070" s="12" t="s">
        <v>17579</v>
      </c>
      <c r="C1070" s="13" t="s">
        <v>39</v>
      </c>
      <c r="D1070" s="13" t="s">
        <v>92</v>
      </c>
      <c r="E1070" s="13" t="s">
        <v>17580</v>
      </c>
      <c r="F1070" s="13" t="s">
        <v>640</v>
      </c>
      <c r="G1070" s="13" t="s">
        <v>640</v>
      </c>
      <c r="H1070" s="13" t="s">
        <v>17581</v>
      </c>
      <c r="I1070" s="9">
        <f t="shared" ca="1" si="16"/>
        <v>13</v>
      </c>
      <c r="J1070" s="13" t="s">
        <v>17582</v>
      </c>
      <c r="K1070" s="13" t="s">
        <v>379</v>
      </c>
      <c r="L1070" s="9" t="str">
        <f>VLOOKUP(K1070,[1]中国省份_标准!$B$2:$F$35,4,FALSE)</f>
        <v>东部地区</v>
      </c>
      <c r="M1070" s="9" t="str">
        <f>VLOOKUP(K1070,[1]中国省份_标准!$B$2:$F$35,5,FALSE)</f>
        <v>华东地区</v>
      </c>
      <c r="N1070" s="13" t="s">
        <v>1221</v>
      </c>
      <c r="O1070" s="13" t="s">
        <v>3319</v>
      </c>
      <c r="P1070" s="13" t="s">
        <v>17583</v>
      </c>
      <c r="Q1070" s="13" t="s">
        <v>17584</v>
      </c>
      <c r="R1070" s="13" t="s">
        <v>39</v>
      </c>
      <c r="S1070" s="13" t="s">
        <v>39</v>
      </c>
      <c r="T1070" s="13" t="s">
        <v>48</v>
      </c>
      <c r="U1070" s="13" t="s">
        <v>17579</v>
      </c>
      <c r="V1070" s="13" t="s">
        <v>17585</v>
      </c>
      <c r="W1070" s="13" t="s">
        <v>17586</v>
      </c>
      <c r="X1070" s="13" t="s">
        <v>2510</v>
      </c>
      <c r="Y1070" s="13" t="s">
        <v>78</v>
      </c>
      <c r="Z1070" s="13" t="s">
        <v>17587</v>
      </c>
      <c r="AA1070" s="13" t="s">
        <v>850</v>
      </c>
      <c r="AB1070" s="13" t="s">
        <v>9442</v>
      </c>
      <c r="AC1070" s="13" t="s">
        <v>10006</v>
      </c>
      <c r="AD1070" s="13" t="s">
        <v>14959</v>
      </c>
      <c r="AE1070" s="13" t="s">
        <v>55</v>
      </c>
      <c r="AF1070" s="13" t="s">
        <v>17588</v>
      </c>
      <c r="AG1070" s="13" t="s">
        <v>39</v>
      </c>
      <c r="AH1070" s="13" t="s">
        <v>39</v>
      </c>
      <c r="AI1070" s="13" t="s">
        <v>17589</v>
      </c>
      <c r="AJ1070" s="13" t="s">
        <v>17590</v>
      </c>
      <c r="AK1070" s="13" t="s">
        <v>3333</v>
      </c>
      <c r="AL1070" s="13" t="s">
        <v>88</v>
      </c>
    </row>
    <row r="1071" spans="1:38" x14ac:dyDescent="0.4">
      <c r="A1071" s="11" t="s">
        <v>17591</v>
      </c>
      <c r="B1071" s="14" t="s">
        <v>17592</v>
      </c>
      <c r="C1071" s="15" t="s">
        <v>39</v>
      </c>
      <c r="D1071" s="15" t="s">
        <v>92</v>
      </c>
      <c r="E1071" s="15" t="s">
        <v>17593</v>
      </c>
      <c r="F1071" s="15" t="s">
        <v>271</v>
      </c>
      <c r="G1071" s="15" t="s">
        <v>640</v>
      </c>
      <c r="H1071" s="15" t="s">
        <v>17594</v>
      </c>
      <c r="I1071" s="9">
        <f t="shared" ca="1" si="16"/>
        <v>17</v>
      </c>
      <c r="J1071" s="15" t="s">
        <v>17595</v>
      </c>
      <c r="K1071" s="15" t="s">
        <v>45</v>
      </c>
      <c r="L1071" s="9" t="str">
        <f>VLOOKUP(K1071,[1]中国省份_标准!$B$2:$F$35,4,FALSE)</f>
        <v>东部地区</v>
      </c>
      <c r="M1071" s="9" t="str">
        <f>VLOOKUP(K1071,[1]中国省份_标准!$B$2:$F$35,5,FALSE)</f>
        <v>华东地区</v>
      </c>
      <c r="N1071" s="15" t="s">
        <v>45</v>
      </c>
      <c r="O1071" s="15" t="s">
        <v>17522</v>
      </c>
      <c r="P1071" s="15" t="s">
        <v>17596</v>
      </c>
      <c r="Q1071" s="15" t="s">
        <v>17597</v>
      </c>
      <c r="R1071" s="15" t="s">
        <v>17598</v>
      </c>
      <c r="S1071" s="15" t="s">
        <v>17599</v>
      </c>
      <c r="T1071" s="15" t="s">
        <v>48</v>
      </c>
      <c r="U1071" s="15" t="s">
        <v>17592</v>
      </c>
      <c r="V1071" s="15" t="s">
        <v>17600</v>
      </c>
      <c r="W1071" s="15" t="s">
        <v>17601</v>
      </c>
      <c r="X1071" s="15" t="s">
        <v>557</v>
      </c>
      <c r="Y1071" s="15" t="s">
        <v>78</v>
      </c>
      <c r="Z1071" s="15" t="s">
        <v>17602</v>
      </c>
      <c r="AA1071" s="15" t="s">
        <v>850</v>
      </c>
      <c r="AB1071" s="15" t="s">
        <v>11570</v>
      </c>
      <c r="AC1071" s="15" t="s">
        <v>11571</v>
      </c>
      <c r="AD1071" s="15" t="s">
        <v>11622</v>
      </c>
      <c r="AE1071" s="15" t="s">
        <v>109</v>
      </c>
      <c r="AF1071" s="15" t="s">
        <v>17603</v>
      </c>
      <c r="AG1071" s="15" t="s">
        <v>39</v>
      </c>
      <c r="AH1071" s="15" t="s">
        <v>17604</v>
      </c>
      <c r="AI1071" s="15" t="s">
        <v>17605</v>
      </c>
      <c r="AJ1071" s="15" t="s">
        <v>17606</v>
      </c>
      <c r="AK1071" s="15" t="s">
        <v>17530</v>
      </c>
      <c r="AL1071" s="15" t="s">
        <v>88</v>
      </c>
    </row>
    <row r="1072" spans="1:38" x14ac:dyDescent="0.4">
      <c r="A1072" s="11" t="s">
        <v>17607</v>
      </c>
      <c r="B1072" s="12" t="s">
        <v>17608</v>
      </c>
      <c r="C1072" s="13" t="s">
        <v>39</v>
      </c>
      <c r="D1072" s="13" t="s">
        <v>92</v>
      </c>
      <c r="E1072" s="13" t="s">
        <v>17609</v>
      </c>
      <c r="F1072" s="13" t="s">
        <v>640</v>
      </c>
      <c r="G1072" s="13" t="s">
        <v>640</v>
      </c>
      <c r="H1072" s="13" t="s">
        <v>17610</v>
      </c>
      <c r="I1072" s="9">
        <f t="shared" ca="1" si="16"/>
        <v>10</v>
      </c>
      <c r="J1072" s="13" t="s">
        <v>17611</v>
      </c>
      <c r="K1072" s="13" t="s">
        <v>157</v>
      </c>
      <c r="L1072" s="9" t="str">
        <f>VLOOKUP(K1072,[1]中国省份_标准!$B$2:$F$35,4,FALSE)</f>
        <v>东北地区</v>
      </c>
      <c r="M1072" s="9" t="str">
        <f>VLOOKUP(K1072,[1]中国省份_标准!$B$2:$F$35,5,FALSE)</f>
        <v>东北地区</v>
      </c>
      <c r="N1072" s="13" t="s">
        <v>1105</v>
      </c>
      <c r="O1072" s="13" t="s">
        <v>1106</v>
      </c>
      <c r="P1072" s="13" t="s">
        <v>17612</v>
      </c>
      <c r="Q1072" s="13" t="s">
        <v>17613</v>
      </c>
      <c r="R1072" s="13" t="s">
        <v>17614</v>
      </c>
      <c r="S1072" s="13" t="s">
        <v>17615</v>
      </c>
      <c r="T1072" s="13" t="s">
        <v>281</v>
      </c>
      <c r="U1072" s="13" t="s">
        <v>17608</v>
      </c>
      <c r="V1072" s="13" t="s">
        <v>17616</v>
      </c>
      <c r="W1072" s="13" t="s">
        <v>17617</v>
      </c>
      <c r="X1072" s="13" t="s">
        <v>455</v>
      </c>
      <c r="Y1072" s="13" t="s">
        <v>78</v>
      </c>
      <c r="Z1072" s="13" t="s">
        <v>17618</v>
      </c>
      <c r="AA1072" s="13" t="s">
        <v>850</v>
      </c>
      <c r="AB1072" s="13" t="s">
        <v>39</v>
      </c>
      <c r="AC1072" s="13" t="s">
        <v>39</v>
      </c>
      <c r="AD1072" s="13" t="s">
        <v>39</v>
      </c>
      <c r="AE1072" s="13" t="s">
        <v>55</v>
      </c>
      <c r="AF1072" s="13" t="s">
        <v>17619</v>
      </c>
      <c r="AG1072" s="13" t="s">
        <v>39</v>
      </c>
      <c r="AH1072" s="13" t="s">
        <v>39</v>
      </c>
      <c r="AI1072" s="13" t="s">
        <v>17620</v>
      </c>
      <c r="AJ1072" s="13" t="s">
        <v>17621</v>
      </c>
      <c r="AK1072" s="13" t="s">
        <v>1116</v>
      </c>
      <c r="AL1072" s="13" t="s">
        <v>88</v>
      </c>
    </row>
    <row r="1073" spans="1:38" x14ac:dyDescent="0.4">
      <c r="A1073" s="11" t="s">
        <v>17622</v>
      </c>
      <c r="B1073" s="14" t="s">
        <v>17623</v>
      </c>
      <c r="C1073" s="15" t="s">
        <v>39</v>
      </c>
      <c r="D1073" s="15" t="s">
        <v>92</v>
      </c>
      <c r="E1073" s="15" t="s">
        <v>17624</v>
      </c>
      <c r="F1073" s="15" t="s">
        <v>271</v>
      </c>
      <c r="G1073" s="15" t="s">
        <v>640</v>
      </c>
      <c r="H1073" s="15" t="s">
        <v>17625</v>
      </c>
      <c r="I1073" s="9">
        <f t="shared" ca="1" si="16"/>
        <v>8</v>
      </c>
      <c r="J1073" s="15" t="s">
        <v>17626</v>
      </c>
      <c r="K1073" s="15" t="s">
        <v>157</v>
      </c>
      <c r="L1073" s="9" t="str">
        <f>VLOOKUP(K1073,[1]中国省份_标准!$B$2:$F$35,4,FALSE)</f>
        <v>东北地区</v>
      </c>
      <c r="M1073" s="9" t="str">
        <f>VLOOKUP(K1073,[1]中国省份_标准!$B$2:$F$35,5,FALSE)</f>
        <v>东北地区</v>
      </c>
      <c r="N1073" s="15" t="s">
        <v>1105</v>
      </c>
      <c r="O1073" s="15" t="s">
        <v>1106</v>
      </c>
      <c r="P1073" s="15" t="s">
        <v>17627</v>
      </c>
      <c r="Q1073" s="15" t="s">
        <v>17628</v>
      </c>
      <c r="R1073" s="15" t="s">
        <v>17629</v>
      </c>
      <c r="S1073" s="15" t="s">
        <v>17630</v>
      </c>
      <c r="T1073" s="15" t="s">
        <v>452</v>
      </c>
      <c r="U1073" s="15" t="s">
        <v>17623</v>
      </c>
      <c r="V1073" s="15" t="s">
        <v>17631</v>
      </c>
      <c r="W1073" s="15" t="s">
        <v>17632</v>
      </c>
      <c r="X1073" s="15" t="s">
        <v>10293</v>
      </c>
      <c r="Y1073" s="15" t="s">
        <v>78</v>
      </c>
      <c r="Z1073" s="15" t="s">
        <v>17633</v>
      </c>
      <c r="AA1073" s="15" t="s">
        <v>850</v>
      </c>
      <c r="AB1073" s="15" t="s">
        <v>11570</v>
      </c>
      <c r="AC1073" s="15" t="s">
        <v>11571</v>
      </c>
      <c r="AD1073" s="15" t="s">
        <v>14322</v>
      </c>
      <c r="AE1073" s="15" t="s">
        <v>55</v>
      </c>
      <c r="AF1073" s="15" t="s">
        <v>17634</v>
      </c>
      <c r="AG1073" s="15" t="s">
        <v>17635</v>
      </c>
      <c r="AH1073" s="15" t="s">
        <v>17636</v>
      </c>
      <c r="AI1073" s="15" t="s">
        <v>17637</v>
      </c>
      <c r="AJ1073" s="15" t="s">
        <v>17638</v>
      </c>
      <c r="AK1073" s="15" t="s">
        <v>1116</v>
      </c>
      <c r="AL1073" s="15" t="s">
        <v>88</v>
      </c>
    </row>
    <row r="1074" spans="1:38" x14ac:dyDescent="0.4">
      <c r="A1074" s="11" t="s">
        <v>17639</v>
      </c>
      <c r="B1074" s="12" t="s">
        <v>17640</v>
      </c>
      <c r="C1074" s="13" t="s">
        <v>39</v>
      </c>
      <c r="D1074" s="13" t="s">
        <v>92</v>
      </c>
      <c r="E1074" s="13" t="s">
        <v>17641</v>
      </c>
      <c r="F1074" s="13" t="s">
        <v>271</v>
      </c>
      <c r="G1074" s="13" t="s">
        <v>2437</v>
      </c>
      <c r="H1074" s="13" t="s">
        <v>17642</v>
      </c>
      <c r="I1074" s="9">
        <f t="shared" ca="1" si="16"/>
        <v>20</v>
      </c>
      <c r="J1074" s="13" t="s">
        <v>17643</v>
      </c>
      <c r="K1074" s="13" t="s">
        <v>4266</v>
      </c>
      <c r="L1074" s="9" t="str">
        <f>VLOOKUP(K1074,[1]中国省份_标准!$B$2:$F$35,4,FALSE)</f>
        <v>东部地区</v>
      </c>
      <c r="M1074" s="9" t="str">
        <f>VLOOKUP(K1074,[1]中国省份_标准!$B$2:$F$35,5,FALSE)</f>
        <v>华北地区</v>
      </c>
      <c r="N1074" s="13" t="s">
        <v>4266</v>
      </c>
      <c r="O1074" s="13" t="s">
        <v>9575</v>
      </c>
      <c r="P1074" s="13" t="s">
        <v>17644</v>
      </c>
      <c r="Q1074" s="13" t="s">
        <v>17645</v>
      </c>
      <c r="R1074" s="13" t="s">
        <v>17646</v>
      </c>
      <c r="S1074" s="13" t="s">
        <v>17647</v>
      </c>
      <c r="T1074" s="13" t="s">
        <v>670</v>
      </c>
      <c r="U1074" s="13" t="s">
        <v>17640</v>
      </c>
      <c r="V1074" s="13" t="s">
        <v>17648</v>
      </c>
      <c r="W1074" s="13" t="s">
        <v>17649</v>
      </c>
      <c r="X1074" s="13" t="s">
        <v>6706</v>
      </c>
      <c r="Y1074" s="13" t="s">
        <v>78</v>
      </c>
      <c r="Z1074" s="13" t="s">
        <v>17650</v>
      </c>
      <c r="AA1074" s="13" t="s">
        <v>850</v>
      </c>
      <c r="AB1074" s="13" t="s">
        <v>851</v>
      </c>
      <c r="AC1074" s="13" t="s">
        <v>3990</v>
      </c>
      <c r="AD1074" s="13" t="s">
        <v>3990</v>
      </c>
      <c r="AE1074" s="13" t="s">
        <v>55</v>
      </c>
      <c r="AF1074" s="13" t="s">
        <v>17651</v>
      </c>
      <c r="AG1074" s="13" t="s">
        <v>17652</v>
      </c>
      <c r="AH1074" s="13" t="s">
        <v>17653</v>
      </c>
      <c r="AI1074" s="13" t="s">
        <v>17654</v>
      </c>
      <c r="AJ1074" s="13" t="s">
        <v>17655</v>
      </c>
      <c r="AK1074" s="13" t="s">
        <v>4296</v>
      </c>
      <c r="AL1074" s="13" t="s">
        <v>88</v>
      </c>
    </row>
    <row r="1075" spans="1:38" x14ac:dyDescent="0.4">
      <c r="A1075" s="11" t="s">
        <v>17656</v>
      </c>
      <c r="B1075" s="14" t="s">
        <v>17657</v>
      </c>
      <c r="C1075" s="15" t="s">
        <v>39</v>
      </c>
      <c r="D1075" s="15" t="s">
        <v>63</v>
      </c>
      <c r="E1075" s="15" t="s">
        <v>17658</v>
      </c>
      <c r="F1075" s="15" t="s">
        <v>640</v>
      </c>
      <c r="G1075" s="15" t="s">
        <v>640</v>
      </c>
      <c r="H1075" s="15" t="s">
        <v>17659</v>
      </c>
      <c r="I1075" s="9">
        <f t="shared" ca="1" si="16"/>
        <v>8</v>
      </c>
      <c r="J1075" s="15" t="s">
        <v>17660</v>
      </c>
      <c r="K1075" s="15" t="s">
        <v>67</v>
      </c>
      <c r="L1075" s="9" t="str">
        <f>VLOOKUP(K1075,[1]中国省份_标准!$B$2:$F$35,4,FALSE)</f>
        <v>东部地区</v>
      </c>
      <c r="M1075" s="9" t="str">
        <f>VLOOKUP(K1075,[1]中国省份_标准!$B$2:$F$35,5,FALSE)</f>
        <v>华东地区</v>
      </c>
      <c r="N1075" s="15" t="s">
        <v>203</v>
      </c>
      <c r="O1075" s="15" t="s">
        <v>14548</v>
      </c>
      <c r="P1075" s="15" t="s">
        <v>17661</v>
      </c>
      <c r="Q1075" s="15" t="s">
        <v>39</v>
      </c>
      <c r="R1075" s="15" t="s">
        <v>17662</v>
      </c>
      <c r="S1075" s="15" t="s">
        <v>17663</v>
      </c>
      <c r="T1075" s="15" t="s">
        <v>48</v>
      </c>
      <c r="U1075" s="15" t="s">
        <v>17657</v>
      </c>
      <c r="V1075" s="15" t="s">
        <v>17664</v>
      </c>
      <c r="W1075" s="15" t="s">
        <v>17665</v>
      </c>
      <c r="X1075" s="15" t="s">
        <v>2566</v>
      </c>
      <c r="Y1075" s="15" t="s">
        <v>78</v>
      </c>
      <c r="Z1075" s="15" t="s">
        <v>17666</v>
      </c>
      <c r="AA1075" s="15" t="s">
        <v>850</v>
      </c>
      <c r="AB1075" s="15" t="s">
        <v>11570</v>
      </c>
      <c r="AC1075" s="15" t="s">
        <v>11571</v>
      </c>
      <c r="AD1075" s="15" t="s">
        <v>11622</v>
      </c>
      <c r="AE1075" s="15" t="s">
        <v>55</v>
      </c>
      <c r="AF1075" s="15" t="s">
        <v>17667</v>
      </c>
      <c r="AG1075" s="15" t="s">
        <v>39</v>
      </c>
      <c r="AH1075" s="15" t="s">
        <v>39</v>
      </c>
      <c r="AI1075" s="15" t="s">
        <v>17668</v>
      </c>
      <c r="AJ1075" s="15" t="s">
        <v>17669</v>
      </c>
      <c r="AK1075" s="15" t="s">
        <v>14629</v>
      </c>
      <c r="AL1075" s="15" t="s">
        <v>88</v>
      </c>
    </row>
    <row r="1076" spans="1:38" x14ac:dyDescent="0.4">
      <c r="A1076" s="11" t="s">
        <v>17670</v>
      </c>
      <c r="B1076" s="12" t="s">
        <v>17671</v>
      </c>
      <c r="C1076" s="13" t="s">
        <v>39</v>
      </c>
      <c r="D1076" s="13" t="s">
        <v>92</v>
      </c>
      <c r="E1076" s="13" t="s">
        <v>17672</v>
      </c>
      <c r="F1076" s="13" t="s">
        <v>4694</v>
      </c>
      <c r="G1076" s="13" t="s">
        <v>17673</v>
      </c>
      <c r="H1076" s="13" t="s">
        <v>17674</v>
      </c>
      <c r="I1076" s="9">
        <f t="shared" ca="1" si="16"/>
        <v>11</v>
      </c>
      <c r="J1076" s="13" t="s">
        <v>17675</v>
      </c>
      <c r="K1076" s="13" t="s">
        <v>45</v>
      </c>
      <c r="L1076" s="9" t="str">
        <f>VLOOKUP(K1076,[1]中国省份_标准!$B$2:$F$35,4,FALSE)</f>
        <v>东部地区</v>
      </c>
      <c r="M1076" s="9" t="str">
        <f>VLOOKUP(K1076,[1]中国省份_标准!$B$2:$F$35,5,FALSE)</f>
        <v>华东地区</v>
      </c>
      <c r="N1076" s="13" t="s">
        <v>45</v>
      </c>
      <c r="O1076" s="13" t="s">
        <v>1123</v>
      </c>
      <c r="P1076" s="13" t="s">
        <v>17676</v>
      </c>
      <c r="Q1076" s="13" t="s">
        <v>17677</v>
      </c>
      <c r="R1076" s="13" t="s">
        <v>17678</v>
      </c>
      <c r="S1076" s="13" t="s">
        <v>17679</v>
      </c>
      <c r="T1076" s="13" t="s">
        <v>48</v>
      </c>
      <c r="U1076" s="13" t="s">
        <v>17671</v>
      </c>
      <c r="V1076" s="13" t="s">
        <v>17680</v>
      </c>
      <c r="W1076" s="13" t="s">
        <v>17681</v>
      </c>
      <c r="X1076" s="13" t="s">
        <v>1209</v>
      </c>
      <c r="Y1076" s="13" t="s">
        <v>78</v>
      </c>
      <c r="Z1076" s="13" t="s">
        <v>17682</v>
      </c>
      <c r="AA1076" s="13" t="s">
        <v>850</v>
      </c>
      <c r="AB1076" s="13" t="s">
        <v>9442</v>
      </c>
      <c r="AC1076" s="13" t="s">
        <v>10006</v>
      </c>
      <c r="AD1076" s="13" t="s">
        <v>10007</v>
      </c>
      <c r="AE1076" s="13" t="s">
        <v>109</v>
      </c>
      <c r="AF1076" s="13" t="s">
        <v>17683</v>
      </c>
      <c r="AG1076" s="13" t="s">
        <v>39</v>
      </c>
      <c r="AH1076" s="13" t="s">
        <v>17684</v>
      </c>
      <c r="AI1076" s="13" t="s">
        <v>17685</v>
      </c>
      <c r="AJ1076" s="13" t="s">
        <v>17686</v>
      </c>
      <c r="AK1076" s="13" t="s">
        <v>4126</v>
      </c>
      <c r="AL1076" s="13" t="s">
        <v>88</v>
      </c>
    </row>
    <row r="1077" spans="1:38" x14ac:dyDescent="0.4">
      <c r="A1077" s="11" t="s">
        <v>17687</v>
      </c>
      <c r="B1077" s="14" t="s">
        <v>17688</v>
      </c>
      <c r="C1077" s="15" t="s">
        <v>39</v>
      </c>
      <c r="D1077" s="15" t="s">
        <v>63</v>
      </c>
      <c r="E1077" s="15" t="s">
        <v>17689</v>
      </c>
      <c r="F1077" s="15" t="s">
        <v>271</v>
      </c>
      <c r="G1077" s="15" t="s">
        <v>8605</v>
      </c>
      <c r="H1077" s="15" t="s">
        <v>17690</v>
      </c>
      <c r="I1077" s="9">
        <f t="shared" ca="1" si="16"/>
        <v>4</v>
      </c>
      <c r="J1077" s="15" t="s">
        <v>17691</v>
      </c>
      <c r="K1077" s="15" t="s">
        <v>425</v>
      </c>
      <c r="L1077" s="9" t="str">
        <f>VLOOKUP(K1077,[1]中国省份_标准!$B$2:$F$35,4,FALSE)</f>
        <v>东部地区</v>
      </c>
      <c r="M1077" s="9" t="str">
        <f>VLOOKUP(K1077,[1]中国省份_标准!$B$2:$F$35,5,FALSE)</f>
        <v>华东地区</v>
      </c>
      <c r="N1077" s="15" t="s">
        <v>2304</v>
      </c>
      <c r="O1077" s="15" t="s">
        <v>2305</v>
      </c>
      <c r="P1077" s="15" t="s">
        <v>17692</v>
      </c>
      <c r="Q1077" s="15" t="s">
        <v>39</v>
      </c>
      <c r="R1077" s="15" t="s">
        <v>17693</v>
      </c>
      <c r="S1077" s="15" t="s">
        <v>39</v>
      </c>
      <c r="T1077" s="15" t="s">
        <v>184</v>
      </c>
      <c r="U1077" s="15" t="s">
        <v>17688</v>
      </c>
      <c r="V1077" s="15" t="s">
        <v>17694</v>
      </c>
      <c r="W1077" s="15" t="s">
        <v>17695</v>
      </c>
      <c r="X1077" s="15" t="s">
        <v>2566</v>
      </c>
      <c r="Y1077" s="15" t="s">
        <v>78</v>
      </c>
      <c r="Z1077" s="15" t="s">
        <v>17696</v>
      </c>
      <c r="AA1077" s="15" t="s">
        <v>52</v>
      </c>
      <c r="AB1077" s="15" t="s">
        <v>53</v>
      </c>
      <c r="AC1077" s="15" t="s">
        <v>2874</v>
      </c>
      <c r="AD1077" s="15" t="s">
        <v>4311</v>
      </c>
      <c r="AE1077" s="15" t="s">
        <v>55</v>
      </c>
      <c r="AF1077" s="15" t="s">
        <v>17697</v>
      </c>
      <c r="AG1077" s="15" t="s">
        <v>39</v>
      </c>
      <c r="AH1077" s="15" t="s">
        <v>39</v>
      </c>
      <c r="AI1077" s="15" t="s">
        <v>17698</v>
      </c>
      <c r="AJ1077" s="15" t="s">
        <v>17699</v>
      </c>
      <c r="AK1077" s="15" t="s">
        <v>12606</v>
      </c>
      <c r="AL1077" s="15" t="s">
        <v>88</v>
      </c>
    </row>
    <row r="1078" spans="1:38" x14ac:dyDescent="0.4">
      <c r="A1078" s="11" t="s">
        <v>17700</v>
      </c>
      <c r="B1078" s="12" t="s">
        <v>17701</v>
      </c>
      <c r="C1078" s="13" t="s">
        <v>17702</v>
      </c>
      <c r="D1078" s="13" t="s">
        <v>92</v>
      </c>
      <c r="E1078" s="13" t="s">
        <v>17703</v>
      </c>
      <c r="F1078" s="13" t="s">
        <v>442</v>
      </c>
      <c r="G1078" s="13" t="s">
        <v>442</v>
      </c>
      <c r="H1078" s="13" t="s">
        <v>17704</v>
      </c>
      <c r="I1078" s="9">
        <f t="shared" ca="1" si="16"/>
        <v>24</v>
      </c>
      <c r="J1078" s="13" t="s">
        <v>17705</v>
      </c>
      <c r="K1078" s="13" t="s">
        <v>157</v>
      </c>
      <c r="L1078" s="9" t="str">
        <f>VLOOKUP(K1078,[1]中国省份_标准!$B$2:$F$35,4,FALSE)</f>
        <v>东北地区</v>
      </c>
      <c r="M1078" s="9" t="str">
        <f>VLOOKUP(K1078,[1]中国省份_标准!$B$2:$F$35,5,FALSE)</f>
        <v>东北地区</v>
      </c>
      <c r="N1078" s="13" t="s">
        <v>1087</v>
      </c>
      <c r="O1078" s="13" t="s">
        <v>17706</v>
      </c>
      <c r="P1078" s="13" t="s">
        <v>17707</v>
      </c>
      <c r="Q1078" s="13" t="s">
        <v>17708</v>
      </c>
      <c r="R1078" s="13" t="s">
        <v>17709</v>
      </c>
      <c r="S1078" s="13" t="s">
        <v>17710</v>
      </c>
      <c r="T1078" s="13" t="s">
        <v>184</v>
      </c>
      <c r="U1078" s="13" t="s">
        <v>17701</v>
      </c>
      <c r="V1078" s="13" t="s">
        <v>17711</v>
      </c>
      <c r="W1078" s="13" t="s">
        <v>17712</v>
      </c>
      <c r="X1078" s="13" t="s">
        <v>7000</v>
      </c>
      <c r="Y1078" s="13" t="s">
        <v>78</v>
      </c>
      <c r="Z1078" s="13" t="s">
        <v>17713</v>
      </c>
      <c r="AA1078" s="13" t="s">
        <v>850</v>
      </c>
      <c r="AB1078" s="13" t="s">
        <v>11570</v>
      </c>
      <c r="AC1078" s="13" t="s">
        <v>17714</v>
      </c>
      <c r="AD1078" s="13" t="s">
        <v>17714</v>
      </c>
      <c r="AE1078" s="13" t="s">
        <v>55</v>
      </c>
      <c r="AF1078" s="13" t="s">
        <v>17715</v>
      </c>
      <c r="AG1078" s="13" t="s">
        <v>17716</v>
      </c>
      <c r="AH1078" s="13" t="s">
        <v>39</v>
      </c>
      <c r="AI1078" s="13" t="s">
        <v>17717</v>
      </c>
      <c r="AJ1078" s="13" t="s">
        <v>17718</v>
      </c>
      <c r="AK1078" s="13" t="s">
        <v>17719</v>
      </c>
      <c r="AL1078" s="13" t="s">
        <v>88</v>
      </c>
    </row>
    <row r="1079" spans="1:38" x14ac:dyDescent="0.4">
      <c r="A1079" s="11" t="s">
        <v>17720</v>
      </c>
      <c r="B1079" s="14" t="s">
        <v>17721</v>
      </c>
      <c r="C1079" s="15" t="s">
        <v>17722</v>
      </c>
      <c r="D1079" s="15" t="s">
        <v>92</v>
      </c>
      <c r="E1079" s="15" t="s">
        <v>17723</v>
      </c>
      <c r="F1079" s="15" t="s">
        <v>640</v>
      </c>
      <c r="G1079" s="15" t="s">
        <v>640</v>
      </c>
      <c r="H1079" s="15" t="s">
        <v>17724</v>
      </c>
      <c r="I1079" s="9">
        <f t="shared" ca="1" si="16"/>
        <v>22</v>
      </c>
      <c r="J1079" s="15" t="s">
        <v>17725</v>
      </c>
      <c r="K1079" s="15" t="s">
        <v>4266</v>
      </c>
      <c r="L1079" s="9" t="str">
        <f>VLOOKUP(K1079,[1]中国省份_标准!$B$2:$F$35,4,FALSE)</f>
        <v>东部地区</v>
      </c>
      <c r="M1079" s="9" t="str">
        <f>VLOOKUP(K1079,[1]中国省份_标准!$B$2:$F$35,5,FALSE)</f>
        <v>华北地区</v>
      </c>
      <c r="N1079" s="15" t="s">
        <v>4266</v>
      </c>
      <c r="O1079" s="15" t="s">
        <v>9575</v>
      </c>
      <c r="P1079" s="15" t="s">
        <v>17726</v>
      </c>
      <c r="Q1079" s="15" t="s">
        <v>17727</v>
      </c>
      <c r="R1079" s="15" t="s">
        <v>17728</v>
      </c>
      <c r="S1079" s="15" t="s">
        <v>17729</v>
      </c>
      <c r="T1079" s="15" t="s">
        <v>281</v>
      </c>
      <c r="U1079" s="15" t="s">
        <v>17721</v>
      </c>
      <c r="V1079" s="15" t="s">
        <v>17730</v>
      </c>
      <c r="W1079" s="15" t="s">
        <v>17731</v>
      </c>
      <c r="X1079" s="15" t="s">
        <v>791</v>
      </c>
      <c r="Y1079" s="15" t="s">
        <v>78</v>
      </c>
      <c r="Z1079" s="15" t="s">
        <v>17732</v>
      </c>
      <c r="AA1079" s="15" t="s">
        <v>850</v>
      </c>
      <c r="AB1079" s="15" t="s">
        <v>7495</v>
      </c>
      <c r="AC1079" s="15" t="s">
        <v>7496</v>
      </c>
      <c r="AD1079" s="15" t="s">
        <v>8961</v>
      </c>
      <c r="AE1079" s="15" t="s">
        <v>109</v>
      </c>
      <c r="AF1079" s="15" t="s">
        <v>17733</v>
      </c>
      <c r="AG1079" s="15" t="s">
        <v>39</v>
      </c>
      <c r="AH1079" s="15" t="s">
        <v>17734</v>
      </c>
      <c r="AI1079" s="15" t="s">
        <v>17735</v>
      </c>
      <c r="AJ1079" s="15" t="s">
        <v>17736</v>
      </c>
      <c r="AK1079" s="15" t="s">
        <v>9780</v>
      </c>
      <c r="AL1079" s="15" t="s">
        <v>88</v>
      </c>
    </row>
    <row r="1080" spans="1:38" x14ac:dyDescent="0.4">
      <c r="A1080" s="11" t="s">
        <v>17737</v>
      </c>
      <c r="B1080" s="12" t="s">
        <v>17738</v>
      </c>
      <c r="C1080" s="13" t="s">
        <v>39</v>
      </c>
      <c r="D1080" s="13" t="s">
        <v>92</v>
      </c>
      <c r="E1080" s="13" t="s">
        <v>17739</v>
      </c>
      <c r="F1080" s="13" t="s">
        <v>999</v>
      </c>
      <c r="G1080" s="13" t="s">
        <v>271</v>
      </c>
      <c r="H1080" s="13" t="s">
        <v>17740</v>
      </c>
      <c r="I1080" s="9">
        <f t="shared" ca="1" si="16"/>
        <v>15</v>
      </c>
      <c r="J1080" s="13" t="s">
        <v>17741</v>
      </c>
      <c r="K1080" s="13" t="s">
        <v>1022</v>
      </c>
      <c r="L1080" s="9" t="str">
        <f>VLOOKUP(K1080,[1]中国省份_标准!$B$2:$F$35,4,FALSE)</f>
        <v>东部地区</v>
      </c>
      <c r="M1080" s="9" t="str">
        <f>VLOOKUP(K1080,[1]中国省份_标准!$B$2:$F$35,5,FALSE)</f>
        <v>华北地区</v>
      </c>
      <c r="N1080" s="13" t="s">
        <v>1022</v>
      </c>
      <c r="O1080" s="13" t="s">
        <v>17742</v>
      </c>
      <c r="P1080" s="13" t="s">
        <v>17743</v>
      </c>
      <c r="Q1080" s="13" t="s">
        <v>17744</v>
      </c>
      <c r="R1080" s="13" t="s">
        <v>17745</v>
      </c>
      <c r="S1080" s="13" t="s">
        <v>17746</v>
      </c>
      <c r="T1080" s="13" t="s">
        <v>48</v>
      </c>
      <c r="U1080" s="13" t="s">
        <v>17738</v>
      </c>
      <c r="V1080" s="13" t="s">
        <v>17747</v>
      </c>
      <c r="W1080" s="13" t="s">
        <v>17748</v>
      </c>
      <c r="X1080" s="13" t="s">
        <v>17749</v>
      </c>
      <c r="Y1080" s="13" t="s">
        <v>78</v>
      </c>
      <c r="Z1080" s="13" t="s">
        <v>17750</v>
      </c>
      <c r="AA1080" s="13" t="s">
        <v>850</v>
      </c>
      <c r="AB1080" s="13" t="s">
        <v>851</v>
      </c>
      <c r="AC1080" s="13" t="s">
        <v>3990</v>
      </c>
      <c r="AD1080" s="13" t="s">
        <v>3990</v>
      </c>
      <c r="AE1080" s="13" t="s">
        <v>55</v>
      </c>
      <c r="AF1080" s="13" t="s">
        <v>17751</v>
      </c>
      <c r="AG1080" s="13" t="s">
        <v>17752</v>
      </c>
      <c r="AH1080" s="13" t="s">
        <v>17753</v>
      </c>
      <c r="AI1080" s="13" t="s">
        <v>17754</v>
      </c>
      <c r="AJ1080" s="13" t="s">
        <v>17755</v>
      </c>
      <c r="AK1080" s="13" t="s">
        <v>17756</v>
      </c>
      <c r="AL1080" s="13" t="s">
        <v>88</v>
      </c>
    </row>
    <row r="1081" spans="1:38" x14ac:dyDescent="0.4">
      <c r="A1081" s="11" t="s">
        <v>17757</v>
      </c>
      <c r="B1081" s="14" t="s">
        <v>17758</v>
      </c>
      <c r="C1081" s="15" t="s">
        <v>17759</v>
      </c>
      <c r="D1081" s="15" t="s">
        <v>92</v>
      </c>
      <c r="E1081" s="15" t="s">
        <v>17760</v>
      </c>
      <c r="F1081" s="15" t="s">
        <v>271</v>
      </c>
      <c r="G1081" s="15" t="s">
        <v>422</v>
      </c>
      <c r="H1081" s="15" t="s">
        <v>17761</v>
      </c>
      <c r="I1081" s="9">
        <f t="shared" ca="1" si="16"/>
        <v>8</v>
      </c>
      <c r="J1081" s="15" t="s">
        <v>17762</v>
      </c>
      <c r="K1081" s="15" t="s">
        <v>157</v>
      </c>
      <c r="L1081" s="9" t="str">
        <f>VLOOKUP(K1081,[1]中国省份_标准!$B$2:$F$35,4,FALSE)</f>
        <v>东北地区</v>
      </c>
      <c r="M1081" s="9" t="str">
        <f>VLOOKUP(K1081,[1]中国省份_标准!$B$2:$F$35,5,FALSE)</f>
        <v>东北地区</v>
      </c>
      <c r="N1081" s="15" t="s">
        <v>1087</v>
      </c>
      <c r="O1081" s="15" t="s">
        <v>17706</v>
      </c>
      <c r="P1081" s="15" t="s">
        <v>17763</v>
      </c>
      <c r="Q1081" s="15" t="s">
        <v>17764</v>
      </c>
      <c r="R1081" s="15" t="s">
        <v>17765</v>
      </c>
      <c r="S1081" s="15" t="s">
        <v>17766</v>
      </c>
      <c r="T1081" s="15" t="s">
        <v>48</v>
      </c>
      <c r="U1081" s="15" t="s">
        <v>17758</v>
      </c>
      <c r="V1081" s="15" t="s">
        <v>17767</v>
      </c>
      <c r="W1081" s="15" t="s">
        <v>17768</v>
      </c>
      <c r="X1081" s="15" t="s">
        <v>77</v>
      </c>
      <c r="Y1081" s="15" t="s">
        <v>78</v>
      </c>
      <c r="Z1081" s="15" t="s">
        <v>17769</v>
      </c>
      <c r="AA1081" s="15" t="s">
        <v>80</v>
      </c>
      <c r="AB1081" s="15" t="s">
        <v>106</v>
      </c>
      <c r="AC1081" s="15" t="s">
        <v>388</v>
      </c>
      <c r="AD1081" s="15" t="s">
        <v>17770</v>
      </c>
      <c r="AE1081" s="15" t="s">
        <v>109</v>
      </c>
      <c r="AF1081" s="15" t="s">
        <v>17771</v>
      </c>
      <c r="AG1081" s="15" t="s">
        <v>39</v>
      </c>
      <c r="AH1081" s="15" t="s">
        <v>39</v>
      </c>
      <c r="AI1081" s="15" t="s">
        <v>17772</v>
      </c>
      <c r="AJ1081" s="15" t="s">
        <v>17773</v>
      </c>
      <c r="AK1081" s="15" t="s">
        <v>17719</v>
      </c>
      <c r="AL1081" s="15" t="s">
        <v>88</v>
      </c>
    </row>
    <row r="1082" spans="1:38" x14ac:dyDescent="0.4">
      <c r="A1082" s="11" t="s">
        <v>17774</v>
      </c>
      <c r="B1082" s="12" t="s">
        <v>17775</v>
      </c>
      <c r="C1082" s="13" t="s">
        <v>39</v>
      </c>
      <c r="D1082" s="13" t="s">
        <v>92</v>
      </c>
      <c r="E1082" s="13" t="s">
        <v>17776</v>
      </c>
      <c r="F1082" s="13" t="s">
        <v>2925</v>
      </c>
      <c r="G1082" s="13" t="s">
        <v>1120</v>
      </c>
      <c r="H1082" s="13" t="s">
        <v>17777</v>
      </c>
      <c r="I1082" s="9">
        <f t="shared" ca="1" si="16"/>
        <v>8</v>
      </c>
      <c r="J1082" s="13" t="s">
        <v>17778</v>
      </c>
      <c r="K1082" s="13" t="s">
        <v>45</v>
      </c>
      <c r="L1082" s="9" t="str">
        <f>VLOOKUP(K1082,[1]中国省份_标准!$B$2:$F$35,4,FALSE)</f>
        <v>东部地区</v>
      </c>
      <c r="M1082" s="9" t="str">
        <f>VLOOKUP(K1082,[1]中国省份_标准!$B$2:$F$35,5,FALSE)</f>
        <v>华东地区</v>
      </c>
      <c r="N1082" s="13" t="s">
        <v>45</v>
      </c>
      <c r="O1082" s="13" t="s">
        <v>17779</v>
      </c>
      <c r="P1082" s="13" t="s">
        <v>17780</v>
      </c>
      <c r="Q1082" s="13" t="s">
        <v>17781</v>
      </c>
      <c r="R1082" s="13" t="s">
        <v>17782</v>
      </c>
      <c r="S1082" s="13" t="s">
        <v>17783</v>
      </c>
      <c r="T1082" s="13" t="s">
        <v>48</v>
      </c>
      <c r="U1082" s="13" t="s">
        <v>17775</v>
      </c>
      <c r="V1082" s="13" t="s">
        <v>17784</v>
      </c>
      <c r="W1082" s="13" t="s">
        <v>17785</v>
      </c>
      <c r="X1082" s="13" t="s">
        <v>1130</v>
      </c>
      <c r="Y1082" s="13" t="s">
        <v>78</v>
      </c>
      <c r="Z1082" s="13" t="s">
        <v>17786</v>
      </c>
      <c r="AA1082" s="13" t="s">
        <v>52</v>
      </c>
      <c r="AB1082" s="13" t="s">
        <v>53</v>
      </c>
      <c r="AC1082" s="13" t="s">
        <v>2874</v>
      </c>
      <c r="AD1082" s="13" t="s">
        <v>4311</v>
      </c>
      <c r="AE1082" s="13" t="s">
        <v>109</v>
      </c>
      <c r="AF1082" s="13" t="s">
        <v>17787</v>
      </c>
      <c r="AG1082" s="13" t="s">
        <v>39</v>
      </c>
      <c r="AH1082" s="13" t="s">
        <v>17788</v>
      </c>
      <c r="AI1082" s="13" t="s">
        <v>17789</v>
      </c>
      <c r="AJ1082" s="13" t="s">
        <v>17790</v>
      </c>
      <c r="AK1082" s="13" t="s">
        <v>17791</v>
      </c>
      <c r="AL1082" s="13" t="s">
        <v>88</v>
      </c>
    </row>
    <row r="1083" spans="1:38" x14ac:dyDescent="0.4">
      <c r="A1083" s="11" t="s">
        <v>17792</v>
      </c>
      <c r="B1083" s="14" t="s">
        <v>17793</v>
      </c>
      <c r="C1083" s="15" t="s">
        <v>17794</v>
      </c>
      <c r="D1083" s="15" t="s">
        <v>92</v>
      </c>
      <c r="E1083" s="15" t="s">
        <v>17795</v>
      </c>
      <c r="F1083" s="15" t="s">
        <v>39</v>
      </c>
      <c r="G1083" s="15" t="s">
        <v>39</v>
      </c>
      <c r="H1083" s="15" t="s">
        <v>17796</v>
      </c>
      <c r="I1083" s="9">
        <f t="shared" ca="1" si="16"/>
        <v>26</v>
      </c>
      <c r="J1083" s="15" t="s">
        <v>17797</v>
      </c>
      <c r="K1083" s="15" t="s">
        <v>45</v>
      </c>
      <c r="L1083" s="9" t="str">
        <f>VLOOKUP(K1083,[1]中国省份_标准!$B$2:$F$35,4,FALSE)</f>
        <v>东部地区</v>
      </c>
      <c r="M1083" s="9" t="str">
        <f>VLOOKUP(K1083,[1]中国省份_标准!$B$2:$F$35,5,FALSE)</f>
        <v>华东地区</v>
      </c>
      <c r="N1083" s="15" t="s">
        <v>45</v>
      </c>
      <c r="O1083" s="15" t="s">
        <v>1123</v>
      </c>
      <c r="P1083" s="15" t="s">
        <v>17798</v>
      </c>
      <c r="Q1083" s="15" t="s">
        <v>17799</v>
      </c>
      <c r="R1083" s="15" t="s">
        <v>17800</v>
      </c>
      <c r="S1083" s="15" t="s">
        <v>17801</v>
      </c>
      <c r="T1083" s="15" t="s">
        <v>143</v>
      </c>
      <c r="U1083" s="15" t="s">
        <v>17793</v>
      </c>
      <c r="V1083" s="15" t="s">
        <v>17802</v>
      </c>
      <c r="W1083" s="15" t="s">
        <v>17803</v>
      </c>
      <c r="X1083" s="15" t="s">
        <v>17804</v>
      </c>
      <c r="Y1083" s="15" t="s">
        <v>78</v>
      </c>
      <c r="Z1083" s="15" t="s">
        <v>17805</v>
      </c>
      <c r="AA1083" s="15" t="s">
        <v>850</v>
      </c>
      <c r="AB1083" s="15" t="s">
        <v>9442</v>
      </c>
      <c r="AC1083" s="15" t="s">
        <v>10006</v>
      </c>
      <c r="AD1083" s="15" t="s">
        <v>10007</v>
      </c>
      <c r="AE1083" s="15" t="s">
        <v>39</v>
      </c>
      <c r="AF1083" s="15" t="s">
        <v>17806</v>
      </c>
      <c r="AG1083" s="15" t="s">
        <v>17807</v>
      </c>
      <c r="AH1083" s="15" t="s">
        <v>17808</v>
      </c>
      <c r="AI1083" s="15" t="s">
        <v>17809</v>
      </c>
      <c r="AJ1083" s="15" t="s">
        <v>17810</v>
      </c>
      <c r="AK1083" s="15" t="s">
        <v>7076</v>
      </c>
      <c r="AL1083" s="15" t="s">
        <v>88</v>
      </c>
    </row>
    <row r="1084" spans="1:38" x14ac:dyDescent="0.4">
      <c r="A1084" s="11" t="s">
        <v>17811</v>
      </c>
      <c r="B1084" s="12" t="s">
        <v>17812</v>
      </c>
      <c r="C1084" s="13" t="s">
        <v>17813</v>
      </c>
      <c r="D1084" s="13" t="s">
        <v>92</v>
      </c>
      <c r="E1084" s="13" t="s">
        <v>17814</v>
      </c>
      <c r="F1084" s="13" t="s">
        <v>17815</v>
      </c>
      <c r="G1084" s="13" t="s">
        <v>17816</v>
      </c>
      <c r="H1084" s="13" t="s">
        <v>17817</v>
      </c>
      <c r="I1084" s="9">
        <f t="shared" ca="1" si="16"/>
        <v>20</v>
      </c>
      <c r="J1084" s="13" t="s">
        <v>17818</v>
      </c>
      <c r="K1084" s="13" t="s">
        <v>4266</v>
      </c>
      <c r="L1084" s="9" t="str">
        <f>VLOOKUP(K1084,[1]中国省份_标准!$B$2:$F$35,4,FALSE)</f>
        <v>东部地区</v>
      </c>
      <c r="M1084" s="9" t="str">
        <f>VLOOKUP(K1084,[1]中国省份_标准!$B$2:$F$35,5,FALSE)</f>
        <v>华北地区</v>
      </c>
      <c r="N1084" s="13" t="s">
        <v>4266</v>
      </c>
      <c r="O1084" s="13" t="s">
        <v>9575</v>
      </c>
      <c r="P1084" s="13" t="s">
        <v>17819</v>
      </c>
      <c r="Q1084" s="13" t="s">
        <v>39</v>
      </c>
      <c r="R1084" s="13" t="s">
        <v>39</v>
      </c>
      <c r="S1084" s="13" t="s">
        <v>39</v>
      </c>
      <c r="T1084" s="13" t="s">
        <v>670</v>
      </c>
      <c r="U1084" s="13" t="s">
        <v>17812</v>
      </c>
      <c r="V1084" s="13" t="s">
        <v>17820</v>
      </c>
      <c r="W1084" s="13" t="s">
        <v>17821</v>
      </c>
      <c r="X1084" s="13" t="s">
        <v>1587</v>
      </c>
      <c r="Y1084" s="13" t="s">
        <v>78</v>
      </c>
      <c r="Z1084" s="13" t="s">
        <v>17822</v>
      </c>
      <c r="AA1084" s="13" t="s">
        <v>850</v>
      </c>
      <c r="AB1084" s="13" t="s">
        <v>851</v>
      </c>
      <c r="AC1084" s="13" t="s">
        <v>3990</v>
      </c>
      <c r="AD1084" s="13" t="s">
        <v>3990</v>
      </c>
      <c r="AE1084" s="13" t="s">
        <v>55</v>
      </c>
      <c r="AF1084" s="13" t="s">
        <v>17823</v>
      </c>
      <c r="AG1084" s="13" t="s">
        <v>39</v>
      </c>
      <c r="AH1084" s="13" t="s">
        <v>39</v>
      </c>
      <c r="AI1084" s="13" t="s">
        <v>17824</v>
      </c>
      <c r="AJ1084" s="13" t="s">
        <v>17825</v>
      </c>
      <c r="AK1084" s="13" t="s">
        <v>4296</v>
      </c>
      <c r="AL1084" s="13" t="s">
        <v>88</v>
      </c>
    </row>
    <row r="1085" spans="1:38" x14ac:dyDescent="0.4">
      <c r="A1085" s="11" t="s">
        <v>17826</v>
      </c>
      <c r="B1085" s="14" t="s">
        <v>17827</v>
      </c>
      <c r="C1085" s="15" t="s">
        <v>17828</v>
      </c>
      <c r="D1085" s="15" t="s">
        <v>92</v>
      </c>
      <c r="E1085" s="15" t="s">
        <v>17829</v>
      </c>
      <c r="F1085" s="15" t="s">
        <v>3147</v>
      </c>
      <c r="G1085" s="15" t="s">
        <v>442</v>
      </c>
      <c r="H1085" s="15" t="s">
        <v>17830</v>
      </c>
      <c r="I1085" s="9">
        <f t="shared" ca="1" si="16"/>
        <v>26</v>
      </c>
      <c r="J1085" s="15" t="s">
        <v>17831</v>
      </c>
      <c r="K1085" s="15" t="s">
        <v>227</v>
      </c>
      <c r="L1085" s="9" t="str">
        <f>VLOOKUP(K1085,[1]中国省份_标准!$B$2:$F$35,4,FALSE)</f>
        <v>西部地区</v>
      </c>
      <c r="M1085" s="9" t="str">
        <f>VLOOKUP(K1085,[1]中国省份_标准!$B$2:$F$35,5,FALSE)</f>
        <v>西北地区</v>
      </c>
      <c r="N1085" s="15" t="s">
        <v>884</v>
      </c>
      <c r="O1085" s="15" t="s">
        <v>885</v>
      </c>
      <c r="P1085" s="15" t="s">
        <v>886</v>
      </c>
      <c r="Q1085" s="15" t="s">
        <v>887</v>
      </c>
      <c r="R1085" s="15" t="s">
        <v>17832</v>
      </c>
      <c r="S1085" s="15" t="s">
        <v>17833</v>
      </c>
      <c r="T1085" s="15" t="s">
        <v>209</v>
      </c>
      <c r="U1085" s="15" t="s">
        <v>17827</v>
      </c>
      <c r="V1085" s="15" t="s">
        <v>17834</v>
      </c>
      <c r="W1085" s="15" t="s">
        <v>17835</v>
      </c>
      <c r="X1085" s="15" t="s">
        <v>8641</v>
      </c>
      <c r="Y1085" s="15" t="s">
        <v>78</v>
      </c>
      <c r="Z1085" s="15" t="s">
        <v>17836</v>
      </c>
      <c r="AA1085" s="15" t="s">
        <v>80</v>
      </c>
      <c r="AB1085" s="15" t="s">
        <v>106</v>
      </c>
      <c r="AC1085" s="15" t="s">
        <v>808</v>
      </c>
      <c r="AD1085" s="15" t="s">
        <v>893</v>
      </c>
      <c r="AE1085" s="15" t="s">
        <v>55</v>
      </c>
      <c r="AF1085" s="15" t="s">
        <v>17837</v>
      </c>
      <c r="AG1085" s="15" t="s">
        <v>39</v>
      </c>
      <c r="AH1085" s="15" t="s">
        <v>39</v>
      </c>
      <c r="AI1085" s="15" t="s">
        <v>17838</v>
      </c>
      <c r="AJ1085" s="15" t="s">
        <v>17839</v>
      </c>
      <c r="AK1085" s="15" t="s">
        <v>897</v>
      </c>
      <c r="AL1085" s="15" t="s">
        <v>88</v>
      </c>
    </row>
    <row r="1086" spans="1:38" x14ac:dyDescent="0.4">
      <c r="A1086" s="16" t="s">
        <v>17840</v>
      </c>
      <c r="B1086" s="17" t="s">
        <v>17841</v>
      </c>
      <c r="C1086" s="18" t="s">
        <v>39</v>
      </c>
      <c r="D1086" s="18" t="s">
        <v>92</v>
      </c>
      <c r="E1086" s="18" t="s">
        <v>17842</v>
      </c>
      <c r="F1086" s="18" t="s">
        <v>920</v>
      </c>
      <c r="G1086" s="18" t="s">
        <v>999</v>
      </c>
      <c r="H1086" s="18" t="s">
        <v>549</v>
      </c>
      <c r="I1086" s="9">
        <f t="shared" ca="1" si="16"/>
        <v>11</v>
      </c>
      <c r="J1086" s="18" t="s">
        <v>17843</v>
      </c>
      <c r="K1086" s="18" t="s">
        <v>1022</v>
      </c>
      <c r="L1086" s="9" t="str">
        <f>VLOOKUP(K1086,[1]中国省份_标准!$B$2:$F$35,4,FALSE)</f>
        <v>东部地区</v>
      </c>
      <c r="M1086" s="9" t="str">
        <f>VLOOKUP(K1086,[1]中国省份_标准!$B$2:$F$35,5,FALSE)</f>
        <v>华北地区</v>
      </c>
      <c r="N1086" s="18" t="s">
        <v>1022</v>
      </c>
      <c r="O1086" s="18" t="s">
        <v>16191</v>
      </c>
      <c r="P1086" s="18" t="s">
        <v>17844</v>
      </c>
      <c r="Q1086" s="18" t="s">
        <v>17845</v>
      </c>
      <c r="R1086" s="18" t="s">
        <v>17846</v>
      </c>
      <c r="S1086" s="18" t="s">
        <v>17847</v>
      </c>
      <c r="T1086" s="18" t="s">
        <v>1028</v>
      </c>
      <c r="U1086" s="18" t="s">
        <v>17841</v>
      </c>
      <c r="V1086" s="18" t="s">
        <v>17848</v>
      </c>
      <c r="W1086" s="18" t="s">
        <v>17849</v>
      </c>
      <c r="X1086" s="18" t="s">
        <v>7000</v>
      </c>
      <c r="Y1086" s="18" t="s">
        <v>78</v>
      </c>
      <c r="Z1086" s="18" t="s">
        <v>558</v>
      </c>
      <c r="AA1086" s="18" t="s">
        <v>80</v>
      </c>
      <c r="AB1086" s="18" t="s">
        <v>106</v>
      </c>
      <c r="AC1086" s="18" t="s">
        <v>17850</v>
      </c>
      <c r="AD1086" s="18" t="s">
        <v>17851</v>
      </c>
      <c r="AE1086" s="18" t="s">
        <v>262</v>
      </c>
      <c r="AF1086" s="18" t="s">
        <v>17852</v>
      </c>
      <c r="AG1086" s="18" t="s">
        <v>17853</v>
      </c>
      <c r="AH1086" s="18" t="s">
        <v>39</v>
      </c>
      <c r="AI1086" s="18" t="s">
        <v>17854</v>
      </c>
      <c r="AJ1086" s="18" t="s">
        <v>17855</v>
      </c>
      <c r="AK1086" s="18" t="s">
        <v>17856</v>
      </c>
      <c r="AL1086" s="18" t="s">
        <v>88</v>
      </c>
    </row>
    <row r="1087" spans="1:38" x14ac:dyDescent="0.4">
      <c r="A1087" s="16" t="s">
        <v>17857</v>
      </c>
      <c r="B1087" s="17" t="s">
        <v>17858</v>
      </c>
      <c r="C1087" s="18" t="s">
        <v>39</v>
      </c>
      <c r="D1087" s="18" t="s">
        <v>92</v>
      </c>
      <c r="E1087" s="18" t="s">
        <v>17859</v>
      </c>
      <c r="F1087" s="18" t="s">
        <v>5226</v>
      </c>
      <c r="G1087" s="18" t="s">
        <v>5226</v>
      </c>
      <c r="H1087" s="18" t="s">
        <v>17860</v>
      </c>
      <c r="I1087" s="9">
        <f t="shared" ca="1" si="16"/>
        <v>14</v>
      </c>
      <c r="J1087" s="18" t="s">
        <v>17861</v>
      </c>
      <c r="K1087" s="18" t="s">
        <v>97</v>
      </c>
      <c r="L1087" s="9" t="str">
        <f>VLOOKUP(K1087,[1]中国省份_标准!$B$2:$F$35,4,FALSE)</f>
        <v>中部地区</v>
      </c>
      <c r="M1087" s="9" t="str">
        <f>VLOOKUP(K1087,[1]中国省份_标准!$B$2:$F$35,5,FALSE)</f>
        <v>华中地区</v>
      </c>
      <c r="N1087" s="18" t="s">
        <v>2049</v>
      </c>
      <c r="O1087" s="18" t="s">
        <v>9524</v>
      </c>
      <c r="P1087" s="18" t="s">
        <v>17862</v>
      </c>
      <c r="Q1087" s="18" t="s">
        <v>17863</v>
      </c>
      <c r="R1087" s="18" t="s">
        <v>17864</v>
      </c>
      <c r="S1087" s="18" t="s">
        <v>39</v>
      </c>
      <c r="T1087" s="18" t="s">
        <v>498</v>
      </c>
      <c r="U1087" s="18" t="s">
        <v>17858</v>
      </c>
      <c r="V1087" s="18" t="s">
        <v>17865</v>
      </c>
      <c r="W1087" s="18" t="s">
        <v>17866</v>
      </c>
      <c r="X1087" s="18" t="s">
        <v>77</v>
      </c>
      <c r="Y1087" s="18" t="s">
        <v>78</v>
      </c>
      <c r="Z1087" s="18" t="s">
        <v>17867</v>
      </c>
      <c r="AA1087" s="18" t="s">
        <v>850</v>
      </c>
      <c r="AB1087" s="18" t="s">
        <v>851</v>
      </c>
      <c r="AC1087" s="18" t="s">
        <v>8130</v>
      </c>
      <c r="AD1087" s="18" t="s">
        <v>17868</v>
      </c>
      <c r="AE1087" s="18" t="s">
        <v>109</v>
      </c>
      <c r="AF1087" s="18" t="s">
        <v>17869</v>
      </c>
      <c r="AG1087" s="18" t="s">
        <v>39</v>
      </c>
      <c r="AH1087" s="18" t="s">
        <v>39</v>
      </c>
      <c r="AI1087" s="18" t="s">
        <v>17870</v>
      </c>
      <c r="AJ1087" s="18" t="s">
        <v>17871</v>
      </c>
      <c r="AK1087" s="18" t="s">
        <v>17872</v>
      </c>
      <c r="AL1087" s="18" t="s">
        <v>88</v>
      </c>
    </row>
  </sheetData>
  <autoFilter ref="A1:AL1086" xr:uid="{00000000-0009-0000-0000-000004000000}"/>
  <phoneticPr fontId="2" type="noConversion"/>
  <hyperlinks>
    <hyperlink ref="A1" location="'0_目录'!A1" display="返回目录" xr:uid="{935CC6AF-0ACB-4B72-B64C-82200A302D43}"/>
  </hyperlink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2_清单企业基本信息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Pang</dc:creator>
  <cp:lastModifiedBy>Wei Pang</cp:lastModifiedBy>
  <dcterms:created xsi:type="dcterms:W3CDTF">2015-06-05T18:19:34Z</dcterms:created>
  <dcterms:modified xsi:type="dcterms:W3CDTF">2026-01-27T01:27:02Z</dcterms:modified>
</cp:coreProperties>
</file>