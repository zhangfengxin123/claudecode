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novasepps.sharepoint.com/sites/NPS_SHA/Common/CAP review/2024/"/>
    </mc:Choice>
  </mc:AlternateContent>
  <xr:revisionPtr revIDLastSave="9" documentId="13_ncr:1_{3674FD25-4E9A-4DFE-BAB8-B290CE0D7C96}" xr6:coauthVersionLast="47" xr6:coauthVersionMax="47" xr10:uidLastSave="{FDA3F7D2-1AFE-4168-AC51-B400FE31D84D}"/>
  <bookViews>
    <workbookView xWindow="28680" yWindow="-120" windowWidth="29040" windowHeight="15720" xr2:uid="{00000000-000D-0000-FFFF-FFFF00000000}"/>
  </bookViews>
  <sheets>
    <sheet name="Chrono CAP" sheetId="25234" r:id="rId1"/>
    <sheet name="AutoList" sheetId="25229" state="hidden" r:id="rId2"/>
    <sheet name="SHA IER" sheetId="25246" state="hidden" r:id="rId3"/>
    <sheet name="SHA CS" sheetId="25247" state="hidden" r:id="rId4"/>
  </sheets>
  <definedNames>
    <definedName name="_1Sans_nom">#REF!</definedName>
    <definedName name="_xlnm._FilterDatabase" localSheetId="1" hidden="1">AutoList!#REF!</definedName>
    <definedName name="_xlnm._FilterDatabase" localSheetId="0" hidden="1">'Chrono CAP'!$A$6:$AN$314</definedName>
    <definedName name="_GoBack" localSheetId="0">'Chrono CAP'!$H$349</definedName>
    <definedName name="BuiltIn_Database">#REF!</definedName>
    <definedName name="BuiltIn_Print_Area">#REF!</definedName>
    <definedName name="CAPTYPE">AutoList!$C$2:$C$6</definedName>
    <definedName name="Ecart_réduit">#REF!</definedName>
    <definedName name="Ecred">#REF!</definedName>
    <definedName name="lamb">#REF!</definedName>
    <definedName name="Lambda">#REF!</definedName>
    <definedName name="MMMMM">AutoList!$G$2:$G$9</definedName>
    <definedName name="OLE_LINK2" localSheetId="0">'Chrono CAP'!$L$537</definedName>
    <definedName name="_xlnm.Print_Area" localSheetId="0">'Chrono CAP'!$B$6:$R$598</definedName>
    <definedName name="SCOPE">AutoList!$I$2:$I$4</definedName>
    <definedName name="SITE">AutoList!$A$3:$A$5</definedName>
    <definedName name="TECHNO">AutoList!$E$2:$E$11</definedName>
    <definedName name="YNC">AutoList!$K$2:$K$4</definedName>
    <definedName name="中" localSheetId="0">'Chrono CAP'!$B$6:$R$598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25246" l="1"/>
  <c r="R33" i="25246"/>
  <c r="R32" i="25246"/>
  <c r="R31" i="25246"/>
  <c r="AI594" i="25234"/>
  <c r="AI593" i="25234"/>
  <c r="AI592" i="25234"/>
  <c r="AI591" i="25234"/>
  <c r="Y598" i="25234"/>
  <c r="AA598" i="25234" s="1"/>
  <c r="AF598" i="25234"/>
  <c r="AI598" i="25234"/>
  <c r="AM598" i="25234"/>
  <c r="AN598" i="25234"/>
  <c r="Y597" i="25234"/>
  <c r="AA597" i="25234" s="1"/>
  <c r="AF597" i="25234"/>
  <c r="AI597" i="25234"/>
  <c r="AM597" i="25234"/>
  <c r="AN597" i="25234"/>
  <c r="Y596" i="25234"/>
  <c r="AA596" i="25234" s="1"/>
  <c r="AF596" i="25234"/>
  <c r="AI596" i="25234"/>
  <c r="AM596" i="25234"/>
  <c r="AN596" i="25234"/>
  <c r="Y588" i="25234"/>
  <c r="AA588" i="25234" s="1"/>
  <c r="AN595" i="25234"/>
  <c r="AM595" i="25234"/>
  <c r="AI595" i="25234"/>
  <c r="AF595" i="25234"/>
  <c r="Y595" i="25234"/>
  <c r="AA595" i="25234" s="1"/>
  <c r="Y594" i="25234"/>
  <c r="AA594" i="25234" s="1"/>
  <c r="AF594" i="25234"/>
  <c r="AM594" i="25234"/>
  <c r="AN594" i="25234"/>
  <c r="Y593" i="25234"/>
  <c r="AA593" i="25234" s="1"/>
  <c r="AF593" i="25234"/>
  <c r="AM593" i="25234"/>
  <c r="AN593" i="25234"/>
  <c r="Y592" i="25234"/>
  <c r="AA592" i="25234" s="1"/>
  <c r="AF592" i="25234"/>
  <c r="AM592" i="25234"/>
  <c r="AN592" i="25234"/>
  <c r="Y591" i="25234"/>
  <c r="AA591" i="25234" s="1"/>
  <c r="AF591" i="25234"/>
  <c r="AM591" i="25234"/>
  <c r="AN591" i="25234"/>
  <c r="Y590" i="25234"/>
  <c r="AA590" i="25234" s="1"/>
  <c r="AF590" i="25234"/>
  <c r="AI590" i="25234"/>
  <c r="AM590" i="25234"/>
  <c r="AN590" i="25234"/>
  <c r="AI588" i="25234"/>
  <c r="Y589" i="25234"/>
  <c r="AA589" i="25234" s="1"/>
  <c r="AF589" i="25234"/>
  <c r="AI589" i="25234"/>
  <c r="AM589" i="25234"/>
  <c r="AN589" i="25234"/>
  <c r="AF588" i="25234"/>
  <c r="AM588" i="25234"/>
  <c r="AN588" i="25234"/>
  <c r="Y587" i="25234"/>
  <c r="AA587" i="25234" s="1"/>
  <c r="AF587" i="25234"/>
  <c r="AI587" i="25234"/>
  <c r="AM587" i="25234"/>
  <c r="AN587" i="25234"/>
  <c r="Y586" i="25234"/>
  <c r="AA586" i="25234" s="1"/>
  <c r="AF586" i="25234"/>
  <c r="AI586" i="25234"/>
  <c r="AM586" i="25234"/>
  <c r="AN586" i="25234"/>
  <c r="Y585" i="25234"/>
  <c r="AA585" i="25234" s="1"/>
  <c r="AF585" i="25234"/>
  <c r="AI585" i="25234"/>
  <c r="AM585" i="25234"/>
  <c r="AN585" i="25234"/>
  <c r="Y584" i="25234"/>
  <c r="AA584" i="25234" s="1"/>
  <c r="AF584" i="25234"/>
  <c r="AI584" i="25234"/>
  <c r="AM584" i="25234"/>
  <c r="AN584" i="25234"/>
  <c r="Y583" i="25234"/>
  <c r="AA583" i="25234" s="1"/>
  <c r="AF583" i="25234"/>
  <c r="AI583" i="25234"/>
  <c r="AM583" i="25234"/>
  <c r="AN583" i="25234"/>
  <c r="Y582" i="25234"/>
  <c r="AA582" i="25234" s="1"/>
  <c r="AF582" i="25234"/>
  <c r="AI582" i="25234"/>
  <c r="AM582" i="25234"/>
  <c r="AN582" i="25234"/>
  <c r="AN581" i="25234"/>
  <c r="AM581" i="25234"/>
  <c r="AI581" i="25234"/>
  <c r="AF581" i="25234"/>
  <c r="Y581" i="25234"/>
  <c r="AA581" i="25234" s="1"/>
  <c r="Y580" i="25234"/>
  <c r="AA580" i="25234" s="1"/>
  <c r="AF580" i="25234"/>
  <c r="AI580" i="25234"/>
  <c r="AM580" i="25234"/>
  <c r="AN580" i="25234"/>
  <c r="Y579" i="25234"/>
  <c r="AA579" i="25234" s="1"/>
  <c r="AF579" i="25234"/>
  <c r="AI579" i="25234"/>
  <c r="AM579" i="25234"/>
  <c r="AN579" i="25234"/>
  <c r="Y578" i="25234"/>
  <c r="AA578" i="25234" s="1"/>
  <c r="AF578" i="25234"/>
  <c r="AI578" i="25234"/>
  <c r="AM578" i="25234"/>
  <c r="AN578" i="25234"/>
  <c r="Y577" i="25234"/>
  <c r="AA577" i="25234" s="1"/>
  <c r="AF577" i="25234"/>
  <c r="AI577" i="25234"/>
  <c r="AM577" i="25234"/>
  <c r="AN577" i="25234"/>
  <c r="Y576" i="25234"/>
  <c r="AA576" i="25234" s="1"/>
  <c r="AF576" i="25234"/>
  <c r="AI576" i="25234"/>
  <c r="AM576" i="25234"/>
  <c r="AN576" i="25234"/>
  <c r="Y575" i="25234"/>
  <c r="AA575" i="25234" s="1"/>
  <c r="AF575" i="25234"/>
  <c r="AI575" i="25234"/>
  <c r="AM575" i="25234"/>
  <c r="AN575" i="25234"/>
  <c r="Y574" i="25234"/>
  <c r="AA574" i="25234" s="1"/>
  <c r="AF574" i="25234"/>
  <c r="AI574" i="25234"/>
  <c r="AM574" i="25234"/>
  <c r="AN574" i="25234"/>
  <c r="AH561" i="25234"/>
  <c r="Y573" i="25234"/>
  <c r="AA573" i="25234" s="1"/>
  <c r="AF573" i="25234"/>
  <c r="AI573" i="25234"/>
  <c r="AM573" i="25234"/>
  <c r="AN573" i="25234"/>
  <c r="Y572" i="25234" l="1"/>
  <c r="AA572" i="25234" s="1"/>
  <c r="AF572" i="25234"/>
  <c r="AI572" i="25234"/>
  <c r="AM572" i="25234"/>
  <c r="AN572" i="25234"/>
  <c r="Y571" i="25234"/>
  <c r="AA571" i="25234" s="1"/>
  <c r="AF571" i="25234"/>
  <c r="AI571" i="25234"/>
  <c r="AM571" i="25234"/>
  <c r="AN571" i="25234"/>
  <c r="Y570" i="25234"/>
  <c r="AA570" i="25234" s="1"/>
  <c r="AF570" i="25234"/>
  <c r="AI570" i="25234"/>
  <c r="AM570" i="25234"/>
  <c r="AN570" i="25234"/>
  <c r="AF551" i="25234"/>
  <c r="Y569" i="25234"/>
  <c r="AA569" i="25234" s="1"/>
  <c r="AF569" i="25234"/>
  <c r="AI569" i="25234"/>
  <c r="AM569" i="25234"/>
  <c r="AN569" i="25234"/>
  <c r="Y568" i="25234"/>
  <c r="AA568" i="25234" s="1"/>
  <c r="AF568" i="25234"/>
  <c r="AI568" i="25234"/>
  <c r="AM568" i="25234"/>
  <c r="AN568" i="25234"/>
  <c r="Y567" i="25234"/>
  <c r="AA567" i="25234" s="1"/>
  <c r="AF567" i="25234"/>
  <c r="AI567" i="25234"/>
  <c r="AM567" i="25234"/>
  <c r="AN567" i="25234"/>
  <c r="Y554" i="25234"/>
  <c r="AA554" i="25234" s="1"/>
  <c r="Y566" i="25234"/>
  <c r="AA566" i="25234" s="1"/>
  <c r="AF566" i="25234"/>
  <c r="AI566" i="25234"/>
  <c r="AM566" i="25234"/>
  <c r="AN566" i="25234"/>
  <c r="Y565" i="25234"/>
  <c r="AA565" i="25234" s="1"/>
  <c r="AF565" i="25234"/>
  <c r="AI565" i="25234"/>
  <c r="AM565" i="25234"/>
  <c r="AN565" i="25234"/>
  <c r="Y564" i="25234"/>
  <c r="AA564" i="25234" s="1"/>
  <c r="AF564" i="25234"/>
  <c r="AI564" i="25234"/>
  <c r="AM564" i="25234"/>
  <c r="AN564" i="25234"/>
  <c r="Y563" i="25234"/>
  <c r="AA563" i="25234" s="1"/>
  <c r="AF563" i="25234"/>
  <c r="AI563" i="25234"/>
  <c r="AM563" i="25234"/>
  <c r="AN563" i="25234"/>
  <c r="Y562" i="25234"/>
  <c r="AA562" i="25234" s="1"/>
  <c r="AF562" i="25234"/>
  <c r="AI562" i="25234"/>
  <c r="AM562" i="25234"/>
  <c r="AN562" i="25234"/>
  <c r="Y561" i="25234"/>
  <c r="AA561" i="25234" s="1"/>
  <c r="AF561" i="25234"/>
  <c r="AI561" i="25234"/>
  <c r="AM561" i="25234"/>
  <c r="AN561" i="25234"/>
  <c r="Y560" i="25234"/>
  <c r="AA560" i="25234" s="1"/>
  <c r="AF560" i="25234"/>
  <c r="AI560" i="25234"/>
  <c r="AM560" i="25234"/>
  <c r="AN560" i="25234"/>
  <c r="Y559" i="25234"/>
  <c r="AA559" i="25234" s="1"/>
  <c r="AF559" i="25234"/>
  <c r="AI559" i="25234"/>
  <c r="AM559" i="25234"/>
  <c r="AN559" i="25234"/>
  <c r="AN558" i="25234"/>
  <c r="AM558" i="25234"/>
  <c r="AI558" i="25234"/>
  <c r="AF558" i="25234"/>
  <c r="Y558" i="25234"/>
  <c r="AA558" i="25234" s="1"/>
  <c r="Y557" i="25234"/>
  <c r="AA557" i="25234" s="1"/>
  <c r="AF557" i="25234"/>
  <c r="AI557" i="25234"/>
  <c r="AM557" i="25234"/>
  <c r="AN557" i="25234"/>
  <c r="Y556" i="25234"/>
  <c r="AA556" i="25234" s="1"/>
  <c r="AF556" i="25234"/>
  <c r="AI556" i="25234"/>
  <c r="AM556" i="25234"/>
  <c r="AN556" i="25234"/>
  <c r="Y555" i="25234"/>
  <c r="AA555" i="25234" s="1"/>
  <c r="AF555" i="25234"/>
  <c r="AI555" i="25234"/>
  <c r="AM555" i="25234"/>
  <c r="AN555" i="25234"/>
  <c r="AF554" i="25234"/>
  <c r="AI554" i="25234"/>
  <c r="AM554" i="25234"/>
  <c r="AN554" i="25234"/>
  <c r="Y553" i="25234"/>
  <c r="AA553" i="25234" s="1"/>
  <c r="AF553" i="25234"/>
  <c r="AI553" i="25234"/>
  <c r="AM553" i="25234"/>
  <c r="AN553" i="25234"/>
  <c r="Y552" i="25234"/>
  <c r="AA552" i="25234" s="1"/>
  <c r="AF552" i="25234"/>
  <c r="AI552" i="25234"/>
  <c r="AM552" i="25234"/>
  <c r="AN552" i="25234"/>
  <c r="Y550" i="25234"/>
  <c r="AA550" i="25234" s="1"/>
  <c r="Y551" i="25234"/>
  <c r="AA551" i="25234" s="1"/>
  <c r="AI551" i="25234"/>
  <c r="AM551" i="25234"/>
  <c r="AN551" i="25234"/>
  <c r="AF550" i="25234"/>
  <c r="AI550" i="25234"/>
  <c r="AM550" i="25234"/>
  <c r="AN550" i="25234"/>
  <c r="Y549" i="25234"/>
  <c r="AA549" i="25234" s="1"/>
  <c r="AF549" i="25234"/>
  <c r="AI549" i="25234"/>
  <c r="AM549" i="25234"/>
  <c r="AN549" i="25234"/>
  <c r="Y548" i="25234"/>
  <c r="AA548" i="25234" s="1"/>
  <c r="AF548" i="25234"/>
  <c r="AI548" i="25234"/>
  <c r="AM548" i="25234"/>
  <c r="AN548" i="25234"/>
  <c r="Y547" i="25234"/>
  <c r="AA547" i="25234" s="1"/>
  <c r="AF547" i="25234"/>
  <c r="AI547" i="25234"/>
  <c r="AM547" i="25234"/>
  <c r="AN547" i="25234"/>
  <c r="Y546" i="25234"/>
  <c r="AA546" i="25234" s="1"/>
  <c r="AF546" i="25234"/>
  <c r="AI546" i="25234"/>
  <c r="AM546" i="25234"/>
  <c r="AN546" i="25234"/>
  <c r="Y545" i="25234"/>
  <c r="AA545" i="25234" s="1"/>
  <c r="AF545" i="25234"/>
  <c r="AI545" i="25234"/>
  <c r="AM545" i="25234"/>
  <c r="AN545" i="25234"/>
  <c r="Y544" i="25234"/>
  <c r="AA544" i="25234" s="1"/>
  <c r="AF544" i="25234"/>
  <c r="AI544" i="25234"/>
  <c r="AM544" i="25234"/>
  <c r="AN544" i="25234"/>
  <c r="Y543" i="25234"/>
  <c r="AA543" i="25234" s="1"/>
  <c r="AF543" i="25234"/>
  <c r="AI543" i="25234"/>
  <c r="AM543" i="25234"/>
  <c r="AN543" i="25234"/>
  <c r="Y542" i="25234"/>
  <c r="AA542" i="25234" s="1"/>
  <c r="AF542" i="25234"/>
  <c r="AI542" i="25234"/>
  <c r="AM542" i="25234"/>
  <c r="AN542" i="25234"/>
  <c r="Y541" i="25234"/>
  <c r="AA541" i="25234" s="1"/>
  <c r="AF541" i="25234"/>
  <c r="AI541" i="25234"/>
  <c r="AM541" i="25234"/>
  <c r="AN541" i="25234"/>
  <c r="Y540" i="25234"/>
  <c r="AA540" i="25234" s="1"/>
  <c r="AF540" i="25234"/>
  <c r="AI540" i="25234"/>
  <c r="AM540" i="25234"/>
  <c r="AN540" i="25234"/>
  <c r="Y539" i="25234"/>
  <c r="AA539" i="25234" s="1"/>
  <c r="AF539" i="25234"/>
  <c r="AI539" i="25234"/>
  <c r="AM539" i="25234"/>
  <c r="AN539" i="25234"/>
  <c r="Y538" i="25234"/>
  <c r="AA538" i="25234" s="1"/>
  <c r="AF538" i="25234"/>
  <c r="AI538" i="25234"/>
  <c r="AM538" i="25234"/>
  <c r="AN538" i="25234"/>
  <c r="Y537" i="25234"/>
  <c r="AA537" i="25234" s="1"/>
  <c r="AF537" i="25234"/>
  <c r="AI537" i="25234"/>
  <c r="AM537" i="25234"/>
  <c r="AN537" i="25234"/>
  <c r="Y536" i="25234"/>
  <c r="AA536" i="25234" s="1"/>
  <c r="AF536" i="25234"/>
  <c r="AI536" i="25234"/>
  <c r="AM536" i="25234"/>
  <c r="AN536" i="25234"/>
  <c r="Y535" i="25234"/>
  <c r="AA535" i="25234" s="1"/>
  <c r="AF535" i="25234"/>
  <c r="AI535" i="25234"/>
  <c r="AM535" i="25234"/>
  <c r="AN535" i="25234"/>
  <c r="Y534" i="25234"/>
  <c r="AA534" i="25234" s="1"/>
  <c r="AF534" i="25234"/>
  <c r="AI534" i="25234"/>
  <c r="AM534" i="25234"/>
  <c r="AN534" i="25234"/>
  <c r="Y533" i="25234"/>
  <c r="AA533" i="25234" s="1"/>
  <c r="AF533" i="25234"/>
  <c r="AI533" i="25234"/>
  <c r="AM533" i="25234"/>
  <c r="AN533" i="25234"/>
  <c r="Y532" i="25234"/>
  <c r="AA532" i="25234" s="1"/>
  <c r="AF532" i="25234"/>
  <c r="AI532" i="25234"/>
  <c r="AM532" i="25234"/>
  <c r="AN532" i="25234"/>
  <c r="Y531" i="25234"/>
  <c r="AA531" i="25234" s="1"/>
  <c r="AF531" i="25234"/>
  <c r="AI531" i="25234"/>
  <c r="AM531" i="25234"/>
  <c r="AN531" i="25234"/>
  <c r="Y530" i="25234"/>
  <c r="AA530" i="25234" s="1"/>
  <c r="AF530" i="25234"/>
  <c r="AI530" i="25234"/>
  <c r="AM530" i="25234"/>
  <c r="AN530" i="25234"/>
  <c r="Y529" i="25234"/>
  <c r="AA529" i="25234" s="1"/>
  <c r="AF529" i="25234"/>
  <c r="AI529" i="25234"/>
  <c r="AM529" i="25234"/>
  <c r="AN529" i="25234"/>
  <c r="Y528" i="25234"/>
  <c r="AA528" i="25234" s="1"/>
  <c r="AF528" i="25234"/>
  <c r="AI528" i="25234"/>
  <c r="AM528" i="25234"/>
  <c r="AN528" i="25234"/>
  <c r="Y527" i="25234"/>
  <c r="AA527" i="25234" s="1"/>
  <c r="AF527" i="25234"/>
  <c r="AI527" i="25234"/>
  <c r="AM527" i="25234"/>
  <c r="AN527" i="25234"/>
  <c r="Y526" i="25234"/>
  <c r="AA526" i="25234" s="1"/>
  <c r="AF526" i="25234"/>
  <c r="AI526" i="25234"/>
  <c r="AM526" i="25234"/>
  <c r="AN526" i="25234"/>
  <c r="Y525" i="25234"/>
  <c r="AA525" i="25234" s="1"/>
  <c r="AF525" i="25234"/>
  <c r="AI525" i="25234"/>
  <c r="AM525" i="25234"/>
  <c r="AN525" i="25234"/>
  <c r="Y524" i="25234"/>
  <c r="AA524" i="25234" s="1"/>
  <c r="AF524" i="25234"/>
  <c r="AI524" i="25234"/>
  <c r="AM524" i="25234"/>
  <c r="AN524" i="25234"/>
  <c r="Y523" i="25234"/>
  <c r="AA523" i="25234" s="1"/>
  <c r="AF523" i="25234"/>
  <c r="AI523" i="25234"/>
  <c r="AM523" i="25234"/>
  <c r="AN523" i="25234"/>
  <c r="Y522" i="25234"/>
  <c r="AA522" i="25234" s="1"/>
  <c r="AF522" i="25234"/>
  <c r="AI522" i="25234"/>
  <c r="AM522" i="25234"/>
  <c r="AN522" i="25234"/>
  <c r="Y521" i="25234"/>
  <c r="AA521" i="25234" s="1"/>
  <c r="AF521" i="25234"/>
  <c r="AI521" i="25234"/>
  <c r="AM521" i="25234"/>
  <c r="AN521" i="25234"/>
  <c r="Y520" i="25234"/>
  <c r="AA520" i="25234" s="1"/>
  <c r="AF520" i="25234"/>
  <c r="AI520" i="25234"/>
  <c r="AM520" i="25234"/>
  <c r="AN520" i="25234"/>
  <c r="Y519" i="25234"/>
  <c r="AA519" i="25234" s="1"/>
  <c r="AF519" i="25234"/>
  <c r="AI519" i="25234"/>
  <c r="AM519" i="25234"/>
  <c r="AN519" i="25234"/>
  <c r="Y518" i="25234"/>
  <c r="AA518" i="25234" s="1"/>
  <c r="AF518" i="25234"/>
  <c r="AI518" i="25234"/>
  <c r="AM518" i="25234"/>
  <c r="AN518" i="25234"/>
  <c r="Y517" i="25234"/>
  <c r="AA517" i="25234" s="1"/>
  <c r="AF517" i="25234"/>
  <c r="AI517" i="25234"/>
  <c r="AM517" i="25234"/>
  <c r="AN517" i="25234"/>
  <c r="Y516" i="25234"/>
  <c r="AA516" i="25234" s="1"/>
  <c r="AF516" i="25234"/>
  <c r="AI516" i="25234"/>
  <c r="AM516" i="25234"/>
  <c r="AN516" i="25234"/>
  <c r="Y515" i="25234"/>
  <c r="AA515" i="25234" s="1"/>
  <c r="AF515" i="25234"/>
  <c r="AI515" i="25234"/>
  <c r="AM515" i="25234"/>
  <c r="AN515" i="25234"/>
  <c r="Y514" i="25234"/>
  <c r="AA514" i="25234" s="1"/>
  <c r="AF514" i="25234"/>
  <c r="AI514" i="25234"/>
  <c r="AM514" i="25234"/>
  <c r="AN514" i="25234"/>
  <c r="Y513" i="25234"/>
  <c r="AA513" i="25234" s="1"/>
  <c r="AF513" i="25234"/>
  <c r="AI513" i="25234"/>
  <c r="AM513" i="25234"/>
  <c r="AN513" i="25234"/>
  <c r="Y512" i="25234"/>
  <c r="AA512" i="25234" s="1"/>
  <c r="AF512" i="25234"/>
  <c r="AI512" i="25234"/>
  <c r="AM512" i="25234"/>
  <c r="AN512" i="25234"/>
  <c r="Y511" i="25234"/>
  <c r="AA511" i="25234" s="1"/>
  <c r="AF511" i="25234"/>
  <c r="AI511" i="25234"/>
  <c r="AM511" i="25234"/>
  <c r="AN511" i="25234"/>
  <c r="Y510" i="25234"/>
  <c r="AA510" i="25234" s="1"/>
  <c r="AF510" i="25234"/>
  <c r="AI510" i="25234"/>
  <c r="AM510" i="25234"/>
  <c r="AN510" i="25234"/>
  <c r="Y500" i="25234"/>
  <c r="AA500" i="25234" s="1"/>
  <c r="Y509" i="25234"/>
  <c r="AA509" i="25234" s="1"/>
  <c r="AF509" i="25234"/>
  <c r="AI509" i="25234"/>
  <c r="AM509" i="25234"/>
  <c r="AN509" i="25234"/>
  <c r="Y508" i="25234"/>
  <c r="AA508" i="25234" s="1"/>
  <c r="AF508" i="25234"/>
  <c r="AI508" i="25234"/>
  <c r="AM508" i="25234"/>
  <c r="AN508" i="25234"/>
  <c r="Y507" i="25234"/>
  <c r="AA507" i="25234" s="1"/>
  <c r="AF507" i="25234"/>
  <c r="AI507" i="25234"/>
  <c r="AM507" i="25234"/>
  <c r="AN507" i="25234"/>
  <c r="Y506" i="25234"/>
  <c r="AA506" i="25234" s="1"/>
  <c r="AF506" i="25234"/>
  <c r="AI506" i="25234"/>
  <c r="AM506" i="25234"/>
  <c r="AN506" i="25234"/>
  <c r="Y505" i="25234"/>
  <c r="AA505" i="25234" s="1"/>
  <c r="AF505" i="25234"/>
  <c r="AI505" i="25234"/>
  <c r="AM505" i="25234"/>
  <c r="AN505" i="25234"/>
  <c r="Y504" i="25234"/>
  <c r="AA504" i="25234" s="1"/>
  <c r="AF504" i="25234"/>
  <c r="AI504" i="25234"/>
  <c r="AM504" i="25234"/>
  <c r="AN504" i="25234"/>
  <c r="Y503" i="25234"/>
  <c r="AA503" i="25234" s="1"/>
  <c r="AF503" i="25234"/>
  <c r="AI503" i="25234"/>
  <c r="AM503" i="25234"/>
  <c r="AN503" i="25234"/>
  <c r="Y502" i="25234"/>
  <c r="AA502" i="25234" s="1"/>
  <c r="AF502" i="25234"/>
  <c r="AI502" i="25234"/>
  <c r="AM502" i="25234"/>
  <c r="AN502" i="25234"/>
  <c r="Y501" i="25234"/>
  <c r="AA501" i="25234" s="1"/>
  <c r="AF501" i="25234"/>
  <c r="AI501" i="25234"/>
  <c r="AM501" i="25234"/>
  <c r="AN501" i="25234"/>
  <c r="AN500" i="25234"/>
  <c r="AF500" i="25234"/>
  <c r="AI500" i="25234"/>
  <c r="AM500" i="25234"/>
  <c r="AI491" i="25234"/>
  <c r="AI492" i="25234"/>
  <c r="Y499" i="25234"/>
  <c r="AA499" i="25234" s="1"/>
  <c r="AF499" i="25234"/>
  <c r="AI499" i="25234"/>
  <c r="AM499" i="25234"/>
  <c r="AN499" i="25234"/>
  <c r="Y498" i="25234"/>
  <c r="AA498" i="25234" s="1"/>
  <c r="AF498" i="25234"/>
  <c r="AI498" i="25234"/>
  <c r="AM498" i="25234"/>
  <c r="AN498" i="25234"/>
  <c r="Y497" i="25234"/>
  <c r="AA497" i="25234" s="1"/>
  <c r="AF497" i="25234"/>
  <c r="AI497" i="25234"/>
  <c r="AM497" i="25234"/>
  <c r="AN497" i="25234"/>
  <c r="Y496" i="25234"/>
  <c r="AA496" i="25234" s="1"/>
  <c r="AF496" i="25234"/>
  <c r="AI496" i="25234"/>
  <c r="AM496" i="25234"/>
  <c r="AN496" i="25234"/>
  <c r="AI481" i="25234"/>
  <c r="Y495" i="25234"/>
  <c r="AA495" i="25234" s="1"/>
  <c r="AF495" i="25234"/>
  <c r="AI495" i="25234"/>
  <c r="AM495" i="25234"/>
  <c r="AN495" i="25234"/>
  <c r="Y494" i="25234"/>
  <c r="AA494" i="25234" s="1"/>
  <c r="AF494" i="25234"/>
  <c r="AI494" i="25234"/>
  <c r="AM494" i="25234"/>
  <c r="AN494" i="25234"/>
  <c r="AF490" i="25234"/>
  <c r="AF491" i="25234"/>
  <c r="Y493" i="25234"/>
  <c r="AA493" i="25234" s="1"/>
  <c r="AF493" i="25234"/>
  <c r="AI493" i="25234"/>
  <c r="AM493" i="25234"/>
  <c r="AN493" i="25234"/>
  <c r="Y492" i="25234"/>
  <c r="AA492" i="25234" s="1"/>
  <c r="AM492" i="25234"/>
  <c r="AN492" i="25234"/>
  <c r="Y491" i="25234"/>
  <c r="AA491" i="25234" s="1"/>
  <c r="AM491" i="25234"/>
  <c r="AN491" i="25234"/>
  <c r="Y490" i="25234"/>
  <c r="AA490" i="25234" s="1"/>
  <c r="AI490" i="25234"/>
  <c r="AM490" i="25234"/>
  <c r="AN490" i="25234"/>
  <c r="Y471" i="25234"/>
  <c r="AA471" i="25234" s="1"/>
  <c r="Y489" i="25234"/>
  <c r="AA489" i="25234" s="1"/>
  <c r="AF489" i="25234"/>
  <c r="AI489" i="25234"/>
  <c r="AM489" i="25234"/>
  <c r="AN489" i="25234"/>
  <c r="Y488" i="25234"/>
  <c r="AA488" i="25234" s="1"/>
  <c r="AF488" i="25234"/>
  <c r="AI488" i="25234"/>
  <c r="AM488" i="25234"/>
  <c r="AN488" i="25234"/>
  <c r="Y487" i="25234"/>
  <c r="AA487" i="25234" s="1"/>
  <c r="AF487" i="25234"/>
  <c r="AI487" i="25234"/>
  <c r="AM487" i="25234"/>
  <c r="AN487" i="25234"/>
  <c r="Y486" i="25234"/>
  <c r="AA486" i="25234" s="1"/>
  <c r="AF486" i="25234"/>
  <c r="AI486" i="25234"/>
  <c r="AM486" i="25234"/>
  <c r="AN486" i="25234"/>
  <c r="Y485" i="25234"/>
  <c r="AA485" i="25234" s="1"/>
  <c r="AF485" i="25234"/>
  <c r="AI485" i="25234"/>
  <c r="AM485" i="25234"/>
  <c r="AN485" i="25234"/>
  <c r="Y484" i="25234"/>
  <c r="AA484" i="25234" s="1"/>
  <c r="AF484" i="25234"/>
  <c r="AI484" i="25234"/>
  <c r="AM484" i="25234"/>
  <c r="AN484" i="25234"/>
  <c r="Y483" i="25234"/>
  <c r="AA483" i="25234" s="1"/>
  <c r="AF483" i="25234"/>
  <c r="AI483" i="25234"/>
  <c r="AM483" i="25234"/>
  <c r="AN483" i="25234"/>
  <c r="Y482" i="25234"/>
  <c r="AA482" i="25234" s="1"/>
  <c r="AF482" i="25234"/>
  <c r="AI482" i="25234"/>
  <c r="AM482" i="25234"/>
  <c r="AN482" i="25234"/>
  <c r="Y481" i="25234"/>
  <c r="AA481" i="25234" s="1"/>
  <c r="AF481" i="25234"/>
  <c r="AM481" i="25234"/>
  <c r="AN481" i="25234"/>
  <c r="Y480" i="25234"/>
  <c r="AA480" i="25234" s="1"/>
  <c r="AF480" i="25234"/>
  <c r="AI480" i="25234"/>
  <c r="AM480" i="25234"/>
  <c r="AN480" i="25234"/>
  <c r="Y479" i="25234"/>
  <c r="AA479" i="25234" s="1"/>
  <c r="AF479" i="25234"/>
  <c r="AI479" i="25234"/>
  <c r="AM479" i="25234"/>
  <c r="AN479" i="25234"/>
  <c r="Y7" i="25234"/>
  <c r="AA7" i="25234" s="1"/>
  <c r="Y8" i="25234"/>
  <c r="AA8" i="25234" s="1"/>
  <c r="Y9" i="25234"/>
  <c r="AA9" i="25234" s="1"/>
  <c r="Y10" i="25234"/>
  <c r="AA10" i="25234" s="1"/>
  <c r="Y11" i="25234"/>
  <c r="AA11" i="25234" s="1"/>
  <c r="Y12" i="25234"/>
  <c r="AA12" i="25234" s="1"/>
  <c r="Y13" i="25234"/>
  <c r="AA13" i="25234" s="1"/>
  <c r="Y14" i="25234"/>
  <c r="AA14" i="25234" s="1"/>
  <c r="Y15" i="25234"/>
  <c r="AA15" i="25234" s="1"/>
  <c r="Y16" i="25234"/>
  <c r="AA16" i="25234" s="1"/>
  <c r="Y17" i="25234"/>
  <c r="AA17" i="25234" s="1"/>
  <c r="Y18" i="25234"/>
  <c r="AA18" i="25234" s="1"/>
  <c r="Y19" i="25234"/>
  <c r="AA19" i="25234" s="1"/>
  <c r="Y20" i="25234"/>
  <c r="AA20" i="25234" s="1"/>
  <c r="Y21" i="25234"/>
  <c r="AA21" i="25234" s="1"/>
  <c r="Y22" i="25234"/>
  <c r="AA22" i="25234" s="1"/>
  <c r="Y23" i="25234"/>
  <c r="AA23" i="25234" s="1"/>
  <c r="Y24" i="25234"/>
  <c r="AA24" i="25234" s="1"/>
  <c r="Y25" i="25234"/>
  <c r="AA25" i="25234" s="1"/>
  <c r="Y26" i="25234"/>
  <c r="AA26" i="25234" s="1"/>
  <c r="Y27" i="25234"/>
  <c r="AA27" i="25234" s="1"/>
  <c r="Y28" i="25234"/>
  <c r="AA28" i="25234" s="1"/>
  <c r="Y29" i="25234"/>
  <c r="AA29" i="25234" s="1"/>
  <c r="Y30" i="25234"/>
  <c r="AA30" i="25234" s="1"/>
  <c r="Y31" i="25234"/>
  <c r="AA31" i="25234" s="1"/>
  <c r="Y32" i="25234"/>
  <c r="AA32" i="25234" s="1"/>
  <c r="Y33" i="25234"/>
  <c r="AA33" i="25234" s="1"/>
  <c r="Y34" i="25234"/>
  <c r="AA34" i="25234" s="1"/>
  <c r="Y35" i="25234"/>
  <c r="AA35" i="25234" s="1"/>
  <c r="Y36" i="25234"/>
  <c r="AA36" i="25234" s="1"/>
  <c r="Y37" i="25234"/>
  <c r="AA37" i="25234" s="1"/>
  <c r="Y38" i="25234"/>
  <c r="AA38" i="25234" s="1"/>
  <c r="Y39" i="25234"/>
  <c r="AA39" i="25234" s="1"/>
  <c r="Y40" i="25234"/>
  <c r="AA40" i="25234" s="1"/>
  <c r="Y41" i="25234"/>
  <c r="AA41" i="25234" s="1"/>
  <c r="Y42" i="25234"/>
  <c r="AA42" i="25234" s="1"/>
  <c r="Y43" i="25234"/>
  <c r="AA43" i="25234" s="1"/>
  <c r="Y44" i="25234"/>
  <c r="AA44" i="25234" s="1"/>
  <c r="Y45" i="25234"/>
  <c r="AA45" i="25234" s="1"/>
  <c r="Y46" i="25234"/>
  <c r="AA46" i="25234" s="1"/>
  <c r="Y47" i="25234"/>
  <c r="AA47" i="25234" s="1"/>
  <c r="Y48" i="25234"/>
  <c r="AA48" i="25234" s="1"/>
  <c r="Y49" i="25234"/>
  <c r="AA49" i="25234" s="1"/>
  <c r="Y50" i="25234"/>
  <c r="AA50" i="25234" s="1"/>
  <c r="Y51" i="25234"/>
  <c r="AA51" i="25234" s="1"/>
  <c r="Y52" i="25234"/>
  <c r="AA52" i="25234" s="1"/>
  <c r="Y53" i="25234"/>
  <c r="AA53" i="25234" s="1"/>
  <c r="Y54" i="25234"/>
  <c r="AA54" i="25234" s="1"/>
  <c r="Y55" i="25234"/>
  <c r="AA55" i="25234" s="1"/>
  <c r="Y56" i="25234"/>
  <c r="AA56" i="25234" s="1"/>
  <c r="Y57" i="25234"/>
  <c r="AA57" i="25234" s="1"/>
  <c r="Y58" i="25234"/>
  <c r="AA58" i="25234" s="1"/>
  <c r="Y59" i="25234"/>
  <c r="AA59" i="25234" s="1"/>
  <c r="Y60" i="25234"/>
  <c r="AA60" i="25234" s="1"/>
  <c r="Y61" i="25234"/>
  <c r="AA61" i="25234" s="1"/>
  <c r="Y62" i="25234"/>
  <c r="AA62" i="25234" s="1"/>
  <c r="Y63" i="25234"/>
  <c r="AA63" i="25234" s="1"/>
  <c r="Y64" i="25234"/>
  <c r="AA64" i="25234" s="1"/>
  <c r="Y65" i="25234"/>
  <c r="AA65" i="25234" s="1"/>
  <c r="Y66" i="25234"/>
  <c r="AA66" i="25234" s="1"/>
  <c r="Y67" i="25234"/>
  <c r="AA67" i="25234" s="1"/>
  <c r="Y68" i="25234"/>
  <c r="AA68" i="25234" s="1"/>
  <c r="Y69" i="25234"/>
  <c r="AA69" i="25234" s="1"/>
  <c r="Y70" i="25234"/>
  <c r="AA70" i="25234" s="1"/>
  <c r="Y71" i="25234"/>
  <c r="AA71" i="25234" s="1"/>
  <c r="Y72" i="25234"/>
  <c r="AA72" i="25234" s="1"/>
  <c r="Y73" i="25234"/>
  <c r="AA73" i="25234" s="1"/>
  <c r="Y74" i="25234"/>
  <c r="AA74" i="25234" s="1"/>
  <c r="Y75" i="25234"/>
  <c r="AA75" i="25234" s="1"/>
  <c r="Y76" i="25234"/>
  <c r="AA76" i="25234" s="1"/>
  <c r="Y77" i="25234"/>
  <c r="AA77" i="25234" s="1"/>
  <c r="Y78" i="25234"/>
  <c r="AA78" i="25234" s="1"/>
  <c r="Y79" i="25234"/>
  <c r="AA79" i="25234" s="1"/>
  <c r="Y80" i="25234"/>
  <c r="AA80" i="25234" s="1"/>
  <c r="Y81" i="25234"/>
  <c r="AA81" i="25234" s="1"/>
  <c r="Y82" i="25234"/>
  <c r="AA82" i="25234" s="1"/>
  <c r="Y83" i="25234"/>
  <c r="AA83" i="25234" s="1"/>
  <c r="Y84" i="25234"/>
  <c r="AA84" i="25234" s="1"/>
  <c r="Y85" i="25234"/>
  <c r="AA85" i="25234" s="1"/>
  <c r="Y86" i="25234"/>
  <c r="AA86" i="25234" s="1"/>
  <c r="Y87" i="25234"/>
  <c r="AA87" i="25234" s="1"/>
  <c r="Y88" i="25234"/>
  <c r="AA88" i="25234" s="1"/>
  <c r="Y89" i="25234"/>
  <c r="AA89" i="25234" s="1"/>
  <c r="Y90" i="25234"/>
  <c r="AA90" i="25234" s="1"/>
  <c r="Y91" i="25234"/>
  <c r="AA91" i="25234" s="1"/>
  <c r="Y92" i="25234"/>
  <c r="AA92" i="25234" s="1"/>
  <c r="Y93" i="25234"/>
  <c r="AA93" i="25234" s="1"/>
  <c r="Y94" i="25234"/>
  <c r="AA94" i="25234" s="1"/>
  <c r="Y95" i="25234"/>
  <c r="AA95" i="25234" s="1"/>
  <c r="Y96" i="25234"/>
  <c r="AA96" i="25234" s="1"/>
  <c r="Y97" i="25234"/>
  <c r="AA97" i="25234" s="1"/>
  <c r="Y98" i="25234"/>
  <c r="AA98" i="25234" s="1"/>
  <c r="Y99" i="25234"/>
  <c r="AA99" i="25234" s="1"/>
  <c r="Y100" i="25234"/>
  <c r="AA100" i="25234" s="1"/>
  <c r="Y101" i="25234"/>
  <c r="AA101" i="25234" s="1"/>
  <c r="Y102" i="25234"/>
  <c r="AA102" i="25234" s="1"/>
  <c r="Y103" i="25234"/>
  <c r="AA103" i="25234" s="1"/>
  <c r="Y104" i="25234"/>
  <c r="AA104" i="25234" s="1"/>
  <c r="Y105" i="25234"/>
  <c r="AA105" i="25234" s="1"/>
  <c r="Y106" i="25234"/>
  <c r="AA106" i="25234" s="1"/>
  <c r="Y107" i="25234"/>
  <c r="AA107" i="25234" s="1"/>
  <c r="Y108" i="25234"/>
  <c r="AA108" i="25234" s="1"/>
  <c r="Y109" i="25234"/>
  <c r="AA109" i="25234" s="1"/>
  <c r="Y110" i="25234"/>
  <c r="AA110" i="25234" s="1"/>
  <c r="Y111" i="25234"/>
  <c r="AA111" i="25234" s="1"/>
  <c r="Y112" i="25234"/>
  <c r="AA112" i="25234" s="1"/>
  <c r="Y113" i="25234"/>
  <c r="AA113" i="25234" s="1"/>
  <c r="Y114" i="25234"/>
  <c r="AA114" i="25234" s="1"/>
  <c r="Y115" i="25234"/>
  <c r="AA115" i="25234" s="1"/>
  <c r="Y116" i="25234"/>
  <c r="AA116" i="25234" s="1"/>
  <c r="Y117" i="25234"/>
  <c r="AA117" i="25234" s="1"/>
  <c r="Y118" i="25234"/>
  <c r="AA118" i="25234" s="1"/>
  <c r="Y119" i="25234"/>
  <c r="AA119" i="25234" s="1"/>
  <c r="Y120" i="25234"/>
  <c r="AA120" i="25234" s="1"/>
  <c r="Y121" i="25234"/>
  <c r="AA121" i="25234" s="1"/>
  <c r="Y122" i="25234"/>
  <c r="AA122" i="25234" s="1"/>
  <c r="Y123" i="25234"/>
  <c r="AA123" i="25234" s="1"/>
  <c r="Y124" i="25234"/>
  <c r="AA124" i="25234" s="1"/>
  <c r="Y125" i="25234"/>
  <c r="AA125" i="25234" s="1"/>
  <c r="Y126" i="25234"/>
  <c r="AA126" i="25234" s="1"/>
  <c r="Y127" i="25234"/>
  <c r="AA127" i="25234" s="1"/>
  <c r="Y128" i="25234"/>
  <c r="AA128" i="25234" s="1"/>
  <c r="Y129" i="25234"/>
  <c r="AA129" i="25234" s="1"/>
  <c r="Y130" i="25234"/>
  <c r="AA130" i="25234" s="1"/>
  <c r="Y131" i="25234"/>
  <c r="AA131" i="25234" s="1"/>
  <c r="Y132" i="25234"/>
  <c r="AA132" i="25234" s="1"/>
  <c r="Y133" i="25234"/>
  <c r="AA133" i="25234" s="1"/>
  <c r="Y134" i="25234"/>
  <c r="AA134" i="25234" s="1"/>
  <c r="Y135" i="25234"/>
  <c r="AA135" i="25234" s="1"/>
  <c r="Y136" i="25234"/>
  <c r="AA136" i="25234" s="1"/>
  <c r="Y137" i="25234"/>
  <c r="AA137" i="25234" s="1"/>
  <c r="Y138" i="25234"/>
  <c r="AA138" i="25234" s="1"/>
  <c r="Y139" i="25234"/>
  <c r="AA139" i="25234" s="1"/>
  <c r="Y140" i="25234"/>
  <c r="AA140" i="25234" s="1"/>
  <c r="Y141" i="25234"/>
  <c r="AA141" i="25234" s="1"/>
  <c r="Y142" i="25234"/>
  <c r="AA142" i="25234" s="1"/>
  <c r="Y143" i="25234"/>
  <c r="AA143" i="25234" s="1"/>
  <c r="Y144" i="25234"/>
  <c r="AA144" i="25234" s="1"/>
  <c r="Y145" i="25234"/>
  <c r="AA145" i="25234" s="1"/>
  <c r="Y146" i="25234"/>
  <c r="AA146" i="25234" s="1"/>
  <c r="Y147" i="25234"/>
  <c r="AA147" i="25234" s="1"/>
  <c r="Y148" i="25234"/>
  <c r="AA148" i="25234" s="1"/>
  <c r="Y149" i="25234"/>
  <c r="AA149" i="25234" s="1"/>
  <c r="Y150" i="25234"/>
  <c r="AA150" i="25234" s="1"/>
  <c r="Y151" i="25234"/>
  <c r="AA151" i="25234" s="1"/>
  <c r="Y152" i="25234"/>
  <c r="AA152" i="25234" s="1"/>
  <c r="Y153" i="25234"/>
  <c r="AA153" i="25234" s="1"/>
  <c r="Y154" i="25234"/>
  <c r="AA154" i="25234" s="1"/>
  <c r="Y155" i="25234"/>
  <c r="AA155" i="25234" s="1"/>
  <c r="Y156" i="25234"/>
  <c r="AA156" i="25234" s="1"/>
  <c r="Y157" i="25234"/>
  <c r="AA157" i="25234" s="1"/>
  <c r="Y158" i="25234"/>
  <c r="AA158" i="25234" s="1"/>
  <c r="Y159" i="25234"/>
  <c r="AA159" i="25234" s="1"/>
  <c r="Y160" i="25234"/>
  <c r="AA160" i="25234" s="1"/>
  <c r="Y161" i="25234"/>
  <c r="AA161" i="25234" s="1"/>
  <c r="Y162" i="25234"/>
  <c r="AA162" i="25234" s="1"/>
  <c r="Y163" i="25234"/>
  <c r="AA163" i="25234" s="1"/>
  <c r="Y164" i="25234"/>
  <c r="AA164" i="25234" s="1"/>
  <c r="Y165" i="25234"/>
  <c r="AA165" i="25234" s="1"/>
  <c r="Y166" i="25234"/>
  <c r="AA166" i="25234" s="1"/>
  <c r="Y167" i="25234"/>
  <c r="AA167" i="25234" s="1"/>
  <c r="Y168" i="25234"/>
  <c r="AA168" i="25234" s="1"/>
  <c r="Y169" i="25234"/>
  <c r="AA169" i="25234" s="1"/>
  <c r="Y170" i="25234"/>
  <c r="AA170" i="25234" s="1"/>
  <c r="Y171" i="25234"/>
  <c r="AA171" i="25234" s="1"/>
  <c r="Y172" i="25234"/>
  <c r="AA172" i="25234" s="1"/>
  <c r="Y173" i="25234"/>
  <c r="AA173" i="25234" s="1"/>
  <c r="Y174" i="25234"/>
  <c r="AA174" i="25234" s="1"/>
  <c r="Y175" i="25234"/>
  <c r="AA175" i="25234" s="1"/>
  <c r="Y176" i="25234"/>
  <c r="AA176" i="25234" s="1"/>
  <c r="Y177" i="25234"/>
  <c r="AA177" i="25234" s="1"/>
  <c r="Y178" i="25234"/>
  <c r="AA178" i="25234" s="1"/>
  <c r="Y179" i="25234"/>
  <c r="AA179" i="25234" s="1"/>
  <c r="Y180" i="25234"/>
  <c r="AA180" i="25234" s="1"/>
  <c r="Y181" i="25234"/>
  <c r="AA181" i="25234" s="1"/>
  <c r="Y182" i="25234"/>
  <c r="AA182" i="25234" s="1"/>
  <c r="Y183" i="25234"/>
  <c r="AA183" i="25234" s="1"/>
  <c r="Y184" i="25234"/>
  <c r="AA184" i="25234" s="1"/>
  <c r="Y185" i="25234"/>
  <c r="AA185" i="25234" s="1"/>
  <c r="Y186" i="25234"/>
  <c r="AA186" i="25234" s="1"/>
  <c r="Y187" i="25234"/>
  <c r="AA187" i="25234" s="1"/>
  <c r="Y188" i="25234"/>
  <c r="AA188" i="25234" s="1"/>
  <c r="Y189" i="25234"/>
  <c r="AA189" i="25234" s="1"/>
  <c r="Y190" i="25234"/>
  <c r="AA190" i="25234" s="1"/>
  <c r="Y191" i="25234"/>
  <c r="AA191" i="25234" s="1"/>
  <c r="Y192" i="25234"/>
  <c r="AA192" i="25234" s="1"/>
  <c r="Y193" i="25234"/>
  <c r="AA193" i="25234" s="1"/>
  <c r="Y194" i="25234"/>
  <c r="AA194" i="25234" s="1"/>
  <c r="Y195" i="25234"/>
  <c r="AA195" i="25234" s="1"/>
  <c r="Y196" i="25234"/>
  <c r="AA196" i="25234" s="1"/>
  <c r="Y197" i="25234"/>
  <c r="AA197" i="25234" s="1"/>
  <c r="Y198" i="25234"/>
  <c r="AA198" i="25234" s="1"/>
  <c r="Y199" i="25234"/>
  <c r="AA199" i="25234" s="1"/>
  <c r="Y200" i="25234"/>
  <c r="AA200" i="25234" s="1"/>
  <c r="Y201" i="25234"/>
  <c r="AA201" i="25234" s="1"/>
  <c r="Y202" i="25234"/>
  <c r="AA202" i="25234" s="1"/>
  <c r="Y203" i="25234"/>
  <c r="AA203" i="25234" s="1"/>
  <c r="Y204" i="25234"/>
  <c r="AA204" i="25234" s="1"/>
  <c r="Y205" i="25234"/>
  <c r="AA205" i="25234" s="1"/>
  <c r="Y206" i="25234"/>
  <c r="AA206" i="25234" s="1"/>
  <c r="Y207" i="25234"/>
  <c r="AA207" i="25234" s="1"/>
  <c r="Y208" i="25234"/>
  <c r="AA208" i="25234" s="1"/>
  <c r="Y209" i="25234"/>
  <c r="AA209" i="25234" s="1"/>
  <c r="Y210" i="25234"/>
  <c r="AA210" i="25234" s="1"/>
  <c r="Y211" i="25234"/>
  <c r="AA211" i="25234" s="1"/>
  <c r="Y212" i="25234"/>
  <c r="AA212" i="25234" s="1"/>
  <c r="Y213" i="25234"/>
  <c r="AA213" i="25234" s="1"/>
  <c r="Y214" i="25234"/>
  <c r="AA214" i="25234" s="1"/>
  <c r="Y215" i="25234"/>
  <c r="AA215" i="25234" s="1"/>
  <c r="Y216" i="25234"/>
  <c r="AA216" i="25234" s="1"/>
  <c r="Y217" i="25234"/>
  <c r="AA217" i="25234" s="1"/>
  <c r="Y218" i="25234"/>
  <c r="AA218" i="25234" s="1"/>
  <c r="Y219" i="25234"/>
  <c r="AA219" i="25234" s="1"/>
  <c r="Y220" i="25234"/>
  <c r="AA220" i="25234" s="1"/>
  <c r="Y221" i="25234"/>
  <c r="AA221" i="25234" s="1"/>
  <c r="Y222" i="25234"/>
  <c r="AA222" i="25234" s="1"/>
  <c r="Y223" i="25234"/>
  <c r="AA223" i="25234" s="1"/>
  <c r="Y224" i="25234"/>
  <c r="AA224" i="25234" s="1"/>
  <c r="Y225" i="25234"/>
  <c r="AA225" i="25234" s="1"/>
  <c r="Y226" i="25234"/>
  <c r="AA226" i="25234" s="1"/>
  <c r="Y227" i="25234"/>
  <c r="AA227" i="25234" s="1"/>
  <c r="Y228" i="25234"/>
  <c r="AA228" i="25234" s="1"/>
  <c r="Y229" i="25234"/>
  <c r="AA229" i="25234" s="1"/>
  <c r="Y230" i="25234"/>
  <c r="AA230" i="25234" s="1"/>
  <c r="Y231" i="25234"/>
  <c r="AA231" i="25234" s="1"/>
  <c r="Y232" i="25234"/>
  <c r="AA232" i="25234" s="1"/>
  <c r="Y233" i="25234"/>
  <c r="AA233" i="25234" s="1"/>
  <c r="Y234" i="25234"/>
  <c r="AA234" i="25234" s="1"/>
  <c r="Y235" i="25234"/>
  <c r="AA235" i="25234" s="1"/>
  <c r="Y236" i="25234"/>
  <c r="AA236" i="25234" s="1"/>
  <c r="Y237" i="25234"/>
  <c r="AA237" i="25234" s="1"/>
  <c r="Y238" i="25234"/>
  <c r="AA238" i="25234" s="1"/>
  <c r="Y239" i="25234"/>
  <c r="AA239" i="25234" s="1"/>
  <c r="Y240" i="25234"/>
  <c r="AA240" i="25234" s="1"/>
  <c r="Y241" i="25234"/>
  <c r="AA241" i="25234" s="1"/>
  <c r="Y242" i="25234"/>
  <c r="AA242" i="25234" s="1"/>
  <c r="Y243" i="25234"/>
  <c r="AA243" i="25234" s="1"/>
  <c r="Y244" i="25234"/>
  <c r="AA244" i="25234" s="1"/>
  <c r="Y245" i="25234"/>
  <c r="AA245" i="25234" s="1"/>
  <c r="Y246" i="25234"/>
  <c r="AA246" i="25234" s="1"/>
  <c r="Y247" i="25234"/>
  <c r="AA247" i="25234" s="1"/>
  <c r="Y248" i="25234"/>
  <c r="AA248" i="25234" s="1"/>
  <c r="Y249" i="25234"/>
  <c r="AA249" i="25234" s="1"/>
  <c r="Y250" i="25234"/>
  <c r="AA250" i="25234" s="1"/>
  <c r="Y251" i="25234"/>
  <c r="AA251" i="25234" s="1"/>
  <c r="Y252" i="25234"/>
  <c r="AA252" i="25234" s="1"/>
  <c r="Y253" i="25234"/>
  <c r="AA253" i="25234" s="1"/>
  <c r="Y254" i="25234"/>
  <c r="AA254" i="25234" s="1"/>
  <c r="Y255" i="25234"/>
  <c r="AA255" i="25234" s="1"/>
  <c r="Y256" i="25234"/>
  <c r="AA256" i="25234" s="1"/>
  <c r="Y257" i="25234"/>
  <c r="AA257" i="25234" s="1"/>
  <c r="Y258" i="25234"/>
  <c r="AA258" i="25234" s="1"/>
  <c r="Y259" i="25234"/>
  <c r="AA259" i="25234" s="1"/>
  <c r="Y260" i="25234"/>
  <c r="AA260" i="25234" s="1"/>
  <c r="Y261" i="25234"/>
  <c r="AA261" i="25234" s="1"/>
  <c r="Y262" i="25234"/>
  <c r="AA262" i="25234" s="1"/>
  <c r="Y263" i="25234"/>
  <c r="AA263" i="25234" s="1"/>
  <c r="Y264" i="25234"/>
  <c r="AA264" i="25234" s="1"/>
  <c r="Y265" i="25234"/>
  <c r="AA265" i="25234" s="1"/>
  <c r="Y266" i="25234"/>
  <c r="AA266" i="25234" s="1"/>
  <c r="Y267" i="25234"/>
  <c r="AA267" i="25234" s="1"/>
  <c r="Y268" i="25234"/>
  <c r="AA268" i="25234" s="1"/>
  <c r="Y269" i="25234"/>
  <c r="AA269" i="25234" s="1"/>
  <c r="Y270" i="25234"/>
  <c r="AA270" i="25234" s="1"/>
  <c r="Y271" i="25234"/>
  <c r="AA271" i="25234" s="1"/>
  <c r="Y272" i="25234"/>
  <c r="AA272" i="25234" s="1"/>
  <c r="Y273" i="25234"/>
  <c r="Y274" i="25234"/>
  <c r="AA274" i="25234" s="1"/>
  <c r="Y275" i="25234"/>
  <c r="AA275" i="25234" s="1"/>
  <c r="Y276" i="25234"/>
  <c r="AA276" i="25234" s="1"/>
  <c r="Y277" i="25234"/>
  <c r="AA277" i="25234" s="1"/>
  <c r="Y278" i="25234"/>
  <c r="AA278" i="25234" s="1"/>
  <c r="Y279" i="25234"/>
  <c r="AA279" i="25234" s="1"/>
  <c r="Y280" i="25234"/>
  <c r="AA280" i="25234" s="1"/>
  <c r="Y281" i="25234"/>
  <c r="AA281" i="25234" s="1"/>
  <c r="Y282" i="25234"/>
  <c r="AA282" i="25234" s="1"/>
  <c r="Y283" i="25234"/>
  <c r="AA283" i="25234" s="1"/>
  <c r="Y284" i="25234"/>
  <c r="AA284" i="25234" s="1"/>
  <c r="Y285" i="25234"/>
  <c r="AA285" i="25234" s="1"/>
  <c r="Y286" i="25234"/>
  <c r="AA286" i="25234" s="1"/>
  <c r="Y287" i="25234"/>
  <c r="AA287" i="25234" s="1"/>
  <c r="Y288" i="25234"/>
  <c r="AA288" i="25234" s="1"/>
  <c r="Y289" i="25234"/>
  <c r="AA289" i="25234" s="1"/>
  <c r="Y290" i="25234"/>
  <c r="AA290" i="25234" s="1"/>
  <c r="Y291" i="25234"/>
  <c r="AA291" i="25234" s="1"/>
  <c r="Y292" i="25234"/>
  <c r="AA292" i="25234" s="1"/>
  <c r="Y293" i="25234"/>
  <c r="AA293" i="25234" s="1"/>
  <c r="Y294" i="25234"/>
  <c r="AA294" i="25234" s="1"/>
  <c r="Y295" i="25234"/>
  <c r="AA295" i="25234" s="1"/>
  <c r="Y296" i="25234"/>
  <c r="AA296" i="25234" s="1"/>
  <c r="Y297" i="25234"/>
  <c r="AA297" i="25234" s="1"/>
  <c r="Y298" i="25234"/>
  <c r="AA298" i="25234" s="1"/>
  <c r="Y299" i="25234"/>
  <c r="AA299" i="25234" s="1"/>
  <c r="Y300" i="25234"/>
  <c r="AA300" i="25234" s="1"/>
  <c r="Y301" i="25234"/>
  <c r="AA301" i="25234" s="1"/>
  <c r="Y302" i="25234"/>
  <c r="AA302" i="25234" s="1"/>
  <c r="Y303" i="25234"/>
  <c r="AA303" i="25234" s="1"/>
  <c r="Y304" i="25234"/>
  <c r="AA304" i="25234" s="1"/>
  <c r="Y305" i="25234"/>
  <c r="AA305" i="25234" s="1"/>
  <c r="Y306" i="25234"/>
  <c r="AA306" i="25234" s="1"/>
  <c r="Y307" i="25234"/>
  <c r="AA307" i="25234" s="1"/>
  <c r="Y308" i="25234"/>
  <c r="AA308" i="25234" s="1"/>
  <c r="Y309" i="25234"/>
  <c r="AA309" i="25234" s="1"/>
  <c r="Y310" i="25234"/>
  <c r="AA310" i="25234" s="1"/>
  <c r="Y311" i="25234"/>
  <c r="AA311" i="25234" s="1"/>
  <c r="Y312" i="25234"/>
  <c r="AA312" i="25234" s="1"/>
  <c r="Y313" i="25234"/>
  <c r="AA313" i="25234" s="1"/>
  <c r="Y314" i="25234"/>
  <c r="AA314" i="25234" s="1"/>
  <c r="Y315" i="25234"/>
  <c r="AA315" i="25234" s="1"/>
  <c r="Y316" i="25234"/>
  <c r="AA316" i="25234" s="1"/>
  <c r="Y317" i="25234"/>
  <c r="AA317" i="25234" s="1"/>
  <c r="Y318" i="25234"/>
  <c r="AA318" i="25234" s="1"/>
  <c r="Y319" i="25234"/>
  <c r="AA319" i="25234" s="1"/>
  <c r="Y320" i="25234"/>
  <c r="AA320" i="25234" s="1"/>
  <c r="Y321" i="25234"/>
  <c r="AA321" i="25234" s="1"/>
  <c r="Y322" i="25234"/>
  <c r="AA322" i="25234" s="1"/>
  <c r="Y323" i="25234"/>
  <c r="AA323" i="25234" s="1"/>
  <c r="Y324" i="25234"/>
  <c r="AA324" i="25234" s="1"/>
  <c r="Y325" i="25234"/>
  <c r="AA325" i="25234" s="1"/>
  <c r="Y326" i="25234"/>
  <c r="AA326" i="25234" s="1"/>
  <c r="Y327" i="25234"/>
  <c r="AA327" i="25234" s="1"/>
  <c r="Y328" i="25234"/>
  <c r="AA328" i="25234" s="1"/>
  <c r="Y329" i="25234"/>
  <c r="AA329" i="25234" s="1"/>
  <c r="Y330" i="25234"/>
  <c r="AA330" i="25234" s="1"/>
  <c r="Y331" i="25234"/>
  <c r="AA331" i="25234" s="1"/>
  <c r="Y332" i="25234"/>
  <c r="AA332" i="25234" s="1"/>
  <c r="Y333" i="25234"/>
  <c r="AA333" i="25234" s="1"/>
  <c r="Y334" i="25234"/>
  <c r="AA334" i="25234" s="1"/>
  <c r="Y335" i="25234"/>
  <c r="AA335" i="25234" s="1"/>
  <c r="Y336" i="25234"/>
  <c r="AA336" i="25234" s="1"/>
  <c r="Y337" i="25234"/>
  <c r="AA337" i="25234" s="1"/>
  <c r="Y338" i="25234"/>
  <c r="AA338" i="25234" s="1"/>
  <c r="Y339" i="25234"/>
  <c r="AA339" i="25234" s="1"/>
  <c r="Y340" i="25234"/>
  <c r="AA340" i="25234" s="1"/>
  <c r="Y341" i="25234"/>
  <c r="AA341" i="25234" s="1"/>
  <c r="Y342" i="25234"/>
  <c r="AA342" i="25234" s="1"/>
  <c r="Y343" i="25234"/>
  <c r="AA343" i="25234" s="1"/>
  <c r="Y344" i="25234"/>
  <c r="AA344" i="25234" s="1"/>
  <c r="Y345" i="25234"/>
  <c r="AA345" i="25234" s="1"/>
  <c r="Y346" i="25234"/>
  <c r="AA346" i="25234" s="1"/>
  <c r="Y347" i="25234"/>
  <c r="AA347" i="25234" s="1"/>
  <c r="Y348" i="25234"/>
  <c r="AA348" i="25234" s="1"/>
  <c r="Y349" i="25234"/>
  <c r="AA349" i="25234" s="1"/>
  <c r="Y350" i="25234"/>
  <c r="AA350" i="25234" s="1"/>
  <c r="Y351" i="25234"/>
  <c r="AA351" i="25234" s="1"/>
  <c r="Y352" i="25234"/>
  <c r="AA352" i="25234" s="1"/>
  <c r="Y353" i="25234"/>
  <c r="AA353" i="25234" s="1"/>
  <c r="Y354" i="25234"/>
  <c r="AA354" i="25234" s="1"/>
  <c r="Y355" i="25234"/>
  <c r="AA355" i="25234" s="1"/>
  <c r="Y356" i="25234"/>
  <c r="AA356" i="25234" s="1"/>
  <c r="Y357" i="25234"/>
  <c r="AA357" i="25234" s="1"/>
  <c r="Y358" i="25234"/>
  <c r="AA358" i="25234" s="1"/>
  <c r="Y359" i="25234"/>
  <c r="AA359" i="25234" s="1"/>
  <c r="Y360" i="25234"/>
  <c r="AA360" i="25234" s="1"/>
  <c r="Y361" i="25234"/>
  <c r="AA361" i="25234" s="1"/>
  <c r="Y362" i="25234"/>
  <c r="AA362" i="25234" s="1"/>
  <c r="Y363" i="25234"/>
  <c r="AA363" i="25234" s="1"/>
  <c r="Y364" i="25234"/>
  <c r="AA364" i="25234" s="1"/>
  <c r="Y365" i="25234"/>
  <c r="AA365" i="25234" s="1"/>
  <c r="Y366" i="25234"/>
  <c r="AA366" i="25234" s="1"/>
  <c r="Y367" i="25234"/>
  <c r="AA367" i="25234" s="1"/>
  <c r="Y368" i="25234"/>
  <c r="AA368" i="25234" s="1"/>
  <c r="Y369" i="25234"/>
  <c r="AA369" i="25234" s="1"/>
  <c r="Y370" i="25234"/>
  <c r="AA370" i="25234" s="1"/>
  <c r="Y371" i="25234"/>
  <c r="AA371" i="25234" s="1"/>
  <c r="Y372" i="25234"/>
  <c r="AA372" i="25234" s="1"/>
  <c r="Y373" i="25234"/>
  <c r="AA373" i="25234" s="1"/>
  <c r="Y374" i="25234"/>
  <c r="AA374" i="25234" s="1"/>
  <c r="Y375" i="25234"/>
  <c r="AA375" i="25234" s="1"/>
  <c r="Y376" i="25234"/>
  <c r="AA376" i="25234" s="1"/>
  <c r="Y377" i="25234"/>
  <c r="AA377" i="25234" s="1"/>
  <c r="Y378" i="25234"/>
  <c r="AA378" i="25234" s="1"/>
  <c r="Y379" i="25234"/>
  <c r="AA379" i="25234" s="1"/>
  <c r="Y380" i="25234"/>
  <c r="AA380" i="25234" s="1"/>
  <c r="Y381" i="25234"/>
  <c r="AA381" i="25234" s="1"/>
  <c r="Y382" i="25234"/>
  <c r="AA382" i="25234" s="1"/>
  <c r="Y383" i="25234"/>
  <c r="AA383" i="25234" s="1"/>
  <c r="Y384" i="25234"/>
  <c r="AA384" i="25234" s="1"/>
  <c r="Y385" i="25234"/>
  <c r="AA385" i="25234" s="1"/>
  <c r="Y386" i="25234"/>
  <c r="AA386" i="25234" s="1"/>
  <c r="Y387" i="25234"/>
  <c r="AA387" i="25234" s="1"/>
  <c r="Y388" i="25234"/>
  <c r="AA388" i="25234" s="1"/>
  <c r="Y389" i="25234"/>
  <c r="AA389" i="25234" s="1"/>
  <c r="Y390" i="25234"/>
  <c r="AA390" i="25234" s="1"/>
  <c r="Y391" i="25234"/>
  <c r="AA391" i="25234" s="1"/>
  <c r="Y392" i="25234"/>
  <c r="AA392" i="25234" s="1"/>
  <c r="Y393" i="25234"/>
  <c r="AA393" i="25234" s="1"/>
  <c r="Y394" i="25234"/>
  <c r="AA394" i="25234" s="1"/>
  <c r="Y395" i="25234"/>
  <c r="AA395" i="25234" s="1"/>
  <c r="Y396" i="25234"/>
  <c r="AA396" i="25234" s="1"/>
  <c r="Y397" i="25234"/>
  <c r="AA397" i="25234" s="1"/>
  <c r="Y398" i="25234"/>
  <c r="AA398" i="25234" s="1"/>
  <c r="Y399" i="25234"/>
  <c r="AA399" i="25234" s="1"/>
  <c r="Y400" i="25234"/>
  <c r="AA400" i="25234" s="1"/>
  <c r="Y401" i="25234"/>
  <c r="AA401" i="25234" s="1"/>
  <c r="Y402" i="25234"/>
  <c r="AA402" i="25234" s="1"/>
  <c r="Y403" i="25234"/>
  <c r="AA403" i="25234" s="1"/>
  <c r="Y404" i="25234"/>
  <c r="AA404" i="25234" s="1"/>
  <c r="Y405" i="25234"/>
  <c r="AA405" i="25234" s="1"/>
  <c r="Y406" i="25234"/>
  <c r="AA406" i="25234" s="1"/>
  <c r="Y407" i="25234"/>
  <c r="AA407" i="25234" s="1"/>
  <c r="Y408" i="25234"/>
  <c r="AA408" i="25234" s="1"/>
  <c r="Y409" i="25234"/>
  <c r="AA409" i="25234" s="1"/>
  <c r="Y410" i="25234"/>
  <c r="AA410" i="25234" s="1"/>
  <c r="Y411" i="25234"/>
  <c r="AA411" i="25234" s="1"/>
  <c r="Y412" i="25234"/>
  <c r="AA412" i="25234" s="1"/>
  <c r="Y413" i="25234"/>
  <c r="AA413" i="25234" s="1"/>
  <c r="Y414" i="25234"/>
  <c r="AA414" i="25234" s="1"/>
  <c r="Y415" i="25234"/>
  <c r="AA415" i="25234" s="1"/>
  <c r="Y416" i="25234"/>
  <c r="AA416" i="25234" s="1"/>
  <c r="Y417" i="25234"/>
  <c r="AA417" i="25234" s="1"/>
  <c r="Y418" i="25234"/>
  <c r="AA418" i="25234" s="1"/>
  <c r="Y419" i="25234"/>
  <c r="AA419" i="25234" s="1"/>
  <c r="Y420" i="25234"/>
  <c r="AA420" i="25234" s="1"/>
  <c r="Y421" i="25234"/>
  <c r="AA421" i="25234" s="1"/>
  <c r="Y422" i="25234"/>
  <c r="AA422" i="25234" s="1"/>
  <c r="Y423" i="25234"/>
  <c r="AA423" i="25234" s="1"/>
  <c r="Y424" i="25234"/>
  <c r="AA424" i="25234" s="1"/>
  <c r="Y425" i="25234"/>
  <c r="AA425" i="25234" s="1"/>
  <c r="Y426" i="25234"/>
  <c r="AA426" i="25234" s="1"/>
  <c r="Y427" i="25234"/>
  <c r="AA427" i="25234" s="1"/>
  <c r="Y428" i="25234"/>
  <c r="AA428" i="25234" s="1"/>
  <c r="Y429" i="25234"/>
  <c r="AA429" i="25234" s="1"/>
  <c r="Y430" i="25234"/>
  <c r="AA430" i="25234" s="1"/>
  <c r="Y431" i="25234"/>
  <c r="AA431" i="25234" s="1"/>
  <c r="Y432" i="25234"/>
  <c r="AA432" i="25234" s="1"/>
  <c r="Y433" i="25234"/>
  <c r="AA433" i="25234" s="1"/>
  <c r="Y434" i="25234"/>
  <c r="AA434" i="25234" s="1"/>
  <c r="Y435" i="25234"/>
  <c r="AA435" i="25234" s="1"/>
  <c r="Y436" i="25234"/>
  <c r="AA436" i="25234" s="1"/>
  <c r="Y437" i="25234"/>
  <c r="AA437" i="25234" s="1"/>
  <c r="Y438" i="25234"/>
  <c r="AA438" i="25234" s="1"/>
  <c r="Y439" i="25234"/>
  <c r="AA439" i="25234" s="1"/>
  <c r="Y440" i="25234"/>
  <c r="AA440" i="25234" s="1"/>
  <c r="Y441" i="25234"/>
  <c r="AA441" i="25234" s="1"/>
  <c r="Y442" i="25234"/>
  <c r="AA442" i="25234" s="1"/>
  <c r="Y443" i="25234"/>
  <c r="AA443" i="25234" s="1"/>
  <c r="Y444" i="25234"/>
  <c r="AA444" i="25234" s="1"/>
  <c r="Y445" i="25234"/>
  <c r="AA445" i="25234" s="1"/>
  <c r="Y446" i="25234"/>
  <c r="AA446" i="25234" s="1"/>
  <c r="Y447" i="25234"/>
  <c r="AA447" i="25234" s="1"/>
  <c r="Y448" i="25234"/>
  <c r="AA448" i="25234" s="1"/>
  <c r="Y449" i="25234"/>
  <c r="AA449" i="25234" s="1"/>
  <c r="Y450" i="25234"/>
  <c r="AA450" i="25234" s="1"/>
  <c r="Y451" i="25234"/>
  <c r="AA451" i="25234" s="1"/>
  <c r="Y452" i="25234"/>
  <c r="AA452" i="25234" s="1"/>
  <c r="Y453" i="25234"/>
  <c r="AA453" i="25234" s="1"/>
  <c r="Y454" i="25234"/>
  <c r="AA454" i="25234" s="1"/>
  <c r="Y455" i="25234"/>
  <c r="AA455" i="25234" s="1"/>
  <c r="Y456" i="25234"/>
  <c r="AA456" i="25234" s="1"/>
  <c r="Y457" i="25234"/>
  <c r="AA457" i="25234" s="1"/>
  <c r="Y458" i="25234"/>
  <c r="AA458" i="25234" s="1"/>
  <c r="Y459" i="25234"/>
  <c r="AA459" i="25234" s="1"/>
  <c r="Y460" i="25234"/>
  <c r="AA460" i="25234" s="1"/>
  <c r="Y461" i="25234"/>
  <c r="AA461" i="25234" s="1"/>
  <c r="Y462" i="25234"/>
  <c r="AA462" i="25234" s="1"/>
  <c r="Y463" i="25234"/>
  <c r="AA463" i="25234" s="1"/>
  <c r="Y464" i="25234"/>
  <c r="AA464" i="25234" s="1"/>
  <c r="Y465" i="25234"/>
  <c r="AA465" i="25234" s="1"/>
  <c r="Y466" i="25234"/>
  <c r="AA466" i="25234" s="1"/>
  <c r="Y467" i="25234"/>
  <c r="AA467" i="25234" s="1"/>
  <c r="Y468" i="25234"/>
  <c r="AA468" i="25234" s="1"/>
  <c r="Y469" i="25234"/>
  <c r="AA469" i="25234" s="1"/>
  <c r="Y470" i="25234"/>
  <c r="AA470" i="25234" s="1"/>
  <c r="Y472" i="25234"/>
  <c r="AA472" i="25234" s="1"/>
  <c r="Y473" i="25234"/>
  <c r="AA473" i="25234" s="1"/>
  <c r="Y474" i="25234"/>
  <c r="AA474" i="25234" s="1"/>
  <c r="Y475" i="25234"/>
  <c r="AA475" i="25234" s="1"/>
  <c r="Y476" i="25234"/>
  <c r="AA476" i="25234" s="1"/>
  <c r="Y477" i="25234"/>
  <c r="AA477" i="25234" s="1"/>
  <c r="Y478" i="25234"/>
  <c r="AA478" i="25234" s="1"/>
  <c r="AF7" i="25234"/>
  <c r="AI7" i="25234"/>
  <c r="AM7" i="25234"/>
  <c r="AN7" i="25234"/>
  <c r="AF478" i="25234"/>
  <c r="AI478" i="25234"/>
  <c r="AM478" i="25234"/>
  <c r="AN478" i="25234"/>
  <c r="AF477" i="25234"/>
  <c r="AI477" i="25234"/>
  <c r="AM477" i="25234"/>
  <c r="AN477" i="25234"/>
  <c r="AF476" i="25234"/>
  <c r="AI476" i="25234"/>
  <c r="AM476" i="25234"/>
  <c r="AN476" i="25234"/>
  <c r="AF475" i="25234"/>
  <c r="AI475" i="25234"/>
  <c r="AM475" i="25234"/>
  <c r="AN475" i="25234"/>
  <c r="AF474" i="25234"/>
  <c r="AI474" i="25234"/>
  <c r="AM474" i="25234"/>
  <c r="AN474" i="25234"/>
  <c r="AF473" i="25234"/>
  <c r="AI473" i="25234"/>
  <c r="AM473" i="25234"/>
  <c r="AN473" i="25234"/>
  <c r="AF472" i="25234"/>
  <c r="AI472" i="25234"/>
  <c r="AM472" i="25234"/>
  <c r="AN472" i="25234"/>
  <c r="AF471" i="25234"/>
  <c r="AI471" i="25234"/>
  <c r="AM471" i="25234"/>
  <c r="AN471" i="25234"/>
  <c r="AF470" i="25234"/>
  <c r="AI470" i="25234"/>
  <c r="AM470" i="25234"/>
  <c r="AN470" i="25234"/>
  <c r="AF469" i="25234"/>
  <c r="AI469" i="25234"/>
  <c r="AM469" i="25234"/>
  <c r="AN469" i="25234"/>
  <c r="AF468" i="25234"/>
  <c r="AI468" i="25234"/>
  <c r="AM468" i="25234"/>
  <c r="AN468" i="25234"/>
  <c r="AF467" i="25234"/>
  <c r="AI467" i="25234"/>
  <c r="AM467" i="25234"/>
  <c r="AN467" i="25234"/>
  <c r="AF466" i="25234"/>
  <c r="AI466" i="25234"/>
  <c r="AM466" i="25234"/>
  <c r="AN466" i="25234"/>
  <c r="AF465" i="25234"/>
  <c r="AI465" i="25234"/>
  <c r="AM465" i="25234"/>
  <c r="AN465" i="25234"/>
  <c r="AF464" i="25234"/>
  <c r="AI464" i="25234"/>
  <c r="AM464" i="25234"/>
  <c r="AN464" i="25234"/>
  <c r="AF463" i="25234"/>
  <c r="AI463" i="25234"/>
  <c r="AM463" i="25234"/>
  <c r="AN463" i="25234"/>
  <c r="AF462" i="25234"/>
  <c r="AI462" i="25234"/>
  <c r="AM462" i="25234"/>
  <c r="AN462" i="25234"/>
  <c r="AF461" i="25234"/>
  <c r="AI461" i="25234"/>
  <c r="AM461" i="25234"/>
  <c r="AN461" i="25234"/>
  <c r="AF460" i="25234"/>
  <c r="AI460" i="25234"/>
  <c r="AM460" i="25234"/>
  <c r="AN460" i="25234"/>
  <c r="AF459" i="25234"/>
  <c r="AI459" i="25234"/>
  <c r="AM459" i="25234"/>
  <c r="AN459" i="25234"/>
  <c r="AF458" i="25234"/>
  <c r="AI458" i="25234"/>
  <c r="AM458" i="25234"/>
  <c r="AN458" i="25234"/>
  <c r="AF457" i="25234"/>
  <c r="AI457" i="25234"/>
  <c r="AM457" i="25234"/>
  <c r="AN457" i="25234"/>
  <c r="AF456" i="25234"/>
  <c r="AI456" i="25234"/>
  <c r="AM456" i="25234"/>
  <c r="AN456" i="25234"/>
  <c r="AF455" i="25234"/>
  <c r="AI455" i="25234"/>
  <c r="AM455" i="25234"/>
  <c r="AN455" i="25234"/>
  <c r="AF454" i="25234"/>
  <c r="AI454" i="25234"/>
  <c r="AM454" i="25234"/>
  <c r="AN454" i="25234"/>
  <c r="AF453" i="25234"/>
  <c r="AI453" i="25234"/>
  <c r="AM453" i="25234"/>
  <c r="AN453" i="25234"/>
  <c r="AF452" i="25234"/>
  <c r="AI452" i="25234"/>
  <c r="AM452" i="25234"/>
  <c r="AN452" i="25234"/>
  <c r="AF451" i="25234"/>
  <c r="AI451" i="25234"/>
  <c r="AM451" i="25234"/>
  <c r="AN451" i="25234"/>
  <c r="AF450" i="25234"/>
  <c r="AI450" i="25234"/>
  <c r="AM450" i="25234"/>
  <c r="AN450" i="25234"/>
  <c r="AI449" i="25234"/>
  <c r="AF449" i="25234"/>
  <c r="AM449" i="25234"/>
  <c r="AN449" i="25234"/>
  <c r="AF448" i="25234"/>
  <c r="AI448" i="25234"/>
  <c r="AM448" i="25234"/>
  <c r="AN448" i="25234"/>
  <c r="AF447" i="25234"/>
  <c r="AI447" i="25234"/>
  <c r="AM447" i="25234"/>
  <c r="AN447" i="25234"/>
  <c r="AF446" i="25234"/>
  <c r="AI446" i="25234"/>
  <c r="AM446" i="25234"/>
  <c r="AN446" i="25234"/>
  <c r="AI431" i="25234"/>
  <c r="AF445" i="25234"/>
  <c r="AI445" i="25234"/>
  <c r="AM445" i="25234"/>
  <c r="AN445" i="25234"/>
  <c r="AF444" i="25234"/>
  <c r="AI444" i="25234"/>
  <c r="AM444" i="25234"/>
  <c r="AN444" i="25234"/>
  <c r="AF443" i="25234"/>
  <c r="AI443" i="25234"/>
  <c r="AM443" i="25234"/>
  <c r="AN443" i="25234"/>
  <c r="AM436" i="25234"/>
  <c r="AM8" i="25234"/>
  <c r="AM9" i="25234"/>
  <c r="AM10" i="25234"/>
  <c r="AM11" i="25234"/>
  <c r="AM12" i="25234"/>
  <c r="AM13" i="25234"/>
  <c r="AM14" i="25234"/>
  <c r="AM15" i="25234"/>
  <c r="AM16" i="25234"/>
  <c r="AM17" i="25234"/>
  <c r="AM18" i="25234"/>
  <c r="AM19" i="25234"/>
  <c r="AM20" i="25234"/>
  <c r="AM21" i="25234"/>
  <c r="AM22" i="25234"/>
  <c r="AM23" i="25234"/>
  <c r="AM24" i="25234"/>
  <c r="AM25" i="25234"/>
  <c r="AM26" i="25234"/>
  <c r="AM27" i="25234"/>
  <c r="AM28" i="25234"/>
  <c r="AM29" i="25234"/>
  <c r="AM30" i="25234"/>
  <c r="AM31" i="25234"/>
  <c r="AM32" i="25234"/>
  <c r="AM33" i="25234"/>
  <c r="AM34" i="25234"/>
  <c r="AM35" i="25234"/>
  <c r="AM36" i="25234"/>
  <c r="AM37" i="25234"/>
  <c r="AM38" i="25234"/>
  <c r="AM39" i="25234"/>
  <c r="AM40" i="25234"/>
  <c r="AM41" i="25234"/>
  <c r="AM42" i="25234"/>
  <c r="AM43" i="25234"/>
  <c r="AM44" i="25234"/>
  <c r="AM45" i="25234"/>
  <c r="AM46" i="25234"/>
  <c r="AM47" i="25234"/>
  <c r="AM48" i="25234"/>
  <c r="AM49" i="25234"/>
  <c r="AM50" i="25234"/>
  <c r="AM51" i="25234"/>
  <c r="AM52" i="25234"/>
  <c r="AM53" i="25234"/>
  <c r="AM54" i="25234"/>
  <c r="AM55" i="25234"/>
  <c r="AM56" i="25234"/>
  <c r="AM57" i="25234"/>
  <c r="AM58" i="25234"/>
  <c r="AM59" i="25234"/>
  <c r="AM60" i="25234"/>
  <c r="AM61" i="25234"/>
  <c r="AM62" i="25234"/>
  <c r="AM63" i="25234"/>
  <c r="AM64" i="25234"/>
  <c r="AM65" i="25234"/>
  <c r="AM66" i="25234"/>
  <c r="AM67" i="25234"/>
  <c r="AM68" i="25234"/>
  <c r="AM69" i="25234"/>
  <c r="AM70" i="25234"/>
  <c r="AM71" i="25234"/>
  <c r="AM72" i="25234"/>
  <c r="AM73" i="25234"/>
  <c r="AM74" i="25234"/>
  <c r="AM75" i="25234"/>
  <c r="AM76" i="25234"/>
  <c r="AM77" i="25234"/>
  <c r="AM78" i="25234"/>
  <c r="AM79" i="25234"/>
  <c r="AM80" i="25234"/>
  <c r="AM81" i="25234"/>
  <c r="AM82" i="25234"/>
  <c r="AM83" i="25234"/>
  <c r="AM84" i="25234"/>
  <c r="AM85" i="25234"/>
  <c r="AM86" i="25234"/>
  <c r="AM87" i="25234"/>
  <c r="AM88" i="25234"/>
  <c r="AM89" i="25234"/>
  <c r="AM90" i="25234"/>
  <c r="AM91" i="25234"/>
  <c r="AM92" i="25234"/>
  <c r="AM93" i="25234"/>
  <c r="AM94" i="25234"/>
  <c r="AM95" i="25234"/>
  <c r="AM96" i="25234"/>
  <c r="AM97" i="25234"/>
  <c r="AM98" i="25234"/>
  <c r="AM99" i="25234"/>
  <c r="AM100" i="25234"/>
  <c r="AM101" i="25234"/>
  <c r="AM102" i="25234"/>
  <c r="AM103" i="25234"/>
  <c r="AM104" i="25234"/>
  <c r="AM105" i="25234"/>
  <c r="AM106" i="25234"/>
  <c r="AM107" i="25234"/>
  <c r="AM108" i="25234"/>
  <c r="AM109" i="25234"/>
  <c r="AM110" i="25234"/>
  <c r="AM111" i="25234"/>
  <c r="AM112" i="25234"/>
  <c r="AM113" i="25234"/>
  <c r="AM114" i="25234"/>
  <c r="AM115" i="25234"/>
  <c r="AM116" i="25234"/>
  <c r="AM117" i="25234"/>
  <c r="AM118" i="25234"/>
  <c r="AM119" i="25234"/>
  <c r="AM120" i="25234"/>
  <c r="AM121" i="25234"/>
  <c r="AM122" i="25234"/>
  <c r="AM123" i="25234"/>
  <c r="AM124" i="25234"/>
  <c r="AM125" i="25234"/>
  <c r="AM126" i="25234"/>
  <c r="AM127" i="25234"/>
  <c r="AM128" i="25234"/>
  <c r="AM129" i="25234"/>
  <c r="AM130" i="25234"/>
  <c r="AM131" i="25234"/>
  <c r="AM132" i="25234"/>
  <c r="AM133" i="25234"/>
  <c r="AM134" i="25234"/>
  <c r="AM135" i="25234"/>
  <c r="AM136" i="25234"/>
  <c r="AM137" i="25234"/>
  <c r="AM138" i="25234"/>
  <c r="AM139" i="25234"/>
  <c r="AM140" i="25234"/>
  <c r="AM141" i="25234"/>
  <c r="AM142" i="25234"/>
  <c r="AM143" i="25234"/>
  <c r="AM144" i="25234"/>
  <c r="AM145" i="25234"/>
  <c r="AM146" i="25234"/>
  <c r="AM147" i="25234"/>
  <c r="AM148" i="25234"/>
  <c r="AM149" i="25234"/>
  <c r="AM150" i="25234"/>
  <c r="AM151" i="25234"/>
  <c r="AM152" i="25234"/>
  <c r="AM153" i="25234"/>
  <c r="AM154" i="25234"/>
  <c r="AM155" i="25234"/>
  <c r="AM156" i="25234"/>
  <c r="AM157" i="25234"/>
  <c r="AM158" i="25234"/>
  <c r="AM159" i="25234"/>
  <c r="AM160" i="25234"/>
  <c r="AM161" i="25234"/>
  <c r="AM162" i="25234"/>
  <c r="AM163" i="25234"/>
  <c r="AM164" i="25234"/>
  <c r="AM165" i="25234"/>
  <c r="AM166" i="25234"/>
  <c r="AM167" i="25234"/>
  <c r="AM168" i="25234"/>
  <c r="AM169" i="25234"/>
  <c r="AM170" i="25234"/>
  <c r="AM171" i="25234"/>
  <c r="AM172" i="25234"/>
  <c r="AM173" i="25234"/>
  <c r="AM174" i="25234"/>
  <c r="AM175" i="25234"/>
  <c r="AM176" i="25234"/>
  <c r="AM177" i="25234"/>
  <c r="AM178" i="25234"/>
  <c r="AM179" i="25234"/>
  <c r="AM180" i="25234"/>
  <c r="AM181" i="25234"/>
  <c r="AM182" i="25234"/>
  <c r="AM183" i="25234"/>
  <c r="AM184" i="25234"/>
  <c r="AM185" i="25234"/>
  <c r="AM186" i="25234"/>
  <c r="AM187" i="25234"/>
  <c r="AM188" i="25234"/>
  <c r="AM189" i="25234"/>
  <c r="AM190" i="25234"/>
  <c r="AM191" i="25234"/>
  <c r="AM192" i="25234"/>
  <c r="AM193" i="25234"/>
  <c r="AM194" i="25234"/>
  <c r="AM195" i="25234"/>
  <c r="AM196" i="25234"/>
  <c r="AM197" i="25234"/>
  <c r="AM198" i="25234"/>
  <c r="AM199" i="25234"/>
  <c r="AM200" i="25234"/>
  <c r="AM201" i="25234"/>
  <c r="AM202" i="25234"/>
  <c r="AM203" i="25234"/>
  <c r="AM204" i="25234"/>
  <c r="AM205" i="25234"/>
  <c r="AM206" i="25234"/>
  <c r="AM207" i="25234"/>
  <c r="AM208" i="25234"/>
  <c r="AM209" i="25234"/>
  <c r="AM210" i="25234"/>
  <c r="AM211" i="25234"/>
  <c r="AM212" i="25234"/>
  <c r="AM213" i="25234"/>
  <c r="AM214" i="25234"/>
  <c r="AM215" i="25234"/>
  <c r="AM216" i="25234"/>
  <c r="AM217" i="25234"/>
  <c r="AM218" i="25234"/>
  <c r="AM219" i="25234"/>
  <c r="AM220" i="25234"/>
  <c r="AM221" i="25234"/>
  <c r="AM222" i="25234"/>
  <c r="AM223" i="25234"/>
  <c r="AM224" i="25234"/>
  <c r="AM225" i="25234"/>
  <c r="AM226" i="25234"/>
  <c r="AM227" i="25234"/>
  <c r="AM228" i="25234"/>
  <c r="AM229" i="25234"/>
  <c r="AM230" i="25234"/>
  <c r="AM231" i="25234"/>
  <c r="AM232" i="25234"/>
  <c r="AM233" i="25234"/>
  <c r="AM234" i="25234"/>
  <c r="AM235" i="25234"/>
  <c r="AM236" i="25234"/>
  <c r="AM237" i="25234"/>
  <c r="AM238" i="25234"/>
  <c r="AM239" i="25234"/>
  <c r="AM240" i="25234"/>
  <c r="AM241" i="25234"/>
  <c r="AM242" i="25234"/>
  <c r="AM243" i="25234"/>
  <c r="AM244" i="25234"/>
  <c r="AM245" i="25234"/>
  <c r="AM246" i="25234"/>
  <c r="AM247" i="25234"/>
  <c r="AM248" i="25234"/>
  <c r="AM249" i="25234"/>
  <c r="AM250" i="25234"/>
  <c r="AM251" i="25234"/>
  <c r="AM252" i="25234"/>
  <c r="AM253" i="25234"/>
  <c r="AM254" i="25234"/>
  <c r="AM255" i="25234"/>
  <c r="AM256" i="25234"/>
  <c r="AM257" i="25234"/>
  <c r="AM258" i="25234"/>
  <c r="AM259" i="25234"/>
  <c r="AM260" i="25234"/>
  <c r="AM261" i="25234"/>
  <c r="AM262" i="25234"/>
  <c r="AM263" i="25234"/>
  <c r="AM264" i="25234"/>
  <c r="AM265" i="25234"/>
  <c r="AM266" i="25234"/>
  <c r="AM267" i="25234"/>
  <c r="AM268" i="25234"/>
  <c r="AM269" i="25234"/>
  <c r="AM270" i="25234"/>
  <c r="AM271" i="25234"/>
  <c r="AM272" i="25234"/>
  <c r="AM273" i="25234"/>
  <c r="AM274" i="25234"/>
  <c r="AM275" i="25234"/>
  <c r="AM276" i="25234"/>
  <c r="AM277" i="25234"/>
  <c r="AM278" i="25234"/>
  <c r="AM279" i="25234"/>
  <c r="AM280" i="25234"/>
  <c r="AM281" i="25234"/>
  <c r="AM282" i="25234"/>
  <c r="AM283" i="25234"/>
  <c r="AM284" i="25234"/>
  <c r="AM285" i="25234"/>
  <c r="AM286" i="25234"/>
  <c r="AM287" i="25234"/>
  <c r="AM288" i="25234"/>
  <c r="AM289" i="25234"/>
  <c r="AM290" i="25234"/>
  <c r="AM291" i="25234"/>
  <c r="AM292" i="25234"/>
  <c r="AM293" i="25234"/>
  <c r="AM294" i="25234"/>
  <c r="AM295" i="25234"/>
  <c r="AM296" i="25234"/>
  <c r="AM297" i="25234"/>
  <c r="AM298" i="25234"/>
  <c r="AM299" i="25234"/>
  <c r="AM300" i="25234"/>
  <c r="AM301" i="25234"/>
  <c r="AM302" i="25234"/>
  <c r="AM303" i="25234"/>
  <c r="AM304" i="25234"/>
  <c r="AM305" i="25234"/>
  <c r="AM306" i="25234"/>
  <c r="AM307" i="25234"/>
  <c r="AM308" i="25234"/>
  <c r="AM309" i="25234"/>
  <c r="AM310" i="25234"/>
  <c r="AM311" i="25234"/>
  <c r="AM312" i="25234"/>
  <c r="AM313" i="25234"/>
  <c r="AM314" i="25234"/>
  <c r="AM315" i="25234"/>
  <c r="AM316" i="25234"/>
  <c r="AM317" i="25234"/>
  <c r="AM318" i="25234"/>
  <c r="AM319" i="25234"/>
  <c r="AM320" i="25234"/>
  <c r="AM321" i="25234"/>
  <c r="AM322" i="25234"/>
  <c r="AM323" i="25234"/>
  <c r="AM324" i="25234"/>
  <c r="AM325" i="25234"/>
  <c r="AM326" i="25234"/>
  <c r="AM327" i="25234"/>
  <c r="AM328" i="25234"/>
  <c r="AM329" i="25234"/>
  <c r="AM330" i="25234"/>
  <c r="AM331" i="25234"/>
  <c r="AM332" i="25234"/>
  <c r="AM333" i="25234"/>
  <c r="AM334" i="25234"/>
  <c r="AM335" i="25234"/>
  <c r="AM336" i="25234"/>
  <c r="AM337" i="25234"/>
  <c r="AM338" i="25234"/>
  <c r="AM339" i="25234"/>
  <c r="AM340" i="25234"/>
  <c r="AM341" i="25234"/>
  <c r="AM342" i="25234"/>
  <c r="AM343" i="25234"/>
  <c r="AM344" i="25234"/>
  <c r="AM345" i="25234"/>
  <c r="AM346" i="25234"/>
  <c r="AM347" i="25234"/>
  <c r="AM348" i="25234"/>
  <c r="AM349" i="25234"/>
  <c r="AM350" i="25234"/>
  <c r="AM351" i="25234"/>
  <c r="AM352" i="25234"/>
  <c r="AM353" i="25234"/>
  <c r="AM354" i="25234"/>
  <c r="AM355" i="25234"/>
  <c r="AM356" i="25234"/>
  <c r="AM357" i="25234"/>
  <c r="AM358" i="25234"/>
  <c r="AM359" i="25234"/>
  <c r="AM360" i="25234"/>
  <c r="AM361" i="25234"/>
  <c r="AM362" i="25234"/>
  <c r="AM363" i="25234"/>
  <c r="AM364" i="25234"/>
  <c r="AM365" i="25234"/>
  <c r="AM366" i="25234"/>
  <c r="AM367" i="25234"/>
  <c r="AM368" i="25234"/>
  <c r="AM369" i="25234"/>
  <c r="AM370" i="25234"/>
  <c r="AM371" i="25234"/>
  <c r="AM372" i="25234"/>
  <c r="AM373" i="25234"/>
  <c r="AM374" i="25234"/>
  <c r="AM375" i="25234"/>
  <c r="AM376" i="25234"/>
  <c r="AM377" i="25234"/>
  <c r="AM378" i="25234"/>
  <c r="AM379" i="25234"/>
  <c r="AM380" i="25234"/>
  <c r="AM381" i="25234"/>
  <c r="AM382" i="25234"/>
  <c r="AM383" i="25234"/>
  <c r="AM384" i="25234"/>
  <c r="AM385" i="25234"/>
  <c r="AM386" i="25234"/>
  <c r="AM387" i="25234"/>
  <c r="AM388" i="25234"/>
  <c r="AM389" i="25234"/>
  <c r="AM390" i="25234"/>
  <c r="AM391" i="25234"/>
  <c r="AM392" i="25234"/>
  <c r="AM393" i="25234"/>
  <c r="AM394" i="25234"/>
  <c r="AM395" i="25234"/>
  <c r="AM396" i="25234"/>
  <c r="AM397" i="25234"/>
  <c r="AM398" i="25234"/>
  <c r="AM399" i="25234"/>
  <c r="AM400" i="25234"/>
  <c r="AM401" i="25234"/>
  <c r="AM402" i="25234"/>
  <c r="AM403" i="25234"/>
  <c r="AM404" i="25234"/>
  <c r="AM405" i="25234"/>
  <c r="AM406" i="25234"/>
  <c r="AM407" i="25234"/>
  <c r="AM408" i="25234"/>
  <c r="AM409" i="25234"/>
  <c r="AM410" i="25234"/>
  <c r="AM411" i="25234"/>
  <c r="AM412" i="25234"/>
  <c r="AM413" i="25234"/>
  <c r="AM414" i="25234"/>
  <c r="AM415" i="25234"/>
  <c r="AM416" i="25234"/>
  <c r="AM417" i="25234"/>
  <c r="AM418" i="25234"/>
  <c r="AM419" i="25234"/>
  <c r="AM420" i="25234"/>
  <c r="AM421" i="25234"/>
  <c r="AM422" i="25234"/>
  <c r="AM423" i="25234"/>
  <c r="AM424" i="25234"/>
  <c r="AM425" i="25234"/>
  <c r="AM426" i="25234"/>
  <c r="AM427" i="25234"/>
  <c r="AM428" i="25234"/>
  <c r="AM429" i="25234"/>
  <c r="AM430" i="25234"/>
  <c r="AM431" i="25234"/>
  <c r="AM432" i="25234"/>
  <c r="AM433" i="25234"/>
  <c r="AM434" i="25234"/>
  <c r="AM435" i="25234"/>
  <c r="AM437" i="25234"/>
  <c r="AM438" i="25234"/>
  <c r="AM439" i="25234"/>
  <c r="AM440" i="25234"/>
  <c r="AM441" i="25234"/>
  <c r="AM442" i="25234"/>
  <c r="AF442" i="25234"/>
  <c r="AI442" i="25234"/>
  <c r="AN442" i="25234"/>
  <c r="AF441" i="25234"/>
  <c r="AI441" i="25234"/>
  <c r="AN441" i="25234"/>
  <c r="AF440" i="25234"/>
  <c r="AI440" i="25234"/>
  <c r="AN440" i="25234"/>
  <c r="AF439" i="25234"/>
  <c r="AI439" i="25234"/>
  <c r="AN439" i="25234"/>
  <c r="AF438" i="25234"/>
  <c r="AI438" i="25234"/>
  <c r="AN438" i="25234"/>
  <c r="AF437" i="25234"/>
  <c r="AI437" i="25234"/>
  <c r="AN437" i="25234"/>
  <c r="AF436" i="25234"/>
  <c r="AN436" i="25234"/>
  <c r="AF435" i="25234"/>
  <c r="AI435" i="25234"/>
  <c r="AN435" i="25234"/>
  <c r="AF434" i="25234"/>
  <c r="AI434" i="25234"/>
  <c r="AN434" i="25234"/>
  <c r="AF433" i="25234"/>
  <c r="AI433" i="25234"/>
  <c r="AN433" i="25234"/>
  <c r="AF432" i="25234"/>
  <c r="AI432" i="25234"/>
  <c r="AN432" i="25234"/>
  <c r="AF431" i="25234"/>
  <c r="AN431" i="25234"/>
  <c r="AF430" i="25234"/>
  <c r="AI430" i="25234"/>
  <c r="AN430" i="25234"/>
  <c r="AF429" i="25234"/>
  <c r="AI429" i="25234"/>
  <c r="AN429" i="25234"/>
  <c r="AI428" i="25234"/>
  <c r="AN428" i="25234"/>
  <c r="AF427" i="25234"/>
  <c r="AI427" i="25234"/>
  <c r="AN427" i="25234"/>
  <c r="AF426" i="25234"/>
  <c r="AI426" i="25234"/>
  <c r="AN426" i="25234"/>
  <c r="AF425" i="25234"/>
  <c r="AI425" i="25234"/>
  <c r="AN425" i="25234"/>
  <c r="AF424" i="25234"/>
  <c r="AI424" i="25234"/>
  <c r="AN424" i="25234"/>
  <c r="AF423" i="25234"/>
  <c r="AI423" i="25234"/>
  <c r="AN423" i="25234"/>
  <c r="AF422" i="25234"/>
  <c r="AI422" i="25234"/>
  <c r="AN422" i="25234"/>
  <c r="AF421" i="25234"/>
  <c r="AI421" i="25234"/>
  <c r="AN421" i="25234"/>
  <c r="AF420" i="25234"/>
  <c r="AI420" i="25234"/>
  <c r="AN420" i="25234"/>
  <c r="AF419" i="25234"/>
  <c r="AI419" i="25234"/>
  <c r="AN419" i="25234"/>
  <c r="AF418" i="25234"/>
  <c r="AI418" i="25234"/>
  <c r="AN418" i="25234"/>
  <c r="AF417" i="25234"/>
  <c r="AI417" i="25234"/>
  <c r="AN417" i="25234"/>
  <c r="AF416" i="25234"/>
  <c r="AI416" i="25234"/>
  <c r="AN416" i="25234"/>
  <c r="AF415" i="25234"/>
  <c r="AI415" i="25234"/>
  <c r="AN415" i="25234"/>
  <c r="AF414" i="25234"/>
  <c r="AI414" i="25234"/>
  <c r="AN414" i="25234"/>
  <c r="AF413" i="25234"/>
  <c r="AI413" i="25234"/>
  <c r="AN413" i="25234"/>
  <c r="AF412" i="25234"/>
  <c r="AI412" i="25234"/>
  <c r="AN412" i="25234"/>
  <c r="AF411" i="25234"/>
  <c r="AI411" i="25234"/>
  <c r="AN411" i="25234"/>
  <c r="AF410" i="25234"/>
  <c r="AI410" i="25234"/>
  <c r="AN410" i="25234"/>
  <c r="AF409" i="25234"/>
  <c r="AI409" i="25234"/>
  <c r="AN409" i="25234"/>
  <c r="AF408" i="25234"/>
  <c r="AI408" i="25234"/>
  <c r="AN408" i="25234"/>
  <c r="AF407" i="25234"/>
  <c r="AI407" i="25234"/>
  <c r="AN407" i="25234"/>
  <c r="A261" i="25234"/>
  <c r="A262" i="25234"/>
  <c r="A263" i="25234"/>
  <c r="A264" i="25234"/>
  <c r="A265" i="25234"/>
  <c r="A266" i="25234"/>
  <c r="A267" i="25234"/>
  <c r="A268" i="25234"/>
  <c r="A269" i="25234"/>
  <c r="A270" i="25234"/>
  <c r="A271" i="25234"/>
  <c r="A272" i="25234"/>
  <c r="A273" i="25234"/>
  <c r="A274" i="25234"/>
  <c r="A275" i="25234"/>
  <c r="A276" i="25234"/>
  <c r="A277" i="25234"/>
  <c r="A278" i="25234"/>
  <c r="A279" i="25234"/>
  <c r="A280" i="25234"/>
  <c r="A281" i="25234"/>
  <c r="A282" i="25234"/>
  <c r="A283" i="25234"/>
  <c r="A284" i="25234"/>
  <c r="A285" i="25234"/>
  <c r="A286" i="25234"/>
  <c r="A287" i="25234"/>
  <c r="A288" i="25234"/>
  <c r="A289" i="25234"/>
  <c r="A290" i="25234"/>
  <c r="A291" i="25234"/>
  <c r="A292" i="25234"/>
  <c r="A293" i="25234"/>
  <c r="A294" i="25234"/>
  <c r="A295" i="25234"/>
  <c r="A296" i="25234"/>
  <c r="A297" i="25234"/>
  <c r="A298" i="25234"/>
  <c r="A299" i="25234"/>
  <c r="A300" i="25234"/>
  <c r="A301" i="25234"/>
  <c r="A302" i="25234"/>
  <c r="A303" i="25234"/>
  <c r="A304" i="25234"/>
  <c r="A305" i="25234"/>
  <c r="A306" i="25234"/>
  <c r="A307" i="25234"/>
  <c r="A308" i="25234"/>
  <c r="A309" i="25234"/>
  <c r="A310" i="25234"/>
  <c r="A311" i="25234"/>
  <c r="A312" i="25234"/>
  <c r="A313" i="25234"/>
  <c r="A314" i="25234"/>
  <c r="A315" i="25234"/>
  <c r="A316" i="25234"/>
  <c r="A317" i="25234"/>
  <c r="AI8" i="25234"/>
  <c r="AI9" i="25234"/>
  <c r="AI10" i="25234"/>
  <c r="AI11" i="25234"/>
  <c r="AI12" i="25234"/>
  <c r="AI13" i="25234"/>
  <c r="AI14" i="25234"/>
  <c r="AI15" i="25234"/>
  <c r="AI16" i="25234"/>
  <c r="AI17" i="25234"/>
  <c r="AI18" i="25234"/>
  <c r="AI19" i="25234"/>
  <c r="AI20" i="25234"/>
  <c r="AI21" i="25234"/>
  <c r="AI22" i="25234"/>
  <c r="AI23" i="25234"/>
  <c r="AI24" i="25234"/>
  <c r="AI25" i="25234"/>
  <c r="AI26" i="25234"/>
  <c r="AI27" i="25234"/>
  <c r="AI28" i="25234"/>
  <c r="AI29" i="25234"/>
  <c r="AI30" i="25234"/>
  <c r="AI31" i="25234"/>
  <c r="AI32" i="25234"/>
  <c r="AI33" i="25234"/>
  <c r="AI34" i="25234"/>
  <c r="AI35" i="25234"/>
  <c r="AI36" i="25234"/>
  <c r="AI37" i="25234"/>
  <c r="AI38" i="25234"/>
  <c r="AI39" i="25234"/>
  <c r="AI40" i="25234"/>
  <c r="AI41" i="25234"/>
  <c r="AI42" i="25234"/>
  <c r="AI43" i="25234"/>
  <c r="AI44" i="25234"/>
  <c r="AI45" i="25234"/>
  <c r="AI46" i="25234"/>
  <c r="AI47" i="25234"/>
  <c r="AI48" i="25234"/>
  <c r="AI49" i="25234"/>
  <c r="AI50" i="25234"/>
  <c r="AI51" i="25234"/>
  <c r="AI52" i="25234"/>
  <c r="AI53" i="25234"/>
  <c r="AI54" i="25234"/>
  <c r="AI55" i="25234"/>
  <c r="AI56" i="25234"/>
  <c r="AI57" i="25234"/>
  <c r="AI58" i="25234"/>
  <c r="AI59" i="25234"/>
  <c r="AI60" i="25234"/>
  <c r="AI61" i="25234"/>
  <c r="AI62" i="25234"/>
  <c r="AI63" i="25234"/>
  <c r="AI64" i="25234"/>
  <c r="AI65" i="25234"/>
  <c r="AI66" i="25234"/>
  <c r="AI67" i="25234"/>
  <c r="AI68" i="25234"/>
  <c r="AI69" i="25234"/>
  <c r="AI70" i="25234"/>
  <c r="AI71" i="25234"/>
  <c r="AI72" i="25234"/>
  <c r="AI73" i="25234"/>
  <c r="AI74" i="25234"/>
  <c r="AI75" i="25234"/>
  <c r="AI76" i="25234"/>
  <c r="AI77" i="25234"/>
  <c r="AI78" i="25234"/>
  <c r="AI79" i="25234"/>
  <c r="AI80" i="25234"/>
  <c r="AI81" i="25234"/>
  <c r="AI82" i="25234"/>
  <c r="AI83" i="25234"/>
  <c r="AI84" i="25234"/>
  <c r="AI85" i="25234"/>
  <c r="AI86" i="25234"/>
  <c r="AI87" i="25234"/>
  <c r="AI88" i="25234"/>
  <c r="AI89" i="25234"/>
  <c r="AI90" i="25234"/>
  <c r="AI91" i="25234"/>
  <c r="AI92" i="25234"/>
  <c r="AI93" i="25234"/>
  <c r="AI94" i="25234"/>
  <c r="AI95" i="25234"/>
  <c r="AI96" i="25234"/>
  <c r="AI97" i="25234"/>
  <c r="AI98" i="25234"/>
  <c r="AI99" i="25234"/>
  <c r="AI100" i="25234"/>
  <c r="AI101" i="25234"/>
  <c r="AI102" i="25234"/>
  <c r="AI103" i="25234"/>
  <c r="AI104" i="25234"/>
  <c r="AI105" i="25234"/>
  <c r="AI106" i="25234"/>
  <c r="AI107" i="25234"/>
  <c r="AI108" i="25234"/>
  <c r="AI109" i="25234"/>
  <c r="AI110" i="25234"/>
  <c r="AI111" i="25234"/>
  <c r="AI112" i="25234"/>
  <c r="AI113" i="25234"/>
  <c r="AI114" i="25234"/>
  <c r="AI115" i="25234"/>
  <c r="AI116" i="25234"/>
  <c r="AI117" i="25234"/>
  <c r="AI118" i="25234"/>
  <c r="AI119" i="25234"/>
  <c r="AI120" i="25234"/>
  <c r="AI121" i="25234"/>
  <c r="AI122" i="25234"/>
  <c r="AI123" i="25234"/>
  <c r="AI124" i="25234"/>
  <c r="AI125" i="25234"/>
  <c r="AI126" i="25234"/>
  <c r="AI127" i="25234"/>
  <c r="AI128" i="25234"/>
  <c r="AI129" i="25234"/>
  <c r="AI130" i="25234"/>
  <c r="AI131" i="25234"/>
  <c r="AI132" i="25234"/>
  <c r="AI133" i="25234"/>
  <c r="AI134" i="25234"/>
  <c r="AI135" i="25234"/>
  <c r="AI136" i="25234"/>
  <c r="AI137" i="25234"/>
  <c r="AI138" i="25234"/>
  <c r="AI139" i="25234"/>
  <c r="AI140" i="25234"/>
  <c r="AI141" i="25234"/>
  <c r="AI142" i="25234"/>
  <c r="AI143" i="25234"/>
  <c r="AI144" i="25234"/>
  <c r="AI145" i="25234"/>
  <c r="AI146" i="25234"/>
  <c r="AI147" i="25234"/>
  <c r="AI148" i="25234"/>
  <c r="AI149" i="25234"/>
  <c r="AI150" i="25234"/>
  <c r="AI151" i="25234"/>
  <c r="AI152" i="25234"/>
  <c r="AI153" i="25234"/>
  <c r="AI154" i="25234"/>
  <c r="AI155" i="25234"/>
  <c r="AI156" i="25234"/>
  <c r="AI157" i="25234"/>
  <c r="AI158" i="25234"/>
  <c r="AI159" i="25234"/>
  <c r="AI160" i="25234"/>
  <c r="AI161" i="25234"/>
  <c r="AI162" i="25234"/>
  <c r="AI163" i="25234"/>
  <c r="AI164" i="25234"/>
  <c r="AI165" i="25234"/>
  <c r="AI166" i="25234"/>
  <c r="AI167" i="25234"/>
  <c r="AI168" i="25234"/>
  <c r="AI169" i="25234"/>
  <c r="AI170" i="25234"/>
  <c r="AI171" i="25234"/>
  <c r="AI172" i="25234"/>
  <c r="AI173" i="25234"/>
  <c r="AI174" i="25234"/>
  <c r="AI175" i="25234"/>
  <c r="AI176" i="25234"/>
  <c r="AI177" i="25234"/>
  <c r="AI178" i="25234"/>
  <c r="AI179" i="25234"/>
  <c r="AI180" i="25234"/>
  <c r="AI181" i="25234"/>
  <c r="AI182" i="25234"/>
  <c r="AI183" i="25234"/>
  <c r="AI184" i="25234"/>
  <c r="AI185" i="25234"/>
  <c r="AI186" i="25234"/>
  <c r="AI187" i="25234"/>
  <c r="AI188" i="25234"/>
  <c r="AI189" i="25234"/>
  <c r="AI190" i="25234"/>
  <c r="AI191" i="25234"/>
  <c r="AI192" i="25234"/>
  <c r="AI193" i="25234"/>
  <c r="AI194" i="25234"/>
  <c r="AI195" i="25234"/>
  <c r="AI196" i="25234"/>
  <c r="AI197" i="25234"/>
  <c r="AI198" i="25234"/>
  <c r="AI199" i="25234"/>
  <c r="AI200" i="25234"/>
  <c r="AI201" i="25234"/>
  <c r="AI202" i="25234"/>
  <c r="AI203" i="25234"/>
  <c r="AI204" i="25234"/>
  <c r="AI205" i="25234"/>
  <c r="AI206" i="25234"/>
  <c r="AI207" i="25234"/>
  <c r="AI208" i="25234"/>
  <c r="AI209" i="25234"/>
  <c r="AI210" i="25234"/>
  <c r="AI211" i="25234"/>
  <c r="AI212" i="25234"/>
  <c r="AI213" i="25234"/>
  <c r="AI214" i="25234"/>
  <c r="AI215" i="25234"/>
  <c r="AI216" i="25234"/>
  <c r="AI217" i="25234"/>
  <c r="AI218" i="25234"/>
  <c r="AI219" i="25234"/>
  <c r="AI220" i="25234"/>
  <c r="AI221" i="25234"/>
  <c r="AI222" i="25234"/>
  <c r="AI223" i="25234"/>
  <c r="AI224" i="25234"/>
  <c r="AI225" i="25234"/>
  <c r="AI226" i="25234"/>
  <c r="AI227" i="25234"/>
  <c r="AI228" i="25234"/>
  <c r="AI229" i="25234"/>
  <c r="AI230" i="25234"/>
  <c r="AI231" i="25234"/>
  <c r="AI232" i="25234"/>
  <c r="AI233" i="25234"/>
  <c r="AI234" i="25234"/>
  <c r="AI235" i="25234"/>
  <c r="AI236" i="25234"/>
  <c r="AI237" i="25234"/>
  <c r="AI238" i="25234"/>
  <c r="AI239" i="25234"/>
  <c r="AI240" i="25234"/>
  <c r="AI241" i="25234"/>
  <c r="AI242" i="25234"/>
  <c r="AI243" i="25234"/>
  <c r="AI244" i="25234"/>
  <c r="AI245" i="25234"/>
  <c r="AI246" i="25234"/>
  <c r="AI247" i="25234"/>
  <c r="AI248" i="25234"/>
  <c r="AI249" i="25234"/>
  <c r="AI250" i="25234"/>
  <c r="AI251" i="25234"/>
  <c r="AI252" i="25234"/>
  <c r="AI253" i="25234"/>
  <c r="AI254" i="25234"/>
  <c r="AI255" i="25234"/>
  <c r="AI256" i="25234"/>
  <c r="AI257" i="25234"/>
  <c r="AI258" i="25234"/>
  <c r="AI259" i="25234"/>
  <c r="AI260" i="25234"/>
  <c r="AI261" i="25234"/>
  <c r="AI262" i="25234"/>
  <c r="AI263" i="25234"/>
  <c r="AI264" i="25234"/>
  <c r="AI265" i="25234"/>
  <c r="AI266" i="25234"/>
  <c r="AI267" i="25234"/>
  <c r="AI268" i="25234"/>
  <c r="AI269" i="25234"/>
  <c r="AI270" i="25234"/>
  <c r="AI271" i="25234"/>
  <c r="AI272" i="25234"/>
  <c r="AI273" i="25234"/>
  <c r="AI274" i="25234"/>
  <c r="AI275" i="25234"/>
  <c r="AI276" i="25234"/>
  <c r="AI277" i="25234"/>
  <c r="AI278" i="25234"/>
  <c r="AI279" i="25234"/>
  <c r="AI280" i="25234"/>
  <c r="AI281" i="25234"/>
  <c r="AI282" i="25234"/>
  <c r="AI283" i="25234"/>
  <c r="AI284" i="25234"/>
  <c r="AI285" i="25234"/>
  <c r="AI286" i="25234"/>
  <c r="AI287" i="25234"/>
  <c r="AI288" i="25234"/>
  <c r="AI289" i="25234"/>
  <c r="AI290" i="25234"/>
  <c r="AI291" i="25234"/>
  <c r="AI292" i="25234"/>
  <c r="AI293" i="25234"/>
  <c r="AI294" i="25234"/>
  <c r="AI295" i="25234"/>
  <c r="AI296" i="25234"/>
  <c r="AI297" i="25234"/>
  <c r="AI298" i="25234"/>
  <c r="AI299" i="25234"/>
  <c r="AI300" i="25234"/>
  <c r="AI301" i="25234"/>
  <c r="AI302" i="25234"/>
  <c r="AI303" i="25234"/>
  <c r="AI304" i="25234"/>
  <c r="AI305" i="25234"/>
  <c r="AI306" i="25234"/>
  <c r="AI307" i="25234"/>
  <c r="AI308" i="25234"/>
  <c r="AI309" i="25234"/>
  <c r="AI310" i="25234"/>
  <c r="AI311" i="25234"/>
  <c r="AI312" i="25234"/>
  <c r="AI313" i="25234"/>
  <c r="AI314" i="25234"/>
  <c r="AI315" i="25234"/>
  <c r="AI316" i="25234"/>
  <c r="AI317" i="25234"/>
  <c r="AI318" i="25234"/>
  <c r="AI319" i="25234"/>
  <c r="AI320" i="25234"/>
  <c r="AI321" i="25234"/>
  <c r="AI322" i="25234"/>
  <c r="AI323" i="25234"/>
  <c r="AI324" i="25234"/>
  <c r="AI325" i="25234"/>
  <c r="AI326" i="25234"/>
  <c r="AI327" i="25234"/>
  <c r="AI328" i="25234"/>
  <c r="AI329" i="25234"/>
  <c r="AI330" i="25234"/>
  <c r="AI331" i="25234"/>
  <c r="AI332" i="25234"/>
  <c r="AI333" i="25234"/>
  <c r="AI334" i="25234"/>
  <c r="AI335" i="25234"/>
  <c r="AI336" i="25234"/>
  <c r="AI337" i="25234"/>
  <c r="AI338" i="25234"/>
  <c r="AI339" i="25234"/>
  <c r="AI340" i="25234"/>
  <c r="AI341" i="25234"/>
  <c r="AI342" i="25234"/>
  <c r="AI343" i="25234"/>
  <c r="AI344" i="25234"/>
  <c r="AI345" i="25234"/>
  <c r="AI346" i="25234"/>
  <c r="AI347" i="25234"/>
  <c r="AI348" i="25234"/>
  <c r="AI349" i="25234"/>
  <c r="AI350" i="25234"/>
  <c r="AI351" i="25234"/>
  <c r="AI352" i="25234"/>
  <c r="AI353" i="25234"/>
  <c r="AI354" i="25234"/>
  <c r="AI355" i="25234"/>
  <c r="AI356" i="25234"/>
  <c r="AI357" i="25234"/>
  <c r="AI358" i="25234"/>
  <c r="AI359" i="25234"/>
  <c r="AI360" i="25234"/>
  <c r="AI361" i="25234"/>
  <c r="AI362" i="25234"/>
  <c r="AI363" i="25234"/>
  <c r="AI364" i="25234"/>
  <c r="AI365" i="25234"/>
  <c r="AI366" i="25234"/>
  <c r="AI367" i="25234"/>
  <c r="AI368" i="25234"/>
  <c r="AI369" i="25234"/>
  <c r="AI370" i="25234"/>
  <c r="AI371" i="25234"/>
  <c r="AI372" i="25234"/>
  <c r="AI373" i="25234"/>
  <c r="AI374" i="25234"/>
  <c r="AI375" i="25234"/>
  <c r="AI376" i="25234"/>
  <c r="AI377" i="25234"/>
  <c r="AI378" i="25234"/>
  <c r="AI379" i="25234"/>
  <c r="AI380" i="25234"/>
  <c r="AI381" i="25234"/>
  <c r="AI382" i="25234"/>
  <c r="AI383" i="25234"/>
  <c r="AI384" i="25234"/>
  <c r="AI385" i="25234"/>
  <c r="AI386" i="25234"/>
  <c r="AI387" i="25234"/>
  <c r="AI388" i="25234"/>
  <c r="AI389" i="25234"/>
  <c r="AI390" i="25234"/>
  <c r="AI391" i="25234"/>
  <c r="AI392" i="25234"/>
  <c r="AI393" i="25234"/>
  <c r="AI394" i="25234"/>
  <c r="AI395" i="25234"/>
  <c r="AI396" i="25234"/>
  <c r="AI397" i="25234"/>
  <c r="AI398" i="25234"/>
  <c r="AI399" i="25234"/>
  <c r="AI400" i="25234"/>
  <c r="AI401" i="25234"/>
  <c r="AI402" i="25234"/>
  <c r="AI403" i="25234"/>
  <c r="AI404" i="25234"/>
  <c r="AI405" i="25234"/>
  <c r="AI406" i="25234"/>
  <c r="AF406" i="25234"/>
  <c r="AN406" i="25234"/>
  <c r="AF405" i="25234"/>
  <c r="AN405" i="25234"/>
  <c r="AF404" i="25234"/>
  <c r="AN404" i="25234"/>
  <c r="AF403" i="25234"/>
  <c r="AN403" i="25234"/>
  <c r="AF402" i="25234"/>
  <c r="AN402" i="25234"/>
  <c r="AF401" i="25234"/>
  <c r="AN401" i="25234"/>
  <c r="AF400" i="25234"/>
  <c r="AN400" i="25234"/>
  <c r="AF399" i="25234"/>
  <c r="AN399" i="25234"/>
  <c r="AF398" i="25234"/>
  <c r="AN398" i="25234"/>
  <c r="AF397" i="25234"/>
  <c r="AN397" i="25234"/>
  <c r="AF396" i="25234"/>
  <c r="AN396" i="25234"/>
  <c r="AF395" i="25234"/>
  <c r="AN395" i="25234"/>
  <c r="AJ3" i="25234"/>
  <c r="AJ2" i="25234" s="1"/>
  <c r="AF8" i="25234"/>
  <c r="AN8" i="25234"/>
  <c r="AF9" i="25234"/>
  <c r="AN9" i="25234"/>
  <c r="AF10" i="25234"/>
  <c r="AN10" i="25234"/>
  <c r="AF11" i="25234"/>
  <c r="AN11" i="25234"/>
  <c r="AF12" i="25234"/>
  <c r="AN12" i="25234"/>
  <c r="AF13" i="25234"/>
  <c r="AN13" i="25234"/>
  <c r="AF14" i="25234"/>
  <c r="AN14" i="25234"/>
  <c r="AF15" i="25234"/>
  <c r="AN15" i="25234"/>
  <c r="AF16" i="25234"/>
  <c r="AN16" i="25234"/>
  <c r="AF17" i="25234"/>
  <c r="AN17" i="25234"/>
  <c r="AF18" i="25234"/>
  <c r="AN18" i="25234"/>
  <c r="AF19" i="25234"/>
  <c r="AN19" i="25234"/>
  <c r="AF20" i="25234"/>
  <c r="AN20" i="25234"/>
  <c r="AF21" i="25234"/>
  <c r="AN21" i="25234"/>
  <c r="AF22" i="25234"/>
  <c r="AN22" i="25234"/>
  <c r="AF23" i="25234"/>
  <c r="AN23" i="25234"/>
  <c r="AF24" i="25234"/>
  <c r="AN24" i="25234"/>
  <c r="AF25" i="25234"/>
  <c r="AN25" i="25234"/>
  <c r="AF26" i="25234"/>
  <c r="AN26" i="25234"/>
  <c r="AF27" i="25234"/>
  <c r="AN27" i="25234"/>
  <c r="AF28" i="25234"/>
  <c r="AN28" i="25234"/>
  <c r="AF29" i="25234"/>
  <c r="AN29" i="25234"/>
  <c r="AF30" i="25234"/>
  <c r="AN30" i="25234"/>
  <c r="AF31" i="25234"/>
  <c r="AN31" i="25234"/>
  <c r="AF32" i="25234"/>
  <c r="AN32" i="25234"/>
  <c r="AF33" i="25234"/>
  <c r="AN33" i="25234"/>
  <c r="AF34" i="25234"/>
  <c r="AN34" i="25234"/>
  <c r="AF35" i="25234"/>
  <c r="AN35" i="25234"/>
  <c r="AF36" i="25234"/>
  <c r="AN36" i="25234"/>
  <c r="AF37" i="25234"/>
  <c r="AN37" i="25234"/>
  <c r="AF38" i="25234"/>
  <c r="AN38" i="25234"/>
  <c r="AF39" i="25234"/>
  <c r="AN39" i="25234"/>
  <c r="AF40" i="25234"/>
  <c r="AN40" i="25234"/>
  <c r="AF41" i="25234"/>
  <c r="AN41" i="25234"/>
  <c r="AF42" i="25234"/>
  <c r="AN42" i="25234"/>
  <c r="AF43" i="25234"/>
  <c r="AN43" i="25234"/>
  <c r="AF44" i="25234"/>
  <c r="AN44" i="25234"/>
  <c r="AF45" i="25234"/>
  <c r="AN45" i="25234"/>
  <c r="AF46" i="25234"/>
  <c r="AN46" i="25234"/>
  <c r="AF47" i="25234"/>
  <c r="AN47" i="25234"/>
  <c r="AF48" i="25234"/>
  <c r="AN48" i="25234"/>
  <c r="AF49" i="25234"/>
  <c r="AN49" i="25234"/>
  <c r="AF50" i="25234"/>
  <c r="AN50" i="25234"/>
  <c r="AF51" i="25234"/>
  <c r="AN51" i="25234"/>
  <c r="AF52" i="25234"/>
  <c r="AN52" i="25234"/>
  <c r="AF53" i="25234"/>
  <c r="AN53" i="25234"/>
  <c r="AF54" i="25234"/>
  <c r="AN54" i="25234"/>
  <c r="AF55" i="25234"/>
  <c r="AN55" i="25234"/>
  <c r="AF56" i="25234"/>
  <c r="AN56" i="25234"/>
  <c r="AF57" i="25234"/>
  <c r="AN57" i="25234"/>
  <c r="AF58" i="25234"/>
  <c r="AN58" i="25234"/>
  <c r="AF59" i="25234"/>
  <c r="AN59" i="25234"/>
  <c r="AF60" i="25234"/>
  <c r="AN60" i="25234"/>
  <c r="AF61" i="25234"/>
  <c r="AN61" i="25234"/>
  <c r="AF62" i="25234"/>
  <c r="AN62" i="25234"/>
  <c r="AF63" i="25234"/>
  <c r="AN63" i="25234"/>
  <c r="AF64" i="25234"/>
  <c r="AN64" i="25234"/>
  <c r="AF65" i="25234"/>
  <c r="AN65" i="25234"/>
  <c r="AF66" i="25234"/>
  <c r="AN66" i="25234"/>
  <c r="AF67" i="25234"/>
  <c r="AN67" i="25234"/>
  <c r="AF68" i="25234"/>
  <c r="AN68" i="25234"/>
  <c r="AF69" i="25234"/>
  <c r="AN69" i="25234"/>
  <c r="AF70" i="25234"/>
  <c r="AN70" i="25234"/>
  <c r="AF71" i="25234"/>
  <c r="AN71" i="25234"/>
  <c r="AF72" i="25234"/>
  <c r="AN72" i="25234"/>
  <c r="AF73" i="25234"/>
  <c r="AN73" i="25234"/>
  <c r="AF74" i="25234"/>
  <c r="AN74" i="25234"/>
  <c r="AF75" i="25234"/>
  <c r="AN75" i="25234"/>
  <c r="AF76" i="25234"/>
  <c r="AN76" i="25234"/>
  <c r="AF77" i="25234"/>
  <c r="AN77" i="25234"/>
  <c r="AF78" i="25234"/>
  <c r="AN78" i="25234"/>
  <c r="AF79" i="25234"/>
  <c r="AN79" i="25234"/>
  <c r="AF80" i="25234"/>
  <c r="AN80" i="25234"/>
  <c r="AF81" i="25234"/>
  <c r="AN81" i="25234"/>
  <c r="AF82" i="25234"/>
  <c r="AN82" i="25234"/>
  <c r="AF83" i="25234"/>
  <c r="AN83" i="25234"/>
  <c r="AF84" i="25234"/>
  <c r="AN84" i="25234"/>
  <c r="AF85" i="25234"/>
  <c r="AN85" i="25234"/>
  <c r="AF86" i="25234"/>
  <c r="AN86" i="25234"/>
  <c r="AF87" i="25234"/>
  <c r="AN87" i="25234"/>
  <c r="AF88" i="25234"/>
  <c r="AN88" i="25234"/>
  <c r="AF89" i="25234"/>
  <c r="AN89" i="25234"/>
  <c r="AF90" i="25234"/>
  <c r="AN90" i="25234"/>
  <c r="AF91" i="25234"/>
  <c r="AN91" i="25234"/>
  <c r="AF92" i="25234"/>
  <c r="AN92" i="25234"/>
  <c r="AF93" i="25234"/>
  <c r="AN93" i="25234"/>
  <c r="AF94" i="25234"/>
  <c r="AN94" i="25234"/>
  <c r="AF95" i="25234"/>
  <c r="AN95" i="25234"/>
  <c r="AF96" i="25234"/>
  <c r="AN96" i="25234"/>
  <c r="AF97" i="25234"/>
  <c r="AN97" i="25234"/>
  <c r="AF98" i="25234"/>
  <c r="AN98" i="25234"/>
  <c r="AF99" i="25234"/>
  <c r="AN99" i="25234"/>
  <c r="AF100" i="25234"/>
  <c r="AN100" i="25234"/>
  <c r="AF101" i="25234"/>
  <c r="AN101" i="25234"/>
  <c r="AF102" i="25234"/>
  <c r="AN102" i="25234"/>
  <c r="AF103" i="25234"/>
  <c r="AN103" i="25234"/>
  <c r="AF104" i="25234"/>
  <c r="AN104" i="25234"/>
  <c r="AF105" i="25234"/>
  <c r="AN105" i="25234"/>
  <c r="AF106" i="25234"/>
  <c r="AN106" i="25234"/>
  <c r="AF107" i="25234"/>
  <c r="AN107" i="25234"/>
  <c r="AF108" i="25234"/>
  <c r="AN108" i="25234"/>
  <c r="AF109" i="25234"/>
  <c r="AN109" i="25234"/>
  <c r="AF110" i="25234"/>
  <c r="AN110" i="25234"/>
  <c r="AF111" i="25234"/>
  <c r="AN111" i="25234"/>
  <c r="AF112" i="25234"/>
  <c r="AN112" i="25234"/>
  <c r="AF113" i="25234"/>
  <c r="AN113" i="25234"/>
  <c r="AF114" i="25234"/>
  <c r="AN114" i="25234"/>
  <c r="AF115" i="25234"/>
  <c r="AN115" i="25234"/>
  <c r="AF116" i="25234"/>
  <c r="AN116" i="25234"/>
  <c r="AF117" i="25234"/>
  <c r="AN117" i="25234"/>
  <c r="AF118" i="25234"/>
  <c r="AN118" i="25234"/>
  <c r="AF119" i="25234"/>
  <c r="AN119" i="25234"/>
  <c r="AF120" i="25234"/>
  <c r="AN120" i="25234"/>
  <c r="AF121" i="25234"/>
  <c r="AN121" i="25234"/>
  <c r="AF122" i="25234"/>
  <c r="AN122" i="25234"/>
  <c r="AF123" i="25234"/>
  <c r="AN123" i="25234"/>
  <c r="AF124" i="25234"/>
  <c r="AN124" i="25234"/>
  <c r="AF125" i="25234"/>
  <c r="AN125" i="25234"/>
  <c r="AF126" i="25234"/>
  <c r="AN126" i="25234"/>
  <c r="AF127" i="25234"/>
  <c r="AN127" i="25234"/>
  <c r="AF128" i="25234"/>
  <c r="AN128" i="25234"/>
  <c r="AF129" i="25234"/>
  <c r="AN129" i="25234"/>
  <c r="AF130" i="25234"/>
  <c r="AN130" i="25234"/>
  <c r="AF131" i="25234"/>
  <c r="AN131" i="25234"/>
  <c r="AF132" i="25234"/>
  <c r="AN132" i="25234"/>
  <c r="AF133" i="25234"/>
  <c r="AN133" i="25234"/>
  <c r="AF134" i="25234"/>
  <c r="AN134" i="25234"/>
  <c r="AF135" i="25234"/>
  <c r="AN135" i="25234"/>
  <c r="AF136" i="25234"/>
  <c r="AN136" i="25234"/>
  <c r="AF137" i="25234"/>
  <c r="AN137" i="25234"/>
  <c r="AF138" i="25234"/>
  <c r="AN138" i="25234"/>
  <c r="AF139" i="25234"/>
  <c r="AN139" i="25234"/>
  <c r="AF140" i="25234"/>
  <c r="AN140" i="25234"/>
  <c r="AF141" i="25234"/>
  <c r="AN141" i="25234"/>
  <c r="AF142" i="25234"/>
  <c r="AN142" i="25234"/>
  <c r="AF143" i="25234"/>
  <c r="AN143" i="25234"/>
  <c r="AF144" i="25234"/>
  <c r="AN144" i="25234"/>
  <c r="AF145" i="25234"/>
  <c r="AN145" i="25234"/>
  <c r="AF146" i="25234"/>
  <c r="AN146" i="25234"/>
  <c r="AF147" i="25234"/>
  <c r="AN147" i="25234"/>
  <c r="AF148" i="25234"/>
  <c r="AN148" i="25234"/>
  <c r="AF149" i="25234"/>
  <c r="AN149" i="25234"/>
  <c r="AF150" i="25234"/>
  <c r="AN150" i="25234"/>
  <c r="AF151" i="25234"/>
  <c r="AN151" i="25234"/>
  <c r="AF152" i="25234"/>
  <c r="AN152" i="25234"/>
  <c r="AF153" i="25234"/>
  <c r="AN153" i="25234"/>
  <c r="AF154" i="25234"/>
  <c r="AN154" i="25234"/>
  <c r="AF155" i="25234"/>
  <c r="AN155" i="25234"/>
  <c r="AF156" i="25234"/>
  <c r="AN156" i="25234"/>
  <c r="AF157" i="25234"/>
  <c r="AN157" i="25234"/>
  <c r="AF158" i="25234"/>
  <c r="AN158" i="25234"/>
  <c r="AF159" i="25234"/>
  <c r="AN159" i="25234"/>
  <c r="AF160" i="25234"/>
  <c r="AN160" i="25234"/>
  <c r="AF161" i="25234"/>
  <c r="AN161" i="25234"/>
  <c r="AF162" i="25234"/>
  <c r="AN162" i="25234"/>
  <c r="AF163" i="25234"/>
  <c r="AN163" i="25234"/>
  <c r="AF164" i="25234"/>
  <c r="AN164" i="25234"/>
  <c r="AF165" i="25234"/>
  <c r="AN165" i="25234"/>
  <c r="AF166" i="25234"/>
  <c r="AN166" i="25234"/>
  <c r="AF167" i="25234"/>
  <c r="AN167" i="25234"/>
  <c r="AF168" i="25234"/>
  <c r="AN168" i="25234"/>
  <c r="AF169" i="25234"/>
  <c r="AN169" i="25234"/>
  <c r="AF170" i="25234"/>
  <c r="AN170" i="25234"/>
  <c r="AF171" i="25234"/>
  <c r="AN171" i="25234"/>
  <c r="AF172" i="25234"/>
  <c r="AN172" i="25234"/>
  <c r="AF173" i="25234"/>
  <c r="AN173" i="25234"/>
  <c r="AF174" i="25234"/>
  <c r="AN174" i="25234"/>
  <c r="AF175" i="25234"/>
  <c r="AN175" i="25234"/>
  <c r="AF176" i="25234"/>
  <c r="AN176" i="25234"/>
  <c r="AF177" i="25234"/>
  <c r="AN177" i="25234"/>
  <c r="AF178" i="25234"/>
  <c r="AN178" i="25234"/>
  <c r="AF179" i="25234"/>
  <c r="AN179" i="25234"/>
  <c r="AF180" i="25234"/>
  <c r="AN180" i="25234"/>
  <c r="AF181" i="25234"/>
  <c r="AN181" i="25234"/>
  <c r="AF182" i="25234"/>
  <c r="AN182" i="25234"/>
  <c r="AF183" i="25234"/>
  <c r="AN183" i="25234"/>
  <c r="AF184" i="25234"/>
  <c r="AN184" i="25234"/>
  <c r="AF185" i="25234"/>
  <c r="AN185" i="25234"/>
  <c r="AF186" i="25234"/>
  <c r="AN186" i="25234"/>
  <c r="AF187" i="25234"/>
  <c r="AN187" i="25234"/>
  <c r="AF188" i="25234"/>
  <c r="AN188" i="25234"/>
  <c r="AF189" i="25234"/>
  <c r="AN189" i="25234"/>
  <c r="AF190" i="25234"/>
  <c r="AN190" i="25234"/>
  <c r="AF191" i="25234"/>
  <c r="AN191" i="25234"/>
  <c r="AF192" i="25234"/>
  <c r="AN192" i="25234"/>
  <c r="AF193" i="25234"/>
  <c r="AN193" i="25234"/>
  <c r="AF194" i="25234"/>
  <c r="AN194" i="25234"/>
  <c r="AF195" i="25234"/>
  <c r="AN195" i="25234"/>
  <c r="AF196" i="25234"/>
  <c r="AN196" i="25234"/>
  <c r="AF197" i="25234"/>
  <c r="AN197" i="25234"/>
  <c r="AF198" i="25234"/>
  <c r="AN198" i="25234"/>
  <c r="AF199" i="25234"/>
  <c r="AN199" i="25234"/>
  <c r="AF200" i="25234"/>
  <c r="AN200" i="25234"/>
  <c r="AF201" i="25234"/>
  <c r="AN201" i="25234"/>
  <c r="AF202" i="25234"/>
  <c r="AN202" i="25234"/>
  <c r="AF203" i="25234"/>
  <c r="AN203" i="25234"/>
  <c r="AF204" i="25234"/>
  <c r="AN204" i="25234"/>
  <c r="AF205" i="25234"/>
  <c r="AN205" i="25234"/>
  <c r="AF206" i="25234"/>
  <c r="AN206" i="25234"/>
  <c r="AF207" i="25234"/>
  <c r="AN207" i="25234"/>
  <c r="AF208" i="25234"/>
  <c r="AN208" i="25234"/>
  <c r="AF209" i="25234"/>
  <c r="AN209" i="25234"/>
  <c r="AF210" i="25234"/>
  <c r="AN210" i="25234"/>
  <c r="AF211" i="25234"/>
  <c r="AN211" i="25234"/>
  <c r="AF212" i="25234"/>
  <c r="AN212" i="25234"/>
  <c r="AF213" i="25234"/>
  <c r="AN213" i="25234"/>
  <c r="AF214" i="25234"/>
  <c r="AN214" i="25234"/>
  <c r="AF215" i="25234"/>
  <c r="AN215" i="25234"/>
  <c r="AF216" i="25234"/>
  <c r="AN216" i="25234"/>
  <c r="AF217" i="25234"/>
  <c r="AN217" i="25234"/>
  <c r="AF218" i="25234"/>
  <c r="AN218" i="25234"/>
  <c r="AF219" i="25234"/>
  <c r="AN219" i="25234"/>
  <c r="AF220" i="25234"/>
  <c r="AN220" i="25234"/>
  <c r="AF221" i="25234"/>
  <c r="AN221" i="25234"/>
  <c r="AF222" i="25234"/>
  <c r="AN222" i="25234"/>
  <c r="AF223" i="25234"/>
  <c r="AN223" i="25234"/>
  <c r="AF224" i="25234"/>
  <c r="AN224" i="25234"/>
  <c r="AF225" i="25234"/>
  <c r="AN225" i="25234"/>
  <c r="AF226" i="25234"/>
  <c r="AN226" i="25234"/>
  <c r="AF227" i="25234"/>
  <c r="AN227" i="25234"/>
  <c r="AF228" i="25234"/>
  <c r="AN228" i="25234"/>
  <c r="AF229" i="25234"/>
  <c r="AN229" i="25234"/>
  <c r="AF230" i="25234"/>
  <c r="AN230" i="25234"/>
  <c r="AF231" i="25234"/>
  <c r="AN231" i="25234"/>
  <c r="AF232" i="25234"/>
  <c r="AN232" i="25234"/>
  <c r="AF233" i="25234"/>
  <c r="AN233" i="25234"/>
  <c r="AF234" i="25234"/>
  <c r="AN234" i="25234"/>
  <c r="AF235" i="25234"/>
  <c r="AN235" i="25234"/>
  <c r="AF236" i="25234"/>
  <c r="AN236" i="25234"/>
  <c r="AF237" i="25234"/>
  <c r="AN237" i="25234"/>
  <c r="AF238" i="25234"/>
  <c r="AN238" i="25234"/>
  <c r="AF239" i="25234"/>
  <c r="AN239" i="25234"/>
  <c r="AF240" i="25234"/>
  <c r="AN240" i="25234"/>
  <c r="AF241" i="25234"/>
  <c r="AN241" i="25234"/>
  <c r="AF242" i="25234"/>
  <c r="AN242" i="25234"/>
  <c r="AF243" i="25234"/>
  <c r="AN243" i="25234"/>
  <c r="AF244" i="25234"/>
  <c r="AN244" i="25234"/>
  <c r="AF245" i="25234"/>
  <c r="AN245" i="25234"/>
  <c r="AF246" i="25234"/>
  <c r="AN246" i="25234"/>
  <c r="AF247" i="25234"/>
  <c r="AN247" i="25234"/>
  <c r="AF248" i="25234"/>
  <c r="AN248" i="25234"/>
  <c r="AF249" i="25234"/>
  <c r="AN249" i="25234"/>
  <c r="AF250" i="25234"/>
  <c r="AN250" i="25234"/>
  <c r="AF251" i="25234"/>
  <c r="AN251" i="25234"/>
  <c r="AF252" i="25234"/>
  <c r="AN252" i="25234"/>
  <c r="AF253" i="25234"/>
  <c r="AN253" i="25234"/>
  <c r="AF254" i="25234"/>
  <c r="AN254" i="25234"/>
  <c r="AF255" i="25234"/>
  <c r="AN255" i="25234"/>
  <c r="AF256" i="25234"/>
  <c r="AN256" i="25234"/>
  <c r="AF257" i="25234"/>
  <c r="AN257" i="25234"/>
  <c r="AF258" i="25234"/>
  <c r="AN258" i="25234"/>
  <c r="AF259" i="25234"/>
  <c r="AN259" i="25234"/>
  <c r="AF260" i="25234"/>
  <c r="AN260" i="25234"/>
  <c r="AF261" i="25234"/>
  <c r="AN261" i="25234"/>
  <c r="AF262" i="25234"/>
  <c r="AN262" i="25234"/>
  <c r="AF263" i="25234"/>
  <c r="AN263" i="25234"/>
  <c r="AF264" i="25234"/>
  <c r="AN264" i="25234"/>
  <c r="AF265" i="25234"/>
  <c r="AN265" i="25234"/>
  <c r="AF266" i="25234"/>
  <c r="AN266" i="25234"/>
  <c r="AF267" i="25234"/>
  <c r="AN267" i="25234"/>
  <c r="AF268" i="25234"/>
  <c r="AN268" i="25234"/>
  <c r="AF269" i="25234"/>
  <c r="AN269" i="25234"/>
  <c r="AF270" i="25234"/>
  <c r="AN270" i="25234"/>
  <c r="AF271" i="25234"/>
  <c r="AN271" i="25234"/>
  <c r="AF272" i="25234"/>
  <c r="AN272" i="25234"/>
  <c r="AF273" i="25234"/>
  <c r="AN273" i="25234"/>
  <c r="AF274" i="25234"/>
  <c r="AN274" i="25234"/>
  <c r="AF275" i="25234"/>
  <c r="AN275" i="25234"/>
  <c r="AF276" i="25234"/>
  <c r="AN276" i="25234"/>
  <c r="AF277" i="25234"/>
  <c r="AN277" i="25234"/>
  <c r="AF278" i="25234"/>
  <c r="AN278" i="25234"/>
  <c r="AF279" i="25234"/>
  <c r="AN279" i="25234"/>
  <c r="AF280" i="25234"/>
  <c r="AN280" i="25234"/>
  <c r="AF281" i="25234"/>
  <c r="AN281" i="25234"/>
  <c r="AF282" i="25234"/>
  <c r="AN282" i="25234"/>
  <c r="AF283" i="25234"/>
  <c r="AN283" i="25234"/>
  <c r="AF284" i="25234"/>
  <c r="AN284" i="25234"/>
  <c r="AF285" i="25234"/>
  <c r="AN285" i="25234"/>
  <c r="AF286" i="25234"/>
  <c r="AN286" i="25234"/>
  <c r="AF287" i="25234"/>
  <c r="AN287" i="25234"/>
  <c r="AF288" i="25234"/>
  <c r="AN288" i="25234"/>
  <c r="AF289" i="25234"/>
  <c r="AN289" i="25234"/>
  <c r="AF290" i="25234"/>
  <c r="AN290" i="25234"/>
  <c r="AF291" i="25234"/>
  <c r="AN291" i="25234"/>
  <c r="AF292" i="25234"/>
  <c r="AN292" i="25234"/>
  <c r="AF293" i="25234"/>
  <c r="AN293" i="25234"/>
  <c r="AF294" i="25234"/>
  <c r="AN294" i="25234"/>
  <c r="AF295" i="25234"/>
  <c r="AN295" i="25234"/>
  <c r="AF296" i="25234"/>
  <c r="AN296" i="25234"/>
  <c r="AF297" i="25234"/>
  <c r="AN297" i="25234"/>
  <c r="AF298" i="25234"/>
  <c r="AN298" i="25234"/>
  <c r="AF299" i="25234"/>
  <c r="AN299" i="25234"/>
  <c r="AF300" i="25234"/>
  <c r="AN300" i="25234"/>
  <c r="AF301" i="25234"/>
  <c r="AN301" i="25234"/>
  <c r="AF302" i="25234"/>
  <c r="AN302" i="25234"/>
  <c r="AF303" i="25234"/>
  <c r="AN303" i="25234"/>
  <c r="AF304" i="25234"/>
  <c r="AN304" i="25234"/>
  <c r="AF305" i="25234"/>
  <c r="AN305" i="25234"/>
  <c r="AF306" i="25234"/>
  <c r="AN306" i="25234"/>
  <c r="AF307" i="25234"/>
  <c r="AN307" i="25234"/>
  <c r="AF308" i="25234"/>
  <c r="AN308" i="25234"/>
  <c r="AF309" i="25234"/>
  <c r="AN309" i="25234"/>
  <c r="AF310" i="25234"/>
  <c r="AN310" i="25234"/>
  <c r="AF311" i="25234"/>
  <c r="AN311" i="25234"/>
  <c r="AF312" i="25234"/>
  <c r="AN312" i="25234"/>
  <c r="AF313" i="25234"/>
  <c r="AN313" i="25234"/>
  <c r="AF314" i="25234"/>
  <c r="AN314" i="25234"/>
  <c r="AF315" i="25234"/>
  <c r="AN315" i="25234"/>
  <c r="AF316" i="25234"/>
  <c r="AN316" i="25234"/>
  <c r="AF317" i="25234"/>
  <c r="AN317" i="25234"/>
  <c r="AF318" i="25234"/>
  <c r="AN318" i="25234"/>
  <c r="AF319" i="25234"/>
  <c r="AN319" i="25234"/>
  <c r="AF320" i="25234"/>
  <c r="AN320" i="25234"/>
  <c r="AF321" i="25234"/>
  <c r="AN321" i="25234"/>
  <c r="AF322" i="25234"/>
  <c r="AN322" i="25234"/>
  <c r="AF323" i="25234"/>
  <c r="AN323" i="25234"/>
  <c r="AF324" i="25234"/>
  <c r="AN324" i="25234"/>
  <c r="AF325" i="25234"/>
  <c r="AN325" i="25234"/>
  <c r="AF326" i="25234"/>
  <c r="AN326" i="25234"/>
  <c r="AF327" i="25234"/>
  <c r="AN327" i="25234"/>
  <c r="AF328" i="25234"/>
  <c r="AN328" i="25234"/>
  <c r="AF329" i="25234"/>
  <c r="AN329" i="25234"/>
  <c r="AF330" i="25234"/>
  <c r="AN330" i="25234"/>
  <c r="AF331" i="25234"/>
  <c r="AN331" i="25234"/>
  <c r="AF332" i="25234"/>
  <c r="AN332" i="25234"/>
  <c r="AF333" i="25234"/>
  <c r="AN333" i="25234"/>
  <c r="AF334" i="25234"/>
  <c r="AN334" i="25234"/>
  <c r="AF335" i="25234"/>
  <c r="AN335" i="25234"/>
  <c r="AF336" i="25234"/>
  <c r="AN336" i="25234"/>
  <c r="AF337" i="25234"/>
  <c r="AN337" i="25234"/>
  <c r="AF338" i="25234"/>
  <c r="AN338" i="25234"/>
  <c r="AF339" i="25234"/>
  <c r="AN339" i="25234"/>
  <c r="AF340" i="25234"/>
  <c r="AN340" i="25234"/>
  <c r="AF341" i="25234"/>
  <c r="AN341" i="25234"/>
  <c r="AF342" i="25234"/>
  <c r="AN342" i="25234"/>
  <c r="AF343" i="25234"/>
  <c r="AN343" i="25234"/>
  <c r="AF344" i="25234"/>
  <c r="AN344" i="25234"/>
  <c r="AF345" i="25234"/>
  <c r="AN345" i="25234"/>
  <c r="AF346" i="25234"/>
  <c r="AN346" i="25234"/>
  <c r="AF347" i="25234"/>
  <c r="AN347" i="25234"/>
  <c r="AF348" i="25234"/>
  <c r="AN348" i="25234"/>
  <c r="AF349" i="25234"/>
  <c r="AN349" i="25234"/>
  <c r="AF350" i="25234"/>
  <c r="AN350" i="25234"/>
  <c r="AF351" i="25234"/>
  <c r="AN351" i="25234"/>
  <c r="AF352" i="25234"/>
  <c r="AN352" i="25234"/>
  <c r="AF353" i="25234"/>
  <c r="AN353" i="25234"/>
  <c r="AF354" i="25234"/>
  <c r="AN354" i="25234"/>
  <c r="AF355" i="25234"/>
  <c r="AN355" i="25234"/>
  <c r="AF356" i="25234"/>
  <c r="AN356" i="25234"/>
  <c r="AF357" i="25234"/>
  <c r="AN357" i="25234"/>
  <c r="AF358" i="25234"/>
  <c r="AN358" i="25234"/>
  <c r="AF359" i="25234"/>
  <c r="AN359" i="25234"/>
  <c r="AF360" i="25234"/>
  <c r="AN360" i="25234"/>
  <c r="AF361" i="25234"/>
  <c r="AN361" i="25234"/>
  <c r="AF362" i="25234"/>
  <c r="AN362" i="25234"/>
  <c r="AF363" i="25234"/>
  <c r="AN363" i="25234"/>
  <c r="AF364" i="25234"/>
  <c r="AN364" i="25234"/>
  <c r="AF365" i="25234"/>
  <c r="AN365" i="25234"/>
  <c r="AF366" i="25234"/>
  <c r="AN366" i="25234"/>
  <c r="AF367" i="25234"/>
  <c r="AN367" i="25234"/>
  <c r="AF368" i="25234"/>
  <c r="AN368" i="25234"/>
  <c r="AF369" i="25234"/>
  <c r="AN369" i="25234"/>
  <c r="AF370" i="25234"/>
  <c r="AN370" i="25234"/>
  <c r="AF371" i="25234"/>
  <c r="AN371" i="25234"/>
  <c r="AF372" i="25234"/>
  <c r="AN372" i="25234"/>
  <c r="AF373" i="25234"/>
  <c r="AN373" i="25234"/>
  <c r="AF374" i="25234"/>
  <c r="AN374" i="25234"/>
  <c r="AF375" i="25234"/>
  <c r="AN375" i="25234"/>
  <c r="AF376" i="25234"/>
  <c r="AN376" i="25234"/>
  <c r="AF377" i="25234"/>
  <c r="AN377" i="25234"/>
  <c r="AF378" i="25234"/>
  <c r="AN378" i="25234"/>
  <c r="AF379" i="25234"/>
  <c r="AN379" i="25234"/>
  <c r="AF380" i="25234"/>
  <c r="AN380" i="25234"/>
  <c r="AF381" i="25234"/>
  <c r="AN381" i="25234"/>
  <c r="AF382" i="25234"/>
  <c r="AN382" i="25234"/>
  <c r="AF383" i="25234"/>
  <c r="AN383" i="25234"/>
  <c r="AF384" i="25234"/>
  <c r="AN384" i="25234"/>
  <c r="AF385" i="25234"/>
  <c r="AN385" i="25234"/>
  <c r="AF386" i="25234"/>
  <c r="AN386" i="25234"/>
  <c r="AF387" i="25234"/>
  <c r="AN387" i="25234"/>
  <c r="AF388" i="25234"/>
  <c r="AN388" i="25234"/>
  <c r="AF389" i="25234"/>
  <c r="AN389" i="25234"/>
  <c r="AF390" i="25234"/>
  <c r="AN390" i="25234"/>
  <c r="AF391" i="25234"/>
  <c r="AN391" i="25234"/>
  <c r="AF392" i="25234"/>
  <c r="AN392" i="25234"/>
  <c r="AF393" i="25234"/>
  <c r="AN393" i="25234"/>
  <c r="AF394" i="25234"/>
  <c r="AN394" i="252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  <author>Christine POTIER</author>
    <author>tc={F1E55C4D-B8B9-43FD-9FE4-9A24696C8736}</author>
    <author>tc={FEBC486F-D6A0-44AE-8E6B-DE6E75DE30F5}</author>
    <author>tc={6310AB58-0D95-4E89-8642-BF398DFE40DD}</author>
    <author>tc={43532B8D-914C-44A9-AC5E-9D30B2101AD5}</author>
    <author>tc={00FEE4A7-4AEC-4E56-8169-582E3B543E6B}</author>
    <author>tc={27625149-4B13-476E-98CC-B64934752ECF}</author>
    <author>tc={7F71E3F4-074F-42E8-89BF-E436114A1FC0}</author>
    <author>tc={0D1E86E7-94D4-4FAF-8A81-B8F535F862B3}</author>
    <author>tc={F3700A54-9052-4D9D-AF9C-9099D277E22C}</author>
    <author>tc={BA839698-A3A0-4AA5-97BA-BE1E05B321C8}</author>
    <author>tc={03DF0EF2-ECDA-4CA4-ABC2-D8F3A709E47B}</author>
    <author>tc={5A2E8C82-A158-4640-8745-E51300C2F6D4}</author>
    <author>tc={7C35C6B2-9811-494D-9782-C863036D6704}</author>
    <author>tc={6B0E2C76-6272-41CA-8B93-14CC481C5CA0}</author>
    <author>tc={9C116FC1-167E-40C6-9025-8CE19033B6F1}</author>
    <author>tc={88894846-C256-423C-B9E6-225B3BB23971}</author>
    <author>tc={4404C4A1-77F9-4D73-8A2F-335C61245276}</author>
    <author>tc={002B8171-E250-4976-90F3-D423A3B6D75B}</author>
    <author>tc={3239A396-D21A-42AD-8FA8-D950C1C4793C}</author>
    <author>tc={FD8042F1-5FC7-4D14-B42F-950D3804B4E8}</author>
    <author>tc={6A5026BF-B724-49EB-BC0A-BA844A026A2C}</author>
    <author>tc={3EDB011C-6002-4599-B2FE-B4128B233AC3}</author>
    <author>tc={DADE7F2E-E779-4309-A302-D6423FCAC9F5}</author>
    <author>tc={8C300144-1BB9-4CCE-8749-391C07E0E540}</author>
    <author>tc={1FE73DBD-8C6B-4A32-89BF-23F15F3C41C1}</author>
  </authors>
  <commentList>
    <comment ref="M6" authorId="0" shapeId="0" xr:uid="{00000000-0006-0000-0100-000001000000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  <comment ref="I164" authorId="1" shapeId="0" xr:uid="{00000000-0006-0000-0100-000002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anomalie requalifiée en REC le 29/04/15</t>
        </r>
      </text>
    </comment>
    <comment ref="I183" authorId="1" shapeId="0" xr:uid="{00000000-0006-0000-0100-000003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Dysf fnr requalifié en REC le 9/10/15</t>
        </r>
      </text>
    </comment>
    <comment ref="R261" authorId="1" shapeId="0" xr:uid="{00000000-0006-0000-0100-000004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modifié suite réunion du 02/02/17
</t>
        </r>
      </text>
    </comment>
    <comment ref="AD263" authorId="1" shapeId="0" xr:uid="{00000000-0006-0000-0100-000005000000}">
      <text>
        <r>
          <rPr>
            <b/>
            <sz val="9"/>
            <rFont val="Tahoma"/>
            <family val="2"/>
          </rPr>
          <t>Christine POTIER: client a décalé visite expert.</t>
        </r>
        <r>
          <rPr>
            <sz val="9"/>
            <rFont val="Tahoma"/>
            <family val="2"/>
          </rPr>
          <t xml:space="preserve">
</t>
        </r>
      </text>
    </comment>
    <comment ref="G276" authorId="1" shapeId="0" xr:uid="{00000000-0006-0000-0100-000006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Dysfonctionnement Frn requalifié en réclamation le 22/03/17</t>
        </r>
      </text>
    </comment>
    <comment ref="H276" authorId="1" shapeId="0" xr:uid="{00000000-0006-0000-0100-000007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modification frn incriminé : Valorel en lieu et place de Grayel</t>
        </r>
      </text>
    </comment>
    <comment ref="R285" authorId="1" shapeId="0" xr:uid="{00000000-0006-0000-0100-000008000000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Method au lieu de Material suite analyse approfondie.</t>
        </r>
      </text>
    </comment>
    <comment ref="AD288" authorId="1" shapeId="0" xr:uid="{00000000-0006-0000-0100-000009000000}">
      <text>
        <r>
          <rPr>
            <b/>
            <sz val="9"/>
            <color indexed="81"/>
            <rFont val="Tahoma"/>
            <family val="2"/>
            <charset val="134"/>
          </rPr>
          <t>Christine POTIER:</t>
        </r>
        <r>
          <rPr>
            <sz val="9"/>
            <color indexed="81"/>
            <rFont val="Tahoma"/>
            <family val="2"/>
            <charset val="134"/>
          </rPr>
          <t xml:space="preserve">
report 01/18 pour statuer à la clôture du projet</t>
        </r>
      </text>
    </comment>
    <comment ref="AH293" authorId="2" shapeId="0" xr:uid="{00000000-0006-0000-01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MàJ le 05/07/21 avec bad debt de 166 K€ à la demande de DBR (2000 mbres)</t>
      </text>
    </comment>
    <comment ref="R300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 MO en matière </t>
        </r>
      </text>
    </comment>
    <comment ref="R301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CPT, méthode en matiere</t>
        </r>
      </text>
    </comment>
    <comment ref="R302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CPT, méthode en matière</t>
        </r>
      </text>
    </comment>
    <comment ref="I331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Anomalie requalifiée en REC le 14/05 suite FNC émise par GOI</t>
        </r>
      </text>
    </comment>
    <comment ref="I350" authorId="1" shapeId="0" xr:uid="{00000000-0006-0000-0100-00000F000000}">
      <text>
        <r>
          <rPr>
            <b/>
            <sz val="9"/>
            <color indexed="81"/>
            <rFont val="Tahoma"/>
            <family val="2"/>
            <charset val="134"/>
          </rPr>
          <t>Christine POTIER:</t>
        </r>
        <r>
          <rPr>
            <sz val="9"/>
            <color indexed="81"/>
            <rFont val="Tahoma"/>
            <family val="2"/>
            <charset val="134"/>
          </rPr>
          <t xml:space="preserve">
requalifié en claim le 23/10/18.</t>
        </r>
      </text>
    </comment>
    <comment ref="AD447" authorId="3" shapeId="0" xr:uid="{00000000-0006-0000-01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Attente date d'ouverture TP possible par Téréos et si nécessité d'expertise par SUEZ. Au 26/07 : Suez souhaite un retour mbre pour expertise, délai + long.</t>
      </text>
    </comment>
    <comment ref="X449" authorId="4" shapeId="0" xr:uid="{00000000-0006-0000-01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Vu avec Monica le 8/07</t>
      </text>
    </comment>
    <comment ref="AD451" authorId="5" shapeId="0" xr:uid="{43532B8D-914C-44A9-AC5E-9D30B2101AD5}">
      <text>
        <t>[Threaded comment]
Your version of Excel allows you to read this threaded comment; however, any edits to it will get removed if the file is opened in a newer version of Excel. Learn more: https://go.microsoft.com/fwlink/?linkid=870924
Comment:
    6 mois de fabrication des 3 colonnes à réception cde par Gree. Négociation prix en cours.</t>
      </text>
    </comment>
    <comment ref="G453" authorId="6" shapeId="0" xr:uid="{00000000-0006-0000-01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CNQ (bad debt 166 K€) already impute on CAP17033 the 05/07/2021.</t>
      </text>
    </comment>
    <comment ref="AD454" authorId="7" shapeId="0" xr:uid="{00000000-0006-0000-01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short to solve the pb.
Reply:
    i put 6 months</t>
      </text>
    </comment>
    <comment ref="AD469" authorId="8" shapeId="0" xr:uid="{7F71E3F4-074F-42E8-89BF-E436114A1FC0}">
      <text>
        <t>[Threaded comment]
Your version of Excel allows you to read this threaded comment; however, any edits to it will get removed if the file is opened in a newer version of Excel. Learn more: https://go.microsoft.com/fwlink/?linkid=870924
Comment:
    dépend si expertise par Suez des 2 élt NF</t>
      </text>
    </comment>
    <comment ref="I481" authorId="9" shapeId="0" xr:uid="{0D1E86E7-94D4-4FAF-8A81-B8F535F862B3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ouverte en NC prodt en Mars et requalifié en REC en Mai par NVSA
Reply:
    Maintien de la CAP ouverte (cf mail erratum du 13/06/22)</t>
      </text>
    </comment>
    <comment ref="AB490" authorId="10" shapeId="0" xr:uid="{F3700A54-9052-4D9D-AF9C-9099D277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Insatisfaction orale durant réunion CLE/CJ du 10/05/22</t>
      </text>
    </comment>
    <comment ref="AC490" authorId="11" shapeId="0" xr:uid="{BA839698-A3A0-4AA5-97BA-BE1E05B321C8}">
      <text>
        <t>[Threaded comment]
Your version of Excel allows you to read this threaded comment; however, any edits to it will get removed if the file is opened in a newer version of Excel. Learn more: https://go.microsoft.com/fwlink/?linkid=870924
Comment:
    AR/prise en compte de l'insatisfaction orale durant la réunion proprement dîte par CLE</t>
      </text>
    </comment>
    <comment ref="AD520" authorId="12" shapeId="0" xr:uid="{03DF0EF2-ECDA-4CA4-ABC2-D8F3A709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SGU</t>
      </text>
    </comment>
    <comment ref="AD526" authorId="13" shapeId="0" xr:uid="{5A2E8C82-A158-4640-8745-E51300C2F6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Pb client pour retour filtre poche abîmé </t>
      </text>
    </comment>
    <comment ref="AD535" authorId="14" shapeId="0" xr:uid="{7C35C6B2-9811-494D-9782-C863036D6704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SGU, pb complexe, dépend CTI, suite PA du 16/05/23 : 31/12/23</t>
      </text>
    </comment>
    <comment ref="AD543" authorId="15" shapeId="0" xr:uid="{6B0E2C76-6272-41CA-8B93-14CC481C5CA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semaines après cde vannes régul, devis tjrs en attente</t>
      </text>
    </comment>
    <comment ref="AD544" authorId="16" shapeId="0" xr:uid="{9C116FC1-167E-40C6-9025-8CE19033B6F1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Attente résultats des échantillons en cours de test dans colonne pour valider date de clôture</t>
      </text>
    </comment>
    <comment ref="AD551" authorId="17" shapeId="0" xr:uid="{88894846-C256-423C-B9E6-225B3BB239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Postpone from client : mail ALI "client haven’t asked us for delivery till now, probably will happen in one or two months"
</t>
      </text>
    </comment>
    <comment ref="AD553" authorId="18" shapeId="0" xr:uid="{4404C4A1-77F9-4D73-8A2F-335C61245276}">
      <text>
        <t>[Threaded comment]
Your version of Excel allows you to read this threaded comment; however, any edits to it will get removed if the file is opened in a newer version of Excel. Learn more: https://go.microsoft.com/fwlink/?linkid=870924
Comment:
    Dépendra du résultat des étapes 2 et 3 du plan d'action en cours, à redéfinir à l'issue</t>
      </text>
    </comment>
    <comment ref="AH561" authorId="19" shapeId="0" xr:uid="{002B8171-E250-4976-90F3-D423A3B6D7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Mail XRO du 17/06/24 : Sur Via separation, nous venons de faire une Credit Note au client de 46 kUSD, à rajouter aux coût NQ
</t>
      </text>
    </comment>
    <comment ref="AD572" authorId="20" shapeId="0" xr:uid="{3239A396-D21A-42AD-8FA8-D950C1C4793C}">
      <text>
        <t>[Threaded comment]
Your version of Excel allows you to read this threaded comment; however, any edits to it will get removed if the file is opened in a newer version of Excel. Learn more: https://go.microsoft.com/fwlink/?linkid=870924
Comment:
    Lié au fait que Prolactal passe une nouvelle cde, pourra être réajuster en fonction.</t>
      </text>
    </comment>
    <comment ref="AD576" authorId="21" shapeId="0" xr:uid="{FD8042F1-5FC7-4D14-B42F-950D3804B4E8}">
      <text>
        <t>[Threaded comment]
Your version of Excel allows you to read this threaded comment; however, any edits to it will get removed if the file is opened in a newer version of Excel. Learn more: https://go.microsoft.com/fwlink/?linkid=870924
Comment:
    Lié à la remise de doc EN manquante par CTI</t>
      </text>
    </comment>
    <comment ref="AD577" authorId="22" shapeId="0" xr:uid="{6A5026BF-B724-49EB-BC0A-BA844A026A2C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confirmer selon négo avec KSB.</t>
      </text>
    </comment>
    <comment ref="AD580" authorId="23" shapeId="0" xr:uid="{3EDB011C-6002-4599-B2FE-B4128B233AC3}">
      <text>
        <t>[Threaded comment]
Your version of Excel allows you to read this threaded comment; however, any edits to it will get removed if the file is opened in a newer version of Excel. Learn more: https://go.microsoft.com/fwlink/?linkid=870924
Comment:
    A réajuster en fonction info Casa Grande et retour résines pour analyse</t>
      </text>
    </comment>
    <comment ref="AK580" authorId="24" shapeId="0" xr:uid="{DADE7F2E-E779-4309-A302-D6423FCAC9F5}">
      <text>
        <t>[Threaded comment]
Your version of Excel allows you to read this threaded comment; however, any edits to it will get removed if the file is opened in a newer version of Excel. Learn more: https://go.microsoft.com/fwlink/?linkid=870924
Comment:
    Après réception et mise en service nvelle cde résine</t>
      </text>
    </comment>
    <comment ref="AD581" authorId="25" shapeId="0" xr:uid="{8C300144-1BB9-4CCE-8749-391C07E0E540}">
      <text>
        <t>[Threaded comment]
Your version of Excel allows you to read this threaded comment; however, any edits to it will get removed if the file is opened in a newer version of Excel. Learn more: https://go.microsoft.com/fwlink/?linkid=870924
Comment:
    A réajuster en fonction négo avec Bray et délai d'appro</t>
      </text>
    </comment>
    <comment ref="AD583" authorId="26" shapeId="0" xr:uid="{1FE73DBD-8C6B-4A32-89BF-23F15F3C41C1}">
      <text>
        <t>[Threaded comment]
Your version of Excel allows you to read this threaded comment; however, any edits to it will get removed if the file is opened in a newer version of Excel. Learn more: https://go.microsoft.com/fwlink/?linkid=870924
Comment:
    À valider selon retour CTI, besoin d'échantillon ou pas, et actions à engager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  <author>tc={6ACB01E5-CF01-42E2-9D0B-05814DDBCA30}</author>
  </authors>
  <commentList>
    <comment ref="K2" authorId="0" shapeId="0" xr:uid="{1305422A-35DF-40E5-B935-CE8FB8BCE64F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  <comment ref="H5" authorId="1" shapeId="0" xr:uid="{6ACB01E5-CF01-42E2-9D0B-05814DDBCA3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ouverte en NC prodt en Mars et requalifié en REC en Mai par NVSA
Reply:
    Maintien de la CAP ouverte (cf mail erratum du 13/06/22)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</authors>
  <commentList>
    <comment ref="K2" authorId="0" shapeId="0" xr:uid="{457FB201-BAD0-446F-923A-F1BC74463FF0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</commentList>
</comments>
</file>

<file path=xl/sharedStrings.xml><?xml version="1.0" encoding="utf-8"?>
<sst xmlns="http://schemas.openxmlformats.org/spreadsheetml/2006/main" count="9461" uniqueCount="2217">
  <si>
    <t>SMB/ NVSA</t>
  </si>
  <si>
    <t>Scope</t>
  </si>
  <si>
    <t>5M</t>
  </si>
  <si>
    <t>YES/NO</t>
  </si>
  <si>
    <t>SMB</t>
  </si>
  <si>
    <t>Claim</t>
  </si>
  <si>
    <t>YES</t>
  </si>
  <si>
    <t>ED</t>
  </si>
  <si>
    <t>NVSA</t>
  </si>
  <si>
    <t>Method / Méthode</t>
  </si>
  <si>
    <t>NO</t>
  </si>
  <si>
    <t>SSMB</t>
  </si>
  <si>
    <t>Environment / Milieu</t>
  </si>
  <si>
    <t>IEX</t>
  </si>
  <si>
    <t>Pdt unconformity</t>
  </si>
  <si>
    <t>Manpower / Main d'œuvre</t>
  </si>
  <si>
    <t>MF/UF</t>
  </si>
  <si>
    <t>Prevent / improve</t>
  </si>
  <si>
    <t>NF</t>
  </si>
  <si>
    <t>OI</t>
  </si>
  <si>
    <t>EVAPO</t>
  </si>
  <si>
    <t>CA</t>
  </si>
  <si>
    <t>Project Nr</t>
  </si>
  <si>
    <t>Wrong choice of flowmeter technology</t>
  </si>
  <si>
    <t>Sheet pump quotation vs customer URS</t>
  </si>
  <si>
    <t>Rust on IEX columns</t>
  </si>
  <si>
    <t>CAP TYPE</t>
  </si>
  <si>
    <t>Recording
 Date</t>
  </si>
  <si>
    <t>Cust. Sce</t>
  </si>
  <si>
    <t>SYSTEMS</t>
  </si>
  <si>
    <t>Fichier</t>
  </si>
  <si>
    <t>CAP Nr</t>
  </si>
  <si>
    <t>Issuer</t>
  </si>
  <si>
    <t>Dpt</t>
  </si>
  <si>
    <t>Customer</t>
  </si>
  <si>
    <t>Supplier</t>
  </si>
  <si>
    <t>Recuring</t>
  </si>
  <si>
    <t>Compt Nr</t>
  </si>
  <si>
    <t>Techno*</t>
  </si>
  <si>
    <t>Description</t>
  </si>
  <si>
    <t>Process</t>
  </si>
  <si>
    <t>Step of Process</t>
  </si>
  <si>
    <t>7M</t>
  </si>
  <si>
    <t>OE Tool</t>
  </si>
  <si>
    <t>Supplier litigation</t>
  </si>
  <si>
    <t>Enlarged 
Treatment</t>
  </si>
  <si>
    <t>Leader</t>
  </si>
  <si>
    <t>Action plan definition date</t>
  </si>
  <si>
    <t>Est. 
closure date</t>
  </si>
  <si>
    <t>Closure Date</t>
  </si>
  <si>
    <t>Closed under
3 months</t>
  </si>
  <si>
    <t>Claim Date</t>
  </si>
  <si>
    <t>Cust. Information Date</t>
  </si>
  <si>
    <t>Acting Plan est. 
Closure date</t>
  </si>
  <si>
    <t>Date of acting 
plan closure</t>
  </si>
  <si>
    <t>closed 
in delay?</t>
  </si>
  <si>
    <t>Hours (€)</t>
  </si>
  <si>
    <t>Eqmt (€)</t>
  </si>
  <si>
    <t>TOTAL (€)</t>
  </si>
  <si>
    <t>Efficient
Action ?</t>
  </si>
  <si>
    <t>Date of effic. 
measure</t>
  </si>
  <si>
    <t>Comments</t>
  </si>
  <si>
    <t>CAP_label</t>
  </si>
  <si>
    <t>Label_CODIR</t>
  </si>
  <si>
    <t>CAP Sheets Follow up</t>
  </si>
  <si>
    <t>Project</t>
  </si>
  <si>
    <t>Cause Study</t>
  </si>
  <si>
    <t>Action Plan</t>
  </si>
  <si>
    <t>NQ Costs</t>
  </si>
  <si>
    <t>1st step</t>
  </si>
  <si>
    <t>ENLARGED TREATMENT</t>
  </si>
  <si>
    <t>CLOSURE</t>
  </si>
  <si>
    <t>CLAIM</t>
  </si>
  <si>
    <t>EFFICIENCY</t>
  </si>
  <si>
    <t>1st action 
planned date</t>
  </si>
  <si>
    <t>xxxxx</t>
  </si>
  <si>
    <t>JPV</t>
  </si>
  <si>
    <t xml:space="preserve">INDENA </t>
  </si>
  <si>
    <t>Pilote K07.04</t>
  </si>
  <si>
    <t>Commande</t>
  </si>
  <si>
    <t>PPD Process</t>
  </si>
  <si>
    <t>Pilot</t>
  </si>
  <si>
    <t>EWI</t>
  </si>
  <si>
    <t>Beldem</t>
  </si>
  <si>
    <t>10.7248</t>
  </si>
  <si>
    <t>Casses mécaniques / Performances</t>
  </si>
  <si>
    <t>I&amp;R process</t>
  </si>
  <si>
    <t>Equipment / Matériel</t>
  </si>
  <si>
    <t>CJ Liaocheng GMP</t>
  </si>
  <si>
    <t>10.7382</t>
  </si>
  <si>
    <t xml:space="preserve"> Performances</t>
  </si>
  <si>
    <t>LPR</t>
  </si>
  <si>
    <t>OTIME</t>
  </si>
  <si>
    <t>10.6903</t>
  </si>
  <si>
    <t>Mauvais positionnement des clarinettes skid UF/MF</t>
  </si>
  <si>
    <t>FCA</t>
  </si>
  <si>
    <t>Parry India</t>
  </si>
  <si>
    <t>10.6682</t>
  </si>
  <si>
    <t>Débit mètre diafiltration sous air, en défaut</t>
  </si>
  <si>
    <t>PBO</t>
  </si>
  <si>
    <t>Roquette Lestrem/CTI</t>
  </si>
  <si>
    <t>CV-1103-0008</t>
  </si>
  <si>
    <t>Diamètre membrane hors spec</t>
  </si>
  <si>
    <t>After sales process</t>
  </si>
  <si>
    <t>ARD</t>
  </si>
  <si>
    <t>Pilote O-01</t>
  </si>
  <si>
    <t>Oubli envoi pièces / Pilotage</t>
  </si>
  <si>
    <t>De Smet</t>
  </si>
  <si>
    <t>10.7410</t>
  </si>
  <si>
    <t>Oubli commande rotamètre</t>
  </si>
  <si>
    <t>GTH</t>
  </si>
  <si>
    <t>FACEO</t>
  </si>
  <si>
    <t>EN2683</t>
  </si>
  <si>
    <t>Coupure électricité/Arrêt gpe froid/Chambre froide</t>
  </si>
  <si>
    <t>FACEO / E2MI</t>
  </si>
  <si>
    <t>Perçage cuve par chariot élévateur</t>
  </si>
  <si>
    <t>SMR</t>
  </si>
  <si>
    <t>CJ Indonesia-PROSEL 2</t>
  </si>
  <si>
    <t>10.8042</t>
  </si>
  <si>
    <t xml:space="preserve">Griffes for modules have not been ordered </t>
  </si>
  <si>
    <t>SOV</t>
  </si>
  <si>
    <t>JOHNSON</t>
  </si>
  <si>
    <t>10.7748</t>
  </si>
  <si>
    <t>Diamètre crépines pas respecté / plans</t>
  </si>
  <si>
    <t>IANSA</t>
  </si>
  <si>
    <t>Vérif plans / Diamètre externe de tige</t>
  </si>
  <si>
    <t>Vérification plans / connexion des soupapes</t>
  </si>
  <si>
    <t>IANSA / VAPOR INDUSTRIAL</t>
  </si>
  <si>
    <t>Pb orientation axiale fond colonne / Tuyauterie</t>
  </si>
  <si>
    <t>DCI</t>
  </si>
  <si>
    <t>Mantequerias Arias</t>
  </si>
  <si>
    <t>CV-1107-0056</t>
  </si>
  <si>
    <t>Casse mbne nette longitudinale</t>
  </si>
  <si>
    <t>DBA/DCI</t>
  </si>
  <si>
    <t>GARDOVIAL</t>
  </si>
  <si>
    <t>10.6163</t>
  </si>
  <si>
    <t>Pb de coloration / moût de raisin</t>
  </si>
  <si>
    <t>FRIENDLINK</t>
  </si>
  <si>
    <t>CRANE valves sold to NVS by FRIENDLINK</t>
  </si>
  <si>
    <t>MERSEN XIANDA</t>
  </si>
  <si>
    <t>10.8166</t>
  </si>
  <si>
    <t>Wrong size of gaskets manhole</t>
  </si>
  <si>
    <t>CJ Liaocheng Lysine</t>
  </si>
  <si>
    <t>10.8121</t>
  </si>
  <si>
    <t>Flange corrosion</t>
  </si>
  <si>
    <t>Material / Matière</t>
  </si>
  <si>
    <t>HPI</t>
  </si>
  <si>
    <t>LIVIC</t>
  </si>
  <si>
    <t>Scrapped filter does not work</t>
  </si>
  <si>
    <t>ELO</t>
  </si>
  <si>
    <t>TEREOS SYRAL / GE WATER</t>
  </si>
  <si>
    <t>CV-1107-0012</t>
  </si>
  <si>
    <t>Retard livraison</t>
  </si>
  <si>
    <t>CHP</t>
  </si>
  <si>
    <t>Scecs internes SMB</t>
  </si>
  <si>
    <t>PTT</t>
  </si>
  <si>
    <t>Mise en œuvre PTT</t>
  </si>
  <si>
    <t>Order acquirement process</t>
  </si>
  <si>
    <t>CV-1103-0058</t>
  </si>
  <si>
    <t>performance rétention / Tube perméat hors spec</t>
  </si>
  <si>
    <t>DBA</t>
  </si>
  <si>
    <t>Great Ocean Ingredients</t>
  </si>
  <si>
    <t>10.6760</t>
  </si>
  <si>
    <t>Etanchéité ramification réseau / Déformation réseau</t>
  </si>
  <si>
    <t>IER</t>
  </si>
  <si>
    <t>SMR/DBA</t>
  </si>
  <si>
    <t>BENEO ORAFTI</t>
  </si>
  <si>
    <t>10.6954</t>
  </si>
  <si>
    <t>Déformation réseau</t>
  </si>
  <si>
    <t>Finorga</t>
  </si>
  <si>
    <t>Pilote NOI-02</t>
  </si>
  <si>
    <t>Pompe Pilote alimentation fuyarde</t>
  </si>
  <si>
    <t>FRU</t>
  </si>
  <si>
    <t>ILLOVO</t>
  </si>
  <si>
    <t>10.5815</t>
  </si>
  <si>
    <t>Cales pour mbres NF non commandées ou non livrées</t>
  </si>
  <si>
    <t>Purchase</t>
  </si>
  <si>
    <t>JNJ</t>
  </si>
  <si>
    <t>Doc AQ 6.1 rev 9</t>
  </si>
  <si>
    <t>OTIME / DANISCO</t>
  </si>
  <si>
    <t>10.6506</t>
  </si>
  <si>
    <t>Tenue en pression / note de calcul</t>
  </si>
  <si>
    <t>LDU</t>
  </si>
  <si>
    <t>DANISCO</t>
  </si>
  <si>
    <t>Mise à jour / plan guide PG06</t>
  </si>
  <si>
    <t>OTIME / ORAFTI CHILI</t>
  </si>
  <si>
    <t>10.7965</t>
  </si>
  <si>
    <t xml:space="preserve"> Oubli Fabrication pièces</t>
  </si>
  <si>
    <t>DONGYAO / CTI</t>
  </si>
  <si>
    <t>10.8041</t>
  </si>
  <si>
    <t>Extrémitées membranes ébréchées</t>
  </si>
  <si>
    <t>LTR</t>
  </si>
  <si>
    <t>TTCA / SPA</t>
  </si>
  <si>
    <t>Corrosion piping rubber-lining</t>
  </si>
  <si>
    <t>Material / Matière modifié  en matériel le 20/03/12 selon nvelle déf JCR</t>
  </si>
  <si>
    <t>TEB</t>
  </si>
  <si>
    <t>RENNOVIA</t>
  </si>
  <si>
    <t>EN2712</t>
  </si>
  <si>
    <t>Projection acide</t>
  </si>
  <si>
    <t>CJ L5 LIAOCHENG / KSB</t>
  </si>
  <si>
    <t>10.8168</t>
  </si>
  <si>
    <t>Leakage mechanical sealings pumps</t>
  </si>
  <si>
    <t>Material / Matière modifié  en matériel le 13/03/12 selon nvelle déf JCR</t>
  </si>
  <si>
    <t>SCENTS / SULZER</t>
  </si>
  <si>
    <t>10.8199</t>
  </si>
  <si>
    <t>CCA</t>
  </si>
  <si>
    <t>CJ Shenyang</t>
  </si>
  <si>
    <t>10.8399</t>
  </si>
  <si>
    <t>Forgotten specification &amp; order for material</t>
  </si>
  <si>
    <t>COSUMAR / ACDN</t>
  </si>
  <si>
    <t>10.8053</t>
  </si>
  <si>
    <t>Ecart entre notre plan 3D et les tuyauteries fabriquées</t>
  </si>
  <si>
    <t>NLA</t>
  </si>
  <si>
    <t>CARGILL TURQUIE</t>
  </si>
  <si>
    <t>10.8825</t>
  </si>
  <si>
    <t>Dimensionnement viroles et oubli soupapes de sécurité au budget</t>
  </si>
  <si>
    <t>Acquisition de Cde</t>
  </si>
  <si>
    <t>CHP - NLA</t>
  </si>
  <si>
    <t>CJ Jombang Indonesia</t>
  </si>
  <si>
    <t>10.8334</t>
  </si>
  <si>
    <t>Conditioning and storage of chinese doc/delayed delivery</t>
  </si>
  <si>
    <t>NPA</t>
  </si>
  <si>
    <t>DANISCO / ONEX</t>
  </si>
  <si>
    <t>Réseaux de Chromato fuyard</t>
  </si>
  <si>
    <t>JMR</t>
  </si>
  <si>
    <t>GOI / GE</t>
  </si>
  <si>
    <t>CV-1007-0072</t>
  </si>
  <si>
    <t>50 Mbre NF moisies</t>
  </si>
  <si>
    <t>CPI</t>
  </si>
  <si>
    <t>Fisher Bioblock Scientific</t>
  </si>
  <si>
    <t>RD 2653</t>
  </si>
  <si>
    <t>Retard Livraison</t>
  </si>
  <si>
    <t>OUEST IMPORT / DIATRANS</t>
  </si>
  <si>
    <t>10.7709/ 10/7839</t>
  </si>
  <si>
    <t>Cde silex non livré</t>
  </si>
  <si>
    <t>ENSIGN / KCH</t>
  </si>
  <si>
    <t>10.8282</t>
  </si>
  <si>
    <t>Leakage on rubber lined pipes</t>
  </si>
  <si>
    <t>Ouverture CAP N° 13009</t>
  </si>
  <si>
    <t>CVO</t>
  </si>
  <si>
    <t>ADM / BRANT</t>
  </si>
  <si>
    <t>10.8590</t>
  </si>
  <si>
    <t>Diameters of holes are too large / nozzles</t>
  </si>
  <si>
    <t>Frisland / LABBE</t>
  </si>
  <si>
    <t>10.8024</t>
  </si>
  <si>
    <t>Hauteur de cellule &lt; cote</t>
  </si>
  <si>
    <t>Frisland / MTCI</t>
  </si>
  <si>
    <t>Montage échangeur à plaque sur skid</t>
  </si>
  <si>
    <t>Material / Matière modifié Manpower / Main d'œuvre le 09/07/12</t>
  </si>
  <si>
    <t>Frisland / Euroslot</t>
  </si>
  <si>
    <t>Etat surface crépines / Retard livraison</t>
  </si>
  <si>
    <t>Meihua 6</t>
  </si>
  <si>
    <t>10.8232</t>
  </si>
  <si>
    <t>Broken Membranes</t>
  </si>
  <si>
    <t>Material / Matière modifié Method le 09/07/12</t>
  </si>
  <si>
    <t>Glory</t>
  </si>
  <si>
    <t>10.8650</t>
  </si>
  <si>
    <t>Non delivery of lock nuts</t>
  </si>
  <si>
    <t>BBS</t>
  </si>
  <si>
    <t>projet STEVIA</t>
  </si>
  <si>
    <t>EN PPD</t>
  </si>
  <si>
    <t>Trouble de la vision œil gauche</t>
  </si>
  <si>
    <t>METIDJI/ACDN/OTIME</t>
  </si>
  <si>
    <t>10.7835</t>
  </si>
  <si>
    <t>Fab tube UB6 collecteur/ Fab et montage tubes de ramification</t>
  </si>
  <si>
    <t>JMR/SOV</t>
  </si>
  <si>
    <t xml:space="preserve">METIDJI </t>
  </si>
  <si>
    <t>Pb fuite clapet+montage / Pb raccord tuyauteries entre brides</t>
  </si>
  <si>
    <t>APS</t>
  </si>
  <si>
    <t>PROLACTAL</t>
  </si>
  <si>
    <t>10.8616</t>
  </si>
  <si>
    <t>Perte de charges/ non atteinte de perfomance</t>
  </si>
  <si>
    <t>APS/CHP</t>
  </si>
  <si>
    <t>SGU</t>
  </si>
  <si>
    <t>GSK Biologicals</t>
  </si>
  <si>
    <t>CV-1204-0014</t>
  </si>
  <si>
    <t>Spec des joints Kalrez / Diamètre de joints trop large</t>
  </si>
  <si>
    <t>DCI/SGU/MMA</t>
  </si>
  <si>
    <t>CARGILL TURQUIE / ACDN</t>
  </si>
  <si>
    <t>Cote entraxe de perçage de la colonne différent/plan</t>
  </si>
  <si>
    <t>JMR/MLA</t>
  </si>
  <si>
    <t>TAL</t>
  </si>
  <si>
    <t>CJ Shenyang/Technord</t>
  </si>
  <si>
    <t>Dysfonctionnement prestation automation</t>
  </si>
  <si>
    <t>RCO</t>
  </si>
  <si>
    <t>SYRAL / MTCI / ALPHA LAVAL</t>
  </si>
  <si>
    <t>10.7885</t>
  </si>
  <si>
    <t xml:space="preserve">pb de dimension et orientation de la tuyauterie/la pompe d'alimentation </t>
  </si>
  <si>
    <t>SYRAL / Alphatrad</t>
  </si>
  <si>
    <t>Mise en forme PR 06 traduit en espagnol</t>
  </si>
  <si>
    <t>GTI</t>
  </si>
  <si>
    <t>Armor Proteines</t>
  </si>
  <si>
    <t>10.7985-RD 2010-43</t>
  </si>
  <si>
    <t>Retour pilote pas nettoyé</t>
  </si>
  <si>
    <t>XDE</t>
  </si>
  <si>
    <t xml:space="preserve">PURIFONCTION / CTI </t>
  </si>
  <si>
    <t>RD 2740</t>
  </si>
  <si>
    <t xml:space="preserve">Défaut fabrication / Pièces manquantes </t>
  </si>
  <si>
    <t>JMR/MLA/SOV</t>
  </si>
  <si>
    <t>METIDJI</t>
  </si>
  <si>
    <t>Couleur sirop</t>
  </si>
  <si>
    <t>CHP/JLG</t>
  </si>
  <si>
    <t>CJ GMP2 / REYES</t>
  </si>
  <si>
    <t>10.8506</t>
  </si>
  <si>
    <t>Modification schémas électriques</t>
  </si>
  <si>
    <t>Material / Matière modifié Manpower / Main d'œuvre le 19/02/13</t>
  </si>
  <si>
    <t>SA Citrique Belge / DOW</t>
  </si>
  <si>
    <t>CV-1202-0002</t>
  </si>
  <si>
    <t>Résines teintées mauve</t>
  </si>
  <si>
    <t>DOW</t>
  </si>
  <si>
    <t>Attente retour analyse fournisseur suite reprise big bag</t>
  </si>
  <si>
    <t>Galactic</t>
  </si>
  <si>
    <t xml:space="preserve"> / ROHM HAAS</t>
  </si>
  <si>
    <t>CV-1210-0035</t>
  </si>
  <si>
    <t>Pb délai livraison résines</t>
  </si>
  <si>
    <t>ROHM HAAS</t>
  </si>
  <si>
    <t>projet NORSK</t>
  </si>
  <si>
    <t>EN CUST</t>
  </si>
  <si>
    <t xml:space="preserve">Coupure pouce/index </t>
  </si>
  <si>
    <t>JGO</t>
  </si>
  <si>
    <t>CJ US</t>
  </si>
  <si>
    <t xml:space="preserve"> / HUAMING</t>
  </si>
  <si>
    <t>10.8573</t>
  </si>
  <si>
    <t>Purchase WF / Choice of EPDM or VITON gasket</t>
  </si>
  <si>
    <t>ENSIVAL MORET</t>
  </si>
  <si>
    <t>Pb Norme moteurs IE3/Nema Premium</t>
  </si>
  <si>
    <t>HILMAR CHEESE</t>
  </si>
  <si>
    <t>EUROSOLT</t>
  </si>
  <si>
    <t>CA1206-0057/CA1207-0312</t>
  </si>
  <si>
    <t>Retard livraison / Diam des pièces hors spec + slot sales</t>
  </si>
  <si>
    <t>EUROSLOT</t>
  </si>
  <si>
    <t>Nestlé</t>
  </si>
  <si>
    <t>Purifonction/TIA</t>
  </si>
  <si>
    <t>CA1207-0279 / CA1208-0154</t>
  </si>
  <si>
    <t>TIA</t>
  </si>
  <si>
    <t>JPL</t>
  </si>
  <si>
    <t>SHUANGQIAO6</t>
  </si>
  <si>
    <t>10.9122</t>
  </si>
  <si>
    <t>MF</t>
  </si>
  <si>
    <t>Erreur affectation vannes dans coffrets locaux</t>
  </si>
  <si>
    <t>AGRANA</t>
  </si>
  <si>
    <t>HANGZHOU</t>
  </si>
  <si>
    <t>10.8755</t>
  </si>
  <si>
    <t>Griffes de fixation modules trop longues</t>
  </si>
  <si>
    <t xml:space="preserve">TTCA / ENSIGN / </t>
  </si>
  <si>
    <t>Yixing</t>
  </si>
  <si>
    <t>10.8166 - 10.8282</t>
  </si>
  <si>
    <t>Corrosion  rubber-lining columns</t>
  </si>
  <si>
    <t>dépassé</t>
  </si>
  <si>
    <t>CJ GMP2</t>
  </si>
  <si>
    <t>COMPOSITES VEC</t>
  </si>
  <si>
    <t>Certificat ACS de crépines non fournit</t>
  </si>
  <si>
    <t>JINLONG</t>
  </si>
  <si>
    <t>Deviation on box assembly</t>
  </si>
  <si>
    <t>ADM Columbus</t>
  </si>
  <si>
    <t>EPDM gaskets are not food grade</t>
  </si>
  <si>
    <t>MEIHUA</t>
  </si>
  <si>
    <t>CTI</t>
  </si>
  <si>
    <t>CV-1210-0073</t>
  </si>
  <si>
    <t>UF</t>
  </si>
  <si>
    <t>Défaufts d'aspect mbres Kerasep BW 150 KD</t>
  </si>
  <si>
    <t>CV-1210-0003</t>
  </si>
  <si>
    <t>Casses membranes en extrémité</t>
  </si>
  <si>
    <t>/BURKERT</t>
  </si>
  <si>
    <t>Nombre d'électrovannes assemblés dans îlot</t>
  </si>
  <si>
    <t>BURKERT</t>
  </si>
  <si>
    <t>MBY</t>
  </si>
  <si>
    <t>GOS SWW</t>
  </si>
  <si>
    <t>Brûlure doigts main gauche</t>
  </si>
  <si>
    <t>Couleur sirop et capacité nominale non atteinte</t>
  </si>
  <si>
    <t>LLR</t>
  </si>
  <si>
    <t>CA-1304-0265</t>
  </si>
  <si>
    <t>pb  organisation gestion des réappro</t>
  </si>
  <si>
    <t>Roquette</t>
  </si>
  <si>
    <t>ACDN</t>
  </si>
  <si>
    <t>1941/10.8947</t>
  </si>
  <si>
    <t>Erreur de côtes sur plan de détail</t>
  </si>
  <si>
    <t xml:space="preserve">Prolactal </t>
  </si>
  <si>
    <t>1954/10.8787</t>
  </si>
  <si>
    <t>Erreurs chaudronnerie</t>
  </si>
  <si>
    <t>Prolactal</t>
  </si>
  <si>
    <t>Limite de fourniture/ Retard</t>
  </si>
  <si>
    <t>API Schmidt</t>
  </si>
  <si>
    <t xml:space="preserve">Retard livraison </t>
  </si>
  <si>
    <t>API SCHMIDT</t>
  </si>
  <si>
    <t>N&amp;A</t>
  </si>
  <si>
    <t>CV-1301 0016</t>
  </si>
  <si>
    <t>fuite enveloppe K19</t>
  </si>
  <si>
    <t>GOI</t>
  </si>
  <si>
    <t>CV-1210-0040</t>
  </si>
  <si>
    <t>Big bag résine percé</t>
  </si>
  <si>
    <t>Quantum II/</t>
  </si>
  <si>
    <t>LANXESS</t>
  </si>
  <si>
    <t>10.8364</t>
  </si>
  <si>
    <t>couleur résines, pigment, pb hydrolyse FOS</t>
  </si>
  <si>
    <t xml:space="preserve">Galactic / </t>
  </si>
  <si>
    <t>CV-1301-0006</t>
  </si>
  <si>
    <t>Conditionnement résines</t>
  </si>
  <si>
    <t>HEC PHARMA</t>
  </si>
  <si>
    <t>CV-1303-0091</t>
  </si>
  <si>
    <t>Pb expédition groupage Chine</t>
  </si>
  <si>
    <t>GSK Bio Hamilton (NVS Inc)</t>
  </si>
  <si>
    <t>CV-1305-0061</t>
  </si>
  <si>
    <t>Casse de 21 membranes à réception</t>
  </si>
  <si>
    <t>palettes plastiques cassées/ tordues</t>
  </si>
  <si>
    <t>CJ USA/</t>
  </si>
  <si>
    <t>CV-1212-0055</t>
  </si>
  <si>
    <t>Big bag résine déchiré</t>
  </si>
  <si>
    <t>CAP 14002</t>
  </si>
  <si>
    <t>CV-1301-0055</t>
  </si>
  <si>
    <t>Emballage résines moisies à réception</t>
  </si>
  <si>
    <t>DIATRANS</t>
  </si>
  <si>
    <t>nvelle expé GOI fin 14, à faire début 2015 à récept° client</t>
  </si>
  <si>
    <t>FMG</t>
  </si>
  <si>
    <t>CV-1308-0033</t>
  </si>
  <si>
    <t xml:space="preserve">pb livraison : conditionnement détérioré </t>
  </si>
  <si>
    <t>VITALUS</t>
  </si>
  <si>
    <t>AJO-0239</t>
  </si>
  <si>
    <t>IEX/NF/OI</t>
  </si>
  <si>
    <t>Validation RC3, offre 20-9825-0</t>
  </si>
  <si>
    <t>R&amp;D</t>
  </si>
  <si>
    <t xml:space="preserve">Tereos Roumanie / </t>
  </si>
  <si>
    <t>Moret</t>
  </si>
  <si>
    <t>1959/10.9292</t>
  </si>
  <si>
    <t>Retard de livraison</t>
  </si>
  <si>
    <t>MORET</t>
  </si>
  <si>
    <t>CARGILL Russie</t>
  </si>
  <si>
    <t>1936/10.8526</t>
  </si>
  <si>
    <t>Incompatibilité norme brides</t>
  </si>
  <si>
    <t>CJ USA</t>
  </si>
  <si>
    <t>1931/10.8573</t>
  </si>
  <si>
    <t>Erreur modélisation colonne</t>
  </si>
  <si>
    <t xml:space="preserve">CJ USA </t>
  </si>
  <si>
    <t>SPA</t>
  </si>
  <si>
    <t>Défauts d'ébonitage sur colonnes</t>
  </si>
  <si>
    <t>ANGEL 2</t>
  </si>
  <si>
    <t>1933/10.8771</t>
  </si>
  <si>
    <t>Qualité de condensat</t>
  </si>
  <si>
    <t>Fengning/</t>
  </si>
  <si>
    <t>1938/10.8392</t>
  </si>
  <si>
    <t>Problème acidité résine</t>
  </si>
  <si>
    <t>WWE</t>
  </si>
  <si>
    <t>CARGILL (Spain/Russie)</t>
  </si>
  <si>
    <t>10.9310/10.8526</t>
  </si>
  <si>
    <t>pb orientation entrée/sortie produit sur colonne</t>
  </si>
  <si>
    <t>Sunoko2/</t>
  </si>
  <si>
    <t xml:space="preserve"> SDV</t>
  </si>
  <si>
    <t>A7629/10.9263</t>
  </si>
  <si>
    <t>SDV</t>
  </si>
  <si>
    <t>ZUOYAN/</t>
  </si>
  <si>
    <t>A7307/10.9602</t>
  </si>
  <si>
    <t>Détérioration de big bag lors de l'empotage</t>
  </si>
  <si>
    <t>After sales</t>
  </si>
  <si>
    <t xml:space="preserve">MEIHUA / </t>
  </si>
  <si>
    <t>NA</t>
  </si>
  <si>
    <t>CV-1310-0020</t>
  </si>
  <si>
    <t>PMP Purchase</t>
  </si>
  <si>
    <t>Suivi réception 20 nvelles mbres par NVS Asia/client final</t>
  </si>
  <si>
    <t>\\srvwork\AQHSE\1-FICHES_CAP\CAP_EMISES 2014\14001 Syral.doc</t>
  </si>
  <si>
    <t xml:space="preserve">TEREOS SYRAL / </t>
  </si>
  <si>
    <t>GE</t>
  </si>
  <si>
    <t>CV-1304-0074</t>
  </si>
  <si>
    <t>Performances/Déformations membranes NF</t>
  </si>
  <si>
    <t>A faire 9 mois après MES NF3, au 28/11 (5 mois après) ça tourne bien</t>
  </si>
  <si>
    <t>\\srvwork\AQHSE\1-FICHES_CAP\CAP_EMISES 2014\14002 CJ US Big bag résine déchiré.doc</t>
  </si>
  <si>
    <t>LANXESS / SDV</t>
  </si>
  <si>
    <t xml:space="preserve"> 1 Big bag résine déchiré</t>
  </si>
  <si>
    <t>logistic</t>
  </si>
  <si>
    <t>Nvelle livraison BB Lanxess pour  CJ fin sept.</t>
  </si>
  <si>
    <t>\\srvwork\AQHSE\1-FICHES_CAP\CAP_EMISES 2014\14003 De Smet fonctionnement skid NF.doc</t>
  </si>
  <si>
    <t>De Smet Yemen</t>
  </si>
  <si>
    <t>1872/10.7410</t>
  </si>
  <si>
    <t>Fonctionnement skid NF (débit perméat élevé)</t>
  </si>
  <si>
    <t>IER : démarrage prdt</t>
  </si>
  <si>
    <t>Purchase mbre SMB</t>
  </si>
  <si>
    <t>ALTING</t>
  </si>
  <si>
    <t>Mise en route nvelle unité NF en NP30 OK, fonctionnement hydraulique correct.</t>
  </si>
  <si>
    <t>\\srvwork\AQHSE\1-FICHES_CAP\CAP_EMISES 2014\14004 CARGILL Russie valves damages.doc</t>
  </si>
  <si>
    <t>Dommages sur vannes papillon</t>
  </si>
  <si>
    <t>IER : CTR récept°</t>
  </si>
  <si>
    <t>Purchase :CTR fnr</t>
  </si>
  <si>
    <t>Suivre ADM project (SOV)</t>
  </si>
  <si>
    <t>\\srvwork\AQHSE\1-FICHES_CAP\CAP_EMISES 2014\14005 CJ US piping leakage.doc</t>
  </si>
  <si>
    <t>Fuites sur tuyauterie ébonitée</t>
  </si>
  <si>
    <t>Purchase : CTR fnr</t>
  </si>
  <si>
    <t>\\srvwork\AQHSE\1-FICHES_CAP\CAP_EMISES 2014\14006 BETA retard mise à disposiiton colonnes pour BMA.doc</t>
  </si>
  <si>
    <t>ExRTH</t>
  </si>
  <si>
    <t>BMA</t>
  </si>
  <si>
    <t>BETA</t>
  </si>
  <si>
    <t>1971/10.9517</t>
  </si>
  <si>
    <t>Retard mise à disposition colonnes</t>
  </si>
  <si>
    <t>Reception at supplier</t>
  </si>
  <si>
    <t>\\srvwork\AQHSE\1-FICHES_CAP\CAP_EMISES 2014\14007 Vitalus.doc</t>
  </si>
  <si>
    <t>Résultats essais non exploitables</t>
  </si>
  <si>
    <t xml:space="preserve"> Réussite Vilatus2, cde basic design</t>
  </si>
  <si>
    <t>\\srvwork\AQHSE\1-FICHES_CAP\CAP_EMISES 2014\14008 Nestlé.doc</t>
  </si>
  <si>
    <t>NESTLE CHILI</t>
  </si>
  <si>
    <t>CV 1211 -0008</t>
  </si>
  <si>
    <t>trous en surface couche 150 KD</t>
  </si>
  <si>
    <t>\\srvwork\AQHSE\1-FICHES_CAP\CAP_EMISES 2014\14009 RZBC.doc</t>
  </si>
  <si>
    <t>RZBC</t>
  </si>
  <si>
    <t>10.9131</t>
  </si>
  <si>
    <t>IEX/CA/SSMB</t>
  </si>
  <si>
    <t>cracks on rubber lining columns</t>
  </si>
  <si>
    <t>Reception</t>
  </si>
  <si>
    <t xml:space="preserve"> en sept. 14  (après 3 mois de fonctionnement)</t>
  </si>
  <si>
    <t>\\srvwork\AQHSE\1-FICHES_CAP\CAP_EMISES 2014\14010 Zuoyan SDV Resin label.doc</t>
  </si>
  <si>
    <t>ZUOYAN</t>
  </si>
  <si>
    <t>1968/10.9680</t>
  </si>
  <si>
    <t xml:space="preserve">démarquage résines </t>
  </si>
  <si>
    <t>Logistic</t>
  </si>
  <si>
    <t>\\srvwork\AQHSE\1-FICHES_CAP\CAP_EMISES 2014\14011 EVONIK Fermas.doc</t>
  </si>
  <si>
    <t>EVONIK FERMAS</t>
  </si>
  <si>
    <t>CV-1301-0011</t>
  </si>
  <si>
    <t>Flèche et casse mbre Kerasep</t>
  </si>
  <si>
    <t>audit PBO/SGU réalisé 14 au 16/10/14 conseil sur CIP</t>
  </si>
  <si>
    <t>\\srvwork\AQHSE\1-FICHES_CAP\CAP_EMISES 2014\14012 GOS4-ACDN.doc</t>
  </si>
  <si>
    <t>GOS4</t>
  </si>
  <si>
    <t>1965/10.9245</t>
  </si>
  <si>
    <t>fourniture de joints non pleine bride</t>
  </si>
  <si>
    <t>\\srvwork\AQHSE\1-FICHES_CAP\CAP_EMISES 2014\14013 GOS4-CH06.doc</t>
  </si>
  <si>
    <t>erreur de plans ramification</t>
  </si>
  <si>
    <t>Meca Design</t>
  </si>
  <si>
    <t>\\srvwork\AQHSE\1-FICHES_CAP\CAP_EMISES 2014\14014 GOS4-ICP.doc</t>
  </si>
  <si>
    <t>GOS4/</t>
  </si>
  <si>
    <t>ICP</t>
  </si>
  <si>
    <t>défaut épaisseur ébonitage /regards</t>
  </si>
  <si>
    <t>\\srvwork\AQHSE\1-FICHES_CAP\CAP_EMISES 2014\14015 GOS4- Plastexel.doc</t>
  </si>
  <si>
    <t>Plastexel</t>
  </si>
  <si>
    <t>Abs. trous fixation regards</t>
  </si>
  <si>
    <t>\\srvwork\AQHSE\1-FICHES_CAP\CAP_EMISES 2014\14016 Ingredion.doc</t>
  </si>
  <si>
    <t>LZE</t>
  </si>
  <si>
    <t>Ingredion/</t>
  </si>
  <si>
    <t xml:space="preserve"> Cole Parmer</t>
  </si>
  <si>
    <t>AVO-13-0096</t>
  </si>
  <si>
    <t>Pompe HS sur pilote SSMB</t>
  </si>
  <si>
    <t>NVS INC</t>
  </si>
  <si>
    <t>\\srvwork\AQHSE\1-FICHES_CAP\CAP_EMISES 2014\14017 ADM Network design.doc</t>
  </si>
  <si>
    <t>ADM</t>
  </si>
  <si>
    <t xml:space="preserve">10.8754 </t>
  </si>
  <si>
    <t>mixed bed top networks design</t>
  </si>
  <si>
    <t>Au 30/10 : OK pas de nouveau pb, vérification plans par SOV</t>
  </si>
  <si>
    <t>\\srvwork\AQHSE\1-FICHES_CAP\CAP_EMISES 2014\14018 ASR Qtity and dimensions fasteners.doc</t>
  </si>
  <si>
    <t>ASR</t>
  </si>
  <si>
    <t>10.9470</t>
  </si>
  <si>
    <t xml:space="preserve">fasteners qtity and dimensions of mixed beds </t>
  </si>
  <si>
    <t>au 30/10/14 : en cours avec LPR, tableau à finaliser, std à identifier</t>
  </si>
  <si>
    <t>\\srvwork\AQHSE\1-FICHES_CAP\CAP_EMISES 2014\14019 Zuoyan Strainers tightening.doc</t>
  </si>
  <si>
    <t>strainers tightening</t>
  </si>
  <si>
    <t>au 30/10/14 : en Chine pas de prémontage, la cale est intégrée dans nos plans std, SOV demande à Chine de faire de même.</t>
  </si>
  <si>
    <t>\\srvwork\AQHSE\1-FICHES_CAP\CAP_EMISES 2014\14020 Cevital ébonite crépine NF.doc</t>
  </si>
  <si>
    <t>NCH</t>
  </si>
  <si>
    <t xml:space="preserve">CEVITAL </t>
  </si>
  <si>
    <t>10.6499</t>
  </si>
  <si>
    <t>dégradation ébonite/casse crépine</t>
  </si>
  <si>
    <t>Afaire en Nov suite MES extension avec nvelle crépine (cylindrique/conique)</t>
  </si>
  <si>
    <t>\\srvwork\AQHSE\1-FICHES_CAP\CAP_EMISES 2014\14021 Olmedo ébonite NF.doc</t>
  </si>
  <si>
    <t>TEREOS OLMEDO</t>
  </si>
  <si>
    <t>10.7690</t>
  </si>
  <si>
    <t>arrachement ébonite interne colonne</t>
  </si>
  <si>
    <t>Vieillissement colonnes</t>
  </si>
  <si>
    <t>\\srvwork\AQHSE\1-FICHES_CAP\CAP_EMISES 2014\14022 Pièces de NF Knappe.doc</t>
  </si>
  <si>
    <t>CEVITAL</t>
  </si>
  <si>
    <t>KNAPPE</t>
  </si>
  <si>
    <t>10.6499 / 10.7690</t>
  </si>
  <si>
    <t>déformation collecteur perméat NF / corrosion bague alu des TP</t>
  </si>
  <si>
    <t>Meca Design /Purchase</t>
  </si>
  <si>
    <t>CAP 15015</t>
  </si>
  <si>
    <t>\\srvwork\AQHSE\1-FICHES_CAP\CAP_EMISES 2014\14023 SUNOKO.doc</t>
  </si>
  <si>
    <t>SUNOKO</t>
  </si>
  <si>
    <t>Dupont</t>
  </si>
  <si>
    <t>1953/10.9263</t>
  </si>
  <si>
    <t>non atteinte de la capacité contractuelle</t>
  </si>
  <si>
    <t>DuPont</t>
  </si>
  <si>
    <t>CCA/NPA</t>
  </si>
  <si>
    <t>A faire 10/16</t>
  </si>
  <si>
    <t>\\srvwork\AQHSE\1-FICHES_CAP\CAP_EMISES 2014\14024 Accdt PWT.doc</t>
  </si>
  <si>
    <t>CPT</t>
  </si>
  <si>
    <t>Service IT</t>
  </si>
  <si>
    <t>Chute escalier suite malaise</t>
  </si>
  <si>
    <t>IT</t>
  </si>
  <si>
    <t>\\srvwork\AQHSE\1-FICHES_CAP\CAP_EMISES 2014\14025 ADM Lanxess Problèmes livraison inerte.doc</t>
  </si>
  <si>
    <t xml:space="preserve">ADM </t>
  </si>
  <si>
    <t>1984/10.9728</t>
  </si>
  <si>
    <t>Problèmes livraison inerte</t>
  </si>
  <si>
    <t>\\srvwork\AQHSE\1-FICHES_CAP\CAP_EMISES 2014\14026 Dow Problèmes livraison résines.doc</t>
  </si>
  <si>
    <t xml:space="preserve">Conaprole - VRS </t>
  </si>
  <si>
    <t xml:space="preserve">1980/10.9726 </t>
  </si>
  <si>
    <t>Problèmes livraison résines</t>
  </si>
  <si>
    <t>voir CAP14038</t>
  </si>
  <si>
    <t>\\srvwork\AQHSE\1-FICHES_CAP\CAP_EMISES 2014\14027 Tanichem - Jinlong.doc</t>
  </si>
  <si>
    <t xml:space="preserve">Tanichem </t>
  </si>
  <si>
    <t xml:space="preserve"> Wuxi Jinlong</t>
  </si>
  <si>
    <t>10.8531</t>
  </si>
  <si>
    <t>Erreur dimensions bride de tampon (GB Code / ASME)</t>
  </si>
  <si>
    <t>\\srvwork\AQHSE\1-FICHES_CAP\CAP_EMISES 2014\14028 CONAPROLE TUYAUTERIE NON FABRIQUEE.doc</t>
  </si>
  <si>
    <t>Conaprole</t>
  </si>
  <si>
    <t>STCL</t>
  </si>
  <si>
    <t>10.9726</t>
  </si>
  <si>
    <t>tuyauteries entrée lavage manquantes</t>
  </si>
  <si>
    <t>\\srvwork\AQHSE\1-FICHES_CAP\CAP_EMISES 2014\14029 CEVITAL démarrage extension.doc</t>
  </si>
  <si>
    <t>RTH</t>
  </si>
  <si>
    <t>Cevital</t>
  </si>
  <si>
    <t>1952/10.8259</t>
  </si>
  <si>
    <t>Durée d'arrêt raffinerie - redémarrage</t>
  </si>
  <si>
    <t>AEI Design</t>
  </si>
  <si>
    <t>\\srvwork\AQHSE\1-FICHES_CAP\CAP_EMISES 2014\14030 GE Absence retard ARCs BLs.doc</t>
  </si>
  <si>
    <t>Absence/retard systématique d'ARCs et B/Ls</t>
  </si>
  <si>
    <t>\\srvwork\AQHSE\1-FICHES_CAP\CAP_EMISES 2014\14031 Tableur glucoserie.doc</t>
  </si>
  <si>
    <t>AME</t>
  </si>
  <si>
    <t>ALMASIRAH</t>
  </si>
  <si>
    <t>offre 20.10129</t>
  </si>
  <si>
    <t>Erreur calcul conso électrique glucoserie</t>
  </si>
  <si>
    <t>Chiffrage Procédé</t>
  </si>
  <si>
    <t>\\srvwork\AQHSE\1-FICHES_CAP\CAP_EMISES 2014\14032 SUNOKO Spider.doc</t>
  </si>
  <si>
    <t xml:space="preserve">SUNOKO </t>
  </si>
  <si>
    <t>Ziyou</t>
  </si>
  <si>
    <t>Fuite sur tuyauterie de distribution (araignée)</t>
  </si>
  <si>
    <t>IER : concept° Etude Méca</t>
  </si>
  <si>
    <t>Purchase NVS Asia</t>
  </si>
  <si>
    <t>\\srvwork\AQHSE\1-FICHES_CAP\CAP_EMISES 2014\14033 ENSIVAL_MORET.doc</t>
  </si>
  <si>
    <t>SML</t>
  </si>
  <si>
    <t xml:space="preserve"> ENSIVAL MORET</t>
  </si>
  <si>
    <t>Ampérage moteurs des pompes excessif</t>
  </si>
  <si>
    <t>\\srvwork\AQHSE\1-FICHES_CAP\CAP_EMISES 2014\14034 SUNOKO Columns.doc</t>
  </si>
  <si>
    <t>Greens</t>
  </si>
  <si>
    <t>Fuite sur tampon trou d'homme d'entrée réseau (colonnes)</t>
  </si>
  <si>
    <t>\\srvwork\AQHSE\1-FICHES_CAP\CAP_EMISES 2014\14035  SUNOKO Grids.doc</t>
  </si>
  <si>
    <t xml:space="preserve">Déformation grille sur réseau (intérieur colonne) </t>
  </si>
  <si>
    <t>\\srvwork\AQHSE\1-FICHES_CAP\CAP_EMISES 2014\14036 Sanofi Chimie Aramon Carbosep.doc</t>
  </si>
  <si>
    <t>Sanofi Chimie Aramon</t>
  </si>
  <si>
    <t>contrat carbosep</t>
  </si>
  <si>
    <t>CARBOSEP</t>
  </si>
  <si>
    <t>erreur stock membranes réservées</t>
  </si>
  <si>
    <t>Supply Chain PMP</t>
  </si>
  <si>
    <t>\\srvwork\AQHSE\1-FICHES_CAP\CAP_EMISES 2014\14037  SENSUS essais PPD.doc</t>
  </si>
  <si>
    <t>VGA</t>
  </si>
  <si>
    <t>SENSUS</t>
  </si>
  <si>
    <t>EN 2894</t>
  </si>
  <si>
    <t xml:space="preserve">retard essais PPD </t>
  </si>
  <si>
    <t>\\srvwork\AQHSE\1-FICHES_CAP\CAP_EMISES 2014\14038 Armor Protéines Retard livraison résine.doc</t>
  </si>
  <si>
    <t xml:space="preserve">Armor Proteines </t>
  </si>
  <si>
    <t>CV-1410-0028</t>
  </si>
  <si>
    <t>Retard de livraison résine</t>
  </si>
  <si>
    <t>voir CAP15018</t>
  </si>
  <si>
    <t>\\srvwork\AQHSE\1-FICHES_CAP\CAP_EMISES 2015\15001 Solanic dimensions trou d'homme.doc</t>
  </si>
  <si>
    <t xml:space="preserve">Solanic </t>
  </si>
  <si>
    <t>Dimensions trous d'homme cuve back wash</t>
  </si>
  <si>
    <t>\\srvwork\AQHSE\1-FICHES_CAP\CAP_EMISES 2015\15002 Solanic - CTI.doc</t>
  </si>
  <si>
    <t>Solanic</t>
  </si>
  <si>
    <t xml:space="preserve"> CTI</t>
  </si>
  <si>
    <t>Absence Pression d'air / marquage colonnes</t>
  </si>
  <si>
    <t>\\srvwork\AQHSE\1-FICHES_CAP\CAP_EMISES 2015\15003 Solanic - MTCI.doc</t>
  </si>
  <si>
    <t>MTCI</t>
  </si>
  <si>
    <t xml:space="preserve">Erreur diamètre tuyauterie skids </t>
  </si>
  <si>
    <t>\\srvwork\AQHSE\1-FICHES_CAP\CAP_EMISES 2015\15004 TUNISIE SUCRE.doc</t>
  </si>
  <si>
    <t>Tunisie sucre</t>
  </si>
  <si>
    <t>Pompe neutralisation endommagée</t>
  </si>
  <si>
    <t>CS</t>
  </si>
  <si>
    <t xml:space="preserve">Jungbunzlauer </t>
  </si>
  <si>
    <t>CV-1411-0052</t>
  </si>
  <si>
    <t>Défaut longueur d'étanchement mbre Kerasep</t>
  </si>
  <si>
    <t>pas de nvelle cde Kerasep</t>
  </si>
  <si>
    <t>\\srvwork\AQHSE\1-FICHES_CAP\CAP_EMISES 2015\15006 Tereos - GE joints NF.doc</t>
  </si>
  <si>
    <t xml:space="preserve">TEREOS NESLE </t>
  </si>
  <si>
    <t>CA 13040375</t>
  </si>
  <si>
    <t>Joints plus larges sur 20 éléments</t>
  </si>
  <si>
    <t>\\srvwork\AQHSE\1-FICHES_CAP\CAP_EMISES 2015\15007 ADM venting nozzle orientation.doc</t>
  </si>
  <si>
    <t>Conflit entre évent et réseau intérieur colonne</t>
  </si>
  <si>
    <t>\\srvwork\AQHSE\1-FICHES_CAP\CAP_EMISES 2015\15008 Cevital fuite sur colonne de décoloration.doc</t>
  </si>
  <si>
    <t xml:space="preserve">Cevital </t>
  </si>
  <si>
    <t>Green / SPA</t>
  </si>
  <si>
    <t>Decolo</t>
  </si>
  <si>
    <t>Fuite sur colonne de décoloration</t>
  </si>
  <si>
    <t>Purchase NVSA</t>
  </si>
  <si>
    <t>ExFLU/PGA</t>
  </si>
  <si>
    <t>A faire 02/17</t>
  </si>
  <si>
    <t xml:space="preserve"> après mise en sce</t>
  </si>
  <si>
    <t>\\srvwork\AQHSE\1-FICHES_CAP\CAP_EMISES 2015\15009 ADM DIT length.doc</t>
  </si>
  <si>
    <t xml:space="preserve"> Endress Hauser</t>
  </si>
  <si>
    <t>erreur longueur DIT</t>
  </si>
  <si>
    <t>\\srvwork\AQHSE\1-FICHES_CAP\CAP_EMISES 2015\15010 Bioamber columns lining leaks.doc</t>
  </si>
  <si>
    <t>Bioamber</t>
  </si>
  <si>
    <t>KCH</t>
  </si>
  <si>
    <t>hard rubber lining leaks</t>
  </si>
  <si>
    <t>A faire 12/16</t>
  </si>
  <si>
    <t>à l'issue litige juridique</t>
  </si>
  <si>
    <t>\\srvwork\AQHSE\1-FICHES_CAP\CAP_EMISES 2015\15011 Bioamber Backwash tank.doc</t>
  </si>
  <si>
    <t>no backwash tank on PID</t>
  </si>
  <si>
    <t>\\srvwork\AQHSE\1-FICHES_CAP\CAP_EMISES 2015\15012 Central Romana.doc</t>
  </si>
  <si>
    <t>FBU</t>
  </si>
  <si>
    <t>STP</t>
  </si>
  <si>
    <t>Central Romana</t>
  </si>
  <si>
    <t>Ecart nbre de pompe figurant dans l'offre/fourni</t>
  </si>
  <si>
    <t>\\srvwork\AQHSE\1-FICHES_CAP\CAP_EMISES 2015\15013 GSK Hamilton Etanchement mbre.doc</t>
  </si>
  <si>
    <t>CV-1309-0087</t>
  </si>
  <si>
    <t>Tenue étanchement mbre kerasep</t>
  </si>
  <si>
    <t>Cancelled</t>
  </si>
  <si>
    <t>\\srvwork\AQHSE\1-FICHES_CAP\CAP_EMISES 2015\15014 Arab Sweeteners.doc</t>
  </si>
  <si>
    <t>Arab Sweeteners</t>
  </si>
  <si>
    <t>CPL</t>
  </si>
  <si>
    <t>erreur estimatif OPEX</t>
  </si>
  <si>
    <t>\\srvwork\AQHSE\1-FICHES_CAP\CAP_EMISES 2015\15015 Tunisie Sucre bouchon tubes de pression.doc</t>
  </si>
  <si>
    <t>10.6835</t>
  </si>
  <si>
    <t>Déformation bouchon Tube de pression</t>
  </si>
  <si>
    <t>bouchons inox OK</t>
  </si>
  <si>
    <t>\\srvwork\AQHSE\1-FICHES_CAP\CAP_EMISES 2015\15016 Sofivo.doc</t>
  </si>
  <si>
    <t>Sofivo</t>
  </si>
  <si>
    <t>MEGA</t>
  </si>
  <si>
    <t>CV-1502-0077</t>
  </si>
  <si>
    <t>Aspect visuel et fonctionnement stacks neufs</t>
  </si>
  <si>
    <t>Nvelle cde à livrer S27 2016</t>
  </si>
  <si>
    <t>\\srvwork\AQHSE\1-FICHES_CAP\CAP_EMISES 2015\15017 Sedamyl.doc</t>
  </si>
  <si>
    <t>SEDAMYL</t>
  </si>
  <si>
    <t>cv 1502-0012</t>
  </si>
  <si>
    <t>Emballage abimé</t>
  </si>
  <si>
    <t>\\srvwork\AQHSE\1-FICHES_CAP\CAP_EMISES 2015\15018 Sunpaper.doc</t>
  </si>
  <si>
    <t xml:space="preserve">Sunpaper </t>
  </si>
  <si>
    <t>CHR</t>
  </si>
  <si>
    <t>Retard livraison résine</t>
  </si>
  <si>
    <t>\\srvwork\AQHSE\1-FICHES_CAP\CAP_EMISES 2015\15019 Solanic Tuyauterie.doc</t>
  </si>
  <si>
    <t>Alignement tuyauterie</t>
  </si>
  <si>
    <t>\\srvwork\AQHSE\1-FICHES_CAP\CAP_EMISES 2015\15020 Solanic Joint.doc</t>
  </si>
  <si>
    <t>Joint sur-contraints</t>
  </si>
  <si>
    <t>\\srvwork\AQHSE\1-FICHES_CAP\CAP_EMISES 2015\15021 Solanic Volume mort.doc</t>
  </si>
  <si>
    <t>Vidangeabilité tuyauterie</t>
  </si>
  <si>
    <t>\\srvwork\AQHSE\1-FICHES_CAP\CAP_EMISES 2015\15022 Al Masirah Cation column internal support conflict.doc</t>
  </si>
  <si>
    <t>conflicts between strainer support and sight glass</t>
  </si>
  <si>
    <t>\\srvwork\AQHSE\1-FICHES_CAP\CAP_EMISES 2015\15023 Al Masirah IEX column nozzles plate.doc</t>
  </si>
  <si>
    <t>noozles arrangement (conflict with head)</t>
  </si>
  <si>
    <t>\\srvwork\AQHSE\1-FICHES_CAP\CAP_EMISES 2015\15024  joints_Maagtechnic.docx</t>
  </si>
  <si>
    <t>Shunangqiao5</t>
  </si>
  <si>
    <t>MAAGTECHNIC</t>
  </si>
  <si>
    <t>défaut joints EPDM</t>
  </si>
  <si>
    <t>Maagtechnic</t>
  </si>
  <si>
    <t>après mise en route installation</t>
  </si>
  <si>
    <t>\\srvwork\AQHSE\1-FICHES_CAP\CAP_EMISES 2015\15025 CENTRAL ROMANA isometric drawing.doc</t>
  </si>
  <si>
    <t>PLASTICON</t>
  </si>
  <si>
    <t>Pb front piping assembly</t>
  </si>
  <si>
    <t>Plasticon</t>
  </si>
  <si>
    <t>Après montage installation</t>
  </si>
  <si>
    <t>\\srvwork\AQHSE\1-FICHES_CAP\CAP_EMISES 2015\15026 Scents EL drawings.doc</t>
  </si>
  <si>
    <t>Scents</t>
  </si>
  <si>
    <t>Wiring and EL drawings updated</t>
  </si>
  <si>
    <t>\\srvwork\AQHSE\1-FICHES_CAP\CAP_EMISES 2015\15027 SUNOKO TRISLOT.doc</t>
  </si>
  <si>
    <t xml:space="preserve">Sunoko </t>
  </si>
  <si>
    <t>TRISLOT</t>
  </si>
  <si>
    <t>Default slot distribution grids floor</t>
  </si>
  <si>
    <t>Site acceptance</t>
  </si>
  <si>
    <t>Filtr'action</t>
  </si>
  <si>
    <t>attente livraison nvelle colonne</t>
  </si>
  <si>
    <t>\\srvwork\AQHSE\1-FICHES_CAP\CAP_EMISES 2015\15028 Tetrapack- raccords SMS.doc</t>
  </si>
  <si>
    <t xml:space="preserve">TetraPak </t>
  </si>
  <si>
    <t>SMS diameter fitting</t>
  </si>
  <si>
    <t>\\srvwork\AQHSE\1-FICHES_CAP\CAP_EMISES 2015\15029 ASR gasket.doc</t>
  </si>
  <si>
    <t>WUXI JINLONG</t>
  </si>
  <si>
    <t>Characteristics gasket column</t>
  </si>
  <si>
    <t>DBA/SMR</t>
  </si>
  <si>
    <t>\\srvwork\AQHSE\1-FICHES_CAP\CAP_EMISES 2015\15030 Meihua 6.doc</t>
  </si>
  <si>
    <t>MEIHUA 6</t>
  </si>
  <si>
    <t>CV-1410-0027/0048</t>
  </si>
  <si>
    <t>Abrasion 0,1 µ membrane</t>
  </si>
  <si>
    <t>\\srvwork\AQHSE\1-FICHES_CAP\CAP_EMISES 2015\15031 Conaprole.doc</t>
  </si>
  <si>
    <t>PGA</t>
  </si>
  <si>
    <t>Communication dysfonctionning - Lack of documents transmission</t>
  </si>
  <si>
    <t>\\srvwork\AQHSE\1-FICHES_CAP\CAP_EMISES 2015\15032 PT SUJ Sand filter nozzles.doc</t>
  </si>
  <si>
    <t>TFR</t>
  </si>
  <si>
    <t xml:space="preserve">PT SUJ2 </t>
  </si>
  <si>
    <t>Lianyungang</t>
  </si>
  <si>
    <t>Nozzles length/sand filter floor thickness</t>
  </si>
  <si>
    <t>\\srvwork\AQHSE\1-FICHES_CAP\CAP_EMISES 2015\15033 Tetrapack Erreur AU02.doc</t>
  </si>
  <si>
    <t>TETRAPACK</t>
  </si>
  <si>
    <t>Erreur dans AU02</t>
  </si>
  <si>
    <t>\\srvwork\AQHSE\1-FICHES_CAP\CAP_EMISES 2015\15034 CONAPROLE Cablage client avec  mauvais schémas électriques.doc</t>
  </si>
  <si>
    <t xml:space="preserve">Conaprole </t>
  </si>
  <si>
    <t>BOSSARD</t>
  </si>
  <si>
    <t>Non diffusion dernière révision schéma électrique</t>
  </si>
  <si>
    <t>\\srvwork\AQHSE\1-FICHES_CAP\CAP_EMISES 2015\15035 Diffusion schémas électriques pour cablage client.doc</t>
  </si>
  <si>
    <t>Service AEI</t>
  </si>
  <si>
    <t>Diffusion client révisions schémas électriques</t>
  </si>
  <si>
    <t>\\srvwork\AQHSE\1-FICHES_CAP\CAP_EMISES 2015\15036 BBCA performance issue.doc</t>
  </si>
  <si>
    <t>ExLGR</t>
  </si>
  <si>
    <t>BBCA</t>
  </si>
  <si>
    <t>contractual performance not achieved (CA recovery)</t>
  </si>
  <si>
    <t>LGR/SMR</t>
  </si>
  <si>
    <t>pas de volonté du client de mettre en œuvre plan d'action NVS</t>
  </si>
  <si>
    <t>\\srvwork\AQHSE\1-FICHES_CAP\CAP_EMISES 2015\15037 NORAM PR réseaux SSMB4.doc</t>
  </si>
  <si>
    <t>ExSVN</t>
  </si>
  <si>
    <t>Noram (DFI)</t>
  </si>
  <si>
    <t>Erreur dans formule de calcul du Prix de revient des internes</t>
  </si>
  <si>
    <t>\\srvwork\AQHSE\1-FICHES_CAP\CAP_EMISES 2015\15038 Dow erreur résine.doc</t>
  </si>
  <si>
    <t>Friesland Foods</t>
  </si>
  <si>
    <t>CV-1504-0043</t>
  </si>
  <si>
    <t>Mauvaise résine livrée dans 2 sacs</t>
  </si>
  <si>
    <t>Resins purchase</t>
  </si>
  <si>
    <t>\\srvwork\AQHSE\1-FICHES_CAP\CAP_EMISES 2015\15039 Location Pilote.doc</t>
  </si>
  <si>
    <t>PDU</t>
  </si>
  <si>
    <t>CAPUA</t>
  </si>
  <si>
    <t>ROQUETTE</t>
  </si>
  <si>
    <t>CV-1508-0047</t>
  </si>
  <si>
    <t>Location pilote même période à 2 clients</t>
  </si>
  <si>
    <t>Pilot rent</t>
  </si>
  <si>
    <t>\\srvwork\AQHSE\1-FICHES_CAP\CAP_EMISES 2015\15040 intervention sur sorbonnes R&amp;D.doc</t>
  </si>
  <si>
    <t>Service R&amp;D</t>
  </si>
  <si>
    <t>VINCI</t>
  </si>
  <si>
    <t>Coupure électrique lors de l'intervention sur sorbonnes labo</t>
  </si>
  <si>
    <t>Labs</t>
  </si>
  <si>
    <t>Vinci</t>
  </si>
  <si>
    <t>\\srvwork\AQHSE\1-FICHES_CAP\CAP_EMISES 2015\15041 Sédamyl - GE.doc</t>
  </si>
  <si>
    <t>CV-1502-0012</t>
  </si>
  <si>
    <t>Baisse performances membranes NF (skid N°2)</t>
  </si>
  <si>
    <t>Mise en route d'un 5eme TP</t>
  </si>
  <si>
    <t>\\srvwork\AQHSE\1-FICHES_CAP\CAP_EMISES 2015\15042 Al Nouran.doc</t>
  </si>
  <si>
    <t>CCR</t>
  </si>
  <si>
    <t>Al Nouran</t>
  </si>
  <si>
    <t>Surdimensionnement échangeur</t>
  </si>
  <si>
    <t>process conception</t>
  </si>
  <si>
    <t>\\srvwork\AQHSE\1-FICHES_CAP\CAP_EMISES 2015\15043 Incident chariot.doc</t>
  </si>
  <si>
    <t>Unilever</t>
  </si>
  <si>
    <t>EN 2900</t>
  </si>
  <si>
    <t>Renversement IBC de KOH</t>
  </si>
  <si>
    <t>\\srvwork\AQHSE\1-FICHES_CAP\CAP_EMISES 2015\15044 FRIESLAND GOS4.doc</t>
  </si>
  <si>
    <t>Sales</t>
  </si>
  <si>
    <t>Friesland Foods GOS4</t>
  </si>
  <si>
    <t>Développement biofilm et bactérie</t>
  </si>
  <si>
    <t>\\srvwork\AQHSE\1-FICHES_CAP\CAP_EMISES 2015\15045 AL MASIRAH - puissance moteurs.doc</t>
  </si>
  <si>
    <t>RBA</t>
  </si>
  <si>
    <t>Almasirah</t>
  </si>
  <si>
    <t>PADOVAN</t>
  </si>
  <si>
    <t xml:space="preserve">Ecart puissance moteur transmis </t>
  </si>
  <si>
    <t>Meca Design / Puchase</t>
  </si>
  <si>
    <t>Padovan</t>
  </si>
  <si>
    <t>\\srvwork\AQHSE\1-FICHES_CAP\CAP_EMISES 2015\15046 explosion Erlenmeyer Labo.doc</t>
  </si>
  <si>
    <t>2015-026</t>
  </si>
  <si>
    <t>Explosion Erlenmeyer</t>
  </si>
  <si>
    <t>\\srvwork\AQHSE\1-FICHES_CAP\CAP_EMISES 2015\15047 Olmedo.doc</t>
  </si>
  <si>
    <t>Téréos Olmédo</t>
  </si>
  <si>
    <t>ICP Beugin</t>
  </si>
  <si>
    <t>fissure ébonite déformation plancher</t>
  </si>
  <si>
    <t>RRA</t>
  </si>
  <si>
    <t>A faire 01/17</t>
  </si>
  <si>
    <t>\\srvwork\AQHSE\1-FICHES_CAP\CAP_EMISES 2016\16001 ADM spray nozzle.doc</t>
  </si>
  <si>
    <t>lack of spray nozzles</t>
  </si>
  <si>
    <t>\\srvwork\AQHSE\1-FICHES_CAP\CAP_EMISES 2016\16002 ADM vacuum breaker.doc</t>
  </si>
  <si>
    <t>vaccum breaker missing</t>
  </si>
  <si>
    <t>\\srvwork\AQHSE\1-FICHES_CAP\CAP_EMISES 2016\16003 FRIESLANDFOOD GOS4 rupture joints.docx</t>
  </si>
  <si>
    <t>breaking gasket</t>
  </si>
  <si>
    <t>audit</t>
  </si>
  <si>
    <t>\\srvwork\AQHSE\1-FICHES_CAP\\CAP_EMISES 2016\16004 CSC Sugar.doc</t>
  </si>
  <si>
    <t>CSC Sugar</t>
  </si>
  <si>
    <t>28.11698</t>
  </si>
  <si>
    <t>process design error liquid sugar</t>
  </si>
  <si>
    <t>process design</t>
  </si>
  <si>
    <t>R:\QA-NVA IB\CAP\16005 MEFSCO IEX deformation.doc</t>
  </si>
  <si>
    <t>MEFSCO</t>
  </si>
  <si>
    <t>floor deformations issue</t>
  </si>
  <si>
    <t>R:\QA-NVA IB\CAP\16006 ADM Fibersol limit switch issue.doc</t>
  </si>
  <si>
    <t>SLI</t>
  </si>
  <si>
    <t>Bray</t>
  </si>
  <si>
    <t>SSMB/IEX</t>
  </si>
  <si>
    <t>quality issue of limit switch</t>
  </si>
  <si>
    <t>\\srvwork\AQHSE\1-FICHES_CAP\CAP_EMISES 2016\16007 GOI.doc</t>
  </si>
  <si>
    <t>leak and cation rubber lining cracks</t>
  </si>
  <si>
    <t>\\srvwork\AQHSE\1-FICHES_CAP\CAP_EMISES 2016\16008 MEFSCO - AF.doc</t>
  </si>
  <si>
    <t>XRO</t>
  </si>
  <si>
    <t>mistake in functional analysis</t>
  </si>
  <si>
    <t>Process Design (AF)</t>
  </si>
  <si>
    <t>R:\QA-NVA IB\CAP\16009 PT SUJ HCl pump issue.doc</t>
  </si>
  <si>
    <t>VCH</t>
  </si>
  <si>
    <t xml:space="preserve">PT SUJ </t>
  </si>
  <si>
    <t>IWAKI</t>
  </si>
  <si>
    <t>Acid pump issue</t>
  </si>
  <si>
    <t>R:\QA-NVA IB\CAP\16010 PT SUJ steril filter.doc</t>
  </si>
  <si>
    <t>Sunshine</t>
  </si>
  <si>
    <t>plate deformation of sterile filter</t>
  </si>
  <si>
    <t>August-16</t>
  </si>
  <si>
    <t>CAP_EMISES 2016\16011 incohérence doc AU02-PR02-PR06.doc</t>
  </si>
  <si>
    <t>CPV</t>
  </si>
  <si>
    <t>Shuangqiao5 Fufeng</t>
  </si>
  <si>
    <t>inconsistency between AU02-PR02-PR06</t>
  </si>
  <si>
    <t>A faire 12/17</t>
  </si>
  <si>
    <t>CAP_EMISES 2016\16012 Solanic CTI-ACDN.doc</t>
  </si>
  <si>
    <t>CTI-ACDN</t>
  </si>
  <si>
    <t>10.8023</t>
  </si>
  <si>
    <t>cell leak of IEX column</t>
  </si>
  <si>
    <t>Meca design</t>
  </si>
  <si>
    <t>A faire 01/18</t>
  </si>
  <si>
    <t>R:\QA-NVA IB\CAP\16013 PT JMR &amp; PT DSI  CIP tank leaking issue.doc</t>
  </si>
  <si>
    <t>SUXI</t>
  </si>
  <si>
    <t>PT Jawamanis &amp; DUTA</t>
  </si>
  <si>
    <t>ALLIBERT</t>
  </si>
  <si>
    <t>2005&amp;2006</t>
  </si>
  <si>
    <t>10.11070&amp;10.11169</t>
  </si>
  <si>
    <t xml:space="preserve">Leaking between two parts in CIP tank(PP) </t>
  </si>
  <si>
    <t>CAP_EMISES 2016\16014 Glanbia.doc</t>
  </si>
  <si>
    <t>Glanbia</t>
  </si>
  <si>
    <t>Bilfinger</t>
  </si>
  <si>
    <t>bent nozzles and leaking fine mesch resin</t>
  </si>
  <si>
    <t>CAP 16039</t>
  </si>
  <si>
    <t>CAP_EMISES 2016\16015 TESSIER.doc</t>
  </si>
  <si>
    <t>TESSIER</t>
  </si>
  <si>
    <t>Progress</t>
  </si>
  <si>
    <t>keeping of K138 gaskets</t>
  </si>
  <si>
    <t>R:\QA-NVA IB\CAP\16016 Meihua 9 Floc &amp; white sediment issue.doc</t>
  </si>
  <si>
    <t>EGU</t>
  </si>
  <si>
    <t>Meihua 9</t>
  </si>
  <si>
    <t>2014/10.11218</t>
  </si>
  <si>
    <t xml:space="preserve"> Floc &amp; white sediment issue</t>
  </si>
  <si>
    <t>reception</t>
  </si>
  <si>
    <t>CAP_EMISES 2016\16017 CLS taggins.doc</t>
  </si>
  <si>
    <t>CLS</t>
  </si>
  <si>
    <t>late taggings change</t>
  </si>
  <si>
    <t>AEI Design (TAG)</t>
  </si>
  <si>
    <t>CPV/SOV</t>
  </si>
  <si>
    <t>CAP_EMISES 2016\16018 Central Romana Rubberlining.doc</t>
  </si>
  <si>
    <t>Rubberlining damage</t>
  </si>
  <si>
    <t>commissioning</t>
  </si>
  <si>
    <t>intervention MGL/Brandt pour vérifier état de l'ébonitage S48/49</t>
  </si>
  <si>
    <t>CAP_EMISES 2016\16019  Valio.doc</t>
  </si>
  <si>
    <t>VALIO</t>
  </si>
  <si>
    <t>Supply Chain Pompey</t>
  </si>
  <si>
    <t>CV-1602-0067</t>
  </si>
  <si>
    <t>Air-tightness carbosep modules</t>
  </si>
  <si>
    <t>CAP_EMISES 2016\16020 NUTRIBIO.doc</t>
  </si>
  <si>
    <t>RWA</t>
  </si>
  <si>
    <t>Boccard/Nutribio</t>
  </si>
  <si>
    <t>Concept Inox</t>
  </si>
  <si>
    <t>Input/output exchanger reverse</t>
  </si>
  <si>
    <t>R:\QA-NVA IB\CAP\16021 CLS  MB internals mounting issue.doc</t>
  </si>
  <si>
    <t>SXI</t>
  </si>
  <si>
    <t>Gree</t>
  </si>
  <si>
    <t>Internals design and assembly issue</t>
  </si>
  <si>
    <t>RCH</t>
  </si>
  <si>
    <t>R:\QA-NVA IB\CAP\16022 Agrana  IEX column head deformation issue.doc</t>
  </si>
  <si>
    <t>columns head deformation issue</t>
  </si>
  <si>
    <t>RCH/WWE</t>
  </si>
  <si>
    <t>R:\QA-NVA IB\CAP\16023 ADM leakgae risk issue of SSMB strainer.doc</t>
  </si>
  <si>
    <t>Runyuan</t>
  </si>
  <si>
    <t>leakage risk issue of SSMB strainers</t>
  </si>
  <si>
    <t>CAP_EMISES 2016\16024 AGRANA.doc</t>
  </si>
  <si>
    <t>ACR</t>
  </si>
  <si>
    <t>IEX Columns : design pressure &amp; booster pumps</t>
  </si>
  <si>
    <t>NGO</t>
  </si>
  <si>
    <t>à faire qd unités seront au débit nominal fin 17.</t>
  </si>
  <si>
    <t xml:space="preserve">quality issue of PP-FRP front piping </t>
  </si>
  <si>
    <t>CAP_EMISES 2016\16026 Friesland Foods calcul colonnes.doc</t>
  </si>
  <si>
    <t>ACDN-CTI</t>
  </si>
  <si>
    <t>Erreur calcul colonnes</t>
  </si>
  <si>
    <t>CAP_EMISES 2016\16027 Boccard Nutribio récupération égouttures.doc</t>
  </si>
  <si>
    <t>Débordements collecte égouttures vannes</t>
  </si>
  <si>
    <t>CAP_EMISES 2016\16028 Incident évapo.doc</t>
  </si>
  <si>
    <t>MED</t>
  </si>
  <si>
    <t>ERAMET</t>
  </si>
  <si>
    <t>EN2988</t>
  </si>
  <si>
    <t>2015-055</t>
  </si>
  <si>
    <t>Evapo</t>
  </si>
  <si>
    <t>désolidarisation colonne évapo</t>
  </si>
  <si>
    <t>CAP_EMISES 2016\16029 Eramet Pb As.doc</t>
  </si>
  <si>
    <t xml:space="preserve">présence As </t>
  </si>
  <si>
    <t>R:\QA-NVA IB\CAP\16030 RZBC 2 IEX anion column leg insufficient issue.doc</t>
  </si>
  <si>
    <t>IEX Columns : Leg strength</t>
  </si>
  <si>
    <t>CAP_EMISES 2016\16031 Pilote Polypeptides.doc</t>
  </si>
  <si>
    <t>Polypeptide Laboratories</t>
  </si>
  <si>
    <t>CV-1601-0076</t>
  </si>
  <si>
    <t xml:space="preserve">corrosion corps de pompe d'alimentation </t>
  </si>
  <si>
    <t>CAP_EMISES 2016\16032 Tuyauteries Al Nouran.doc</t>
  </si>
  <si>
    <t>Allia</t>
  </si>
  <si>
    <t>Revêtement anti-corrosion sur tuyauteries</t>
  </si>
  <si>
    <t>CAP_EMISES 2016\16033 Tetrapak.doc</t>
  </si>
  <si>
    <t xml:space="preserve">Tetrapak </t>
  </si>
  <si>
    <t>Méga</t>
  </si>
  <si>
    <t>Rupture tuyau soude sur ED</t>
  </si>
  <si>
    <t>Mega</t>
  </si>
  <si>
    <t>déc.16</t>
  </si>
  <si>
    <t>CAP_EMISES 2016\16034 Tanichem accessibility.doc</t>
  </si>
  <si>
    <t>all</t>
  </si>
  <si>
    <t>Accessibility and ergonomic improvements</t>
  </si>
  <si>
    <t>CAP_EMISES 2016\16035 Tanichem design issue.doc</t>
  </si>
  <si>
    <t>Design issues (insulation, rupture discs spec)</t>
  </si>
  <si>
    <t>CAP_EMISES 2016\16036 Tanichem welding on hydrogenation reactor.doc</t>
  </si>
  <si>
    <t>Welds on reactor after ASME certification</t>
  </si>
  <si>
    <t>CAP_EMISES 2016\16037 Conaprole Uruguay.doc</t>
  </si>
  <si>
    <t>protein content lower than contractual guaranty</t>
  </si>
  <si>
    <t>A faire 03/18</t>
  </si>
  <si>
    <t>CAP_EMISES 2016\16038 CJ Brésil durée de vie membranes BE.doc</t>
  </si>
  <si>
    <t>CJ Brésil</t>
  </si>
  <si>
    <t>CV-1404-0085</t>
  </si>
  <si>
    <t>Kerasep membrane lifetime</t>
  </si>
  <si>
    <t>CAP_EMISES 2016\16039 Glanbia.doc</t>
  </si>
  <si>
    <t>R:\QA-NVA IB\CAP\16040 KLIM Cambodia  column installed with wrong orientation issue.doc</t>
  </si>
  <si>
    <t>KLIM</t>
  </si>
  <si>
    <t xml:space="preserve">column installed with wrong orientation </t>
  </si>
  <si>
    <t>Site erection</t>
  </si>
  <si>
    <t>SZH</t>
  </si>
  <si>
    <t>Shuangqiao</t>
  </si>
  <si>
    <t>internals  assembling  of IEX column</t>
  </si>
  <si>
    <t>CAP_EMISES 2016\16042 TANICHEM Gestion des arrets urgence.doc</t>
  </si>
  <si>
    <t>Non raccordement arrêts d'urgence</t>
  </si>
  <si>
    <t>CAP_EMISES 2016\16043 TANICHEM Protection equipements electriques.doc</t>
  </si>
  <si>
    <t>Equipements automatisme détériorés</t>
  </si>
  <si>
    <t>CAP_EMISES 2016\16044TANICHEM Redondance PLC.doc</t>
  </si>
  <si>
    <t>Abscence de redondance automate</t>
  </si>
  <si>
    <t>Ouverture CAP 16042,043</t>
  </si>
  <si>
    <t>Tps fermeture/ouverte vannes trop long</t>
  </si>
  <si>
    <t>CAP_EMISES 2016\16046TANICHEM Remplacement PT sur filtre charbon.doc</t>
  </si>
  <si>
    <t>Endress Hauser</t>
  </si>
  <si>
    <t>filtre charbon</t>
  </si>
  <si>
    <t>Remplacement PT sur filtre charbon</t>
  </si>
  <si>
    <t>CAP_EMISES 2016\16047 Fufeng fuite vannes.doc</t>
  </si>
  <si>
    <t>DBU</t>
  </si>
  <si>
    <t>FUFENG</t>
  </si>
  <si>
    <t>Burkert</t>
  </si>
  <si>
    <t>Leakage on control valves</t>
  </si>
  <si>
    <t>CAP_EMISES 2016\16048 Biospringer.doc</t>
  </si>
  <si>
    <t>Biospringer</t>
  </si>
  <si>
    <t>SUDMO</t>
  </si>
  <si>
    <t>Commande vannes norme DIN au lieu ISO</t>
  </si>
  <si>
    <t>Spec validation</t>
  </si>
  <si>
    <t>CAP_EMISES 2016\16049 Ouest Import certificat alimentarité.doc</t>
  </si>
  <si>
    <t>MGL</t>
  </si>
  <si>
    <t xml:space="preserve">OUEST IMPORT </t>
  </si>
  <si>
    <t>1885/1886</t>
  </si>
  <si>
    <t>7709/7839</t>
  </si>
  <si>
    <t>Alimentarité matériaux colonnes de décolo</t>
  </si>
  <si>
    <t>CAP_EMISES 2016\16050 Cévital.doc</t>
  </si>
  <si>
    <t>Leakage of resins</t>
  </si>
  <si>
    <t>Commissioning</t>
  </si>
  <si>
    <t>R:\QA-NVA IB\CAP\16051 Fufeng  floor fall down issue.doc</t>
  </si>
  <si>
    <t>Floor fall down</t>
  </si>
  <si>
    <t>R:\QA-NVA IB\CAP\16052 Plasticon FRP pipe chamfer issue.doc</t>
  </si>
  <si>
    <t>2025/2027</t>
  </si>
  <si>
    <t>11291/11432</t>
  </si>
  <si>
    <t>FRP piping chamfer</t>
  </si>
  <si>
    <t>CAP_EMISES 2016\16053 Yi'an Tagging.doc</t>
  </si>
  <si>
    <t>Yi'an</t>
  </si>
  <si>
    <t>Error PID Tags</t>
  </si>
  <si>
    <t>Process design</t>
  </si>
  <si>
    <t>R:\QA-NVA IB\CAP\16054 Fufeng  resin leakage issue.doc</t>
  </si>
  <si>
    <t>Fufeng</t>
  </si>
  <si>
    <t>resin leakage issue</t>
  </si>
  <si>
    <t>CAP_EMISES 2016\16055 Al Nouran Fûts Resine Manquants.doc</t>
  </si>
  <si>
    <t>Bollore</t>
  </si>
  <si>
    <t>Fûts résine manquants</t>
  </si>
  <si>
    <t>R:\QA-NVA IB\CAP\16056 Agrana  piping re-assembly issue on site.doc</t>
  </si>
  <si>
    <t>piping re-assembly issue on site</t>
  </si>
  <si>
    <t>CAP_EMISES 2016\16057 pilote SSMB ADM.doc</t>
  </si>
  <si>
    <t>ADP</t>
  </si>
  <si>
    <t>AJO-0310</t>
  </si>
  <si>
    <t>SSMB Pilot design</t>
  </si>
  <si>
    <t>Pilot design</t>
  </si>
  <si>
    <t>ABS</t>
  </si>
  <si>
    <t>R:\QA-NVA IB\CAP\16058 Shuangqiao wrong pressure calculation issue.doc</t>
  </si>
  <si>
    <t>JHU</t>
  </si>
  <si>
    <t>ShuangQiao</t>
  </si>
  <si>
    <t>1944/1946</t>
  </si>
  <si>
    <t>8410/9122</t>
  </si>
  <si>
    <t>wrong pressure calculation issue</t>
  </si>
  <si>
    <t>CAP_EMISES 2016\16059 Tereos Nesle.doc</t>
  </si>
  <si>
    <t>CV-1602-0049</t>
  </si>
  <si>
    <t xml:space="preserve">High DP2 rate at start-up of NF unit </t>
  </si>
  <si>
    <t>Delay delivery resins</t>
  </si>
  <si>
    <t>SBC</t>
  </si>
  <si>
    <t>Error reference Kerasep membranes</t>
  </si>
  <si>
    <t>TAT Omnia</t>
  </si>
  <si>
    <t>cation working, bad smell syrup, quality final product</t>
  </si>
  <si>
    <t>Bossard</t>
  </si>
  <si>
    <t>PLC cards undersized</t>
  </si>
  <si>
    <t>Cargill</t>
  </si>
  <si>
    <t>PID</t>
  </si>
  <si>
    <t>Error functionnal analysis (PR60)</t>
  </si>
  <si>
    <t>CHP/RMU</t>
  </si>
  <si>
    <t>ECR</t>
  </si>
  <si>
    <t>Agrana</t>
  </si>
  <si>
    <t>Althammer</t>
  </si>
  <si>
    <t>Error nozzle diameter soft water tank</t>
  </si>
  <si>
    <t>A faire 12/19</t>
  </si>
  <si>
    <t>en fin de projet</t>
  </si>
  <si>
    <t>C615 ID plate support damaged</t>
  </si>
  <si>
    <t>Asia purchase</t>
  </si>
  <si>
    <t>FBA</t>
  </si>
  <si>
    <t>C625 ID plate support damaged</t>
  </si>
  <si>
    <t>C635 ID plate support damaged</t>
  </si>
  <si>
    <t>cationic/anionic columns showing coating damages</t>
  </si>
  <si>
    <t>ABN</t>
  </si>
  <si>
    <t>internal diameter PP piping too small</t>
  </si>
  <si>
    <t>missing studs on all flanges of vessels</t>
  </si>
  <si>
    <t>ABN/ACR</t>
  </si>
  <si>
    <t>painting colour for IEX columns of Phase I is wrong</t>
  </si>
  <si>
    <t>CV-1611-0025</t>
  </si>
  <si>
    <t>outside kerasep membrane storage</t>
  </si>
  <si>
    <t>Beneo Orafti</t>
  </si>
  <si>
    <t>CV-1612-0038</t>
  </si>
  <si>
    <t>resin delivery delay</t>
  </si>
  <si>
    <t>resin purchase</t>
  </si>
  <si>
    <t>CAP17054</t>
  </si>
  <si>
    <t>Mérial</t>
  </si>
  <si>
    <t>Valorel</t>
  </si>
  <si>
    <t>trace of rust on UF52 module</t>
  </si>
  <si>
    <t xml:space="preserve">TAT </t>
  </si>
  <si>
    <t>conical filter on piping deformed</t>
  </si>
  <si>
    <t>Purolite</t>
  </si>
  <si>
    <t>resin doesn't in accordance with FDA requirements</t>
  </si>
  <si>
    <t>CAP 17055</t>
  </si>
  <si>
    <t>Achat</t>
  </si>
  <si>
    <t>Alfa Laval</t>
  </si>
  <si>
    <t>Project management, quality equipment</t>
  </si>
  <si>
    <t>site mounting</t>
  </si>
  <si>
    <t>Alfa laval</t>
  </si>
  <si>
    <t>Wuhan Friendship</t>
  </si>
  <si>
    <t>CJ1324</t>
  </si>
  <si>
    <t>The gravel purchased by client himself was not qualified</t>
  </si>
  <si>
    <t>Endress hauser</t>
  </si>
  <si>
    <t>Flowmeter technology no adapted</t>
  </si>
  <si>
    <t>piping pb, mounting impossibility</t>
  </si>
  <si>
    <t>Armor Protéine</t>
  </si>
  <si>
    <t>leakage welding SSMB cells</t>
  </si>
  <si>
    <t>EWI/SMR</t>
  </si>
  <si>
    <t>defect of piping assembly</t>
  </si>
  <si>
    <t>Tetra Pak</t>
  </si>
  <si>
    <t>CV-1609-0011</t>
  </si>
  <si>
    <t>convex tightening plate of K99 modules</t>
  </si>
  <si>
    <t>Sunoko</t>
  </si>
  <si>
    <t>resin leakage on network plates</t>
  </si>
  <si>
    <t>A faire 07/18</t>
  </si>
  <si>
    <t xml:space="preserve">reporté à l'issue du litige </t>
  </si>
  <si>
    <t>ADM US</t>
  </si>
  <si>
    <t>TU01 error : reversed Extract/Raffinate collectors</t>
  </si>
  <si>
    <t>piping material error (CS instead of SS)</t>
  </si>
  <si>
    <t>EN3068</t>
  </si>
  <si>
    <t>acid solution projection</t>
  </si>
  <si>
    <t>collision betweenplatform &amp; manholes of columns</t>
  </si>
  <si>
    <t>Mismanagement of AF updates during commissioning</t>
  </si>
  <si>
    <t>A faire 01/19</t>
  </si>
  <si>
    <t>reporté à la clôture projet</t>
  </si>
  <si>
    <t>Valve wiring problem with 2 limit switches</t>
  </si>
  <si>
    <t>VXI</t>
    <phoneticPr fontId="10" type="noConversion"/>
  </si>
  <si>
    <t>FUFENG</t>
    <phoneticPr fontId="10" type="noConversion"/>
  </si>
  <si>
    <t>MF</t>
    <phoneticPr fontId="10" type="noConversion"/>
  </si>
  <si>
    <t>MF membranes abrasion</t>
    <phoneticPr fontId="10" type="noConversion"/>
  </si>
  <si>
    <t>VXI</t>
  </si>
  <si>
    <t>SXI</t>
    <phoneticPr fontId="10" type="noConversion"/>
  </si>
  <si>
    <t>RZBC</t>
    <phoneticPr fontId="10" type="noConversion"/>
  </si>
  <si>
    <t>Nozzles are not qualified</t>
    <phoneticPr fontId="10" type="noConversion"/>
  </si>
  <si>
    <t>SABE</t>
  </si>
  <si>
    <t>Supplier's error on the electrical characteristics of the motors</t>
  </si>
  <si>
    <t>Sabe</t>
  </si>
  <si>
    <t>ADM Turquie</t>
  </si>
  <si>
    <t>AEI budget underestimated</t>
  </si>
  <si>
    <t>System order acquisition</t>
  </si>
  <si>
    <t>Offer quotation</t>
  </si>
  <si>
    <t>SPB</t>
  </si>
  <si>
    <t>KLIM Cambodge</t>
  </si>
  <si>
    <t>Chinese translation of supervision views</t>
  </si>
  <si>
    <t>Dysfonction ED unit</t>
  </si>
  <si>
    <t>ACR/SMR</t>
  </si>
  <si>
    <t>Tetra Pak/ Glycom</t>
  </si>
  <si>
    <t>Breakage of BE Kerasep membranes</t>
  </si>
  <si>
    <t>EWI/PBO</t>
  </si>
  <si>
    <t>SBC</t>
    <phoneticPr fontId="10" type="noConversion"/>
  </si>
  <si>
    <t>ZIYOU</t>
    <phoneticPr fontId="10" type="noConversion"/>
  </si>
  <si>
    <t>all</t>
    <phoneticPr fontId="10" type="noConversion"/>
  </si>
  <si>
    <t>goods packing issue</t>
    <phoneticPr fontId="10" type="noConversion"/>
  </si>
  <si>
    <t>WWE</t>
    <phoneticPr fontId="10" type="noConversion"/>
  </si>
  <si>
    <t>HUATANG</t>
    <phoneticPr fontId="10" type="noConversion"/>
  </si>
  <si>
    <t>Decolo/MF</t>
  </si>
  <si>
    <t>piping issue</t>
    <phoneticPr fontId="10" type="noConversion"/>
  </si>
  <si>
    <t>IEX position and backwashing nozzle issues</t>
    <phoneticPr fontId="10" type="noConversion"/>
  </si>
  <si>
    <t>EGU</t>
    <phoneticPr fontId="10" type="noConversion"/>
  </si>
  <si>
    <t>JINLONG</t>
    <phoneticPr fontId="10" type="noConversion"/>
  </si>
  <si>
    <t>MB manhole height issue</t>
    <phoneticPr fontId="10" type="noConversion"/>
  </si>
  <si>
    <t>ARIAS</t>
  </si>
  <si>
    <t>CV-1507-0069</t>
  </si>
  <si>
    <t>proteins loss higher than our guarantees</t>
  </si>
  <si>
    <t>discomfort on customer site</t>
  </si>
  <si>
    <t>Breakage of Kerasep membranes</t>
  </si>
  <si>
    <t>CAP 18008</t>
  </si>
  <si>
    <t>CIP Filter damaged by tartar</t>
  </si>
  <si>
    <t>JZH</t>
    <phoneticPr fontId="10" type="noConversion"/>
  </si>
  <si>
    <t>YIXING</t>
    <phoneticPr fontId="10" type="noConversion"/>
  </si>
  <si>
    <t>NOVASEP SMB</t>
    <phoneticPr fontId="10" type="noConversion"/>
  </si>
  <si>
    <t>CJ1077</t>
    <phoneticPr fontId="10" type="noConversion"/>
  </si>
  <si>
    <t>SSMB</t>
    <phoneticPr fontId="10" type="noConversion"/>
  </si>
  <si>
    <t>strainer material is wrong</t>
    <phoneticPr fontId="10" type="noConversion"/>
  </si>
  <si>
    <t>RZBC2</t>
    <phoneticPr fontId="10" type="noConversion"/>
  </si>
  <si>
    <t>SPIE</t>
    <phoneticPr fontId="10" type="noConversion"/>
  </si>
  <si>
    <t>IEX</t>
    <phoneticPr fontId="10" type="noConversion"/>
  </si>
  <si>
    <t>The program is not completed</t>
    <phoneticPr fontId="10" type="noConversion"/>
  </si>
  <si>
    <t>Cargill Manchester</t>
  </si>
  <si>
    <t>Management of gravel supply</t>
  </si>
  <si>
    <t>CAP19015</t>
  </si>
  <si>
    <t>JLI</t>
    <phoneticPr fontId="10" type="noConversion"/>
  </si>
  <si>
    <t>Fufeng</t>
    <phoneticPr fontId="10" type="noConversion"/>
  </si>
  <si>
    <t>Hose broken,  Jeff burn by hot water and resin</t>
    <phoneticPr fontId="10" type="noConversion"/>
  </si>
  <si>
    <t>NVSA</t>
    <phoneticPr fontId="10" type="noConversion"/>
  </si>
  <si>
    <t>YINMORE</t>
    <phoneticPr fontId="10" type="noConversion"/>
  </si>
  <si>
    <t>Heibei KNT FRP</t>
  </si>
  <si>
    <t>The nozzle plate was not oriented at the right angle</t>
  </si>
  <si>
    <t>JHU</t>
    <phoneticPr fontId="10" type="noConversion"/>
  </si>
  <si>
    <t>HAIYI</t>
    <phoneticPr fontId="10" type="noConversion"/>
  </si>
  <si>
    <t>MF &amp; SSMB</t>
    <phoneticPr fontId="10" type="noConversion"/>
  </si>
  <si>
    <t>The name plate of HE is wrong</t>
    <phoneticPr fontId="10" type="noConversion"/>
  </si>
  <si>
    <t>TAT Nisasta</t>
  </si>
  <si>
    <t>DOW-Bolloré</t>
  </si>
  <si>
    <t>DOW, Bolloré</t>
  </si>
  <si>
    <t>BRAY</t>
    <phoneticPr fontId="10" type="noConversion"/>
  </si>
  <si>
    <t>Valve malfunction and recovery rate low</t>
    <phoneticPr fontId="10" type="noConversion"/>
  </si>
  <si>
    <t>DBR</t>
  </si>
  <si>
    <t>Novatrade</t>
  </si>
  <si>
    <t>Difficulty in making the down payment</t>
  </si>
  <si>
    <t>CAP_EMISES 2018\18001 Tereos Nesle.docm</t>
  </si>
  <si>
    <t>CV-1611-0050</t>
  </si>
  <si>
    <t>breaking gaskets NF membrane</t>
  </si>
  <si>
    <t>CAP_EMISES 2018\18002 Mefsco - reges cation &amp; anion.docm</t>
  </si>
  <si>
    <t xml:space="preserve">PID </t>
  </si>
  <si>
    <t>Hydraulic issues during cation/anion regeneration</t>
  </si>
  <si>
    <t>SPB/SOV</t>
  </si>
  <si>
    <t>CAP_EMISES 2018\18003 Hilmar Cheese.docm</t>
  </si>
  <si>
    <t>Hilmar Cheese</t>
  </si>
  <si>
    <t>Andritz</t>
  </si>
  <si>
    <t>CV-1708-0057</t>
  </si>
  <si>
    <t>Supplier purchase order oversight</t>
  </si>
  <si>
    <t>R:\QA-NVA IB\CAP\18004 Canlac abbott base issue.docm</t>
  </si>
  <si>
    <t>IER</t>
    <phoneticPr fontId="10" type="noConversion"/>
  </si>
  <si>
    <t>Canlac Abbott</t>
  </si>
  <si>
    <t>Prevent / improve</t>
    <phoneticPr fontId="10" type="noConversion"/>
  </si>
  <si>
    <t>The anchoring bolts too close to insulation  hinder couter drilling on concrete</t>
  </si>
  <si>
    <t>I&amp;R process</t>
    <phoneticPr fontId="10" type="noConversion"/>
  </si>
  <si>
    <t>Manpower / Main d'œuvre</t>
    <phoneticPr fontId="10" type="noConversion"/>
  </si>
  <si>
    <t>R:\QA-NVA IB\CAP\18005  Cargill IEX top manhole FEA issue.docm</t>
  </si>
  <si>
    <t>GREETH</t>
    <phoneticPr fontId="10" type="noConversion"/>
  </si>
  <si>
    <t>Pdt unconformity</t>
    <phoneticPr fontId="10" type="noConversion"/>
  </si>
  <si>
    <t>Anionic column</t>
  </si>
  <si>
    <t>The top manhole on anionic IEX column FEA calculation can't pass</t>
  </si>
  <si>
    <t>Method / Méthode</t>
    <phoneticPr fontId="10" type="noConversion"/>
  </si>
  <si>
    <t>CAP_EMISES 2018\18006 surpresseur-refroisseur Atlas.docm</t>
  </si>
  <si>
    <t>Pfeifer and Langen</t>
  </si>
  <si>
    <t>Atlas Copco</t>
  </si>
  <si>
    <t>Supplier quotation not updated in PkPv</t>
  </si>
  <si>
    <t>CAP_EMISES 2018\18007 CEVA.docm</t>
  </si>
  <si>
    <t>CEVA</t>
  </si>
  <si>
    <t>NVS PMP</t>
  </si>
  <si>
    <t>Carbosep modules mounting issues</t>
  </si>
  <si>
    <t>CAP_EMISES 2018\18008 CJ MALAISIE - CASSE MEMBRANE.docm</t>
  </si>
  <si>
    <t>CJ Malaisie</t>
  </si>
  <si>
    <t>NPA/EWI</t>
  </si>
  <si>
    <t>CAP_EMISES 2018\18009 Accdt FMG.docm</t>
  </si>
  <si>
    <t>Fall of an employee outside staircase</t>
  </si>
  <si>
    <t>R:\QA-NVA IB\CAP\18010 Fufeng membranes issue.docm</t>
  </si>
  <si>
    <t>FUFENG 7</t>
  </si>
  <si>
    <t>DANAI</t>
    <phoneticPr fontId="10" type="noConversion"/>
  </si>
  <si>
    <t>The membranes were damaged by SS scraps in manifolds</t>
  </si>
  <si>
    <t>CAP_EMISES 2018\18011 Friesland Moonraker.docm</t>
  </si>
  <si>
    <t>Friesland Campina</t>
  </si>
  <si>
    <t>STCL Bossard Concept inox</t>
  </si>
  <si>
    <t>delay in units delivery, welding quality issue</t>
  </si>
  <si>
    <t>R:\QA-NVA IB\CAP\18012 Xiangyu TRP Column bottom and top board deformation issue.docx</t>
  </si>
  <si>
    <t>Xiangyu</t>
    <phoneticPr fontId="10" type="noConversion"/>
  </si>
  <si>
    <t>Column bottom and top board deformation</t>
    <phoneticPr fontId="10" type="noConversion"/>
  </si>
  <si>
    <t>CAP_EMISES 2018\18013 STCL.docm</t>
  </si>
  <si>
    <t>Welding quality issue MF skid</t>
  </si>
  <si>
    <t>Purchase/meca design</t>
  </si>
  <si>
    <t>SOV/JNJ</t>
  </si>
  <si>
    <t>CAP19003</t>
  </si>
  <si>
    <t>CV-1708-0012</t>
  </si>
  <si>
    <t>Resins tagging error</t>
  </si>
  <si>
    <t>CAP_EMISES 2018\18015 YCSR Yemen Buses K1.docm</t>
  </si>
  <si>
    <t>YCSR</t>
  </si>
  <si>
    <t>Composites Vec</t>
  </si>
  <si>
    <t>CV-1801-0018</t>
  </si>
  <si>
    <t>Defective nozzles</t>
  </si>
  <si>
    <t>CompositesVec</t>
  </si>
  <si>
    <t>R:\QA-NVA IB\CAP\18016 Archer Zhang site accident - broken foot - PFA.docm</t>
  </si>
  <si>
    <t>PFA</t>
    <phoneticPr fontId="10" type="noConversion"/>
  </si>
  <si>
    <t>WANBANG</t>
    <phoneticPr fontId="10" type="noConversion"/>
  </si>
  <si>
    <t>PN2997</t>
    <phoneticPr fontId="10" type="noConversion"/>
  </si>
  <si>
    <t>Archer Zhang site accident - broken foot</t>
    <phoneticPr fontId="10" type="noConversion"/>
  </si>
  <si>
    <t>Equipement</t>
  </si>
  <si>
    <t>CAP_EMISES 2018\18017 Vale Inco.docm</t>
  </si>
  <si>
    <t>Vale Inco</t>
  </si>
  <si>
    <t>CV-1804-0001</t>
  </si>
  <si>
    <t>Error of purchased nozzle references</t>
  </si>
  <si>
    <t>CAP_EMISES 2018\18018 Friesland retard livraison skids UF RO.docm</t>
  </si>
  <si>
    <t>Concept Inox Bossard</t>
  </si>
  <si>
    <t>UF RO</t>
  </si>
  <si>
    <t>Delay UF RO skids delivery</t>
  </si>
  <si>
    <t xml:space="preserve">project management </t>
  </si>
  <si>
    <t>CAP_EMISES 2018\18019 ADM US-Borniers dans armoire.docm</t>
  </si>
  <si>
    <t>SPIE</t>
  </si>
  <si>
    <t>Error in the choice of electrical terminal blocks</t>
  </si>
  <si>
    <t>AEI design</t>
  </si>
  <si>
    <t>CAP_EMISES 2018\18020 Beneo.docm</t>
  </si>
  <si>
    <t>BENEO Chili</t>
  </si>
  <si>
    <t>2018-009</t>
  </si>
  <si>
    <t>cIEX</t>
  </si>
  <si>
    <t>Regeneration protocol pb and not adapted pilot</t>
  </si>
  <si>
    <t>R&amp;D piloting</t>
  </si>
  <si>
    <t>CAP_EMISES 2018\18021 Biospringer fuite module K99 G3.docm</t>
  </si>
  <si>
    <t>CMN</t>
  </si>
  <si>
    <t>K99 module leakage</t>
  </si>
  <si>
    <t>R:\QA-NVA IB\CAP\18022 CJ internals fabrication issue.docm</t>
  </si>
  <si>
    <t>NVSA</t>
    <phoneticPr fontId="16" type="noConversion"/>
  </si>
  <si>
    <t>WWE</t>
    <phoneticPr fontId="16" type="noConversion"/>
  </si>
  <si>
    <t>CJ GMP1</t>
    <phoneticPr fontId="16" type="noConversion"/>
  </si>
  <si>
    <t>Composite vec</t>
  </si>
  <si>
    <t>CIEX</t>
    <phoneticPr fontId="16" type="noConversion"/>
  </si>
  <si>
    <t>The mismatch on internals parts</t>
  </si>
  <si>
    <t>RCH/SOV</t>
  </si>
  <si>
    <t>R:\QA-NVA IB\CAP\18023-Yinmore Nozzles issue.docm</t>
  </si>
  <si>
    <t>Yinmore-Haisum</t>
    <phoneticPr fontId="16" type="noConversion"/>
  </si>
  <si>
    <t>IEX</t>
    <phoneticPr fontId="16" type="noConversion"/>
  </si>
  <si>
    <t>The nozzle under internal backwashing flange can't be mounted</t>
  </si>
  <si>
    <t>RCH</t>
    <phoneticPr fontId="10" type="noConversion"/>
  </si>
  <si>
    <t>CAP_EMISES 2018\18024 Soin LLR.docm</t>
  </si>
  <si>
    <t>Sucden</t>
  </si>
  <si>
    <t>2018-001</t>
  </si>
  <si>
    <t>Rotavapor balloon breakage</t>
  </si>
  <si>
    <t>Laboratory tests</t>
  </si>
  <si>
    <t>R:\QA-NVA IB\CAP\18025-ADM 2 FT issue.docm</t>
  </si>
  <si>
    <t>ALI</t>
    <phoneticPr fontId="10" type="noConversion"/>
  </si>
  <si>
    <t>ADM</t>
    <phoneticPr fontId="10" type="noConversion"/>
  </si>
  <si>
    <t>E+H</t>
    <phoneticPr fontId="10" type="noConversion"/>
  </si>
  <si>
    <t>SSMB+MB</t>
    <phoneticPr fontId="10" type="noConversion"/>
  </si>
  <si>
    <t>The electromagnetic flowmeter doesn't work properly</t>
    <phoneticPr fontId="10" type="noConversion"/>
  </si>
  <si>
    <t>CAP_EMISES 2018\18026 Téréos Chevrières.docm</t>
  </si>
  <si>
    <t>Téréos Chevrières</t>
  </si>
  <si>
    <t>CV-1710-0020</t>
  </si>
  <si>
    <t>Amine taste of liquid sugar</t>
  </si>
  <si>
    <t>CAP_EMISES 2018\18027 Mérial St-Priest.docm</t>
  </si>
  <si>
    <t>CV-1807-0027</t>
  </si>
  <si>
    <t xml:space="preserve">Leakage and broken Carbosep mbres </t>
  </si>
  <si>
    <t>CAP_EMISES 2018\18028 QNS.docm</t>
  </si>
  <si>
    <t>QNS</t>
  </si>
  <si>
    <t>X</t>
  </si>
  <si>
    <t>Decolo/NF</t>
  </si>
  <si>
    <t>PID Tags coding error</t>
  </si>
  <si>
    <t>CAP_EMISES 2018\18029 CEVA Chine Module S52  1709-02.docm</t>
  </si>
  <si>
    <t>ExMPT</t>
  </si>
  <si>
    <t>flatness defect on permeate output module S52</t>
  </si>
  <si>
    <t>CAP_EMISES 2018\18030 BDU_KLIM3-Bolloré.docm</t>
  </si>
  <si>
    <t>KLIM 3</t>
  </si>
  <si>
    <t>Shipment of material subject to export license without license</t>
  </si>
  <si>
    <t>CAP_EMISES 2018\18031 Friesland Moonraker pompe OI.docm</t>
  </si>
  <si>
    <t>AKO</t>
  </si>
  <si>
    <t>Broken booster pump</t>
  </si>
  <si>
    <t>8D-KT</t>
  </si>
  <si>
    <t>CAP_EMISES 2018\18032 CARGILL SPAIN.docm</t>
  </si>
  <si>
    <t>Cargill Spain</t>
  </si>
  <si>
    <t>Gree KCH</t>
  </si>
  <si>
    <t>Leak on cationic column</t>
  </si>
  <si>
    <t>CAP_EMISES 2018\18033 Cargill Sight glass.docm</t>
  </si>
  <si>
    <t>Gree KCH Huaming</t>
  </si>
  <si>
    <t>Resin leakage on sight glass column</t>
  </si>
  <si>
    <t>CAP_EMISES 2018\18034 Agrana-fuite résine.docm</t>
  </si>
  <si>
    <t>Resin leakage on SSMB column</t>
  </si>
  <si>
    <t>A faire 12/20</t>
  </si>
  <si>
    <t>reporté à la clôture projet, intervention SOV fin 2020</t>
  </si>
  <si>
    <t xml:space="preserve"> </t>
  </si>
  <si>
    <t>Missing organic membranes</t>
  </si>
  <si>
    <t>Shipment</t>
  </si>
  <si>
    <t>R:\QA-NVA IB\CAP\18036 Fufeng Lysine gasket leakage issue.docm</t>
  </si>
  <si>
    <t>HUAMING/ZY</t>
    <phoneticPr fontId="10" type="noConversion"/>
  </si>
  <si>
    <t>Gaskets of front piping leakage</t>
    <phoneticPr fontId="10" type="noConversion"/>
  </si>
  <si>
    <t>CAP_EMISES 2018\18037 GOI livraison silex.docm</t>
  </si>
  <si>
    <t>CV-1803-0017</t>
  </si>
  <si>
    <t>Damaged gravels bags/pallets</t>
  </si>
  <si>
    <t>cde en cours</t>
  </si>
  <si>
    <t>CAP_EMISES 2019\19001 Bac BW Agrana.docm</t>
  </si>
  <si>
    <t>FBI</t>
  </si>
  <si>
    <t>Back wash tank design</t>
  </si>
  <si>
    <t>R:\QA-NVA IB\CAP\19002 QNS 300# gaskest material mistake issue.docm</t>
  </si>
  <si>
    <t>QNS</t>
    <phoneticPr fontId="10" type="noConversion"/>
  </si>
  <si>
    <t>HUAMING</t>
    <phoneticPr fontId="10" type="noConversion"/>
  </si>
  <si>
    <t>Decolo/MF</t>
    <phoneticPr fontId="10" type="noConversion"/>
  </si>
  <si>
    <t>Material of 300# gasket should be PTFE instead of EPDM, wrong chosed in spec</t>
  </si>
  <si>
    <t>Commissioning</t>
    <phoneticPr fontId="10" type="noConversion"/>
  </si>
  <si>
    <t>CAP_EMISES 2019\19003 Friesland GOS75_Labbe\19003 GOS75_LABBE.docm</t>
  </si>
  <si>
    <t>LABBE</t>
  </si>
  <si>
    <t>Welding quality issue chromato columns</t>
  </si>
  <si>
    <t>A faire 01/21</t>
  </si>
  <si>
    <t>pas nouveau projet, à décaler 2021</t>
  </si>
  <si>
    <t>CAP_EMISES 2019\19004 Sunar\19004 SUNAR.docm</t>
  </si>
  <si>
    <t>LRD</t>
  </si>
  <si>
    <t>Sunar</t>
  </si>
  <si>
    <t>RD2018-048</t>
  </si>
  <si>
    <t>Insufficient URS at the begining of the project</t>
  </si>
  <si>
    <t>CAP_EMISES 2019\19005 GOI conditionnement résine\19005 GOI conditionnement résines.docm</t>
  </si>
  <si>
    <t>CDL</t>
  </si>
  <si>
    <t>Poor packaging of resins</t>
  </si>
  <si>
    <t>packaging</t>
  </si>
  <si>
    <t>CAP19052</t>
  </si>
  <si>
    <t>CAP_EMISES 2019\19006 PARAG Bolloré\19006 PARAG.docm</t>
  </si>
  <si>
    <t>Parag</t>
  </si>
  <si>
    <t>CV-1809-0017</t>
  </si>
  <si>
    <t>Bad resine reference sent to customer</t>
  </si>
  <si>
    <t>Bolloré</t>
  </si>
  <si>
    <t>CAP_EMISES 2019\19007 Olon Filtres\19007 OLON filtres auto-nettoyants.docm</t>
  </si>
  <si>
    <t>RDA</t>
  </si>
  <si>
    <t>OLON</t>
  </si>
  <si>
    <t>Important budget difference between offer and order of self-cleaning filters</t>
  </si>
  <si>
    <t>CAP_EMISES 2019\19008 Alkem Mauvais cablage\19008 Alkem Mauvais cablage.docm</t>
  </si>
  <si>
    <t>ALKEM</t>
  </si>
  <si>
    <t>Bad wiring done by customer from electrical diagrams provided</t>
  </si>
  <si>
    <t>CAP_EMISES 2019\19009 BBCA\19009 BBCA.docm</t>
  </si>
  <si>
    <t>SC</t>
  </si>
  <si>
    <t>CV-1902-0012</t>
  </si>
  <si>
    <t>Delay to place purchase order</t>
  </si>
  <si>
    <t>CAP_EMISES 2019\19010 Danone Nutricia\19010 Nutricia Danone.docm</t>
  </si>
  <si>
    <t>Danone</t>
  </si>
  <si>
    <t>EN-3168</t>
  </si>
  <si>
    <t>Hydrolysis of a customer sample stored at room temperature</t>
  </si>
  <si>
    <t>sample reception</t>
  </si>
  <si>
    <t>R:\QA-NVA IB\CAP\19011 CJ GMP3 LSH-LSL height mistake.docm</t>
  </si>
  <si>
    <t>CJ Liaocheng</t>
  </si>
  <si>
    <t>The height of LSH/LSL is wrong</t>
    <phoneticPr fontId="10" type="noConversion"/>
  </si>
  <si>
    <t>YES</t>
    <phoneticPr fontId="10" type="noConversion"/>
  </si>
  <si>
    <t>R:\QA-NVA IB\CAP\19012 CJ Jombang  CIEX resin package issue.docm</t>
  </si>
  <si>
    <t>Mitsubishi</t>
  </si>
  <si>
    <t>The resin package should be blank.</t>
  </si>
  <si>
    <t>Resin marking</t>
  </si>
  <si>
    <t>CAP_EMISES 2019\19013 QNS - blower\19013 Blower QNS.docm</t>
  </si>
  <si>
    <t>AERZEN</t>
  </si>
  <si>
    <t>Blower not purchased on time</t>
  </si>
  <si>
    <t>CAP_EMISES 2019\19014 Ingredion - Bray\19014 Ingredion -Bray.docm</t>
  </si>
  <si>
    <t>Ingredion</t>
  </si>
  <si>
    <t>Material of butterfly valves</t>
  </si>
  <si>
    <t>CAP_EMISES 2019\19015 Alkem - silex\19015 Alkem- silex.docm</t>
  </si>
  <si>
    <t>Alkem</t>
  </si>
  <si>
    <t>Gravel not delivered to customer site</t>
  </si>
  <si>
    <t>R:\QA-NVA IB\CAP\19016 CJ Brazil Sulzer motor issue.docm</t>
  </si>
  <si>
    <t>SUXI</t>
    <phoneticPr fontId="10" type="noConversion"/>
  </si>
  <si>
    <t>CJ Brazil</t>
  </si>
  <si>
    <t>SULZER</t>
    <phoneticPr fontId="10" type="noConversion"/>
  </si>
  <si>
    <t>The Sulzer motor missed delivery</t>
  </si>
  <si>
    <t>NO</t>
    <phoneticPr fontId="10" type="noConversion"/>
  </si>
  <si>
    <t>R:\QA-NVA IB\CAP\19017 CJ Brazil Ebro delivery mistake issue.docm</t>
  </si>
  <si>
    <t>Ebro</t>
    <phoneticPr fontId="10" type="noConversion"/>
  </si>
  <si>
    <t>The Ebro valves delivery mistake</t>
  </si>
  <si>
    <t>R:\QA-NVA IB\CAP\19018 HuaQiao Ebro valves indicator wrong position issue.docm</t>
  </si>
  <si>
    <t>GYO</t>
    <phoneticPr fontId="10" type="noConversion"/>
  </si>
  <si>
    <t>HUAQIAO</t>
    <phoneticPr fontId="10" type="noConversion"/>
  </si>
  <si>
    <t>Butterfly valve disc position indicators are wrongly mounted</t>
  </si>
  <si>
    <t>R:\QA-NVA IB\CAP\19019  Klim 3 (Ethiopia) import resin packing list issue.docm</t>
  </si>
  <si>
    <t>KLIM</t>
    <phoneticPr fontId="10" type="noConversion"/>
  </si>
  <si>
    <t>Decolo</t>
    <phoneticPr fontId="10" type="noConversion"/>
  </si>
  <si>
    <t>Resin packing list information wrong</t>
  </si>
  <si>
    <t>CAP_EMISES 2019\19020 Olon EV\19020 OLON Electrovannes VAC - VDC.docm</t>
  </si>
  <si>
    <t>MF solenoid valves specifications error</t>
  </si>
  <si>
    <t>R:\QA-NVA IB\CAP\19021 CJ Brazil Sulzer coupling issue.docm</t>
  </si>
  <si>
    <t>CJ Brazil</t>
    <phoneticPr fontId="10" type="noConversion"/>
  </si>
  <si>
    <t>Sulzer circulation pump GA2242 coupling rubber tire(Martin) was broken</t>
    <phoneticPr fontId="10" type="noConversion"/>
  </si>
  <si>
    <t>CAP_EMISES 2019\19022 Pfeifer and langen\19022 Pfeifer and langen - positionnement pied des colones.docm</t>
  </si>
  <si>
    <t>Misposition column feet</t>
  </si>
  <si>
    <t>CAP_EMISES 2019\19023 MAG\19023 MAG.docm</t>
  </si>
  <si>
    <t>MAG</t>
  </si>
  <si>
    <t>Untested exchange table on customer site</t>
  </si>
  <si>
    <t>CAP_EMISES 2019\19024 TEREOS Chevrières\19024 TEREOS CHEVRIERES RESINES.docm</t>
  </si>
  <si>
    <t>Tereos Chevrières</t>
  </si>
  <si>
    <t>CV-1903-0027</t>
  </si>
  <si>
    <t>Lack of resins delivery information</t>
  </si>
  <si>
    <t>R:\QA-NVA IB\CAP\19025 Fufeng 10 flashing tank flange mistake.docm</t>
  </si>
  <si>
    <t>ZY</t>
    <phoneticPr fontId="10" type="noConversion"/>
  </si>
  <si>
    <t>Flange DN150 on degassing tank F160 is too small</t>
  </si>
  <si>
    <t>CAP_EMISES 2019\19026 MAG reglage parametres\19026 MAG.docm</t>
  </si>
  <si>
    <t>Default settings and screenshot</t>
  </si>
  <si>
    <t>CAP_EMISES 2019\19027 OLON- montage sondes\19027 OLON montage sondes.docm</t>
  </si>
  <si>
    <t>Mounting problem pH and conductivity probes</t>
  </si>
  <si>
    <t>CAP_EMISES 2019\19028 QNS- refroidisseur\19028 QNS -Air cooler.docm</t>
  </si>
  <si>
    <t>Air cooler order not generated despite of its specification</t>
  </si>
  <si>
    <t>R:\QA-NVA IB\CAP\19029 CJ Liaocheng Bolts length issue.docm</t>
  </si>
  <si>
    <t>CJ LIAOCHENG</t>
  </si>
  <si>
    <t>CIEX</t>
    <phoneticPr fontId="10" type="noConversion"/>
  </si>
  <si>
    <t>Bolts length is not long enough</t>
    <phoneticPr fontId="10" type="noConversion"/>
  </si>
  <si>
    <t>R:\QA-NVA IB\CAP\19030 CJ Liaocheng fasterner drawing updating issue.docm</t>
  </si>
  <si>
    <t>CJ LIAOCHENG</t>
    <phoneticPr fontId="10" type="noConversion"/>
  </si>
  <si>
    <t>Drawing updating and following should be continuously tracking</t>
    <phoneticPr fontId="10" type="noConversion"/>
  </si>
  <si>
    <t>CAP_EMISES 2019\19031 ADM- Bolloré\19031 ADM - Bolloré.docm</t>
  </si>
  <si>
    <t>CJA</t>
  </si>
  <si>
    <t>CV-1905-0071</t>
  </si>
  <si>
    <t>Package sent by mistake to a customer</t>
  </si>
  <si>
    <t>Connection issue pH and conductivity probes on tank (NA Connect)</t>
  </si>
  <si>
    <t>CAP_EMISES 2019\19033 Pfeifer &amp; Langen moteur ventilateur\19033 Pfeifer &amp; Langen moteru ventilo.docm</t>
  </si>
  <si>
    <t>Fan blower forgotten for electrical study</t>
  </si>
  <si>
    <t>CAP_EMISES 2019\19034 Chengxin Bolloré\19034 Chengxin Bolloré.docm</t>
  </si>
  <si>
    <t>CHENGXIN</t>
  </si>
  <si>
    <t>Issue with Re-Labelling of XA Resins by our Logistic Supplier</t>
  </si>
  <si>
    <t>CAP_EMISES 2019\19035 OLON MTCI\19035 OLON_MTCI drain MF.docm</t>
  </si>
  <si>
    <t>Manufacturing and mounting failure of MF drain piping</t>
  </si>
  <si>
    <t>CAP_EMISES 2019\19036 Etude labo\19036 Etuve labo.docm</t>
  </si>
  <si>
    <t>Overheating of a R&amp;D oven</t>
  </si>
  <si>
    <t>CAP_EMISES 2019\19037 définition DP\19037 P&amp;L DP.docm</t>
  </si>
  <si>
    <t>DP definition</t>
  </si>
  <si>
    <t>CAP_EMISES 2019\19038 Dédouanement produit R&amp;D\19038 Tate &amp; Lyle_dédouanement produit R&amp;D.docm</t>
  </si>
  <si>
    <t>AGI</t>
  </si>
  <si>
    <t>Tate &amp; Lyle</t>
  </si>
  <si>
    <t>2019-044</t>
  </si>
  <si>
    <t>Customer sample received late at NVS SMB</t>
  </si>
  <si>
    <t>CAP_EMISES 2019\19039 Ingredion\19039 Ingredion.docm</t>
  </si>
  <si>
    <t>Forgotten item from Novasep scope</t>
  </si>
  <si>
    <t>CAP_EMISES 2019\19040 Rousselot\19040 Rousselot membranes trop courtes.docm</t>
  </si>
  <si>
    <t>Rousselot</t>
  </si>
  <si>
    <t>CV-1904-0060</t>
  </si>
  <si>
    <t>Kerasep membrane length problem</t>
  </si>
  <si>
    <t>CAP_EMISES 2019\19041 Parry Sugar livraison mbres NF\19041 Parry Sugar-livraison mbres NF.docm</t>
  </si>
  <si>
    <t>YVI</t>
  </si>
  <si>
    <t>Parry Sugar</t>
  </si>
  <si>
    <t>CV-1810-0047</t>
  </si>
  <si>
    <t>NF membranes quantity delivery error</t>
  </si>
  <si>
    <t>CAP_EMISES 2019\19042 Beneo Orafti-retards livraisons résines\19042 BENEO Orafti-retards livraisons résines.docx</t>
  </si>
  <si>
    <t>Lanxess</t>
  </si>
  <si>
    <t>CV-1808-0002</t>
  </si>
  <si>
    <t xml:space="preserve">Resins delivery delay </t>
  </si>
  <si>
    <t>A faire 12/2020</t>
  </si>
  <si>
    <t>réunion Direction S48</t>
  </si>
  <si>
    <t>CAP_EMISES 2019\19043 LAICA-étiquettage résine erroné</t>
  </si>
  <si>
    <t>LAICA</t>
  </si>
  <si>
    <t>CV-1812-0025</t>
  </si>
  <si>
    <t>Resins labeling error</t>
  </si>
  <si>
    <t>Labelling</t>
  </si>
  <si>
    <t>CAP20020</t>
  </si>
  <si>
    <t>R:\QA-NVA IB\CAP\19044 CJ Liaocheng Bray butterfly valves quality issue.docx</t>
  </si>
  <si>
    <t>CIEX</t>
  </si>
  <si>
    <t>Bray butterfly valves quality problem</t>
    <phoneticPr fontId="10" type="noConversion"/>
  </si>
  <si>
    <t>project closed</t>
  </si>
  <si>
    <t>CSU</t>
  </si>
  <si>
    <t>R:\QA-NVA IB\CAP\19045 Chengxin resin leakage issue.docx</t>
  </si>
  <si>
    <t>Runyuan/Finex</t>
  </si>
  <si>
    <t>Resin leakage is found from strainers during resin loading phase</t>
    <phoneticPr fontId="10" type="noConversion"/>
  </si>
  <si>
    <t>Start up</t>
  </si>
  <si>
    <t>CAP_EMISES 2019\19046 Ennolys\19046 ENNOLYS .docx</t>
  </si>
  <si>
    <t>SLO</t>
  </si>
  <si>
    <t>Ennolys</t>
  </si>
  <si>
    <t xml:space="preserve">CV-1910-0082 </t>
  </si>
  <si>
    <t>Order confirmation and delay too long</t>
  </si>
  <si>
    <t>CAP_EMISES 2019\19047 CKD\19047 CKD.docx</t>
  </si>
  <si>
    <t>CKD</t>
  </si>
  <si>
    <t xml:space="preserve">CV-1909-0031 </t>
  </si>
  <si>
    <t>Successive postponements of the delivery date</t>
  </si>
  <si>
    <t>CAP_EMISES 2019\19048 Puratos\19048 PURATOS.docx</t>
  </si>
  <si>
    <t>Puratos</t>
  </si>
  <si>
    <t>CV-1910-0053</t>
  </si>
  <si>
    <t>CAP_EMISES 2019\19049 pilote Evapo\19049 pilote Evapo R&amp;D-séparateur.docx</t>
  </si>
  <si>
    <t>Concept inox</t>
  </si>
  <si>
    <t>Connection of the new separator evaporation pilot incorrectly positioned</t>
  </si>
  <si>
    <t>Piloting</t>
  </si>
  <si>
    <t>après déplacement des évapo</t>
  </si>
  <si>
    <t>CAP_EMISES 2019\19050 Ingredion - DP C201\19050 Ingredion - pressure drops on lower network cell C201.docm</t>
  </si>
  <si>
    <t>Excessive pressure drop on lower network cell C201</t>
  </si>
  <si>
    <t>R:\QA-NVA IB\CAP\19051 CJ P6 columns delay issue.docx</t>
  </si>
  <si>
    <t>CJ P6</t>
    <phoneticPr fontId="10" type="noConversion"/>
  </si>
  <si>
    <t>GUANGXIN</t>
    <phoneticPr fontId="10" type="noConversion"/>
  </si>
  <si>
    <t>Columns delay ,can't catch the schedule</t>
    <phoneticPr fontId="10" type="noConversion"/>
  </si>
  <si>
    <t>CQ</t>
  </si>
  <si>
    <t>Management</t>
  </si>
  <si>
    <t>CAP_EMISES 2019\19052 Galactic\19052 Galactic.docx</t>
  </si>
  <si>
    <t>CV-1908-0031</t>
  </si>
  <si>
    <t>Delivery without customer agreement and packaging error</t>
  </si>
  <si>
    <t>Packaging</t>
  </si>
  <si>
    <t>CAP_EMISES 2019\19053 Etihad - Licence\19053 Etihad - licence d'exportation.docx</t>
  </si>
  <si>
    <t>Etihad</t>
  </si>
  <si>
    <t>CV-1907-0015</t>
  </si>
  <si>
    <t>Shipment of NF membranes subject to export license without license</t>
  </si>
  <si>
    <t>R:\QA-NVA IB\CAP\19054 CJ Liaocheng Bray butterfly valves issue.docm</t>
  </si>
  <si>
    <t>CJ liaocheng</t>
    <phoneticPr fontId="10" type="noConversion"/>
  </si>
  <si>
    <t>Bray</t>
    <phoneticPr fontId="10" type="noConversion"/>
  </si>
  <si>
    <t>The spring in the pneumatic butterfly actuator cannot close the valve completely</t>
  </si>
  <si>
    <t>CAP_EMISES 2020\20001 Evapo verre\20001 Casse Evapo verre.docm</t>
  </si>
  <si>
    <t>UPM C6</t>
  </si>
  <si>
    <t>2019-055</t>
  </si>
  <si>
    <t>Brocken glass separator of the evapo pilot</t>
  </si>
  <si>
    <t>A faire 12/21</t>
  </si>
  <si>
    <t>CAP_EMISES 2020\20002 ADM US\20002 ADM.docx</t>
  </si>
  <si>
    <t>Incorrect gravel loading at start-up / Unsuccessful customer service intervention</t>
  </si>
  <si>
    <t>CAP_EMISES 2020\20003 Cargill Butterfly\20003 CARGILL BUTTERFLY - FT DEM.docx</t>
  </si>
  <si>
    <t>Cargill Butterfly</t>
  </si>
  <si>
    <t>CAP_EMISES 2020\20004 Cargill Butterfly-pompes KSB\20004 Cargill Butterfly-Sheet-Pump quotation.docx</t>
  </si>
  <si>
    <t>CDV</t>
  </si>
  <si>
    <t>Quotation</t>
  </si>
  <si>
    <t>CAP_EMISES 2020\20005 Tereos Nesle\20005 TEREOS NESLE.docx</t>
  </si>
  <si>
    <t>SUEZ</t>
  </si>
  <si>
    <t>CA-1811-0239</t>
  </si>
  <si>
    <t>default NF membrane</t>
  </si>
  <si>
    <t>R:\QA-NVA IB\CAP\20006 CJ P6 stud welded rod fall off from internal box issue.docm</t>
  </si>
  <si>
    <t>Guanxing</t>
    <phoneticPr fontId="10" type="noConversion"/>
  </si>
  <si>
    <t>Stud welded rod fall off from internal box</t>
  </si>
  <si>
    <t>CAP_EMISES 2020\20007 SOFIVO\20007 SOFIVO- MEGA.docx</t>
  </si>
  <si>
    <t>CV1910-0033</t>
  </si>
  <si>
    <t>Ground welded bolt missing on ED stack</t>
  </si>
  <si>
    <t>R:\QA-NVA IB\CAP\20008 CJ P6 S parts welding issue.docm</t>
  </si>
  <si>
    <t>USACO</t>
    <phoneticPr fontId="10" type="noConversion"/>
  </si>
  <si>
    <t>Spare parts welding crack</t>
  </si>
  <si>
    <t>R:\QA-NVA IB\CAP\20009 Shuangqiao10 membrane type issue.docx</t>
  </si>
  <si>
    <t>CTI</t>
    <phoneticPr fontId="10" type="noConversion"/>
  </si>
  <si>
    <t>Membrane quantity and type</t>
    <phoneticPr fontId="10" type="noConversion"/>
  </si>
  <si>
    <t>Purchase</t>
    <phoneticPr fontId="10" type="noConversion"/>
  </si>
  <si>
    <t>R:\QA-NVA IB\CAP\20010 Fufeng10 gravel quality issue.docm</t>
  </si>
  <si>
    <t>Kebao</t>
    <phoneticPr fontId="10" type="noConversion"/>
  </si>
  <si>
    <t>Gravel quality issue</t>
  </si>
  <si>
    <t>R:\QA-NVA IB\CAP\20011 front piping budget for small columns issue.docm</t>
  </si>
  <si>
    <t>CITIC</t>
    <phoneticPr fontId="10" type="noConversion"/>
  </si>
  <si>
    <t>Front piping budget for small column is not enough</t>
  </si>
  <si>
    <t>R:\QA-NVA IB\CAP\20012 Fufeng10 complain for gravel issue.docm</t>
  </si>
  <si>
    <t>Claim</t>
    <phoneticPr fontId="10" type="noConversion"/>
  </si>
  <si>
    <t>Gravel quality issue need be solved</t>
    <phoneticPr fontId="10" type="noConversion"/>
  </si>
  <si>
    <t>R:\QA-NVA IB\CAP\20013 Cargill Zest PP fixation plate machining dimensions issue.docm</t>
  </si>
  <si>
    <t>Cargill Zest</t>
    <phoneticPr fontId="10" type="noConversion"/>
  </si>
  <si>
    <t>WUXI RUNJIA</t>
    <phoneticPr fontId="10" type="noConversion"/>
  </si>
  <si>
    <t>PP fixation plate machining dimensions is wrong</t>
    <phoneticPr fontId="10" type="noConversion"/>
  </si>
  <si>
    <t>CAP_EMISES 2020\20014 CKD Module K01\20014 CKD module K01.docx</t>
  </si>
  <si>
    <t>Grayel</t>
  </si>
  <si>
    <t>CV-1910-0104</t>
  </si>
  <si>
    <t>Wrong sizes of K01 module</t>
  </si>
  <si>
    <t>R:\QA-NVA IB\CAP\20015 Huakang 2 PP Support issue.docx</t>
  </si>
  <si>
    <t>Huakang</t>
    <phoneticPr fontId="10" type="noConversion"/>
  </si>
  <si>
    <t>Runjia</t>
    <phoneticPr fontId="10" type="noConversion"/>
  </si>
  <si>
    <t>Wrong size of PP support</t>
    <phoneticPr fontId="10" type="noConversion"/>
  </si>
  <si>
    <t>R:\QA-NVA IB\CAP\20016 CJ GMP3 PP-FRP pipe broken issue.docm</t>
  </si>
  <si>
    <t>CJ Liaocheng GMP3</t>
    <phoneticPr fontId="10" type="noConversion"/>
  </si>
  <si>
    <t>PP-FRP pipe is broken issue</t>
    <phoneticPr fontId="10" type="noConversion"/>
  </si>
  <si>
    <t>CAP_EMISES 2020\20017 Prolactal\20017 Prolactal.docx</t>
  </si>
  <si>
    <t>MAB</t>
  </si>
  <si>
    <t>Masoneilan</t>
  </si>
  <si>
    <t>CV-2002-0031</t>
  </si>
  <si>
    <t>Delivered valves damaged</t>
  </si>
  <si>
    <t>CAP_EMISES 2020\20018 Cargill\20018 Cargill Boz.docx</t>
  </si>
  <si>
    <t>ENA</t>
  </si>
  <si>
    <t>Cargill Boz</t>
  </si>
  <si>
    <t>CompositeVec</t>
  </si>
  <si>
    <t>CS3197</t>
  </si>
  <si>
    <t>Baskets mixed up during pre-mounting</t>
  </si>
  <si>
    <t>Pre-Mouting</t>
  </si>
  <si>
    <t>\\srvshafs01\shares\Public\Quality\archieve\QA-NVA IB\CAP\Closed CAP\20019 Mipeng NF housing leakage issue-20210325-close.docm</t>
  </si>
  <si>
    <t>MIPENG</t>
  </si>
  <si>
    <t>ROPV</t>
  </si>
  <si>
    <t>NF housing leakage</t>
  </si>
  <si>
    <t>DWA</t>
  </si>
  <si>
    <t>A faire 04/21</t>
  </si>
  <si>
    <t>CAP_EMISES 2020\20020 BENEO Oreye\20020 BENEO Oreye.docx</t>
  </si>
  <si>
    <t>BENEO Oreye</t>
  </si>
  <si>
    <t>CV-1912-0072</t>
  </si>
  <si>
    <t>CAP_EMISES 2020\20021 PT SUJ dédouanement\20021 PT SUJ dédouanement.docx</t>
  </si>
  <si>
    <t>PT SUJ</t>
  </si>
  <si>
    <t>CS3243</t>
  </si>
  <si>
    <t>Incorrect customs values on invoices</t>
  </si>
  <si>
    <t>CAP_EMISES 2020\20022 Pilotage Laredo-Colonne IEX\20022 pilotage Laredo - Colonne IEX.docx</t>
  </si>
  <si>
    <t>Manuelita Laredo pilotage</t>
  </si>
  <si>
    <t>EN3241</t>
  </si>
  <si>
    <t>Resin projection IEX pilot</t>
  </si>
  <si>
    <t>HOS</t>
  </si>
  <si>
    <t>R:\archieve\QA-NVA IB\CAP\Closed CAP\21001 NF housing leakage issue CLOSE 210514.docx</t>
  </si>
  <si>
    <t>Huaqiao</t>
  </si>
  <si>
    <t>First Line</t>
  </si>
  <si>
    <t>CAP_EMISES 2021\21002 CAPUA sortie effluents\21002 CAPUA sortie effluent.docx</t>
  </si>
  <si>
    <t>CS3233</t>
  </si>
  <si>
    <t>Effluent to be connected to customer sewers</t>
  </si>
  <si>
    <t>CAP_EMISES 2021\21003 GOI étiquetage résine\21003 GOI Erreur étiquetage.docx</t>
  </si>
  <si>
    <t>CV-2005-0051</t>
  </si>
  <si>
    <t>CAP_EMISES 2021\21004 BENEO Oreye\21004 BENO OREYE.docx</t>
  </si>
  <si>
    <t>Forgotten pallett, not delivered</t>
  </si>
  <si>
    <t>CAP_EMISES 2021\21005 Beneo KSB\21005 Bénéo-KSB retard livraison .docx</t>
  </si>
  <si>
    <t>KSB</t>
  </si>
  <si>
    <t>Late delivery of the centrifugal pumps order</t>
  </si>
  <si>
    <t>Delivery</t>
  </si>
  <si>
    <t>Black listé pas de nvelle cde</t>
  </si>
  <si>
    <t>\\srvshafs01\shares\Public\Quality\archieve\QA-NVA IB\CAP\Closed CAP\21006 Cargill Mounting issue of internal box.docm</t>
  </si>
  <si>
    <t>KYU</t>
  </si>
  <si>
    <t>QC</t>
  </si>
  <si>
    <t>CS3253</t>
  </si>
  <si>
    <t>Mounting issue of internal box</t>
  </si>
  <si>
    <t>GREE</t>
  </si>
  <si>
    <t>A faire 09/21</t>
  </si>
  <si>
    <t>CAP_EMISES 2021\21007 HSN-Tetrapak\21007 HSN-Tetrapak.docx</t>
  </si>
  <si>
    <t>HSN-Tetrapak</t>
  </si>
  <si>
    <t xml:space="preserve">CV-2101-0037 </t>
  </si>
  <si>
    <t>Order delivery error</t>
  </si>
  <si>
    <t>CAP_EMISES 2021\21008 Polypeptide US\21008  pb création projet comptable US sur ISIS.docx</t>
  </si>
  <si>
    <t>Polypeptides US</t>
  </si>
  <si>
    <t>AJO-0386</t>
  </si>
  <si>
    <t>Creation of US accounting project on ISIS</t>
  </si>
  <si>
    <t>CAP_EMISES 2021\21009 Tereos -sight glass\21009 Tereos_Sight glass.docx</t>
  </si>
  <si>
    <t>Tereos Connantres</t>
  </si>
  <si>
    <t>Gree / SPA</t>
  </si>
  <si>
    <t>CS3219</t>
  </si>
  <si>
    <t>Spare sightglass missing and bad quality for sightglass gaskets</t>
  </si>
  <si>
    <t>Revamping</t>
  </si>
  <si>
    <t>CAP_EMISES 2021\21010 Tereos -perte de charge\21010 TEREOS_perte de charge DK.docx</t>
  </si>
  <si>
    <t>High pressure drop in production</t>
  </si>
  <si>
    <t>après nvelle campagne</t>
  </si>
  <si>
    <t>CAP_EMISES 2021\21011 Praj-fuite module NF\21011 Praj-fuite module NF.docx</t>
  </si>
  <si>
    <t>PRAJ</t>
  </si>
  <si>
    <t>EN3274</t>
  </si>
  <si>
    <t>2020-030</t>
  </si>
  <si>
    <t>Product leakage, high pressure</t>
  </si>
  <si>
    <t>CAP_EMISES 2021\21012 Açucareira Quatá - CUF\21012 Açucareira Quatá-CUF.docx</t>
  </si>
  <si>
    <t>AAM</t>
  </si>
  <si>
    <t>Açucareira Quatá</t>
  </si>
  <si>
    <t>CV-2101-0014</t>
  </si>
  <si>
    <t>Exportation certificate unsend to the client on time</t>
  </si>
  <si>
    <t>CAP_EMISES 2021\21013 Cevital- licence exportation\21013 Cevital - licence exportation.docx</t>
  </si>
  <si>
    <t>SSI</t>
  </si>
  <si>
    <t>ADV</t>
  </si>
  <si>
    <t>CV-2011-0059</t>
  </si>
  <si>
    <t>Export licence not request</t>
  </si>
  <si>
    <t>Expedition</t>
  </si>
  <si>
    <t>CAP_EMISES 2021\21014 Savola-Purolite\21014 Savola-Résine Purolite.docx</t>
  </si>
  <si>
    <t>Savola</t>
  </si>
  <si>
    <t>Resin delivery in non neutral Big Bag</t>
  </si>
  <si>
    <t>CAP_EMISES 2021\21015 Nutribio-Suez\21015 NUTRIBIO-Suez.docx</t>
  </si>
  <si>
    <t>Nutribio</t>
  </si>
  <si>
    <t>Suez</t>
  </si>
  <si>
    <t>CV-2101-0062</t>
  </si>
  <si>
    <t>Late delivery NF membranes</t>
  </si>
  <si>
    <t>CAP_EMISES 2021\21016 Cargill-SPA\21016 Cargill SPA column rust.docx</t>
  </si>
  <si>
    <t>ABN/KYU</t>
  </si>
  <si>
    <t>à la fin des projets Cargill</t>
  </si>
  <si>
    <t>CAP_EMISES 2021\21017 Tereos Nesle- mbre NF\21017 TEREOS Nesle - mbre NF.docx</t>
  </si>
  <si>
    <t>CV-2012-0009</t>
  </si>
  <si>
    <t>NF mbre performance out of specification at start up</t>
  </si>
  <si>
    <t>CAP22001</t>
  </si>
  <si>
    <t>CAP_EMISES 2021\21018 Sucro - DOW resin order\21018 Sucro-resin order.docx</t>
  </si>
  <si>
    <t>Sucro</t>
  </si>
  <si>
    <t>DOW US</t>
  </si>
  <si>
    <t>Resin order not received by Dow</t>
  </si>
  <si>
    <t xml:space="preserve">Acknowledgment of receipt </t>
  </si>
  <si>
    <t>R:\archieve\QA-NVA IB\CAP\Closed CAP\21019 Jindan wrong internal diameter of PPH+FRP pipe.docx</t>
  </si>
  <si>
    <t>MYA</t>
  </si>
  <si>
    <t>Jindan</t>
  </si>
  <si>
    <t>Tecofi/Plasticon</t>
  </si>
  <si>
    <t>wrong internal chord length of valve disc</t>
  </si>
  <si>
    <t>R:\archieve\QA-NVA IB\CAP\21020 Cargill MicroBA transportation &amp; packing issue.docx</t>
  </si>
  <si>
    <t>Cargill MicroBA</t>
  </si>
  <si>
    <t>packing &amp; saddles and lifting issue</t>
  </si>
  <si>
    <t>CAP_EMISES 2021\21021 Cargill Haubourdin\21021 Cargill Haubourdin joints EPDM-ébonite.docx</t>
  </si>
  <si>
    <t>Cargill Haubourdin</t>
  </si>
  <si>
    <t>Gree SPA</t>
  </si>
  <si>
    <t>Resin leakage : EPDM gasket pb, rubber lining pb</t>
  </si>
  <si>
    <t>CAP_EMISES 2021\21022 Hochdorf Swiss Nutrition AG\21022 Hochdorf Swiss Nutrition-démarquage résine.docx</t>
  </si>
  <si>
    <t>Hochdorf Swiss Nutrition AG</t>
  </si>
  <si>
    <t>CVS-2105-0023</t>
  </si>
  <si>
    <t>No resins relabelling by our Logistic Supplier</t>
  </si>
  <si>
    <t>MSU</t>
  </si>
  <si>
    <t>Fufeng Zhalantun</t>
  </si>
  <si>
    <t>Financial unbalance caused by closed project purchase</t>
  </si>
  <si>
    <t>purchase</t>
  </si>
  <si>
    <t>CANCELLED</t>
  </si>
  <si>
    <t>CAP_EMISES 2021\21024 Fufneg Longjiang\21024-Fufeng Longjiang Membrane breakage issue CPT MSU.docx</t>
  </si>
  <si>
    <t>MYU</t>
  </si>
  <si>
    <t>Fufeng Longjiang</t>
  </si>
  <si>
    <t>membrane breakage issue</t>
  </si>
  <si>
    <t>30/03/2022</t>
  </si>
  <si>
    <t>CAP_EMISES 2021\21025 CEVITAL\21025 CEVITAL origine résines EUR1.docx</t>
  </si>
  <si>
    <t>European origin goods</t>
  </si>
  <si>
    <t>CAP_EMISES 2021\21026 21027 Bonumose\21026 Bonumose-Heating system unit.docx</t>
  </si>
  <si>
    <t>Bonumose</t>
  </si>
  <si>
    <t>Extra cost for heating system</t>
  </si>
  <si>
    <t>CPL quotation</t>
  </si>
  <si>
    <t>CAP_EMISES 2021\21026 21027 Bonumose\21027 Bonumose-Ultrafiltration unit.docx</t>
  </si>
  <si>
    <t>Extra cost for UF unit</t>
  </si>
  <si>
    <t>CAP_EMISES 2021\21028 Savola\21028 Savola skid NF - tank level.docx</t>
  </si>
  <si>
    <t xml:space="preserve">Savola </t>
  </si>
  <si>
    <t>NF Skid level in tank and counterpressure</t>
  </si>
  <si>
    <t>ASJ</t>
  </si>
  <si>
    <t>CAP_EMISES 2021\21029 Rousselot\21029 Rousselot.docx</t>
  </si>
  <si>
    <t>ChaudriConcept</t>
  </si>
  <si>
    <t>CS3286</t>
  </si>
  <si>
    <t>SS strainers mounting issue</t>
  </si>
  <si>
    <t>voir si new projet rentré</t>
  </si>
  <si>
    <t>CAP_EMISES 2021\21030 Inopor\21030 Inopor- Mbres abimées-ébréchées en périphérie.docx</t>
  </si>
  <si>
    <t>KIE</t>
  </si>
  <si>
    <t>INOPOR</t>
  </si>
  <si>
    <t>CAS-2105-0050</t>
  </si>
  <si>
    <t>Quality issue on membranes delivery</t>
  </si>
  <si>
    <t>Inopor</t>
  </si>
  <si>
    <t>CAP_EMISES 2021\21031 Rousselot -anneaux de renfort\21031 Rousselot-position anneaux de renfort.docx</t>
  </si>
  <si>
    <t>Bad positioning of reinfortement ring</t>
  </si>
  <si>
    <t>FAT</t>
  </si>
  <si>
    <t>Chaudriconcept</t>
  </si>
  <si>
    <t>si nouveau projet rousselot</t>
  </si>
  <si>
    <t>CAP_EMISES 2021\21032 Rousselot - raccord entrée-sortie\21032 Rousselot-raccords DIN-SMS.docx</t>
  </si>
  <si>
    <t>DIN connection supply instead of SMS</t>
  </si>
  <si>
    <t>CAP_EMISES 2021\21033 SQ- Silex Sibelco\21033 SQ - Silex Sibelco.docx</t>
  </si>
  <si>
    <t>SQ-NVS trading</t>
  </si>
  <si>
    <t>Sibelco</t>
  </si>
  <si>
    <t>CV-2103-0075</t>
  </si>
  <si>
    <t>Issue of size range gravel</t>
  </si>
  <si>
    <t>CAP_EMISES 2021\21034 Cargill MicroBA\21034 Cargill MicroBA - Tag plates inversion.docx</t>
  </si>
  <si>
    <t>Gree/SPA</t>
  </si>
  <si>
    <t>Inversion of the columns tags plates</t>
  </si>
  <si>
    <t>CAP_EMISES 2021\21035 Etihad-Aqua Com\21035 Etihad-TP Aqua Com.docx</t>
  </si>
  <si>
    <t>Aqua Com</t>
  </si>
  <si>
    <t>Leakage, pressure vessels coating quality  problem</t>
  </si>
  <si>
    <t>CAP_EMISES 2021\21036 Cargill MicroBA-ABB\21036 Cargill MicroBA_ABB.docx</t>
  </si>
  <si>
    <t>ABB</t>
  </si>
  <si>
    <t>Reference error of the supplied pressure sensors</t>
  </si>
  <si>
    <t>R:\archieve\QA-NVA IB\CAP\21037-Dysfunction of supplier Guanxing.docx</t>
  </si>
  <si>
    <t>EWA</t>
  </si>
  <si>
    <t>Lvyuan</t>
  </si>
  <si>
    <t>Guanxing</t>
  </si>
  <si>
    <t>Dysfunction of supplier Guanxing</t>
  </si>
  <si>
    <t>CAP_EMISES 2021\21038 Gambro- CTI erreur impression cut off membrane\21038 Gambro - CTI erreur impression cut off membrane KERASEP.docx</t>
  </si>
  <si>
    <t>Gambro</t>
  </si>
  <si>
    <t>CVS-2109-0013</t>
  </si>
  <si>
    <t>Cut off labeling error on Kerasep mbre</t>
  </si>
  <si>
    <t>CAP_EMISES 2022\22001 Teréos - Suez\22001 TEREOS Nesle - mbre NF.docx</t>
  </si>
  <si>
    <t>CV-2012-0011</t>
  </si>
  <si>
    <t>CAP_EMISES 2022\22002 SQ - Polarimeter\22002 SQ 10 - polarimeter.docx</t>
  </si>
  <si>
    <t>CPR</t>
  </si>
  <si>
    <t>Innov</t>
  </si>
  <si>
    <t>SQ10</t>
  </si>
  <si>
    <t>Lost polarimeter</t>
  </si>
  <si>
    <t>GSU</t>
  </si>
  <si>
    <t>S:\archieve\QA-NVA IB\CAP\Closed CAP</t>
  </si>
  <si>
    <t>SQ12</t>
  </si>
  <si>
    <t>Name plates misplaced</t>
  </si>
  <si>
    <t>Guanxing &amp; FDS</t>
  </si>
  <si>
    <t>15490/16979</t>
  </si>
  <si>
    <t>Column rods broken or missing</t>
  </si>
  <si>
    <t>CAP_EMISES 2022\22005 Ram Sucre- Composites Vec\22005 RAM SUCRE - buses décolo.docx</t>
  </si>
  <si>
    <t>RAM Sucre</t>
  </si>
  <si>
    <t>CV-1903-0048</t>
  </si>
  <si>
    <t>Issue of nozzle rod length</t>
  </si>
  <si>
    <t>Client's maintenance</t>
  </si>
  <si>
    <t>CAP_EMISES 2022\22006 Sucro-Bossard\22006 SUCRO-CPU sizing.docx</t>
  </si>
  <si>
    <t>SUCRO</t>
  </si>
  <si>
    <t>CPU size too small</t>
  </si>
  <si>
    <t>voir projet Wuyang</t>
  </si>
  <si>
    <t>CAP_EMISES 2022\22007 Cristal Union\22007 Cristal Union-FACADE.docx</t>
  </si>
  <si>
    <t>Cristal Union</t>
  </si>
  <si>
    <t>DK NRS</t>
  </si>
  <si>
    <t>Front piping budget underestimated</t>
  </si>
  <si>
    <t>Order intake</t>
  </si>
  <si>
    <t>Budget Quotation</t>
  </si>
  <si>
    <t>CAP_EMISES 2022\22008 Tessier-casse mbre à réception\22008 Tessier_Membrane cassée à réception.docx</t>
  </si>
  <si>
    <t>Tessier</t>
  </si>
  <si>
    <t>DHL</t>
  </si>
  <si>
    <t>CVS-2111-0007</t>
  </si>
  <si>
    <t>Broken membranes upon client receipt</t>
  </si>
  <si>
    <t>DYG</t>
  </si>
  <si>
    <t xml:space="preserve">Ends of alpha mbre worn out after 3 months usage </t>
  </si>
  <si>
    <t>CAP_EMISES 2022\22010 Fuite appareil Kjeldahl\22010 Fuite appareil Kjedahl.docx</t>
  </si>
  <si>
    <t>Abbott</t>
  </si>
  <si>
    <t>AJO-0409</t>
  </si>
  <si>
    <t>Water leak</t>
  </si>
  <si>
    <t>Analysis</t>
  </si>
  <si>
    <t>CAP_EMISES 2022\22011 Sucro - incohérence PID-3D\22011 SUCRO_3D Skid NF not updated.docx</t>
  </si>
  <si>
    <t>TCC</t>
  </si>
  <si>
    <t>ZIYOU</t>
  </si>
  <si>
    <t>Inconsistences between PID and 3D Model of NF Skid</t>
  </si>
  <si>
    <t>CAP_EMISES 2022\22012 Beneo Oreyes- InaceInox\22012 Beneo Oreye - InaceInox.docx</t>
  </si>
  <si>
    <t>TPI</t>
  </si>
  <si>
    <t>Beneo Oreye</t>
  </si>
  <si>
    <t>InaceInox</t>
  </si>
  <si>
    <t>CS3290</t>
  </si>
  <si>
    <t>Reliability of supplier (deadlines and quality)</t>
  </si>
  <si>
    <t>S:\archieve\QA-NVA IB\CAP</t>
  </si>
  <si>
    <t>TWI</t>
  </si>
  <si>
    <t>ENSIGN</t>
  </si>
  <si>
    <t xml:space="preserve">Rubber lining cracking </t>
  </si>
  <si>
    <t>CAP_EMISES 2022\22014 Parry Sugar\22014 Parry Sugar-liste de colisage.docx</t>
  </si>
  <si>
    <t>Welcoop</t>
  </si>
  <si>
    <t>CVS-2201-0011</t>
  </si>
  <si>
    <t>Wrong packing list</t>
  </si>
  <si>
    <t>ZFLZ</t>
  </si>
  <si>
    <t xml:space="preserve">FRP sand filter nozzle plate thickness issue </t>
  </si>
  <si>
    <t>CAP_EMISES 2022\22016 Cargill BOZ-Manholes &amp; davit design\22016 Cargill BOZ-Manholes and davit design.docx</t>
  </si>
  <si>
    <t>Cargill BOZ</t>
  </si>
  <si>
    <t>Manholes and davit design</t>
  </si>
  <si>
    <t>CAP_EMISES 2022\22017 Fuite eau chaude atelier membrane\22017 Deconnexion tuyau eau chaude atelier membrane.docx</t>
  </si>
  <si>
    <t>Hot water leakage</t>
  </si>
  <si>
    <t>mbre assembly</t>
  </si>
  <si>
    <t>CAP_EMISES 2022\22018 Savola-doc expédition\22018 Savola-expédition ACID Cargo X.docx</t>
  </si>
  <si>
    <t>Shipping documents and custom clearance issues</t>
  </si>
  <si>
    <t>CBL</t>
  </si>
  <si>
    <t>CAP_EMISES 2022\22019 ADM CHAMTOR - Erreur chiffrage tuyauterie\22019 ADM CHAMTOR - Chiffrage budget tuyauterie.docx</t>
  </si>
  <si>
    <t>ADM Chamtor</t>
  </si>
  <si>
    <t>CS3293</t>
  </si>
  <si>
    <t>Piping budget underestimated</t>
  </si>
  <si>
    <t>idem 22007</t>
  </si>
  <si>
    <t>CAP_EMISES 2022\22020 Fuite IBC saumure Tredi\22020 Fuite Saumure Trédi.docx</t>
  </si>
  <si>
    <t>TREDI</t>
  </si>
  <si>
    <t>EN-3214</t>
  </si>
  <si>
    <t>Brine IBC leak</t>
  </si>
  <si>
    <t>CAP_EMISES 2022\22021 Fuite eau glycolée\22021 Fuite Eau Glycolée.docx</t>
  </si>
  <si>
    <t>Damhert</t>
  </si>
  <si>
    <t>EN-3293</t>
  </si>
  <si>
    <t>Glycol water leak on 7l evapo</t>
  </si>
  <si>
    <t>CAP_EMISES 2022\22022 CJ Bio\22022 CJ Bio.docx</t>
  </si>
  <si>
    <t>CJ Bio</t>
  </si>
  <si>
    <t>CVS-2107-0006</t>
  </si>
  <si>
    <t>Automatic by pass cell procedure cIEX</t>
  </si>
  <si>
    <t>Upgrade automation</t>
  </si>
  <si>
    <t>Management  / Management</t>
  </si>
  <si>
    <t>CLE</t>
  </si>
  <si>
    <t>Order placing late</t>
  </si>
  <si>
    <t>Internal leakage in rubber lining connection piping</t>
  </si>
  <si>
    <t>N/A</t>
  </si>
  <si>
    <t>S:\archieve\QA-NVA IB\CAP\22025 SQ 10 -Fine particle in gravel of SQ10 SSMB.docx</t>
  </si>
  <si>
    <t xml:space="preserve">MPE </t>
  </si>
  <si>
    <t>Mingliang</t>
  </si>
  <si>
    <t xml:space="preserve">SSMB </t>
  </si>
  <si>
    <t>Fine particle in gravel of SQ10 SSMB</t>
  </si>
  <si>
    <t>MPE</t>
  </si>
  <si>
    <t>CAP_EMISES 2022\22026 Bénéo\22026 Beneo - Montage FT sur façades.docx</t>
  </si>
  <si>
    <t>Wrong installation of Flowmeters on front pipings</t>
  </si>
  <si>
    <t>CAP_EMISES 2022\22027 LEKAI - civil works drawing\22027 LEKAI-Civil works drawing.docx</t>
  </si>
  <si>
    <t>LEKAI</t>
  </si>
  <si>
    <t>Layout and Civil work drawings</t>
  </si>
  <si>
    <t>CAP_EMISES 2022\22028 Kirsanov-envoi Silex\22026 Kirsanov-envoi Silex.docx</t>
  </si>
  <si>
    <t>LCA</t>
  </si>
  <si>
    <t>KIRSANOV</t>
  </si>
  <si>
    <t>Forgot to ship the gravel</t>
  </si>
  <si>
    <t>CAP_EMISES 2022\22029 Beneo Oreye-Inace Inox\22029 Beneo Oreye-Inace Inox ramification IEX.docx</t>
  </si>
  <si>
    <t>CS3291</t>
  </si>
  <si>
    <t>Hole diameter error in lower network</t>
  </si>
  <si>
    <t>Inace Inox</t>
  </si>
  <si>
    <t>CAP_EMISES 2022\22030 CTI pollution mbre\22030 Pollution membranes KERASEP- CTI.docx</t>
  </si>
  <si>
    <t>CVS-2112-0016</t>
  </si>
  <si>
    <t>Pollution on the end of Kerasep membranes</t>
  </si>
  <si>
    <t>CAP_EMISES 2022\22031 Cristal Union - Inace Inox crépines\22031 Cristal Union - crépines inox 10.16573.docx</t>
  </si>
  <si>
    <t>Defective strainers</t>
  </si>
  <si>
    <t>SQ21</t>
  </si>
  <si>
    <t>FDS</t>
  </si>
  <si>
    <t>Cylinder positioning issue for internal mounting</t>
  </si>
  <si>
    <t>CAP_EMISES 2022\22033 Bonumose\22033 Bonumose - Small column design.docx</t>
  </si>
  <si>
    <t>Difficult access inside small diameter IEX columns</t>
  </si>
  <si>
    <t>CAP_EMISES 2022\22034 Bonumose-Silex\22034 Bonumose - Silex.docx</t>
  </si>
  <si>
    <t>Gravels not been sent on site before commissioning</t>
  </si>
  <si>
    <t>CAP_EMISES 2022\22035 Bénéo-Certificat Etalonnage\22035 Beneo-Certificat étalonnage IN.docx</t>
  </si>
  <si>
    <t>Beneo Chili</t>
  </si>
  <si>
    <t>E&amp;H</t>
  </si>
  <si>
    <t>Calibration certificates missing for Instrumentation</t>
  </si>
  <si>
    <t>CAP_EMISES 2022\22036 GSK - Etanchement\22036 GSK - étanchement  (4).docx</t>
  </si>
  <si>
    <t>GSK Hamilton</t>
  </si>
  <si>
    <t>End sealing peeling off inside membrane</t>
  </si>
  <si>
    <t>CAP_EMISES 2022\22037 Cristal union- FT\22037 Cristal Union-Espace insuffisant pour démontage débitmètre.docx</t>
  </si>
  <si>
    <t>Insufficient space for FT uncabling</t>
  </si>
  <si>
    <t>CAP_EMISES 2022\22038 Nexira-sonde conductivité\22038 Nexira - Sonde de conductivité.docx</t>
  </si>
  <si>
    <t>Nexira</t>
  </si>
  <si>
    <t>Pb pipe connection diameter for CT installation</t>
  </si>
  <si>
    <t>CAP_EMISES 2022\22039 HPLC Métrologie\22039 HPLC métrologie.docx</t>
  </si>
  <si>
    <t>Interne</t>
  </si>
  <si>
    <t>VWR</t>
  </si>
  <si>
    <t>Annual HPLC checking date exceeded</t>
  </si>
  <si>
    <t>Metrology</t>
  </si>
  <si>
    <t>CAP_EMISES 2022\22040 Sanofi-Etiquette\22040 Sanofi-Etiquette caisse (4).docx</t>
  </si>
  <si>
    <t xml:space="preserve">Sanofi </t>
  </si>
  <si>
    <t>CVS-2208-0003</t>
  </si>
  <si>
    <t>Missing label on shipping crate</t>
  </si>
  <si>
    <t>CAP_EMISES 2022\22041 Lesaffre - casse membrane transport\22041 Lesaffre-Casse membranes transport.docx</t>
  </si>
  <si>
    <t>Lesaffre</t>
  </si>
  <si>
    <t>CVS-2206-0012</t>
  </si>
  <si>
    <t>Kerasep Alpha membrane breakage during delivery</t>
  </si>
  <si>
    <t>CAP_EMISES 2022\22042 Commande ISIS-Navision\22042 Transfert commande ISIS-Navision.docx</t>
  </si>
  <si>
    <t>IORGA</t>
  </si>
  <si>
    <t>Order transfert from ISIS to Navision</t>
  </si>
  <si>
    <t>Order validation</t>
  </si>
  <si>
    <t>PWT</t>
  </si>
  <si>
    <t>CAP_EMISES 2022\22043 Rousselot-Crépines trop longues\22043 Rousselot- longuer crépines inox.docx</t>
  </si>
  <si>
    <t>Strainer mounting issue (too long)</t>
  </si>
  <si>
    <t xml:space="preserve">Installation issue of manhole for IEX column </t>
  </si>
  <si>
    <t>CAP_EMISES 2022\22045 Cristal Union- Gonflement résine\22045 Cristal Union Erstein-gonflement résine.docx</t>
  </si>
  <si>
    <t>Cristal Union Erstein</t>
  </si>
  <si>
    <t>Abnormal resins swelling</t>
  </si>
  <si>
    <t>DBA/LRE</t>
  </si>
  <si>
    <t>Material and welding issues on IEX front piping</t>
  </si>
  <si>
    <t>Lack welding on the vent pipe inside SSMB</t>
  </si>
  <si>
    <t>ESH</t>
  </si>
  <si>
    <t>COFCO</t>
  </si>
  <si>
    <t xml:space="preserve">filter not matching </t>
  </si>
  <si>
    <t xml:space="preserve">different ball valves were mixed </t>
  </si>
  <si>
    <t>Natureworks</t>
  </si>
  <si>
    <t>Rubber lining thickness is lower than the standard</t>
  </si>
  <si>
    <t>Jhenten</t>
  </si>
  <si>
    <t xml:space="preserve">filter halar thickness </t>
  </si>
  <si>
    <t>FLI</t>
  </si>
  <si>
    <t>CAP_EMISES 2023\23001 Sanofi DNE membranes\23001 Sanofi-Evolution anormale débit eau membrane Kerasep BP BX 50 kD.docx</t>
  </si>
  <si>
    <t>Sanofi</t>
  </si>
  <si>
    <t>CVS-2106-0002</t>
  </si>
  <si>
    <t xml:space="preserve">Abnormal evolution of water flow Kerasep membranes </t>
  </si>
  <si>
    <t>CAP_EMISES 2023\23002 Friesland-résine Halal\23002 - Friesland résine Halal.docx</t>
  </si>
  <si>
    <t>Friesland</t>
  </si>
  <si>
    <t>CVS-2204-0025</t>
  </si>
  <si>
    <t>Non halal resin delivered</t>
  </si>
  <si>
    <t>CAP_EMISES 2023\23003 Cargill BOZ- joints EPDM\23003 Cargill BOZ-gasket of side glasses.docx</t>
  </si>
  <si>
    <t>Side glasses gaskets of columns not conform</t>
  </si>
  <si>
    <t>CAP_EMISES 2023\23004 Cevital- déformation buses\23004 Cevital-déformation buses .docx</t>
  </si>
  <si>
    <t>CVS-2201-0025</t>
  </si>
  <si>
    <t>Deformation of column nozzles</t>
  </si>
  <si>
    <t>Production</t>
  </si>
  <si>
    <t>CAP_EMISES 2023\23005 GSK - gestion interne envoi information client\23005 GSK - Gestion interne envoi information client .docx</t>
  </si>
  <si>
    <t>CVS-2209-0004</t>
  </si>
  <si>
    <t>Internal management of customer requests</t>
  </si>
  <si>
    <t>C:\Users\nscpt\OneDrive - Novasep Process Solutions\AQHSE\1-Qualite\1-FICHES_CAP\CAP_EMISES 2023\23007 DSM-Qualifiltre\23007 DSM-Qualifiltre.docx</t>
  </si>
  <si>
    <t>DSM</t>
  </si>
  <si>
    <t>Quali-filtre</t>
  </si>
  <si>
    <t>CVS-2211-0004</t>
  </si>
  <si>
    <t>Early tearing of filter bags</t>
  </si>
  <si>
    <t>https://novasepps.sharepoint.com/sites/NPS_DATA/AQHSE/1-Qualite/1-FICHES_CAP/CAP_EMISES%202023/23008%20VRS-%20Bolloré%20erreur%20expédition%20ref%20résine/23008%20VRS%20Bolloré-erreur%20d'expédition%20ref%20résines.docx</t>
  </si>
  <si>
    <t>VRS</t>
  </si>
  <si>
    <t>CVS-2211-0019</t>
  </si>
  <si>
    <t>Wrong resin delivered</t>
  </si>
  <si>
    <t>https://novasepps.sharepoint.com/sites/NPS_DATA/AQHSE/1-Qualite/1-FICHES_CAP/CAP_EMISES%202023/23009%20Cévital-%20Bolloré%20erreur%20démarquage/23009%20Cévital-Bolloré%20erreur%20démarquage.docx</t>
  </si>
  <si>
    <t>CVS-2205-0036</t>
  </si>
  <si>
    <t>Forgotten supplier label on BB of resins</t>
  </si>
  <si>
    <t>Piping fabrication quality</t>
  </si>
  <si>
    <t>https://novasepps.sharepoint.com/sites/NPS_DATA/AQHSE/1-Qualite/1-FICHES_CAP/CAP_EMISES%202023/23011%20Lier%20-membranes%2015%20KD/23011%20Lier-membranes%2015%20KD.docx</t>
  </si>
  <si>
    <t>LIER</t>
  </si>
  <si>
    <t>CVS-2101-0078</t>
  </si>
  <si>
    <t>15 KD Kerasep membrane layer detachment</t>
  </si>
  <si>
    <t>C:\Users\nscpt\OneDrive - Novasep Process Solutions\AQHSE\1-Qualite\1-FICHES_CAP\CAP_EMISES 2023\23012 Capua 1880 - erreur de membrane\23012 CAPUA- erreur membrane (4).docx</t>
  </si>
  <si>
    <t>CVS-2003-0051</t>
  </si>
  <si>
    <t>Membrane cut off error in client installation</t>
  </si>
  <si>
    <t>Article creation</t>
  </si>
  <si>
    <t>Cofco Tangshan</t>
  </si>
  <si>
    <t>23013_16608</t>
  </si>
  <si>
    <t>Cofco_issue control valve on drawing</t>
  </si>
  <si>
    <t>Huitong SSMB</t>
  </si>
  <si>
    <t>Ensign 2</t>
  </si>
  <si>
    <t>https://novasepps.sharepoint.com/sites/NPS_DATA/AQHSE/1-Qualite/1-FICHES_CAP/CAP_EMISES%202023/23016%20Sanofi%20DE%20membranes%20anormal/23016%20Sanofi-Débit%20eau%20membrane%20Kerasep%20BP%20BX%2050%20kD%20anormal.docx</t>
  </si>
  <si>
    <t>CVS-2211-0014</t>
  </si>
  <si>
    <t>Abnormal water flow Kerasep membranes 50 kD</t>
  </si>
  <si>
    <t>Site</t>
  </si>
  <si>
    <t>Cap_Type</t>
  </si>
  <si>
    <t>Techno</t>
  </si>
  <si>
    <t>SCOPE</t>
  </si>
  <si>
    <t>Codes Technologie* :</t>
  </si>
  <si>
    <t>Colonne1</t>
  </si>
  <si>
    <t xml:space="preserve"> ED (Electrodialyse)</t>
  </si>
  <si>
    <t xml:space="preserve"> SSMB (Chromato)</t>
  </si>
  <si>
    <t>Close</t>
  </si>
  <si>
    <t xml:space="preserve"> IEX (Echange Ions)</t>
  </si>
  <si>
    <t xml:space="preserve"> MF/UF (Micro/Ultrafiltation)</t>
  </si>
  <si>
    <t>Management/management</t>
  </si>
  <si>
    <t xml:space="preserve"> NF (Nanofiltration)</t>
  </si>
  <si>
    <t xml:space="preserve"> OI (Osmose Inverse)</t>
  </si>
  <si>
    <t xml:space="preserve"> EVAPO (Evaporation)</t>
  </si>
  <si>
    <t>Measure / Mesure</t>
  </si>
  <si>
    <t xml:space="preserve"> CA (Charbon Actif)</t>
  </si>
  <si>
    <t>Wrong shipping documents</t>
  </si>
  <si>
    <t>C:\Users\christine.potier\OneDrive - Novasep Process Solutions\AQHSE\1-Qualite\1-FICHES_CAP\CAP_EMISES 2023\23017 Cévital-doc d'expédition\23017 Cevital expédition.docx</t>
  </si>
  <si>
    <t>CVS-2205-0036_CVS-2208-0014</t>
  </si>
  <si>
    <t>HUAKANG</t>
  </si>
  <si>
    <t>Poor performance of Xylose ML SSMB/Resin issue</t>
  </si>
  <si>
    <t>Finex</t>
  </si>
  <si>
    <t>SSMB internals material (SS304 instead of SS316)</t>
  </si>
  <si>
    <t>Ensign site issues rubber lining leakage</t>
  </si>
  <si>
    <t>A faire 12/23</t>
  </si>
  <si>
    <t>Alpha KBW 0.1U membranes abrasion issue</t>
  </si>
  <si>
    <t>interne</t>
  </si>
  <si>
    <t>membrane</t>
  </si>
  <si>
    <t>Water leakage in the membrane office</t>
  </si>
  <si>
    <t>https://novasepps.sharepoint.com/sites/NPS_DATA/AQHSE/1-Qualite/1-FICHES_CAP/CAP_EMISES%202023/23020%20fuite%20eau%20bureau%20membrane/23020%20Fuite%20eau%20bureau%20atelier%20membrane.docx</t>
  </si>
  <si>
    <t>Acid corrosion on piping and tank</t>
  </si>
  <si>
    <t>C:\Users\christine.potier\OneDrive - Novasep Process Solutions\AQHSE\1-Qualite\1-FICHES_CAP\CAP_EMISES 2023\23021 Bonumose-corrosion tank\23021 Bonumose - pb corrosion tank-piping.docx</t>
  </si>
  <si>
    <t>Inovyn</t>
  </si>
  <si>
    <t>Default of IEX columns rubber lining</t>
  </si>
  <si>
    <t>C:\Users\christine.potier\OneDrive - Novasep Process Solutions\AQHSE\1-Qualite\1-FICHES_CAP\CAP_EMISES 2023\23022 Inovyn-Défaut ébonitage\23022 Inovyn - défaut ébonite colonnes.docx</t>
  </si>
  <si>
    <t>Supplier Dysfonctionning</t>
  </si>
  <si>
    <t>Internal Anomaly</t>
  </si>
  <si>
    <t>Safety</t>
  </si>
  <si>
    <t>Estimated date of action plan closure</t>
  </si>
  <si>
    <t>Date of action 
plan closure</t>
  </si>
  <si>
    <t>Wuxi fandesi/FDS</t>
  </si>
  <si>
    <t>MRN</t>
  </si>
  <si>
    <t>R&amp;D hall N°2 roof leak</t>
  </si>
  <si>
    <t>https://novasepps.sharepoint.com/sites/NPS_DATA/AQHSE/1-Qualite/1-FICHES_CAP/CAP_EMISES%202023/23023%20Fuite%20toiture%20Halle%20R&amp;D%20N°2/23023%20Fuite%20toiture%20halle%20R&amp;D%20N°2.docx</t>
  </si>
  <si>
    <t>Bénéo Chili</t>
  </si>
  <si>
    <t>304L piping corrosion</t>
  </si>
  <si>
    <t>IEXc</t>
  </si>
  <si>
    <t>Cargill Zest</t>
  </si>
  <si>
    <t xml:space="preserve">Degradation of Lining inside IEX Column </t>
  </si>
  <si>
    <t>https://novasepps.sharepoint.com/sites/NPS_DATA/AQHSE/1-Qualite/1-FICHES_CAP/CAP_EMISES%202023/23024%20Bénéo-%20corrosion/23024%20Bénéo%20-%20Corrosion%20Piping%20Dem1.docx</t>
  </si>
  <si>
    <t>https://novasepps.sharepoint.com/sites/NPS_DATA/AQHSE/1-Qualite/1-FICHES_CAP/CAP_EMISES%202023/23025%20Cargill%20Zest-%20Lining/23025%20Cargill%20Zest-Problématique%20Ebonite.docx</t>
  </si>
  <si>
    <t>COPAM</t>
  </si>
  <si>
    <t>Black beads in resin</t>
  </si>
  <si>
    <t>https://novasepps.sharepoint.com/sites/NPS_DATA/AQHSE/1-Qualite/1-FICHES_CAP/CAP_EMISES%202023/23026%20COPAM-billes%20noires%20résine/23026%20COPAM-billes%20noires%20résines.docx</t>
  </si>
  <si>
    <t>Skid wiring default</t>
  </si>
  <si>
    <t>https://novasepps.sharepoint.com/sites/NPS_DATA/AQHSE/1-Qualite/1-FICHES_CAP/CAP_EMISES%202023/23027%20Inovyn-Défaut%20cablâge%20électrique/23027%20Inovyn%20-%20problèmes%20câblage%20électriques.docx</t>
  </si>
  <si>
    <t>Via Separation</t>
  </si>
  <si>
    <t>Sulzer</t>
  </si>
  <si>
    <t>Late delivery of centrigugal pumps</t>
  </si>
  <si>
    <t>ONEX-PACT SNZ</t>
  </si>
  <si>
    <t>Interconnexion piping issues/columns</t>
  </si>
  <si>
    <t>https://novasepps.sharepoint.com/sites/NPS_DATA/AQHSE/1-Qualite/1-FICHES_CAP/CAP_EMISES%202023/23028%20Via%20Séparation-%20pompes%20Sulzer/23028%20Via%20Separation%20-%20pompes%20Sulzer.docx</t>
  </si>
  <si>
    <t>https://novasepps.sharepoint.com/sites/NPS_DATA/AQHSE/1-Qualite/1-FICHES_CAP/CAP_EMISES%202023/23029%20Inovyn%20-%20Montage%20Interconnection/23029%20Inovyn%20-%20pb%20tuyauteries%20interconnection.docx</t>
  </si>
  <si>
    <t>SQ Nansha</t>
  </si>
  <si>
    <t>Loose nozzles found inside columns of SQ20 on Site</t>
  </si>
  <si>
    <t>MHA</t>
  </si>
  <si>
    <t>Xiangming</t>
  </si>
  <si>
    <t xml:space="preserve">Unproper MF housings site installation </t>
  </si>
  <si>
    <t>kaiyuan/Biteng</t>
  </si>
  <si>
    <t>Painting damage during transportation</t>
  </si>
  <si>
    <t>Runlu</t>
  </si>
  <si>
    <t>IFM</t>
  </si>
  <si>
    <t>Extract/Raffinate handling error</t>
  </si>
  <si>
    <t>https://novasepps.sharepoint.com/sites/NPS_DATA/AQHSE/1-Qualite/1-FICHES_CAP/CAP_EMISES%202023/23033%20ADM-pilotage%20SSMB/23033%20ADM-pilotage%20SSMB%20mélange%20Raffinat-Extrait.docx</t>
  </si>
  <si>
    <t>Lier</t>
  </si>
  <si>
    <t>Installation</t>
  </si>
  <si>
    <t>PACT SNZ</t>
  </si>
  <si>
    <t>2023-006</t>
  </si>
  <si>
    <t>à la fin du projet</t>
  </si>
  <si>
    <t>A faire 02/24</t>
  </si>
  <si>
    <t>A faire 01/24</t>
  </si>
  <si>
    <t>Omnia</t>
  </si>
  <si>
    <t>Jinlong</t>
  </si>
  <si>
    <t xml:space="preserve">Product leak on SSMB column at weld level </t>
  </si>
  <si>
    <t>https://novasepps.sharepoint.com/sites/NPS_DATA/AQHSE/1-Qualite/1-FICHES_CAP/CAP_EMISES%202024/24001%20Omnia/24001%20Omnia.docx</t>
  </si>
  <si>
    <t>A faire 07/24</t>
  </si>
  <si>
    <t>Xinlv</t>
  </si>
  <si>
    <t>Xinlv SSMB cell height</t>
  </si>
  <si>
    <t>SQ13</t>
  </si>
  <si>
    <t xml:space="preserve">SQ13 LS MB140 column internals deformation </t>
  </si>
  <si>
    <t xml:space="preserve">SQ12 </t>
  </si>
  <si>
    <t>FCA/SOV</t>
  </si>
  <si>
    <t>CTI/Beugin</t>
  </si>
  <si>
    <t>Piping defects and lack of supply for strainers</t>
  </si>
  <si>
    <t>Beugin-ONEX</t>
  </si>
  <si>
    <t xml:space="preserve">Huitong </t>
  </si>
  <si>
    <t>Backwashing tank volume issue</t>
  </si>
  <si>
    <t>Late delivery of a piping box</t>
  </si>
  <si>
    <t>Empty supplier resin bag in reconditioned BB of resin</t>
  </si>
  <si>
    <t>FRA-SON0000291</t>
  </si>
  <si>
    <t>https://novasepps.sharepoint.com/sites/NPS_DATA/AQHSE/1-Qualite/1-FICHES_CAP/CAP_EMISES%202024/24007%20Friesland/24007%20Friesland-sac%2025l%20dans%20BB.docx</t>
  </si>
  <si>
    <t>BMA Bengladesh</t>
  </si>
  <si>
    <t>Absence of calculation note for evapo piping</t>
  </si>
  <si>
    <t xml:space="preserve">Studs missing on Kerasep modules delivered by Applexion SHA </t>
  </si>
  <si>
    <t>MF maintenance kit no compliant</t>
  </si>
  <si>
    <t>Female SMS cap nuts delivered instead of male</t>
  </si>
  <si>
    <t>Package lost on site - Difficulties to identify Shipment from APX - Tagging issue</t>
  </si>
  <si>
    <t>JAH</t>
  </si>
  <si>
    <t>Carbocode</t>
  </si>
  <si>
    <t>Acid/base projection risk when priming dosing pumps</t>
  </si>
  <si>
    <t>XM</t>
  </si>
  <si>
    <t>SGU/JGO</t>
  </si>
  <si>
    <t>QC at client site</t>
  </si>
  <si>
    <t>SQ CQ</t>
  </si>
  <si>
    <t>FDS/Runjia</t>
  </si>
  <si>
    <t>Unproper internals manufacturing and installation for SSMB</t>
  </si>
  <si>
    <t>DMA</t>
  </si>
  <si>
    <t xml:space="preserve">Saint Ex-Emballages </t>
  </si>
  <si>
    <t>Samples shipping issues to US</t>
  </si>
  <si>
    <t>Fufeng Qiqihaer</t>
  </si>
  <si>
    <t>Fufeng Qiqihaer- Frozen lysine resin</t>
  </si>
  <si>
    <t>Heliobiosys</t>
  </si>
  <si>
    <t>MF pilot return blocked in customs</t>
  </si>
  <si>
    <t>A faire 12/24</t>
  </si>
  <si>
    <t>Resin loss on demineralization unit L1</t>
  </si>
  <si>
    <t>YLI</t>
  </si>
  <si>
    <t>SQ20 F55MB CL6510  Rubber Lining Issue of Insert Tube</t>
  </si>
  <si>
    <t>ASO</t>
  </si>
  <si>
    <t>FRA-SON0000469-2</t>
  </si>
  <si>
    <t>non payment of invoice, low life of electrodes</t>
  </si>
  <si>
    <t>FRA-SON0000570</t>
  </si>
  <si>
    <t xml:space="preserve">Strainers order - Delivery without ATR document </t>
  </si>
  <si>
    <t>Shipping doc</t>
  </si>
  <si>
    <t>Huaantang</t>
  </si>
  <si>
    <t>Functional Analysis assignement and workload France-Asia</t>
  </si>
  <si>
    <t>TBB</t>
  </si>
  <si>
    <t xml:space="preserve">Rubber lining failure of IEXc columns </t>
  </si>
  <si>
    <t xml:space="preserve">Leaks on 3 pumps bodies KSB </t>
  </si>
  <si>
    <t>Internal network anomaly</t>
  </si>
  <si>
    <t>XRO/JNJ</t>
  </si>
  <si>
    <t>ADM Lysine</t>
  </si>
  <si>
    <t>BMA Angola</t>
  </si>
  <si>
    <t>Design error for sand filter and linked nozzles</t>
  </si>
  <si>
    <t>JLA</t>
  </si>
  <si>
    <t>Casa Grande</t>
  </si>
  <si>
    <t xml:space="preserve">Strong smell from IEX </t>
  </si>
  <si>
    <t>PSA</t>
  </si>
  <si>
    <t>Bray valves damage</t>
  </si>
  <si>
    <t>CTI/OTIME</t>
  </si>
  <si>
    <t>Sunresin</t>
  </si>
  <si>
    <t>FRA-SON0000615</t>
  </si>
  <si>
    <t>RRU</t>
  </si>
  <si>
    <t>KBE alpha Membrane Abrasion</t>
  </si>
  <si>
    <t>Piping defects and lack of documentation</t>
  </si>
  <si>
    <t>FRA-SON0000711</t>
  </si>
  <si>
    <t>Marks on Kerasep Biopharma Membranes</t>
  </si>
  <si>
    <t>Process Design</t>
  </si>
  <si>
    <t>Process Design ?</t>
  </si>
  <si>
    <t>A faire 02/25</t>
  </si>
  <si>
    <t>Aquacom</t>
  </si>
  <si>
    <t>Pressure vessels design defect</t>
  </si>
  <si>
    <t>A faire 04/25</t>
  </si>
  <si>
    <t>FPO</t>
  </si>
  <si>
    <t>TEREOS</t>
  </si>
  <si>
    <t>Left fingers pinched in stirred tank</t>
  </si>
  <si>
    <t>MPA</t>
  </si>
  <si>
    <t>USA-PON0000149</t>
  </si>
  <si>
    <t>A faire 06/25</t>
  </si>
  <si>
    <t>A faire 03/25</t>
  </si>
  <si>
    <t>Rust of flanges and structure</t>
  </si>
  <si>
    <t>GXSF 2</t>
  </si>
  <si>
    <t xml:space="preserve">High Pressure Drop in C120A upper cell </t>
  </si>
  <si>
    <t>APL</t>
  </si>
  <si>
    <t>COSUN</t>
  </si>
  <si>
    <t>High pressure in SSMB pilot columns</t>
  </si>
  <si>
    <t xml:space="preserve">Resin delivered delayed </t>
  </si>
  <si>
    <t>Yinmore</t>
  </si>
  <si>
    <t>Large deviation in resin particle size distribution</t>
  </si>
  <si>
    <t>Columns  Name plate &amp; Tag No. Installation Mistake</t>
  </si>
  <si>
    <t>Column-B Resin Nozzle Orientation Mistake</t>
  </si>
  <si>
    <t>The carbon backwashing is not efficient</t>
  </si>
  <si>
    <t>LongYU, Ziyou</t>
  </si>
  <si>
    <t>Mismatching of Nozzle A1 and A2 betweent column and front piping</t>
  </si>
  <si>
    <t>SQ18</t>
  </si>
  <si>
    <t>SQ18 IRA458 Resin missing in SHA warehouse</t>
  </si>
  <si>
    <t>ACH</t>
  </si>
  <si>
    <t xml:space="preserve">stock </t>
  </si>
  <si>
    <t>purchasing</t>
  </si>
  <si>
    <t>PLIITH HUITONG</t>
  </si>
  <si>
    <t>ZIMA</t>
  </si>
  <si>
    <t>SQ nansha</t>
  </si>
  <si>
    <t>automation</t>
  </si>
  <si>
    <t>SQ1 revamping program didn't complete on time</t>
  </si>
  <si>
    <t>Huitong Claim on GAC revamping program delay</t>
  </si>
  <si>
    <t>LPU</t>
  </si>
  <si>
    <t>Corrosion in the AKTA 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</si>
</sst>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\ &quot;€&quot;;[Red]\-#,##0.00\ &quot;€&quot;"/>
    <numFmt numFmtId="165" formatCode="_-* #,##0.00\ _F_-;\-* #,##0.00\ _F_-;_-* &quot;-&quot;??\ _F_-;_-@_-"/>
    <numFmt numFmtId="166" formatCode="dd/mm/yy;@"/>
    <numFmt numFmtId="167" formatCode="0#,###"/>
    <numFmt numFmtId="168" formatCode="dd/mm/yy"/>
    <numFmt numFmtId="169" formatCode="0&quot;1&quot;\ 00#"/>
    <numFmt numFmtId="170" formatCode="_-* #,##0\ _€_-;\-* #,##0\ _€_-;_-* &quot;-&quot;??\ _€_-;_-@_-"/>
  </numFmts>
  <fonts count="34" x14ac:knownFonts="1"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8"/>
      <name val="Tahoma"/>
      <family val="2"/>
    </font>
    <font>
      <sz val="9"/>
      <name val="Tahoma"/>
      <family val="2"/>
    </font>
    <font>
      <sz val="9"/>
      <name val="宋体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  <font>
      <sz val="11"/>
      <name val="Calibri"/>
      <family val="2"/>
    </font>
    <font>
      <sz val="9"/>
      <name val="宋体"/>
      <charset val="134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C00000"/>
      <name val="Arial"/>
      <family val="2"/>
    </font>
    <font>
      <strike/>
      <sz val="10"/>
      <color theme="4"/>
      <name val="Arial"/>
      <family val="2"/>
    </font>
    <font>
      <strike/>
      <sz val="10"/>
      <color theme="1"/>
      <name val="Arial"/>
      <family val="2"/>
    </font>
    <font>
      <b/>
      <strike/>
      <sz val="10"/>
      <color theme="9" tint="-0.249977111117893"/>
      <name val="Arial"/>
      <family val="2"/>
    </font>
    <font>
      <b/>
      <strike/>
      <sz val="10"/>
      <color rgb="FFC00000"/>
      <name val="Arial"/>
      <family val="2"/>
    </font>
    <font>
      <b/>
      <strike/>
      <sz val="10"/>
      <color theme="1"/>
      <name val="Arial"/>
      <family val="2"/>
    </font>
    <font>
      <sz val="10"/>
      <name val="Calibri"/>
      <family val="2"/>
    </font>
    <font>
      <u/>
      <sz val="11"/>
      <name val="Calibri"/>
      <family val="2"/>
    </font>
    <font>
      <sz val="10"/>
      <color rgb="FF242424"/>
      <name val="微软雅黑"/>
      <family val="2"/>
      <charset val="134"/>
    </font>
    <font>
      <sz val="10"/>
      <color rgb="FFFF0000"/>
      <name val="Arial"/>
      <family val="2"/>
    </font>
    <font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70">
    <xf numFmtId="0" fontId="0" fillId="0" borderId="0" xfId="0"/>
    <xf numFmtId="0" fontId="0" fillId="8" borderId="0" xfId="0" applyFill="1"/>
    <xf numFmtId="166" fontId="0" fillId="0" borderId="0" xfId="0" applyNumberFormat="1"/>
    <xf numFmtId="0" fontId="0" fillId="0" borderId="0" xfId="0" applyAlignment="1">
      <alignment horizontal="left"/>
    </xf>
    <xf numFmtId="0" fontId="18" fillId="3" borderId="1" xfId="0" applyFont="1" applyFill="1" applyBorder="1" applyAlignment="1">
      <alignment horizontal="centerContinuous"/>
    </xf>
    <xf numFmtId="0" fontId="19" fillId="3" borderId="1" xfId="0" applyFont="1" applyFill="1" applyBorder="1" applyAlignment="1">
      <alignment horizontal="centerContinuous"/>
    </xf>
    <xf numFmtId="166" fontId="19" fillId="3" borderId="1" xfId="0" applyNumberFormat="1" applyFont="1" applyFill="1" applyBorder="1" applyAlignment="1">
      <alignment horizontal="centerContinuous"/>
    </xf>
    <xf numFmtId="0" fontId="19" fillId="3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Continuous"/>
    </xf>
    <xf numFmtId="0" fontId="1" fillId="5" borderId="5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centerContinuous" vertical="center"/>
    </xf>
    <xf numFmtId="0" fontId="1" fillId="7" borderId="2" xfId="0" applyFont="1" applyFill="1" applyBorder="1" applyAlignment="1">
      <alignment horizontal="centerContinuous" vertical="center"/>
    </xf>
    <xf numFmtId="0" fontId="1" fillId="7" borderId="5" xfId="0" applyFont="1" applyFill="1" applyBorder="1" applyAlignment="1">
      <alignment horizontal="centerContinuous" vertical="center"/>
    </xf>
    <xf numFmtId="0" fontId="1" fillId="6" borderId="6" xfId="0" applyFont="1" applyFill="1" applyBorder="1" applyAlignment="1">
      <alignment horizontal="centerContinuous" vertical="center"/>
    </xf>
    <xf numFmtId="0" fontId="1" fillId="6" borderId="2" xfId="0" applyFont="1" applyFill="1" applyBorder="1" applyAlignment="1">
      <alignment horizontal="centerContinuous" vertical="center"/>
    </xf>
    <xf numFmtId="0" fontId="1" fillId="5" borderId="7" xfId="0" applyFont="1" applyFill="1" applyBorder="1" applyAlignment="1">
      <alignment vertical="center"/>
    </xf>
    <xf numFmtId="0" fontId="1" fillId="7" borderId="8" xfId="0" applyFont="1" applyFill="1" applyBorder="1" applyAlignment="1">
      <alignment horizontal="centerContinuous" vertical="center"/>
    </xf>
    <xf numFmtId="0" fontId="1" fillId="7" borderId="3" xfId="0" applyFont="1" applyFill="1" applyBorder="1" applyAlignment="1">
      <alignment horizontal="centerContinuous" vertical="center"/>
    </xf>
    <xf numFmtId="0" fontId="1" fillId="7" borderId="7" xfId="0" applyFont="1" applyFill="1" applyBorder="1" applyAlignment="1">
      <alignment horizontal="centerContinuous" vertical="center"/>
    </xf>
    <xf numFmtId="0" fontId="1" fillId="6" borderId="8" xfId="0" applyFont="1" applyFill="1" applyBorder="1" applyAlignment="1">
      <alignment horizontal="centerContinuous" vertical="center"/>
    </xf>
    <xf numFmtId="0" fontId="1" fillId="6" borderId="3" xfId="0" applyFont="1" applyFill="1" applyBorder="1" applyAlignment="1">
      <alignment horizontal="centerContinuous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Continuous"/>
    </xf>
    <xf numFmtId="14" fontId="0" fillId="3" borderId="4" xfId="0" applyNumberFormat="1" applyFill="1" applyBorder="1" applyAlignment="1">
      <alignment horizontal="left"/>
    </xf>
    <xf numFmtId="0" fontId="1" fillId="6" borderId="5" xfId="0" applyFont="1" applyFill="1" applyBorder="1" applyAlignment="1">
      <alignment horizontal="centerContinuous" vertical="center"/>
    </xf>
    <xf numFmtId="0" fontId="1" fillId="10" borderId="9" xfId="0" applyFont="1" applyFill="1" applyBorder="1" applyAlignment="1">
      <alignment horizontal="centerContinuous"/>
    </xf>
    <xf numFmtId="0" fontId="1" fillId="10" borderId="10" xfId="0" applyFont="1" applyFill="1" applyBorder="1" applyAlignment="1">
      <alignment horizontal="centerContinuous"/>
    </xf>
    <xf numFmtId="0" fontId="1" fillId="6" borderId="7" xfId="0" applyFont="1" applyFill="1" applyBorder="1" applyAlignment="1">
      <alignment horizontal="centerContinuous" vertical="center"/>
    </xf>
    <xf numFmtId="0" fontId="1" fillId="10" borderId="11" xfId="0" applyFont="1" applyFill="1" applyBorder="1" applyAlignment="1">
      <alignment horizontal="centerContinuous"/>
    </xf>
    <xf numFmtId="0" fontId="1" fillId="11" borderId="9" xfId="0" applyFont="1" applyFill="1" applyBorder="1"/>
    <xf numFmtId="0" fontId="1" fillId="11" borderId="10" xfId="0" applyFont="1" applyFill="1" applyBorder="1"/>
    <xf numFmtId="0" fontId="1" fillId="11" borderId="11" xfId="0" applyFont="1" applyFill="1" applyBorder="1"/>
    <xf numFmtId="0" fontId="18" fillId="4" borderId="9" xfId="0" applyFont="1" applyFill="1" applyBorder="1" applyAlignment="1">
      <alignment horizontal="centerContinuous"/>
    </xf>
    <xf numFmtId="0" fontId="1" fillId="9" borderId="9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8" fillId="9" borderId="8" xfId="0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0" fillId="3" borderId="1" xfId="0" applyFill="1" applyBorder="1"/>
    <xf numFmtId="14" fontId="20" fillId="13" borderId="0" xfId="0" applyNumberFormat="1" applyFont="1" applyFill="1"/>
    <xf numFmtId="14" fontId="18" fillId="13" borderId="0" xfId="0" applyNumberFormat="1" applyFont="1" applyFill="1"/>
    <xf numFmtId="14" fontId="1" fillId="10" borderId="10" xfId="0" applyNumberFormat="1" applyFont="1" applyFill="1" applyBorder="1" applyAlignment="1">
      <alignment horizontal="centerContinuous"/>
    </xf>
    <xf numFmtId="0" fontId="18" fillId="4" borderId="10" xfId="0" applyFont="1" applyFill="1" applyBorder="1" applyAlignment="1">
      <alignment horizontal="centerContinuous"/>
    </xf>
    <xf numFmtId="0" fontId="18" fillId="4" borderId="11" xfId="0" applyFont="1" applyFill="1" applyBorder="1" applyAlignment="1">
      <alignment horizontal="centerContinuous"/>
    </xf>
    <xf numFmtId="0" fontId="1" fillId="9" borderId="3" xfId="0" applyFont="1" applyFill="1" applyBorder="1" applyAlignment="1">
      <alignment horizontal="center"/>
    </xf>
    <xf numFmtId="0" fontId="0" fillId="9" borderId="4" xfId="0" applyFill="1" applyBorder="1"/>
    <xf numFmtId="0" fontId="0" fillId="10" borderId="4" xfId="0" applyFill="1" applyBorder="1" applyAlignment="1">
      <alignment horizontal="centerContinuous"/>
    </xf>
    <xf numFmtId="0" fontId="18" fillId="13" borderId="0" xfId="0" applyFont="1" applyFill="1"/>
    <xf numFmtId="0" fontId="0" fillId="10" borderId="4" xfId="0" applyFill="1" applyBorder="1"/>
    <xf numFmtId="0" fontId="18" fillId="14" borderId="0" xfId="0" applyFont="1" applyFill="1" applyAlignment="1">
      <alignment horizontal="center"/>
    </xf>
    <xf numFmtId="0" fontId="18" fillId="9" borderId="12" xfId="0" applyFont="1" applyFill="1" applyBorder="1" applyAlignment="1">
      <alignment horizontal="left"/>
    </xf>
    <xf numFmtId="0" fontId="18" fillId="9" borderId="0" xfId="0" applyFont="1" applyFill="1" applyAlignment="1">
      <alignment horizontal="centerContinuous"/>
    </xf>
    <xf numFmtId="0" fontId="0" fillId="15" borderId="0" xfId="0" applyFill="1"/>
    <xf numFmtId="0" fontId="0" fillId="10" borderId="6" xfId="0" applyFill="1" applyBorder="1" applyAlignment="1">
      <alignment horizontal="center" vertical="center" wrapText="1"/>
    </xf>
    <xf numFmtId="166" fontId="0" fillId="12" borderId="6" xfId="0" applyNumberFormat="1" applyFill="1" applyBorder="1" applyAlignment="1">
      <alignment horizontal="center"/>
    </xf>
    <xf numFmtId="166" fontId="25" fillId="12" borderId="6" xfId="0" applyNumberFormat="1" applyFon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166" fontId="0" fillId="0" borderId="6" xfId="0" applyNumberFormat="1" applyBorder="1" applyAlignment="1">
      <alignment horizontal="center"/>
    </xf>
    <xf numFmtId="0" fontId="0" fillId="12" borderId="6" xfId="0" applyFill="1" applyBorder="1"/>
    <xf numFmtId="166" fontId="0" fillId="12" borderId="12" xfId="0" applyNumberFormat="1" applyFill="1" applyBorder="1" applyAlignment="1">
      <alignment horizontal="center"/>
    </xf>
    <xf numFmtId="166" fontId="6" fillId="12" borderId="6" xfId="0" applyNumberFormat="1" applyFon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12" borderId="12" xfId="0" applyFill="1" applyBorder="1"/>
    <xf numFmtId="0" fontId="0" fillId="3" borderId="0" xfId="0" applyFill="1"/>
    <xf numFmtId="0" fontId="1" fillId="9" borderId="10" xfId="0" applyFont="1" applyFill="1" applyBorder="1" applyAlignment="1">
      <alignment horizontal="center"/>
    </xf>
    <xf numFmtId="167" fontId="2" fillId="16" borderId="6" xfId="1" applyNumberFormat="1" applyFill="1" applyBorder="1" applyAlignment="1" applyProtection="1"/>
    <xf numFmtId="0" fontId="22" fillId="0" borderId="6" xfId="0" applyFont="1" applyBorder="1" applyAlignment="1">
      <alignment horizontal="center"/>
    </xf>
    <xf numFmtId="0" fontId="15" fillId="0" borderId="6" xfId="0" applyFont="1" applyBorder="1"/>
    <xf numFmtId="14" fontId="0" fillId="0" borderId="6" xfId="0" applyNumberFormat="1" applyBorder="1" applyAlignment="1">
      <alignment horizontal="center"/>
    </xf>
    <xf numFmtId="167" fontId="0" fillId="16" borderId="6" xfId="0" applyNumberFormat="1" applyFill="1" applyBorder="1"/>
    <xf numFmtId="0" fontId="0" fillId="7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left" vertical="center" textRotation="90" wrapText="1"/>
    </xf>
    <xf numFmtId="0" fontId="1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textRotation="90" wrapText="1"/>
    </xf>
    <xf numFmtId="166" fontId="0" fillId="5" borderId="6" xfId="0" applyNumberForma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left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 wrapText="1"/>
    </xf>
    <xf numFmtId="14" fontId="21" fillId="0" borderId="6" xfId="0" applyNumberFormat="1" applyFont="1" applyBorder="1" applyAlignment="1">
      <alignment horizontal="left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30" fillId="0" borderId="6" xfId="0" applyFont="1" applyBorder="1"/>
    <xf numFmtId="170" fontId="0" fillId="0" borderId="2" xfId="0" applyNumberFormat="1" applyBorder="1"/>
    <xf numFmtId="170" fontId="0" fillId="0" borderId="0" xfId="0" applyNumberFormat="1"/>
    <xf numFmtId="0" fontId="0" fillId="0" borderId="2" xfId="0" applyBorder="1"/>
    <xf numFmtId="14" fontId="23" fillId="15" borderId="6" xfId="0" applyNumberFormat="1" applyFont="1" applyFill="1" applyBorder="1" applyAlignment="1">
      <alignment horizontal="center"/>
    </xf>
    <xf numFmtId="170" fontId="1" fillId="15" borderId="0" xfId="0" applyNumberFormat="1" applyFont="1" applyFill="1"/>
    <xf numFmtId="169" fontId="0" fillId="15" borderId="6" xfId="0" applyNumberFormat="1" applyFill="1" applyBorder="1" applyAlignment="1">
      <alignment horizontal="left"/>
    </xf>
    <xf numFmtId="14" fontId="0" fillId="0" borderId="6" xfId="0" applyNumberFormat="1" applyBorder="1"/>
    <xf numFmtId="168" fontId="0" fillId="15" borderId="6" xfId="0" applyNumberFormat="1" applyFill="1" applyBorder="1" applyAlignment="1">
      <alignment horizontal="center"/>
    </xf>
    <xf numFmtId="0" fontId="0" fillId="12" borderId="6" xfId="0" applyFill="1" applyBorder="1" applyAlignment="1">
      <alignment horizontal="left"/>
    </xf>
    <xf numFmtId="0" fontId="2" fillId="12" borderId="6" xfId="1" applyFill="1" applyBorder="1" applyAlignment="1" applyProtection="1"/>
    <xf numFmtId="14" fontId="0" fillId="12" borderId="6" xfId="0" applyNumberFormat="1" applyFill="1" applyBorder="1" applyAlignment="1">
      <alignment horizontal="center"/>
    </xf>
    <xf numFmtId="0" fontId="0" fillId="12" borderId="0" xfId="0" applyFill="1"/>
    <xf numFmtId="0" fontId="2" fillId="12" borderId="2" xfId="1" applyFill="1" applyBorder="1" applyAlignment="1" applyProtection="1"/>
    <xf numFmtId="0" fontId="1" fillId="12" borderId="6" xfId="0" applyFont="1" applyFill="1" applyBorder="1" applyAlignment="1">
      <alignment horizontal="center"/>
    </xf>
    <xf numFmtId="168" fontId="0" fillId="12" borderId="6" xfId="0" applyNumberFormat="1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14" fontId="21" fillId="12" borderId="6" xfId="0" applyNumberFormat="1" applyFont="1" applyFill="1" applyBorder="1" applyAlignment="1">
      <alignment horizontal="left"/>
    </xf>
    <xf numFmtId="0" fontId="0" fillId="12" borderId="6" xfId="0" applyFill="1" applyBorder="1" applyAlignment="1">
      <alignment horizontal="left" wrapText="1"/>
    </xf>
    <xf numFmtId="0" fontId="0" fillId="12" borderId="12" xfId="0" applyFill="1" applyBorder="1" applyAlignment="1">
      <alignment horizontal="left"/>
    </xf>
    <xf numFmtId="0" fontId="2" fillId="12" borderId="0" xfId="1" applyFill="1" applyAlignment="1" applyProtection="1"/>
    <xf numFmtId="164" fontId="0" fillId="12" borderId="6" xfId="0" applyNumberFormat="1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2" borderId="2" xfId="0" applyFill="1" applyBorder="1" applyAlignment="1">
      <alignment horizontal="center"/>
    </xf>
    <xf numFmtId="0" fontId="0" fillId="12" borderId="6" xfId="0" applyFill="1" applyBorder="1" applyAlignment="1">
      <alignment horizontal="center" wrapText="1"/>
    </xf>
    <xf numFmtId="0" fontId="3" fillId="12" borderId="2" xfId="1" applyFont="1" applyFill="1" applyBorder="1" applyAlignment="1" applyProtection="1">
      <alignment horizontal="center"/>
    </xf>
    <xf numFmtId="0" fontId="3" fillId="12" borderId="6" xfId="1" applyFont="1" applyFill="1" applyBorder="1" applyAlignment="1" applyProtection="1">
      <alignment horizontal="center"/>
    </xf>
    <xf numFmtId="0" fontId="2" fillId="12" borderId="6" xfId="1" applyFill="1" applyBorder="1" applyAlignment="1" applyProtection="1">
      <alignment horizontal="center"/>
    </xf>
    <xf numFmtId="0" fontId="4" fillId="12" borderId="6" xfId="0" applyFont="1" applyFill="1" applyBorder="1" applyAlignment="1">
      <alignment horizontal="center"/>
    </xf>
    <xf numFmtId="14" fontId="5" fillId="12" borderId="6" xfId="0" applyNumberFormat="1" applyFont="1" applyFill="1" applyBorder="1" applyAlignment="1">
      <alignment horizontal="center"/>
    </xf>
    <xf numFmtId="168" fontId="5" fillId="12" borderId="6" xfId="0" applyNumberFormat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left"/>
    </xf>
    <xf numFmtId="14" fontId="24" fillId="12" borderId="6" xfId="0" applyNumberFormat="1" applyFont="1" applyFill="1" applyBorder="1" applyAlignment="1">
      <alignment horizontal="left"/>
    </xf>
    <xf numFmtId="14" fontId="25" fillId="12" borderId="6" xfId="0" applyNumberFormat="1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left" wrapText="1"/>
    </xf>
    <xf numFmtId="0" fontId="25" fillId="12" borderId="6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2" borderId="12" xfId="0" applyFill="1" applyBorder="1" applyAlignment="1">
      <alignment horizontal="center"/>
    </xf>
    <xf numFmtId="0" fontId="0" fillId="12" borderId="0" xfId="0" applyFill="1" applyAlignment="1">
      <alignment horizontal="center"/>
    </xf>
    <xf numFmtId="14" fontId="6" fillId="12" borderId="6" xfId="0" applyNumberFormat="1" applyFont="1" applyFill="1" applyBorder="1" applyAlignment="1">
      <alignment horizontal="center"/>
    </xf>
    <xf numFmtId="168" fontId="6" fillId="12" borderId="6" xfId="0" applyNumberFormat="1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left"/>
    </xf>
    <xf numFmtId="0" fontId="15" fillId="12" borderId="6" xfId="0" applyFont="1" applyFill="1" applyBorder="1"/>
    <xf numFmtId="0" fontId="0" fillId="12" borderId="2" xfId="0" applyFill="1" applyBorder="1"/>
    <xf numFmtId="0" fontId="15" fillId="12" borderId="2" xfId="0" applyFont="1" applyFill="1" applyBorder="1"/>
    <xf numFmtId="0" fontId="15" fillId="12" borderId="6" xfId="0" applyFont="1" applyFill="1" applyBorder="1" applyAlignment="1">
      <alignment horizontal="center"/>
    </xf>
    <xf numFmtId="0" fontId="15" fillId="12" borderId="12" xfId="0" applyFont="1" applyFill="1" applyBorder="1"/>
    <xf numFmtId="0" fontId="15" fillId="12" borderId="0" xfId="0" applyFont="1" applyFill="1"/>
    <xf numFmtId="167" fontId="2" fillId="12" borderId="6" xfId="1" applyNumberFormat="1" applyFill="1" applyBorder="1" applyAlignment="1" applyProtection="1"/>
    <xf numFmtId="0" fontId="1" fillId="12" borderId="2" xfId="0" applyFont="1" applyFill="1" applyBorder="1" applyAlignment="1">
      <alignment horizontal="center"/>
    </xf>
    <xf numFmtId="0" fontId="29" fillId="12" borderId="0" xfId="0" applyFont="1" applyFill="1"/>
    <xf numFmtId="0" fontId="2" fillId="12" borderId="0" xfId="1" applyFill="1" applyBorder="1" applyAlignment="1" applyProtection="1"/>
    <xf numFmtId="0" fontId="2" fillId="12" borderId="6" xfId="1" applyFill="1" applyBorder="1" applyAlignment="1" applyProtection="1">
      <alignment horizontal="left"/>
    </xf>
    <xf numFmtId="0" fontId="22" fillId="12" borderId="6" xfId="0" applyFont="1" applyFill="1" applyBorder="1" applyAlignment="1">
      <alignment horizontal="center"/>
    </xf>
    <xf numFmtId="14" fontId="0" fillId="12" borderId="12" xfId="0" applyNumberFormat="1" applyFill="1" applyBorder="1" applyAlignment="1">
      <alignment horizontal="center"/>
    </xf>
    <xf numFmtId="168" fontId="0" fillId="12" borderId="12" xfId="0" applyNumberFormat="1" applyFill="1" applyBorder="1" applyAlignment="1">
      <alignment horizontal="center"/>
    </xf>
    <xf numFmtId="14" fontId="23" fillId="12" borderId="6" xfId="0" applyNumberFormat="1" applyFont="1" applyFill="1" applyBorder="1" applyAlignment="1">
      <alignment horizontal="center"/>
    </xf>
    <xf numFmtId="170" fontId="0" fillId="12" borderId="6" xfId="0" applyNumberFormat="1" applyFill="1" applyBorder="1" applyAlignment="1">
      <alignment horizontal="left"/>
    </xf>
    <xf numFmtId="170" fontId="0" fillId="12" borderId="12" xfId="0" applyNumberFormat="1" applyFill="1" applyBorder="1" applyAlignment="1">
      <alignment horizontal="left"/>
    </xf>
    <xf numFmtId="170" fontId="1" fillId="12" borderId="6" xfId="0" applyNumberFormat="1" applyFont="1" applyFill="1" applyBorder="1" applyAlignment="1">
      <alignment horizontal="left"/>
    </xf>
    <xf numFmtId="169" fontId="0" fillId="12" borderId="6" xfId="0" applyNumberFormat="1" applyFill="1" applyBorder="1" applyAlignment="1">
      <alignment horizontal="left"/>
    </xf>
    <xf numFmtId="169" fontId="0" fillId="12" borderId="12" xfId="0" applyNumberFormat="1" applyFill="1" applyBorder="1" applyAlignment="1">
      <alignment horizontal="left"/>
    </xf>
    <xf numFmtId="14" fontId="0" fillId="12" borderId="6" xfId="0" applyNumberFormat="1" applyFill="1" applyBorder="1" applyAlignment="1">
      <alignment horizontal="center" wrapText="1"/>
    </xf>
    <xf numFmtId="14" fontId="3" fillId="12" borderId="6" xfId="1" applyNumberFormat="1" applyFont="1" applyFill="1" applyBorder="1" applyAlignment="1" applyProtection="1">
      <alignment horizontal="center"/>
    </xf>
    <xf numFmtId="17" fontId="0" fillId="12" borderId="6" xfId="0" applyNumberFormat="1" applyFill="1" applyBorder="1" applyAlignment="1">
      <alignment horizontal="left"/>
    </xf>
    <xf numFmtId="170" fontId="0" fillId="12" borderId="6" xfId="0" applyNumberFormat="1" applyFill="1" applyBorder="1" applyAlignment="1">
      <alignment horizontal="center"/>
    </xf>
    <xf numFmtId="170" fontId="1" fillId="12" borderId="6" xfId="0" applyNumberFormat="1" applyFont="1" applyFill="1" applyBorder="1" applyAlignment="1">
      <alignment horizontal="center"/>
    </xf>
    <xf numFmtId="14" fontId="0" fillId="12" borderId="6" xfId="0" applyNumberFormat="1" applyFill="1" applyBorder="1" applyAlignment="1">
      <alignment horizontal="left"/>
    </xf>
    <xf numFmtId="0" fontId="26" fillId="12" borderId="6" xfId="0" applyFont="1" applyFill="1" applyBorder="1" applyAlignment="1">
      <alignment horizontal="center"/>
    </xf>
    <xf numFmtId="168" fontId="25" fillId="12" borderId="6" xfId="0" applyNumberFormat="1" applyFont="1" applyFill="1" applyBorder="1" applyAlignment="1">
      <alignment horizontal="center"/>
    </xf>
    <xf numFmtId="14" fontId="27" fillId="12" borderId="6" xfId="0" applyNumberFormat="1" applyFont="1" applyFill="1" applyBorder="1" applyAlignment="1">
      <alignment horizontal="center"/>
    </xf>
    <xf numFmtId="170" fontId="25" fillId="12" borderId="6" xfId="0" applyNumberFormat="1" applyFont="1" applyFill="1" applyBorder="1" applyAlignment="1">
      <alignment horizontal="left"/>
    </xf>
    <xf numFmtId="170" fontId="25" fillId="12" borderId="12" xfId="0" applyNumberFormat="1" applyFont="1" applyFill="1" applyBorder="1" applyAlignment="1">
      <alignment horizontal="left"/>
    </xf>
    <xf numFmtId="170" fontId="28" fillId="12" borderId="6" xfId="0" applyNumberFormat="1" applyFont="1" applyFill="1" applyBorder="1" applyAlignment="1">
      <alignment horizontal="left"/>
    </xf>
    <xf numFmtId="169" fontId="25" fillId="12" borderId="6" xfId="0" applyNumberFormat="1" applyFont="1" applyFill="1" applyBorder="1" applyAlignment="1">
      <alignment horizontal="left"/>
    </xf>
    <xf numFmtId="16" fontId="0" fillId="12" borderId="6" xfId="0" applyNumberFormat="1" applyFill="1" applyBorder="1" applyAlignment="1">
      <alignment horizontal="left"/>
    </xf>
    <xf numFmtId="14" fontId="23" fillId="12" borderId="12" xfId="0" applyNumberFormat="1" applyFont="1" applyFill="1" applyBorder="1" applyAlignment="1">
      <alignment horizontal="center"/>
    </xf>
    <xf numFmtId="0" fontId="0" fillId="12" borderId="6" xfId="0" applyFill="1" applyBorder="1" applyAlignment="1">
      <alignment horizontal="center" vertical="center"/>
    </xf>
    <xf numFmtId="170" fontId="6" fillId="12" borderId="6" xfId="0" applyNumberFormat="1" applyFont="1" applyFill="1" applyBorder="1" applyAlignment="1">
      <alignment horizontal="left"/>
    </xf>
    <xf numFmtId="169" fontId="6" fillId="12" borderId="6" xfId="0" applyNumberFormat="1" applyFont="1" applyFill="1" applyBorder="1" applyAlignment="1">
      <alignment horizontal="left"/>
    </xf>
    <xf numFmtId="170" fontId="0" fillId="12" borderId="6" xfId="0" applyNumberFormat="1" applyFill="1" applyBorder="1"/>
    <xf numFmtId="170" fontId="1" fillId="12" borderId="6" xfId="0" applyNumberFormat="1" applyFont="1" applyFill="1" applyBorder="1"/>
    <xf numFmtId="14" fontId="0" fillId="12" borderId="6" xfId="0" applyNumberFormat="1" applyFill="1" applyBorder="1"/>
    <xf numFmtId="170" fontId="6" fillId="12" borderId="6" xfId="0" applyNumberFormat="1" applyFont="1" applyFill="1" applyBorder="1"/>
    <xf numFmtId="169" fontId="0" fillId="12" borderId="4" xfId="0" applyNumberFormat="1" applyFill="1" applyBorder="1" applyAlignment="1">
      <alignment horizontal="left"/>
    </xf>
    <xf numFmtId="14" fontId="2" fillId="12" borderId="6" xfId="1" applyNumberFormat="1" applyFill="1" applyBorder="1" applyAlignment="1" applyProtection="1"/>
    <xf numFmtId="0" fontId="0" fillId="12" borderId="6" xfId="0" applyFill="1" applyBorder="1" applyAlignment="1">
      <alignment vertical="center"/>
    </xf>
    <xf numFmtId="14" fontId="0" fillId="12" borderId="12" xfId="0" applyNumberFormat="1" applyFill="1" applyBorder="1"/>
    <xf numFmtId="170" fontId="0" fillId="12" borderId="2" xfId="0" applyNumberFormat="1" applyFill="1" applyBorder="1"/>
    <xf numFmtId="170" fontId="0" fillId="12" borderId="0" xfId="0" applyNumberFormat="1" applyFill="1"/>
    <xf numFmtId="170" fontId="1" fillId="12" borderId="2" xfId="0" applyNumberFormat="1" applyFont="1" applyFill="1" applyBorder="1"/>
    <xf numFmtId="170" fontId="1" fillId="12" borderId="0" xfId="0" applyNumberFormat="1" applyFont="1" applyFill="1"/>
    <xf numFmtId="170" fontId="6" fillId="12" borderId="0" xfId="0" applyNumberFormat="1" applyFont="1" applyFill="1"/>
    <xf numFmtId="14" fontId="0" fillId="12" borderId="0" xfId="0" applyNumberFormat="1" applyFill="1" applyAlignment="1">
      <alignment horizontal="center"/>
    </xf>
    <xf numFmtId="14" fontId="2" fillId="12" borderId="0" xfId="1" applyNumberFormat="1" applyFill="1" applyAlignment="1" applyProtection="1"/>
    <xf numFmtId="14" fontId="3" fillId="12" borderId="6" xfId="1" applyNumberFormat="1" applyFont="1" applyFill="1" applyBorder="1" applyAlignment="1" applyProtection="1"/>
    <xf numFmtId="14" fontId="3" fillId="12" borderId="0" xfId="1" applyNumberFormat="1" applyFont="1" applyFill="1" applyBorder="1" applyAlignment="1" applyProtection="1"/>
    <xf numFmtId="167" fontId="0" fillId="12" borderId="6" xfId="0" applyNumberFormat="1" applyFill="1" applyBorder="1"/>
    <xf numFmtId="14" fontId="2" fillId="12" borderId="6" xfId="1" applyNumberFormat="1" applyFill="1" applyBorder="1" applyAlignment="1" applyProtection="1">
      <alignment horizontal="center"/>
    </xf>
    <xf numFmtId="14" fontId="6" fillId="12" borderId="6" xfId="1" applyNumberFormat="1" applyFont="1" applyFill="1" applyBorder="1" applyAlignment="1" applyProtection="1">
      <alignment horizontal="center"/>
    </xf>
    <xf numFmtId="0" fontId="15" fillId="12" borderId="0" xfId="0" applyFont="1" applyFill="1" applyAlignment="1">
      <alignment horizontal="center"/>
    </xf>
    <xf numFmtId="0" fontId="2" fillId="18" borderId="0" xfId="1" applyFill="1" applyAlignment="1" applyProtection="1"/>
    <xf numFmtId="0" fontId="1" fillId="2" borderId="2" xfId="0" applyFon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68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14" fontId="21" fillId="2" borderId="6" xfId="0" applyNumberFormat="1" applyFont="1" applyFill="1" applyBorder="1" applyAlignment="1">
      <alignment horizontal="left"/>
    </xf>
    <xf numFmtId="0" fontId="15" fillId="2" borderId="6" xfId="0" applyFont="1" applyFill="1" applyBorder="1"/>
    <xf numFmtId="0" fontId="0" fillId="2" borderId="6" xfId="0" applyFill="1" applyBorder="1" applyAlignment="1">
      <alignment horizontal="left" wrapText="1"/>
    </xf>
    <xf numFmtId="0" fontId="22" fillId="2" borderId="6" xfId="0" applyFont="1" applyFill="1" applyBorder="1" applyAlignment="1">
      <alignment horizontal="center"/>
    </xf>
    <xf numFmtId="14" fontId="23" fillId="2" borderId="6" xfId="0" applyNumberFormat="1" applyFont="1" applyFill="1" applyBorder="1" applyAlignment="1">
      <alignment horizontal="center"/>
    </xf>
    <xf numFmtId="0" fontId="0" fillId="2" borderId="0" xfId="0" applyFill="1"/>
    <xf numFmtId="170" fontId="0" fillId="2" borderId="0" xfId="0" applyNumberFormat="1" applyFill="1"/>
    <xf numFmtId="0" fontId="0" fillId="2" borderId="2" xfId="0" applyFill="1" applyBorder="1"/>
    <xf numFmtId="169" fontId="0" fillId="2" borderId="6" xfId="0" applyNumberFormat="1" applyFill="1" applyBorder="1" applyAlignment="1">
      <alignment horizontal="left"/>
    </xf>
    <xf numFmtId="14" fontId="0" fillId="2" borderId="6" xfId="0" applyNumberFormat="1" applyFill="1" applyBorder="1"/>
    <xf numFmtId="170" fontId="1" fillId="2" borderId="0" xfId="0" applyNumberFormat="1" applyFont="1" applyFill="1"/>
    <xf numFmtId="167" fontId="0" fillId="2" borderId="6" xfId="0" applyNumberFormat="1" applyFill="1" applyBorder="1"/>
    <xf numFmtId="16" fontId="0" fillId="12" borderId="6" xfId="0" applyNumberFormat="1" applyFill="1" applyBorder="1"/>
    <xf numFmtId="0" fontId="32" fillId="12" borderId="0" xfId="0" applyFont="1" applyFill="1"/>
    <xf numFmtId="0" fontId="31" fillId="12" borderId="0" xfId="0" applyFont="1" applyFill="1"/>
    <xf numFmtId="14" fontId="6" fillId="0" borderId="6" xfId="0" applyNumberFormat="1" applyFont="1" applyBorder="1" applyAlignment="1">
      <alignment horizontal="center"/>
    </xf>
    <xf numFmtId="168" fontId="6" fillId="15" borderId="6" xfId="0" applyNumberFormat="1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 vertical="center"/>
    </xf>
    <xf numFmtId="14" fontId="6" fillId="12" borderId="6" xfId="0" applyNumberFormat="1" applyFont="1" applyFill="1" applyBorder="1" applyAlignment="1">
      <alignment horizontal="left"/>
    </xf>
    <xf numFmtId="0" fontId="6" fillId="12" borderId="0" xfId="0" applyFont="1" applyFill="1" applyAlignment="1">
      <alignment horizontal="left"/>
    </xf>
    <xf numFmtId="0" fontId="6" fillId="12" borderId="6" xfId="0" applyFont="1" applyFill="1" applyBorder="1"/>
    <xf numFmtId="169" fontId="6" fillId="12" borderId="4" xfId="0" applyNumberFormat="1" applyFont="1" applyFill="1" applyBorder="1" applyAlignment="1">
      <alignment horizontal="left"/>
    </xf>
    <xf numFmtId="0" fontId="15" fillId="12" borderId="6" xfId="0" applyFont="1" applyFill="1" applyBorder="1" applyAlignment="1">
      <alignment horizontal="center" vertical="center"/>
    </xf>
    <xf numFmtId="14" fontId="6" fillId="12" borderId="6" xfId="0" applyNumberFormat="1" applyFont="1" applyFill="1" applyBorder="1"/>
    <xf numFmtId="0" fontId="6" fillId="12" borderId="6" xfId="0" applyFont="1" applyFill="1" applyBorder="1" applyAlignment="1">
      <alignment vertical="center"/>
    </xf>
    <xf numFmtId="0" fontId="6" fillId="12" borderId="2" xfId="0" applyFont="1" applyFill="1" applyBorder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168" fontId="6" fillId="12" borderId="6" xfId="0" applyNumberFormat="1" applyFont="1" applyFill="1" applyBorder="1"/>
    <xf numFmtId="14" fontId="23" fillId="12" borderId="6" xfId="1" applyNumberFormat="1" applyFont="1" applyFill="1" applyBorder="1" applyAlignment="1" applyProtection="1">
      <alignment horizontal="center"/>
    </xf>
    <xf numFmtId="170" fontId="6" fillId="12" borderId="2" xfId="0" applyNumberFormat="1" applyFont="1" applyFill="1" applyBorder="1"/>
    <xf numFmtId="17" fontId="0" fillId="12" borderId="6" xfId="0" applyNumberFormat="1" applyFill="1" applyBorder="1"/>
    <xf numFmtId="0" fontId="15" fillId="2" borderId="0" xfId="0" applyFont="1" applyFill="1"/>
    <xf numFmtId="16" fontId="0" fillId="2" borderId="6" xfId="0" applyNumberFormat="1" applyFill="1" applyBorder="1"/>
    <xf numFmtId="14" fontId="3" fillId="12" borderId="6" xfId="1" applyNumberFormat="1" applyFont="1" applyFill="1" applyBorder="1" applyAlignment="1" applyProtection="1">
      <alignment horizontal="right"/>
    </xf>
    <xf numFmtId="14" fontId="0" fillId="12" borderId="6" xfId="0" applyNumberFormat="1" applyFill="1" applyBorder="1" applyAlignment="1">
      <alignment horizontal="right"/>
    </xf>
    <xf numFmtId="0" fontId="0" fillId="0" borderId="2" xfId="0" applyBorder="1" applyAlignment="1">
      <alignment horizontal="left"/>
    </xf>
    <xf numFmtId="0" fontId="33" fillId="12" borderId="6" xfId="0" applyFont="1" applyFill="1" applyBorder="1"/>
    <xf numFmtId="169" fontId="0" fillId="12" borderId="2" xfId="0" applyNumberFormat="1" applyFill="1" applyBorder="1" applyAlignment="1">
      <alignment horizontal="left"/>
    </xf>
    <xf numFmtId="0" fontId="2" fillId="0" borderId="6" xfId="1" applyFill="1" applyBorder="1" applyAlignment="1" applyProtection="1"/>
    <xf numFmtId="0" fontId="2" fillId="0" borderId="6" xfId="1" applyBorder="1" applyAlignment="1" applyProtection="1"/>
    <xf numFmtId="14" fontId="0" fillId="9" borderId="6" xfId="0" applyNumberFormat="1" applyFill="1" applyBorder="1" applyAlignment="1">
      <alignment horizontal="center"/>
    </xf>
    <xf numFmtId="14" fontId="0" fillId="9" borderId="6" xfId="0" applyNumberFormat="1" applyFill="1" applyBorder="1" applyAlignment="1">
      <alignment horizontal="right"/>
    </xf>
    <xf numFmtId="14" fontId="0" fillId="9" borderId="6" xfId="0" applyNumberFormat="1" applyFill="1" applyBorder="1"/>
    <xf numFmtId="0" fontId="0" fillId="9" borderId="6" xfId="0" applyFill="1" applyBorder="1" applyAlignment="1">
      <alignment horizontal="left"/>
    </xf>
    <xf numFmtId="14" fontId="0" fillId="12" borderId="2" xfId="0" applyNumberFormat="1" applyFill="1" applyBorder="1"/>
    <xf numFmtId="169" fontId="0" fillId="15" borderId="2" xfId="0" applyNumberFormat="1" applyFill="1" applyBorder="1" applyAlignment="1">
      <alignment horizontal="left"/>
    </xf>
    <xf numFmtId="0" fontId="0" fillId="19" borderId="6" xfId="0" applyFill="1" applyBorder="1"/>
    <xf numFmtId="0" fontId="15" fillId="9" borderId="6" xfId="0" applyFont="1" applyFill="1" applyBorder="1"/>
    <xf numFmtId="0" fontId="0" fillId="9" borderId="6" xfId="0" applyFill="1" applyBorder="1" applyAlignment="1">
      <alignment horizontal="center"/>
    </xf>
    <xf numFmtId="14" fontId="0" fillId="19" borderId="6" xfId="0" applyNumberFormat="1" applyFill="1" applyBorder="1" applyAlignment="1">
      <alignment horizontal="center"/>
    </xf>
    <xf numFmtId="0" fontId="0" fillId="9" borderId="6" xfId="0" applyFill="1" applyBorder="1"/>
    <xf numFmtId="0" fontId="1" fillId="17" borderId="9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</cellXfs>
  <cellStyles count="12">
    <cellStyle name="Hyperlink" xfId="1" builtinId="8"/>
    <cellStyle name="Milliers 2" xfId="2" xr:uid="{00000000-0005-0000-0000-000003000000}"/>
    <cellStyle name="Milliers 3" xfId="3" xr:uid="{00000000-0005-0000-0000-000004000000}"/>
    <cellStyle name="Milliers 3 2" xfId="4" xr:uid="{00000000-0005-0000-0000-000005000000}"/>
    <cellStyle name="Normal" xfId="0" builtinId="0"/>
    <cellStyle name="Normal 2" xfId="5" xr:uid="{00000000-0005-0000-0000-000008000000}"/>
    <cellStyle name="Normal 3" xfId="6" xr:uid="{00000000-0005-0000-0000-000009000000}"/>
    <cellStyle name="Normal 4" xfId="7" xr:uid="{00000000-0005-0000-0000-00000A000000}"/>
    <cellStyle name="Normal 5" xfId="8" xr:uid="{00000000-0005-0000-0000-00000B000000}"/>
    <cellStyle name="Pourcentage 2" xfId="9" xr:uid="{00000000-0005-0000-0000-00000C000000}"/>
    <cellStyle name="Pourcentage 3" xfId="10" xr:uid="{00000000-0005-0000-0000-00000D000000}"/>
    <cellStyle name="Pourcentage 3 2" xfId="11" xr:uid="{00000000-0005-0000-0000-00000E000000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0&quot;1&quot;\ 00#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0&quot;1&quot;\ 00#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-* #,##0\ _€_-;\-* #,##0\ _€_-;_-* &quot;-&quot;??\ _€_-;_-@_-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3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family val="2"/>
        <scheme val="none"/>
      </font>
      <numFmt numFmtId="173" formatCode="d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dd/mm/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3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numFmt numFmtId="173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dd/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3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7" formatCode="0#,###"/>
      <fill>
        <patternFill patternType="solid">
          <fgColor indexed="64"/>
          <bgColor theme="6" tint="-0.49998474074526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</dxfs>
  <tableStyles count="1" defaultTableStyle="Style de tableau 1" defaultPivotStyle="PivotStyleLight16">
    <tableStyle name="Style de tableau 1" pivot="0" count="0" xr9:uid="{00000000-0011-0000-FFFF-FFFF00000000}"/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ne POTIER" id="{2B096985-C554-4D54-B6ED-066C53E40D6F}" userId="Christine POTIER" providerId="None"/>
  <person displayName="Monica Sun" id="{CCBC4F7F-0221-4D7C-A52E-BE69F8299A48}" userId="S::monica.sun@novasep.com::b260d5f4-4b5a-45f7-93a7-5240df514efb" providerId="AD"/>
  <person displayName="Christine POTIER" id="{F7347DA0-1B13-4CB1-A798-5176633944DC}" userId="S::Christine.POTIER@novasep.com::e5ffddba-889b-4a5b-896f-a1d578fe1ad8" providerId="AD"/>
  <person displayName="Christine POTIER" id="{7DB32BAB-C89C-43EF-B846-B6A0B67407BE}" userId="S::Christine.POTIER@applexion.com::de151cc8-fcbf-4e0d-b393-ade237b69c7d" providerId="AD"/>
  <person displayName="Christine POTIER" id="{81916D26-29DB-4CE6-A1AC-A53CBBE5FD6B}" userId="S::Christine.POTIER@novasep-ps.com::de151cc8-fcbf-4e0d-b393-ade237b69c7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6A94DA8-665A-449F-96AC-C30A11AF376D}" name="CHRONO_CAP" displayName="CHRONO_CAP" ref="A6:AN598" totalsRowShown="0" headerRowDxfId="50">
  <autoFilter ref="A6:AN598" xr:uid="{46A94DA8-665A-449F-96AC-C30A11AF376D}">
    <filterColumn colId="2">
      <filters>
        <filter val="NVSA"/>
      </filters>
    </filterColumn>
    <filterColumn colId="3">
      <filters>
        <dateGroupItem year="2024" dateTimeGrouping="year"/>
      </filters>
    </filterColumn>
  </autoFilter>
  <tableColumns count="40">
    <tableColumn id="1" xr3:uid="{CA0E164D-5AFF-4EA4-8C25-8471689040FC}" name="Fichier" dataDxfId="49"/>
    <tableColumn id="2" xr3:uid="{4FCBBA66-F02D-46E6-94D9-4B6B307D6A01}" name="CAP Nr" dataDxfId="48"/>
    <tableColumn id="3" xr3:uid="{85E38940-84A8-431B-B48A-69E4AFA5345E}" name="SMB/ NVSA" dataDxfId="47"/>
    <tableColumn id="4" xr3:uid="{07E0330B-805B-4E92-BE33-8028A4A0B9D3}" name="Recording_x000a_ Date" dataDxfId="46"/>
    <tableColumn id="5" xr3:uid="{7397E636-5078-482E-9DCC-B69C597D7B0D}" name="Issuer" dataDxfId="45"/>
    <tableColumn id="6" xr3:uid="{CA1E8A2D-F6F9-47AC-AD19-24D44A15ACBB}" name="Dpt" dataDxfId="44"/>
    <tableColumn id="7" xr3:uid="{3CF3C53F-30B3-4901-AD04-93D6431AAAC3}" name="Customer" dataDxfId="43"/>
    <tableColumn id="8" xr3:uid="{D534243C-1D4E-401A-B59A-EE90373D6844}" name="Supplier" dataDxfId="42"/>
    <tableColumn id="9" xr3:uid="{49BE83FF-9026-4D8D-A253-AF7D2CA8F9F4}" name="CAP TYPE" dataDxfId="41"/>
    <tableColumn id="10" xr3:uid="{D1D67D22-06DE-48F2-9FFF-856217EFF684}" name="Recuring" dataDxfId="40"/>
    <tableColumn id="11" xr3:uid="{9C5F9CBB-62DB-4AEE-A4ED-2D116611AAC8}" name="Compt Nr" dataDxfId="39"/>
    <tableColumn id="12" xr3:uid="{9B65C670-C168-4ABA-9B69-D57498975273}" name="Project Nr" dataDxfId="38"/>
    <tableColumn id="13" xr3:uid="{638703F1-7BDB-4C49-8772-0CB471B7CD18}" name="Techno*" dataDxfId="37"/>
    <tableColumn id="14" xr3:uid="{6334E483-C4F1-40F2-9882-26F788BCCFDF}" name="Description" dataDxfId="36"/>
    <tableColumn id="15" xr3:uid="{8126A1F7-613E-4792-8455-8F150A68E001}" name="Scope" dataDxfId="35"/>
    <tableColumn id="16" xr3:uid="{89740006-7DEF-454D-A9CF-E3B9DC3C0460}" name="Process" dataDxfId="34"/>
    <tableColumn id="17" xr3:uid="{063677EC-20C3-4EC8-8999-D21CE3C59873}" name="Step of Process" dataDxfId="33"/>
    <tableColumn id="18" xr3:uid="{0D4D870D-FFE4-4794-ABB8-4729B7B5A37A}" name="7M" dataDxfId="32"/>
    <tableColumn id="19" xr3:uid="{85BA3437-5330-45D2-8D90-29A512468C93}" name="OE Tool" dataDxfId="31"/>
    <tableColumn id="20" xr3:uid="{604DE6E5-16D6-4BB5-89ED-3B7C4895EC30}" name="Supplier litigation" dataDxfId="30"/>
    <tableColumn id="21" xr3:uid="{962154C0-0651-4646-8816-CF8277974390}" name="1st action _x000a_planned date" dataDxfId="29"/>
    <tableColumn id="22" xr3:uid="{F7AD96CB-92A6-4BE6-8819-A97272C1C1F6}" name="Enlarged _x000a_Treatment" dataDxfId="28"/>
    <tableColumn id="23" xr3:uid="{B97D2E70-CB3C-4E2A-9894-F6FF20DAC292}" name="Leader" dataDxfId="27"/>
    <tableColumn id="24" xr3:uid="{C9A756B2-B9DD-44FF-8765-A45936C2328F}" name="Action plan definition date" dataDxfId="26"/>
    <tableColumn id="25" xr3:uid="{806F51DC-2F43-4E8A-9B93-72E5F6EE92E8}" name="Est. _x000a_closure date" dataDxfId="25">
      <calculatedColumnFormula>EDATE(D7,3)</calculatedColumnFormula>
    </tableColumn>
    <tableColumn id="26" xr3:uid="{DAF13440-71E3-4946-B769-BA53CFE0AC72}" name="Closure Date" dataDxfId="24"/>
    <tableColumn id="27" xr3:uid="{1F21E781-7853-42CA-985D-8E1B1E8CC141}" name="Closed under_x000a_3 months" dataDxfId="23">
      <calculatedColumnFormula>IF(Z7="",IF(TODAY()&gt;Y7,"NO","YES"),IF(Z7&gt;Y7,"NO",IF(Z7&lt;Y7,"YES",IF(Y7=Z7,"YES","N/A"))))</calculatedColumnFormula>
    </tableColumn>
    <tableColumn id="28" xr3:uid="{5591F1A8-D9C0-4D03-A9C9-A2335CF426F3}" name="Claim Date" dataDxfId="22"/>
    <tableColumn id="29" xr3:uid="{089BD10A-2A7F-43A5-8AE2-9B440DBA9EA8}" name="Cust. Information Date" dataDxfId="21"/>
    <tableColumn id="30" xr3:uid="{57170B47-B46B-4833-A215-0DFD9FD5BF34}" name="Estimated date of action plan closure" dataDxfId="20"/>
    <tableColumn id="31" xr3:uid="{BDB5E513-687F-4A28-94E3-4F2756ED963F}" name="Date of action _x000a_plan closure" dataDxfId="19"/>
    <tableColumn id="32" xr3:uid="{D133D8FA-E728-4179-9A74-48B4782A1C28}" name="closed _x000a_in delay?" dataDxfId="18">
      <calculatedColumnFormula>IF(I7="Claim",IF(AD7="","",IF(AE7="",IF(TODAY()&gt;AD7,"NO","YES"),IF(AE7&gt;AD7,"NO",IF(AE7&lt;AD7,"YES",IF(AD7=AE7,"YES","N/A"))))),"N/A")</calculatedColumnFormula>
    </tableColumn>
    <tableColumn id="33" xr3:uid="{79C22C31-2C01-413B-9950-1847B939A7DC}" name="Hours (€)" dataDxfId="17"/>
    <tableColumn id="34" xr3:uid="{274E2E07-CC94-4737-A1A4-53E2BFAC4AF0}" name="Eqmt (€)" dataDxfId="16"/>
    <tableColumn id="35" xr3:uid="{B3BA4DF8-9508-47C1-980C-E419AB46FC9E}" name="TOTAL (€)" dataDxfId="15">
      <calculatedColumnFormula>AH7+AG7</calculatedColumnFormula>
    </tableColumn>
    <tableColumn id="36" xr3:uid="{7319FAFB-3CE1-4EB5-A624-5F5992A0EA69}" name="Efficient_x000a_Action ?" dataDxfId="14"/>
    <tableColumn id="37" xr3:uid="{BA00DD7A-1F7D-4D5A-B5A5-87D0955CEB36}" name="Date of effic. _x000a_measure" dataDxfId="13"/>
    <tableColumn id="38" xr3:uid="{24BD6E1E-D7EA-4AAF-A4FD-DA1562D8EB8E}" name="Comments" dataDxfId="12"/>
    <tableColumn id="39" xr3:uid="{16A27DD6-2333-45D5-9077-960FC61EB429}" name="CAP_label" dataDxfId="11">
      <calculatedColumnFormula>CONCATENATE(B7," ",G7)</calculatedColumnFormula>
    </tableColumn>
    <tableColumn id="40" xr3:uid="{AD7BEB82-45AB-48BB-A7B4-F498C3E9F291}" name="Label_CODIR" dataDxfId="10">
      <calculatedColumnFormula>CONCATENATE(B7," ",G7," : ",N7)</calculatedColumnFormula>
    </tableColumn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0BBA26-64D9-4B98-8A71-6EA098032C56}" name="Tableau4" displayName="Tableau4" ref="A2:A5" totalsRowShown="0" headerRowDxfId="9" dataDxfId="8">
  <autoFilter ref="A2:A5" xr:uid="{370BBA26-64D9-4B98-8A71-6EA098032C56}"/>
  <tableColumns count="1">
    <tableColumn id="1" xr3:uid="{BC882C38-F384-4596-8374-5DE5C6A761B8}" name="Colonne1" dataDxfId="7"/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4D376A-9946-4AA0-86FB-08F8A92974F7}" name="Tableau5" displayName="Tableau5" ref="C1:C6" totalsRowShown="0" headerRowDxfId="6">
  <autoFilter ref="C1:C6" xr:uid="{A34D376A-9946-4AA0-86FB-08F8A92974F7}"/>
  <tableColumns count="1">
    <tableColumn id="1" xr3:uid="{75FB9A67-3536-4273-8508-99ECF8CB47C3}" name="Cap_Type"/>
  </tableColumns>
  <tableStyleInfo name="Style de tableau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AB9932-5AA4-44E0-A45F-27FE3B2298C6}" name="Tableau7" displayName="Tableau7" ref="E1:E11" totalsRowShown="0" headerRowDxfId="5">
  <autoFilter ref="E1:E11" xr:uid="{2FAB9932-5AA4-44E0-A45F-27FE3B2298C6}"/>
  <tableColumns count="1">
    <tableColumn id="1" xr3:uid="{2AAE3301-CB15-4B95-93B7-6621639D8DE1}" name="Techno"/>
  </tableColumns>
  <tableStyleInfo name="Style de tableau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2CEA08-E1A3-4B86-A8F4-472B173F27C3}" name="Tableau8" displayName="Tableau8" ref="G1:G9" totalsRowShown="0" headerRowDxfId="4">
  <autoFilter ref="G1:G9" xr:uid="{B22CEA08-E1A3-4B86-A8F4-472B173F27C3}"/>
  <tableColumns count="1">
    <tableColumn id="1" xr3:uid="{9E8220D9-9E9D-49E3-A0D5-0FC7F6D0BC46}" name="5M"/>
  </tableColumns>
  <tableStyleInfo name="Style de tableau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5C6A1D-D8B9-4002-812E-1ED324E577F8}" name="Tableau9" displayName="Tableau9" ref="I1:I4" totalsRowShown="0" headerRowDxfId="3">
  <autoFilter ref="I1:I4" xr:uid="{875C6A1D-D8B9-4002-812E-1ED324E577F8}"/>
  <tableColumns count="1">
    <tableColumn id="1" xr3:uid="{F19D0FA1-AB2C-43BD-A1AF-C8FC44D984FF}" name="SCOPE"/>
  </tableColumns>
  <tableStyleInfo name="Style de tableau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4320E7-E56B-43D3-9125-3E7C194553FB}" name="Tableau10" displayName="Tableau10" ref="K1:K4" totalsRowShown="0" headerRowDxfId="2" dataDxfId="1">
  <autoFilter ref="K1:K4" xr:uid="{C84320E7-E56B-43D3-9125-3E7C194553FB}"/>
  <tableColumns count="1">
    <tableColumn id="1" xr3:uid="{7058DD87-3F91-4444-B3B7-24FCA5F7B349}" name="YES/NO" dataDxfId="0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293" dT="2021-07-06T08:59:08.33" personId="{F7347DA0-1B13-4CB1-A798-5176633944DC}" id="{F1E55C4D-B8B9-43FD-9FE4-9A24696C8736}">
    <text>MàJ le 05/07/21 avec bad debt de 166 K€ à la demande de DBR (2000 mbres)</text>
  </threadedComment>
  <threadedComment ref="AD447" dT="2021-06-24T09:10:13.35" personId="{F7347DA0-1B13-4CB1-A798-5176633944DC}" id="{FEBC486F-D6A0-44AE-8E6B-DE6E75DE30F5}">
    <text>Attente date d'ouverture TP possible par Téréos et si nécessité d'expertise par SUEZ. Au 26/07 : Suez souhaite un retour mbre pour expertise, délai + long.</text>
  </threadedComment>
  <threadedComment ref="X449" dT="2021-06-30T13:29:19.35" personId="{F7347DA0-1B13-4CB1-A798-5176633944DC}" id="{6310AB58-0D95-4E89-8642-BF398DFE40DD}">
    <text>Vu avec Monica le 8/07</text>
  </threadedComment>
  <threadedComment ref="AD451" dT="2021-11-10T13:47:43.37" personId="{F7347DA0-1B13-4CB1-A798-5176633944DC}" id="{43532B8D-914C-44A9-AC5E-9D30B2101AD5}">
    <text>6 mois de fabrication des 3 colonnes à réception cde par Gree. Négociation prix en cours.</text>
  </threadedComment>
  <threadedComment ref="G453" dT="2021-09-30T09:20:58.23" personId="{F7347DA0-1B13-4CB1-A798-5176633944DC}" id="{00FEE4A7-4AEC-4E56-8169-582E3B543E6B}">
    <text>CNQ (bad debt 166 K€) already impute on CAP17033 the 05/07/2021.</text>
  </threadedComment>
  <threadedComment ref="AD454" dT="2021-09-27T09:06:39.79" personId="{F7347DA0-1B13-4CB1-A798-5176633944DC}" id="{27625149-4B13-476E-98CC-B64934752ECF}">
    <text>too short to solve the pb.</text>
  </threadedComment>
  <threadedComment ref="AD454" dT="2021-09-29T03:35:26.92" personId="{CCBC4F7F-0221-4D7C-A52E-BE69F8299A48}" id="{29D77C23-E6DB-4DBF-B9A0-B5B24F632F78}" parentId="{27625149-4B13-476E-98CC-B64934752ECF}">
    <text>i put 6 months</text>
  </threadedComment>
  <threadedComment ref="AD469" dT="2022-02-09T16:38:14.14" personId="{F7347DA0-1B13-4CB1-A798-5176633944DC}" id="{7F71E3F4-074F-42E8-89BF-E436114A1FC0}">
    <text>dépend si expertise par Suez des 2 élt NF</text>
  </threadedComment>
  <threadedComment ref="I481" dT="2022-06-03T12:57:58.10" personId="{F7347DA0-1B13-4CB1-A798-5176633944DC}" id="{0D1E86E7-94D4-4FAF-8A81-B8F535F862B3}">
    <text>CAP ouverte en NC prodt en Mars et requalifié en REC en Mai par NVSA</text>
  </threadedComment>
  <threadedComment ref="I481" dT="2022-06-14T16:18:16.74" personId="{F7347DA0-1B13-4CB1-A798-5176633944DC}" id="{201A93F6-5B00-4CE0-877D-2FBCF4BCDEB9}" parentId="{0D1E86E7-94D4-4FAF-8A81-B8F535F862B3}">
    <text>Maintien de la CAP ouverte (cf mail erratum du 13/06/22)</text>
  </threadedComment>
  <threadedComment ref="AB490" dT="2022-05-19T08:14:27.07" personId="{F7347DA0-1B13-4CB1-A798-5176633944DC}" id="{F3700A54-9052-4D9D-AF9C-9099D277E22C}">
    <text>Insatisfaction orale durant réunion CLE/CJ du 10/05/22</text>
  </threadedComment>
  <threadedComment ref="AC490" dT="2022-05-19T08:14:02.56" personId="{F7347DA0-1B13-4CB1-A798-5176633944DC}" id="{BA839698-A3A0-4AA5-97BA-BE1E05B321C8}">
    <text>AR/prise en compte de l'insatisfaction orale durant la réunion proprement dîte par CLE</text>
  </threadedComment>
  <threadedComment ref="AD520" dT="2023-02-28T14:45:11.31" personId="{2B096985-C554-4D54-B6ED-066C53E40D6F}" id="{03DF0EF2-ECDA-4CA4-ABC2-D8F3A709E47B}">
    <text>À confirmer SGU</text>
  </threadedComment>
  <threadedComment ref="AD526" dT="2023-04-27T10:00:44.21" personId="{81916D26-29DB-4CE6-A1AC-A53CBBE5FD6B}" id="{5A2E8C82-A158-4640-8745-E51300C2F6D4}">
    <text xml:space="preserve">Pb client pour retour filtre poche abîmé </text>
  </threadedComment>
  <threadedComment ref="AD535" dT="2023-04-25T13:26:16.97" personId="{81916D26-29DB-4CE6-A1AC-A53CBBE5FD6B}" id="{7C35C6B2-9811-494D-9782-C863036D6704}">
    <text>À confirmer SGU, pb complexe, dépend CTI, suite PA du 16/05/23 : 31/12/23</text>
  </threadedComment>
  <threadedComment ref="AD543" dT="2023-11-13T17:21:40.48" personId="{7DB32BAB-C89C-43EF-B846-B6A0B67407BE}" id="{6B0E2C76-6272-41CA-8B93-14CC481C5CA0}">
    <text>10 semaines après cde vannes régul, devis tjrs en attente</text>
  </threadedComment>
  <threadedComment ref="AD544" dT="2024-05-13T13:18:06.21" personId="{7DB32BAB-C89C-43EF-B846-B6A0B67407BE}" id="{9C116FC1-167E-40C6-9025-8CE19033B6F1}">
    <text>Attente résultats des échantillons en cours de test dans colonne pour valider date de clôture</text>
  </threadedComment>
  <threadedComment ref="AD551" dT="2024-02-21T08:26:55.35" personId="{7DB32BAB-C89C-43EF-B846-B6A0B67407BE}" id="{88894846-C256-423C-B9E6-225B3BB23971}">
    <text xml:space="preserve">Postpone from client : mail ALI "client haven’t asked us for delivery till now, probably will happen in one or two months"
</text>
  </threadedComment>
  <threadedComment ref="AD553" dT="2024-01-05T15:50:59.90" personId="{7DB32BAB-C89C-43EF-B846-B6A0B67407BE}" id="{4404C4A1-77F9-4D73-8A2F-335C61245276}">
    <text>Dépendra du résultat des étapes 2 et 3 du plan d'action en cours, à redéfinir à l'issue</text>
  </threadedComment>
  <threadedComment ref="AH561" dT="2024-06-17T13:33:18.16" personId="{7DB32BAB-C89C-43EF-B846-B6A0B67407BE}" id="{002B8171-E250-4976-90F3-D423A3B6D75B}">
    <text xml:space="preserve">Mail XRO du 17/06/24 : Sur Via separation, nous venons de faire une Credit Note au client de 46 kUSD, à rajouter aux coût NQ
</text>
  </threadedComment>
  <threadedComment ref="AD572" dT="2024-07-03T13:46:26.22" personId="{7DB32BAB-C89C-43EF-B846-B6A0B67407BE}" id="{3239A396-D21A-42AD-8FA8-D950C1C4793C}">
    <text>Lié au fait que Prolactal passe une nouvelle cde, pourra être réajuster en fonction.</text>
  </threadedComment>
  <threadedComment ref="AD576" dT="2024-09-30T13:50:15.10" personId="{7DB32BAB-C89C-43EF-B846-B6A0B67407BE}" id="{FD8042F1-5FC7-4D14-B42F-950D3804B4E8}">
    <text>Lié à la remise de doc EN manquante par CTI</text>
  </threadedComment>
  <threadedComment ref="AD577" dT="2024-07-25T12:57:42.75" personId="{7DB32BAB-C89C-43EF-B846-B6A0B67407BE}" id="{6A5026BF-B724-49EB-BC0A-BA844A026A2C}">
    <text>A confirmer selon négo avec KSB.</text>
  </threadedComment>
  <threadedComment ref="AD580" dT="2024-09-16T08:55:26.56" personId="{7DB32BAB-C89C-43EF-B846-B6A0B67407BE}" id="{3EDB011C-6002-4599-B2FE-B4128B233AC3}">
    <text>A réajuster en fonction info Casa Grande et retour résines pour analyse</text>
  </threadedComment>
  <threadedComment ref="AK580" dT="2024-10-15T10:52:40.48" personId="{7DB32BAB-C89C-43EF-B846-B6A0B67407BE}" id="{DADE7F2E-E779-4309-A302-D6423FCAC9F5}">
    <text>Après réception et mise en service nvelle cde résine</text>
  </threadedComment>
  <threadedComment ref="AD581" dT="2024-09-16T08:53:42.93" personId="{7DB32BAB-C89C-43EF-B846-B6A0B67407BE}" id="{8C300144-1BB9-4CCE-8749-391C07E0E540}">
    <text>A réajuster en fonction négo avec Bray et délai d'appro</text>
  </threadedComment>
  <threadedComment ref="AD583" dT="2024-09-05T15:11:58.58" personId="{7DB32BAB-C89C-43EF-B846-B6A0B67407BE}" id="{1FE73DBD-8C6B-4A32-89BF-23F15F3C41C1}">
    <text>À valider selon retour CTI, besoin d'échantillon ou pas, et actions à engager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03T12:57:58.10" personId="{F7347DA0-1B13-4CB1-A798-5176633944DC}" id="{6ACB01E5-CF01-42E2-9D0B-05814DDBCA30}">
    <text>CAP ouverte en NC prodt en Mars et requalifié en REC en Mai par NVSA</text>
  </threadedComment>
  <threadedComment ref="H5" dT="2022-06-14T16:18:16.74" personId="{F7347DA0-1B13-4CB1-A798-5176633944DC}" id="{6234B90F-6756-44E6-9770-A9F88BC0E48F}" parentId="{6ACB01E5-CF01-42E2-9D0B-05814DDBCA30}">
    <text>Maintien de la CAP ouverte (cf mail erratum du 13/06/22)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CAP_EMISES%202021/21017%20Tereos%20Nesle-%20mbre%20NF/210604%20courrier%20REC%20SUEZ.pdf" TargetMode="External"/><Relationship Id="rId21" Type="http://schemas.openxmlformats.org/officeDocument/2006/relationships/hyperlink" Target="../../../../../ex_dvi/AppData/Roaming/Microsoft/Excel/CAP_EMISES%202017/17035%20MEFSCO%20moteurs%20&#38296;ectriques/170719%20courrier%20REC%20Sabe.pdf" TargetMode="External"/><Relationship Id="rId42" Type="http://schemas.openxmlformats.org/officeDocument/2006/relationships/hyperlink" Target="CAP_EMISES%202019/19048%20Puratos/19048%20PURATOS.docx" TargetMode="External"/><Relationship Id="rId63" Type="http://schemas.openxmlformats.org/officeDocument/2006/relationships/hyperlink" Target="CAP_EMISES%202019/19031%20ADM-%20Bollor&#233;/19031%20ADM%20-%20Bollor&#233;.docm" TargetMode="External"/><Relationship Id="rId84" Type="http://schemas.openxmlformats.org/officeDocument/2006/relationships/hyperlink" Target="CAP_EMISES%202020/20014%20CKD%20Module%20K01/200602%20mail%20CPT%20AR%20Claim.pdf" TargetMode="External"/><Relationship Id="rId138" Type="http://schemas.openxmlformats.org/officeDocument/2006/relationships/hyperlink" Target="CAP_EMISES%202021\21032%20Rousselot%20-%20raccord%20entr&#233;e-sortie\211021%20mail%20AR%20CDV_TR%20Colonnes%20r&#233;sines%20.msg" TargetMode="External"/><Relationship Id="rId159" Type="http://schemas.openxmlformats.org/officeDocument/2006/relationships/hyperlink" Target="CAP_EMISES%202022/22005%20Ram%20Sucre-%20Composites%20Vec/RE%20Cr&#233;pine%20&#224;%20filtre%20-%20colonne%20de%20d&#233;coloration%20(Filter-nozzles).msg" TargetMode="External"/><Relationship Id="rId170" Type="http://schemas.openxmlformats.org/officeDocument/2006/relationships/hyperlink" Target="CAP_EMISES%202022\22014%20Parry%20Sugar\22014%20Parry%20Sugar-liste%20de%20colisage.docx" TargetMode="External"/><Relationship Id="rId191" Type="http://schemas.openxmlformats.org/officeDocument/2006/relationships/hyperlink" Target="CAP_EMISES%202022\22029%20Beneo%20Oreye-Inace%20Inox\22029%20Beneo%20Oreye-Inace%20Inox%20ramification%20IEX.docx" TargetMode="External"/><Relationship Id="rId205" Type="http://schemas.openxmlformats.org/officeDocument/2006/relationships/hyperlink" Target="CAP_EMISES%202022\22041%20Lesaffre%20-%20casse%20membrane%20transport\22041%20Lesaffre-Casse%20membranes%20transport.docx" TargetMode="External"/><Relationship Id="rId226" Type="http://schemas.openxmlformats.org/officeDocument/2006/relationships/hyperlink" Target="CAP_EMISES%202023/23001%20Sanofi%20DNE%20membranes/230309_R&#233;clamation%20CTI_DE%20anormal%20membranes%2050KD.pdf" TargetMode="External"/><Relationship Id="rId247" Type="http://schemas.openxmlformats.org/officeDocument/2006/relationships/hyperlink" Target="CAP_EMISES%202024/24007%20Friesland/24007%20Friesland-sac%2025l%20dans%20BB.docx" TargetMode="External"/><Relationship Id="rId107" Type="http://schemas.openxmlformats.org/officeDocument/2006/relationships/hyperlink" Target="CAP_EMISES%202021/21005%20Beneo%20KSB/21005%20B&#233;n&#233;o-KSB%20retard%20livraison.docx" TargetMode="External"/><Relationship Id="rId11" Type="http://schemas.openxmlformats.org/officeDocument/2006/relationships/hyperlink" Target="../../../../../ex_dvi/AppData/Roaming/Microsoft/Excel/CAP_EMISES%202016/16020%20NUTRIBIO/160527%20Mail%20JGO%20Tr%20_%2010282%20_%20Probl&#232;me%20&#233;changeur%20&#224;%20plaques.pdf" TargetMode="External"/><Relationship Id="rId32" Type="http://schemas.openxmlformats.org/officeDocument/2006/relationships/hyperlink" Target="CAP_EMISES%202019/19024%20TEREOS%20Chevri&#37986;es/190705_Novasep%20Claim%20-%20DuPont%202019%2007%2005.pdf" TargetMode="External"/><Relationship Id="rId53" Type="http://schemas.openxmlformats.org/officeDocument/2006/relationships/hyperlink" Target="CAP_EMISES%202019/19039%20Ingredion/19039%20Ingredion.docm" TargetMode="External"/><Relationship Id="rId74" Type="http://schemas.openxmlformats.org/officeDocument/2006/relationships/hyperlink" Target="file:///\\srvshafs01\shares\public\Quality\QA-NVA%20IB\CAP\20009%20Shuangqiao10%20membrane%20type%20issue.docx" TargetMode="External"/><Relationship Id="rId128" Type="http://schemas.openxmlformats.org/officeDocument/2006/relationships/hyperlink" Target="CAP_EMISES%202021\21021%20Cargill%20Haubourdin\Cargill%20Haubourdin%20-%20fuite%20r&#233;sine%20colonne%20cationique.msg" TargetMode="External"/><Relationship Id="rId149" Type="http://schemas.openxmlformats.org/officeDocument/2006/relationships/hyperlink" Target="CAP_EMISES%202021/21036%20Cargill%20MicroBA-ABB/21036%20Cargill%20MicroBA_ABB.docx" TargetMode="External"/><Relationship Id="rId5" Type="http://schemas.openxmlformats.org/officeDocument/2006/relationships/hyperlink" Target="../../../../../ex_dvi/AppData/Roaming/Microsoft/Excel/CAP_EMISES%202015/15030%20Meihua/Lettre%20intention%20de%20commande%20CTI.pdf" TargetMode="External"/><Relationship Id="rId95" Type="http://schemas.openxmlformats.org/officeDocument/2006/relationships/hyperlink" Target="CAP_EMISES%202021/21002%20CAPUA%20sortie%20effluents/21002%20CAPUA%20sortie%20effluent.docx" TargetMode="External"/><Relationship Id="rId160" Type="http://schemas.openxmlformats.org/officeDocument/2006/relationships/hyperlink" Target="CAP_EMISES%202022/22005%20Ram%20Sucre-%20Composites%20Vec/Probl&#232;me%20sur%20cr&#233;pine.msg" TargetMode="External"/><Relationship Id="rId181" Type="http://schemas.openxmlformats.org/officeDocument/2006/relationships/hyperlink" Target="file:///\\10.120.30.211\Shares\Public\Quality\archieve\QA-NVA%20IB\CAP\Closed%20CAP\22013%20ENSIGN%20-%20Rubber%20lining%20cracking.docx" TargetMode="External"/><Relationship Id="rId216" Type="http://schemas.openxmlformats.org/officeDocument/2006/relationships/hyperlink" Target="CAP_EMISES%202023\23003%20Cargill%20BOZ-%20joints%20EPDM\23003%20Cargill%20BOZ-gasket%20of%20side%20glasses.docx" TargetMode="External"/><Relationship Id="rId237" Type="http://schemas.openxmlformats.org/officeDocument/2006/relationships/hyperlink" Target="CAP_EMISES%202023/23025%20Cargill%20Zest-%20Lining/23025%20Cargill%20Zest-Probl&#233;matique%20Ebonite.docx" TargetMode="External"/><Relationship Id="rId258" Type="http://schemas.microsoft.com/office/2017/10/relationships/threadedComment" Target="../threadedComments/threadedComment1.xml"/><Relationship Id="rId22" Type="http://schemas.openxmlformats.org/officeDocument/2006/relationships/hyperlink" Target="../../../../../assso/AppData/Roaming/Microsoft/Excel/CAP_EMISES%202018/18015%20YCSR%20Yemen%20buses%20K1/R&#38287;lamation%20Composites%20VEC%20Buses%20K1.pdf" TargetMode="External"/><Relationship Id="rId43" Type="http://schemas.openxmlformats.org/officeDocument/2006/relationships/hyperlink" Target="CAP_EMISES%202019/19053%20Etihad%20-%20Licence/19053%20Etihad%20-%20licence%20d'exportation.docx" TargetMode="External"/><Relationship Id="rId64" Type="http://schemas.openxmlformats.org/officeDocument/2006/relationships/hyperlink" Target="CAP_EMISES%202019/19034%20Chengxin%20Bollor&#233;/19034%20Chengxin%20Bollor&#233;.docm" TargetMode="External"/><Relationship Id="rId118" Type="http://schemas.openxmlformats.org/officeDocument/2006/relationships/hyperlink" Target="CAP_EMISES%202021/21017%20Tereos%20Nesle-%20mbre%20NF/210531%20mail%20TEREOS%20Nesle%20R&#233;clamation%20sur%202%20membranes%20DURACON%2050D.msg" TargetMode="External"/><Relationship Id="rId139" Type="http://schemas.openxmlformats.org/officeDocument/2006/relationships/hyperlink" Target="CAP_EMISES%202021/21032%20Rousselot%20-%20raccord%20entr&#233;e-sortie/Colonnes%20r&#233;sines%20.msg" TargetMode="External"/><Relationship Id="rId85" Type="http://schemas.openxmlformats.org/officeDocument/2006/relationships/hyperlink" Target="CAP_EMISES%202020/20018%20Cargill/20018%20Cargill%20Boz.docx" TargetMode="External"/><Relationship Id="rId150" Type="http://schemas.openxmlformats.org/officeDocument/2006/relationships/hyperlink" Target="CAP_EMISES%202021/21035%20Etihad-Aqua%20Com/211209_%20r&#233;clamation%20Novasep_Aqua%20Com.pdf" TargetMode="External"/><Relationship Id="rId171" Type="http://schemas.openxmlformats.org/officeDocument/2006/relationships/hyperlink" Target="CAP_EMISES%202022\22014%20Parry%20Sugar\220311%20AR%20REC%20SSI_TR%20Confirmation%20on%20the%20nomination%20for%20Consignment%20Pick%20Up%20from%20France%20to%20Chennai%20on%20CIP%20Chennai%20Airport%20LYS220245467%2015773514140.msg" TargetMode="External"/><Relationship Id="rId192" Type="http://schemas.openxmlformats.org/officeDocument/2006/relationships/hyperlink" Target="CAP_EMISES%202022/22030%20CTI%20pollution%20mbre/22030%20Pollution%20membranes%20KERASEP-%20CTI.docx" TargetMode="External"/><Relationship Id="rId206" Type="http://schemas.openxmlformats.org/officeDocument/2006/relationships/hyperlink" Target="CAP_EMISES%202022\22041%20Lesaffre%20-%20casse%20membrane%20transport\221007_claim%20Novasep-Inopor.pdf" TargetMode="External"/><Relationship Id="rId227" Type="http://schemas.openxmlformats.org/officeDocument/2006/relationships/hyperlink" Target="CAP_EMISES%202023/23011%20Lier%20-membranes%2015%20KD/23011%20Lier-membranes%2015%20KD.docx" TargetMode="External"/><Relationship Id="rId248" Type="http://schemas.openxmlformats.org/officeDocument/2006/relationships/hyperlink" Target="CAP_EMISES%202024/24007%20Friesland/240223_RECLAMATION%20BOLLORE%20-%20sac%20vide%20dans%20BB.pdf" TargetMode="External"/><Relationship Id="rId12" Type="http://schemas.openxmlformats.org/officeDocument/2006/relationships/hyperlink" Target="../../../../../ex_dvi/AppData/Roaming/Microsoft/Excel/CAP_EMISES%202016/16031%20pilote%20polypeptide/160826_REC%20NVS_CAP16031.pdf" TargetMode="External"/><Relationship Id="rId33" Type="http://schemas.openxmlformats.org/officeDocument/2006/relationships/hyperlink" Target="CAP_EMISES%202019/19042%20Beneo%20Orafti-retards%20livraisons%20r&#38303;ines/191003%20mail%20CPT%20AR_Retard%20livraison%20r&#38303;ines.pdf" TargetMode="External"/><Relationship Id="rId108" Type="http://schemas.openxmlformats.org/officeDocument/2006/relationships/hyperlink" Target="CAP_EMISES%202021/21004%20BENEO%20Oreye/210201_%20r&#233;clamation%20Bollor&#233;-palette%20oubli&#233;e.pdf" TargetMode="External"/><Relationship Id="rId129" Type="http://schemas.openxmlformats.org/officeDocument/2006/relationships/hyperlink" Target="CAP_EMISES%202021/21022%20Hochdorf%20Swiss%20Nutrition%20AG/210921_REC%20Novasep_CAP21022.pdf" TargetMode="External"/><Relationship Id="rId54" Type="http://schemas.openxmlformats.org/officeDocument/2006/relationships/hyperlink" Target="CAP_EMISES%202019/19038%20Tate&amp;Lyle_D&#233;douanement%20produit%20R&amp;D/19038%20Tate%20&amp;%20Lyle%208D-KT.xls" TargetMode="External"/><Relationship Id="rId75" Type="http://schemas.openxmlformats.org/officeDocument/2006/relationships/hyperlink" Target="file:///\\srvshafs01\shares\public\Quality\QA-NVA%20IB\CAP\20010%20Fufeng10%20gravel%20quality%20issue.docm" TargetMode="External"/><Relationship Id="rId96" Type="http://schemas.openxmlformats.org/officeDocument/2006/relationships/hyperlink" Target="CAP_EMISES%202021/21003%20GOI%20&#233;tiquetage%20r&#233;sine/21003%20GOI%20Erreur%20&#233;tiquetage.docx" TargetMode="External"/><Relationship Id="rId140" Type="http://schemas.openxmlformats.org/officeDocument/2006/relationships/hyperlink" Target="CAP_EMISES%202021/21031%20Rousselot%20-anneaux%20de%20renfort/21031%20Rousselot-position%20anneaux%20de%20renfort.docx" TargetMode="External"/><Relationship Id="rId161" Type="http://schemas.openxmlformats.org/officeDocument/2006/relationships/hyperlink" Target="CAP_EMISES%202022/22001%20Ter&#233;os%20-%20Suez/220117_%20reclamation%20Novasep_Suez.pdf" TargetMode="External"/><Relationship Id="rId182" Type="http://schemas.openxmlformats.org/officeDocument/2006/relationships/hyperlink" Target="file:///\\10.120.30.211\Shares\Public\Quality\archieve\QA-NVA%20IB\CAP\Closed%20CAP\22015%20Sucro%20-%20FRP%20sand%20filter%20nozzle%20plate%20thickness%20issue.docx" TargetMode="External"/><Relationship Id="rId217" Type="http://schemas.openxmlformats.org/officeDocument/2006/relationships/hyperlink" Target="CAP_EMISES%202023/23004%20Cevital-%20d&#233;formation%20buses/23004%20Cevital-d&#233;formation%20buses%20.docx" TargetMode="External"/><Relationship Id="rId6" Type="http://schemas.openxmlformats.org/officeDocument/2006/relationships/hyperlink" Target="../../../../../ex_dvi/AppData/Roaming/Microsoft/Excel/CAP_EMISES%202015/15024%20Joints%20Maagtechnic/15024_Tr%20_%20R&#233;ponse%20fournisseur%20suite%20CAP15024.pdf" TargetMode="External"/><Relationship Id="rId238" Type="http://schemas.openxmlformats.org/officeDocument/2006/relationships/hyperlink" Target="CAP_EMISES%202023/23026%20COPAM-billes%20noires%20r&#233;sine/23026%20COPAM-billes%20noires%20r&#233;sines.docx" TargetMode="External"/><Relationship Id="rId23" Type="http://schemas.openxmlformats.org/officeDocument/2006/relationships/hyperlink" Target="../../../../../assso/AppData/Roaming/Microsoft/Excel/CAP_EMISES%202018/18008%20CJ%20Malaisie/180430%20CTI%20Suite%20r&#38287;lamation%20membranes%20BE.pdf" TargetMode="External"/><Relationship Id="rId119" Type="http://schemas.openxmlformats.org/officeDocument/2006/relationships/hyperlink" Target="CAP_EMISES%202021/21018%20Sucro%20-%20DOW%20resin%20order/21018%20Sucro-resin%20order.docx" TargetMode="External"/><Relationship Id="rId44" Type="http://schemas.openxmlformats.org/officeDocument/2006/relationships/hyperlink" Target="CAP_EMISES%202018/18030%20BDU_KLIM3-Bollor&#233;.docm" TargetMode="External"/><Relationship Id="rId65" Type="http://schemas.openxmlformats.org/officeDocument/2006/relationships/hyperlink" Target="CAP_EMISES%202020/20003%20Cargill%20Butterfly/20003%20CARGILL%20BUTTERFLY%20-%20FT%20DEM.docx" TargetMode="External"/><Relationship Id="rId86" Type="http://schemas.openxmlformats.org/officeDocument/2006/relationships/hyperlink" Target="file:///\\srvshafs01\shares\Public\Quality\archieve\QA-NVA%20IB\CAP\Closed%20CAP\20019%20Mipeng%20NF%20housing%20leakage%20issue-20210325-close.docm" TargetMode="External"/><Relationship Id="rId130" Type="http://schemas.openxmlformats.org/officeDocument/2006/relationships/hyperlink" Target="CAP_EMISES%202021\21025%20CEVITAL\21025%20CEVITAL%20origine%20r&#233;sines%20EUR1.docx" TargetMode="External"/><Relationship Id="rId151" Type="http://schemas.openxmlformats.org/officeDocument/2006/relationships/hyperlink" Target="file:///\\srvshafs01\shares\public\Quality\archieve\QA-NVA%20IB\CAP\21037-Dysfunction%20of%20supplier%20Guanxing.docx" TargetMode="External"/><Relationship Id="rId172" Type="http://schemas.openxmlformats.org/officeDocument/2006/relationships/hyperlink" Target="CAP_EMISES%202022/22017%20Fuite%20eau%20chaude%20atelier%20membrane/22017%20Deconnexion%20tuyau%20eau%20chaude%20atelier%20membrane.docx" TargetMode="External"/><Relationship Id="rId193" Type="http://schemas.openxmlformats.org/officeDocument/2006/relationships/hyperlink" Target="CAP_EMISES%202022\22031%20Cristal%20Union%20-%20Inace%20Inox%20cr&#233;pines\22031%20Cristal%20Union%20-%20Inace%20Inox%20cr&#233;pines%20inox.docx" TargetMode="External"/><Relationship Id="rId207" Type="http://schemas.openxmlformats.org/officeDocument/2006/relationships/hyperlink" Target="CAP_EMISES%202022\22039%20HPLC%20M&#233;trologie\220930_R&#233;clamation%20Novasep-VWR.pdf" TargetMode="External"/><Relationship Id="rId228" Type="http://schemas.openxmlformats.org/officeDocument/2006/relationships/hyperlink" Target="CAP_EMISES%202023/23007%20DSM-Qualifiltre/230224%20mail%20DSM_RE%20Siebec%20Filter%20Bags%20-%20DSM%20stock%20code%20UV02911209.msg" TargetMode="External"/><Relationship Id="rId249" Type="http://schemas.openxmlformats.org/officeDocument/2006/relationships/hyperlink" Target="CAP_EMISES%202024/24025%20B&#233;n&#233;o%20Chili-KSB/Reclamation%20ppe%20KSB.pdf" TargetMode="External"/><Relationship Id="rId13" Type="http://schemas.openxmlformats.org/officeDocument/2006/relationships/hyperlink" Target="../../../../../ex_dvi/AppData/Roaming/Microsoft/Excel/CAP_EMISES%202016/16033%20Tetrapak/Claim%20Mega%2030092016%20CAP%2016033.pdf" TargetMode="External"/><Relationship Id="rId109" Type="http://schemas.openxmlformats.org/officeDocument/2006/relationships/hyperlink" Target="CAP_EMISES%202021/21012%20A&#231;ucareira%20Quat&#225;%20-%20CUF/21012%20A&#231;ucareira%20Quat&#225;-CUF.docx" TargetMode="External"/><Relationship Id="rId34" Type="http://schemas.openxmlformats.org/officeDocument/2006/relationships/hyperlink" Target="CAP_EMISES%202019/19042%20Beneo%20Orafti-retards%20livraisons%20r&#38303;ines/R&#38287;lamation%20Lanxess%202019%2010%2002.pdf" TargetMode="External"/><Relationship Id="rId55" Type="http://schemas.openxmlformats.org/officeDocument/2006/relationships/hyperlink" Target="CAP_EMISES%202019/19003%20Friesland%20GOS75_Labbe/19003%20GOS75_LABBE.docm" TargetMode="External"/><Relationship Id="rId76" Type="http://schemas.openxmlformats.org/officeDocument/2006/relationships/hyperlink" Target="file:///\\srvshafs01\shares\public\Quality\QA-NVA%20IB\CAP\20011%20front%20piping%20budget%20for%20small%20columns%20issue.docm" TargetMode="External"/><Relationship Id="rId97" Type="http://schemas.openxmlformats.org/officeDocument/2006/relationships/hyperlink" Target="CAP_EMISES%202021/21003%20GOI%20&#233;tiquetage%20r&#233;sine/210118%20mail%20AR%20Claim_%20Supplier_Non-conformance_Novasep_wrong%20resin%20labels-%2013012021-1.msg" TargetMode="External"/><Relationship Id="rId120" Type="http://schemas.openxmlformats.org/officeDocument/2006/relationships/hyperlink" Target="file:///\\srvshafs01\shares\public\Quality\archieve\QA-NVA%20IB\CAP\Closed%20CAP\21019%20Jindan%20wrong%20internal%20diameter%20of%20PPH+FRP%20pipe.docx" TargetMode="External"/><Relationship Id="rId141" Type="http://schemas.openxmlformats.org/officeDocument/2006/relationships/hyperlink" Target="CAP_EMISES%202021/21032%20Rousselot%20-%20raccord%20entr&#233;e-sortie/21032%20Rousselot-raccords%20DIN-SMS.docx" TargetMode="External"/><Relationship Id="rId7" Type="http://schemas.openxmlformats.org/officeDocument/2006/relationships/hyperlink" Target="../../../../../ex_dvi/AppData/Roaming/Microsoft/Excel/CAP_EMISES%202015/15006%20TEREOS%20Nesle/150217_REC%20NVS_CAP15006.pdf" TargetMode="External"/><Relationship Id="rId162" Type="http://schemas.openxmlformats.org/officeDocument/2006/relationships/hyperlink" Target="CAP_EMISES%202022\22001%20Ter&#233;os%20-%20Suez\220114%20mail%20AR%20MGL_RE%20Probl&#232;me%20jeu%20de%202%20membranes.msg" TargetMode="External"/><Relationship Id="rId183" Type="http://schemas.openxmlformats.org/officeDocument/2006/relationships/hyperlink" Target="file:///\\10.120.30.211\Shares\Public\Quality\archieve\QA-NVA%20IB\CAP\22023%20BBCA%20-%20Order%20placing%20late.docx" TargetMode="External"/><Relationship Id="rId218" Type="http://schemas.openxmlformats.org/officeDocument/2006/relationships/hyperlink" Target="CAP_EMISES%202023\23005%20GSK%20-%20gestion%20interne%20envoi%20information%20client\23005%20GSK%20-%20Gestion%20interne%20envoi%20information%20client%20.docx" TargetMode="External"/><Relationship Id="rId239" Type="http://schemas.openxmlformats.org/officeDocument/2006/relationships/hyperlink" Target="CAP_EMISES%202023/23027%20Inovyn-D&#233;faut%20cabl&#226;ge%20&#233;lectrique/OLd/23027%20Inovyn%20-%20probl&#232;mes%20c&#226;blage%20&#233;lectriques.docx" TargetMode="External"/><Relationship Id="rId250" Type="http://schemas.openxmlformats.org/officeDocument/2006/relationships/hyperlink" Target="CAP_EMISES%202024/24024%20Ethiad/240722_RECLAMATION_OTIME.pdf" TargetMode="External"/><Relationship Id="rId24" Type="http://schemas.openxmlformats.org/officeDocument/2006/relationships/hyperlink" Target="../../../../../assso/AppData/Roaming/Microsoft/Excel/CAP_EMISES%202017/17046%20Biospringer%20-casse%20mbre/171208%20CTI%20R&#38287;lamation%20membranes%20BE.pdf" TargetMode="External"/><Relationship Id="rId45" Type="http://schemas.openxmlformats.org/officeDocument/2006/relationships/hyperlink" Target="CAP_EMISES%202019/19052%20Galactic/191212%20AR%20REC%20Galactic%20_%20NC-2020-039%20CF201302%20NOVASEP.pdf" TargetMode="External"/><Relationship Id="rId66" Type="http://schemas.openxmlformats.org/officeDocument/2006/relationships/hyperlink" Target="CAP_EMISES%202020/20004%20Cargill%20Butterfly-pompes%20KSB/20004%20Cargill%20Butterfly-Sheet-Pump%20quotation.docx" TargetMode="External"/><Relationship Id="rId87" Type="http://schemas.openxmlformats.org/officeDocument/2006/relationships/hyperlink" Target="CAP_EMISES%202020/20020%20BENEO%20Oreye/20020%20BENEO%20Oreye.docx" TargetMode="External"/><Relationship Id="rId110" Type="http://schemas.openxmlformats.org/officeDocument/2006/relationships/hyperlink" Target="CAP_EMISES%202021/21013%20Cevital-%20licence%20exportation/21013%20Cevital%20-%20licence%20exportation.docx" TargetMode="External"/><Relationship Id="rId131" Type="http://schemas.openxmlformats.org/officeDocument/2006/relationships/hyperlink" Target="CAP_EMISES%202021/21024%20Fufneg%20Longjiang/Letter%20of%20notication-FF%20longjiang.docx" TargetMode="External"/><Relationship Id="rId152" Type="http://schemas.openxmlformats.org/officeDocument/2006/relationships/hyperlink" Target="CAP_EMISES%202021/21038%20Gambro-%20CTI%20erreur%20impression%20cut%20off%20membrane/211202%20mail%20CTI%20SGU_RE%20Erreur%20impression%20cut%20off%20sur%20KERASEP%20BX%2015%20KD.msg" TargetMode="External"/><Relationship Id="rId173" Type="http://schemas.openxmlformats.org/officeDocument/2006/relationships/hyperlink" Target="CAP_EMISES%202022\22018%20Savola-doc%20exp&#233;dition\22018%20Savola-exp&#233;dition%20ACID%20Cargo%20X.docx" TargetMode="External"/><Relationship Id="rId194" Type="http://schemas.openxmlformats.org/officeDocument/2006/relationships/hyperlink" Target="CAP_EMISES%202022\22030%20CTI%20pollution%20mbre\220726%20R&#233;clamation%20CTI-pollution%20membranes.pdf" TargetMode="External"/><Relationship Id="rId208" Type="http://schemas.openxmlformats.org/officeDocument/2006/relationships/hyperlink" Target="CAP_EMISES%202022\22035%20B&#233;n&#233;o-Certificat%20Etalonnage\220922_R&#233;clamation%20Novasep_E&amp;H.pdf" TargetMode="External"/><Relationship Id="rId229" Type="http://schemas.openxmlformats.org/officeDocument/2006/relationships/hyperlink" Target="../../../../../nscpt/OneDrive%20-%20Novasep%20Process%20Solutions/AQHSE/1-Qualite/1-FICHES_CAP/CAP_EMISES%202023/23012%20Capua%201880%20-%20erreur%20de%20membrane/23012%20CAPUA-%20erreur%20membrane%20(4).docx" TargetMode="External"/><Relationship Id="rId240" Type="http://schemas.openxmlformats.org/officeDocument/2006/relationships/hyperlink" Target="CAP_EMISES%202023/23028%20Via%20S&#233;paration-%20pompes%20Sulzer/23028%20Via%20Separation%20-%20pompes%20Sulzer.docx" TargetMode="External"/><Relationship Id="rId14" Type="http://schemas.openxmlformats.org/officeDocument/2006/relationships/hyperlink" Target="../../../../../ex_dvi/AppData/Roaming/Microsoft/Excel/CAP_EMISES%202016/16059%20Tereos%20Nesle/161219%20REC%20NVS%20CAP16059.pdf" TargetMode="External"/><Relationship Id="rId35" Type="http://schemas.openxmlformats.org/officeDocument/2006/relationships/hyperlink" Target="CAP_EMISES%202019/19046%20Ennolys/191120%20mail%20AR%20CPT_R&#38287;lamation%2019C132%20Ennolys.pdf" TargetMode="External"/><Relationship Id="rId56" Type="http://schemas.openxmlformats.org/officeDocument/2006/relationships/hyperlink" Target="file:///\\srvshafs01\shares\public\Quality\QA-NVA%20IB\CAP\19044%20CJ%20Liaocheng%20Bray%20butterfly%20valves%20quality%20issue.docx" TargetMode="External"/><Relationship Id="rId77" Type="http://schemas.openxmlformats.org/officeDocument/2006/relationships/hyperlink" Target="file:///\\srvshafs01\shares\public\Quality\QA-NVA%20IB\CAP\20012%20Fufeng10%20complain%20for%20gravel%20issue.docm" TargetMode="External"/><Relationship Id="rId100" Type="http://schemas.openxmlformats.org/officeDocument/2006/relationships/hyperlink" Target="file:///\\srvshafs01\shares\Public\Quality\archieve\QA-NVA%20IB\CAP\Closed%20CAP\21006%20Cargill%20Mounting%20issue%20of%20internal%20box.docm" TargetMode="External"/><Relationship Id="rId8" Type="http://schemas.openxmlformats.org/officeDocument/2006/relationships/hyperlink" Target="../../../../../ex_dvi/AppData/Roaming/Microsoft/Excel/CAP_EMISES%202015/15018%20Sunpaper%20DOW/R&#233;clamation%20Dow%20retards%20de%20livraison.pdf" TargetMode="External"/><Relationship Id="rId98" Type="http://schemas.openxmlformats.org/officeDocument/2006/relationships/hyperlink" Target="CAP_EMISES%202021/21003%20GOI%20&#233;tiquetage%20r&#233;sine/210121%20R&#233;clamation%20Bollor&#233;%20d&#233;marquage-marquage%20r&#233;sine.pdf" TargetMode="External"/><Relationship Id="rId121" Type="http://schemas.openxmlformats.org/officeDocument/2006/relationships/hyperlink" Target="CAP_EMISES%202021/21016%20Cargill-SPA/21016%20Cargill%20SPA%20column%20rust.%20M&#224;J%20Kiro.docx" TargetMode="External"/><Relationship Id="rId142" Type="http://schemas.openxmlformats.org/officeDocument/2006/relationships/hyperlink" Target="CAP_EMISES%202021/21032%20Rousselot%20-%20raccord%20entr&#233;e-sortie/REC%20Rousselot/211029_R&#233;clamation%20Novasep_CAP21031_032.pdf" TargetMode="External"/><Relationship Id="rId163" Type="http://schemas.openxmlformats.org/officeDocument/2006/relationships/hyperlink" Target="CAP_EMISES%202022\22006%20Sucro-Bossard\22006%20SUCRO-CPU%20sizing.docx" TargetMode="External"/><Relationship Id="rId184" Type="http://schemas.openxmlformats.org/officeDocument/2006/relationships/hyperlink" Target="file:///\\10.120.30.211\Shares\Public\Quality\archieve\QA-NVA%20IB\CAP\22024%20SQ12%20-%20Internal%20leakage%20in%20rubber%20lining%20connection%20piping.docx" TargetMode="External"/><Relationship Id="rId219" Type="http://schemas.openxmlformats.org/officeDocument/2006/relationships/hyperlink" Target="CAP_EMISES%202023/23007%20DSM-Qualifiltre/23007%20DSM-Qualifiltre.docx" TargetMode="External"/><Relationship Id="rId230" Type="http://schemas.openxmlformats.org/officeDocument/2006/relationships/hyperlink" Target="CAP_EMISES%202023/23016%20Sanofi%20DE%20membranes%20anormal/23016%20Sanofi-D&#233;bit%20eau%20membrane%20Kerasep%20BP%20BX%2050%20kD%20anormal.docx" TargetMode="External"/><Relationship Id="rId251" Type="http://schemas.openxmlformats.org/officeDocument/2006/relationships/hyperlink" Target="CAP_EMISES%202024/24029%20ViaSeparation%20-%20vannes/240822%20REC%20Bray%20XRO-JNJ.pdf" TargetMode="External"/><Relationship Id="rId25" Type="http://schemas.openxmlformats.org/officeDocument/2006/relationships/hyperlink" Target="../../../../../assso/AppData/Roaming/Microsoft/Excel/CAP_EMISES%202018/18027%20M&#38302;ial%20St-Priest/180813%20mail%20AR%20PBO_%20MERIAL%20-%20Non%20conformit" TargetMode="External"/><Relationship Id="rId46" Type="http://schemas.openxmlformats.org/officeDocument/2006/relationships/hyperlink" Target="CAP_EMISES%202019/19005%20GOI%20conditionnement%20r&#233;sine/19005%20GOI%20conditionnement%20r&#233;sines.docm" TargetMode="External"/><Relationship Id="rId67" Type="http://schemas.openxmlformats.org/officeDocument/2006/relationships/hyperlink" Target="CAP_EMISES%202020/20005%20Tereos%20Nesle/20005%20TEREOS%20NESLE.docx" TargetMode="External"/><Relationship Id="rId88" Type="http://schemas.openxmlformats.org/officeDocument/2006/relationships/hyperlink" Target="CAP_EMISES%202020/20021%20PT%20SUJ%20d&#233;douanement/20021%20PT%20SUJ%20d&#233;douanement.docx" TargetMode="External"/><Relationship Id="rId111" Type="http://schemas.openxmlformats.org/officeDocument/2006/relationships/hyperlink" Target="CAP_EMISES%202021/21014%20Savola-Purolite/21014%20Savola-R&#233;sine%20Purolite.docx" TargetMode="External"/><Relationship Id="rId132" Type="http://schemas.openxmlformats.org/officeDocument/2006/relationships/hyperlink" Target="CAP_EMISES%202021/21028%20Savola/21028%20Savola%20skid%20NF%20-%20tank%20level.docx" TargetMode="External"/><Relationship Id="rId153" Type="http://schemas.openxmlformats.org/officeDocument/2006/relationships/hyperlink" Target="CAP_EMISES%202021\21038%20Gambro-%20CTI%20erreur%20impression%20cut%20off%20membrane\21038%20Gambro%20-%20CTI%20erreur%20impression%20cut%20off%20membrane%20KERASEP.docx" TargetMode="External"/><Relationship Id="rId174" Type="http://schemas.openxmlformats.org/officeDocument/2006/relationships/hyperlink" Target="CAP_EMISES%202022\22019%20ADM%20CHAMTOR%20-%20Erreur%20chiffrage%20tuyauterie\22019%20ADM%20CHAMTOR%20-%20Chiffrage%20budget%20tuyauterie.docx" TargetMode="External"/><Relationship Id="rId195" Type="http://schemas.openxmlformats.org/officeDocument/2006/relationships/hyperlink" Target="CAP_EMISES%202022\22033%20Bonumose\22033%20Bonumose%20-%20Small%20column%20design.docx" TargetMode="External"/><Relationship Id="rId209" Type="http://schemas.openxmlformats.org/officeDocument/2006/relationships/hyperlink" Target="CAP_EMISES%202022\22029%20Beneo%20Oreye-Inace%20Inox\221007%20mail%20TPI_18021%20-%20Cationic%20columns%20project%20analysis.msg" TargetMode="External"/><Relationship Id="rId220" Type="http://schemas.openxmlformats.org/officeDocument/2006/relationships/hyperlink" Target="CAP_EMISES%202023/23007%20DSM-Qualifiltre/230227%20mail%20AR%20R&#233;clamation%20DBA_Siebec%20Filter%20Bags%20-%20DSM%20stock%20code%20UV02911209.msg" TargetMode="External"/><Relationship Id="rId241" Type="http://schemas.openxmlformats.org/officeDocument/2006/relationships/hyperlink" Target="CAP_EMISES%202023/23029%20Inovyn%20-%20Montage%20Interconnection/23029%20Inovyn%20-%20pb%20tuyauteries%20interconnection.docx" TargetMode="External"/><Relationship Id="rId15" Type="http://schemas.openxmlformats.org/officeDocument/2006/relationships/hyperlink" Target="../../../../../ex_dvi/AppData/Roaming/Microsoft/Excel/CAP_EMISES%202017/17015%20Beneo%20Orafti%20Dow/170313%20R&#233;clamation%20DOW%20retard%20livraison%20r&#233;sine.pdf" TargetMode="External"/><Relationship Id="rId36" Type="http://schemas.openxmlformats.org/officeDocument/2006/relationships/hyperlink" Target="CAP_EMISES%202019/19048%20Puratos/191122%20AR%20R&#38287;lamation_D&#38296;ai%20de%20mise" TargetMode="External"/><Relationship Id="rId57" Type="http://schemas.openxmlformats.org/officeDocument/2006/relationships/hyperlink" Target="CAP_EMISES%202019/19046%20Ennolys/19046%20ENNOLYS%20.docx" TargetMode="External"/><Relationship Id="rId78" Type="http://schemas.openxmlformats.org/officeDocument/2006/relationships/hyperlink" Target="file:///\\srvshafs01\shares\public\Quality\QA-NVA%20IB\CAP\20013%20Cargill%20Zest%20PP%20fixation%20plate%20machining%20dimensions%20issue.docm" TargetMode="External"/><Relationship Id="rId99" Type="http://schemas.openxmlformats.org/officeDocument/2006/relationships/hyperlink" Target="CAP_EMISES%202021/21004%20BENEO%20Oreye/21004%20BENO%20OREYE.docx" TargetMode="External"/><Relationship Id="rId101" Type="http://schemas.openxmlformats.org/officeDocument/2006/relationships/hyperlink" Target="CAP_EMISES%202021/21007%20HSN-Tetrapak/21007%20HSN-Tetrapak.docx" TargetMode="External"/><Relationship Id="rId122" Type="http://schemas.openxmlformats.org/officeDocument/2006/relationships/hyperlink" Target="file:///\\srvshafs01\shares\public\Quality\archieve\QA-NVA%20IB\CAP\21020%20Micro%20BA%20packing%20&amp;%20saddles%20and%20lifting%20issue.docx" TargetMode="External"/><Relationship Id="rId143" Type="http://schemas.openxmlformats.org/officeDocument/2006/relationships/hyperlink" Target="CAP_EMISES%202021/21032%20Rousselot%20-%20raccord%20entr&#233;e-sortie/REC%20Rousselot/211029_R&#233;clamation%20Novasep_CAP21031_032.pdf" TargetMode="External"/><Relationship Id="rId164" Type="http://schemas.openxmlformats.org/officeDocument/2006/relationships/hyperlink" Target="CAP_EMISES%202022/22007%20Cristal%20Union/22007%20Cristal%20Union-FACADE.docx" TargetMode="External"/><Relationship Id="rId185" Type="http://schemas.openxmlformats.org/officeDocument/2006/relationships/hyperlink" Target="file:///\\10.120.30.211\Shares\Public\Quality\archieve\QA-NVA%20IB\CAP\22025%20SQ%2010%20-Fine%20particle%20in%20gravel%20of%20SQ10%20SSMB.docx" TargetMode="External"/><Relationship Id="rId9" Type="http://schemas.openxmlformats.org/officeDocument/2006/relationships/hyperlink" Target="../../../../../ex_dvi/AppData/Roaming/Microsoft/Excel/CAP_EMISES%202015/15045%20RE_%20REQUEST%20FOR%20QUOTATION%20N&#176;2013_10.pdf" TargetMode="External"/><Relationship Id="rId210" Type="http://schemas.openxmlformats.org/officeDocument/2006/relationships/hyperlink" Target="CAP_EMISES%202022\22042%20Commande%20ISIS-Navision\22042%20Transfert%20commande%20ISIS-Navision.docx" TargetMode="External"/><Relationship Id="rId26" Type="http://schemas.openxmlformats.org/officeDocument/2006/relationships/hyperlink" Target="../../../../../assso/AppData/Roaming/Microsoft/Excel/CAP_EMISES%202018/18032%20Cargill%20Spain/Quality%20issue%20in%20ion%20exchanger%2053CL1167B%20-%20Cargill%20Spain.pdf" TargetMode="External"/><Relationship Id="rId231" Type="http://schemas.openxmlformats.org/officeDocument/2006/relationships/hyperlink" Target="CAP_EMISES%202023/23017%20C&#233;vital-doc%20d'exp&#233;dition/23017%20Cevital%20exp&#233;dition.docx" TargetMode="External"/><Relationship Id="rId252" Type="http://schemas.openxmlformats.org/officeDocument/2006/relationships/hyperlink" Target="CAP_EMISES%202024/24031%20GSK%20-%20marques%20Kerasep/240906_R&#233;clamation%20Applexion_CTI_CAP24031.pdf" TargetMode="External"/><Relationship Id="rId47" Type="http://schemas.openxmlformats.org/officeDocument/2006/relationships/hyperlink" Target="file:///\\srvshafs01\shares\public\Quality\QA-NVA%20IB\CAP\19054%20CJ%20Liaocheng%20Bray%20butterfly%20valves%20issue.docm" TargetMode="External"/><Relationship Id="rId68" Type="http://schemas.openxmlformats.org/officeDocument/2006/relationships/hyperlink" Target="file:///\\srvshafs01\shares\public\Quality\QA-NVA%20IB\CAP\20006%20CJ%20P6%20stud%20welded%20rod%20fall%20off%20from%20internal%20box%20issue.docm" TargetMode="External"/><Relationship Id="rId89" Type="http://schemas.openxmlformats.org/officeDocument/2006/relationships/hyperlink" Target="CAP_EMISES%202020/20022%20Pilotage%20Laredo-Colonne%20IEX/20022%20pilotage%20Laredo%20-%20Colonne%20IEX.docx" TargetMode="External"/><Relationship Id="rId112" Type="http://schemas.openxmlformats.org/officeDocument/2006/relationships/hyperlink" Target="CAP_EMISES%202021/21015%20Nutribio-Suez/21015%20NUTRIBIO-Suez.docx" TargetMode="External"/><Relationship Id="rId133" Type="http://schemas.openxmlformats.org/officeDocument/2006/relationships/hyperlink" Target="CAP_EMISES%202021/21026%2021027%20Bonumose/21026%20Bonumose-Heating%20system%20unit.docx" TargetMode="External"/><Relationship Id="rId154" Type="http://schemas.openxmlformats.org/officeDocument/2006/relationships/hyperlink" Target="CAP_EMISES%202021/21036%20Cargill%20MicroBA-ABB/211207%20Echange%20mail%20SML-ABB_TR%2016382%20-%20Cargill%20MicroBA%20%20Erreurs%20sur%20r&#233;f&#233;rences%20instruments%20ABB%20livr&#233;s.msg" TargetMode="External"/><Relationship Id="rId175" Type="http://schemas.openxmlformats.org/officeDocument/2006/relationships/hyperlink" Target="CAP_EMISES%202022/22020%20Fuite%20IBC%20saumure%20Tredi/22020%20Fuite%20Saumure%20Tr&#233;di.docx" TargetMode="External"/><Relationship Id="rId196" Type="http://schemas.openxmlformats.org/officeDocument/2006/relationships/hyperlink" Target="CAP_EMISES%202022\22034%20Bonumose-Silex\22034%20Bonumose%20-%20Silex.docx" TargetMode="External"/><Relationship Id="rId200" Type="http://schemas.openxmlformats.org/officeDocument/2006/relationships/hyperlink" Target="CAP_EMISES%202022\22038%20Nexira-sonde%20conductivit&#233;\22038%20Nexira%20-%20Sonde%20de%20conductivit&#233;.docx" TargetMode="External"/><Relationship Id="rId16" Type="http://schemas.openxmlformats.org/officeDocument/2006/relationships/hyperlink" Target="../../../../../ex_dvi/AppData/Roaming/Microsoft/Excel/CAP_EMISES%202017/17018%20Vitalus/R&#233;clamation%20Purolite%20MN502%20FDA.pdf" TargetMode="External"/><Relationship Id="rId221" Type="http://schemas.openxmlformats.org/officeDocument/2006/relationships/hyperlink" Target="CAP_EMISES%202023/23001%20Sanofi%20DNE%20membranes/230106%20mail%20SGU_RE%20RF%20NOVASEP%20-%20PR590905%20-%20Test%20DNE%20non%20conforme%20sur%20&#233;quipement%20UF%20min&#233;ral%20PRP%20V16.msg" TargetMode="External"/><Relationship Id="rId242" Type="http://schemas.openxmlformats.org/officeDocument/2006/relationships/hyperlink" Target="CAP_EMISES%202023/23028%20Via%20S&#233;paration-%20pompes%20Sulzer/Couurier%20sulzer.docx" TargetMode="External"/><Relationship Id="rId37" Type="http://schemas.openxmlformats.org/officeDocument/2006/relationships/hyperlink" Target="CAP_EMISES%202019/19047%20CKD/191121%20mail%20EWI" TargetMode="External"/><Relationship Id="rId58" Type="http://schemas.openxmlformats.org/officeDocument/2006/relationships/hyperlink" Target="CAP_EMISES%202020/20001%20Evapo%20verre/20001%20Casse%20Evapo%20verre.docm" TargetMode="External"/><Relationship Id="rId79" Type="http://schemas.openxmlformats.org/officeDocument/2006/relationships/hyperlink" Target="CAP_EMISES%202020/20014%20CKD%20Module%20K01/20014%20CKD%20module%20K01.docx" TargetMode="External"/><Relationship Id="rId102" Type="http://schemas.openxmlformats.org/officeDocument/2006/relationships/hyperlink" Target="CAP_EMISES%202021/21008%20Polypeptide%20US/21008%20%20pb%20cr&#233;ation%20projet%20comptable%20US%20sur%20ISIS.docx" TargetMode="External"/><Relationship Id="rId123" Type="http://schemas.openxmlformats.org/officeDocument/2006/relationships/hyperlink" Target="CAP_EMISES%202021/21020%20Cargill%20MicroBA/21%2006%2028%20mail%20Client_RE%20MicroBA%20-%20Novasep%20-%20Info%20on%20delivery.msg" TargetMode="External"/><Relationship Id="rId144" Type="http://schemas.openxmlformats.org/officeDocument/2006/relationships/hyperlink" Target="CAP_EMISES%202021/21024%20Fufneg%20Longjiang/REC%20CTI/211102_R&#233;clamation%20Novasep_CAP21024.pdf" TargetMode="External"/><Relationship Id="rId90" Type="http://schemas.openxmlformats.org/officeDocument/2006/relationships/hyperlink" Target="CAP_EMISES%202020/20014%20CKD%20Module%20K01/CAP20014%20-%20Courrier%20R&#233;clamation%20Grayel.doc" TargetMode="External"/><Relationship Id="rId165" Type="http://schemas.openxmlformats.org/officeDocument/2006/relationships/hyperlink" Target="CAP_EMISES%202022/22006%20Sucro-Bossard/220201_R&#233;clamation%20Novasep%20Bossard.pdf" TargetMode="External"/><Relationship Id="rId186" Type="http://schemas.openxmlformats.org/officeDocument/2006/relationships/hyperlink" Target="CAP_EMISES%202022\22026%20B&#233;n&#233;o\22026%20Beneo%20-%20Montage%20FT%20sur%20fa&#231;ades.docx" TargetMode="External"/><Relationship Id="rId211" Type="http://schemas.openxmlformats.org/officeDocument/2006/relationships/hyperlink" Target="CAP_EMISES%202022\22043%20Rousselot-Cr&#233;pines%20trop%20longues\22043%20Rousselot-%20longuer%20cr&#233;pines%20inox.docx" TargetMode="External"/><Relationship Id="rId232" Type="http://schemas.openxmlformats.org/officeDocument/2006/relationships/hyperlink" Target="CAP_EMISES%202023/23020%20fuite%20eau%20bureau%20membrane/23020%20Fuite%20eau%20bureau%20atelier%20membrane.docx" TargetMode="External"/><Relationship Id="rId253" Type="http://schemas.openxmlformats.org/officeDocument/2006/relationships/hyperlink" Target="CAP_EMISES%202024/24034%20CJ%20US-Lanxess/241004_Claim%20Applexion-Lanxess.pdf" TargetMode="External"/><Relationship Id="rId27" Type="http://schemas.openxmlformats.org/officeDocument/2006/relationships/hyperlink" Target="../../../../../assso/AppData/Roaming/Microsoft/Excel/CAP_EMISES%202018/18033%20Cargill%20Manchester%20Sight%20glass%20leak/180914%20mail%20reponse%20client_RE_%20Resin%20loss%20incident%20in%20Manchester%20IX%20system.pdf" TargetMode="External"/><Relationship Id="rId48" Type="http://schemas.openxmlformats.org/officeDocument/2006/relationships/hyperlink" Target="CAP_EMISES%202019/19043%20LAICA-&#233;tiquettage%20r&#233;sine%20erron&#233;/19043%20LAICA-%20&#233;tiquatage%20r&#233;sine.docx" TargetMode="External"/><Relationship Id="rId69" Type="http://schemas.openxmlformats.org/officeDocument/2006/relationships/hyperlink" Target="CAP_EMISES%202020/20005%20Tereos%20Nesle/Courrier%20R&#233;clamation%20SUEZ%20WTS%20FRANCE.pdf" TargetMode="External"/><Relationship Id="rId113" Type="http://schemas.openxmlformats.org/officeDocument/2006/relationships/hyperlink" Target="CAP_EMISES%202021/21013%20Cevital-%20licence%20exportation/21013%20C&#233;vital-%208D.xls" TargetMode="External"/><Relationship Id="rId134" Type="http://schemas.openxmlformats.org/officeDocument/2006/relationships/hyperlink" Target="CAP_EMISES%202021/21026%2021027%20Bonumose/21027%20Bonumose-Ultrafiltration%20unit.docx" TargetMode="External"/><Relationship Id="rId80" Type="http://schemas.openxmlformats.org/officeDocument/2006/relationships/hyperlink" Target="file:///\\srvshafs01\shares\public\Quality\QA-NVA%20IB\CAP\20015%20Huakang%202%20PP%20Support%20issue.docx" TargetMode="External"/><Relationship Id="rId155" Type="http://schemas.openxmlformats.org/officeDocument/2006/relationships/hyperlink" Target="CAP_EMISES%202021/21024%20Fufneg%20Longjiang/21024-Fufeng%20Longjiang%20Membrane%20breakage%20issue%20CPT%20MSU.docx" TargetMode="External"/><Relationship Id="rId176" Type="http://schemas.openxmlformats.org/officeDocument/2006/relationships/hyperlink" Target="CAP_EMISES%202022\22021%20Fuite%20eau%20glycol&#233;e\22021%20Fuite%20Eau%20Glycol&#233;e.docx" TargetMode="External"/><Relationship Id="rId197" Type="http://schemas.openxmlformats.org/officeDocument/2006/relationships/hyperlink" Target="CAP_EMISES%202022\22035%20B&#233;n&#233;o-Certificat%20Etalonnage\22035%20Beneo-Certificat%20&#233;talonnage%20IN.docx" TargetMode="External"/><Relationship Id="rId201" Type="http://schemas.openxmlformats.org/officeDocument/2006/relationships/hyperlink" Target="CAP_EMISES%202022\22039%20HPLC%20M&#233;trologie\22039%20V&#233;rification%20HPLC.docx" TargetMode="External"/><Relationship Id="rId222" Type="http://schemas.openxmlformats.org/officeDocument/2006/relationships/hyperlink" Target="CAP_EMISES%202023/23003%20Cargill%20BOZ-%20joints%20EPDM/230123%20mail%20XRO_RE%20Cargill-BoZ-ISEP%20Gaskets%20side%20window%20looks%20already%20worn-out%20and%20easy%20failure%20of%20the%20side%20glass..msg" TargetMode="External"/><Relationship Id="rId243" Type="http://schemas.openxmlformats.org/officeDocument/2006/relationships/hyperlink" Target="CAP_EMISES%202023/23026%20COPAM-billes%20noires%20r&#233;sine/231107_%20R&#233;clamation%20APPLEXION-DUPONT.pdf" TargetMode="External"/><Relationship Id="rId17" Type="http://schemas.openxmlformats.org/officeDocument/2006/relationships/hyperlink" Target="../../../../../ex_dvi/AppData/Roaming/Microsoft/Excel/CAP_EMISES%202017/17016%20M&#233;rial%20S52/R&#233;clamation%20Valorel/170322%20R&#233;clamation%20Valorel.pdf" TargetMode="External"/><Relationship Id="rId38" Type="http://schemas.openxmlformats.org/officeDocument/2006/relationships/hyperlink" Target="CAP_EMISES%202019/19052%20Galactic/19052%20Galactic.docx" TargetMode="External"/><Relationship Id="rId59" Type="http://schemas.openxmlformats.org/officeDocument/2006/relationships/hyperlink" Target="CAP_EMISES%202019/19047%20CKD/19047%20CKD.docx" TargetMode="External"/><Relationship Id="rId103" Type="http://schemas.openxmlformats.org/officeDocument/2006/relationships/hyperlink" Target="CAP_EMISES%202021/21009%20Tereos%20-sight%20glass/21009%20Tereos_Sight%20glass.docx" TargetMode="External"/><Relationship Id="rId124" Type="http://schemas.openxmlformats.org/officeDocument/2006/relationships/hyperlink" Target="CAP_EMISES%202021/21020%20Cargill%20MicroBA/21%2006%2029%20mail%20ABN%20Client_%20MicroBA%20-%20Novasep%20-%20Info%20on%20delivery.msg" TargetMode="External"/><Relationship Id="rId70" Type="http://schemas.openxmlformats.org/officeDocument/2006/relationships/hyperlink" Target="CAP_EMISES%202020/20007%20SOFIVO/20007%20SOFIVO-%20MEGA.docx" TargetMode="External"/><Relationship Id="rId91" Type="http://schemas.openxmlformats.org/officeDocument/2006/relationships/hyperlink" Target="CAP_EMISES%202019/19035%20OLON%20MTCI/19035%20OLON_MTCI%20drain%20MF.docm" TargetMode="External"/><Relationship Id="rId145" Type="http://schemas.openxmlformats.org/officeDocument/2006/relationships/hyperlink" Target="CAP_EMISES%202021/21033%20SQ-%20Silex%20Sibelco/21033%20SQ%20-%20Silex%20Sibelco.docx" TargetMode="External"/><Relationship Id="rId166" Type="http://schemas.openxmlformats.org/officeDocument/2006/relationships/hyperlink" Target="CAP_EMISES%202022\22008%20Tessier-casse%20mbre%20&#224;%20r&#233;ception\22008%20Tessier_Membrane%20cass&#233;e%20&#224;%20r&#233;ception.docx" TargetMode="External"/><Relationship Id="rId187" Type="http://schemas.openxmlformats.org/officeDocument/2006/relationships/hyperlink" Target="CAP_EMISES%202022\22027%20LEKAI%20-%20civil%20works%20drawing\22027%20LEKAI-Civil%20works%20drawing.docx" TargetMode="External"/><Relationship Id="rId1" Type="http://schemas.openxmlformats.org/officeDocument/2006/relationships/hyperlink" Target="../../../../../ex_dvi/AppData/Roaming/Microsoft/Excel/CAP_EMISES%202015/15017%20SEDAMYL/R&#233;clamation%20GE%20membranes%20Sedamyl.pdf" TargetMode="External"/><Relationship Id="rId212" Type="http://schemas.openxmlformats.org/officeDocument/2006/relationships/hyperlink" Target="CAP_EMISES%202022\22045%20Cristal%20Union-%20Gonflement%20r&#233;sine\22045%20Cristal%20Union%20Erstein-gonflement%20r&#233;sine.docx" TargetMode="External"/><Relationship Id="rId233" Type="http://schemas.openxmlformats.org/officeDocument/2006/relationships/hyperlink" Target="../../../../../christine.potier/OneDrive%20-%20Novasep%20Process%20Solutions/AQHSE/1-Qualite/1-FICHES_CAP/CAP_EMISES%202023/23021%20Bonumose-corrosion%20tank/23021%20Bonumose%20-%20pb%20corrosion%20tank-piping.docx" TargetMode="External"/><Relationship Id="rId254" Type="http://schemas.openxmlformats.org/officeDocument/2006/relationships/printerSettings" Target="../printerSettings/printerSettings1.bin"/><Relationship Id="rId28" Type="http://schemas.openxmlformats.org/officeDocument/2006/relationships/hyperlink" Target="../../../../../assso/AppData/Roaming/Microsoft/Excel/CAP_EMISES%202019/19006%20PARAG%20Bollor&#38280;R&#38287;lamation%20Bollor" TargetMode="External"/><Relationship Id="rId49" Type="http://schemas.openxmlformats.org/officeDocument/2006/relationships/hyperlink" Target="CAP_EMISES%202019/19041%20Parry%20Sugar%20livraison%20mbres%20NF/19041%20Parry%20Sugar-livraison%20mbres%20NF.docm" TargetMode="External"/><Relationship Id="rId114" Type="http://schemas.openxmlformats.org/officeDocument/2006/relationships/hyperlink" Target="CAP_EMISES%202021/21011%20Praj-fuite%20module%20NF/21011%20PRAJ_8D.xls" TargetMode="External"/><Relationship Id="rId60" Type="http://schemas.openxmlformats.org/officeDocument/2006/relationships/hyperlink" Target="CAP_EMISES%202020/20002%20ADM%20US/20002%20ADM.docx" TargetMode="External"/><Relationship Id="rId81" Type="http://schemas.openxmlformats.org/officeDocument/2006/relationships/hyperlink" Target="file:///\\srvshafs01\shares\public\Quality\QA-NVA%20IB\CAP\20016%20CJ%20GMP3%20PP-FRP%20pipe%20broken%20issue.docm" TargetMode="External"/><Relationship Id="rId135" Type="http://schemas.openxmlformats.org/officeDocument/2006/relationships/hyperlink" Target="CAP_EMISES%202021/21029%20Rousselot/21029%20Rousselot.docx" TargetMode="External"/><Relationship Id="rId156" Type="http://schemas.openxmlformats.org/officeDocument/2006/relationships/hyperlink" Target="CAP_EMISES%202022\22001%20Ter&#233;os%20-%20Suez\22001%20TEREOS%20Nesle%20-%20mbre%20NF.docx" TargetMode="External"/><Relationship Id="rId177" Type="http://schemas.openxmlformats.org/officeDocument/2006/relationships/hyperlink" Target="CAP_EMISES%202022\22022%20CJ%20Bio\22022%20CJ%20Bio.docx" TargetMode="External"/><Relationship Id="rId198" Type="http://schemas.openxmlformats.org/officeDocument/2006/relationships/hyperlink" Target="CAP_EMISES%202022\22036%20GSK%20-%20Etanchement\22036%20GSK%20-%20&#233;tanchement.docx" TargetMode="External"/><Relationship Id="rId202" Type="http://schemas.openxmlformats.org/officeDocument/2006/relationships/hyperlink" Target="CAP_EMISES%202022\22040%20Sanofi-Etiquette\22040%20Sanofi-Etiquette%20caisse%20(4).docx" TargetMode="External"/><Relationship Id="rId223" Type="http://schemas.openxmlformats.org/officeDocument/2006/relationships/hyperlink" Target="CAP_EMISES%202023/23009%20C&#233;vital-%20Bollor&#233;%20erreur%20d&#233;marquage/2023.02.22%20courrier%20C&#233;vital.pdf" TargetMode="External"/><Relationship Id="rId244" Type="http://schemas.openxmlformats.org/officeDocument/2006/relationships/hyperlink" Target="CAP_EMISES%202023/23033%20ADM-pilotage%20SSMB/23033%20ADM-pilotage%20SSMB%20m&#233;lange%20Raffinat-Extrait.docx" TargetMode="External"/><Relationship Id="rId18" Type="http://schemas.openxmlformats.org/officeDocument/2006/relationships/hyperlink" Target="../../../../../ex_dvi/AppData/Roaming/Microsoft/Excel/CAP_EMISES%202017/17023%20Armor%20prot&#233;ine/LRAR%20_CTI_7985_12052017.pdf" TargetMode="External"/><Relationship Id="rId39" Type="http://schemas.openxmlformats.org/officeDocument/2006/relationships/hyperlink" Target="CAP_EMISES%202019/19049%20S&#233;parateur%20pilote%20Evapo/19049%20S&#233;parateur%20pilote%20Evapo%20R&amp;D.docx" TargetMode="External"/><Relationship Id="rId50" Type="http://schemas.openxmlformats.org/officeDocument/2006/relationships/hyperlink" Target="CAP_EMISES%202019/19036%20Etuve%20labo/19036%20Etuve%20labo.docm" TargetMode="External"/><Relationship Id="rId104" Type="http://schemas.openxmlformats.org/officeDocument/2006/relationships/hyperlink" Target="CAP_EMISES%202021/21010%20Tereos%20-perte%20de%20charge/21010%20TEREOS_perte%20de%20charge%20DK.docx" TargetMode="External"/><Relationship Id="rId125" Type="http://schemas.openxmlformats.org/officeDocument/2006/relationships/hyperlink" Target="CAP_EMISES%202021\21021%20Cargill%20Haubourdin\21021%20Cargill%20Haubourdin%20joints%20EPDM-&#233;bonite.docx" TargetMode="External"/><Relationship Id="rId146" Type="http://schemas.openxmlformats.org/officeDocument/2006/relationships/hyperlink" Target="CAP_EMISES%202021/21033%20SQ-%20Silex%20Sibelco/211124_%20courrier%20RECLAMATION%20NOVASEP.pdf" TargetMode="External"/><Relationship Id="rId167" Type="http://schemas.openxmlformats.org/officeDocument/2006/relationships/hyperlink" Target="CAP_EMISES%202022/22010%20Fuite%20appareil%20Kjeldahl/22010%20Fuite%20appareil%20Kjedahl.docx" TargetMode="External"/><Relationship Id="rId188" Type="http://schemas.openxmlformats.org/officeDocument/2006/relationships/hyperlink" Target="CAP_EMISES%202022\22016%20Cargill%20BOZ-Manholes%20&amp;%20davit%20design\22016%20Cargill%20BOZ-Manholes%20and%20davit%20design%20.docx" TargetMode="External"/><Relationship Id="rId71" Type="http://schemas.openxmlformats.org/officeDocument/2006/relationships/hyperlink" Target="CAP_EMISES%202020/20007%20SOFIVO/20%2003%2010%20Mail%20r&#233;clamation%20DBA%20&#224;%20M&#233;ga.pdf" TargetMode="External"/><Relationship Id="rId92" Type="http://schemas.openxmlformats.org/officeDocument/2006/relationships/hyperlink" Target="CAP_EMISES%202019/19035%20OLON%20MTCI/190823%20mail%20XDE_MTCI_13929%20-%20drain%20MF.pdf" TargetMode="External"/><Relationship Id="rId213" Type="http://schemas.openxmlformats.org/officeDocument/2006/relationships/hyperlink" Target="CAP_EMISES%202022\22045%20Cristal%20Union-%20Gonflement%20r&#233;sine\221026_R&#233;clamation%20Dupont%20-%20Gonflement%20r&#233;sine.pdf" TargetMode="External"/><Relationship Id="rId234" Type="http://schemas.openxmlformats.org/officeDocument/2006/relationships/hyperlink" Target="../../../../../christine.potier/OneDrive%20-%20Novasep%20Process%20Solutions/AQHSE/1-Qualite/1-FICHES_CAP/CAP_EMISES%202023/23022%20Inovyn-D&#233;faut%20&#233;bonitage/23022%20Inovyn%20-%20d&#233;faut%20&#233;bonite%20colonnes.docx" TargetMode="External"/><Relationship Id="rId2" Type="http://schemas.openxmlformats.org/officeDocument/2006/relationships/hyperlink" Target="../../../../../ex_dvi/AppData/Roaming/Microsoft/Excel/CAP_EMISES%202015/15038%20DOW/R&#38287;lamation%20Dow%20Mono%2088.pdf" TargetMode="External"/><Relationship Id="rId29" Type="http://schemas.openxmlformats.org/officeDocument/2006/relationships/hyperlink" Target="CAP_EMISES%202019/19031%20ADM-%20Bollor&#38280;R&#38287;lamation%20Bollor" TargetMode="External"/><Relationship Id="rId255" Type="http://schemas.openxmlformats.org/officeDocument/2006/relationships/vmlDrawing" Target="../drawings/vmlDrawing1.vml"/><Relationship Id="rId40" Type="http://schemas.openxmlformats.org/officeDocument/2006/relationships/hyperlink" Target="file:///\\srvshafs01\shares\public\Quality\QA-NVA%20IB\CAP\19051%20CJ%20P6%20columns%20delay%20issue.docx" TargetMode="External"/><Relationship Id="rId115" Type="http://schemas.openxmlformats.org/officeDocument/2006/relationships/hyperlink" Target="CAP_EMISES%202021/21017%20Tereos%20Nesle-%20mbre%20NF/21017%20TEREOS%20Nesle%20-%20mbre%20NF.docx" TargetMode="External"/><Relationship Id="rId136" Type="http://schemas.openxmlformats.org/officeDocument/2006/relationships/hyperlink" Target="CAP_EMISES%202021/21030%20Inopor/21030%20Inopor-%20Mbres%20abim&#233;es-&#233;br&#233;ch&#233;es%20en%20p&#233;riph&#233;rie.docx" TargetMode="External"/><Relationship Id="rId157" Type="http://schemas.openxmlformats.org/officeDocument/2006/relationships/hyperlink" Target="CAP_EMISES%202022/22002%20SQ%20-%20Polarimeter/22002%20SQ%2010%20-%20polarimeter.docx" TargetMode="External"/><Relationship Id="rId178" Type="http://schemas.openxmlformats.org/officeDocument/2006/relationships/hyperlink" Target="file:///\\10.120.30.211\Shares\Public\Quality\archieve\QA-NVA%20IB\CAP\Closed%20CAP" TargetMode="External"/><Relationship Id="rId61" Type="http://schemas.openxmlformats.org/officeDocument/2006/relationships/hyperlink" Target="CAP_EMISES%202020/20002%20ADM%20US/20%2001%2031%20Dissatisfaction%20Novasep%20intervention.pdf" TargetMode="External"/><Relationship Id="rId82" Type="http://schemas.openxmlformats.org/officeDocument/2006/relationships/hyperlink" Target="CAP_EMISES%202020/20017%20Prolactal/20017%20Prolactal.docx" TargetMode="External"/><Relationship Id="rId199" Type="http://schemas.openxmlformats.org/officeDocument/2006/relationships/hyperlink" Target="CAP_EMISES%202022\22037%20Cristal%20union-%20FT\22037%20Cristal%20Union-Espace%20insuffisant%20pour%20d&#233;montage%20d&#233;bitm&#232;tre.docx" TargetMode="External"/><Relationship Id="rId203" Type="http://schemas.openxmlformats.org/officeDocument/2006/relationships/hyperlink" Target="CAP_EMISES%202022/22040%20Sanofi-Etiquette/220921%20mail%20r&#233;ponse%20SGU_PR590548.msg" TargetMode="External"/><Relationship Id="rId19" Type="http://schemas.openxmlformats.org/officeDocument/2006/relationships/hyperlink" Target="../../../../../ex_dvi/AppData/Roaming/Microsoft/Excel/CAP_EMISES%202017/17055%20Vitalus%20Dow/Claim%20Dow%20FDA%20test%20and%20black%20particles.pdf" TargetMode="External"/><Relationship Id="rId224" Type="http://schemas.openxmlformats.org/officeDocument/2006/relationships/hyperlink" Target="CAP_EMISES%202023/23008%20VRS-%20Bollor&#233;%20erreur%20exp&#233;dition%20ref%20r&#233;sine/23008%20VRS%20Bollor&#233;-erreur%20d'exp&#233;dition%20ref%20r&#233;sines.docx" TargetMode="External"/><Relationship Id="rId245" Type="http://schemas.openxmlformats.org/officeDocument/2006/relationships/hyperlink" Target="CAP_EMISES%202023/23029%20Inovyn%20-%20Montage%20Interconnection/APPLEXION%20RECLAMATION%20PACT%20-%20INOVYN.pdf" TargetMode="External"/><Relationship Id="rId30" Type="http://schemas.openxmlformats.org/officeDocument/2006/relationships/hyperlink" Target="CAP_EMISES%202019/19040%20Rousselot/190917%20AR_R&#38287;lamation%20St" TargetMode="External"/><Relationship Id="rId105" Type="http://schemas.openxmlformats.org/officeDocument/2006/relationships/hyperlink" Target="CAP_EMISES%202021/21005%20Beneo%20KSB/210208%20R&#233;clamation%20KSB_livraison%20pompes.pdf" TargetMode="External"/><Relationship Id="rId126" Type="http://schemas.openxmlformats.org/officeDocument/2006/relationships/hyperlink" Target="CAP_EMISES%202021/21021%20Cargill%20Haubourdin/210821%20mail%20client_10.15842%20Cargill%20Haubourdin%20%20Ouverture%20CAP.msg" TargetMode="External"/><Relationship Id="rId147" Type="http://schemas.openxmlformats.org/officeDocument/2006/relationships/hyperlink" Target="CAP_EMISES%202021/21034%20Cargill%20MicroBA/21034%20Cargill%20MicroBA%20-%20Tag%20plates%20inversion.docx" TargetMode="External"/><Relationship Id="rId168" Type="http://schemas.openxmlformats.org/officeDocument/2006/relationships/hyperlink" Target="CAP_EMISES%202022/22011%20Sucro%20-%20incoh&#233;rence%20PID-3D/22011%20SUCRO_3D%20Skid%20NF%20not%20updated.docx" TargetMode="External"/><Relationship Id="rId51" Type="http://schemas.openxmlformats.org/officeDocument/2006/relationships/hyperlink" Target="CAP_EMISES%202019/19053%20Etihad%20-%20Licence/R&#233;clamation%20Bollor&#233;%20membranes%20Irak.pdf" TargetMode="External"/><Relationship Id="rId72" Type="http://schemas.openxmlformats.org/officeDocument/2006/relationships/hyperlink" Target="file:///\\srvshafs01\shares\public\Quality\QA-NVA%20IB\CAP\20008%20CJ%20P6%20S%20parts%20welding%20issue.docm" TargetMode="External"/><Relationship Id="rId93" Type="http://schemas.openxmlformats.org/officeDocument/2006/relationships/hyperlink" Target="CAP_EMISES%202019/19034%20Chengxin%20Bollor&#233;/190807%20mail%20JNJ%20Bollor&#233;%20_%20R&#233;clamation.pdf" TargetMode="External"/><Relationship Id="rId189" Type="http://schemas.openxmlformats.org/officeDocument/2006/relationships/hyperlink" Target="CAP_EMISES%202022\22008%20Tessier-casse%20mbre%20&#224;%20r&#233;ception\RE%20MARCHANDISES%20CASSEES%20-%20LIVRAISON%20TESSIER%20-%20Membranes%20KERASEP%20.msg" TargetMode="External"/><Relationship Id="rId3" Type="http://schemas.openxmlformats.org/officeDocument/2006/relationships/hyperlink" Target="../../../../../ex_dvi/AppData/Roaming/Microsoft/Excel/CAP_EMISES%202015/15040%20Intervention%20sorbonnes/Mail%20R&#233;clamation%20Vinci.pdf" TargetMode="External"/><Relationship Id="rId214" Type="http://schemas.openxmlformats.org/officeDocument/2006/relationships/hyperlink" Target="CAP_EMISES%202023\23002%20Friesland-r&#233;sine%20Halal\23002%20-%20Friesland%20r&#233;sine%20Halal.docx" TargetMode="External"/><Relationship Id="rId235" Type="http://schemas.openxmlformats.org/officeDocument/2006/relationships/hyperlink" Target="CAP_EMISES%202023/23023%20Fuite%20toiture%20Halle%20R&amp;D%20N&#176;2/23023%20Fuite%20toiture%20halle%20R&amp;D%20N&#176;2.docx" TargetMode="External"/><Relationship Id="rId256" Type="http://schemas.openxmlformats.org/officeDocument/2006/relationships/table" Target="../tables/table1.xml"/><Relationship Id="rId116" Type="http://schemas.openxmlformats.org/officeDocument/2006/relationships/hyperlink" Target="CAP_EMISES%202021/21017%20Tereos%20Nesle-%20mbre%20NF/210604%20AR%20REC_R&#233;clamation%20membranes%20NF.msg" TargetMode="External"/><Relationship Id="rId137" Type="http://schemas.openxmlformats.org/officeDocument/2006/relationships/hyperlink" Target="CAP_EMISES%202021/21030%20Inopor/211005_Claim%20Novasep_CAP21030.pdf" TargetMode="External"/><Relationship Id="rId158" Type="http://schemas.openxmlformats.org/officeDocument/2006/relationships/hyperlink" Target="CAP_EMISES%202022/22005%20Ram%20Sucre-%20Composites%20Vec/22005%20RAM%20SUCRE%20-%20buses%20d&#233;colo.docx" TargetMode="External"/><Relationship Id="rId20" Type="http://schemas.openxmlformats.org/officeDocument/2006/relationships/hyperlink" Target="../../../../../ex_dvi/AppData/Roaming/Microsoft/Excel/CAP_EMISES%202017/17019%20CLS%20Alpha%20laval/reclamation%20Alfa%20Laval%20cde%20%20A10191.pdf" TargetMode="External"/><Relationship Id="rId41" Type="http://schemas.openxmlformats.org/officeDocument/2006/relationships/hyperlink" Target="CAP_EMISES%202019/19050%20Ingredion%20-%20DP%20C201/19050%20Ingredion%20-%20pressure%20drops%20on%20lower%20network%20cell%20C201.docm" TargetMode="External"/><Relationship Id="rId62" Type="http://schemas.openxmlformats.org/officeDocument/2006/relationships/hyperlink" Target="CAP_EMISES%202019/19006%20PARAG%20Bollor&#233;/19006%20PARAG%20Bollor&#233;.docm" TargetMode="External"/><Relationship Id="rId83" Type="http://schemas.openxmlformats.org/officeDocument/2006/relationships/hyperlink" Target="CAP_EMISES%202020/20017%20Prolactal/20%2006%2026%20AR%20R&#233;clamation%20Prolactal.pdf" TargetMode="External"/><Relationship Id="rId179" Type="http://schemas.openxmlformats.org/officeDocument/2006/relationships/hyperlink" Target="file:///\\10.120.30.211\Shares\Public\Quality\archieve\QA-NVA%20IB\CAP\Closed%20CAP" TargetMode="External"/><Relationship Id="rId190" Type="http://schemas.openxmlformats.org/officeDocument/2006/relationships/hyperlink" Target="CAP_EMISES%202022\22028%20Kirsanov-envoi%20Silex\22026%20Kirsanov-envoi%20Silex.docx" TargetMode="External"/><Relationship Id="rId204" Type="http://schemas.openxmlformats.org/officeDocument/2006/relationships/hyperlink" Target="CAP_EMISES%202022\22040%20Sanofi-Etiquette\220921%20mail%20r&#233;ponse%20SGU_PR590548.msg" TargetMode="External"/><Relationship Id="rId225" Type="http://schemas.openxmlformats.org/officeDocument/2006/relationships/hyperlink" Target="CAP_EMISES%202023/23009%20C&#233;vital-%20Bollor&#233;%20erreur%20d&#233;marquage/23009%20C&#233;vital-Bollor&#233;%20erreur%20d&#233;marquage.docx" TargetMode="External"/><Relationship Id="rId246" Type="http://schemas.openxmlformats.org/officeDocument/2006/relationships/hyperlink" Target="CAP_EMISES%202024/24001%20Omnia/24001%20Omnia.docx" TargetMode="External"/><Relationship Id="rId106" Type="http://schemas.openxmlformats.org/officeDocument/2006/relationships/hyperlink" Target="CAP_EMISES%202021/21011%20Praj-fuite%20module%20NF/21011%20Praj-fuite%20module%20NF.docx" TargetMode="External"/><Relationship Id="rId127" Type="http://schemas.openxmlformats.org/officeDocument/2006/relationships/hyperlink" Target="CAP_EMISES%202021/21022%20Hochdorf%20Swiss%20Nutrition%20AG/21022%20Hochdorf%20Swiss%20Nutrition-d&#233;marquage%20r&#233;sine.docx" TargetMode="External"/><Relationship Id="rId10" Type="http://schemas.openxmlformats.org/officeDocument/2006/relationships/hyperlink" Target="../../../../../ex_dvi/AppData/Roaming/Microsoft/Excel/CAP_EMISES%202015/15034%20Conaprole%20cablage%20client/Mail%20PGA_%20RE_%209726_%20Probl&#232;me%20de%20transmission%20de%20sch&#233;mas%20&#233;lectriques.pdf" TargetMode="External"/><Relationship Id="rId31" Type="http://schemas.openxmlformats.org/officeDocument/2006/relationships/hyperlink" Target="CAP_EMISES%202019/19040%20Rousselot/R&#38287;lamation%20CTI%20CAP%2019040.pdf" TargetMode="External"/><Relationship Id="rId52" Type="http://schemas.openxmlformats.org/officeDocument/2006/relationships/hyperlink" Target="CAP_EMISES%202019/19052%20Galactic/191220%20mail%20EWI%20&#224;%20DuPont_Erreur%20de%20conditionnement%20CA-1908-0151.pdf" TargetMode="External"/><Relationship Id="rId73" Type="http://schemas.openxmlformats.org/officeDocument/2006/relationships/hyperlink" Target="CAP_EMISES%202020/20005%20Tereos%20Nesle/RE_%20R&#233;clamation%20pour%20d&#233;faut%20membrane.pdf" TargetMode="External"/><Relationship Id="rId94" Type="http://schemas.openxmlformats.org/officeDocument/2006/relationships/hyperlink" Target="file:///\\srvshafs01\shares\public\Quality\archieve\QA-NVA%20IB\CAP\Closed%20CAP\21001%20NF%20housing%20leakage%20issue%20CLOSE%20210514.docx" TargetMode="External"/><Relationship Id="rId148" Type="http://schemas.openxmlformats.org/officeDocument/2006/relationships/hyperlink" Target="CAP_EMISES%202021/21035%20Etihad-Aqua%20Com/21035%20Etihad-TP%20Aqua%20Com.docx" TargetMode="External"/><Relationship Id="rId169" Type="http://schemas.openxmlformats.org/officeDocument/2006/relationships/hyperlink" Target="CAP_EMISES%202022/22012%20Beneo%20Oreyes-%20InaceInox/22012%20Beneo%20Oreye%20-%20InaceInox.docx" TargetMode="External"/><Relationship Id="rId4" Type="http://schemas.openxmlformats.org/officeDocument/2006/relationships/hyperlink" Target="../../../../../ex_dvi/AppData/Roaming/Microsoft/Excel/CAP_EMISES%202015/15027%20Sunoko%20Trislot/MISE%20EN%20DEMEURE.doc" TargetMode="External"/><Relationship Id="rId180" Type="http://schemas.openxmlformats.org/officeDocument/2006/relationships/hyperlink" Target="file:///\\10.120.30.211\Shares\Public\Quality\archieve\QA-NVA%20IB\CAP\Closed%20CAP" TargetMode="External"/><Relationship Id="rId215" Type="http://schemas.openxmlformats.org/officeDocument/2006/relationships/hyperlink" Target="CAP_EMISES%202023/23001%20Sanofi%20DNE%20membranes/23001%20Sanofi-Evolution%20anormale%20d&#233;bit%20eau%20membrane%20Kerasep%20BP%20BX%2050%20kD.docx" TargetMode="External"/><Relationship Id="rId236" Type="http://schemas.openxmlformats.org/officeDocument/2006/relationships/hyperlink" Target="CAP_EMISES%202023/23024%20B&#233;n&#233;o-%20corrosion/23024%20B&#233;n&#233;o%20-%20Corrosion%20Piping%20Dem1.docx" TargetMode="External"/><Relationship Id="rId25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>
    <tabColor theme="5"/>
    <pageSetUpPr fitToPage="1"/>
  </sheetPr>
  <dimension ref="A1:AN598"/>
  <sheetViews>
    <sheetView tabSelected="1" topLeftCell="A2" zoomScaleNormal="100" workbookViewId="0">
      <pane ySplit="5" topLeftCell="A554" activePane="bottomLeft" state="frozen"/>
      <selection pane="bottomLeft" activeCell="N605" sqref="N605"/>
    </sheetView>
  </sheetViews>
  <sheetFormatPr defaultColWidth="8.81640625" defaultRowHeight="12.5" outlineLevelCol="1" x14ac:dyDescent="0.25"/>
  <cols>
    <col min="1" max="1" width="6.90625" customWidth="1"/>
    <col min="2" max="2" width="8.81640625" customWidth="1"/>
    <col min="3" max="3" width="13.26953125" hidden="1" customWidth="1"/>
    <col min="4" max="4" width="8.90625" hidden="1" customWidth="1" outlineLevel="1"/>
    <col min="5" max="5" width="7.81640625" hidden="1" customWidth="1" outlineLevel="1"/>
    <col min="6" max="6" width="6.08984375" customWidth="1" outlineLevel="1"/>
    <col min="7" max="7" width="12.1796875" style="3" customWidth="1" outlineLevel="1"/>
    <col min="8" max="8" width="11.36328125" style="3" customWidth="1" outlineLevel="1"/>
    <col min="9" max="9" width="15.08984375" customWidth="1"/>
    <col min="10" max="10" width="6.7265625" hidden="1" customWidth="1" outlineLevel="1"/>
    <col min="11" max="11" width="5.08984375" hidden="1" customWidth="1" outlineLevel="1"/>
    <col min="12" max="12" width="8.90625" hidden="1" customWidth="1" outlineLevel="1"/>
    <col min="13" max="13" width="10.54296875" hidden="1" customWidth="1" collapsed="1"/>
    <col min="14" max="14" width="45.453125" customWidth="1" outlineLevel="1"/>
    <col min="15" max="15" width="10.453125" hidden="1" customWidth="1" outlineLevel="1"/>
    <col min="16" max="16" width="7.26953125" hidden="1" customWidth="1" outlineLevel="1"/>
    <col min="17" max="17" width="7.36328125" customWidth="1"/>
    <col min="18" max="18" width="24" bestFit="1" customWidth="1" outlineLevel="1"/>
    <col min="19" max="19" width="5.7265625" customWidth="1" outlineLevel="1"/>
    <col min="20" max="20" width="4.54296875" customWidth="1" outlineLevel="1"/>
    <col min="21" max="21" width="4.6328125" customWidth="1" outlineLevel="1"/>
    <col min="22" max="22" width="4.08984375" customWidth="1" outlineLevel="1"/>
    <col min="23" max="23" width="4.08984375" customWidth="1"/>
    <col min="24" max="24" width="9.54296875" customWidth="1"/>
    <col min="25" max="25" width="8.81640625" customWidth="1"/>
    <col min="26" max="26" width="10.81640625" customWidth="1" outlineLevel="1"/>
    <col min="27" max="27" width="6.81640625" customWidth="1" outlineLevel="1"/>
    <col min="28" max="28" width="12.26953125" customWidth="1" outlineLevel="1"/>
    <col min="29" max="29" width="11.453125" customWidth="1" outlineLevel="1"/>
    <col min="30" max="30" width="8.7265625" customWidth="1" outlineLevel="1"/>
    <col min="31" max="31" width="11.36328125" customWidth="1" outlineLevel="1"/>
    <col min="32" max="32" width="6" customWidth="1" outlineLevel="1"/>
    <col min="33" max="36" width="11.54296875" customWidth="1"/>
    <col min="37" max="37" width="11.453125" customWidth="1"/>
    <col min="38" max="38" width="12.453125" customWidth="1"/>
    <col min="39" max="39" width="22.453125" customWidth="1"/>
    <col min="40" max="40" width="91.36328125" bestFit="1" customWidth="1"/>
  </cols>
  <sheetData>
    <row r="1" spans="1:40" hidden="1" x14ac:dyDescent="0.25">
      <c r="A1" t="s">
        <v>30</v>
      </c>
      <c r="B1" t="s">
        <v>31</v>
      </c>
      <c r="C1" t="s">
        <v>0</v>
      </c>
      <c r="D1" t="s">
        <v>27</v>
      </c>
      <c r="E1" t="s">
        <v>32</v>
      </c>
      <c r="F1" t="s">
        <v>33</v>
      </c>
      <c r="G1" s="3" t="s">
        <v>34</v>
      </c>
      <c r="H1" s="3" t="s">
        <v>35</v>
      </c>
      <c r="I1" t="s">
        <v>26</v>
      </c>
      <c r="J1" t="s">
        <v>36</v>
      </c>
      <c r="K1" t="s">
        <v>37</v>
      </c>
      <c r="L1" t="s">
        <v>22</v>
      </c>
      <c r="M1" t="s">
        <v>38</v>
      </c>
      <c r="N1" t="s">
        <v>39</v>
      </c>
      <c r="O1" t="s">
        <v>1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</row>
    <row r="2" spans="1:40" ht="13" x14ac:dyDescent="0.3">
      <c r="A2" s="4" t="s">
        <v>64</v>
      </c>
      <c r="B2" s="5"/>
      <c r="C2" s="6"/>
      <c r="D2" s="5"/>
      <c r="E2" s="5"/>
      <c r="F2" s="5"/>
      <c r="G2" s="7"/>
      <c r="H2" s="7"/>
      <c r="I2" s="5"/>
      <c r="J2" s="5"/>
      <c r="K2" s="14"/>
      <c r="L2" s="14"/>
      <c r="M2" s="14"/>
      <c r="N2" s="15"/>
      <c r="O2" s="14"/>
      <c r="P2" s="16"/>
      <c r="Q2" s="31"/>
      <c r="R2" s="16"/>
      <c r="S2" s="16"/>
      <c r="T2" s="16"/>
      <c r="U2" s="16"/>
      <c r="V2" s="16"/>
      <c r="W2" s="16"/>
      <c r="X2" s="16"/>
      <c r="Y2" s="32"/>
      <c r="Z2" s="14"/>
      <c r="AA2" s="14"/>
      <c r="AB2" s="14"/>
      <c r="AC2" s="14"/>
      <c r="AD2" s="15"/>
      <c r="AE2" s="15"/>
      <c r="AF2" s="48"/>
      <c r="AG2" s="76"/>
      <c r="AH2" s="76"/>
      <c r="AI2" s="76"/>
      <c r="AJ2" s="49">
        <f ca="1">EDATE(AJ3,-3)</f>
        <v>45959</v>
      </c>
      <c r="AK2" s="50"/>
      <c r="AL2" s="50"/>
      <c r="AM2" s="50"/>
      <c r="AN2" s="50"/>
    </row>
    <row r="3" spans="1:40" ht="13" x14ac:dyDescent="0.3">
      <c r="A3" s="8"/>
      <c r="B3" s="8"/>
      <c r="C3" s="8"/>
      <c r="D3" s="8"/>
      <c r="E3" s="8"/>
      <c r="F3" s="8"/>
      <c r="G3" s="9"/>
      <c r="H3" s="9"/>
      <c r="I3" s="17"/>
      <c r="J3" s="8"/>
      <c r="K3" s="18"/>
      <c r="L3" s="18" t="s">
        <v>65</v>
      </c>
      <c r="M3" s="19"/>
      <c r="N3" s="20"/>
      <c r="O3" s="21" t="s">
        <v>66</v>
      </c>
      <c r="P3" s="22"/>
      <c r="Q3" s="22"/>
      <c r="R3" s="33"/>
      <c r="S3" s="22"/>
      <c r="T3" s="34" t="s">
        <v>67</v>
      </c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265" t="s">
        <v>68</v>
      </c>
      <c r="AH3" s="265"/>
      <c r="AI3" s="265"/>
      <c r="AJ3" s="51">
        <f ca="1">TODAY()</f>
        <v>46051</v>
      </c>
      <c r="AK3" s="37"/>
      <c r="AL3" s="56"/>
      <c r="AM3" s="57"/>
      <c r="AN3" s="57"/>
    </row>
    <row r="4" spans="1:40" ht="13" x14ac:dyDescent="0.3">
      <c r="A4" s="10"/>
      <c r="B4" s="10"/>
      <c r="C4" s="10"/>
      <c r="D4" s="10"/>
      <c r="E4" s="10"/>
      <c r="F4" s="10"/>
      <c r="G4" s="11"/>
      <c r="H4" s="11"/>
      <c r="I4" s="23"/>
      <c r="J4" s="10"/>
      <c r="K4" s="24"/>
      <c r="L4" s="24"/>
      <c r="M4" s="25"/>
      <c r="N4" s="26"/>
      <c r="O4" s="27"/>
      <c r="P4" s="28"/>
      <c r="Q4" s="28"/>
      <c r="R4" s="36"/>
      <c r="S4" s="28"/>
      <c r="T4" s="34" t="s">
        <v>69</v>
      </c>
      <c r="U4" s="37"/>
      <c r="V4" s="38" t="s">
        <v>70</v>
      </c>
      <c r="W4" s="39"/>
      <c r="X4" s="40"/>
      <c r="Y4" s="41" t="s">
        <v>71</v>
      </c>
      <c r="Z4" s="52"/>
      <c r="AA4" s="53"/>
      <c r="AB4" s="267" t="s">
        <v>72</v>
      </c>
      <c r="AC4" s="268"/>
      <c r="AD4" s="268"/>
      <c r="AE4" s="268"/>
      <c r="AF4" s="269"/>
      <c r="AG4" s="264" t="s">
        <v>68</v>
      </c>
      <c r="AH4" s="265"/>
      <c r="AI4" s="266"/>
      <c r="AJ4" s="34" t="s">
        <v>73</v>
      </c>
      <c r="AK4" s="37"/>
      <c r="AL4" s="58"/>
      <c r="AM4" s="59"/>
      <c r="AN4" s="59"/>
    </row>
    <row r="5" spans="1:40" ht="8.5" hidden="1" customHeight="1" x14ac:dyDescent="0.3">
      <c r="A5" s="12"/>
      <c r="B5" s="12"/>
      <c r="C5" s="12"/>
      <c r="D5" s="12"/>
      <c r="E5" s="12"/>
      <c r="F5" s="12"/>
      <c r="G5" s="13"/>
      <c r="H5" s="13"/>
      <c r="I5" s="29"/>
      <c r="J5" s="30"/>
      <c r="K5" s="12"/>
      <c r="L5" s="12"/>
      <c r="M5" s="29"/>
      <c r="N5" s="30"/>
      <c r="O5" s="12"/>
      <c r="P5" s="12"/>
      <c r="Q5" s="29"/>
      <c r="R5" s="42"/>
      <c r="S5" s="77"/>
      <c r="T5" s="43"/>
      <c r="U5" s="44"/>
      <c r="V5" s="45"/>
      <c r="W5" s="46"/>
      <c r="X5" s="47"/>
      <c r="Y5" s="47"/>
      <c r="Z5" s="47"/>
      <c r="AA5" s="44"/>
      <c r="AB5" s="54"/>
      <c r="AC5" s="54"/>
      <c r="AD5" s="54"/>
      <c r="AE5" s="45"/>
      <c r="AF5" s="42"/>
      <c r="AG5" s="77"/>
      <c r="AH5" s="77"/>
      <c r="AI5" s="77"/>
      <c r="AJ5" s="43"/>
      <c r="AK5" s="55"/>
      <c r="AL5" s="60"/>
      <c r="AM5" s="61"/>
    </row>
    <row r="6" spans="1:40" ht="62.5" customHeight="1" x14ac:dyDescent="0.25">
      <c r="A6" s="87" t="s">
        <v>30</v>
      </c>
      <c r="B6" s="88" t="s">
        <v>31</v>
      </c>
      <c r="C6" s="89" t="s">
        <v>0</v>
      </c>
      <c r="D6" s="90" t="s">
        <v>27</v>
      </c>
      <c r="E6" s="89" t="s">
        <v>32</v>
      </c>
      <c r="F6" s="89" t="s">
        <v>33</v>
      </c>
      <c r="G6" s="91" t="s">
        <v>34</v>
      </c>
      <c r="H6" s="91" t="s">
        <v>35</v>
      </c>
      <c r="I6" s="92" t="s">
        <v>26</v>
      </c>
      <c r="J6" s="89" t="s">
        <v>36</v>
      </c>
      <c r="K6" s="93" t="s">
        <v>37</v>
      </c>
      <c r="L6" s="93" t="s">
        <v>22</v>
      </c>
      <c r="M6" s="93" t="s">
        <v>38</v>
      </c>
      <c r="N6" s="93" t="s">
        <v>39</v>
      </c>
      <c r="O6" s="84" t="s">
        <v>1</v>
      </c>
      <c r="P6" s="84" t="s">
        <v>40</v>
      </c>
      <c r="Q6" s="84" t="s">
        <v>41</v>
      </c>
      <c r="R6" s="84" t="s">
        <v>42</v>
      </c>
      <c r="S6" s="84" t="s">
        <v>43</v>
      </c>
      <c r="T6" s="63" t="s">
        <v>44</v>
      </c>
      <c r="U6" s="63" t="s">
        <v>74</v>
      </c>
      <c r="V6" s="85" t="s">
        <v>45</v>
      </c>
      <c r="W6" s="85" t="s">
        <v>46</v>
      </c>
      <c r="X6" s="85" t="s">
        <v>47</v>
      </c>
      <c r="Y6" s="86" t="s">
        <v>48</v>
      </c>
      <c r="Z6" s="86" t="s">
        <v>49</v>
      </c>
      <c r="AA6" s="86" t="s">
        <v>50</v>
      </c>
      <c r="AB6" s="83" t="s">
        <v>51</v>
      </c>
      <c r="AC6" s="83" t="s">
        <v>52</v>
      </c>
      <c r="AD6" s="83" t="s">
        <v>2059</v>
      </c>
      <c r="AE6" s="83" t="s">
        <v>2060</v>
      </c>
      <c r="AF6" s="83" t="s">
        <v>55</v>
      </c>
      <c r="AG6" s="94" t="s">
        <v>56</v>
      </c>
      <c r="AH6" s="94" t="s">
        <v>57</v>
      </c>
      <c r="AI6" s="94" t="s">
        <v>58</v>
      </c>
      <c r="AJ6" s="63" t="s">
        <v>59</v>
      </c>
      <c r="AK6" s="63" t="s">
        <v>60</v>
      </c>
      <c r="AL6" s="63" t="s">
        <v>61</v>
      </c>
      <c r="AM6" s="95" t="s">
        <v>62</v>
      </c>
      <c r="AN6" s="95" t="s">
        <v>63</v>
      </c>
    </row>
    <row r="7" spans="1:40" ht="11.5" hidden="1" customHeight="1" x14ac:dyDescent="0.35">
      <c r="A7" s="82"/>
      <c r="B7" s="96" t="s">
        <v>75</v>
      </c>
      <c r="C7" s="81"/>
      <c r="D7" s="97"/>
      <c r="E7" s="67"/>
      <c r="F7" s="67"/>
      <c r="G7" s="68"/>
      <c r="H7" s="98"/>
      <c r="I7" s="99"/>
      <c r="J7" s="100"/>
      <c r="K7" s="101"/>
      <c r="L7" s="67"/>
      <c r="M7" s="102"/>
      <c r="N7" s="98"/>
      <c r="O7" s="68"/>
      <c r="P7" s="68"/>
      <c r="Q7" s="74"/>
      <c r="R7" s="68"/>
      <c r="S7" s="68"/>
      <c r="T7" s="74"/>
      <c r="U7" s="74"/>
      <c r="V7" s="79"/>
      <c r="W7" s="67"/>
      <c r="X7" s="227"/>
      <c r="Y7" s="228">
        <f t="shared" ref="Y7:Y70" si="0">EDATE(D7,3)</f>
        <v>91</v>
      </c>
      <c r="Z7" s="109">
        <v>40544</v>
      </c>
      <c r="AA7" s="106" t="str">
        <f ca="1">IF(Z7="",IF(TODAY()&gt;Y7,"NO","YES"),IF(Z7&gt;Y7,"NO",IF(Z7&lt;Y7,"YES",IF(Y7=Z7,"YES","N/A"))))</f>
        <v>NO</v>
      </c>
      <c r="AB7" s="81"/>
      <c r="AC7" s="74"/>
      <c r="AD7" s="74"/>
      <c r="AE7" s="74"/>
      <c r="AF7" s="62" t="str">
        <f ca="1">IF(I7="Claim",IF(AD7="","",IF(AE7="",IF(TODAY()&gt;AD7,"NO","YES"),IF(AE7&gt;AD7,"NO",IF(AE7&lt;AD7,"YES",IF(AD7=AE7,"YES","N/A"))))),"N/A")</f>
        <v>N/A</v>
      </c>
      <c r="AG7" s="103"/>
      <c r="AH7" s="104"/>
      <c r="AI7" s="107">
        <f>AH7+AG7</f>
        <v>0</v>
      </c>
      <c r="AJ7" s="105"/>
      <c r="AK7" s="74"/>
      <c r="AL7" s="74"/>
      <c r="AM7" s="108" t="str">
        <f>CONCATENATE(B7," ",G7)</f>
        <v xml:space="preserve">xxxxx </v>
      </c>
      <c r="AN7" s="108" t="str">
        <f>CONCATENATE(B7," ",G7," : ",N7)</f>
        <v xml:space="preserve">xxxxx  : </v>
      </c>
    </row>
    <row r="8" spans="1:40" s="76" customFormat="1" ht="13" hidden="1" x14ac:dyDescent="0.3">
      <c r="A8" s="115"/>
      <c r="B8" s="116">
        <v>11011</v>
      </c>
      <c r="C8" s="113" t="s">
        <v>4</v>
      </c>
      <c r="D8" s="117">
        <v>40634</v>
      </c>
      <c r="E8" s="118" t="s">
        <v>76</v>
      </c>
      <c r="F8" s="118"/>
      <c r="G8" s="111" t="s">
        <v>77</v>
      </c>
      <c r="H8" s="111"/>
      <c r="I8" s="119" t="s">
        <v>2057</v>
      </c>
      <c r="J8" s="113"/>
      <c r="K8" s="118"/>
      <c r="L8" s="118" t="s">
        <v>78</v>
      </c>
      <c r="M8" s="118"/>
      <c r="N8" s="120" t="s">
        <v>79</v>
      </c>
      <c r="O8" s="111" t="s">
        <v>29</v>
      </c>
      <c r="P8" s="121" t="s">
        <v>80</v>
      </c>
      <c r="Q8" s="111" t="s">
        <v>81</v>
      </c>
      <c r="R8" s="111" t="s">
        <v>9</v>
      </c>
      <c r="S8" s="121"/>
      <c r="T8" s="118"/>
      <c r="U8" s="64">
        <v>40633</v>
      </c>
      <c r="V8" s="158" t="s">
        <v>10</v>
      </c>
      <c r="W8" s="118"/>
      <c r="X8" s="159"/>
      <c r="Y8" s="160">
        <f t="shared" si="0"/>
        <v>40725</v>
      </c>
      <c r="Z8" s="117">
        <v>40662</v>
      </c>
      <c r="AA8" s="161" t="str">
        <f t="shared" ref="AA8:AA71" ca="1" si="1">IF(Z8="",IF(TODAY()&gt;Y8,"NO","YES"),IF(Z8&gt;Y8,"NO",IF(Z8&lt;Y8,"YES",IF(Y8=Z8,"YES","N/A"))))</f>
        <v>YES</v>
      </c>
      <c r="AB8" s="159"/>
      <c r="AC8" s="117"/>
      <c r="AD8" s="121"/>
      <c r="AE8" s="121"/>
      <c r="AF8" s="111" t="str">
        <f t="shared" ref="AF8:AF71" ca="1" si="2">IF(I8="Claim",IF(AD8="","",IF(AE8="",IF(TODAY()&gt;AD8,"NO","YES"),IF(AE8&gt;AD8,"NO",IF(AE8&lt;AD8,"YES",IF(AD8=AE8,"YES","N/A"))))),"N/A")</f>
        <v>N/A</v>
      </c>
      <c r="AG8" s="162"/>
      <c r="AH8" s="163"/>
      <c r="AI8" s="164">
        <f t="shared" ref="AI8:AI71" si="3">AH8+AG8</f>
        <v>0</v>
      </c>
      <c r="AJ8" s="118"/>
      <c r="AK8" s="113"/>
      <c r="AL8" s="141"/>
      <c r="AM8" s="165" t="str">
        <f t="shared" ref="AM8:AM71" si="4">CONCATENATE(B8," ",G8)</f>
        <v xml:space="preserve">11011 INDENA </v>
      </c>
      <c r="AN8" s="166" t="str">
        <f t="shared" ref="AN8:AN71" si="5">CONCATENATE(B8," ",G8," : ",N8)</f>
        <v>11011 INDENA  : Commande</v>
      </c>
    </row>
    <row r="9" spans="1:40" s="76" customFormat="1" ht="13" hidden="1" x14ac:dyDescent="0.3">
      <c r="A9" s="122"/>
      <c r="B9" s="116">
        <v>11012</v>
      </c>
      <c r="C9" s="113" t="s">
        <v>4</v>
      </c>
      <c r="D9" s="117">
        <v>40638</v>
      </c>
      <c r="E9" s="118" t="s">
        <v>82</v>
      </c>
      <c r="F9" s="118"/>
      <c r="G9" s="111" t="s">
        <v>83</v>
      </c>
      <c r="H9" s="111"/>
      <c r="I9" s="119" t="s">
        <v>5</v>
      </c>
      <c r="J9" s="113"/>
      <c r="K9" s="118"/>
      <c r="L9" s="118" t="s">
        <v>84</v>
      </c>
      <c r="M9" s="118"/>
      <c r="N9" s="120" t="s">
        <v>85</v>
      </c>
      <c r="O9" s="111" t="s">
        <v>29</v>
      </c>
      <c r="P9" s="111" t="s">
        <v>86</v>
      </c>
      <c r="Q9" s="111"/>
      <c r="R9" s="111" t="s">
        <v>87</v>
      </c>
      <c r="S9" s="111"/>
      <c r="T9" s="118"/>
      <c r="U9" s="64">
        <v>40512</v>
      </c>
      <c r="V9" s="158" t="s">
        <v>10</v>
      </c>
      <c r="W9" s="118"/>
      <c r="X9" s="113"/>
      <c r="Y9" s="117">
        <f t="shared" si="0"/>
        <v>40729</v>
      </c>
      <c r="Z9" s="117">
        <v>41697</v>
      </c>
      <c r="AA9" s="161" t="str">
        <f t="shared" ca="1" si="1"/>
        <v>NO</v>
      </c>
      <c r="AB9" s="113"/>
      <c r="AC9" s="117"/>
      <c r="AD9" s="111"/>
      <c r="AE9" s="111"/>
      <c r="AF9" s="111" t="str">
        <f t="shared" ca="1" si="2"/>
        <v/>
      </c>
      <c r="AG9" s="162"/>
      <c r="AH9" s="162"/>
      <c r="AI9" s="164">
        <f t="shared" si="3"/>
        <v>0</v>
      </c>
      <c r="AJ9" s="118"/>
      <c r="AK9" s="113"/>
      <c r="AL9" s="118"/>
      <c r="AM9" s="165" t="str">
        <f t="shared" si="4"/>
        <v>11012 Beldem</v>
      </c>
      <c r="AN9" s="165" t="str">
        <f t="shared" si="5"/>
        <v>11012 Beldem : Casses mécaniques / Performances</v>
      </c>
    </row>
    <row r="10" spans="1:40" s="76" customFormat="1" ht="13" hidden="1" x14ac:dyDescent="0.3">
      <c r="A10" s="122"/>
      <c r="B10" s="116">
        <v>11013</v>
      </c>
      <c r="C10" s="113" t="s">
        <v>4</v>
      </c>
      <c r="D10" s="117">
        <v>40640</v>
      </c>
      <c r="E10" s="118" t="s">
        <v>82</v>
      </c>
      <c r="F10" s="118"/>
      <c r="G10" s="111" t="s">
        <v>88</v>
      </c>
      <c r="H10" s="111"/>
      <c r="I10" s="119" t="s">
        <v>5</v>
      </c>
      <c r="J10" s="113"/>
      <c r="K10" s="118"/>
      <c r="L10" s="118" t="s">
        <v>89</v>
      </c>
      <c r="M10" s="118"/>
      <c r="N10" s="120" t="s">
        <v>90</v>
      </c>
      <c r="O10" s="111" t="s">
        <v>29</v>
      </c>
      <c r="P10" s="111" t="s">
        <v>86</v>
      </c>
      <c r="Q10" s="111"/>
      <c r="R10" s="111" t="s">
        <v>9</v>
      </c>
      <c r="S10" s="111"/>
      <c r="T10" s="118"/>
      <c r="U10" s="64">
        <v>40549</v>
      </c>
      <c r="V10" s="158" t="s">
        <v>10</v>
      </c>
      <c r="W10" s="118"/>
      <c r="X10" s="113"/>
      <c r="Y10" s="117">
        <f t="shared" si="0"/>
        <v>40731</v>
      </c>
      <c r="Z10" s="117">
        <v>40828</v>
      </c>
      <c r="AA10" s="161" t="str">
        <f t="shared" ca="1" si="1"/>
        <v>NO</v>
      </c>
      <c r="AB10" s="113"/>
      <c r="AC10" s="117"/>
      <c r="AD10" s="111"/>
      <c r="AE10" s="111"/>
      <c r="AF10" s="111" t="str">
        <f t="shared" ca="1" si="2"/>
        <v/>
      </c>
      <c r="AG10" s="162"/>
      <c r="AH10" s="162"/>
      <c r="AI10" s="164">
        <f t="shared" si="3"/>
        <v>0</v>
      </c>
      <c r="AJ10" s="118"/>
      <c r="AK10" s="113"/>
      <c r="AL10" s="118"/>
      <c r="AM10" s="165" t="str">
        <f t="shared" si="4"/>
        <v>11013 CJ Liaocheng GMP</v>
      </c>
      <c r="AN10" s="165" t="str">
        <f t="shared" si="5"/>
        <v>11013 CJ Liaocheng GMP :  Performances</v>
      </c>
    </row>
    <row r="11" spans="1:40" s="76" customFormat="1" ht="13" hidden="1" x14ac:dyDescent="0.3">
      <c r="A11" s="122"/>
      <c r="B11" s="116">
        <v>11014</v>
      </c>
      <c r="C11" s="113" t="s">
        <v>4</v>
      </c>
      <c r="D11" s="117">
        <v>40640</v>
      </c>
      <c r="E11" s="118" t="s">
        <v>91</v>
      </c>
      <c r="F11" s="118"/>
      <c r="G11" s="111" t="s">
        <v>92</v>
      </c>
      <c r="H11" s="111"/>
      <c r="I11" s="119" t="s">
        <v>2056</v>
      </c>
      <c r="J11" s="113"/>
      <c r="K11" s="118"/>
      <c r="L11" s="118" t="s">
        <v>93</v>
      </c>
      <c r="M11" s="118"/>
      <c r="N11" s="120" t="s">
        <v>94</v>
      </c>
      <c r="O11" s="111" t="s">
        <v>29</v>
      </c>
      <c r="P11" s="111" t="s">
        <v>86</v>
      </c>
      <c r="Q11" s="111"/>
      <c r="R11" s="111" t="s">
        <v>9</v>
      </c>
      <c r="S11" s="111"/>
      <c r="T11" s="118"/>
      <c r="U11" s="64">
        <v>40655</v>
      </c>
      <c r="V11" s="158" t="s">
        <v>10</v>
      </c>
      <c r="W11" s="118"/>
      <c r="X11" s="113"/>
      <c r="Y11" s="117">
        <f t="shared" si="0"/>
        <v>40731</v>
      </c>
      <c r="Z11" s="117">
        <v>40690</v>
      </c>
      <c r="AA11" s="161" t="str">
        <f t="shared" ca="1" si="1"/>
        <v>YES</v>
      </c>
      <c r="AB11" s="113"/>
      <c r="AC11" s="117"/>
      <c r="AD11" s="111"/>
      <c r="AE11" s="111"/>
      <c r="AF11" s="111" t="str">
        <f t="shared" ca="1" si="2"/>
        <v>N/A</v>
      </c>
      <c r="AG11" s="162"/>
      <c r="AH11" s="162"/>
      <c r="AI11" s="164">
        <f t="shared" si="3"/>
        <v>0</v>
      </c>
      <c r="AJ11" s="118"/>
      <c r="AK11" s="113"/>
      <c r="AL11" s="118"/>
      <c r="AM11" s="165" t="str">
        <f t="shared" si="4"/>
        <v>11014 OTIME</v>
      </c>
      <c r="AN11" s="165" t="str">
        <f t="shared" si="5"/>
        <v>11014 OTIME : Mauvais positionnement des clarinettes skid UF/MF</v>
      </c>
    </row>
    <row r="12" spans="1:40" s="76" customFormat="1" ht="13" hidden="1" x14ac:dyDescent="0.3">
      <c r="A12" s="122"/>
      <c r="B12" s="116">
        <v>11015</v>
      </c>
      <c r="C12" s="113" t="s">
        <v>4</v>
      </c>
      <c r="D12" s="117">
        <v>40647</v>
      </c>
      <c r="E12" s="118" t="s">
        <v>95</v>
      </c>
      <c r="F12" s="118"/>
      <c r="G12" s="111" t="s">
        <v>96</v>
      </c>
      <c r="H12" s="111"/>
      <c r="I12" s="119" t="s">
        <v>5</v>
      </c>
      <c r="J12" s="113"/>
      <c r="K12" s="118"/>
      <c r="L12" s="118" t="s">
        <v>97</v>
      </c>
      <c r="M12" s="118"/>
      <c r="N12" s="120" t="s">
        <v>98</v>
      </c>
      <c r="O12" s="111" t="s">
        <v>29</v>
      </c>
      <c r="P12" s="111" t="s">
        <v>86</v>
      </c>
      <c r="Q12" s="111"/>
      <c r="R12" s="111" t="s">
        <v>9</v>
      </c>
      <c r="S12" s="111"/>
      <c r="T12" s="118"/>
      <c r="U12" s="64">
        <v>40648</v>
      </c>
      <c r="V12" s="158" t="s">
        <v>10</v>
      </c>
      <c r="W12" s="118"/>
      <c r="X12" s="113"/>
      <c r="Y12" s="117">
        <f t="shared" si="0"/>
        <v>40738</v>
      </c>
      <c r="Z12" s="117">
        <v>40694</v>
      </c>
      <c r="AA12" s="161" t="str">
        <f t="shared" ca="1" si="1"/>
        <v>YES</v>
      </c>
      <c r="AB12" s="113"/>
      <c r="AC12" s="117"/>
      <c r="AD12" s="111"/>
      <c r="AE12" s="111"/>
      <c r="AF12" s="111" t="str">
        <f t="shared" ca="1" si="2"/>
        <v/>
      </c>
      <c r="AG12" s="162"/>
      <c r="AH12" s="162"/>
      <c r="AI12" s="164">
        <f t="shared" si="3"/>
        <v>0</v>
      </c>
      <c r="AJ12" s="118"/>
      <c r="AK12" s="113"/>
      <c r="AL12" s="118"/>
      <c r="AM12" s="165" t="str">
        <f t="shared" si="4"/>
        <v>11015 Parry India</v>
      </c>
      <c r="AN12" s="165" t="str">
        <f t="shared" si="5"/>
        <v>11015 Parry India : Débit mètre diafiltration sous air, en défaut</v>
      </c>
    </row>
    <row r="13" spans="1:40" s="76" customFormat="1" ht="13" hidden="1" x14ac:dyDescent="0.3">
      <c r="A13" s="122"/>
      <c r="B13" s="116">
        <v>11016</v>
      </c>
      <c r="C13" s="113" t="s">
        <v>4</v>
      </c>
      <c r="D13" s="117">
        <v>40651</v>
      </c>
      <c r="E13" s="118" t="s">
        <v>99</v>
      </c>
      <c r="F13" s="118"/>
      <c r="G13" s="111" t="s">
        <v>100</v>
      </c>
      <c r="H13" s="111"/>
      <c r="I13" s="119" t="s">
        <v>5</v>
      </c>
      <c r="J13" s="113"/>
      <c r="K13" s="118"/>
      <c r="L13" s="118" t="s">
        <v>101</v>
      </c>
      <c r="M13" s="118"/>
      <c r="N13" s="120" t="s">
        <v>102</v>
      </c>
      <c r="O13" s="111" t="s">
        <v>28</v>
      </c>
      <c r="P13" s="111" t="s">
        <v>103</v>
      </c>
      <c r="Q13" s="111"/>
      <c r="R13" s="111" t="s">
        <v>87</v>
      </c>
      <c r="S13" s="111"/>
      <c r="T13" s="118"/>
      <c r="U13" s="64">
        <v>40651</v>
      </c>
      <c r="V13" s="158" t="s">
        <v>10</v>
      </c>
      <c r="W13" s="118"/>
      <c r="X13" s="113"/>
      <c r="Y13" s="117">
        <f t="shared" si="0"/>
        <v>40742</v>
      </c>
      <c r="Z13" s="117">
        <v>40709</v>
      </c>
      <c r="AA13" s="161" t="str">
        <f t="shared" ca="1" si="1"/>
        <v>YES</v>
      </c>
      <c r="AB13" s="113"/>
      <c r="AC13" s="117"/>
      <c r="AD13" s="111"/>
      <c r="AE13" s="111"/>
      <c r="AF13" s="111" t="str">
        <f t="shared" ca="1" si="2"/>
        <v/>
      </c>
      <c r="AG13" s="162"/>
      <c r="AH13" s="162"/>
      <c r="AI13" s="164">
        <f t="shared" si="3"/>
        <v>0</v>
      </c>
      <c r="AJ13" s="118"/>
      <c r="AK13" s="113"/>
      <c r="AL13" s="118"/>
      <c r="AM13" s="165" t="str">
        <f t="shared" si="4"/>
        <v>11016 Roquette Lestrem/CTI</v>
      </c>
      <c r="AN13" s="165" t="str">
        <f t="shared" si="5"/>
        <v>11016 Roquette Lestrem/CTI : Diamètre membrane hors spec</v>
      </c>
    </row>
    <row r="14" spans="1:40" s="76" customFormat="1" ht="13" hidden="1" x14ac:dyDescent="0.3">
      <c r="A14" s="122"/>
      <c r="B14" s="116">
        <v>11017</v>
      </c>
      <c r="C14" s="113" t="s">
        <v>4</v>
      </c>
      <c r="D14" s="117">
        <v>40679</v>
      </c>
      <c r="E14" s="118" t="s">
        <v>76</v>
      </c>
      <c r="F14" s="118"/>
      <c r="G14" s="111" t="s">
        <v>104</v>
      </c>
      <c r="H14" s="111"/>
      <c r="I14" s="119" t="s">
        <v>2057</v>
      </c>
      <c r="J14" s="113"/>
      <c r="K14" s="118"/>
      <c r="L14" s="118" t="s">
        <v>105</v>
      </c>
      <c r="M14" s="118"/>
      <c r="N14" s="120" t="s">
        <v>106</v>
      </c>
      <c r="O14" s="111" t="s">
        <v>29</v>
      </c>
      <c r="P14" s="111" t="s">
        <v>80</v>
      </c>
      <c r="Q14" s="111" t="s">
        <v>81</v>
      </c>
      <c r="R14" s="111" t="s">
        <v>9</v>
      </c>
      <c r="S14" s="111"/>
      <c r="T14" s="118"/>
      <c r="U14" s="64">
        <v>40672</v>
      </c>
      <c r="V14" s="158" t="s">
        <v>10</v>
      </c>
      <c r="W14" s="118"/>
      <c r="X14" s="113"/>
      <c r="Y14" s="117">
        <f t="shared" si="0"/>
        <v>40771</v>
      </c>
      <c r="Z14" s="117">
        <v>40757</v>
      </c>
      <c r="AA14" s="161" t="str">
        <f t="shared" ca="1" si="1"/>
        <v>YES</v>
      </c>
      <c r="AB14" s="113"/>
      <c r="AC14" s="117"/>
      <c r="AD14" s="111"/>
      <c r="AE14" s="111"/>
      <c r="AF14" s="111" t="str">
        <f t="shared" ca="1" si="2"/>
        <v>N/A</v>
      </c>
      <c r="AG14" s="162"/>
      <c r="AH14" s="162"/>
      <c r="AI14" s="164">
        <f t="shared" si="3"/>
        <v>0</v>
      </c>
      <c r="AJ14" s="118"/>
      <c r="AK14" s="113"/>
      <c r="AL14" s="118"/>
      <c r="AM14" s="165" t="str">
        <f t="shared" si="4"/>
        <v>11017 ARD</v>
      </c>
      <c r="AN14" s="165" t="str">
        <f t="shared" si="5"/>
        <v>11017 ARD : Oubli envoi pièces / Pilotage</v>
      </c>
    </row>
    <row r="15" spans="1:40" s="76" customFormat="1" ht="13" hidden="1" x14ac:dyDescent="0.3">
      <c r="A15" s="122"/>
      <c r="B15" s="116">
        <v>11018</v>
      </c>
      <c r="C15" s="113" t="s">
        <v>4</v>
      </c>
      <c r="D15" s="117">
        <v>40681</v>
      </c>
      <c r="E15" s="118" t="s">
        <v>82</v>
      </c>
      <c r="F15" s="118"/>
      <c r="G15" s="111" t="s">
        <v>107</v>
      </c>
      <c r="H15" s="111"/>
      <c r="I15" s="119" t="s">
        <v>2057</v>
      </c>
      <c r="J15" s="113"/>
      <c r="K15" s="118"/>
      <c r="L15" s="118" t="s">
        <v>108</v>
      </c>
      <c r="M15" s="118"/>
      <c r="N15" s="120" t="s">
        <v>109</v>
      </c>
      <c r="O15" s="111" t="s">
        <v>29</v>
      </c>
      <c r="P15" s="111" t="s">
        <v>86</v>
      </c>
      <c r="Q15" s="111"/>
      <c r="R15" s="111" t="s">
        <v>9</v>
      </c>
      <c r="S15" s="111"/>
      <c r="T15" s="118"/>
      <c r="U15" s="64">
        <v>40676</v>
      </c>
      <c r="V15" s="158" t="s">
        <v>10</v>
      </c>
      <c r="W15" s="118"/>
      <c r="X15" s="113"/>
      <c r="Y15" s="117">
        <f t="shared" si="0"/>
        <v>40773</v>
      </c>
      <c r="Z15" s="117">
        <v>40757</v>
      </c>
      <c r="AA15" s="161" t="str">
        <f t="shared" ca="1" si="1"/>
        <v>YES</v>
      </c>
      <c r="AB15" s="113"/>
      <c r="AC15" s="117"/>
      <c r="AD15" s="111"/>
      <c r="AE15" s="111"/>
      <c r="AF15" s="111" t="str">
        <f t="shared" ca="1" si="2"/>
        <v>N/A</v>
      </c>
      <c r="AG15" s="162"/>
      <c r="AH15" s="162"/>
      <c r="AI15" s="164">
        <f t="shared" si="3"/>
        <v>0</v>
      </c>
      <c r="AJ15" s="118"/>
      <c r="AK15" s="113"/>
      <c r="AL15" s="118"/>
      <c r="AM15" s="165" t="str">
        <f t="shared" si="4"/>
        <v>11018 De Smet</v>
      </c>
      <c r="AN15" s="165" t="str">
        <f t="shared" si="5"/>
        <v>11018 De Smet : Oubli commande rotamètre</v>
      </c>
    </row>
    <row r="16" spans="1:40" s="76" customFormat="1" ht="13" hidden="1" x14ac:dyDescent="0.3">
      <c r="A16" s="122"/>
      <c r="B16" s="116">
        <v>11019</v>
      </c>
      <c r="C16" s="113" t="s">
        <v>4</v>
      </c>
      <c r="D16" s="117">
        <v>40715</v>
      </c>
      <c r="E16" s="118" t="s">
        <v>110</v>
      </c>
      <c r="F16" s="118"/>
      <c r="G16" s="111" t="s">
        <v>111</v>
      </c>
      <c r="H16" s="111"/>
      <c r="I16" s="119" t="s">
        <v>2057</v>
      </c>
      <c r="J16" s="113"/>
      <c r="K16" s="118"/>
      <c r="L16" s="118" t="s">
        <v>112</v>
      </c>
      <c r="M16" s="118"/>
      <c r="N16" s="120" t="s">
        <v>113</v>
      </c>
      <c r="O16" s="111" t="s">
        <v>29</v>
      </c>
      <c r="P16" s="111" t="s">
        <v>80</v>
      </c>
      <c r="Q16" s="111" t="s">
        <v>81</v>
      </c>
      <c r="R16" s="111" t="s">
        <v>9</v>
      </c>
      <c r="S16" s="111"/>
      <c r="T16" s="118"/>
      <c r="U16" s="64">
        <v>40709</v>
      </c>
      <c r="V16" s="158" t="s">
        <v>10</v>
      </c>
      <c r="W16" s="118"/>
      <c r="X16" s="113"/>
      <c r="Y16" s="117">
        <f t="shared" si="0"/>
        <v>40807</v>
      </c>
      <c r="Z16" s="117">
        <v>40757</v>
      </c>
      <c r="AA16" s="161" t="str">
        <f t="shared" ca="1" si="1"/>
        <v>YES</v>
      </c>
      <c r="AB16" s="113"/>
      <c r="AC16" s="117"/>
      <c r="AD16" s="111"/>
      <c r="AE16" s="111"/>
      <c r="AF16" s="111" t="str">
        <f t="shared" ca="1" si="2"/>
        <v>N/A</v>
      </c>
      <c r="AG16" s="162"/>
      <c r="AH16" s="162"/>
      <c r="AI16" s="164">
        <f t="shared" si="3"/>
        <v>0</v>
      </c>
      <c r="AJ16" s="118"/>
      <c r="AK16" s="113"/>
      <c r="AL16" s="118"/>
      <c r="AM16" s="165" t="str">
        <f t="shared" si="4"/>
        <v>11019 FACEO</v>
      </c>
      <c r="AN16" s="165" t="str">
        <f t="shared" si="5"/>
        <v>11019 FACEO : Coupure électricité/Arrêt gpe froid/Chambre froide</v>
      </c>
    </row>
    <row r="17" spans="1:40" s="76" customFormat="1" ht="13" hidden="1" x14ac:dyDescent="0.3">
      <c r="A17" s="122"/>
      <c r="B17" s="116">
        <v>11020</v>
      </c>
      <c r="C17" s="113" t="s">
        <v>4</v>
      </c>
      <c r="D17" s="117">
        <v>40715</v>
      </c>
      <c r="E17" s="118" t="s">
        <v>110</v>
      </c>
      <c r="F17" s="118"/>
      <c r="G17" s="111" t="s">
        <v>114</v>
      </c>
      <c r="H17" s="111"/>
      <c r="I17" s="119" t="s">
        <v>2057</v>
      </c>
      <c r="J17" s="113"/>
      <c r="K17" s="118"/>
      <c r="L17" s="118" t="s">
        <v>112</v>
      </c>
      <c r="M17" s="118"/>
      <c r="N17" s="120" t="s">
        <v>115</v>
      </c>
      <c r="O17" s="111" t="s">
        <v>29</v>
      </c>
      <c r="P17" s="111" t="s">
        <v>80</v>
      </c>
      <c r="Q17" s="111" t="s">
        <v>81</v>
      </c>
      <c r="R17" s="111" t="s">
        <v>9</v>
      </c>
      <c r="S17" s="111"/>
      <c r="T17" s="118"/>
      <c r="U17" s="64">
        <v>40709</v>
      </c>
      <c r="V17" s="158" t="s">
        <v>10</v>
      </c>
      <c r="W17" s="118"/>
      <c r="X17" s="113"/>
      <c r="Y17" s="117">
        <f t="shared" si="0"/>
        <v>40807</v>
      </c>
      <c r="Z17" s="117">
        <v>40757</v>
      </c>
      <c r="AA17" s="161" t="str">
        <f t="shared" ca="1" si="1"/>
        <v>YES</v>
      </c>
      <c r="AB17" s="113"/>
      <c r="AC17" s="117"/>
      <c r="AD17" s="111"/>
      <c r="AE17" s="111"/>
      <c r="AF17" s="111" t="str">
        <f t="shared" ca="1" si="2"/>
        <v>N/A</v>
      </c>
      <c r="AG17" s="162"/>
      <c r="AH17" s="162"/>
      <c r="AI17" s="164">
        <f t="shared" si="3"/>
        <v>0</v>
      </c>
      <c r="AJ17" s="118"/>
      <c r="AK17" s="113"/>
      <c r="AL17" s="118"/>
      <c r="AM17" s="165" t="str">
        <f t="shared" si="4"/>
        <v>11020 FACEO / E2MI</v>
      </c>
      <c r="AN17" s="165" t="str">
        <f t="shared" si="5"/>
        <v>11020 FACEO / E2MI : Perçage cuve par chariot élévateur</v>
      </c>
    </row>
    <row r="18" spans="1:40" s="76" customFormat="1" ht="13" hidden="1" x14ac:dyDescent="0.3">
      <c r="A18" s="122"/>
      <c r="B18" s="116">
        <v>11021</v>
      </c>
      <c r="C18" s="113" t="s">
        <v>4</v>
      </c>
      <c r="D18" s="117">
        <v>40717</v>
      </c>
      <c r="E18" s="118" t="s">
        <v>116</v>
      </c>
      <c r="F18" s="118"/>
      <c r="G18" s="111" t="s">
        <v>117</v>
      </c>
      <c r="H18" s="111"/>
      <c r="I18" s="119" t="s">
        <v>2057</v>
      </c>
      <c r="J18" s="113"/>
      <c r="K18" s="118"/>
      <c r="L18" s="118" t="s">
        <v>118</v>
      </c>
      <c r="M18" s="118"/>
      <c r="N18" s="120" t="s">
        <v>119</v>
      </c>
      <c r="O18" s="111" t="s">
        <v>29</v>
      </c>
      <c r="P18" s="111" t="s">
        <v>86</v>
      </c>
      <c r="Q18" s="111"/>
      <c r="R18" s="111" t="s">
        <v>9</v>
      </c>
      <c r="S18" s="111"/>
      <c r="T18" s="118"/>
      <c r="U18" s="64">
        <v>40710</v>
      </c>
      <c r="V18" s="158" t="s">
        <v>6</v>
      </c>
      <c r="W18" s="118" t="s">
        <v>116</v>
      </c>
      <c r="X18" s="113"/>
      <c r="Y18" s="117">
        <f t="shared" si="0"/>
        <v>40809</v>
      </c>
      <c r="Z18" s="117">
        <v>40934</v>
      </c>
      <c r="AA18" s="161" t="str">
        <f t="shared" ca="1" si="1"/>
        <v>NO</v>
      </c>
      <c r="AB18" s="113"/>
      <c r="AC18" s="117"/>
      <c r="AD18" s="111"/>
      <c r="AE18" s="111"/>
      <c r="AF18" s="111" t="str">
        <f t="shared" ca="1" si="2"/>
        <v>N/A</v>
      </c>
      <c r="AG18" s="162"/>
      <c r="AH18" s="162"/>
      <c r="AI18" s="164">
        <f t="shared" si="3"/>
        <v>0</v>
      </c>
      <c r="AJ18" s="118"/>
      <c r="AK18" s="113"/>
      <c r="AL18" s="118"/>
      <c r="AM18" s="165" t="str">
        <f t="shared" si="4"/>
        <v>11021 CJ Indonesia-PROSEL 2</v>
      </c>
      <c r="AN18" s="165" t="str">
        <f t="shared" si="5"/>
        <v xml:space="preserve">11021 CJ Indonesia-PROSEL 2 : Griffes for modules have not been ordered </v>
      </c>
    </row>
    <row r="19" spans="1:40" s="76" customFormat="1" ht="13" hidden="1" x14ac:dyDescent="0.3">
      <c r="A19" s="122"/>
      <c r="B19" s="116">
        <v>11022</v>
      </c>
      <c r="C19" s="113" t="s">
        <v>4</v>
      </c>
      <c r="D19" s="117">
        <v>40722</v>
      </c>
      <c r="E19" s="118" t="s">
        <v>120</v>
      </c>
      <c r="F19" s="118"/>
      <c r="G19" s="111" t="s">
        <v>121</v>
      </c>
      <c r="H19" s="111"/>
      <c r="I19" s="119" t="s">
        <v>2056</v>
      </c>
      <c r="J19" s="113"/>
      <c r="K19" s="118"/>
      <c r="L19" s="118" t="s">
        <v>122</v>
      </c>
      <c r="M19" s="118"/>
      <c r="N19" s="120" t="s">
        <v>123</v>
      </c>
      <c r="O19" s="111" t="s">
        <v>29</v>
      </c>
      <c r="P19" s="111" t="s">
        <v>86</v>
      </c>
      <c r="Q19" s="111"/>
      <c r="R19" s="111" t="s">
        <v>9</v>
      </c>
      <c r="S19" s="111"/>
      <c r="T19" s="118"/>
      <c r="U19" s="64">
        <v>40744</v>
      </c>
      <c r="V19" s="158" t="s">
        <v>10</v>
      </c>
      <c r="W19" s="118"/>
      <c r="X19" s="113"/>
      <c r="Y19" s="117">
        <f t="shared" si="0"/>
        <v>40814</v>
      </c>
      <c r="Z19" s="117">
        <v>40808</v>
      </c>
      <c r="AA19" s="161" t="str">
        <f t="shared" ca="1" si="1"/>
        <v>YES</v>
      </c>
      <c r="AB19" s="113"/>
      <c r="AC19" s="117"/>
      <c r="AD19" s="111"/>
      <c r="AE19" s="111"/>
      <c r="AF19" s="111" t="str">
        <f t="shared" ca="1" si="2"/>
        <v>N/A</v>
      </c>
      <c r="AG19" s="162"/>
      <c r="AH19" s="162"/>
      <c r="AI19" s="164">
        <f t="shared" si="3"/>
        <v>0</v>
      </c>
      <c r="AJ19" s="118"/>
      <c r="AK19" s="113"/>
      <c r="AL19" s="118"/>
      <c r="AM19" s="165" t="str">
        <f t="shared" si="4"/>
        <v>11022 JOHNSON</v>
      </c>
      <c r="AN19" s="165" t="str">
        <f t="shared" si="5"/>
        <v>11022 JOHNSON : Diamètre crépines pas respecté / plans</v>
      </c>
    </row>
    <row r="20" spans="1:40" s="76" customFormat="1" ht="13" hidden="1" x14ac:dyDescent="0.3">
      <c r="A20" s="122"/>
      <c r="B20" s="116">
        <v>11023</v>
      </c>
      <c r="C20" s="113" t="s">
        <v>4</v>
      </c>
      <c r="D20" s="117">
        <v>40722</v>
      </c>
      <c r="E20" s="118" t="s">
        <v>120</v>
      </c>
      <c r="F20" s="118"/>
      <c r="G20" s="111" t="s">
        <v>124</v>
      </c>
      <c r="H20" s="111"/>
      <c r="I20" s="119" t="s">
        <v>2057</v>
      </c>
      <c r="J20" s="113"/>
      <c r="K20" s="118"/>
      <c r="L20" s="118" t="s">
        <v>122</v>
      </c>
      <c r="M20" s="118"/>
      <c r="N20" s="120" t="s">
        <v>125</v>
      </c>
      <c r="O20" s="111" t="s">
        <v>29</v>
      </c>
      <c r="P20" s="111" t="s">
        <v>86</v>
      </c>
      <c r="Q20" s="111"/>
      <c r="R20" s="111" t="s">
        <v>9</v>
      </c>
      <c r="S20" s="111"/>
      <c r="T20" s="118"/>
      <c r="U20" s="64">
        <v>40766</v>
      </c>
      <c r="V20" s="158" t="s">
        <v>10</v>
      </c>
      <c r="W20" s="118"/>
      <c r="X20" s="113"/>
      <c r="Y20" s="117">
        <f t="shared" si="0"/>
        <v>40814</v>
      </c>
      <c r="Z20" s="117">
        <v>40806</v>
      </c>
      <c r="AA20" s="161" t="str">
        <f t="shared" ca="1" si="1"/>
        <v>YES</v>
      </c>
      <c r="AB20" s="113"/>
      <c r="AC20" s="117"/>
      <c r="AD20" s="111"/>
      <c r="AE20" s="111"/>
      <c r="AF20" s="111" t="str">
        <f t="shared" ca="1" si="2"/>
        <v>N/A</v>
      </c>
      <c r="AG20" s="162"/>
      <c r="AH20" s="162"/>
      <c r="AI20" s="164">
        <f t="shared" si="3"/>
        <v>0</v>
      </c>
      <c r="AJ20" s="118"/>
      <c r="AK20" s="113"/>
      <c r="AL20" s="118"/>
      <c r="AM20" s="165" t="str">
        <f t="shared" si="4"/>
        <v>11023 IANSA</v>
      </c>
      <c r="AN20" s="165" t="str">
        <f t="shared" si="5"/>
        <v>11023 IANSA : Vérif plans / Diamètre externe de tige</v>
      </c>
    </row>
    <row r="21" spans="1:40" s="76" customFormat="1" ht="13" hidden="1" x14ac:dyDescent="0.3">
      <c r="A21" s="122"/>
      <c r="B21" s="116">
        <v>11024</v>
      </c>
      <c r="C21" s="113" t="s">
        <v>4</v>
      </c>
      <c r="D21" s="117">
        <v>40722</v>
      </c>
      <c r="E21" s="118" t="s">
        <v>120</v>
      </c>
      <c r="F21" s="118"/>
      <c r="G21" s="111" t="s">
        <v>124</v>
      </c>
      <c r="H21" s="111"/>
      <c r="I21" s="119" t="s">
        <v>2057</v>
      </c>
      <c r="J21" s="113"/>
      <c r="K21" s="118"/>
      <c r="L21" s="118" t="s">
        <v>122</v>
      </c>
      <c r="M21" s="118"/>
      <c r="N21" s="120" t="s">
        <v>126</v>
      </c>
      <c r="O21" s="111" t="s">
        <v>29</v>
      </c>
      <c r="P21" s="111" t="s">
        <v>86</v>
      </c>
      <c r="Q21" s="111"/>
      <c r="R21" s="111" t="s">
        <v>9</v>
      </c>
      <c r="S21" s="111"/>
      <c r="T21" s="118"/>
      <c r="U21" s="64">
        <v>40766</v>
      </c>
      <c r="V21" s="158" t="s">
        <v>10</v>
      </c>
      <c r="W21" s="118"/>
      <c r="X21" s="113"/>
      <c r="Y21" s="117">
        <f t="shared" si="0"/>
        <v>40814</v>
      </c>
      <c r="Z21" s="117">
        <v>40806</v>
      </c>
      <c r="AA21" s="161" t="str">
        <f t="shared" ca="1" si="1"/>
        <v>YES</v>
      </c>
      <c r="AB21" s="113"/>
      <c r="AC21" s="117"/>
      <c r="AD21" s="111"/>
      <c r="AE21" s="111"/>
      <c r="AF21" s="111" t="str">
        <f t="shared" ca="1" si="2"/>
        <v>N/A</v>
      </c>
      <c r="AG21" s="162"/>
      <c r="AH21" s="162"/>
      <c r="AI21" s="164">
        <f t="shared" si="3"/>
        <v>0</v>
      </c>
      <c r="AJ21" s="118"/>
      <c r="AK21" s="113"/>
      <c r="AL21" s="118"/>
      <c r="AM21" s="165" t="str">
        <f t="shared" si="4"/>
        <v>11024 IANSA</v>
      </c>
      <c r="AN21" s="165" t="str">
        <f t="shared" si="5"/>
        <v>11024 IANSA : Vérification plans / connexion des soupapes</v>
      </c>
    </row>
    <row r="22" spans="1:40" s="76" customFormat="1" ht="13" hidden="1" x14ac:dyDescent="0.3">
      <c r="A22" s="122"/>
      <c r="B22" s="116">
        <v>11025</v>
      </c>
      <c r="C22" s="113" t="s">
        <v>4</v>
      </c>
      <c r="D22" s="117">
        <v>40725</v>
      </c>
      <c r="E22" s="118" t="s">
        <v>120</v>
      </c>
      <c r="F22" s="118"/>
      <c r="G22" s="111" t="s">
        <v>127</v>
      </c>
      <c r="H22" s="111"/>
      <c r="I22" s="119" t="s">
        <v>2056</v>
      </c>
      <c r="J22" s="113"/>
      <c r="K22" s="118"/>
      <c r="L22" s="118" t="s">
        <v>122</v>
      </c>
      <c r="M22" s="118" t="s">
        <v>13</v>
      </c>
      <c r="N22" s="120" t="s">
        <v>128</v>
      </c>
      <c r="O22" s="111" t="s">
        <v>29</v>
      </c>
      <c r="P22" s="111" t="s">
        <v>86</v>
      </c>
      <c r="Q22" s="111"/>
      <c r="R22" s="111" t="s">
        <v>9</v>
      </c>
      <c r="S22" s="111"/>
      <c r="T22" s="118"/>
      <c r="U22" s="64">
        <v>40717</v>
      </c>
      <c r="V22" s="158" t="s">
        <v>10</v>
      </c>
      <c r="W22" s="118"/>
      <c r="X22" s="113"/>
      <c r="Y22" s="117">
        <f t="shared" si="0"/>
        <v>40817</v>
      </c>
      <c r="Z22" s="117">
        <v>40806</v>
      </c>
      <c r="AA22" s="161" t="str">
        <f t="shared" ca="1" si="1"/>
        <v>YES</v>
      </c>
      <c r="AB22" s="113"/>
      <c r="AC22" s="117"/>
      <c r="AD22" s="111"/>
      <c r="AE22" s="111"/>
      <c r="AF22" s="111" t="str">
        <f t="shared" ca="1" si="2"/>
        <v>N/A</v>
      </c>
      <c r="AG22" s="162"/>
      <c r="AH22" s="162"/>
      <c r="AI22" s="164">
        <f t="shared" si="3"/>
        <v>0</v>
      </c>
      <c r="AJ22" s="118"/>
      <c r="AK22" s="113"/>
      <c r="AL22" s="118"/>
      <c r="AM22" s="165" t="str">
        <f t="shared" si="4"/>
        <v>11025 IANSA / VAPOR INDUSTRIAL</v>
      </c>
      <c r="AN22" s="165" t="str">
        <f t="shared" si="5"/>
        <v>11025 IANSA / VAPOR INDUSTRIAL : Pb orientation axiale fond colonne / Tuyauterie</v>
      </c>
    </row>
    <row r="23" spans="1:40" s="76" customFormat="1" ht="13" hidden="1" x14ac:dyDescent="0.3">
      <c r="A23" s="122"/>
      <c r="B23" s="116">
        <v>11026</v>
      </c>
      <c r="C23" s="113" t="s">
        <v>4</v>
      </c>
      <c r="D23" s="117">
        <v>40732</v>
      </c>
      <c r="E23" s="118" t="s">
        <v>129</v>
      </c>
      <c r="F23" s="118"/>
      <c r="G23" s="111" t="s">
        <v>130</v>
      </c>
      <c r="H23" s="111"/>
      <c r="I23" s="119" t="s">
        <v>5</v>
      </c>
      <c r="J23" s="113"/>
      <c r="K23" s="118"/>
      <c r="L23" s="118" t="s">
        <v>131</v>
      </c>
      <c r="M23" s="118" t="s">
        <v>16</v>
      </c>
      <c r="N23" s="120" t="s">
        <v>132</v>
      </c>
      <c r="O23" s="111" t="s">
        <v>28</v>
      </c>
      <c r="P23" s="111" t="s">
        <v>103</v>
      </c>
      <c r="Q23" s="111"/>
      <c r="R23" s="111" t="s">
        <v>87</v>
      </c>
      <c r="S23" s="111"/>
      <c r="T23" s="118"/>
      <c r="U23" s="64">
        <v>40750</v>
      </c>
      <c r="V23" s="158" t="s">
        <v>10</v>
      </c>
      <c r="W23" s="118"/>
      <c r="X23" s="113"/>
      <c r="Y23" s="117">
        <f t="shared" si="0"/>
        <v>40824</v>
      </c>
      <c r="Z23" s="117">
        <v>40765</v>
      </c>
      <c r="AA23" s="161" t="str">
        <f t="shared" ca="1" si="1"/>
        <v>YES</v>
      </c>
      <c r="AB23" s="113"/>
      <c r="AC23" s="117"/>
      <c r="AD23" s="111"/>
      <c r="AE23" s="111"/>
      <c r="AF23" s="111" t="str">
        <f t="shared" ca="1" si="2"/>
        <v/>
      </c>
      <c r="AG23" s="162"/>
      <c r="AH23" s="162"/>
      <c r="AI23" s="164">
        <f t="shared" si="3"/>
        <v>0</v>
      </c>
      <c r="AJ23" s="118"/>
      <c r="AK23" s="113"/>
      <c r="AL23" s="118"/>
      <c r="AM23" s="165" t="str">
        <f t="shared" si="4"/>
        <v>11026 Mantequerias Arias</v>
      </c>
      <c r="AN23" s="165" t="str">
        <f t="shared" si="5"/>
        <v>11026 Mantequerias Arias : Casse mbne nette longitudinale</v>
      </c>
    </row>
    <row r="24" spans="1:40" s="76" customFormat="1" ht="13" hidden="1" x14ac:dyDescent="0.3">
      <c r="A24" s="122"/>
      <c r="B24" s="116">
        <v>11027</v>
      </c>
      <c r="C24" s="113" t="s">
        <v>4</v>
      </c>
      <c r="D24" s="117">
        <v>40735</v>
      </c>
      <c r="E24" s="118" t="s">
        <v>133</v>
      </c>
      <c r="F24" s="118"/>
      <c r="G24" s="111" t="s">
        <v>134</v>
      </c>
      <c r="H24" s="111"/>
      <c r="I24" s="119" t="s">
        <v>5</v>
      </c>
      <c r="J24" s="113"/>
      <c r="K24" s="118"/>
      <c r="L24" s="118" t="s">
        <v>135</v>
      </c>
      <c r="M24" s="118" t="s">
        <v>13</v>
      </c>
      <c r="N24" s="120" t="s">
        <v>136</v>
      </c>
      <c r="O24" s="123" t="s">
        <v>28</v>
      </c>
      <c r="P24" s="123" t="s">
        <v>103</v>
      </c>
      <c r="Q24" s="123"/>
      <c r="R24" s="123" t="s">
        <v>87</v>
      </c>
      <c r="S24" s="123"/>
      <c r="T24" s="118"/>
      <c r="U24" s="64">
        <v>40617</v>
      </c>
      <c r="V24" s="158" t="s">
        <v>10</v>
      </c>
      <c r="W24" s="118"/>
      <c r="X24" s="113"/>
      <c r="Y24" s="117">
        <f t="shared" si="0"/>
        <v>40827</v>
      </c>
      <c r="Z24" s="117">
        <v>40807</v>
      </c>
      <c r="AA24" s="161" t="str">
        <f t="shared" ca="1" si="1"/>
        <v>YES</v>
      </c>
      <c r="AB24" s="113"/>
      <c r="AC24" s="117"/>
      <c r="AD24" s="111"/>
      <c r="AE24" s="111"/>
      <c r="AF24" s="111" t="str">
        <f t="shared" ca="1" si="2"/>
        <v/>
      </c>
      <c r="AG24" s="162"/>
      <c r="AH24" s="162"/>
      <c r="AI24" s="164">
        <f t="shared" si="3"/>
        <v>0</v>
      </c>
      <c r="AJ24" s="118"/>
      <c r="AK24" s="113"/>
      <c r="AL24" s="118"/>
      <c r="AM24" s="165" t="str">
        <f t="shared" si="4"/>
        <v>11027 GARDOVIAL</v>
      </c>
      <c r="AN24" s="165" t="str">
        <f t="shared" si="5"/>
        <v>11027 GARDOVIAL : Pb de coloration / moût de raisin</v>
      </c>
    </row>
    <row r="25" spans="1:40" s="76" customFormat="1" ht="13" hidden="1" x14ac:dyDescent="0.3">
      <c r="A25" s="122"/>
      <c r="B25" s="116">
        <v>11028</v>
      </c>
      <c r="C25" s="113" t="s">
        <v>4</v>
      </c>
      <c r="D25" s="117">
        <v>40744</v>
      </c>
      <c r="E25" s="118" t="s">
        <v>116</v>
      </c>
      <c r="F25" s="118"/>
      <c r="G25" s="111" t="s">
        <v>137</v>
      </c>
      <c r="H25" s="111"/>
      <c r="I25" s="119" t="s">
        <v>2056</v>
      </c>
      <c r="J25" s="113"/>
      <c r="K25" s="118"/>
      <c r="L25" s="118"/>
      <c r="M25" s="118"/>
      <c r="N25" s="120" t="s">
        <v>138</v>
      </c>
      <c r="O25" s="111" t="s">
        <v>29</v>
      </c>
      <c r="P25" s="111" t="s">
        <v>86</v>
      </c>
      <c r="Q25" s="111"/>
      <c r="R25" s="111" t="s">
        <v>87</v>
      </c>
      <c r="S25" s="111"/>
      <c r="T25" s="118"/>
      <c r="U25" s="64">
        <v>40830</v>
      </c>
      <c r="V25" s="158" t="s">
        <v>10</v>
      </c>
      <c r="W25" s="118"/>
      <c r="X25" s="113"/>
      <c r="Y25" s="117">
        <f t="shared" si="0"/>
        <v>40836</v>
      </c>
      <c r="Z25" s="117">
        <v>40835</v>
      </c>
      <c r="AA25" s="161" t="str">
        <f t="shared" ca="1" si="1"/>
        <v>YES</v>
      </c>
      <c r="AB25" s="113"/>
      <c r="AC25" s="117"/>
      <c r="AD25" s="111"/>
      <c r="AE25" s="111"/>
      <c r="AF25" s="111" t="str">
        <f t="shared" ca="1" si="2"/>
        <v>N/A</v>
      </c>
      <c r="AG25" s="162"/>
      <c r="AH25" s="162"/>
      <c r="AI25" s="164">
        <f t="shared" si="3"/>
        <v>0</v>
      </c>
      <c r="AJ25" s="118"/>
      <c r="AK25" s="113"/>
      <c r="AL25" s="118"/>
      <c r="AM25" s="165" t="str">
        <f t="shared" si="4"/>
        <v>11028 FRIENDLINK</v>
      </c>
      <c r="AN25" s="165" t="str">
        <f t="shared" si="5"/>
        <v>11028 FRIENDLINK : CRANE valves sold to NVS by FRIENDLINK</v>
      </c>
    </row>
    <row r="26" spans="1:40" s="76" customFormat="1" ht="13" hidden="1" x14ac:dyDescent="0.3">
      <c r="A26" s="122"/>
      <c r="B26" s="116">
        <v>11029</v>
      </c>
      <c r="C26" s="113" t="s">
        <v>4</v>
      </c>
      <c r="D26" s="117">
        <v>40744</v>
      </c>
      <c r="E26" s="118" t="s">
        <v>116</v>
      </c>
      <c r="F26" s="118"/>
      <c r="G26" s="111" t="s">
        <v>139</v>
      </c>
      <c r="H26" s="111"/>
      <c r="I26" s="119" t="s">
        <v>2056</v>
      </c>
      <c r="J26" s="113"/>
      <c r="K26" s="118"/>
      <c r="L26" s="118" t="s">
        <v>140</v>
      </c>
      <c r="M26" s="118" t="s">
        <v>11</v>
      </c>
      <c r="N26" s="120" t="s">
        <v>141</v>
      </c>
      <c r="O26" s="111" t="s">
        <v>29</v>
      </c>
      <c r="P26" s="111" t="s">
        <v>86</v>
      </c>
      <c r="Q26" s="111"/>
      <c r="R26" s="111" t="s">
        <v>87</v>
      </c>
      <c r="S26" s="111"/>
      <c r="T26" s="118"/>
      <c r="U26" s="64">
        <v>40732</v>
      </c>
      <c r="V26" s="158" t="s">
        <v>10</v>
      </c>
      <c r="W26" s="118"/>
      <c r="X26" s="113"/>
      <c r="Y26" s="117">
        <f t="shared" si="0"/>
        <v>40836</v>
      </c>
      <c r="Z26" s="117">
        <v>40835</v>
      </c>
      <c r="AA26" s="161" t="str">
        <f t="shared" ca="1" si="1"/>
        <v>YES</v>
      </c>
      <c r="AB26" s="113"/>
      <c r="AC26" s="117"/>
      <c r="AD26" s="111"/>
      <c r="AE26" s="111"/>
      <c r="AF26" s="111" t="str">
        <f t="shared" ca="1" si="2"/>
        <v>N/A</v>
      </c>
      <c r="AG26" s="162"/>
      <c r="AH26" s="162"/>
      <c r="AI26" s="164">
        <f t="shared" si="3"/>
        <v>0</v>
      </c>
      <c r="AJ26" s="118"/>
      <c r="AK26" s="113"/>
      <c r="AL26" s="118"/>
      <c r="AM26" s="165" t="str">
        <f t="shared" si="4"/>
        <v>11029 MERSEN XIANDA</v>
      </c>
      <c r="AN26" s="165" t="str">
        <f t="shared" si="5"/>
        <v>11029 MERSEN XIANDA : Wrong size of gaskets manhole</v>
      </c>
    </row>
    <row r="27" spans="1:40" s="76" customFormat="1" ht="13" hidden="1" x14ac:dyDescent="0.3">
      <c r="A27" s="122"/>
      <c r="B27" s="116">
        <v>11030</v>
      </c>
      <c r="C27" s="113" t="s">
        <v>4</v>
      </c>
      <c r="D27" s="117">
        <v>40757</v>
      </c>
      <c r="E27" s="118" t="s">
        <v>82</v>
      </c>
      <c r="F27" s="118"/>
      <c r="G27" s="111" t="s">
        <v>142</v>
      </c>
      <c r="H27" s="111"/>
      <c r="I27" s="119" t="s">
        <v>5</v>
      </c>
      <c r="J27" s="113"/>
      <c r="K27" s="118"/>
      <c r="L27" s="118" t="s">
        <v>143</v>
      </c>
      <c r="M27" s="118" t="s">
        <v>11</v>
      </c>
      <c r="N27" s="120" t="s">
        <v>144</v>
      </c>
      <c r="O27" s="111" t="s">
        <v>29</v>
      </c>
      <c r="P27" s="111" t="s">
        <v>86</v>
      </c>
      <c r="Q27" s="111"/>
      <c r="R27" s="111" t="s">
        <v>145</v>
      </c>
      <c r="S27" s="111"/>
      <c r="T27" s="118"/>
      <c r="U27" s="64">
        <v>40756</v>
      </c>
      <c r="V27" s="158" t="s">
        <v>6</v>
      </c>
      <c r="W27" s="118" t="s">
        <v>146</v>
      </c>
      <c r="X27" s="113"/>
      <c r="Y27" s="117">
        <f t="shared" si="0"/>
        <v>40849</v>
      </c>
      <c r="Z27" s="117">
        <v>40891</v>
      </c>
      <c r="AA27" s="161" t="str">
        <f t="shared" ca="1" si="1"/>
        <v>NO</v>
      </c>
      <c r="AB27" s="113"/>
      <c r="AC27" s="117"/>
      <c r="AD27" s="111"/>
      <c r="AE27" s="111"/>
      <c r="AF27" s="111" t="str">
        <f t="shared" ca="1" si="2"/>
        <v/>
      </c>
      <c r="AG27" s="162"/>
      <c r="AH27" s="162"/>
      <c r="AI27" s="164">
        <f t="shared" si="3"/>
        <v>0</v>
      </c>
      <c r="AJ27" s="118"/>
      <c r="AK27" s="113"/>
      <c r="AL27" s="118"/>
      <c r="AM27" s="165" t="str">
        <f t="shared" si="4"/>
        <v>11030 CJ Liaocheng Lysine</v>
      </c>
      <c r="AN27" s="165" t="str">
        <f t="shared" si="5"/>
        <v>11030 CJ Liaocheng Lysine : Flange corrosion</v>
      </c>
    </row>
    <row r="28" spans="1:40" s="76" customFormat="1" ht="13" hidden="1" x14ac:dyDescent="0.3">
      <c r="A28" s="122"/>
      <c r="B28" s="116">
        <v>11031</v>
      </c>
      <c r="C28" s="113" t="s">
        <v>4</v>
      </c>
      <c r="D28" s="117">
        <v>40766</v>
      </c>
      <c r="E28" s="118" t="s">
        <v>116</v>
      </c>
      <c r="F28" s="118"/>
      <c r="G28" s="111" t="s">
        <v>147</v>
      </c>
      <c r="H28" s="111"/>
      <c r="I28" s="119" t="s">
        <v>2056</v>
      </c>
      <c r="J28" s="113"/>
      <c r="K28" s="118"/>
      <c r="L28" s="118" t="s">
        <v>118</v>
      </c>
      <c r="M28" s="118" t="s">
        <v>16</v>
      </c>
      <c r="N28" s="120" t="s">
        <v>148</v>
      </c>
      <c r="O28" s="111" t="s">
        <v>29</v>
      </c>
      <c r="P28" s="111" t="s">
        <v>86</v>
      </c>
      <c r="Q28" s="111"/>
      <c r="R28" s="111" t="s">
        <v>87</v>
      </c>
      <c r="S28" s="111"/>
      <c r="T28" s="118"/>
      <c r="U28" s="64">
        <v>40752</v>
      </c>
      <c r="V28" s="158" t="s">
        <v>6</v>
      </c>
      <c r="W28" s="118" t="s">
        <v>116</v>
      </c>
      <c r="X28" s="113"/>
      <c r="Y28" s="117">
        <f t="shared" si="0"/>
        <v>40858</v>
      </c>
      <c r="Z28" s="117">
        <v>40934</v>
      </c>
      <c r="AA28" s="161" t="str">
        <f t="shared" ca="1" si="1"/>
        <v>NO</v>
      </c>
      <c r="AB28" s="113"/>
      <c r="AC28" s="117"/>
      <c r="AD28" s="111"/>
      <c r="AE28" s="111"/>
      <c r="AF28" s="111" t="str">
        <f t="shared" ca="1" si="2"/>
        <v>N/A</v>
      </c>
      <c r="AG28" s="162"/>
      <c r="AH28" s="162"/>
      <c r="AI28" s="164">
        <f t="shared" si="3"/>
        <v>0</v>
      </c>
      <c r="AJ28" s="118"/>
      <c r="AK28" s="113"/>
      <c r="AL28" s="118"/>
      <c r="AM28" s="165" t="str">
        <f t="shared" si="4"/>
        <v>11031 LIVIC</v>
      </c>
      <c r="AN28" s="165" t="str">
        <f t="shared" si="5"/>
        <v>11031 LIVIC : Scrapped filter does not work</v>
      </c>
    </row>
    <row r="29" spans="1:40" s="76" customFormat="1" ht="13" hidden="1" x14ac:dyDescent="0.3">
      <c r="A29" s="122"/>
      <c r="B29" s="116">
        <v>11032</v>
      </c>
      <c r="C29" s="113" t="s">
        <v>4</v>
      </c>
      <c r="D29" s="117">
        <v>40808</v>
      </c>
      <c r="E29" s="118" t="s">
        <v>149</v>
      </c>
      <c r="F29" s="118"/>
      <c r="G29" s="111" t="s">
        <v>150</v>
      </c>
      <c r="H29" s="111"/>
      <c r="I29" s="119" t="s">
        <v>2056</v>
      </c>
      <c r="J29" s="113"/>
      <c r="K29" s="118"/>
      <c r="L29" s="118" t="s">
        <v>151</v>
      </c>
      <c r="M29" s="118" t="s">
        <v>18</v>
      </c>
      <c r="N29" s="120" t="s">
        <v>152</v>
      </c>
      <c r="O29" s="111" t="s">
        <v>28</v>
      </c>
      <c r="P29" s="111" t="s">
        <v>103</v>
      </c>
      <c r="Q29" s="111"/>
      <c r="R29" s="111" t="s">
        <v>9</v>
      </c>
      <c r="S29" s="111"/>
      <c r="T29" s="118"/>
      <c r="U29" s="64">
        <v>40812</v>
      </c>
      <c r="V29" s="158" t="s">
        <v>10</v>
      </c>
      <c r="W29" s="118"/>
      <c r="X29" s="113"/>
      <c r="Y29" s="117">
        <f t="shared" si="0"/>
        <v>40899</v>
      </c>
      <c r="Z29" s="117">
        <v>40928</v>
      </c>
      <c r="AA29" s="161" t="str">
        <f t="shared" ca="1" si="1"/>
        <v>NO</v>
      </c>
      <c r="AB29" s="113"/>
      <c r="AC29" s="117"/>
      <c r="AD29" s="111"/>
      <c r="AE29" s="111"/>
      <c r="AF29" s="111" t="str">
        <f t="shared" ca="1" si="2"/>
        <v>N/A</v>
      </c>
      <c r="AG29" s="162"/>
      <c r="AH29" s="162"/>
      <c r="AI29" s="164">
        <f t="shared" si="3"/>
        <v>0</v>
      </c>
      <c r="AJ29" s="118"/>
      <c r="AK29" s="113"/>
      <c r="AL29" s="118"/>
      <c r="AM29" s="165" t="str">
        <f t="shared" si="4"/>
        <v>11032 TEREOS SYRAL / GE WATER</v>
      </c>
      <c r="AN29" s="165" t="str">
        <f t="shared" si="5"/>
        <v>11032 TEREOS SYRAL / GE WATER : Retard livraison</v>
      </c>
    </row>
    <row r="30" spans="1:40" s="76" customFormat="1" ht="13" hidden="1" x14ac:dyDescent="0.3">
      <c r="A30" s="122"/>
      <c r="B30" s="116">
        <v>11033</v>
      </c>
      <c r="C30" s="113" t="s">
        <v>4</v>
      </c>
      <c r="D30" s="117">
        <v>40816</v>
      </c>
      <c r="E30" s="118" t="s">
        <v>153</v>
      </c>
      <c r="F30" s="118"/>
      <c r="G30" s="111" t="s">
        <v>154</v>
      </c>
      <c r="H30" s="111"/>
      <c r="I30" s="119" t="s">
        <v>2057</v>
      </c>
      <c r="J30" s="113"/>
      <c r="K30" s="118"/>
      <c r="L30" s="118" t="s">
        <v>155</v>
      </c>
      <c r="M30" s="118"/>
      <c r="N30" s="120" t="s">
        <v>156</v>
      </c>
      <c r="O30" s="111" t="s">
        <v>29</v>
      </c>
      <c r="P30" s="111" t="s">
        <v>157</v>
      </c>
      <c r="Q30" s="111"/>
      <c r="R30" s="111" t="s">
        <v>9</v>
      </c>
      <c r="S30" s="111"/>
      <c r="T30" s="118"/>
      <c r="U30" s="64">
        <v>40816</v>
      </c>
      <c r="V30" s="158" t="s">
        <v>6</v>
      </c>
      <c r="W30" s="118" t="s">
        <v>153</v>
      </c>
      <c r="X30" s="113"/>
      <c r="Y30" s="117">
        <f t="shared" si="0"/>
        <v>40907</v>
      </c>
      <c r="Z30" s="117">
        <v>40934</v>
      </c>
      <c r="AA30" s="161" t="str">
        <f t="shared" ca="1" si="1"/>
        <v>NO</v>
      </c>
      <c r="AB30" s="113"/>
      <c r="AC30" s="117"/>
      <c r="AD30" s="111"/>
      <c r="AE30" s="111"/>
      <c r="AF30" s="111" t="str">
        <f t="shared" ca="1" si="2"/>
        <v>N/A</v>
      </c>
      <c r="AG30" s="162"/>
      <c r="AH30" s="162"/>
      <c r="AI30" s="164">
        <f t="shared" si="3"/>
        <v>0</v>
      </c>
      <c r="AJ30" s="118"/>
      <c r="AK30" s="113"/>
      <c r="AL30" s="118"/>
      <c r="AM30" s="165" t="str">
        <f t="shared" si="4"/>
        <v>11033 Scecs internes SMB</v>
      </c>
      <c r="AN30" s="165" t="str">
        <f t="shared" si="5"/>
        <v>11033 Scecs internes SMB : Mise en œuvre PTT</v>
      </c>
    </row>
    <row r="31" spans="1:40" s="76" customFormat="1" ht="13" hidden="1" x14ac:dyDescent="0.3">
      <c r="A31" s="122"/>
      <c r="B31" s="116">
        <v>11034</v>
      </c>
      <c r="C31" s="113" t="s">
        <v>4</v>
      </c>
      <c r="D31" s="117">
        <v>40827</v>
      </c>
      <c r="E31" s="118" t="s">
        <v>99</v>
      </c>
      <c r="F31" s="118"/>
      <c r="G31" s="111" t="s">
        <v>150</v>
      </c>
      <c r="H31" s="111"/>
      <c r="I31" s="119" t="s">
        <v>5</v>
      </c>
      <c r="J31" s="113"/>
      <c r="K31" s="118"/>
      <c r="L31" s="118" t="s">
        <v>158</v>
      </c>
      <c r="M31" s="118" t="s">
        <v>18</v>
      </c>
      <c r="N31" s="120" t="s">
        <v>159</v>
      </c>
      <c r="O31" s="111" t="s">
        <v>28</v>
      </c>
      <c r="P31" s="111" t="s">
        <v>103</v>
      </c>
      <c r="Q31" s="111"/>
      <c r="R31" s="111" t="s">
        <v>9</v>
      </c>
      <c r="S31" s="111"/>
      <c r="T31" s="118"/>
      <c r="U31" s="64">
        <v>40801</v>
      </c>
      <c r="V31" s="158" t="s">
        <v>6</v>
      </c>
      <c r="W31" s="118" t="s">
        <v>129</v>
      </c>
      <c r="X31" s="113"/>
      <c r="Y31" s="117">
        <f t="shared" si="0"/>
        <v>40919</v>
      </c>
      <c r="Z31" s="117">
        <v>41116</v>
      </c>
      <c r="AA31" s="161" t="str">
        <f t="shared" ca="1" si="1"/>
        <v>NO</v>
      </c>
      <c r="AB31" s="113"/>
      <c r="AC31" s="117"/>
      <c r="AD31" s="111"/>
      <c r="AE31" s="111"/>
      <c r="AF31" s="111" t="str">
        <f t="shared" ca="1" si="2"/>
        <v/>
      </c>
      <c r="AG31" s="162"/>
      <c r="AH31" s="162"/>
      <c r="AI31" s="164">
        <f t="shared" si="3"/>
        <v>0</v>
      </c>
      <c r="AJ31" s="118"/>
      <c r="AK31" s="113">
        <v>41116</v>
      </c>
      <c r="AL31" s="118"/>
      <c r="AM31" s="165" t="str">
        <f t="shared" si="4"/>
        <v>11034 TEREOS SYRAL / GE WATER</v>
      </c>
      <c r="AN31" s="165" t="str">
        <f t="shared" si="5"/>
        <v>11034 TEREOS SYRAL / GE WATER : performance rétention / Tube perméat hors spec</v>
      </c>
    </row>
    <row r="32" spans="1:40" s="76" customFormat="1" ht="13" hidden="1" x14ac:dyDescent="0.3">
      <c r="A32" s="122"/>
      <c r="B32" s="116">
        <v>11035</v>
      </c>
      <c r="C32" s="113" t="s">
        <v>4</v>
      </c>
      <c r="D32" s="117">
        <v>40836</v>
      </c>
      <c r="E32" s="118" t="s">
        <v>160</v>
      </c>
      <c r="F32" s="118"/>
      <c r="G32" s="111" t="s">
        <v>161</v>
      </c>
      <c r="H32" s="111"/>
      <c r="I32" s="119" t="s">
        <v>5</v>
      </c>
      <c r="J32" s="113"/>
      <c r="K32" s="118"/>
      <c r="L32" s="118" t="s">
        <v>162</v>
      </c>
      <c r="M32" s="118" t="s">
        <v>13</v>
      </c>
      <c r="N32" s="120" t="s">
        <v>163</v>
      </c>
      <c r="O32" s="111" t="s">
        <v>28</v>
      </c>
      <c r="P32" s="111" t="s">
        <v>103</v>
      </c>
      <c r="Q32" s="111" t="s">
        <v>164</v>
      </c>
      <c r="R32" s="111" t="s">
        <v>87</v>
      </c>
      <c r="S32" s="111"/>
      <c r="T32" s="118"/>
      <c r="U32" s="64">
        <v>40711</v>
      </c>
      <c r="V32" s="158" t="s">
        <v>6</v>
      </c>
      <c r="W32" s="118" t="s">
        <v>165</v>
      </c>
      <c r="X32" s="113"/>
      <c r="Y32" s="117">
        <f t="shared" si="0"/>
        <v>40928</v>
      </c>
      <c r="Z32" s="117">
        <v>40934</v>
      </c>
      <c r="AA32" s="161" t="str">
        <f t="shared" ca="1" si="1"/>
        <v>NO</v>
      </c>
      <c r="AB32" s="113"/>
      <c r="AC32" s="117"/>
      <c r="AD32" s="111"/>
      <c r="AE32" s="111"/>
      <c r="AF32" s="111" t="str">
        <f t="shared" ca="1" si="2"/>
        <v/>
      </c>
      <c r="AG32" s="162"/>
      <c r="AH32" s="162"/>
      <c r="AI32" s="164">
        <f t="shared" si="3"/>
        <v>0</v>
      </c>
      <c r="AJ32" s="118"/>
      <c r="AK32" s="113"/>
      <c r="AL32" s="118"/>
      <c r="AM32" s="165" t="str">
        <f t="shared" si="4"/>
        <v>11035 Great Ocean Ingredients</v>
      </c>
      <c r="AN32" s="165" t="str">
        <f t="shared" si="5"/>
        <v>11035 Great Ocean Ingredients : Etanchéité ramification réseau / Déformation réseau</v>
      </c>
    </row>
    <row r="33" spans="1:40" s="76" customFormat="1" ht="13" hidden="1" x14ac:dyDescent="0.3">
      <c r="A33" s="122"/>
      <c r="B33" s="116">
        <v>11036</v>
      </c>
      <c r="C33" s="113" t="s">
        <v>4</v>
      </c>
      <c r="D33" s="117">
        <v>40836</v>
      </c>
      <c r="E33" s="118" t="s">
        <v>160</v>
      </c>
      <c r="F33" s="118"/>
      <c r="G33" s="111" t="s">
        <v>166</v>
      </c>
      <c r="H33" s="111"/>
      <c r="I33" s="119" t="s">
        <v>5</v>
      </c>
      <c r="J33" s="113"/>
      <c r="K33" s="118"/>
      <c r="L33" s="118" t="s">
        <v>167</v>
      </c>
      <c r="M33" s="118" t="s">
        <v>13</v>
      </c>
      <c r="N33" s="120" t="s">
        <v>168</v>
      </c>
      <c r="O33" s="111" t="s">
        <v>28</v>
      </c>
      <c r="P33" s="111" t="s">
        <v>103</v>
      </c>
      <c r="Q33" s="111" t="s">
        <v>164</v>
      </c>
      <c r="R33" s="111" t="s">
        <v>87</v>
      </c>
      <c r="S33" s="111"/>
      <c r="T33" s="118"/>
      <c r="U33" s="64">
        <v>40758</v>
      </c>
      <c r="V33" s="158" t="s">
        <v>6</v>
      </c>
      <c r="W33" s="118" t="s">
        <v>165</v>
      </c>
      <c r="X33" s="113"/>
      <c r="Y33" s="117">
        <f t="shared" si="0"/>
        <v>40928</v>
      </c>
      <c r="Z33" s="117">
        <v>40934</v>
      </c>
      <c r="AA33" s="161" t="str">
        <f t="shared" ca="1" si="1"/>
        <v>NO</v>
      </c>
      <c r="AB33" s="113"/>
      <c r="AC33" s="117"/>
      <c r="AD33" s="111"/>
      <c r="AE33" s="111"/>
      <c r="AF33" s="111" t="str">
        <f t="shared" ca="1" si="2"/>
        <v/>
      </c>
      <c r="AG33" s="162"/>
      <c r="AH33" s="162"/>
      <c r="AI33" s="164">
        <f t="shared" si="3"/>
        <v>0</v>
      </c>
      <c r="AJ33" s="118"/>
      <c r="AK33" s="113"/>
      <c r="AL33" s="118"/>
      <c r="AM33" s="165" t="str">
        <f t="shared" si="4"/>
        <v>11036 BENEO ORAFTI</v>
      </c>
      <c r="AN33" s="165" t="str">
        <f t="shared" si="5"/>
        <v>11036 BENEO ORAFTI : Déformation réseau</v>
      </c>
    </row>
    <row r="34" spans="1:40" s="76" customFormat="1" ht="13" hidden="1" x14ac:dyDescent="0.3">
      <c r="A34" s="122"/>
      <c r="B34" s="116">
        <v>11037</v>
      </c>
      <c r="C34" s="113" t="s">
        <v>4</v>
      </c>
      <c r="D34" s="117">
        <v>40837</v>
      </c>
      <c r="E34" s="118" t="s">
        <v>76</v>
      </c>
      <c r="F34" s="118"/>
      <c r="G34" s="111" t="s">
        <v>169</v>
      </c>
      <c r="H34" s="111"/>
      <c r="I34" s="119" t="s">
        <v>2057</v>
      </c>
      <c r="J34" s="113"/>
      <c r="K34" s="118"/>
      <c r="L34" s="118" t="s">
        <v>170</v>
      </c>
      <c r="M34" s="118" t="s">
        <v>18</v>
      </c>
      <c r="N34" s="120" t="s">
        <v>171</v>
      </c>
      <c r="O34" s="111" t="s">
        <v>29</v>
      </c>
      <c r="P34" s="111" t="s">
        <v>80</v>
      </c>
      <c r="Q34" s="111"/>
      <c r="R34" s="111" t="s">
        <v>87</v>
      </c>
      <c r="S34" s="124"/>
      <c r="T34" s="125"/>
      <c r="U34" s="64">
        <v>40835</v>
      </c>
      <c r="V34" s="158" t="s">
        <v>10</v>
      </c>
      <c r="W34" s="118"/>
      <c r="X34" s="113"/>
      <c r="Y34" s="117">
        <f t="shared" si="0"/>
        <v>40929</v>
      </c>
      <c r="Z34" s="117">
        <v>40914</v>
      </c>
      <c r="AA34" s="161" t="str">
        <f t="shared" ca="1" si="1"/>
        <v>YES</v>
      </c>
      <c r="AB34" s="113"/>
      <c r="AC34" s="117"/>
      <c r="AD34" s="111"/>
      <c r="AE34" s="111"/>
      <c r="AF34" s="111" t="str">
        <f t="shared" ca="1" si="2"/>
        <v>N/A</v>
      </c>
      <c r="AG34" s="162"/>
      <c r="AH34" s="162"/>
      <c r="AI34" s="164">
        <f t="shared" si="3"/>
        <v>0</v>
      </c>
      <c r="AJ34" s="118"/>
      <c r="AK34" s="113"/>
      <c r="AL34" s="118"/>
      <c r="AM34" s="165" t="str">
        <f t="shared" si="4"/>
        <v>11037 Finorga</v>
      </c>
      <c r="AN34" s="165" t="str">
        <f t="shared" si="5"/>
        <v>11037 Finorga : Pompe Pilote alimentation fuyarde</v>
      </c>
    </row>
    <row r="35" spans="1:40" s="76" customFormat="1" ht="13" hidden="1" x14ac:dyDescent="0.3">
      <c r="A35" s="122"/>
      <c r="B35" s="116">
        <v>11038</v>
      </c>
      <c r="C35" s="113" t="s">
        <v>4</v>
      </c>
      <c r="D35" s="117">
        <v>40840</v>
      </c>
      <c r="E35" s="118" t="s">
        <v>172</v>
      </c>
      <c r="F35" s="118"/>
      <c r="G35" s="111" t="s">
        <v>173</v>
      </c>
      <c r="H35" s="111"/>
      <c r="I35" s="119" t="s">
        <v>2057</v>
      </c>
      <c r="J35" s="113"/>
      <c r="K35" s="118"/>
      <c r="L35" s="118" t="s">
        <v>174</v>
      </c>
      <c r="M35" s="118" t="s">
        <v>18</v>
      </c>
      <c r="N35" s="120" t="s">
        <v>175</v>
      </c>
      <c r="O35" s="111" t="s">
        <v>29</v>
      </c>
      <c r="P35" s="111" t="s">
        <v>86</v>
      </c>
      <c r="Q35" s="111" t="s">
        <v>176</v>
      </c>
      <c r="R35" s="111" t="s">
        <v>9</v>
      </c>
      <c r="S35" s="111"/>
      <c r="T35" s="118"/>
      <c r="U35" s="64">
        <v>40820</v>
      </c>
      <c r="V35" s="158" t="s">
        <v>6</v>
      </c>
      <c r="W35" s="118" t="s">
        <v>177</v>
      </c>
      <c r="X35" s="113"/>
      <c r="Y35" s="117">
        <f t="shared" si="0"/>
        <v>40932</v>
      </c>
      <c r="Z35" s="117">
        <v>40932</v>
      </c>
      <c r="AA35" s="161" t="str">
        <f t="shared" ca="1" si="1"/>
        <v>YES</v>
      </c>
      <c r="AB35" s="113"/>
      <c r="AC35" s="117"/>
      <c r="AD35" s="111"/>
      <c r="AE35" s="111"/>
      <c r="AF35" s="111" t="str">
        <f t="shared" ca="1" si="2"/>
        <v>N/A</v>
      </c>
      <c r="AG35" s="162"/>
      <c r="AH35" s="162"/>
      <c r="AI35" s="164">
        <f t="shared" si="3"/>
        <v>0</v>
      </c>
      <c r="AJ35" s="113"/>
      <c r="AK35" s="113">
        <v>40931</v>
      </c>
      <c r="AL35" s="113" t="s">
        <v>178</v>
      </c>
      <c r="AM35" s="165" t="str">
        <f t="shared" si="4"/>
        <v>11038 ILLOVO</v>
      </c>
      <c r="AN35" s="165" t="str">
        <f t="shared" si="5"/>
        <v>11038 ILLOVO : Cales pour mbres NF non commandées ou non livrées</v>
      </c>
    </row>
    <row r="36" spans="1:40" s="76" customFormat="1" ht="13" hidden="1" x14ac:dyDescent="0.3">
      <c r="A36" s="122"/>
      <c r="B36" s="116">
        <v>11039</v>
      </c>
      <c r="C36" s="113" t="s">
        <v>4</v>
      </c>
      <c r="D36" s="117">
        <v>40855</v>
      </c>
      <c r="E36" s="118" t="s">
        <v>120</v>
      </c>
      <c r="F36" s="118"/>
      <c r="G36" s="111" t="s">
        <v>179</v>
      </c>
      <c r="H36" s="111"/>
      <c r="I36" s="119" t="s">
        <v>2056</v>
      </c>
      <c r="J36" s="113"/>
      <c r="K36" s="118"/>
      <c r="L36" s="118" t="s">
        <v>180</v>
      </c>
      <c r="M36" s="118" t="s">
        <v>16</v>
      </c>
      <c r="N36" s="120" t="s">
        <v>181</v>
      </c>
      <c r="O36" s="111" t="s">
        <v>29</v>
      </c>
      <c r="P36" s="111" t="s">
        <v>86</v>
      </c>
      <c r="Q36" s="111" t="s">
        <v>176</v>
      </c>
      <c r="R36" s="111" t="s">
        <v>9</v>
      </c>
      <c r="S36" s="111"/>
      <c r="T36" s="118"/>
      <c r="U36" s="64">
        <v>40754</v>
      </c>
      <c r="V36" s="158" t="s">
        <v>6</v>
      </c>
      <c r="W36" s="118" t="s">
        <v>182</v>
      </c>
      <c r="X36" s="113"/>
      <c r="Y36" s="117">
        <f t="shared" si="0"/>
        <v>40947</v>
      </c>
      <c r="Z36" s="117">
        <v>40946</v>
      </c>
      <c r="AA36" s="161" t="str">
        <f t="shared" ca="1" si="1"/>
        <v>YES</v>
      </c>
      <c r="AB36" s="113"/>
      <c r="AC36" s="117"/>
      <c r="AD36" s="111"/>
      <c r="AE36" s="111"/>
      <c r="AF36" s="111" t="str">
        <f t="shared" ca="1" si="2"/>
        <v>N/A</v>
      </c>
      <c r="AG36" s="162"/>
      <c r="AH36" s="162"/>
      <c r="AI36" s="164">
        <f t="shared" si="3"/>
        <v>0</v>
      </c>
      <c r="AJ36" s="118"/>
      <c r="AK36" s="113">
        <v>40945</v>
      </c>
      <c r="AL36" s="118"/>
      <c r="AM36" s="165" t="str">
        <f t="shared" si="4"/>
        <v>11039 OTIME / DANISCO</v>
      </c>
      <c r="AN36" s="165" t="str">
        <f t="shared" si="5"/>
        <v>11039 OTIME / DANISCO : Tenue en pression / note de calcul</v>
      </c>
    </row>
    <row r="37" spans="1:40" s="76" customFormat="1" ht="13" hidden="1" x14ac:dyDescent="0.3">
      <c r="A37" s="122"/>
      <c r="B37" s="116">
        <v>11040</v>
      </c>
      <c r="C37" s="113" t="s">
        <v>4</v>
      </c>
      <c r="D37" s="117">
        <v>40855</v>
      </c>
      <c r="E37" s="118" t="s">
        <v>120</v>
      </c>
      <c r="F37" s="118"/>
      <c r="G37" s="111" t="s">
        <v>183</v>
      </c>
      <c r="H37" s="111"/>
      <c r="I37" s="119" t="s">
        <v>2057</v>
      </c>
      <c r="J37" s="113"/>
      <c r="K37" s="118"/>
      <c r="L37" s="118" t="s">
        <v>180</v>
      </c>
      <c r="M37" s="118" t="s">
        <v>16</v>
      </c>
      <c r="N37" s="120" t="s">
        <v>184</v>
      </c>
      <c r="O37" s="111" t="s">
        <v>29</v>
      </c>
      <c r="P37" s="111" t="s">
        <v>86</v>
      </c>
      <c r="Q37" s="111"/>
      <c r="R37" s="111" t="s">
        <v>9</v>
      </c>
      <c r="S37" s="111"/>
      <c r="T37" s="118"/>
      <c r="U37" s="64">
        <v>40816</v>
      </c>
      <c r="V37" s="158" t="s">
        <v>10</v>
      </c>
      <c r="W37" s="118"/>
      <c r="X37" s="113"/>
      <c r="Y37" s="117">
        <f t="shared" si="0"/>
        <v>40947</v>
      </c>
      <c r="Z37" s="117">
        <v>40932</v>
      </c>
      <c r="AA37" s="161" t="str">
        <f t="shared" ca="1" si="1"/>
        <v>YES</v>
      </c>
      <c r="AB37" s="113"/>
      <c r="AC37" s="117"/>
      <c r="AD37" s="111"/>
      <c r="AE37" s="111"/>
      <c r="AF37" s="111" t="str">
        <f t="shared" ca="1" si="2"/>
        <v>N/A</v>
      </c>
      <c r="AG37" s="162"/>
      <c r="AH37" s="162"/>
      <c r="AI37" s="164">
        <f t="shared" si="3"/>
        <v>0</v>
      </c>
      <c r="AJ37" s="113"/>
      <c r="AK37" s="113">
        <v>40932</v>
      </c>
      <c r="AL37" s="113"/>
      <c r="AM37" s="165" t="str">
        <f t="shared" si="4"/>
        <v>11040 DANISCO</v>
      </c>
      <c r="AN37" s="165" t="str">
        <f t="shared" si="5"/>
        <v>11040 DANISCO : Mise à jour / plan guide PG06</v>
      </c>
    </row>
    <row r="38" spans="1:40" s="76" customFormat="1" ht="13" hidden="1" x14ac:dyDescent="0.3">
      <c r="A38" s="122"/>
      <c r="B38" s="116">
        <v>11041</v>
      </c>
      <c r="C38" s="113" t="s">
        <v>4</v>
      </c>
      <c r="D38" s="117">
        <v>40855</v>
      </c>
      <c r="E38" s="118" t="s">
        <v>116</v>
      </c>
      <c r="F38" s="118"/>
      <c r="G38" s="111" t="s">
        <v>185</v>
      </c>
      <c r="H38" s="111"/>
      <c r="I38" s="119" t="s">
        <v>2056</v>
      </c>
      <c r="J38" s="113"/>
      <c r="K38" s="118"/>
      <c r="L38" s="118" t="s">
        <v>186</v>
      </c>
      <c r="M38" s="118" t="s">
        <v>13</v>
      </c>
      <c r="N38" s="120" t="s">
        <v>187</v>
      </c>
      <c r="O38" s="111" t="s">
        <v>29</v>
      </c>
      <c r="P38" s="111" t="s">
        <v>86</v>
      </c>
      <c r="Q38" s="111" t="s">
        <v>176</v>
      </c>
      <c r="R38" s="111" t="s">
        <v>9</v>
      </c>
      <c r="S38" s="111"/>
      <c r="T38" s="118"/>
      <c r="U38" s="64">
        <v>40816</v>
      </c>
      <c r="V38" s="158" t="s">
        <v>6</v>
      </c>
      <c r="W38" s="118" t="s">
        <v>182</v>
      </c>
      <c r="X38" s="113"/>
      <c r="Y38" s="117">
        <f t="shared" si="0"/>
        <v>40947</v>
      </c>
      <c r="Z38" s="117">
        <v>40940</v>
      </c>
      <c r="AA38" s="161" t="str">
        <f t="shared" ca="1" si="1"/>
        <v>YES</v>
      </c>
      <c r="AB38" s="113"/>
      <c r="AC38" s="117"/>
      <c r="AD38" s="111"/>
      <c r="AE38" s="111"/>
      <c r="AF38" s="111" t="str">
        <f t="shared" ca="1" si="2"/>
        <v>N/A</v>
      </c>
      <c r="AG38" s="162"/>
      <c r="AH38" s="162"/>
      <c r="AI38" s="164">
        <f t="shared" si="3"/>
        <v>0</v>
      </c>
      <c r="AJ38" s="118"/>
      <c r="AK38" s="113">
        <v>40940</v>
      </c>
      <c r="AL38" s="118"/>
      <c r="AM38" s="165" t="str">
        <f t="shared" si="4"/>
        <v>11041 OTIME / ORAFTI CHILI</v>
      </c>
      <c r="AN38" s="165" t="str">
        <f t="shared" si="5"/>
        <v>11041 OTIME / ORAFTI CHILI :  Oubli Fabrication pièces</v>
      </c>
    </row>
    <row r="39" spans="1:40" s="76" customFormat="1" ht="13" hidden="1" x14ac:dyDescent="0.3">
      <c r="A39" s="122"/>
      <c r="B39" s="116">
        <v>11042</v>
      </c>
      <c r="C39" s="113" t="s">
        <v>4</v>
      </c>
      <c r="D39" s="117">
        <v>40892</v>
      </c>
      <c r="E39" s="118" t="s">
        <v>82</v>
      </c>
      <c r="F39" s="118"/>
      <c r="G39" s="111" t="s">
        <v>188</v>
      </c>
      <c r="H39" s="111"/>
      <c r="I39" s="119" t="s">
        <v>2057</v>
      </c>
      <c r="J39" s="113"/>
      <c r="K39" s="118"/>
      <c r="L39" s="118" t="s">
        <v>189</v>
      </c>
      <c r="M39" s="118" t="s">
        <v>16</v>
      </c>
      <c r="N39" s="120" t="s">
        <v>190</v>
      </c>
      <c r="O39" s="111" t="s">
        <v>28</v>
      </c>
      <c r="P39" s="111" t="s">
        <v>86</v>
      </c>
      <c r="Q39" s="111"/>
      <c r="R39" s="111" t="s">
        <v>87</v>
      </c>
      <c r="S39" s="111"/>
      <c r="T39" s="118"/>
      <c r="U39" s="64">
        <v>40854</v>
      </c>
      <c r="V39" s="158" t="s">
        <v>6</v>
      </c>
      <c r="W39" s="118" t="s">
        <v>191</v>
      </c>
      <c r="X39" s="113"/>
      <c r="Y39" s="117">
        <f t="shared" si="0"/>
        <v>40983</v>
      </c>
      <c r="Z39" s="117">
        <v>40981</v>
      </c>
      <c r="AA39" s="161" t="str">
        <f t="shared" ca="1" si="1"/>
        <v>YES</v>
      </c>
      <c r="AB39" s="113"/>
      <c r="AC39" s="117"/>
      <c r="AD39" s="111"/>
      <c r="AE39" s="111"/>
      <c r="AF39" s="111" t="str">
        <f t="shared" ca="1" si="2"/>
        <v>N/A</v>
      </c>
      <c r="AG39" s="162"/>
      <c r="AH39" s="162"/>
      <c r="AI39" s="164">
        <f t="shared" si="3"/>
        <v>0</v>
      </c>
      <c r="AJ39" s="118"/>
      <c r="AK39" s="113">
        <v>40981</v>
      </c>
      <c r="AL39" s="118"/>
      <c r="AM39" s="165" t="str">
        <f t="shared" si="4"/>
        <v>11042 DONGYAO / CTI</v>
      </c>
      <c r="AN39" s="165" t="str">
        <f t="shared" si="5"/>
        <v>11042 DONGYAO / CTI : Extrémitées membranes ébréchées</v>
      </c>
    </row>
    <row r="40" spans="1:40" s="76" customFormat="1" ht="13" hidden="1" x14ac:dyDescent="0.3">
      <c r="A40" s="122"/>
      <c r="B40" s="116">
        <v>12001</v>
      </c>
      <c r="C40" s="113" t="s">
        <v>4</v>
      </c>
      <c r="D40" s="117">
        <v>40914</v>
      </c>
      <c r="E40" s="118" t="s">
        <v>116</v>
      </c>
      <c r="F40" s="118"/>
      <c r="G40" s="111" t="s">
        <v>192</v>
      </c>
      <c r="H40" s="111"/>
      <c r="I40" s="119" t="s">
        <v>5</v>
      </c>
      <c r="J40" s="113"/>
      <c r="K40" s="118"/>
      <c r="L40" s="118" t="s">
        <v>140</v>
      </c>
      <c r="M40" s="118" t="s">
        <v>11</v>
      </c>
      <c r="N40" s="120" t="s">
        <v>193</v>
      </c>
      <c r="O40" s="111" t="s">
        <v>29</v>
      </c>
      <c r="P40" s="111" t="s">
        <v>86</v>
      </c>
      <c r="Q40" s="111"/>
      <c r="R40" s="111" t="s">
        <v>145</v>
      </c>
      <c r="S40" s="111"/>
      <c r="T40" s="118"/>
      <c r="U40" s="64">
        <v>40871</v>
      </c>
      <c r="V40" s="158" t="s">
        <v>6</v>
      </c>
      <c r="W40" s="118" t="s">
        <v>116</v>
      </c>
      <c r="X40" s="113"/>
      <c r="Y40" s="117">
        <f t="shared" si="0"/>
        <v>41005</v>
      </c>
      <c r="Z40" s="117">
        <v>41031</v>
      </c>
      <c r="AA40" s="161" t="str">
        <f t="shared" ca="1" si="1"/>
        <v>NO</v>
      </c>
      <c r="AB40" s="113"/>
      <c r="AC40" s="117"/>
      <c r="AD40" s="111"/>
      <c r="AE40" s="111"/>
      <c r="AF40" s="111" t="str">
        <f t="shared" ca="1" si="2"/>
        <v/>
      </c>
      <c r="AG40" s="162"/>
      <c r="AH40" s="162"/>
      <c r="AI40" s="164">
        <f t="shared" si="3"/>
        <v>0</v>
      </c>
      <c r="AJ40" s="118"/>
      <c r="AK40" s="113">
        <v>41031</v>
      </c>
      <c r="AL40" s="118" t="s">
        <v>194</v>
      </c>
      <c r="AM40" s="165" t="str">
        <f t="shared" si="4"/>
        <v>12001 TTCA / SPA</v>
      </c>
      <c r="AN40" s="165" t="str">
        <f t="shared" si="5"/>
        <v>12001 TTCA / SPA : Corrosion piping rubber-lining</v>
      </c>
    </row>
    <row r="41" spans="1:40" s="76" customFormat="1" ht="13" hidden="1" x14ac:dyDescent="0.3">
      <c r="A41" s="122"/>
      <c r="B41" s="116">
        <v>12002</v>
      </c>
      <c r="C41" s="113" t="s">
        <v>4</v>
      </c>
      <c r="D41" s="117">
        <v>40931</v>
      </c>
      <c r="E41" s="118" t="s">
        <v>195</v>
      </c>
      <c r="F41" s="118"/>
      <c r="G41" s="111" t="s">
        <v>196</v>
      </c>
      <c r="H41" s="111"/>
      <c r="I41" s="119" t="s">
        <v>2058</v>
      </c>
      <c r="J41" s="113"/>
      <c r="K41" s="118"/>
      <c r="L41" s="118" t="s">
        <v>197</v>
      </c>
      <c r="M41" s="118" t="s">
        <v>13</v>
      </c>
      <c r="N41" s="120" t="s">
        <v>198</v>
      </c>
      <c r="O41" s="111"/>
      <c r="P41" s="111" t="s">
        <v>80</v>
      </c>
      <c r="Q41" s="111"/>
      <c r="R41" s="111" t="s">
        <v>15</v>
      </c>
      <c r="S41" s="111"/>
      <c r="T41" s="118"/>
      <c r="U41" s="64">
        <v>40918</v>
      </c>
      <c r="V41" s="158" t="s">
        <v>6</v>
      </c>
      <c r="W41" s="118" t="s">
        <v>195</v>
      </c>
      <c r="X41" s="113"/>
      <c r="Y41" s="117">
        <f t="shared" si="0"/>
        <v>41022</v>
      </c>
      <c r="Z41" s="117">
        <v>41289</v>
      </c>
      <c r="AA41" s="161" t="str">
        <f t="shared" ca="1" si="1"/>
        <v>NO</v>
      </c>
      <c r="AB41" s="113"/>
      <c r="AC41" s="117"/>
      <c r="AD41" s="111"/>
      <c r="AE41" s="111"/>
      <c r="AF41" s="111" t="str">
        <f t="shared" ca="1" si="2"/>
        <v>N/A</v>
      </c>
      <c r="AG41" s="162"/>
      <c r="AH41" s="162"/>
      <c r="AI41" s="164">
        <f t="shared" si="3"/>
        <v>0</v>
      </c>
      <c r="AJ41" s="118" t="s">
        <v>6</v>
      </c>
      <c r="AK41" s="113">
        <v>41289</v>
      </c>
      <c r="AL41" s="118"/>
      <c r="AM41" s="165" t="str">
        <f t="shared" si="4"/>
        <v>12002 RENNOVIA</v>
      </c>
      <c r="AN41" s="165" t="str">
        <f t="shared" si="5"/>
        <v>12002 RENNOVIA : Projection acide</v>
      </c>
    </row>
    <row r="42" spans="1:40" s="76" customFormat="1" ht="13" hidden="1" x14ac:dyDescent="0.3">
      <c r="A42" s="122"/>
      <c r="B42" s="116">
        <v>12003</v>
      </c>
      <c r="C42" s="113" t="s">
        <v>4</v>
      </c>
      <c r="D42" s="117">
        <v>40942</v>
      </c>
      <c r="E42" s="118" t="s">
        <v>116</v>
      </c>
      <c r="F42" s="118"/>
      <c r="G42" s="111" t="s">
        <v>199</v>
      </c>
      <c r="H42" s="111"/>
      <c r="I42" s="119" t="s">
        <v>2056</v>
      </c>
      <c r="J42" s="113"/>
      <c r="K42" s="118"/>
      <c r="L42" s="118" t="s">
        <v>200</v>
      </c>
      <c r="M42" s="118" t="s">
        <v>16</v>
      </c>
      <c r="N42" s="120" t="s">
        <v>201</v>
      </c>
      <c r="O42" s="111" t="s">
        <v>29</v>
      </c>
      <c r="P42" s="111" t="s">
        <v>86</v>
      </c>
      <c r="Q42" s="111" t="s">
        <v>176</v>
      </c>
      <c r="R42" s="111" t="s">
        <v>145</v>
      </c>
      <c r="S42" s="111"/>
      <c r="T42" s="118"/>
      <c r="U42" s="64">
        <v>40921</v>
      </c>
      <c r="V42" s="158" t="s">
        <v>10</v>
      </c>
      <c r="W42" s="118"/>
      <c r="X42" s="113"/>
      <c r="Y42" s="117">
        <f t="shared" si="0"/>
        <v>41032</v>
      </c>
      <c r="Z42" s="117">
        <v>41024</v>
      </c>
      <c r="AA42" s="161" t="str">
        <f t="shared" ca="1" si="1"/>
        <v>YES</v>
      </c>
      <c r="AB42" s="113"/>
      <c r="AC42" s="117"/>
      <c r="AD42" s="111"/>
      <c r="AE42" s="111"/>
      <c r="AF42" s="111" t="str">
        <f t="shared" ca="1" si="2"/>
        <v>N/A</v>
      </c>
      <c r="AG42" s="162"/>
      <c r="AH42" s="162"/>
      <c r="AI42" s="164">
        <f t="shared" si="3"/>
        <v>0</v>
      </c>
      <c r="AJ42" s="118"/>
      <c r="AK42" s="113">
        <v>41024</v>
      </c>
      <c r="AL42" s="118" t="s">
        <v>202</v>
      </c>
      <c r="AM42" s="165" t="str">
        <f t="shared" si="4"/>
        <v>12003 CJ L5 LIAOCHENG / KSB</v>
      </c>
      <c r="AN42" s="165" t="str">
        <f t="shared" si="5"/>
        <v>12003 CJ L5 LIAOCHENG / KSB : Leakage mechanical sealings pumps</v>
      </c>
    </row>
    <row r="43" spans="1:40" s="76" customFormat="1" ht="13" hidden="1" x14ac:dyDescent="0.3">
      <c r="A43" s="122"/>
      <c r="B43" s="116">
        <v>12004</v>
      </c>
      <c r="C43" s="113" t="s">
        <v>4</v>
      </c>
      <c r="D43" s="117">
        <v>40966</v>
      </c>
      <c r="E43" s="118" t="s">
        <v>116</v>
      </c>
      <c r="F43" s="118"/>
      <c r="G43" s="111" t="s">
        <v>203</v>
      </c>
      <c r="H43" s="111"/>
      <c r="I43" s="119" t="s">
        <v>5</v>
      </c>
      <c r="J43" s="113"/>
      <c r="K43" s="118"/>
      <c r="L43" s="118" t="s">
        <v>204</v>
      </c>
      <c r="M43" s="118" t="s">
        <v>11</v>
      </c>
      <c r="N43" s="120" t="s">
        <v>201</v>
      </c>
      <c r="O43" s="111" t="s">
        <v>29</v>
      </c>
      <c r="P43" s="111" t="s">
        <v>86</v>
      </c>
      <c r="Q43" s="111"/>
      <c r="R43" s="111" t="s">
        <v>145</v>
      </c>
      <c r="S43" s="111"/>
      <c r="T43" s="118"/>
      <c r="U43" s="64">
        <v>40938</v>
      </c>
      <c r="V43" s="158" t="s">
        <v>6</v>
      </c>
      <c r="W43" s="118" t="s">
        <v>116</v>
      </c>
      <c r="X43" s="113"/>
      <c r="Y43" s="117">
        <f t="shared" si="0"/>
        <v>41056</v>
      </c>
      <c r="Z43" s="117">
        <v>41085</v>
      </c>
      <c r="AA43" s="161" t="str">
        <f t="shared" ca="1" si="1"/>
        <v>NO</v>
      </c>
      <c r="AB43" s="113"/>
      <c r="AC43" s="117"/>
      <c r="AD43" s="111"/>
      <c r="AE43" s="111"/>
      <c r="AF43" s="111" t="str">
        <f t="shared" ca="1" si="2"/>
        <v/>
      </c>
      <c r="AG43" s="162"/>
      <c r="AH43" s="162"/>
      <c r="AI43" s="164">
        <f t="shared" si="3"/>
        <v>0</v>
      </c>
      <c r="AJ43" s="118"/>
      <c r="AK43" s="113">
        <v>41085</v>
      </c>
      <c r="AL43" s="118"/>
      <c r="AM43" s="165" t="str">
        <f t="shared" si="4"/>
        <v>12004 SCENTS / SULZER</v>
      </c>
      <c r="AN43" s="165" t="str">
        <f t="shared" si="5"/>
        <v>12004 SCENTS / SULZER : Leakage mechanical sealings pumps</v>
      </c>
    </row>
    <row r="44" spans="1:40" s="76" customFormat="1" ht="13" hidden="1" x14ac:dyDescent="0.3">
      <c r="A44" s="122"/>
      <c r="B44" s="116">
        <v>12005</v>
      </c>
      <c r="C44" s="113" t="s">
        <v>4</v>
      </c>
      <c r="D44" s="117">
        <v>40981</v>
      </c>
      <c r="E44" s="118" t="s">
        <v>205</v>
      </c>
      <c r="F44" s="118"/>
      <c r="G44" s="111" t="s">
        <v>206</v>
      </c>
      <c r="H44" s="111"/>
      <c r="I44" s="119" t="s">
        <v>2057</v>
      </c>
      <c r="J44" s="113"/>
      <c r="K44" s="118"/>
      <c r="L44" s="118" t="s">
        <v>207</v>
      </c>
      <c r="M44" s="118" t="s">
        <v>11</v>
      </c>
      <c r="N44" s="120" t="s">
        <v>208</v>
      </c>
      <c r="O44" s="111" t="s">
        <v>29</v>
      </c>
      <c r="P44" s="111" t="s">
        <v>86</v>
      </c>
      <c r="Q44" s="111"/>
      <c r="R44" s="111" t="s">
        <v>15</v>
      </c>
      <c r="S44" s="111"/>
      <c r="T44" s="118"/>
      <c r="U44" s="64">
        <v>40935</v>
      </c>
      <c r="V44" s="158" t="s">
        <v>6</v>
      </c>
      <c r="W44" s="118" t="s">
        <v>120</v>
      </c>
      <c r="X44" s="113"/>
      <c r="Y44" s="117">
        <f t="shared" si="0"/>
        <v>41073</v>
      </c>
      <c r="Z44" s="117">
        <v>41031</v>
      </c>
      <c r="AA44" s="161" t="str">
        <f t="shared" ca="1" si="1"/>
        <v>YES</v>
      </c>
      <c r="AB44" s="113"/>
      <c r="AC44" s="117"/>
      <c r="AD44" s="111"/>
      <c r="AE44" s="111"/>
      <c r="AF44" s="111" t="str">
        <f t="shared" ca="1" si="2"/>
        <v>N/A</v>
      </c>
      <c r="AG44" s="162"/>
      <c r="AH44" s="162"/>
      <c r="AI44" s="164">
        <f t="shared" si="3"/>
        <v>0</v>
      </c>
      <c r="AJ44" s="118"/>
      <c r="AK44" s="113">
        <v>41031</v>
      </c>
      <c r="AL44" s="118"/>
      <c r="AM44" s="165" t="str">
        <f t="shared" si="4"/>
        <v>12005 CJ Shenyang</v>
      </c>
      <c r="AN44" s="165" t="str">
        <f t="shared" si="5"/>
        <v>12005 CJ Shenyang : Forgotten specification &amp; order for material</v>
      </c>
    </row>
    <row r="45" spans="1:40" s="76" customFormat="1" ht="13" hidden="1" x14ac:dyDescent="0.3">
      <c r="A45" s="122"/>
      <c r="B45" s="116">
        <v>12006</v>
      </c>
      <c r="C45" s="113" t="s">
        <v>4</v>
      </c>
      <c r="D45" s="117">
        <v>40984</v>
      </c>
      <c r="E45" s="118" t="s">
        <v>120</v>
      </c>
      <c r="F45" s="118"/>
      <c r="G45" s="111" t="s">
        <v>209</v>
      </c>
      <c r="H45" s="111"/>
      <c r="I45" s="119" t="s">
        <v>2057</v>
      </c>
      <c r="J45" s="113"/>
      <c r="K45" s="118"/>
      <c r="L45" s="118" t="s">
        <v>210</v>
      </c>
      <c r="M45" s="118" t="s">
        <v>13</v>
      </c>
      <c r="N45" s="120" t="s">
        <v>211</v>
      </c>
      <c r="O45" s="111" t="s">
        <v>29</v>
      </c>
      <c r="P45" s="111" t="s">
        <v>86</v>
      </c>
      <c r="Q45" s="111" t="s">
        <v>176</v>
      </c>
      <c r="R45" s="111" t="s">
        <v>15</v>
      </c>
      <c r="S45" s="111"/>
      <c r="T45" s="118"/>
      <c r="U45" s="64">
        <v>40981</v>
      </c>
      <c r="V45" s="158" t="s">
        <v>6</v>
      </c>
      <c r="W45" s="118" t="s">
        <v>120</v>
      </c>
      <c r="X45" s="113"/>
      <c r="Y45" s="117">
        <f t="shared" si="0"/>
        <v>41076</v>
      </c>
      <c r="Z45" s="117">
        <v>41071</v>
      </c>
      <c r="AA45" s="161" t="str">
        <f t="shared" ca="1" si="1"/>
        <v>YES</v>
      </c>
      <c r="AB45" s="113"/>
      <c r="AC45" s="117"/>
      <c r="AD45" s="111"/>
      <c r="AE45" s="111"/>
      <c r="AF45" s="111" t="str">
        <f t="shared" ca="1" si="2"/>
        <v>N/A</v>
      </c>
      <c r="AG45" s="162"/>
      <c r="AH45" s="162"/>
      <c r="AI45" s="164">
        <f t="shared" si="3"/>
        <v>0</v>
      </c>
      <c r="AJ45" s="118"/>
      <c r="AK45" s="113">
        <v>41071</v>
      </c>
      <c r="AL45" s="118"/>
      <c r="AM45" s="165" t="str">
        <f t="shared" si="4"/>
        <v>12006 COSUMAR / ACDN</v>
      </c>
      <c r="AN45" s="165" t="str">
        <f t="shared" si="5"/>
        <v>12006 COSUMAR / ACDN : Ecart entre notre plan 3D et les tuyauteries fabriquées</v>
      </c>
    </row>
    <row r="46" spans="1:40" s="76" customFormat="1" ht="25.5" hidden="1" x14ac:dyDescent="0.3">
      <c r="A46" s="122"/>
      <c r="B46" s="116">
        <v>12007</v>
      </c>
      <c r="C46" s="113" t="s">
        <v>4</v>
      </c>
      <c r="D46" s="117">
        <v>41009</v>
      </c>
      <c r="E46" s="118" t="s">
        <v>212</v>
      </c>
      <c r="F46" s="118"/>
      <c r="G46" s="111" t="s">
        <v>213</v>
      </c>
      <c r="H46" s="111"/>
      <c r="I46" s="119" t="s">
        <v>2057</v>
      </c>
      <c r="J46" s="113"/>
      <c r="K46" s="118"/>
      <c r="L46" s="118" t="s">
        <v>214</v>
      </c>
      <c r="M46" s="118" t="s">
        <v>13</v>
      </c>
      <c r="N46" s="120" t="s">
        <v>215</v>
      </c>
      <c r="O46" s="111" t="s">
        <v>29</v>
      </c>
      <c r="P46" s="111" t="s">
        <v>86</v>
      </c>
      <c r="Q46" s="111" t="s">
        <v>216</v>
      </c>
      <c r="R46" s="111" t="s">
        <v>15</v>
      </c>
      <c r="S46" s="111"/>
      <c r="T46" s="118"/>
      <c r="U46" s="64">
        <v>40994</v>
      </c>
      <c r="V46" s="158" t="s">
        <v>6</v>
      </c>
      <c r="W46" s="118" t="s">
        <v>217</v>
      </c>
      <c r="X46" s="113"/>
      <c r="Y46" s="117">
        <f t="shared" si="0"/>
        <v>41100</v>
      </c>
      <c r="Z46" s="117">
        <v>41095</v>
      </c>
      <c r="AA46" s="161" t="str">
        <f t="shared" ca="1" si="1"/>
        <v>YES</v>
      </c>
      <c r="AB46" s="113"/>
      <c r="AC46" s="117"/>
      <c r="AD46" s="111"/>
      <c r="AE46" s="111"/>
      <c r="AF46" s="111" t="str">
        <f t="shared" ca="1" si="2"/>
        <v>N/A</v>
      </c>
      <c r="AG46" s="162"/>
      <c r="AH46" s="162"/>
      <c r="AI46" s="164">
        <f t="shared" si="3"/>
        <v>0</v>
      </c>
      <c r="AJ46" s="118"/>
      <c r="AK46" s="113">
        <v>41095</v>
      </c>
      <c r="AL46" s="118"/>
      <c r="AM46" s="165" t="str">
        <f t="shared" si="4"/>
        <v>12007 CARGILL TURQUIE</v>
      </c>
      <c r="AN46" s="165" t="str">
        <f t="shared" si="5"/>
        <v>12007 CARGILL TURQUIE : Dimensionnement viroles et oubli soupapes de sécurité au budget</v>
      </c>
    </row>
    <row r="47" spans="1:40" s="76" customFormat="1" ht="25.5" hidden="1" x14ac:dyDescent="0.3">
      <c r="A47" s="122"/>
      <c r="B47" s="116">
        <v>12008</v>
      </c>
      <c r="C47" s="113" t="s">
        <v>4</v>
      </c>
      <c r="D47" s="117">
        <v>41009</v>
      </c>
      <c r="E47" s="118" t="s">
        <v>191</v>
      </c>
      <c r="F47" s="118"/>
      <c r="G47" s="111" t="s">
        <v>218</v>
      </c>
      <c r="H47" s="111"/>
      <c r="I47" s="119" t="s">
        <v>2057</v>
      </c>
      <c r="J47" s="113"/>
      <c r="K47" s="126"/>
      <c r="L47" s="126" t="s">
        <v>219</v>
      </c>
      <c r="M47" s="126" t="s">
        <v>16</v>
      </c>
      <c r="N47" s="120" t="s">
        <v>220</v>
      </c>
      <c r="O47" s="111" t="s">
        <v>29</v>
      </c>
      <c r="P47" s="111" t="s">
        <v>86</v>
      </c>
      <c r="Q47" s="111"/>
      <c r="R47" s="111" t="s">
        <v>15</v>
      </c>
      <c r="S47" s="111"/>
      <c r="T47" s="118"/>
      <c r="U47" s="64">
        <v>40982</v>
      </c>
      <c r="V47" s="158" t="s">
        <v>6</v>
      </c>
      <c r="W47" s="118" t="s">
        <v>146</v>
      </c>
      <c r="X47" s="113"/>
      <c r="Y47" s="117">
        <f t="shared" si="0"/>
        <v>41100</v>
      </c>
      <c r="Z47" s="117">
        <v>41086</v>
      </c>
      <c r="AA47" s="161" t="str">
        <f t="shared" ca="1" si="1"/>
        <v>YES</v>
      </c>
      <c r="AB47" s="113"/>
      <c r="AC47" s="117"/>
      <c r="AD47" s="111"/>
      <c r="AE47" s="111"/>
      <c r="AF47" s="111" t="str">
        <f t="shared" ca="1" si="2"/>
        <v>N/A</v>
      </c>
      <c r="AG47" s="162"/>
      <c r="AH47" s="162"/>
      <c r="AI47" s="164">
        <f t="shared" si="3"/>
        <v>0</v>
      </c>
      <c r="AJ47" s="118"/>
      <c r="AK47" s="113">
        <v>41086</v>
      </c>
      <c r="AL47" s="118"/>
      <c r="AM47" s="165" t="str">
        <f t="shared" si="4"/>
        <v>12008 CJ Jombang Indonesia</v>
      </c>
      <c r="AN47" s="165" t="str">
        <f t="shared" si="5"/>
        <v>12008 CJ Jombang Indonesia : Conditioning and storage of chinese doc/delayed delivery</v>
      </c>
    </row>
    <row r="48" spans="1:40" s="76" customFormat="1" ht="13" hidden="1" x14ac:dyDescent="0.3">
      <c r="A48" s="122"/>
      <c r="B48" s="116">
        <v>12009</v>
      </c>
      <c r="C48" s="113" t="s">
        <v>4</v>
      </c>
      <c r="D48" s="117">
        <v>41019</v>
      </c>
      <c r="E48" s="118" t="s">
        <v>221</v>
      </c>
      <c r="F48" s="118"/>
      <c r="G48" s="111" t="s">
        <v>222</v>
      </c>
      <c r="H48" s="111"/>
      <c r="I48" s="119" t="s">
        <v>2056</v>
      </c>
      <c r="J48" s="113"/>
      <c r="K48" s="118"/>
      <c r="L48" s="118" t="s">
        <v>180</v>
      </c>
      <c r="M48" s="118" t="s">
        <v>11</v>
      </c>
      <c r="N48" s="120" t="s">
        <v>223</v>
      </c>
      <c r="O48" s="111" t="s">
        <v>29</v>
      </c>
      <c r="P48" s="111" t="s">
        <v>86</v>
      </c>
      <c r="Q48" s="111" t="s">
        <v>176</v>
      </c>
      <c r="R48" s="111" t="s">
        <v>145</v>
      </c>
      <c r="S48" s="111"/>
      <c r="T48" s="118"/>
      <c r="U48" s="64">
        <v>41001</v>
      </c>
      <c r="V48" s="158" t="s">
        <v>6</v>
      </c>
      <c r="W48" s="118" t="s">
        <v>224</v>
      </c>
      <c r="X48" s="113"/>
      <c r="Y48" s="117">
        <f t="shared" si="0"/>
        <v>41110</v>
      </c>
      <c r="Z48" s="117">
        <v>41110</v>
      </c>
      <c r="AA48" s="161" t="str">
        <f t="shared" ca="1" si="1"/>
        <v>YES</v>
      </c>
      <c r="AB48" s="113"/>
      <c r="AC48" s="117"/>
      <c r="AD48" s="111"/>
      <c r="AE48" s="111"/>
      <c r="AF48" s="111" t="str">
        <f t="shared" ca="1" si="2"/>
        <v>N/A</v>
      </c>
      <c r="AG48" s="162"/>
      <c r="AH48" s="162"/>
      <c r="AI48" s="164">
        <f t="shared" si="3"/>
        <v>0</v>
      </c>
      <c r="AJ48" s="118"/>
      <c r="AK48" s="113">
        <v>41110</v>
      </c>
      <c r="AL48" s="118"/>
      <c r="AM48" s="165" t="str">
        <f t="shared" si="4"/>
        <v>12009 DANISCO / ONEX</v>
      </c>
      <c r="AN48" s="165" t="str">
        <f t="shared" si="5"/>
        <v>12009 DANISCO / ONEX : Réseaux de Chromato fuyard</v>
      </c>
    </row>
    <row r="49" spans="1:40" s="76" customFormat="1" ht="13" hidden="1" x14ac:dyDescent="0.3">
      <c r="A49" s="122"/>
      <c r="B49" s="116">
        <v>12010</v>
      </c>
      <c r="C49" s="113" t="s">
        <v>4</v>
      </c>
      <c r="D49" s="117">
        <v>41032</v>
      </c>
      <c r="E49" s="118" t="s">
        <v>129</v>
      </c>
      <c r="F49" s="118"/>
      <c r="G49" s="111" t="s">
        <v>225</v>
      </c>
      <c r="H49" s="111"/>
      <c r="I49" s="119" t="s">
        <v>5</v>
      </c>
      <c r="J49" s="113"/>
      <c r="K49" s="118"/>
      <c r="L49" s="118" t="s">
        <v>226</v>
      </c>
      <c r="M49" s="118" t="s">
        <v>18</v>
      </c>
      <c r="N49" s="120" t="s">
        <v>227</v>
      </c>
      <c r="O49" s="111" t="s">
        <v>28</v>
      </c>
      <c r="P49" s="111" t="s">
        <v>103</v>
      </c>
      <c r="Q49" s="111"/>
      <c r="R49" s="111" t="s">
        <v>145</v>
      </c>
      <c r="S49" s="111"/>
      <c r="T49" s="118"/>
      <c r="U49" s="64">
        <v>41023</v>
      </c>
      <c r="V49" s="158" t="s">
        <v>6</v>
      </c>
      <c r="W49" s="118" t="s">
        <v>129</v>
      </c>
      <c r="X49" s="113"/>
      <c r="Y49" s="117">
        <f t="shared" si="0"/>
        <v>41124</v>
      </c>
      <c r="Z49" s="117">
        <v>41116</v>
      </c>
      <c r="AA49" s="161" t="str">
        <f t="shared" ca="1" si="1"/>
        <v>YES</v>
      </c>
      <c r="AB49" s="113"/>
      <c r="AC49" s="117"/>
      <c r="AD49" s="111"/>
      <c r="AE49" s="111"/>
      <c r="AF49" s="111" t="str">
        <f t="shared" ca="1" si="2"/>
        <v/>
      </c>
      <c r="AG49" s="162"/>
      <c r="AH49" s="162"/>
      <c r="AI49" s="164">
        <f t="shared" si="3"/>
        <v>0</v>
      </c>
      <c r="AJ49" s="118"/>
      <c r="AK49" s="113">
        <v>41116</v>
      </c>
      <c r="AL49" s="118"/>
      <c r="AM49" s="165" t="str">
        <f t="shared" si="4"/>
        <v>12010 GOI / GE</v>
      </c>
      <c r="AN49" s="165" t="str">
        <f t="shared" si="5"/>
        <v>12010 GOI / GE : 50 Mbre NF moisies</v>
      </c>
    </row>
    <row r="50" spans="1:40" s="76" customFormat="1" ht="13" hidden="1" x14ac:dyDescent="0.3">
      <c r="A50" s="122"/>
      <c r="B50" s="116">
        <v>12011</v>
      </c>
      <c r="C50" s="113" t="s">
        <v>4</v>
      </c>
      <c r="D50" s="117">
        <v>41040</v>
      </c>
      <c r="E50" s="118" t="s">
        <v>228</v>
      </c>
      <c r="F50" s="118"/>
      <c r="G50" s="111" t="s">
        <v>229</v>
      </c>
      <c r="H50" s="111"/>
      <c r="I50" s="119" t="s">
        <v>2057</v>
      </c>
      <c r="J50" s="113"/>
      <c r="K50" s="118"/>
      <c r="L50" s="118" t="s">
        <v>230</v>
      </c>
      <c r="M50" s="118" t="s">
        <v>11</v>
      </c>
      <c r="N50" s="120" t="s">
        <v>231</v>
      </c>
      <c r="O50" s="111" t="s">
        <v>29</v>
      </c>
      <c r="P50" s="111" t="s">
        <v>176</v>
      </c>
      <c r="Q50" s="111"/>
      <c r="R50" s="111" t="s">
        <v>15</v>
      </c>
      <c r="S50" s="111"/>
      <c r="T50" s="118"/>
      <c r="U50" s="64">
        <v>41012</v>
      </c>
      <c r="V50" s="158" t="s">
        <v>6</v>
      </c>
      <c r="W50" s="118" t="s">
        <v>224</v>
      </c>
      <c r="X50" s="113"/>
      <c r="Y50" s="117">
        <f t="shared" si="0"/>
        <v>41132</v>
      </c>
      <c r="Z50" s="117">
        <v>41107</v>
      </c>
      <c r="AA50" s="161" t="str">
        <f t="shared" ca="1" si="1"/>
        <v>YES</v>
      </c>
      <c r="AB50" s="113"/>
      <c r="AC50" s="117"/>
      <c r="AD50" s="111"/>
      <c r="AE50" s="111"/>
      <c r="AF50" s="111" t="str">
        <f t="shared" ca="1" si="2"/>
        <v>N/A</v>
      </c>
      <c r="AG50" s="162"/>
      <c r="AH50" s="162"/>
      <c r="AI50" s="164">
        <f t="shared" si="3"/>
        <v>0</v>
      </c>
      <c r="AJ50" s="118"/>
      <c r="AK50" s="113">
        <v>41107</v>
      </c>
      <c r="AL50" s="118"/>
      <c r="AM50" s="165" t="str">
        <f t="shared" si="4"/>
        <v>12011 Fisher Bioblock Scientific</v>
      </c>
      <c r="AN50" s="165" t="str">
        <f t="shared" si="5"/>
        <v>12011 Fisher Bioblock Scientific : Retard Livraison</v>
      </c>
    </row>
    <row r="51" spans="1:40" s="76" customFormat="1" ht="13" hidden="1" x14ac:dyDescent="0.3">
      <c r="A51" s="122"/>
      <c r="B51" s="116">
        <v>12012</v>
      </c>
      <c r="C51" s="113" t="s">
        <v>4</v>
      </c>
      <c r="D51" s="117">
        <v>41045</v>
      </c>
      <c r="E51" s="118" t="s">
        <v>116</v>
      </c>
      <c r="F51" s="118"/>
      <c r="G51" s="111" t="s">
        <v>232</v>
      </c>
      <c r="H51" s="111"/>
      <c r="I51" s="119" t="s">
        <v>2057</v>
      </c>
      <c r="J51" s="113"/>
      <c r="K51" s="118"/>
      <c r="L51" s="118" t="s">
        <v>233</v>
      </c>
      <c r="M51" s="118" t="s">
        <v>13</v>
      </c>
      <c r="N51" s="120" t="s">
        <v>234</v>
      </c>
      <c r="O51" s="111" t="s">
        <v>29</v>
      </c>
      <c r="P51" s="111" t="s">
        <v>176</v>
      </c>
      <c r="Q51" s="111" t="s">
        <v>164</v>
      </c>
      <c r="R51" s="111" t="s">
        <v>15</v>
      </c>
      <c r="S51" s="111"/>
      <c r="T51" s="118"/>
      <c r="U51" s="64">
        <v>41031</v>
      </c>
      <c r="V51" s="158" t="s">
        <v>6</v>
      </c>
      <c r="W51" s="118" t="s">
        <v>224</v>
      </c>
      <c r="X51" s="113"/>
      <c r="Y51" s="117">
        <f t="shared" si="0"/>
        <v>41137</v>
      </c>
      <c r="Z51" s="117">
        <v>41107</v>
      </c>
      <c r="AA51" s="161" t="str">
        <f t="shared" ca="1" si="1"/>
        <v>YES</v>
      </c>
      <c r="AB51" s="113"/>
      <c r="AC51" s="117"/>
      <c r="AD51" s="111"/>
      <c r="AE51" s="111"/>
      <c r="AF51" s="111" t="str">
        <f t="shared" ca="1" si="2"/>
        <v>N/A</v>
      </c>
      <c r="AG51" s="162"/>
      <c r="AH51" s="162"/>
      <c r="AI51" s="164">
        <f t="shared" si="3"/>
        <v>0</v>
      </c>
      <c r="AJ51" s="118"/>
      <c r="AK51" s="113">
        <v>41107</v>
      </c>
      <c r="AL51" s="118"/>
      <c r="AM51" s="165" t="str">
        <f t="shared" si="4"/>
        <v>12012 OUEST IMPORT / DIATRANS</v>
      </c>
      <c r="AN51" s="165" t="str">
        <f t="shared" si="5"/>
        <v>12012 OUEST IMPORT / DIATRANS : Cde silex non livré</v>
      </c>
    </row>
    <row r="52" spans="1:40" s="76" customFormat="1" ht="13" hidden="1" x14ac:dyDescent="0.3">
      <c r="A52" s="122"/>
      <c r="B52" s="116">
        <v>12013</v>
      </c>
      <c r="C52" s="113" t="s">
        <v>4</v>
      </c>
      <c r="D52" s="117">
        <v>41045</v>
      </c>
      <c r="E52" s="118" t="s">
        <v>116</v>
      </c>
      <c r="F52" s="118"/>
      <c r="G52" s="111" t="s">
        <v>235</v>
      </c>
      <c r="H52" s="111"/>
      <c r="I52" s="119" t="s">
        <v>5</v>
      </c>
      <c r="J52" s="113" t="s">
        <v>6</v>
      </c>
      <c r="K52" s="118"/>
      <c r="L52" s="118" t="s">
        <v>236</v>
      </c>
      <c r="M52" s="118" t="s">
        <v>11</v>
      </c>
      <c r="N52" s="120" t="s">
        <v>237</v>
      </c>
      <c r="O52" s="111" t="s">
        <v>29</v>
      </c>
      <c r="P52" s="111" t="s">
        <v>86</v>
      </c>
      <c r="Q52" s="111"/>
      <c r="R52" s="111" t="s">
        <v>145</v>
      </c>
      <c r="S52" s="111"/>
      <c r="T52" s="118"/>
      <c r="U52" s="64">
        <v>41040</v>
      </c>
      <c r="V52" s="158" t="s">
        <v>6</v>
      </c>
      <c r="W52" s="118" t="s">
        <v>205</v>
      </c>
      <c r="X52" s="113"/>
      <c r="Y52" s="117">
        <f t="shared" si="0"/>
        <v>41137</v>
      </c>
      <c r="Z52" s="117">
        <v>41354</v>
      </c>
      <c r="AA52" s="161" t="str">
        <f t="shared" ca="1" si="1"/>
        <v>NO</v>
      </c>
      <c r="AB52" s="113"/>
      <c r="AC52" s="117"/>
      <c r="AD52" s="111"/>
      <c r="AE52" s="111"/>
      <c r="AF52" s="111" t="str">
        <f t="shared" ca="1" si="2"/>
        <v/>
      </c>
      <c r="AG52" s="162"/>
      <c r="AH52" s="162"/>
      <c r="AI52" s="164">
        <f t="shared" si="3"/>
        <v>0</v>
      </c>
      <c r="AJ52" s="118" t="s">
        <v>10</v>
      </c>
      <c r="AK52" s="113">
        <v>41354</v>
      </c>
      <c r="AL52" s="118" t="s">
        <v>238</v>
      </c>
      <c r="AM52" s="165" t="str">
        <f t="shared" si="4"/>
        <v>12013 ENSIGN / KCH</v>
      </c>
      <c r="AN52" s="165" t="str">
        <f t="shared" si="5"/>
        <v>12013 ENSIGN / KCH : Leakage on rubber lined pipes</v>
      </c>
    </row>
    <row r="53" spans="1:40" s="76" customFormat="1" ht="13" hidden="1" x14ac:dyDescent="0.3">
      <c r="A53" s="122"/>
      <c r="B53" s="116">
        <v>12014</v>
      </c>
      <c r="C53" s="113" t="s">
        <v>4</v>
      </c>
      <c r="D53" s="117">
        <v>41067</v>
      </c>
      <c r="E53" s="118" t="s">
        <v>239</v>
      </c>
      <c r="F53" s="118"/>
      <c r="G53" s="111" t="s">
        <v>240</v>
      </c>
      <c r="H53" s="111"/>
      <c r="I53" s="119" t="s">
        <v>2057</v>
      </c>
      <c r="J53" s="113"/>
      <c r="K53" s="118"/>
      <c r="L53" s="118" t="s">
        <v>241</v>
      </c>
      <c r="M53" s="118" t="s">
        <v>13</v>
      </c>
      <c r="N53" s="120" t="s">
        <v>242</v>
      </c>
      <c r="O53" s="111" t="s">
        <v>29</v>
      </c>
      <c r="P53" s="111" t="s">
        <v>86</v>
      </c>
      <c r="Q53" s="111"/>
      <c r="R53" s="111" t="s">
        <v>15</v>
      </c>
      <c r="S53" s="111"/>
      <c r="T53" s="118"/>
      <c r="U53" s="64">
        <v>40884</v>
      </c>
      <c r="V53" s="158" t="s">
        <v>6</v>
      </c>
      <c r="W53" s="118" t="s">
        <v>120</v>
      </c>
      <c r="X53" s="113"/>
      <c r="Y53" s="117">
        <f t="shared" si="0"/>
        <v>41159</v>
      </c>
      <c r="Z53" s="117">
        <v>41158</v>
      </c>
      <c r="AA53" s="161" t="str">
        <f t="shared" ca="1" si="1"/>
        <v>YES</v>
      </c>
      <c r="AB53" s="113"/>
      <c r="AC53" s="117"/>
      <c r="AD53" s="111"/>
      <c r="AE53" s="111"/>
      <c r="AF53" s="111" t="str">
        <f t="shared" ca="1" si="2"/>
        <v>N/A</v>
      </c>
      <c r="AG53" s="162"/>
      <c r="AH53" s="162"/>
      <c r="AI53" s="164">
        <f t="shared" si="3"/>
        <v>0</v>
      </c>
      <c r="AJ53" s="118"/>
      <c r="AK53" s="113">
        <v>41158</v>
      </c>
      <c r="AL53" s="118"/>
      <c r="AM53" s="165" t="str">
        <f t="shared" si="4"/>
        <v>12014 ADM / BRANT</v>
      </c>
      <c r="AN53" s="165" t="str">
        <f t="shared" si="5"/>
        <v>12014 ADM / BRANT : Diameters of holes are too large / nozzles</v>
      </c>
    </row>
    <row r="54" spans="1:40" s="76" customFormat="1" ht="13" hidden="1" x14ac:dyDescent="0.3">
      <c r="A54" s="122"/>
      <c r="B54" s="116">
        <v>12015</v>
      </c>
      <c r="C54" s="113" t="s">
        <v>4</v>
      </c>
      <c r="D54" s="117">
        <v>41067</v>
      </c>
      <c r="E54" s="118" t="s">
        <v>239</v>
      </c>
      <c r="F54" s="118"/>
      <c r="G54" s="111" t="s">
        <v>243</v>
      </c>
      <c r="H54" s="111"/>
      <c r="I54" s="119" t="s">
        <v>2056</v>
      </c>
      <c r="J54" s="113"/>
      <c r="K54" s="118"/>
      <c r="L54" s="118" t="s">
        <v>244</v>
      </c>
      <c r="M54" s="118" t="s">
        <v>11</v>
      </c>
      <c r="N54" s="120" t="s">
        <v>245</v>
      </c>
      <c r="O54" s="111" t="s">
        <v>29</v>
      </c>
      <c r="P54" s="111" t="s">
        <v>86</v>
      </c>
      <c r="Q54" s="111" t="s">
        <v>176</v>
      </c>
      <c r="R54" s="111" t="s">
        <v>145</v>
      </c>
      <c r="S54" s="111"/>
      <c r="T54" s="118"/>
      <c r="U54" s="64">
        <v>41067</v>
      </c>
      <c r="V54" s="158" t="s">
        <v>6</v>
      </c>
      <c r="W54" s="118" t="s">
        <v>224</v>
      </c>
      <c r="X54" s="113"/>
      <c r="Y54" s="117">
        <f t="shared" si="0"/>
        <v>41159</v>
      </c>
      <c r="Z54" s="117">
        <v>41131</v>
      </c>
      <c r="AA54" s="161" t="str">
        <f t="shared" ca="1" si="1"/>
        <v>YES</v>
      </c>
      <c r="AB54" s="113"/>
      <c r="AC54" s="117"/>
      <c r="AD54" s="111"/>
      <c r="AE54" s="111"/>
      <c r="AF54" s="111" t="str">
        <f t="shared" ca="1" si="2"/>
        <v>N/A</v>
      </c>
      <c r="AG54" s="162"/>
      <c r="AH54" s="162"/>
      <c r="AI54" s="164">
        <f t="shared" si="3"/>
        <v>0</v>
      </c>
      <c r="AJ54" s="118"/>
      <c r="AK54" s="113">
        <v>41131</v>
      </c>
      <c r="AL54" s="118"/>
      <c r="AM54" s="165" t="str">
        <f t="shared" si="4"/>
        <v>12015 Frisland / LABBE</v>
      </c>
      <c r="AN54" s="165" t="str">
        <f t="shared" si="5"/>
        <v>12015 Frisland / LABBE : Hauteur de cellule &lt; cote</v>
      </c>
    </row>
    <row r="55" spans="1:40" s="76" customFormat="1" ht="13" hidden="1" x14ac:dyDescent="0.3">
      <c r="A55" s="122"/>
      <c r="B55" s="116">
        <v>12016</v>
      </c>
      <c r="C55" s="113" t="s">
        <v>4</v>
      </c>
      <c r="D55" s="117">
        <v>41067</v>
      </c>
      <c r="E55" s="118" t="s">
        <v>239</v>
      </c>
      <c r="F55" s="118"/>
      <c r="G55" s="111" t="s">
        <v>246</v>
      </c>
      <c r="H55" s="111"/>
      <c r="I55" s="119" t="s">
        <v>2057</v>
      </c>
      <c r="J55" s="113"/>
      <c r="K55" s="118"/>
      <c r="L55" s="118" t="s">
        <v>244</v>
      </c>
      <c r="M55" s="118" t="s">
        <v>11</v>
      </c>
      <c r="N55" s="120" t="s">
        <v>247</v>
      </c>
      <c r="O55" s="111" t="s">
        <v>29</v>
      </c>
      <c r="P55" s="111" t="s">
        <v>86</v>
      </c>
      <c r="Q55" s="111" t="s">
        <v>176</v>
      </c>
      <c r="R55" s="111" t="s">
        <v>15</v>
      </c>
      <c r="S55" s="111"/>
      <c r="T55" s="118"/>
      <c r="U55" s="64">
        <v>41044</v>
      </c>
      <c r="V55" s="158" t="s">
        <v>6</v>
      </c>
      <c r="W55" s="118" t="s">
        <v>120</v>
      </c>
      <c r="X55" s="113"/>
      <c r="Y55" s="117">
        <f t="shared" si="0"/>
        <v>41159</v>
      </c>
      <c r="Z55" s="117">
        <v>41158</v>
      </c>
      <c r="AA55" s="161" t="str">
        <f t="shared" ca="1" si="1"/>
        <v>YES</v>
      </c>
      <c r="AB55" s="113"/>
      <c r="AC55" s="117"/>
      <c r="AD55" s="111"/>
      <c r="AE55" s="111"/>
      <c r="AF55" s="111" t="str">
        <f t="shared" ca="1" si="2"/>
        <v>N/A</v>
      </c>
      <c r="AG55" s="162"/>
      <c r="AH55" s="162"/>
      <c r="AI55" s="164">
        <f t="shared" si="3"/>
        <v>0</v>
      </c>
      <c r="AJ55" s="118"/>
      <c r="AK55" s="113">
        <v>41158</v>
      </c>
      <c r="AL55" s="118" t="s">
        <v>248</v>
      </c>
      <c r="AM55" s="165" t="str">
        <f t="shared" si="4"/>
        <v>12016 Frisland / MTCI</v>
      </c>
      <c r="AN55" s="165" t="str">
        <f t="shared" si="5"/>
        <v>12016 Frisland / MTCI : Montage échangeur à plaque sur skid</v>
      </c>
    </row>
    <row r="56" spans="1:40" s="76" customFormat="1" ht="13" hidden="1" x14ac:dyDescent="0.3">
      <c r="A56" s="122"/>
      <c r="B56" s="116">
        <v>12017</v>
      </c>
      <c r="C56" s="113" t="s">
        <v>4</v>
      </c>
      <c r="D56" s="117">
        <v>41067</v>
      </c>
      <c r="E56" s="118" t="s">
        <v>239</v>
      </c>
      <c r="F56" s="118"/>
      <c r="G56" s="111" t="s">
        <v>249</v>
      </c>
      <c r="H56" s="111"/>
      <c r="I56" s="119" t="s">
        <v>2056</v>
      </c>
      <c r="J56" s="113"/>
      <c r="K56" s="118"/>
      <c r="L56" s="118" t="s">
        <v>244</v>
      </c>
      <c r="M56" s="118" t="s">
        <v>11</v>
      </c>
      <c r="N56" s="120" t="s">
        <v>250</v>
      </c>
      <c r="O56" s="111" t="s">
        <v>29</v>
      </c>
      <c r="P56" s="111" t="s">
        <v>86</v>
      </c>
      <c r="Q56" s="111" t="s">
        <v>176</v>
      </c>
      <c r="R56" s="111" t="s">
        <v>145</v>
      </c>
      <c r="S56" s="111"/>
      <c r="T56" s="118"/>
      <c r="U56" s="64">
        <v>41019</v>
      </c>
      <c r="V56" s="158" t="s">
        <v>6</v>
      </c>
      <c r="W56" s="118" t="s">
        <v>177</v>
      </c>
      <c r="X56" s="113"/>
      <c r="Y56" s="117">
        <f t="shared" si="0"/>
        <v>41159</v>
      </c>
      <c r="Z56" s="117">
        <v>41107</v>
      </c>
      <c r="AA56" s="161" t="str">
        <f t="shared" ca="1" si="1"/>
        <v>YES</v>
      </c>
      <c r="AB56" s="113"/>
      <c r="AC56" s="117"/>
      <c r="AD56" s="111"/>
      <c r="AE56" s="111"/>
      <c r="AF56" s="111" t="str">
        <f t="shared" ca="1" si="2"/>
        <v>N/A</v>
      </c>
      <c r="AG56" s="162"/>
      <c r="AH56" s="162"/>
      <c r="AI56" s="164">
        <f t="shared" si="3"/>
        <v>0</v>
      </c>
      <c r="AJ56" s="118"/>
      <c r="AK56" s="113">
        <v>41107</v>
      </c>
      <c r="AL56" s="118"/>
      <c r="AM56" s="165" t="str">
        <f t="shared" si="4"/>
        <v>12017 Frisland / Euroslot</v>
      </c>
      <c r="AN56" s="165" t="str">
        <f t="shared" si="5"/>
        <v>12017 Frisland / Euroslot : Etat surface crépines / Retard livraison</v>
      </c>
    </row>
    <row r="57" spans="1:40" s="76" customFormat="1" ht="13" hidden="1" x14ac:dyDescent="0.3">
      <c r="A57" s="122"/>
      <c r="B57" s="116">
        <v>12018</v>
      </c>
      <c r="C57" s="113" t="s">
        <v>4</v>
      </c>
      <c r="D57" s="117">
        <v>41067</v>
      </c>
      <c r="E57" s="118" t="s">
        <v>205</v>
      </c>
      <c r="F57" s="118"/>
      <c r="G57" s="111" t="s">
        <v>251</v>
      </c>
      <c r="H57" s="111"/>
      <c r="I57" s="119" t="s">
        <v>5</v>
      </c>
      <c r="J57" s="113"/>
      <c r="K57" s="118"/>
      <c r="L57" s="118" t="s">
        <v>252</v>
      </c>
      <c r="M57" s="118" t="s">
        <v>16</v>
      </c>
      <c r="N57" s="120" t="s">
        <v>253</v>
      </c>
      <c r="O57" s="111" t="s">
        <v>29</v>
      </c>
      <c r="P57" s="111" t="s">
        <v>86</v>
      </c>
      <c r="Q57" s="111"/>
      <c r="R57" s="111" t="s">
        <v>9</v>
      </c>
      <c r="S57" s="111"/>
      <c r="T57" s="118"/>
      <c r="U57" s="64">
        <v>41067</v>
      </c>
      <c r="V57" s="158" t="s">
        <v>6</v>
      </c>
      <c r="W57" s="118" t="s">
        <v>205</v>
      </c>
      <c r="X57" s="113"/>
      <c r="Y57" s="117">
        <f t="shared" si="0"/>
        <v>41159</v>
      </c>
      <c r="Z57" s="117">
        <v>41166</v>
      </c>
      <c r="AA57" s="161" t="str">
        <f t="shared" ca="1" si="1"/>
        <v>NO</v>
      </c>
      <c r="AB57" s="113"/>
      <c r="AC57" s="117"/>
      <c r="AD57" s="111"/>
      <c r="AE57" s="111"/>
      <c r="AF57" s="111" t="str">
        <f t="shared" ca="1" si="2"/>
        <v/>
      </c>
      <c r="AG57" s="162"/>
      <c r="AH57" s="162"/>
      <c r="AI57" s="164">
        <f t="shared" si="3"/>
        <v>0</v>
      </c>
      <c r="AJ57" s="118"/>
      <c r="AK57" s="113">
        <v>41166</v>
      </c>
      <c r="AL57" s="118" t="s">
        <v>254</v>
      </c>
      <c r="AM57" s="165" t="str">
        <f t="shared" si="4"/>
        <v>12018 Meihua 6</v>
      </c>
      <c r="AN57" s="165" t="str">
        <f t="shared" si="5"/>
        <v>12018 Meihua 6 : Broken Membranes</v>
      </c>
    </row>
    <row r="58" spans="1:40" s="76" customFormat="1" ht="13" hidden="1" x14ac:dyDescent="0.3">
      <c r="A58" s="122"/>
      <c r="B58" s="116">
        <v>12019</v>
      </c>
      <c r="C58" s="113" t="s">
        <v>4</v>
      </c>
      <c r="D58" s="117">
        <v>41067</v>
      </c>
      <c r="E58" s="118" t="s">
        <v>205</v>
      </c>
      <c r="F58" s="118"/>
      <c r="G58" s="111" t="s">
        <v>255</v>
      </c>
      <c r="H58" s="111"/>
      <c r="I58" s="119" t="s">
        <v>2057</v>
      </c>
      <c r="J58" s="113"/>
      <c r="K58" s="118"/>
      <c r="L58" s="118" t="s">
        <v>256</v>
      </c>
      <c r="M58" s="118" t="s">
        <v>16</v>
      </c>
      <c r="N58" s="120" t="s">
        <v>257</v>
      </c>
      <c r="O58" s="111" t="s">
        <v>29</v>
      </c>
      <c r="P58" s="111" t="s">
        <v>86</v>
      </c>
      <c r="Q58" s="111"/>
      <c r="R58" s="111" t="s">
        <v>15</v>
      </c>
      <c r="S58" s="111"/>
      <c r="T58" s="118"/>
      <c r="U58" s="64">
        <v>41086</v>
      </c>
      <c r="V58" s="158" t="s">
        <v>10</v>
      </c>
      <c r="W58" s="118"/>
      <c r="X58" s="113"/>
      <c r="Y58" s="117">
        <f t="shared" si="0"/>
        <v>41159</v>
      </c>
      <c r="Z58" s="117">
        <v>41107</v>
      </c>
      <c r="AA58" s="161" t="str">
        <f t="shared" ca="1" si="1"/>
        <v>YES</v>
      </c>
      <c r="AB58" s="113"/>
      <c r="AC58" s="117"/>
      <c r="AD58" s="111"/>
      <c r="AE58" s="111"/>
      <c r="AF58" s="111" t="str">
        <f t="shared" ca="1" si="2"/>
        <v>N/A</v>
      </c>
      <c r="AG58" s="162"/>
      <c r="AH58" s="162"/>
      <c r="AI58" s="164">
        <f t="shared" si="3"/>
        <v>0</v>
      </c>
      <c r="AJ58" s="118"/>
      <c r="AK58" s="113">
        <v>41107</v>
      </c>
      <c r="AL58" s="118"/>
      <c r="AM58" s="165" t="str">
        <f t="shared" si="4"/>
        <v>12019 Glory</v>
      </c>
      <c r="AN58" s="165" t="str">
        <f t="shared" si="5"/>
        <v>12019 Glory : Non delivery of lock nuts</v>
      </c>
    </row>
    <row r="59" spans="1:40" s="76" customFormat="1" ht="13" hidden="1" x14ac:dyDescent="0.3">
      <c r="A59" s="122"/>
      <c r="B59" s="116">
        <v>12020</v>
      </c>
      <c r="C59" s="113" t="s">
        <v>4</v>
      </c>
      <c r="D59" s="117">
        <v>41072</v>
      </c>
      <c r="E59" s="118" t="s">
        <v>258</v>
      </c>
      <c r="F59" s="118"/>
      <c r="G59" s="111" t="s">
        <v>259</v>
      </c>
      <c r="H59" s="111"/>
      <c r="I59" s="119" t="s">
        <v>2058</v>
      </c>
      <c r="J59" s="113"/>
      <c r="K59" s="118"/>
      <c r="L59" s="118" t="s">
        <v>260</v>
      </c>
      <c r="M59" s="118"/>
      <c r="N59" s="120" t="s">
        <v>261</v>
      </c>
      <c r="O59" s="111"/>
      <c r="P59" s="111" t="s">
        <v>80</v>
      </c>
      <c r="Q59" s="111"/>
      <c r="R59" s="111" t="s">
        <v>15</v>
      </c>
      <c r="S59" s="111"/>
      <c r="T59" s="118"/>
      <c r="U59" s="64">
        <v>41044</v>
      </c>
      <c r="V59" s="158" t="s">
        <v>6</v>
      </c>
      <c r="W59" s="118" t="s">
        <v>258</v>
      </c>
      <c r="X59" s="113"/>
      <c r="Y59" s="117">
        <f t="shared" si="0"/>
        <v>41164</v>
      </c>
      <c r="Z59" s="117">
        <v>41150</v>
      </c>
      <c r="AA59" s="161" t="str">
        <f t="shared" ca="1" si="1"/>
        <v>YES</v>
      </c>
      <c r="AB59" s="113"/>
      <c r="AC59" s="117"/>
      <c r="AD59" s="111"/>
      <c r="AE59" s="111"/>
      <c r="AF59" s="111" t="str">
        <f t="shared" ca="1" si="2"/>
        <v>N/A</v>
      </c>
      <c r="AG59" s="162"/>
      <c r="AH59" s="162"/>
      <c r="AI59" s="164">
        <f t="shared" si="3"/>
        <v>0</v>
      </c>
      <c r="AJ59" s="118"/>
      <c r="AK59" s="113">
        <v>41150</v>
      </c>
      <c r="AL59" s="118"/>
      <c r="AM59" s="165" t="str">
        <f t="shared" si="4"/>
        <v>12020 projet STEVIA</v>
      </c>
      <c r="AN59" s="165" t="str">
        <f t="shared" si="5"/>
        <v>12020 projet STEVIA : Trouble de la vision œil gauche</v>
      </c>
    </row>
    <row r="60" spans="1:40" s="76" customFormat="1" ht="25.5" hidden="1" x14ac:dyDescent="0.3">
      <c r="A60" s="122"/>
      <c r="B60" s="116">
        <v>12021</v>
      </c>
      <c r="C60" s="113" t="s">
        <v>4</v>
      </c>
      <c r="D60" s="117">
        <v>41114</v>
      </c>
      <c r="E60" s="118" t="s">
        <v>120</v>
      </c>
      <c r="F60" s="118"/>
      <c r="G60" s="111" t="s">
        <v>262</v>
      </c>
      <c r="H60" s="111"/>
      <c r="I60" s="119" t="s">
        <v>2056</v>
      </c>
      <c r="J60" s="113"/>
      <c r="K60" s="118"/>
      <c r="L60" s="118" t="s">
        <v>263</v>
      </c>
      <c r="M60" s="118" t="s">
        <v>13</v>
      </c>
      <c r="N60" s="120" t="s">
        <v>264</v>
      </c>
      <c r="O60" s="111" t="s">
        <v>29</v>
      </c>
      <c r="P60" s="111" t="s">
        <v>86</v>
      </c>
      <c r="Q60" s="111" t="s">
        <v>176</v>
      </c>
      <c r="R60" s="111" t="s">
        <v>145</v>
      </c>
      <c r="S60" s="111"/>
      <c r="T60" s="118"/>
      <c r="U60" s="64">
        <v>41075</v>
      </c>
      <c r="V60" s="158" t="s">
        <v>6</v>
      </c>
      <c r="W60" s="118" t="s">
        <v>265</v>
      </c>
      <c r="X60" s="113"/>
      <c r="Y60" s="117">
        <f t="shared" si="0"/>
        <v>41206</v>
      </c>
      <c r="Z60" s="117">
        <v>41206</v>
      </c>
      <c r="AA60" s="161" t="str">
        <f t="shared" ca="1" si="1"/>
        <v>YES</v>
      </c>
      <c r="AB60" s="113"/>
      <c r="AC60" s="117"/>
      <c r="AD60" s="111"/>
      <c r="AE60" s="111"/>
      <c r="AF60" s="111" t="str">
        <f t="shared" ca="1" si="2"/>
        <v>N/A</v>
      </c>
      <c r="AG60" s="162"/>
      <c r="AH60" s="162"/>
      <c r="AI60" s="164">
        <f t="shared" si="3"/>
        <v>0</v>
      </c>
      <c r="AJ60" s="118" t="s">
        <v>6</v>
      </c>
      <c r="AK60" s="113">
        <v>41206</v>
      </c>
      <c r="AL60" s="118"/>
      <c r="AM60" s="165" t="str">
        <f t="shared" si="4"/>
        <v>12021 METIDJI/ACDN/OTIME</v>
      </c>
      <c r="AN60" s="165" t="str">
        <f t="shared" si="5"/>
        <v>12021 METIDJI/ACDN/OTIME : Fab tube UB6 collecteur/ Fab et montage tubes de ramification</v>
      </c>
    </row>
    <row r="61" spans="1:40" s="76" customFormat="1" ht="25.5" hidden="1" x14ac:dyDescent="0.3">
      <c r="A61" s="122"/>
      <c r="B61" s="116">
        <v>12022</v>
      </c>
      <c r="C61" s="113" t="s">
        <v>4</v>
      </c>
      <c r="D61" s="117">
        <v>41114</v>
      </c>
      <c r="E61" s="118" t="s">
        <v>120</v>
      </c>
      <c r="F61" s="118"/>
      <c r="G61" s="111" t="s">
        <v>266</v>
      </c>
      <c r="H61" s="111"/>
      <c r="I61" s="119" t="s">
        <v>2057</v>
      </c>
      <c r="J61" s="113"/>
      <c r="K61" s="126"/>
      <c r="L61" s="126" t="s">
        <v>263</v>
      </c>
      <c r="M61" s="126" t="s">
        <v>13</v>
      </c>
      <c r="N61" s="120" t="s">
        <v>267</v>
      </c>
      <c r="O61" s="111" t="s">
        <v>29</v>
      </c>
      <c r="P61" s="111" t="s">
        <v>86</v>
      </c>
      <c r="Q61" s="111"/>
      <c r="R61" s="111" t="s">
        <v>9</v>
      </c>
      <c r="S61" s="111"/>
      <c r="T61" s="118"/>
      <c r="U61" s="64">
        <v>41098</v>
      </c>
      <c r="V61" s="158" t="s">
        <v>6</v>
      </c>
      <c r="W61" s="118" t="s">
        <v>120</v>
      </c>
      <c r="X61" s="113"/>
      <c r="Y61" s="117">
        <f t="shared" si="0"/>
        <v>41206</v>
      </c>
      <c r="Z61" s="117">
        <v>41206</v>
      </c>
      <c r="AA61" s="161" t="str">
        <f t="shared" ca="1" si="1"/>
        <v>YES</v>
      </c>
      <c r="AB61" s="113"/>
      <c r="AC61" s="117"/>
      <c r="AD61" s="111"/>
      <c r="AE61" s="111"/>
      <c r="AF61" s="111" t="str">
        <f t="shared" ca="1" si="2"/>
        <v>N/A</v>
      </c>
      <c r="AG61" s="162"/>
      <c r="AH61" s="162"/>
      <c r="AI61" s="164">
        <f t="shared" si="3"/>
        <v>0</v>
      </c>
      <c r="AJ61" s="126" t="s">
        <v>6</v>
      </c>
      <c r="AK61" s="167">
        <v>41206</v>
      </c>
      <c r="AL61" s="126"/>
      <c r="AM61" s="165" t="str">
        <f t="shared" si="4"/>
        <v xml:space="preserve">12022 METIDJI </v>
      </c>
      <c r="AN61" s="165" t="str">
        <f t="shared" si="5"/>
        <v>12022 METIDJI  : Pb fuite clapet+montage / Pb raccord tuyauteries entre brides</v>
      </c>
    </row>
    <row r="62" spans="1:40" s="76" customFormat="1" ht="13" hidden="1" x14ac:dyDescent="0.3">
      <c r="A62" s="122"/>
      <c r="B62" s="116">
        <v>12023</v>
      </c>
      <c r="C62" s="113" t="s">
        <v>4</v>
      </c>
      <c r="D62" s="117">
        <v>41114</v>
      </c>
      <c r="E62" s="118" t="s">
        <v>268</v>
      </c>
      <c r="F62" s="118"/>
      <c r="G62" s="111" t="s">
        <v>269</v>
      </c>
      <c r="H62" s="111"/>
      <c r="I62" s="119" t="s">
        <v>5</v>
      </c>
      <c r="J62" s="113"/>
      <c r="K62" s="118"/>
      <c r="L62" s="118" t="s">
        <v>270</v>
      </c>
      <c r="M62" s="118" t="s">
        <v>13</v>
      </c>
      <c r="N62" s="120" t="s">
        <v>271</v>
      </c>
      <c r="O62" s="111" t="s">
        <v>29</v>
      </c>
      <c r="P62" s="111" t="s">
        <v>157</v>
      </c>
      <c r="Q62" s="111" t="s">
        <v>164</v>
      </c>
      <c r="R62" s="111" t="s">
        <v>9</v>
      </c>
      <c r="S62" s="111"/>
      <c r="T62" s="118"/>
      <c r="U62" s="64">
        <v>41075</v>
      </c>
      <c r="V62" s="158" t="s">
        <v>6</v>
      </c>
      <c r="W62" s="118" t="s">
        <v>272</v>
      </c>
      <c r="X62" s="113"/>
      <c r="Y62" s="117">
        <f t="shared" si="0"/>
        <v>41206</v>
      </c>
      <c r="Z62" s="117">
        <v>41235</v>
      </c>
      <c r="AA62" s="161" t="str">
        <f t="shared" ca="1" si="1"/>
        <v>NO</v>
      </c>
      <c r="AB62" s="113"/>
      <c r="AC62" s="117"/>
      <c r="AD62" s="111"/>
      <c r="AE62" s="111"/>
      <c r="AF62" s="111" t="str">
        <f t="shared" ca="1" si="2"/>
        <v/>
      </c>
      <c r="AG62" s="162"/>
      <c r="AH62" s="162"/>
      <c r="AI62" s="164">
        <f t="shared" si="3"/>
        <v>0</v>
      </c>
      <c r="AJ62" s="118" t="s">
        <v>6</v>
      </c>
      <c r="AK62" s="113">
        <v>41235</v>
      </c>
      <c r="AL62" s="118"/>
      <c r="AM62" s="165" t="str">
        <f t="shared" si="4"/>
        <v>12023 PROLACTAL</v>
      </c>
      <c r="AN62" s="165" t="str">
        <f t="shared" si="5"/>
        <v>12023 PROLACTAL : Perte de charges/ non atteinte de perfomance</v>
      </c>
    </row>
    <row r="63" spans="1:40" s="76" customFormat="1" ht="13" hidden="1" x14ac:dyDescent="0.3">
      <c r="A63" s="122"/>
      <c r="B63" s="116">
        <v>12024</v>
      </c>
      <c r="C63" s="113" t="s">
        <v>4</v>
      </c>
      <c r="D63" s="117">
        <v>41124</v>
      </c>
      <c r="E63" s="118" t="s">
        <v>273</v>
      </c>
      <c r="F63" s="118"/>
      <c r="G63" s="111" t="s">
        <v>274</v>
      </c>
      <c r="H63" s="111"/>
      <c r="I63" s="119" t="s">
        <v>2057</v>
      </c>
      <c r="J63" s="113"/>
      <c r="K63" s="118"/>
      <c r="L63" s="118" t="s">
        <v>275</v>
      </c>
      <c r="M63" s="118" t="s">
        <v>16</v>
      </c>
      <c r="N63" s="120" t="s">
        <v>276</v>
      </c>
      <c r="O63" s="111" t="s">
        <v>28</v>
      </c>
      <c r="P63" s="111" t="s">
        <v>103</v>
      </c>
      <c r="Q63" s="111"/>
      <c r="R63" s="111" t="s">
        <v>15</v>
      </c>
      <c r="S63" s="111"/>
      <c r="T63" s="118"/>
      <c r="U63" s="64">
        <v>41109</v>
      </c>
      <c r="V63" s="158" t="s">
        <v>6</v>
      </c>
      <c r="W63" s="118" t="s">
        <v>277</v>
      </c>
      <c r="X63" s="113"/>
      <c r="Y63" s="117">
        <f t="shared" si="0"/>
        <v>41216</v>
      </c>
      <c r="Z63" s="117">
        <v>41208</v>
      </c>
      <c r="AA63" s="161" t="str">
        <f t="shared" ca="1" si="1"/>
        <v>YES</v>
      </c>
      <c r="AB63" s="113"/>
      <c r="AC63" s="117"/>
      <c r="AD63" s="111"/>
      <c r="AE63" s="111"/>
      <c r="AF63" s="111" t="str">
        <f t="shared" ca="1" si="2"/>
        <v>N/A</v>
      </c>
      <c r="AG63" s="162"/>
      <c r="AH63" s="162"/>
      <c r="AI63" s="164">
        <f t="shared" si="3"/>
        <v>0</v>
      </c>
      <c r="AJ63" s="118" t="s">
        <v>6</v>
      </c>
      <c r="AK63" s="113">
        <v>41208</v>
      </c>
      <c r="AL63" s="118"/>
      <c r="AM63" s="165" t="str">
        <f t="shared" si="4"/>
        <v>12024 GSK Biologicals</v>
      </c>
      <c r="AN63" s="165" t="str">
        <f t="shared" si="5"/>
        <v>12024 GSK Biologicals : Spec des joints Kalrez / Diamètre de joints trop large</v>
      </c>
    </row>
    <row r="64" spans="1:40" s="76" customFormat="1" ht="13" hidden="1" x14ac:dyDescent="0.3">
      <c r="A64" s="122"/>
      <c r="B64" s="116">
        <v>12025</v>
      </c>
      <c r="C64" s="113" t="s">
        <v>4</v>
      </c>
      <c r="D64" s="117">
        <v>41129</v>
      </c>
      <c r="E64" s="118" t="s">
        <v>91</v>
      </c>
      <c r="F64" s="118"/>
      <c r="G64" s="111" t="s">
        <v>278</v>
      </c>
      <c r="H64" s="111"/>
      <c r="I64" s="119" t="s">
        <v>2056</v>
      </c>
      <c r="J64" s="113"/>
      <c r="K64" s="118"/>
      <c r="L64" s="118" t="s">
        <v>214</v>
      </c>
      <c r="M64" s="118" t="s">
        <v>13</v>
      </c>
      <c r="N64" s="120" t="s">
        <v>279</v>
      </c>
      <c r="O64" s="111" t="s">
        <v>29</v>
      </c>
      <c r="P64" s="111" t="s">
        <v>176</v>
      </c>
      <c r="Q64" s="111" t="s">
        <v>164</v>
      </c>
      <c r="R64" s="111" t="s">
        <v>145</v>
      </c>
      <c r="S64" s="111"/>
      <c r="T64" s="118"/>
      <c r="U64" s="64">
        <v>41089</v>
      </c>
      <c r="V64" s="158" t="s">
        <v>6</v>
      </c>
      <c r="W64" s="118" t="s">
        <v>280</v>
      </c>
      <c r="X64" s="113"/>
      <c r="Y64" s="117">
        <f t="shared" si="0"/>
        <v>41221</v>
      </c>
      <c r="Z64" s="117">
        <v>41218</v>
      </c>
      <c r="AA64" s="161" t="str">
        <f t="shared" ca="1" si="1"/>
        <v>YES</v>
      </c>
      <c r="AB64" s="113"/>
      <c r="AC64" s="117"/>
      <c r="AD64" s="111"/>
      <c r="AE64" s="111"/>
      <c r="AF64" s="111" t="str">
        <f t="shared" ca="1" si="2"/>
        <v>N/A</v>
      </c>
      <c r="AG64" s="162"/>
      <c r="AH64" s="162"/>
      <c r="AI64" s="164">
        <f t="shared" si="3"/>
        <v>0</v>
      </c>
      <c r="AJ64" s="118" t="s">
        <v>6</v>
      </c>
      <c r="AK64" s="113">
        <v>41218</v>
      </c>
      <c r="AL64" s="118"/>
      <c r="AM64" s="165" t="str">
        <f t="shared" si="4"/>
        <v>12025 CARGILL TURQUIE / ACDN</v>
      </c>
      <c r="AN64" s="165" t="str">
        <f t="shared" si="5"/>
        <v>12025 CARGILL TURQUIE / ACDN : Cote entraxe de perçage de la colonne différent/plan</v>
      </c>
    </row>
    <row r="65" spans="1:40" s="76" customFormat="1" ht="13" hidden="1" x14ac:dyDescent="0.3">
      <c r="A65" s="122"/>
      <c r="B65" s="116">
        <v>12026</v>
      </c>
      <c r="C65" s="113" t="s">
        <v>4</v>
      </c>
      <c r="D65" s="117">
        <v>41144</v>
      </c>
      <c r="E65" s="118" t="s">
        <v>281</v>
      </c>
      <c r="F65" s="118"/>
      <c r="G65" s="111" t="s">
        <v>282</v>
      </c>
      <c r="H65" s="111"/>
      <c r="I65" s="119" t="s">
        <v>2056</v>
      </c>
      <c r="J65" s="113"/>
      <c r="K65" s="118"/>
      <c r="L65" s="118" t="s">
        <v>207</v>
      </c>
      <c r="M65" s="118" t="s">
        <v>11</v>
      </c>
      <c r="N65" s="120" t="s">
        <v>283</v>
      </c>
      <c r="O65" s="111" t="s">
        <v>29</v>
      </c>
      <c r="P65" s="111" t="s">
        <v>86</v>
      </c>
      <c r="Q65" s="111" t="s">
        <v>176</v>
      </c>
      <c r="R65" s="111" t="s">
        <v>145</v>
      </c>
      <c r="S65" s="111"/>
      <c r="T65" s="118"/>
      <c r="U65" s="64">
        <v>41145</v>
      </c>
      <c r="V65" s="158" t="s">
        <v>10</v>
      </c>
      <c r="W65" s="118"/>
      <c r="X65" s="113"/>
      <c r="Y65" s="117">
        <f t="shared" si="0"/>
        <v>41236</v>
      </c>
      <c r="Z65" s="117">
        <v>41232</v>
      </c>
      <c r="AA65" s="161" t="str">
        <f t="shared" ca="1" si="1"/>
        <v>YES</v>
      </c>
      <c r="AB65" s="113"/>
      <c r="AC65" s="117"/>
      <c r="AD65" s="111"/>
      <c r="AE65" s="111"/>
      <c r="AF65" s="111" t="str">
        <f t="shared" ca="1" si="2"/>
        <v>N/A</v>
      </c>
      <c r="AG65" s="162"/>
      <c r="AH65" s="162"/>
      <c r="AI65" s="164">
        <f t="shared" si="3"/>
        <v>0</v>
      </c>
      <c r="AJ65" s="118" t="s">
        <v>6</v>
      </c>
      <c r="AK65" s="113">
        <v>41232</v>
      </c>
      <c r="AL65" s="118"/>
      <c r="AM65" s="165" t="str">
        <f t="shared" si="4"/>
        <v>12026 CJ Shenyang/Technord</v>
      </c>
      <c r="AN65" s="165" t="str">
        <f t="shared" si="5"/>
        <v>12026 CJ Shenyang/Technord : Dysfonctionnement prestation automation</v>
      </c>
    </row>
    <row r="66" spans="1:40" s="76" customFormat="1" ht="25.5" hidden="1" x14ac:dyDescent="0.3">
      <c r="A66" s="122"/>
      <c r="B66" s="116">
        <v>12027</v>
      </c>
      <c r="C66" s="113" t="s">
        <v>4</v>
      </c>
      <c r="D66" s="117">
        <v>41170</v>
      </c>
      <c r="E66" s="118" t="s">
        <v>284</v>
      </c>
      <c r="F66" s="118"/>
      <c r="G66" s="111" t="s">
        <v>285</v>
      </c>
      <c r="H66" s="111"/>
      <c r="I66" s="119" t="s">
        <v>2057</v>
      </c>
      <c r="J66" s="113"/>
      <c r="K66" s="118"/>
      <c r="L66" s="118" t="s">
        <v>286</v>
      </c>
      <c r="M66" s="118" t="s">
        <v>16</v>
      </c>
      <c r="N66" s="120" t="s">
        <v>287</v>
      </c>
      <c r="O66" s="111" t="s">
        <v>29</v>
      </c>
      <c r="P66" s="111" t="s">
        <v>86</v>
      </c>
      <c r="Q66" s="111"/>
      <c r="R66" s="111" t="s">
        <v>15</v>
      </c>
      <c r="S66" s="111"/>
      <c r="T66" s="118"/>
      <c r="U66" s="64">
        <v>41179</v>
      </c>
      <c r="V66" s="158" t="s">
        <v>6</v>
      </c>
      <c r="W66" s="118" t="s">
        <v>120</v>
      </c>
      <c r="X66" s="113"/>
      <c r="Y66" s="117">
        <f t="shared" si="0"/>
        <v>41261</v>
      </c>
      <c r="Z66" s="117">
        <v>41218</v>
      </c>
      <c r="AA66" s="161" t="str">
        <f t="shared" ca="1" si="1"/>
        <v>YES</v>
      </c>
      <c r="AB66" s="113"/>
      <c r="AC66" s="117"/>
      <c r="AD66" s="111"/>
      <c r="AE66" s="111"/>
      <c r="AF66" s="111" t="str">
        <f t="shared" ca="1" si="2"/>
        <v>N/A</v>
      </c>
      <c r="AG66" s="162"/>
      <c r="AH66" s="162"/>
      <c r="AI66" s="164">
        <f t="shared" si="3"/>
        <v>0</v>
      </c>
      <c r="AJ66" s="118" t="s">
        <v>6</v>
      </c>
      <c r="AK66" s="113">
        <v>41218</v>
      </c>
      <c r="AL66" s="118"/>
      <c r="AM66" s="165" t="str">
        <f t="shared" si="4"/>
        <v>12027 SYRAL / MTCI / ALPHA LAVAL</v>
      </c>
      <c r="AN66" s="165" t="str">
        <f t="shared" si="5"/>
        <v xml:space="preserve">12027 SYRAL / MTCI / ALPHA LAVAL : pb de dimension et orientation de la tuyauterie/la pompe d'alimentation </v>
      </c>
    </row>
    <row r="67" spans="1:40" s="76" customFormat="1" ht="13" hidden="1" x14ac:dyDescent="0.3">
      <c r="A67" s="122"/>
      <c r="B67" s="116">
        <v>12028</v>
      </c>
      <c r="C67" s="113" t="s">
        <v>4</v>
      </c>
      <c r="D67" s="117">
        <v>41170</v>
      </c>
      <c r="E67" s="118" t="s">
        <v>284</v>
      </c>
      <c r="F67" s="118"/>
      <c r="G67" s="111" t="s">
        <v>288</v>
      </c>
      <c r="H67" s="111"/>
      <c r="I67" s="119" t="s">
        <v>2057</v>
      </c>
      <c r="J67" s="113"/>
      <c r="K67" s="118"/>
      <c r="L67" s="118" t="s">
        <v>286</v>
      </c>
      <c r="M67" s="118" t="s">
        <v>16</v>
      </c>
      <c r="N67" s="120" t="s">
        <v>289</v>
      </c>
      <c r="O67" s="111" t="s">
        <v>29</v>
      </c>
      <c r="P67" s="111" t="s">
        <v>86</v>
      </c>
      <c r="Q67" s="111" t="s">
        <v>176</v>
      </c>
      <c r="R67" s="111" t="s">
        <v>15</v>
      </c>
      <c r="S67" s="111"/>
      <c r="T67" s="118"/>
      <c r="U67" s="64">
        <v>41157</v>
      </c>
      <c r="V67" s="158" t="s">
        <v>10</v>
      </c>
      <c r="W67" s="118"/>
      <c r="X67" s="113"/>
      <c r="Y67" s="117">
        <f t="shared" si="0"/>
        <v>41261</v>
      </c>
      <c r="Z67" s="117">
        <v>41218</v>
      </c>
      <c r="AA67" s="161" t="str">
        <f t="shared" ca="1" si="1"/>
        <v>YES</v>
      </c>
      <c r="AB67" s="113"/>
      <c r="AC67" s="117"/>
      <c r="AD67" s="111"/>
      <c r="AE67" s="111"/>
      <c r="AF67" s="111" t="str">
        <f t="shared" ca="1" si="2"/>
        <v>N/A</v>
      </c>
      <c r="AG67" s="162"/>
      <c r="AH67" s="162"/>
      <c r="AI67" s="164">
        <f t="shared" si="3"/>
        <v>0</v>
      </c>
      <c r="AJ67" s="118" t="s">
        <v>6</v>
      </c>
      <c r="AK67" s="113">
        <v>41218</v>
      </c>
      <c r="AL67" s="118"/>
      <c r="AM67" s="165" t="str">
        <f t="shared" si="4"/>
        <v>12028 SYRAL / Alphatrad</v>
      </c>
      <c r="AN67" s="165" t="str">
        <f t="shared" si="5"/>
        <v>12028 SYRAL / Alphatrad : Mise en forme PR 06 traduit en espagnol</v>
      </c>
    </row>
    <row r="68" spans="1:40" s="76" customFormat="1" ht="13" hidden="1" x14ac:dyDescent="0.3">
      <c r="A68" s="122"/>
      <c r="B68" s="116">
        <v>12029</v>
      </c>
      <c r="C68" s="113" t="s">
        <v>4</v>
      </c>
      <c r="D68" s="117">
        <v>41170</v>
      </c>
      <c r="E68" s="118" t="s">
        <v>290</v>
      </c>
      <c r="F68" s="118"/>
      <c r="G68" s="111" t="s">
        <v>291</v>
      </c>
      <c r="H68" s="111"/>
      <c r="I68" s="119" t="s">
        <v>2057</v>
      </c>
      <c r="J68" s="113"/>
      <c r="K68" s="118"/>
      <c r="L68" s="118" t="s">
        <v>292</v>
      </c>
      <c r="M68" s="118" t="s">
        <v>11</v>
      </c>
      <c r="N68" s="120" t="s">
        <v>293</v>
      </c>
      <c r="O68" s="111" t="s">
        <v>29</v>
      </c>
      <c r="P68" s="111" t="s">
        <v>80</v>
      </c>
      <c r="Q68" s="111"/>
      <c r="R68" s="111" t="s">
        <v>145</v>
      </c>
      <c r="S68" s="111"/>
      <c r="T68" s="118"/>
      <c r="U68" s="64">
        <v>40996</v>
      </c>
      <c r="V68" s="158" t="s">
        <v>10</v>
      </c>
      <c r="W68" s="118"/>
      <c r="X68" s="113"/>
      <c r="Y68" s="117">
        <f t="shared" si="0"/>
        <v>41261</v>
      </c>
      <c r="Z68" s="117">
        <v>41249</v>
      </c>
      <c r="AA68" s="161" t="str">
        <f t="shared" ca="1" si="1"/>
        <v>YES</v>
      </c>
      <c r="AB68" s="113"/>
      <c r="AC68" s="117"/>
      <c r="AD68" s="111"/>
      <c r="AE68" s="111"/>
      <c r="AF68" s="111" t="str">
        <f t="shared" ca="1" si="2"/>
        <v>N/A</v>
      </c>
      <c r="AG68" s="162"/>
      <c r="AH68" s="162"/>
      <c r="AI68" s="164">
        <f t="shared" si="3"/>
        <v>0</v>
      </c>
      <c r="AJ68" s="118" t="s">
        <v>6</v>
      </c>
      <c r="AK68" s="113">
        <v>41249</v>
      </c>
      <c r="AL68" s="118"/>
      <c r="AM68" s="165" t="str">
        <f t="shared" si="4"/>
        <v>12029 Armor Proteines</v>
      </c>
      <c r="AN68" s="165" t="str">
        <f t="shared" si="5"/>
        <v>12029 Armor Proteines : Retour pilote pas nettoyé</v>
      </c>
    </row>
    <row r="69" spans="1:40" s="76" customFormat="1" ht="13" hidden="1" x14ac:dyDescent="0.3">
      <c r="A69" s="122"/>
      <c r="B69" s="116">
        <v>12030</v>
      </c>
      <c r="C69" s="113" t="s">
        <v>4</v>
      </c>
      <c r="D69" s="117">
        <v>41187</v>
      </c>
      <c r="E69" s="118" t="s">
        <v>294</v>
      </c>
      <c r="F69" s="118"/>
      <c r="G69" s="111" t="s">
        <v>295</v>
      </c>
      <c r="H69" s="111"/>
      <c r="I69" s="119" t="s">
        <v>2056</v>
      </c>
      <c r="J69" s="113"/>
      <c r="K69" s="118"/>
      <c r="L69" s="118" t="s">
        <v>296</v>
      </c>
      <c r="M69" s="118" t="s">
        <v>13</v>
      </c>
      <c r="N69" s="120" t="s">
        <v>297</v>
      </c>
      <c r="O69" s="111" t="s">
        <v>29</v>
      </c>
      <c r="P69" s="111" t="s">
        <v>176</v>
      </c>
      <c r="Q69" s="111" t="s">
        <v>164</v>
      </c>
      <c r="R69" s="111" t="s">
        <v>145</v>
      </c>
      <c r="S69" s="111"/>
      <c r="T69" s="118"/>
      <c r="U69" s="64">
        <v>41173</v>
      </c>
      <c r="V69" s="158" t="s">
        <v>6</v>
      </c>
      <c r="W69" s="118" t="s">
        <v>298</v>
      </c>
      <c r="X69" s="113"/>
      <c r="Y69" s="117">
        <f t="shared" si="0"/>
        <v>41279</v>
      </c>
      <c r="Z69" s="117">
        <v>41264</v>
      </c>
      <c r="AA69" s="161" t="str">
        <f t="shared" ca="1" si="1"/>
        <v>YES</v>
      </c>
      <c r="AB69" s="113"/>
      <c r="AC69" s="117"/>
      <c r="AD69" s="111"/>
      <c r="AE69" s="111"/>
      <c r="AF69" s="111" t="str">
        <f t="shared" ca="1" si="2"/>
        <v>N/A</v>
      </c>
      <c r="AG69" s="162"/>
      <c r="AH69" s="162"/>
      <c r="AI69" s="164">
        <f t="shared" si="3"/>
        <v>0</v>
      </c>
      <c r="AJ69" s="118" t="s">
        <v>6</v>
      </c>
      <c r="AK69" s="113">
        <v>41264</v>
      </c>
      <c r="AL69" s="118"/>
      <c r="AM69" s="165" t="str">
        <f t="shared" si="4"/>
        <v xml:space="preserve">12030 PURIFONCTION / CTI </v>
      </c>
      <c r="AN69" s="165" t="str">
        <f t="shared" si="5"/>
        <v xml:space="preserve">12030 PURIFONCTION / CTI  : Défaut fabrication / Pièces manquantes </v>
      </c>
    </row>
    <row r="70" spans="1:40" s="76" customFormat="1" ht="13" hidden="1" x14ac:dyDescent="0.3">
      <c r="A70" s="122"/>
      <c r="B70" s="116">
        <v>12031</v>
      </c>
      <c r="C70" s="113" t="s">
        <v>4</v>
      </c>
      <c r="D70" s="117">
        <v>41208</v>
      </c>
      <c r="E70" s="118" t="s">
        <v>116</v>
      </c>
      <c r="F70" s="118"/>
      <c r="G70" s="111" t="s">
        <v>299</v>
      </c>
      <c r="H70" s="111"/>
      <c r="I70" s="119" t="s">
        <v>5</v>
      </c>
      <c r="J70" s="113"/>
      <c r="K70" s="118"/>
      <c r="L70" s="118" t="s">
        <v>263</v>
      </c>
      <c r="M70" s="118" t="s">
        <v>13</v>
      </c>
      <c r="N70" s="120" t="s">
        <v>300</v>
      </c>
      <c r="O70" s="111" t="s">
        <v>29</v>
      </c>
      <c r="P70" s="111" t="s">
        <v>157</v>
      </c>
      <c r="Q70" s="111" t="s">
        <v>164</v>
      </c>
      <c r="R70" s="111" t="s">
        <v>9</v>
      </c>
      <c r="S70" s="111"/>
      <c r="T70" s="118"/>
      <c r="U70" s="64">
        <v>41142</v>
      </c>
      <c r="V70" s="158" t="s">
        <v>6</v>
      </c>
      <c r="W70" s="118" t="s">
        <v>301</v>
      </c>
      <c r="X70" s="113"/>
      <c r="Y70" s="117">
        <f t="shared" si="0"/>
        <v>41300</v>
      </c>
      <c r="Z70" s="117">
        <v>41324</v>
      </c>
      <c r="AA70" s="161" t="str">
        <f t="shared" ca="1" si="1"/>
        <v>NO</v>
      </c>
      <c r="AB70" s="113"/>
      <c r="AC70" s="117"/>
      <c r="AD70" s="111"/>
      <c r="AE70" s="111"/>
      <c r="AF70" s="111" t="str">
        <f t="shared" ca="1" si="2"/>
        <v/>
      </c>
      <c r="AG70" s="162"/>
      <c r="AH70" s="162"/>
      <c r="AI70" s="164">
        <f t="shared" si="3"/>
        <v>0</v>
      </c>
      <c r="AJ70" s="118" t="s">
        <v>6</v>
      </c>
      <c r="AK70" s="113">
        <v>41324</v>
      </c>
      <c r="AL70" s="118"/>
      <c r="AM70" s="165" t="str">
        <f t="shared" si="4"/>
        <v>12031 METIDJI</v>
      </c>
      <c r="AN70" s="165" t="str">
        <f t="shared" si="5"/>
        <v>12031 METIDJI : Couleur sirop</v>
      </c>
    </row>
    <row r="71" spans="1:40" s="76" customFormat="1" ht="13" hidden="1" x14ac:dyDescent="0.3">
      <c r="A71" s="122"/>
      <c r="B71" s="116">
        <v>12032</v>
      </c>
      <c r="C71" s="113" t="s">
        <v>4</v>
      </c>
      <c r="D71" s="117">
        <v>41247</v>
      </c>
      <c r="E71" s="118" t="s">
        <v>82</v>
      </c>
      <c r="F71" s="118"/>
      <c r="G71" s="111" t="s">
        <v>302</v>
      </c>
      <c r="H71" s="111"/>
      <c r="I71" s="119" t="s">
        <v>2057</v>
      </c>
      <c r="J71" s="113"/>
      <c r="K71" s="118"/>
      <c r="L71" s="118" t="s">
        <v>303</v>
      </c>
      <c r="M71" s="118" t="s">
        <v>13</v>
      </c>
      <c r="N71" s="120" t="s">
        <v>304</v>
      </c>
      <c r="O71" s="111" t="s">
        <v>29</v>
      </c>
      <c r="P71" s="111" t="s">
        <v>176</v>
      </c>
      <c r="Q71" s="111" t="s">
        <v>164</v>
      </c>
      <c r="R71" s="111" t="s">
        <v>15</v>
      </c>
      <c r="S71" s="111"/>
      <c r="T71" s="118"/>
      <c r="U71" s="64">
        <v>41232</v>
      </c>
      <c r="V71" s="158" t="s">
        <v>6</v>
      </c>
      <c r="W71" s="118" t="s">
        <v>224</v>
      </c>
      <c r="X71" s="113"/>
      <c r="Y71" s="117">
        <f t="shared" ref="Y71:Y134" si="6">EDATE(D71,3)</f>
        <v>41337</v>
      </c>
      <c r="Z71" s="117">
        <v>41324</v>
      </c>
      <c r="AA71" s="161" t="str">
        <f t="shared" ca="1" si="1"/>
        <v>YES</v>
      </c>
      <c r="AB71" s="113"/>
      <c r="AC71" s="117"/>
      <c r="AD71" s="111"/>
      <c r="AE71" s="111"/>
      <c r="AF71" s="111" t="str">
        <f t="shared" ca="1" si="2"/>
        <v>N/A</v>
      </c>
      <c r="AG71" s="162"/>
      <c r="AH71" s="162"/>
      <c r="AI71" s="164">
        <f t="shared" si="3"/>
        <v>0</v>
      </c>
      <c r="AJ71" s="118" t="s">
        <v>6</v>
      </c>
      <c r="AK71" s="113">
        <v>41324</v>
      </c>
      <c r="AL71" s="118" t="s">
        <v>305</v>
      </c>
      <c r="AM71" s="165" t="str">
        <f t="shared" si="4"/>
        <v>12032 CJ GMP2 / REYES</v>
      </c>
      <c r="AN71" s="165" t="str">
        <f t="shared" si="5"/>
        <v>12032 CJ GMP2 / REYES : Modification schémas électriques</v>
      </c>
    </row>
    <row r="72" spans="1:40" s="76" customFormat="1" ht="13" hidden="1" x14ac:dyDescent="0.3">
      <c r="A72" s="122"/>
      <c r="B72" s="116">
        <v>12033</v>
      </c>
      <c r="C72" s="113" t="s">
        <v>4</v>
      </c>
      <c r="D72" s="117">
        <v>41264</v>
      </c>
      <c r="E72" s="118" t="s">
        <v>129</v>
      </c>
      <c r="F72" s="118"/>
      <c r="G72" s="111" t="s">
        <v>306</v>
      </c>
      <c r="H72" s="111"/>
      <c r="I72" s="119" t="s">
        <v>5</v>
      </c>
      <c r="J72" s="113"/>
      <c r="K72" s="118"/>
      <c r="L72" s="118" t="s">
        <v>307</v>
      </c>
      <c r="M72" s="118" t="s">
        <v>13</v>
      </c>
      <c r="N72" s="120" t="s">
        <v>308</v>
      </c>
      <c r="O72" s="111" t="s">
        <v>28</v>
      </c>
      <c r="P72" s="111" t="s">
        <v>103</v>
      </c>
      <c r="Q72" s="111"/>
      <c r="R72" s="111" t="s">
        <v>145</v>
      </c>
      <c r="S72" s="124"/>
      <c r="T72" s="127" t="s">
        <v>309</v>
      </c>
      <c r="U72" s="64">
        <v>41277</v>
      </c>
      <c r="V72" s="158" t="s">
        <v>6</v>
      </c>
      <c r="W72" s="118" t="s">
        <v>129</v>
      </c>
      <c r="X72" s="113"/>
      <c r="Y72" s="117">
        <f t="shared" si="6"/>
        <v>41354</v>
      </c>
      <c r="Z72" s="117">
        <v>41379</v>
      </c>
      <c r="AA72" s="161" t="str">
        <f t="shared" ref="AA72:AA135" ca="1" si="7">IF(Z72="",IF(TODAY()&gt;Y72,"NO","YES"),IF(Z72&gt;Y72,"NO",IF(Z72&lt;Y72,"YES",IF(Y72=Z72,"YES","N/A"))))</f>
        <v>NO</v>
      </c>
      <c r="AB72" s="113"/>
      <c r="AC72" s="117"/>
      <c r="AD72" s="111"/>
      <c r="AE72" s="111"/>
      <c r="AF72" s="111" t="str">
        <f t="shared" ref="AF72:AF135" ca="1" si="8">IF(I72="Claim",IF(AD72="","",IF(AE72="",IF(TODAY()&gt;AD72,"NO","YES"),IF(AE72&gt;AD72,"NO",IF(AE72&lt;AD72,"YES",IF(AD72=AE72,"YES","N/A"))))),"N/A")</f>
        <v/>
      </c>
      <c r="AG72" s="162"/>
      <c r="AH72" s="162"/>
      <c r="AI72" s="164">
        <f t="shared" ref="AI72:AI135" si="9">AH72+AG72</f>
        <v>0</v>
      </c>
      <c r="AJ72" s="118" t="s">
        <v>6</v>
      </c>
      <c r="AK72" s="113">
        <v>41379</v>
      </c>
      <c r="AL72" s="118" t="s">
        <v>310</v>
      </c>
      <c r="AM72" s="165" t="str">
        <f t="shared" ref="AM72:AM135" si="10">CONCATENATE(B72," ",G72)</f>
        <v>12033 SA Citrique Belge / DOW</v>
      </c>
      <c r="AN72" s="165" t="str">
        <f t="shared" ref="AN72:AN135" si="11">CONCATENATE(B72," ",G72," : ",N72)</f>
        <v>12033 SA Citrique Belge / DOW : Résines teintées mauve</v>
      </c>
    </row>
    <row r="73" spans="1:40" s="76" customFormat="1" ht="13" hidden="1" x14ac:dyDescent="0.3">
      <c r="A73" s="122"/>
      <c r="B73" s="116">
        <v>13001</v>
      </c>
      <c r="C73" s="113" t="s">
        <v>4</v>
      </c>
      <c r="D73" s="117">
        <v>41281</v>
      </c>
      <c r="E73" s="118" t="s">
        <v>149</v>
      </c>
      <c r="F73" s="118"/>
      <c r="G73" s="111" t="s">
        <v>311</v>
      </c>
      <c r="H73" s="111" t="s">
        <v>312</v>
      </c>
      <c r="I73" s="119" t="s">
        <v>5</v>
      </c>
      <c r="J73" s="113"/>
      <c r="K73" s="118"/>
      <c r="L73" s="118" t="s">
        <v>313</v>
      </c>
      <c r="M73" s="118" t="s">
        <v>13</v>
      </c>
      <c r="N73" s="120" t="s">
        <v>314</v>
      </c>
      <c r="O73" s="111" t="s">
        <v>28</v>
      </c>
      <c r="P73" s="111" t="s">
        <v>103</v>
      </c>
      <c r="Q73" s="111"/>
      <c r="R73" s="111" t="s">
        <v>145</v>
      </c>
      <c r="S73" s="111"/>
      <c r="T73" s="128" t="s">
        <v>315</v>
      </c>
      <c r="U73" s="64">
        <v>41289</v>
      </c>
      <c r="V73" s="158" t="s">
        <v>10</v>
      </c>
      <c r="W73" s="118"/>
      <c r="X73" s="113"/>
      <c r="Y73" s="117">
        <f t="shared" si="6"/>
        <v>41371</v>
      </c>
      <c r="Z73" s="117">
        <v>41362</v>
      </c>
      <c r="AA73" s="161" t="str">
        <f t="shared" ca="1" si="7"/>
        <v>YES</v>
      </c>
      <c r="AB73" s="113"/>
      <c r="AC73" s="117"/>
      <c r="AD73" s="111"/>
      <c r="AE73" s="111"/>
      <c r="AF73" s="111" t="str">
        <f t="shared" ca="1" si="8"/>
        <v/>
      </c>
      <c r="AG73" s="162"/>
      <c r="AH73" s="162"/>
      <c r="AI73" s="164">
        <f t="shared" si="9"/>
        <v>0</v>
      </c>
      <c r="AJ73" s="118" t="s">
        <v>6</v>
      </c>
      <c r="AK73" s="113">
        <v>41362</v>
      </c>
      <c r="AL73" s="118"/>
      <c r="AM73" s="165" t="str">
        <f t="shared" si="10"/>
        <v>13001 Galactic</v>
      </c>
      <c r="AN73" s="165" t="str">
        <f t="shared" si="11"/>
        <v>13001 Galactic : Pb délai livraison résines</v>
      </c>
    </row>
    <row r="74" spans="1:40" s="76" customFormat="1" ht="13" hidden="1" x14ac:dyDescent="0.3">
      <c r="A74" s="122"/>
      <c r="B74" s="116">
        <v>13002</v>
      </c>
      <c r="C74" s="113" t="s">
        <v>4</v>
      </c>
      <c r="D74" s="117">
        <v>41282</v>
      </c>
      <c r="E74" s="118" t="s">
        <v>290</v>
      </c>
      <c r="F74" s="118"/>
      <c r="G74" s="111" t="s">
        <v>316</v>
      </c>
      <c r="H74" s="111"/>
      <c r="I74" s="119" t="s">
        <v>2058</v>
      </c>
      <c r="J74" s="113"/>
      <c r="K74" s="118"/>
      <c r="L74" s="118" t="s">
        <v>317</v>
      </c>
      <c r="M74" s="118"/>
      <c r="N74" s="120" t="s">
        <v>318</v>
      </c>
      <c r="O74" s="111"/>
      <c r="P74" s="111" t="s">
        <v>80</v>
      </c>
      <c r="Q74" s="111"/>
      <c r="R74" s="111" t="s">
        <v>15</v>
      </c>
      <c r="S74" s="111"/>
      <c r="T74" s="118"/>
      <c r="U74" s="64">
        <v>41282</v>
      </c>
      <c r="V74" s="158" t="s">
        <v>6</v>
      </c>
      <c r="W74" s="118" t="s">
        <v>258</v>
      </c>
      <c r="X74" s="113"/>
      <c r="Y74" s="117">
        <f t="shared" si="6"/>
        <v>41372</v>
      </c>
      <c r="Z74" s="117">
        <v>41347</v>
      </c>
      <c r="AA74" s="161" t="str">
        <f t="shared" ca="1" si="7"/>
        <v>YES</v>
      </c>
      <c r="AB74" s="113"/>
      <c r="AC74" s="117"/>
      <c r="AD74" s="111"/>
      <c r="AE74" s="111"/>
      <c r="AF74" s="111" t="str">
        <f t="shared" ca="1" si="8"/>
        <v>N/A</v>
      </c>
      <c r="AG74" s="162"/>
      <c r="AH74" s="162"/>
      <c r="AI74" s="164">
        <f t="shared" si="9"/>
        <v>0</v>
      </c>
      <c r="AJ74" s="118" t="s">
        <v>6</v>
      </c>
      <c r="AK74" s="113"/>
      <c r="AL74" s="118"/>
      <c r="AM74" s="165" t="str">
        <f t="shared" si="10"/>
        <v>13002 projet NORSK</v>
      </c>
      <c r="AN74" s="165" t="str">
        <f t="shared" si="11"/>
        <v xml:space="preserve">13002 projet NORSK : Coupure pouce/index </v>
      </c>
    </row>
    <row r="75" spans="1:40" s="76" customFormat="1" ht="13" hidden="1" x14ac:dyDescent="0.3">
      <c r="A75" s="122"/>
      <c r="B75" s="116">
        <v>13003</v>
      </c>
      <c r="C75" s="113" t="s">
        <v>4</v>
      </c>
      <c r="D75" s="117">
        <v>41283</v>
      </c>
      <c r="E75" s="118" t="s">
        <v>319</v>
      </c>
      <c r="F75" s="118"/>
      <c r="G75" s="111" t="s">
        <v>320</v>
      </c>
      <c r="H75" s="111" t="s">
        <v>321</v>
      </c>
      <c r="I75" s="119" t="s">
        <v>2057</v>
      </c>
      <c r="J75" s="113"/>
      <c r="K75" s="118"/>
      <c r="L75" s="118" t="s">
        <v>322</v>
      </c>
      <c r="M75" s="118" t="s">
        <v>13</v>
      </c>
      <c r="N75" s="120" t="s">
        <v>323</v>
      </c>
      <c r="O75" s="111" t="s">
        <v>29</v>
      </c>
      <c r="P75" s="111" t="s">
        <v>86</v>
      </c>
      <c r="Q75" s="111" t="s">
        <v>176</v>
      </c>
      <c r="R75" s="111" t="s">
        <v>9</v>
      </c>
      <c r="S75" s="111"/>
      <c r="T75" s="118"/>
      <c r="U75" s="64">
        <v>41149</v>
      </c>
      <c r="V75" s="158" t="s">
        <v>10</v>
      </c>
      <c r="W75" s="118"/>
      <c r="X75" s="113"/>
      <c r="Y75" s="117">
        <f t="shared" si="6"/>
        <v>41373</v>
      </c>
      <c r="Z75" s="117">
        <v>41353</v>
      </c>
      <c r="AA75" s="161" t="str">
        <f t="shared" ca="1" si="7"/>
        <v>YES</v>
      </c>
      <c r="AB75" s="113"/>
      <c r="AC75" s="117"/>
      <c r="AD75" s="111"/>
      <c r="AE75" s="111"/>
      <c r="AF75" s="111" t="str">
        <f t="shared" ca="1" si="8"/>
        <v>N/A</v>
      </c>
      <c r="AG75" s="162"/>
      <c r="AH75" s="162"/>
      <c r="AI75" s="164">
        <f t="shared" si="9"/>
        <v>0</v>
      </c>
      <c r="AJ75" s="118" t="s">
        <v>6</v>
      </c>
      <c r="AK75" s="113">
        <v>41353</v>
      </c>
      <c r="AL75" s="118"/>
      <c r="AM75" s="165" t="str">
        <f t="shared" si="10"/>
        <v>13003 CJ US</v>
      </c>
      <c r="AN75" s="165" t="str">
        <f t="shared" si="11"/>
        <v>13003 CJ US : Purchase WF / Choice of EPDM or VITON gasket</v>
      </c>
    </row>
    <row r="76" spans="1:40" s="76" customFormat="1" ht="13" hidden="1" x14ac:dyDescent="0.3">
      <c r="A76" s="122"/>
      <c r="B76" s="116">
        <v>13004</v>
      </c>
      <c r="C76" s="113" t="s">
        <v>4</v>
      </c>
      <c r="D76" s="117">
        <v>41283</v>
      </c>
      <c r="E76" s="118" t="s">
        <v>319</v>
      </c>
      <c r="F76" s="118"/>
      <c r="G76" s="111" t="s">
        <v>320</v>
      </c>
      <c r="H76" s="111" t="s">
        <v>324</v>
      </c>
      <c r="I76" s="119" t="s">
        <v>2056</v>
      </c>
      <c r="J76" s="113"/>
      <c r="K76" s="118"/>
      <c r="L76" s="118" t="s">
        <v>322</v>
      </c>
      <c r="M76" s="118" t="s">
        <v>13</v>
      </c>
      <c r="N76" s="120" t="s">
        <v>325</v>
      </c>
      <c r="O76" s="111" t="s">
        <v>29</v>
      </c>
      <c r="P76" s="111" t="s">
        <v>86</v>
      </c>
      <c r="Q76" s="111" t="s">
        <v>176</v>
      </c>
      <c r="R76" s="111" t="s">
        <v>145</v>
      </c>
      <c r="S76" s="111"/>
      <c r="T76" s="128" t="s">
        <v>324</v>
      </c>
      <c r="U76" s="64">
        <v>41109</v>
      </c>
      <c r="V76" s="158" t="s">
        <v>10</v>
      </c>
      <c r="W76" s="118"/>
      <c r="X76" s="113"/>
      <c r="Y76" s="117">
        <f t="shared" si="6"/>
        <v>41373</v>
      </c>
      <c r="Z76" s="117">
        <v>41353</v>
      </c>
      <c r="AA76" s="161" t="str">
        <f t="shared" ca="1" si="7"/>
        <v>YES</v>
      </c>
      <c r="AB76" s="113"/>
      <c r="AC76" s="117"/>
      <c r="AD76" s="111"/>
      <c r="AE76" s="111"/>
      <c r="AF76" s="111" t="str">
        <f t="shared" ca="1" si="8"/>
        <v>N/A</v>
      </c>
      <c r="AG76" s="162"/>
      <c r="AH76" s="162"/>
      <c r="AI76" s="164">
        <f t="shared" si="9"/>
        <v>0</v>
      </c>
      <c r="AJ76" s="118" t="s">
        <v>6</v>
      </c>
      <c r="AK76" s="113">
        <v>41353</v>
      </c>
      <c r="AL76" s="118"/>
      <c r="AM76" s="165" t="str">
        <f t="shared" si="10"/>
        <v>13004 CJ US</v>
      </c>
      <c r="AN76" s="165" t="str">
        <f t="shared" si="11"/>
        <v>13004 CJ US : Pb Norme moteurs IE3/Nema Premium</v>
      </c>
    </row>
    <row r="77" spans="1:40" s="76" customFormat="1" ht="38" hidden="1" x14ac:dyDescent="0.3">
      <c r="A77" s="122"/>
      <c r="B77" s="116">
        <v>13005</v>
      </c>
      <c r="C77" s="113" t="s">
        <v>4</v>
      </c>
      <c r="D77" s="117">
        <v>41290</v>
      </c>
      <c r="E77" s="118" t="s">
        <v>273</v>
      </c>
      <c r="F77" s="118"/>
      <c r="G77" s="120" t="s">
        <v>326</v>
      </c>
      <c r="H77" s="120" t="s">
        <v>327</v>
      </c>
      <c r="I77" s="119" t="s">
        <v>2056</v>
      </c>
      <c r="J77" s="113"/>
      <c r="K77" s="126"/>
      <c r="L77" s="126" t="s">
        <v>328</v>
      </c>
      <c r="M77" s="126" t="s">
        <v>13</v>
      </c>
      <c r="N77" s="120" t="s">
        <v>329</v>
      </c>
      <c r="O77" s="111" t="s">
        <v>28</v>
      </c>
      <c r="P77" s="111" t="s">
        <v>103</v>
      </c>
      <c r="Q77" s="111"/>
      <c r="R77" s="111" t="s">
        <v>145</v>
      </c>
      <c r="S77" s="111"/>
      <c r="T77" s="128" t="s">
        <v>330</v>
      </c>
      <c r="U77" s="64">
        <v>41235</v>
      </c>
      <c r="V77" s="158" t="s">
        <v>6</v>
      </c>
      <c r="W77" s="118" t="s">
        <v>273</v>
      </c>
      <c r="X77" s="113"/>
      <c r="Y77" s="117">
        <f t="shared" si="6"/>
        <v>41380</v>
      </c>
      <c r="Z77" s="117">
        <v>41362</v>
      </c>
      <c r="AA77" s="161" t="str">
        <f t="shared" ca="1" si="7"/>
        <v>YES</v>
      </c>
      <c r="AB77" s="113"/>
      <c r="AC77" s="117"/>
      <c r="AD77" s="111"/>
      <c r="AE77" s="111"/>
      <c r="AF77" s="111" t="str">
        <f t="shared" ca="1" si="8"/>
        <v>N/A</v>
      </c>
      <c r="AG77" s="162"/>
      <c r="AH77" s="162"/>
      <c r="AI77" s="164">
        <f t="shared" si="9"/>
        <v>0</v>
      </c>
      <c r="AJ77" s="118" t="s">
        <v>6</v>
      </c>
      <c r="AK77" s="113">
        <v>41362</v>
      </c>
      <c r="AL77" s="118"/>
      <c r="AM77" s="165" t="str">
        <f t="shared" si="10"/>
        <v>13005 HILMAR CHEESE</v>
      </c>
      <c r="AN77" s="165" t="str">
        <f t="shared" si="11"/>
        <v>13005 HILMAR CHEESE : Retard livraison / Diam des pièces hors spec + slot sales</v>
      </c>
    </row>
    <row r="78" spans="1:40" s="76" customFormat="1" ht="13" hidden="1" x14ac:dyDescent="0.3">
      <c r="A78" s="122"/>
      <c r="B78" s="116">
        <v>13006</v>
      </c>
      <c r="C78" s="113" t="s">
        <v>4</v>
      </c>
      <c r="D78" s="117">
        <v>41290</v>
      </c>
      <c r="E78" s="118" t="s">
        <v>273</v>
      </c>
      <c r="F78" s="118"/>
      <c r="G78" s="111" t="s">
        <v>331</v>
      </c>
      <c r="H78" s="111" t="s">
        <v>332</v>
      </c>
      <c r="I78" s="119" t="s">
        <v>2056</v>
      </c>
      <c r="J78" s="113"/>
      <c r="K78" s="118"/>
      <c r="L78" s="118" t="s">
        <v>333</v>
      </c>
      <c r="M78" s="118" t="s">
        <v>16</v>
      </c>
      <c r="N78" s="120" t="s">
        <v>152</v>
      </c>
      <c r="O78" s="111" t="s">
        <v>28</v>
      </c>
      <c r="P78" s="111" t="s">
        <v>103</v>
      </c>
      <c r="Q78" s="111"/>
      <c r="R78" s="111" t="s">
        <v>145</v>
      </c>
      <c r="S78" s="111"/>
      <c r="T78" s="128" t="s">
        <v>334</v>
      </c>
      <c r="U78" s="64">
        <v>41292</v>
      </c>
      <c r="V78" s="158" t="s">
        <v>6</v>
      </c>
      <c r="W78" s="118" t="s">
        <v>273</v>
      </c>
      <c r="X78" s="113"/>
      <c r="Y78" s="117">
        <f t="shared" si="6"/>
        <v>41380</v>
      </c>
      <c r="Z78" s="117">
        <v>41520</v>
      </c>
      <c r="AA78" s="161" t="str">
        <f t="shared" ca="1" si="7"/>
        <v>NO</v>
      </c>
      <c r="AB78" s="113"/>
      <c r="AC78" s="117"/>
      <c r="AD78" s="111"/>
      <c r="AE78" s="111"/>
      <c r="AF78" s="111" t="str">
        <f t="shared" ca="1" si="8"/>
        <v>N/A</v>
      </c>
      <c r="AG78" s="162"/>
      <c r="AH78" s="162"/>
      <c r="AI78" s="164">
        <f t="shared" si="9"/>
        <v>0</v>
      </c>
      <c r="AJ78" s="118" t="s">
        <v>6</v>
      </c>
      <c r="AK78" s="113">
        <v>41520</v>
      </c>
      <c r="AL78" s="118"/>
      <c r="AM78" s="165" t="str">
        <f t="shared" si="10"/>
        <v>13006 Nestlé</v>
      </c>
      <c r="AN78" s="165" t="str">
        <f t="shared" si="11"/>
        <v>13006 Nestlé : Retard livraison</v>
      </c>
    </row>
    <row r="79" spans="1:40" s="76" customFormat="1" ht="13" hidden="1" x14ac:dyDescent="0.3">
      <c r="A79" s="122"/>
      <c r="B79" s="116">
        <v>13007</v>
      </c>
      <c r="C79" s="113" t="s">
        <v>4</v>
      </c>
      <c r="D79" s="117">
        <v>41297</v>
      </c>
      <c r="E79" s="118" t="s">
        <v>335</v>
      </c>
      <c r="F79" s="118"/>
      <c r="G79" s="111" t="s">
        <v>336</v>
      </c>
      <c r="H79" s="111"/>
      <c r="I79" s="119" t="s">
        <v>2057</v>
      </c>
      <c r="J79" s="113"/>
      <c r="K79" s="118"/>
      <c r="L79" s="118" t="s">
        <v>337</v>
      </c>
      <c r="M79" s="118" t="s">
        <v>338</v>
      </c>
      <c r="N79" s="120" t="s">
        <v>339</v>
      </c>
      <c r="O79" s="111" t="s">
        <v>29</v>
      </c>
      <c r="P79" s="111" t="s">
        <v>86</v>
      </c>
      <c r="Q79" s="111"/>
      <c r="R79" s="111" t="s">
        <v>15</v>
      </c>
      <c r="S79" s="111"/>
      <c r="T79" s="118"/>
      <c r="U79" s="64">
        <v>41285</v>
      </c>
      <c r="V79" s="158" t="s">
        <v>10</v>
      </c>
      <c r="W79" s="118"/>
      <c r="X79" s="113"/>
      <c r="Y79" s="117">
        <f t="shared" si="6"/>
        <v>41387</v>
      </c>
      <c r="Z79" s="117">
        <v>41379</v>
      </c>
      <c r="AA79" s="161" t="str">
        <f t="shared" ca="1" si="7"/>
        <v>YES</v>
      </c>
      <c r="AB79" s="113"/>
      <c r="AC79" s="117"/>
      <c r="AD79" s="111"/>
      <c r="AE79" s="111"/>
      <c r="AF79" s="111" t="str">
        <f t="shared" ca="1" si="8"/>
        <v>N/A</v>
      </c>
      <c r="AG79" s="162"/>
      <c r="AH79" s="162"/>
      <c r="AI79" s="164">
        <f t="shared" si="9"/>
        <v>0</v>
      </c>
      <c r="AJ79" s="118" t="s">
        <v>6</v>
      </c>
      <c r="AK79" s="113">
        <v>41379</v>
      </c>
      <c r="AL79" s="118"/>
      <c r="AM79" s="165" t="str">
        <f t="shared" si="10"/>
        <v>13007 SHUANGQIAO6</v>
      </c>
      <c r="AN79" s="165" t="str">
        <f t="shared" si="11"/>
        <v>13007 SHUANGQIAO6 : Erreur affectation vannes dans coffrets locaux</v>
      </c>
    </row>
    <row r="80" spans="1:40" s="76" customFormat="1" ht="13" hidden="1" x14ac:dyDescent="0.3">
      <c r="A80" s="122"/>
      <c r="B80" s="116">
        <v>13008</v>
      </c>
      <c r="C80" s="113" t="s">
        <v>4</v>
      </c>
      <c r="D80" s="117">
        <v>41305</v>
      </c>
      <c r="E80" s="118" t="s">
        <v>99</v>
      </c>
      <c r="F80" s="118"/>
      <c r="G80" s="111" t="s">
        <v>340</v>
      </c>
      <c r="H80" s="111" t="s">
        <v>341</v>
      </c>
      <c r="I80" s="119" t="s">
        <v>5</v>
      </c>
      <c r="J80" s="113"/>
      <c r="K80" s="118"/>
      <c r="L80" s="118" t="s">
        <v>342</v>
      </c>
      <c r="M80" s="118" t="s">
        <v>16</v>
      </c>
      <c r="N80" s="120" t="s">
        <v>343</v>
      </c>
      <c r="O80" s="111" t="s">
        <v>28</v>
      </c>
      <c r="P80" s="111" t="s">
        <v>103</v>
      </c>
      <c r="Q80" s="111"/>
      <c r="R80" s="111" t="s">
        <v>145</v>
      </c>
      <c r="S80" s="111"/>
      <c r="T80" s="118"/>
      <c r="U80" s="64">
        <v>41261</v>
      </c>
      <c r="V80" s="158" t="s">
        <v>6</v>
      </c>
      <c r="W80" s="118" t="s">
        <v>99</v>
      </c>
      <c r="X80" s="113"/>
      <c r="Y80" s="117">
        <f t="shared" si="6"/>
        <v>41394</v>
      </c>
      <c r="Z80" s="117">
        <v>41388</v>
      </c>
      <c r="AA80" s="161" t="str">
        <f t="shared" ca="1" si="7"/>
        <v>YES</v>
      </c>
      <c r="AB80" s="113"/>
      <c r="AC80" s="117"/>
      <c r="AD80" s="111"/>
      <c r="AE80" s="111"/>
      <c r="AF80" s="111" t="str">
        <f t="shared" ca="1" si="8"/>
        <v/>
      </c>
      <c r="AG80" s="162"/>
      <c r="AH80" s="162"/>
      <c r="AI80" s="164">
        <f t="shared" si="9"/>
        <v>0</v>
      </c>
      <c r="AJ80" s="118" t="s">
        <v>6</v>
      </c>
      <c r="AK80" s="113">
        <v>41388</v>
      </c>
      <c r="AL80" s="118"/>
      <c r="AM80" s="165" t="str">
        <f t="shared" si="10"/>
        <v>13008 AGRANA</v>
      </c>
      <c r="AN80" s="165" t="str">
        <f t="shared" si="11"/>
        <v>13008 AGRANA : Griffes de fixation modules trop longues</v>
      </c>
    </row>
    <row r="81" spans="1:40" s="76" customFormat="1" ht="13" hidden="1" x14ac:dyDescent="0.3">
      <c r="A81" s="122"/>
      <c r="B81" s="116">
        <v>13009</v>
      </c>
      <c r="C81" s="113" t="s">
        <v>4</v>
      </c>
      <c r="D81" s="117">
        <v>41311</v>
      </c>
      <c r="E81" s="118" t="s">
        <v>116</v>
      </c>
      <c r="F81" s="118"/>
      <c r="G81" s="111" t="s">
        <v>344</v>
      </c>
      <c r="H81" s="111" t="s">
        <v>345</v>
      </c>
      <c r="I81" s="119" t="s">
        <v>5</v>
      </c>
      <c r="J81" s="113" t="s">
        <v>6</v>
      </c>
      <c r="K81" s="118"/>
      <c r="L81" s="118" t="s">
        <v>346</v>
      </c>
      <c r="M81" s="118" t="s">
        <v>11</v>
      </c>
      <c r="N81" s="120" t="s">
        <v>347</v>
      </c>
      <c r="O81" s="111" t="s">
        <v>29</v>
      </c>
      <c r="P81" s="111" t="s">
        <v>86</v>
      </c>
      <c r="Q81" s="111" t="s">
        <v>176</v>
      </c>
      <c r="R81" s="111" t="s">
        <v>145</v>
      </c>
      <c r="S81" s="111"/>
      <c r="T81" s="118"/>
      <c r="U81" s="64">
        <v>41260</v>
      </c>
      <c r="V81" s="158" t="s">
        <v>6</v>
      </c>
      <c r="W81" s="118" t="s">
        <v>116</v>
      </c>
      <c r="X81" s="113"/>
      <c r="Y81" s="117">
        <f t="shared" si="6"/>
        <v>41400</v>
      </c>
      <c r="Z81" s="117">
        <v>42531</v>
      </c>
      <c r="AA81" s="161" t="str">
        <f t="shared" ca="1" si="7"/>
        <v>NO</v>
      </c>
      <c r="AB81" s="113"/>
      <c r="AC81" s="117"/>
      <c r="AD81" s="111" t="s">
        <v>348</v>
      </c>
      <c r="AE81" s="111"/>
      <c r="AF81" s="111" t="str">
        <f t="shared" ca="1" si="8"/>
        <v>YES</v>
      </c>
      <c r="AG81" s="162"/>
      <c r="AH81" s="162"/>
      <c r="AI81" s="164">
        <f t="shared" si="9"/>
        <v>0</v>
      </c>
      <c r="AJ81" s="118" t="s">
        <v>6</v>
      </c>
      <c r="AK81" s="113">
        <v>42531</v>
      </c>
      <c r="AL81" s="118"/>
      <c r="AM81" s="165" t="str">
        <f t="shared" si="10"/>
        <v xml:space="preserve">13009 TTCA / ENSIGN / </v>
      </c>
      <c r="AN81" s="165" t="str">
        <f t="shared" si="11"/>
        <v>13009 TTCA / ENSIGN /  : Corrosion  rubber-lining columns</v>
      </c>
    </row>
    <row r="82" spans="1:40" s="76" customFormat="1" ht="13" hidden="1" x14ac:dyDescent="0.3">
      <c r="A82" s="122"/>
      <c r="B82" s="116">
        <v>13010</v>
      </c>
      <c r="C82" s="113" t="s">
        <v>4</v>
      </c>
      <c r="D82" s="117">
        <v>41319</v>
      </c>
      <c r="E82" s="118" t="s">
        <v>319</v>
      </c>
      <c r="F82" s="118"/>
      <c r="G82" s="111" t="s">
        <v>349</v>
      </c>
      <c r="H82" s="111" t="s">
        <v>350</v>
      </c>
      <c r="I82" s="119" t="s">
        <v>2057</v>
      </c>
      <c r="J82" s="113"/>
      <c r="K82" s="118"/>
      <c r="L82" s="118" t="s">
        <v>303</v>
      </c>
      <c r="M82" s="118" t="s">
        <v>13</v>
      </c>
      <c r="N82" s="120" t="s">
        <v>351</v>
      </c>
      <c r="O82" s="111" t="s">
        <v>29</v>
      </c>
      <c r="P82" s="111" t="s">
        <v>86</v>
      </c>
      <c r="Q82" s="111" t="s">
        <v>176</v>
      </c>
      <c r="R82" s="111" t="s">
        <v>15</v>
      </c>
      <c r="S82" s="111"/>
      <c r="T82" s="118"/>
      <c r="U82" s="64">
        <v>41108</v>
      </c>
      <c r="V82" s="158" t="s">
        <v>10</v>
      </c>
      <c r="W82" s="118"/>
      <c r="X82" s="113"/>
      <c r="Y82" s="117">
        <f t="shared" si="6"/>
        <v>41408</v>
      </c>
      <c r="Z82" s="117">
        <v>41407</v>
      </c>
      <c r="AA82" s="161" t="str">
        <f t="shared" ca="1" si="7"/>
        <v>YES</v>
      </c>
      <c r="AB82" s="113"/>
      <c r="AC82" s="117"/>
      <c r="AD82" s="111"/>
      <c r="AE82" s="111"/>
      <c r="AF82" s="111" t="str">
        <f t="shared" ca="1" si="8"/>
        <v>N/A</v>
      </c>
      <c r="AG82" s="162"/>
      <c r="AH82" s="162"/>
      <c r="AI82" s="164">
        <f t="shared" si="9"/>
        <v>0</v>
      </c>
      <c r="AJ82" s="118" t="s">
        <v>6</v>
      </c>
      <c r="AK82" s="113">
        <v>41407</v>
      </c>
      <c r="AL82" s="118"/>
      <c r="AM82" s="165" t="str">
        <f t="shared" si="10"/>
        <v>13010 CJ GMP2</v>
      </c>
      <c r="AN82" s="165" t="str">
        <f t="shared" si="11"/>
        <v>13010 CJ GMP2 : Certificat ACS de crépines non fournit</v>
      </c>
    </row>
    <row r="83" spans="1:40" s="76" customFormat="1" ht="13" hidden="1" x14ac:dyDescent="0.3">
      <c r="A83" s="122"/>
      <c r="B83" s="116">
        <v>13011</v>
      </c>
      <c r="C83" s="113" t="s">
        <v>4</v>
      </c>
      <c r="D83" s="117">
        <v>41319</v>
      </c>
      <c r="E83" s="118" t="s">
        <v>319</v>
      </c>
      <c r="F83" s="118"/>
      <c r="G83" s="111" t="s">
        <v>349</v>
      </c>
      <c r="H83" s="111" t="s">
        <v>352</v>
      </c>
      <c r="I83" s="119" t="s">
        <v>2056</v>
      </c>
      <c r="J83" s="113"/>
      <c r="K83" s="118"/>
      <c r="L83" s="118" t="s">
        <v>303</v>
      </c>
      <c r="M83" s="118" t="s">
        <v>13</v>
      </c>
      <c r="N83" s="120" t="s">
        <v>353</v>
      </c>
      <c r="O83" s="111" t="s">
        <v>29</v>
      </c>
      <c r="P83" s="111" t="s">
        <v>86</v>
      </c>
      <c r="Q83" s="111" t="s">
        <v>176</v>
      </c>
      <c r="R83" s="111" t="s">
        <v>145</v>
      </c>
      <c r="S83" s="111"/>
      <c r="T83" s="118"/>
      <c r="U83" s="64">
        <v>41204</v>
      </c>
      <c r="V83" s="158" t="s">
        <v>10</v>
      </c>
      <c r="W83" s="118"/>
      <c r="X83" s="113"/>
      <c r="Y83" s="117">
        <f t="shared" si="6"/>
        <v>41408</v>
      </c>
      <c r="Z83" s="117">
        <v>41407</v>
      </c>
      <c r="AA83" s="161" t="str">
        <f t="shared" ca="1" si="7"/>
        <v>YES</v>
      </c>
      <c r="AB83" s="113"/>
      <c r="AC83" s="117"/>
      <c r="AD83" s="111"/>
      <c r="AE83" s="111"/>
      <c r="AF83" s="111" t="str">
        <f t="shared" ca="1" si="8"/>
        <v>N/A</v>
      </c>
      <c r="AG83" s="162"/>
      <c r="AH83" s="162"/>
      <c r="AI83" s="164">
        <f t="shared" si="9"/>
        <v>0</v>
      </c>
      <c r="AJ83" s="118" t="s">
        <v>6</v>
      </c>
      <c r="AK83" s="113">
        <v>41407</v>
      </c>
      <c r="AL83" s="118"/>
      <c r="AM83" s="165" t="str">
        <f t="shared" si="10"/>
        <v>13011 CJ GMP2</v>
      </c>
      <c r="AN83" s="165" t="str">
        <f t="shared" si="11"/>
        <v>13011 CJ GMP2 : Deviation on box assembly</v>
      </c>
    </row>
    <row r="84" spans="1:40" s="76" customFormat="1" ht="13" hidden="1" x14ac:dyDescent="0.3">
      <c r="A84" s="122"/>
      <c r="B84" s="116">
        <v>13012</v>
      </c>
      <c r="C84" s="113" t="s">
        <v>4</v>
      </c>
      <c r="D84" s="117">
        <v>41331</v>
      </c>
      <c r="E84" s="118" t="s">
        <v>239</v>
      </c>
      <c r="F84" s="118"/>
      <c r="G84" s="111" t="s">
        <v>354</v>
      </c>
      <c r="H84" s="111"/>
      <c r="I84" s="119" t="s">
        <v>2057</v>
      </c>
      <c r="J84" s="113"/>
      <c r="K84" s="118"/>
      <c r="L84" s="118" t="s">
        <v>241</v>
      </c>
      <c r="M84" s="118" t="s">
        <v>13</v>
      </c>
      <c r="N84" s="120" t="s">
        <v>355</v>
      </c>
      <c r="O84" s="111" t="s">
        <v>29</v>
      </c>
      <c r="P84" s="111" t="s">
        <v>86</v>
      </c>
      <c r="Q84" s="111" t="s">
        <v>176</v>
      </c>
      <c r="R84" s="111" t="s">
        <v>15</v>
      </c>
      <c r="S84" s="111"/>
      <c r="T84" s="118"/>
      <c r="U84" s="64">
        <v>41333</v>
      </c>
      <c r="V84" s="158" t="s">
        <v>6</v>
      </c>
      <c r="W84" s="118" t="s">
        <v>120</v>
      </c>
      <c r="X84" s="113"/>
      <c r="Y84" s="117">
        <f t="shared" si="6"/>
        <v>41420</v>
      </c>
      <c r="Z84" s="117">
        <v>41408</v>
      </c>
      <c r="AA84" s="161" t="str">
        <f t="shared" ca="1" si="7"/>
        <v>YES</v>
      </c>
      <c r="AB84" s="113"/>
      <c r="AC84" s="117"/>
      <c r="AD84" s="111"/>
      <c r="AE84" s="111"/>
      <c r="AF84" s="111" t="str">
        <f t="shared" ca="1" si="8"/>
        <v>N/A</v>
      </c>
      <c r="AG84" s="162"/>
      <c r="AH84" s="162"/>
      <c r="AI84" s="164">
        <f t="shared" si="9"/>
        <v>0</v>
      </c>
      <c r="AJ84" s="118" t="s">
        <v>6</v>
      </c>
      <c r="AK84" s="113">
        <v>41408</v>
      </c>
      <c r="AL84" s="118"/>
      <c r="AM84" s="165" t="str">
        <f t="shared" si="10"/>
        <v>13012 ADM Columbus</v>
      </c>
      <c r="AN84" s="165" t="str">
        <f t="shared" si="11"/>
        <v>13012 ADM Columbus : EPDM gaskets are not food grade</v>
      </c>
    </row>
    <row r="85" spans="1:40" s="76" customFormat="1" ht="13" hidden="1" x14ac:dyDescent="0.3">
      <c r="A85" s="122"/>
      <c r="B85" s="116">
        <v>13013</v>
      </c>
      <c r="C85" s="113" t="s">
        <v>4</v>
      </c>
      <c r="D85" s="117">
        <v>41372</v>
      </c>
      <c r="E85" s="118" t="s">
        <v>129</v>
      </c>
      <c r="F85" s="118"/>
      <c r="G85" s="111" t="s">
        <v>356</v>
      </c>
      <c r="H85" s="111" t="s">
        <v>357</v>
      </c>
      <c r="I85" s="119" t="s">
        <v>5</v>
      </c>
      <c r="J85" s="113"/>
      <c r="K85" s="118"/>
      <c r="L85" s="118" t="s">
        <v>358</v>
      </c>
      <c r="M85" s="118" t="s">
        <v>359</v>
      </c>
      <c r="N85" s="120" t="s">
        <v>360</v>
      </c>
      <c r="O85" s="111" t="s">
        <v>28</v>
      </c>
      <c r="P85" s="111" t="s">
        <v>103</v>
      </c>
      <c r="Q85" s="111"/>
      <c r="R85" s="111" t="s">
        <v>145</v>
      </c>
      <c r="S85" s="111"/>
      <c r="T85" s="118"/>
      <c r="U85" s="64">
        <v>41421</v>
      </c>
      <c r="V85" s="158" t="s">
        <v>6</v>
      </c>
      <c r="W85" s="118" t="s">
        <v>129</v>
      </c>
      <c r="X85" s="113"/>
      <c r="Y85" s="117">
        <f t="shared" si="6"/>
        <v>41463</v>
      </c>
      <c r="Z85" s="117">
        <v>41459</v>
      </c>
      <c r="AA85" s="161" t="str">
        <f t="shared" ca="1" si="7"/>
        <v>YES</v>
      </c>
      <c r="AB85" s="113"/>
      <c r="AC85" s="117"/>
      <c r="AD85" s="111"/>
      <c r="AE85" s="111"/>
      <c r="AF85" s="111" t="str">
        <f t="shared" ca="1" si="8"/>
        <v/>
      </c>
      <c r="AG85" s="162"/>
      <c r="AH85" s="162"/>
      <c r="AI85" s="164">
        <f t="shared" si="9"/>
        <v>0</v>
      </c>
      <c r="AJ85" s="118" t="s">
        <v>6</v>
      </c>
      <c r="AK85" s="113">
        <v>41453</v>
      </c>
      <c r="AL85" s="118"/>
      <c r="AM85" s="165" t="str">
        <f t="shared" si="10"/>
        <v>13013 MEIHUA</v>
      </c>
      <c r="AN85" s="165" t="str">
        <f t="shared" si="11"/>
        <v>13013 MEIHUA : Défaufts d'aspect mbres Kerasep BW 150 KD</v>
      </c>
    </row>
    <row r="86" spans="1:40" s="76" customFormat="1" ht="13" hidden="1" x14ac:dyDescent="0.3">
      <c r="A86" s="122"/>
      <c r="B86" s="116">
        <v>13014</v>
      </c>
      <c r="C86" s="113" t="s">
        <v>4</v>
      </c>
      <c r="D86" s="117">
        <v>41372</v>
      </c>
      <c r="E86" s="118" t="s">
        <v>99</v>
      </c>
      <c r="F86" s="118"/>
      <c r="G86" s="111" t="s">
        <v>340</v>
      </c>
      <c r="H86" s="111"/>
      <c r="I86" s="119" t="s">
        <v>5</v>
      </c>
      <c r="J86" s="113"/>
      <c r="K86" s="118"/>
      <c r="L86" s="118" t="s">
        <v>361</v>
      </c>
      <c r="M86" s="118" t="s">
        <v>338</v>
      </c>
      <c r="N86" s="120" t="s">
        <v>362</v>
      </c>
      <c r="O86" s="111" t="s">
        <v>28</v>
      </c>
      <c r="P86" s="111" t="s">
        <v>103</v>
      </c>
      <c r="Q86" s="111"/>
      <c r="R86" s="111" t="s">
        <v>145</v>
      </c>
      <c r="S86" s="111"/>
      <c r="T86" s="118"/>
      <c r="U86" s="64">
        <v>41409</v>
      </c>
      <c r="V86" s="158" t="s">
        <v>6</v>
      </c>
      <c r="W86" s="118" t="s">
        <v>99</v>
      </c>
      <c r="X86" s="113"/>
      <c r="Y86" s="117">
        <f t="shared" si="6"/>
        <v>41463</v>
      </c>
      <c r="Z86" s="117">
        <v>41557</v>
      </c>
      <c r="AA86" s="161" t="str">
        <f t="shared" ca="1" si="7"/>
        <v>NO</v>
      </c>
      <c r="AB86" s="113"/>
      <c r="AC86" s="117"/>
      <c r="AD86" s="111"/>
      <c r="AE86" s="111"/>
      <c r="AF86" s="111" t="str">
        <f t="shared" ca="1" si="8"/>
        <v/>
      </c>
      <c r="AG86" s="162"/>
      <c r="AH86" s="162"/>
      <c r="AI86" s="164">
        <f t="shared" si="9"/>
        <v>0</v>
      </c>
      <c r="AJ86" s="118" t="s">
        <v>6</v>
      </c>
      <c r="AK86" s="113">
        <v>41557</v>
      </c>
      <c r="AL86" s="118"/>
      <c r="AM86" s="165" t="str">
        <f t="shared" si="10"/>
        <v>13014 AGRANA</v>
      </c>
      <c r="AN86" s="165" t="str">
        <f t="shared" si="11"/>
        <v>13014 AGRANA : Casses membranes en extrémité</v>
      </c>
    </row>
    <row r="87" spans="1:40" s="76" customFormat="1" ht="13" hidden="1" x14ac:dyDescent="0.3">
      <c r="A87" s="122"/>
      <c r="B87" s="116">
        <v>13015</v>
      </c>
      <c r="C87" s="113" t="s">
        <v>4</v>
      </c>
      <c r="D87" s="117">
        <v>41386</v>
      </c>
      <c r="E87" s="118" t="s">
        <v>335</v>
      </c>
      <c r="F87" s="118"/>
      <c r="G87" s="111" t="s">
        <v>336</v>
      </c>
      <c r="H87" s="111" t="s">
        <v>363</v>
      </c>
      <c r="I87" s="119" t="s">
        <v>2056</v>
      </c>
      <c r="J87" s="113"/>
      <c r="K87" s="118"/>
      <c r="L87" s="118" t="s">
        <v>337</v>
      </c>
      <c r="M87" s="118" t="s">
        <v>338</v>
      </c>
      <c r="N87" s="120" t="s">
        <v>364</v>
      </c>
      <c r="O87" s="111" t="s">
        <v>29</v>
      </c>
      <c r="P87" s="111" t="s">
        <v>176</v>
      </c>
      <c r="Q87" s="111" t="s">
        <v>164</v>
      </c>
      <c r="R87" s="111" t="s">
        <v>145</v>
      </c>
      <c r="S87" s="111"/>
      <c r="T87" s="128" t="s">
        <v>365</v>
      </c>
      <c r="U87" s="64">
        <v>41354</v>
      </c>
      <c r="V87" s="158" t="s">
        <v>10</v>
      </c>
      <c r="W87" s="118"/>
      <c r="X87" s="113"/>
      <c r="Y87" s="117">
        <f t="shared" si="6"/>
        <v>41477</v>
      </c>
      <c r="Z87" s="117">
        <v>41472</v>
      </c>
      <c r="AA87" s="161" t="str">
        <f t="shared" ca="1" si="7"/>
        <v>YES</v>
      </c>
      <c r="AB87" s="113"/>
      <c r="AC87" s="117"/>
      <c r="AD87" s="111"/>
      <c r="AE87" s="111"/>
      <c r="AF87" s="111" t="str">
        <f t="shared" ca="1" si="8"/>
        <v>N/A</v>
      </c>
      <c r="AG87" s="162"/>
      <c r="AH87" s="162"/>
      <c r="AI87" s="164">
        <f t="shared" si="9"/>
        <v>0</v>
      </c>
      <c r="AJ87" s="118" t="s">
        <v>6</v>
      </c>
      <c r="AK87" s="113">
        <v>41467</v>
      </c>
      <c r="AL87" s="118"/>
      <c r="AM87" s="165" t="str">
        <f t="shared" si="10"/>
        <v>13015 SHUANGQIAO6</v>
      </c>
      <c r="AN87" s="165" t="str">
        <f t="shared" si="11"/>
        <v>13015 SHUANGQIAO6 : Nombre d'électrovannes assemblés dans îlot</v>
      </c>
    </row>
    <row r="88" spans="1:40" s="76" customFormat="1" ht="13" hidden="1" x14ac:dyDescent="0.3">
      <c r="A88" s="122"/>
      <c r="B88" s="116">
        <v>13016</v>
      </c>
      <c r="C88" s="113" t="s">
        <v>4</v>
      </c>
      <c r="D88" s="117">
        <v>41389</v>
      </c>
      <c r="E88" s="118" t="s">
        <v>366</v>
      </c>
      <c r="F88" s="118"/>
      <c r="G88" s="111" t="s">
        <v>367</v>
      </c>
      <c r="H88" s="111"/>
      <c r="I88" s="119" t="s">
        <v>2058</v>
      </c>
      <c r="J88" s="113"/>
      <c r="K88" s="118"/>
      <c r="L88" s="118" t="s">
        <v>317</v>
      </c>
      <c r="M88" s="118"/>
      <c r="N88" s="120" t="s">
        <v>368</v>
      </c>
      <c r="O88" s="111"/>
      <c r="P88" s="111" t="s">
        <v>80</v>
      </c>
      <c r="Q88" s="111"/>
      <c r="R88" s="111" t="s">
        <v>15</v>
      </c>
      <c r="S88" s="111"/>
      <c r="T88" s="118"/>
      <c r="U88" s="64">
        <v>41382</v>
      </c>
      <c r="V88" s="158" t="s">
        <v>6</v>
      </c>
      <c r="W88" s="118" t="s">
        <v>258</v>
      </c>
      <c r="X88" s="113"/>
      <c r="Y88" s="117">
        <f t="shared" si="6"/>
        <v>41480</v>
      </c>
      <c r="Z88" s="117">
        <v>41450</v>
      </c>
      <c r="AA88" s="161" t="str">
        <f t="shared" ca="1" si="7"/>
        <v>YES</v>
      </c>
      <c r="AB88" s="113"/>
      <c r="AC88" s="117"/>
      <c r="AD88" s="111"/>
      <c r="AE88" s="111"/>
      <c r="AF88" s="111" t="str">
        <f t="shared" ca="1" si="8"/>
        <v>N/A</v>
      </c>
      <c r="AG88" s="162"/>
      <c r="AH88" s="162"/>
      <c r="AI88" s="164">
        <f t="shared" si="9"/>
        <v>0</v>
      </c>
      <c r="AJ88" s="118" t="s">
        <v>6</v>
      </c>
      <c r="AK88" s="113">
        <v>41450</v>
      </c>
      <c r="AL88" s="118"/>
      <c r="AM88" s="165" t="str">
        <f t="shared" si="10"/>
        <v>13016 GOS SWW</v>
      </c>
      <c r="AN88" s="165" t="str">
        <f t="shared" si="11"/>
        <v>13016 GOS SWW : Brûlure doigts main gauche</v>
      </c>
    </row>
    <row r="89" spans="1:40" s="76" customFormat="1" ht="13" hidden="1" x14ac:dyDescent="0.3">
      <c r="A89" s="122"/>
      <c r="B89" s="116">
        <v>13017</v>
      </c>
      <c r="C89" s="113" t="s">
        <v>4</v>
      </c>
      <c r="D89" s="117">
        <v>41401</v>
      </c>
      <c r="E89" s="118" t="s">
        <v>212</v>
      </c>
      <c r="F89" s="118"/>
      <c r="G89" s="111" t="s">
        <v>299</v>
      </c>
      <c r="H89" s="111"/>
      <c r="I89" s="119" t="s">
        <v>5</v>
      </c>
      <c r="J89" s="113" t="s">
        <v>6</v>
      </c>
      <c r="K89" s="118"/>
      <c r="L89" s="118" t="s">
        <v>263</v>
      </c>
      <c r="M89" s="118" t="s">
        <v>13</v>
      </c>
      <c r="N89" s="120" t="s">
        <v>369</v>
      </c>
      <c r="O89" s="111" t="s">
        <v>29</v>
      </c>
      <c r="P89" s="111" t="s">
        <v>157</v>
      </c>
      <c r="Q89" s="111" t="s">
        <v>164</v>
      </c>
      <c r="R89" s="111" t="s">
        <v>9</v>
      </c>
      <c r="S89" s="111"/>
      <c r="T89" s="118"/>
      <c r="U89" s="64">
        <v>41379</v>
      </c>
      <c r="V89" s="158" t="s">
        <v>6</v>
      </c>
      <c r="W89" s="118" t="s">
        <v>212</v>
      </c>
      <c r="X89" s="113"/>
      <c r="Y89" s="117">
        <f t="shared" si="6"/>
        <v>41493</v>
      </c>
      <c r="Z89" s="117">
        <v>42488</v>
      </c>
      <c r="AA89" s="161" t="str">
        <f t="shared" ca="1" si="7"/>
        <v>NO</v>
      </c>
      <c r="AB89" s="113"/>
      <c r="AC89" s="117"/>
      <c r="AD89" s="111" t="s">
        <v>348</v>
      </c>
      <c r="AE89" s="111"/>
      <c r="AF89" s="111" t="str">
        <f t="shared" ca="1" si="8"/>
        <v>YES</v>
      </c>
      <c r="AG89" s="162"/>
      <c r="AH89" s="162"/>
      <c r="AI89" s="164">
        <f t="shared" si="9"/>
        <v>0</v>
      </c>
      <c r="AJ89" s="118"/>
      <c r="AK89" s="113"/>
      <c r="AL89" s="118"/>
      <c r="AM89" s="165" t="str">
        <f t="shared" si="10"/>
        <v>13017 METIDJI</v>
      </c>
      <c r="AN89" s="165" t="str">
        <f t="shared" si="11"/>
        <v>13017 METIDJI : Couleur sirop et capacité nominale non atteinte</v>
      </c>
    </row>
    <row r="90" spans="1:40" s="76" customFormat="1" ht="13" hidden="1" x14ac:dyDescent="0.3">
      <c r="A90" s="122"/>
      <c r="B90" s="116">
        <v>13018</v>
      </c>
      <c r="C90" s="113" t="s">
        <v>4</v>
      </c>
      <c r="D90" s="117">
        <v>41421</v>
      </c>
      <c r="E90" s="118" t="s">
        <v>370</v>
      </c>
      <c r="F90" s="118"/>
      <c r="G90" s="111" t="s">
        <v>229</v>
      </c>
      <c r="H90" s="111"/>
      <c r="I90" s="119" t="s">
        <v>2057</v>
      </c>
      <c r="J90" s="113"/>
      <c r="K90" s="118"/>
      <c r="L90" s="118" t="s">
        <v>371</v>
      </c>
      <c r="M90" s="118"/>
      <c r="N90" s="120" t="s">
        <v>372</v>
      </c>
      <c r="O90" s="111" t="s">
        <v>28</v>
      </c>
      <c r="P90" s="111" t="s">
        <v>80</v>
      </c>
      <c r="Q90" s="111" t="s">
        <v>176</v>
      </c>
      <c r="R90" s="111" t="s">
        <v>9</v>
      </c>
      <c r="S90" s="111"/>
      <c r="T90" s="118"/>
      <c r="U90" s="64">
        <v>41382</v>
      </c>
      <c r="V90" s="158" t="s">
        <v>6</v>
      </c>
      <c r="W90" s="118" t="s">
        <v>258</v>
      </c>
      <c r="X90" s="113"/>
      <c r="Y90" s="117">
        <f t="shared" si="6"/>
        <v>41513</v>
      </c>
      <c r="Z90" s="117">
        <v>41506</v>
      </c>
      <c r="AA90" s="161" t="str">
        <f t="shared" ca="1" si="7"/>
        <v>YES</v>
      </c>
      <c r="AB90" s="113"/>
      <c r="AC90" s="117"/>
      <c r="AD90" s="111"/>
      <c r="AE90" s="111"/>
      <c r="AF90" s="111" t="str">
        <f t="shared" ca="1" si="8"/>
        <v>N/A</v>
      </c>
      <c r="AG90" s="162"/>
      <c r="AH90" s="162"/>
      <c r="AI90" s="164">
        <f t="shared" si="9"/>
        <v>0</v>
      </c>
      <c r="AJ90" s="118" t="s">
        <v>6</v>
      </c>
      <c r="AK90" s="113">
        <v>41506</v>
      </c>
      <c r="AL90" s="118"/>
      <c r="AM90" s="165" t="str">
        <f t="shared" si="10"/>
        <v>13018 Fisher Bioblock Scientific</v>
      </c>
      <c r="AN90" s="165" t="str">
        <f t="shared" si="11"/>
        <v>13018 Fisher Bioblock Scientific : pb  organisation gestion des réappro</v>
      </c>
    </row>
    <row r="91" spans="1:40" s="76" customFormat="1" ht="13" hidden="1" x14ac:dyDescent="0.3">
      <c r="A91" s="122"/>
      <c r="B91" s="116">
        <v>13019</v>
      </c>
      <c r="C91" s="113" t="s">
        <v>4</v>
      </c>
      <c r="D91" s="117">
        <v>41424</v>
      </c>
      <c r="E91" s="118" t="s">
        <v>221</v>
      </c>
      <c r="F91" s="118"/>
      <c r="G91" s="111" t="s">
        <v>373</v>
      </c>
      <c r="H91" s="111" t="s">
        <v>374</v>
      </c>
      <c r="I91" s="119" t="s">
        <v>2057</v>
      </c>
      <c r="J91" s="113"/>
      <c r="K91" s="118"/>
      <c r="L91" s="118" t="s">
        <v>375</v>
      </c>
      <c r="M91" s="118" t="s">
        <v>13</v>
      </c>
      <c r="N91" s="120" t="s">
        <v>376</v>
      </c>
      <c r="O91" s="111" t="s">
        <v>29</v>
      </c>
      <c r="P91" s="111" t="s">
        <v>86</v>
      </c>
      <c r="Q91" s="111" t="s">
        <v>176</v>
      </c>
      <c r="R91" s="111" t="s">
        <v>145</v>
      </c>
      <c r="S91" s="111"/>
      <c r="T91" s="128" t="s">
        <v>374</v>
      </c>
      <c r="U91" s="64">
        <v>41428</v>
      </c>
      <c r="V91" s="158" t="s">
        <v>6</v>
      </c>
      <c r="W91" s="118" t="s">
        <v>224</v>
      </c>
      <c r="X91" s="113"/>
      <c r="Y91" s="117">
        <f t="shared" si="6"/>
        <v>41516</v>
      </c>
      <c r="Z91" s="117">
        <v>41512</v>
      </c>
      <c r="AA91" s="161" t="str">
        <f t="shared" ca="1" si="7"/>
        <v>YES</v>
      </c>
      <c r="AB91" s="113"/>
      <c r="AC91" s="117"/>
      <c r="AD91" s="111"/>
      <c r="AE91" s="111"/>
      <c r="AF91" s="111" t="str">
        <f t="shared" ca="1" si="8"/>
        <v>N/A</v>
      </c>
      <c r="AG91" s="162"/>
      <c r="AH91" s="162"/>
      <c r="AI91" s="164">
        <f t="shared" si="9"/>
        <v>0</v>
      </c>
      <c r="AJ91" s="118" t="s">
        <v>6</v>
      </c>
      <c r="AK91" s="113">
        <v>41512</v>
      </c>
      <c r="AL91" s="118"/>
      <c r="AM91" s="165" t="str">
        <f t="shared" si="10"/>
        <v>13019 Roquette</v>
      </c>
      <c r="AN91" s="165" t="str">
        <f t="shared" si="11"/>
        <v>13019 Roquette : Erreur de côtes sur plan de détail</v>
      </c>
    </row>
    <row r="92" spans="1:40" s="76" customFormat="1" ht="13" hidden="1" x14ac:dyDescent="0.3">
      <c r="A92" s="122"/>
      <c r="B92" s="116">
        <v>13020</v>
      </c>
      <c r="C92" s="113" t="s">
        <v>4</v>
      </c>
      <c r="D92" s="117">
        <v>41425</v>
      </c>
      <c r="E92" s="118" t="s">
        <v>319</v>
      </c>
      <c r="F92" s="118"/>
      <c r="G92" s="111" t="s">
        <v>377</v>
      </c>
      <c r="H92" s="111" t="s">
        <v>374</v>
      </c>
      <c r="I92" s="119" t="s">
        <v>2056</v>
      </c>
      <c r="J92" s="113"/>
      <c r="K92" s="118"/>
      <c r="L92" s="118" t="s">
        <v>378</v>
      </c>
      <c r="M92" s="118" t="s">
        <v>13</v>
      </c>
      <c r="N92" s="120" t="s">
        <v>379</v>
      </c>
      <c r="O92" s="111" t="s">
        <v>29</v>
      </c>
      <c r="P92" s="111" t="s">
        <v>86</v>
      </c>
      <c r="Q92" s="111" t="s">
        <v>176</v>
      </c>
      <c r="R92" s="111" t="s">
        <v>145</v>
      </c>
      <c r="S92" s="111"/>
      <c r="T92" s="128" t="s">
        <v>374</v>
      </c>
      <c r="U92" s="64">
        <v>41425</v>
      </c>
      <c r="V92" s="158" t="s">
        <v>6</v>
      </c>
      <c r="W92" s="118" t="s">
        <v>224</v>
      </c>
      <c r="X92" s="113"/>
      <c r="Y92" s="117">
        <f t="shared" si="6"/>
        <v>41517</v>
      </c>
      <c r="Z92" s="117">
        <v>41512</v>
      </c>
      <c r="AA92" s="161" t="str">
        <f t="shared" ca="1" si="7"/>
        <v>YES</v>
      </c>
      <c r="AB92" s="113"/>
      <c r="AC92" s="117"/>
      <c r="AD92" s="111"/>
      <c r="AE92" s="111"/>
      <c r="AF92" s="111" t="str">
        <f t="shared" ca="1" si="8"/>
        <v>N/A</v>
      </c>
      <c r="AG92" s="162"/>
      <c r="AH92" s="162"/>
      <c r="AI92" s="164">
        <f t="shared" si="9"/>
        <v>0</v>
      </c>
      <c r="AJ92" s="118" t="s">
        <v>6</v>
      </c>
      <c r="AK92" s="113">
        <v>41512</v>
      </c>
      <c r="AL92" s="118"/>
      <c r="AM92" s="165" t="str">
        <f t="shared" si="10"/>
        <v xml:space="preserve">13020 Prolactal </v>
      </c>
      <c r="AN92" s="165" t="str">
        <f t="shared" si="11"/>
        <v>13020 Prolactal  : Erreurs chaudronnerie</v>
      </c>
    </row>
    <row r="93" spans="1:40" s="76" customFormat="1" ht="13" hidden="1" x14ac:dyDescent="0.3">
      <c r="A93" s="122"/>
      <c r="B93" s="116">
        <v>13021</v>
      </c>
      <c r="C93" s="113" t="s">
        <v>4</v>
      </c>
      <c r="D93" s="117">
        <v>41429</v>
      </c>
      <c r="E93" s="118" t="s">
        <v>116</v>
      </c>
      <c r="F93" s="118"/>
      <c r="G93" s="111" t="s">
        <v>380</v>
      </c>
      <c r="H93" s="111"/>
      <c r="I93" s="119" t="s">
        <v>5</v>
      </c>
      <c r="J93" s="113"/>
      <c r="K93" s="118"/>
      <c r="L93" s="118" t="s">
        <v>378</v>
      </c>
      <c r="M93" s="118" t="s">
        <v>13</v>
      </c>
      <c r="N93" s="120" t="s">
        <v>381</v>
      </c>
      <c r="O93" s="111" t="s">
        <v>29</v>
      </c>
      <c r="P93" s="111" t="s">
        <v>86</v>
      </c>
      <c r="Q93" s="111" t="s">
        <v>176</v>
      </c>
      <c r="R93" s="111" t="s">
        <v>9</v>
      </c>
      <c r="S93" s="111"/>
      <c r="T93" s="118"/>
      <c r="U93" s="64">
        <v>41409</v>
      </c>
      <c r="V93" s="158" t="s">
        <v>6</v>
      </c>
      <c r="W93" s="118" t="s">
        <v>116</v>
      </c>
      <c r="X93" s="113"/>
      <c r="Y93" s="117">
        <f t="shared" si="6"/>
        <v>41521</v>
      </c>
      <c r="Z93" s="117">
        <v>41613</v>
      </c>
      <c r="AA93" s="161" t="str">
        <f t="shared" ca="1" si="7"/>
        <v>NO</v>
      </c>
      <c r="AB93" s="113"/>
      <c r="AC93" s="117"/>
      <c r="AD93" s="111"/>
      <c r="AE93" s="111"/>
      <c r="AF93" s="111" t="str">
        <f t="shared" ca="1" si="8"/>
        <v/>
      </c>
      <c r="AG93" s="162"/>
      <c r="AH93" s="162"/>
      <c r="AI93" s="164">
        <f t="shared" si="9"/>
        <v>0</v>
      </c>
      <c r="AJ93" s="118" t="s">
        <v>6</v>
      </c>
      <c r="AK93" s="113">
        <v>41613</v>
      </c>
      <c r="AL93" s="118"/>
      <c r="AM93" s="165" t="str">
        <f t="shared" si="10"/>
        <v>13021 Prolactal</v>
      </c>
      <c r="AN93" s="165" t="str">
        <f t="shared" si="11"/>
        <v>13021 Prolactal : Limite de fourniture/ Retard</v>
      </c>
    </row>
    <row r="94" spans="1:40" s="76" customFormat="1" ht="13" hidden="1" x14ac:dyDescent="0.3">
      <c r="A94" s="122"/>
      <c r="B94" s="116">
        <v>13022</v>
      </c>
      <c r="C94" s="113" t="s">
        <v>4</v>
      </c>
      <c r="D94" s="117">
        <v>41429</v>
      </c>
      <c r="E94" s="118" t="s">
        <v>177</v>
      </c>
      <c r="F94" s="118"/>
      <c r="G94" s="111" t="s">
        <v>380</v>
      </c>
      <c r="H94" s="111" t="s">
        <v>382</v>
      </c>
      <c r="I94" s="119" t="s">
        <v>2056</v>
      </c>
      <c r="J94" s="113"/>
      <c r="K94" s="118"/>
      <c r="L94" s="118" t="s">
        <v>378</v>
      </c>
      <c r="M94" s="118" t="s">
        <v>13</v>
      </c>
      <c r="N94" s="120" t="s">
        <v>383</v>
      </c>
      <c r="O94" s="111" t="s">
        <v>29</v>
      </c>
      <c r="P94" s="111" t="s">
        <v>176</v>
      </c>
      <c r="Q94" s="111"/>
      <c r="R94" s="111" t="s">
        <v>145</v>
      </c>
      <c r="S94" s="111"/>
      <c r="T94" s="128" t="s">
        <v>384</v>
      </c>
      <c r="U94" s="64">
        <v>41436</v>
      </c>
      <c r="V94" s="158" t="s">
        <v>10</v>
      </c>
      <c r="W94" s="118"/>
      <c r="X94" s="113"/>
      <c r="Y94" s="117">
        <f t="shared" si="6"/>
        <v>41521</v>
      </c>
      <c r="Z94" s="117">
        <v>41520</v>
      </c>
      <c r="AA94" s="161" t="str">
        <f t="shared" ca="1" si="7"/>
        <v>YES</v>
      </c>
      <c r="AB94" s="113"/>
      <c r="AC94" s="117"/>
      <c r="AD94" s="111"/>
      <c r="AE94" s="111"/>
      <c r="AF94" s="111" t="str">
        <f t="shared" ca="1" si="8"/>
        <v>N/A</v>
      </c>
      <c r="AG94" s="162"/>
      <c r="AH94" s="162"/>
      <c r="AI94" s="164">
        <f t="shared" si="9"/>
        <v>0</v>
      </c>
      <c r="AJ94" s="118" t="s">
        <v>6</v>
      </c>
      <c r="AK94" s="113">
        <v>41520</v>
      </c>
      <c r="AL94" s="118"/>
      <c r="AM94" s="165" t="str">
        <f t="shared" si="10"/>
        <v>13022 Prolactal</v>
      </c>
      <c r="AN94" s="165" t="str">
        <f t="shared" si="11"/>
        <v xml:space="preserve">13022 Prolactal : Retard livraison </v>
      </c>
    </row>
    <row r="95" spans="1:40" s="76" customFormat="1" ht="13" hidden="1" x14ac:dyDescent="0.3">
      <c r="A95" s="122"/>
      <c r="B95" s="116">
        <v>13023</v>
      </c>
      <c r="C95" s="113" t="s">
        <v>4</v>
      </c>
      <c r="D95" s="117">
        <v>41431</v>
      </c>
      <c r="E95" s="118" t="s">
        <v>99</v>
      </c>
      <c r="F95" s="118"/>
      <c r="G95" s="111" t="s">
        <v>385</v>
      </c>
      <c r="H95" s="111"/>
      <c r="I95" s="119" t="s">
        <v>5</v>
      </c>
      <c r="J95" s="113"/>
      <c r="K95" s="118"/>
      <c r="L95" s="118" t="s">
        <v>386</v>
      </c>
      <c r="M95" s="118" t="s">
        <v>16</v>
      </c>
      <c r="N95" s="120" t="s">
        <v>387</v>
      </c>
      <c r="O95" s="111" t="s">
        <v>28</v>
      </c>
      <c r="P95" s="111" t="s">
        <v>103</v>
      </c>
      <c r="Q95" s="111"/>
      <c r="R95" s="111" t="s">
        <v>145</v>
      </c>
      <c r="S95" s="111"/>
      <c r="T95" s="118"/>
      <c r="U95" s="64">
        <v>41430</v>
      </c>
      <c r="V95" s="158" t="s">
        <v>10</v>
      </c>
      <c r="W95" s="118"/>
      <c r="X95" s="113"/>
      <c r="Y95" s="117">
        <f t="shared" si="6"/>
        <v>41523</v>
      </c>
      <c r="Z95" s="117">
        <v>41520</v>
      </c>
      <c r="AA95" s="161" t="str">
        <f t="shared" ca="1" si="7"/>
        <v>YES</v>
      </c>
      <c r="AB95" s="113"/>
      <c r="AC95" s="117"/>
      <c r="AD95" s="111"/>
      <c r="AE95" s="111"/>
      <c r="AF95" s="111" t="str">
        <f t="shared" ca="1" si="8"/>
        <v/>
      </c>
      <c r="AG95" s="162"/>
      <c r="AH95" s="162"/>
      <c r="AI95" s="164">
        <f t="shared" si="9"/>
        <v>0</v>
      </c>
      <c r="AJ95" s="118" t="s">
        <v>6</v>
      </c>
      <c r="AK95" s="113">
        <v>41520</v>
      </c>
      <c r="AL95" s="118"/>
      <c r="AM95" s="165" t="str">
        <f t="shared" si="10"/>
        <v>13023 N&amp;A</v>
      </c>
      <c r="AN95" s="165" t="str">
        <f t="shared" si="11"/>
        <v>13023 N&amp;A : fuite enveloppe K19</v>
      </c>
    </row>
    <row r="96" spans="1:40" s="76" customFormat="1" ht="13" hidden="1" x14ac:dyDescent="0.3">
      <c r="A96" s="122"/>
      <c r="B96" s="116">
        <v>13024</v>
      </c>
      <c r="C96" s="113" t="s">
        <v>4</v>
      </c>
      <c r="D96" s="117">
        <v>41436</v>
      </c>
      <c r="E96" s="118" t="s">
        <v>149</v>
      </c>
      <c r="F96" s="118"/>
      <c r="G96" s="111" t="s">
        <v>388</v>
      </c>
      <c r="H96" s="111"/>
      <c r="I96" s="119" t="s">
        <v>5</v>
      </c>
      <c r="J96" s="113"/>
      <c r="K96" s="118"/>
      <c r="L96" s="118" t="s">
        <v>389</v>
      </c>
      <c r="M96" s="118" t="s">
        <v>13</v>
      </c>
      <c r="N96" s="120" t="s">
        <v>390</v>
      </c>
      <c r="O96" s="111" t="s">
        <v>28</v>
      </c>
      <c r="P96" s="111" t="s">
        <v>103</v>
      </c>
      <c r="Q96" s="111"/>
      <c r="R96" s="111" t="s">
        <v>145</v>
      </c>
      <c r="S96" s="111"/>
      <c r="T96" s="118"/>
      <c r="U96" s="64">
        <v>41436</v>
      </c>
      <c r="V96" s="158" t="s">
        <v>10</v>
      </c>
      <c r="W96" s="118"/>
      <c r="X96" s="113"/>
      <c r="Y96" s="117">
        <f t="shared" si="6"/>
        <v>41528</v>
      </c>
      <c r="Z96" s="117">
        <v>41509</v>
      </c>
      <c r="AA96" s="161" t="str">
        <f t="shared" ca="1" si="7"/>
        <v>YES</v>
      </c>
      <c r="AB96" s="113"/>
      <c r="AC96" s="117"/>
      <c r="AD96" s="111"/>
      <c r="AE96" s="111"/>
      <c r="AF96" s="111" t="str">
        <f t="shared" ca="1" si="8"/>
        <v/>
      </c>
      <c r="AG96" s="162"/>
      <c r="AH96" s="162"/>
      <c r="AI96" s="164">
        <f t="shared" si="9"/>
        <v>0</v>
      </c>
      <c r="AJ96" s="118" t="s">
        <v>6</v>
      </c>
      <c r="AK96" s="113">
        <v>41509</v>
      </c>
      <c r="AL96" s="118"/>
      <c r="AM96" s="165" t="str">
        <f t="shared" si="10"/>
        <v>13024 GOI</v>
      </c>
      <c r="AN96" s="165" t="str">
        <f t="shared" si="11"/>
        <v>13024 GOI : Big bag résine percé</v>
      </c>
    </row>
    <row r="97" spans="1:40" s="76" customFormat="1" ht="13" hidden="1" x14ac:dyDescent="0.3">
      <c r="A97" s="122"/>
      <c r="B97" s="116">
        <v>13025</v>
      </c>
      <c r="C97" s="113" t="s">
        <v>4</v>
      </c>
      <c r="D97" s="117">
        <v>41459</v>
      </c>
      <c r="E97" s="118" t="s">
        <v>129</v>
      </c>
      <c r="F97" s="118"/>
      <c r="G97" s="111" t="s">
        <v>391</v>
      </c>
      <c r="H97" s="111" t="s">
        <v>392</v>
      </c>
      <c r="I97" s="119" t="s">
        <v>2056</v>
      </c>
      <c r="J97" s="113"/>
      <c r="K97" s="118"/>
      <c r="L97" s="118" t="s">
        <v>393</v>
      </c>
      <c r="M97" s="118" t="s">
        <v>11</v>
      </c>
      <c r="N97" s="120" t="s">
        <v>394</v>
      </c>
      <c r="O97" s="111" t="s">
        <v>28</v>
      </c>
      <c r="P97" s="111" t="s">
        <v>103</v>
      </c>
      <c r="Q97" s="111" t="s">
        <v>164</v>
      </c>
      <c r="R97" s="111" t="s">
        <v>145</v>
      </c>
      <c r="S97" s="111"/>
      <c r="T97" s="128" t="s">
        <v>392</v>
      </c>
      <c r="U97" s="64">
        <v>41463</v>
      </c>
      <c r="V97" s="158" t="s">
        <v>6</v>
      </c>
      <c r="W97" s="118" t="s">
        <v>205</v>
      </c>
      <c r="X97" s="113"/>
      <c r="Y97" s="117">
        <f t="shared" si="6"/>
        <v>41551</v>
      </c>
      <c r="Z97" s="117">
        <v>41563</v>
      </c>
      <c r="AA97" s="161" t="str">
        <f t="shared" ca="1" si="7"/>
        <v>NO</v>
      </c>
      <c r="AB97" s="113"/>
      <c r="AC97" s="117"/>
      <c r="AD97" s="111"/>
      <c r="AE97" s="111"/>
      <c r="AF97" s="111" t="str">
        <f t="shared" ca="1" si="8"/>
        <v>N/A</v>
      </c>
      <c r="AG97" s="162"/>
      <c r="AH97" s="162"/>
      <c r="AI97" s="164">
        <f t="shared" si="9"/>
        <v>0</v>
      </c>
      <c r="AJ97" s="118" t="s">
        <v>6</v>
      </c>
      <c r="AK97" s="113">
        <v>41563</v>
      </c>
      <c r="AL97" s="118"/>
      <c r="AM97" s="165" t="str">
        <f t="shared" si="10"/>
        <v>13025 Quantum II/</v>
      </c>
      <c r="AN97" s="165" t="str">
        <f t="shared" si="11"/>
        <v>13025 Quantum II/ : couleur résines, pigment, pb hydrolyse FOS</v>
      </c>
    </row>
    <row r="98" spans="1:40" s="76" customFormat="1" ht="13" hidden="1" x14ac:dyDescent="0.3">
      <c r="A98" s="122"/>
      <c r="B98" s="116">
        <v>13026</v>
      </c>
      <c r="C98" s="113" t="s">
        <v>4</v>
      </c>
      <c r="D98" s="117">
        <v>41463</v>
      </c>
      <c r="E98" s="118" t="s">
        <v>129</v>
      </c>
      <c r="F98" s="118"/>
      <c r="G98" s="111" t="s">
        <v>395</v>
      </c>
      <c r="H98" s="111" t="s">
        <v>315</v>
      </c>
      <c r="I98" s="119" t="s">
        <v>5</v>
      </c>
      <c r="J98" s="113"/>
      <c r="K98" s="118"/>
      <c r="L98" s="118" t="s">
        <v>396</v>
      </c>
      <c r="M98" s="118" t="s">
        <v>13</v>
      </c>
      <c r="N98" s="120" t="s">
        <v>397</v>
      </c>
      <c r="O98" s="111" t="s">
        <v>28</v>
      </c>
      <c r="P98" s="111" t="s">
        <v>103</v>
      </c>
      <c r="Q98" s="111"/>
      <c r="R98" s="111" t="s">
        <v>145</v>
      </c>
      <c r="S98" s="111"/>
      <c r="T98" s="128" t="s">
        <v>315</v>
      </c>
      <c r="U98" s="64">
        <v>41464</v>
      </c>
      <c r="V98" s="158" t="s">
        <v>10</v>
      </c>
      <c r="W98" s="118"/>
      <c r="X98" s="113"/>
      <c r="Y98" s="117">
        <f t="shared" si="6"/>
        <v>41555</v>
      </c>
      <c r="Z98" s="117">
        <v>41512</v>
      </c>
      <c r="AA98" s="161" t="str">
        <f t="shared" ca="1" si="7"/>
        <v>YES</v>
      </c>
      <c r="AB98" s="113"/>
      <c r="AC98" s="117"/>
      <c r="AD98" s="111"/>
      <c r="AE98" s="111"/>
      <c r="AF98" s="111" t="str">
        <f t="shared" ca="1" si="8"/>
        <v/>
      </c>
      <c r="AG98" s="162"/>
      <c r="AH98" s="162"/>
      <c r="AI98" s="164">
        <f t="shared" si="9"/>
        <v>0</v>
      </c>
      <c r="AJ98" s="118" t="s">
        <v>6</v>
      </c>
      <c r="AK98" s="113">
        <v>41512</v>
      </c>
      <c r="AL98" s="118"/>
      <c r="AM98" s="165" t="str">
        <f t="shared" si="10"/>
        <v xml:space="preserve">13026 Galactic / </v>
      </c>
      <c r="AN98" s="165" t="str">
        <f t="shared" si="11"/>
        <v>13026 Galactic /  : Conditionnement résines</v>
      </c>
    </row>
    <row r="99" spans="1:40" s="76" customFormat="1" ht="13" hidden="1" x14ac:dyDescent="0.3">
      <c r="A99" s="122"/>
      <c r="B99" s="116">
        <v>13027</v>
      </c>
      <c r="C99" s="113" t="s">
        <v>4</v>
      </c>
      <c r="D99" s="117">
        <v>41463</v>
      </c>
      <c r="E99" s="118" t="s">
        <v>129</v>
      </c>
      <c r="F99" s="118"/>
      <c r="G99" s="111" t="s">
        <v>398</v>
      </c>
      <c r="H99" s="111"/>
      <c r="I99" s="119" t="s">
        <v>5</v>
      </c>
      <c r="J99" s="113"/>
      <c r="K99" s="118"/>
      <c r="L99" s="118" t="s">
        <v>399</v>
      </c>
      <c r="M99" s="118" t="s">
        <v>16</v>
      </c>
      <c r="N99" s="120" t="s">
        <v>400</v>
      </c>
      <c r="O99" s="111" t="s">
        <v>28</v>
      </c>
      <c r="P99" s="111" t="s">
        <v>103</v>
      </c>
      <c r="Q99" s="111"/>
      <c r="R99" s="111" t="s">
        <v>9</v>
      </c>
      <c r="S99" s="111"/>
      <c r="T99" s="118"/>
      <c r="U99" s="64">
        <v>41466</v>
      </c>
      <c r="V99" s="158" t="s">
        <v>10</v>
      </c>
      <c r="W99" s="118"/>
      <c r="X99" s="113"/>
      <c r="Y99" s="117">
        <f t="shared" si="6"/>
        <v>41555</v>
      </c>
      <c r="Z99" s="117">
        <v>41549</v>
      </c>
      <c r="AA99" s="161" t="str">
        <f t="shared" ca="1" si="7"/>
        <v>YES</v>
      </c>
      <c r="AB99" s="113"/>
      <c r="AC99" s="117"/>
      <c r="AD99" s="111"/>
      <c r="AE99" s="111"/>
      <c r="AF99" s="111" t="str">
        <f t="shared" ca="1" si="8"/>
        <v/>
      </c>
      <c r="AG99" s="162"/>
      <c r="AH99" s="162"/>
      <c r="AI99" s="164">
        <f t="shared" si="9"/>
        <v>0</v>
      </c>
      <c r="AJ99" s="118" t="s">
        <v>6</v>
      </c>
      <c r="AK99" s="113">
        <v>41549</v>
      </c>
      <c r="AL99" s="118"/>
      <c r="AM99" s="165" t="str">
        <f t="shared" si="10"/>
        <v>13027 HEC PHARMA</v>
      </c>
      <c r="AN99" s="165" t="str">
        <f t="shared" si="11"/>
        <v>13027 HEC PHARMA : Pb expédition groupage Chine</v>
      </c>
    </row>
    <row r="100" spans="1:40" s="76" customFormat="1" ht="13" hidden="1" x14ac:dyDescent="0.3">
      <c r="A100" s="122"/>
      <c r="B100" s="116">
        <v>13028</v>
      </c>
      <c r="C100" s="113" t="s">
        <v>4</v>
      </c>
      <c r="D100" s="117">
        <v>41505</v>
      </c>
      <c r="E100" s="118" t="s">
        <v>129</v>
      </c>
      <c r="F100" s="118"/>
      <c r="G100" s="111" t="s">
        <v>401</v>
      </c>
      <c r="H100" s="111"/>
      <c r="I100" s="119" t="s">
        <v>5</v>
      </c>
      <c r="J100" s="113"/>
      <c r="K100" s="118"/>
      <c r="L100" s="118" t="s">
        <v>402</v>
      </c>
      <c r="M100" s="118" t="s">
        <v>16</v>
      </c>
      <c r="N100" s="120" t="s">
        <v>403</v>
      </c>
      <c r="O100" s="111" t="s">
        <v>28</v>
      </c>
      <c r="P100" s="111" t="s">
        <v>103</v>
      </c>
      <c r="Q100" s="111"/>
      <c r="R100" s="111" t="s">
        <v>145</v>
      </c>
      <c r="S100" s="111"/>
      <c r="T100" s="118"/>
      <c r="U100" s="64">
        <v>41533</v>
      </c>
      <c r="V100" s="158" t="s">
        <v>10</v>
      </c>
      <c r="W100" s="118"/>
      <c r="X100" s="113"/>
      <c r="Y100" s="117">
        <f t="shared" si="6"/>
        <v>41597</v>
      </c>
      <c r="Z100" s="117">
        <v>41549</v>
      </c>
      <c r="AA100" s="161" t="str">
        <f t="shared" ca="1" si="7"/>
        <v>YES</v>
      </c>
      <c r="AB100" s="113"/>
      <c r="AC100" s="117"/>
      <c r="AD100" s="111"/>
      <c r="AE100" s="111"/>
      <c r="AF100" s="111" t="str">
        <f t="shared" ca="1" si="8"/>
        <v/>
      </c>
      <c r="AG100" s="162"/>
      <c r="AH100" s="162"/>
      <c r="AI100" s="164">
        <f t="shared" si="9"/>
        <v>0</v>
      </c>
      <c r="AJ100" s="118" t="s">
        <v>6</v>
      </c>
      <c r="AK100" s="113">
        <v>41549</v>
      </c>
      <c r="AL100" s="118"/>
      <c r="AM100" s="165" t="str">
        <f t="shared" si="10"/>
        <v>13028 GSK Bio Hamilton (NVS Inc)</v>
      </c>
      <c r="AN100" s="165" t="str">
        <f t="shared" si="11"/>
        <v>13028 GSK Bio Hamilton (NVS Inc) : Casse de 21 membranes à réception</v>
      </c>
    </row>
    <row r="101" spans="1:40" s="76" customFormat="1" ht="13" hidden="1" x14ac:dyDescent="0.3">
      <c r="A101" s="122"/>
      <c r="B101" s="116">
        <v>13029</v>
      </c>
      <c r="C101" s="113" t="s">
        <v>4</v>
      </c>
      <c r="D101" s="117">
        <v>41508</v>
      </c>
      <c r="E101" s="118" t="s">
        <v>129</v>
      </c>
      <c r="F101" s="118"/>
      <c r="G101" s="111" t="s">
        <v>398</v>
      </c>
      <c r="H101" s="111"/>
      <c r="I101" s="119" t="s">
        <v>2057</v>
      </c>
      <c r="J101" s="113"/>
      <c r="K101" s="118"/>
      <c r="L101" s="118" t="s">
        <v>399</v>
      </c>
      <c r="M101" s="118" t="s">
        <v>16</v>
      </c>
      <c r="N101" s="120" t="s">
        <v>404</v>
      </c>
      <c r="O101" s="111" t="s">
        <v>28</v>
      </c>
      <c r="P101" s="111" t="s">
        <v>103</v>
      </c>
      <c r="Q101" s="111"/>
      <c r="R101" s="111" t="s">
        <v>145</v>
      </c>
      <c r="S101" s="111"/>
      <c r="T101" s="118"/>
      <c r="U101" s="64">
        <v>41533</v>
      </c>
      <c r="V101" s="158" t="s">
        <v>10</v>
      </c>
      <c r="W101" s="118"/>
      <c r="X101" s="113"/>
      <c r="Y101" s="117">
        <f t="shared" si="6"/>
        <v>41600</v>
      </c>
      <c r="Z101" s="117">
        <v>41549</v>
      </c>
      <c r="AA101" s="161" t="str">
        <f t="shared" ca="1" si="7"/>
        <v>YES</v>
      </c>
      <c r="AB101" s="113"/>
      <c r="AC101" s="117"/>
      <c r="AD101" s="111"/>
      <c r="AE101" s="111"/>
      <c r="AF101" s="111" t="str">
        <f t="shared" ca="1" si="8"/>
        <v>N/A</v>
      </c>
      <c r="AG101" s="162"/>
      <c r="AH101" s="162"/>
      <c r="AI101" s="164">
        <f t="shared" si="9"/>
        <v>0</v>
      </c>
      <c r="AJ101" s="118" t="s">
        <v>6</v>
      </c>
      <c r="AK101" s="113">
        <v>41549</v>
      </c>
      <c r="AL101" s="118"/>
      <c r="AM101" s="165" t="str">
        <f t="shared" si="10"/>
        <v>13029 HEC PHARMA</v>
      </c>
      <c r="AN101" s="165" t="str">
        <f t="shared" si="11"/>
        <v>13029 HEC PHARMA : palettes plastiques cassées/ tordues</v>
      </c>
    </row>
    <row r="102" spans="1:40" s="76" customFormat="1" ht="13" hidden="1" x14ac:dyDescent="0.3">
      <c r="A102" s="122"/>
      <c r="B102" s="116">
        <v>13030</v>
      </c>
      <c r="C102" s="113" t="s">
        <v>4</v>
      </c>
      <c r="D102" s="117">
        <v>41508</v>
      </c>
      <c r="E102" s="118" t="s">
        <v>129</v>
      </c>
      <c r="F102" s="118"/>
      <c r="G102" s="111" t="s">
        <v>405</v>
      </c>
      <c r="H102" s="111" t="s">
        <v>392</v>
      </c>
      <c r="I102" s="119" t="s">
        <v>5</v>
      </c>
      <c r="J102" s="113"/>
      <c r="K102" s="118"/>
      <c r="L102" s="118" t="s">
        <v>406</v>
      </c>
      <c r="M102" s="118" t="s">
        <v>13</v>
      </c>
      <c r="N102" s="120" t="s">
        <v>407</v>
      </c>
      <c r="O102" s="111" t="s">
        <v>28</v>
      </c>
      <c r="P102" s="111" t="s">
        <v>103</v>
      </c>
      <c r="Q102" s="111"/>
      <c r="R102" s="111" t="s">
        <v>145</v>
      </c>
      <c r="S102" s="111"/>
      <c r="T102" s="128" t="s">
        <v>392</v>
      </c>
      <c r="U102" s="64">
        <v>41549</v>
      </c>
      <c r="V102" s="158" t="s">
        <v>10</v>
      </c>
      <c r="W102" s="118"/>
      <c r="X102" s="113"/>
      <c r="Y102" s="117">
        <f t="shared" si="6"/>
        <v>41600</v>
      </c>
      <c r="Z102" s="117">
        <v>41729</v>
      </c>
      <c r="AA102" s="161" t="str">
        <f t="shared" ca="1" si="7"/>
        <v>NO</v>
      </c>
      <c r="AB102" s="113"/>
      <c r="AC102" s="117"/>
      <c r="AD102" s="111"/>
      <c r="AE102" s="111"/>
      <c r="AF102" s="111" t="str">
        <f t="shared" ca="1" si="8"/>
        <v/>
      </c>
      <c r="AG102" s="162"/>
      <c r="AH102" s="162"/>
      <c r="AI102" s="164">
        <f t="shared" si="9"/>
        <v>0</v>
      </c>
      <c r="AJ102" s="118" t="s">
        <v>10</v>
      </c>
      <c r="AK102" s="113">
        <v>41646</v>
      </c>
      <c r="AL102" s="118" t="s">
        <v>408</v>
      </c>
      <c r="AM102" s="165" t="str">
        <f t="shared" si="10"/>
        <v>13030 CJ USA/</v>
      </c>
      <c r="AN102" s="165" t="str">
        <f t="shared" si="11"/>
        <v>13030 CJ USA/ : Big bag résine déchiré</v>
      </c>
    </row>
    <row r="103" spans="1:40" s="76" customFormat="1" ht="13" hidden="1" x14ac:dyDescent="0.3">
      <c r="A103" s="122"/>
      <c r="B103" s="116">
        <v>13031</v>
      </c>
      <c r="C103" s="113" t="s">
        <v>4</v>
      </c>
      <c r="D103" s="117">
        <v>41512</v>
      </c>
      <c r="E103" s="118" t="s">
        <v>221</v>
      </c>
      <c r="F103" s="118"/>
      <c r="G103" s="111" t="s">
        <v>373</v>
      </c>
      <c r="H103" s="111" t="s">
        <v>374</v>
      </c>
      <c r="I103" s="119" t="s">
        <v>2056</v>
      </c>
      <c r="J103" s="113"/>
      <c r="K103" s="118"/>
      <c r="L103" s="118" t="s">
        <v>375</v>
      </c>
      <c r="M103" s="118" t="s">
        <v>13</v>
      </c>
      <c r="N103" s="120" t="s">
        <v>379</v>
      </c>
      <c r="O103" s="111" t="s">
        <v>29</v>
      </c>
      <c r="P103" s="111" t="s">
        <v>86</v>
      </c>
      <c r="Q103" s="111" t="s">
        <v>176</v>
      </c>
      <c r="R103" s="111" t="s">
        <v>145</v>
      </c>
      <c r="S103" s="111"/>
      <c r="T103" s="128" t="s">
        <v>374</v>
      </c>
      <c r="U103" s="64">
        <v>41521</v>
      </c>
      <c r="V103" s="158" t="s">
        <v>10</v>
      </c>
      <c r="W103" s="118"/>
      <c r="X103" s="113"/>
      <c r="Y103" s="117">
        <f t="shared" si="6"/>
        <v>41604</v>
      </c>
      <c r="Z103" s="117">
        <v>41584</v>
      </c>
      <c r="AA103" s="161" t="str">
        <f t="shared" ca="1" si="7"/>
        <v>YES</v>
      </c>
      <c r="AB103" s="113"/>
      <c r="AC103" s="117"/>
      <c r="AD103" s="111"/>
      <c r="AE103" s="111"/>
      <c r="AF103" s="111" t="str">
        <f t="shared" ca="1" si="8"/>
        <v>N/A</v>
      </c>
      <c r="AG103" s="162"/>
      <c r="AH103" s="162"/>
      <c r="AI103" s="164">
        <f t="shared" si="9"/>
        <v>0</v>
      </c>
      <c r="AJ103" s="118" t="s">
        <v>6</v>
      </c>
      <c r="AK103" s="113">
        <v>41584</v>
      </c>
      <c r="AL103" s="118"/>
      <c r="AM103" s="165" t="str">
        <f t="shared" si="10"/>
        <v>13031 Roquette</v>
      </c>
      <c r="AN103" s="165" t="str">
        <f t="shared" si="11"/>
        <v>13031 Roquette : Erreurs chaudronnerie</v>
      </c>
    </row>
    <row r="104" spans="1:40" s="76" customFormat="1" ht="13" hidden="1" x14ac:dyDescent="0.3">
      <c r="A104" s="122"/>
      <c r="B104" s="116">
        <v>13032</v>
      </c>
      <c r="C104" s="113" t="s">
        <v>4</v>
      </c>
      <c r="D104" s="117">
        <v>41530</v>
      </c>
      <c r="E104" s="118" t="s">
        <v>149</v>
      </c>
      <c r="F104" s="118"/>
      <c r="G104" s="111" t="s">
        <v>161</v>
      </c>
      <c r="H104" s="111"/>
      <c r="I104" s="119" t="s">
        <v>5</v>
      </c>
      <c r="J104" s="113"/>
      <c r="K104" s="118"/>
      <c r="L104" s="118" t="s">
        <v>409</v>
      </c>
      <c r="M104" s="118" t="s">
        <v>13</v>
      </c>
      <c r="N104" s="120" t="s">
        <v>410</v>
      </c>
      <c r="O104" s="111" t="s">
        <v>28</v>
      </c>
      <c r="P104" s="111" t="s">
        <v>103</v>
      </c>
      <c r="Q104" s="111"/>
      <c r="R104" s="111" t="s">
        <v>145</v>
      </c>
      <c r="S104" s="111"/>
      <c r="T104" s="128" t="s">
        <v>411</v>
      </c>
      <c r="U104" s="64">
        <v>41569</v>
      </c>
      <c r="V104" s="158" t="s">
        <v>10</v>
      </c>
      <c r="W104" s="118"/>
      <c r="X104" s="113"/>
      <c r="Y104" s="117">
        <f t="shared" si="6"/>
        <v>41621</v>
      </c>
      <c r="Z104" s="117">
        <v>41604</v>
      </c>
      <c r="AA104" s="161" t="str">
        <f t="shared" ca="1" si="7"/>
        <v>YES</v>
      </c>
      <c r="AB104" s="113"/>
      <c r="AC104" s="117"/>
      <c r="AD104" s="111"/>
      <c r="AE104" s="111"/>
      <c r="AF104" s="111" t="str">
        <f t="shared" ca="1" si="8"/>
        <v/>
      </c>
      <c r="AG104" s="162"/>
      <c r="AH104" s="162"/>
      <c r="AI104" s="164">
        <f t="shared" si="9"/>
        <v>0</v>
      </c>
      <c r="AJ104" s="128" t="s">
        <v>6</v>
      </c>
      <c r="AK104" s="168">
        <v>42051</v>
      </c>
      <c r="AL104" s="128" t="s">
        <v>412</v>
      </c>
      <c r="AM104" s="165" t="str">
        <f t="shared" si="10"/>
        <v>13032 Great Ocean Ingredients</v>
      </c>
      <c r="AN104" s="165" t="str">
        <f t="shared" si="11"/>
        <v>13032 Great Ocean Ingredients : Emballage résines moisies à réception</v>
      </c>
    </row>
    <row r="105" spans="1:40" s="76" customFormat="1" ht="13" hidden="1" x14ac:dyDescent="0.3">
      <c r="A105" s="122"/>
      <c r="B105" s="116">
        <v>13033</v>
      </c>
      <c r="C105" s="113" t="s">
        <v>4</v>
      </c>
      <c r="D105" s="117">
        <v>41535</v>
      </c>
      <c r="E105" s="118" t="s">
        <v>413</v>
      </c>
      <c r="F105" s="118"/>
      <c r="G105" s="111" t="s">
        <v>401</v>
      </c>
      <c r="H105" s="111"/>
      <c r="I105" s="119" t="s">
        <v>5</v>
      </c>
      <c r="J105" s="113" t="s">
        <v>6</v>
      </c>
      <c r="K105" s="118"/>
      <c r="L105" s="118" t="s">
        <v>414</v>
      </c>
      <c r="M105" s="118" t="s">
        <v>16</v>
      </c>
      <c r="N105" s="120" t="s">
        <v>415</v>
      </c>
      <c r="O105" s="111" t="s">
        <v>28</v>
      </c>
      <c r="P105" s="111" t="s">
        <v>103</v>
      </c>
      <c r="Q105" s="111"/>
      <c r="R105" s="111" t="s">
        <v>145</v>
      </c>
      <c r="S105" s="111"/>
      <c r="T105" s="118"/>
      <c r="U105" s="64">
        <v>41551</v>
      </c>
      <c r="V105" s="158" t="s">
        <v>10</v>
      </c>
      <c r="W105" s="118"/>
      <c r="X105" s="113"/>
      <c r="Y105" s="117">
        <f t="shared" si="6"/>
        <v>41626</v>
      </c>
      <c r="Z105" s="117">
        <v>41618</v>
      </c>
      <c r="AA105" s="161" t="str">
        <f t="shared" ca="1" si="7"/>
        <v>YES</v>
      </c>
      <c r="AB105" s="113"/>
      <c r="AC105" s="117"/>
      <c r="AD105" s="111"/>
      <c r="AE105" s="111"/>
      <c r="AF105" s="111" t="str">
        <f t="shared" ca="1" si="8"/>
        <v/>
      </c>
      <c r="AG105" s="162"/>
      <c r="AH105" s="162"/>
      <c r="AI105" s="164">
        <f t="shared" si="9"/>
        <v>0</v>
      </c>
      <c r="AJ105" s="118" t="s">
        <v>6</v>
      </c>
      <c r="AK105" s="113">
        <v>41618</v>
      </c>
      <c r="AL105" s="118"/>
      <c r="AM105" s="165" t="str">
        <f t="shared" si="10"/>
        <v>13033 GSK Bio Hamilton (NVS Inc)</v>
      </c>
      <c r="AN105" s="165" t="str">
        <f t="shared" si="11"/>
        <v xml:space="preserve">13033 GSK Bio Hamilton (NVS Inc) : pb livraison : conditionnement détérioré </v>
      </c>
    </row>
    <row r="106" spans="1:40" s="76" customFormat="1" ht="13" hidden="1" x14ac:dyDescent="0.3">
      <c r="A106" s="122"/>
      <c r="B106" s="116">
        <v>13034</v>
      </c>
      <c r="C106" s="113" t="s">
        <v>4</v>
      </c>
      <c r="D106" s="117">
        <v>41572</v>
      </c>
      <c r="E106" s="118" t="s">
        <v>172</v>
      </c>
      <c r="F106" s="118"/>
      <c r="G106" s="111" t="s">
        <v>416</v>
      </c>
      <c r="H106" s="111"/>
      <c r="I106" s="119" t="s">
        <v>2057</v>
      </c>
      <c r="J106" s="113"/>
      <c r="K106" s="118"/>
      <c r="L106" s="118" t="s">
        <v>417</v>
      </c>
      <c r="M106" s="118" t="s">
        <v>418</v>
      </c>
      <c r="N106" s="120" t="s">
        <v>419</v>
      </c>
      <c r="O106" s="111" t="s">
        <v>420</v>
      </c>
      <c r="P106" s="111" t="s">
        <v>80</v>
      </c>
      <c r="Q106" s="111"/>
      <c r="R106" s="111" t="s">
        <v>9</v>
      </c>
      <c r="S106" s="111"/>
      <c r="T106" s="118"/>
      <c r="U106" s="64">
        <v>41572</v>
      </c>
      <c r="V106" s="158" t="s">
        <v>10</v>
      </c>
      <c r="W106" s="118"/>
      <c r="X106" s="113"/>
      <c r="Y106" s="117">
        <f t="shared" si="6"/>
        <v>41664</v>
      </c>
      <c r="Z106" s="117">
        <v>41660</v>
      </c>
      <c r="AA106" s="161" t="str">
        <f t="shared" ca="1" si="7"/>
        <v>YES</v>
      </c>
      <c r="AB106" s="113"/>
      <c r="AC106" s="117"/>
      <c r="AD106" s="111"/>
      <c r="AE106" s="111"/>
      <c r="AF106" s="111" t="str">
        <f t="shared" ca="1" si="8"/>
        <v>N/A</v>
      </c>
      <c r="AG106" s="162"/>
      <c r="AH106" s="162"/>
      <c r="AI106" s="164">
        <f t="shared" si="9"/>
        <v>0</v>
      </c>
      <c r="AJ106" s="118" t="s">
        <v>6</v>
      </c>
      <c r="AK106" s="113">
        <v>41660</v>
      </c>
      <c r="AL106" s="118"/>
      <c r="AM106" s="165" t="str">
        <f t="shared" si="10"/>
        <v>13034 VITALUS</v>
      </c>
      <c r="AN106" s="165" t="str">
        <f t="shared" si="11"/>
        <v>13034 VITALUS : Validation RC3, offre 20-9825-0</v>
      </c>
    </row>
    <row r="107" spans="1:40" s="76" customFormat="1" ht="13" hidden="1" x14ac:dyDescent="0.3">
      <c r="A107" s="122"/>
      <c r="B107" s="116">
        <v>13035</v>
      </c>
      <c r="C107" s="113" t="s">
        <v>4</v>
      </c>
      <c r="D107" s="117">
        <v>41577</v>
      </c>
      <c r="E107" s="118" t="s">
        <v>82</v>
      </c>
      <c r="F107" s="118"/>
      <c r="G107" s="111" t="s">
        <v>421</v>
      </c>
      <c r="H107" s="111" t="s">
        <v>422</v>
      </c>
      <c r="I107" s="119" t="s">
        <v>2056</v>
      </c>
      <c r="J107" s="113"/>
      <c r="K107" s="118"/>
      <c r="L107" s="118" t="s">
        <v>423</v>
      </c>
      <c r="M107" s="118" t="s">
        <v>13</v>
      </c>
      <c r="N107" s="120" t="s">
        <v>424</v>
      </c>
      <c r="O107" s="111" t="s">
        <v>29</v>
      </c>
      <c r="P107" s="111" t="s">
        <v>86</v>
      </c>
      <c r="Q107" s="111" t="s">
        <v>176</v>
      </c>
      <c r="R107" s="111" t="s">
        <v>145</v>
      </c>
      <c r="S107" s="111"/>
      <c r="T107" s="128" t="s">
        <v>425</v>
      </c>
      <c r="U107" s="64">
        <v>41577</v>
      </c>
      <c r="V107" s="158" t="s">
        <v>6</v>
      </c>
      <c r="W107" s="118" t="s">
        <v>224</v>
      </c>
      <c r="X107" s="113"/>
      <c r="Y107" s="117">
        <f t="shared" si="6"/>
        <v>41669</v>
      </c>
      <c r="Z107" s="117">
        <v>41660</v>
      </c>
      <c r="AA107" s="161" t="str">
        <f t="shared" ca="1" si="7"/>
        <v>YES</v>
      </c>
      <c r="AB107" s="113"/>
      <c r="AC107" s="117"/>
      <c r="AD107" s="111"/>
      <c r="AE107" s="111"/>
      <c r="AF107" s="111" t="str">
        <f t="shared" ca="1" si="8"/>
        <v>N/A</v>
      </c>
      <c r="AG107" s="162"/>
      <c r="AH107" s="162"/>
      <c r="AI107" s="164">
        <f t="shared" si="9"/>
        <v>0</v>
      </c>
      <c r="AJ107" s="118" t="s">
        <v>6</v>
      </c>
      <c r="AK107" s="113">
        <v>41660</v>
      </c>
      <c r="AL107" s="118"/>
      <c r="AM107" s="165" t="str">
        <f t="shared" si="10"/>
        <v xml:space="preserve">13035 Tereos Roumanie / </v>
      </c>
      <c r="AN107" s="165" t="str">
        <f t="shared" si="11"/>
        <v>13035 Tereos Roumanie /  : Retard de livraison</v>
      </c>
    </row>
    <row r="108" spans="1:40" s="76" customFormat="1" ht="13" hidden="1" x14ac:dyDescent="0.3">
      <c r="A108" s="122"/>
      <c r="B108" s="116">
        <v>13036</v>
      </c>
      <c r="C108" s="113" t="s">
        <v>4</v>
      </c>
      <c r="D108" s="117">
        <v>41582</v>
      </c>
      <c r="E108" s="118" t="s">
        <v>91</v>
      </c>
      <c r="F108" s="118"/>
      <c r="G108" s="111" t="s">
        <v>426</v>
      </c>
      <c r="H108" s="111"/>
      <c r="I108" s="119" t="s">
        <v>2057</v>
      </c>
      <c r="J108" s="113"/>
      <c r="K108" s="118"/>
      <c r="L108" s="118" t="s">
        <v>427</v>
      </c>
      <c r="M108" s="118" t="s">
        <v>13</v>
      </c>
      <c r="N108" s="120" t="s">
        <v>428</v>
      </c>
      <c r="O108" s="111" t="s">
        <v>29</v>
      </c>
      <c r="P108" s="111" t="s">
        <v>86</v>
      </c>
      <c r="Q108" s="111"/>
      <c r="R108" s="111" t="s">
        <v>9</v>
      </c>
      <c r="S108" s="111"/>
      <c r="T108" s="118"/>
      <c r="U108" s="64">
        <v>41625</v>
      </c>
      <c r="V108" s="158" t="s">
        <v>6</v>
      </c>
      <c r="W108" s="118" t="s">
        <v>120</v>
      </c>
      <c r="X108" s="113"/>
      <c r="Y108" s="117">
        <f t="shared" si="6"/>
        <v>41674</v>
      </c>
      <c r="Z108" s="117">
        <v>41659</v>
      </c>
      <c r="AA108" s="161" t="str">
        <f t="shared" ca="1" si="7"/>
        <v>YES</v>
      </c>
      <c r="AB108" s="113"/>
      <c r="AC108" s="117"/>
      <c r="AD108" s="111"/>
      <c r="AE108" s="111"/>
      <c r="AF108" s="111" t="str">
        <f t="shared" ca="1" si="8"/>
        <v>N/A</v>
      </c>
      <c r="AG108" s="162"/>
      <c r="AH108" s="162"/>
      <c r="AI108" s="164">
        <f t="shared" si="9"/>
        <v>0</v>
      </c>
      <c r="AJ108" s="118" t="s">
        <v>6</v>
      </c>
      <c r="AK108" s="113">
        <v>41659</v>
      </c>
      <c r="AL108" s="118"/>
      <c r="AM108" s="165" t="str">
        <f t="shared" si="10"/>
        <v>13036 CARGILL Russie</v>
      </c>
      <c r="AN108" s="165" t="str">
        <f t="shared" si="11"/>
        <v>13036 CARGILL Russie : Incompatibilité norme brides</v>
      </c>
    </row>
    <row r="109" spans="1:40" s="76" customFormat="1" ht="13" hidden="1" x14ac:dyDescent="0.3">
      <c r="A109" s="122"/>
      <c r="B109" s="116">
        <v>13037</v>
      </c>
      <c r="C109" s="113" t="s">
        <v>4</v>
      </c>
      <c r="D109" s="117">
        <v>41582</v>
      </c>
      <c r="E109" s="118" t="s">
        <v>91</v>
      </c>
      <c r="F109" s="118"/>
      <c r="G109" s="111" t="s">
        <v>429</v>
      </c>
      <c r="H109" s="111"/>
      <c r="I109" s="119" t="s">
        <v>2057</v>
      </c>
      <c r="J109" s="113"/>
      <c r="K109" s="118"/>
      <c r="L109" s="118" t="s">
        <v>430</v>
      </c>
      <c r="M109" s="118" t="s">
        <v>11</v>
      </c>
      <c r="N109" s="120" t="s">
        <v>431</v>
      </c>
      <c r="O109" s="111" t="s">
        <v>29</v>
      </c>
      <c r="P109" s="111" t="s">
        <v>86</v>
      </c>
      <c r="Q109" s="111"/>
      <c r="R109" s="111" t="s">
        <v>9</v>
      </c>
      <c r="S109" s="111"/>
      <c r="T109" s="118"/>
      <c r="U109" s="64">
        <v>41582</v>
      </c>
      <c r="V109" s="158" t="s">
        <v>6</v>
      </c>
      <c r="W109" s="118" t="s">
        <v>120</v>
      </c>
      <c r="X109" s="113"/>
      <c r="Y109" s="117">
        <f t="shared" si="6"/>
        <v>41674</v>
      </c>
      <c r="Z109" s="117">
        <v>41626</v>
      </c>
      <c r="AA109" s="161" t="str">
        <f t="shared" ca="1" si="7"/>
        <v>YES</v>
      </c>
      <c r="AB109" s="113"/>
      <c r="AC109" s="117"/>
      <c r="AD109" s="111"/>
      <c r="AE109" s="111"/>
      <c r="AF109" s="111" t="str">
        <f t="shared" ca="1" si="8"/>
        <v>N/A</v>
      </c>
      <c r="AG109" s="162"/>
      <c r="AH109" s="162"/>
      <c r="AI109" s="164">
        <f t="shared" si="9"/>
        <v>0</v>
      </c>
      <c r="AJ109" s="118" t="s">
        <v>6</v>
      </c>
      <c r="AK109" s="113">
        <v>41626</v>
      </c>
      <c r="AL109" s="118"/>
      <c r="AM109" s="165" t="str">
        <f t="shared" si="10"/>
        <v>13037 CJ USA</v>
      </c>
      <c r="AN109" s="165" t="str">
        <f t="shared" si="11"/>
        <v>13037 CJ USA : Erreur modélisation colonne</v>
      </c>
    </row>
    <row r="110" spans="1:40" s="76" customFormat="1" ht="13" hidden="1" x14ac:dyDescent="0.3">
      <c r="A110" s="122"/>
      <c r="B110" s="116">
        <v>13038</v>
      </c>
      <c r="C110" s="113" t="s">
        <v>4</v>
      </c>
      <c r="D110" s="117">
        <v>41586</v>
      </c>
      <c r="E110" s="118" t="s">
        <v>91</v>
      </c>
      <c r="F110" s="118"/>
      <c r="G110" s="111" t="s">
        <v>432</v>
      </c>
      <c r="H110" s="111" t="s">
        <v>433</v>
      </c>
      <c r="I110" s="119" t="s">
        <v>2056</v>
      </c>
      <c r="J110" s="113" t="s">
        <v>6</v>
      </c>
      <c r="K110" s="118"/>
      <c r="L110" s="118" t="s">
        <v>430</v>
      </c>
      <c r="M110" s="118" t="s">
        <v>11</v>
      </c>
      <c r="N110" s="120" t="s">
        <v>434</v>
      </c>
      <c r="O110" s="111" t="s">
        <v>29</v>
      </c>
      <c r="P110" s="111" t="s">
        <v>86</v>
      </c>
      <c r="Q110" s="111"/>
      <c r="R110" s="111" t="s">
        <v>145</v>
      </c>
      <c r="S110" s="111"/>
      <c r="T110" s="118"/>
      <c r="U110" s="64">
        <v>41586</v>
      </c>
      <c r="V110" s="158" t="s">
        <v>6</v>
      </c>
      <c r="W110" s="118" t="s">
        <v>116</v>
      </c>
      <c r="X110" s="113"/>
      <c r="Y110" s="117">
        <f t="shared" si="6"/>
        <v>41678</v>
      </c>
      <c r="Z110" s="117">
        <v>41785</v>
      </c>
      <c r="AA110" s="161" t="str">
        <f t="shared" ca="1" si="7"/>
        <v>NO</v>
      </c>
      <c r="AB110" s="113"/>
      <c r="AC110" s="117"/>
      <c r="AD110" s="111"/>
      <c r="AE110" s="111"/>
      <c r="AF110" s="111" t="str">
        <f t="shared" ca="1" si="8"/>
        <v>N/A</v>
      </c>
      <c r="AG110" s="162"/>
      <c r="AH110" s="162"/>
      <c r="AI110" s="164">
        <f t="shared" si="9"/>
        <v>0</v>
      </c>
      <c r="AJ110" s="118" t="s">
        <v>6</v>
      </c>
      <c r="AK110" s="113">
        <v>41785</v>
      </c>
      <c r="AL110" s="118"/>
      <c r="AM110" s="165" t="str">
        <f t="shared" si="10"/>
        <v xml:space="preserve">13038 CJ USA </v>
      </c>
      <c r="AN110" s="165" t="str">
        <f t="shared" si="11"/>
        <v>13038 CJ USA  : Défauts d'ébonitage sur colonnes</v>
      </c>
    </row>
    <row r="111" spans="1:40" s="76" customFormat="1" ht="13" hidden="1" x14ac:dyDescent="0.3">
      <c r="A111" s="122"/>
      <c r="B111" s="116">
        <v>13039</v>
      </c>
      <c r="C111" s="113" t="s">
        <v>4</v>
      </c>
      <c r="D111" s="117">
        <v>41590</v>
      </c>
      <c r="E111" s="118" t="s">
        <v>212</v>
      </c>
      <c r="F111" s="118"/>
      <c r="G111" s="111" t="s">
        <v>435</v>
      </c>
      <c r="H111" s="111"/>
      <c r="I111" s="119" t="s">
        <v>5</v>
      </c>
      <c r="J111" s="113"/>
      <c r="K111" s="118"/>
      <c r="L111" s="118" t="s">
        <v>436</v>
      </c>
      <c r="M111" s="118" t="s">
        <v>20</v>
      </c>
      <c r="N111" s="120" t="s">
        <v>437</v>
      </c>
      <c r="O111" s="111" t="s">
        <v>29</v>
      </c>
      <c r="P111" s="111" t="s">
        <v>86</v>
      </c>
      <c r="Q111" s="111"/>
      <c r="R111" s="111" t="s">
        <v>145</v>
      </c>
      <c r="S111" s="111"/>
      <c r="T111" s="118"/>
      <c r="U111" s="64">
        <v>41548</v>
      </c>
      <c r="V111" s="158" t="s">
        <v>10</v>
      </c>
      <c r="W111" s="118"/>
      <c r="X111" s="113"/>
      <c r="Y111" s="117">
        <f t="shared" si="6"/>
        <v>41682</v>
      </c>
      <c r="Z111" s="117">
        <v>41971</v>
      </c>
      <c r="AA111" s="161" t="str">
        <f t="shared" ca="1" si="7"/>
        <v>NO</v>
      </c>
      <c r="AB111" s="113"/>
      <c r="AC111" s="117"/>
      <c r="AD111" s="111"/>
      <c r="AE111" s="111"/>
      <c r="AF111" s="111" t="str">
        <f t="shared" ca="1" si="8"/>
        <v/>
      </c>
      <c r="AG111" s="162"/>
      <c r="AH111" s="162"/>
      <c r="AI111" s="164">
        <f t="shared" si="9"/>
        <v>0</v>
      </c>
      <c r="AJ111" s="118" t="s">
        <v>6</v>
      </c>
      <c r="AK111" s="113">
        <v>41971</v>
      </c>
      <c r="AL111" s="118"/>
      <c r="AM111" s="165" t="str">
        <f t="shared" si="10"/>
        <v>13039 ANGEL 2</v>
      </c>
      <c r="AN111" s="165" t="str">
        <f t="shared" si="11"/>
        <v>13039 ANGEL 2 : Qualité de condensat</v>
      </c>
    </row>
    <row r="112" spans="1:40" s="76" customFormat="1" ht="13" hidden="1" x14ac:dyDescent="0.3">
      <c r="A112" s="122"/>
      <c r="B112" s="116">
        <v>13040</v>
      </c>
      <c r="C112" s="113" t="s">
        <v>4</v>
      </c>
      <c r="D112" s="117">
        <v>41591</v>
      </c>
      <c r="E112" s="118" t="s">
        <v>82</v>
      </c>
      <c r="F112" s="118"/>
      <c r="G112" s="111" t="s">
        <v>438</v>
      </c>
      <c r="H112" s="111" t="s">
        <v>392</v>
      </c>
      <c r="I112" s="119" t="s">
        <v>2056</v>
      </c>
      <c r="J112" s="113" t="s">
        <v>6</v>
      </c>
      <c r="K112" s="118"/>
      <c r="L112" s="118" t="s">
        <v>439</v>
      </c>
      <c r="M112" s="118" t="s">
        <v>11</v>
      </c>
      <c r="N112" s="120" t="s">
        <v>440</v>
      </c>
      <c r="O112" s="111" t="s">
        <v>28</v>
      </c>
      <c r="P112" s="111" t="s">
        <v>103</v>
      </c>
      <c r="Q112" s="111"/>
      <c r="R112" s="111" t="s">
        <v>145</v>
      </c>
      <c r="S112" s="111"/>
      <c r="T112" s="128" t="s">
        <v>392</v>
      </c>
      <c r="U112" s="64">
        <v>41590</v>
      </c>
      <c r="V112" s="158" t="s">
        <v>10</v>
      </c>
      <c r="W112" s="118"/>
      <c r="X112" s="113"/>
      <c r="Y112" s="117">
        <f t="shared" si="6"/>
        <v>41683</v>
      </c>
      <c r="Z112" s="117">
        <v>41682</v>
      </c>
      <c r="AA112" s="161" t="str">
        <f t="shared" ca="1" si="7"/>
        <v>YES</v>
      </c>
      <c r="AB112" s="113"/>
      <c r="AC112" s="117"/>
      <c r="AD112" s="111"/>
      <c r="AE112" s="111"/>
      <c r="AF112" s="111" t="str">
        <f t="shared" ca="1" si="8"/>
        <v>N/A</v>
      </c>
      <c r="AG112" s="162"/>
      <c r="AH112" s="162"/>
      <c r="AI112" s="164">
        <f t="shared" si="9"/>
        <v>0</v>
      </c>
      <c r="AJ112" s="118" t="s">
        <v>6</v>
      </c>
      <c r="AK112" s="113">
        <v>41682</v>
      </c>
      <c r="AL112" s="118"/>
      <c r="AM112" s="165" t="str">
        <f t="shared" si="10"/>
        <v>13040 Fengning/</v>
      </c>
      <c r="AN112" s="165" t="str">
        <f t="shared" si="11"/>
        <v>13040 Fengning/ : Problème acidité résine</v>
      </c>
    </row>
    <row r="113" spans="1:40" s="76" customFormat="1" ht="13" hidden="1" x14ac:dyDescent="0.3">
      <c r="A113" s="122"/>
      <c r="B113" s="116">
        <v>13041</v>
      </c>
      <c r="C113" s="113" t="s">
        <v>4</v>
      </c>
      <c r="D113" s="117">
        <v>41600</v>
      </c>
      <c r="E113" s="118" t="s">
        <v>441</v>
      </c>
      <c r="F113" s="118"/>
      <c r="G113" s="111" t="s">
        <v>442</v>
      </c>
      <c r="H113" s="111"/>
      <c r="I113" s="119" t="s">
        <v>2057</v>
      </c>
      <c r="J113" s="113"/>
      <c r="K113" s="118"/>
      <c r="L113" s="118" t="s">
        <v>443</v>
      </c>
      <c r="M113" s="118" t="s">
        <v>13</v>
      </c>
      <c r="N113" s="120" t="s">
        <v>444</v>
      </c>
      <c r="O113" s="111" t="s">
        <v>29</v>
      </c>
      <c r="P113" s="111" t="s">
        <v>86</v>
      </c>
      <c r="Q113" s="111"/>
      <c r="R113" s="111" t="s">
        <v>9</v>
      </c>
      <c r="S113" s="111"/>
      <c r="T113" s="118"/>
      <c r="U113" s="64">
        <v>41603</v>
      </c>
      <c r="V113" s="158" t="s">
        <v>6</v>
      </c>
      <c r="W113" s="118" t="s">
        <v>120</v>
      </c>
      <c r="X113" s="113"/>
      <c r="Y113" s="117">
        <f t="shared" si="6"/>
        <v>41692</v>
      </c>
      <c r="Z113" s="117">
        <v>41690</v>
      </c>
      <c r="AA113" s="161" t="str">
        <f t="shared" ca="1" si="7"/>
        <v>YES</v>
      </c>
      <c r="AB113" s="113"/>
      <c r="AC113" s="117"/>
      <c r="AD113" s="111"/>
      <c r="AE113" s="111"/>
      <c r="AF113" s="111" t="str">
        <f t="shared" ca="1" si="8"/>
        <v>N/A</v>
      </c>
      <c r="AG113" s="162"/>
      <c r="AH113" s="162"/>
      <c r="AI113" s="164">
        <f t="shared" si="9"/>
        <v>0</v>
      </c>
      <c r="AJ113" s="118" t="s">
        <v>6</v>
      </c>
      <c r="AK113" s="113">
        <v>41690</v>
      </c>
      <c r="AL113" s="118"/>
      <c r="AM113" s="165" t="str">
        <f t="shared" si="10"/>
        <v>13041 CARGILL (Spain/Russie)</v>
      </c>
      <c r="AN113" s="165" t="str">
        <f t="shared" si="11"/>
        <v>13041 CARGILL (Spain/Russie) : pb orientation entrée/sortie produit sur colonne</v>
      </c>
    </row>
    <row r="114" spans="1:40" s="76" customFormat="1" ht="13" hidden="1" x14ac:dyDescent="0.3">
      <c r="A114" s="122"/>
      <c r="B114" s="116">
        <v>13042</v>
      </c>
      <c r="C114" s="113" t="s">
        <v>4</v>
      </c>
      <c r="D114" s="117">
        <v>41603</v>
      </c>
      <c r="E114" s="118" t="s">
        <v>224</v>
      </c>
      <c r="F114" s="118"/>
      <c r="G114" s="111" t="s">
        <v>445</v>
      </c>
      <c r="H114" s="111" t="s">
        <v>446</v>
      </c>
      <c r="I114" s="119" t="s">
        <v>2056</v>
      </c>
      <c r="J114" s="113"/>
      <c r="K114" s="118">
        <v>1953</v>
      </c>
      <c r="L114" s="118" t="s">
        <v>447</v>
      </c>
      <c r="M114" s="118"/>
      <c r="N114" s="120" t="s">
        <v>152</v>
      </c>
      <c r="O114" s="111" t="s">
        <v>29</v>
      </c>
      <c r="P114" s="111" t="s">
        <v>176</v>
      </c>
      <c r="Q114" s="111"/>
      <c r="R114" s="111" t="s">
        <v>145</v>
      </c>
      <c r="S114" s="111"/>
      <c r="T114" s="118" t="s">
        <v>448</v>
      </c>
      <c r="U114" s="64">
        <v>41603</v>
      </c>
      <c r="V114" s="158" t="s">
        <v>6</v>
      </c>
      <c r="W114" s="118" t="s">
        <v>224</v>
      </c>
      <c r="X114" s="113"/>
      <c r="Y114" s="117">
        <f t="shared" si="6"/>
        <v>41695</v>
      </c>
      <c r="Z114" s="117">
        <v>41675</v>
      </c>
      <c r="AA114" s="161" t="str">
        <f t="shared" ca="1" si="7"/>
        <v>YES</v>
      </c>
      <c r="AB114" s="113"/>
      <c r="AC114" s="117"/>
      <c r="AD114" s="111"/>
      <c r="AE114" s="111"/>
      <c r="AF114" s="111" t="str">
        <f t="shared" ca="1" si="8"/>
        <v>N/A</v>
      </c>
      <c r="AG114" s="162"/>
      <c r="AH114" s="162"/>
      <c r="AI114" s="164">
        <f t="shared" si="9"/>
        <v>0</v>
      </c>
      <c r="AJ114" s="118" t="s">
        <v>6</v>
      </c>
      <c r="AK114" s="113">
        <v>41675</v>
      </c>
      <c r="AL114" s="118"/>
      <c r="AM114" s="165" t="str">
        <f t="shared" si="10"/>
        <v>13042 Sunoko2/</v>
      </c>
      <c r="AN114" s="165" t="str">
        <f t="shared" si="11"/>
        <v>13042 Sunoko2/ : Retard livraison</v>
      </c>
    </row>
    <row r="115" spans="1:40" s="76" customFormat="1" ht="13" hidden="1" x14ac:dyDescent="0.3">
      <c r="A115" s="122"/>
      <c r="B115" s="116">
        <v>13043</v>
      </c>
      <c r="C115" s="113" t="s">
        <v>4</v>
      </c>
      <c r="D115" s="117">
        <v>41604</v>
      </c>
      <c r="E115" s="118" t="s">
        <v>177</v>
      </c>
      <c r="F115" s="118"/>
      <c r="G115" s="111" t="s">
        <v>449</v>
      </c>
      <c r="H115" s="111" t="s">
        <v>448</v>
      </c>
      <c r="I115" s="119" t="s">
        <v>2056</v>
      </c>
      <c r="J115" s="113"/>
      <c r="K115" s="118">
        <v>1964</v>
      </c>
      <c r="L115" s="118" t="s">
        <v>450</v>
      </c>
      <c r="M115" s="118" t="s">
        <v>11</v>
      </c>
      <c r="N115" s="120" t="s">
        <v>451</v>
      </c>
      <c r="O115" s="111" t="s">
        <v>29</v>
      </c>
      <c r="P115" s="111" t="s">
        <v>176</v>
      </c>
      <c r="Q115" s="111" t="s">
        <v>452</v>
      </c>
      <c r="R115" s="111" t="s">
        <v>145</v>
      </c>
      <c r="S115" s="111"/>
      <c r="T115" s="118" t="s">
        <v>448</v>
      </c>
      <c r="U115" s="64">
        <v>41586</v>
      </c>
      <c r="V115" s="158" t="s">
        <v>6</v>
      </c>
      <c r="W115" s="118" t="s">
        <v>177</v>
      </c>
      <c r="X115" s="113"/>
      <c r="Y115" s="117">
        <f t="shared" si="6"/>
        <v>41696</v>
      </c>
      <c r="Z115" s="117">
        <v>41667</v>
      </c>
      <c r="AA115" s="161" t="str">
        <f t="shared" ca="1" si="7"/>
        <v>YES</v>
      </c>
      <c r="AB115" s="113"/>
      <c r="AC115" s="117"/>
      <c r="AD115" s="111"/>
      <c r="AE115" s="111"/>
      <c r="AF115" s="111" t="str">
        <f t="shared" ca="1" si="8"/>
        <v>N/A</v>
      </c>
      <c r="AG115" s="162"/>
      <c r="AH115" s="162"/>
      <c r="AI115" s="164">
        <f t="shared" si="9"/>
        <v>0</v>
      </c>
      <c r="AJ115" s="118" t="s">
        <v>6</v>
      </c>
      <c r="AK115" s="113">
        <v>41892</v>
      </c>
      <c r="AL115" s="118"/>
      <c r="AM115" s="165" t="str">
        <f t="shared" si="10"/>
        <v>13043 ZUOYAN/</v>
      </c>
      <c r="AN115" s="165" t="str">
        <f t="shared" si="11"/>
        <v>13043 ZUOYAN/ : Détérioration de big bag lors de l'empotage</v>
      </c>
    </row>
    <row r="116" spans="1:40" s="76" customFormat="1" ht="13" hidden="1" x14ac:dyDescent="0.3">
      <c r="A116" s="122"/>
      <c r="B116" s="116">
        <v>13044</v>
      </c>
      <c r="C116" s="113" t="s">
        <v>4</v>
      </c>
      <c r="D116" s="117">
        <v>41613</v>
      </c>
      <c r="E116" s="118" t="s">
        <v>273</v>
      </c>
      <c r="F116" s="118"/>
      <c r="G116" s="111" t="s">
        <v>453</v>
      </c>
      <c r="H116" s="111" t="s">
        <v>357</v>
      </c>
      <c r="I116" s="119" t="s">
        <v>5</v>
      </c>
      <c r="J116" s="113" t="s">
        <v>6</v>
      </c>
      <c r="K116" s="118" t="s">
        <v>454</v>
      </c>
      <c r="L116" s="118" t="s">
        <v>455</v>
      </c>
      <c r="M116" s="118" t="s">
        <v>16</v>
      </c>
      <c r="N116" s="120" t="s">
        <v>360</v>
      </c>
      <c r="O116" s="111" t="s">
        <v>28</v>
      </c>
      <c r="P116" s="111" t="s">
        <v>103</v>
      </c>
      <c r="Q116" s="111" t="s">
        <v>456</v>
      </c>
      <c r="R116" s="111" t="s">
        <v>145</v>
      </c>
      <c r="S116" s="111"/>
      <c r="T116" s="128" t="s">
        <v>357</v>
      </c>
      <c r="U116" s="64">
        <v>41648</v>
      </c>
      <c r="V116" s="158" t="s">
        <v>10</v>
      </c>
      <c r="W116" s="118"/>
      <c r="X116" s="113"/>
      <c r="Y116" s="117">
        <f t="shared" si="6"/>
        <v>41703</v>
      </c>
      <c r="Z116" s="117">
        <v>41697</v>
      </c>
      <c r="AA116" s="161" t="str">
        <f t="shared" ca="1" si="7"/>
        <v>YES</v>
      </c>
      <c r="AB116" s="113"/>
      <c r="AC116" s="117"/>
      <c r="AD116" s="111"/>
      <c r="AE116" s="111"/>
      <c r="AF116" s="111" t="str">
        <f t="shared" ca="1" si="8"/>
        <v/>
      </c>
      <c r="AG116" s="162"/>
      <c r="AH116" s="162"/>
      <c r="AI116" s="164">
        <f t="shared" si="9"/>
        <v>0</v>
      </c>
      <c r="AJ116" s="118" t="s">
        <v>6</v>
      </c>
      <c r="AK116" s="113">
        <v>41886</v>
      </c>
      <c r="AL116" s="118" t="s">
        <v>457</v>
      </c>
      <c r="AM116" s="165" t="str">
        <f t="shared" si="10"/>
        <v xml:space="preserve">13044 MEIHUA / </v>
      </c>
      <c r="AN116" s="165" t="str">
        <f t="shared" si="11"/>
        <v>13044 MEIHUA /  : Défaufts d'aspect mbres Kerasep BW 150 KD</v>
      </c>
    </row>
    <row r="117" spans="1:40" s="76" customFormat="1" ht="13" hidden="1" x14ac:dyDescent="0.3">
      <c r="A117" s="122" t="s">
        <v>458</v>
      </c>
      <c r="B117" s="116">
        <v>14001</v>
      </c>
      <c r="C117" s="113" t="s">
        <v>4</v>
      </c>
      <c r="D117" s="117">
        <v>41649</v>
      </c>
      <c r="E117" s="118" t="s">
        <v>82</v>
      </c>
      <c r="F117" s="118"/>
      <c r="G117" s="111" t="s">
        <v>459</v>
      </c>
      <c r="H117" s="111" t="s">
        <v>460</v>
      </c>
      <c r="I117" s="119" t="s">
        <v>5</v>
      </c>
      <c r="J117" s="113"/>
      <c r="K117" s="118" t="s">
        <v>454</v>
      </c>
      <c r="L117" s="118" t="s">
        <v>461</v>
      </c>
      <c r="M117" s="118" t="s">
        <v>18</v>
      </c>
      <c r="N117" s="120" t="s">
        <v>462</v>
      </c>
      <c r="O117" s="111" t="s">
        <v>28</v>
      </c>
      <c r="P117" s="111" t="s">
        <v>103</v>
      </c>
      <c r="Q117" s="111" t="s">
        <v>456</v>
      </c>
      <c r="R117" s="111" t="s">
        <v>145</v>
      </c>
      <c r="S117" s="111"/>
      <c r="T117" s="128" t="s">
        <v>460</v>
      </c>
      <c r="U117" s="64">
        <v>41674</v>
      </c>
      <c r="V117" s="158" t="s">
        <v>6</v>
      </c>
      <c r="W117" s="118" t="s">
        <v>82</v>
      </c>
      <c r="X117" s="113"/>
      <c r="Y117" s="117">
        <f t="shared" si="6"/>
        <v>41739</v>
      </c>
      <c r="Z117" s="117">
        <v>41836</v>
      </c>
      <c r="AA117" s="161" t="str">
        <f t="shared" ca="1" si="7"/>
        <v>NO</v>
      </c>
      <c r="AB117" s="113"/>
      <c r="AC117" s="117">
        <v>41696</v>
      </c>
      <c r="AD117" s="111"/>
      <c r="AE117" s="111"/>
      <c r="AF117" s="111" t="str">
        <f t="shared" ca="1" si="8"/>
        <v/>
      </c>
      <c r="AG117" s="162"/>
      <c r="AH117" s="162"/>
      <c r="AI117" s="164">
        <f t="shared" si="9"/>
        <v>0</v>
      </c>
      <c r="AJ117" s="118" t="s">
        <v>6</v>
      </c>
      <c r="AK117" s="113">
        <v>42249</v>
      </c>
      <c r="AL117" s="118" t="s">
        <v>463</v>
      </c>
      <c r="AM117" s="165" t="str">
        <f t="shared" si="10"/>
        <v xml:space="preserve">14001 TEREOS SYRAL / </v>
      </c>
      <c r="AN117" s="165" t="str">
        <f t="shared" si="11"/>
        <v>14001 TEREOS SYRAL /  : Performances/Déformations membranes NF</v>
      </c>
    </row>
    <row r="118" spans="1:40" s="76" customFormat="1" ht="13" hidden="1" x14ac:dyDescent="0.3">
      <c r="A118" s="122" t="s">
        <v>464</v>
      </c>
      <c r="B118" s="116">
        <v>14002</v>
      </c>
      <c r="C118" s="113" t="s">
        <v>4</v>
      </c>
      <c r="D118" s="117">
        <v>41649</v>
      </c>
      <c r="E118" s="118" t="s">
        <v>82</v>
      </c>
      <c r="F118" s="118"/>
      <c r="G118" s="111" t="s">
        <v>320</v>
      </c>
      <c r="H118" s="111" t="s">
        <v>465</v>
      </c>
      <c r="I118" s="119" t="s">
        <v>2056</v>
      </c>
      <c r="J118" s="113" t="s">
        <v>6</v>
      </c>
      <c r="K118" s="118" t="s">
        <v>454</v>
      </c>
      <c r="L118" s="118" t="s">
        <v>406</v>
      </c>
      <c r="M118" s="118" t="s">
        <v>11</v>
      </c>
      <c r="N118" s="120" t="s">
        <v>466</v>
      </c>
      <c r="O118" s="111" t="s">
        <v>28</v>
      </c>
      <c r="P118" s="111" t="s">
        <v>103</v>
      </c>
      <c r="Q118" s="111" t="s">
        <v>467</v>
      </c>
      <c r="R118" s="111" t="s">
        <v>145</v>
      </c>
      <c r="S118" s="111"/>
      <c r="T118" s="128" t="s">
        <v>392</v>
      </c>
      <c r="U118" s="64">
        <v>41649</v>
      </c>
      <c r="V118" s="158" t="s">
        <v>6</v>
      </c>
      <c r="W118" s="118" t="s">
        <v>82</v>
      </c>
      <c r="X118" s="113"/>
      <c r="Y118" s="117">
        <f t="shared" si="6"/>
        <v>41739</v>
      </c>
      <c r="Z118" s="117">
        <v>41729</v>
      </c>
      <c r="AA118" s="161" t="str">
        <f t="shared" ca="1" si="7"/>
        <v>YES</v>
      </c>
      <c r="AB118" s="113"/>
      <c r="AC118" s="117"/>
      <c r="AD118" s="111"/>
      <c r="AE118" s="111"/>
      <c r="AF118" s="111" t="str">
        <f t="shared" ca="1" si="8"/>
        <v>N/A</v>
      </c>
      <c r="AG118" s="162"/>
      <c r="AH118" s="162"/>
      <c r="AI118" s="164">
        <f t="shared" si="9"/>
        <v>0</v>
      </c>
      <c r="AJ118" s="118" t="s">
        <v>6</v>
      </c>
      <c r="AK118" s="113">
        <v>41971</v>
      </c>
      <c r="AL118" s="118" t="s">
        <v>468</v>
      </c>
      <c r="AM118" s="165" t="str">
        <f t="shared" si="10"/>
        <v>14002 CJ US</v>
      </c>
      <c r="AN118" s="165" t="str">
        <f t="shared" si="11"/>
        <v>14002 CJ US :  1 Big bag résine déchiré</v>
      </c>
    </row>
    <row r="119" spans="1:40" s="76" customFormat="1" ht="13" hidden="1" x14ac:dyDescent="0.3">
      <c r="A119" s="122" t="s">
        <v>469</v>
      </c>
      <c r="B119" s="116">
        <v>14003</v>
      </c>
      <c r="C119" s="113" t="s">
        <v>4</v>
      </c>
      <c r="D119" s="117">
        <v>41667</v>
      </c>
      <c r="E119" s="118" t="s">
        <v>82</v>
      </c>
      <c r="F119" s="118"/>
      <c r="G119" s="111" t="s">
        <v>470</v>
      </c>
      <c r="H119" s="111"/>
      <c r="I119" s="119" t="s">
        <v>2057</v>
      </c>
      <c r="J119" s="113"/>
      <c r="K119" s="118">
        <v>1872</v>
      </c>
      <c r="L119" s="118" t="s">
        <v>471</v>
      </c>
      <c r="M119" s="118" t="s">
        <v>18</v>
      </c>
      <c r="N119" s="120" t="s">
        <v>472</v>
      </c>
      <c r="O119" s="111" t="s">
        <v>29</v>
      </c>
      <c r="P119" s="111" t="s">
        <v>473</v>
      </c>
      <c r="Q119" s="111" t="s">
        <v>474</v>
      </c>
      <c r="R119" s="111" t="s">
        <v>9</v>
      </c>
      <c r="S119" s="111"/>
      <c r="T119" s="128" t="s">
        <v>475</v>
      </c>
      <c r="U119" s="64">
        <v>41674</v>
      </c>
      <c r="V119" s="158" t="s">
        <v>6</v>
      </c>
      <c r="W119" s="118" t="s">
        <v>82</v>
      </c>
      <c r="X119" s="113"/>
      <c r="Y119" s="117">
        <f t="shared" si="6"/>
        <v>41757</v>
      </c>
      <c r="Z119" s="117">
        <v>41747</v>
      </c>
      <c r="AA119" s="161" t="str">
        <f t="shared" ca="1" si="7"/>
        <v>YES</v>
      </c>
      <c r="AB119" s="113"/>
      <c r="AC119" s="117"/>
      <c r="AD119" s="111"/>
      <c r="AE119" s="111"/>
      <c r="AF119" s="111" t="str">
        <f t="shared" ca="1" si="8"/>
        <v>N/A</v>
      </c>
      <c r="AG119" s="162"/>
      <c r="AH119" s="162"/>
      <c r="AI119" s="164">
        <f t="shared" si="9"/>
        <v>0</v>
      </c>
      <c r="AJ119" s="118" t="s">
        <v>6</v>
      </c>
      <c r="AK119" s="113">
        <v>42249</v>
      </c>
      <c r="AL119" s="118" t="s">
        <v>476</v>
      </c>
      <c r="AM119" s="165" t="str">
        <f t="shared" si="10"/>
        <v>14003 De Smet Yemen</v>
      </c>
      <c r="AN119" s="165" t="str">
        <f t="shared" si="11"/>
        <v>14003 De Smet Yemen : Fonctionnement skid NF (débit perméat élevé)</v>
      </c>
    </row>
    <row r="120" spans="1:40" s="76" customFormat="1" ht="13" hidden="1" x14ac:dyDescent="0.3">
      <c r="A120" s="122" t="s">
        <v>477</v>
      </c>
      <c r="B120" s="116">
        <v>14004</v>
      </c>
      <c r="C120" s="113" t="s">
        <v>4</v>
      </c>
      <c r="D120" s="117">
        <v>41682</v>
      </c>
      <c r="E120" s="118" t="s">
        <v>91</v>
      </c>
      <c r="F120" s="118"/>
      <c r="G120" s="111" t="s">
        <v>426</v>
      </c>
      <c r="H120" s="111"/>
      <c r="I120" s="119" t="s">
        <v>2057</v>
      </c>
      <c r="J120" s="113"/>
      <c r="K120" s="118">
        <v>1936</v>
      </c>
      <c r="L120" s="118" t="s">
        <v>427</v>
      </c>
      <c r="M120" s="118" t="s">
        <v>13</v>
      </c>
      <c r="N120" s="120" t="s">
        <v>478</v>
      </c>
      <c r="O120" s="111" t="s">
        <v>29</v>
      </c>
      <c r="P120" s="111" t="s">
        <v>479</v>
      </c>
      <c r="Q120" s="111" t="s">
        <v>480</v>
      </c>
      <c r="R120" s="111" t="s">
        <v>145</v>
      </c>
      <c r="S120" s="111"/>
      <c r="T120" s="118"/>
      <c r="U120" s="64">
        <v>41717</v>
      </c>
      <c r="V120" s="158" t="s">
        <v>6</v>
      </c>
      <c r="W120" s="118" t="s">
        <v>120</v>
      </c>
      <c r="X120" s="113"/>
      <c r="Y120" s="117">
        <f t="shared" si="6"/>
        <v>41771</v>
      </c>
      <c r="Z120" s="117">
        <v>41771</v>
      </c>
      <c r="AA120" s="161" t="str">
        <f t="shared" ca="1" si="7"/>
        <v>YES</v>
      </c>
      <c r="AB120" s="113"/>
      <c r="AC120" s="117"/>
      <c r="AD120" s="111"/>
      <c r="AE120" s="111"/>
      <c r="AF120" s="111" t="str">
        <f t="shared" ca="1" si="8"/>
        <v>N/A</v>
      </c>
      <c r="AG120" s="162"/>
      <c r="AH120" s="162"/>
      <c r="AI120" s="164">
        <f t="shared" si="9"/>
        <v>0</v>
      </c>
      <c r="AJ120" s="118" t="s">
        <v>6</v>
      </c>
      <c r="AK120" s="113">
        <v>41893</v>
      </c>
      <c r="AL120" s="118" t="s">
        <v>481</v>
      </c>
      <c r="AM120" s="165" t="str">
        <f t="shared" si="10"/>
        <v>14004 CARGILL Russie</v>
      </c>
      <c r="AN120" s="165" t="str">
        <f t="shared" si="11"/>
        <v>14004 CARGILL Russie : Dommages sur vannes papillon</v>
      </c>
    </row>
    <row r="121" spans="1:40" s="76" customFormat="1" ht="13" hidden="1" x14ac:dyDescent="0.3">
      <c r="A121" s="122" t="s">
        <v>482</v>
      </c>
      <c r="B121" s="116">
        <v>14005</v>
      </c>
      <c r="C121" s="113" t="s">
        <v>4</v>
      </c>
      <c r="D121" s="117">
        <v>41682</v>
      </c>
      <c r="E121" s="118" t="s">
        <v>91</v>
      </c>
      <c r="F121" s="118"/>
      <c r="G121" s="111" t="s">
        <v>429</v>
      </c>
      <c r="H121" s="111"/>
      <c r="I121" s="119" t="s">
        <v>2057</v>
      </c>
      <c r="J121" s="113"/>
      <c r="K121" s="118">
        <v>1931</v>
      </c>
      <c r="L121" s="118" t="s">
        <v>430</v>
      </c>
      <c r="M121" s="118" t="s">
        <v>11</v>
      </c>
      <c r="N121" s="120" t="s">
        <v>483</v>
      </c>
      <c r="O121" s="111" t="s">
        <v>29</v>
      </c>
      <c r="P121" s="111" t="s">
        <v>479</v>
      </c>
      <c r="Q121" s="111" t="s">
        <v>484</v>
      </c>
      <c r="R121" s="111" t="s">
        <v>145</v>
      </c>
      <c r="S121" s="111"/>
      <c r="T121" s="118"/>
      <c r="U121" s="64">
        <v>41719</v>
      </c>
      <c r="V121" s="158" t="s">
        <v>10</v>
      </c>
      <c r="W121" s="118"/>
      <c r="X121" s="113"/>
      <c r="Y121" s="117">
        <f t="shared" si="6"/>
        <v>41771</v>
      </c>
      <c r="Z121" s="117">
        <v>41771</v>
      </c>
      <c r="AA121" s="161" t="str">
        <f t="shared" ca="1" si="7"/>
        <v>YES</v>
      </c>
      <c r="AB121" s="113"/>
      <c r="AC121" s="117"/>
      <c r="AD121" s="111"/>
      <c r="AE121" s="111"/>
      <c r="AF121" s="111" t="str">
        <f t="shared" ca="1" si="8"/>
        <v>N/A</v>
      </c>
      <c r="AG121" s="162"/>
      <c r="AH121" s="162"/>
      <c r="AI121" s="164">
        <f t="shared" si="9"/>
        <v>0</v>
      </c>
      <c r="AJ121" s="118" t="s">
        <v>6</v>
      </c>
      <c r="AK121" s="113">
        <v>41890</v>
      </c>
      <c r="AL121" s="118"/>
      <c r="AM121" s="165" t="str">
        <f t="shared" si="10"/>
        <v>14005 CJ USA</v>
      </c>
      <c r="AN121" s="165" t="str">
        <f t="shared" si="11"/>
        <v>14005 CJ USA : Fuites sur tuyauterie ébonitée</v>
      </c>
    </row>
    <row r="122" spans="1:40" s="76" customFormat="1" ht="13" hidden="1" x14ac:dyDescent="0.3">
      <c r="A122" s="122" t="s">
        <v>485</v>
      </c>
      <c r="B122" s="116">
        <v>14006</v>
      </c>
      <c r="C122" s="113" t="s">
        <v>4</v>
      </c>
      <c r="D122" s="117">
        <v>41690</v>
      </c>
      <c r="E122" s="118" t="s">
        <v>486</v>
      </c>
      <c r="F122" s="118"/>
      <c r="G122" s="111" t="s">
        <v>487</v>
      </c>
      <c r="H122" s="111" t="s">
        <v>488</v>
      </c>
      <c r="I122" s="119" t="s">
        <v>2056</v>
      </c>
      <c r="J122" s="113"/>
      <c r="K122" s="118">
        <v>1971</v>
      </c>
      <c r="L122" s="118" t="s">
        <v>489</v>
      </c>
      <c r="M122" s="118" t="s">
        <v>13</v>
      </c>
      <c r="N122" s="120" t="s">
        <v>490</v>
      </c>
      <c r="O122" s="111" t="s">
        <v>29</v>
      </c>
      <c r="P122" s="111" t="s">
        <v>176</v>
      </c>
      <c r="Q122" s="111" t="s">
        <v>491</v>
      </c>
      <c r="R122" s="111" t="s">
        <v>145</v>
      </c>
      <c r="S122" s="111"/>
      <c r="T122" s="118"/>
      <c r="U122" s="64">
        <v>41718</v>
      </c>
      <c r="V122" s="158" t="s">
        <v>10</v>
      </c>
      <c r="W122" s="118"/>
      <c r="X122" s="113"/>
      <c r="Y122" s="117">
        <f t="shared" si="6"/>
        <v>41779</v>
      </c>
      <c r="Z122" s="117">
        <v>41747</v>
      </c>
      <c r="AA122" s="161" t="str">
        <f t="shared" ca="1" si="7"/>
        <v>YES</v>
      </c>
      <c r="AB122" s="113"/>
      <c r="AC122" s="117"/>
      <c r="AD122" s="111"/>
      <c r="AE122" s="111"/>
      <c r="AF122" s="111" t="str">
        <f t="shared" ca="1" si="8"/>
        <v>N/A</v>
      </c>
      <c r="AG122" s="162"/>
      <c r="AH122" s="162"/>
      <c r="AI122" s="164">
        <f t="shared" si="9"/>
        <v>0</v>
      </c>
      <c r="AJ122" s="118" t="s">
        <v>6</v>
      </c>
      <c r="AK122" s="113">
        <v>41747</v>
      </c>
      <c r="AL122" s="118"/>
      <c r="AM122" s="165" t="str">
        <f t="shared" si="10"/>
        <v>14006 BMA</v>
      </c>
      <c r="AN122" s="165" t="str">
        <f t="shared" si="11"/>
        <v>14006 BMA : Retard mise à disposition colonnes</v>
      </c>
    </row>
    <row r="123" spans="1:40" s="76" customFormat="1" ht="13" hidden="1" x14ac:dyDescent="0.3">
      <c r="A123" s="122" t="s">
        <v>492</v>
      </c>
      <c r="B123" s="116">
        <v>14007</v>
      </c>
      <c r="C123" s="113" t="s">
        <v>4</v>
      </c>
      <c r="D123" s="117">
        <v>41698</v>
      </c>
      <c r="E123" s="118" t="s">
        <v>258</v>
      </c>
      <c r="F123" s="118"/>
      <c r="G123" s="111" t="s">
        <v>416</v>
      </c>
      <c r="H123" s="111"/>
      <c r="I123" s="119" t="s">
        <v>2057</v>
      </c>
      <c r="J123" s="113"/>
      <c r="K123" s="118" t="s">
        <v>454</v>
      </c>
      <c r="L123" s="118" t="s">
        <v>417</v>
      </c>
      <c r="M123" s="118" t="s">
        <v>418</v>
      </c>
      <c r="N123" s="120" t="s">
        <v>493</v>
      </c>
      <c r="O123" s="111" t="s">
        <v>420</v>
      </c>
      <c r="P123" s="111" t="s">
        <v>80</v>
      </c>
      <c r="Q123" s="111"/>
      <c r="R123" s="111" t="s">
        <v>9</v>
      </c>
      <c r="S123" s="111"/>
      <c r="T123" s="118"/>
      <c r="U123" s="64">
        <v>41709</v>
      </c>
      <c r="V123" s="158" t="s">
        <v>6</v>
      </c>
      <c r="W123" s="118" t="s">
        <v>258</v>
      </c>
      <c r="X123" s="113"/>
      <c r="Y123" s="117">
        <f t="shared" si="6"/>
        <v>41787</v>
      </c>
      <c r="Z123" s="117">
        <v>41780</v>
      </c>
      <c r="AA123" s="161" t="str">
        <f t="shared" ca="1" si="7"/>
        <v>YES</v>
      </c>
      <c r="AB123" s="113"/>
      <c r="AC123" s="117"/>
      <c r="AD123" s="111"/>
      <c r="AE123" s="111"/>
      <c r="AF123" s="111" t="str">
        <f t="shared" ca="1" si="8"/>
        <v>N/A</v>
      </c>
      <c r="AG123" s="162"/>
      <c r="AH123" s="162"/>
      <c r="AI123" s="164">
        <f t="shared" si="9"/>
        <v>0</v>
      </c>
      <c r="AJ123" s="118" t="s">
        <v>6</v>
      </c>
      <c r="AK123" s="113">
        <v>41891</v>
      </c>
      <c r="AL123" s="118" t="s">
        <v>494</v>
      </c>
      <c r="AM123" s="165" t="str">
        <f t="shared" si="10"/>
        <v>14007 VITALUS</v>
      </c>
      <c r="AN123" s="165" t="str">
        <f t="shared" si="11"/>
        <v>14007 VITALUS : Résultats essais non exploitables</v>
      </c>
    </row>
    <row r="124" spans="1:40" s="76" customFormat="1" ht="13" hidden="1" x14ac:dyDescent="0.3">
      <c r="A124" s="122" t="s">
        <v>495</v>
      </c>
      <c r="B124" s="116">
        <v>14008</v>
      </c>
      <c r="C124" s="113" t="s">
        <v>4</v>
      </c>
      <c r="D124" s="117">
        <v>41711</v>
      </c>
      <c r="E124" s="118" t="s">
        <v>99</v>
      </c>
      <c r="F124" s="118"/>
      <c r="G124" s="111" t="s">
        <v>496</v>
      </c>
      <c r="H124" s="111"/>
      <c r="I124" s="119" t="s">
        <v>5</v>
      </c>
      <c r="J124" s="113"/>
      <c r="K124" s="118" t="s">
        <v>454</v>
      </c>
      <c r="L124" s="118" t="s">
        <v>497</v>
      </c>
      <c r="M124" s="118" t="s">
        <v>359</v>
      </c>
      <c r="N124" s="120" t="s">
        <v>498</v>
      </c>
      <c r="O124" s="111" t="s">
        <v>28</v>
      </c>
      <c r="P124" s="111" t="s">
        <v>103</v>
      </c>
      <c r="Q124" s="111" t="s">
        <v>456</v>
      </c>
      <c r="R124" s="111" t="s">
        <v>145</v>
      </c>
      <c r="S124" s="111"/>
      <c r="T124" s="128" t="s">
        <v>357</v>
      </c>
      <c r="U124" s="64">
        <v>41726</v>
      </c>
      <c r="V124" s="158" t="s">
        <v>10</v>
      </c>
      <c r="W124" s="118"/>
      <c r="X124" s="113"/>
      <c r="Y124" s="117">
        <f t="shared" si="6"/>
        <v>41803</v>
      </c>
      <c r="Z124" s="117">
        <v>41773</v>
      </c>
      <c r="AA124" s="161" t="str">
        <f t="shared" ca="1" si="7"/>
        <v>YES</v>
      </c>
      <c r="AB124" s="113"/>
      <c r="AC124" s="117">
        <v>41751</v>
      </c>
      <c r="AD124" s="111"/>
      <c r="AE124" s="111"/>
      <c r="AF124" s="111" t="str">
        <f t="shared" ca="1" si="8"/>
        <v/>
      </c>
      <c r="AG124" s="162"/>
      <c r="AH124" s="162"/>
      <c r="AI124" s="164">
        <f t="shared" si="9"/>
        <v>0</v>
      </c>
      <c r="AJ124" s="118" t="s">
        <v>6</v>
      </c>
      <c r="AK124" s="113">
        <v>41773</v>
      </c>
      <c r="AL124" s="118"/>
      <c r="AM124" s="165" t="str">
        <f t="shared" si="10"/>
        <v>14008 NESTLE CHILI</v>
      </c>
      <c r="AN124" s="165" t="str">
        <f t="shared" si="11"/>
        <v>14008 NESTLE CHILI : trous en surface couche 150 KD</v>
      </c>
    </row>
    <row r="125" spans="1:40" s="76" customFormat="1" ht="13" hidden="1" x14ac:dyDescent="0.3">
      <c r="A125" s="122" t="s">
        <v>499</v>
      </c>
      <c r="B125" s="116">
        <v>14009</v>
      </c>
      <c r="C125" s="113" t="s">
        <v>4</v>
      </c>
      <c r="D125" s="117">
        <v>41715</v>
      </c>
      <c r="E125" s="118" t="s">
        <v>205</v>
      </c>
      <c r="F125" s="118"/>
      <c r="G125" s="111" t="s">
        <v>500</v>
      </c>
      <c r="H125" s="111"/>
      <c r="I125" s="119" t="s">
        <v>5</v>
      </c>
      <c r="J125" s="113"/>
      <c r="K125" s="118">
        <v>1967</v>
      </c>
      <c r="L125" s="118" t="s">
        <v>501</v>
      </c>
      <c r="M125" s="118" t="s">
        <v>502</v>
      </c>
      <c r="N125" s="120" t="s">
        <v>503</v>
      </c>
      <c r="O125" s="111" t="s">
        <v>29</v>
      </c>
      <c r="P125" s="111" t="s">
        <v>86</v>
      </c>
      <c r="Q125" s="111" t="s">
        <v>504</v>
      </c>
      <c r="R125" s="111" t="s">
        <v>12</v>
      </c>
      <c r="S125" s="111"/>
      <c r="T125" s="118"/>
      <c r="U125" s="64">
        <v>41730</v>
      </c>
      <c r="V125" s="158" t="s">
        <v>6</v>
      </c>
      <c r="W125" s="118" t="s">
        <v>205</v>
      </c>
      <c r="X125" s="113"/>
      <c r="Y125" s="117">
        <f t="shared" si="6"/>
        <v>41807</v>
      </c>
      <c r="Z125" s="117">
        <v>41785</v>
      </c>
      <c r="AA125" s="161" t="str">
        <f t="shared" ca="1" si="7"/>
        <v>YES</v>
      </c>
      <c r="AB125" s="113"/>
      <c r="AC125" s="117">
        <v>41724</v>
      </c>
      <c r="AD125" s="111"/>
      <c r="AE125" s="111"/>
      <c r="AF125" s="111" t="str">
        <f t="shared" ca="1" si="8"/>
        <v/>
      </c>
      <c r="AG125" s="162"/>
      <c r="AH125" s="162"/>
      <c r="AI125" s="164">
        <f t="shared" si="9"/>
        <v>0</v>
      </c>
      <c r="AJ125" s="118" t="s">
        <v>6</v>
      </c>
      <c r="AK125" s="113">
        <v>41886</v>
      </c>
      <c r="AL125" s="118" t="s">
        <v>505</v>
      </c>
      <c r="AM125" s="165" t="str">
        <f t="shared" si="10"/>
        <v>14009 RZBC</v>
      </c>
      <c r="AN125" s="165" t="str">
        <f t="shared" si="11"/>
        <v>14009 RZBC : cracks on rubber lining columns</v>
      </c>
    </row>
    <row r="126" spans="1:40" s="76" customFormat="1" ht="13" hidden="1" x14ac:dyDescent="0.3">
      <c r="A126" s="122" t="s">
        <v>506</v>
      </c>
      <c r="B126" s="116">
        <v>14010</v>
      </c>
      <c r="C126" s="113" t="s">
        <v>4</v>
      </c>
      <c r="D126" s="117">
        <v>41718</v>
      </c>
      <c r="E126" s="118" t="s">
        <v>205</v>
      </c>
      <c r="F126" s="118"/>
      <c r="G126" s="111" t="s">
        <v>507</v>
      </c>
      <c r="H126" s="111" t="s">
        <v>448</v>
      </c>
      <c r="I126" s="119" t="s">
        <v>2056</v>
      </c>
      <c r="J126" s="113"/>
      <c r="K126" s="118">
        <v>1968</v>
      </c>
      <c r="L126" s="118" t="s">
        <v>508</v>
      </c>
      <c r="M126" s="118" t="s">
        <v>13</v>
      </c>
      <c r="N126" s="120" t="s">
        <v>509</v>
      </c>
      <c r="O126" s="111" t="s">
        <v>29</v>
      </c>
      <c r="P126" s="111" t="s">
        <v>176</v>
      </c>
      <c r="Q126" s="111" t="s">
        <v>510</v>
      </c>
      <c r="R126" s="111" t="s">
        <v>145</v>
      </c>
      <c r="S126" s="111"/>
      <c r="T126" s="128" t="s">
        <v>448</v>
      </c>
      <c r="U126" s="64">
        <v>41718</v>
      </c>
      <c r="V126" s="158" t="s">
        <v>10</v>
      </c>
      <c r="W126" s="118"/>
      <c r="X126" s="113"/>
      <c r="Y126" s="117">
        <f t="shared" si="6"/>
        <v>41810</v>
      </c>
      <c r="Z126" s="117">
        <v>41801</v>
      </c>
      <c r="AA126" s="161" t="str">
        <f t="shared" ca="1" si="7"/>
        <v>YES</v>
      </c>
      <c r="AB126" s="113"/>
      <c r="AC126" s="117"/>
      <c r="AD126" s="111"/>
      <c r="AE126" s="111"/>
      <c r="AF126" s="111" t="str">
        <f t="shared" ca="1" si="8"/>
        <v>N/A</v>
      </c>
      <c r="AG126" s="162"/>
      <c r="AH126" s="162"/>
      <c r="AI126" s="164">
        <f t="shared" si="9"/>
        <v>0</v>
      </c>
      <c r="AJ126" s="118" t="s">
        <v>6</v>
      </c>
      <c r="AK126" s="113">
        <v>41886</v>
      </c>
      <c r="AL126" s="118"/>
      <c r="AM126" s="165" t="str">
        <f t="shared" si="10"/>
        <v>14010 ZUOYAN</v>
      </c>
      <c r="AN126" s="165" t="str">
        <f t="shared" si="11"/>
        <v xml:space="preserve">14010 ZUOYAN : démarquage résines </v>
      </c>
    </row>
    <row r="127" spans="1:40" s="76" customFormat="1" ht="13" hidden="1" x14ac:dyDescent="0.3">
      <c r="A127" s="122" t="s">
        <v>511</v>
      </c>
      <c r="B127" s="116">
        <v>14011</v>
      </c>
      <c r="C127" s="113" t="s">
        <v>4</v>
      </c>
      <c r="D127" s="117">
        <v>41725</v>
      </c>
      <c r="E127" s="118" t="s">
        <v>273</v>
      </c>
      <c r="F127" s="118"/>
      <c r="G127" s="111" t="s">
        <v>512</v>
      </c>
      <c r="H127" s="111" t="s">
        <v>357</v>
      </c>
      <c r="I127" s="119" t="s">
        <v>5</v>
      </c>
      <c r="J127" s="113"/>
      <c r="K127" s="118" t="s">
        <v>454</v>
      </c>
      <c r="L127" s="118" t="s">
        <v>513</v>
      </c>
      <c r="M127" s="118" t="s">
        <v>16</v>
      </c>
      <c r="N127" s="120" t="s">
        <v>514</v>
      </c>
      <c r="O127" s="111" t="s">
        <v>28</v>
      </c>
      <c r="P127" s="111" t="s">
        <v>103</v>
      </c>
      <c r="Q127" s="111" t="s">
        <v>456</v>
      </c>
      <c r="R127" s="111" t="s">
        <v>145</v>
      </c>
      <c r="S127" s="111"/>
      <c r="T127" s="128" t="s">
        <v>357</v>
      </c>
      <c r="U127" s="64">
        <v>41779</v>
      </c>
      <c r="V127" s="158" t="s">
        <v>6</v>
      </c>
      <c r="W127" s="118" t="s">
        <v>273</v>
      </c>
      <c r="X127" s="113"/>
      <c r="Y127" s="117">
        <f t="shared" si="6"/>
        <v>41817</v>
      </c>
      <c r="Z127" s="117">
        <v>41816</v>
      </c>
      <c r="AA127" s="161" t="str">
        <f t="shared" ca="1" si="7"/>
        <v>YES</v>
      </c>
      <c r="AB127" s="113"/>
      <c r="AC127" s="117">
        <v>41737</v>
      </c>
      <c r="AD127" s="111"/>
      <c r="AE127" s="111"/>
      <c r="AF127" s="111" t="str">
        <f t="shared" ca="1" si="8"/>
        <v/>
      </c>
      <c r="AG127" s="162"/>
      <c r="AH127" s="162"/>
      <c r="AI127" s="164">
        <f t="shared" si="9"/>
        <v>0</v>
      </c>
      <c r="AJ127" s="118" t="s">
        <v>6</v>
      </c>
      <c r="AK127" s="113">
        <v>41971</v>
      </c>
      <c r="AL127" s="118" t="s">
        <v>515</v>
      </c>
      <c r="AM127" s="165" t="str">
        <f t="shared" si="10"/>
        <v>14011 EVONIK FERMAS</v>
      </c>
      <c r="AN127" s="165" t="str">
        <f t="shared" si="11"/>
        <v>14011 EVONIK FERMAS : Flèche et casse mbre Kerasep</v>
      </c>
    </row>
    <row r="128" spans="1:40" s="76" customFormat="1" ht="13" hidden="1" x14ac:dyDescent="0.3">
      <c r="A128" s="122" t="s">
        <v>516</v>
      </c>
      <c r="B128" s="116">
        <v>14012</v>
      </c>
      <c r="C128" s="113" t="s">
        <v>4</v>
      </c>
      <c r="D128" s="117">
        <v>41729</v>
      </c>
      <c r="E128" s="118" t="s">
        <v>239</v>
      </c>
      <c r="F128" s="118"/>
      <c r="G128" s="111" t="s">
        <v>517</v>
      </c>
      <c r="H128" s="111" t="s">
        <v>374</v>
      </c>
      <c r="I128" s="119" t="s">
        <v>2056</v>
      </c>
      <c r="J128" s="113"/>
      <c r="K128" s="118">
        <v>1965</v>
      </c>
      <c r="L128" s="118" t="s">
        <v>518</v>
      </c>
      <c r="M128" s="118" t="s">
        <v>13</v>
      </c>
      <c r="N128" s="120" t="s">
        <v>519</v>
      </c>
      <c r="O128" s="111" t="s">
        <v>29</v>
      </c>
      <c r="P128" s="111" t="s">
        <v>176</v>
      </c>
      <c r="Q128" s="111" t="s">
        <v>504</v>
      </c>
      <c r="R128" s="111" t="s">
        <v>145</v>
      </c>
      <c r="S128" s="111"/>
      <c r="T128" s="118"/>
      <c r="U128" s="64">
        <v>41785</v>
      </c>
      <c r="V128" s="158" t="s">
        <v>10</v>
      </c>
      <c r="W128" s="118"/>
      <c r="X128" s="113"/>
      <c r="Y128" s="117">
        <f t="shared" si="6"/>
        <v>41820</v>
      </c>
      <c r="Z128" s="117">
        <v>41810</v>
      </c>
      <c r="AA128" s="161" t="str">
        <f t="shared" ca="1" si="7"/>
        <v>YES</v>
      </c>
      <c r="AB128" s="113"/>
      <c r="AC128" s="117"/>
      <c r="AD128" s="111"/>
      <c r="AE128" s="111"/>
      <c r="AF128" s="111" t="str">
        <f t="shared" ca="1" si="8"/>
        <v>N/A</v>
      </c>
      <c r="AG128" s="162"/>
      <c r="AH128" s="162"/>
      <c r="AI128" s="164">
        <f t="shared" si="9"/>
        <v>0</v>
      </c>
      <c r="AJ128" s="118" t="s">
        <v>6</v>
      </c>
      <c r="AK128" s="113">
        <v>42244</v>
      </c>
      <c r="AL128" s="118"/>
      <c r="AM128" s="165" t="str">
        <f t="shared" si="10"/>
        <v>14012 GOS4</v>
      </c>
      <c r="AN128" s="165" t="str">
        <f t="shared" si="11"/>
        <v>14012 GOS4 : fourniture de joints non pleine bride</v>
      </c>
    </row>
    <row r="129" spans="1:40" s="76" customFormat="1" ht="13" hidden="1" x14ac:dyDescent="0.3">
      <c r="A129" s="122" t="s">
        <v>520</v>
      </c>
      <c r="B129" s="116">
        <v>14013</v>
      </c>
      <c r="C129" s="113" t="s">
        <v>4</v>
      </c>
      <c r="D129" s="117">
        <v>41729</v>
      </c>
      <c r="E129" s="118" t="s">
        <v>239</v>
      </c>
      <c r="F129" s="118"/>
      <c r="G129" s="111" t="s">
        <v>517</v>
      </c>
      <c r="H129" s="111"/>
      <c r="I129" s="119" t="s">
        <v>2057</v>
      </c>
      <c r="J129" s="113"/>
      <c r="K129" s="118">
        <v>1965</v>
      </c>
      <c r="L129" s="118" t="s">
        <v>518</v>
      </c>
      <c r="M129" s="118" t="s">
        <v>13</v>
      </c>
      <c r="N129" s="120" t="s">
        <v>521</v>
      </c>
      <c r="O129" s="111" t="s">
        <v>29</v>
      </c>
      <c r="P129" s="111" t="s">
        <v>86</v>
      </c>
      <c r="Q129" s="111" t="s">
        <v>522</v>
      </c>
      <c r="R129" s="111" t="s">
        <v>15</v>
      </c>
      <c r="S129" s="111"/>
      <c r="T129" s="118"/>
      <c r="U129" s="64">
        <v>41667</v>
      </c>
      <c r="V129" s="158" t="s">
        <v>6</v>
      </c>
      <c r="W129" s="118" t="s">
        <v>120</v>
      </c>
      <c r="X129" s="113"/>
      <c r="Y129" s="117">
        <f t="shared" si="6"/>
        <v>41820</v>
      </c>
      <c r="Z129" s="117">
        <v>41785</v>
      </c>
      <c r="AA129" s="161" t="str">
        <f t="shared" ca="1" si="7"/>
        <v>YES</v>
      </c>
      <c r="AB129" s="113"/>
      <c r="AC129" s="117"/>
      <c r="AD129" s="111"/>
      <c r="AE129" s="111"/>
      <c r="AF129" s="111" t="str">
        <f t="shared" ca="1" si="8"/>
        <v>N/A</v>
      </c>
      <c r="AG129" s="162"/>
      <c r="AH129" s="162"/>
      <c r="AI129" s="164">
        <f t="shared" si="9"/>
        <v>0</v>
      </c>
      <c r="AJ129" s="118" t="s">
        <v>6</v>
      </c>
      <c r="AK129" s="113">
        <v>41785</v>
      </c>
      <c r="AL129" s="118"/>
      <c r="AM129" s="165" t="str">
        <f t="shared" si="10"/>
        <v>14013 GOS4</v>
      </c>
      <c r="AN129" s="165" t="str">
        <f t="shared" si="11"/>
        <v>14013 GOS4 : erreur de plans ramification</v>
      </c>
    </row>
    <row r="130" spans="1:40" s="76" customFormat="1" ht="13" hidden="1" x14ac:dyDescent="0.3">
      <c r="A130" s="122" t="s">
        <v>523</v>
      </c>
      <c r="B130" s="116">
        <v>14014</v>
      </c>
      <c r="C130" s="113" t="s">
        <v>4</v>
      </c>
      <c r="D130" s="117">
        <v>41729</v>
      </c>
      <c r="E130" s="118" t="s">
        <v>239</v>
      </c>
      <c r="F130" s="118"/>
      <c r="G130" s="111" t="s">
        <v>524</v>
      </c>
      <c r="H130" s="111" t="s">
        <v>525</v>
      </c>
      <c r="I130" s="119" t="s">
        <v>2056</v>
      </c>
      <c r="J130" s="113"/>
      <c r="K130" s="118">
        <v>1965</v>
      </c>
      <c r="L130" s="118" t="s">
        <v>518</v>
      </c>
      <c r="M130" s="118" t="s">
        <v>13</v>
      </c>
      <c r="N130" s="120" t="s">
        <v>526</v>
      </c>
      <c r="O130" s="111" t="s">
        <v>29</v>
      </c>
      <c r="P130" s="111" t="s">
        <v>176</v>
      </c>
      <c r="Q130" s="111" t="s">
        <v>504</v>
      </c>
      <c r="R130" s="111" t="s">
        <v>145</v>
      </c>
      <c r="S130" s="111"/>
      <c r="T130" s="118"/>
      <c r="U130" s="64">
        <v>41690</v>
      </c>
      <c r="V130" s="158" t="s">
        <v>6</v>
      </c>
      <c r="W130" s="118" t="s">
        <v>120</v>
      </c>
      <c r="X130" s="113"/>
      <c r="Y130" s="117">
        <f t="shared" si="6"/>
        <v>41820</v>
      </c>
      <c r="Z130" s="117">
        <v>41785</v>
      </c>
      <c r="AA130" s="161" t="str">
        <f t="shared" ca="1" si="7"/>
        <v>YES</v>
      </c>
      <c r="AB130" s="113"/>
      <c r="AC130" s="117"/>
      <c r="AD130" s="111"/>
      <c r="AE130" s="111"/>
      <c r="AF130" s="111" t="str">
        <f t="shared" ca="1" si="8"/>
        <v>N/A</v>
      </c>
      <c r="AG130" s="162"/>
      <c r="AH130" s="162"/>
      <c r="AI130" s="164">
        <f t="shared" si="9"/>
        <v>0</v>
      </c>
      <c r="AJ130" s="118" t="s">
        <v>6</v>
      </c>
      <c r="AK130" s="113">
        <v>41785</v>
      </c>
      <c r="AL130" s="118"/>
      <c r="AM130" s="165" t="str">
        <f t="shared" si="10"/>
        <v>14014 GOS4/</v>
      </c>
      <c r="AN130" s="165" t="str">
        <f t="shared" si="11"/>
        <v>14014 GOS4/ : défaut épaisseur ébonitage /regards</v>
      </c>
    </row>
    <row r="131" spans="1:40" s="76" customFormat="1" ht="13" hidden="1" x14ac:dyDescent="0.3">
      <c r="A131" s="122" t="s">
        <v>527</v>
      </c>
      <c r="B131" s="116">
        <v>14015</v>
      </c>
      <c r="C131" s="113" t="s">
        <v>4</v>
      </c>
      <c r="D131" s="117">
        <v>41729</v>
      </c>
      <c r="E131" s="118" t="s">
        <v>239</v>
      </c>
      <c r="F131" s="118"/>
      <c r="G131" s="111" t="s">
        <v>524</v>
      </c>
      <c r="H131" s="111" t="s">
        <v>528</v>
      </c>
      <c r="I131" s="119" t="s">
        <v>2056</v>
      </c>
      <c r="J131" s="113"/>
      <c r="K131" s="118">
        <v>1965</v>
      </c>
      <c r="L131" s="118" t="s">
        <v>518</v>
      </c>
      <c r="M131" s="118" t="s">
        <v>13</v>
      </c>
      <c r="N131" s="120" t="s">
        <v>529</v>
      </c>
      <c r="O131" s="111" t="s">
        <v>29</v>
      </c>
      <c r="P131" s="111" t="s">
        <v>176</v>
      </c>
      <c r="Q131" s="111" t="s">
        <v>504</v>
      </c>
      <c r="R131" s="111" t="s">
        <v>145</v>
      </c>
      <c r="S131" s="111"/>
      <c r="T131" s="118"/>
      <c r="U131" s="64">
        <v>41690</v>
      </c>
      <c r="V131" s="158" t="s">
        <v>10</v>
      </c>
      <c r="W131" s="118"/>
      <c r="X131" s="113"/>
      <c r="Y131" s="117">
        <f t="shared" si="6"/>
        <v>41820</v>
      </c>
      <c r="Z131" s="117">
        <v>41785</v>
      </c>
      <c r="AA131" s="161" t="str">
        <f t="shared" ca="1" si="7"/>
        <v>YES</v>
      </c>
      <c r="AB131" s="113"/>
      <c r="AC131" s="117"/>
      <c r="AD131" s="111"/>
      <c r="AE131" s="111"/>
      <c r="AF131" s="111" t="str">
        <f t="shared" ca="1" si="8"/>
        <v>N/A</v>
      </c>
      <c r="AG131" s="162"/>
      <c r="AH131" s="162"/>
      <c r="AI131" s="164">
        <f t="shared" si="9"/>
        <v>0</v>
      </c>
      <c r="AJ131" s="118" t="s">
        <v>6</v>
      </c>
      <c r="AK131" s="113">
        <v>41785</v>
      </c>
      <c r="AL131" s="118"/>
      <c r="AM131" s="165" t="str">
        <f t="shared" si="10"/>
        <v>14015 GOS4/</v>
      </c>
      <c r="AN131" s="165" t="str">
        <f t="shared" si="11"/>
        <v>14015 GOS4/ : Abs. trous fixation regards</v>
      </c>
    </row>
    <row r="132" spans="1:40" s="76" customFormat="1" ht="13" hidden="1" x14ac:dyDescent="0.3">
      <c r="A132" s="122" t="s">
        <v>530</v>
      </c>
      <c r="B132" s="116">
        <v>14016</v>
      </c>
      <c r="C132" s="113" t="s">
        <v>4</v>
      </c>
      <c r="D132" s="117">
        <v>41744</v>
      </c>
      <c r="E132" s="118" t="s">
        <v>531</v>
      </c>
      <c r="F132" s="118"/>
      <c r="G132" s="111" t="s">
        <v>532</v>
      </c>
      <c r="H132" s="111" t="s">
        <v>533</v>
      </c>
      <c r="I132" s="119" t="s">
        <v>2056</v>
      </c>
      <c r="J132" s="113"/>
      <c r="K132" s="118" t="s">
        <v>454</v>
      </c>
      <c r="L132" s="118" t="s">
        <v>534</v>
      </c>
      <c r="M132" s="118" t="s">
        <v>11</v>
      </c>
      <c r="N132" s="120" t="s">
        <v>535</v>
      </c>
      <c r="O132" s="111" t="s">
        <v>28</v>
      </c>
      <c r="P132" s="111" t="s">
        <v>103</v>
      </c>
      <c r="Q132" s="111" t="s">
        <v>536</v>
      </c>
      <c r="R132" s="111" t="s">
        <v>9</v>
      </c>
      <c r="S132" s="111"/>
      <c r="T132" s="118"/>
      <c r="U132" s="64">
        <v>41781</v>
      </c>
      <c r="V132" s="158" t="s">
        <v>6</v>
      </c>
      <c r="W132" s="118" t="s">
        <v>531</v>
      </c>
      <c r="X132" s="113"/>
      <c r="Y132" s="117">
        <f t="shared" si="6"/>
        <v>41835</v>
      </c>
      <c r="Z132" s="117">
        <v>41829</v>
      </c>
      <c r="AA132" s="161" t="str">
        <f t="shared" ca="1" si="7"/>
        <v>YES</v>
      </c>
      <c r="AB132" s="113"/>
      <c r="AC132" s="117"/>
      <c r="AD132" s="111"/>
      <c r="AE132" s="111"/>
      <c r="AF132" s="111" t="str">
        <f t="shared" ca="1" si="8"/>
        <v>N/A</v>
      </c>
      <c r="AG132" s="162"/>
      <c r="AH132" s="162"/>
      <c r="AI132" s="164">
        <f t="shared" si="9"/>
        <v>0</v>
      </c>
      <c r="AJ132" s="118" t="s">
        <v>6</v>
      </c>
      <c r="AK132" s="113">
        <v>41897</v>
      </c>
      <c r="AL132" s="118"/>
      <c r="AM132" s="165" t="str">
        <f t="shared" si="10"/>
        <v>14016 Ingredion/</v>
      </c>
      <c r="AN132" s="165" t="str">
        <f t="shared" si="11"/>
        <v>14016 Ingredion/ : Pompe HS sur pilote SSMB</v>
      </c>
    </row>
    <row r="133" spans="1:40" s="76" customFormat="1" ht="13" hidden="1" x14ac:dyDescent="0.3">
      <c r="A133" s="122" t="s">
        <v>537</v>
      </c>
      <c r="B133" s="116">
        <v>14017</v>
      </c>
      <c r="C133" s="113" t="s">
        <v>4</v>
      </c>
      <c r="D133" s="117">
        <v>41753</v>
      </c>
      <c r="E133" s="118" t="s">
        <v>441</v>
      </c>
      <c r="F133" s="118"/>
      <c r="G133" s="111" t="s">
        <v>538</v>
      </c>
      <c r="H133" s="111"/>
      <c r="I133" s="119" t="s">
        <v>2057</v>
      </c>
      <c r="J133" s="113"/>
      <c r="K133" s="118">
        <v>1951</v>
      </c>
      <c r="L133" s="118" t="s">
        <v>539</v>
      </c>
      <c r="M133" s="118" t="s">
        <v>13</v>
      </c>
      <c r="N133" s="120" t="s">
        <v>540</v>
      </c>
      <c r="O133" s="111" t="s">
        <v>29</v>
      </c>
      <c r="P133" s="111" t="s">
        <v>86</v>
      </c>
      <c r="Q133" s="111" t="s">
        <v>522</v>
      </c>
      <c r="R133" s="111" t="s">
        <v>9</v>
      </c>
      <c r="S133" s="111"/>
      <c r="T133" s="118"/>
      <c r="U133" s="64">
        <v>41743</v>
      </c>
      <c r="V133" s="158" t="s">
        <v>6</v>
      </c>
      <c r="W133" s="118" t="s">
        <v>120</v>
      </c>
      <c r="X133" s="113"/>
      <c r="Y133" s="117">
        <f t="shared" si="6"/>
        <v>41844</v>
      </c>
      <c r="Z133" s="117">
        <v>41813</v>
      </c>
      <c r="AA133" s="161" t="str">
        <f t="shared" ca="1" si="7"/>
        <v>YES</v>
      </c>
      <c r="AB133" s="113"/>
      <c r="AC133" s="117"/>
      <c r="AD133" s="111"/>
      <c r="AE133" s="111"/>
      <c r="AF133" s="111" t="str">
        <f t="shared" ca="1" si="8"/>
        <v>N/A</v>
      </c>
      <c r="AG133" s="162"/>
      <c r="AH133" s="162"/>
      <c r="AI133" s="164">
        <f t="shared" si="9"/>
        <v>0</v>
      </c>
      <c r="AJ133" s="118" t="s">
        <v>6</v>
      </c>
      <c r="AK133" s="113">
        <v>41942</v>
      </c>
      <c r="AL133" s="118" t="s">
        <v>541</v>
      </c>
      <c r="AM133" s="165" t="str">
        <f t="shared" si="10"/>
        <v>14017 ADM</v>
      </c>
      <c r="AN133" s="165" t="str">
        <f t="shared" si="11"/>
        <v>14017 ADM : mixed bed top networks design</v>
      </c>
    </row>
    <row r="134" spans="1:40" s="76" customFormat="1" ht="13" hidden="1" x14ac:dyDescent="0.3">
      <c r="A134" s="122" t="s">
        <v>542</v>
      </c>
      <c r="B134" s="116">
        <v>14018</v>
      </c>
      <c r="C134" s="113" t="s">
        <v>4</v>
      </c>
      <c r="D134" s="117">
        <v>41753</v>
      </c>
      <c r="E134" s="118" t="s">
        <v>441</v>
      </c>
      <c r="F134" s="118"/>
      <c r="G134" s="111" t="s">
        <v>543</v>
      </c>
      <c r="H134" s="111"/>
      <c r="I134" s="119" t="s">
        <v>2057</v>
      </c>
      <c r="J134" s="113"/>
      <c r="K134" s="118">
        <v>1969</v>
      </c>
      <c r="L134" s="118" t="s">
        <v>544</v>
      </c>
      <c r="M134" s="118" t="s">
        <v>13</v>
      </c>
      <c r="N134" s="120" t="s">
        <v>545</v>
      </c>
      <c r="O134" s="111" t="s">
        <v>29</v>
      </c>
      <c r="P134" s="111" t="s">
        <v>86</v>
      </c>
      <c r="Q134" s="111" t="s">
        <v>522</v>
      </c>
      <c r="R134" s="111" t="s">
        <v>9</v>
      </c>
      <c r="S134" s="111"/>
      <c r="T134" s="118"/>
      <c r="U134" s="64">
        <v>41753</v>
      </c>
      <c r="V134" s="158" t="s">
        <v>6</v>
      </c>
      <c r="W134" s="118" t="s">
        <v>120</v>
      </c>
      <c r="X134" s="113"/>
      <c r="Y134" s="117">
        <f t="shared" si="6"/>
        <v>41844</v>
      </c>
      <c r="Z134" s="117">
        <v>41836</v>
      </c>
      <c r="AA134" s="161" t="str">
        <f t="shared" ca="1" si="7"/>
        <v>YES</v>
      </c>
      <c r="AB134" s="113"/>
      <c r="AC134" s="117"/>
      <c r="AD134" s="111"/>
      <c r="AE134" s="111"/>
      <c r="AF134" s="111" t="str">
        <f t="shared" ca="1" si="8"/>
        <v>N/A</v>
      </c>
      <c r="AG134" s="162"/>
      <c r="AH134" s="162"/>
      <c r="AI134" s="164">
        <f t="shared" si="9"/>
        <v>0</v>
      </c>
      <c r="AJ134" s="118" t="s">
        <v>6</v>
      </c>
      <c r="AK134" s="113">
        <v>42244</v>
      </c>
      <c r="AL134" s="118" t="s">
        <v>546</v>
      </c>
      <c r="AM134" s="165" t="str">
        <f t="shared" si="10"/>
        <v>14018 ASR</v>
      </c>
      <c r="AN134" s="165" t="str">
        <f t="shared" si="11"/>
        <v xml:space="preserve">14018 ASR : fasteners qtity and dimensions of mixed beds </v>
      </c>
    </row>
    <row r="135" spans="1:40" s="76" customFormat="1" ht="13" hidden="1" x14ac:dyDescent="0.3">
      <c r="A135" s="122" t="s">
        <v>547</v>
      </c>
      <c r="B135" s="116">
        <v>14019</v>
      </c>
      <c r="C135" s="113" t="s">
        <v>4</v>
      </c>
      <c r="D135" s="117">
        <v>41753</v>
      </c>
      <c r="E135" s="118" t="s">
        <v>441</v>
      </c>
      <c r="F135" s="118"/>
      <c r="G135" s="111" t="s">
        <v>507</v>
      </c>
      <c r="H135" s="111"/>
      <c r="I135" s="119" t="s">
        <v>2057</v>
      </c>
      <c r="J135" s="113"/>
      <c r="K135" s="118">
        <v>1968</v>
      </c>
      <c r="L135" s="118" t="s">
        <v>508</v>
      </c>
      <c r="M135" s="118" t="s">
        <v>13</v>
      </c>
      <c r="N135" s="120" t="s">
        <v>548</v>
      </c>
      <c r="O135" s="111" t="s">
        <v>29</v>
      </c>
      <c r="P135" s="111" t="s">
        <v>86</v>
      </c>
      <c r="Q135" s="111" t="s">
        <v>522</v>
      </c>
      <c r="R135" s="111" t="s">
        <v>9</v>
      </c>
      <c r="S135" s="111"/>
      <c r="T135" s="118"/>
      <c r="U135" s="64">
        <v>41753</v>
      </c>
      <c r="V135" s="158" t="s">
        <v>6</v>
      </c>
      <c r="W135" s="118" t="s">
        <v>120</v>
      </c>
      <c r="X135" s="113"/>
      <c r="Y135" s="117">
        <f t="shared" ref="Y135:Y198" si="12">EDATE(D135,3)</f>
        <v>41844</v>
      </c>
      <c r="Z135" s="117">
        <v>41836</v>
      </c>
      <c r="AA135" s="161" t="str">
        <f t="shared" ca="1" si="7"/>
        <v>YES</v>
      </c>
      <c r="AB135" s="113"/>
      <c r="AC135" s="117"/>
      <c r="AD135" s="111"/>
      <c r="AE135" s="111"/>
      <c r="AF135" s="111" t="str">
        <f t="shared" ca="1" si="8"/>
        <v>N/A</v>
      </c>
      <c r="AG135" s="162"/>
      <c r="AH135" s="162"/>
      <c r="AI135" s="164">
        <f t="shared" si="9"/>
        <v>0</v>
      </c>
      <c r="AJ135" s="118" t="s">
        <v>6</v>
      </c>
      <c r="AK135" s="113">
        <v>42244</v>
      </c>
      <c r="AL135" s="118" t="s">
        <v>549</v>
      </c>
      <c r="AM135" s="165" t="str">
        <f t="shared" si="10"/>
        <v>14019 ZUOYAN</v>
      </c>
      <c r="AN135" s="165" t="str">
        <f t="shared" si="11"/>
        <v>14019 ZUOYAN : strainers tightening</v>
      </c>
    </row>
    <row r="136" spans="1:40" s="76" customFormat="1" ht="13" hidden="1" x14ac:dyDescent="0.3">
      <c r="A136" s="122" t="s">
        <v>550</v>
      </c>
      <c r="B136" s="116">
        <v>14020</v>
      </c>
      <c r="C136" s="113" t="s">
        <v>4</v>
      </c>
      <c r="D136" s="117">
        <v>41780</v>
      </c>
      <c r="E136" s="118" t="s">
        <v>551</v>
      </c>
      <c r="F136" s="118"/>
      <c r="G136" s="111" t="s">
        <v>552</v>
      </c>
      <c r="H136" s="111"/>
      <c r="I136" s="119" t="s">
        <v>2057</v>
      </c>
      <c r="J136" s="113"/>
      <c r="K136" s="118">
        <v>1339</v>
      </c>
      <c r="L136" s="118" t="s">
        <v>553</v>
      </c>
      <c r="M136" s="118" t="s">
        <v>13</v>
      </c>
      <c r="N136" s="120" t="s">
        <v>554</v>
      </c>
      <c r="O136" s="111" t="s">
        <v>28</v>
      </c>
      <c r="P136" s="111" t="s">
        <v>86</v>
      </c>
      <c r="Q136" s="111" t="s">
        <v>522</v>
      </c>
      <c r="R136" s="111" t="s">
        <v>9</v>
      </c>
      <c r="S136" s="111"/>
      <c r="T136" s="118"/>
      <c r="U136" s="64">
        <v>41835</v>
      </c>
      <c r="V136" s="158" t="s">
        <v>10</v>
      </c>
      <c r="W136" s="118"/>
      <c r="X136" s="113"/>
      <c r="Y136" s="117">
        <f t="shared" si="12"/>
        <v>41872</v>
      </c>
      <c r="Z136" s="117">
        <v>41836</v>
      </c>
      <c r="AA136" s="161" t="str">
        <f t="shared" ref="AA136:AA199" ca="1" si="13">IF(Z136="",IF(TODAY()&gt;Y136,"NO","YES"),IF(Z136&gt;Y136,"NO",IF(Z136&lt;Y136,"YES",IF(Y136=Z136,"YES","N/A"))))</f>
        <v>YES</v>
      </c>
      <c r="AB136" s="113"/>
      <c r="AC136" s="117"/>
      <c r="AD136" s="111"/>
      <c r="AE136" s="111"/>
      <c r="AF136" s="111" t="str">
        <f t="shared" ref="AF136:AF199" ca="1" si="14">IF(I136="Claim",IF(AD136="","",IF(AE136="",IF(TODAY()&gt;AD136,"NO","YES"),IF(AE136&gt;AD136,"NO",IF(AE136&lt;AD136,"YES",IF(AD136=AE136,"YES","N/A"))))),"N/A")</f>
        <v>N/A</v>
      </c>
      <c r="AG136" s="162"/>
      <c r="AH136" s="162"/>
      <c r="AI136" s="164">
        <f t="shared" ref="AI136:AI199" si="15">AH136+AG136</f>
        <v>0</v>
      </c>
      <c r="AJ136" s="118" t="s">
        <v>6</v>
      </c>
      <c r="AK136" s="113">
        <v>42249</v>
      </c>
      <c r="AL136" s="118" t="s">
        <v>555</v>
      </c>
      <c r="AM136" s="165" t="str">
        <f t="shared" ref="AM136:AM199" si="16">CONCATENATE(B136," ",G136)</f>
        <v xml:space="preserve">14020 CEVITAL </v>
      </c>
      <c r="AN136" s="165" t="str">
        <f t="shared" ref="AN136:AN199" si="17">CONCATENATE(B136," ",G136," : ",N136)</f>
        <v>14020 CEVITAL  : dégradation ébonite/casse crépine</v>
      </c>
    </row>
    <row r="137" spans="1:40" s="76" customFormat="1" ht="13" hidden="1" x14ac:dyDescent="0.3">
      <c r="A137" s="122" t="s">
        <v>556</v>
      </c>
      <c r="B137" s="116">
        <v>14021</v>
      </c>
      <c r="C137" s="113" t="s">
        <v>4</v>
      </c>
      <c r="D137" s="117">
        <v>41780</v>
      </c>
      <c r="E137" s="118" t="s">
        <v>551</v>
      </c>
      <c r="F137" s="118"/>
      <c r="G137" s="111" t="s">
        <v>557</v>
      </c>
      <c r="H137" s="111"/>
      <c r="I137" s="119" t="s">
        <v>2057</v>
      </c>
      <c r="J137" s="113"/>
      <c r="K137" s="118">
        <v>1849</v>
      </c>
      <c r="L137" s="118" t="s">
        <v>558</v>
      </c>
      <c r="M137" s="118" t="s">
        <v>13</v>
      </c>
      <c r="N137" s="120" t="s">
        <v>559</v>
      </c>
      <c r="O137" s="111" t="s">
        <v>28</v>
      </c>
      <c r="P137" s="111" t="s">
        <v>86</v>
      </c>
      <c r="Q137" s="111" t="s">
        <v>522</v>
      </c>
      <c r="R137" s="111" t="s">
        <v>9</v>
      </c>
      <c r="S137" s="111"/>
      <c r="T137" s="118"/>
      <c r="U137" s="64">
        <v>41802</v>
      </c>
      <c r="V137" s="158" t="s">
        <v>10</v>
      </c>
      <c r="W137" s="118"/>
      <c r="X137" s="113"/>
      <c r="Y137" s="117">
        <f t="shared" si="12"/>
        <v>41872</v>
      </c>
      <c r="Z137" s="117">
        <v>41836</v>
      </c>
      <c r="AA137" s="161" t="str">
        <f t="shared" ca="1" si="13"/>
        <v>YES</v>
      </c>
      <c r="AB137" s="113"/>
      <c r="AC137" s="117"/>
      <c r="AD137" s="111"/>
      <c r="AE137" s="111"/>
      <c r="AF137" s="111" t="str">
        <f t="shared" ca="1" si="14"/>
        <v>N/A</v>
      </c>
      <c r="AG137" s="162"/>
      <c r="AH137" s="162"/>
      <c r="AI137" s="164">
        <f t="shared" si="15"/>
        <v>0</v>
      </c>
      <c r="AJ137" s="118" t="s">
        <v>6</v>
      </c>
      <c r="AK137" s="113">
        <v>42249</v>
      </c>
      <c r="AL137" s="118" t="s">
        <v>560</v>
      </c>
      <c r="AM137" s="165" t="str">
        <f t="shared" si="16"/>
        <v>14021 TEREOS OLMEDO</v>
      </c>
      <c r="AN137" s="165" t="str">
        <f t="shared" si="17"/>
        <v>14021 TEREOS OLMEDO : arrachement ébonite interne colonne</v>
      </c>
    </row>
    <row r="138" spans="1:40" s="76" customFormat="1" ht="25.5" hidden="1" x14ac:dyDescent="0.3">
      <c r="A138" s="122" t="s">
        <v>561</v>
      </c>
      <c r="B138" s="116">
        <v>14022</v>
      </c>
      <c r="C138" s="113" t="s">
        <v>4</v>
      </c>
      <c r="D138" s="117">
        <v>41780</v>
      </c>
      <c r="E138" s="118" t="s">
        <v>551</v>
      </c>
      <c r="F138" s="118"/>
      <c r="G138" s="111" t="s">
        <v>562</v>
      </c>
      <c r="H138" s="111" t="s">
        <v>563</v>
      </c>
      <c r="I138" s="119" t="s">
        <v>2056</v>
      </c>
      <c r="J138" s="113"/>
      <c r="K138" s="118">
        <v>1952</v>
      </c>
      <c r="L138" s="118" t="s">
        <v>564</v>
      </c>
      <c r="M138" s="118" t="s">
        <v>18</v>
      </c>
      <c r="N138" s="120" t="s">
        <v>565</v>
      </c>
      <c r="O138" s="111" t="s">
        <v>28</v>
      </c>
      <c r="P138" s="111" t="s">
        <v>86</v>
      </c>
      <c r="Q138" s="111" t="s">
        <v>566</v>
      </c>
      <c r="R138" s="111" t="s">
        <v>145</v>
      </c>
      <c r="S138" s="111"/>
      <c r="T138" s="128" t="s">
        <v>563</v>
      </c>
      <c r="U138" s="64">
        <v>41802</v>
      </c>
      <c r="V138" s="158" t="s">
        <v>10</v>
      </c>
      <c r="W138" s="118"/>
      <c r="X138" s="113"/>
      <c r="Y138" s="117">
        <f t="shared" si="12"/>
        <v>41872</v>
      </c>
      <c r="Z138" s="117">
        <v>42011</v>
      </c>
      <c r="AA138" s="161" t="str">
        <f t="shared" ca="1" si="13"/>
        <v>NO</v>
      </c>
      <c r="AB138" s="113"/>
      <c r="AC138" s="117"/>
      <c r="AD138" s="111"/>
      <c r="AE138" s="111"/>
      <c r="AF138" s="111" t="str">
        <f t="shared" ca="1" si="14"/>
        <v>N/A</v>
      </c>
      <c r="AG138" s="162"/>
      <c r="AH138" s="162"/>
      <c r="AI138" s="164">
        <f t="shared" si="15"/>
        <v>0</v>
      </c>
      <c r="AJ138" s="118" t="s">
        <v>10</v>
      </c>
      <c r="AK138" s="113">
        <v>42249</v>
      </c>
      <c r="AL138" s="118" t="s">
        <v>567</v>
      </c>
      <c r="AM138" s="165" t="str">
        <f t="shared" si="16"/>
        <v>14022 CEVITAL</v>
      </c>
      <c r="AN138" s="165" t="str">
        <f t="shared" si="17"/>
        <v>14022 CEVITAL : déformation collecteur perméat NF / corrosion bague alu des TP</v>
      </c>
    </row>
    <row r="139" spans="1:40" s="76" customFormat="1" ht="13" hidden="1" x14ac:dyDescent="0.3">
      <c r="A139" s="122" t="s">
        <v>568</v>
      </c>
      <c r="B139" s="116">
        <v>14023</v>
      </c>
      <c r="C139" s="113" t="s">
        <v>4</v>
      </c>
      <c r="D139" s="117">
        <v>41814</v>
      </c>
      <c r="E139" s="118" t="s">
        <v>205</v>
      </c>
      <c r="F139" s="118"/>
      <c r="G139" s="111" t="s">
        <v>569</v>
      </c>
      <c r="H139" s="111" t="s">
        <v>570</v>
      </c>
      <c r="I139" s="119" t="s">
        <v>5</v>
      </c>
      <c r="J139" s="113"/>
      <c r="K139" s="118">
        <v>1953</v>
      </c>
      <c r="L139" s="118" t="s">
        <v>571</v>
      </c>
      <c r="M139" s="118" t="s">
        <v>11</v>
      </c>
      <c r="N139" s="120" t="s">
        <v>572</v>
      </c>
      <c r="O139" s="111" t="s">
        <v>29</v>
      </c>
      <c r="P139" s="111" t="s">
        <v>86</v>
      </c>
      <c r="Q139" s="111" t="s">
        <v>176</v>
      </c>
      <c r="R139" s="111" t="s">
        <v>145</v>
      </c>
      <c r="S139" s="111"/>
      <c r="T139" s="129" t="s">
        <v>573</v>
      </c>
      <c r="U139" s="64">
        <v>41814</v>
      </c>
      <c r="V139" s="158" t="s">
        <v>6</v>
      </c>
      <c r="W139" s="118" t="s">
        <v>574</v>
      </c>
      <c r="X139" s="113"/>
      <c r="Y139" s="117">
        <f t="shared" si="12"/>
        <v>41906</v>
      </c>
      <c r="Z139" s="117">
        <v>42383</v>
      </c>
      <c r="AA139" s="161" t="str">
        <f t="shared" ca="1" si="13"/>
        <v>NO</v>
      </c>
      <c r="AB139" s="113"/>
      <c r="AC139" s="117">
        <v>41814</v>
      </c>
      <c r="AD139" s="169">
        <v>42125</v>
      </c>
      <c r="AE139" s="169">
        <v>42370</v>
      </c>
      <c r="AF139" s="111" t="str">
        <f t="shared" ca="1" si="14"/>
        <v>NO</v>
      </c>
      <c r="AG139" s="162"/>
      <c r="AH139" s="162"/>
      <c r="AI139" s="164">
        <f t="shared" si="15"/>
        <v>0</v>
      </c>
      <c r="AJ139" s="118"/>
      <c r="AK139" s="113" t="s">
        <v>575</v>
      </c>
      <c r="AL139" s="118"/>
      <c r="AM139" s="165" t="str">
        <f t="shared" si="16"/>
        <v>14023 SUNOKO</v>
      </c>
      <c r="AN139" s="165" t="str">
        <f t="shared" si="17"/>
        <v>14023 SUNOKO : non atteinte de la capacité contractuelle</v>
      </c>
    </row>
    <row r="140" spans="1:40" s="76" customFormat="1" ht="13" hidden="1" x14ac:dyDescent="0.3">
      <c r="A140" s="122" t="s">
        <v>576</v>
      </c>
      <c r="B140" s="116">
        <v>14024</v>
      </c>
      <c r="C140" s="113" t="s">
        <v>4</v>
      </c>
      <c r="D140" s="117">
        <v>41835</v>
      </c>
      <c r="E140" s="118" t="s">
        <v>577</v>
      </c>
      <c r="F140" s="118"/>
      <c r="G140" s="111" t="s">
        <v>578</v>
      </c>
      <c r="H140" s="111"/>
      <c r="I140" s="119" t="s">
        <v>2058</v>
      </c>
      <c r="J140" s="113"/>
      <c r="K140" s="118" t="s">
        <v>454</v>
      </c>
      <c r="L140" s="118" t="s">
        <v>454</v>
      </c>
      <c r="M140" s="118" t="s">
        <v>454</v>
      </c>
      <c r="N140" s="120" t="s">
        <v>579</v>
      </c>
      <c r="O140" s="111" t="s">
        <v>454</v>
      </c>
      <c r="P140" s="111" t="s">
        <v>580</v>
      </c>
      <c r="Q140" s="111"/>
      <c r="R140" s="111" t="s">
        <v>15</v>
      </c>
      <c r="S140" s="111"/>
      <c r="T140" s="118"/>
      <c r="U140" s="64">
        <v>41939</v>
      </c>
      <c r="V140" s="158" t="s">
        <v>6</v>
      </c>
      <c r="W140" s="118" t="s">
        <v>577</v>
      </c>
      <c r="X140" s="113"/>
      <c r="Y140" s="117">
        <f t="shared" si="12"/>
        <v>41927</v>
      </c>
      <c r="Z140" s="117">
        <v>41969</v>
      </c>
      <c r="AA140" s="161" t="str">
        <f t="shared" ca="1" si="13"/>
        <v>NO</v>
      </c>
      <c r="AB140" s="113"/>
      <c r="AC140" s="117"/>
      <c r="AD140" s="111"/>
      <c r="AE140" s="111"/>
      <c r="AF140" s="111" t="str">
        <f t="shared" ca="1" si="14"/>
        <v>N/A</v>
      </c>
      <c r="AG140" s="162"/>
      <c r="AH140" s="162"/>
      <c r="AI140" s="164">
        <f t="shared" si="15"/>
        <v>0</v>
      </c>
      <c r="AJ140" s="118" t="s">
        <v>6</v>
      </c>
      <c r="AK140" s="113">
        <v>42184</v>
      </c>
      <c r="AL140" s="118"/>
      <c r="AM140" s="165" t="str">
        <f t="shared" si="16"/>
        <v>14024 Service IT</v>
      </c>
      <c r="AN140" s="165" t="str">
        <f t="shared" si="17"/>
        <v>14024 Service IT : Chute escalier suite malaise</v>
      </c>
    </row>
    <row r="141" spans="1:40" s="76" customFormat="1" ht="13" hidden="1" x14ac:dyDescent="0.3">
      <c r="A141" s="122" t="s">
        <v>581</v>
      </c>
      <c r="B141" s="116">
        <v>14025</v>
      </c>
      <c r="C141" s="113" t="s">
        <v>4</v>
      </c>
      <c r="D141" s="117">
        <v>41876</v>
      </c>
      <c r="E141" s="118" t="s">
        <v>82</v>
      </c>
      <c r="F141" s="118"/>
      <c r="G141" s="111" t="s">
        <v>582</v>
      </c>
      <c r="H141" s="111" t="s">
        <v>392</v>
      </c>
      <c r="I141" s="119" t="s">
        <v>2056</v>
      </c>
      <c r="J141" s="113"/>
      <c r="K141" s="118">
        <v>1984</v>
      </c>
      <c r="L141" s="118" t="s">
        <v>583</v>
      </c>
      <c r="M141" s="118" t="s">
        <v>11</v>
      </c>
      <c r="N141" s="120" t="s">
        <v>584</v>
      </c>
      <c r="O141" s="111" t="s">
        <v>28</v>
      </c>
      <c r="P141" s="111" t="s">
        <v>103</v>
      </c>
      <c r="Q141" s="111"/>
      <c r="R141" s="111" t="s">
        <v>145</v>
      </c>
      <c r="S141" s="111"/>
      <c r="T141" s="128" t="s">
        <v>392</v>
      </c>
      <c r="U141" s="64">
        <v>41852</v>
      </c>
      <c r="V141" s="158" t="s">
        <v>10</v>
      </c>
      <c r="W141" s="118"/>
      <c r="X141" s="113"/>
      <c r="Y141" s="117">
        <f t="shared" si="12"/>
        <v>41968</v>
      </c>
      <c r="Z141" s="117">
        <v>41929</v>
      </c>
      <c r="AA141" s="161" t="str">
        <f t="shared" ca="1" si="13"/>
        <v>YES</v>
      </c>
      <c r="AB141" s="113"/>
      <c r="AC141" s="117"/>
      <c r="AD141" s="111"/>
      <c r="AE141" s="111"/>
      <c r="AF141" s="111" t="str">
        <f t="shared" ca="1" si="14"/>
        <v>N/A</v>
      </c>
      <c r="AG141" s="162"/>
      <c r="AH141" s="162"/>
      <c r="AI141" s="164">
        <f t="shared" si="15"/>
        <v>0</v>
      </c>
      <c r="AJ141" s="118" t="s">
        <v>6</v>
      </c>
      <c r="AK141" s="113">
        <v>42249</v>
      </c>
      <c r="AL141" s="118"/>
      <c r="AM141" s="165" t="str">
        <f t="shared" si="16"/>
        <v xml:space="preserve">14025 ADM </v>
      </c>
      <c r="AN141" s="165" t="str">
        <f t="shared" si="17"/>
        <v>14025 ADM  : Problèmes livraison inerte</v>
      </c>
    </row>
    <row r="142" spans="1:40" s="76" customFormat="1" ht="25.5" hidden="1" x14ac:dyDescent="0.3">
      <c r="A142" s="122" t="s">
        <v>585</v>
      </c>
      <c r="B142" s="116">
        <v>14026</v>
      </c>
      <c r="C142" s="113" t="s">
        <v>4</v>
      </c>
      <c r="D142" s="117">
        <v>41876</v>
      </c>
      <c r="E142" s="118" t="s">
        <v>82</v>
      </c>
      <c r="F142" s="118"/>
      <c r="G142" s="120" t="s">
        <v>586</v>
      </c>
      <c r="H142" s="120" t="s">
        <v>309</v>
      </c>
      <c r="I142" s="119" t="s">
        <v>2056</v>
      </c>
      <c r="J142" s="113"/>
      <c r="K142" s="118">
        <v>1980</v>
      </c>
      <c r="L142" s="118" t="s">
        <v>587</v>
      </c>
      <c r="M142" s="118" t="s">
        <v>11</v>
      </c>
      <c r="N142" s="120" t="s">
        <v>588</v>
      </c>
      <c r="O142" s="111" t="s">
        <v>28</v>
      </c>
      <c r="P142" s="111" t="s">
        <v>103</v>
      </c>
      <c r="Q142" s="111"/>
      <c r="R142" s="111" t="s">
        <v>145</v>
      </c>
      <c r="S142" s="111"/>
      <c r="T142" s="128" t="s">
        <v>309</v>
      </c>
      <c r="U142" s="64">
        <v>41856</v>
      </c>
      <c r="V142" s="158" t="s">
        <v>10</v>
      </c>
      <c r="W142" s="118"/>
      <c r="X142" s="113"/>
      <c r="Y142" s="117">
        <f t="shared" si="12"/>
        <v>41968</v>
      </c>
      <c r="Z142" s="117">
        <v>41915</v>
      </c>
      <c r="AA142" s="161" t="str">
        <f t="shared" ca="1" si="13"/>
        <v>YES</v>
      </c>
      <c r="AB142" s="113"/>
      <c r="AC142" s="117"/>
      <c r="AD142" s="111"/>
      <c r="AE142" s="111"/>
      <c r="AF142" s="111" t="str">
        <f t="shared" ca="1" si="14"/>
        <v>N/A</v>
      </c>
      <c r="AG142" s="162"/>
      <c r="AH142" s="162"/>
      <c r="AI142" s="164">
        <f t="shared" si="15"/>
        <v>0</v>
      </c>
      <c r="AJ142" s="118" t="s">
        <v>10</v>
      </c>
      <c r="AK142" s="113">
        <v>41971</v>
      </c>
      <c r="AL142" s="118" t="s">
        <v>589</v>
      </c>
      <c r="AM142" s="165" t="str">
        <f t="shared" si="16"/>
        <v xml:space="preserve">14026 Conaprole - VRS </v>
      </c>
      <c r="AN142" s="165" t="str">
        <f t="shared" si="17"/>
        <v>14026 Conaprole - VRS  : Problèmes livraison résines</v>
      </c>
    </row>
    <row r="143" spans="1:40" s="76" customFormat="1" ht="13" hidden="1" x14ac:dyDescent="0.3">
      <c r="A143" s="122" t="s">
        <v>590</v>
      </c>
      <c r="B143" s="116">
        <v>14027</v>
      </c>
      <c r="C143" s="113" t="s">
        <v>4</v>
      </c>
      <c r="D143" s="117">
        <v>41911</v>
      </c>
      <c r="E143" s="118" t="s">
        <v>441</v>
      </c>
      <c r="F143" s="118"/>
      <c r="G143" s="111" t="s">
        <v>591</v>
      </c>
      <c r="H143" s="111" t="s">
        <v>592</v>
      </c>
      <c r="I143" s="119" t="s">
        <v>2056</v>
      </c>
      <c r="J143" s="113" t="s">
        <v>6</v>
      </c>
      <c r="K143" s="118">
        <v>1976</v>
      </c>
      <c r="L143" s="118" t="s">
        <v>593</v>
      </c>
      <c r="M143" s="118" t="s">
        <v>13</v>
      </c>
      <c r="N143" s="120" t="s">
        <v>594</v>
      </c>
      <c r="O143" s="111" t="s">
        <v>29</v>
      </c>
      <c r="P143" s="111" t="s">
        <v>86</v>
      </c>
      <c r="Q143" s="111" t="s">
        <v>522</v>
      </c>
      <c r="R143" s="111" t="s">
        <v>145</v>
      </c>
      <c r="S143" s="111"/>
      <c r="T143" s="118"/>
      <c r="U143" s="64">
        <v>41937</v>
      </c>
      <c r="V143" s="158" t="s">
        <v>6</v>
      </c>
      <c r="W143" s="118" t="s">
        <v>120</v>
      </c>
      <c r="X143" s="113"/>
      <c r="Y143" s="117">
        <f t="shared" si="12"/>
        <v>42002</v>
      </c>
      <c r="Z143" s="117">
        <v>41995</v>
      </c>
      <c r="AA143" s="161" t="str">
        <f t="shared" ca="1" si="13"/>
        <v>YES</v>
      </c>
      <c r="AB143" s="113"/>
      <c r="AC143" s="117"/>
      <c r="AD143" s="111"/>
      <c r="AE143" s="111"/>
      <c r="AF143" s="111" t="str">
        <f t="shared" ca="1" si="14"/>
        <v>N/A</v>
      </c>
      <c r="AG143" s="162"/>
      <c r="AH143" s="162"/>
      <c r="AI143" s="164">
        <f t="shared" si="15"/>
        <v>0</v>
      </c>
      <c r="AJ143" s="118" t="s">
        <v>6</v>
      </c>
      <c r="AK143" s="113">
        <v>42244</v>
      </c>
      <c r="AL143" s="118"/>
      <c r="AM143" s="165" t="str">
        <f t="shared" si="16"/>
        <v xml:space="preserve">14027 Tanichem </v>
      </c>
      <c r="AN143" s="165" t="str">
        <f t="shared" si="17"/>
        <v>14027 Tanichem  : Erreur dimensions bride de tampon (GB Code / ASME)</v>
      </c>
    </row>
    <row r="144" spans="1:40" s="76" customFormat="1" ht="13" hidden="1" x14ac:dyDescent="0.3">
      <c r="A144" s="122" t="s">
        <v>595</v>
      </c>
      <c r="B144" s="116">
        <v>14028</v>
      </c>
      <c r="C144" s="113" t="s">
        <v>4</v>
      </c>
      <c r="D144" s="117">
        <v>41921</v>
      </c>
      <c r="E144" s="118" t="s">
        <v>91</v>
      </c>
      <c r="F144" s="118"/>
      <c r="G144" s="111" t="s">
        <v>596</v>
      </c>
      <c r="H144" s="111" t="s">
        <v>597</v>
      </c>
      <c r="I144" s="119" t="s">
        <v>2056</v>
      </c>
      <c r="J144" s="113"/>
      <c r="K144" s="118">
        <v>1980</v>
      </c>
      <c r="L144" s="118" t="s">
        <v>598</v>
      </c>
      <c r="M144" s="118" t="s">
        <v>13</v>
      </c>
      <c r="N144" s="120" t="s">
        <v>599</v>
      </c>
      <c r="O144" s="111" t="s">
        <v>29</v>
      </c>
      <c r="P144" s="111" t="s">
        <v>86</v>
      </c>
      <c r="Q144" s="111" t="s">
        <v>566</v>
      </c>
      <c r="R144" s="111" t="s">
        <v>145</v>
      </c>
      <c r="S144" s="111"/>
      <c r="T144" s="118"/>
      <c r="U144" s="64">
        <v>41912</v>
      </c>
      <c r="V144" s="158" t="s">
        <v>6</v>
      </c>
      <c r="W144" s="118" t="s">
        <v>120</v>
      </c>
      <c r="X144" s="113"/>
      <c r="Y144" s="117">
        <f t="shared" si="12"/>
        <v>42013</v>
      </c>
      <c r="Z144" s="117">
        <v>42010</v>
      </c>
      <c r="AA144" s="161" t="str">
        <f t="shared" ca="1" si="13"/>
        <v>YES</v>
      </c>
      <c r="AB144" s="113"/>
      <c r="AC144" s="117"/>
      <c r="AD144" s="111"/>
      <c r="AE144" s="111"/>
      <c r="AF144" s="111" t="str">
        <f t="shared" ca="1" si="14"/>
        <v>N/A</v>
      </c>
      <c r="AG144" s="162"/>
      <c r="AH144" s="162"/>
      <c r="AI144" s="164">
        <f t="shared" si="15"/>
        <v>0</v>
      </c>
      <c r="AJ144" s="118" t="s">
        <v>6</v>
      </c>
      <c r="AK144" s="113">
        <v>42244</v>
      </c>
      <c r="AL144" s="118"/>
      <c r="AM144" s="165" t="str">
        <f t="shared" si="16"/>
        <v>14028 Conaprole</v>
      </c>
      <c r="AN144" s="165" t="str">
        <f t="shared" si="17"/>
        <v>14028 Conaprole : tuyauteries entrée lavage manquantes</v>
      </c>
    </row>
    <row r="145" spans="1:40" s="76" customFormat="1" ht="13" hidden="1" x14ac:dyDescent="0.3">
      <c r="A145" s="122" t="s">
        <v>600</v>
      </c>
      <c r="B145" s="116">
        <v>14029</v>
      </c>
      <c r="C145" s="113" t="s">
        <v>4</v>
      </c>
      <c r="D145" s="117">
        <v>41922</v>
      </c>
      <c r="E145" s="118" t="s">
        <v>601</v>
      </c>
      <c r="F145" s="118"/>
      <c r="G145" s="111" t="s">
        <v>602</v>
      </c>
      <c r="H145" s="111"/>
      <c r="I145" s="119" t="s">
        <v>5</v>
      </c>
      <c r="J145" s="113"/>
      <c r="K145" s="118">
        <v>1952</v>
      </c>
      <c r="L145" s="118" t="s">
        <v>603</v>
      </c>
      <c r="M145" s="118" t="s">
        <v>13</v>
      </c>
      <c r="N145" s="120" t="s">
        <v>604</v>
      </c>
      <c r="O145" s="111" t="s">
        <v>29</v>
      </c>
      <c r="P145" s="111" t="s">
        <v>86</v>
      </c>
      <c r="Q145" s="111" t="s">
        <v>605</v>
      </c>
      <c r="R145" s="111" t="s">
        <v>9</v>
      </c>
      <c r="S145" s="111"/>
      <c r="T145" s="118"/>
      <c r="U145" s="64">
        <v>41949</v>
      </c>
      <c r="V145" s="158" t="s">
        <v>6</v>
      </c>
      <c r="W145" s="118" t="s">
        <v>82</v>
      </c>
      <c r="X145" s="113"/>
      <c r="Y145" s="117">
        <f t="shared" si="12"/>
        <v>42014</v>
      </c>
      <c r="Z145" s="117">
        <v>41971</v>
      </c>
      <c r="AA145" s="161" t="str">
        <f t="shared" ca="1" si="13"/>
        <v>YES</v>
      </c>
      <c r="AB145" s="113"/>
      <c r="AC145" s="117">
        <v>41949</v>
      </c>
      <c r="AD145" s="169">
        <v>41944</v>
      </c>
      <c r="AE145" s="169">
        <v>41944</v>
      </c>
      <c r="AF145" s="111" t="str">
        <f t="shared" ca="1" si="14"/>
        <v>YES</v>
      </c>
      <c r="AG145" s="162"/>
      <c r="AH145" s="162"/>
      <c r="AI145" s="164">
        <f t="shared" si="15"/>
        <v>0</v>
      </c>
      <c r="AJ145" s="118" t="s">
        <v>6</v>
      </c>
      <c r="AK145" s="113">
        <v>42249</v>
      </c>
      <c r="AL145" s="118"/>
      <c r="AM145" s="165" t="str">
        <f t="shared" si="16"/>
        <v>14029 Cevital</v>
      </c>
      <c r="AN145" s="165" t="str">
        <f t="shared" si="17"/>
        <v>14029 Cevital : Durée d'arrêt raffinerie - redémarrage</v>
      </c>
    </row>
    <row r="146" spans="1:40" s="76" customFormat="1" ht="13" hidden="1" x14ac:dyDescent="0.3">
      <c r="A146" s="122" t="s">
        <v>606</v>
      </c>
      <c r="B146" s="116">
        <v>14030</v>
      </c>
      <c r="C146" s="113" t="s">
        <v>4</v>
      </c>
      <c r="D146" s="117">
        <v>41933</v>
      </c>
      <c r="E146" s="118" t="s">
        <v>82</v>
      </c>
      <c r="F146" s="118"/>
      <c r="G146" s="111" t="s">
        <v>460</v>
      </c>
      <c r="H146" s="111"/>
      <c r="I146" s="119" t="s">
        <v>2056</v>
      </c>
      <c r="J146" s="113"/>
      <c r="K146" s="118" t="s">
        <v>454</v>
      </c>
      <c r="L146" s="118" t="s">
        <v>454</v>
      </c>
      <c r="M146" s="118" t="s">
        <v>18</v>
      </c>
      <c r="N146" s="120" t="s">
        <v>607</v>
      </c>
      <c r="O146" s="111" t="s">
        <v>28</v>
      </c>
      <c r="P146" s="111" t="s">
        <v>103</v>
      </c>
      <c r="Q146" s="111" t="s">
        <v>176</v>
      </c>
      <c r="R146" s="111" t="s">
        <v>145</v>
      </c>
      <c r="S146" s="111"/>
      <c r="T146" s="128" t="s">
        <v>460</v>
      </c>
      <c r="U146" s="64">
        <v>41932</v>
      </c>
      <c r="V146" s="158" t="s">
        <v>10</v>
      </c>
      <c r="W146" s="118"/>
      <c r="X146" s="113"/>
      <c r="Y146" s="117">
        <f t="shared" si="12"/>
        <v>42025</v>
      </c>
      <c r="Z146" s="117">
        <v>41971</v>
      </c>
      <c r="AA146" s="161" t="str">
        <f t="shared" ca="1" si="13"/>
        <v>YES</v>
      </c>
      <c r="AB146" s="113"/>
      <c r="AC146" s="117"/>
      <c r="AD146" s="111"/>
      <c r="AE146" s="111"/>
      <c r="AF146" s="111" t="str">
        <f t="shared" ca="1" si="14"/>
        <v>N/A</v>
      </c>
      <c r="AG146" s="162"/>
      <c r="AH146" s="162"/>
      <c r="AI146" s="164">
        <f t="shared" si="15"/>
        <v>0</v>
      </c>
      <c r="AJ146" s="118" t="s">
        <v>6</v>
      </c>
      <c r="AK146" s="113">
        <v>42249</v>
      </c>
      <c r="AL146" s="118"/>
      <c r="AM146" s="165" t="str">
        <f t="shared" si="16"/>
        <v>14030 GE</v>
      </c>
      <c r="AN146" s="165" t="str">
        <f t="shared" si="17"/>
        <v>14030 GE : Absence/retard systématique d'ARCs et B/Ls</v>
      </c>
    </row>
    <row r="147" spans="1:40" s="76" customFormat="1" ht="13" hidden="1" x14ac:dyDescent="0.3">
      <c r="A147" s="122" t="s">
        <v>608</v>
      </c>
      <c r="B147" s="116">
        <v>14031</v>
      </c>
      <c r="C147" s="113" t="s">
        <v>4</v>
      </c>
      <c r="D147" s="117">
        <v>41933</v>
      </c>
      <c r="E147" s="118" t="s">
        <v>609</v>
      </c>
      <c r="F147" s="118"/>
      <c r="G147" s="111" t="s">
        <v>610</v>
      </c>
      <c r="H147" s="111"/>
      <c r="I147" s="119" t="s">
        <v>2057</v>
      </c>
      <c r="J147" s="113"/>
      <c r="K147" s="118" t="s">
        <v>454</v>
      </c>
      <c r="L147" s="118" t="s">
        <v>611</v>
      </c>
      <c r="M147" s="118" t="s">
        <v>13</v>
      </c>
      <c r="N147" s="120" t="s">
        <v>612</v>
      </c>
      <c r="O147" s="111" t="s">
        <v>29</v>
      </c>
      <c r="P147" s="111" t="s">
        <v>157</v>
      </c>
      <c r="Q147" s="111" t="s">
        <v>613</v>
      </c>
      <c r="R147" s="111" t="s">
        <v>9</v>
      </c>
      <c r="S147" s="111"/>
      <c r="T147" s="118"/>
      <c r="U147" s="64">
        <v>41929</v>
      </c>
      <c r="V147" s="158" t="s">
        <v>10</v>
      </c>
      <c r="W147" s="118"/>
      <c r="X147" s="113"/>
      <c r="Y147" s="117">
        <f t="shared" si="12"/>
        <v>42025</v>
      </c>
      <c r="Z147" s="117">
        <v>42306</v>
      </c>
      <c r="AA147" s="161" t="str">
        <f t="shared" ca="1" si="13"/>
        <v>NO</v>
      </c>
      <c r="AB147" s="113"/>
      <c r="AC147" s="117"/>
      <c r="AD147" s="111"/>
      <c r="AE147" s="111"/>
      <c r="AF147" s="111" t="str">
        <f t="shared" ca="1" si="14"/>
        <v>N/A</v>
      </c>
      <c r="AG147" s="162"/>
      <c r="AH147" s="162"/>
      <c r="AI147" s="164">
        <f t="shared" si="15"/>
        <v>0</v>
      </c>
      <c r="AJ147" s="118" t="s">
        <v>6</v>
      </c>
      <c r="AK147" s="113">
        <v>42683</v>
      </c>
      <c r="AL147" s="118"/>
      <c r="AM147" s="165" t="str">
        <f t="shared" si="16"/>
        <v>14031 ALMASIRAH</v>
      </c>
      <c r="AN147" s="165" t="str">
        <f t="shared" si="17"/>
        <v>14031 ALMASIRAH : Erreur calcul conso électrique glucoserie</v>
      </c>
    </row>
    <row r="148" spans="1:40" s="76" customFormat="1" ht="13" hidden="1" x14ac:dyDescent="0.3">
      <c r="A148" s="122" t="s">
        <v>614</v>
      </c>
      <c r="B148" s="116">
        <v>14032</v>
      </c>
      <c r="C148" s="113" t="s">
        <v>4</v>
      </c>
      <c r="D148" s="117">
        <v>41943</v>
      </c>
      <c r="E148" s="118" t="s">
        <v>221</v>
      </c>
      <c r="F148" s="118"/>
      <c r="G148" s="111" t="s">
        <v>615</v>
      </c>
      <c r="H148" s="111" t="s">
        <v>616</v>
      </c>
      <c r="I148" s="119" t="s">
        <v>2056</v>
      </c>
      <c r="J148" s="113"/>
      <c r="K148" s="118">
        <v>1953</v>
      </c>
      <c r="L148" s="118" t="s">
        <v>571</v>
      </c>
      <c r="M148" s="118" t="s">
        <v>11</v>
      </c>
      <c r="N148" s="120" t="s">
        <v>617</v>
      </c>
      <c r="O148" s="111" t="s">
        <v>29</v>
      </c>
      <c r="P148" s="111" t="s">
        <v>618</v>
      </c>
      <c r="Q148" s="111" t="s">
        <v>619</v>
      </c>
      <c r="R148" s="111" t="s">
        <v>145</v>
      </c>
      <c r="S148" s="111"/>
      <c r="T148" s="118"/>
      <c r="U148" s="64">
        <v>41936</v>
      </c>
      <c r="V148" s="158" t="s">
        <v>6</v>
      </c>
      <c r="W148" s="118" t="s">
        <v>205</v>
      </c>
      <c r="X148" s="113"/>
      <c r="Y148" s="117">
        <f t="shared" si="12"/>
        <v>42035</v>
      </c>
      <c r="Z148" s="117">
        <v>42031</v>
      </c>
      <c r="AA148" s="161" t="str">
        <f t="shared" ca="1" si="13"/>
        <v>YES</v>
      </c>
      <c r="AB148" s="113"/>
      <c r="AC148" s="117"/>
      <c r="AD148" s="111"/>
      <c r="AE148" s="111"/>
      <c r="AF148" s="111" t="str">
        <f t="shared" ca="1" si="14"/>
        <v>N/A</v>
      </c>
      <c r="AG148" s="162"/>
      <c r="AH148" s="162"/>
      <c r="AI148" s="164">
        <f t="shared" si="15"/>
        <v>0</v>
      </c>
      <c r="AJ148" s="118" t="s">
        <v>6</v>
      </c>
      <c r="AK148" s="113">
        <v>42244</v>
      </c>
      <c r="AL148" s="118"/>
      <c r="AM148" s="165" t="str">
        <f t="shared" si="16"/>
        <v xml:space="preserve">14032 SUNOKO </v>
      </c>
      <c r="AN148" s="165" t="str">
        <f t="shared" si="17"/>
        <v>14032 SUNOKO  : Fuite sur tuyauterie de distribution (araignée)</v>
      </c>
    </row>
    <row r="149" spans="1:40" s="76" customFormat="1" ht="13" hidden="1" x14ac:dyDescent="0.3">
      <c r="A149" s="122" t="s">
        <v>620</v>
      </c>
      <c r="B149" s="116">
        <v>14033</v>
      </c>
      <c r="C149" s="113" t="s">
        <v>4</v>
      </c>
      <c r="D149" s="117">
        <v>41946</v>
      </c>
      <c r="E149" s="118" t="s">
        <v>621</v>
      </c>
      <c r="F149" s="118"/>
      <c r="G149" s="111" t="s">
        <v>320</v>
      </c>
      <c r="H149" s="111" t="s">
        <v>622</v>
      </c>
      <c r="I149" s="119" t="s">
        <v>5</v>
      </c>
      <c r="J149" s="113"/>
      <c r="K149" s="118">
        <v>1953</v>
      </c>
      <c r="L149" s="118" t="s">
        <v>430</v>
      </c>
      <c r="M149" s="118" t="s">
        <v>13</v>
      </c>
      <c r="N149" s="120" t="s">
        <v>623</v>
      </c>
      <c r="O149" s="111" t="s">
        <v>29</v>
      </c>
      <c r="P149" s="111" t="s">
        <v>86</v>
      </c>
      <c r="Q149" s="111" t="s">
        <v>605</v>
      </c>
      <c r="R149" s="111" t="s">
        <v>145</v>
      </c>
      <c r="S149" s="111"/>
      <c r="T149" s="118"/>
      <c r="U149" s="64">
        <v>41989</v>
      </c>
      <c r="V149" s="158" t="s">
        <v>6</v>
      </c>
      <c r="W149" s="118" t="s">
        <v>116</v>
      </c>
      <c r="X149" s="113"/>
      <c r="Y149" s="117">
        <f t="shared" si="12"/>
        <v>42038</v>
      </c>
      <c r="Z149" s="117">
        <v>42115</v>
      </c>
      <c r="AA149" s="161" t="str">
        <f t="shared" ca="1" si="13"/>
        <v>NO</v>
      </c>
      <c r="AB149" s="113"/>
      <c r="AC149" s="117">
        <v>42013</v>
      </c>
      <c r="AD149" s="169">
        <v>42095</v>
      </c>
      <c r="AE149" s="169">
        <v>42095</v>
      </c>
      <c r="AF149" s="111" t="str">
        <f t="shared" ca="1" si="14"/>
        <v>YES</v>
      </c>
      <c r="AG149" s="162"/>
      <c r="AH149" s="162"/>
      <c r="AI149" s="164">
        <f t="shared" si="15"/>
        <v>0</v>
      </c>
      <c r="AJ149" s="118" t="s">
        <v>6</v>
      </c>
      <c r="AK149" s="113">
        <v>42306</v>
      </c>
      <c r="AL149" s="118"/>
      <c r="AM149" s="165" t="str">
        <f t="shared" si="16"/>
        <v>14033 CJ US</v>
      </c>
      <c r="AN149" s="165" t="str">
        <f t="shared" si="17"/>
        <v>14033 CJ US : Ampérage moteurs des pompes excessif</v>
      </c>
    </row>
    <row r="150" spans="1:40" s="76" customFormat="1" ht="25.5" hidden="1" x14ac:dyDescent="0.3">
      <c r="A150" s="122" t="s">
        <v>624</v>
      </c>
      <c r="B150" s="116">
        <v>14034</v>
      </c>
      <c r="C150" s="113" t="s">
        <v>4</v>
      </c>
      <c r="D150" s="117">
        <v>41948</v>
      </c>
      <c r="E150" s="118" t="s">
        <v>221</v>
      </c>
      <c r="F150" s="118"/>
      <c r="G150" s="111" t="s">
        <v>615</v>
      </c>
      <c r="H150" s="111" t="s">
        <v>625</v>
      </c>
      <c r="I150" s="119" t="s">
        <v>2056</v>
      </c>
      <c r="J150" s="113"/>
      <c r="K150" s="118">
        <v>1953</v>
      </c>
      <c r="L150" s="118" t="s">
        <v>571</v>
      </c>
      <c r="M150" s="118" t="s">
        <v>11</v>
      </c>
      <c r="N150" s="120" t="s">
        <v>626</v>
      </c>
      <c r="O150" s="118" t="s">
        <v>29</v>
      </c>
      <c r="P150" s="118" t="s">
        <v>618</v>
      </c>
      <c r="Q150" s="118" t="s">
        <v>619</v>
      </c>
      <c r="R150" s="118" t="s">
        <v>145</v>
      </c>
      <c r="S150" s="118"/>
      <c r="T150" s="118"/>
      <c r="U150" s="64">
        <v>41936</v>
      </c>
      <c r="V150" s="158" t="s">
        <v>6</v>
      </c>
      <c r="W150" s="118" t="s">
        <v>205</v>
      </c>
      <c r="X150" s="113"/>
      <c r="Y150" s="117">
        <f t="shared" si="12"/>
        <v>42040</v>
      </c>
      <c r="Z150" s="117">
        <v>42037</v>
      </c>
      <c r="AA150" s="161" t="str">
        <f t="shared" ca="1" si="13"/>
        <v>YES</v>
      </c>
      <c r="AB150" s="113"/>
      <c r="AC150" s="117"/>
      <c r="AD150" s="118"/>
      <c r="AE150" s="118"/>
      <c r="AF150" s="118" t="str">
        <f t="shared" ca="1" si="14"/>
        <v>N/A</v>
      </c>
      <c r="AG150" s="170"/>
      <c r="AH150" s="170"/>
      <c r="AI150" s="171">
        <f t="shared" si="15"/>
        <v>0</v>
      </c>
      <c r="AJ150" s="118" t="s">
        <v>6</v>
      </c>
      <c r="AK150" s="113">
        <v>42244</v>
      </c>
      <c r="AL150" s="118"/>
      <c r="AM150" s="165" t="str">
        <f t="shared" si="16"/>
        <v xml:space="preserve">14034 SUNOKO </v>
      </c>
      <c r="AN150" s="165" t="str">
        <f t="shared" si="17"/>
        <v>14034 SUNOKO  : Fuite sur tampon trou d'homme d'entrée réseau (colonnes)</v>
      </c>
    </row>
    <row r="151" spans="1:40" s="76" customFormat="1" ht="13" hidden="1" x14ac:dyDescent="0.3">
      <c r="A151" s="122" t="s">
        <v>627</v>
      </c>
      <c r="B151" s="116">
        <v>14035</v>
      </c>
      <c r="C151" s="113" t="s">
        <v>4</v>
      </c>
      <c r="D151" s="117">
        <v>41949</v>
      </c>
      <c r="E151" s="118" t="s">
        <v>221</v>
      </c>
      <c r="F151" s="118"/>
      <c r="G151" s="111" t="s">
        <v>569</v>
      </c>
      <c r="H151" s="111"/>
      <c r="I151" s="119" t="s">
        <v>2057</v>
      </c>
      <c r="J151" s="113"/>
      <c r="K151" s="118">
        <v>1953</v>
      </c>
      <c r="L151" s="118">
        <v>9263</v>
      </c>
      <c r="M151" s="118" t="s">
        <v>11</v>
      </c>
      <c r="N151" s="120" t="s">
        <v>628</v>
      </c>
      <c r="O151" s="111" t="s">
        <v>29</v>
      </c>
      <c r="P151" s="111" t="s">
        <v>618</v>
      </c>
      <c r="Q151" s="111" t="s">
        <v>619</v>
      </c>
      <c r="R151" s="111" t="s">
        <v>145</v>
      </c>
      <c r="S151" s="111"/>
      <c r="T151" s="118"/>
      <c r="U151" s="64">
        <v>41936</v>
      </c>
      <c r="V151" s="158" t="s">
        <v>6</v>
      </c>
      <c r="W151" s="118" t="s">
        <v>205</v>
      </c>
      <c r="X151" s="113"/>
      <c r="Y151" s="117">
        <f t="shared" si="12"/>
        <v>42041</v>
      </c>
      <c r="Z151" s="117">
        <v>42017</v>
      </c>
      <c r="AA151" s="161" t="str">
        <f t="shared" ca="1" si="13"/>
        <v>YES</v>
      </c>
      <c r="AB151" s="113"/>
      <c r="AC151" s="117"/>
      <c r="AD151" s="111"/>
      <c r="AE151" s="111"/>
      <c r="AF151" s="111" t="str">
        <f t="shared" ca="1" si="14"/>
        <v>N/A</v>
      </c>
      <c r="AG151" s="162"/>
      <c r="AH151" s="162"/>
      <c r="AI151" s="164">
        <f t="shared" si="15"/>
        <v>0</v>
      </c>
      <c r="AJ151" s="118" t="s">
        <v>6</v>
      </c>
      <c r="AK151" s="113">
        <v>42306</v>
      </c>
      <c r="AL151" s="118"/>
      <c r="AM151" s="165" t="str">
        <f t="shared" si="16"/>
        <v>14035 SUNOKO</v>
      </c>
      <c r="AN151" s="165" t="str">
        <f t="shared" si="17"/>
        <v xml:space="preserve">14035 SUNOKO : Déformation grille sur réseau (intérieur colonne) </v>
      </c>
    </row>
    <row r="152" spans="1:40" s="76" customFormat="1" ht="13" hidden="1" x14ac:dyDescent="0.3">
      <c r="A152" s="122" t="s">
        <v>629</v>
      </c>
      <c r="B152" s="116">
        <v>14036</v>
      </c>
      <c r="C152" s="113" t="s">
        <v>4</v>
      </c>
      <c r="D152" s="117">
        <v>41961</v>
      </c>
      <c r="E152" s="118" t="s">
        <v>99</v>
      </c>
      <c r="F152" s="118"/>
      <c r="G152" s="111" t="s">
        <v>630</v>
      </c>
      <c r="H152" s="111"/>
      <c r="I152" s="119" t="s">
        <v>2057</v>
      </c>
      <c r="J152" s="113"/>
      <c r="K152" s="118" t="s">
        <v>454</v>
      </c>
      <c r="L152" s="118" t="s">
        <v>631</v>
      </c>
      <c r="M152" s="118" t="s">
        <v>632</v>
      </c>
      <c r="N152" s="120" t="s">
        <v>633</v>
      </c>
      <c r="O152" s="111" t="s">
        <v>28</v>
      </c>
      <c r="P152" s="111" t="s">
        <v>103</v>
      </c>
      <c r="Q152" s="111" t="s">
        <v>634</v>
      </c>
      <c r="R152" s="111" t="s">
        <v>9</v>
      </c>
      <c r="S152" s="111"/>
      <c r="T152" s="118"/>
      <c r="U152" s="64">
        <v>41971</v>
      </c>
      <c r="V152" s="158" t="s">
        <v>6</v>
      </c>
      <c r="W152" s="118" t="s">
        <v>99</v>
      </c>
      <c r="X152" s="113"/>
      <c r="Y152" s="117">
        <f t="shared" si="12"/>
        <v>42053</v>
      </c>
      <c r="Z152" s="117">
        <v>42040</v>
      </c>
      <c r="AA152" s="161" t="str">
        <f t="shared" ca="1" si="13"/>
        <v>YES</v>
      </c>
      <c r="AB152" s="113"/>
      <c r="AC152" s="117"/>
      <c r="AD152" s="111"/>
      <c r="AE152" s="111"/>
      <c r="AF152" s="111" t="str">
        <f t="shared" ca="1" si="14"/>
        <v>N/A</v>
      </c>
      <c r="AG152" s="162"/>
      <c r="AH152" s="162"/>
      <c r="AI152" s="164">
        <f t="shared" si="15"/>
        <v>0</v>
      </c>
      <c r="AJ152" s="118" t="s">
        <v>6</v>
      </c>
      <c r="AK152" s="113">
        <v>42249</v>
      </c>
      <c r="AL152" s="118"/>
      <c r="AM152" s="165" t="str">
        <f t="shared" si="16"/>
        <v>14036 Sanofi Chimie Aramon</v>
      </c>
      <c r="AN152" s="165" t="str">
        <f t="shared" si="17"/>
        <v>14036 Sanofi Chimie Aramon : erreur stock membranes réservées</v>
      </c>
    </row>
    <row r="153" spans="1:40" s="76" customFormat="1" ht="13" hidden="1" x14ac:dyDescent="0.3">
      <c r="A153" s="122" t="s">
        <v>635</v>
      </c>
      <c r="B153" s="116">
        <v>14037</v>
      </c>
      <c r="C153" s="113" t="s">
        <v>4</v>
      </c>
      <c r="D153" s="117">
        <v>41961</v>
      </c>
      <c r="E153" s="118" t="s">
        <v>636</v>
      </c>
      <c r="F153" s="118"/>
      <c r="G153" s="111" t="s">
        <v>637</v>
      </c>
      <c r="H153" s="111"/>
      <c r="I153" s="119" t="s">
        <v>2057</v>
      </c>
      <c r="J153" s="113"/>
      <c r="K153" s="118" t="s">
        <v>454</v>
      </c>
      <c r="L153" s="118" t="s">
        <v>638</v>
      </c>
      <c r="M153" s="118" t="s">
        <v>11</v>
      </c>
      <c r="N153" s="120" t="s">
        <v>639</v>
      </c>
      <c r="O153" s="111" t="s">
        <v>420</v>
      </c>
      <c r="P153" s="111" t="s">
        <v>80</v>
      </c>
      <c r="Q153" s="111" t="s">
        <v>81</v>
      </c>
      <c r="R153" s="111" t="s">
        <v>9</v>
      </c>
      <c r="S153" s="111"/>
      <c r="T153" s="118"/>
      <c r="U153" s="64">
        <v>41961</v>
      </c>
      <c r="V153" s="158" t="s">
        <v>6</v>
      </c>
      <c r="W153" s="118" t="s">
        <v>258</v>
      </c>
      <c r="X153" s="113"/>
      <c r="Y153" s="117">
        <f t="shared" si="12"/>
        <v>42053</v>
      </c>
      <c r="Z153" s="117">
        <v>42045</v>
      </c>
      <c r="AA153" s="161" t="str">
        <f t="shared" ca="1" si="13"/>
        <v>YES</v>
      </c>
      <c r="AB153" s="113"/>
      <c r="AC153" s="117"/>
      <c r="AD153" s="111"/>
      <c r="AE153" s="111"/>
      <c r="AF153" s="111" t="str">
        <f t="shared" ca="1" si="14"/>
        <v>N/A</v>
      </c>
      <c r="AG153" s="162"/>
      <c r="AH153" s="162"/>
      <c r="AI153" s="164">
        <f t="shared" si="15"/>
        <v>0</v>
      </c>
      <c r="AJ153" s="118" t="s">
        <v>6</v>
      </c>
      <c r="AK153" s="113">
        <v>42255</v>
      </c>
      <c r="AL153" s="118"/>
      <c r="AM153" s="165" t="str">
        <f t="shared" si="16"/>
        <v>14037 SENSUS</v>
      </c>
      <c r="AN153" s="165" t="str">
        <f t="shared" si="17"/>
        <v xml:space="preserve">14037 SENSUS : retard essais PPD </v>
      </c>
    </row>
    <row r="154" spans="1:40" s="76" customFormat="1" ht="13" hidden="1" x14ac:dyDescent="0.3">
      <c r="A154" s="122" t="s">
        <v>640</v>
      </c>
      <c r="B154" s="116">
        <v>14038</v>
      </c>
      <c r="C154" s="113" t="s">
        <v>4</v>
      </c>
      <c r="D154" s="117">
        <v>41971</v>
      </c>
      <c r="E154" s="118" t="s">
        <v>82</v>
      </c>
      <c r="F154" s="118"/>
      <c r="G154" s="111" t="s">
        <v>641</v>
      </c>
      <c r="H154" s="111" t="s">
        <v>309</v>
      </c>
      <c r="I154" s="119" t="s">
        <v>5</v>
      </c>
      <c r="J154" s="113"/>
      <c r="K154" s="118" t="s">
        <v>454</v>
      </c>
      <c r="L154" s="118" t="s">
        <v>642</v>
      </c>
      <c r="M154" s="118" t="s">
        <v>11</v>
      </c>
      <c r="N154" s="120" t="s">
        <v>643</v>
      </c>
      <c r="O154" s="111" t="s">
        <v>28</v>
      </c>
      <c r="P154" s="111" t="s">
        <v>103</v>
      </c>
      <c r="Q154" s="111"/>
      <c r="R154" s="111" t="s">
        <v>145</v>
      </c>
      <c r="S154" s="111"/>
      <c r="T154" s="128" t="s">
        <v>309</v>
      </c>
      <c r="U154" s="64">
        <v>41969</v>
      </c>
      <c r="V154" s="158" t="s">
        <v>10</v>
      </c>
      <c r="W154" s="118"/>
      <c r="X154" s="113"/>
      <c r="Y154" s="117">
        <f t="shared" si="12"/>
        <v>42063</v>
      </c>
      <c r="Z154" s="117">
        <v>42017</v>
      </c>
      <c r="AA154" s="161" t="str">
        <f t="shared" ca="1" si="13"/>
        <v>YES</v>
      </c>
      <c r="AB154" s="113"/>
      <c r="AC154" s="117">
        <v>41984</v>
      </c>
      <c r="AD154" s="169"/>
      <c r="AE154" s="169"/>
      <c r="AF154" s="111" t="str">
        <f t="shared" ca="1" si="14"/>
        <v/>
      </c>
      <c r="AG154" s="162"/>
      <c r="AH154" s="162"/>
      <c r="AI154" s="164">
        <f t="shared" si="15"/>
        <v>0</v>
      </c>
      <c r="AJ154" s="118" t="s">
        <v>10</v>
      </c>
      <c r="AK154" s="113">
        <v>42249</v>
      </c>
      <c r="AL154" s="118" t="s">
        <v>644</v>
      </c>
      <c r="AM154" s="165" t="str">
        <f t="shared" si="16"/>
        <v xml:space="preserve">14038 Armor Proteines </v>
      </c>
      <c r="AN154" s="165" t="str">
        <f t="shared" si="17"/>
        <v>14038 Armor Proteines  : Retard de livraison résine</v>
      </c>
    </row>
    <row r="155" spans="1:40" s="76" customFormat="1" ht="13" hidden="1" x14ac:dyDescent="0.3">
      <c r="A155" s="122" t="s">
        <v>645</v>
      </c>
      <c r="B155" s="116">
        <v>15001</v>
      </c>
      <c r="C155" s="113" t="s">
        <v>4</v>
      </c>
      <c r="D155" s="117">
        <v>42016</v>
      </c>
      <c r="E155" s="118" t="s">
        <v>239</v>
      </c>
      <c r="F155" s="118" t="s">
        <v>164</v>
      </c>
      <c r="G155" s="111" t="s">
        <v>646</v>
      </c>
      <c r="H155" s="111"/>
      <c r="I155" s="119" t="s">
        <v>5</v>
      </c>
      <c r="J155" s="113"/>
      <c r="K155" s="118">
        <v>1987</v>
      </c>
      <c r="L155" s="118">
        <v>8023</v>
      </c>
      <c r="M155" s="118" t="s">
        <v>13</v>
      </c>
      <c r="N155" s="120" t="s">
        <v>647</v>
      </c>
      <c r="O155" s="111" t="s">
        <v>29</v>
      </c>
      <c r="P155" s="111" t="s">
        <v>86</v>
      </c>
      <c r="Q155" s="111" t="s">
        <v>522</v>
      </c>
      <c r="R155" s="111" t="s">
        <v>9</v>
      </c>
      <c r="S155" s="111"/>
      <c r="T155" s="118"/>
      <c r="U155" s="64">
        <v>41989</v>
      </c>
      <c r="V155" s="158" t="s">
        <v>10</v>
      </c>
      <c r="W155" s="118"/>
      <c r="X155" s="113"/>
      <c r="Y155" s="117">
        <f t="shared" si="12"/>
        <v>42106</v>
      </c>
      <c r="Z155" s="117">
        <v>42076</v>
      </c>
      <c r="AA155" s="161" t="str">
        <f t="shared" ca="1" si="13"/>
        <v>YES</v>
      </c>
      <c r="AB155" s="113"/>
      <c r="AC155" s="117"/>
      <c r="AD155" s="169">
        <v>42095</v>
      </c>
      <c r="AE155" s="169">
        <v>42064</v>
      </c>
      <c r="AF155" s="111" t="str">
        <f t="shared" ca="1" si="14"/>
        <v>YES</v>
      </c>
      <c r="AG155" s="162"/>
      <c r="AH155" s="162"/>
      <c r="AI155" s="164">
        <f t="shared" si="15"/>
        <v>0</v>
      </c>
      <c r="AJ155" s="118" t="s">
        <v>6</v>
      </c>
      <c r="AK155" s="113">
        <v>42244</v>
      </c>
      <c r="AL155" s="118"/>
      <c r="AM155" s="165" t="str">
        <f t="shared" si="16"/>
        <v xml:space="preserve">15001 Solanic </v>
      </c>
      <c r="AN155" s="165" t="str">
        <f t="shared" si="17"/>
        <v>15001 Solanic  : Dimensions trous d'homme cuve back wash</v>
      </c>
    </row>
    <row r="156" spans="1:40" s="76" customFormat="1" ht="13" hidden="1" x14ac:dyDescent="0.3">
      <c r="A156" s="122" t="s">
        <v>648</v>
      </c>
      <c r="B156" s="116">
        <v>15002</v>
      </c>
      <c r="C156" s="113" t="s">
        <v>4</v>
      </c>
      <c r="D156" s="117">
        <v>42016</v>
      </c>
      <c r="E156" s="118" t="s">
        <v>239</v>
      </c>
      <c r="F156" s="118" t="s">
        <v>164</v>
      </c>
      <c r="G156" s="111" t="s">
        <v>649</v>
      </c>
      <c r="H156" s="111" t="s">
        <v>650</v>
      </c>
      <c r="I156" s="119" t="s">
        <v>2057</v>
      </c>
      <c r="J156" s="113"/>
      <c r="K156" s="118">
        <v>1987</v>
      </c>
      <c r="L156" s="118">
        <v>8023</v>
      </c>
      <c r="M156" s="118" t="s">
        <v>13</v>
      </c>
      <c r="N156" s="120" t="s">
        <v>651</v>
      </c>
      <c r="O156" s="111" t="s">
        <v>29</v>
      </c>
      <c r="P156" s="111" t="s">
        <v>86</v>
      </c>
      <c r="Q156" s="111" t="s">
        <v>522</v>
      </c>
      <c r="R156" s="111" t="s">
        <v>9</v>
      </c>
      <c r="S156" s="111"/>
      <c r="T156" s="118"/>
      <c r="U156" s="64">
        <v>42096</v>
      </c>
      <c r="V156" s="158" t="s">
        <v>10</v>
      </c>
      <c r="W156" s="118"/>
      <c r="X156" s="113"/>
      <c r="Y156" s="117">
        <f t="shared" si="12"/>
        <v>42106</v>
      </c>
      <c r="Z156" s="117">
        <v>42102</v>
      </c>
      <c r="AA156" s="161" t="str">
        <f t="shared" ca="1" si="13"/>
        <v>YES</v>
      </c>
      <c r="AB156" s="113"/>
      <c r="AC156" s="117"/>
      <c r="AD156" s="111"/>
      <c r="AE156" s="111"/>
      <c r="AF156" s="111" t="str">
        <f t="shared" ca="1" si="14"/>
        <v>N/A</v>
      </c>
      <c r="AG156" s="162"/>
      <c r="AH156" s="162"/>
      <c r="AI156" s="164">
        <f t="shared" si="15"/>
        <v>0</v>
      </c>
      <c r="AJ156" s="118" t="s">
        <v>6</v>
      </c>
      <c r="AK156" s="113">
        <v>42244</v>
      </c>
      <c r="AL156" s="118"/>
      <c r="AM156" s="165" t="str">
        <f t="shared" si="16"/>
        <v>15002 Solanic</v>
      </c>
      <c r="AN156" s="165" t="str">
        <f t="shared" si="17"/>
        <v>15002 Solanic : Absence Pression d'air / marquage colonnes</v>
      </c>
    </row>
    <row r="157" spans="1:40" s="76" customFormat="1" ht="13" hidden="1" x14ac:dyDescent="0.3">
      <c r="A157" s="122" t="s">
        <v>652</v>
      </c>
      <c r="B157" s="116">
        <v>15003</v>
      </c>
      <c r="C157" s="113" t="s">
        <v>4</v>
      </c>
      <c r="D157" s="117">
        <v>42016</v>
      </c>
      <c r="E157" s="118" t="s">
        <v>239</v>
      </c>
      <c r="F157" s="118" t="s">
        <v>164</v>
      </c>
      <c r="G157" s="111" t="s">
        <v>646</v>
      </c>
      <c r="H157" s="111" t="s">
        <v>653</v>
      </c>
      <c r="I157" s="119" t="s">
        <v>2057</v>
      </c>
      <c r="J157" s="113"/>
      <c r="K157" s="118">
        <v>1987</v>
      </c>
      <c r="L157" s="118">
        <v>8023</v>
      </c>
      <c r="M157" s="118" t="s">
        <v>13</v>
      </c>
      <c r="N157" s="120" t="s">
        <v>654</v>
      </c>
      <c r="O157" s="111" t="s">
        <v>29</v>
      </c>
      <c r="P157" s="111" t="s">
        <v>86</v>
      </c>
      <c r="Q157" s="111" t="s">
        <v>522</v>
      </c>
      <c r="R157" s="111" t="s">
        <v>9</v>
      </c>
      <c r="S157" s="111"/>
      <c r="T157" s="118"/>
      <c r="U157" s="64">
        <v>42017</v>
      </c>
      <c r="V157" s="158" t="s">
        <v>10</v>
      </c>
      <c r="W157" s="118"/>
      <c r="X157" s="113"/>
      <c r="Y157" s="117">
        <f t="shared" si="12"/>
        <v>42106</v>
      </c>
      <c r="Z157" s="117">
        <v>42076</v>
      </c>
      <c r="AA157" s="161" t="str">
        <f t="shared" ca="1" si="13"/>
        <v>YES</v>
      </c>
      <c r="AB157" s="113"/>
      <c r="AC157" s="117"/>
      <c r="AD157" s="111"/>
      <c r="AE157" s="111"/>
      <c r="AF157" s="111" t="str">
        <f t="shared" ca="1" si="14"/>
        <v>N/A</v>
      </c>
      <c r="AG157" s="162"/>
      <c r="AH157" s="162"/>
      <c r="AI157" s="164">
        <f t="shared" si="15"/>
        <v>0</v>
      </c>
      <c r="AJ157" s="118" t="s">
        <v>6</v>
      </c>
      <c r="AK157" s="113">
        <v>42244</v>
      </c>
      <c r="AL157" s="118"/>
      <c r="AM157" s="165" t="str">
        <f t="shared" si="16"/>
        <v xml:space="preserve">15003 Solanic </v>
      </c>
      <c r="AN157" s="165" t="str">
        <f t="shared" si="17"/>
        <v xml:space="preserve">15003 Solanic  : Erreur diamètre tuyauterie skids </v>
      </c>
    </row>
    <row r="158" spans="1:40" s="76" customFormat="1" ht="13" hidden="1" x14ac:dyDescent="0.3">
      <c r="A158" s="122" t="s">
        <v>655</v>
      </c>
      <c r="B158" s="116">
        <v>15004</v>
      </c>
      <c r="C158" s="113" t="s">
        <v>4</v>
      </c>
      <c r="D158" s="117">
        <v>42017</v>
      </c>
      <c r="E158" s="118" t="s">
        <v>239</v>
      </c>
      <c r="F158" s="118" t="s">
        <v>164</v>
      </c>
      <c r="G158" s="111" t="s">
        <v>656</v>
      </c>
      <c r="H158" s="111"/>
      <c r="I158" s="119" t="s">
        <v>2057</v>
      </c>
      <c r="J158" s="113"/>
      <c r="K158" s="118">
        <v>8101</v>
      </c>
      <c r="L158" s="118">
        <v>9933</v>
      </c>
      <c r="M158" s="118" t="s">
        <v>13</v>
      </c>
      <c r="N158" s="120" t="s">
        <v>657</v>
      </c>
      <c r="O158" s="111" t="s">
        <v>29</v>
      </c>
      <c r="P158" s="111" t="s">
        <v>86</v>
      </c>
      <c r="Q158" s="111" t="s">
        <v>522</v>
      </c>
      <c r="R158" s="111" t="s">
        <v>9</v>
      </c>
      <c r="S158" s="111"/>
      <c r="T158" s="118"/>
      <c r="U158" s="64">
        <v>42096</v>
      </c>
      <c r="V158" s="158" t="s">
        <v>10</v>
      </c>
      <c r="W158" s="118"/>
      <c r="X158" s="113"/>
      <c r="Y158" s="117">
        <f t="shared" si="12"/>
        <v>42107</v>
      </c>
      <c r="Z158" s="117">
        <v>42102</v>
      </c>
      <c r="AA158" s="161" t="str">
        <f t="shared" ca="1" si="13"/>
        <v>YES</v>
      </c>
      <c r="AB158" s="113"/>
      <c r="AC158" s="117"/>
      <c r="AD158" s="111"/>
      <c r="AE158" s="111"/>
      <c r="AF158" s="111" t="str">
        <f t="shared" ca="1" si="14"/>
        <v>N/A</v>
      </c>
      <c r="AG158" s="162"/>
      <c r="AH158" s="162"/>
      <c r="AI158" s="164">
        <f t="shared" si="15"/>
        <v>0</v>
      </c>
      <c r="AJ158" s="118" t="s">
        <v>6</v>
      </c>
      <c r="AK158" s="113">
        <v>42244</v>
      </c>
      <c r="AL158" s="118"/>
      <c r="AM158" s="165" t="str">
        <f t="shared" si="16"/>
        <v>15004 Tunisie sucre</v>
      </c>
      <c r="AN158" s="165" t="str">
        <f t="shared" si="17"/>
        <v>15004 Tunisie sucre : Pompe neutralisation endommagée</v>
      </c>
    </row>
    <row r="159" spans="1:40" s="76" customFormat="1" ht="13" hidden="1" x14ac:dyDescent="0.3">
      <c r="A159" s="122"/>
      <c r="B159" s="116">
        <v>15005</v>
      </c>
      <c r="C159" s="113" t="s">
        <v>4</v>
      </c>
      <c r="D159" s="117">
        <v>42020</v>
      </c>
      <c r="E159" s="118" t="s">
        <v>99</v>
      </c>
      <c r="F159" s="118" t="s">
        <v>658</v>
      </c>
      <c r="G159" s="111" t="s">
        <v>659</v>
      </c>
      <c r="H159" s="111" t="s">
        <v>357</v>
      </c>
      <c r="I159" s="119" t="s">
        <v>5</v>
      </c>
      <c r="J159" s="113"/>
      <c r="K159" s="118" t="s">
        <v>454</v>
      </c>
      <c r="L159" s="118" t="s">
        <v>660</v>
      </c>
      <c r="M159" s="118" t="s">
        <v>338</v>
      </c>
      <c r="N159" s="120" t="s">
        <v>661</v>
      </c>
      <c r="O159" s="111" t="s">
        <v>28</v>
      </c>
      <c r="P159" s="111" t="s">
        <v>103</v>
      </c>
      <c r="Q159" s="111" t="s">
        <v>634</v>
      </c>
      <c r="R159" s="111" t="s">
        <v>145</v>
      </c>
      <c r="S159" s="111"/>
      <c r="T159" s="118"/>
      <c r="U159" s="64">
        <v>42074</v>
      </c>
      <c r="V159" s="158" t="s">
        <v>6</v>
      </c>
      <c r="W159" s="118" t="s">
        <v>82</v>
      </c>
      <c r="X159" s="113"/>
      <c r="Y159" s="117">
        <f t="shared" si="12"/>
        <v>42110</v>
      </c>
      <c r="Z159" s="117">
        <v>42107</v>
      </c>
      <c r="AA159" s="161" t="str">
        <f t="shared" ca="1" si="13"/>
        <v>YES</v>
      </c>
      <c r="AB159" s="113"/>
      <c r="AC159" s="117">
        <v>42074</v>
      </c>
      <c r="AD159" s="111"/>
      <c r="AE159" s="111"/>
      <c r="AF159" s="111" t="str">
        <f t="shared" ca="1" si="14"/>
        <v/>
      </c>
      <c r="AG159" s="162"/>
      <c r="AH159" s="162"/>
      <c r="AI159" s="164">
        <f t="shared" si="15"/>
        <v>0</v>
      </c>
      <c r="AJ159" s="118" t="s">
        <v>6</v>
      </c>
      <c r="AK159" s="113">
        <v>42681</v>
      </c>
      <c r="AL159" s="118" t="s">
        <v>662</v>
      </c>
      <c r="AM159" s="165" t="str">
        <f t="shared" si="16"/>
        <v xml:space="preserve">15005 Jungbunzlauer </v>
      </c>
      <c r="AN159" s="165" t="str">
        <f t="shared" si="17"/>
        <v>15005 Jungbunzlauer  : Défaut longueur d'étanchement mbre Kerasep</v>
      </c>
    </row>
    <row r="160" spans="1:40" s="76" customFormat="1" ht="13" hidden="1" x14ac:dyDescent="0.3">
      <c r="A160" s="122" t="s">
        <v>663</v>
      </c>
      <c r="B160" s="116">
        <v>15006</v>
      </c>
      <c r="C160" s="113" t="s">
        <v>4</v>
      </c>
      <c r="D160" s="117">
        <v>42052</v>
      </c>
      <c r="E160" s="118" t="s">
        <v>99</v>
      </c>
      <c r="F160" s="118" t="s">
        <v>658</v>
      </c>
      <c r="G160" s="111" t="s">
        <v>664</v>
      </c>
      <c r="H160" s="111" t="s">
        <v>460</v>
      </c>
      <c r="I160" s="119" t="s">
        <v>5</v>
      </c>
      <c r="J160" s="113"/>
      <c r="K160" s="118" t="s">
        <v>454</v>
      </c>
      <c r="L160" s="118" t="s">
        <v>665</v>
      </c>
      <c r="M160" s="118" t="s">
        <v>18</v>
      </c>
      <c r="N160" s="120" t="s">
        <v>666</v>
      </c>
      <c r="O160" s="111" t="s">
        <v>28</v>
      </c>
      <c r="P160" s="111" t="s">
        <v>103</v>
      </c>
      <c r="Q160" s="111"/>
      <c r="R160" s="111" t="s">
        <v>145</v>
      </c>
      <c r="S160" s="111"/>
      <c r="T160" s="129" t="s">
        <v>460</v>
      </c>
      <c r="U160" s="64">
        <v>42074</v>
      </c>
      <c r="V160" s="158" t="s">
        <v>10</v>
      </c>
      <c r="W160" s="118"/>
      <c r="X160" s="113"/>
      <c r="Y160" s="117">
        <f t="shared" si="12"/>
        <v>42141</v>
      </c>
      <c r="Z160" s="117">
        <v>42107</v>
      </c>
      <c r="AA160" s="161" t="str">
        <f t="shared" ca="1" si="13"/>
        <v>YES</v>
      </c>
      <c r="AB160" s="113"/>
      <c r="AC160" s="117">
        <v>42090</v>
      </c>
      <c r="AD160" s="111"/>
      <c r="AE160" s="111"/>
      <c r="AF160" s="111" t="str">
        <f t="shared" ca="1" si="14"/>
        <v/>
      </c>
      <c r="AG160" s="162"/>
      <c r="AH160" s="162"/>
      <c r="AI160" s="164">
        <f t="shared" si="15"/>
        <v>0</v>
      </c>
      <c r="AJ160" s="118" t="s">
        <v>6</v>
      </c>
      <c r="AK160" s="113">
        <v>42249</v>
      </c>
      <c r="AL160" s="118"/>
      <c r="AM160" s="165" t="str">
        <f t="shared" si="16"/>
        <v xml:space="preserve">15006 TEREOS NESLE </v>
      </c>
      <c r="AN160" s="165" t="str">
        <f t="shared" si="17"/>
        <v>15006 TEREOS NESLE  : Joints plus larges sur 20 éléments</v>
      </c>
    </row>
    <row r="161" spans="1:40" s="76" customFormat="1" ht="13" hidden="1" x14ac:dyDescent="0.3">
      <c r="A161" s="122" t="s">
        <v>667</v>
      </c>
      <c r="B161" s="116">
        <v>15007</v>
      </c>
      <c r="C161" s="113" t="s">
        <v>4</v>
      </c>
      <c r="D161" s="117">
        <v>42053</v>
      </c>
      <c r="E161" s="118" t="s">
        <v>441</v>
      </c>
      <c r="F161" s="118" t="s">
        <v>8</v>
      </c>
      <c r="G161" s="111" t="s">
        <v>538</v>
      </c>
      <c r="H161" s="111" t="s">
        <v>625</v>
      </c>
      <c r="I161" s="119" t="s">
        <v>2057</v>
      </c>
      <c r="J161" s="113"/>
      <c r="K161" s="118">
        <v>1984</v>
      </c>
      <c r="L161" s="118">
        <v>9728</v>
      </c>
      <c r="M161" s="118" t="s">
        <v>11</v>
      </c>
      <c r="N161" s="120" t="s">
        <v>668</v>
      </c>
      <c r="O161" s="111" t="s">
        <v>29</v>
      </c>
      <c r="P161" s="111" t="s">
        <v>86</v>
      </c>
      <c r="Q161" s="111" t="s">
        <v>522</v>
      </c>
      <c r="R161" s="111" t="s">
        <v>9</v>
      </c>
      <c r="S161" s="111"/>
      <c r="T161" s="118"/>
      <c r="U161" s="64">
        <v>42023</v>
      </c>
      <c r="V161" s="158" t="s">
        <v>6</v>
      </c>
      <c r="W161" s="118" t="s">
        <v>120</v>
      </c>
      <c r="X161" s="113"/>
      <c r="Y161" s="117">
        <f t="shared" si="12"/>
        <v>42142</v>
      </c>
      <c r="Z161" s="117">
        <v>42135</v>
      </c>
      <c r="AA161" s="161" t="str">
        <f t="shared" ca="1" si="13"/>
        <v>YES</v>
      </c>
      <c r="AB161" s="113"/>
      <c r="AC161" s="117"/>
      <c r="AD161" s="111"/>
      <c r="AE161" s="111"/>
      <c r="AF161" s="111" t="str">
        <f t="shared" ca="1" si="14"/>
        <v>N/A</v>
      </c>
      <c r="AG161" s="162"/>
      <c r="AH161" s="162"/>
      <c r="AI161" s="164">
        <f t="shared" si="15"/>
        <v>0</v>
      </c>
      <c r="AJ161" s="118" t="s">
        <v>6</v>
      </c>
      <c r="AK161" s="113">
        <v>42244</v>
      </c>
      <c r="AL161" s="118"/>
      <c r="AM161" s="165" t="str">
        <f t="shared" si="16"/>
        <v>15007 ADM</v>
      </c>
      <c r="AN161" s="165" t="str">
        <f t="shared" si="17"/>
        <v>15007 ADM : Conflit entre évent et réseau intérieur colonne</v>
      </c>
    </row>
    <row r="162" spans="1:40" s="76" customFormat="1" ht="13" hidden="1" x14ac:dyDescent="0.3">
      <c r="A162" s="122" t="s">
        <v>669</v>
      </c>
      <c r="B162" s="116">
        <v>15008</v>
      </c>
      <c r="C162" s="113" t="s">
        <v>4</v>
      </c>
      <c r="D162" s="117">
        <v>42058</v>
      </c>
      <c r="E162" s="118" t="s">
        <v>82</v>
      </c>
      <c r="F162" s="118" t="s">
        <v>658</v>
      </c>
      <c r="G162" s="111" t="s">
        <v>670</v>
      </c>
      <c r="H162" s="111" t="s">
        <v>671</v>
      </c>
      <c r="I162" s="119" t="s">
        <v>5</v>
      </c>
      <c r="J162" s="113"/>
      <c r="K162" s="118">
        <v>1952</v>
      </c>
      <c r="L162" s="118">
        <v>8259</v>
      </c>
      <c r="M162" s="118" t="s">
        <v>672</v>
      </c>
      <c r="N162" s="120" t="s">
        <v>673</v>
      </c>
      <c r="O162" s="111" t="s">
        <v>29</v>
      </c>
      <c r="P162" s="111" t="s">
        <v>86</v>
      </c>
      <c r="Q162" s="111" t="s">
        <v>674</v>
      </c>
      <c r="R162" s="111" t="s">
        <v>145</v>
      </c>
      <c r="S162" s="111"/>
      <c r="T162" s="118"/>
      <c r="U162" s="64">
        <v>42067</v>
      </c>
      <c r="V162" s="158" t="s">
        <v>6</v>
      </c>
      <c r="W162" s="118" t="s">
        <v>675</v>
      </c>
      <c r="X162" s="113"/>
      <c r="Y162" s="117">
        <f t="shared" si="12"/>
        <v>42147</v>
      </c>
      <c r="Z162" s="117">
        <v>42605</v>
      </c>
      <c r="AA162" s="161" t="str">
        <f t="shared" ca="1" si="13"/>
        <v>NO</v>
      </c>
      <c r="AB162" s="113"/>
      <c r="AC162" s="117">
        <v>42067</v>
      </c>
      <c r="AD162" s="169">
        <v>42125</v>
      </c>
      <c r="AE162" s="172">
        <v>42605</v>
      </c>
      <c r="AF162" s="111" t="str">
        <f t="shared" ca="1" si="14"/>
        <v>NO</v>
      </c>
      <c r="AG162" s="162"/>
      <c r="AH162" s="162"/>
      <c r="AI162" s="164">
        <f t="shared" si="15"/>
        <v>0</v>
      </c>
      <c r="AJ162" s="118"/>
      <c r="AK162" s="113" t="s">
        <v>676</v>
      </c>
      <c r="AL162" s="118" t="s">
        <v>677</v>
      </c>
      <c r="AM162" s="165" t="str">
        <f t="shared" si="16"/>
        <v xml:space="preserve">15008 Cevital </v>
      </c>
      <c r="AN162" s="165" t="str">
        <f t="shared" si="17"/>
        <v>15008 Cevital  : Fuite sur colonne de décoloration</v>
      </c>
    </row>
    <row r="163" spans="1:40" s="76" customFormat="1" ht="13" hidden="1" x14ac:dyDescent="0.3">
      <c r="A163" s="122" t="s">
        <v>678</v>
      </c>
      <c r="B163" s="116">
        <v>15009</v>
      </c>
      <c r="C163" s="113" t="s">
        <v>4</v>
      </c>
      <c r="D163" s="117">
        <v>42062</v>
      </c>
      <c r="E163" s="118" t="s">
        <v>441</v>
      </c>
      <c r="F163" s="118" t="s">
        <v>8</v>
      </c>
      <c r="G163" s="111" t="s">
        <v>538</v>
      </c>
      <c r="H163" s="111" t="s">
        <v>679</v>
      </c>
      <c r="I163" s="119" t="s">
        <v>2057</v>
      </c>
      <c r="J163" s="113"/>
      <c r="K163" s="118">
        <v>1984</v>
      </c>
      <c r="L163" s="118">
        <v>9728</v>
      </c>
      <c r="M163" s="118" t="s">
        <v>11</v>
      </c>
      <c r="N163" s="120" t="s">
        <v>680</v>
      </c>
      <c r="O163" s="111" t="s">
        <v>29</v>
      </c>
      <c r="P163" s="111" t="s">
        <v>86</v>
      </c>
      <c r="Q163" s="111" t="s">
        <v>605</v>
      </c>
      <c r="R163" s="111" t="s">
        <v>9</v>
      </c>
      <c r="S163" s="111"/>
      <c r="T163" s="118"/>
      <c r="U163" s="64">
        <v>42016</v>
      </c>
      <c r="V163" s="158" t="s">
        <v>6</v>
      </c>
      <c r="W163" s="118" t="s">
        <v>120</v>
      </c>
      <c r="X163" s="113"/>
      <c r="Y163" s="117">
        <f t="shared" si="12"/>
        <v>42151</v>
      </c>
      <c r="Z163" s="117">
        <v>42135</v>
      </c>
      <c r="AA163" s="161" t="str">
        <f t="shared" ca="1" si="13"/>
        <v>YES</v>
      </c>
      <c r="AB163" s="113"/>
      <c r="AC163" s="117"/>
      <c r="AD163" s="111"/>
      <c r="AE163" s="111"/>
      <c r="AF163" s="111" t="str">
        <f t="shared" ca="1" si="14"/>
        <v>N/A</v>
      </c>
      <c r="AG163" s="162"/>
      <c r="AH163" s="162"/>
      <c r="AI163" s="164">
        <f t="shared" si="15"/>
        <v>0</v>
      </c>
      <c r="AJ163" s="118" t="s">
        <v>6</v>
      </c>
      <c r="AK163" s="113">
        <v>42244</v>
      </c>
      <c r="AL163" s="118"/>
      <c r="AM163" s="165" t="str">
        <f t="shared" si="16"/>
        <v>15009 ADM</v>
      </c>
      <c r="AN163" s="165" t="str">
        <f t="shared" si="17"/>
        <v>15009 ADM : erreur longueur DIT</v>
      </c>
    </row>
    <row r="164" spans="1:40" s="76" customFormat="1" ht="13" hidden="1" x14ac:dyDescent="0.3">
      <c r="A164" s="122" t="s">
        <v>681</v>
      </c>
      <c r="B164" s="116">
        <v>15010</v>
      </c>
      <c r="C164" s="113" t="s">
        <v>4</v>
      </c>
      <c r="D164" s="117">
        <v>42065</v>
      </c>
      <c r="E164" s="118" t="s">
        <v>221</v>
      </c>
      <c r="F164" s="118" t="s">
        <v>164</v>
      </c>
      <c r="G164" s="111" t="s">
        <v>682</v>
      </c>
      <c r="H164" s="111" t="s">
        <v>683</v>
      </c>
      <c r="I164" s="119" t="s">
        <v>5</v>
      </c>
      <c r="J164" s="113"/>
      <c r="K164" s="118">
        <v>1973</v>
      </c>
      <c r="L164" s="118">
        <v>9323</v>
      </c>
      <c r="M164" s="118" t="s">
        <v>13</v>
      </c>
      <c r="N164" s="120" t="s">
        <v>684</v>
      </c>
      <c r="O164" s="111" t="s">
        <v>29</v>
      </c>
      <c r="P164" s="111" t="s">
        <v>86</v>
      </c>
      <c r="Q164" s="111" t="s">
        <v>674</v>
      </c>
      <c r="R164" s="111" t="s">
        <v>12</v>
      </c>
      <c r="S164" s="111"/>
      <c r="T164" s="118"/>
      <c r="U164" s="64">
        <v>42130</v>
      </c>
      <c r="V164" s="158" t="s">
        <v>10</v>
      </c>
      <c r="W164" s="118"/>
      <c r="X164" s="113"/>
      <c r="Y164" s="117">
        <f t="shared" si="12"/>
        <v>42157</v>
      </c>
      <c r="Z164" s="117">
        <v>42346</v>
      </c>
      <c r="AA164" s="161" t="str">
        <f t="shared" ca="1" si="13"/>
        <v>NO</v>
      </c>
      <c r="AB164" s="113"/>
      <c r="AC164" s="117">
        <v>42123</v>
      </c>
      <c r="AD164" s="111"/>
      <c r="AE164" s="111"/>
      <c r="AF164" s="111" t="str">
        <f t="shared" ca="1" si="14"/>
        <v/>
      </c>
      <c r="AG164" s="162"/>
      <c r="AH164" s="162"/>
      <c r="AI164" s="164">
        <f t="shared" si="15"/>
        <v>0</v>
      </c>
      <c r="AJ164" s="118"/>
      <c r="AK164" s="113" t="s">
        <v>685</v>
      </c>
      <c r="AL164" s="118" t="s">
        <v>686</v>
      </c>
      <c r="AM164" s="165" t="str">
        <f t="shared" si="16"/>
        <v>15010 Bioamber</v>
      </c>
      <c r="AN164" s="165" t="str">
        <f t="shared" si="17"/>
        <v>15010 Bioamber : hard rubber lining leaks</v>
      </c>
    </row>
    <row r="165" spans="1:40" s="76" customFormat="1" ht="13" hidden="1" x14ac:dyDescent="0.3">
      <c r="A165" s="122" t="s">
        <v>687</v>
      </c>
      <c r="B165" s="116">
        <v>15011</v>
      </c>
      <c r="C165" s="113" t="s">
        <v>4</v>
      </c>
      <c r="D165" s="117">
        <v>42065</v>
      </c>
      <c r="E165" s="118" t="s">
        <v>221</v>
      </c>
      <c r="F165" s="118" t="s">
        <v>164</v>
      </c>
      <c r="G165" s="111" t="s">
        <v>682</v>
      </c>
      <c r="H165" s="111"/>
      <c r="I165" s="119" t="s">
        <v>2057</v>
      </c>
      <c r="J165" s="113"/>
      <c r="K165" s="118">
        <v>1973</v>
      </c>
      <c r="L165" s="118">
        <v>9323</v>
      </c>
      <c r="M165" s="118" t="s">
        <v>13</v>
      </c>
      <c r="N165" s="120" t="s">
        <v>688</v>
      </c>
      <c r="O165" s="111" t="s">
        <v>29</v>
      </c>
      <c r="P165" s="111" t="s">
        <v>86</v>
      </c>
      <c r="Q165" s="111" t="s">
        <v>522</v>
      </c>
      <c r="R165" s="111" t="s">
        <v>9</v>
      </c>
      <c r="S165" s="111"/>
      <c r="T165" s="118"/>
      <c r="U165" s="64">
        <v>42153</v>
      </c>
      <c r="V165" s="158" t="s">
        <v>10</v>
      </c>
      <c r="W165" s="118"/>
      <c r="X165" s="113"/>
      <c r="Y165" s="117">
        <f t="shared" si="12"/>
        <v>42157</v>
      </c>
      <c r="Z165" s="117">
        <v>42257</v>
      </c>
      <c r="AA165" s="161" t="str">
        <f t="shared" ca="1" si="13"/>
        <v>NO</v>
      </c>
      <c r="AB165" s="113"/>
      <c r="AC165" s="117"/>
      <c r="AD165" s="111"/>
      <c r="AE165" s="111"/>
      <c r="AF165" s="111" t="str">
        <f t="shared" ca="1" si="14"/>
        <v>N/A</v>
      </c>
      <c r="AG165" s="162"/>
      <c r="AH165" s="162"/>
      <c r="AI165" s="164">
        <f t="shared" si="15"/>
        <v>0</v>
      </c>
      <c r="AJ165" s="118" t="s">
        <v>6</v>
      </c>
      <c r="AK165" s="113">
        <v>42550</v>
      </c>
      <c r="AL165" s="118"/>
      <c r="AM165" s="165" t="str">
        <f t="shared" si="16"/>
        <v>15011 Bioamber</v>
      </c>
      <c r="AN165" s="165" t="str">
        <f t="shared" si="17"/>
        <v>15011 Bioamber : no backwash tank on PID</v>
      </c>
    </row>
    <row r="166" spans="1:40" s="76" customFormat="1" ht="13" hidden="1" x14ac:dyDescent="0.3">
      <c r="A166" s="122" t="s">
        <v>689</v>
      </c>
      <c r="B166" s="116">
        <v>15012</v>
      </c>
      <c r="C166" s="113" t="s">
        <v>4</v>
      </c>
      <c r="D166" s="117">
        <v>42068</v>
      </c>
      <c r="E166" s="118" t="s">
        <v>690</v>
      </c>
      <c r="F166" s="118" t="s">
        <v>691</v>
      </c>
      <c r="G166" s="111" t="s">
        <v>692</v>
      </c>
      <c r="H166" s="111"/>
      <c r="I166" s="119" t="s">
        <v>2057</v>
      </c>
      <c r="J166" s="113"/>
      <c r="K166" s="118">
        <v>1945</v>
      </c>
      <c r="L166" s="118">
        <v>9918</v>
      </c>
      <c r="M166" s="118" t="s">
        <v>13</v>
      </c>
      <c r="N166" s="120" t="s">
        <v>693</v>
      </c>
      <c r="O166" s="111" t="s">
        <v>29</v>
      </c>
      <c r="P166" s="111" t="s">
        <v>157</v>
      </c>
      <c r="Q166" s="111" t="s">
        <v>613</v>
      </c>
      <c r="R166" s="111" t="s">
        <v>15</v>
      </c>
      <c r="S166" s="111"/>
      <c r="T166" s="118"/>
      <c r="U166" s="64">
        <v>42086</v>
      </c>
      <c r="V166" s="158" t="s">
        <v>10</v>
      </c>
      <c r="W166" s="118"/>
      <c r="X166" s="113"/>
      <c r="Y166" s="117">
        <f t="shared" si="12"/>
        <v>42160</v>
      </c>
      <c r="Z166" s="117">
        <v>42143</v>
      </c>
      <c r="AA166" s="161" t="str">
        <f t="shared" ca="1" si="13"/>
        <v>YES</v>
      </c>
      <c r="AB166" s="113"/>
      <c r="AC166" s="117"/>
      <c r="AD166" s="111"/>
      <c r="AE166" s="111"/>
      <c r="AF166" s="111" t="str">
        <f t="shared" ca="1" si="14"/>
        <v>N/A</v>
      </c>
      <c r="AG166" s="162"/>
      <c r="AH166" s="162"/>
      <c r="AI166" s="164">
        <f t="shared" si="15"/>
        <v>0</v>
      </c>
      <c r="AJ166" s="118" t="s">
        <v>6</v>
      </c>
      <c r="AK166" s="113">
        <v>42683</v>
      </c>
      <c r="AL166" s="118"/>
      <c r="AM166" s="165" t="str">
        <f t="shared" si="16"/>
        <v>15012 Central Romana</v>
      </c>
      <c r="AN166" s="165" t="str">
        <f t="shared" si="17"/>
        <v>15012 Central Romana : Ecart nbre de pompe figurant dans l'offre/fourni</v>
      </c>
    </row>
    <row r="167" spans="1:40" s="76" customFormat="1" ht="13" hidden="1" x14ac:dyDescent="0.3">
      <c r="A167" s="122" t="s">
        <v>694</v>
      </c>
      <c r="B167" s="130">
        <v>15013</v>
      </c>
      <c r="C167" s="131" t="s">
        <v>4</v>
      </c>
      <c r="D167" s="132">
        <v>42074</v>
      </c>
      <c r="E167" s="133" t="s">
        <v>273</v>
      </c>
      <c r="F167" s="133" t="s">
        <v>658</v>
      </c>
      <c r="G167" s="134" t="s">
        <v>401</v>
      </c>
      <c r="H167" s="134"/>
      <c r="I167" s="135" t="s">
        <v>5</v>
      </c>
      <c r="J167" s="136"/>
      <c r="K167" s="118" t="s">
        <v>454</v>
      </c>
      <c r="L167" s="137" t="s">
        <v>695</v>
      </c>
      <c r="M167" s="137" t="s">
        <v>16</v>
      </c>
      <c r="N167" s="138" t="s">
        <v>696</v>
      </c>
      <c r="O167" s="139" t="s">
        <v>28</v>
      </c>
      <c r="P167" s="139" t="s">
        <v>103</v>
      </c>
      <c r="Q167" s="139" t="s">
        <v>634</v>
      </c>
      <c r="R167" s="139" t="s">
        <v>145</v>
      </c>
      <c r="S167" s="139"/>
      <c r="T167" s="137"/>
      <c r="U167" s="65"/>
      <c r="V167" s="173"/>
      <c r="W167" s="137"/>
      <c r="X167" s="136"/>
      <c r="Y167" s="174">
        <f t="shared" si="12"/>
        <v>42166</v>
      </c>
      <c r="Z167" s="174" t="s">
        <v>697</v>
      </c>
      <c r="AA167" s="175" t="str">
        <f t="shared" ca="1" si="13"/>
        <v>NO</v>
      </c>
      <c r="AB167" s="131"/>
      <c r="AC167" s="174"/>
      <c r="AD167" s="139"/>
      <c r="AE167" s="139"/>
      <c r="AF167" s="139" t="str">
        <f t="shared" ca="1" si="14"/>
        <v/>
      </c>
      <c r="AG167" s="176"/>
      <c r="AH167" s="177"/>
      <c r="AI167" s="178">
        <f t="shared" si="15"/>
        <v>0</v>
      </c>
      <c r="AJ167" s="137"/>
      <c r="AK167" s="136"/>
      <c r="AL167" s="137"/>
      <c r="AM167" s="179" t="str">
        <f t="shared" si="16"/>
        <v>15013 GSK Bio Hamilton (NVS Inc)</v>
      </c>
      <c r="AN167" s="179" t="str">
        <f t="shared" si="17"/>
        <v>15013 GSK Bio Hamilton (NVS Inc) : Tenue étanchement mbre kerasep</v>
      </c>
    </row>
    <row r="168" spans="1:40" s="76" customFormat="1" ht="13" hidden="1" x14ac:dyDescent="0.3">
      <c r="A168" s="122" t="s">
        <v>698</v>
      </c>
      <c r="B168" s="116">
        <v>15014</v>
      </c>
      <c r="C168" s="113" t="s">
        <v>4</v>
      </c>
      <c r="D168" s="117">
        <v>42080</v>
      </c>
      <c r="E168" s="118" t="s">
        <v>153</v>
      </c>
      <c r="F168" s="118" t="s">
        <v>691</v>
      </c>
      <c r="G168" s="111" t="s">
        <v>699</v>
      </c>
      <c r="H168" s="111"/>
      <c r="I168" s="119" t="s">
        <v>2057</v>
      </c>
      <c r="J168" s="113"/>
      <c r="K168" s="118" t="s">
        <v>454</v>
      </c>
      <c r="L168" s="118">
        <v>20.105029999999999</v>
      </c>
      <c r="M168" s="118" t="s">
        <v>700</v>
      </c>
      <c r="N168" s="120" t="s">
        <v>701</v>
      </c>
      <c r="O168" s="111" t="s">
        <v>29</v>
      </c>
      <c r="P168" s="111" t="s">
        <v>157</v>
      </c>
      <c r="Q168" s="111" t="s">
        <v>613</v>
      </c>
      <c r="R168" s="111" t="s">
        <v>15</v>
      </c>
      <c r="S168" s="111"/>
      <c r="T168" s="118"/>
      <c r="U168" s="64">
        <v>42081</v>
      </c>
      <c r="V168" s="158" t="s">
        <v>10</v>
      </c>
      <c r="W168" s="118"/>
      <c r="X168" s="113"/>
      <c r="Y168" s="117">
        <f t="shared" si="12"/>
        <v>42172</v>
      </c>
      <c r="Z168" s="117">
        <v>42163</v>
      </c>
      <c r="AA168" s="161" t="str">
        <f t="shared" ca="1" si="13"/>
        <v>YES</v>
      </c>
      <c r="AB168" s="113"/>
      <c r="AC168" s="117"/>
      <c r="AD168" s="111"/>
      <c r="AE168" s="111"/>
      <c r="AF168" s="111" t="str">
        <f t="shared" ca="1" si="14"/>
        <v>N/A</v>
      </c>
      <c r="AG168" s="162"/>
      <c r="AH168" s="162"/>
      <c r="AI168" s="164">
        <f t="shared" si="15"/>
        <v>0</v>
      </c>
      <c r="AJ168" s="118" t="s">
        <v>6</v>
      </c>
      <c r="AK168" s="113">
        <v>42683</v>
      </c>
      <c r="AL168" s="118"/>
      <c r="AM168" s="165" t="str">
        <f t="shared" si="16"/>
        <v>15014 Arab Sweeteners</v>
      </c>
      <c r="AN168" s="165" t="str">
        <f t="shared" si="17"/>
        <v>15014 Arab Sweeteners : erreur estimatif OPEX</v>
      </c>
    </row>
    <row r="169" spans="1:40" s="76" customFormat="1" ht="13" hidden="1" x14ac:dyDescent="0.3">
      <c r="A169" s="122" t="s">
        <v>702</v>
      </c>
      <c r="B169" s="116">
        <v>15015</v>
      </c>
      <c r="C169" s="113" t="s">
        <v>4</v>
      </c>
      <c r="D169" s="117">
        <v>42086</v>
      </c>
      <c r="E169" s="118" t="s">
        <v>221</v>
      </c>
      <c r="F169" s="118" t="s">
        <v>164</v>
      </c>
      <c r="G169" s="111" t="s">
        <v>656</v>
      </c>
      <c r="H169" s="111" t="s">
        <v>563</v>
      </c>
      <c r="I169" s="119" t="s">
        <v>2057</v>
      </c>
      <c r="J169" s="113" t="s">
        <v>6</v>
      </c>
      <c r="K169" s="118">
        <v>8101</v>
      </c>
      <c r="L169" s="118" t="s">
        <v>703</v>
      </c>
      <c r="M169" s="118" t="s">
        <v>18</v>
      </c>
      <c r="N169" s="120" t="s">
        <v>704</v>
      </c>
      <c r="O169" s="111" t="s">
        <v>29</v>
      </c>
      <c r="P169" s="111" t="s">
        <v>86</v>
      </c>
      <c r="Q169" s="111" t="s">
        <v>522</v>
      </c>
      <c r="R169" s="111" t="s">
        <v>145</v>
      </c>
      <c r="S169" s="111"/>
      <c r="T169" s="118"/>
      <c r="U169" s="64">
        <v>42135</v>
      </c>
      <c r="V169" s="158" t="s">
        <v>10</v>
      </c>
      <c r="W169" s="118"/>
      <c r="X169" s="113"/>
      <c r="Y169" s="117">
        <f t="shared" si="12"/>
        <v>42178</v>
      </c>
      <c r="Z169" s="117">
        <v>42299</v>
      </c>
      <c r="AA169" s="161" t="str">
        <f t="shared" ca="1" si="13"/>
        <v>NO</v>
      </c>
      <c r="AB169" s="113"/>
      <c r="AC169" s="117"/>
      <c r="AD169" s="111"/>
      <c r="AE169" s="111"/>
      <c r="AF169" s="111" t="str">
        <f t="shared" ca="1" si="14"/>
        <v>N/A</v>
      </c>
      <c r="AG169" s="162"/>
      <c r="AH169" s="162"/>
      <c r="AI169" s="164">
        <f t="shared" si="15"/>
        <v>0</v>
      </c>
      <c r="AJ169" s="118" t="s">
        <v>6</v>
      </c>
      <c r="AK169" s="113">
        <v>42550</v>
      </c>
      <c r="AL169" s="118" t="s">
        <v>705</v>
      </c>
      <c r="AM169" s="165" t="str">
        <f t="shared" si="16"/>
        <v>15015 Tunisie sucre</v>
      </c>
      <c r="AN169" s="165" t="str">
        <f t="shared" si="17"/>
        <v>15015 Tunisie sucre : Déformation bouchon Tube de pression</v>
      </c>
    </row>
    <row r="170" spans="1:40" s="76" customFormat="1" ht="13" hidden="1" x14ac:dyDescent="0.3">
      <c r="A170" s="122" t="s">
        <v>706</v>
      </c>
      <c r="B170" s="116">
        <v>15016</v>
      </c>
      <c r="C170" s="113" t="s">
        <v>4</v>
      </c>
      <c r="D170" s="117">
        <v>42104</v>
      </c>
      <c r="E170" s="118" t="s">
        <v>82</v>
      </c>
      <c r="F170" s="118" t="s">
        <v>658</v>
      </c>
      <c r="G170" s="111" t="s">
        <v>707</v>
      </c>
      <c r="H170" s="111" t="s">
        <v>708</v>
      </c>
      <c r="I170" s="119" t="s">
        <v>5</v>
      </c>
      <c r="J170" s="113"/>
      <c r="K170" s="118" t="s">
        <v>454</v>
      </c>
      <c r="L170" s="118" t="s">
        <v>709</v>
      </c>
      <c r="M170" s="118" t="s">
        <v>7</v>
      </c>
      <c r="N170" s="120" t="s">
        <v>710</v>
      </c>
      <c r="O170" s="111" t="s">
        <v>28</v>
      </c>
      <c r="P170" s="111" t="s">
        <v>103</v>
      </c>
      <c r="Q170" s="111"/>
      <c r="R170" s="111" t="s">
        <v>9</v>
      </c>
      <c r="S170" s="111"/>
      <c r="T170" s="118"/>
      <c r="U170" s="64">
        <v>42087</v>
      </c>
      <c r="V170" s="158" t="s">
        <v>10</v>
      </c>
      <c r="W170" s="118"/>
      <c r="X170" s="113"/>
      <c r="Y170" s="117">
        <f t="shared" si="12"/>
        <v>42195</v>
      </c>
      <c r="Z170" s="117">
        <v>42159</v>
      </c>
      <c r="AA170" s="161" t="str">
        <f t="shared" ca="1" si="13"/>
        <v>YES</v>
      </c>
      <c r="AB170" s="113"/>
      <c r="AC170" s="117">
        <v>42087</v>
      </c>
      <c r="AD170" s="111"/>
      <c r="AE170" s="111"/>
      <c r="AF170" s="111" t="str">
        <f t="shared" ca="1" si="14"/>
        <v/>
      </c>
      <c r="AG170" s="162"/>
      <c r="AH170" s="162"/>
      <c r="AI170" s="164">
        <f t="shared" si="15"/>
        <v>0</v>
      </c>
      <c r="AJ170" s="118" t="s">
        <v>6</v>
      </c>
      <c r="AK170" s="113">
        <v>42681</v>
      </c>
      <c r="AL170" s="118" t="s">
        <v>711</v>
      </c>
      <c r="AM170" s="165" t="str">
        <f t="shared" si="16"/>
        <v>15016 Sofivo</v>
      </c>
      <c r="AN170" s="165" t="str">
        <f t="shared" si="17"/>
        <v>15016 Sofivo : Aspect visuel et fonctionnement stacks neufs</v>
      </c>
    </row>
    <row r="171" spans="1:40" s="76" customFormat="1" ht="13" hidden="1" x14ac:dyDescent="0.3">
      <c r="A171" s="122" t="s">
        <v>712</v>
      </c>
      <c r="B171" s="116">
        <v>15017</v>
      </c>
      <c r="C171" s="113" t="s">
        <v>4</v>
      </c>
      <c r="D171" s="117">
        <v>42122</v>
      </c>
      <c r="E171" s="118" t="s">
        <v>82</v>
      </c>
      <c r="F171" s="118" t="s">
        <v>658</v>
      </c>
      <c r="G171" s="111" t="s">
        <v>713</v>
      </c>
      <c r="H171" s="111" t="s">
        <v>460</v>
      </c>
      <c r="I171" s="119" t="s">
        <v>5</v>
      </c>
      <c r="J171" s="113"/>
      <c r="K171" s="118" t="s">
        <v>454</v>
      </c>
      <c r="L171" s="118" t="s">
        <v>714</v>
      </c>
      <c r="M171" s="118" t="s">
        <v>18</v>
      </c>
      <c r="N171" s="120" t="s">
        <v>715</v>
      </c>
      <c r="O171" s="111" t="s">
        <v>28</v>
      </c>
      <c r="P171" s="111" t="s">
        <v>103</v>
      </c>
      <c r="Q171" s="111"/>
      <c r="R171" s="111" t="s">
        <v>145</v>
      </c>
      <c r="S171" s="111"/>
      <c r="T171" s="129" t="s">
        <v>460</v>
      </c>
      <c r="U171" s="64">
        <v>42151</v>
      </c>
      <c r="V171" s="158" t="s">
        <v>6</v>
      </c>
      <c r="W171" s="118" t="s">
        <v>82</v>
      </c>
      <c r="X171" s="113"/>
      <c r="Y171" s="117">
        <f t="shared" si="12"/>
        <v>42213</v>
      </c>
      <c r="Z171" s="117">
        <v>42212</v>
      </c>
      <c r="AA171" s="161" t="str">
        <f t="shared" ca="1" si="13"/>
        <v>YES</v>
      </c>
      <c r="AB171" s="113"/>
      <c r="AC171" s="117">
        <v>42151</v>
      </c>
      <c r="AD171" s="111"/>
      <c r="AE171" s="111"/>
      <c r="AF171" s="111" t="str">
        <f t="shared" ca="1" si="14"/>
        <v/>
      </c>
      <c r="AG171" s="162"/>
      <c r="AH171" s="162"/>
      <c r="AI171" s="164">
        <f t="shared" si="15"/>
        <v>0</v>
      </c>
      <c r="AJ171" s="118" t="s">
        <v>6</v>
      </c>
      <c r="AK171" s="113">
        <v>42549</v>
      </c>
      <c r="AL171" s="118"/>
      <c r="AM171" s="165" t="str">
        <f t="shared" si="16"/>
        <v>15017 SEDAMYL</v>
      </c>
      <c r="AN171" s="165" t="str">
        <f t="shared" si="17"/>
        <v>15017 SEDAMYL : Emballage abimé</v>
      </c>
    </row>
    <row r="172" spans="1:40" s="76" customFormat="1" ht="13" hidden="1" x14ac:dyDescent="0.3">
      <c r="A172" s="122" t="s">
        <v>716</v>
      </c>
      <c r="B172" s="116">
        <v>15018</v>
      </c>
      <c r="C172" s="113" t="s">
        <v>4</v>
      </c>
      <c r="D172" s="117">
        <v>42122</v>
      </c>
      <c r="E172" s="118" t="s">
        <v>82</v>
      </c>
      <c r="F172" s="118" t="s">
        <v>658</v>
      </c>
      <c r="G172" s="111" t="s">
        <v>717</v>
      </c>
      <c r="H172" s="111" t="s">
        <v>309</v>
      </c>
      <c r="I172" s="119" t="s">
        <v>2056</v>
      </c>
      <c r="J172" s="113" t="s">
        <v>6</v>
      </c>
      <c r="K172" s="118">
        <v>1997</v>
      </c>
      <c r="L172" s="118">
        <v>10390</v>
      </c>
      <c r="M172" s="118" t="s">
        <v>718</v>
      </c>
      <c r="N172" s="120" t="s">
        <v>719</v>
      </c>
      <c r="O172" s="111" t="s">
        <v>28</v>
      </c>
      <c r="P172" s="111" t="s">
        <v>103</v>
      </c>
      <c r="Q172" s="111"/>
      <c r="R172" s="111" t="s">
        <v>145</v>
      </c>
      <c r="S172" s="111"/>
      <c r="T172" s="129" t="s">
        <v>309</v>
      </c>
      <c r="U172" s="64">
        <v>42122</v>
      </c>
      <c r="V172" s="158" t="s">
        <v>6</v>
      </c>
      <c r="W172" s="118" t="s">
        <v>82</v>
      </c>
      <c r="X172" s="113"/>
      <c r="Y172" s="117">
        <f t="shared" si="12"/>
        <v>42213</v>
      </c>
      <c r="Z172" s="117">
        <v>42191</v>
      </c>
      <c r="AA172" s="161" t="str">
        <f t="shared" ca="1" si="13"/>
        <v>YES</v>
      </c>
      <c r="AB172" s="113"/>
      <c r="AC172" s="117"/>
      <c r="AD172" s="111"/>
      <c r="AE172" s="111"/>
      <c r="AF172" s="111" t="str">
        <f t="shared" ca="1" si="14"/>
        <v>N/A</v>
      </c>
      <c r="AG172" s="162"/>
      <c r="AH172" s="162"/>
      <c r="AI172" s="164">
        <f t="shared" si="15"/>
        <v>0</v>
      </c>
      <c r="AJ172" s="118" t="s">
        <v>6</v>
      </c>
      <c r="AK172" s="113">
        <v>42549</v>
      </c>
      <c r="AL172" s="118"/>
      <c r="AM172" s="165" t="str">
        <f t="shared" si="16"/>
        <v xml:space="preserve">15018 Sunpaper </v>
      </c>
      <c r="AN172" s="165" t="str">
        <f t="shared" si="17"/>
        <v>15018 Sunpaper  : Retard livraison résine</v>
      </c>
    </row>
    <row r="173" spans="1:40" s="76" customFormat="1" ht="13" hidden="1" x14ac:dyDescent="0.3">
      <c r="A173" s="122" t="s">
        <v>720</v>
      </c>
      <c r="B173" s="116">
        <v>15019</v>
      </c>
      <c r="C173" s="113" t="s">
        <v>4</v>
      </c>
      <c r="D173" s="117">
        <v>42129</v>
      </c>
      <c r="E173" s="118" t="s">
        <v>239</v>
      </c>
      <c r="F173" s="118" t="s">
        <v>164</v>
      </c>
      <c r="G173" s="111" t="s">
        <v>649</v>
      </c>
      <c r="H173" s="111" t="s">
        <v>653</v>
      </c>
      <c r="I173" s="119" t="s">
        <v>2056</v>
      </c>
      <c r="J173" s="113"/>
      <c r="K173" s="118">
        <v>1987</v>
      </c>
      <c r="L173" s="118">
        <v>8023</v>
      </c>
      <c r="M173" s="118" t="s">
        <v>13</v>
      </c>
      <c r="N173" s="120" t="s">
        <v>721</v>
      </c>
      <c r="O173" s="111" t="s">
        <v>29</v>
      </c>
      <c r="P173" s="111" t="s">
        <v>86</v>
      </c>
      <c r="Q173" s="111" t="s">
        <v>522</v>
      </c>
      <c r="R173" s="111" t="s">
        <v>145</v>
      </c>
      <c r="S173" s="111"/>
      <c r="T173" s="118"/>
      <c r="U173" s="64">
        <v>42130</v>
      </c>
      <c r="V173" s="158" t="s">
        <v>6</v>
      </c>
      <c r="W173" s="118" t="s">
        <v>120</v>
      </c>
      <c r="X173" s="113"/>
      <c r="Y173" s="117">
        <f t="shared" si="12"/>
        <v>42221</v>
      </c>
      <c r="Z173" s="117">
        <v>42201</v>
      </c>
      <c r="AA173" s="161" t="str">
        <f t="shared" ca="1" si="13"/>
        <v>YES</v>
      </c>
      <c r="AB173" s="113"/>
      <c r="AC173" s="117"/>
      <c r="AD173" s="111"/>
      <c r="AE173" s="111"/>
      <c r="AF173" s="111" t="str">
        <f t="shared" ca="1" si="14"/>
        <v>N/A</v>
      </c>
      <c r="AG173" s="162"/>
      <c r="AH173" s="162"/>
      <c r="AI173" s="164">
        <f t="shared" si="15"/>
        <v>0</v>
      </c>
      <c r="AJ173" s="118" t="s">
        <v>6</v>
      </c>
      <c r="AK173" s="113">
        <v>42682</v>
      </c>
      <c r="AL173" s="118"/>
      <c r="AM173" s="165" t="str">
        <f t="shared" si="16"/>
        <v>15019 Solanic</v>
      </c>
      <c r="AN173" s="165" t="str">
        <f t="shared" si="17"/>
        <v>15019 Solanic : Alignement tuyauterie</v>
      </c>
    </row>
    <row r="174" spans="1:40" s="76" customFormat="1" ht="13" hidden="1" x14ac:dyDescent="0.3">
      <c r="A174" s="122" t="s">
        <v>722</v>
      </c>
      <c r="B174" s="116">
        <v>15020</v>
      </c>
      <c r="C174" s="113" t="s">
        <v>4</v>
      </c>
      <c r="D174" s="117">
        <v>42129</v>
      </c>
      <c r="E174" s="118" t="s">
        <v>239</v>
      </c>
      <c r="F174" s="118" t="s">
        <v>164</v>
      </c>
      <c r="G174" s="111" t="s">
        <v>649</v>
      </c>
      <c r="H174" s="111"/>
      <c r="I174" s="119" t="s">
        <v>2057</v>
      </c>
      <c r="J174" s="113"/>
      <c r="K174" s="118">
        <v>1987</v>
      </c>
      <c r="L174" s="118">
        <v>8023</v>
      </c>
      <c r="M174" s="118" t="s">
        <v>13</v>
      </c>
      <c r="N174" s="120" t="s">
        <v>723</v>
      </c>
      <c r="O174" s="111" t="s">
        <v>29</v>
      </c>
      <c r="P174" s="111" t="s">
        <v>86</v>
      </c>
      <c r="Q174" s="111" t="s">
        <v>522</v>
      </c>
      <c r="R174" s="111" t="s">
        <v>9</v>
      </c>
      <c r="S174" s="111"/>
      <c r="T174" s="118"/>
      <c r="U174" s="64">
        <v>42191</v>
      </c>
      <c r="V174" s="158" t="s">
        <v>6</v>
      </c>
      <c r="W174" s="118" t="s">
        <v>120</v>
      </c>
      <c r="X174" s="113"/>
      <c r="Y174" s="117">
        <f t="shared" si="12"/>
        <v>42221</v>
      </c>
      <c r="Z174" s="117">
        <v>42192</v>
      </c>
      <c r="AA174" s="161" t="str">
        <f t="shared" ca="1" si="13"/>
        <v>YES</v>
      </c>
      <c r="AB174" s="113"/>
      <c r="AC174" s="117"/>
      <c r="AD174" s="111"/>
      <c r="AE174" s="111"/>
      <c r="AF174" s="111" t="str">
        <f t="shared" ca="1" si="14"/>
        <v>N/A</v>
      </c>
      <c r="AG174" s="162"/>
      <c r="AH174" s="162"/>
      <c r="AI174" s="164">
        <f t="shared" si="15"/>
        <v>0</v>
      </c>
      <c r="AJ174" s="118" t="s">
        <v>6</v>
      </c>
      <c r="AK174" s="113">
        <v>42682</v>
      </c>
      <c r="AL174" s="118"/>
      <c r="AM174" s="165" t="str">
        <f t="shared" si="16"/>
        <v>15020 Solanic</v>
      </c>
      <c r="AN174" s="165" t="str">
        <f t="shared" si="17"/>
        <v>15020 Solanic : Joint sur-contraints</v>
      </c>
    </row>
    <row r="175" spans="1:40" s="76" customFormat="1" ht="13" hidden="1" x14ac:dyDescent="0.3">
      <c r="A175" s="122" t="s">
        <v>724</v>
      </c>
      <c r="B175" s="116">
        <v>15021</v>
      </c>
      <c r="C175" s="113" t="s">
        <v>4</v>
      </c>
      <c r="D175" s="117">
        <v>42129</v>
      </c>
      <c r="E175" s="118" t="s">
        <v>239</v>
      </c>
      <c r="F175" s="118" t="s">
        <v>164</v>
      </c>
      <c r="G175" s="111" t="s">
        <v>649</v>
      </c>
      <c r="H175" s="111"/>
      <c r="I175" s="119" t="s">
        <v>2057</v>
      </c>
      <c r="J175" s="113"/>
      <c r="K175" s="118">
        <v>1987</v>
      </c>
      <c r="L175" s="118">
        <v>8023</v>
      </c>
      <c r="M175" s="118" t="s">
        <v>13</v>
      </c>
      <c r="N175" s="120" t="s">
        <v>725</v>
      </c>
      <c r="O175" s="111" t="s">
        <v>29</v>
      </c>
      <c r="P175" s="111" t="s">
        <v>86</v>
      </c>
      <c r="Q175" s="111" t="s">
        <v>522</v>
      </c>
      <c r="R175" s="111" t="s">
        <v>15</v>
      </c>
      <c r="S175" s="111"/>
      <c r="T175" s="118"/>
      <c r="U175" s="64">
        <v>42130</v>
      </c>
      <c r="V175" s="158" t="s">
        <v>10</v>
      </c>
      <c r="W175" s="118"/>
      <c r="X175" s="113"/>
      <c r="Y175" s="117">
        <f t="shared" si="12"/>
        <v>42221</v>
      </c>
      <c r="Z175" s="117">
        <v>42192</v>
      </c>
      <c r="AA175" s="161" t="str">
        <f t="shared" ca="1" si="13"/>
        <v>YES</v>
      </c>
      <c r="AB175" s="113"/>
      <c r="AC175" s="117"/>
      <c r="AD175" s="111"/>
      <c r="AE175" s="111"/>
      <c r="AF175" s="111" t="str">
        <f t="shared" ca="1" si="14"/>
        <v>N/A</v>
      </c>
      <c r="AG175" s="162"/>
      <c r="AH175" s="162"/>
      <c r="AI175" s="164">
        <f t="shared" si="15"/>
        <v>0</v>
      </c>
      <c r="AJ175" s="118" t="s">
        <v>6</v>
      </c>
      <c r="AK175" s="113">
        <v>42682</v>
      </c>
      <c r="AL175" s="118"/>
      <c r="AM175" s="165" t="str">
        <f t="shared" si="16"/>
        <v>15021 Solanic</v>
      </c>
      <c r="AN175" s="165" t="str">
        <f t="shared" si="17"/>
        <v>15021 Solanic : Vidangeabilité tuyauterie</v>
      </c>
    </row>
    <row r="176" spans="1:40" s="76" customFormat="1" ht="13" hidden="1" x14ac:dyDescent="0.3">
      <c r="A176" s="122" t="s">
        <v>726</v>
      </c>
      <c r="B176" s="116">
        <v>15022</v>
      </c>
      <c r="C176" s="113" t="s">
        <v>4</v>
      </c>
      <c r="D176" s="117">
        <v>42163</v>
      </c>
      <c r="E176" s="118" t="s">
        <v>441</v>
      </c>
      <c r="F176" s="118" t="s">
        <v>8</v>
      </c>
      <c r="G176" s="111" t="s">
        <v>610</v>
      </c>
      <c r="H176" s="111"/>
      <c r="I176" s="119" t="s">
        <v>2057</v>
      </c>
      <c r="J176" s="113"/>
      <c r="K176" s="118">
        <v>1992</v>
      </c>
      <c r="L176" s="118">
        <v>10129</v>
      </c>
      <c r="M176" s="118" t="s">
        <v>13</v>
      </c>
      <c r="N176" s="120" t="s">
        <v>727</v>
      </c>
      <c r="O176" s="111" t="s">
        <v>29</v>
      </c>
      <c r="P176" s="111" t="s">
        <v>86</v>
      </c>
      <c r="Q176" s="111" t="s">
        <v>522</v>
      </c>
      <c r="R176" s="111" t="s">
        <v>9</v>
      </c>
      <c r="S176" s="111"/>
      <c r="T176" s="118"/>
      <c r="U176" s="64">
        <v>42163</v>
      </c>
      <c r="V176" s="158" t="s">
        <v>6</v>
      </c>
      <c r="W176" s="118" t="s">
        <v>120</v>
      </c>
      <c r="X176" s="113"/>
      <c r="Y176" s="117">
        <f t="shared" si="12"/>
        <v>42255</v>
      </c>
      <c r="Z176" s="117">
        <v>42241</v>
      </c>
      <c r="AA176" s="161" t="str">
        <f t="shared" ca="1" si="13"/>
        <v>YES</v>
      </c>
      <c r="AB176" s="113"/>
      <c r="AC176" s="117"/>
      <c r="AD176" s="111"/>
      <c r="AE176" s="111"/>
      <c r="AF176" s="111" t="str">
        <f t="shared" ca="1" si="14"/>
        <v>N/A</v>
      </c>
      <c r="AG176" s="162"/>
      <c r="AH176" s="162"/>
      <c r="AI176" s="164">
        <f t="shared" si="15"/>
        <v>0</v>
      </c>
      <c r="AJ176" s="118" t="s">
        <v>6</v>
      </c>
      <c r="AK176" s="113">
        <v>42605</v>
      </c>
      <c r="AL176" s="118"/>
      <c r="AM176" s="165" t="str">
        <f t="shared" si="16"/>
        <v>15022 ALMASIRAH</v>
      </c>
      <c r="AN176" s="165" t="str">
        <f t="shared" si="17"/>
        <v>15022 ALMASIRAH : conflicts between strainer support and sight glass</v>
      </c>
    </row>
    <row r="177" spans="1:40" s="76" customFormat="1" ht="13" hidden="1" x14ac:dyDescent="0.3">
      <c r="A177" s="122" t="s">
        <v>728</v>
      </c>
      <c r="B177" s="116">
        <v>15023</v>
      </c>
      <c r="C177" s="113" t="s">
        <v>4</v>
      </c>
      <c r="D177" s="117">
        <v>42163</v>
      </c>
      <c r="E177" s="118" t="s">
        <v>441</v>
      </c>
      <c r="F177" s="118" t="s">
        <v>8</v>
      </c>
      <c r="G177" s="111" t="s">
        <v>610</v>
      </c>
      <c r="H177" s="111"/>
      <c r="I177" s="119" t="s">
        <v>2057</v>
      </c>
      <c r="J177" s="113"/>
      <c r="K177" s="118">
        <v>1992</v>
      </c>
      <c r="L177" s="118">
        <v>10129</v>
      </c>
      <c r="M177" s="118" t="s">
        <v>13</v>
      </c>
      <c r="N177" s="120" t="s">
        <v>729</v>
      </c>
      <c r="O177" s="111" t="s">
        <v>29</v>
      </c>
      <c r="P177" s="111" t="s">
        <v>86</v>
      </c>
      <c r="Q177" s="111" t="s">
        <v>522</v>
      </c>
      <c r="R177" s="111" t="s">
        <v>9</v>
      </c>
      <c r="S177" s="111"/>
      <c r="T177" s="118"/>
      <c r="U177" s="64">
        <v>42163</v>
      </c>
      <c r="V177" s="158" t="s">
        <v>6</v>
      </c>
      <c r="W177" s="118" t="s">
        <v>120</v>
      </c>
      <c r="X177" s="113"/>
      <c r="Y177" s="117">
        <f t="shared" si="12"/>
        <v>42255</v>
      </c>
      <c r="Z177" s="117">
        <v>42241</v>
      </c>
      <c r="AA177" s="161" t="str">
        <f t="shared" ca="1" si="13"/>
        <v>YES</v>
      </c>
      <c r="AB177" s="113"/>
      <c r="AC177" s="117"/>
      <c r="AD177" s="111"/>
      <c r="AE177" s="111"/>
      <c r="AF177" s="111" t="str">
        <f t="shared" ca="1" si="14"/>
        <v>N/A</v>
      </c>
      <c r="AG177" s="162"/>
      <c r="AH177" s="162"/>
      <c r="AI177" s="164">
        <f t="shared" si="15"/>
        <v>0</v>
      </c>
      <c r="AJ177" s="118" t="s">
        <v>6</v>
      </c>
      <c r="AK177" s="113">
        <v>42605</v>
      </c>
      <c r="AL177" s="118"/>
      <c r="AM177" s="165" t="str">
        <f t="shared" si="16"/>
        <v>15023 ALMASIRAH</v>
      </c>
      <c r="AN177" s="165" t="str">
        <f t="shared" si="17"/>
        <v>15023 ALMASIRAH : noozles arrangement (conflict with head)</v>
      </c>
    </row>
    <row r="178" spans="1:40" s="76" customFormat="1" ht="13" hidden="1" x14ac:dyDescent="0.3">
      <c r="A178" s="122" t="s">
        <v>730</v>
      </c>
      <c r="B178" s="116">
        <v>15024</v>
      </c>
      <c r="C178" s="113" t="s">
        <v>4</v>
      </c>
      <c r="D178" s="117">
        <v>42184</v>
      </c>
      <c r="E178" s="118" t="s">
        <v>319</v>
      </c>
      <c r="F178" s="118" t="s">
        <v>164</v>
      </c>
      <c r="G178" s="111" t="s">
        <v>731</v>
      </c>
      <c r="H178" s="111" t="s">
        <v>732</v>
      </c>
      <c r="I178" s="119" t="s">
        <v>2056</v>
      </c>
      <c r="J178" s="113"/>
      <c r="K178" s="118">
        <v>1944</v>
      </c>
      <c r="L178" s="118">
        <v>8410</v>
      </c>
      <c r="M178" s="118" t="s">
        <v>11</v>
      </c>
      <c r="N178" s="120" t="s">
        <v>733</v>
      </c>
      <c r="O178" s="111" t="s">
        <v>29</v>
      </c>
      <c r="P178" s="111" t="s">
        <v>86</v>
      </c>
      <c r="Q178" s="111" t="s">
        <v>522</v>
      </c>
      <c r="R178" s="111" t="s">
        <v>145</v>
      </c>
      <c r="S178" s="111"/>
      <c r="T178" s="118" t="s">
        <v>734</v>
      </c>
      <c r="U178" s="64">
        <v>42152</v>
      </c>
      <c r="V178" s="158" t="s">
        <v>10</v>
      </c>
      <c r="W178" s="118"/>
      <c r="X178" s="113"/>
      <c r="Y178" s="117">
        <f t="shared" si="12"/>
        <v>42276</v>
      </c>
      <c r="Z178" s="117">
        <v>42257</v>
      </c>
      <c r="AA178" s="161" t="str">
        <f t="shared" ca="1" si="13"/>
        <v>YES</v>
      </c>
      <c r="AB178" s="113"/>
      <c r="AC178" s="117"/>
      <c r="AD178" s="111"/>
      <c r="AE178" s="111"/>
      <c r="AF178" s="111" t="str">
        <f t="shared" ca="1" si="14"/>
        <v>N/A</v>
      </c>
      <c r="AG178" s="162"/>
      <c r="AH178" s="162"/>
      <c r="AI178" s="164">
        <f t="shared" si="15"/>
        <v>0</v>
      </c>
      <c r="AJ178" s="118" t="s">
        <v>6</v>
      </c>
      <c r="AK178" s="113">
        <v>42550</v>
      </c>
      <c r="AL178" s="118" t="s">
        <v>735</v>
      </c>
      <c r="AM178" s="165" t="str">
        <f t="shared" si="16"/>
        <v>15024 Shunangqiao5</v>
      </c>
      <c r="AN178" s="165" t="str">
        <f t="shared" si="17"/>
        <v>15024 Shunangqiao5 : défaut joints EPDM</v>
      </c>
    </row>
    <row r="179" spans="1:40" s="76" customFormat="1" ht="13" hidden="1" x14ac:dyDescent="0.3">
      <c r="A179" s="122" t="s">
        <v>736</v>
      </c>
      <c r="B179" s="116">
        <v>15025</v>
      </c>
      <c r="C179" s="113" t="s">
        <v>4</v>
      </c>
      <c r="D179" s="117">
        <v>42184</v>
      </c>
      <c r="E179" s="118" t="s">
        <v>91</v>
      </c>
      <c r="F179" s="118" t="s">
        <v>164</v>
      </c>
      <c r="G179" s="111" t="s">
        <v>692</v>
      </c>
      <c r="H179" s="111" t="s">
        <v>737</v>
      </c>
      <c r="I179" s="119" t="s">
        <v>2056</v>
      </c>
      <c r="J179" s="113"/>
      <c r="K179" s="118">
        <v>1945</v>
      </c>
      <c r="L179" s="118">
        <v>9918</v>
      </c>
      <c r="M179" s="118" t="s">
        <v>13</v>
      </c>
      <c r="N179" s="120" t="s">
        <v>738</v>
      </c>
      <c r="O179" s="111" t="s">
        <v>29</v>
      </c>
      <c r="P179" s="111" t="s">
        <v>86</v>
      </c>
      <c r="Q179" s="111" t="s">
        <v>522</v>
      </c>
      <c r="R179" s="111" t="s">
        <v>145</v>
      </c>
      <c r="S179" s="111"/>
      <c r="T179" s="118" t="s">
        <v>739</v>
      </c>
      <c r="U179" s="64">
        <v>42159</v>
      </c>
      <c r="V179" s="158" t="s">
        <v>10</v>
      </c>
      <c r="W179" s="118"/>
      <c r="X179" s="113"/>
      <c r="Y179" s="117">
        <f t="shared" si="12"/>
        <v>42276</v>
      </c>
      <c r="Z179" s="117">
        <v>42276</v>
      </c>
      <c r="AA179" s="161" t="str">
        <f t="shared" ca="1" si="13"/>
        <v>YES</v>
      </c>
      <c r="AB179" s="113"/>
      <c r="AC179" s="117"/>
      <c r="AD179" s="111"/>
      <c r="AE179" s="111"/>
      <c r="AF179" s="111" t="str">
        <f t="shared" ca="1" si="14"/>
        <v>N/A</v>
      </c>
      <c r="AG179" s="162"/>
      <c r="AH179" s="162"/>
      <c r="AI179" s="164">
        <f t="shared" si="15"/>
        <v>0</v>
      </c>
      <c r="AJ179" s="118" t="s">
        <v>6</v>
      </c>
      <c r="AK179" s="113">
        <v>42572</v>
      </c>
      <c r="AL179" s="118" t="s">
        <v>740</v>
      </c>
      <c r="AM179" s="165" t="str">
        <f t="shared" si="16"/>
        <v>15025 Central Romana</v>
      </c>
      <c r="AN179" s="165" t="str">
        <f t="shared" si="17"/>
        <v>15025 Central Romana : Pb front piping assembly</v>
      </c>
    </row>
    <row r="180" spans="1:40" s="76" customFormat="1" ht="13" hidden="1" x14ac:dyDescent="0.3">
      <c r="A180" s="122" t="s">
        <v>741</v>
      </c>
      <c r="B180" s="116">
        <v>15026</v>
      </c>
      <c r="C180" s="113" t="s">
        <v>4</v>
      </c>
      <c r="D180" s="117">
        <v>42187</v>
      </c>
      <c r="E180" s="118" t="s">
        <v>335</v>
      </c>
      <c r="F180" s="118" t="s">
        <v>164</v>
      </c>
      <c r="G180" s="111" t="s">
        <v>742</v>
      </c>
      <c r="H180" s="111"/>
      <c r="I180" s="119" t="s">
        <v>2057</v>
      </c>
      <c r="J180" s="113"/>
      <c r="K180" s="118">
        <v>1983</v>
      </c>
      <c r="L180" s="118">
        <v>9574</v>
      </c>
      <c r="M180" s="118" t="s">
        <v>13</v>
      </c>
      <c r="N180" s="120" t="s">
        <v>743</v>
      </c>
      <c r="O180" s="111" t="s">
        <v>29</v>
      </c>
      <c r="P180" s="111" t="s">
        <v>86</v>
      </c>
      <c r="Q180" s="111" t="s">
        <v>605</v>
      </c>
      <c r="R180" s="111" t="s">
        <v>9</v>
      </c>
      <c r="S180" s="111"/>
      <c r="T180" s="118"/>
      <c r="U180" s="64">
        <v>42185</v>
      </c>
      <c r="V180" s="158" t="s">
        <v>10</v>
      </c>
      <c r="W180" s="118"/>
      <c r="X180" s="113"/>
      <c r="Y180" s="117">
        <f t="shared" si="12"/>
        <v>42279</v>
      </c>
      <c r="Z180" s="117">
        <v>42269</v>
      </c>
      <c r="AA180" s="161" t="str">
        <f t="shared" ca="1" si="13"/>
        <v>YES</v>
      </c>
      <c r="AB180" s="113"/>
      <c r="AC180" s="117"/>
      <c r="AD180" s="111"/>
      <c r="AE180" s="111"/>
      <c r="AF180" s="111" t="str">
        <f t="shared" ca="1" si="14"/>
        <v>N/A</v>
      </c>
      <c r="AG180" s="162"/>
      <c r="AH180" s="162"/>
      <c r="AI180" s="164">
        <f t="shared" si="15"/>
        <v>0</v>
      </c>
      <c r="AJ180" s="118" t="s">
        <v>6</v>
      </c>
      <c r="AK180" s="113">
        <v>42628</v>
      </c>
      <c r="AL180" s="118"/>
      <c r="AM180" s="165" t="str">
        <f t="shared" si="16"/>
        <v>15026 Scents</v>
      </c>
      <c r="AN180" s="165" t="str">
        <f t="shared" si="17"/>
        <v>15026 Scents : Wiring and EL drawings updated</v>
      </c>
    </row>
    <row r="181" spans="1:40" s="76" customFormat="1" ht="13" hidden="1" x14ac:dyDescent="0.3">
      <c r="A181" s="122" t="s">
        <v>744</v>
      </c>
      <c r="B181" s="116">
        <v>15027</v>
      </c>
      <c r="C181" s="113" t="s">
        <v>4</v>
      </c>
      <c r="D181" s="117">
        <v>42207</v>
      </c>
      <c r="E181" s="118" t="s">
        <v>221</v>
      </c>
      <c r="F181" s="118" t="s">
        <v>164</v>
      </c>
      <c r="G181" s="111" t="s">
        <v>745</v>
      </c>
      <c r="H181" s="111" t="s">
        <v>746</v>
      </c>
      <c r="I181" s="119" t="s">
        <v>2056</v>
      </c>
      <c r="J181" s="113"/>
      <c r="K181" s="118">
        <v>1953</v>
      </c>
      <c r="L181" s="118">
        <v>9263</v>
      </c>
      <c r="M181" s="118" t="s">
        <v>11</v>
      </c>
      <c r="N181" s="120" t="s">
        <v>747</v>
      </c>
      <c r="O181" s="111" t="s">
        <v>29</v>
      </c>
      <c r="P181" s="111" t="s">
        <v>86</v>
      </c>
      <c r="Q181" s="111" t="s">
        <v>748</v>
      </c>
      <c r="R181" s="111" t="s">
        <v>145</v>
      </c>
      <c r="S181" s="111"/>
      <c r="T181" s="118" t="s">
        <v>749</v>
      </c>
      <c r="U181" s="64">
        <v>42257</v>
      </c>
      <c r="V181" s="158" t="s">
        <v>10</v>
      </c>
      <c r="W181" s="118"/>
      <c r="X181" s="113"/>
      <c r="Y181" s="117">
        <f t="shared" si="12"/>
        <v>42299</v>
      </c>
      <c r="Z181" s="117">
        <v>42291</v>
      </c>
      <c r="AA181" s="161" t="str">
        <f t="shared" ca="1" si="13"/>
        <v>YES</v>
      </c>
      <c r="AB181" s="113"/>
      <c r="AC181" s="117"/>
      <c r="AD181" s="111"/>
      <c r="AE181" s="111"/>
      <c r="AF181" s="111" t="str">
        <f t="shared" ca="1" si="14"/>
        <v>N/A</v>
      </c>
      <c r="AG181" s="162"/>
      <c r="AH181" s="162"/>
      <c r="AI181" s="164">
        <f t="shared" si="15"/>
        <v>0</v>
      </c>
      <c r="AJ181" s="118"/>
      <c r="AK181" s="113" t="s">
        <v>685</v>
      </c>
      <c r="AL181" s="118" t="s">
        <v>750</v>
      </c>
      <c r="AM181" s="165" t="str">
        <f t="shared" si="16"/>
        <v xml:space="preserve">15027 Sunoko </v>
      </c>
      <c r="AN181" s="165" t="str">
        <f t="shared" si="17"/>
        <v>15027 Sunoko  : Default slot distribution grids floor</v>
      </c>
    </row>
    <row r="182" spans="1:40" s="76" customFormat="1" ht="13" hidden="1" x14ac:dyDescent="0.3">
      <c r="A182" s="122" t="s">
        <v>751</v>
      </c>
      <c r="B182" s="116">
        <v>15028</v>
      </c>
      <c r="C182" s="113" t="s">
        <v>4</v>
      </c>
      <c r="D182" s="117">
        <v>42207</v>
      </c>
      <c r="E182" s="118" t="s">
        <v>91</v>
      </c>
      <c r="F182" s="118" t="s">
        <v>164</v>
      </c>
      <c r="G182" s="111" t="s">
        <v>752</v>
      </c>
      <c r="H182" s="111" t="s">
        <v>597</v>
      </c>
      <c r="I182" s="119" t="s">
        <v>2057</v>
      </c>
      <c r="J182" s="113"/>
      <c r="K182" s="118">
        <v>1990</v>
      </c>
      <c r="L182" s="118">
        <v>9838</v>
      </c>
      <c r="M182" s="118" t="s">
        <v>13</v>
      </c>
      <c r="N182" s="120" t="s">
        <v>753</v>
      </c>
      <c r="O182" s="111" t="s">
        <v>29</v>
      </c>
      <c r="P182" s="111" t="s">
        <v>86</v>
      </c>
      <c r="Q182" s="111" t="s">
        <v>522</v>
      </c>
      <c r="R182" s="111" t="s">
        <v>9</v>
      </c>
      <c r="S182" s="111"/>
      <c r="T182" s="118"/>
      <c r="U182" s="64">
        <v>42297</v>
      </c>
      <c r="V182" s="158" t="s">
        <v>10</v>
      </c>
      <c r="W182" s="118"/>
      <c r="X182" s="113"/>
      <c r="Y182" s="117">
        <f t="shared" si="12"/>
        <v>42299</v>
      </c>
      <c r="Z182" s="117">
        <v>42298</v>
      </c>
      <c r="AA182" s="161" t="str">
        <f t="shared" ca="1" si="13"/>
        <v>YES</v>
      </c>
      <c r="AB182" s="113"/>
      <c r="AC182" s="117"/>
      <c r="AD182" s="111"/>
      <c r="AE182" s="111"/>
      <c r="AF182" s="111" t="str">
        <f t="shared" ca="1" si="14"/>
        <v>N/A</v>
      </c>
      <c r="AG182" s="162"/>
      <c r="AH182" s="162"/>
      <c r="AI182" s="164">
        <f t="shared" si="15"/>
        <v>0</v>
      </c>
      <c r="AJ182" s="118" t="s">
        <v>6</v>
      </c>
      <c r="AK182" s="113">
        <v>42572</v>
      </c>
      <c r="AL182" s="118"/>
      <c r="AM182" s="165" t="str">
        <f t="shared" si="16"/>
        <v xml:space="preserve">15028 TetraPak </v>
      </c>
      <c r="AN182" s="165" t="str">
        <f t="shared" si="17"/>
        <v>15028 TetraPak  : SMS diameter fitting</v>
      </c>
    </row>
    <row r="183" spans="1:40" s="76" customFormat="1" ht="13" hidden="1" x14ac:dyDescent="0.3">
      <c r="A183" s="122" t="s">
        <v>754</v>
      </c>
      <c r="B183" s="116">
        <v>15029</v>
      </c>
      <c r="C183" s="113" t="s">
        <v>4</v>
      </c>
      <c r="D183" s="117">
        <v>42213</v>
      </c>
      <c r="E183" s="118" t="s">
        <v>91</v>
      </c>
      <c r="F183" s="118" t="s">
        <v>164</v>
      </c>
      <c r="G183" s="111" t="s">
        <v>543</v>
      </c>
      <c r="H183" s="111" t="s">
        <v>755</v>
      </c>
      <c r="I183" s="119" t="s">
        <v>5</v>
      </c>
      <c r="J183" s="113"/>
      <c r="K183" s="118">
        <v>1969</v>
      </c>
      <c r="L183" s="118" t="s">
        <v>544</v>
      </c>
      <c r="M183" s="118" t="s">
        <v>13</v>
      </c>
      <c r="N183" s="120" t="s">
        <v>756</v>
      </c>
      <c r="O183" s="111" t="s">
        <v>29</v>
      </c>
      <c r="P183" s="111" t="s">
        <v>176</v>
      </c>
      <c r="Q183" s="111"/>
      <c r="R183" s="111" t="s">
        <v>145</v>
      </c>
      <c r="S183" s="111"/>
      <c r="T183" s="118"/>
      <c r="U183" s="64">
        <v>42221</v>
      </c>
      <c r="V183" s="158" t="s">
        <v>6</v>
      </c>
      <c r="W183" s="118" t="s">
        <v>757</v>
      </c>
      <c r="X183" s="113"/>
      <c r="Y183" s="117">
        <f t="shared" si="12"/>
        <v>42305</v>
      </c>
      <c r="Z183" s="117">
        <v>42758</v>
      </c>
      <c r="AA183" s="161" t="str">
        <f t="shared" ca="1" si="13"/>
        <v>NO</v>
      </c>
      <c r="AB183" s="113"/>
      <c r="AC183" s="117">
        <v>42296</v>
      </c>
      <c r="AD183" s="169">
        <v>42370</v>
      </c>
      <c r="AE183" s="172">
        <v>42758</v>
      </c>
      <c r="AF183" s="111" t="str">
        <f t="shared" ca="1" si="14"/>
        <v>NO</v>
      </c>
      <c r="AG183" s="162"/>
      <c r="AH183" s="162"/>
      <c r="AI183" s="164">
        <f t="shared" si="15"/>
        <v>0</v>
      </c>
      <c r="AJ183" s="118"/>
      <c r="AK183" s="113"/>
      <c r="AL183" s="118"/>
      <c r="AM183" s="165" t="str">
        <f t="shared" si="16"/>
        <v>15029 ASR</v>
      </c>
      <c r="AN183" s="165" t="str">
        <f t="shared" si="17"/>
        <v>15029 ASR : Characteristics gasket column</v>
      </c>
    </row>
    <row r="184" spans="1:40" s="76" customFormat="1" ht="13" hidden="1" x14ac:dyDescent="0.3">
      <c r="A184" s="122" t="s">
        <v>758</v>
      </c>
      <c r="B184" s="116">
        <v>15030</v>
      </c>
      <c r="C184" s="113" t="s">
        <v>4</v>
      </c>
      <c r="D184" s="117">
        <v>42216</v>
      </c>
      <c r="E184" s="118" t="s">
        <v>273</v>
      </c>
      <c r="F184" s="118" t="s">
        <v>658</v>
      </c>
      <c r="G184" s="111" t="s">
        <v>759</v>
      </c>
      <c r="H184" s="111" t="s">
        <v>357</v>
      </c>
      <c r="I184" s="119" t="s">
        <v>5</v>
      </c>
      <c r="J184" s="113"/>
      <c r="K184" s="118" t="s">
        <v>454</v>
      </c>
      <c r="L184" s="118" t="s">
        <v>760</v>
      </c>
      <c r="M184" s="118" t="s">
        <v>16</v>
      </c>
      <c r="N184" s="120" t="s">
        <v>761</v>
      </c>
      <c r="O184" s="111" t="s">
        <v>28</v>
      </c>
      <c r="P184" s="111" t="s">
        <v>103</v>
      </c>
      <c r="Q184" s="111" t="s">
        <v>176</v>
      </c>
      <c r="R184" s="111" t="s">
        <v>145</v>
      </c>
      <c r="S184" s="111"/>
      <c r="T184" s="129" t="s">
        <v>357</v>
      </c>
      <c r="U184" s="64">
        <v>42205</v>
      </c>
      <c r="V184" s="158" t="s">
        <v>6</v>
      </c>
      <c r="W184" s="118" t="s">
        <v>273</v>
      </c>
      <c r="X184" s="113"/>
      <c r="Y184" s="117">
        <f t="shared" si="12"/>
        <v>42308</v>
      </c>
      <c r="Z184" s="117">
        <v>42643</v>
      </c>
      <c r="AA184" s="161" t="str">
        <f t="shared" ca="1" si="13"/>
        <v>NO</v>
      </c>
      <c r="AB184" s="113"/>
      <c r="AC184" s="117">
        <v>42202</v>
      </c>
      <c r="AD184" s="111"/>
      <c r="AE184" s="172"/>
      <c r="AF184" s="111" t="str">
        <f t="shared" ca="1" si="14"/>
        <v/>
      </c>
      <c r="AG184" s="162"/>
      <c r="AH184" s="162"/>
      <c r="AI184" s="164">
        <f t="shared" si="15"/>
        <v>0</v>
      </c>
      <c r="AJ184" s="118"/>
      <c r="AK184" s="113" t="s">
        <v>676</v>
      </c>
      <c r="AL184" s="118"/>
      <c r="AM184" s="165" t="str">
        <f t="shared" si="16"/>
        <v>15030 MEIHUA 6</v>
      </c>
      <c r="AN184" s="165" t="str">
        <f t="shared" si="17"/>
        <v>15030 MEIHUA 6 : Abrasion 0,1 µ membrane</v>
      </c>
    </row>
    <row r="185" spans="1:40" s="76" customFormat="1" ht="25.5" hidden="1" x14ac:dyDescent="0.3">
      <c r="A185" s="122" t="s">
        <v>762</v>
      </c>
      <c r="B185" s="116">
        <v>15031</v>
      </c>
      <c r="C185" s="113" t="s">
        <v>4</v>
      </c>
      <c r="D185" s="117">
        <v>42241</v>
      </c>
      <c r="E185" s="118" t="s">
        <v>763</v>
      </c>
      <c r="F185" s="118" t="s">
        <v>164</v>
      </c>
      <c r="G185" s="111" t="s">
        <v>596</v>
      </c>
      <c r="H185" s="111"/>
      <c r="I185" s="119" t="s">
        <v>2057</v>
      </c>
      <c r="J185" s="113"/>
      <c r="K185" s="118">
        <v>1980</v>
      </c>
      <c r="L185" s="118">
        <v>9726</v>
      </c>
      <c r="M185" s="118" t="s">
        <v>13</v>
      </c>
      <c r="N185" s="120" t="s">
        <v>764</v>
      </c>
      <c r="O185" s="111" t="s">
        <v>29</v>
      </c>
      <c r="P185" s="111" t="s">
        <v>86</v>
      </c>
      <c r="Q185" s="111" t="s">
        <v>522</v>
      </c>
      <c r="R185" s="111" t="s">
        <v>15</v>
      </c>
      <c r="S185" s="111"/>
      <c r="T185" s="118"/>
      <c r="U185" s="64">
        <v>42256</v>
      </c>
      <c r="V185" s="158" t="s">
        <v>10</v>
      </c>
      <c r="W185" s="118"/>
      <c r="X185" s="113"/>
      <c r="Y185" s="117">
        <f t="shared" si="12"/>
        <v>42333</v>
      </c>
      <c r="Z185" s="117">
        <v>42286</v>
      </c>
      <c r="AA185" s="161" t="str">
        <f t="shared" ca="1" si="13"/>
        <v>YES</v>
      </c>
      <c r="AB185" s="113"/>
      <c r="AC185" s="117"/>
      <c r="AD185" s="111"/>
      <c r="AE185" s="111"/>
      <c r="AF185" s="111" t="str">
        <f t="shared" ca="1" si="14"/>
        <v>N/A</v>
      </c>
      <c r="AG185" s="162"/>
      <c r="AH185" s="162"/>
      <c r="AI185" s="164">
        <f t="shared" si="15"/>
        <v>0</v>
      </c>
      <c r="AJ185" s="118" t="s">
        <v>6</v>
      </c>
      <c r="AK185" s="113">
        <v>42628</v>
      </c>
      <c r="AL185" s="118"/>
      <c r="AM185" s="165" t="str">
        <f t="shared" si="16"/>
        <v>15031 Conaprole</v>
      </c>
      <c r="AN185" s="165" t="str">
        <f t="shared" si="17"/>
        <v>15031 Conaprole : Communication dysfonctionning - Lack of documents transmission</v>
      </c>
    </row>
    <row r="186" spans="1:40" s="76" customFormat="1" ht="13" hidden="1" x14ac:dyDescent="0.3">
      <c r="A186" s="122" t="s">
        <v>765</v>
      </c>
      <c r="B186" s="116">
        <v>15032</v>
      </c>
      <c r="C186" s="113" t="s">
        <v>4</v>
      </c>
      <c r="D186" s="117">
        <v>42264</v>
      </c>
      <c r="E186" s="118" t="s">
        <v>766</v>
      </c>
      <c r="F186" s="118" t="s">
        <v>164</v>
      </c>
      <c r="G186" s="111" t="s">
        <v>767</v>
      </c>
      <c r="H186" s="111" t="s">
        <v>768</v>
      </c>
      <c r="I186" s="119" t="s">
        <v>2056</v>
      </c>
      <c r="J186" s="113"/>
      <c r="K186" s="118">
        <v>1995</v>
      </c>
      <c r="L186" s="118">
        <v>10268</v>
      </c>
      <c r="M186" s="118" t="s">
        <v>18</v>
      </c>
      <c r="N186" s="120" t="s">
        <v>769</v>
      </c>
      <c r="O186" s="111" t="s">
        <v>29</v>
      </c>
      <c r="P186" s="111" t="s">
        <v>176</v>
      </c>
      <c r="Q186" s="111" t="s">
        <v>8</v>
      </c>
      <c r="R186" s="111" t="s">
        <v>145</v>
      </c>
      <c r="S186" s="111"/>
      <c r="T186" s="118"/>
      <c r="U186" s="66">
        <v>42321</v>
      </c>
      <c r="V186" s="158" t="s">
        <v>10</v>
      </c>
      <c r="W186" s="118"/>
      <c r="X186" s="113"/>
      <c r="Y186" s="117">
        <f t="shared" si="12"/>
        <v>42355</v>
      </c>
      <c r="Z186" s="117">
        <v>42342</v>
      </c>
      <c r="AA186" s="161" t="str">
        <f t="shared" ca="1" si="13"/>
        <v>YES</v>
      </c>
      <c r="AB186" s="113"/>
      <c r="AC186" s="117"/>
      <c r="AD186" s="111"/>
      <c r="AE186" s="111"/>
      <c r="AF186" s="111" t="str">
        <f t="shared" ca="1" si="14"/>
        <v>N/A</v>
      </c>
      <c r="AG186" s="162"/>
      <c r="AH186" s="162"/>
      <c r="AI186" s="164">
        <f t="shared" si="15"/>
        <v>0</v>
      </c>
      <c r="AJ186" s="118" t="s">
        <v>6</v>
      </c>
      <c r="AK186" s="113">
        <v>42682</v>
      </c>
      <c r="AL186" s="118"/>
      <c r="AM186" s="165" t="str">
        <f t="shared" si="16"/>
        <v xml:space="preserve">15032 PT SUJ2 </v>
      </c>
      <c r="AN186" s="165" t="str">
        <f t="shared" si="17"/>
        <v>15032 PT SUJ2  : Nozzles length/sand filter floor thickness</v>
      </c>
    </row>
    <row r="187" spans="1:40" s="76" customFormat="1" ht="13" hidden="1" x14ac:dyDescent="0.3">
      <c r="A187" s="122" t="s">
        <v>770</v>
      </c>
      <c r="B187" s="116">
        <v>15033</v>
      </c>
      <c r="C187" s="113" t="s">
        <v>4</v>
      </c>
      <c r="D187" s="117">
        <v>42269</v>
      </c>
      <c r="E187" s="118" t="s">
        <v>621</v>
      </c>
      <c r="F187" s="118" t="s">
        <v>164</v>
      </c>
      <c r="G187" s="111" t="s">
        <v>771</v>
      </c>
      <c r="H187" s="111"/>
      <c r="I187" s="119" t="s">
        <v>2057</v>
      </c>
      <c r="J187" s="113"/>
      <c r="K187" s="118">
        <v>1990</v>
      </c>
      <c r="L187" s="118">
        <v>9838</v>
      </c>
      <c r="M187" s="118" t="s">
        <v>13</v>
      </c>
      <c r="N187" s="120" t="s">
        <v>772</v>
      </c>
      <c r="O187" s="111" t="s">
        <v>29</v>
      </c>
      <c r="P187" s="111" t="s">
        <v>86</v>
      </c>
      <c r="Q187" s="111" t="s">
        <v>605</v>
      </c>
      <c r="R187" s="111" t="s">
        <v>15</v>
      </c>
      <c r="S187" s="111"/>
      <c r="T187" s="118"/>
      <c r="U187" s="64">
        <v>42320</v>
      </c>
      <c r="V187" s="158" t="s">
        <v>10</v>
      </c>
      <c r="W187" s="118"/>
      <c r="X187" s="113"/>
      <c r="Y187" s="117">
        <f t="shared" si="12"/>
        <v>42360</v>
      </c>
      <c r="Z187" s="117">
        <v>42347</v>
      </c>
      <c r="AA187" s="161" t="str">
        <f t="shared" ca="1" si="13"/>
        <v>YES</v>
      </c>
      <c r="AB187" s="113"/>
      <c r="AC187" s="117"/>
      <c r="AD187" s="111"/>
      <c r="AE187" s="111"/>
      <c r="AF187" s="111" t="str">
        <f t="shared" ca="1" si="14"/>
        <v>N/A</v>
      </c>
      <c r="AG187" s="162"/>
      <c r="AH187" s="162"/>
      <c r="AI187" s="164">
        <f t="shared" si="15"/>
        <v>0</v>
      </c>
      <c r="AJ187" s="118" t="s">
        <v>6</v>
      </c>
      <c r="AK187" s="113">
        <v>42681</v>
      </c>
      <c r="AL187" s="118"/>
      <c r="AM187" s="165" t="str">
        <f t="shared" si="16"/>
        <v>15033 TETRAPACK</v>
      </c>
      <c r="AN187" s="165" t="str">
        <f t="shared" si="17"/>
        <v>15033 TETRAPACK : Erreur dans AU02</v>
      </c>
    </row>
    <row r="188" spans="1:40" s="76" customFormat="1" ht="13" hidden="1" x14ac:dyDescent="0.3">
      <c r="A188" s="122" t="s">
        <v>773</v>
      </c>
      <c r="B188" s="116">
        <v>15034</v>
      </c>
      <c r="C188" s="113" t="s">
        <v>4</v>
      </c>
      <c r="D188" s="117">
        <v>42269</v>
      </c>
      <c r="E188" s="118" t="s">
        <v>621</v>
      </c>
      <c r="F188" s="118" t="s">
        <v>164</v>
      </c>
      <c r="G188" s="111" t="s">
        <v>774</v>
      </c>
      <c r="H188" s="111" t="s">
        <v>775</v>
      </c>
      <c r="I188" s="119" t="s">
        <v>2056</v>
      </c>
      <c r="J188" s="113"/>
      <c r="K188" s="118">
        <v>1980</v>
      </c>
      <c r="L188" s="118">
        <v>9726</v>
      </c>
      <c r="M188" s="118" t="s">
        <v>13</v>
      </c>
      <c r="N188" s="120" t="s">
        <v>776</v>
      </c>
      <c r="O188" s="111" t="s">
        <v>29</v>
      </c>
      <c r="P188" s="111" t="s">
        <v>86</v>
      </c>
      <c r="Q188" s="111" t="s">
        <v>605</v>
      </c>
      <c r="R188" s="111" t="s">
        <v>145</v>
      </c>
      <c r="S188" s="111"/>
      <c r="T188" s="129" t="s">
        <v>775</v>
      </c>
      <c r="U188" s="64">
        <v>42347</v>
      </c>
      <c r="V188" s="158" t="s">
        <v>10</v>
      </c>
      <c r="W188" s="118"/>
      <c r="X188" s="113"/>
      <c r="Y188" s="117">
        <f t="shared" si="12"/>
        <v>42360</v>
      </c>
      <c r="Z188" s="117">
        <v>42347</v>
      </c>
      <c r="AA188" s="161" t="str">
        <f t="shared" ca="1" si="13"/>
        <v>YES</v>
      </c>
      <c r="AB188" s="113"/>
      <c r="AC188" s="117"/>
      <c r="AD188" s="111"/>
      <c r="AE188" s="111"/>
      <c r="AF188" s="111" t="str">
        <f t="shared" ca="1" si="14"/>
        <v>N/A</v>
      </c>
      <c r="AG188" s="162"/>
      <c r="AH188" s="162"/>
      <c r="AI188" s="164">
        <f t="shared" si="15"/>
        <v>0</v>
      </c>
      <c r="AJ188" s="118" t="s">
        <v>6</v>
      </c>
      <c r="AK188" s="113">
        <v>42681</v>
      </c>
      <c r="AL188" s="118"/>
      <c r="AM188" s="165" t="str">
        <f t="shared" si="16"/>
        <v xml:space="preserve">15034 Conaprole </v>
      </c>
      <c r="AN188" s="165" t="str">
        <f t="shared" si="17"/>
        <v>15034 Conaprole  : Non diffusion dernière révision schéma électrique</v>
      </c>
    </row>
    <row r="189" spans="1:40" s="76" customFormat="1" ht="13" hidden="1" x14ac:dyDescent="0.3">
      <c r="A189" s="122" t="s">
        <v>777</v>
      </c>
      <c r="B189" s="116">
        <v>15035</v>
      </c>
      <c r="C189" s="113" t="s">
        <v>4</v>
      </c>
      <c r="D189" s="117">
        <v>42269</v>
      </c>
      <c r="E189" s="118" t="s">
        <v>621</v>
      </c>
      <c r="F189" s="118" t="s">
        <v>164</v>
      </c>
      <c r="G189" s="111" t="s">
        <v>778</v>
      </c>
      <c r="H189" s="111"/>
      <c r="I189" s="119" t="s">
        <v>17</v>
      </c>
      <c r="J189" s="113"/>
      <c r="K189" s="118" t="s">
        <v>454</v>
      </c>
      <c r="L189" s="118" t="s">
        <v>454</v>
      </c>
      <c r="M189" s="118" t="s">
        <v>454</v>
      </c>
      <c r="N189" s="120" t="s">
        <v>779</v>
      </c>
      <c r="O189" s="111" t="s">
        <v>29</v>
      </c>
      <c r="P189" s="111" t="s">
        <v>86</v>
      </c>
      <c r="Q189" s="111" t="s">
        <v>605</v>
      </c>
      <c r="R189" s="111" t="s">
        <v>9</v>
      </c>
      <c r="S189" s="111"/>
      <c r="T189" s="118"/>
      <c r="U189" s="64">
        <v>42349</v>
      </c>
      <c r="V189" s="158" t="s">
        <v>10</v>
      </c>
      <c r="W189" s="118"/>
      <c r="X189" s="113"/>
      <c r="Y189" s="117">
        <f t="shared" si="12"/>
        <v>42360</v>
      </c>
      <c r="Z189" s="117">
        <v>42356</v>
      </c>
      <c r="AA189" s="161" t="str">
        <f t="shared" ca="1" si="13"/>
        <v>YES</v>
      </c>
      <c r="AB189" s="113"/>
      <c r="AC189" s="117"/>
      <c r="AD189" s="111"/>
      <c r="AE189" s="111"/>
      <c r="AF189" s="111" t="str">
        <f t="shared" ca="1" si="14"/>
        <v>N/A</v>
      </c>
      <c r="AG189" s="162"/>
      <c r="AH189" s="162"/>
      <c r="AI189" s="164">
        <f t="shared" si="15"/>
        <v>0</v>
      </c>
      <c r="AJ189" s="118" t="s">
        <v>6</v>
      </c>
      <c r="AK189" s="113">
        <v>42681</v>
      </c>
      <c r="AL189" s="118"/>
      <c r="AM189" s="165" t="str">
        <f t="shared" si="16"/>
        <v>15035 Service AEI</v>
      </c>
      <c r="AN189" s="165" t="str">
        <f t="shared" si="17"/>
        <v>15035 Service AEI : Diffusion client révisions schémas électriques</v>
      </c>
    </row>
    <row r="190" spans="1:40" s="76" customFormat="1" ht="13" hidden="1" x14ac:dyDescent="0.3">
      <c r="A190" s="122" t="s">
        <v>780</v>
      </c>
      <c r="B190" s="116">
        <v>15036</v>
      </c>
      <c r="C190" s="113" t="s">
        <v>4</v>
      </c>
      <c r="D190" s="117">
        <v>42270</v>
      </c>
      <c r="E190" s="118" t="s">
        <v>781</v>
      </c>
      <c r="F190" s="118" t="s">
        <v>164</v>
      </c>
      <c r="G190" s="111" t="s">
        <v>782</v>
      </c>
      <c r="H190" s="111"/>
      <c r="I190" s="119" t="s">
        <v>5</v>
      </c>
      <c r="J190" s="113"/>
      <c r="K190" s="118">
        <v>1970</v>
      </c>
      <c r="L190" s="118">
        <v>9364</v>
      </c>
      <c r="M190" s="118" t="s">
        <v>11</v>
      </c>
      <c r="N190" s="120" t="s">
        <v>783</v>
      </c>
      <c r="O190" s="111" t="s">
        <v>29</v>
      </c>
      <c r="P190" s="111" t="s">
        <v>86</v>
      </c>
      <c r="Q190" s="111" t="s">
        <v>504</v>
      </c>
      <c r="R190" s="111" t="s">
        <v>9</v>
      </c>
      <c r="S190" s="111"/>
      <c r="T190" s="118"/>
      <c r="U190" s="64">
        <v>42270</v>
      </c>
      <c r="V190" s="158" t="s">
        <v>6</v>
      </c>
      <c r="W190" s="118" t="s">
        <v>784</v>
      </c>
      <c r="X190" s="113"/>
      <c r="Y190" s="117">
        <f t="shared" si="12"/>
        <v>42361</v>
      </c>
      <c r="Z190" s="117">
        <v>43110</v>
      </c>
      <c r="AA190" s="161" t="str">
        <f t="shared" ca="1" si="13"/>
        <v>NO</v>
      </c>
      <c r="AB190" s="113"/>
      <c r="AC190" s="117">
        <v>42263</v>
      </c>
      <c r="AD190" s="169">
        <v>42430</v>
      </c>
      <c r="AE190" s="172">
        <v>43110</v>
      </c>
      <c r="AF190" s="111" t="str">
        <f t="shared" ca="1" si="14"/>
        <v>NO</v>
      </c>
      <c r="AG190" s="162"/>
      <c r="AH190" s="162"/>
      <c r="AI190" s="164">
        <f t="shared" si="15"/>
        <v>0</v>
      </c>
      <c r="AJ190" s="118" t="s">
        <v>454</v>
      </c>
      <c r="AK190" s="113"/>
      <c r="AL190" s="118" t="s">
        <v>785</v>
      </c>
      <c r="AM190" s="165" t="str">
        <f t="shared" si="16"/>
        <v>15036 BBCA</v>
      </c>
      <c r="AN190" s="165" t="str">
        <f t="shared" si="17"/>
        <v>15036 BBCA : contractual performance not achieved (CA recovery)</v>
      </c>
    </row>
    <row r="191" spans="1:40" s="76" customFormat="1" ht="25.5" hidden="1" x14ac:dyDescent="0.3">
      <c r="A191" s="122" t="s">
        <v>786</v>
      </c>
      <c r="B191" s="116">
        <v>15037</v>
      </c>
      <c r="C191" s="113" t="s">
        <v>4</v>
      </c>
      <c r="D191" s="117">
        <v>42275</v>
      </c>
      <c r="E191" s="118" t="s">
        <v>787</v>
      </c>
      <c r="F191" s="118" t="s">
        <v>691</v>
      </c>
      <c r="G191" s="111" t="s">
        <v>788</v>
      </c>
      <c r="H191" s="111"/>
      <c r="I191" s="119" t="s">
        <v>2057</v>
      </c>
      <c r="J191" s="113"/>
      <c r="K191" s="118" t="s">
        <v>454</v>
      </c>
      <c r="L191" s="118">
        <v>20.113499999999998</v>
      </c>
      <c r="M191" s="118" t="s">
        <v>11</v>
      </c>
      <c r="N191" s="120" t="s">
        <v>789</v>
      </c>
      <c r="O191" s="111" t="s">
        <v>29</v>
      </c>
      <c r="P191" s="111" t="s">
        <v>157</v>
      </c>
      <c r="Q191" s="111" t="s">
        <v>613</v>
      </c>
      <c r="R191" s="111" t="s">
        <v>15</v>
      </c>
      <c r="S191" s="111"/>
      <c r="T191" s="118"/>
      <c r="U191" s="64">
        <v>42325</v>
      </c>
      <c r="V191" s="158" t="s">
        <v>10</v>
      </c>
      <c r="W191" s="118"/>
      <c r="X191" s="113"/>
      <c r="Y191" s="117">
        <f t="shared" si="12"/>
        <v>42366</v>
      </c>
      <c r="Z191" s="117">
        <v>42342</v>
      </c>
      <c r="AA191" s="161" t="str">
        <f t="shared" ca="1" si="13"/>
        <v>YES</v>
      </c>
      <c r="AB191" s="113"/>
      <c r="AC191" s="117"/>
      <c r="AD191" s="111"/>
      <c r="AE191" s="111"/>
      <c r="AF191" s="111" t="str">
        <f t="shared" ca="1" si="14"/>
        <v>N/A</v>
      </c>
      <c r="AG191" s="162"/>
      <c r="AH191" s="162"/>
      <c r="AI191" s="164">
        <f t="shared" si="15"/>
        <v>0</v>
      </c>
      <c r="AJ191" s="118" t="s">
        <v>6</v>
      </c>
      <c r="AK191" s="113">
        <v>42683</v>
      </c>
      <c r="AL191" s="118"/>
      <c r="AM191" s="165" t="str">
        <f t="shared" si="16"/>
        <v>15037 Noram (DFI)</v>
      </c>
      <c r="AN191" s="165" t="str">
        <f t="shared" si="17"/>
        <v>15037 Noram (DFI) : Erreur dans formule de calcul du Prix de revient des internes</v>
      </c>
    </row>
    <row r="192" spans="1:40" s="76" customFormat="1" ht="13" hidden="1" x14ac:dyDescent="0.3">
      <c r="A192" s="122" t="s">
        <v>790</v>
      </c>
      <c r="B192" s="116">
        <v>15038</v>
      </c>
      <c r="C192" s="113" t="s">
        <v>4</v>
      </c>
      <c r="D192" s="117">
        <v>42279</v>
      </c>
      <c r="E192" s="118" t="s">
        <v>82</v>
      </c>
      <c r="F192" s="118" t="s">
        <v>658</v>
      </c>
      <c r="G192" s="111" t="s">
        <v>791</v>
      </c>
      <c r="H192" s="111" t="s">
        <v>309</v>
      </c>
      <c r="I192" s="119" t="s">
        <v>2056</v>
      </c>
      <c r="J192" s="113"/>
      <c r="K192" s="118" t="s">
        <v>454</v>
      </c>
      <c r="L192" s="118" t="s">
        <v>792</v>
      </c>
      <c r="M192" s="118" t="s">
        <v>13</v>
      </c>
      <c r="N192" s="120" t="s">
        <v>793</v>
      </c>
      <c r="O192" s="111" t="s">
        <v>28</v>
      </c>
      <c r="P192" s="111" t="s">
        <v>103</v>
      </c>
      <c r="Q192" s="111" t="s">
        <v>794</v>
      </c>
      <c r="R192" s="111" t="s">
        <v>145</v>
      </c>
      <c r="S192" s="111"/>
      <c r="T192" s="129" t="s">
        <v>309</v>
      </c>
      <c r="U192" s="64">
        <v>42279</v>
      </c>
      <c r="V192" s="158" t="s">
        <v>10</v>
      </c>
      <c r="W192" s="118"/>
      <c r="X192" s="113"/>
      <c r="Y192" s="117">
        <f t="shared" si="12"/>
        <v>42371</v>
      </c>
      <c r="Z192" s="117">
        <v>42360</v>
      </c>
      <c r="AA192" s="161" t="str">
        <f t="shared" ca="1" si="13"/>
        <v>YES</v>
      </c>
      <c r="AB192" s="113"/>
      <c r="AC192" s="117"/>
      <c r="AD192" s="111"/>
      <c r="AE192" s="111"/>
      <c r="AF192" s="111" t="str">
        <f t="shared" ca="1" si="14"/>
        <v>N/A</v>
      </c>
      <c r="AG192" s="162"/>
      <c r="AH192" s="162"/>
      <c r="AI192" s="164">
        <f t="shared" si="15"/>
        <v>0</v>
      </c>
      <c r="AJ192" s="118" t="s">
        <v>6</v>
      </c>
      <c r="AK192" s="113">
        <v>42549</v>
      </c>
      <c r="AL192" s="118"/>
      <c r="AM192" s="165" t="str">
        <f t="shared" si="16"/>
        <v>15038 Friesland Foods</v>
      </c>
      <c r="AN192" s="165" t="str">
        <f t="shared" si="17"/>
        <v>15038 Friesland Foods : Mauvaise résine livrée dans 2 sacs</v>
      </c>
    </row>
    <row r="193" spans="1:40" s="76" customFormat="1" ht="13" hidden="1" x14ac:dyDescent="0.3">
      <c r="A193" s="122" t="s">
        <v>795</v>
      </c>
      <c r="B193" s="116">
        <v>15039</v>
      </c>
      <c r="C193" s="113" t="s">
        <v>4</v>
      </c>
      <c r="D193" s="117">
        <v>42279</v>
      </c>
      <c r="E193" s="118" t="s">
        <v>796</v>
      </c>
      <c r="F193" s="118" t="s">
        <v>420</v>
      </c>
      <c r="G193" s="111" t="s">
        <v>797</v>
      </c>
      <c r="H193" s="111" t="s">
        <v>798</v>
      </c>
      <c r="I193" s="119" t="s">
        <v>2057</v>
      </c>
      <c r="J193" s="113"/>
      <c r="K193" s="118" t="s">
        <v>454</v>
      </c>
      <c r="L193" s="118" t="s">
        <v>799</v>
      </c>
      <c r="M193" s="118" t="s">
        <v>16</v>
      </c>
      <c r="N193" s="120" t="s">
        <v>800</v>
      </c>
      <c r="O193" s="111" t="s">
        <v>420</v>
      </c>
      <c r="P193" s="111" t="s">
        <v>80</v>
      </c>
      <c r="Q193" s="111" t="s">
        <v>801</v>
      </c>
      <c r="R193" s="111" t="s">
        <v>9</v>
      </c>
      <c r="S193" s="111"/>
      <c r="T193" s="118"/>
      <c r="U193" s="64">
        <v>42317</v>
      </c>
      <c r="V193" s="158" t="s">
        <v>6</v>
      </c>
      <c r="W193" s="118" t="s">
        <v>258</v>
      </c>
      <c r="X193" s="113"/>
      <c r="Y193" s="117">
        <f t="shared" si="12"/>
        <v>42371</v>
      </c>
      <c r="Z193" s="117">
        <v>42347</v>
      </c>
      <c r="AA193" s="161" t="str">
        <f t="shared" ca="1" si="13"/>
        <v>YES</v>
      </c>
      <c r="AB193" s="113"/>
      <c r="AC193" s="117"/>
      <c r="AD193" s="111"/>
      <c r="AE193" s="111"/>
      <c r="AF193" s="111" t="str">
        <f t="shared" ca="1" si="14"/>
        <v>N/A</v>
      </c>
      <c r="AG193" s="162"/>
      <c r="AH193" s="162"/>
      <c r="AI193" s="164">
        <f t="shared" si="15"/>
        <v>0</v>
      </c>
      <c r="AJ193" s="118" t="s">
        <v>6</v>
      </c>
      <c r="AK193" s="113">
        <v>42499</v>
      </c>
      <c r="AL193" s="118"/>
      <c r="AM193" s="165" t="str">
        <f t="shared" si="16"/>
        <v>15039 CAPUA</v>
      </c>
      <c r="AN193" s="165" t="str">
        <f t="shared" si="17"/>
        <v>15039 CAPUA : Location pilote même période à 2 clients</v>
      </c>
    </row>
    <row r="194" spans="1:40" s="76" customFormat="1" ht="25.5" hidden="1" x14ac:dyDescent="0.3">
      <c r="A194" s="122" t="s">
        <v>802</v>
      </c>
      <c r="B194" s="116">
        <v>15040</v>
      </c>
      <c r="C194" s="113" t="s">
        <v>4</v>
      </c>
      <c r="D194" s="117">
        <v>42282</v>
      </c>
      <c r="E194" s="118" t="s">
        <v>290</v>
      </c>
      <c r="F194" s="118" t="s">
        <v>420</v>
      </c>
      <c r="G194" s="111" t="s">
        <v>803</v>
      </c>
      <c r="H194" s="111" t="s">
        <v>804</v>
      </c>
      <c r="I194" s="119" t="s">
        <v>2056</v>
      </c>
      <c r="J194" s="113"/>
      <c r="K194" s="118" t="s">
        <v>454</v>
      </c>
      <c r="L194" s="118"/>
      <c r="M194" s="118" t="s">
        <v>454</v>
      </c>
      <c r="N194" s="120" t="s">
        <v>805</v>
      </c>
      <c r="O194" s="111" t="s">
        <v>420</v>
      </c>
      <c r="P194" s="111" t="s">
        <v>80</v>
      </c>
      <c r="Q194" s="111" t="s">
        <v>806</v>
      </c>
      <c r="R194" s="111" t="s">
        <v>145</v>
      </c>
      <c r="S194" s="111"/>
      <c r="T194" s="129" t="s">
        <v>807</v>
      </c>
      <c r="U194" s="64">
        <v>42278</v>
      </c>
      <c r="V194" s="158" t="s">
        <v>10</v>
      </c>
      <c r="W194" s="118"/>
      <c r="X194" s="113"/>
      <c r="Y194" s="117">
        <f t="shared" si="12"/>
        <v>42374</v>
      </c>
      <c r="Z194" s="117">
        <v>42356</v>
      </c>
      <c r="AA194" s="161" t="str">
        <f t="shared" ca="1" si="13"/>
        <v>YES</v>
      </c>
      <c r="AB194" s="113"/>
      <c r="AC194" s="117"/>
      <c r="AD194" s="111"/>
      <c r="AE194" s="111"/>
      <c r="AF194" s="111" t="str">
        <f t="shared" ca="1" si="14"/>
        <v>N/A</v>
      </c>
      <c r="AG194" s="162"/>
      <c r="AH194" s="162"/>
      <c r="AI194" s="164">
        <f t="shared" si="15"/>
        <v>0</v>
      </c>
      <c r="AJ194" s="118" t="s">
        <v>6</v>
      </c>
      <c r="AK194" s="113">
        <v>42499</v>
      </c>
      <c r="AL194" s="118"/>
      <c r="AM194" s="165" t="str">
        <f t="shared" si="16"/>
        <v>15040 Service R&amp;D</v>
      </c>
      <c r="AN194" s="165" t="str">
        <f t="shared" si="17"/>
        <v>15040 Service R&amp;D : Coupure électrique lors de l'intervention sur sorbonnes labo</v>
      </c>
    </row>
    <row r="195" spans="1:40" s="76" customFormat="1" ht="13" hidden="1" x14ac:dyDescent="0.3">
      <c r="A195" s="122" t="s">
        <v>808</v>
      </c>
      <c r="B195" s="116">
        <v>15041</v>
      </c>
      <c r="C195" s="113" t="s">
        <v>4</v>
      </c>
      <c r="D195" s="117">
        <v>42283</v>
      </c>
      <c r="E195" s="118" t="s">
        <v>82</v>
      </c>
      <c r="F195" s="118" t="s">
        <v>658</v>
      </c>
      <c r="G195" s="111" t="s">
        <v>713</v>
      </c>
      <c r="H195" s="111" t="s">
        <v>460</v>
      </c>
      <c r="I195" s="119" t="s">
        <v>5</v>
      </c>
      <c r="J195" s="113"/>
      <c r="K195" s="118" t="s">
        <v>454</v>
      </c>
      <c r="L195" s="118" t="s">
        <v>809</v>
      </c>
      <c r="M195" s="118" t="s">
        <v>18</v>
      </c>
      <c r="N195" s="120" t="s">
        <v>810</v>
      </c>
      <c r="O195" s="111" t="s">
        <v>28</v>
      </c>
      <c r="P195" s="111" t="s">
        <v>103</v>
      </c>
      <c r="Q195" s="111"/>
      <c r="R195" s="111" t="s">
        <v>145</v>
      </c>
      <c r="S195" s="111"/>
      <c r="T195" s="118" t="s">
        <v>460</v>
      </c>
      <c r="U195" s="64">
        <v>42346</v>
      </c>
      <c r="V195" s="158" t="s">
        <v>6</v>
      </c>
      <c r="W195" s="118" t="s">
        <v>99</v>
      </c>
      <c r="X195" s="113"/>
      <c r="Y195" s="117">
        <f t="shared" si="12"/>
        <v>42375</v>
      </c>
      <c r="Z195" s="117">
        <v>42423</v>
      </c>
      <c r="AA195" s="161" t="str">
        <f t="shared" ca="1" si="13"/>
        <v>NO</v>
      </c>
      <c r="AB195" s="113"/>
      <c r="AC195" s="117"/>
      <c r="AD195" s="111"/>
      <c r="AE195" s="111"/>
      <c r="AF195" s="111" t="str">
        <f t="shared" ca="1" si="14"/>
        <v/>
      </c>
      <c r="AG195" s="162"/>
      <c r="AH195" s="162"/>
      <c r="AI195" s="164">
        <f t="shared" si="15"/>
        <v>0</v>
      </c>
      <c r="AJ195" s="118" t="s">
        <v>6</v>
      </c>
      <c r="AK195" s="113">
        <v>42681</v>
      </c>
      <c r="AL195" s="118" t="s">
        <v>811</v>
      </c>
      <c r="AM195" s="165" t="str">
        <f t="shared" si="16"/>
        <v>15041 SEDAMYL</v>
      </c>
      <c r="AN195" s="165" t="str">
        <f t="shared" si="17"/>
        <v>15041 SEDAMYL : Baisse performances membranes NF (skid N°2)</v>
      </c>
    </row>
    <row r="196" spans="1:40" s="76" customFormat="1" ht="13" hidden="1" x14ac:dyDescent="0.3">
      <c r="A196" s="122" t="s">
        <v>812</v>
      </c>
      <c r="B196" s="116">
        <v>15042</v>
      </c>
      <c r="C196" s="113" t="s">
        <v>4</v>
      </c>
      <c r="D196" s="117">
        <v>42306</v>
      </c>
      <c r="E196" s="118" t="s">
        <v>813</v>
      </c>
      <c r="F196" s="118" t="s">
        <v>691</v>
      </c>
      <c r="G196" s="111" t="s">
        <v>814</v>
      </c>
      <c r="H196" s="111"/>
      <c r="I196" s="119" t="s">
        <v>2057</v>
      </c>
      <c r="J196" s="113"/>
      <c r="K196" s="118">
        <v>2002</v>
      </c>
      <c r="L196" s="118">
        <v>10510</v>
      </c>
      <c r="M196" s="118" t="s">
        <v>672</v>
      </c>
      <c r="N196" s="120" t="s">
        <v>815</v>
      </c>
      <c r="O196" s="111" t="s">
        <v>29</v>
      </c>
      <c r="P196" s="111" t="s">
        <v>86</v>
      </c>
      <c r="Q196" s="111" t="s">
        <v>816</v>
      </c>
      <c r="R196" s="111" t="s">
        <v>15</v>
      </c>
      <c r="S196" s="111"/>
      <c r="T196" s="118"/>
      <c r="U196" s="64"/>
      <c r="V196" s="158" t="s">
        <v>10</v>
      </c>
      <c r="W196" s="118"/>
      <c r="X196" s="113"/>
      <c r="Y196" s="117">
        <f t="shared" si="12"/>
        <v>42398</v>
      </c>
      <c r="Z196" s="117">
        <v>42380</v>
      </c>
      <c r="AA196" s="161" t="str">
        <f t="shared" ca="1" si="13"/>
        <v>YES</v>
      </c>
      <c r="AB196" s="113"/>
      <c r="AC196" s="117"/>
      <c r="AD196" s="111"/>
      <c r="AE196" s="111"/>
      <c r="AF196" s="111" t="str">
        <f t="shared" ca="1" si="14"/>
        <v>N/A</v>
      </c>
      <c r="AG196" s="162"/>
      <c r="AH196" s="162"/>
      <c r="AI196" s="164">
        <f t="shared" si="15"/>
        <v>0</v>
      </c>
      <c r="AJ196" s="118"/>
      <c r="AK196" s="113" t="s">
        <v>685</v>
      </c>
      <c r="AL196" s="118"/>
      <c r="AM196" s="165" t="str">
        <f t="shared" si="16"/>
        <v>15042 Al Nouran</v>
      </c>
      <c r="AN196" s="165" t="str">
        <f t="shared" si="17"/>
        <v>15042 Al Nouran : Surdimensionnement échangeur</v>
      </c>
    </row>
    <row r="197" spans="1:40" s="76" customFormat="1" ht="13" hidden="1" x14ac:dyDescent="0.3">
      <c r="A197" s="122" t="s">
        <v>817</v>
      </c>
      <c r="B197" s="116">
        <v>15043</v>
      </c>
      <c r="C197" s="113" t="s">
        <v>4</v>
      </c>
      <c r="D197" s="117">
        <v>42331</v>
      </c>
      <c r="E197" s="118" t="s">
        <v>577</v>
      </c>
      <c r="F197" s="118" t="s">
        <v>420</v>
      </c>
      <c r="G197" s="111" t="s">
        <v>818</v>
      </c>
      <c r="H197" s="111"/>
      <c r="I197" s="119" t="s">
        <v>2058</v>
      </c>
      <c r="J197" s="113"/>
      <c r="K197" s="118" t="s">
        <v>454</v>
      </c>
      <c r="L197" s="118" t="s">
        <v>819</v>
      </c>
      <c r="M197" s="118" t="s">
        <v>454</v>
      </c>
      <c r="N197" s="120" t="s">
        <v>820</v>
      </c>
      <c r="O197" s="111" t="s">
        <v>420</v>
      </c>
      <c r="P197" s="111" t="s">
        <v>80</v>
      </c>
      <c r="Q197" s="111" t="s">
        <v>81</v>
      </c>
      <c r="R197" s="111" t="s">
        <v>15</v>
      </c>
      <c r="S197" s="111"/>
      <c r="T197" s="118"/>
      <c r="U197" s="64">
        <v>42314</v>
      </c>
      <c r="V197" s="158" t="s">
        <v>6</v>
      </c>
      <c r="W197" s="118" t="s">
        <v>577</v>
      </c>
      <c r="X197" s="113"/>
      <c r="Y197" s="117">
        <f t="shared" si="12"/>
        <v>42423</v>
      </c>
      <c r="Z197" s="117">
        <v>42375</v>
      </c>
      <c r="AA197" s="161" t="str">
        <f t="shared" ca="1" si="13"/>
        <v>YES</v>
      </c>
      <c r="AB197" s="113"/>
      <c r="AC197" s="117"/>
      <c r="AD197" s="111"/>
      <c r="AE197" s="111"/>
      <c r="AF197" s="111" t="str">
        <f t="shared" ca="1" si="14"/>
        <v>N/A</v>
      </c>
      <c r="AG197" s="162"/>
      <c r="AH197" s="162"/>
      <c r="AI197" s="164">
        <f t="shared" si="15"/>
        <v>0</v>
      </c>
      <c r="AJ197" s="118" t="s">
        <v>6</v>
      </c>
      <c r="AK197" s="113">
        <v>42499</v>
      </c>
      <c r="AL197" s="118"/>
      <c r="AM197" s="165" t="str">
        <f t="shared" si="16"/>
        <v>15043 Unilever</v>
      </c>
      <c r="AN197" s="165" t="str">
        <f t="shared" si="17"/>
        <v>15043 Unilever : Renversement IBC de KOH</v>
      </c>
    </row>
    <row r="198" spans="1:40" s="76" customFormat="1" ht="13" hidden="1" x14ac:dyDescent="0.3">
      <c r="A198" s="122" t="s">
        <v>821</v>
      </c>
      <c r="B198" s="116">
        <v>15044</v>
      </c>
      <c r="C198" s="113" t="s">
        <v>4</v>
      </c>
      <c r="D198" s="117">
        <v>42332</v>
      </c>
      <c r="E198" s="118" t="s">
        <v>636</v>
      </c>
      <c r="F198" s="118" t="s">
        <v>822</v>
      </c>
      <c r="G198" s="111" t="s">
        <v>823</v>
      </c>
      <c r="H198" s="111"/>
      <c r="I198" s="119" t="s">
        <v>5</v>
      </c>
      <c r="J198" s="113"/>
      <c r="K198" s="118">
        <v>1965</v>
      </c>
      <c r="L198" s="118">
        <v>9245</v>
      </c>
      <c r="M198" s="118" t="s">
        <v>672</v>
      </c>
      <c r="N198" s="120" t="s">
        <v>824</v>
      </c>
      <c r="O198" s="111" t="s">
        <v>28</v>
      </c>
      <c r="P198" s="111"/>
      <c r="Q198" s="111"/>
      <c r="R198" s="111" t="s">
        <v>9</v>
      </c>
      <c r="S198" s="111"/>
      <c r="T198" s="118"/>
      <c r="U198" s="64"/>
      <c r="V198" s="158" t="s">
        <v>6</v>
      </c>
      <c r="W198" s="118" t="s">
        <v>160</v>
      </c>
      <c r="X198" s="113"/>
      <c r="Y198" s="117">
        <f t="shared" si="12"/>
        <v>42424</v>
      </c>
      <c r="Z198" s="117">
        <v>42683</v>
      </c>
      <c r="AA198" s="161" t="str">
        <f t="shared" ca="1" si="13"/>
        <v>NO</v>
      </c>
      <c r="AB198" s="113"/>
      <c r="AC198" s="117"/>
      <c r="AD198" s="111"/>
      <c r="AE198" s="111"/>
      <c r="AF198" s="111" t="str">
        <f t="shared" ca="1" si="14"/>
        <v/>
      </c>
      <c r="AG198" s="162"/>
      <c r="AH198" s="162"/>
      <c r="AI198" s="164">
        <f t="shared" si="15"/>
        <v>0</v>
      </c>
      <c r="AJ198" s="118"/>
      <c r="AK198" s="113" t="s">
        <v>676</v>
      </c>
      <c r="AL198" s="118"/>
      <c r="AM198" s="165" t="str">
        <f t="shared" si="16"/>
        <v>15044 Friesland Foods GOS4</v>
      </c>
      <c r="AN198" s="165" t="str">
        <f t="shared" si="17"/>
        <v>15044 Friesland Foods GOS4 : Développement biofilm et bactérie</v>
      </c>
    </row>
    <row r="199" spans="1:40" s="76" customFormat="1" ht="13" hidden="1" x14ac:dyDescent="0.3">
      <c r="A199" s="122" t="s">
        <v>825</v>
      </c>
      <c r="B199" s="116">
        <v>15045</v>
      </c>
      <c r="C199" s="113" t="s">
        <v>4</v>
      </c>
      <c r="D199" s="117">
        <v>42338</v>
      </c>
      <c r="E199" s="118" t="s">
        <v>826</v>
      </c>
      <c r="F199" s="118" t="s">
        <v>164</v>
      </c>
      <c r="G199" s="111" t="s">
        <v>827</v>
      </c>
      <c r="H199" s="111" t="s">
        <v>828</v>
      </c>
      <c r="I199" s="119" t="s">
        <v>2056</v>
      </c>
      <c r="J199" s="113"/>
      <c r="K199" s="118">
        <v>1992</v>
      </c>
      <c r="L199" s="118">
        <v>10129</v>
      </c>
      <c r="M199" s="118" t="s">
        <v>13</v>
      </c>
      <c r="N199" s="120" t="s">
        <v>829</v>
      </c>
      <c r="O199" s="111" t="s">
        <v>29</v>
      </c>
      <c r="P199" s="111" t="s">
        <v>86</v>
      </c>
      <c r="Q199" s="111" t="s">
        <v>830</v>
      </c>
      <c r="R199" s="111" t="s">
        <v>145</v>
      </c>
      <c r="S199" s="111"/>
      <c r="T199" s="129" t="s">
        <v>831</v>
      </c>
      <c r="U199" s="64">
        <v>42411</v>
      </c>
      <c r="V199" s="158" t="s">
        <v>10</v>
      </c>
      <c r="W199" s="118"/>
      <c r="X199" s="113"/>
      <c r="Y199" s="117">
        <f t="shared" ref="Y199:Y262" si="18">EDATE(D199,3)</f>
        <v>42429</v>
      </c>
      <c r="Z199" s="117">
        <v>42423</v>
      </c>
      <c r="AA199" s="161" t="str">
        <f t="shared" ca="1" si="13"/>
        <v>YES</v>
      </c>
      <c r="AB199" s="113"/>
      <c r="AC199" s="117"/>
      <c r="AD199" s="111"/>
      <c r="AE199" s="111"/>
      <c r="AF199" s="111" t="str">
        <f t="shared" ca="1" si="14"/>
        <v>N/A</v>
      </c>
      <c r="AG199" s="162"/>
      <c r="AH199" s="162"/>
      <c r="AI199" s="164">
        <f t="shared" si="15"/>
        <v>0</v>
      </c>
      <c r="AJ199" s="118" t="s">
        <v>6</v>
      </c>
      <c r="AK199" s="113">
        <v>42689</v>
      </c>
      <c r="AL199" s="118"/>
      <c r="AM199" s="165" t="str">
        <f t="shared" si="16"/>
        <v>15045 Almasirah</v>
      </c>
      <c r="AN199" s="165" t="str">
        <f t="shared" si="17"/>
        <v xml:space="preserve">15045 Almasirah : Ecart puissance moteur transmis </v>
      </c>
    </row>
    <row r="200" spans="1:40" s="76" customFormat="1" ht="13" hidden="1" x14ac:dyDescent="0.3">
      <c r="A200" s="122" t="s">
        <v>832</v>
      </c>
      <c r="B200" s="116">
        <v>15046</v>
      </c>
      <c r="C200" s="113" t="s">
        <v>4</v>
      </c>
      <c r="D200" s="117">
        <v>42338</v>
      </c>
      <c r="E200" s="118" t="s">
        <v>577</v>
      </c>
      <c r="F200" s="118" t="s">
        <v>420</v>
      </c>
      <c r="G200" s="111" t="s">
        <v>591</v>
      </c>
      <c r="H200" s="111"/>
      <c r="I200" s="119" t="s">
        <v>2058</v>
      </c>
      <c r="J200" s="113"/>
      <c r="K200" s="118" t="s">
        <v>454</v>
      </c>
      <c r="L200" s="118" t="s">
        <v>833</v>
      </c>
      <c r="M200" s="118" t="s">
        <v>454</v>
      </c>
      <c r="N200" s="120" t="s">
        <v>834</v>
      </c>
      <c r="O200" s="111" t="s">
        <v>420</v>
      </c>
      <c r="P200" s="111" t="s">
        <v>80</v>
      </c>
      <c r="Q200" s="111"/>
      <c r="R200" s="111" t="s">
        <v>87</v>
      </c>
      <c r="S200" s="111"/>
      <c r="T200" s="118"/>
      <c r="U200" s="64">
        <v>42277</v>
      </c>
      <c r="V200" s="158" t="s">
        <v>6</v>
      </c>
      <c r="W200" s="118" t="s">
        <v>577</v>
      </c>
      <c r="X200" s="113"/>
      <c r="Y200" s="117">
        <f t="shared" si="18"/>
        <v>42429</v>
      </c>
      <c r="Z200" s="117">
        <v>42395</v>
      </c>
      <c r="AA200" s="161" t="str">
        <f t="shared" ref="AA200:AA263" ca="1" si="19">IF(Z200="",IF(TODAY()&gt;Y200,"NO","YES"),IF(Z200&gt;Y200,"NO",IF(Z200&lt;Y200,"YES",IF(Y200=Z200,"YES","N/A"))))</f>
        <v>YES</v>
      </c>
      <c r="AB200" s="113"/>
      <c r="AC200" s="117"/>
      <c r="AD200" s="111"/>
      <c r="AE200" s="111"/>
      <c r="AF200" s="111" t="str">
        <f t="shared" ref="AF200:AF263" ca="1" si="20">IF(I200="Claim",IF(AD200="","",IF(AE200="",IF(TODAY()&gt;AD200,"NO","YES"),IF(AE200&gt;AD200,"NO",IF(AE200&lt;AD200,"YES",IF(AD200=AE200,"YES","N/A"))))),"N/A")</f>
        <v>N/A</v>
      </c>
      <c r="AG200" s="162"/>
      <c r="AH200" s="162"/>
      <c r="AI200" s="164">
        <f t="shared" ref="AI200:AI263" si="21">AH200+AG200</f>
        <v>0</v>
      </c>
      <c r="AJ200" s="118" t="s">
        <v>6</v>
      </c>
      <c r="AK200" s="113">
        <v>42499</v>
      </c>
      <c r="AL200" s="118"/>
      <c r="AM200" s="165" t="str">
        <f t="shared" ref="AM200:AM263" si="22">CONCATENATE(B200," ",G200)</f>
        <v xml:space="preserve">15046 Tanichem </v>
      </c>
      <c r="AN200" s="165" t="str">
        <f t="shared" ref="AN200:AN263" si="23">CONCATENATE(B200," ",G200," : ",N200)</f>
        <v>15046 Tanichem  : Explosion Erlenmeyer</v>
      </c>
    </row>
    <row r="201" spans="1:40" s="76" customFormat="1" ht="13" hidden="1" x14ac:dyDescent="0.3">
      <c r="A201" s="122" t="s">
        <v>835</v>
      </c>
      <c r="B201" s="116">
        <v>15047</v>
      </c>
      <c r="C201" s="113" t="s">
        <v>4</v>
      </c>
      <c r="D201" s="117">
        <v>42359</v>
      </c>
      <c r="E201" s="118" t="s">
        <v>82</v>
      </c>
      <c r="F201" s="118" t="s">
        <v>658</v>
      </c>
      <c r="G201" s="111" t="s">
        <v>836</v>
      </c>
      <c r="H201" s="111" t="s">
        <v>837</v>
      </c>
      <c r="I201" s="119" t="s">
        <v>2057</v>
      </c>
      <c r="J201" s="113" t="s">
        <v>6</v>
      </c>
      <c r="K201" s="118">
        <v>1876</v>
      </c>
      <c r="L201" s="118">
        <v>7690</v>
      </c>
      <c r="M201" s="118" t="s">
        <v>672</v>
      </c>
      <c r="N201" s="120" t="s">
        <v>838</v>
      </c>
      <c r="O201" s="111" t="s">
        <v>28</v>
      </c>
      <c r="P201" s="111" t="s">
        <v>103</v>
      </c>
      <c r="Q201" s="111"/>
      <c r="R201" s="111" t="s">
        <v>15</v>
      </c>
      <c r="S201" s="111"/>
      <c r="T201" s="118"/>
      <c r="U201" s="64">
        <v>42404</v>
      </c>
      <c r="V201" s="158" t="s">
        <v>6</v>
      </c>
      <c r="W201" s="118" t="s">
        <v>839</v>
      </c>
      <c r="X201" s="113"/>
      <c r="Y201" s="117">
        <f t="shared" si="18"/>
        <v>42450</v>
      </c>
      <c r="Z201" s="117">
        <v>42636</v>
      </c>
      <c r="AA201" s="161" t="str">
        <f t="shared" ca="1" si="19"/>
        <v>NO</v>
      </c>
      <c r="AB201" s="113"/>
      <c r="AC201" s="117"/>
      <c r="AD201" s="111"/>
      <c r="AE201" s="111"/>
      <c r="AF201" s="111" t="str">
        <f t="shared" ca="1" si="20"/>
        <v>N/A</v>
      </c>
      <c r="AG201" s="162"/>
      <c r="AH201" s="162"/>
      <c r="AI201" s="164">
        <f t="shared" si="21"/>
        <v>0</v>
      </c>
      <c r="AJ201" s="118"/>
      <c r="AK201" s="113" t="s">
        <v>840</v>
      </c>
      <c r="AL201" s="118"/>
      <c r="AM201" s="165" t="str">
        <f t="shared" si="22"/>
        <v>15047 Téréos Olmédo</v>
      </c>
      <c r="AN201" s="165" t="str">
        <f t="shared" si="23"/>
        <v>15047 Téréos Olmédo : fissure ébonite déformation plancher</v>
      </c>
    </row>
    <row r="202" spans="1:40" s="76" customFormat="1" ht="13" hidden="1" x14ac:dyDescent="0.3">
      <c r="A202" s="122" t="s">
        <v>841</v>
      </c>
      <c r="B202" s="116">
        <v>16001</v>
      </c>
      <c r="C202" s="113" t="s">
        <v>4</v>
      </c>
      <c r="D202" s="117">
        <v>42373</v>
      </c>
      <c r="E202" s="118" t="s">
        <v>91</v>
      </c>
      <c r="F202" s="118" t="s">
        <v>164</v>
      </c>
      <c r="G202" s="111" t="s">
        <v>538</v>
      </c>
      <c r="H202" s="111"/>
      <c r="I202" s="119" t="s">
        <v>2057</v>
      </c>
      <c r="J202" s="113"/>
      <c r="K202" s="118">
        <v>1984</v>
      </c>
      <c r="L202" s="118">
        <v>9728</v>
      </c>
      <c r="M202" s="118" t="s">
        <v>11</v>
      </c>
      <c r="N202" s="120" t="s">
        <v>842</v>
      </c>
      <c r="O202" s="111" t="s">
        <v>29</v>
      </c>
      <c r="P202" s="111" t="s">
        <v>86</v>
      </c>
      <c r="Q202" s="111" t="s">
        <v>522</v>
      </c>
      <c r="R202" s="111" t="s">
        <v>15</v>
      </c>
      <c r="S202" s="111"/>
      <c r="T202" s="118"/>
      <c r="U202" s="64">
        <v>42285</v>
      </c>
      <c r="V202" s="158" t="s">
        <v>10</v>
      </c>
      <c r="W202" s="118"/>
      <c r="X202" s="113"/>
      <c r="Y202" s="117">
        <f t="shared" si="18"/>
        <v>42464</v>
      </c>
      <c r="Z202" s="117">
        <v>42447</v>
      </c>
      <c r="AA202" s="161" t="str">
        <f t="shared" ca="1" si="19"/>
        <v>YES</v>
      </c>
      <c r="AB202" s="113"/>
      <c r="AC202" s="117"/>
      <c r="AD202" s="111"/>
      <c r="AE202" s="111"/>
      <c r="AF202" s="111" t="str">
        <f t="shared" ca="1" si="20"/>
        <v>N/A</v>
      </c>
      <c r="AG202" s="162"/>
      <c r="AH202" s="162"/>
      <c r="AI202" s="164">
        <f t="shared" si="21"/>
        <v>0</v>
      </c>
      <c r="AJ202" s="118" t="s">
        <v>6</v>
      </c>
      <c r="AK202" s="113">
        <v>42683</v>
      </c>
      <c r="AL202" s="118"/>
      <c r="AM202" s="165" t="str">
        <f t="shared" si="22"/>
        <v>16001 ADM</v>
      </c>
      <c r="AN202" s="165" t="str">
        <f t="shared" si="23"/>
        <v>16001 ADM : lack of spray nozzles</v>
      </c>
    </row>
    <row r="203" spans="1:40" s="76" customFormat="1" ht="13" hidden="1" x14ac:dyDescent="0.3">
      <c r="A203" s="122" t="s">
        <v>843</v>
      </c>
      <c r="B203" s="116">
        <v>16002</v>
      </c>
      <c r="C203" s="113" t="s">
        <v>4</v>
      </c>
      <c r="D203" s="117">
        <v>42373</v>
      </c>
      <c r="E203" s="118" t="s">
        <v>91</v>
      </c>
      <c r="F203" s="118" t="s">
        <v>164</v>
      </c>
      <c r="G203" s="111" t="s">
        <v>538</v>
      </c>
      <c r="H203" s="111"/>
      <c r="I203" s="119" t="s">
        <v>2057</v>
      </c>
      <c r="J203" s="113"/>
      <c r="K203" s="118">
        <v>1984</v>
      </c>
      <c r="L203" s="118">
        <v>9728</v>
      </c>
      <c r="M203" s="118" t="s">
        <v>13</v>
      </c>
      <c r="N203" s="120" t="s">
        <v>844</v>
      </c>
      <c r="O203" s="111" t="s">
        <v>29</v>
      </c>
      <c r="P203" s="111" t="s">
        <v>86</v>
      </c>
      <c r="Q203" s="111" t="s">
        <v>522</v>
      </c>
      <c r="R203" s="111" t="s">
        <v>9</v>
      </c>
      <c r="S203" s="111"/>
      <c r="T203" s="118"/>
      <c r="U203" s="64">
        <v>42304</v>
      </c>
      <c r="V203" s="158" t="s">
        <v>6</v>
      </c>
      <c r="W203" s="118" t="s">
        <v>120</v>
      </c>
      <c r="X203" s="113"/>
      <c r="Y203" s="117">
        <f t="shared" si="18"/>
        <v>42464</v>
      </c>
      <c r="Z203" s="117">
        <v>42450</v>
      </c>
      <c r="AA203" s="161" t="str">
        <f t="shared" ca="1" si="19"/>
        <v>YES</v>
      </c>
      <c r="AB203" s="113"/>
      <c r="AC203" s="117"/>
      <c r="AD203" s="111"/>
      <c r="AE203" s="111"/>
      <c r="AF203" s="111" t="str">
        <f t="shared" ca="1" si="20"/>
        <v>N/A</v>
      </c>
      <c r="AG203" s="162"/>
      <c r="AH203" s="162"/>
      <c r="AI203" s="164">
        <f t="shared" si="21"/>
        <v>0</v>
      </c>
      <c r="AJ203" s="118" t="s">
        <v>6</v>
      </c>
      <c r="AK203" s="113">
        <v>42683</v>
      </c>
      <c r="AL203" s="118"/>
      <c r="AM203" s="165" t="str">
        <f t="shared" si="22"/>
        <v>16002 ADM</v>
      </c>
      <c r="AN203" s="165" t="str">
        <f t="shared" si="23"/>
        <v>16002 ADM : vaccum breaker missing</v>
      </c>
    </row>
    <row r="204" spans="1:40" s="76" customFormat="1" ht="13" hidden="1" x14ac:dyDescent="0.3">
      <c r="A204" s="122" t="s">
        <v>845</v>
      </c>
      <c r="B204" s="116">
        <v>16003</v>
      </c>
      <c r="C204" s="113" t="s">
        <v>4</v>
      </c>
      <c r="D204" s="117">
        <v>42375</v>
      </c>
      <c r="E204" s="118" t="s">
        <v>160</v>
      </c>
      <c r="F204" s="118" t="s">
        <v>658</v>
      </c>
      <c r="G204" s="111" t="s">
        <v>823</v>
      </c>
      <c r="H204" s="111"/>
      <c r="I204" s="119" t="s">
        <v>2057</v>
      </c>
      <c r="J204" s="113"/>
      <c r="K204" s="118">
        <v>1965</v>
      </c>
      <c r="L204" s="118">
        <v>9245</v>
      </c>
      <c r="M204" s="118" t="s">
        <v>672</v>
      </c>
      <c r="N204" s="120" t="s">
        <v>846</v>
      </c>
      <c r="O204" s="111" t="s">
        <v>28</v>
      </c>
      <c r="P204" s="111" t="s">
        <v>103</v>
      </c>
      <c r="Q204" s="111" t="s">
        <v>847</v>
      </c>
      <c r="R204" s="111" t="s">
        <v>9</v>
      </c>
      <c r="S204" s="111"/>
      <c r="T204" s="118"/>
      <c r="U204" s="64">
        <v>42401</v>
      </c>
      <c r="V204" s="158" t="s">
        <v>10</v>
      </c>
      <c r="W204" s="118"/>
      <c r="X204" s="113"/>
      <c r="Y204" s="117">
        <f t="shared" si="18"/>
        <v>42466</v>
      </c>
      <c r="Z204" s="117">
        <v>42433</v>
      </c>
      <c r="AA204" s="161" t="str">
        <f t="shared" ca="1" si="19"/>
        <v>YES</v>
      </c>
      <c r="AB204" s="113"/>
      <c r="AC204" s="117"/>
      <c r="AD204" s="111"/>
      <c r="AE204" s="111"/>
      <c r="AF204" s="111" t="str">
        <f t="shared" ca="1" si="20"/>
        <v>N/A</v>
      </c>
      <c r="AG204" s="162"/>
      <c r="AH204" s="162"/>
      <c r="AI204" s="164">
        <f t="shared" si="21"/>
        <v>0</v>
      </c>
      <c r="AJ204" s="118" t="s">
        <v>6</v>
      </c>
      <c r="AK204" s="113">
        <v>43018</v>
      </c>
      <c r="AL204" s="118"/>
      <c r="AM204" s="165" t="str">
        <f t="shared" si="22"/>
        <v>16003 Friesland Foods GOS4</v>
      </c>
      <c r="AN204" s="165" t="str">
        <f t="shared" si="23"/>
        <v>16003 Friesland Foods GOS4 : breaking gasket</v>
      </c>
    </row>
    <row r="205" spans="1:40" s="76" customFormat="1" ht="13" hidden="1" x14ac:dyDescent="0.3">
      <c r="A205" s="122" t="s">
        <v>848</v>
      </c>
      <c r="B205" s="116">
        <v>16004</v>
      </c>
      <c r="C205" s="113" t="s">
        <v>4</v>
      </c>
      <c r="D205" s="117">
        <v>42380</v>
      </c>
      <c r="E205" s="118" t="s">
        <v>787</v>
      </c>
      <c r="F205" s="118" t="s">
        <v>691</v>
      </c>
      <c r="G205" s="111" t="s">
        <v>849</v>
      </c>
      <c r="H205" s="111"/>
      <c r="I205" s="119" t="s">
        <v>2057</v>
      </c>
      <c r="J205" s="113"/>
      <c r="K205" s="118" t="s">
        <v>454</v>
      </c>
      <c r="L205" s="118" t="s">
        <v>850</v>
      </c>
      <c r="M205" s="118" t="s">
        <v>13</v>
      </c>
      <c r="N205" s="120" t="s">
        <v>851</v>
      </c>
      <c r="O205" s="111" t="s">
        <v>29</v>
      </c>
      <c r="P205" s="111" t="s">
        <v>157</v>
      </c>
      <c r="Q205" s="111" t="s">
        <v>852</v>
      </c>
      <c r="R205" s="111" t="s">
        <v>15</v>
      </c>
      <c r="S205" s="111"/>
      <c r="T205" s="118"/>
      <c r="U205" s="64">
        <v>42367</v>
      </c>
      <c r="V205" s="158" t="s">
        <v>6</v>
      </c>
      <c r="W205" s="118" t="s">
        <v>153</v>
      </c>
      <c r="X205" s="113"/>
      <c r="Y205" s="117">
        <f t="shared" si="18"/>
        <v>42471</v>
      </c>
      <c r="Z205" s="117">
        <v>42460</v>
      </c>
      <c r="AA205" s="161" t="str">
        <f t="shared" ca="1" si="19"/>
        <v>YES</v>
      </c>
      <c r="AB205" s="113"/>
      <c r="AC205" s="117"/>
      <c r="AD205" s="111"/>
      <c r="AE205" s="111"/>
      <c r="AF205" s="111" t="str">
        <f t="shared" ca="1" si="20"/>
        <v>N/A</v>
      </c>
      <c r="AG205" s="162"/>
      <c r="AH205" s="162"/>
      <c r="AI205" s="164">
        <f t="shared" si="21"/>
        <v>0</v>
      </c>
      <c r="AJ205" s="118" t="s">
        <v>6</v>
      </c>
      <c r="AK205" s="113">
        <v>42683</v>
      </c>
      <c r="AL205" s="118"/>
      <c r="AM205" s="165" t="str">
        <f t="shared" si="22"/>
        <v>16004 CSC Sugar</v>
      </c>
      <c r="AN205" s="165" t="str">
        <f t="shared" si="23"/>
        <v>16004 CSC Sugar : process design error liquid sugar</v>
      </c>
    </row>
    <row r="206" spans="1:40" s="76" customFormat="1" ht="13" hidden="1" x14ac:dyDescent="0.3">
      <c r="A206" s="122" t="s">
        <v>853</v>
      </c>
      <c r="B206" s="116">
        <v>16005</v>
      </c>
      <c r="C206" s="113" t="s">
        <v>8</v>
      </c>
      <c r="D206" s="117">
        <v>42380</v>
      </c>
      <c r="E206" s="118" t="s">
        <v>441</v>
      </c>
      <c r="F206" s="118" t="s">
        <v>164</v>
      </c>
      <c r="G206" s="111" t="s">
        <v>854</v>
      </c>
      <c r="H206" s="111" t="s">
        <v>352</v>
      </c>
      <c r="I206" s="119" t="s">
        <v>2056</v>
      </c>
      <c r="J206" s="113"/>
      <c r="K206" s="118">
        <v>1974</v>
      </c>
      <c r="L206" s="118">
        <v>9876</v>
      </c>
      <c r="M206" s="118" t="s">
        <v>13</v>
      </c>
      <c r="N206" s="111" t="s">
        <v>855</v>
      </c>
      <c r="O206" s="111" t="s">
        <v>29</v>
      </c>
      <c r="P206" s="111" t="s">
        <v>86</v>
      </c>
      <c r="Q206" s="111"/>
      <c r="R206" s="111" t="s">
        <v>145</v>
      </c>
      <c r="S206" s="111"/>
      <c r="T206" s="118"/>
      <c r="U206" s="66">
        <v>42381</v>
      </c>
      <c r="V206" s="158" t="s">
        <v>6</v>
      </c>
      <c r="W206" s="118" t="s">
        <v>441</v>
      </c>
      <c r="X206" s="113"/>
      <c r="Y206" s="117">
        <f t="shared" si="18"/>
        <v>42471</v>
      </c>
      <c r="Z206" s="117">
        <v>42506</v>
      </c>
      <c r="AA206" s="161" t="str">
        <f t="shared" ca="1" si="19"/>
        <v>NO</v>
      </c>
      <c r="AB206" s="113"/>
      <c r="AC206" s="117"/>
      <c r="AD206" s="111"/>
      <c r="AE206" s="111"/>
      <c r="AF206" s="111" t="str">
        <f t="shared" ca="1" si="20"/>
        <v>N/A</v>
      </c>
      <c r="AG206" s="162"/>
      <c r="AH206" s="162"/>
      <c r="AI206" s="164">
        <f t="shared" si="21"/>
        <v>0</v>
      </c>
      <c r="AJ206" s="118"/>
      <c r="AK206" s="113"/>
      <c r="AL206" s="118"/>
      <c r="AM206" s="165" t="str">
        <f t="shared" si="22"/>
        <v>16005 MEFSCO</v>
      </c>
      <c r="AN206" s="165" t="str">
        <f t="shared" si="23"/>
        <v>16005 MEFSCO : floor deformations issue</v>
      </c>
    </row>
    <row r="207" spans="1:40" s="76" customFormat="1" ht="13" hidden="1" x14ac:dyDescent="0.3">
      <c r="A207" s="122" t="s">
        <v>856</v>
      </c>
      <c r="B207" s="116">
        <v>16006</v>
      </c>
      <c r="C207" s="113" t="s">
        <v>8</v>
      </c>
      <c r="D207" s="117">
        <v>42380</v>
      </c>
      <c r="E207" s="118" t="s">
        <v>857</v>
      </c>
      <c r="F207" s="118" t="s">
        <v>164</v>
      </c>
      <c r="G207" s="111" t="s">
        <v>538</v>
      </c>
      <c r="H207" s="111" t="s">
        <v>858</v>
      </c>
      <c r="I207" s="119" t="s">
        <v>5</v>
      </c>
      <c r="J207" s="113"/>
      <c r="K207" s="118">
        <v>1984</v>
      </c>
      <c r="L207" s="118">
        <v>9728</v>
      </c>
      <c r="M207" s="118" t="s">
        <v>859</v>
      </c>
      <c r="N207" s="111" t="s">
        <v>860</v>
      </c>
      <c r="O207" s="111" t="s">
        <v>29</v>
      </c>
      <c r="P207" s="111" t="s">
        <v>176</v>
      </c>
      <c r="Q207" s="111"/>
      <c r="R207" s="111" t="s">
        <v>145</v>
      </c>
      <c r="S207" s="111"/>
      <c r="T207" s="118"/>
      <c r="U207" s="66">
        <v>42341</v>
      </c>
      <c r="V207" s="158" t="s">
        <v>6</v>
      </c>
      <c r="W207" s="118" t="s">
        <v>857</v>
      </c>
      <c r="X207" s="113"/>
      <c r="Y207" s="117">
        <f t="shared" si="18"/>
        <v>42471</v>
      </c>
      <c r="Z207" s="117">
        <v>42450</v>
      </c>
      <c r="AA207" s="161" t="str">
        <f t="shared" ca="1" si="19"/>
        <v>YES</v>
      </c>
      <c r="AB207" s="113"/>
      <c r="AC207" s="117">
        <v>42075</v>
      </c>
      <c r="AD207" s="64">
        <v>42471</v>
      </c>
      <c r="AE207" s="180">
        <v>42450</v>
      </c>
      <c r="AF207" s="111" t="str">
        <f t="shared" ca="1" si="20"/>
        <v>YES</v>
      </c>
      <c r="AG207" s="162"/>
      <c r="AH207" s="162"/>
      <c r="AI207" s="164">
        <f t="shared" si="21"/>
        <v>0</v>
      </c>
      <c r="AJ207" s="118" t="s">
        <v>6</v>
      </c>
      <c r="AK207" s="113">
        <v>42690</v>
      </c>
      <c r="AL207" s="118"/>
      <c r="AM207" s="165" t="str">
        <f t="shared" si="22"/>
        <v>16006 ADM</v>
      </c>
      <c r="AN207" s="165" t="str">
        <f t="shared" si="23"/>
        <v>16006 ADM : quality issue of limit switch</v>
      </c>
    </row>
    <row r="208" spans="1:40" s="76" customFormat="1" ht="13" hidden="1" x14ac:dyDescent="0.3">
      <c r="A208" s="122" t="s">
        <v>861</v>
      </c>
      <c r="B208" s="116">
        <v>16007</v>
      </c>
      <c r="C208" s="113" t="s">
        <v>4</v>
      </c>
      <c r="D208" s="117">
        <v>42397</v>
      </c>
      <c r="E208" s="118" t="s">
        <v>160</v>
      </c>
      <c r="F208" s="118" t="s">
        <v>658</v>
      </c>
      <c r="G208" s="111" t="s">
        <v>388</v>
      </c>
      <c r="H208" s="111"/>
      <c r="I208" s="119" t="s">
        <v>2057</v>
      </c>
      <c r="J208" s="113"/>
      <c r="K208" s="118">
        <v>1640</v>
      </c>
      <c r="L208" s="118" t="s">
        <v>162</v>
      </c>
      <c r="M208" s="118" t="s">
        <v>13</v>
      </c>
      <c r="N208" s="120" t="s">
        <v>862</v>
      </c>
      <c r="O208" s="111" t="s">
        <v>28</v>
      </c>
      <c r="P208" s="111" t="s">
        <v>103</v>
      </c>
      <c r="Q208" s="111" t="s">
        <v>847</v>
      </c>
      <c r="R208" s="111" t="s">
        <v>145</v>
      </c>
      <c r="S208" s="111"/>
      <c r="T208" s="118"/>
      <c r="U208" s="64"/>
      <c r="V208" s="158" t="s">
        <v>6</v>
      </c>
      <c r="W208" s="118" t="s">
        <v>82</v>
      </c>
      <c r="X208" s="113"/>
      <c r="Y208" s="117">
        <f t="shared" si="18"/>
        <v>42488</v>
      </c>
      <c r="Z208" s="117">
        <v>42486</v>
      </c>
      <c r="AA208" s="161" t="str">
        <f t="shared" ca="1" si="19"/>
        <v>YES</v>
      </c>
      <c r="AB208" s="113"/>
      <c r="AC208" s="117"/>
      <c r="AD208" s="111"/>
      <c r="AE208" s="111"/>
      <c r="AF208" s="111" t="str">
        <f t="shared" ca="1" si="20"/>
        <v>N/A</v>
      </c>
      <c r="AG208" s="162"/>
      <c r="AH208" s="162"/>
      <c r="AI208" s="164">
        <f t="shared" si="21"/>
        <v>0</v>
      </c>
      <c r="AJ208" s="118" t="s">
        <v>6</v>
      </c>
      <c r="AK208" s="113">
        <v>43011</v>
      </c>
      <c r="AL208" s="118"/>
      <c r="AM208" s="165" t="str">
        <f t="shared" si="22"/>
        <v>16007 GOI</v>
      </c>
      <c r="AN208" s="165" t="str">
        <f t="shared" si="23"/>
        <v>16007 GOI : leak and cation rubber lining cracks</v>
      </c>
    </row>
    <row r="209" spans="1:40" s="76" customFormat="1" ht="13" hidden="1" x14ac:dyDescent="0.3">
      <c r="A209" s="122" t="s">
        <v>863</v>
      </c>
      <c r="B209" s="116">
        <v>16008</v>
      </c>
      <c r="C209" s="113" t="s">
        <v>4</v>
      </c>
      <c r="D209" s="117">
        <v>42409</v>
      </c>
      <c r="E209" s="118" t="s">
        <v>864</v>
      </c>
      <c r="F209" s="118" t="s">
        <v>164</v>
      </c>
      <c r="G209" s="111" t="s">
        <v>854</v>
      </c>
      <c r="H209" s="111"/>
      <c r="I209" s="119" t="s">
        <v>2057</v>
      </c>
      <c r="J209" s="113"/>
      <c r="K209" s="118">
        <v>1974</v>
      </c>
      <c r="L209" s="118">
        <v>9876</v>
      </c>
      <c r="M209" s="118" t="s">
        <v>13</v>
      </c>
      <c r="N209" s="120" t="s">
        <v>865</v>
      </c>
      <c r="O209" s="111" t="s">
        <v>29</v>
      </c>
      <c r="P209" s="111" t="s">
        <v>86</v>
      </c>
      <c r="Q209" s="111" t="s">
        <v>866</v>
      </c>
      <c r="R209" s="111" t="s">
        <v>9</v>
      </c>
      <c r="S209" s="111"/>
      <c r="T209" s="118"/>
      <c r="U209" s="64"/>
      <c r="V209" s="158" t="s">
        <v>6</v>
      </c>
      <c r="W209" s="118" t="s">
        <v>153</v>
      </c>
      <c r="X209" s="113"/>
      <c r="Y209" s="117">
        <f t="shared" si="18"/>
        <v>42499</v>
      </c>
      <c r="Z209" s="117">
        <v>42499</v>
      </c>
      <c r="AA209" s="161" t="str">
        <f t="shared" ca="1" si="19"/>
        <v>YES</v>
      </c>
      <c r="AB209" s="113"/>
      <c r="AC209" s="117"/>
      <c r="AD209" s="111"/>
      <c r="AE209" s="111"/>
      <c r="AF209" s="111" t="str">
        <f t="shared" ca="1" si="20"/>
        <v>N/A</v>
      </c>
      <c r="AG209" s="162"/>
      <c r="AH209" s="162"/>
      <c r="AI209" s="164">
        <f t="shared" si="21"/>
        <v>0</v>
      </c>
      <c r="AJ209" s="118" t="s">
        <v>6</v>
      </c>
      <c r="AK209" s="113">
        <v>43059</v>
      </c>
      <c r="AL209" s="118"/>
      <c r="AM209" s="165" t="str">
        <f t="shared" si="22"/>
        <v>16008 MEFSCO</v>
      </c>
      <c r="AN209" s="165" t="str">
        <f t="shared" si="23"/>
        <v>16008 MEFSCO : mistake in functional analysis</v>
      </c>
    </row>
    <row r="210" spans="1:40" s="76" customFormat="1" ht="13" hidden="1" x14ac:dyDescent="0.3">
      <c r="A210" s="122" t="s">
        <v>867</v>
      </c>
      <c r="B210" s="116">
        <v>16009</v>
      </c>
      <c r="C210" s="113" t="s">
        <v>8</v>
      </c>
      <c r="D210" s="117">
        <v>42422</v>
      </c>
      <c r="E210" s="118" t="s">
        <v>868</v>
      </c>
      <c r="F210" s="118" t="s">
        <v>164</v>
      </c>
      <c r="G210" s="111" t="s">
        <v>869</v>
      </c>
      <c r="H210" s="111" t="s">
        <v>870</v>
      </c>
      <c r="I210" s="119" t="s">
        <v>5</v>
      </c>
      <c r="J210" s="113"/>
      <c r="K210" s="118">
        <v>1995</v>
      </c>
      <c r="L210" s="118">
        <v>10268</v>
      </c>
      <c r="M210" s="118" t="s">
        <v>672</v>
      </c>
      <c r="N210" s="111" t="s">
        <v>871</v>
      </c>
      <c r="O210" s="111" t="s">
        <v>29</v>
      </c>
      <c r="P210" s="111" t="s">
        <v>176</v>
      </c>
      <c r="Q210" s="111"/>
      <c r="R210" s="111" t="s">
        <v>145</v>
      </c>
      <c r="S210" s="111"/>
      <c r="T210" s="118"/>
      <c r="U210" s="64">
        <v>42374</v>
      </c>
      <c r="V210" s="158" t="s">
        <v>10</v>
      </c>
      <c r="W210" s="118"/>
      <c r="X210" s="113"/>
      <c r="Y210" s="117">
        <f t="shared" si="18"/>
        <v>42512</v>
      </c>
      <c r="Z210" s="117">
        <v>42555</v>
      </c>
      <c r="AA210" s="161" t="str">
        <f t="shared" ca="1" si="19"/>
        <v>NO</v>
      </c>
      <c r="AB210" s="113"/>
      <c r="AC210" s="117"/>
      <c r="AD210" s="169">
        <v>42522</v>
      </c>
      <c r="AE210" s="180">
        <v>42549</v>
      </c>
      <c r="AF210" s="111" t="str">
        <f t="shared" ca="1" si="20"/>
        <v>NO</v>
      </c>
      <c r="AG210" s="162"/>
      <c r="AH210" s="162"/>
      <c r="AI210" s="164">
        <f t="shared" si="21"/>
        <v>0</v>
      </c>
      <c r="AJ210" s="118"/>
      <c r="AK210" s="113"/>
      <c r="AL210" s="118"/>
      <c r="AM210" s="165" t="str">
        <f t="shared" si="22"/>
        <v xml:space="preserve">16009 PT SUJ </v>
      </c>
      <c r="AN210" s="165" t="str">
        <f t="shared" si="23"/>
        <v>16009 PT SUJ  : Acid pump issue</v>
      </c>
    </row>
    <row r="211" spans="1:40" s="76" customFormat="1" ht="13" hidden="1" x14ac:dyDescent="0.3">
      <c r="A211" s="122" t="s">
        <v>872</v>
      </c>
      <c r="B211" s="116">
        <v>16010</v>
      </c>
      <c r="C211" s="113" t="s">
        <v>8</v>
      </c>
      <c r="D211" s="117">
        <v>42422</v>
      </c>
      <c r="E211" s="118" t="s">
        <v>868</v>
      </c>
      <c r="F211" s="118" t="s">
        <v>164</v>
      </c>
      <c r="G211" s="111" t="s">
        <v>869</v>
      </c>
      <c r="H211" s="111" t="s">
        <v>873</v>
      </c>
      <c r="I211" s="119" t="s">
        <v>5</v>
      </c>
      <c r="J211" s="113"/>
      <c r="K211" s="118">
        <v>1972</v>
      </c>
      <c r="L211" s="118">
        <v>9407</v>
      </c>
      <c r="M211" s="118" t="s">
        <v>18</v>
      </c>
      <c r="N211" s="111" t="s">
        <v>874</v>
      </c>
      <c r="O211" s="111" t="s">
        <v>29</v>
      </c>
      <c r="P211" s="111" t="s">
        <v>176</v>
      </c>
      <c r="Q211" s="111"/>
      <c r="R211" s="111" t="s">
        <v>145</v>
      </c>
      <c r="S211" s="111"/>
      <c r="T211" s="118"/>
      <c r="U211" s="64">
        <v>42418</v>
      </c>
      <c r="V211" s="158" t="s">
        <v>10</v>
      </c>
      <c r="W211" s="118"/>
      <c r="X211" s="113"/>
      <c r="Y211" s="117">
        <f t="shared" si="18"/>
        <v>42512</v>
      </c>
      <c r="Z211" s="117">
        <v>42612</v>
      </c>
      <c r="AA211" s="161" t="str">
        <f t="shared" ca="1" si="19"/>
        <v>NO</v>
      </c>
      <c r="AB211" s="113"/>
      <c r="AC211" s="117"/>
      <c r="AD211" s="169" t="s">
        <v>875</v>
      </c>
      <c r="AE211" s="180">
        <v>42612</v>
      </c>
      <c r="AF211" s="111" t="str">
        <f t="shared" ca="1" si="20"/>
        <v>YES</v>
      </c>
      <c r="AG211" s="162"/>
      <c r="AH211" s="162"/>
      <c r="AI211" s="164">
        <f t="shared" si="21"/>
        <v>0</v>
      </c>
      <c r="AJ211" s="118"/>
      <c r="AK211" s="113"/>
      <c r="AL211" s="118"/>
      <c r="AM211" s="165" t="str">
        <f t="shared" si="22"/>
        <v xml:space="preserve">16010 PT SUJ </v>
      </c>
      <c r="AN211" s="165" t="str">
        <f t="shared" si="23"/>
        <v>16010 PT SUJ  : plate deformation of sterile filter</v>
      </c>
    </row>
    <row r="212" spans="1:40" s="76" customFormat="1" ht="13" hidden="1" x14ac:dyDescent="0.3">
      <c r="A212" s="122" t="s">
        <v>876</v>
      </c>
      <c r="B212" s="116">
        <v>16011</v>
      </c>
      <c r="C212" s="113" t="s">
        <v>4</v>
      </c>
      <c r="D212" s="117">
        <v>42423</v>
      </c>
      <c r="E212" s="118" t="s">
        <v>877</v>
      </c>
      <c r="F212" s="118" t="s">
        <v>691</v>
      </c>
      <c r="G212" s="111" t="s">
        <v>878</v>
      </c>
      <c r="H212" s="111"/>
      <c r="I212" s="119" t="s">
        <v>2057</v>
      </c>
      <c r="J212" s="113"/>
      <c r="K212" s="118">
        <v>1944</v>
      </c>
      <c r="L212" s="118">
        <v>8410</v>
      </c>
      <c r="M212" s="118"/>
      <c r="N212" s="120" t="s">
        <v>879</v>
      </c>
      <c r="O212" s="111" t="s">
        <v>29</v>
      </c>
      <c r="P212" s="111" t="s">
        <v>86</v>
      </c>
      <c r="Q212" s="111" t="s">
        <v>605</v>
      </c>
      <c r="R212" s="111" t="s">
        <v>9</v>
      </c>
      <c r="S212" s="111"/>
      <c r="T212" s="118"/>
      <c r="U212" s="64">
        <v>42369</v>
      </c>
      <c r="V212" s="158" t="s">
        <v>6</v>
      </c>
      <c r="W212" s="118" t="s">
        <v>120</v>
      </c>
      <c r="X212" s="113"/>
      <c r="Y212" s="117">
        <f t="shared" si="18"/>
        <v>42513</v>
      </c>
      <c r="Z212" s="117">
        <v>42830</v>
      </c>
      <c r="AA212" s="161" t="str">
        <f t="shared" ca="1" si="19"/>
        <v>NO</v>
      </c>
      <c r="AB212" s="113"/>
      <c r="AC212" s="117"/>
      <c r="AD212" s="111"/>
      <c r="AE212" s="111"/>
      <c r="AF212" s="111" t="str">
        <f t="shared" ca="1" si="20"/>
        <v>N/A</v>
      </c>
      <c r="AG212" s="162"/>
      <c r="AH212" s="162"/>
      <c r="AI212" s="164">
        <f t="shared" si="21"/>
        <v>0</v>
      </c>
      <c r="AJ212" s="118"/>
      <c r="AK212" s="113" t="s">
        <v>880</v>
      </c>
      <c r="AL212" s="118"/>
      <c r="AM212" s="165" t="str">
        <f t="shared" si="22"/>
        <v>16011 Shuangqiao5 Fufeng</v>
      </c>
      <c r="AN212" s="165" t="str">
        <f t="shared" si="23"/>
        <v>16011 Shuangqiao5 Fufeng : inconsistency between AU02-PR02-PR06</v>
      </c>
    </row>
    <row r="213" spans="1:40" s="76" customFormat="1" ht="13" hidden="1" x14ac:dyDescent="0.3">
      <c r="A213" s="122" t="s">
        <v>881</v>
      </c>
      <c r="B213" s="116">
        <v>16012</v>
      </c>
      <c r="C213" s="113" t="s">
        <v>4</v>
      </c>
      <c r="D213" s="117">
        <v>42426</v>
      </c>
      <c r="E213" s="118" t="s">
        <v>224</v>
      </c>
      <c r="F213" s="118" t="s">
        <v>164</v>
      </c>
      <c r="G213" s="111" t="s">
        <v>649</v>
      </c>
      <c r="H213" s="111" t="s">
        <v>882</v>
      </c>
      <c r="I213" s="119" t="s">
        <v>5</v>
      </c>
      <c r="J213" s="113"/>
      <c r="K213" s="118">
        <v>8106</v>
      </c>
      <c r="L213" s="118" t="s">
        <v>883</v>
      </c>
      <c r="M213" s="118" t="s">
        <v>13</v>
      </c>
      <c r="N213" s="120" t="s">
        <v>884</v>
      </c>
      <c r="O213" s="111" t="s">
        <v>29</v>
      </c>
      <c r="P213" s="111" t="s">
        <v>86</v>
      </c>
      <c r="Q213" s="111" t="s">
        <v>885</v>
      </c>
      <c r="R213" s="111" t="s">
        <v>145</v>
      </c>
      <c r="S213" s="111"/>
      <c r="T213" s="118"/>
      <c r="U213" s="64">
        <v>42424</v>
      </c>
      <c r="V213" s="158" t="s">
        <v>6</v>
      </c>
      <c r="W213" s="118" t="s">
        <v>116</v>
      </c>
      <c r="X213" s="113"/>
      <c r="Y213" s="117">
        <f t="shared" si="18"/>
        <v>42516</v>
      </c>
      <c r="Z213" s="117">
        <v>42983</v>
      </c>
      <c r="AA213" s="161" t="str">
        <f t="shared" ca="1" si="19"/>
        <v>NO</v>
      </c>
      <c r="AB213" s="113"/>
      <c r="AC213" s="117">
        <v>42466</v>
      </c>
      <c r="AD213" s="169">
        <v>42643</v>
      </c>
      <c r="AE213" s="172">
        <v>42983</v>
      </c>
      <c r="AF213" s="111" t="str">
        <f t="shared" ca="1" si="20"/>
        <v>NO</v>
      </c>
      <c r="AG213" s="162"/>
      <c r="AH213" s="162"/>
      <c r="AI213" s="164">
        <f t="shared" si="21"/>
        <v>0</v>
      </c>
      <c r="AJ213" s="118"/>
      <c r="AK213" s="113" t="s">
        <v>886</v>
      </c>
      <c r="AL213" s="118"/>
      <c r="AM213" s="165" t="str">
        <f t="shared" si="22"/>
        <v>16012 Solanic</v>
      </c>
      <c r="AN213" s="165" t="str">
        <f t="shared" si="23"/>
        <v>16012 Solanic : cell leak of IEX column</v>
      </c>
    </row>
    <row r="214" spans="1:40" s="76" customFormat="1" ht="13" hidden="1" x14ac:dyDescent="0.3">
      <c r="A214" s="122" t="s">
        <v>887</v>
      </c>
      <c r="B214" s="116">
        <v>16013</v>
      </c>
      <c r="C214" s="113" t="s">
        <v>8</v>
      </c>
      <c r="D214" s="117">
        <v>42430</v>
      </c>
      <c r="E214" s="118" t="s">
        <v>888</v>
      </c>
      <c r="F214" s="118" t="s">
        <v>164</v>
      </c>
      <c r="G214" s="140" t="s">
        <v>889</v>
      </c>
      <c r="H214" s="111" t="s">
        <v>890</v>
      </c>
      <c r="I214" s="119" t="s">
        <v>2056</v>
      </c>
      <c r="J214" s="113"/>
      <c r="K214" s="141" t="s">
        <v>891</v>
      </c>
      <c r="L214" s="142" t="s">
        <v>892</v>
      </c>
      <c r="M214" s="118" t="s">
        <v>18</v>
      </c>
      <c r="N214" s="111" t="s">
        <v>893</v>
      </c>
      <c r="O214" s="111" t="s">
        <v>29</v>
      </c>
      <c r="P214" s="111" t="s">
        <v>176</v>
      </c>
      <c r="Q214" s="111"/>
      <c r="R214" s="111" t="s">
        <v>145</v>
      </c>
      <c r="S214" s="111"/>
      <c r="T214" s="118"/>
      <c r="U214" s="64">
        <v>42423</v>
      </c>
      <c r="V214" s="158" t="s">
        <v>10</v>
      </c>
      <c r="W214" s="118"/>
      <c r="X214" s="113"/>
      <c r="Y214" s="117">
        <f t="shared" si="18"/>
        <v>42522</v>
      </c>
      <c r="Z214" s="117">
        <v>42446</v>
      </c>
      <c r="AA214" s="161" t="str">
        <f t="shared" ca="1" si="19"/>
        <v>YES</v>
      </c>
      <c r="AB214" s="113"/>
      <c r="AC214" s="117"/>
      <c r="AD214" s="111"/>
      <c r="AE214" s="111"/>
      <c r="AF214" s="111" t="str">
        <f t="shared" ca="1" si="20"/>
        <v>N/A</v>
      </c>
      <c r="AG214" s="162"/>
      <c r="AH214" s="162"/>
      <c r="AI214" s="164">
        <f t="shared" si="21"/>
        <v>0</v>
      </c>
      <c r="AJ214" s="118" t="s">
        <v>6</v>
      </c>
      <c r="AK214" s="113">
        <v>42623</v>
      </c>
      <c r="AL214" s="118"/>
      <c r="AM214" s="165" t="str">
        <f t="shared" si="22"/>
        <v>16013 PT Jawamanis &amp; DUTA</v>
      </c>
      <c r="AN214" s="165" t="str">
        <f t="shared" si="23"/>
        <v xml:space="preserve">16013 PT Jawamanis &amp; DUTA : Leaking between two parts in CIP tank(PP) </v>
      </c>
    </row>
    <row r="215" spans="1:40" s="76" customFormat="1" ht="13" hidden="1" x14ac:dyDescent="0.3">
      <c r="A215" s="122" t="s">
        <v>894</v>
      </c>
      <c r="B215" s="116">
        <v>16014</v>
      </c>
      <c r="C215" s="113" t="s">
        <v>4</v>
      </c>
      <c r="D215" s="117">
        <v>42447</v>
      </c>
      <c r="E215" s="118" t="s">
        <v>864</v>
      </c>
      <c r="F215" s="118" t="s">
        <v>164</v>
      </c>
      <c r="G215" s="111" t="s">
        <v>895</v>
      </c>
      <c r="H215" s="111" t="s">
        <v>896</v>
      </c>
      <c r="I215" s="119" t="s">
        <v>5</v>
      </c>
      <c r="J215" s="113"/>
      <c r="K215" s="118">
        <v>1981</v>
      </c>
      <c r="L215" s="118">
        <v>9922</v>
      </c>
      <c r="M215" s="118" t="s">
        <v>13</v>
      </c>
      <c r="N215" s="111" t="s">
        <v>897</v>
      </c>
      <c r="O215" s="111" t="s">
        <v>29</v>
      </c>
      <c r="P215" s="111" t="s">
        <v>86</v>
      </c>
      <c r="Q215" s="111"/>
      <c r="R215" s="111" t="s">
        <v>145</v>
      </c>
      <c r="S215" s="111"/>
      <c r="T215" s="118"/>
      <c r="U215" s="64">
        <v>42440</v>
      </c>
      <c r="V215" s="158" t="s">
        <v>10</v>
      </c>
      <c r="W215" s="118"/>
      <c r="X215" s="113"/>
      <c r="Y215" s="117">
        <f t="shared" si="18"/>
        <v>42539</v>
      </c>
      <c r="Z215" s="117">
        <v>42530</v>
      </c>
      <c r="AA215" s="161" t="str">
        <f t="shared" ca="1" si="19"/>
        <v>YES</v>
      </c>
      <c r="AB215" s="113"/>
      <c r="AC215" s="117">
        <v>42438</v>
      </c>
      <c r="AD215" s="172">
        <v>42539</v>
      </c>
      <c r="AE215" s="172">
        <v>42530</v>
      </c>
      <c r="AF215" s="111" t="str">
        <f t="shared" ca="1" si="20"/>
        <v>YES</v>
      </c>
      <c r="AG215" s="162"/>
      <c r="AH215" s="162"/>
      <c r="AI215" s="164">
        <f t="shared" si="21"/>
        <v>0</v>
      </c>
      <c r="AJ215" s="118" t="s">
        <v>10</v>
      </c>
      <c r="AK215" s="113">
        <v>42649</v>
      </c>
      <c r="AL215" s="118" t="s">
        <v>898</v>
      </c>
      <c r="AM215" s="165" t="str">
        <f t="shared" si="22"/>
        <v>16014 Glanbia</v>
      </c>
      <c r="AN215" s="165" t="str">
        <f t="shared" si="23"/>
        <v>16014 Glanbia : bent nozzles and leaking fine mesch resin</v>
      </c>
    </row>
    <row r="216" spans="1:40" s="76" customFormat="1" ht="13" hidden="1" x14ac:dyDescent="0.3">
      <c r="A216" s="122" t="s">
        <v>899</v>
      </c>
      <c r="B216" s="116">
        <v>16015</v>
      </c>
      <c r="C216" s="113" t="s">
        <v>4</v>
      </c>
      <c r="D216" s="117">
        <v>42464</v>
      </c>
      <c r="E216" s="118" t="s">
        <v>99</v>
      </c>
      <c r="F216" s="118" t="s">
        <v>658</v>
      </c>
      <c r="G216" s="111" t="s">
        <v>900</v>
      </c>
      <c r="H216" s="111" t="s">
        <v>901</v>
      </c>
      <c r="I216" s="119" t="s">
        <v>2057</v>
      </c>
      <c r="J216" s="113"/>
      <c r="K216" s="118" t="s">
        <v>454</v>
      </c>
      <c r="L216" s="118" t="s">
        <v>454</v>
      </c>
      <c r="M216" s="118" t="s">
        <v>16</v>
      </c>
      <c r="N216" s="111" t="s">
        <v>902</v>
      </c>
      <c r="O216" s="111" t="s">
        <v>28</v>
      </c>
      <c r="P216" s="111" t="s">
        <v>103</v>
      </c>
      <c r="Q216" s="111"/>
      <c r="R216" s="111" t="s">
        <v>145</v>
      </c>
      <c r="S216" s="111"/>
      <c r="T216" s="118"/>
      <c r="U216" s="64">
        <v>42369</v>
      </c>
      <c r="V216" s="158" t="s">
        <v>6</v>
      </c>
      <c r="W216" s="118" t="s">
        <v>99</v>
      </c>
      <c r="X216" s="113"/>
      <c r="Y216" s="117">
        <f t="shared" si="18"/>
        <v>42555</v>
      </c>
      <c r="Z216" s="117">
        <v>42549</v>
      </c>
      <c r="AA216" s="161" t="str">
        <f t="shared" ca="1" si="19"/>
        <v>YES</v>
      </c>
      <c r="AB216" s="113"/>
      <c r="AC216" s="117"/>
      <c r="AD216" s="111"/>
      <c r="AE216" s="111"/>
      <c r="AF216" s="111" t="str">
        <f t="shared" ca="1" si="20"/>
        <v>N/A</v>
      </c>
      <c r="AG216" s="162"/>
      <c r="AH216" s="162"/>
      <c r="AI216" s="164">
        <f t="shared" si="21"/>
        <v>0</v>
      </c>
      <c r="AJ216" s="118" t="s">
        <v>6</v>
      </c>
      <c r="AK216" s="113">
        <v>43011</v>
      </c>
      <c r="AL216" s="118"/>
      <c r="AM216" s="165" t="str">
        <f t="shared" si="22"/>
        <v>16015 TESSIER</v>
      </c>
      <c r="AN216" s="165" t="str">
        <f t="shared" si="23"/>
        <v>16015 TESSIER : keeping of K138 gaskets</v>
      </c>
    </row>
    <row r="217" spans="1:40" s="76" customFormat="1" ht="13" hidden="1" x14ac:dyDescent="0.3">
      <c r="A217" s="122" t="s">
        <v>903</v>
      </c>
      <c r="B217" s="116">
        <v>16016</v>
      </c>
      <c r="C217" s="113" t="s">
        <v>8</v>
      </c>
      <c r="D217" s="117">
        <v>42495</v>
      </c>
      <c r="E217" s="118" t="s">
        <v>904</v>
      </c>
      <c r="F217" s="118" t="s">
        <v>164</v>
      </c>
      <c r="G217" s="111" t="s">
        <v>905</v>
      </c>
      <c r="H217" s="111"/>
      <c r="I217" s="119" t="s">
        <v>2057</v>
      </c>
      <c r="J217" s="113"/>
      <c r="K217" s="118">
        <v>2004</v>
      </c>
      <c r="L217" s="118" t="s">
        <v>906</v>
      </c>
      <c r="M217" s="118" t="s">
        <v>338</v>
      </c>
      <c r="N217" s="111" t="s">
        <v>907</v>
      </c>
      <c r="O217" s="111" t="s">
        <v>29</v>
      </c>
      <c r="P217" s="111" t="s">
        <v>86</v>
      </c>
      <c r="Q217" s="111" t="s">
        <v>908</v>
      </c>
      <c r="R217" s="111" t="s">
        <v>145</v>
      </c>
      <c r="S217" s="111"/>
      <c r="T217" s="118"/>
      <c r="U217" s="64"/>
      <c r="V217" s="158" t="s">
        <v>6</v>
      </c>
      <c r="W217" s="118" t="s">
        <v>904</v>
      </c>
      <c r="X217" s="113"/>
      <c r="Y217" s="117">
        <f t="shared" si="18"/>
        <v>42587</v>
      </c>
      <c r="Z217" s="117">
        <v>42689</v>
      </c>
      <c r="AA217" s="161" t="str">
        <f t="shared" ca="1" si="19"/>
        <v>NO</v>
      </c>
      <c r="AB217" s="113"/>
      <c r="AC217" s="117"/>
      <c r="AD217" s="111"/>
      <c r="AE217" s="111"/>
      <c r="AF217" s="111" t="str">
        <f t="shared" ca="1" si="20"/>
        <v>N/A</v>
      </c>
      <c r="AG217" s="162"/>
      <c r="AH217" s="162"/>
      <c r="AI217" s="164">
        <f t="shared" si="21"/>
        <v>0</v>
      </c>
      <c r="AJ217" s="118"/>
      <c r="AK217" s="113"/>
      <c r="AL217" s="118"/>
      <c r="AM217" s="165" t="str">
        <f t="shared" si="22"/>
        <v>16016 Meihua 9</v>
      </c>
      <c r="AN217" s="165" t="str">
        <f t="shared" si="23"/>
        <v>16016 Meihua 9 :  Floc &amp; white sediment issue</v>
      </c>
    </row>
    <row r="218" spans="1:40" s="76" customFormat="1" ht="13" hidden="1" x14ac:dyDescent="0.3">
      <c r="A218" s="122" t="s">
        <v>909</v>
      </c>
      <c r="B218" s="116">
        <v>16017</v>
      </c>
      <c r="C218" s="113" t="s">
        <v>4</v>
      </c>
      <c r="D218" s="117">
        <v>42508</v>
      </c>
      <c r="E218" s="118" t="s">
        <v>294</v>
      </c>
      <c r="F218" s="118" t="s">
        <v>164</v>
      </c>
      <c r="G218" s="111" t="s">
        <v>910</v>
      </c>
      <c r="H218" s="111"/>
      <c r="I218" s="119" t="s">
        <v>2057</v>
      </c>
      <c r="J218" s="113"/>
      <c r="K218" s="118">
        <v>2013</v>
      </c>
      <c r="L218" s="118">
        <v>11461</v>
      </c>
      <c r="M218" s="118"/>
      <c r="N218" s="111" t="s">
        <v>911</v>
      </c>
      <c r="O218" s="111" t="s">
        <v>29</v>
      </c>
      <c r="P218" s="111" t="s">
        <v>86</v>
      </c>
      <c r="Q218" s="111" t="s">
        <v>912</v>
      </c>
      <c r="R218" s="111" t="s">
        <v>9</v>
      </c>
      <c r="S218" s="111"/>
      <c r="T218" s="118"/>
      <c r="U218" s="64">
        <v>42489</v>
      </c>
      <c r="V218" s="158" t="s">
        <v>6</v>
      </c>
      <c r="W218" s="118" t="s">
        <v>913</v>
      </c>
      <c r="X218" s="113"/>
      <c r="Y218" s="117">
        <f t="shared" si="18"/>
        <v>42600</v>
      </c>
      <c r="Z218" s="117">
        <v>42573</v>
      </c>
      <c r="AA218" s="161" t="str">
        <f t="shared" ca="1" si="19"/>
        <v>YES</v>
      </c>
      <c r="AB218" s="113"/>
      <c r="AC218" s="117"/>
      <c r="AD218" s="111"/>
      <c r="AE218" s="111"/>
      <c r="AF218" s="111" t="str">
        <f t="shared" ca="1" si="20"/>
        <v>N/A</v>
      </c>
      <c r="AG218" s="162"/>
      <c r="AH218" s="162"/>
      <c r="AI218" s="164">
        <f t="shared" si="21"/>
        <v>0</v>
      </c>
      <c r="AJ218" s="118" t="s">
        <v>6</v>
      </c>
      <c r="AK218" s="113">
        <v>43018</v>
      </c>
      <c r="AL218" s="118"/>
      <c r="AM218" s="165" t="str">
        <f t="shared" si="22"/>
        <v>16017 CLS</v>
      </c>
      <c r="AN218" s="165" t="str">
        <f t="shared" si="23"/>
        <v>16017 CLS : late taggings change</v>
      </c>
    </row>
    <row r="219" spans="1:40" s="76" customFormat="1" ht="13" hidden="1" x14ac:dyDescent="0.3">
      <c r="A219" s="122" t="s">
        <v>914</v>
      </c>
      <c r="B219" s="116">
        <v>16018</v>
      </c>
      <c r="C219" s="113" t="s">
        <v>4</v>
      </c>
      <c r="D219" s="117">
        <v>42514</v>
      </c>
      <c r="E219" s="118" t="s">
        <v>95</v>
      </c>
      <c r="F219" s="118" t="s">
        <v>164</v>
      </c>
      <c r="G219" s="111" t="s">
        <v>692</v>
      </c>
      <c r="H219" s="111" t="s">
        <v>433</v>
      </c>
      <c r="I219" s="119" t="s">
        <v>2057</v>
      </c>
      <c r="J219" s="113"/>
      <c r="K219" s="118">
        <v>1985</v>
      </c>
      <c r="L219" s="118">
        <v>9918</v>
      </c>
      <c r="M219" s="118" t="s">
        <v>672</v>
      </c>
      <c r="N219" s="111" t="s">
        <v>915</v>
      </c>
      <c r="O219" s="111" t="s">
        <v>29</v>
      </c>
      <c r="P219" s="111" t="s">
        <v>86</v>
      </c>
      <c r="Q219" s="111" t="s">
        <v>916</v>
      </c>
      <c r="R219" s="111" t="s">
        <v>145</v>
      </c>
      <c r="S219" s="111"/>
      <c r="T219" s="118"/>
      <c r="U219" s="64">
        <v>42419</v>
      </c>
      <c r="V219" s="158" t="s">
        <v>6</v>
      </c>
      <c r="W219" s="118" t="s">
        <v>763</v>
      </c>
      <c r="X219" s="113"/>
      <c r="Y219" s="117">
        <f t="shared" si="18"/>
        <v>42606</v>
      </c>
      <c r="Z219" s="117">
        <v>42711</v>
      </c>
      <c r="AA219" s="161" t="str">
        <f t="shared" ca="1" si="19"/>
        <v>NO</v>
      </c>
      <c r="AB219" s="113"/>
      <c r="AC219" s="117"/>
      <c r="AD219" s="111"/>
      <c r="AE219" s="111"/>
      <c r="AF219" s="111" t="str">
        <f t="shared" ca="1" si="20"/>
        <v>N/A</v>
      </c>
      <c r="AG219" s="162"/>
      <c r="AH219" s="162"/>
      <c r="AI219" s="164">
        <f t="shared" si="21"/>
        <v>0</v>
      </c>
      <c r="AJ219" s="118"/>
      <c r="AK219" s="113" t="s">
        <v>880</v>
      </c>
      <c r="AL219" s="118" t="s">
        <v>917</v>
      </c>
      <c r="AM219" s="165" t="str">
        <f t="shared" si="22"/>
        <v>16018 Central Romana</v>
      </c>
      <c r="AN219" s="165" t="str">
        <f t="shared" si="23"/>
        <v>16018 Central Romana : Rubberlining damage</v>
      </c>
    </row>
    <row r="220" spans="1:40" s="76" customFormat="1" ht="13" hidden="1" x14ac:dyDescent="0.3">
      <c r="A220" s="122" t="s">
        <v>918</v>
      </c>
      <c r="B220" s="116">
        <v>16019</v>
      </c>
      <c r="C220" s="113" t="s">
        <v>4</v>
      </c>
      <c r="D220" s="117">
        <v>42536</v>
      </c>
      <c r="E220" s="118" t="s">
        <v>99</v>
      </c>
      <c r="F220" s="118" t="s">
        <v>658</v>
      </c>
      <c r="G220" s="111" t="s">
        <v>919</v>
      </c>
      <c r="H220" s="111" t="s">
        <v>920</v>
      </c>
      <c r="I220" s="119" t="s">
        <v>5</v>
      </c>
      <c r="J220" s="113"/>
      <c r="K220" s="118" t="s">
        <v>454</v>
      </c>
      <c r="L220" s="118" t="s">
        <v>921</v>
      </c>
      <c r="M220" s="118" t="s">
        <v>16</v>
      </c>
      <c r="N220" s="111" t="s">
        <v>922</v>
      </c>
      <c r="O220" s="111" t="s">
        <v>28</v>
      </c>
      <c r="P220" s="111" t="s">
        <v>103</v>
      </c>
      <c r="Q220" s="111"/>
      <c r="R220" s="111" t="s">
        <v>145</v>
      </c>
      <c r="S220" s="111"/>
      <c r="T220" s="118"/>
      <c r="U220" s="64">
        <v>42534</v>
      </c>
      <c r="V220" s="158" t="s">
        <v>6</v>
      </c>
      <c r="W220" s="118" t="s">
        <v>99</v>
      </c>
      <c r="X220" s="113"/>
      <c r="Y220" s="117">
        <f t="shared" si="18"/>
        <v>42628</v>
      </c>
      <c r="Z220" s="117">
        <v>42621</v>
      </c>
      <c r="AA220" s="161" t="str">
        <f t="shared" ca="1" si="19"/>
        <v>YES</v>
      </c>
      <c r="AB220" s="113"/>
      <c r="AC220" s="117"/>
      <c r="AD220" s="111"/>
      <c r="AE220" s="111"/>
      <c r="AF220" s="111" t="str">
        <f t="shared" ca="1" si="20"/>
        <v/>
      </c>
      <c r="AG220" s="162"/>
      <c r="AH220" s="162"/>
      <c r="AI220" s="164">
        <f t="shared" si="21"/>
        <v>0</v>
      </c>
      <c r="AJ220" s="118" t="s">
        <v>6</v>
      </c>
      <c r="AK220" s="113">
        <v>42681</v>
      </c>
      <c r="AL220" s="118"/>
      <c r="AM220" s="165" t="str">
        <f t="shared" si="22"/>
        <v>16019 VALIO</v>
      </c>
      <c r="AN220" s="165" t="str">
        <f t="shared" si="23"/>
        <v>16019 VALIO : Air-tightness carbosep modules</v>
      </c>
    </row>
    <row r="221" spans="1:40" s="76" customFormat="1" ht="13" hidden="1" x14ac:dyDescent="0.3">
      <c r="A221" s="122" t="s">
        <v>923</v>
      </c>
      <c r="B221" s="116">
        <v>16020</v>
      </c>
      <c r="C221" s="113" t="s">
        <v>4</v>
      </c>
      <c r="D221" s="117">
        <v>42541</v>
      </c>
      <c r="E221" s="118" t="s">
        <v>924</v>
      </c>
      <c r="F221" s="118" t="s">
        <v>164</v>
      </c>
      <c r="G221" s="111" t="s">
        <v>925</v>
      </c>
      <c r="H221" s="111" t="s">
        <v>926</v>
      </c>
      <c r="I221" s="119" t="s">
        <v>2056</v>
      </c>
      <c r="J221" s="113"/>
      <c r="K221" s="118">
        <v>2011</v>
      </c>
      <c r="L221" s="118">
        <v>10282</v>
      </c>
      <c r="M221" s="118" t="s">
        <v>18</v>
      </c>
      <c r="N221" s="111" t="s">
        <v>927</v>
      </c>
      <c r="O221" s="111" t="s">
        <v>29</v>
      </c>
      <c r="P221" s="111" t="s">
        <v>176</v>
      </c>
      <c r="Q221" s="111" t="s">
        <v>504</v>
      </c>
      <c r="R221" s="111" t="s">
        <v>145</v>
      </c>
      <c r="S221" s="111"/>
      <c r="T221" s="129" t="s">
        <v>926</v>
      </c>
      <c r="U221" s="64">
        <v>42551</v>
      </c>
      <c r="V221" s="158" t="s">
        <v>10</v>
      </c>
      <c r="W221" s="118"/>
      <c r="X221" s="113"/>
      <c r="Y221" s="117">
        <f t="shared" si="18"/>
        <v>42633</v>
      </c>
      <c r="Z221" s="117">
        <v>42633</v>
      </c>
      <c r="AA221" s="161" t="str">
        <f t="shared" ca="1" si="19"/>
        <v>YES</v>
      </c>
      <c r="AB221" s="113"/>
      <c r="AC221" s="117"/>
      <c r="AD221" s="111"/>
      <c r="AE221" s="111"/>
      <c r="AF221" s="111" t="str">
        <f t="shared" ca="1" si="20"/>
        <v>N/A</v>
      </c>
      <c r="AG221" s="162"/>
      <c r="AH221" s="162"/>
      <c r="AI221" s="164">
        <f t="shared" si="21"/>
        <v>0</v>
      </c>
      <c r="AJ221" s="118" t="s">
        <v>6</v>
      </c>
      <c r="AK221" s="113">
        <v>43028</v>
      </c>
      <c r="AL221" s="118"/>
      <c r="AM221" s="165" t="str">
        <f t="shared" si="22"/>
        <v>16020 Boccard/Nutribio</v>
      </c>
      <c r="AN221" s="165" t="str">
        <f t="shared" si="23"/>
        <v>16020 Boccard/Nutribio : Input/output exchanger reverse</v>
      </c>
    </row>
    <row r="222" spans="1:40" s="76" customFormat="1" ht="13" hidden="1" x14ac:dyDescent="0.3">
      <c r="A222" s="122" t="s">
        <v>928</v>
      </c>
      <c r="B222" s="116">
        <v>16021</v>
      </c>
      <c r="C222" s="113" t="s">
        <v>8</v>
      </c>
      <c r="D222" s="117">
        <v>42543</v>
      </c>
      <c r="E222" s="118" t="s">
        <v>929</v>
      </c>
      <c r="F222" s="118" t="s">
        <v>164</v>
      </c>
      <c r="G222" s="111" t="s">
        <v>910</v>
      </c>
      <c r="H222" s="111" t="s">
        <v>930</v>
      </c>
      <c r="I222" s="119" t="s">
        <v>2056</v>
      </c>
      <c r="J222" s="113"/>
      <c r="K222" s="118">
        <v>2013</v>
      </c>
      <c r="L222" s="118">
        <v>11416</v>
      </c>
      <c r="M222" s="118" t="s">
        <v>13</v>
      </c>
      <c r="N222" s="111" t="s">
        <v>931</v>
      </c>
      <c r="O222" s="111" t="s">
        <v>29</v>
      </c>
      <c r="P222" s="111" t="s">
        <v>86</v>
      </c>
      <c r="Q222" s="111"/>
      <c r="R222" s="111" t="s">
        <v>145</v>
      </c>
      <c r="S222" s="111"/>
      <c r="T222" s="118"/>
      <c r="U222" s="66">
        <v>42529</v>
      </c>
      <c r="V222" s="158" t="s">
        <v>6</v>
      </c>
      <c r="W222" s="118" t="s">
        <v>932</v>
      </c>
      <c r="X222" s="113"/>
      <c r="Y222" s="117">
        <f t="shared" si="18"/>
        <v>42635</v>
      </c>
      <c r="Z222" s="117">
        <v>42577</v>
      </c>
      <c r="AA222" s="161" t="str">
        <f t="shared" ca="1" si="19"/>
        <v>YES</v>
      </c>
      <c r="AB222" s="113"/>
      <c r="AC222" s="117"/>
      <c r="AD222" s="111"/>
      <c r="AE222" s="111"/>
      <c r="AF222" s="111" t="str">
        <f t="shared" ca="1" si="20"/>
        <v>N/A</v>
      </c>
      <c r="AG222" s="162"/>
      <c r="AH222" s="162"/>
      <c r="AI222" s="164">
        <f t="shared" si="21"/>
        <v>0</v>
      </c>
      <c r="AJ222" s="118"/>
      <c r="AK222" s="113"/>
      <c r="AL222" s="118"/>
      <c r="AM222" s="165" t="str">
        <f t="shared" si="22"/>
        <v>16021 CLS</v>
      </c>
      <c r="AN222" s="165" t="str">
        <f t="shared" si="23"/>
        <v>16021 CLS : Internals design and assembly issue</v>
      </c>
    </row>
    <row r="223" spans="1:40" s="76" customFormat="1" ht="13" hidden="1" x14ac:dyDescent="0.3">
      <c r="A223" s="122" t="s">
        <v>933</v>
      </c>
      <c r="B223" s="116">
        <v>16022</v>
      </c>
      <c r="C223" s="113" t="s">
        <v>8</v>
      </c>
      <c r="D223" s="117">
        <v>42543</v>
      </c>
      <c r="E223" s="118" t="s">
        <v>441</v>
      </c>
      <c r="F223" s="118" t="s">
        <v>164</v>
      </c>
      <c r="G223" s="111" t="s">
        <v>340</v>
      </c>
      <c r="H223" s="111" t="s">
        <v>930</v>
      </c>
      <c r="I223" s="119" t="s">
        <v>2056</v>
      </c>
      <c r="J223" s="113"/>
      <c r="K223" s="118">
        <v>2014</v>
      </c>
      <c r="L223" s="118">
        <v>10416</v>
      </c>
      <c r="M223" s="118" t="s">
        <v>13</v>
      </c>
      <c r="N223" s="70" t="s">
        <v>934</v>
      </c>
      <c r="O223" s="111" t="s">
        <v>29</v>
      </c>
      <c r="P223" s="111" t="s">
        <v>86</v>
      </c>
      <c r="Q223" s="111"/>
      <c r="R223" s="111" t="s">
        <v>145</v>
      </c>
      <c r="S223" s="111"/>
      <c r="T223" s="118"/>
      <c r="U223" s="64">
        <v>42523</v>
      </c>
      <c r="V223" s="158" t="s">
        <v>6</v>
      </c>
      <c r="W223" s="118" t="s">
        <v>935</v>
      </c>
      <c r="X223" s="113"/>
      <c r="Y223" s="117">
        <f t="shared" si="18"/>
        <v>42635</v>
      </c>
      <c r="Z223" s="117">
        <v>42660</v>
      </c>
      <c r="AA223" s="161" t="str">
        <f t="shared" ca="1" si="19"/>
        <v>NO</v>
      </c>
      <c r="AB223" s="113"/>
      <c r="AC223" s="117"/>
      <c r="AD223" s="111"/>
      <c r="AE223" s="111"/>
      <c r="AF223" s="111" t="str">
        <f t="shared" ca="1" si="20"/>
        <v>N/A</v>
      </c>
      <c r="AG223" s="162"/>
      <c r="AH223" s="162"/>
      <c r="AI223" s="164">
        <f t="shared" si="21"/>
        <v>0</v>
      </c>
      <c r="AJ223" s="118"/>
      <c r="AK223" s="113"/>
      <c r="AL223" s="118"/>
      <c r="AM223" s="165" t="str">
        <f t="shared" si="22"/>
        <v>16022 AGRANA</v>
      </c>
      <c r="AN223" s="165" t="str">
        <f t="shared" si="23"/>
        <v>16022 AGRANA : columns head deformation issue</v>
      </c>
    </row>
    <row r="224" spans="1:40" s="76" customFormat="1" ht="13" hidden="1" x14ac:dyDescent="0.3">
      <c r="A224" s="122" t="s">
        <v>936</v>
      </c>
      <c r="B224" s="116">
        <v>16023</v>
      </c>
      <c r="C224" s="113" t="s">
        <v>8</v>
      </c>
      <c r="D224" s="117">
        <v>42543</v>
      </c>
      <c r="E224" s="118" t="s">
        <v>857</v>
      </c>
      <c r="F224" s="118" t="s">
        <v>164</v>
      </c>
      <c r="G224" s="111" t="s">
        <v>538</v>
      </c>
      <c r="H224" s="111" t="s">
        <v>937</v>
      </c>
      <c r="I224" s="119" t="s">
        <v>2056</v>
      </c>
      <c r="J224" s="113"/>
      <c r="K224" s="118">
        <v>2022</v>
      </c>
      <c r="L224" s="118">
        <v>11279</v>
      </c>
      <c r="M224" s="118" t="s">
        <v>11</v>
      </c>
      <c r="N224" s="111" t="s">
        <v>938</v>
      </c>
      <c r="O224" s="111" t="s">
        <v>29</v>
      </c>
      <c r="P224" s="111" t="s">
        <v>86</v>
      </c>
      <c r="Q224" s="111"/>
      <c r="R224" s="111" t="s">
        <v>145</v>
      </c>
      <c r="S224" s="111"/>
      <c r="T224" s="118"/>
      <c r="U224" s="64">
        <v>42496</v>
      </c>
      <c r="V224" s="158" t="s">
        <v>6</v>
      </c>
      <c r="W224" s="118" t="s">
        <v>857</v>
      </c>
      <c r="X224" s="113"/>
      <c r="Y224" s="117">
        <f t="shared" si="18"/>
        <v>42635</v>
      </c>
      <c r="Z224" s="117">
        <v>42591</v>
      </c>
      <c r="AA224" s="161" t="str">
        <f t="shared" ca="1" si="19"/>
        <v>YES</v>
      </c>
      <c r="AB224" s="113"/>
      <c r="AC224" s="117"/>
      <c r="AD224" s="111"/>
      <c r="AE224" s="111"/>
      <c r="AF224" s="111" t="str">
        <f t="shared" ca="1" si="20"/>
        <v>N/A</v>
      </c>
      <c r="AG224" s="162"/>
      <c r="AH224" s="162"/>
      <c r="AI224" s="164">
        <f t="shared" si="21"/>
        <v>0</v>
      </c>
      <c r="AJ224" s="118"/>
      <c r="AK224" s="113"/>
      <c r="AL224" s="118"/>
      <c r="AM224" s="165" t="str">
        <f t="shared" si="22"/>
        <v>16023 ADM</v>
      </c>
      <c r="AN224" s="165" t="str">
        <f t="shared" si="23"/>
        <v>16023 ADM : leakage risk issue of SSMB strainers</v>
      </c>
    </row>
    <row r="225" spans="1:40" s="76" customFormat="1" ht="13" hidden="1" x14ac:dyDescent="0.3">
      <c r="A225" s="122" t="s">
        <v>939</v>
      </c>
      <c r="B225" s="116">
        <v>16024</v>
      </c>
      <c r="C225" s="113" t="s">
        <v>4</v>
      </c>
      <c r="D225" s="117">
        <v>42564</v>
      </c>
      <c r="E225" s="118" t="s">
        <v>940</v>
      </c>
      <c r="F225" s="118" t="s">
        <v>164</v>
      </c>
      <c r="G225" s="111" t="s">
        <v>340</v>
      </c>
      <c r="H225" s="111"/>
      <c r="I225" s="119" t="s">
        <v>2057</v>
      </c>
      <c r="J225" s="113"/>
      <c r="K225" s="118">
        <v>2014</v>
      </c>
      <c r="L225" s="118">
        <v>10416</v>
      </c>
      <c r="M225" s="118" t="s">
        <v>13</v>
      </c>
      <c r="N225" s="111" t="s">
        <v>941</v>
      </c>
      <c r="O225" s="111" t="s">
        <v>29</v>
      </c>
      <c r="P225" s="111" t="s">
        <v>86</v>
      </c>
      <c r="Q225" s="111" t="s">
        <v>852</v>
      </c>
      <c r="R225" s="111" t="s">
        <v>15</v>
      </c>
      <c r="S225" s="111"/>
      <c r="T225" s="118"/>
      <c r="U225" s="64">
        <v>42551</v>
      </c>
      <c r="V225" s="158" t="s">
        <v>6</v>
      </c>
      <c r="W225" s="118" t="s">
        <v>942</v>
      </c>
      <c r="X225" s="113"/>
      <c r="Y225" s="117">
        <f t="shared" si="18"/>
        <v>42656</v>
      </c>
      <c r="Z225" s="117">
        <v>42650</v>
      </c>
      <c r="AA225" s="161" t="str">
        <f t="shared" ca="1" si="19"/>
        <v>YES</v>
      </c>
      <c r="AB225" s="113"/>
      <c r="AC225" s="117"/>
      <c r="AD225" s="111"/>
      <c r="AE225" s="111"/>
      <c r="AF225" s="111" t="str">
        <f t="shared" ca="1" si="20"/>
        <v>N/A</v>
      </c>
      <c r="AG225" s="162"/>
      <c r="AH225" s="162"/>
      <c r="AI225" s="164">
        <f t="shared" si="21"/>
        <v>0</v>
      </c>
      <c r="AJ225" s="118"/>
      <c r="AK225" s="113" t="s">
        <v>880</v>
      </c>
      <c r="AL225" s="118" t="s">
        <v>943</v>
      </c>
      <c r="AM225" s="165" t="str">
        <f t="shared" si="22"/>
        <v>16024 AGRANA</v>
      </c>
      <c r="AN225" s="165" t="str">
        <f t="shared" si="23"/>
        <v>16024 AGRANA : IEX Columns : design pressure &amp; booster pumps</v>
      </c>
    </row>
    <row r="226" spans="1:40" s="76" customFormat="1" ht="13" hidden="1" x14ac:dyDescent="0.3">
      <c r="A226" s="122"/>
      <c r="B226" s="116">
        <v>16025</v>
      </c>
      <c r="C226" s="113" t="s">
        <v>8</v>
      </c>
      <c r="D226" s="117">
        <v>42578</v>
      </c>
      <c r="E226" s="118" t="s">
        <v>932</v>
      </c>
      <c r="F226" s="118" t="s">
        <v>164</v>
      </c>
      <c r="G226" s="111" t="s">
        <v>340</v>
      </c>
      <c r="H226" s="111" t="s">
        <v>739</v>
      </c>
      <c r="I226" s="119" t="s">
        <v>2056</v>
      </c>
      <c r="J226" s="113"/>
      <c r="K226" s="118">
        <v>2014</v>
      </c>
      <c r="L226" s="118">
        <v>10416</v>
      </c>
      <c r="M226" s="118" t="s">
        <v>13</v>
      </c>
      <c r="N226" s="111" t="s">
        <v>944</v>
      </c>
      <c r="O226" s="111" t="s">
        <v>29</v>
      </c>
      <c r="P226" s="111" t="s">
        <v>86</v>
      </c>
      <c r="Q226" s="111" t="s">
        <v>908</v>
      </c>
      <c r="R226" s="111" t="s">
        <v>145</v>
      </c>
      <c r="S226" s="111"/>
      <c r="T226" s="118"/>
      <c r="U226" s="64">
        <v>42559</v>
      </c>
      <c r="V226" s="158" t="s">
        <v>6</v>
      </c>
      <c r="W226" s="118" t="s">
        <v>932</v>
      </c>
      <c r="X226" s="113"/>
      <c r="Y226" s="117">
        <f t="shared" si="18"/>
        <v>42670</v>
      </c>
      <c r="Z226" s="117">
        <v>42591</v>
      </c>
      <c r="AA226" s="161" t="str">
        <f t="shared" ca="1" si="19"/>
        <v>YES</v>
      </c>
      <c r="AB226" s="113"/>
      <c r="AC226" s="117"/>
      <c r="AD226" s="111"/>
      <c r="AE226" s="111"/>
      <c r="AF226" s="111" t="str">
        <f t="shared" ca="1" si="20"/>
        <v>N/A</v>
      </c>
      <c r="AG226" s="162"/>
      <c r="AH226" s="162"/>
      <c r="AI226" s="164">
        <f t="shared" si="21"/>
        <v>0</v>
      </c>
      <c r="AJ226" s="118"/>
      <c r="AK226" s="113"/>
      <c r="AL226" s="118"/>
      <c r="AM226" s="165" t="str">
        <f t="shared" si="22"/>
        <v>16025 AGRANA</v>
      </c>
      <c r="AN226" s="165" t="str">
        <f t="shared" si="23"/>
        <v xml:space="preserve">16025 AGRANA : quality issue of PP-FRP front piping </v>
      </c>
    </row>
    <row r="227" spans="1:40" s="76" customFormat="1" ht="13" hidden="1" x14ac:dyDescent="0.3">
      <c r="A227" s="122" t="s">
        <v>945</v>
      </c>
      <c r="B227" s="116">
        <v>16026</v>
      </c>
      <c r="C227" s="113" t="s">
        <v>4</v>
      </c>
      <c r="D227" s="117">
        <v>42578</v>
      </c>
      <c r="E227" s="118" t="s">
        <v>82</v>
      </c>
      <c r="F227" s="118" t="s">
        <v>658</v>
      </c>
      <c r="G227" s="111" t="s">
        <v>823</v>
      </c>
      <c r="H227" s="111" t="s">
        <v>946</v>
      </c>
      <c r="I227" s="119" t="s">
        <v>5</v>
      </c>
      <c r="J227" s="113" t="s">
        <v>6</v>
      </c>
      <c r="K227" s="118">
        <v>1965</v>
      </c>
      <c r="L227" s="118">
        <v>9245</v>
      </c>
      <c r="M227" s="118" t="s">
        <v>672</v>
      </c>
      <c r="N227" s="111" t="s">
        <v>947</v>
      </c>
      <c r="O227" s="111" t="s">
        <v>28</v>
      </c>
      <c r="P227" s="111" t="s">
        <v>86</v>
      </c>
      <c r="Q227" s="111" t="s">
        <v>522</v>
      </c>
      <c r="R227" s="111" t="s">
        <v>145</v>
      </c>
      <c r="S227" s="111"/>
      <c r="T227" s="118" t="s">
        <v>374</v>
      </c>
      <c r="U227" s="64">
        <v>42559</v>
      </c>
      <c r="V227" s="158" t="s">
        <v>6</v>
      </c>
      <c r="W227" s="118" t="s">
        <v>116</v>
      </c>
      <c r="X227" s="113"/>
      <c r="Y227" s="117">
        <f t="shared" si="18"/>
        <v>42670</v>
      </c>
      <c r="Z227" s="117">
        <v>42832</v>
      </c>
      <c r="AA227" s="161" t="str">
        <f t="shared" ca="1" si="19"/>
        <v>NO</v>
      </c>
      <c r="AB227" s="113"/>
      <c r="AC227" s="117"/>
      <c r="AD227" s="111"/>
      <c r="AE227" s="111"/>
      <c r="AF227" s="111" t="str">
        <f t="shared" ca="1" si="20"/>
        <v/>
      </c>
      <c r="AG227" s="162"/>
      <c r="AH227" s="162"/>
      <c r="AI227" s="164">
        <f t="shared" si="21"/>
        <v>0</v>
      </c>
      <c r="AJ227" s="118" t="s">
        <v>6</v>
      </c>
      <c r="AK227" s="113">
        <v>43018</v>
      </c>
      <c r="AL227" s="118"/>
      <c r="AM227" s="165" t="str">
        <f t="shared" si="22"/>
        <v>16026 Friesland Foods GOS4</v>
      </c>
      <c r="AN227" s="165" t="str">
        <f t="shared" si="23"/>
        <v>16026 Friesland Foods GOS4 : Erreur calcul colonnes</v>
      </c>
    </row>
    <row r="228" spans="1:40" s="76" customFormat="1" ht="13" hidden="1" x14ac:dyDescent="0.3">
      <c r="A228" s="122" t="s">
        <v>948</v>
      </c>
      <c r="B228" s="116">
        <v>16027</v>
      </c>
      <c r="C228" s="113" t="s">
        <v>4</v>
      </c>
      <c r="D228" s="117">
        <v>42580</v>
      </c>
      <c r="E228" s="118" t="s">
        <v>319</v>
      </c>
      <c r="F228" s="118" t="s">
        <v>164</v>
      </c>
      <c r="G228" s="111" t="s">
        <v>925</v>
      </c>
      <c r="H228" s="111"/>
      <c r="I228" s="119" t="s">
        <v>2057</v>
      </c>
      <c r="J228" s="113"/>
      <c r="K228" s="118">
        <v>2011</v>
      </c>
      <c r="L228" s="118">
        <v>10282</v>
      </c>
      <c r="M228" s="118" t="s">
        <v>18</v>
      </c>
      <c r="N228" s="111" t="s">
        <v>949</v>
      </c>
      <c r="O228" s="111" t="s">
        <v>29</v>
      </c>
      <c r="P228" s="111" t="s">
        <v>86</v>
      </c>
      <c r="Q228" s="111" t="s">
        <v>522</v>
      </c>
      <c r="R228" s="111" t="s">
        <v>9</v>
      </c>
      <c r="S228" s="111"/>
      <c r="T228" s="118"/>
      <c r="U228" s="64"/>
      <c r="V228" s="158" t="s">
        <v>6</v>
      </c>
      <c r="W228" s="118" t="s">
        <v>120</v>
      </c>
      <c r="X228" s="113"/>
      <c r="Y228" s="117">
        <f t="shared" si="18"/>
        <v>42672</v>
      </c>
      <c r="Z228" s="117">
        <v>42663</v>
      </c>
      <c r="AA228" s="161" t="str">
        <f t="shared" ca="1" si="19"/>
        <v>YES</v>
      </c>
      <c r="AB228" s="113"/>
      <c r="AC228" s="117"/>
      <c r="AD228" s="111"/>
      <c r="AE228" s="111"/>
      <c r="AF228" s="111" t="str">
        <f t="shared" ca="1" si="20"/>
        <v>N/A</v>
      </c>
      <c r="AG228" s="162"/>
      <c r="AH228" s="162"/>
      <c r="AI228" s="164">
        <f t="shared" si="21"/>
        <v>0</v>
      </c>
      <c r="AJ228" s="118" t="s">
        <v>6</v>
      </c>
      <c r="AK228" s="113">
        <v>43027</v>
      </c>
      <c r="AL228" s="118"/>
      <c r="AM228" s="165" t="str">
        <f t="shared" si="22"/>
        <v>16027 Boccard/Nutribio</v>
      </c>
      <c r="AN228" s="165" t="str">
        <f t="shared" si="23"/>
        <v>16027 Boccard/Nutribio : Débordements collecte égouttures vannes</v>
      </c>
    </row>
    <row r="229" spans="1:40" s="76" customFormat="1" ht="13" hidden="1" x14ac:dyDescent="0.3">
      <c r="A229" s="122" t="s">
        <v>950</v>
      </c>
      <c r="B229" s="116">
        <v>16028</v>
      </c>
      <c r="C229" s="113" t="s">
        <v>4</v>
      </c>
      <c r="D229" s="117">
        <v>42580</v>
      </c>
      <c r="E229" s="118" t="s">
        <v>951</v>
      </c>
      <c r="F229" s="118" t="s">
        <v>420</v>
      </c>
      <c r="G229" s="111" t="s">
        <v>952</v>
      </c>
      <c r="H229" s="111"/>
      <c r="I229" s="119" t="s">
        <v>2058</v>
      </c>
      <c r="J229" s="113"/>
      <c r="K229" s="118" t="s">
        <v>953</v>
      </c>
      <c r="L229" s="118" t="s">
        <v>954</v>
      </c>
      <c r="M229" s="118" t="s">
        <v>955</v>
      </c>
      <c r="N229" s="111" t="s">
        <v>956</v>
      </c>
      <c r="O229" s="111" t="s">
        <v>420</v>
      </c>
      <c r="P229" s="111"/>
      <c r="Q229" s="111"/>
      <c r="R229" s="111" t="s">
        <v>9</v>
      </c>
      <c r="S229" s="111"/>
      <c r="T229" s="118"/>
      <c r="U229" s="64"/>
      <c r="V229" s="158" t="s">
        <v>6</v>
      </c>
      <c r="W229" s="118" t="s">
        <v>290</v>
      </c>
      <c r="X229" s="113"/>
      <c r="Y229" s="117">
        <f t="shared" si="18"/>
        <v>42672</v>
      </c>
      <c r="Z229" s="117">
        <v>42669</v>
      </c>
      <c r="AA229" s="161" t="str">
        <f t="shared" ca="1" si="19"/>
        <v>YES</v>
      </c>
      <c r="AB229" s="113"/>
      <c r="AC229" s="117"/>
      <c r="AD229" s="111"/>
      <c r="AE229" s="111"/>
      <c r="AF229" s="111" t="str">
        <f t="shared" ca="1" si="20"/>
        <v>N/A</v>
      </c>
      <c r="AG229" s="162"/>
      <c r="AH229" s="162"/>
      <c r="AI229" s="164">
        <f t="shared" si="21"/>
        <v>0</v>
      </c>
      <c r="AJ229" s="118" t="s">
        <v>6</v>
      </c>
      <c r="AK229" s="113">
        <v>43019</v>
      </c>
      <c r="AL229" s="118"/>
      <c r="AM229" s="165" t="str">
        <f t="shared" si="22"/>
        <v>16028 ERAMET</v>
      </c>
      <c r="AN229" s="165" t="str">
        <f t="shared" si="23"/>
        <v>16028 ERAMET : désolidarisation colonne évapo</v>
      </c>
    </row>
    <row r="230" spans="1:40" s="76" customFormat="1" ht="13" hidden="1" x14ac:dyDescent="0.3">
      <c r="A230" s="122" t="s">
        <v>957</v>
      </c>
      <c r="B230" s="116">
        <v>16029</v>
      </c>
      <c r="C230" s="113" t="s">
        <v>4</v>
      </c>
      <c r="D230" s="117">
        <v>42580</v>
      </c>
      <c r="E230" s="118" t="s">
        <v>951</v>
      </c>
      <c r="F230" s="118" t="s">
        <v>420</v>
      </c>
      <c r="G230" s="111" t="s">
        <v>952</v>
      </c>
      <c r="H230" s="111"/>
      <c r="I230" s="119" t="s">
        <v>2058</v>
      </c>
      <c r="J230" s="113"/>
      <c r="K230" s="118" t="s">
        <v>953</v>
      </c>
      <c r="L230" s="118" t="s">
        <v>954</v>
      </c>
      <c r="M230" s="118"/>
      <c r="N230" s="111" t="s">
        <v>958</v>
      </c>
      <c r="O230" s="111" t="s">
        <v>420</v>
      </c>
      <c r="P230" s="111"/>
      <c r="Q230" s="111"/>
      <c r="R230" s="111" t="s">
        <v>145</v>
      </c>
      <c r="S230" s="111"/>
      <c r="T230" s="118"/>
      <c r="U230" s="64"/>
      <c r="V230" s="158" t="s">
        <v>6</v>
      </c>
      <c r="W230" s="118" t="s">
        <v>153</v>
      </c>
      <c r="X230" s="113"/>
      <c r="Y230" s="117">
        <f t="shared" si="18"/>
        <v>42672</v>
      </c>
      <c r="Z230" s="117">
        <v>42669</v>
      </c>
      <c r="AA230" s="161" t="str">
        <f t="shared" ca="1" si="19"/>
        <v>YES</v>
      </c>
      <c r="AB230" s="113"/>
      <c r="AC230" s="117"/>
      <c r="AD230" s="111"/>
      <c r="AE230" s="111"/>
      <c r="AF230" s="111" t="str">
        <f t="shared" ca="1" si="20"/>
        <v>N/A</v>
      </c>
      <c r="AG230" s="162"/>
      <c r="AH230" s="162"/>
      <c r="AI230" s="164">
        <f t="shared" si="21"/>
        <v>0</v>
      </c>
      <c r="AJ230" s="118" t="s">
        <v>6</v>
      </c>
      <c r="AK230" s="113">
        <v>43019</v>
      </c>
      <c r="AL230" s="118"/>
      <c r="AM230" s="165" t="str">
        <f t="shared" si="22"/>
        <v>16029 ERAMET</v>
      </c>
      <c r="AN230" s="165" t="str">
        <f t="shared" si="23"/>
        <v xml:space="preserve">16029 ERAMET : présence As </v>
      </c>
    </row>
    <row r="231" spans="1:40" s="76" customFormat="1" ht="13" hidden="1" x14ac:dyDescent="0.3">
      <c r="A231" s="122" t="s">
        <v>959</v>
      </c>
      <c r="B231" s="116">
        <v>16030</v>
      </c>
      <c r="C231" s="113" t="s">
        <v>8</v>
      </c>
      <c r="D231" s="117">
        <v>42600</v>
      </c>
      <c r="E231" s="118" t="s">
        <v>441</v>
      </c>
      <c r="F231" s="118" t="s">
        <v>164</v>
      </c>
      <c r="G231" s="111" t="s">
        <v>500</v>
      </c>
      <c r="H231" s="111" t="s">
        <v>930</v>
      </c>
      <c r="I231" s="119" t="s">
        <v>2056</v>
      </c>
      <c r="J231" s="113"/>
      <c r="K231" s="118">
        <v>2015</v>
      </c>
      <c r="L231" s="118">
        <v>11722</v>
      </c>
      <c r="M231" s="118" t="s">
        <v>13</v>
      </c>
      <c r="N231" s="111" t="s">
        <v>960</v>
      </c>
      <c r="O231" s="111" t="s">
        <v>29</v>
      </c>
      <c r="P231" s="111" t="s">
        <v>86</v>
      </c>
      <c r="Q231" s="111"/>
      <c r="R231" s="111" t="s">
        <v>145</v>
      </c>
      <c r="S231" s="111"/>
      <c r="T231" s="118"/>
      <c r="U231" s="64">
        <v>42600</v>
      </c>
      <c r="V231" s="158" t="s">
        <v>6</v>
      </c>
      <c r="W231" s="118" t="s">
        <v>441</v>
      </c>
      <c r="X231" s="113"/>
      <c r="Y231" s="117">
        <f t="shared" si="18"/>
        <v>42692</v>
      </c>
      <c r="Z231" s="117">
        <v>42660</v>
      </c>
      <c r="AA231" s="161" t="str">
        <f t="shared" ca="1" si="19"/>
        <v>YES</v>
      </c>
      <c r="AB231" s="113"/>
      <c r="AC231" s="117"/>
      <c r="AD231" s="111"/>
      <c r="AE231" s="111"/>
      <c r="AF231" s="111" t="str">
        <f t="shared" ca="1" si="20"/>
        <v>N/A</v>
      </c>
      <c r="AG231" s="162"/>
      <c r="AH231" s="162"/>
      <c r="AI231" s="164">
        <f t="shared" si="21"/>
        <v>0</v>
      </c>
      <c r="AJ231" s="118"/>
      <c r="AK231" s="113"/>
      <c r="AL231" s="118"/>
      <c r="AM231" s="165" t="str">
        <f t="shared" si="22"/>
        <v>16030 RZBC</v>
      </c>
      <c r="AN231" s="165" t="str">
        <f t="shared" si="23"/>
        <v>16030 RZBC : IEX Columns : Leg strength</v>
      </c>
    </row>
    <row r="232" spans="1:40" s="76" customFormat="1" ht="13" hidden="1" x14ac:dyDescent="0.3">
      <c r="A232" s="122" t="s">
        <v>961</v>
      </c>
      <c r="B232" s="116">
        <v>16031</v>
      </c>
      <c r="C232" s="113" t="s">
        <v>4</v>
      </c>
      <c r="D232" s="117">
        <v>42608</v>
      </c>
      <c r="E232" s="118" t="s">
        <v>273</v>
      </c>
      <c r="F232" s="118" t="s">
        <v>658</v>
      </c>
      <c r="G232" s="111" t="s">
        <v>962</v>
      </c>
      <c r="H232" s="111" t="s">
        <v>334</v>
      </c>
      <c r="I232" s="119" t="s">
        <v>5</v>
      </c>
      <c r="J232" s="113"/>
      <c r="K232" s="118" t="s">
        <v>454</v>
      </c>
      <c r="L232" s="118" t="s">
        <v>963</v>
      </c>
      <c r="M232" s="118" t="s">
        <v>18</v>
      </c>
      <c r="N232" s="111" t="s">
        <v>964</v>
      </c>
      <c r="O232" s="111" t="s">
        <v>28</v>
      </c>
      <c r="P232" s="111" t="s">
        <v>103</v>
      </c>
      <c r="Q232" s="111" t="s">
        <v>176</v>
      </c>
      <c r="R232" s="111" t="s">
        <v>145</v>
      </c>
      <c r="S232" s="111"/>
      <c r="T232" s="129" t="s">
        <v>334</v>
      </c>
      <c r="U232" s="64"/>
      <c r="V232" s="158" t="s">
        <v>6</v>
      </c>
      <c r="W232" s="118" t="s">
        <v>273</v>
      </c>
      <c r="X232" s="113"/>
      <c r="Y232" s="117">
        <f t="shared" si="18"/>
        <v>42700</v>
      </c>
      <c r="Z232" s="117">
        <v>42804</v>
      </c>
      <c r="AA232" s="161" t="str">
        <f t="shared" ca="1" si="19"/>
        <v>NO</v>
      </c>
      <c r="AB232" s="113"/>
      <c r="AC232" s="117"/>
      <c r="AD232" s="111"/>
      <c r="AE232" s="111"/>
      <c r="AF232" s="111" t="str">
        <f t="shared" ca="1" si="20"/>
        <v/>
      </c>
      <c r="AG232" s="162"/>
      <c r="AH232" s="162"/>
      <c r="AI232" s="164">
        <f t="shared" si="21"/>
        <v>0</v>
      </c>
      <c r="AJ232" s="118" t="s">
        <v>6</v>
      </c>
      <c r="AK232" s="113">
        <v>43011</v>
      </c>
      <c r="AL232" s="118"/>
      <c r="AM232" s="165" t="str">
        <f t="shared" si="22"/>
        <v>16031 Polypeptide Laboratories</v>
      </c>
      <c r="AN232" s="165" t="str">
        <f t="shared" si="23"/>
        <v xml:space="preserve">16031 Polypeptide Laboratories : corrosion corps de pompe d'alimentation </v>
      </c>
    </row>
    <row r="233" spans="1:40" s="76" customFormat="1" ht="13" hidden="1" x14ac:dyDescent="0.3">
      <c r="A233" s="122" t="s">
        <v>965</v>
      </c>
      <c r="B233" s="116">
        <v>16032</v>
      </c>
      <c r="C233" s="113" t="s">
        <v>4</v>
      </c>
      <c r="D233" s="117">
        <v>42619</v>
      </c>
      <c r="E233" s="118" t="s">
        <v>294</v>
      </c>
      <c r="F233" s="118" t="s">
        <v>164</v>
      </c>
      <c r="G233" s="111" t="s">
        <v>814</v>
      </c>
      <c r="H233" s="111" t="s">
        <v>966</v>
      </c>
      <c r="I233" s="119" t="s">
        <v>2057</v>
      </c>
      <c r="J233" s="113"/>
      <c r="K233" s="118">
        <v>2002</v>
      </c>
      <c r="L233" s="118">
        <v>10510</v>
      </c>
      <c r="M233" s="118" t="s">
        <v>672</v>
      </c>
      <c r="N233" s="111" t="s">
        <v>967</v>
      </c>
      <c r="O233" s="111" t="s">
        <v>29</v>
      </c>
      <c r="P233" s="111" t="s">
        <v>86</v>
      </c>
      <c r="Q233" s="111" t="s">
        <v>522</v>
      </c>
      <c r="R233" s="111" t="s">
        <v>9</v>
      </c>
      <c r="S233" s="111"/>
      <c r="T233" s="118"/>
      <c r="U233" s="64"/>
      <c r="V233" s="158" t="s">
        <v>10</v>
      </c>
      <c r="W233" s="118"/>
      <c r="X233" s="113"/>
      <c r="Y233" s="117">
        <f t="shared" si="18"/>
        <v>42710</v>
      </c>
      <c r="Z233" s="117">
        <v>42669</v>
      </c>
      <c r="AA233" s="161" t="str">
        <f t="shared" ca="1" si="19"/>
        <v>YES</v>
      </c>
      <c r="AB233" s="113"/>
      <c r="AC233" s="117"/>
      <c r="AD233" s="111"/>
      <c r="AE233" s="111"/>
      <c r="AF233" s="111" t="str">
        <f t="shared" ca="1" si="20"/>
        <v>N/A</v>
      </c>
      <c r="AG233" s="162"/>
      <c r="AH233" s="162"/>
      <c r="AI233" s="164">
        <f t="shared" si="21"/>
        <v>0</v>
      </c>
      <c r="AJ233" s="118" t="s">
        <v>6</v>
      </c>
      <c r="AK233" s="113">
        <v>43018</v>
      </c>
      <c r="AL233" s="118"/>
      <c r="AM233" s="165" t="str">
        <f t="shared" si="22"/>
        <v>16032 Al Nouran</v>
      </c>
      <c r="AN233" s="165" t="str">
        <f t="shared" si="23"/>
        <v>16032 Al Nouran : Revêtement anti-corrosion sur tuyauteries</v>
      </c>
    </row>
    <row r="234" spans="1:40" s="76" customFormat="1" ht="13" hidden="1" x14ac:dyDescent="0.3">
      <c r="A234" s="122" t="s">
        <v>968</v>
      </c>
      <c r="B234" s="116">
        <v>16033</v>
      </c>
      <c r="C234" s="113" t="s">
        <v>4</v>
      </c>
      <c r="D234" s="117">
        <v>42626</v>
      </c>
      <c r="E234" s="118" t="s">
        <v>221</v>
      </c>
      <c r="F234" s="118" t="s">
        <v>164</v>
      </c>
      <c r="G234" s="111" t="s">
        <v>969</v>
      </c>
      <c r="H234" s="111" t="s">
        <v>970</v>
      </c>
      <c r="I234" s="119" t="s">
        <v>5</v>
      </c>
      <c r="J234" s="113"/>
      <c r="K234" s="118">
        <v>1990</v>
      </c>
      <c r="L234" s="118">
        <v>9838</v>
      </c>
      <c r="M234" s="118" t="s">
        <v>7</v>
      </c>
      <c r="N234" s="111" t="s">
        <v>971</v>
      </c>
      <c r="O234" s="111" t="s">
        <v>29</v>
      </c>
      <c r="P234" s="111" t="s">
        <v>86</v>
      </c>
      <c r="Q234" s="111" t="s">
        <v>916</v>
      </c>
      <c r="R234" s="111" t="s">
        <v>145</v>
      </c>
      <c r="S234" s="111"/>
      <c r="T234" s="129" t="s">
        <v>972</v>
      </c>
      <c r="U234" s="64"/>
      <c r="V234" s="158" t="s">
        <v>6</v>
      </c>
      <c r="W234" s="118" t="s">
        <v>224</v>
      </c>
      <c r="X234" s="113"/>
      <c r="Y234" s="117">
        <f t="shared" si="18"/>
        <v>42717</v>
      </c>
      <c r="Z234" s="117">
        <v>42858</v>
      </c>
      <c r="AA234" s="161" t="str">
        <f t="shared" ca="1" si="19"/>
        <v>NO</v>
      </c>
      <c r="AB234" s="113"/>
      <c r="AC234" s="117">
        <v>42627</v>
      </c>
      <c r="AD234" s="169" t="s">
        <v>973</v>
      </c>
      <c r="AE234" s="172">
        <v>42858</v>
      </c>
      <c r="AF234" s="111" t="str">
        <f t="shared" ca="1" si="20"/>
        <v>YES</v>
      </c>
      <c r="AG234" s="162"/>
      <c r="AH234" s="162"/>
      <c r="AI234" s="164">
        <f t="shared" si="21"/>
        <v>0</v>
      </c>
      <c r="AJ234" s="118" t="s">
        <v>6</v>
      </c>
      <c r="AK234" s="113">
        <v>43059</v>
      </c>
      <c r="AL234" s="118"/>
      <c r="AM234" s="165" t="str">
        <f t="shared" si="22"/>
        <v xml:space="preserve">16033 Tetrapak </v>
      </c>
      <c r="AN234" s="165" t="str">
        <f t="shared" si="23"/>
        <v>16033 Tetrapak  : Rupture tuyau soude sur ED</v>
      </c>
    </row>
    <row r="235" spans="1:40" s="76" customFormat="1" ht="13" hidden="1" x14ac:dyDescent="0.3">
      <c r="A235" s="122" t="s">
        <v>974</v>
      </c>
      <c r="B235" s="116">
        <v>16034</v>
      </c>
      <c r="C235" s="113" t="s">
        <v>4</v>
      </c>
      <c r="D235" s="117">
        <v>42627</v>
      </c>
      <c r="E235" s="118" t="s">
        <v>319</v>
      </c>
      <c r="F235" s="118" t="s">
        <v>164</v>
      </c>
      <c r="G235" s="111" t="s">
        <v>591</v>
      </c>
      <c r="H235" s="111"/>
      <c r="I235" s="119" t="s">
        <v>2057</v>
      </c>
      <c r="J235" s="113"/>
      <c r="K235" s="118">
        <v>1976</v>
      </c>
      <c r="L235" s="118">
        <v>8531</v>
      </c>
      <c r="M235" s="118" t="s">
        <v>975</v>
      </c>
      <c r="N235" s="111" t="s">
        <v>976</v>
      </c>
      <c r="O235" s="111" t="s">
        <v>29</v>
      </c>
      <c r="P235" s="111" t="s">
        <v>86</v>
      </c>
      <c r="Q235" s="111" t="s">
        <v>522</v>
      </c>
      <c r="R235" s="111" t="s">
        <v>9</v>
      </c>
      <c r="S235" s="111"/>
      <c r="T235" s="118"/>
      <c r="U235" s="64"/>
      <c r="V235" s="158" t="s">
        <v>6</v>
      </c>
      <c r="W235" s="118" t="s">
        <v>120</v>
      </c>
      <c r="X235" s="113"/>
      <c r="Y235" s="117">
        <f t="shared" si="18"/>
        <v>42718</v>
      </c>
      <c r="Z235" s="117">
        <v>42695</v>
      </c>
      <c r="AA235" s="161" t="str">
        <f t="shared" ca="1" si="19"/>
        <v>YES</v>
      </c>
      <c r="AB235" s="113"/>
      <c r="AC235" s="117"/>
      <c r="AD235" s="111"/>
      <c r="AE235" s="111"/>
      <c r="AF235" s="111" t="str">
        <f t="shared" ca="1" si="20"/>
        <v>N/A</v>
      </c>
      <c r="AG235" s="162"/>
      <c r="AH235" s="162"/>
      <c r="AI235" s="164">
        <f t="shared" si="21"/>
        <v>0</v>
      </c>
      <c r="AJ235" s="118" t="s">
        <v>6</v>
      </c>
      <c r="AK235" s="113">
        <v>43027</v>
      </c>
      <c r="AL235" s="118"/>
      <c r="AM235" s="165" t="str">
        <f t="shared" si="22"/>
        <v xml:space="preserve">16034 Tanichem </v>
      </c>
      <c r="AN235" s="165" t="str">
        <f t="shared" si="23"/>
        <v>16034 Tanichem  : Accessibility and ergonomic improvements</v>
      </c>
    </row>
    <row r="236" spans="1:40" s="76" customFormat="1" ht="13" hidden="1" x14ac:dyDescent="0.3">
      <c r="A236" s="122" t="s">
        <v>977</v>
      </c>
      <c r="B236" s="116">
        <v>16035</v>
      </c>
      <c r="C236" s="113" t="s">
        <v>4</v>
      </c>
      <c r="D236" s="117">
        <v>42627</v>
      </c>
      <c r="E236" s="118" t="s">
        <v>319</v>
      </c>
      <c r="F236" s="118" t="s">
        <v>164</v>
      </c>
      <c r="G236" s="111" t="s">
        <v>591</v>
      </c>
      <c r="H236" s="111"/>
      <c r="I236" s="119" t="s">
        <v>2057</v>
      </c>
      <c r="J236" s="113"/>
      <c r="K236" s="118">
        <v>1976</v>
      </c>
      <c r="L236" s="118">
        <v>8531</v>
      </c>
      <c r="M236" s="118" t="s">
        <v>975</v>
      </c>
      <c r="N236" s="111" t="s">
        <v>978</v>
      </c>
      <c r="O236" s="111" t="s">
        <v>29</v>
      </c>
      <c r="P236" s="111" t="s">
        <v>86</v>
      </c>
      <c r="Q236" s="111" t="s">
        <v>522</v>
      </c>
      <c r="R236" s="111" t="s">
        <v>9</v>
      </c>
      <c r="S236" s="111"/>
      <c r="T236" s="118"/>
      <c r="U236" s="64"/>
      <c r="V236" s="158" t="s">
        <v>6</v>
      </c>
      <c r="W236" s="118" t="s">
        <v>120</v>
      </c>
      <c r="X236" s="113"/>
      <c r="Y236" s="117">
        <f t="shared" si="18"/>
        <v>42718</v>
      </c>
      <c r="Z236" s="117">
        <v>42695</v>
      </c>
      <c r="AA236" s="161" t="str">
        <f t="shared" ca="1" si="19"/>
        <v>YES</v>
      </c>
      <c r="AB236" s="113"/>
      <c r="AC236" s="117"/>
      <c r="AD236" s="111"/>
      <c r="AE236" s="111"/>
      <c r="AF236" s="111" t="str">
        <f t="shared" ca="1" si="20"/>
        <v>N/A</v>
      </c>
      <c r="AG236" s="162"/>
      <c r="AH236" s="162"/>
      <c r="AI236" s="164">
        <f t="shared" si="21"/>
        <v>0</v>
      </c>
      <c r="AJ236" s="118" t="s">
        <v>6</v>
      </c>
      <c r="AK236" s="113">
        <v>43027</v>
      </c>
      <c r="AL236" s="118"/>
      <c r="AM236" s="165" t="str">
        <f t="shared" si="22"/>
        <v xml:space="preserve">16035 Tanichem </v>
      </c>
      <c r="AN236" s="165" t="str">
        <f t="shared" si="23"/>
        <v>16035 Tanichem  : Design issues (insulation, rupture discs spec)</v>
      </c>
    </row>
    <row r="237" spans="1:40" s="76" customFormat="1" ht="13" hidden="1" x14ac:dyDescent="0.3">
      <c r="A237" s="122" t="s">
        <v>979</v>
      </c>
      <c r="B237" s="116">
        <v>16036</v>
      </c>
      <c r="C237" s="113" t="s">
        <v>4</v>
      </c>
      <c r="D237" s="117">
        <v>42627</v>
      </c>
      <c r="E237" s="118" t="s">
        <v>319</v>
      </c>
      <c r="F237" s="118" t="s">
        <v>164</v>
      </c>
      <c r="G237" s="111" t="s">
        <v>591</v>
      </c>
      <c r="H237" s="111" t="s">
        <v>930</v>
      </c>
      <c r="I237" s="119" t="s">
        <v>2057</v>
      </c>
      <c r="J237" s="113"/>
      <c r="K237" s="118">
        <v>1976</v>
      </c>
      <c r="L237" s="118">
        <v>8531</v>
      </c>
      <c r="M237" s="118" t="s">
        <v>975</v>
      </c>
      <c r="N237" s="111" t="s">
        <v>980</v>
      </c>
      <c r="O237" s="111" t="s">
        <v>29</v>
      </c>
      <c r="P237" s="111" t="s">
        <v>86</v>
      </c>
      <c r="Q237" s="111" t="s">
        <v>522</v>
      </c>
      <c r="R237" s="111" t="s">
        <v>145</v>
      </c>
      <c r="S237" s="111"/>
      <c r="T237" s="118"/>
      <c r="U237" s="64"/>
      <c r="V237" s="158" t="s">
        <v>6</v>
      </c>
      <c r="W237" s="118" t="s">
        <v>120</v>
      </c>
      <c r="X237" s="113"/>
      <c r="Y237" s="117">
        <f t="shared" si="18"/>
        <v>42718</v>
      </c>
      <c r="Z237" s="117">
        <v>42717</v>
      </c>
      <c r="AA237" s="161" t="str">
        <f t="shared" ca="1" si="19"/>
        <v>YES</v>
      </c>
      <c r="AB237" s="113"/>
      <c r="AC237" s="117"/>
      <c r="AD237" s="111"/>
      <c r="AE237" s="111"/>
      <c r="AF237" s="111" t="str">
        <f t="shared" ca="1" si="20"/>
        <v>N/A</v>
      </c>
      <c r="AG237" s="162"/>
      <c r="AH237" s="162"/>
      <c r="AI237" s="164">
        <f t="shared" si="21"/>
        <v>0</v>
      </c>
      <c r="AJ237" s="118" t="s">
        <v>6</v>
      </c>
      <c r="AK237" s="113">
        <v>43018</v>
      </c>
      <c r="AL237" s="118"/>
      <c r="AM237" s="165" t="str">
        <f t="shared" si="22"/>
        <v xml:space="preserve">16036 Tanichem </v>
      </c>
      <c r="AN237" s="165" t="str">
        <f t="shared" si="23"/>
        <v>16036 Tanichem  : Welds on reactor after ASME certification</v>
      </c>
    </row>
    <row r="238" spans="1:40" s="76" customFormat="1" ht="13" hidden="1" x14ac:dyDescent="0.3">
      <c r="A238" s="122" t="s">
        <v>981</v>
      </c>
      <c r="B238" s="116">
        <v>16037</v>
      </c>
      <c r="C238" s="113" t="s">
        <v>4</v>
      </c>
      <c r="D238" s="117">
        <v>42643</v>
      </c>
      <c r="E238" s="118" t="s">
        <v>763</v>
      </c>
      <c r="F238" s="118" t="s">
        <v>164</v>
      </c>
      <c r="G238" s="111" t="s">
        <v>596</v>
      </c>
      <c r="H238" s="111"/>
      <c r="I238" s="119" t="s">
        <v>5</v>
      </c>
      <c r="J238" s="113"/>
      <c r="K238" s="118">
        <v>1980</v>
      </c>
      <c r="L238" s="118">
        <v>9726</v>
      </c>
      <c r="M238" s="118" t="s">
        <v>18</v>
      </c>
      <c r="N238" s="111" t="s">
        <v>982</v>
      </c>
      <c r="O238" s="111" t="s">
        <v>29</v>
      </c>
      <c r="P238" s="111" t="s">
        <v>86</v>
      </c>
      <c r="Q238" s="111" t="s">
        <v>916</v>
      </c>
      <c r="R238" s="111" t="s">
        <v>12</v>
      </c>
      <c r="S238" s="111"/>
      <c r="T238" s="118"/>
      <c r="U238" s="64"/>
      <c r="V238" s="158" t="s">
        <v>6</v>
      </c>
      <c r="W238" s="118" t="s">
        <v>763</v>
      </c>
      <c r="X238" s="113"/>
      <c r="Y238" s="117">
        <f t="shared" si="18"/>
        <v>42734</v>
      </c>
      <c r="Z238" s="117">
        <v>43028</v>
      </c>
      <c r="AA238" s="161" t="str">
        <f t="shared" ca="1" si="19"/>
        <v>NO</v>
      </c>
      <c r="AB238" s="113"/>
      <c r="AC238" s="117">
        <v>42647</v>
      </c>
      <c r="AD238" s="169">
        <v>42794</v>
      </c>
      <c r="AE238" s="172">
        <v>43028</v>
      </c>
      <c r="AF238" s="111" t="str">
        <f t="shared" ca="1" si="20"/>
        <v>NO</v>
      </c>
      <c r="AG238" s="162"/>
      <c r="AH238" s="162"/>
      <c r="AI238" s="164">
        <f t="shared" si="21"/>
        <v>0</v>
      </c>
      <c r="AJ238" s="118"/>
      <c r="AK238" s="113" t="s">
        <v>983</v>
      </c>
      <c r="AL238" s="118"/>
      <c r="AM238" s="165" t="str">
        <f t="shared" si="22"/>
        <v>16037 Conaprole</v>
      </c>
      <c r="AN238" s="165" t="str">
        <f t="shared" si="23"/>
        <v>16037 Conaprole : protein content lower than contractual guaranty</v>
      </c>
    </row>
    <row r="239" spans="1:40" s="76" customFormat="1" ht="13" hidden="1" x14ac:dyDescent="0.3">
      <c r="A239" s="122" t="s">
        <v>984</v>
      </c>
      <c r="B239" s="116">
        <v>16038</v>
      </c>
      <c r="C239" s="113" t="s">
        <v>4</v>
      </c>
      <c r="D239" s="117">
        <v>42646</v>
      </c>
      <c r="E239" s="118" t="s">
        <v>82</v>
      </c>
      <c r="F239" s="118" t="s">
        <v>658</v>
      </c>
      <c r="G239" s="111" t="s">
        <v>985</v>
      </c>
      <c r="H239" s="111" t="s">
        <v>357</v>
      </c>
      <c r="I239" s="119" t="s">
        <v>5</v>
      </c>
      <c r="J239" s="113"/>
      <c r="K239" s="118" t="s">
        <v>454</v>
      </c>
      <c r="L239" s="118" t="s">
        <v>986</v>
      </c>
      <c r="M239" s="118" t="s">
        <v>338</v>
      </c>
      <c r="N239" s="111" t="s">
        <v>987</v>
      </c>
      <c r="O239" s="111" t="s">
        <v>28</v>
      </c>
      <c r="P239" s="111" t="s">
        <v>103</v>
      </c>
      <c r="Q239" s="111" t="s">
        <v>176</v>
      </c>
      <c r="R239" s="111" t="s">
        <v>9</v>
      </c>
      <c r="S239" s="111"/>
      <c r="T239" s="118"/>
      <c r="U239" s="64"/>
      <c r="V239" s="158" t="s">
        <v>6</v>
      </c>
      <c r="W239" s="118" t="s">
        <v>82</v>
      </c>
      <c r="X239" s="113"/>
      <c r="Y239" s="117">
        <f t="shared" si="18"/>
        <v>42738</v>
      </c>
      <c r="Z239" s="117">
        <v>42737</v>
      </c>
      <c r="AA239" s="161" t="str">
        <f t="shared" ca="1" si="19"/>
        <v>YES</v>
      </c>
      <c r="AB239" s="113"/>
      <c r="AC239" s="117"/>
      <c r="AD239" s="111"/>
      <c r="AE239" s="111"/>
      <c r="AF239" s="111" t="str">
        <f t="shared" ca="1" si="20"/>
        <v/>
      </c>
      <c r="AG239" s="162"/>
      <c r="AH239" s="162"/>
      <c r="AI239" s="164">
        <f t="shared" si="21"/>
        <v>0</v>
      </c>
      <c r="AJ239" s="118" t="s">
        <v>6</v>
      </c>
      <c r="AK239" s="113">
        <v>43011</v>
      </c>
      <c r="AL239" s="118"/>
      <c r="AM239" s="165" t="str">
        <f t="shared" si="22"/>
        <v>16038 CJ Brésil</v>
      </c>
      <c r="AN239" s="165" t="str">
        <f t="shared" si="23"/>
        <v>16038 CJ Brésil : Kerasep membrane lifetime</v>
      </c>
    </row>
    <row r="240" spans="1:40" s="76" customFormat="1" ht="13" hidden="1" x14ac:dyDescent="0.3">
      <c r="A240" s="122" t="s">
        <v>988</v>
      </c>
      <c r="B240" s="116">
        <v>16039</v>
      </c>
      <c r="C240" s="113" t="s">
        <v>4</v>
      </c>
      <c r="D240" s="117">
        <v>42649</v>
      </c>
      <c r="E240" s="118" t="s">
        <v>864</v>
      </c>
      <c r="F240" s="118" t="s">
        <v>164</v>
      </c>
      <c r="G240" s="111" t="s">
        <v>895</v>
      </c>
      <c r="H240" s="111" t="s">
        <v>896</v>
      </c>
      <c r="I240" s="119" t="s">
        <v>5</v>
      </c>
      <c r="J240" s="113"/>
      <c r="K240" s="118">
        <v>1981</v>
      </c>
      <c r="L240" s="118">
        <v>9922</v>
      </c>
      <c r="M240" s="118" t="s">
        <v>13</v>
      </c>
      <c r="N240" s="111" t="s">
        <v>897</v>
      </c>
      <c r="O240" s="111" t="s">
        <v>29</v>
      </c>
      <c r="P240" s="111" t="s">
        <v>86</v>
      </c>
      <c r="Q240" s="111"/>
      <c r="R240" s="111" t="s">
        <v>9</v>
      </c>
      <c r="S240" s="111"/>
      <c r="T240" s="118"/>
      <c r="U240" s="64"/>
      <c r="V240" s="158" t="s">
        <v>6</v>
      </c>
      <c r="W240" s="118" t="s">
        <v>864</v>
      </c>
      <c r="X240" s="113"/>
      <c r="Y240" s="117">
        <f t="shared" si="18"/>
        <v>42741</v>
      </c>
      <c r="Z240" s="117">
        <v>42943</v>
      </c>
      <c r="AA240" s="161" t="str">
        <f t="shared" ca="1" si="19"/>
        <v>NO</v>
      </c>
      <c r="AB240" s="113"/>
      <c r="AC240" s="117">
        <v>42632</v>
      </c>
      <c r="AD240" s="169">
        <v>43100</v>
      </c>
      <c r="AE240" s="169">
        <v>42917</v>
      </c>
      <c r="AF240" s="111" t="str">
        <f t="shared" ca="1" si="20"/>
        <v>YES</v>
      </c>
      <c r="AG240" s="162"/>
      <c r="AH240" s="162"/>
      <c r="AI240" s="164">
        <f t="shared" si="21"/>
        <v>0</v>
      </c>
      <c r="AJ240" s="118"/>
      <c r="AK240" s="113" t="s">
        <v>886</v>
      </c>
      <c r="AL240" s="118"/>
      <c r="AM240" s="165" t="str">
        <f t="shared" si="22"/>
        <v>16039 Glanbia</v>
      </c>
      <c r="AN240" s="165" t="str">
        <f t="shared" si="23"/>
        <v>16039 Glanbia : bent nozzles and leaking fine mesch resin</v>
      </c>
    </row>
    <row r="241" spans="1:40" s="76" customFormat="1" ht="13" hidden="1" x14ac:dyDescent="0.3">
      <c r="A241" s="122" t="s">
        <v>989</v>
      </c>
      <c r="B241" s="116">
        <v>16040</v>
      </c>
      <c r="C241" s="113" t="s">
        <v>8</v>
      </c>
      <c r="D241" s="117">
        <v>42661</v>
      </c>
      <c r="E241" s="118" t="s">
        <v>932</v>
      </c>
      <c r="F241" s="118" t="s">
        <v>164</v>
      </c>
      <c r="G241" s="111" t="s">
        <v>990</v>
      </c>
      <c r="H241" s="111"/>
      <c r="I241" s="119" t="s">
        <v>14</v>
      </c>
      <c r="J241" s="113"/>
      <c r="K241" s="118">
        <v>1991</v>
      </c>
      <c r="L241" s="118">
        <v>10138</v>
      </c>
      <c r="M241" s="118" t="s">
        <v>672</v>
      </c>
      <c r="N241" s="111" t="s">
        <v>991</v>
      </c>
      <c r="O241" s="111" t="s">
        <v>29</v>
      </c>
      <c r="P241" s="111" t="s">
        <v>86</v>
      </c>
      <c r="Q241" s="111" t="s">
        <v>992</v>
      </c>
      <c r="R241" s="111" t="s">
        <v>9</v>
      </c>
      <c r="S241" s="111"/>
      <c r="T241" s="118"/>
      <c r="U241" s="64">
        <v>42618</v>
      </c>
      <c r="V241" s="158" t="s">
        <v>6</v>
      </c>
      <c r="W241" s="118" t="s">
        <v>932</v>
      </c>
      <c r="X241" s="113"/>
      <c r="Y241" s="117">
        <f t="shared" si="18"/>
        <v>42753</v>
      </c>
      <c r="Z241" s="117">
        <v>42681</v>
      </c>
      <c r="AA241" s="161" t="str">
        <f t="shared" ca="1" si="19"/>
        <v>YES</v>
      </c>
      <c r="AB241" s="113"/>
      <c r="AC241" s="117"/>
      <c r="AD241" s="111"/>
      <c r="AE241" s="111"/>
      <c r="AF241" s="111" t="str">
        <f t="shared" ca="1" si="20"/>
        <v>N/A</v>
      </c>
      <c r="AG241" s="162"/>
      <c r="AH241" s="162"/>
      <c r="AI241" s="164">
        <f t="shared" si="21"/>
        <v>0</v>
      </c>
      <c r="AJ241" s="118"/>
      <c r="AK241" s="113"/>
      <c r="AL241" s="118"/>
      <c r="AM241" s="165" t="str">
        <f t="shared" si="22"/>
        <v>16040 KLIM</v>
      </c>
      <c r="AN241" s="165" t="str">
        <f t="shared" si="23"/>
        <v xml:space="preserve">16040 KLIM : column installed with wrong orientation </v>
      </c>
    </row>
    <row r="242" spans="1:40" s="76" customFormat="1" ht="13" hidden="1" x14ac:dyDescent="0.3">
      <c r="A242" s="122"/>
      <c r="B242" s="116">
        <v>16041</v>
      </c>
      <c r="C242" s="113" t="s">
        <v>8</v>
      </c>
      <c r="D242" s="117">
        <v>42662</v>
      </c>
      <c r="E242" s="118" t="s">
        <v>993</v>
      </c>
      <c r="F242" s="118" t="s">
        <v>164</v>
      </c>
      <c r="G242" s="111" t="s">
        <v>994</v>
      </c>
      <c r="H242" s="111"/>
      <c r="I242" s="119" t="s">
        <v>14</v>
      </c>
      <c r="J242" s="113"/>
      <c r="K242" s="118">
        <v>2016</v>
      </c>
      <c r="L242" s="118">
        <v>11478</v>
      </c>
      <c r="M242" s="118" t="s">
        <v>13</v>
      </c>
      <c r="N242" s="111" t="s">
        <v>995</v>
      </c>
      <c r="O242" s="111" t="s">
        <v>29</v>
      </c>
      <c r="P242" s="111" t="s">
        <v>86</v>
      </c>
      <c r="Q242" s="111"/>
      <c r="R242" s="111" t="s">
        <v>9</v>
      </c>
      <c r="S242" s="111"/>
      <c r="T242" s="118"/>
      <c r="U242" s="64">
        <v>42621</v>
      </c>
      <c r="V242" s="158" t="s">
        <v>6</v>
      </c>
      <c r="W242" s="118" t="s">
        <v>993</v>
      </c>
      <c r="X242" s="113"/>
      <c r="Y242" s="117">
        <f t="shared" si="18"/>
        <v>42754</v>
      </c>
      <c r="Z242" s="117">
        <v>42681</v>
      </c>
      <c r="AA242" s="161" t="str">
        <f t="shared" ca="1" si="19"/>
        <v>YES</v>
      </c>
      <c r="AB242" s="113"/>
      <c r="AC242" s="117"/>
      <c r="AD242" s="111"/>
      <c r="AE242" s="111"/>
      <c r="AF242" s="111" t="str">
        <f t="shared" ca="1" si="20"/>
        <v>N/A</v>
      </c>
      <c r="AG242" s="162"/>
      <c r="AH242" s="162"/>
      <c r="AI242" s="164">
        <f t="shared" si="21"/>
        <v>0</v>
      </c>
      <c r="AJ242" s="118"/>
      <c r="AK242" s="113"/>
      <c r="AL242" s="118"/>
      <c r="AM242" s="165" t="str">
        <f t="shared" si="22"/>
        <v>16041 Shuangqiao</v>
      </c>
      <c r="AN242" s="165" t="str">
        <f t="shared" si="23"/>
        <v>16041 Shuangqiao : internals  assembling  of IEX column</v>
      </c>
    </row>
    <row r="243" spans="1:40" s="76" customFormat="1" ht="13" hidden="1" x14ac:dyDescent="0.3">
      <c r="A243" s="122" t="s">
        <v>996</v>
      </c>
      <c r="B243" s="116">
        <v>16042</v>
      </c>
      <c r="C243" s="113" t="s">
        <v>4</v>
      </c>
      <c r="D243" s="117">
        <v>42664</v>
      </c>
      <c r="E243" s="118" t="s">
        <v>621</v>
      </c>
      <c r="F243" s="118" t="s">
        <v>164</v>
      </c>
      <c r="G243" s="111" t="s">
        <v>591</v>
      </c>
      <c r="H243" s="111"/>
      <c r="I243" s="119" t="s">
        <v>2057</v>
      </c>
      <c r="J243" s="113"/>
      <c r="K243" s="118">
        <v>1976</v>
      </c>
      <c r="L243" s="118">
        <v>8531</v>
      </c>
      <c r="M243" s="118" t="s">
        <v>975</v>
      </c>
      <c r="N243" s="111" t="s">
        <v>997</v>
      </c>
      <c r="O243" s="111" t="s">
        <v>29</v>
      </c>
      <c r="P243" s="111" t="s">
        <v>86</v>
      </c>
      <c r="Q243" s="111" t="s">
        <v>605</v>
      </c>
      <c r="R243" s="111" t="s">
        <v>145</v>
      </c>
      <c r="S243" s="111"/>
      <c r="T243" s="118"/>
      <c r="U243" s="64"/>
      <c r="V243" s="158" t="s">
        <v>6</v>
      </c>
      <c r="W243" s="118" t="s">
        <v>621</v>
      </c>
      <c r="X243" s="113"/>
      <c r="Y243" s="117">
        <f t="shared" si="18"/>
        <v>42756</v>
      </c>
      <c r="Z243" s="117">
        <v>42754</v>
      </c>
      <c r="AA243" s="161" t="str">
        <f t="shared" ca="1" si="19"/>
        <v>YES</v>
      </c>
      <c r="AB243" s="113"/>
      <c r="AC243" s="117"/>
      <c r="AD243" s="111"/>
      <c r="AE243" s="111"/>
      <c r="AF243" s="111" t="str">
        <f t="shared" ca="1" si="20"/>
        <v>N/A</v>
      </c>
      <c r="AG243" s="162"/>
      <c r="AH243" s="162"/>
      <c r="AI243" s="164">
        <f t="shared" si="21"/>
        <v>0</v>
      </c>
      <c r="AJ243" s="118" t="s">
        <v>6</v>
      </c>
      <c r="AK243" s="113">
        <v>43011</v>
      </c>
      <c r="AL243" s="118"/>
      <c r="AM243" s="165" t="str">
        <f t="shared" si="22"/>
        <v xml:space="preserve">16042 Tanichem </v>
      </c>
      <c r="AN243" s="165" t="str">
        <f t="shared" si="23"/>
        <v>16042 Tanichem  : Non raccordement arrêts d'urgence</v>
      </c>
    </row>
    <row r="244" spans="1:40" s="76" customFormat="1" ht="13" hidden="1" x14ac:dyDescent="0.3">
      <c r="A244" s="122" t="s">
        <v>998</v>
      </c>
      <c r="B244" s="116">
        <v>16043</v>
      </c>
      <c r="C244" s="113" t="s">
        <v>4</v>
      </c>
      <c r="D244" s="117">
        <v>42664</v>
      </c>
      <c r="E244" s="118" t="s">
        <v>621</v>
      </c>
      <c r="F244" s="118" t="s">
        <v>164</v>
      </c>
      <c r="G244" s="111" t="s">
        <v>591</v>
      </c>
      <c r="H244" s="111"/>
      <c r="I244" s="119" t="s">
        <v>2057</v>
      </c>
      <c r="J244" s="113"/>
      <c r="K244" s="118">
        <v>1976</v>
      </c>
      <c r="L244" s="118">
        <v>8531</v>
      </c>
      <c r="M244" s="118" t="s">
        <v>975</v>
      </c>
      <c r="N244" s="111" t="s">
        <v>999</v>
      </c>
      <c r="O244" s="111" t="s">
        <v>29</v>
      </c>
      <c r="P244" s="111" t="s">
        <v>86</v>
      </c>
      <c r="Q244" s="111" t="s">
        <v>605</v>
      </c>
      <c r="R244" s="111" t="s">
        <v>12</v>
      </c>
      <c r="S244" s="111"/>
      <c r="T244" s="118"/>
      <c r="U244" s="64"/>
      <c r="V244" s="158" t="s">
        <v>6</v>
      </c>
      <c r="W244" s="118" t="s">
        <v>621</v>
      </c>
      <c r="X244" s="113"/>
      <c r="Y244" s="117">
        <f t="shared" si="18"/>
        <v>42756</v>
      </c>
      <c r="Z244" s="117">
        <v>42754</v>
      </c>
      <c r="AA244" s="161" t="str">
        <f t="shared" ca="1" si="19"/>
        <v>YES</v>
      </c>
      <c r="AB244" s="113"/>
      <c r="AC244" s="117"/>
      <c r="AD244" s="111"/>
      <c r="AE244" s="111"/>
      <c r="AF244" s="111" t="str">
        <f t="shared" ca="1" si="20"/>
        <v>N/A</v>
      </c>
      <c r="AG244" s="162"/>
      <c r="AH244" s="162"/>
      <c r="AI244" s="164">
        <f t="shared" si="21"/>
        <v>0</v>
      </c>
      <c r="AJ244" s="118" t="s">
        <v>6</v>
      </c>
      <c r="AK244" s="113">
        <v>43011</v>
      </c>
      <c r="AL244" s="118"/>
      <c r="AM244" s="165" t="str">
        <f t="shared" si="22"/>
        <v xml:space="preserve">16043 Tanichem </v>
      </c>
      <c r="AN244" s="165" t="str">
        <f t="shared" si="23"/>
        <v>16043 Tanichem  : Equipements automatisme détériorés</v>
      </c>
    </row>
    <row r="245" spans="1:40" s="76" customFormat="1" ht="13" hidden="1" x14ac:dyDescent="0.3">
      <c r="A245" s="122" t="s">
        <v>1000</v>
      </c>
      <c r="B245" s="116">
        <v>16044</v>
      </c>
      <c r="C245" s="113" t="s">
        <v>4</v>
      </c>
      <c r="D245" s="117">
        <v>42664</v>
      </c>
      <c r="E245" s="118" t="s">
        <v>621</v>
      </c>
      <c r="F245" s="118" t="s">
        <v>164</v>
      </c>
      <c r="G245" s="111" t="s">
        <v>591</v>
      </c>
      <c r="H245" s="111"/>
      <c r="I245" s="119" t="s">
        <v>2057</v>
      </c>
      <c r="J245" s="113"/>
      <c r="K245" s="118">
        <v>1976</v>
      </c>
      <c r="L245" s="118">
        <v>8531</v>
      </c>
      <c r="M245" s="118" t="s">
        <v>975</v>
      </c>
      <c r="N245" s="111" t="s">
        <v>1001</v>
      </c>
      <c r="O245" s="111" t="s">
        <v>29</v>
      </c>
      <c r="P245" s="111" t="s">
        <v>86</v>
      </c>
      <c r="Q245" s="111" t="s">
        <v>605</v>
      </c>
      <c r="R245" s="111" t="s">
        <v>15</v>
      </c>
      <c r="S245" s="111"/>
      <c r="T245" s="118"/>
      <c r="U245" s="64"/>
      <c r="V245" s="158" t="s">
        <v>10</v>
      </c>
      <c r="W245" s="118"/>
      <c r="X245" s="113"/>
      <c r="Y245" s="117">
        <f t="shared" si="18"/>
        <v>42756</v>
      </c>
      <c r="Z245" s="117">
        <v>42717</v>
      </c>
      <c r="AA245" s="161" t="str">
        <f t="shared" ca="1" si="19"/>
        <v>YES</v>
      </c>
      <c r="AB245" s="113"/>
      <c r="AC245" s="117"/>
      <c r="AD245" s="111"/>
      <c r="AE245" s="111"/>
      <c r="AF245" s="111" t="str">
        <f t="shared" ca="1" si="20"/>
        <v>N/A</v>
      </c>
      <c r="AG245" s="162"/>
      <c r="AH245" s="162"/>
      <c r="AI245" s="164">
        <f t="shared" si="21"/>
        <v>0</v>
      </c>
      <c r="AJ245" s="118" t="s">
        <v>6</v>
      </c>
      <c r="AK245" s="113">
        <v>43011</v>
      </c>
      <c r="AL245" s="118"/>
      <c r="AM245" s="165" t="str">
        <f t="shared" si="22"/>
        <v xml:space="preserve">16044 Tanichem </v>
      </c>
      <c r="AN245" s="165" t="str">
        <f t="shared" si="23"/>
        <v>16044 Tanichem  : Abscence de redondance automate</v>
      </c>
    </row>
    <row r="246" spans="1:40" s="76" customFormat="1" ht="13" hidden="1" x14ac:dyDescent="0.3">
      <c r="A246" s="122" t="s">
        <v>1002</v>
      </c>
      <c r="B246" s="116">
        <v>16045</v>
      </c>
      <c r="C246" s="113" t="s">
        <v>4</v>
      </c>
      <c r="D246" s="117">
        <v>42664</v>
      </c>
      <c r="E246" s="118" t="s">
        <v>621</v>
      </c>
      <c r="F246" s="118" t="s">
        <v>164</v>
      </c>
      <c r="G246" s="111" t="s">
        <v>591</v>
      </c>
      <c r="H246" s="111"/>
      <c r="I246" s="119" t="s">
        <v>2057</v>
      </c>
      <c r="J246" s="113"/>
      <c r="K246" s="118">
        <v>1976</v>
      </c>
      <c r="L246" s="118">
        <v>8531</v>
      </c>
      <c r="M246" s="118" t="s">
        <v>975</v>
      </c>
      <c r="N246" s="111" t="s">
        <v>1003</v>
      </c>
      <c r="O246" s="111" t="s">
        <v>29</v>
      </c>
      <c r="P246" s="111" t="s">
        <v>86</v>
      </c>
      <c r="Q246" s="111" t="s">
        <v>605</v>
      </c>
      <c r="R246" s="111" t="s">
        <v>9</v>
      </c>
      <c r="S246" s="111"/>
      <c r="T246" s="118"/>
      <c r="U246" s="64"/>
      <c r="V246" s="158" t="s">
        <v>10</v>
      </c>
      <c r="W246" s="118"/>
      <c r="X246" s="159"/>
      <c r="Y246" s="160">
        <f t="shared" si="18"/>
        <v>42756</v>
      </c>
      <c r="Z246" s="117">
        <v>42717</v>
      </c>
      <c r="AA246" s="181" t="str">
        <f t="shared" ca="1" si="19"/>
        <v>YES</v>
      </c>
      <c r="AB246" s="159"/>
      <c r="AC246" s="117"/>
      <c r="AD246" s="111"/>
      <c r="AE246" s="111"/>
      <c r="AF246" s="111" t="str">
        <f t="shared" ca="1" si="20"/>
        <v>N/A</v>
      </c>
      <c r="AG246" s="162"/>
      <c r="AH246" s="162"/>
      <c r="AI246" s="164">
        <f t="shared" si="21"/>
        <v>0</v>
      </c>
      <c r="AJ246" s="118" t="s">
        <v>6</v>
      </c>
      <c r="AK246" s="113">
        <v>43011</v>
      </c>
      <c r="AL246" s="118"/>
      <c r="AM246" s="165" t="str">
        <f t="shared" si="22"/>
        <v xml:space="preserve">16045 Tanichem </v>
      </c>
      <c r="AN246" s="165" t="str">
        <f t="shared" si="23"/>
        <v>16045 Tanichem  : Tps fermeture/ouverte vannes trop long</v>
      </c>
    </row>
    <row r="247" spans="1:40" s="76" customFormat="1" ht="13" hidden="1" x14ac:dyDescent="0.3">
      <c r="A247" s="122" t="s">
        <v>1004</v>
      </c>
      <c r="B247" s="116">
        <v>16046</v>
      </c>
      <c r="C247" s="113" t="s">
        <v>4</v>
      </c>
      <c r="D247" s="117">
        <v>42668</v>
      </c>
      <c r="E247" s="118" t="s">
        <v>621</v>
      </c>
      <c r="F247" s="118" t="s">
        <v>164</v>
      </c>
      <c r="G247" s="111" t="s">
        <v>591</v>
      </c>
      <c r="H247" s="111" t="s">
        <v>1005</v>
      </c>
      <c r="I247" s="119" t="s">
        <v>2057</v>
      </c>
      <c r="J247" s="113"/>
      <c r="K247" s="118">
        <v>1976</v>
      </c>
      <c r="L247" s="118">
        <v>8531</v>
      </c>
      <c r="M247" s="118" t="s">
        <v>1006</v>
      </c>
      <c r="N247" s="111" t="s">
        <v>1007</v>
      </c>
      <c r="O247" s="111" t="s">
        <v>29</v>
      </c>
      <c r="P247" s="111" t="s">
        <v>86</v>
      </c>
      <c r="Q247" s="111" t="s">
        <v>605</v>
      </c>
      <c r="R247" s="111" t="s">
        <v>9</v>
      </c>
      <c r="S247" s="111"/>
      <c r="T247" s="118"/>
      <c r="U247" s="64"/>
      <c r="V247" s="158" t="s">
        <v>10</v>
      </c>
      <c r="W247" s="118"/>
      <c r="X247" s="113"/>
      <c r="Y247" s="117">
        <f t="shared" si="18"/>
        <v>42760</v>
      </c>
      <c r="Z247" s="117">
        <v>42754</v>
      </c>
      <c r="AA247" s="161" t="str">
        <f t="shared" ca="1" si="19"/>
        <v>YES</v>
      </c>
      <c r="AB247" s="113"/>
      <c r="AC247" s="117"/>
      <c r="AD247" s="111"/>
      <c r="AE247" s="111"/>
      <c r="AF247" s="111" t="str">
        <f t="shared" ca="1" si="20"/>
        <v>N/A</v>
      </c>
      <c r="AG247" s="162"/>
      <c r="AH247" s="162"/>
      <c r="AI247" s="164">
        <f t="shared" si="21"/>
        <v>0</v>
      </c>
      <c r="AJ247" s="118" t="s">
        <v>6</v>
      </c>
      <c r="AK247" s="113">
        <v>43011</v>
      </c>
      <c r="AL247" s="118"/>
      <c r="AM247" s="165" t="str">
        <f t="shared" si="22"/>
        <v xml:space="preserve">16046 Tanichem </v>
      </c>
      <c r="AN247" s="165" t="str">
        <f t="shared" si="23"/>
        <v>16046 Tanichem  : Remplacement PT sur filtre charbon</v>
      </c>
    </row>
    <row r="248" spans="1:40" s="76" customFormat="1" ht="13" hidden="1" x14ac:dyDescent="0.3">
      <c r="A248" s="122" t="s">
        <v>1008</v>
      </c>
      <c r="B248" s="116">
        <v>16047</v>
      </c>
      <c r="C248" s="113" t="s">
        <v>4</v>
      </c>
      <c r="D248" s="117">
        <v>42668</v>
      </c>
      <c r="E248" s="118" t="s">
        <v>1009</v>
      </c>
      <c r="F248" s="118" t="s">
        <v>164</v>
      </c>
      <c r="G248" s="111" t="s">
        <v>1010</v>
      </c>
      <c r="H248" s="111" t="s">
        <v>1011</v>
      </c>
      <c r="I248" s="119" t="s">
        <v>2056</v>
      </c>
      <c r="J248" s="113"/>
      <c r="K248" s="118">
        <v>2007</v>
      </c>
      <c r="L248" s="118">
        <v>11179</v>
      </c>
      <c r="M248" s="118" t="s">
        <v>338</v>
      </c>
      <c r="N248" s="111" t="s">
        <v>1012</v>
      </c>
      <c r="O248" s="111" t="s">
        <v>29</v>
      </c>
      <c r="P248" s="111" t="s">
        <v>86</v>
      </c>
      <c r="Q248" s="111" t="s">
        <v>885</v>
      </c>
      <c r="R248" s="111" t="s">
        <v>12</v>
      </c>
      <c r="S248" s="111"/>
      <c r="T248" s="118"/>
      <c r="U248" s="64"/>
      <c r="V248" s="158" t="s">
        <v>6</v>
      </c>
      <c r="W248" s="118" t="s">
        <v>1009</v>
      </c>
      <c r="X248" s="113"/>
      <c r="Y248" s="117">
        <f t="shared" si="18"/>
        <v>42760</v>
      </c>
      <c r="Z248" s="117">
        <v>42894</v>
      </c>
      <c r="AA248" s="161" t="str">
        <f t="shared" ca="1" si="19"/>
        <v>NO</v>
      </c>
      <c r="AB248" s="113"/>
      <c r="AC248" s="117"/>
      <c r="AD248" s="111"/>
      <c r="AE248" s="111"/>
      <c r="AF248" s="111" t="str">
        <f t="shared" ca="1" si="20"/>
        <v>N/A</v>
      </c>
      <c r="AG248" s="162"/>
      <c r="AH248" s="162"/>
      <c r="AI248" s="164">
        <f t="shared" si="21"/>
        <v>0</v>
      </c>
      <c r="AJ248" s="118" t="s">
        <v>6</v>
      </c>
      <c r="AK248" s="113">
        <v>43011</v>
      </c>
      <c r="AL248" s="118"/>
      <c r="AM248" s="165" t="str">
        <f t="shared" si="22"/>
        <v>16047 FUFENG</v>
      </c>
      <c r="AN248" s="165" t="str">
        <f t="shared" si="23"/>
        <v>16047 FUFENG : Leakage on control valves</v>
      </c>
    </row>
    <row r="249" spans="1:40" s="76" customFormat="1" ht="13" hidden="1" x14ac:dyDescent="0.3">
      <c r="A249" s="122" t="s">
        <v>1013</v>
      </c>
      <c r="B249" s="116">
        <v>16048</v>
      </c>
      <c r="C249" s="113" t="s">
        <v>4</v>
      </c>
      <c r="D249" s="117">
        <v>42669</v>
      </c>
      <c r="E249" s="118" t="s">
        <v>294</v>
      </c>
      <c r="F249" s="118" t="s">
        <v>164</v>
      </c>
      <c r="G249" s="111" t="s">
        <v>1014</v>
      </c>
      <c r="H249" s="111" t="s">
        <v>1015</v>
      </c>
      <c r="I249" s="119" t="s">
        <v>2057</v>
      </c>
      <c r="J249" s="113"/>
      <c r="K249" s="118">
        <v>2026</v>
      </c>
      <c r="L249" s="118">
        <v>11244</v>
      </c>
      <c r="M249" s="118" t="s">
        <v>338</v>
      </c>
      <c r="N249" s="111" t="s">
        <v>1016</v>
      </c>
      <c r="O249" s="111" t="s">
        <v>29</v>
      </c>
      <c r="P249" s="111" t="s">
        <v>176</v>
      </c>
      <c r="Q249" s="111" t="s">
        <v>1017</v>
      </c>
      <c r="R249" s="111" t="s">
        <v>9</v>
      </c>
      <c r="S249" s="111"/>
      <c r="T249" s="118"/>
      <c r="U249" s="64"/>
      <c r="V249" s="158" t="s">
        <v>10</v>
      </c>
      <c r="W249" s="118"/>
      <c r="X249" s="113"/>
      <c r="Y249" s="117">
        <f t="shared" si="18"/>
        <v>42761</v>
      </c>
      <c r="Z249" s="117">
        <v>42738</v>
      </c>
      <c r="AA249" s="161" t="str">
        <f t="shared" ca="1" si="19"/>
        <v>YES</v>
      </c>
      <c r="AB249" s="113"/>
      <c r="AC249" s="117"/>
      <c r="AD249" s="111"/>
      <c r="AE249" s="111"/>
      <c r="AF249" s="111" t="str">
        <f t="shared" ca="1" si="20"/>
        <v>N/A</v>
      </c>
      <c r="AG249" s="162"/>
      <c r="AH249" s="162"/>
      <c r="AI249" s="164">
        <f t="shared" si="21"/>
        <v>0</v>
      </c>
      <c r="AJ249" s="118" t="s">
        <v>6</v>
      </c>
      <c r="AK249" s="113">
        <v>43018</v>
      </c>
      <c r="AL249" s="118"/>
      <c r="AM249" s="165" t="str">
        <f t="shared" si="22"/>
        <v>16048 Biospringer</v>
      </c>
      <c r="AN249" s="165" t="str">
        <f t="shared" si="23"/>
        <v>16048 Biospringer : Commande vannes norme DIN au lieu ISO</v>
      </c>
    </row>
    <row r="250" spans="1:40" s="76" customFormat="1" ht="13" hidden="1" x14ac:dyDescent="0.3">
      <c r="A250" s="122" t="s">
        <v>1018</v>
      </c>
      <c r="B250" s="116">
        <v>16049</v>
      </c>
      <c r="C250" s="113" t="s">
        <v>4</v>
      </c>
      <c r="D250" s="117">
        <v>42669</v>
      </c>
      <c r="E250" s="118" t="s">
        <v>1019</v>
      </c>
      <c r="F250" s="118" t="s">
        <v>658</v>
      </c>
      <c r="G250" s="111" t="s">
        <v>1020</v>
      </c>
      <c r="H250" s="111"/>
      <c r="I250" s="119" t="s">
        <v>2057</v>
      </c>
      <c r="J250" s="113"/>
      <c r="K250" s="118" t="s">
        <v>1021</v>
      </c>
      <c r="L250" s="118" t="s">
        <v>1022</v>
      </c>
      <c r="M250" s="118" t="s">
        <v>672</v>
      </c>
      <c r="N250" s="111" t="s">
        <v>1023</v>
      </c>
      <c r="O250" s="111" t="s">
        <v>28</v>
      </c>
      <c r="P250" s="111" t="s">
        <v>103</v>
      </c>
      <c r="Q250" s="111" t="s">
        <v>176</v>
      </c>
      <c r="R250" s="111" t="s">
        <v>9</v>
      </c>
      <c r="S250" s="111"/>
      <c r="T250" s="118"/>
      <c r="U250" s="64"/>
      <c r="V250" s="158" t="s">
        <v>6</v>
      </c>
      <c r="W250" s="118" t="s">
        <v>82</v>
      </c>
      <c r="X250" s="113"/>
      <c r="Y250" s="117">
        <f t="shared" si="18"/>
        <v>42761</v>
      </c>
      <c r="Z250" s="117">
        <v>42758</v>
      </c>
      <c r="AA250" s="161" t="str">
        <f t="shared" ca="1" si="19"/>
        <v>YES</v>
      </c>
      <c r="AB250" s="113"/>
      <c r="AC250" s="117"/>
      <c r="AD250" s="111"/>
      <c r="AE250" s="111"/>
      <c r="AF250" s="111" t="str">
        <f t="shared" ca="1" si="20"/>
        <v>N/A</v>
      </c>
      <c r="AG250" s="162"/>
      <c r="AH250" s="162"/>
      <c r="AI250" s="164">
        <f t="shared" si="21"/>
        <v>0</v>
      </c>
      <c r="AJ250" s="118" t="s">
        <v>6</v>
      </c>
      <c r="AK250" s="113">
        <v>43011</v>
      </c>
      <c r="AL250" s="118"/>
      <c r="AM250" s="165" t="str">
        <f t="shared" si="22"/>
        <v xml:space="preserve">16049 OUEST IMPORT </v>
      </c>
      <c r="AN250" s="165" t="str">
        <f t="shared" si="23"/>
        <v>16049 OUEST IMPORT  : Alimentarité matériaux colonnes de décolo</v>
      </c>
    </row>
    <row r="251" spans="1:40" s="76" customFormat="1" ht="13" hidden="1" x14ac:dyDescent="0.3">
      <c r="A251" s="122" t="s">
        <v>1024</v>
      </c>
      <c r="B251" s="116">
        <v>16050</v>
      </c>
      <c r="C251" s="113" t="s">
        <v>4</v>
      </c>
      <c r="D251" s="117">
        <v>42688</v>
      </c>
      <c r="E251" s="118" t="s">
        <v>763</v>
      </c>
      <c r="F251" s="118" t="s">
        <v>164</v>
      </c>
      <c r="G251" s="111" t="s">
        <v>602</v>
      </c>
      <c r="H251" s="111" t="s">
        <v>433</v>
      </c>
      <c r="I251" s="119" t="s">
        <v>5</v>
      </c>
      <c r="J251" s="113" t="s">
        <v>6</v>
      </c>
      <c r="K251" s="118">
        <v>1952</v>
      </c>
      <c r="L251" s="118">
        <v>8259</v>
      </c>
      <c r="M251" s="118" t="s">
        <v>672</v>
      </c>
      <c r="N251" s="111" t="s">
        <v>1025</v>
      </c>
      <c r="O251" s="111" t="s">
        <v>29</v>
      </c>
      <c r="P251" s="111" t="s">
        <v>86</v>
      </c>
      <c r="Q251" s="111" t="s">
        <v>1026</v>
      </c>
      <c r="R251" s="111" t="s">
        <v>145</v>
      </c>
      <c r="S251" s="111"/>
      <c r="T251" s="118"/>
      <c r="U251" s="64"/>
      <c r="V251" s="158" t="s">
        <v>6</v>
      </c>
      <c r="W251" s="118" t="s">
        <v>116</v>
      </c>
      <c r="X251" s="113"/>
      <c r="Y251" s="117">
        <f t="shared" si="18"/>
        <v>42780</v>
      </c>
      <c r="Z251" s="117">
        <v>42832</v>
      </c>
      <c r="AA251" s="161" t="str">
        <f t="shared" ca="1" si="19"/>
        <v>NO</v>
      </c>
      <c r="AB251" s="113"/>
      <c r="AC251" s="117">
        <v>42683</v>
      </c>
      <c r="AD251" s="172">
        <v>42825</v>
      </c>
      <c r="AE251" s="172">
        <v>42832</v>
      </c>
      <c r="AF251" s="111" t="str">
        <f t="shared" ca="1" si="20"/>
        <v>NO</v>
      </c>
      <c r="AG251" s="162"/>
      <c r="AH251" s="162"/>
      <c r="AI251" s="164">
        <f t="shared" si="21"/>
        <v>0</v>
      </c>
      <c r="AJ251" s="118" t="s">
        <v>6</v>
      </c>
      <c r="AK251" s="113">
        <v>43018</v>
      </c>
      <c r="AL251" s="118"/>
      <c r="AM251" s="165" t="str">
        <f t="shared" si="22"/>
        <v>16050 Cevital</v>
      </c>
      <c r="AN251" s="165" t="str">
        <f t="shared" si="23"/>
        <v>16050 Cevital : Leakage of resins</v>
      </c>
    </row>
    <row r="252" spans="1:40" s="76" customFormat="1" ht="13" hidden="1" x14ac:dyDescent="0.3">
      <c r="A252" s="122" t="s">
        <v>1027</v>
      </c>
      <c r="B252" s="116">
        <v>16051</v>
      </c>
      <c r="C252" s="113" t="s">
        <v>8</v>
      </c>
      <c r="D252" s="117">
        <v>42689</v>
      </c>
      <c r="E252" s="118" t="s">
        <v>441</v>
      </c>
      <c r="F252" s="118" t="s">
        <v>164</v>
      </c>
      <c r="G252" s="111" t="s">
        <v>1010</v>
      </c>
      <c r="H252" s="118"/>
      <c r="I252" s="119" t="s">
        <v>5</v>
      </c>
      <c r="J252" s="113"/>
      <c r="K252" s="118">
        <v>1988</v>
      </c>
      <c r="L252" s="118">
        <v>10132</v>
      </c>
      <c r="M252" s="118" t="s">
        <v>11</v>
      </c>
      <c r="N252" s="111" t="s">
        <v>1028</v>
      </c>
      <c r="O252" s="111" t="s">
        <v>29</v>
      </c>
      <c r="P252" s="111" t="s">
        <v>103</v>
      </c>
      <c r="Q252" s="111"/>
      <c r="R252" s="111" t="s">
        <v>145</v>
      </c>
      <c r="S252" s="111"/>
      <c r="T252" s="118"/>
      <c r="U252" s="64"/>
      <c r="V252" s="158" t="s">
        <v>6</v>
      </c>
      <c r="W252" s="118" t="s">
        <v>441</v>
      </c>
      <c r="X252" s="113"/>
      <c r="Y252" s="117">
        <f t="shared" si="18"/>
        <v>42781</v>
      </c>
      <c r="Z252" s="117">
        <v>43018</v>
      </c>
      <c r="AA252" s="161" t="str">
        <f t="shared" ca="1" si="19"/>
        <v>NO</v>
      </c>
      <c r="AB252" s="113"/>
      <c r="AC252" s="117">
        <v>42681</v>
      </c>
      <c r="AD252" s="169">
        <v>42887</v>
      </c>
      <c r="AE252" s="172">
        <v>43018</v>
      </c>
      <c r="AF252" s="111" t="str">
        <f t="shared" ca="1" si="20"/>
        <v>NO</v>
      </c>
      <c r="AG252" s="162"/>
      <c r="AH252" s="162"/>
      <c r="AI252" s="164">
        <f t="shared" si="21"/>
        <v>0</v>
      </c>
      <c r="AJ252" s="118"/>
      <c r="AK252" s="113"/>
      <c r="AL252" s="118"/>
      <c r="AM252" s="165" t="str">
        <f t="shared" si="22"/>
        <v>16051 FUFENG</v>
      </c>
      <c r="AN252" s="165" t="str">
        <f t="shared" si="23"/>
        <v>16051 FUFENG : Floor fall down</v>
      </c>
    </row>
    <row r="253" spans="1:40" s="76" customFormat="1" ht="13" hidden="1" x14ac:dyDescent="0.3">
      <c r="A253" s="122" t="s">
        <v>1029</v>
      </c>
      <c r="B253" s="116">
        <v>16052</v>
      </c>
      <c r="C253" s="113" t="s">
        <v>8</v>
      </c>
      <c r="D253" s="117">
        <v>42690</v>
      </c>
      <c r="E253" s="118" t="s">
        <v>441</v>
      </c>
      <c r="F253" s="118" t="s">
        <v>164</v>
      </c>
      <c r="G253" s="111" t="s">
        <v>1010</v>
      </c>
      <c r="H253" s="111" t="s">
        <v>739</v>
      </c>
      <c r="I253" s="119" t="s">
        <v>2056</v>
      </c>
      <c r="J253" s="113"/>
      <c r="K253" s="118" t="s">
        <v>1030</v>
      </c>
      <c r="L253" s="118" t="s">
        <v>1031</v>
      </c>
      <c r="M253" s="118" t="s">
        <v>11</v>
      </c>
      <c r="N253" s="114" t="s">
        <v>1032</v>
      </c>
      <c r="O253" s="111" t="s">
        <v>29</v>
      </c>
      <c r="P253" s="111" t="s">
        <v>86</v>
      </c>
      <c r="Q253" s="111"/>
      <c r="R253" s="111" t="s">
        <v>145</v>
      </c>
      <c r="S253" s="111"/>
      <c r="T253" s="118"/>
      <c r="U253" s="64"/>
      <c r="V253" s="158" t="s">
        <v>6</v>
      </c>
      <c r="W253" s="118" t="s">
        <v>441</v>
      </c>
      <c r="X253" s="113"/>
      <c r="Y253" s="117">
        <f t="shared" si="18"/>
        <v>42782</v>
      </c>
      <c r="Z253" s="117">
        <v>42760</v>
      </c>
      <c r="AA253" s="161" t="str">
        <f t="shared" ca="1" si="19"/>
        <v>YES</v>
      </c>
      <c r="AB253" s="113"/>
      <c r="AC253" s="117"/>
      <c r="AD253" s="111"/>
      <c r="AE253" s="111"/>
      <c r="AF253" s="111" t="str">
        <f t="shared" ca="1" si="20"/>
        <v>N/A</v>
      </c>
      <c r="AG253" s="162"/>
      <c r="AH253" s="162"/>
      <c r="AI253" s="164">
        <f t="shared" si="21"/>
        <v>0</v>
      </c>
      <c r="AJ253" s="118"/>
      <c r="AK253" s="113"/>
      <c r="AL253" s="118"/>
      <c r="AM253" s="165" t="str">
        <f t="shared" si="22"/>
        <v>16052 FUFENG</v>
      </c>
      <c r="AN253" s="165" t="str">
        <f t="shared" si="23"/>
        <v>16052 FUFENG : FRP piping chamfer</v>
      </c>
    </row>
    <row r="254" spans="1:40" s="76" customFormat="1" ht="13" hidden="1" x14ac:dyDescent="0.3">
      <c r="A254" s="122" t="s">
        <v>1033</v>
      </c>
      <c r="B254" s="116">
        <v>16053</v>
      </c>
      <c r="C254" s="113" t="s">
        <v>4</v>
      </c>
      <c r="D254" s="117">
        <v>42691</v>
      </c>
      <c r="E254" s="118" t="s">
        <v>877</v>
      </c>
      <c r="F254" s="118" t="s">
        <v>691</v>
      </c>
      <c r="G254" s="111" t="s">
        <v>1034</v>
      </c>
      <c r="H254" s="111"/>
      <c r="I254" s="119" t="s">
        <v>2057</v>
      </c>
      <c r="J254" s="113"/>
      <c r="K254" s="118">
        <v>2033</v>
      </c>
      <c r="L254" s="118">
        <v>12449</v>
      </c>
      <c r="M254" s="118" t="s">
        <v>672</v>
      </c>
      <c r="N254" s="111" t="s">
        <v>1035</v>
      </c>
      <c r="O254" s="111" t="s">
        <v>29</v>
      </c>
      <c r="P254" s="111" t="s">
        <v>86</v>
      </c>
      <c r="Q254" s="111" t="s">
        <v>1036</v>
      </c>
      <c r="R254" s="111" t="s">
        <v>9</v>
      </c>
      <c r="S254" s="111"/>
      <c r="T254" s="118"/>
      <c r="U254" s="64"/>
      <c r="V254" s="158" t="s">
        <v>10</v>
      </c>
      <c r="W254" s="118"/>
      <c r="X254" s="113"/>
      <c r="Y254" s="117">
        <f t="shared" si="18"/>
        <v>42783</v>
      </c>
      <c r="Z254" s="117">
        <v>42773</v>
      </c>
      <c r="AA254" s="161" t="str">
        <f t="shared" ca="1" si="19"/>
        <v>YES</v>
      </c>
      <c r="AB254" s="113"/>
      <c r="AC254" s="117"/>
      <c r="AD254" s="111"/>
      <c r="AE254" s="111"/>
      <c r="AF254" s="111" t="str">
        <f t="shared" ca="1" si="20"/>
        <v>N/A</v>
      </c>
      <c r="AG254" s="162"/>
      <c r="AH254" s="162"/>
      <c r="AI254" s="164">
        <f t="shared" si="21"/>
        <v>0</v>
      </c>
      <c r="AJ254" s="118" t="s">
        <v>6</v>
      </c>
      <c r="AK254" s="113">
        <v>43059</v>
      </c>
      <c r="AL254" s="118"/>
      <c r="AM254" s="165" t="str">
        <f t="shared" si="22"/>
        <v>16053 Yi'an</v>
      </c>
      <c r="AN254" s="165" t="str">
        <f t="shared" si="23"/>
        <v>16053 Yi'an : Error PID Tags</v>
      </c>
    </row>
    <row r="255" spans="1:40" s="76" customFormat="1" ht="13" hidden="1" x14ac:dyDescent="0.3">
      <c r="A255" s="122" t="s">
        <v>1037</v>
      </c>
      <c r="B255" s="116">
        <v>16054</v>
      </c>
      <c r="C255" s="113" t="s">
        <v>8</v>
      </c>
      <c r="D255" s="117">
        <v>42706</v>
      </c>
      <c r="E255" s="118" t="s">
        <v>904</v>
      </c>
      <c r="F255" s="118" t="s">
        <v>164</v>
      </c>
      <c r="G255" s="111" t="s">
        <v>1038</v>
      </c>
      <c r="H255" s="111"/>
      <c r="I255" s="119" t="s">
        <v>5</v>
      </c>
      <c r="J255" s="113"/>
      <c r="K255" s="118">
        <v>2025</v>
      </c>
      <c r="L255" s="118">
        <v>11291</v>
      </c>
      <c r="M255" s="118" t="s">
        <v>11</v>
      </c>
      <c r="N255" s="111" t="s">
        <v>1039</v>
      </c>
      <c r="O255" s="111" t="s">
        <v>29</v>
      </c>
      <c r="P255" s="111" t="s">
        <v>86</v>
      </c>
      <c r="Q255" s="111"/>
      <c r="R255" s="111" t="s">
        <v>145</v>
      </c>
      <c r="S255" s="111"/>
      <c r="T255" s="118"/>
      <c r="U255" s="64"/>
      <c r="V255" s="158" t="s">
        <v>6</v>
      </c>
      <c r="W255" s="118" t="s">
        <v>904</v>
      </c>
      <c r="X255" s="113"/>
      <c r="Y255" s="117">
        <f t="shared" si="18"/>
        <v>42796</v>
      </c>
      <c r="Z255" s="117">
        <v>42786</v>
      </c>
      <c r="AA255" s="161" t="str">
        <f t="shared" ca="1" si="19"/>
        <v>YES</v>
      </c>
      <c r="AB255" s="113"/>
      <c r="AC255" s="117">
        <v>42705</v>
      </c>
      <c r="AD255" s="172">
        <v>42796</v>
      </c>
      <c r="AE255" s="172">
        <v>42786</v>
      </c>
      <c r="AF255" s="111" t="str">
        <f t="shared" ca="1" si="20"/>
        <v>YES</v>
      </c>
      <c r="AG255" s="162"/>
      <c r="AH255" s="162"/>
      <c r="AI255" s="164">
        <f t="shared" si="21"/>
        <v>0</v>
      </c>
      <c r="AJ255" s="118"/>
      <c r="AK255" s="113"/>
      <c r="AL255" s="118"/>
      <c r="AM255" s="165" t="str">
        <f t="shared" si="22"/>
        <v>16054 Fufeng</v>
      </c>
      <c r="AN255" s="165" t="str">
        <f t="shared" si="23"/>
        <v>16054 Fufeng : resin leakage issue</v>
      </c>
    </row>
    <row r="256" spans="1:40" s="76" customFormat="1" ht="13" hidden="1" x14ac:dyDescent="0.3">
      <c r="A256" s="122" t="s">
        <v>1040</v>
      </c>
      <c r="B256" s="116">
        <v>16055</v>
      </c>
      <c r="C256" s="113" t="s">
        <v>4</v>
      </c>
      <c r="D256" s="117">
        <v>42709</v>
      </c>
      <c r="E256" s="118" t="s">
        <v>864</v>
      </c>
      <c r="F256" s="118" t="s">
        <v>164</v>
      </c>
      <c r="G256" s="111" t="s">
        <v>814</v>
      </c>
      <c r="H256" s="111" t="s">
        <v>1041</v>
      </c>
      <c r="I256" s="119" t="s">
        <v>2056</v>
      </c>
      <c r="J256" s="113"/>
      <c r="K256" s="118">
        <v>2002</v>
      </c>
      <c r="L256" s="118">
        <v>10510</v>
      </c>
      <c r="M256" s="118" t="s">
        <v>672</v>
      </c>
      <c r="N256" s="111" t="s">
        <v>1042</v>
      </c>
      <c r="O256" s="111" t="s">
        <v>29</v>
      </c>
      <c r="P256" s="111" t="s">
        <v>176</v>
      </c>
      <c r="Q256" s="111" t="s">
        <v>510</v>
      </c>
      <c r="R256" s="111" t="s">
        <v>145</v>
      </c>
      <c r="S256" s="111"/>
      <c r="T256" s="118"/>
      <c r="U256" s="64"/>
      <c r="V256" s="158" t="s">
        <v>6</v>
      </c>
      <c r="W256" s="118" t="s">
        <v>177</v>
      </c>
      <c r="X256" s="113"/>
      <c r="Y256" s="117">
        <f t="shared" si="18"/>
        <v>42799</v>
      </c>
      <c r="Z256" s="117">
        <v>42788</v>
      </c>
      <c r="AA256" s="161" t="str">
        <f t="shared" ca="1" si="19"/>
        <v>YES</v>
      </c>
      <c r="AB256" s="113"/>
      <c r="AC256" s="117"/>
      <c r="AD256" s="111"/>
      <c r="AE256" s="111"/>
      <c r="AF256" s="111" t="str">
        <f t="shared" ca="1" si="20"/>
        <v>N/A</v>
      </c>
      <c r="AG256" s="162"/>
      <c r="AH256" s="162"/>
      <c r="AI256" s="164">
        <f t="shared" si="21"/>
        <v>0</v>
      </c>
      <c r="AJ256" s="118" t="s">
        <v>6</v>
      </c>
      <c r="AK256" s="113">
        <v>43018</v>
      </c>
      <c r="AL256" s="118"/>
      <c r="AM256" s="165" t="str">
        <f t="shared" si="22"/>
        <v>16055 Al Nouran</v>
      </c>
      <c r="AN256" s="165" t="str">
        <f t="shared" si="23"/>
        <v>16055 Al Nouran : Fûts résine manquants</v>
      </c>
    </row>
    <row r="257" spans="1:40" s="76" customFormat="1" ht="13" hidden="1" x14ac:dyDescent="0.3">
      <c r="A257" s="122" t="s">
        <v>1043</v>
      </c>
      <c r="B257" s="116">
        <v>16056</v>
      </c>
      <c r="C257" s="113" t="s">
        <v>8</v>
      </c>
      <c r="D257" s="117">
        <v>42711</v>
      </c>
      <c r="E257" s="118" t="s">
        <v>857</v>
      </c>
      <c r="F257" s="118" t="s">
        <v>164</v>
      </c>
      <c r="G257" s="111" t="s">
        <v>340</v>
      </c>
      <c r="H257" s="111" t="s">
        <v>616</v>
      </c>
      <c r="I257" s="119" t="s">
        <v>2056</v>
      </c>
      <c r="J257" s="113"/>
      <c r="K257" s="118">
        <v>2014</v>
      </c>
      <c r="L257" s="118">
        <v>10416</v>
      </c>
      <c r="M257" s="118" t="s">
        <v>975</v>
      </c>
      <c r="N257" s="111" t="s">
        <v>1044</v>
      </c>
      <c r="O257" s="111" t="s">
        <v>29</v>
      </c>
      <c r="P257" s="111" t="s">
        <v>86</v>
      </c>
      <c r="Q257" s="111"/>
      <c r="R257" s="111" t="s">
        <v>145</v>
      </c>
      <c r="S257" s="111"/>
      <c r="T257" s="118"/>
      <c r="U257" s="64"/>
      <c r="V257" s="158" t="s">
        <v>6</v>
      </c>
      <c r="W257" s="118" t="s">
        <v>441</v>
      </c>
      <c r="X257" s="113"/>
      <c r="Y257" s="117">
        <f t="shared" si="18"/>
        <v>42801</v>
      </c>
      <c r="Z257" s="117">
        <v>42760</v>
      </c>
      <c r="AA257" s="161" t="str">
        <f t="shared" ca="1" si="19"/>
        <v>YES</v>
      </c>
      <c r="AB257" s="113"/>
      <c r="AC257" s="117"/>
      <c r="AD257" s="111"/>
      <c r="AE257" s="111"/>
      <c r="AF257" s="111" t="str">
        <f t="shared" ca="1" si="20"/>
        <v>N/A</v>
      </c>
      <c r="AG257" s="162"/>
      <c r="AH257" s="162"/>
      <c r="AI257" s="164">
        <f t="shared" si="21"/>
        <v>0</v>
      </c>
      <c r="AJ257" s="118"/>
      <c r="AK257" s="113"/>
      <c r="AL257" s="118"/>
      <c r="AM257" s="165" t="str">
        <f t="shared" si="22"/>
        <v>16056 AGRANA</v>
      </c>
      <c r="AN257" s="165" t="str">
        <f t="shared" si="23"/>
        <v>16056 AGRANA : piping re-assembly issue on site</v>
      </c>
    </row>
    <row r="258" spans="1:40" s="76" customFormat="1" ht="13" hidden="1" x14ac:dyDescent="0.3">
      <c r="A258" s="122" t="s">
        <v>1045</v>
      </c>
      <c r="B258" s="116">
        <v>16057</v>
      </c>
      <c r="C258" s="113" t="s">
        <v>4</v>
      </c>
      <c r="D258" s="117">
        <v>42717</v>
      </c>
      <c r="E258" s="118" t="s">
        <v>1046</v>
      </c>
      <c r="F258" s="118" t="s">
        <v>420</v>
      </c>
      <c r="G258" s="111" t="s">
        <v>538</v>
      </c>
      <c r="H258" s="111"/>
      <c r="I258" s="119" t="s">
        <v>2057</v>
      </c>
      <c r="J258" s="113"/>
      <c r="K258" s="118"/>
      <c r="L258" s="118" t="s">
        <v>1047</v>
      </c>
      <c r="M258" s="118" t="s">
        <v>11</v>
      </c>
      <c r="N258" s="111" t="s">
        <v>1048</v>
      </c>
      <c r="O258" s="111" t="s">
        <v>420</v>
      </c>
      <c r="P258" s="111" t="s">
        <v>80</v>
      </c>
      <c r="Q258" s="111" t="s">
        <v>1049</v>
      </c>
      <c r="R258" s="111" t="s">
        <v>9</v>
      </c>
      <c r="S258" s="111"/>
      <c r="T258" s="118"/>
      <c r="U258" s="64"/>
      <c r="V258" s="158" t="s">
        <v>6</v>
      </c>
      <c r="W258" s="118" t="s">
        <v>1050</v>
      </c>
      <c r="X258" s="113"/>
      <c r="Y258" s="117">
        <f t="shared" si="18"/>
        <v>42807</v>
      </c>
      <c r="Z258" s="117">
        <v>42804</v>
      </c>
      <c r="AA258" s="161" t="str">
        <f t="shared" ca="1" si="19"/>
        <v>YES</v>
      </c>
      <c r="AB258" s="113"/>
      <c r="AC258" s="117"/>
      <c r="AD258" s="111"/>
      <c r="AE258" s="111"/>
      <c r="AF258" s="111" t="str">
        <f t="shared" ca="1" si="20"/>
        <v>N/A</v>
      </c>
      <c r="AG258" s="162"/>
      <c r="AH258" s="162"/>
      <c r="AI258" s="164">
        <f t="shared" si="21"/>
        <v>0</v>
      </c>
      <c r="AJ258" s="118" t="s">
        <v>6</v>
      </c>
      <c r="AK258" s="113">
        <v>43019</v>
      </c>
      <c r="AL258" s="118"/>
      <c r="AM258" s="165" t="str">
        <f t="shared" si="22"/>
        <v>16057 ADM</v>
      </c>
      <c r="AN258" s="165" t="str">
        <f t="shared" si="23"/>
        <v>16057 ADM : SSMB Pilot design</v>
      </c>
    </row>
    <row r="259" spans="1:40" s="76" customFormat="1" ht="13" hidden="1" x14ac:dyDescent="0.3">
      <c r="A259" s="122" t="s">
        <v>1051</v>
      </c>
      <c r="B259" s="116">
        <v>16058</v>
      </c>
      <c r="C259" s="113" t="s">
        <v>8</v>
      </c>
      <c r="D259" s="117">
        <v>42718</v>
      </c>
      <c r="E259" s="118" t="s">
        <v>1052</v>
      </c>
      <c r="F259" s="118" t="s">
        <v>164</v>
      </c>
      <c r="G259" s="111" t="s">
        <v>1053</v>
      </c>
      <c r="H259" s="111"/>
      <c r="I259" s="119" t="s">
        <v>14</v>
      </c>
      <c r="J259" s="113"/>
      <c r="K259" s="118" t="s">
        <v>1054</v>
      </c>
      <c r="L259" s="118" t="s">
        <v>1055</v>
      </c>
      <c r="M259" s="118" t="s">
        <v>13</v>
      </c>
      <c r="N259" s="111" t="s">
        <v>1056</v>
      </c>
      <c r="O259" s="111" t="s">
        <v>29</v>
      </c>
      <c r="P259" s="111" t="s">
        <v>86</v>
      </c>
      <c r="Q259" s="111"/>
      <c r="R259" s="111" t="s">
        <v>9</v>
      </c>
      <c r="S259" s="111"/>
      <c r="T259" s="118"/>
      <c r="U259" s="64"/>
      <c r="V259" s="158" t="s">
        <v>6</v>
      </c>
      <c r="W259" s="118" t="s">
        <v>1052</v>
      </c>
      <c r="X259" s="113"/>
      <c r="Y259" s="117">
        <f t="shared" si="18"/>
        <v>42808</v>
      </c>
      <c r="Z259" s="117">
        <v>42807</v>
      </c>
      <c r="AA259" s="161" t="str">
        <f t="shared" ca="1" si="19"/>
        <v>YES</v>
      </c>
      <c r="AB259" s="113"/>
      <c r="AC259" s="117"/>
      <c r="AD259" s="111"/>
      <c r="AE259" s="111"/>
      <c r="AF259" s="111" t="str">
        <f t="shared" ca="1" si="20"/>
        <v>N/A</v>
      </c>
      <c r="AG259" s="162"/>
      <c r="AH259" s="162"/>
      <c r="AI259" s="164">
        <f t="shared" si="21"/>
        <v>0</v>
      </c>
      <c r="AJ259" s="118"/>
      <c r="AK259" s="113"/>
      <c r="AL259" s="118"/>
      <c r="AM259" s="165" t="str">
        <f t="shared" si="22"/>
        <v>16058 ShuangQiao</v>
      </c>
      <c r="AN259" s="165" t="str">
        <f t="shared" si="23"/>
        <v>16058 ShuangQiao : wrong pressure calculation issue</v>
      </c>
    </row>
    <row r="260" spans="1:40" s="76" customFormat="1" ht="13" hidden="1" x14ac:dyDescent="0.3">
      <c r="A260" s="122" t="s">
        <v>1057</v>
      </c>
      <c r="B260" s="116">
        <v>16059</v>
      </c>
      <c r="C260" s="113" t="s">
        <v>4</v>
      </c>
      <c r="D260" s="117">
        <v>42723</v>
      </c>
      <c r="E260" s="118" t="s">
        <v>99</v>
      </c>
      <c r="F260" s="118" t="s">
        <v>658</v>
      </c>
      <c r="G260" s="111" t="s">
        <v>664</v>
      </c>
      <c r="H260" s="111" t="s">
        <v>460</v>
      </c>
      <c r="I260" s="119" t="s">
        <v>5</v>
      </c>
      <c r="J260" s="113"/>
      <c r="K260" s="118"/>
      <c r="L260" s="118" t="s">
        <v>1058</v>
      </c>
      <c r="M260" s="118" t="s">
        <v>18</v>
      </c>
      <c r="N260" s="111" t="s">
        <v>1059</v>
      </c>
      <c r="O260" s="111" t="s">
        <v>28</v>
      </c>
      <c r="P260" s="111" t="s">
        <v>103</v>
      </c>
      <c r="Q260" s="111" t="s">
        <v>176</v>
      </c>
      <c r="R260" s="111" t="s">
        <v>145</v>
      </c>
      <c r="S260" s="111"/>
      <c r="T260" s="129" t="s">
        <v>460</v>
      </c>
      <c r="U260" s="64"/>
      <c r="V260" s="158" t="s">
        <v>6</v>
      </c>
      <c r="W260" s="118" t="s">
        <v>82</v>
      </c>
      <c r="X260" s="113"/>
      <c r="Y260" s="117">
        <f t="shared" si="18"/>
        <v>42813</v>
      </c>
      <c r="Z260" s="117">
        <v>42941</v>
      </c>
      <c r="AA260" s="161" t="str">
        <f t="shared" ca="1" si="19"/>
        <v>NO</v>
      </c>
      <c r="AB260" s="113"/>
      <c r="AC260" s="117">
        <v>42741</v>
      </c>
      <c r="AD260" s="111"/>
      <c r="AE260" s="111"/>
      <c r="AF260" s="111" t="str">
        <f t="shared" ca="1" si="20"/>
        <v/>
      </c>
      <c r="AG260" s="162"/>
      <c r="AH260" s="162"/>
      <c r="AI260" s="164">
        <f t="shared" si="21"/>
        <v>0</v>
      </c>
      <c r="AJ260" s="118"/>
      <c r="AK260" s="113" t="s">
        <v>886</v>
      </c>
      <c r="AL260" s="118"/>
      <c r="AM260" s="165" t="str">
        <f t="shared" si="22"/>
        <v xml:space="preserve">16059 TEREOS NESLE </v>
      </c>
      <c r="AN260" s="165" t="str">
        <f t="shared" si="23"/>
        <v xml:space="preserve">16059 TEREOS NESLE  : High DP2 rate at start-up of NF unit </v>
      </c>
    </row>
    <row r="261" spans="1:40" s="76" customFormat="1" ht="13" hidden="1" x14ac:dyDescent="0.3">
      <c r="A261" s="122" t="e">
        <f>HYPERLINK(#REF!)</f>
        <v>#REF!</v>
      </c>
      <c r="B261" s="116">
        <v>17001</v>
      </c>
      <c r="C261" s="113" t="s">
        <v>4</v>
      </c>
      <c r="D261" s="117">
        <v>42740</v>
      </c>
      <c r="E261" s="118" t="s">
        <v>221</v>
      </c>
      <c r="F261" s="118" t="s">
        <v>164</v>
      </c>
      <c r="G261" s="111" t="s">
        <v>1034</v>
      </c>
      <c r="H261" s="111"/>
      <c r="I261" s="119" t="s">
        <v>2057</v>
      </c>
      <c r="J261" s="113"/>
      <c r="K261" s="118">
        <v>2033</v>
      </c>
      <c r="L261" s="118">
        <v>12449</v>
      </c>
      <c r="M261" s="118" t="s">
        <v>672</v>
      </c>
      <c r="N261" s="111" t="s">
        <v>1060</v>
      </c>
      <c r="O261" s="111" t="s">
        <v>29</v>
      </c>
      <c r="P261" s="111" t="s">
        <v>103</v>
      </c>
      <c r="Q261" s="111" t="s">
        <v>510</v>
      </c>
      <c r="R261" s="111" t="s">
        <v>9</v>
      </c>
      <c r="S261" s="111"/>
      <c r="T261" s="118"/>
      <c r="U261" s="64"/>
      <c r="V261" s="158" t="s">
        <v>6</v>
      </c>
      <c r="W261" s="118" t="s">
        <v>82</v>
      </c>
      <c r="X261" s="113">
        <v>42768</v>
      </c>
      <c r="Y261" s="117">
        <f t="shared" si="18"/>
        <v>42830</v>
      </c>
      <c r="Z261" s="117">
        <v>42822</v>
      </c>
      <c r="AA261" s="161" t="str">
        <f t="shared" ca="1" si="19"/>
        <v>YES</v>
      </c>
      <c r="AB261" s="113"/>
      <c r="AC261" s="117"/>
      <c r="AD261" s="111"/>
      <c r="AE261" s="111"/>
      <c r="AF261" s="111" t="str">
        <f t="shared" ca="1" si="20"/>
        <v>N/A</v>
      </c>
      <c r="AG261" s="162">
        <v>830</v>
      </c>
      <c r="AH261" s="162">
        <v>0</v>
      </c>
      <c r="AI261" s="164">
        <f t="shared" si="21"/>
        <v>830</v>
      </c>
      <c r="AJ261" s="182" t="s">
        <v>6</v>
      </c>
      <c r="AK261" s="113">
        <v>43011</v>
      </c>
      <c r="AL261" s="118"/>
      <c r="AM261" s="165" t="str">
        <f t="shared" si="22"/>
        <v>17001 Yi'an</v>
      </c>
      <c r="AN261" s="165" t="str">
        <f t="shared" si="23"/>
        <v>17001 Yi'an : Delay delivery resins</v>
      </c>
    </row>
    <row r="262" spans="1:40" s="76" customFormat="1" ht="13" hidden="1" x14ac:dyDescent="0.3">
      <c r="A262" s="122" t="e">
        <f>HYPERLINK(#REF!)</f>
        <v>#REF!</v>
      </c>
      <c r="B262" s="116">
        <v>17002</v>
      </c>
      <c r="C262" s="113" t="s">
        <v>4</v>
      </c>
      <c r="D262" s="117">
        <v>42745</v>
      </c>
      <c r="E262" s="118" t="s">
        <v>221</v>
      </c>
      <c r="F262" s="118" t="s">
        <v>164</v>
      </c>
      <c r="G262" s="111" t="s">
        <v>1061</v>
      </c>
      <c r="H262" s="111"/>
      <c r="I262" s="119" t="s">
        <v>2057</v>
      </c>
      <c r="J262" s="113"/>
      <c r="K262" s="118">
        <v>2008</v>
      </c>
      <c r="L262" s="118">
        <v>11482</v>
      </c>
      <c r="M262" s="118" t="s">
        <v>359</v>
      </c>
      <c r="N262" s="111" t="s">
        <v>1062</v>
      </c>
      <c r="O262" s="111" t="s">
        <v>29</v>
      </c>
      <c r="P262" s="111" t="s">
        <v>86</v>
      </c>
      <c r="Q262" s="111" t="s">
        <v>852</v>
      </c>
      <c r="R262" s="111" t="s">
        <v>9</v>
      </c>
      <c r="S262" s="111"/>
      <c r="T262" s="118"/>
      <c r="U262" s="64"/>
      <c r="V262" s="158" t="s">
        <v>6</v>
      </c>
      <c r="W262" s="118" t="s">
        <v>221</v>
      </c>
      <c r="X262" s="113">
        <v>42751</v>
      </c>
      <c r="Y262" s="117">
        <f t="shared" si="18"/>
        <v>42835</v>
      </c>
      <c r="Z262" s="117">
        <v>42818</v>
      </c>
      <c r="AA262" s="161" t="str">
        <f t="shared" ca="1" si="19"/>
        <v>YES</v>
      </c>
      <c r="AB262" s="113"/>
      <c r="AC262" s="117"/>
      <c r="AD262" s="111"/>
      <c r="AE262" s="111"/>
      <c r="AF262" s="111" t="str">
        <f t="shared" ca="1" si="20"/>
        <v>N/A</v>
      </c>
      <c r="AG262" s="162">
        <v>830</v>
      </c>
      <c r="AH262" s="162">
        <v>0</v>
      </c>
      <c r="AI262" s="164">
        <f t="shared" si="21"/>
        <v>830</v>
      </c>
      <c r="AJ262" s="182" t="s">
        <v>6</v>
      </c>
      <c r="AK262" s="113">
        <v>43059</v>
      </c>
      <c r="AL262" s="118"/>
      <c r="AM262" s="165" t="str">
        <f t="shared" si="22"/>
        <v>17002 SBC</v>
      </c>
      <c r="AN262" s="165" t="str">
        <f t="shared" si="23"/>
        <v>17002 SBC : Error reference Kerasep membranes</v>
      </c>
    </row>
    <row r="263" spans="1:40" s="76" customFormat="1" ht="13" hidden="1" x14ac:dyDescent="0.3">
      <c r="A263" s="122" t="e">
        <f>HYPERLINK(#REF!)</f>
        <v>#REF!</v>
      </c>
      <c r="B263" s="116">
        <v>17003</v>
      </c>
      <c r="C263" s="113" t="s">
        <v>4</v>
      </c>
      <c r="D263" s="117">
        <v>42760</v>
      </c>
      <c r="E263" s="118" t="s">
        <v>116</v>
      </c>
      <c r="F263" s="118" t="s">
        <v>164</v>
      </c>
      <c r="G263" s="111" t="s">
        <v>1063</v>
      </c>
      <c r="H263" s="111"/>
      <c r="I263" s="119" t="s">
        <v>5</v>
      </c>
      <c r="J263" s="113"/>
      <c r="K263" s="118">
        <v>2018</v>
      </c>
      <c r="L263" s="118">
        <v>11600</v>
      </c>
      <c r="M263" s="118" t="s">
        <v>672</v>
      </c>
      <c r="N263" s="111" t="s">
        <v>1064</v>
      </c>
      <c r="O263" s="111" t="s">
        <v>29</v>
      </c>
      <c r="P263" s="111" t="s">
        <v>86</v>
      </c>
      <c r="Q263" s="111" t="s">
        <v>916</v>
      </c>
      <c r="R263" s="111" t="s">
        <v>9</v>
      </c>
      <c r="S263" s="111"/>
      <c r="T263" s="118"/>
      <c r="U263" s="64"/>
      <c r="V263" s="158" t="s">
        <v>6</v>
      </c>
      <c r="W263" s="118" t="s">
        <v>116</v>
      </c>
      <c r="X263" s="113">
        <v>42765</v>
      </c>
      <c r="Y263" s="117">
        <f t="shared" ref="Y263:Y326" si="24">EDATE(D263,3)</f>
        <v>42850</v>
      </c>
      <c r="Z263" s="117">
        <v>43083</v>
      </c>
      <c r="AA263" s="161" t="str">
        <f t="shared" ca="1" si="19"/>
        <v>NO</v>
      </c>
      <c r="AB263" s="113"/>
      <c r="AC263" s="117">
        <v>42768</v>
      </c>
      <c r="AD263" s="169">
        <v>42948</v>
      </c>
      <c r="AE263" s="172">
        <v>43083</v>
      </c>
      <c r="AF263" s="111" t="str">
        <f t="shared" ca="1" si="20"/>
        <v>NO</v>
      </c>
      <c r="AG263" s="162">
        <v>3467</v>
      </c>
      <c r="AH263" s="162">
        <v>1280</v>
      </c>
      <c r="AI263" s="164">
        <f t="shared" si="21"/>
        <v>4747</v>
      </c>
      <c r="AJ263" s="182" t="s">
        <v>6</v>
      </c>
      <c r="AK263" s="113">
        <v>43412</v>
      </c>
      <c r="AL263" s="118"/>
      <c r="AM263" s="165" t="str">
        <f t="shared" si="22"/>
        <v>17003 TAT Omnia</v>
      </c>
      <c r="AN263" s="165" t="str">
        <f t="shared" si="23"/>
        <v>17003 TAT Omnia : cation working, bad smell syrup, quality final product</v>
      </c>
    </row>
    <row r="264" spans="1:40" s="76" customFormat="1" ht="13" hidden="1" x14ac:dyDescent="0.3">
      <c r="A264" s="122" t="e">
        <f>HYPERLINK(#REF!)</f>
        <v>#REF!</v>
      </c>
      <c r="B264" s="116">
        <v>17004</v>
      </c>
      <c r="C264" s="113" t="s">
        <v>4</v>
      </c>
      <c r="D264" s="117">
        <v>42766</v>
      </c>
      <c r="E264" s="118" t="s">
        <v>826</v>
      </c>
      <c r="F264" s="118" t="s">
        <v>164</v>
      </c>
      <c r="G264" s="111" t="s">
        <v>1034</v>
      </c>
      <c r="H264" s="111" t="s">
        <v>1065</v>
      </c>
      <c r="I264" s="119" t="s">
        <v>2056</v>
      </c>
      <c r="J264" s="113"/>
      <c r="K264" s="118">
        <v>2033</v>
      </c>
      <c r="L264" s="118">
        <v>12449</v>
      </c>
      <c r="M264" s="118" t="s">
        <v>672</v>
      </c>
      <c r="N264" s="111" t="s">
        <v>1066</v>
      </c>
      <c r="O264" s="111" t="s">
        <v>29</v>
      </c>
      <c r="P264" s="111" t="s">
        <v>86</v>
      </c>
      <c r="Q264" s="111" t="s">
        <v>605</v>
      </c>
      <c r="R264" s="111" t="s">
        <v>145</v>
      </c>
      <c r="S264" s="111"/>
      <c r="T264" s="118"/>
      <c r="U264" s="64"/>
      <c r="V264" s="158" t="s">
        <v>10</v>
      </c>
      <c r="W264" s="118"/>
      <c r="X264" s="113">
        <v>42766</v>
      </c>
      <c r="Y264" s="117">
        <f t="shared" si="24"/>
        <v>42855</v>
      </c>
      <c r="Z264" s="117">
        <v>42837</v>
      </c>
      <c r="AA264" s="161" t="str">
        <f t="shared" ref="AA264:AA272" ca="1" si="25">IF(Z264="",IF(TODAY()&gt;Y264,"NO","YES"),IF(Z264&gt;Y264,"NO",IF(Z264&lt;Y264,"YES",IF(Y264=Z264,"YES","N/A"))))</f>
        <v>YES</v>
      </c>
      <c r="AB264" s="113"/>
      <c r="AC264" s="117"/>
      <c r="AD264" s="111"/>
      <c r="AE264" s="111"/>
      <c r="AF264" s="111" t="str">
        <f t="shared" ref="AF264:AF327" ca="1" si="26">IF(I264="Claim",IF(AD264="","",IF(AE264="",IF(TODAY()&gt;AD264,"NO","YES"),IF(AE264&gt;AD264,"NO",IF(AE264&lt;AD264,"YES",IF(AD264=AE264,"YES","N/A"))))),"N/A")</f>
        <v>N/A</v>
      </c>
      <c r="AG264" s="162">
        <v>394</v>
      </c>
      <c r="AH264" s="162">
        <v>702</v>
      </c>
      <c r="AI264" s="164">
        <f t="shared" ref="AI264:AI327" si="27">AH264+AG264</f>
        <v>1096</v>
      </c>
      <c r="AJ264" s="182" t="s">
        <v>6</v>
      </c>
      <c r="AK264" s="113">
        <v>43018</v>
      </c>
      <c r="AL264" s="118"/>
      <c r="AM264" s="165" t="str">
        <f t="shared" ref="AM264:AM327" si="28">CONCATENATE(B264," ",G264)</f>
        <v>17004 Yi'an</v>
      </c>
      <c r="AN264" s="165" t="str">
        <f t="shared" ref="AN264:AN327" si="29">CONCATENATE(B264," ",G264," : ",N264)</f>
        <v>17004 Yi'an : PLC cards undersized</v>
      </c>
    </row>
    <row r="265" spans="1:40" s="76" customFormat="1" ht="13" hidden="1" x14ac:dyDescent="0.3">
      <c r="A265" s="122" t="e">
        <f>HYPERLINK(#REF!)</f>
        <v>#REF!</v>
      </c>
      <c r="B265" s="116">
        <v>17005</v>
      </c>
      <c r="C265" s="113" t="s">
        <v>4</v>
      </c>
      <c r="D265" s="117">
        <v>42767</v>
      </c>
      <c r="E265" s="118" t="s">
        <v>1009</v>
      </c>
      <c r="F265" s="118" t="s">
        <v>164</v>
      </c>
      <c r="G265" s="111" t="s">
        <v>1067</v>
      </c>
      <c r="H265" s="111"/>
      <c r="I265" s="119" t="s">
        <v>2057</v>
      </c>
      <c r="J265" s="113" t="s">
        <v>1068</v>
      </c>
      <c r="K265" s="118">
        <v>2031</v>
      </c>
      <c r="L265" s="118">
        <v>10376</v>
      </c>
      <c r="M265" s="118" t="s">
        <v>13</v>
      </c>
      <c r="N265" s="111" t="s">
        <v>1069</v>
      </c>
      <c r="O265" s="111" t="s">
        <v>29</v>
      </c>
      <c r="P265" s="111" t="s">
        <v>86</v>
      </c>
      <c r="Q265" s="111" t="s">
        <v>852</v>
      </c>
      <c r="R265" s="111" t="s">
        <v>15</v>
      </c>
      <c r="S265" s="111"/>
      <c r="T265" s="118"/>
      <c r="U265" s="64"/>
      <c r="V265" s="158" t="s">
        <v>6</v>
      </c>
      <c r="W265" s="118" t="s">
        <v>1070</v>
      </c>
      <c r="X265" s="113">
        <v>42775</v>
      </c>
      <c r="Y265" s="117">
        <f t="shared" si="24"/>
        <v>42856</v>
      </c>
      <c r="Z265" s="117">
        <v>42835</v>
      </c>
      <c r="AA265" s="161" t="str">
        <f t="shared" ca="1" si="25"/>
        <v>YES</v>
      </c>
      <c r="AB265" s="113"/>
      <c r="AC265" s="117"/>
      <c r="AD265" s="111"/>
      <c r="AE265" s="111"/>
      <c r="AF265" s="111" t="str">
        <f t="shared" ca="1" si="26"/>
        <v>N/A</v>
      </c>
      <c r="AG265" s="162">
        <v>830</v>
      </c>
      <c r="AH265" s="162">
        <v>0</v>
      </c>
      <c r="AI265" s="164">
        <f t="shared" si="27"/>
        <v>830</v>
      </c>
      <c r="AJ265" s="182" t="s">
        <v>6</v>
      </c>
      <c r="AK265" s="113">
        <v>43059</v>
      </c>
      <c r="AL265" s="118"/>
      <c r="AM265" s="165" t="str">
        <f t="shared" si="28"/>
        <v>17005 Cargill</v>
      </c>
      <c r="AN265" s="165" t="str">
        <f t="shared" si="29"/>
        <v>17005 Cargill : Error functionnal analysis (PR60)</v>
      </c>
    </row>
    <row r="266" spans="1:40" s="76" customFormat="1" ht="13" hidden="1" x14ac:dyDescent="0.3">
      <c r="A266" s="122" t="e">
        <f>HYPERLINK(#REF!)</f>
        <v>#REF!</v>
      </c>
      <c r="B266" s="116">
        <v>17006</v>
      </c>
      <c r="C266" s="113" t="s">
        <v>4</v>
      </c>
      <c r="D266" s="117">
        <v>42774</v>
      </c>
      <c r="E266" s="118" t="s">
        <v>1071</v>
      </c>
      <c r="F266" s="118" t="s">
        <v>164</v>
      </c>
      <c r="G266" s="111" t="s">
        <v>1072</v>
      </c>
      <c r="H266" s="111" t="s">
        <v>1073</v>
      </c>
      <c r="I266" s="119" t="s">
        <v>2056</v>
      </c>
      <c r="J266" s="113"/>
      <c r="K266" s="118">
        <v>2014</v>
      </c>
      <c r="L266" s="118">
        <v>10416</v>
      </c>
      <c r="M266" s="118" t="s">
        <v>13</v>
      </c>
      <c r="N266" s="111" t="s">
        <v>1074</v>
      </c>
      <c r="O266" s="111" t="s">
        <v>29</v>
      </c>
      <c r="P266" s="111" t="s">
        <v>86</v>
      </c>
      <c r="Q266" s="111" t="s">
        <v>916</v>
      </c>
      <c r="R266" s="111" t="s">
        <v>145</v>
      </c>
      <c r="S266" s="111"/>
      <c r="T266" s="118"/>
      <c r="U266" s="64"/>
      <c r="V266" s="158" t="s">
        <v>10</v>
      </c>
      <c r="W266" s="118"/>
      <c r="X266" s="113">
        <v>42774</v>
      </c>
      <c r="Y266" s="117">
        <f t="shared" si="24"/>
        <v>42863</v>
      </c>
      <c r="Z266" s="117">
        <v>42818</v>
      </c>
      <c r="AA266" s="161" t="str">
        <f t="shared" ca="1" si="25"/>
        <v>YES</v>
      </c>
      <c r="AB266" s="113"/>
      <c r="AC266" s="117"/>
      <c r="AD266" s="111"/>
      <c r="AE266" s="111"/>
      <c r="AF266" s="111" t="str">
        <f t="shared" ca="1" si="26"/>
        <v>N/A</v>
      </c>
      <c r="AG266" s="162">
        <v>664</v>
      </c>
      <c r="AH266" s="162">
        <v>0</v>
      </c>
      <c r="AI266" s="164">
        <f t="shared" si="27"/>
        <v>664</v>
      </c>
      <c r="AJ266" s="182"/>
      <c r="AK266" s="113" t="s">
        <v>1075</v>
      </c>
      <c r="AL266" s="118" t="s">
        <v>1076</v>
      </c>
      <c r="AM266" s="165" t="str">
        <f t="shared" si="28"/>
        <v>17006 Agrana</v>
      </c>
      <c r="AN266" s="165" t="str">
        <f t="shared" si="29"/>
        <v>17006 Agrana : Error nozzle diameter soft water tank</v>
      </c>
    </row>
    <row r="267" spans="1:40" s="76" customFormat="1" ht="13" hidden="1" x14ac:dyDescent="0.3">
      <c r="A267" s="122" t="e">
        <f>HYPERLINK(#REF!)</f>
        <v>#REF!</v>
      </c>
      <c r="B267" s="116">
        <v>17007</v>
      </c>
      <c r="C267" s="113" t="s">
        <v>4</v>
      </c>
      <c r="D267" s="117">
        <v>42774</v>
      </c>
      <c r="E267" s="118" t="s">
        <v>1071</v>
      </c>
      <c r="F267" s="118" t="s">
        <v>164</v>
      </c>
      <c r="G267" s="111" t="s">
        <v>1072</v>
      </c>
      <c r="H267" s="111" t="s">
        <v>930</v>
      </c>
      <c r="I267" s="119" t="s">
        <v>2056</v>
      </c>
      <c r="J267" s="113"/>
      <c r="K267" s="118">
        <v>2014</v>
      </c>
      <c r="L267" s="118">
        <v>10416</v>
      </c>
      <c r="M267" s="118" t="s">
        <v>13</v>
      </c>
      <c r="N267" s="111" t="s">
        <v>1077</v>
      </c>
      <c r="O267" s="111" t="s">
        <v>29</v>
      </c>
      <c r="P267" s="111" t="s">
        <v>86</v>
      </c>
      <c r="Q267" s="111" t="s">
        <v>1078</v>
      </c>
      <c r="R267" s="111" t="s">
        <v>145</v>
      </c>
      <c r="S267" s="111"/>
      <c r="T267" s="118"/>
      <c r="U267" s="64"/>
      <c r="V267" s="158" t="s">
        <v>6</v>
      </c>
      <c r="W267" s="118" t="s">
        <v>1079</v>
      </c>
      <c r="X267" s="113">
        <v>42790</v>
      </c>
      <c r="Y267" s="117">
        <f t="shared" si="24"/>
        <v>42863</v>
      </c>
      <c r="Z267" s="117">
        <v>43404</v>
      </c>
      <c r="AA267" s="161" t="str">
        <f t="shared" ca="1" si="25"/>
        <v>NO</v>
      </c>
      <c r="AB267" s="113"/>
      <c r="AC267" s="117"/>
      <c r="AD267" s="111"/>
      <c r="AE267" s="111"/>
      <c r="AF267" s="111" t="str">
        <f t="shared" ca="1" si="26"/>
        <v>N/A</v>
      </c>
      <c r="AG267" s="162">
        <v>0</v>
      </c>
      <c r="AH267" s="162">
        <v>0</v>
      </c>
      <c r="AI267" s="164">
        <f t="shared" si="27"/>
        <v>0</v>
      </c>
      <c r="AJ267" s="182"/>
      <c r="AK267" s="113" t="s">
        <v>454</v>
      </c>
      <c r="AL267" s="118"/>
      <c r="AM267" s="165" t="str">
        <f t="shared" si="28"/>
        <v>17007 Agrana</v>
      </c>
      <c r="AN267" s="165" t="str">
        <f t="shared" si="29"/>
        <v>17007 Agrana : C615 ID plate support damaged</v>
      </c>
    </row>
    <row r="268" spans="1:40" s="76" customFormat="1" ht="13" hidden="1" x14ac:dyDescent="0.3">
      <c r="A268" s="122" t="e">
        <f>HYPERLINK(#REF!)</f>
        <v>#REF!</v>
      </c>
      <c r="B268" s="116">
        <v>17008</v>
      </c>
      <c r="C268" s="113" t="s">
        <v>4</v>
      </c>
      <c r="D268" s="117">
        <v>42774</v>
      </c>
      <c r="E268" s="118" t="s">
        <v>1071</v>
      </c>
      <c r="F268" s="118" t="s">
        <v>164</v>
      </c>
      <c r="G268" s="111" t="s">
        <v>1072</v>
      </c>
      <c r="H268" s="111" t="s">
        <v>930</v>
      </c>
      <c r="I268" s="119" t="s">
        <v>2056</v>
      </c>
      <c r="J268" s="113"/>
      <c r="K268" s="118">
        <v>2014</v>
      </c>
      <c r="L268" s="118">
        <v>10416</v>
      </c>
      <c r="M268" s="118" t="s">
        <v>13</v>
      </c>
      <c r="N268" s="111" t="s">
        <v>1080</v>
      </c>
      <c r="O268" s="111" t="s">
        <v>29</v>
      </c>
      <c r="P268" s="111" t="s">
        <v>86</v>
      </c>
      <c r="Q268" s="111" t="s">
        <v>1078</v>
      </c>
      <c r="R268" s="111" t="s">
        <v>145</v>
      </c>
      <c r="S268" s="121"/>
      <c r="T268" s="141"/>
      <c r="U268" s="71"/>
      <c r="V268" s="158" t="s">
        <v>6</v>
      </c>
      <c r="W268" s="118" t="s">
        <v>1079</v>
      </c>
      <c r="X268" s="113">
        <v>42790</v>
      </c>
      <c r="Y268" s="160">
        <f t="shared" si="24"/>
        <v>42863</v>
      </c>
      <c r="Z268" s="117">
        <v>43404</v>
      </c>
      <c r="AA268" s="181" t="str">
        <f t="shared" ca="1" si="25"/>
        <v>NO</v>
      </c>
      <c r="AB268" s="159"/>
      <c r="AC268" s="160"/>
      <c r="AD268" s="121"/>
      <c r="AE268" s="121"/>
      <c r="AF268" s="111" t="str">
        <f t="shared" ca="1" si="26"/>
        <v>N/A</v>
      </c>
      <c r="AG268" s="162">
        <v>0</v>
      </c>
      <c r="AH268" s="162">
        <v>0</v>
      </c>
      <c r="AI268" s="164">
        <f t="shared" si="27"/>
        <v>0</v>
      </c>
      <c r="AJ268" s="182"/>
      <c r="AK268" s="113" t="s">
        <v>454</v>
      </c>
      <c r="AL268" s="141"/>
      <c r="AM268" s="166" t="str">
        <f t="shared" si="28"/>
        <v>17008 Agrana</v>
      </c>
      <c r="AN268" s="166" t="str">
        <f t="shared" si="29"/>
        <v>17008 Agrana : C625 ID plate support damaged</v>
      </c>
    </row>
    <row r="269" spans="1:40" s="76" customFormat="1" ht="13" hidden="1" x14ac:dyDescent="0.3">
      <c r="A269" s="122" t="e">
        <f>HYPERLINK(#REF!)</f>
        <v>#REF!</v>
      </c>
      <c r="B269" s="116">
        <v>17009</v>
      </c>
      <c r="C269" s="113" t="s">
        <v>4</v>
      </c>
      <c r="D269" s="117">
        <v>42774</v>
      </c>
      <c r="E269" s="118" t="s">
        <v>1071</v>
      </c>
      <c r="F269" s="118" t="s">
        <v>164</v>
      </c>
      <c r="G269" s="111" t="s">
        <v>1072</v>
      </c>
      <c r="H269" s="111" t="s">
        <v>930</v>
      </c>
      <c r="I269" s="119" t="s">
        <v>2056</v>
      </c>
      <c r="J269" s="113"/>
      <c r="K269" s="118">
        <v>2014</v>
      </c>
      <c r="L269" s="118">
        <v>10416</v>
      </c>
      <c r="M269" s="118" t="s">
        <v>13</v>
      </c>
      <c r="N269" s="111" t="s">
        <v>1081</v>
      </c>
      <c r="O269" s="111" t="s">
        <v>29</v>
      </c>
      <c r="P269" s="111" t="s">
        <v>86</v>
      </c>
      <c r="Q269" s="111" t="s">
        <v>1078</v>
      </c>
      <c r="R269" s="111" t="s">
        <v>145</v>
      </c>
      <c r="S269" s="121"/>
      <c r="T269" s="141"/>
      <c r="U269" s="71"/>
      <c r="V269" s="158" t="s">
        <v>6</v>
      </c>
      <c r="W269" s="118" t="s">
        <v>1079</v>
      </c>
      <c r="X269" s="113">
        <v>42790</v>
      </c>
      <c r="Y269" s="160">
        <f t="shared" si="24"/>
        <v>42863</v>
      </c>
      <c r="Z269" s="117">
        <v>43404</v>
      </c>
      <c r="AA269" s="181" t="str">
        <f t="shared" ca="1" si="25"/>
        <v>NO</v>
      </c>
      <c r="AB269" s="159"/>
      <c r="AC269" s="160"/>
      <c r="AD269" s="121"/>
      <c r="AE269" s="121"/>
      <c r="AF269" s="111" t="str">
        <f t="shared" ca="1" si="26"/>
        <v>N/A</v>
      </c>
      <c r="AG269" s="162">
        <v>0</v>
      </c>
      <c r="AH269" s="162">
        <v>0</v>
      </c>
      <c r="AI269" s="164">
        <f t="shared" si="27"/>
        <v>0</v>
      </c>
      <c r="AJ269" s="182"/>
      <c r="AK269" s="113" t="s">
        <v>454</v>
      </c>
      <c r="AL269" s="141"/>
      <c r="AM269" s="166" t="str">
        <f t="shared" si="28"/>
        <v>17009 Agrana</v>
      </c>
      <c r="AN269" s="166" t="str">
        <f t="shared" si="29"/>
        <v>17009 Agrana : C635 ID plate support damaged</v>
      </c>
    </row>
    <row r="270" spans="1:40" s="76" customFormat="1" ht="13" hidden="1" x14ac:dyDescent="0.3">
      <c r="A270" s="122" t="e">
        <f>HYPERLINK(#REF!)</f>
        <v>#REF!</v>
      </c>
      <c r="B270" s="116">
        <v>17010</v>
      </c>
      <c r="C270" s="113" t="s">
        <v>4</v>
      </c>
      <c r="D270" s="117">
        <v>42774</v>
      </c>
      <c r="E270" s="118" t="s">
        <v>1071</v>
      </c>
      <c r="F270" s="118" t="s">
        <v>164</v>
      </c>
      <c r="G270" s="111" t="s">
        <v>1072</v>
      </c>
      <c r="H270" s="111" t="s">
        <v>930</v>
      </c>
      <c r="I270" s="119" t="s">
        <v>2056</v>
      </c>
      <c r="J270" s="113"/>
      <c r="K270" s="118">
        <v>2014</v>
      </c>
      <c r="L270" s="118">
        <v>10416</v>
      </c>
      <c r="M270" s="118" t="s">
        <v>13</v>
      </c>
      <c r="N270" s="121" t="s">
        <v>1082</v>
      </c>
      <c r="O270" s="111" t="s">
        <v>29</v>
      </c>
      <c r="P270" s="111" t="s">
        <v>86</v>
      </c>
      <c r="Q270" s="111" t="s">
        <v>1078</v>
      </c>
      <c r="R270" s="111" t="s">
        <v>145</v>
      </c>
      <c r="S270" s="121"/>
      <c r="T270" s="141"/>
      <c r="U270" s="71"/>
      <c r="V270" s="158" t="s">
        <v>6</v>
      </c>
      <c r="W270" s="118" t="s">
        <v>1083</v>
      </c>
      <c r="X270" s="113">
        <v>42790</v>
      </c>
      <c r="Y270" s="160">
        <f t="shared" si="24"/>
        <v>42863</v>
      </c>
      <c r="Z270" s="160">
        <v>43606</v>
      </c>
      <c r="AA270" s="181" t="str">
        <f t="shared" ca="1" si="25"/>
        <v>NO</v>
      </c>
      <c r="AB270" s="159"/>
      <c r="AC270" s="160"/>
      <c r="AD270" s="121"/>
      <c r="AE270" s="121"/>
      <c r="AF270" s="111" t="str">
        <f t="shared" ca="1" si="26"/>
        <v>N/A</v>
      </c>
      <c r="AG270" s="162">
        <v>276</v>
      </c>
      <c r="AH270" s="162">
        <v>4063.3</v>
      </c>
      <c r="AI270" s="164">
        <f t="shared" si="27"/>
        <v>4339.3</v>
      </c>
      <c r="AJ270" s="182"/>
      <c r="AK270" s="159" t="s">
        <v>1075</v>
      </c>
      <c r="AL270" s="118" t="s">
        <v>1076</v>
      </c>
      <c r="AM270" s="166" t="str">
        <f t="shared" si="28"/>
        <v>17010 Agrana</v>
      </c>
      <c r="AN270" s="166" t="str">
        <f t="shared" si="29"/>
        <v>17010 Agrana : cationic/anionic columns showing coating damages</v>
      </c>
    </row>
    <row r="271" spans="1:40" s="76" customFormat="1" ht="13" hidden="1" x14ac:dyDescent="0.3">
      <c r="A271" s="122" t="e">
        <f>HYPERLINK(#REF!)</f>
        <v>#REF!</v>
      </c>
      <c r="B271" s="116">
        <v>17011</v>
      </c>
      <c r="C271" s="113" t="s">
        <v>4</v>
      </c>
      <c r="D271" s="117">
        <v>42774</v>
      </c>
      <c r="E271" s="118" t="s">
        <v>1071</v>
      </c>
      <c r="F271" s="118" t="s">
        <v>164</v>
      </c>
      <c r="G271" s="111" t="s">
        <v>1072</v>
      </c>
      <c r="H271" s="111" t="s">
        <v>739</v>
      </c>
      <c r="I271" s="119" t="s">
        <v>2056</v>
      </c>
      <c r="J271" s="113"/>
      <c r="K271" s="118">
        <v>2014</v>
      </c>
      <c r="L271" s="118">
        <v>10416</v>
      </c>
      <c r="M271" s="118" t="s">
        <v>13</v>
      </c>
      <c r="N271" s="121" t="s">
        <v>1084</v>
      </c>
      <c r="O271" s="111" t="s">
        <v>29</v>
      </c>
      <c r="P271" s="111" t="s">
        <v>86</v>
      </c>
      <c r="Q271" s="111" t="s">
        <v>1078</v>
      </c>
      <c r="R271" s="111" t="s">
        <v>145</v>
      </c>
      <c r="S271" s="121"/>
      <c r="T271" s="141"/>
      <c r="U271" s="71"/>
      <c r="V271" s="158" t="s">
        <v>6</v>
      </c>
      <c r="W271" s="118" t="s">
        <v>1083</v>
      </c>
      <c r="X271" s="113">
        <v>42790</v>
      </c>
      <c r="Y271" s="160">
        <f t="shared" si="24"/>
        <v>42863</v>
      </c>
      <c r="Z271" s="160">
        <v>42857</v>
      </c>
      <c r="AA271" s="181" t="str">
        <f t="shared" ca="1" si="25"/>
        <v>YES</v>
      </c>
      <c r="AB271" s="159"/>
      <c r="AC271" s="160"/>
      <c r="AD271" s="121"/>
      <c r="AE271" s="121"/>
      <c r="AF271" s="111" t="str">
        <f t="shared" ca="1" si="26"/>
        <v>N/A</v>
      </c>
      <c r="AG271" s="162">
        <v>3320</v>
      </c>
      <c r="AH271" s="162">
        <v>0</v>
      </c>
      <c r="AI271" s="164">
        <f t="shared" si="27"/>
        <v>3320</v>
      </c>
      <c r="AJ271" s="182"/>
      <c r="AK271" s="113" t="s">
        <v>1075</v>
      </c>
      <c r="AL271" s="118" t="s">
        <v>1076</v>
      </c>
      <c r="AM271" s="166" t="str">
        <f t="shared" si="28"/>
        <v>17011 Agrana</v>
      </c>
      <c r="AN271" s="166" t="str">
        <f t="shared" si="29"/>
        <v>17011 Agrana : internal diameter PP piping too small</v>
      </c>
    </row>
    <row r="272" spans="1:40" s="76" customFormat="1" ht="13" hidden="1" x14ac:dyDescent="0.3">
      <c r="A272" s="122" t="e">
        <f>HYPERLINK(#REF!)</f>
        <v>#REF!</v>
      </c>
      <c r="B272" s="116">
        <v>17012</v>
      </c>
      <c r="C272" s="113" t="s">
        <v>4</v>
      </c>
      <c r="D272" s="117">
        <v>42774</v>
      </c>
      <c r="E272" s="118" t="s">
        <v>1071</v>
      </c>
      <c r="F272" s="118" t="s">
        <v>164</v>
      </c>
      <c r="G272" s="111" t="s">
        <v>1072</v>
      </c>
      <c r="H272" s="111" t="s">
        <v>616</v>
      </c>
      <c r="I272" s="119" t="s">
        <v>2056</v>
      </c>
      <c r="J272" s="113"/>
      <c r="K272" s="118">
        <v>2014</v>
      </c>
      <c r="L272" s="118">
        <v>10416</v>
      </c>
      <c r="M272" s="118" t="s">
        <v>13</v>
      </c>
      <c r="N272" s="121" t="s">
        <v>1085</v>
      </c>
      <c r="O272" s="111" t="s">
        <v>29</v>
      </c>
      <c r="P272" s="111" t="s">
        <v>86</v>
      </c>
      <c r="Q272" s="111" t="s">
        <v>1078</v>
      </c>
      <c r="R272" s="111" t="s">
        <v>145</v>
      </c>
      <c r="S272" s="121"/>
      <c r="T272" s="141"/>
      <c r="U272" s="71"/>
      <c r="V272" s="158" t="s">
        <v>6</v>
      </c>
      <c r="W272" s="118" t="s">
        <v>1086</v>
      </c>
      <c r="X272" s="159">
        <v>42800</v>
      </c>
      <c r="Y272" s="160">
        <f t="shared" si="24"/>
        <v>42863</v>
      </c>
      <c r="Z272" s="160">
        <v>42844</v>
      </c>
      <c r="AA272" s="181" t="str">
        <f t="shared" ca="1" si="25"/>
        <v>YES</v>
      </c>
      <c r="AB272" s="159"/>
      <c r="AC272" s="160"/>
      <c r="AD272" s="121"/>
      <c r="AE272" s="121"/>
      <c r="AF272" s="111" t="str">
        <f t="shared" ca="1" si="26"/>
        <v>N/A</v>
      </c>
      <c r="AG272" s="162">
        <v>6640</v>
      </c>
      <c r="AH272" s="162">
        <v>130</v>
      </c>
      <c r="AI272" s="164">
        <f t="shared" si="27"/>
        <v>6770</v>
      </c>
      <c r="AJ272" s="182"/>
      <c r="AK272" s="113" t="s">
        <v>1075</v>
      </c>
      <c r="AL272" s="118" t="s">
        <v>1076</v>
      </c>
      <c r="AM272" s="166" t="str">
        <f t="shared" si="28"/>
        <v>17012 Agrana</v>
      </c>
      <c r="AN272" s="166" t="str">
        <f t="shared" si="29"/>
        <v>17012 Agrana : missing studs on all flanges of vessels</v>
      </c>
    </row>
    <row r="273" spans="1:40" s="76" customFormat="1" ht="13" hidden="1" x14ac:dyDescent="0.3">
      <c r="A273" s="122" t="e">
        <f>HYPERLINK(#REF!)</f>
        <v>#REF!</v>
      </c>
      <c r="B273" s="116">
        <v>17013</v>
      </c>
      <c r="C273" s="113" t="s">
        <v>8</v>
      </c>
      <c r="D273" s="117">
        <v>42800</v>
      </c>
      <c r="E273" s="118" t="s">
        <v>441</v>
      </c>
      <c r="F273" s="118" t="s">
        <v>164</v>
      </c>
      <c r="G273" s="111" t="s">
        <v>1072</v>
      </c>
      <c r="H273" s="111" t="s">
        <v>683</v>
      </c>
      <c r="I273" s="119" t="s">
        <v>2056</v>
      </c>
      <c r="J273" s="113"/>
      <c r="K273" s="118">
        <v>2014</v>
      </c>
      <c r="L273" s="118">
        <v>10416</v>
      </c>
      <c r="M273" s="118" t="s">
        <v>13</v>
      </c>
      <c r="N273" s="111" t="s">
        <v>1087</v>
      </c>
      <c r="O273" s="111" t="s">
        <v>29</v>
      </c>
      <c r="P273" s="111" t="s">
        <v>86</v>
      </c>
      <c r="Q273" s="111"/>
      <c r="R273" s="111" t="s">
        <v>15</v>
      </c>
      <c r="S273" s="111"/>
      <c r="T273" s="118" t="s">
        <v>683</v>
      </c>
      <c r="U273" s="64"/>
      <c r="V273" s="158" t="s">
        <v>6</v>
      </c>
      <c r="W273" s="118" t="s">
        <v>441</v>
      </c>
      <c r="X273" s="113">
        <v>42802</v>
      </c>
      <c r="Y273" s="117">
        <f t="shared" si="24"/>
        <v>42892</v>
      </c>
      <c r="Z273" s="117">
        <v>42886</v>
      </c>
      <c r="AA273" s="161" t="s">
        <v>6</v>
      </c>
      <c r="AB273" s="113"/>
      <c r="AC273" s="117"/>
      <c r="AD273" s="111"/>
      <c r="AE273" s="111"/>
      <c r="AF273" s="111" t="str">
        <f t="shared" ca="1" si="26"/>
        <v>N/A</v>
      </c>
      <c r="AG273" s="162">
        <v>123.69581585457675</v>
      </c>
      <c r="AH273" s="162">
        <v>0</v>
      </c>
      <c r="AI273" s="164">
        <f t="shared" si="27"/>
        <v>123.69581585457675</v>
      </c>
      <c r="AJ273" s="118"/>
      <c r="AK273" s="113"/>
      <c r="AL273" s="118"/>
      <c r="AM273" s="165" t="str">
        <f t="shared" si="28"/>
        <v>17013 Agrana</v>
      </c>
      <c r="AN273" s="165" t="str">
        <f t="shared" si="29"/>
        <v>17013 Agrana : painting colour for IEX columns of Phase I is wrong</v>
      </c>
    </row>
    <row r="274" spans="1:40" s="76" customFormat="1" ht="13" hidden="1" x14ac:dyDescent="0.3">
      <c r="A274" s="122" t="e">
        <f>HYPERLINK(#REF!)</f>
        <v>#REF!</v>
      </c>
      <c r="B274" s="116">
        <v>17014</v>
      </c>
      <c r="C274" s="113" t="s">
        <v>4</v>
      </c>
      <c r="D274" s="117">
        <v>42800</v>
      </c>
      <c r="E274" s="118" t="s">
        <v>99</v>
      </c>
      <c r="F274" s="118" t="s">
        <v>658</v>
      </c>
      <c r="G274" s="111" t="s">
        <v>1072</v>
      </c>
      <c r="H274" s="111"/>
      <c r="I274" s="119" t="s">
        <v>5</v>
      </c>
      <c r="J274" s="113"/>
      <c r="K274" s="118"/>
      <c r="L274" s="118" t="s">
        <v>1088</v>
      </c>
      <c r="M274" s="118" t="s">
        <v>338</v>
      </c>
      <c r="N274" s="111" t="s">
        <v>1089</v>
      </c>
      <c r="O274" s="111" t="s">
        <v>28</v>
      </c>
      <c r="P274" s="111" t="s">
        <v>103</v>
      </c>
      <c r="Q274" s="111" t="s">
        <v>510</v>
      </c>
      <c r="R274" s="111" t="s">
        <v>9</v>
      </c>
      <c r="S274" s="111"/>
      <c r="T274" s="118"/>
      <c r="U274" s="64"/>
      <c r="V274" s="158" t="s">
        <v>6</v>
      </c>
      <c r="W274" s="118" t="s">
        <v>99</v>
      </c>
      <c r="X274" s="113">
        <v>42803</v>
      </c>
      <c r="Y274" s="117">
        <f t="shared" si="24"/>
        <v>42892</v>
      </c>
      <c r="Z274" s="117">
        <v>42888</v>
      </c>
      <c r="AA274" s="161" t="str">
        <f t="shared" ref="AA274:AA305" ca="1" si="30">IF(Z274="",IF(TODAY()&gt;Y274,"NO","YES"),IF(Z274&gt;Y274,"NO",IF(Z274&lt;Y274,"YES",IF(Y274=Z274,"YES","N/A"))))</f>
        <v>YES</v>
      </c>
      <c r="AB274" s="113"/>
      <c r="AC274" s="117">
        <v>42794</v>
      </c>
      <c r="AD274" s="111"/>
      <c r="AE274" s="111"/>
      <c r="AF274" s="111" t="str">
        <f t="shared" ca="1" si="26"/>
        <v/>
      </c>
      <c r="AG274" s="162">
        <v>4623</v>
      </c>
      <c r="AH274" s="162">
        <v>27804</v>
      </c>
      <c r="AI274" s="164">
        <f t="shared" si="27"/>
        <v>32427</v>
      </c>
      <c r="AJ274" s="182" t="s">
        <v>6</v>
      </c>
      <c r="AK274" s="113">
        <v>43011</v>
      </c>
      <c r="AL274" s="118"/>
      <c r="AM274" s="165" t="str">
        <f t="shared" si="28"/>
        <v>17014 Agrana</v>
      </c>
      <c r="AN274" s="165" t="str">
        <f t="shared" si="29"/>
        <v>17014 Agrana : outside kerasep membrane storage</v>
      </c>
    </row>
    <row r="275" spans="1:40" s="76" customFormat="1" ht="13" hidden="1" x14ac:dyDescent="0.3">
      <c r="A275" s="122" t="e">
        <f>HYPERLINK(#REF!)</f>
        <v>#REF!</v>
      </c>
      <c r="B275" s="116">
        <v>17015</v>
      </c>
      <c r="C275" s="113" t="s">
        <v>4</v>
      </c>
      <c r="D275" s="117">
        <v>42807</v>
      </c>
      <c r="E275" s="118" t="s">
        <v>82</v>
      </c>
      <c r="F275" s="118" t="s">
        <v>658</v>
      </c>
      <c r="G275" s="111" t="s">
        <v>1090</v>
      </c>
      <c r="H275" s="111" t="s">
        <v>309</v>
      </c>
      <c r="I275" s="119" t="s">
        <v>2056</v>
      </c>
      <c r="J275" s="113"/>
      <c r="K275" s="118"/>
      <c r="L275" s="118" t="s">
        <v>1091</v>
      </c>
      <c r="M275" s="118" t="s">
        <v>13</v>
      </c>
      <c r="N275" s="111" t="s">
        <v>1092</v>
      </c>
      <c r="O275" s="111" t="s">
        <v>28</v>
      </c>
      <c r="P275" s="111" t="s">
        <v>103</v>
      </c>
      <c r="Q275" s="111" t="s">
        <v>1093</v>
      </c>
      <c r="R275" s="111" t="s">
        <v>145</v>
      </c>
      <c r="S275" s="111"/>
      <c r="T275" s="129" t="s">
        <v>309</v>
      </c>
      <c r="U275" s="64"/>
      <c r="V275" s="158" t="s">
        <v>10</v>
      </c>
      <c r="W275" s="118"/>
      <c r="X275" s="113"/>
      <c r="Y275" s="117">
        <f t="shared" si="24"/>
        <v>42899</v>
      </c>
      <c r="Z275" s="117">
        <v>42867</v>
      </c>
      <c r="AA275" s="161" t="str">
        <f t="shared" ca="1" si="30"/>
        <v>YES</v>
      </c>
      <c r="AB275" s="113"/>
      <c r="AC275" s="117"/>
      <c r="AD275" s="111"/>
      <c r="AE275" s="111"/>
      <c r="AF275" s="111" t="str">
        <f t="shared" ca="1" si="26"/>
        <v>N/A</v>
      </c>
      <c r="AG275" s="162">
        <v>166</v>
      </c>
      <c r="AH275" s="162">
        <v>0</v>
      </c>
      <c r="AI275" s="164">
        <f t="shared" si="27"/>
        <v>166</v>
      </c>
      <c r="AJ275" s="182" t="s">
        <v>10</v>
      </c>
      <c r="AK275" s="113">
        <v>43041</v>
      </c>
      <c r="AL275" s="118" t="s">
        <v>1094</v>
      </c>
      <c r="AM275" s="165" t="str">
        <f t="shared" si="28"/>
        <v>17015 Beneo Orafti</v>
      </c>
      <c r="AN275" s="165" t="str">
        <f t="shared" si="29"/>
        <v>17015 Beneo Orafti : resin delivery delay</v>
      </c>
    </row>
    <row r="276" spans="1:40" s="76" customFormat="1" ht="13" hidden="1" x14ac:dyDescent="0.3">
      <c r="A276" s="122" t="e">
        <f>HYPERLINK(#REF!)</f>
        <v>#REF!</v>
      </c>
      <c r="B276" s="116">
        <v>17016</v>
      </c>
      <c r="C276" s="113" t="s">
        <v>4</v>
      </c>
      <c r="D276" s="117">
        <v>42811</v>
      </c>
      <c r="E276" s="118" t="s">
        <v>924</v>
      </c>
      <c r="F276" s="118" t="s">
        <v>164</v>
      </c>
      <c r="G276" s="111" t="s">
        <v>1095</v>
      </c>
      <c r="H276" s="111" t="s">
        <v>1096</v>
      </c>
      <c r="I276" s="119" t="s">
        <v>5</v>
      </c>
      <c r="J276" s="113"/>
      <c r="K276" s="118">
        <v>2010</v>
      </c>
      <c r="L276" s="118">
        <v>11326</v>
      </c>
      <c r="M276" s="118" t="s">
        <v>359</v>
      </c>
      <c r="N276" s="111" t="s">
        <v>1097</v>
      </c>
      <c r="O276" s="111" t="s">
        <v>29</v>
      </c>
      <c r="P276" s="111" t="s">
        <v>86</v>
      </c>
      <c r="Q276" s="111" t="s">
        <v>916</v>
      </c>
      <c r="R276" s="111" t="s">
        <v>145</v>
      </c>
      <c r="S276" s="111"/>
      <c r="T276" s="129" t="s">
        <v>1096</v>
      </c>
      <c r="U276" s="64"/>
      <c r="V276" s="158" t="s">
        <v>6</v>
      </c>
      <c r="W276" s="118" t="s">
        <v>319</v>
      </c>
      <c r="X276" s="113">
        <v>42816</v>
      </c>
      <c r="Y276" s="117">
        <f t="shared" si="24"/>
        <v>42903</v>
      </c>
      <c r="Z276" s="117">
        <v>42894</v>
      </c>
      <c r="AA276" s="161" t="str">
        <f t="shared" ca="1" si="30"/>
        <v>YES</v>
      </c>
      <c r="AB276" s="113"/>
      <c r="AC276" s="117">
        <v>42822</v>
      </c>
      <c r="AD276" s="169">
        <v>42887</v>
      </c>
      <c r="AE276" s="172">
        <v>42894</v>
      </c>
      <c r="AF276" s="111" t="str">
        <f t="shared" ca="1" si="26"/>
        <v>NO</v>
      </c>
      <c r="AG276" s="162">
        <v>4980</v>
      </c>
      <c r="AH276" s="162">
        <v>2274</v>
      </c>
      <c r="AI276" s="164">
        <f t="shared" si="27"/>
        <v>7254</v>
      </c>
      <c r="AJ276" s="182" t="s">
        <v>6</v>
      </c>
      <c r="AK276" s="113">
        <v>43028</v>
      </c>
      <c r="AL276" s="118"/>
      <c r="AM276" s="165" t="str">
        <f t="shared" si="28"/>
        <v>17016 Mérial</v>
      </c>
      <c r="AN276" s="165" t="str">
        <f t="shared" si="29"/>
        <v>17016 Mérial : trace of rust on UF52 module</v>
      </c>
    </row>
    <row r="277" spans="1:40" s="76" customFormat="1" ht="13" hidden="1" x14ac:dyDescent="0.3">
      <c r="A277" s="122" t="e">
        <f>HYPERLINK(#REF!)</f>
        <v>#REF!</v>
      </c>
      <c r="B277" s="116">
        <v>17017</v>
      </c>
      <c r="C277" s="113" t="s">
        <v>4</v>
      </c>
      <c r="D277" s="117">
        <v>42817</v>
      </c>
      <c r="E277" s="118" t="s">
        <v>294</v>
      </c>
      <c r="F277" s="118" t="s">
        <v>164</v>
      </c>
      <c r="G277" s="111" t="s">
        <v>1098</v>
      </c>
      <c r="H277" s="111"/>
      <c r="I277" s="119" t="s">
        <v>2056</v>
      </c>
      <c r="J277" s="113"/>
      <c r="K277" s="118">
        <v>2021</v>
      </c>
      <c r="L277" s="118">
        <v>10617</v>
      </c>
      <c r="M277" s="118" t="s">
        <v>11</v>
      </c>
      <c r="N277" s="111" t="s">
        <v>1099</v>
      </c>
      <c r="O277" s="111" t="s">
        <v>29</v>
      </c>
      <c r="P277" s="111" t="s">
        <v>86</v>
      </c>
      <c r="Q277" s="111" t="s">
        <v>916</v>
      </c>
      <c r="R277" s="111" t="s">
        <v>145</v>
      </c>
      <c r="S277" s="111"/>
      <c r="T277" s="118"/>
      <c r="U277" s="64"/>
      <c r="V277" s="158" t="s">
        <v>6</v>
      </c>
      <c r="W277" s="118" t="s">
        <v>120</v>
      </c>
      <c r="X277" s="113">
        <v>42837</v>
      </c>
      <c r="Y277" s="117">
        <f t="shared" si="24"/>
        <v>42909</v>
      </c>
      <c r="Z277" s="117">
        <v>42893</v>
      </c>
      <c r="AA277" s="161" t="str">
        <f t="shared" ca="1" si="30"/>
        <v>YES</v>
      </c>
      <c r="AB277" s="113"/>
      <c r="AC277" s="117"/>
      <c r="AD277" s="111"/>
      <c r="AE277" s="111"/>
      <c r="AF277" s="111" t="str">
        <f t="shared" ca="1" si="26"/>
        <v>N/A</v>
      </c>
      <c r="AG277" s="162">
        <v>6276</v>
      </c>
      <c r="AH277" s="162">
        <v>2617.08</v>
      </c>
      <c r="AI277" s="164">
        <f t="shared" si="27"/>
        <v>8893.08</v>
      </c>
      <c r="AJ277" s="182" t="s">
        <v>6</v>
      </c>
      <c r="AK277" s="113">
        <v>43018</v>
      </c>
      <c r="AL277" s="118"/>
      <c r="AM277" s="165" t="str">
        <f t="shared" si="28"/>
        <v xml:space="preserve">17017 TAT </v>
      </c>
      <c r="AN277" s="165" t="str">
        <f t="shared" si="29"/>
        <v>17017 TAT  : conical filter on piping deformed</v>
      </c>
    </row>
    <row r="278" spans="1:40" s="76" customFormat="1" ht="13" hidden="1" x14ac:dyDescent="0.3">
      <c r="A278" s="122" t="e">
        <f>HYPERLINK(#REF!)</f>
        <v>#REF!</v>
      </c>
      <c r="B278" s="116">
        <v>17018</v>
      </c>
      <c r="C278" s="113" t="s">
        <v>4</v>
      </c>
      <c r="D278" s="117">
        <v>42817</v>
      </c>
      <c r="E278" s="118" t="s">
        <v>82</v>
      </c>
      <c r="F278" s="118" t="s">
        <v>658</v>
      </c>
      <c r="G278" s="111" t="s">
        <v>416</v>
      </c>
      <c r="H278" s="111" t="s">
        <v>1100</v>
      </c>
      <c r="I278" s="119" t="s">
        <v>2056</v>
      </c>
      <c r="J278" s="113"/>
      <c r="K278" s="118">
        <v>2024</v>
      </c>
      <c r="L278" s="118">
        <v>10065</v>
      </c>
      <c r="M278" s="118" t="s">
        <v>13</v>
      </c>
      <c r="N278" s="111" t="s">
        <v>1101</v>
      </c>
      <c r="O278" s="111" t="s">
        <v>28</v>
      </c>
      <c r="P278" s="111" t="s">
        <v>103</v>
      </c>
      <c r="Q278" s="111" t="s">
        <v>1093</v>
      </c>
      <c r="R278" s="111" t="s">
        <v>145</v>
      </c>
      <c r="S278" s="111"/>
      <c r="T278" s="129" t="s">
        <v>1100</v>
      </c>
      <c r="U278" s="64"/>
      <c r="V278" s="158" t="s">
        <v>10</v>
      </c>
      <c r="W278" s="118"/>
      <c r="X278" s="113"/>
      <c r="Y278" s="117">
        <f t="shared" si="24"/>
        <v>42909</v>
      </c>
      <c r="Z278" s="117">
        <v>42940</v>
      </c>
      <c r="AA278" s="161" t="str">
        <f t="shared" ca="1" si="30"/>
        <v>NO</v>
      </c>
      <c r="AB278" s="113"/>
      <c r="AC278" s="117"/>
      <c r="AD278" s="111"/>
      <c r="AE278" s="111"/>
      <c r="AF278" s="111" t="str">
        <f t="shared" ca="1" si="26"/>
        <v>N/A</v>
      </c>
      <c r="AG278" s="162">
        <v>13015</v>
      </c>
      <c r="AH278" s="162">
        <v>2000</v>
      </c>
      <c r="AI278" s="164">
        <f t="shared" si="27"/>
        <v>15015</v>
      </c>
      <c r="AJ278" s="182" t="s">
        <v>10</v>
      </c>
      <c r="AK278" s="113">
        <v>43045</v>
      </c>
      <c r="AL278" s="118" t="s">
        <v>1102</v>
      </c>
      <c r="AM278" s="165" t="str">
        <f t="shared" si="28"/>
        <v>17018 VITALUS</v>
      </c>
      <c r="AN278" s="165" t="str">
        <f t="shared" si="29"/>
        <v>17018 VITALUS : resin doesn't in accordance with FDA requirements</v>
      </c>
    </row>
    <row r="279" spans="1:40" s="76" customFormat="1" ht="13" hidden="1" x14ac:dyDescent="0.3">
      <c r="A279" s="122" t="e">
        <f>HYPERLINK(#REF!)</f>
        <v>#REF!</v>
      </c>
      <c r="B279" s="116">
        <v>17019</v>
      </c>
      <c r="C279" s="113" t="s">
        <v>4</v>
      </c>
      <c r="D279" s="117">
        <v>42822</v>
      </c>
      <c r="E279" s="118" t="s">
        <v>224</v>
      </c>
      <c r="F279" s="118" t="s">
        <v>1103</v>
      </c>
      <c r="G279" s="111" t="s">
        <v>910</v>
      </c>
      <c r="H279" s="111" t="s">
        <v>1104</v>
      </c>
      <c r="I279" s="119" t="s">
        <v>2056</v>
      </c>
      <c r="J279" s="113"/>
      <c r="K279" s="118">
        <v>2013</v>
      </c>
      <c r="L279" s="118">
        <v>11461</v>
      </c>
      <c r="M279" s="118" t="s">
        <v>955</v>
      </c>
      <c r="N279" s="111" t="s">
        <v>1105</v>
      </c>
      <c r="O279" s="111" t="s">
        <v>29</v>
      </c>
      <c r="P279" s="111" t="s">
        <v>86</v>
      </c>
      <c r="Q279" s="111" t="s">
        <v>1106</v>
      </c>
      <c r="R279" s="111" t="s">
        <v>145</v>
      </c>
      <c r="S279" s="111"/>
      <c r="T279" s="129" t="s">
        <v>1107</v>
      </c>
      <c r="U279" s="64"/>
      <c r="V279" s="158" t="s">
        <v>6</v>
      </c>
      <c r="W279" s="118" t="s">
        <v>224</v>
      </c>
      <c r="X279" s="113">
        <v>42837</v>
      </c>
      <c r="Y279" s="117">
        <f t="shared" si="24"/>
        <v>42914</v>
      </c>
      <c r="Z279" s="117">
        <v>42913</v>
      </c>
      <c r="AA279" s="161" t="str">
        <f t="shared" ca="1" si="30"/>
        <v>YES</v>
      </c>
      <c r="AB279" s="113"/>
      <c r="AC279" s="117"/>
      <c r="AD279" s="111"/>
      <c r="AE279" s="111"/>
      <c r="AF279" s="111" t="str">
        <f t="shared" ca="1" si="26"/>
        <v>N/A</v>
      </c>
      <c r="AG279" s="162">
        <v>7055</v>
      </c>
      <c r="AH279" s="162">
        <v>0</v>
      </c>
      <c r="AI279" s="164">
        <f t="shared" si="27"/>
        <v>7055</v>
      </c>
      <c r="AJ279" s="182" t="s">
        <v>6</v>
      </c>
      <c r="AK279" s="113">
        <v>43773</v>
      </c>
      <c r="AL279" s="118"/>
      <c r="AM279" s="165" t="str">
        <f t="shared" si="28"/>
        <v>17019 CLS</v>
      </c>
      <c r="AN279" s="165" t="str">
        <f t="shared" si="29"/>
        <v>17019 CLS : Project management, quality equipment</v>
      </c>
    </row>
    <row r="280" spans="1:40" s="76" customFormat="1" ht="13" hidden="1" x14ac:dyDescent="0.3">
      <c r="A280" s="122" t="e">
        <f>HYPERLINK(#REF!)</f>
        <v>#REF!</v>
      </c>
      <c r="B280" s="116">
        <v>17020</v>
      </c>
      <c r="C280" s="113" t="s">
        <v>8</v>
      </c>
      <c r="D280" s="117">
        <v>42826</v>
      </c>
      <c r="E280" s="118" t="s">
        <v>929</v>
      </c>
      <c r="F280" s="118" t="s">
        <v>164</v>
      </c>
      <c r="G280" s="111" t="s">
        <v>1108</v>
      </c>
      <c r="H280" s="111"/>
      <c r="I280" s="119" t="s">
        <v>5</v>
      </c>
      <c r="J280" s="113"/>
      <c r="K280" s="118" t="s">
        <v>1109</v>
      </c>
      <c r="L280" s="118">
        <v>10095</v>
      </c>
      <c r="M280" s="118" t="s">
        <v>11</v>
      </c>
      <c r="N280" s="111" t="s">
        <v>1110</v>
      </c>
      <c r="O280" s="111" t="s">
        <v>29</v>
      </c>
      <c r="P280" s="111" t="s">
        <v>86</v>
      </c>
      <c r="Q280" s="111"/>
      <c r="R280" s="111" t="s">
        <v>145</v>
      </c>
      <c r="S280" s="111"/>
      <c r="T280" s="118"/>
      <c r="U280" s="64"/>
      <c r="V280" s="158" t="s">
        <v>6</v>
      </c>
      <c r="W280" s="118" t="s">
        <v>929</v>
      </c>
      <c r="X280" s="113">
        <v>42830</v>
      </c>
      <c r="Y280" s="117">
        <f t="shared" si="24"/>
        <v>42917</v>
      </c>
      <c r="Z280" s="117">
        <v>42871</v>
      </c>
      <c r="AA280" s="161" t="str">
        <f t="shared" ca="1" si="30"/>
        <v>YES</v>
      </c>
      <c r="AB280" s="113"/>
      <c r="AC280" s="117">
        <v>42830</v>
      </c>
      <c r="AD280" s="169">
        <v>42917</v>
      </c>
      <c r="AE280" s="172">
        <v>42871</v>
      </c>
      <c r="AF280" s="111" t="str">
        <f t="shared" ca="1" si="26"/>
        <v>YES</v>
      </c>
      <c r="AG280" s="162">
        <v>0</v>
      </c>
      <c r="AH280" s="162">
        <v>0</v>
      </c>
      <c r="AI280" s="164">
        <f t="shared" si="27"/>
        <v>0</v>
      </c>
      <c r="AJ280" s="118"/>
      <c r="AK280" s="113"/>
      <c r="AL280" s="118"/>
      <c r="AM280" s="165" t="str">
        <f t="shared" si="28"/>
        <v>17020 Wuhan Friendship</v>
      </c>
      <c r="AN280" s="165" t="str">
        <f t="shared" si="29"/>
        <v>17020 Wuhan Friendship : The gravel purchased by client himself was not qualified</v>
      </c>
    </row>
    <row r="281" spans="1:40" s="76" customFormat="1" ht="13" hidden="1" x14ac:dyDescent="0.3">
      <c r="A281" s="122" t="e">
        <f>HYPERLINK(#REF!)</f>
        <v>#REF!</v>
      </c>
      <c r="B281" s="116">
        <v>17021</v>
      </c>
      <c r="C281" s="113" t="s">
        <v>4</v>
      </c>
      <c r="D281" s="117">
        <v>42830</v>
      </c>
      <c r="E281" s="118" t="s">
        <v>621</v>
      </c>
      <c r="F281" s="118" t="s">
        <v>164</v>
      </c>
      <c r="G281" s="111" t="s">
        <v>591</v>
      </c>
      <c r="H281" s="111" t="s">
        <v>1111</v>
      </c>
      <c r="I281" s="119" t="s">
        <v>2057</v>
      </c>
      <c r="J281" s="113"/>
      <c r="K281" s="118">
        <v>1976</v>
      </c>
      <c r="L281" s="118">
        <v>8531</v>
      </c>
      <c r="M281" s="118" t="s">
        <v>13</v>
      </c>
      <c r="N281" s="111" t="s">
        <v>1112</v>
      </c>
      <c r="O281" s="111" t="s">
        <v>29</v>
      </c>
      <c r="P281" s="111" t="s">
        <v>86</v>
      </c>
      <c r="Q281" s="111" t="s">
        <v>1036</v>
      </c>
      <c r="R281" s="111" t="s">
        <v>15</v>
      </c>
      <c r="S281" s="111"/>
      <c r="T281" s="118"/>
      <c r="U281" s="64"/>
      <c r="V281" s="158" t="s">
        <v>10</v>
      </c>
      <c r="W281" s="118"/>
      <c r="X281" s="113"/>
      <c r="Y281" s="117">
        <f t="shared" si="24"/>
        <v>42921</v>
      </c>
      <c r="Z281" s="117">
        <v>42893</v>
      </c>
      <c r="AA281" s="161" t="str">
        <f t="shared" ca="1" si="30"/>
        <v>YES</v>
      </c>
      <c r="AB281" s="113"/>
      <c r="AC281" s="117"/>
      <c r="AD281" s="111"/>
      <c r="AE281" s="111"/>
      <c r="AF281" s="111" t="str">
        <f t="shared" ca="1" si="26"/>
        <v>N/A</v>
      </c>
      <c r="AG281" s="162">
        <v>332</v>
      </c>
      <c r="AH281" s="162">
        <v>2886</v>
      </c>
      <c r="AI281" s="164">
        <f t="shared" si="27"/>
        <v>3218</v>
      </c>
      <c r="AJ281" s="182" t="s">
        <v>6</v>
      </c>
      <c r="AK281" s="113">
        <v>43411</v>
      </c>
      <c r="AL281" s="118" t="s">
        <v>1076</v>
      </c>
      <c r="AM281" s="165" t="str">
        <f t="shared" si="28"/>
        <v xml:space="preserve">17021 Tanichem </v>
      </c>
      <c r="AN281" s="165" t="str">
        <f t="shared" si="29"/>
        <v>17021 Tanichem  : Flowmeter technology no adapted</v>
      </c>
    </row>
    <row r="282" spans="1:40" s="76" customFormat="1" ht="13" hidden="1" x14ac:dyDescent="0.3">
      <c r="A282" s="122" t="e">
        <f>HYPERLINK(#REF!)</f>
        <v>#REF!</v>
      </c>
      <c r="B282" s="116">
        <v>17022</v>
      </c>
      <c r="C282" s="113" t="s">
        <v>4</v>
      </c>
      <c r="D282" s="117">
        <v>42839</v>
      </c>
      <c r="E282" s="118" t="s">
        <v>294</v>
      </c>
      <c r="F282" s="118" t="s">
        <v>164</v>
      </c>
      <c r="G282" s="111" t="s">
        <v>1014</v>
      </c>
      <c r="H282" s="111" t="s">
        <v>616</v>
      </c>
      <c r="I282" s="119" t="s">
        <v>5</v>
      </c>
      <c r="J282" s="113"/>
      <c r="K282" s="118">
        <v>2026</v>
      </c>
      <c r="L282" s="118">
        <v>11244</v>
      </c>
      <c r="M282" s="118" t="s">
        <v>338</v>
      </c>
      <c r="N282" s="111" t="s">
        <v>1113</v>
      </c>
      <c r="O282" s="111" t="s">
        <v>29</v>
      </c>
      <c r="P282" s="111" t="s">
        <v>86</v>
      </c>
      <c r="Q282" s="111" t="s">
        <v>1106</v>
      </c>
      <c r="R282" s="111" t="s">
        <v>145</v>
      </c>
      <c r="S282" s="111"/>
      <c r="T282" s="118"/>
      <c r="U282" s="64"/>
      <c r="V282" s="158" t="s">
        <v>6</v>
      </c>
      <c r="W282" s="118" t="s">
        <v>116</v>
      </c>
      <c r="X282" s="113">
        <v>42844</v>
      </c>
      <c r="Y282" s="117">
        <f t="shared" si="24"/>
        <v>42930</v>
      </c>
      <c r="Z282" s="117">
        <v>42901</v>
      </c>
      <c r="AA282" s="161" t="str">
        <f t="shared" ca="1" si="30"/>
        <v>YES</v>
      </c>
      <c r="AB282" s="113"/>
      <c r="AC282" s="117">
        <v>42843</v>
      </c>
      <c r="AD282" s="169">
        <v>42917</v>
      </c>
      <c r="AE282" s="172">
        <v>42901</v>
      </c>
      <c r="AF282" s="111" t="str">
        <f t="shared" ca="1" si="26"/>
        <v>YES</v>
      </c>
      <c r="AG282" s="162">
        <v>19805</v>
      </c>
      <c r="AH282" s="162">
        <v>43730</v>
      </c>
      <c r="AI282" s="164">
        <f t="shared" si="27"/>
        <v>63535</v>
      </c>
      <c r="AJ282" s="182" t="s">
        <v>6</v>
      </c>
      <c r="AK282" s="113">
        <v>43412</v>
      </c>
      <c r="AL282" s="118"/>
      <c r="AM282" s="165" t="str">
        <f t="shared" si="28"/>
        <v>17022 Biospringer</v>
      </c>
      <c r="AN282" s="165" t="str">
        <f t="shared" si="29"/>
        <v>17022 Biospringer : piping pb, mounting impossibility</v>
      </c>
    </row>
    <row r="283" spans="1:40" s="76" customFormat="1" ht="13" hidden="1" x14ac:dyDescent="0.3">
      <c r="A283" s="122" t="e">
        <f>HYPERLINK(#REF!)</f>
        <v>#REF!</v>
      </c>
      <c r="B283" s="116">
        <v>17023</v>
      </c>
      <c r="C283" s="113" t="s">
        <v>4</v>
      </c>
      <c r="D283" s="117">
        <v>42845</v>
      </c>
      <c r="E283" s="118" t="s">
        <v>160</v>
      </c>
      <c r="F283" s="118" t="s">
        <v>658</v>
      </c>
      <c r="G283" s="111" t="s">
        <v>1114</v>
      </c>
      <c r="H283" s="111" t="s">
        <v>882</v>
      </c>
      <c r="I283" s="119" t="s">
        <v>5</v>
      </c>
      <c r="J283" s="113"/>
      <c r="K283" s="118">
        <v>1925</v>
      </c>
      <c r="L283" s="118">
        <v>7985</v>
      </c>
      <c r="M283" s="118" t="s">
        <v>11</v>
      </c>
      <c r="N283" s="111" t="s">
        <v>1115</v>
      </c>
      <c r="O283" s="111" t="s">
        <v>28</v>
      </c>
      <c r="P283" s="111" t="s">
        <v>103</v>
      </c>
      <c r="Q283" s="111" t="s">
        <v>176</v>
      </c>
      <c r="R283" s="111" t="s">
        <v>145</v>
      </c>
      <c r="S283" s="111"/>
      <c r="T283" s="129" t="s">
        <v>357</v>
      </c>
      <c r="U283" s="64"/>
      <c r="V283" s="158" t="s">
        <v>6</v>
      </c>
      <c r="W283" s="118" t="s">
        <v>1116</v>
      </c>
      <c r="X283" s="113">
        <v>42844</v>
      </c>
      <c r="Y283" s="117">
        <f t="shared" si="24"/>
        <v>42936</v>
      </c>
      <c r="Z283" s="117">
        <v>43091</v>
      </c>
      <c r="AA283" s="161" t="str">
        <f t="shared" ca="1" si="30"/>
        <v>NO</v>
      </c>
      <c r="AB283" s="113"/>
      <c r="AC283" s="117">
        <v>42843</v>
      </c>
      <c r="AD283" s="111"/>
      <c r="AE283" s="111"/>
      <c r="AF283" s="111" t="str">
        <f t="shared" ca="1" si="26"/>
        <v/>
      </c>
      <c r="AG283" s="162">
        <v>40915</v>
      </c>
      <c r="AH283" s="162">
        <v>91798</v>
      </c>
      <c r="AI283" s="164">
        <f t="shared" si="27"/>
        <v>132713</v>
      </c>
      <c r="AJ283" s="182" t="s">
        <v>6</v>
      </c>
      <c r="AK283" s="113">
        <v>43413</v>
      </c>
      <c r="AL283" s="118"/>
      <c r="AM283" s="165" t="str">
        <f t="shared" si="28"/>
        <v>17023 Armor Protéine</v>
      </c>
      <c r="AN283" s="165" t="str">
        <f t="shared" si="29"/>
        <v>17023 Armor Protéine : leakage welding SSMB cells</v>
      </c>
    </row>
    <row r="284" spans="1:40" s="76" customFormat="1" ht="13" hidden="1" x14ac:dyDescent="0.3">
      <c r="A284" s="122" t="e">
        <f>HYPERLINK(#REF!)</f>
        <v>#REF!</v>
      </c>
      <c r="B284" s="116">
        <v>17024</v>
      </c>
      <c r="C284" s="113" t="s">
        <v>4</v>
      </c>
      <c r="D284" s="117">
        <v>42846</v>
      </c>
      <c r="E284" s="118" t="s">
        <v>95</v>
      </c>
      <c r="F284" s="118" t="s">
        <v>164</v>
      </c>
      <c r="G284" s="111" t="s">
        <v>854</v>
      </c>
      <c r="H284" s="111" t="s">
        <v>433</v>
      </c>
      <c r="I284" s="119" t="s">
        <v>2057</v>
      </c>
      <c r="J284" s="113"/>
      <c r="K284" s="118">
        <v>1974</v>
      </c>
      <c r="L284" s="118">
        <v>9876</v>
      </c>
      <c r="M284" s="118" t="s">
        <v>13</v>
      </c>
      <c r="N284" s="111" t="s">
        <v>1117</v>
      </c>
      <c r="O284" s="111" t="s">
        <v>29</v>
      </c>
      <c r="P284" s="111" t="s">
        <v>86</v>
      </c>
      <c r="Q284" s="111" t="s">
        <v>1106</v>
      </c>
      <c r="R284" s="111" t="s">
        <v>145</v>
      </c>
      <c r="S284" s="111"/>
      <c r="T284" s="118"/>
      <c r="U284" s="64"/>
      <c r="V284" s="158" t="s">
        <v>10</v>
      </c>
      <c r="W284" s="118"/>
      <c r="X284" s="113"/>
      <c r="Y284" s="117">
        <f t="shared" si="24"/>
        <v>42937</v>
      </c>
      <c r="Z284" s="117">
        <v>42923</v>
      </c>
      <c r="AA284" s="161" t="str">
        <f t="shared" ca="1" si="30"/>
        <v>YES</v>
      </c>
      <c r="AB284" s="113"/>
      <c r="AC284" s="117"/>
      <c r="AD284" s="111"/>
      <c r="AE284" s="111"/>
      <c r="AF284" s="111" t="str">
        <f t="shared" ca="1" si="26"/>
        <v>N/A</v>
      </c>
      <c r="AG284" s="162">
        <v>2905</v>
      </c>
      <c r="AH284" s="162">
        <v>0</v>
      </c>
      <c r="AI284" s="164">
        <f t="shared" si="27"/>
        <v>2905</v>
      </c>
      <c r="AJ284" s="182" t="s">
        <v>6</v>
      </c>
      <c r="AK284" s="113">
        <v>43411</v>
      </c>
      <c r="AL284" s="118"/>
      <c r="AM284" s="165" t="str">
        <f t="shared" si="28"/>
        <v>17024 MEFSCO</v>
      </c>
      <c r="AN284" s="165" t="str">
        <f t="shared" si="29"/>
        <v>17024 MEFSCO : defect of piping assembly</v>
      </c>
    </row>
    <row r="285" spans="1:40" s="76" customFormat="1" ht="13" hidden="1" x14ac:dyDescent="0.3">
      <c r="A285" s="122" t="e">
        <f>HYPERLINK(#REF!)</f>
        <v>#REF!</v>
      </c>
      <c r="B285" s="116">
        <v>17025</v>
      </c>
      <c r="C285" s="113" t="s">
        <v>4</v>
      </c>
      <c r="D285" s="117">
        <v>42857</v>
      </c>
      <c r="E285" s="118" t="s">
        <v>82</v>
      </c>
      <c r="F285" s="118" t="s">
        <v>658</v>
      </c>
      <c r="G285" s="111" t="s">
        <v>1118</v>
      </c>
      <c r="H285" s="111"/>
      <c r="I285" s="119" t="s">
        <v>5</v>
      </c>
      <c r="J285" s="113"/>
      <c r="K285" s="118"/>
      <c r="L285" s="118" t="s">
        <v>1119</v>
      </c>
      <c r="M285" s="118" t="s">
        <v>359</v>
      </c>
      <c r="N285" s="111" t="s">
        <v>1120</v>
      </c>
      <c r="O285" s="111" t="s">
        <v>28</v>
      </c>
      <c r="P285" s="111" t="s">
        <v>103</v>
      </c>
      <c r="Q285" s="111" t="s">
        <v>634</v>
      </c>
      <c r="R285" s="111" t="s">
        <v>9</v>
      </c>
      <c r="S285" s="111"/>
      <c r="T285" s="118"/>
      <c r="U285" s="64"/>
      <c r="V285" s="158" t="s">
        <v>6</v>
      </c>
      <c r="W285" s="118" t="s">
        <v>82</v>
      </c>
      <c r="X285" s="113">
        <v>42859</v>
      </c>
      <c r="Y285" s="117">
        <f t="shared" si="24"/>
        <v>42949</v>
      </c>
      <c r="Z285" s="117">
        <v>42940</v>
      </c>
      <c r="AA285" s="161" t="str">
        <f t="shared" ca="1" si="30"/>
        <v>YES</v>
      </c>
      <c r="AB285" s="113"/>
      <c r="AC285" s="117">
        <v>42857</v>
      </c>
      <c r="AD285" s="111"/>
      <c r="AE285" s="111"/>
      <c r="AF285" s="111" t="str">
        <f t="shared" ca="1" si="26"/>
        <v/>
      </c>
      <c r="AG285" s="162">
        <v>5950</v>
      </c>
      <c r="AH285" s="162">
        <v>4100</v>
      </c>
      <c r="AI285" s="164">
        <f t="shared" si="27"/>
        <v>10050</v>
      </c>
      <c r="AJ285" s="182" t="s">
        <v>6</v>
      </c>
      <c r="AK285" s="113">
        <v>43413</v>
      </c>
      <c r="AL285" s="118"/>
      <c r="AM285" s="165" t="str">
        <f t="shared" si="28"/>
        <v>17025 Tetra Pak</v>
      </c>
      <c r="AN285" s="165" t="str">
        <f t="shared" si="29"/>
        <v>17025 Tetra Pak : convex tightening plate of K99 modules</v>
      </c>
    </row>
    <row r="286" spans="1:40" s="76" customFormat="1" ht="13" hidden="1" x14ac:dyDescent="0.3">
      <c r="A286" s="122" t="e">
        <f>HYPERLINK(#REF!)</f>
        <v>#REF!</v>
      </c>
      <c r="B286" s="116">
        <v>17026</v>
      </c>
      <c r="C286" s="113" t="s">
        <v>4</v>
      </c>
      <c r="D286" s="117">
        <v>42865</v>
      </c>
      <c r="E286" s="118" t="s">
        <v>1019</v>
      </c>
      <c r="F286" s="118" t="s">
        <v>164</v>
      </c>
      <c r="G286" s="111" t="s">
        <v>1121</v>
      </c>
      <c r="H286" s="111" t="s">
        <v>930</v>
      </c>
      <c r="I286" s="119" t="s">
        <v>2056</v>
      </c>
      <c r="J286" s="113"/>
      <c r="K286" s="118">
        <v>1953</v>
      </c>
      <c r="L286" s="118">
        <v>9263</v>
      </c>
      <c r="M286" s="118" t="s">
        <v>11</v>
      </c>
      <c r="N286" s="111" t="s">
        <v>1122</v>
      </c>
      <c r="O286" s="111" t="s">
        <v>29</v>
      </c>
      <c r="P286" s="111" t="s">
        <v>86</v>
      </c>
      <c r="Q286" s="111" t="s">
        <v>916</v>
      </c>
      <c r="R286" s="111" t="s">
        <v>145</v>
      </c>
      <c r="S286" s="111"/>
      <c r="T286" s="118"/>
      <c r="U286" s="64"/>
      <c r="V286" s="158" t="s">
        <v>10</v>
      </c>
      <c r="W286" s="118"/>
      <c r="X286" s="113"/>
      <c r="Y286" s="117">
        <f t="shared" si="24"/>
        <v>42957</v>
      </c>
      <c r="Z286" s="117">
        <v>42927</v>
      </c>
      <c r="AA286" s="161" t="str">
        <f t="shared" ca="1" si="30"/>
        <v>YES</v>
      </c>
      <c r="AB286" s="113"/>
      <c r="AC286" s="117"/>
      <c r="AD286" s="111"/>
      <c r="AE286" s="111"/>
      <c r="AF286" s="111" t="str">
        <f t="shared" ca="1" si="26"/>
        <v>N/A</v>
      </c>
      <c r="AG286" s="162">
        <v>9350</v>
      </c>
      <c r="AH286" s="162">
        <v>3700</v>
      </c>
      <c r="AI286" s="164">
        <f t="shared" si="27"/>
        <v>13050</v>
      </c>
      <c r="AJ286" s="182"/>
      <c r="AK286" s="113" t="s">
        <v>1123</v>
      </c>
      <c r="AL286" s="118" t="s">
        <v>1124</v>
      </c>
      <c r="AM286" s="165" t="str">
        <f t="shared" si="28"/>
        <v>17026 Sunoko</v>
      </c>
      <c r="AN286" s="165" t="str">
        <f t="shared" si="29"/>
        <v>17026 Sunoko : resin leakage on network plates</v>
      </c>
    </row>
    <row r="287" spans="1:40" s="76" customFormat="1" ht="13" hidden="1" x14ac:dyDescent="0.3">
      <c r="A287" s="122" t="e">
        <f>HYPERLINK(#REF!)</f>
        <v>#REF!</v>
      </c>
      <c r="B287" s="116">
        <v>17027</v>
      </c>
      <c r="C287" s="113" t="s">
        <v>4</v>
      </c>
      <c r="D287" s="117">
        <v>42877</v>
      </c>
      <c r="E287" s="118" t="s">
        <v>864</v>
      </c>
      <c r="F287" s="118" t="s">
        <v>164</v>
      </c>
      <c r="G287" s="111" t="s">
        <v>1125</v>
      </c>
      <c r="H287" s="111"/>
      <c r="I287" s="119" t="s">
        <v>2057</v>
      </c>
      <c r="J287" s="113"/>
      <c r="K287" s="118">
        <v>2022</v>
      </c>
      <c r="L287" s="118">
        <v>11279</v>
      </c>
      <c r="M287" s="118" t="s">
        <v>11</v>
      </c>
      <c r="N287" s="111" t="s">
        <v>1126</v>
      </c>
      <c r="O287" s="111" t="s">
        <v>29</v>
      </c>
      <c r="P287" s="111" t="s">
        <v>86</v>
      </c>
      <c r="Q287" s="111" t="s">
        <v>522</v>
      </c>
      <c r="R287" s="111" t="s">
        <v>15</v>
      </c>
      <c r="S287" s="111"/>
      <c r="T287" s="118"/>
      <c r="U287" s="64"/>
      <c r="V287" s="158" t="s">
        <v>6</v>
      </c>
      <c r="W287" s="118" t="s">
        <v>120</v>
      </c>
      <c r="X287" s="113">
        <v>42894</v>
      </c>
      <c r="Y287" s="117">
        <f t="shared" si="24"/>
        <v>42969</v>
      </c>
      <c r="Z287" s="117">
        <v>42929</v>
      </c>
      <c r="AA287" s="161" t="str">
        <f t="shared" ca="1" si="30"/>
        <v>YES</v>
      </c>
      <c r="AB287" s="113"/>
      <c r="AC287" s="117"/>
      <c r="AD287" s="111"/>
      <c r="AE287" s="111"/>
      <c r="AF287" s="111" t="str">
        <f t="shared" ca="1" si="26"/>
        <v>N/A</v>
      </c>
      <c r="AG287" s="162">
        <v>1530</v>
      </c>
      <c r="AH287" s="162">
        <v>0</v>
      </c>
      <c r="AI287" s="164">
        <f t="shared" si="27"/>
        <v>1530</v>
      </c>
      <c r="AJ287" s="182" t="s">
        <v>6</v>
      </c>
      <c r="AK287" s="113">
        <v>43411</v>
      </c>
      <c r="AL287" s="118"/>
      <c r="AM287" s="165" t="str">
        <f t="shared" si="28"/>
        <v>17027 ADM US</v>
      </c>
      <c r="AN287" s="165" t="str">
        <f t="shared" si="29"/>
        <v>17027 ADM US : TU01 error : reversed Extract/Raffinate collectors</v>
      </c>
    </row>
    <row r="288" spans="1:40" s="76" customFormat="1" ht="13" hidden="1" x14ac:dyDescent="0.3">
      <c r="A288" s="122" t="e">
        <f>HYPERLINK(#REF!)</f>
        <v>#REF!</v>
      </c>
      <c r="B288" s="116">
        <v>17028</v>
      </c>
      <c r="C288" s="113" t="s">
        <v>4</v>
      </c>
      <c r="D288" s="117">
        <v>42877</v>
      </c>
      <c r="E288" s="118" t="s">
        <v>864</v>
      </c>
      <c r="F288" s="118" t="s">
        <v>164</v>
      </c>
      <c r="G288" s="111" t="s">
        <v>854</v>
      </c>
      <c r="H288" s="111"/>
      <c r="I288" s="119" t="s">
        <v>5</v>
      </c>
      <c r="J288" s="113" t="s">
        <v>1068</v>
      </c>
      <c r="K288" s="118">
        <v>1974</v>
      </c>
      <c r="L288" s="118">
        <v>9876</v>
      </c>
      <c r="M288" s="118" t="s">
        <v>13</v>
      </c>
      <c r="N288" s="111" t="s">
        <v>1127</v>
      </c>
      <c r="O288" s="111" t="s">
        <v>29</v>
      </c>
      <c r="P288" s="111" t="s">
        <v>86</v>
      </c>
      <c r="Q288" s="111" t="s">
        <v>522</v>
      </c>
      <c r="R288" s="111" t="s">
        <v>15</v>
      </c>
      <c r="S288" s="111"/>
      <c r="T288" s="118"/>
      <c r="U288" s="64"/>
      <c r="V288" s="158" t="s">
        <v>6</v>
      </c>
      <c r="W288" s="118" t="s">
        <v>864</v>
      </c>
      <c r="X288" s="113">
        <v>42887</v>
      </c>
      <c r="Y288" s="117">
        <f t="shared" si="24"/>
        <v>42969</v>
      </c>
      <c r="Z288" s="117">
        <v>43118</v>
      </c>
      <c r="AA288" s="161" t="str">
        <f t="shared" ca="1" si="30"/>
        <v>NO</v>
      </c>
      <c r="AB288" s="113"/>
      <c r="AC288" s="117">
        <v>42831</v>
      </c>
      <c r="AD288" s="169">
        <v>43131</v>
      </c>
      <c r="AE288" s="172">
        <v>43118</v>
      </c>
      <c r="AF288" s="111" t="str">
        <f t="shared" ca="1" si="26"/>
        <v>YES</v>
      </c>
      <c r="AG288" s="162">
        <v>850</v>
      </c>
      <c r="AH288" s="162">
        <v>0</v>
      </c>
      <c r="AI288" s="164">
        <f t="shared" si="27"/>
        <v>850</v>
      </c>
      <c r="AJ288" s="182" t="s">
        <v>6</v>
      </c>
      <c r="AK288" s="113">
        <v>43411</v>
      </c>
      <c r="AL288" s="118"/>
      <c r="AM288" s="165" t="str">
        <f t="shared" si="28"/>
        <v>17028 MEFSCO</v>
      </c>
      <c r="AN288" s="165" t="str">
        <f t="shared" si="29"/>
        <v>17028 MEFSCO : piping material error (CS instead of SS)</v>
      </c>
    </row>
    <row r="289" spans="1:40" s="76" customFormat="1" ht="13" hidden="1" x14ac:dyDescent="0.3">
      <c r="A289" s="122" t="e">
        <f>HYPERLINK(#REF!)</f>
        <v>#REF!</v>
      </c>
      <c r="B289" s="116">
        <v>17029</v>
      </c>
      <c r="C289" s="143" t="s">
        <v>4</v>
      </c>
      <c r="D289" s="144">
        <v>42877</v>
      </c>
      <c r="E289" s="145" t="s">
        <v>290</v>
      </c>
      <c r="F289" s="145" t="s">
        <v>420</v>
      </c>
      <c r="G289" s="146" t="s">
        <v>952</v>
      </c>
      <c r="H289" s="146"/>
      <c r="I289" s="119" t="s">
        <v>2058</v>
      </c>
      <c r="J289" s="143"/>
      <c r="K289" s="145" t="s">
        <v>1128</v>
      </c>
      <c r="L289" s="145"/>
      <c r="M289" s="145"/>
      <c r="N289" s="146" t="s">
        <v>1129</v>
      </c>
      <c r="O289" s="111" t="s">
        <v>420</v>
      </c>
      <c r="P289" s="146" t="s">
        <v>80</v>
      </c>
      <c r="Q289" s="146"/>
      <c r="R289" s="146" t="s">
        <v>15</v>
      </c>
      <c r="S289" s="146"/>
      <c r="T289" s="145"/>
      <c r="U289" s="72"/>
      <c r="V289" s="158" t="s">
        <v>6</v>
      </c>
      <c r="W289" s="145" t="s">
        <v>577</v>
      </c>
      <c r="X289" s="143">
        <v>42877</v>
      </c>
      <c r="Y289" s="144">
        <f t="shared" si="24"/>
        <v>42969</v>
      </c>
      <c r="Z289" s="144">
        <v>43119</v>
      </c>
      <c r="AA289" s="161" t="str">
        <f t="shared" ca="1" si="30"/>
        <v>NO</v>
      </c>
      <c r="AB289" s="113"/>
      <c r="AC289" s="144"/>
      <c r="AD289" s="146"/>
      <c r="AE289" s="146"/>
      <c r="AF289" s="146" t="str">
        <f t="shared" ca="1" si="26"/>
        <v>N/A</v>
      </c>
      <c r="AG289" s="183">
        <v>340</v>
      </c>
      <c r="AH289" s="183">
        <v>0</v>
      </c>
      <c r="AI289" s="164">
        <f t="shared" si="27"/>
        <v>340</v>
      </c>
      <c r="AJ289" s="182" t="s">
        <v>6</v>
      </c>
      <c r="AK289" s="113">
        <v>43411</v>
      </c>
      <c r="AL289" s="145"/>
      <c r="AM289" s="184" t="str">
        <f t="shared" si="28"/>
        <v>17029 ERAMET</v>
      </c>
      <c r="AN289" s="184" t="str">
        <f t="shared" si="29"/>
        <v>17029 ERAMET : acid solution projection</v>
      </c>
    </row>
    <row r="290" spans="1:40" s="76" customFormat="1" ht="13" hidden="1" x14ac:dyDescent="0.3">
      <c r="A290" s="122" t="e">
        <f>HYPERLINK(#REF!)</f>
        <v>#REF!</v>
      </c>
      <c r="B290" s="116">
        <v>17030</v>
      </c>
      <c r="C290" s="143" t="s">
        <v>4</v>
      </c>
      <c r="D290" s="144">
        <v>42886</v>
      </c>
      <c r="E290" s="118" t="s">
        <v>940</v>
      </c>
      <c r="F290" s="118" t="s">
        <v>164</v>
      </c>
      <c r="G290" s="111" t="s">
        <v>1072</v>
      </c>
      <c r="H290" s="111" t="s">
        <v>930</v>
      </c>
      <c r="I290" s="119" t="s">
        <v>2057</v>
      </c>
      <c r="J290" s="143"/>
      <c r="K290" s="145">
        <v>2014</v>
      </c>
      <c r="L290" s="145">
        <v>10416</v>
      </c>
      <c r="M290" s="118" t="s">
        <v>13</v>
      </c>
      <c r="N290" s="111" t="s">
        <v>1130</v>
      </c>
      <c r="O290" s="111" t="s">
        <v>29</v>
      </c>
      <c r="P290" s="111" t="s">
        <v>86</v>
      </c>
      <c r="Q290" s="111" t="s">
        <v>522</v>
      </c>
      <c r="R290" s="111" t="s">
        <v>9</v>
      </c>
      <c r="S290" s="111"/>
      <c r="T290" s="145"/>
      <c r="U290" s="72"/>
      <c r="V290" s="158" t="s">
        <v>6</v>
      </c>
      <c r="W290" s="118" t="s">
        <v>120</v>
      </c>
      <c r="X290" s="143">
        <v>42901</v>
      </c>
      <c r="Y290" s="144">
        <f t="shared" si="24"/>
        <v>42978</v>
      </c>
      <c r="Z290" s="144">
        <v>42937</v>
      </c>
      <c r="AA290" s="161" t="str">
        <f t="shared" ca="1" si="30"/>
        <v>YES</v>
      </c>
      <c r="AB290" s="113"/>
      <c r="AC290" s="144"/>
      <c r="AD290" s="146"/>
      <c r="AE290" s="146"/>
      <c r="AF290" s="146" t="str">
        <f t="shared" ca="1" si="26"/>
        <v>N/A</v>
      </c>
      <c r="AG290" s="183">
        <v>340</v>
      </c>
      <c r="AH290" s="183">
        <v>0</v>
      </c>
      <c r="AI290" s="164">
        <f t="shared" si="27"/>
        <v>340</v>
      </c>
      <c r="AJ290" s="182" t="s">
        <v>6</v>
      </c>
      <c r="AK290" s="113">
        <v>43411</v>
      </c>
      <c r="AL290" s="145"/>
      <c r="AM290" s="184" t="str">
        <f t="shared" si="28"/>
        <v>17030 Agrana</v>
      </c>
      <c r="AN290" s="184" t="str">
        <f t="shared" si="29"/>
        <v>17030 Agrana : collision betweenplatform &amp; manholes of columns</v>
      </c>
    </row>
    <row r="291" spans="1:40" s="76" customFormat="1" ht="13" hidden="1" x14ac:dyDescent="0.3">
      <c r="A291" s="122" t="e">
        <f>HYPERLINK(#REF!)</f>
        <v>#REF!</v>
      </c>
      <c r="B291" s="116">
        <v>17031</v>
      </c>
      <c r="C291" s="113" t="s">
        <v>4</v>
      </c>
      <c r="D291" s="144">
        <v>42905</v>
      </c>
      <c r="E291" s="118" t="s">
        <v>877</v>
      </c>
      <c r="F291" s="118" t="s">
        <v>691</v>
      </c>
      <c r="G291" s="111" t="s">
        <v>591</v>
      </c>
      <c r="H291" s="146"/>
      <c r="I291" s="119" t="s">
        <v>2057</v>
      </c>
      <c r="J291" s="143"/>
      <c r="K291" s="145">
        <v>1976</v>
      </c>
      <c r="L291" s="145">
        <v>8531</v>
      </c>
      <c r="M291" s="118" t="s">
        <v>975</v>
      </c>
      <c r="N291" s="111" t="s">
        <v>1131</v>
      </c>
      <c r="O291" s="111" t="s">
        <v>29</v>
      </c>
      <c r="P291" s="111" t="s">
        <v>86</v>
      </c>
      <c r="Q291" s="111" t="s">
        <v>916</v>
      </c>
      <c r="R291" s="111" t="s">
        <v>9</v>
      </c>
      <c r="S291" s="111"/>
      <c r="T291" s="145"/>
      <c r="U291" s="72"/>
      <c r="V291" s="158" t="s">
        <v>6</v>
      </c>
      <c r="W291" s="118" t="s">
        <v>877</v>
      </c>
      <c r="X291" s="143">
        <v>42914</v>
      </c>
      <c r="Y291" s="144">
        <f t="shared" si="24"/>
        <v>42997</v>
      </c>
      <c r="Z291" s="144">
        <v>43304</v>
      </c>
      <c r="AA291" s="161" t="str">
        <f t="shared" ca="1" si="30"/>
        <v>NO</v>
      </c>
      <c r="AB291" s="113"/>
      <c r="AC291" s="144"/>
      <c r="AD291" s="146"/>
      <c r="AE291" s="146"/>
      <c r="AF291" s="146" t="str">
        <f t="shared" ca="1" si="26"/>
        <v>N/A</v>
      </c>
      <c r="AG291" s="183">
        <v>4083</v>
      </c>
      <c r="AH291" s="183">
        <v>0</v>
      </c>
      <c r="AI291" s="164">
        <f t="shared" si="27"/>
        <v>4083</v>
      </c>
      <c r="AJ291" s="229"/>
      <c r="AK291" s="113" t="s">
        <v>1132</v>
      </c>
      <c r="AL291" s="70" t="s">
        <v>1133</v>
      </c>
      <c r="AM291" s="184" t="str">
        <f t="shared" si="28"/>
        <v xml:space="preserve">17031 Tanichem </v>
      </c>
      <c r="AN291" s="184" t="str">
        <f t="shared" si="29"/>
        <v>17031 Tanichem  : Mismanagement of AF updates during commissioning</v>
      </c>
    </row>
    <row r="292" spans="1:40" s="76" customFormat="1" ht="13" hidden="1" x14ac:dyDescent="0.3">
      <c r="A292" s="122" t="e">
        <f>HYPERLINK(#REF!)</f>
        <v>#REF!</v>
      </c>
      <c r="B292" s="116">
        <v>17032</v>
      </c>
      <c r="C292" s="143" t="s">
        <v>4</v>
      </c>
      <c r="D292" s="144">
        <v>42905</v>
      </c>
      <c r="E292" s="145" t="s">
        <v>335</v>
      </c>
      <c r="F292" s="145" t="s">
        <v>164</v>
      </c>
      <c r="G292" s="146" t="s">
        <v>340</v>
      </c>
      <c r="H292" s="146"/>
      <c r="I292" s="119" t="s">
        <v>2057</v>
      </c>
      <c r="J292" s="143"/>
      <c r="K292" s="145">
        <v>2014</v>
      </c>
      <c r="L292" s="145">
        <v>10416</v>
      </c>
      <c r="M292" s="145" t="s">
        <v>975</v>
      </c>
      <c r="N292" s="146" t="s">
        <v>1134</v>
      </c>
      <c r="O292" s="146" t="s">
        <v>29</v>
      </c>
      <c r="P292" s="146" t="s">
        <v>86</v>
      </c>
      <c r="Q292" s="146" t="s">
        <v>605</v>
      </c>
      <c r="R292" s="146" t="s">
        <v>15</v>
      </c>
      <c r="S292" s="146"/>
      <c r="T292" s="145"/>
      <c r="U292" s="72"/>
      <c r="V292" s="158" t="s">
        <v>6</v>
      </c>
      <c r="W292" s="145" t="s">
        <v>335</v>
      </c>
      <c r="X292" s="143">
        <v>42908</v>
      </c>
      <c r="Y292" s="144">
        <f t="shared" si="24"/>
        <v>42997</v>
      </c>
      <c r="Z292" s="144">
        <v>42977</v>
      </c>
      <c r="AA292" s="161" t="str">
        <f t="shared" ca="1" si="30"/>
        <v>YES</v>
      </c>
      <c r="AB292" s="113"/>
      <c r="AC292" s="144"/>
      <c r="AD292" s="146"/>
      <c r="AE292" s="146"/>
      <c r="AF292" s="146" t="str">
        <f t="shared" ca="1" si="26"/>
        <v>N/A</v>
      </c>
      <c r="AG292" s="183">
        <v>340</v>
      </c>
      <c r="AH292" s="183">
        <v>1000</v>
      </c>
      <c r="AI292" s="164">
        <f t="shared" si="27"/>
        <v>1340</v>
      </c>
      <c r="AJ292" s="229"/>
      <c r="AK292" s="113" t="s">
        <v>1075</v>
      </c>
      <c r="AL292" s="118" t="s">
        <v>1076</v>
      </c>
      <c r="AM292" s="184" t="str">
        <f t="shared" si="28"/>
        <v>17032 AGRANA</v>
      </c>
      <c r="AN292" s="184" t="str">
        <f t="shared" si="29"/>
        <v>17032 AGRANA : Valve wiring problem with 2 limit switches</v>
      </c>
    </row>
    <row r="293" spans="1:40" s="76" customFormat="1" ht="13" hidden="1" x14ac:dyDescent="0.3">
      <c r="A293" s="122" t="e">
        <f>HYPERLINK(#REF!)</f>
        <v>#REF!</v>
      </c>
      <c r="B293" s="116">
        <v>17033</v>
      </c>
      <c r="C293" s="113" t="s">
        <v>8</v>
      </c>
      <c r="D293" s="117">
        <v>42913</v>
      </c>
      <c r="E293" s="118" t="s">
        <v>1135</v>
      </c>
      <c r="F293" s="145" t="s">
        <v>164</v>
      </c>
      <c r="G293" s="111" t="s">
        <v>1136</v>
      </c>
      <c r="H293" s="111"/>
      <c r="I293" s="119" t="s">
        <v>5</v>
      </c>
      <c r="J293" s="113"/>
      <c r="K293" s="118">
        <v>2007</v>
      </c>
      <c r="L293" s="118">
        <v>11179</v>
      </c>
      <c r="M293" s="118" t="s">
        <v>1137</v>
      </c>
      <c r="N293" s="111" t="s">
        <v>1138</v>
      </c>
      <c r="O293" s="111" t="s">
        <v>29</v>
      </c>
      <c r="P293" s="146" t="s">
        <v>86</v>
      </c>
      <c r="Q293" s="111"/>
      <c r="R293" s="111" t="s">
        <v>145</v>
      </c>
      <c r="S293" s="111"/>
      <c r="T293" s="118"/>
      <c r="U293" s="69"/>
      <c r="V293" s="158" t="s">
        <v>6</v>
      </c>
      <c r="W293" s="118" t="s">
        <v>1139</v>
      </c>
      <c r="X293" s="113">
        <v>42914</v>
      </c>
      <c r="Y293" s="144">
        <f t="shared" si="24"/>
        <v>43005</v>
      </c>
      <c r="Z293" s="144">
        <v>43818</v>
      </c>
      <c r="AA293" s="161" t="str">
        <f t="shared" ca="1" si="30"/>
        <v>NO</v>
      </c>
      <c r="AB293" s="113"/>
      <c r="AC293" s="117">
        <v>42914</v>
      </c>
      <c r="AD293" s="169">
        <v>43131</v>
      </c>
      <c r="AE293" s="172">
        <v>43818</v>
      </c>
      <c r="AF293" s="111" t="str">
        <f t="shared" ca="1" si="26"/>
        <v>NO</v>
      </c>
      <c r="AG293" s="162">
        <v>2626</v>
      </c>
      <c r="AH293" s="163">
        <v>192923</v>
      </c>
      <c r="AI293" s="164">
        <f t="shared" si="27"/>
        <v>195549</v>
      </c>
      <c r="AJ293" s="118"/>
      <c r="AK293" s="113"/>
      <c r="AL293" s="118"/>
      <c r="AM293" s="165" t="str">
        <f t="shared" si="28"/>
        <v>17033 FUFENG</v>
      </c>
      <c r="AN293" s="165" t="str">
        <f t="shared" si="29"/>
        <v>17033 FUFENG : MF membranes abrasion</v>
      </c>
    </row>
    <row r="294" spans="1:40" s="76" customFormat="1" ht="13" hidden="1" x14ac:dyDescent="0.3">
      <c r="A294" s="122" t="e">
        <f>HYPERLINK(#REF!)</f>
        <v>#REF!</v>
      </c>
      <c r="B294" s="116">
        <v>17034</v>
      </c>
      <c r="C294" s="113" t="s">
        <v>8</v>
      </c>
      <c r="D294" s="117">
        <v>42921</v>
      </c>
      <c r="E294" s="118" t="s">
        <v>1140</v>
      </c>
      <c r="F294" s="145" t="s">
        <v>164</v>
      </c>
      <c r="G294" s="111" t="s">
        <v>1141</v>
      </c>
      <c r="H294" s="111" t="s">
        <v>350</v>
      </c>
      <c r="I294" s="119" t="s">
        <v>2056</v>
      </c>
      <c r="J294" s="113"/>
      <c r="K294" s="118">
        <v>2015</v>
      </c>
      <c r="L294" s="118">
        <v>11722</v>
      </c>
      <c r="M294" s="118" t="s">
        <v>13</v>
      </c>
      <c r="N294" s="111" t="s">
        <v>1142</v>
      </c>
      <c r="O294" s="111" t="s">
        <v>29</v>
      </c>
      <c r="P294" s="146" t="s">
        <v>86</v>
      </c>
      <c r="Q294" s="111" t="s">
        <v>1106</v>
      </c>
      <c r="R294" s="111" t="s">
        <v>145</v>
      </c>
      <c r="S294" s="111"/>
      <c r="T294" s="118"/>
      <c r="U294" s="64"/>
      <c r="V294" s="158" t="s">
        <v>6</v>
      </c>
      <c r="W294" s="118" t="s">
        <v>1140</v>
      </c>
      <c r="X294" s="113">
        <v>42921</v>
      </c>
      <c r="Y294" s="117">
        <f t="shared" si="24"/>
        <v>43013</v>
      </c>
      <c r="Z294" s="117">
        <v>42992</v>
      </c>
      <c r="AA294" s="161" t="str">
        <f t="shared" ca="1" si="30"/>
        <v>YES</v>
      </c>
      <c r="AB294" s="113"/>
      <c r="AC294" s="117"/>
      <c r="AD294" s="111"/>
      <c r="AE294" s="111"/>
      <c r="AF294" s="111" t="str">
        <f t="shared" ca="1" si="26"/>
        <v>N/A</v>
      </c>
      <c r="AG294" s="162">
        <v>1014.426315170675</v>
      </c>
      <c r="AH294" s="162">
        <v>457.22347777240725</v>
      </c>
      <c r="AI294" s="164">
        <f t="shared" si="27"/>
        <v>1471.6497929430823</v>
      </c>
      <c r="AJ294" s="118"/>
      <c r="AK294" s="113"/>
      <c r="AL294" s="118"/>
      <c r="AM294" s="165" t="str">
        <f t="shared" si="28"/>
        <v>17034 RZBC</v>
      </c>
      <c r="AN294" s="165" t="str">
        <f t="shared" si="29"/>
        <v>17034 RZBC : Nozzles are not qualified</v>
      </c>
    </row>
    <row r="295" spans="1:40" s="76" customFormat="1" ht="13" hidden="1" x14ac:dyDescent="0.3">
      <c r="A295" s="122" t="e">
        <f>HYPERLINK(#REF!)</f>
        <v>#REF!</v>
      </c>
      <c r="B295" s="116">
        <v>17035</v>
      </c>
      <c r="C295" s="143" t="s">
        <v>4</v>
      </c>
      <c r="D295" s="144">
        <v>42923</v>
      </c>
      <c r="E295" s="145" t="s">
        <v>826</v>
      </c>
      <c r="F295" s="145" t="s">
        <v>164</v>
      </c>
      <c r="G295" s="146" t="s">
        <v>854</v>
      </c>
      <c r="H295" s="146" t="s">
        <v>1143</v>
      </c>
      <c r="I295" s="119" t="s">
        <v>2056</v>
      </c>
      <c r="J295" s="143"/>
      <c r="K295" s="145">
        <v>1974</v>
      </c>
      <c r="L295" s="145">
        <v>9876</v>
      </c>
      <c r="M295" s="145" t="s">
        <v>13</v>
      </c>
      <c r="N295" s="146" t="s">
        <v>1144</v>
      </c>
      <c r="O295" s="146" t="s">
        <v>29</v>
      </c>
      <c r="P295" s="146" t="s">
        <v>86</v>
      </c>
      <c r="Q295" s="146" t="s">
        <v>605</v>
      </c>
      <c r="R295" s="146" t="s">
        <v>145</v>
      </c>
      <c r="S295" s="146"/>
      <c r="T295" s="129" t="s">
        <v>1145</v>
      </c>
      <c r="U295" s="72"/>
      <c r="V295" s="158" t="s">
        <v>6</v>
      </c>
      <c r="W295" s="118" t="s">
        <v>177</v>
      </c>
      <c r="X295" s="143">
        <v>42935</v>
      </c>
      <c r="Y295" s="144">
        <f t="shared" si="24"/>
        <v>43015</v>
      </c>
      <c r="Z295" s="144">
        <v>42996</v>
      </c>
      <c r="AA295" s="161" t="str">
        <f t="shared" ca="1" si="30"/>
        <v>YES</v>
      </c>
      <c r="AB295" s="113"/>
      <c r="AC295" s="144"/>
      <c r="AD295" s="146"/>
      <c r="AE295" s="146"/>
      <c r="AF295" s="146" t="str">
        <f t="shared" ca="1" si="26"/>
        <v>N/A</v>
      </c>
      <c r="AG295" s="183">
        <v>1020</v>
      </c>
      <c r="AH295" s="183">
        <v>0</v>
      </c>
      <c r="AI295" s="164">
        <f t="shared" si="27"/>
        <v>1020</v>
      </c>
      <c r="AJ295" s="182" t="s">
        <v>6</v>
      </c>
      <c r="AK295" s="113">
        <v>43411</v>
      </c>
      <c r="AL295" s="145"/>
      <c r="AM295" s="184" t="str">
        <f t="shared" si="28"/>
        <v>17035 MEFSCO</v>
      </c>
      <c r="AN295" s="184" t="str">
        <f t="shared" si="29"/>
        <v>17035 MEFSCO : Supplier's error on the electrical characteristics of the motors</v>
      </c>
    </row>
    <row r="296" spans="1:40" s="76" customFormat="1" ht="13" hidden="1" x14ac:dyDescent="0.3">
      <c r="A296" s="122" t="e">
        <f>HYPERLINK(#REF!)</f>
        <v>#REF!</v>
      </c>
      <c r="B296" s="116">
        <v>17036</v>
      </c>
      <c r="C296" s="143" t="s">
        <v>4</v>
      </c>
      <c r="D296" s="144">
        <v>42923</v>
      </c>
      <c r="E296" s="118" t="s">
        <v>826</v>
      </c>
      <c r="F296" s="118" t="s">
        <v>164</v>
      </c>
      <c r="G296" s="111" t="s">
        <v>1146</v>
      </c>
      <c r="H296" s="146"/>
      <c r="I296" s="119" t="s">
        <v>2057</v>
      </c>
      <c r="J296" s="143"/>
      <c r="K296" s="145">
        <v>2039</v>
      </c>
      <c r="L296" s="145">
        <v>11996</v>
      </c>
      <c r="M296" s="118" t="s">
        <v>11</v>
      </c>
      <c r="N296" s="111" t="s">
        <v>1147</v>
      </c>
      <c r="O296" s="111" t="s">
        <v>29</v>
      </c>
      <c r="P296" s="111" t="s">
        <v>1148</v>
      </c>
      <c r="Q296" s="111" t="s">
        <v>1149</v>
      </c>
      <c r="R296" s="111" t="s">
        <v>15</v>
      </c>
      <c r="S296" s="111"/>
      <c r="T296" s="145"/>
      <c r="U296" s="72"/>
      <c r="V296" s="158" t="s">
        <v>6</v>
      </c>
      <c r="W296" s="118" t="s">
        <v>1150</v>
      </c>
      <c r="X296" s="143">
        <v>42935</v>
      </c>
      <c r="Y296" s="144">
        <f t="shared" si="24"/>
        <v>43015</v>
      </c>
      <c r="Z296" s="144">
        <v>43005</v>
      </c>
      <c r="AA296" s="161" t="str">
        <f t="shared" ca="1" si="30"/>
        <v>YES</v>
      </c>
      <c r="AB296" s="113"/>
      <c r="AC296" s="144"/>
      <c r="AD296" s="146"/>
      <c r="AE296" s="146"/>
      <c r="AF296" s="146" t="str">
        <f t="shared" ca="1" si="26"/>
        <v>N/A</v>
      </c>
      <c r="AG296" s="183">
        <v>765</v>
      </c>
      <c r="AH296" s="183">
        <v>0</v>
      </c>
      <c r="AI296" s="164">
        <f t="shared" si="27"/>
        <v>765</v>
      </c>
      <c r="AJ296" s="182" t="s">
        <v>6</v>
      </c>
      <c r="AK296" s="113">
        <v>43411</v>
      </c>
      <c r="AL296" s="145"/>
      <c r="AM296" s="184" t="str">
        <f t="shared" si="28"/>
        <v>17036 ADM Turquie</v>
      </c>
      <c r="AN296" s="184" t="str">
        <f t="shared" si="29"/>
        <v>17036 ADM Turquie : AEI budget underestimated</v>
      </c>
    </row>
    <row r="297" spans="1:40" s="76" customFormat="1" ht="13" hidden="1" x14ac:dyDescent="0.3">
      <c r="A297" s="122" t="e">
        <f>HYPERLINK(#REF!)</f>
        <v>#REF!</v>
      </c>
      <c r="B297" s="116">
        <v>17037</v>
      </c>
      <c r="C297" s="143" t="s">
        <v>4</v>
      </c>
      <c r="D297" s="144">
        <v>42923</v>
      </c>
      <c r="E297" s="145" t="s">
        <v>621</v>
      </c>
      <c r="F297" s="145" t="s">
        <v>164</v>
      </c>
      <c r="G297" s="146" t="s">
        <v>1151</v>
      </c>
      <c r="H297" s="146"/>
      <c r="I297" s="119" t="s">
        <v>2057</v>
      </c>
      <c r="J297" s="143"/>
      <c r="K297" s="145">
        <v>1991</v>
      </c>
      <c r="L297" s="145">
        <v>10138</v>
      </c>
      <c r="M297" s="145" t="s">
        <v>975</v>
      </c>
      <c r="N297" s="146" t="s">
        <v>1152</v>
      </c>
      <c r="O297" s="146" t="s">
        <v>29</v>
      </c>
      <c r="P297" s="146" t="s">
        <v>86</v>
      </c>
      <c r="Q297" s="146" t="s">
        <v>605</v>
      </c>
      <c r="R297" s="146" t="s">
        <v>145</v>
      </c>
      <c r="S297" s="146"/>
      <c r="T297" s="145"/>
      <c r="U297" s="72"/>
      <c r="V297" s="158" t="s">
        <v>6</v>
      </c>
      <c r="W297" s="145" t="s">
        <v>621</v>
      </c>
      <c r="X297" s="143">
        <v>42923</v>
      </c>
      <c r="Y297" s="144">
        <f t="shared" si="24"/>
        <v>43015</v>
      </c>
      <c r="Z297" s="144">
        <v>42996</v>
      </c>
      <c r="AA297" s="161" t="str">
        <f t="shared" ca="1" si="30"/>
        <v>YES</v>
      </c>
      <c r="AB297" s="113"/>
      <c r="AC297" s="144"/>
      <c r="AD297" s="146"/>
      <c r="AE297" s="146"/>
      <c r="AF297" s="146" t="str">
        <f t="shared" ca="1" si="26"/>
        <v>N/A</v>
      </c>
      <c r="AG297" s="183">
        <v>1485.7692307692307</v>
      </c>
      <c r="AH297" s="183">
        <v>5005.1282051282051</v>
      </c>
      <c r="AI297" s="164">
        <f t="shared" si="27"/>
        <v>6490.8974358974356</v>
      </c>
      <c r="AJ297" s="182" t="s">
        <v>6</v>
      </c>
      <c r="AK297" s="113">
        <v>43411</v>
      </c>
      <c r="AL297" s="145"/>
      <c r="AM297" s="184" t="str">
        <f t="shared" si="28"/>
        <v>17037 KLIM Cambodge</v>
      </c>
      <c r="AN297" s="184" t="str">
        <f t="shared" si="29"/>
        <v>17037 KLIM Cambodge : Chinese translation of supervision views</v>
      </c>
    </row>
    <row r="298" spans="1:40" s="76" customFormat="1" ht="13" hidden="1" x14ac:dyDescent="0.3">
      <c r="A298" s="122" t="e">
        <f>HYPERLINK(#REF!)</f>
        <v>#REF!</v>
      </c>
      <c r="B298" s="116">
        <v>17038</v>
      </c>
      <c r="C298" s="143" t="s">
        <v>4</v>
      </c>
      <c r="D298" s="144">
        <v>42933</v>
      </c>
      <c r="E298" s="145" t="s">
        <v>940</v>
      </c>
      <c r="F298" s="145" t="s">
        <v>164</v>
      </c>
      <c r="G298" s="146" t="s">
        <v>925</v>
      </c>
      <c r="H298" s="146" t="s">
        <v>970</v>
      </c>
      <c r="I298" s="119" t="s">
        <v>5</v>
      </c>
      <c r="J298" s="143"/>
      <c r="K298" s="145">
        <v>2011</v>
      </c>
      <c r="L298" s="145">
        <v>10282</v>
      </c>
      <c r="M298" s="145" t="s">
        <v>7</v>
      </c>
      <c r="N298" s="146" t="s">
        <v>1153</v>
      </c>
      <c r="O298" s="146" t="s">
        <v>29</v>
      </c>
      <c r="P298" s="146" t="s">
        <v>86</v>
      </c>
      <c r="Q298" s="111" t="s">
        <v>916</v>
      </c>
      <c r="R298" s="146" t="s">
        <v>145</v>
      </c>
      <c r="S298" s="146"/>
      <c r="T298" s="145"/>
      <c r="U298" s="72"/>
      <c r="V298" s="158" t="s">
        <v>6</v>
      </c>
      <c r="W298" s="145" t="s">
        <v>1154</v>
      </c>
      <c r="X298" s="143">
        <v>42936</v>
      </c>
      <c r="Y298" s="144">
        <f t="shared" si="24"/>
        <v>43025</v>
      </c>
      <c r="Z298" s="144">
        <v>43005</v>
      </c>
      <c r="AA298" s="161" t="str">
        <f t="shared" ca="1" si="30"/>
        <v>YES</v>
      </c>
      <c r="AB298" s="113"/>
      <c r="AC298" s="144">
        <v>42936</v>
      </c>
      <c r="AD298" s="169">
        <v>43039</v>
      </c>
      <c r="AE298" s="230">
        <v>43005</v>
      </c>
      <c r="AF298" s="111" t="str">
        <f t="shared" ca="1" si="26"/>
        <v>YES</v>
      </c>
      <c r="AG298" s="162">
        <v>3825</v>
      </c>
      <c r="AH298" s="162">
        <v>337</v>
      </c>
      <c r="AI298" s="164">
        <f t="shared" si="27"/>
        <v>4162</v>
      </c>
      <c r="AJ298" s="182" t="s">
        <v>6</v>
      </c>
      <c r="AK298" s="113">
        <v>43412</v>
      </c>
      <c r="AL298" s="145"/>
      <c r="AM298" s="184" t="str">
        <f t="shared" si="28"/>
        <v>17038 Boccard/Nutribio</v>
      </c>
      <c r="AN298" s="184" t="str">
        <f t="shared" si="29"/>
        <v>17038 Boccard/Nutribio : Dysfonction ED unit</v>
      </c>
    </row>
    <row r="299" spans="1:40" s="76" customFormat="1" ht="13" hidden="1" x14ac:dyDescent="0.3">
      <c r="A299" s="122" t="e">
        <f>HYPERLINK(#REF!)</f>
        <v>#REF!</v>
      </c>
      <c r="B299" s="116">
        <v>17039</v>
      </c>
      <c r="C299" s="143" t="s">
        <v>4</v>
      </c>
      <c r="D299" s="144">
        <v>42933</v>
      </c>
      <c r="E299" s="145" t="s">
        <v>273</v>
      </c>
      <c r="F299" s="118" t="s">
        <v>658</v>
      </c>
      <c r="G299" s="146" t="s">
        <v>1155</v>
      </c>
      <c r="H299" s="146" t="s">
        <v>357</v>
      </c>
      <c r="I299" s="119" t="s">
        <v>5</v>
      </c>
      <c r="J299" s="143"/>
      <c r="K299" s="145"/>
      <c r="L299" s="118" t="s">
        <v>1119</v>
      </c>
      <c r="M299" s="145" t="s">
        <v>359</v>
      </c>
      <c r="N299" s="111" t="s">
        <v>1156</v>
      </c>
      <c r="O299" s="146" t="s">
        <v>28</v>
      </c>
      <c r="P299" s="146" t="s">
        <v>103</v>
      </c>
      <c r="Q299" s="111" t="s">
        <v>176</v>
      </c>
      <c r="R299" s="146" t="s">
        <v>145</v>
      </c>
      <c r="S299" s="146"/>
      <c r="T299" s="145"/>
      <c r="U299" s="72"/>
      <c r="V299" s="158" t="s">
        <v>6</v>
      </c>
      <c r="W299" s="145" t="s">
        <v>1157</v>
      </c>
      <c r="X299" s="143">
        <v>42933</v>
      </c>
      <c r="Y299" s="144">
        <f t="shared" si="24"/>
        <v>43025</v>
      </c>
      <c r="Z299" s="117">
        <v>43564</v>
      </c>
      <c r="AA299" s="161" t="str">
        <f t="shared" ca="1" si="30"/>
        <v>NO</v>
      </c>
      <c r="AB299" s="113"/>
      <c r="AC299" s="144">
        <v>42934</v>
      </c>
      <c r="AD299" s="144">
        <v>43039</v>
      </c>
      <c r="AE299" s="144">
        <v>43564</v>
      </c>
      <c r="AF299" s="146" t="str">
        <f t="shared" ca="1" si="26"/>
        <v>NO</v>
      </c>
      <c r="AG299" s="183">
        <v>13205</v>
      </c>
      <c r="AH299" s="183">
        <v>16350</v>
      </c>
      <c r="AI299" s="164">
        <f t="shared" si="27"/>
        <v>29555</v>
      </c>
      <c r="AJ299" s="182" t="s">
        <v>6</v>
      </c>
      <c r="AK299" s="113">
        <v>43774</v>
      </c>
      <c r="AL299" s="118"/>
      <c r="AM299" s="184" t="str">
        <f t="shared" si="28"/>
        <v>17039 Tetra Pak/ Glycom</v>
      </c>
      <c r="AN299" s="184" t="str">
        <f t="shared" si="29"/>
        <v>17039 Tetra Pak/ Glycom : Breakage of BE Kerasep membranes</v>
      </c>
    </row>
    <row r="300" spans="1:40" s="76" customFormat="1" ht="13" hidden="1" x14ac:dyDescent="0.3">
      <c r="A300" s="122" t="e">
        <f>HYPERLINK(#REF!)</f>
        <v>#REF!</v>
      </c>
      <c r="B300" s="116">
        <v>17040</v>
      </c>
      <c r="C300" s="113" t="s">
        <v>8</v>
      </c>
      <c r="D300" s="144">
        <v>42951</v>
      </c>
      <c r="E300" s="118" t="s">
        <v>1140</v>
      </c>
      <c r="F300" s="145" t="s">
        <v>164</v>
      </c>
      <c r="G300" s="111" t="s">
        <v>1158</v>
      </c>
      <c r="H300" s="111" t="s">
        <v>1159</v>
      </c>
      <c r="I300" s="119" t="s">
        <v>2056</v>
      </c>
      <c r="J300" s="113"/>
      <c r="K300" s="118">
        <v>2008</v>
      </c>
      <c r="L300" s="118">
        <v>11482</v>
      </c>
      <c r="M300" s="118" t="s">
        <v>1160</v>
      </c>
      <c r="N300" s="111" t="s">
        <v>1161</v>
      </c>
      <c r="O300" s="111" t="s">
        <v>29</v>
      </c>
      <c r="P300" s="146" t="s">
        <v>86</v>
      </c>
      <c r="Q300" s="111"/>
      <c r="R300" s="111" t="s">
        <v>145</v>
      </c>
      <c r="S300" s="111"/>
      <c r="T300" s="118"/>
      <c r="U300" s="64"/>
      <c r="V300" s="158" t="s">
        <v>6</v>
      </c>
      <c r="W300" s="118" t="s">
        <v>1140</v>
      </c>
      <c r="X300" s="113">
        <v>42947</v>
      </c>
      <c r="Y300" s="117">
        <f t="shared" si="24"/>
        <v>43043</v>
      </c>
      <c r="Z300" s="117">
        <v>43040</v>
      </c>
      <c r="AA300" s="161" t="str">
        <f t="shared" ca="1" si="30"/>
        <v>YES</v>
      </c>
      <c r="AB300" s="113"/>
      <c r="AC300" s="117"/>
      <c r="AD300" s="144"/>
      <c r="AE300" s="144"/>
      <c r="AF300" s="111" t="str">
        <f t="shared" ca="1" si="26"/>
        <v>N/A</v>
      </c>
      <c r="AG300" s="162">
        <v>0</v>
      </c>
      <c r="AH300" s="162">
        <v>0</v>
      </c>
      <c r="AI300" s="164">
        <f t="shared" si="27"/>
        <v>0</v>
      </c>
      <c r="AJ300" s="118"/>
      <c r="AK300" s="113"/>
      <c r="AL300" s="118"/>
      <c r="AM300" s="165" t="str">
        <f t="shared" si="28"/>
        <v>17040 SBC</v>
      </c>
      <c r="AN300" s="165" t="str">
        <f t="shared" si="29"/>
        <v>17040 SBC : goods packing issue</v>
      </c>
    </row>
    <row r="301" spans="1:40" s="76" customFormat="1" ht="13" hidden="1" x14ac:dyDescent="0.3">
      <c r="A301" s="122" t="e">
        <f>HYPERLINK(#REF!)</f>
        <v>#REF!</v>
      </c>
      <c r="B301" s="116">
        <v>17041</v>
      </c>
      <c r="C301" s="113" t="s">
        <v>8</v>
      </c>
      <c r="D301" s="144">
        <v>42957</v>
      </c>
      <c r="E301" s="118" t="s">
        <v>1162</v>
      </c>
      <c r="F301" s="145" t="s">
        <v>164</v>
      </c>
      <c r="G301" s="111" t="s">
        <v>1163</v>
      </c>
      <c r="H301" s="111" t="s">
        <v>1159</v>
      </c>
      <c r="I301" s="119" t="s">
        <v>2056</v>
      </c>
      <c r="J301" s="113"/>
      <c r="K301" s="118">
        <v>1996</v>
      </c>
      <c r="L301" s="118">
        <v>8759</v>
      </c>
      <c r="M301" s="118" t="s">
        <v>1164</v>
      </c>
      <c r="N301" s="111" t="s">
        <v>1165</v>
      </c>
      <c r="O301" s="111" t="s">
        <v>29</v>
      </c>
      <c r="P301" s="146" t="s">
        <v>86</v>
      </c>
      <c r="Q301" s="111"/>
      <c r="R301" s="111" t="s">
        <v>145</v>
      </c>
      <c r="S301" s="111"/>
      <c r="T301" s="118"/>
      <c r="U301" s="64"/>
      <c r="V301" s="158" t="s">
        <v>6</v>
      </c>
      <c r="W301" s="118" t="s">
        <v>1162</v>
      </c>
      <c r="X301" s="113">
        <v>42957</v>
      </c>
      <c r="Y301" s="117">
        <f t="shared" si="24"/>
        <v>43049</v>
      </c>
      <c r="Z301" s="117">
        <v>43047</v>
      </c>
      <c r="AA301" s="161" t="str">
        <f t="shared" ca="1" si="30"/>
        <v>YES</v>
      </c>
      <c r="AB301" s="113"/>
      <c r="AC301" s="117"/>
      <c r="AD301" s="144"/>
      <c r="AE301" s="144"/>
      <c r="AF301" s="111" t="str">
        <f t="shared" ca="1" si="26"/>
        <v>N/A</v>
      </c>
      <c r="AG301" s="162">
        <v>328.20512820512823</v>
      </c>
      <c r="AH301" s="162">
        <v>33.333333333333314</v>
      </c>
      <c r="AI301" s="164">
        <f t="shared" si="27"/>
        <v>361.53846153846155</v>
      </c>
      <c r="AJ301" s="118"/>
      <c r="AK301" s="113"/>
      <c r="AL301" s="118"/>
      <c r="AM301" s="165" t="str">
        <f t="shared" si="28"/>
        <v>17041 HUATANG</v>
      </c>
      <c r="AN301" s="165" t="str">
        <f t="shared" si="29"/>
        <v>17041 HUATANG : piping issue</v>
      </c>
    </row>
    <row r="302" spans="1:40" s="76" customFormat="1" ht="13" hidden="1" x14ac:dyDescent="0.3">
      <c r="A302" s="122" t="e">
        <f>HYPERLINK(#REF!)</f>
        <v>#REF!</v>
      </c>
      <c r="B302" s="116">
        <v>17042</v>
      </c>
      <c r="C302" s="113" t="s">
        <v>8</v>
      </c>
      <c r="D302" s="144">
        <v>42957</v>
      </c>
      <c r="E302" s="118" t="s">
        <v>1162</v>
      </c>
      <c r="F302" s="145" t="s">
        <v>164</v>
      </c>
      <c r="G302" s="111" t="s">
        <v>1163</v>
      </c>
      <c r="H302" s="111" t="s">
        <v>1159</v>
      </c>
      <c r="I302" s="119" t="s">
        <v>2056</v>
      </c>
      <c r="J302" s="113"/>
      <c r="K302" s="118">
        <v>1996</v>
      </c>
      <c r="L302" s="118">
        <v>8759</v>
      </c>
      <c r="M302" s="118" t="s">
        <v>1164</v>
      </c>
      <c r="N302" s="111" t="s">
        <v>1166</v>
      </c>
      <c r="O302" s="111" t="s">
        <v>29</v>
      </c>
      <c r="P302" s="146" t="s">
        <v>86</v>
      </c>
      <c r="Q302" s="111"/>
      <c r="R302" s="111" t="s">
        <v>145</v>
      </c>
      <c r="S302" s="111"/>
      <c r="T302" s="118"/>
      <c r="U302" s="64"/>
      <c r="V302" s="158" t="s">
        <v>6</v>
      </c>
      <c r="W302" s="118" t="s">
        <v>1162</v>
      </c>
      <c r="X302" s="113">
        <v>42957</v>
      </c>
      <c r="Y302" s="117">
        <f t="shared" si="24"/>
        <v>43049</v>
      </c>
      <c r="Z302" s="117">
        <v>43047</v>
      </c>
      <c r="AA302" s="161" t="str">
        <f t="shared" ca="1" si="30"/>
        <v>YES</v>
      </c>
      <c r="AB302" s="113"/>
      <c r="AC302" s="117"/>
      <c r="AD302" s="144"/>
      <c r="AE302" s="144"/>
      <c r="AF302" s="111" t="str">
        <f t="shared" ca="1" si="26"/>
        <v>N/A</v>
      </c>
      <c r="AG302" s="162">
        <v>492.30769230769232</v>
      </c>
      <c r="AH302" s="162">
        <v>0</v>
      </c>
      <c r="AI302" s="164">
        <f t="shared" si="27"/>
        <v>492.30769230769232</v>
      </c>
      <c r="AJ302" s="118"/>
      <c r="AK302" s="113"/>
      <c r="AL302" s="118"/>
      <c r="AM302" s="165" t="str">
        <f t="shared" si="28"/>
        <v>17042 HUATANG</v>
      </c>
      <c r="AN302" s="165" t="str">
        <f t="shared" si="29"/>
        <v>17042 HUATANG : IEX position and backwashing nozzle issues</v>
      </c>
    </row>
    <row r="303" spans="1:40" s="76" customFormat="1" ht="13" hidden="1" x14ac:dyDescent="0.3">
      <c r="A303" s="122" t="e">
        <f>HYPERLINK(#REF!)</f>
        <v>#REF!</v>
      </c>
      <c r="B303" s="116">
        <v>17043</v>
      </c>
      <c r="C303" s="113" t="s">
        <v>8</v>
      </c>
      <c r="D303" s="144">
        <v>42962</v>
      </c>
      <c r="E303" s="118" t="s">
        <v>1167</v>
      </c>
      <c r="F303" s="145" t="s">
        <v>164</v>
      </c>
      <c r="G303" s="111" t="s">
        <v>1163</v>
      </c>
      <c r="H303" s="111" t="s">
        <v>1168</v>
      </c>
      <c r="I303" s="119" t="s">
        <v>14</v>
      </c>
      <c r="J303" s="113"/>
      <c r="K303" s="118">
        <v>1996</v>
      </c>
      <c r="L303" s="118">
        <v>8759</v>
      </c>
      <c r="M303" s="118" t="s">
        <v>1164</v>
      </c>
      <c r="N303" s="111" t="s">
        <v>1169</v>
      </c>
      <c r="O303" s="111" t="s">
        <v>29</v>
      </c>
      <c r="P303" s="146" t="s">
        <v>86</v>
      </c>
      <c r="Q303" s="111"/>
      <c r="R303" s="111" t="s">
        <v>15</v>
      </c>
      <c r="S303" s="111"/>
      <c r="T303" s="118"/>
      <c r="U303" s="64"/>
      <c r="V303" s="158" t="s">
        <v>6</v>
      </c>
      <c r="W303" s="118" t="s">
        <v>1167</v>
      </c>
      <c r="X303" s="113">
        <v>42962</v>
      </c>
      <c r="Y303" s="117">
        <f t="shared" si="24"/>
        <v>43054</v>
      </c>
      <c r="Z303" s="117">
        <v>43047</v>
      </c>
      <c r="AA303" s="161" t="str">
        <f t="shared" ca="1" si="30"/>
        <v>YES</v>
      </c>
      <c r="AB303" s="113"/>
      <c r="AC303" s="117"/>
      <c r="AD303" s="144"/>
      <c r="AE303" s="144"/>
      <c r="AF303" s="111" t="str">
        <f t="shared" ca="1" si="26"/>
        <v>N/A</v>
      </c>
      <c r="AG303" s="162">
        <v>1148.7179487179487</v>
      </c>
      <c r="AH303" s="162">
        <v>986.15384615384619</v>
      </c>
      <c r="AI303" s="164">
        <f t="shared" si="27"/>
        <v>2134.8717948717949</v>
      </c>
      <c r="AJ303" s="118"/>
      <c r="AK303" s="113"/>
      <c r="AL303" s="118"/>
      <c r="AM303" s="165" t="str">
        <f t="shared" si="28"/>
        <v>17043 HUATANG</v>
      </c>
      <c r="AN303" s="165" t="str">
        <f t="shared" si="29"/>
        <v>17043 HUATANG : MB manhole height issue</v>
      </c>
    </row>
    <row r="304" spans="1:40" s="76" customFormat="1" ht="13" hidden="1" x14ac:dyDescent="0.3">
      <c r="A304" s="122" t="e">
        <f>HYPERLINK(#REF!)</f>
        <v>#REF!</v>
      </c>
      <c r="B304" s="116">
        <v>17044</v>
      </c>
      <c r="C304" s="143" t="s">
        <v>4</v>
      </c>
      <c r="D304" s="144">
        <v>42976</v>
      </c>
      <c r="E304" s="145" t="s">
        <v>1019</v>
      </c>
      <c r="F304" s="145" t="s">
        <v>658</v>
      </c>
      <c r="G304" s="146" t="s">
        <v>1170</v>
      </c>
      <c r="H304" s="146" t="s">
        <v>357</v>
      </c>
      <c r="I304" s="119" t="s">
        <v>5</v>
      </c>
      <c r="J304" s="143"/>
      <c r="K304" s="145"/>
      <c r="L304" s="145" t="s">
        <v>1171</v>
      </c>
      <c r="M304" s="145" t="s">
        <v>359</v>
      </c>
      <c r="N304" s="146" t="s">
        <v>1172</v>
      </c>
      <c r="O304" s="146" t="s">
        <v>28</v>
      </c>
      <c r="P304" s="146" t="s">
        <v>103</v>
      </c>
      <c r="Q304" s="111" t="s">
        <v>176</v>
      </c>
      <c r="R304" s="146" t="s">
        <v>145</v>
      </c>
      <c r="S304" s="146"/>
      <c r="T304" s="145"/>
      <c r="U304" s="72"/>
      <c r="V304" s="158" t="s">
        <v>6</v>
      </c>
      <c r="W304" s="118" t="s">
        <v>1019</v>
      </c>
      <c r="X304" s="143">
        <v>42982</v>
      </c>
      <c r="Y304" s="144">
        <f t="shared" si="24"/>
        <v>43068</v>
      </c>
      <c r="Z304" s="144">
        <v>43144</v>
      </c>
      <c r="AA304" s="161" t="str">
        <f t="shared" ca="1" si="30"/>
        <v>NO</v>
      </c>
      <c r="AB304" s="113"/>
      <c r="AC304" s="144">
        <v>42888</v>
      </c>
      <c r="AD304" s="117">
        <v>43069</v>
      </c>
      <c r="AE304" s="144">
        <v>43144</v>
      </c>
      <c r="AF304" s="146" t="str">
        <f t="shared" ca="1" si="26"/>
        <v>NO</v>
      </c>
      <c r="AG304" s="183">
        <v>10642</v>
      </c>
      <c r="AH304" s="183">
        <v>2600</v>
      </c>
      <c r="AI304" s="164">
        <f t="shared" si="27"/>
        <v>13242</v>
      </c>
      <c r="AJ304" s="182" t="s">
        <v>6</v>
      </c>
      <c r="AK304" s="113">
        <v>43411</v>
      </c>
      <c r="AL304" s="145"/>
      <c r="AM304" s="184" t="str">
        <f t="shared" si="28"/>
        <v>17044 ARIAS</v>
      </c>
      <c r="AN304" s="184" t="str">
        <f t="shared" si="29"/>
        <v>17044 ARIAS : proteins loss higher than our guarantees</v>
      </c>
    </row>
    <row r="305" spans="1:40" s="76" customFormat="1" ht="13" hidden="1" x14ac:dyDescent="0.3">
      <c r="A305" s="122" t="e">
        <f>HYPERLINK(#REF!)</f>
        <v>#REF!</v>
      </c>
      <c r="B305" s="116">
        <v>17045</v>
      </c>
      <c r="C305" s="143" t="s">
        <v>4</v>
      </c>
      <c r="D305" s="144">
        <v>42984</v>
      </c>
      <c r="E305" s="145" t="s">
        <v>577</v>
      </c>
      <c r="F305" s="145" t="s">
        <v>691</v>
      </c>
      <c r="G305" s="146" t="s">
        <v>340</v>
      </c>
      <c r="H305" s="146"/>
      <c r="I305" s="119" t="s">
        <v>2058</v>
      </c>
      <c r="J305" s="143"/>
      <c r="K305" s="145">
        <v>2014</v>
      </c>
      <c r="L305" s="145">
        <v>10416</v>
      </c>
      <c r="M305" s="118" t="s">
        <v>454</v>
      </c>
      <c r="N305" s="146" t="s">
        <v>1173</v>
      </c>
      <c r="O305" s="146" t="s">
        <v>691</v>
      </c>
      <c r="P305" s="111" t="s">
        <v>86</v>
      </c>
      <c r="Q305" s="146"/>
      <c r="R305" s="111" t="s">
        <v>15</v>
      </c>
      <c r="S305" s="111"/>
      <c r="T305" s="145"/>
      <c r="U305" s="72"/>
      <c r="V305" s="158" t="s">
        <v>6</v>
      </c>
      <c r="W305" s="118" t="s">
        <v>153</v>
      </c>
      <c r="X305" s="143">
        <v>43026</v>
      </c>
      <c r="Y305" s="144">
        <f t="shared" si="24"/>
        <v>43075</v>
      </c>
      <c r="Z305" s="144">
        <v>43671</v>
      </c>
      <c r="AA305" s="161" t="str">
        <f t="shared" ca="1" si="30"/>
        <v>NO</v>
      </c>
      <c r="AB305" s="113"/>
      <c r="AC305" s="144"/>
      <c r="AD305" s="144"/>
      <c r="AE305" s="144"/>
      <c r="AF305" s="146" t="str">
        <f t="shared" ca="1" si="26"/>
        <v>N/A</v>
      </c>
      <c r="AG305" s="183">
        <v>595</v>
      </c>
      <c r="AH305" s="183">
        <v>0</v>
      </c>
      <c r="AI305" s="164">
        <f t="shared" si="27"/>
        <v>595</v>
      </c>
      <c r="AJ305" s="182" t="s">
        <v>454</v>
      </c>
      <c r="AK305" s="113" t="s">
        <v>454</v>
      </c>
      <c r="AL305" s="145"/>
      <c r="AM305" s="184" t="str">
        <f t="shared" si="28"/>
        <v>17045 AGRANA</v>
      </c>
      <c r="AN305" s="184" t="str">
        <f t="shared" si="29"/>
        <v>17045 AGRANA : discomfort on customer site</v>
      </c>
    </row>
    <row r="306" spans="1:40" s="76" customFormat="1" ht="13" hidden="1" x14ac:dyDescent="0.3">
      <c r="A306" s="122" t="e">
        <f>HYPERLINK(#REF!)</f>
        <v>#REF!</v>
      </c>
      <c r="B306" s="116">
        <v>17046</v>
      </c>
      <c r="C306" s="143" t="s">
        <v>4</v>
      </c>
      <c r="D306" s="144">
        <v>42985</v>
      </c>
      <c r="E306" s="145" t="s">
        <v>116</v>
      </c>
      <c r="F306" s="145" t="s">
        <v>164</v>
      </c>
      <c r="G306" s="146" t="s">
        <v>1014</v>
      </c>
      <c r="H306" s="146" t="s">
        <v>357</v>
      </c>
      <c r="I306" s="119" t="s">
        <v>5</v>
      </c>
      <c r="J306" s="143"/>
      <c r="K306" s="145">
        <v>2026</v>
      </c>
      <c r="L306" s="145">
        <v>11244</v>
      </c>
      <c r="M306" s="145" t="s">
        <v>338</v>
      </c>
      <c r="N306" s="146" t="s">
        <v>1174</v>
      </c>
      <c r="O306" s="146" t="s">
        <v>29</v>
      </c>
      <c r="P306" s="146" t="s">
        <v>86</v>
      </c>
      <c r="Q306" s="111" t="s">
        <v>916</v>
      </c>
      <c r="R306" s="146" t="s">
        <v>145</v>
      </c>
      <c r="S306" s="231"/>
      <c r="T306" s="122" t="s">
        <v>357</v>
      </c>
      <c r="U306" s="72"/>
      <c r="V306" s="158" t="s">
        <v>6</v>
      </c>
      <c r="W306" s="145" t="s">
        <v>82</v>
      </c>
      <c r="X306" s="143">
        <v>42989</v>
      </c>
      <c r="Y306" s="144">
        <f t="shared" si="24"/>
        <v>43076</v>
      </c>
      <c r="Z306" s="144">
        <v>43091</v>
      </c>
      <c r="AA306" s="161" t="str">
        <f t="shared" ref="AA306:AA337" ca="1" si="31">IF(Z306="",IF(TODAY()&gt;Y306,"NO","YES"),IF(Z306&gt;Y306,"NO",IF(Z306&lt;Y306,"YES",IF(Y306=Z306,"YES","N/A"))))</f>
        <v>NO</v>
      </c>
      <c r="AB306" s="113"/>
      <c r="AC306" s="144">
        <v>42989</v>
      </c>
      <c r="AD306" s="144">
        <v>43100</v>
      </c>
      <c r="AE306" s="144">
        <v>43091</v>
      </c>
      <c r="AF306" s="111" t="str">
        <f t="shared" ca="1" si="26"/>
        <v>YES</v>
      </c>
      <c r="AG306" s="162">
        <v>21590</v>
      </c>
      <c r="AH306" s="162">
        <v>96313</v>
      </c>
      <c r="AI306" s="164">
        <f t="shared" si="27"/>
        <v>117903</v>
      </c>
      <c r="AJ306" s="182" t="s">
        <v>10</v>
      </c>
      <c r="AK306" s="113">
        <v>43164</v>
      </c>
      <c r="AL306" s="118" t="s">
        <v>1175</v>
      </c>
      <c r="AM306" s="184" t="str">
        <f t="shared" si="28"/>
        <v>17046 Biospringer</v>
      </c>
      <c r="AN306" s="184" t="str">
        <f t="shared" si="29"/>
        <v>17046 Biospringer : Breakage of Kerasep membranes</v>
      </c>
    </row>
    <row r="307" spans="1:40" s="76" customFormat="1" ht="13" hidden="1" x14ac:dyDescent="0.3">
      <c r="A307" s="122" t="e">
        <f>HYPERLINK(#REF!)</f>
        <v>#REF!</v>
      </c>
      <c r="B307" s="116">
        <v>17047</v>
      </c>
      <c r="C307" s="143" t="s">
        <v>4</v>
      </c>
      <c r="D307" s="144">
        <v>42985</v>
      </c>
      <c r="E307" s="145" t="s">
        <v>116</v>
      </c>
      <c r="F307" s="145" t="s">
        <v>164</v>
      </c>
      <c r="G307" s="146" t="s">
        <v>1014</v>
      </c>
      <c r="H307" s="146"/>
      <c r="I307" s="119" t="s">
        <v>2057</v>
      </c>
      <c r="J307" s="143"/>
      <c r="K307" s="145">
        <v>2026</v>
      </c>
      <c r="L307" s="145">
        <v>11244</v>
      </c>
      <c r="M307" s="145" t="s">
        <v>338</v>
      </c>
      <c r="N307" s="111" t="s">
        <v>1176</v>
      </c>
      <c r="O307" s="146" t="s">
        <v>29</v>
      </c>
      <c r="P307" s="146" t="s">
        <v>86</v>
      </c>
      <c r="Q307" s="111" t="s">
        <v>916</v>
      </c>
      <c r="R307" s="111" t="s">
        <v>12</v>
      </c>
      <c r="S307" s="111"/>
      <c r="T307" s="145"/>
      <c r="U307" s="72"/>
      <c r="V307" s="158" t="s">
        <v>10</v>
      </c>
      <c r="W307" s="145"/>
      <c r="X307" s="143"/>
      <c r="Y307" s="144">
        <f t="shared" si="24"/>
        <v>43076</v>
      </c>
      <c r="Z307" s="144">
        <v>43056</v>
      </c>
      <c r="AA307" s="161" t="str">
        <f t="shared" ca="1" si="31"/>
        <v>YES</v>
      </c>
      <c r="AB307" s="113"/>
      <c r="AC307" s="144"/>
      <c r="AD307" s="144"/>
      <c r="AE307" s="144"/>
      <c r="AF307" s="146" t="str">
        <f t="shared" ca="1" si="26"/>
        <v>N/A</v>
      </c>
      <c r="AG307" s="183">
        <v>850</v>
      </c>
      <c r="AH307" s="183">
        <v>585</v>
      </c>
      <c r="AI307" s="164">
        <f t="shared" si="27"/>
        <v>1435</v>
      </c>
      <c r="AJ307" s="182" t="s">
        <v>6</v>
      </c>
      <c r="AK307" s="113">
        <v>43412</v>
      </c>
      <c r="AL307" s="145"/>
      <c r="AM307" s="184" t="str">
        <f t="shared" si="28"/>
        <v>17047 Biospringer</v>
      </c>
      <c r="AN307" s="184" t="str">
        <f t="shared" si="29"/>
        <v>17047 Biospringer : CIP Filter damaged by tartar</v>
      </c>
    </row>
    <row r="308" spans="1:40" s="76" customFormat="1" ht="13" hidden="1" x14ac:dyDescent="0.3">
      <c r="A308" s="122" t="e">
        <f>HYPERLINK(#REF!)</f>
        <v>#REF!</v>
      </c>
      <c r="B308" s="116">
        <v>17048</v>
      </c>
      <c r="C308" s="113" t="s">
        <v>8</v>
      </c>
      <c r="D308" s="144">
        <v>42983</v>
      </c>
      <c r="E308" s="118" t="s">
        <v>1177</v>
      </c>
      <c r="F308" s="145" t="s">
        <v>164</v>
      </c>
      <c r="G308" s="111" t="s">
        <v>1178</v>
      </c>
      <c r="H308" s="111" t="s">
        <v>1179</v>
      </c>
      <c r="I308" s="119" t="s">
        <v>14</v>
      </c>
      <c r="J308" s="113"/>
      <c r="K308" s="118" t="s">
        <v>1180</v>
      </c>
      <c r="L308" s="118">
        <v>7838</v>
      </c>
      <c r="M308" s="118" t="s">
        <v>1181</v>
      </c>
      <c r="N308" s="111" t="s">
        <v>1182</v>
      </c>
      <c r="O308" s="146" t="s">
        <v>29</v>
      </c>
      <c r="P308" s="111" t="s">
        <v>103</v>
      </c>
      <c r="Q308" s="111"/>
      <c r="R308" s="146" t="s">
        <v>145</v>
      </c>
      <c r="S308" s="146"/>
      <c r="T308" s="118"/>
      <c r="U308" s="64"/>
      <c r="V308" s="158" t="s">
        <v>6</v>
      </c>
      <c r="W308" s="118" t="s">
        <v>1177</v>
      </c>
      <c r="X308" s="113">
        <v>42983</v>
      </c>
      <c r="Y308" s="117">
        <f t="shared" si="24"/>
        <v>43074</v>
      </c>
      <c r="Z308" s="117">
        <v>43140</v>
      </c>
      <c r="AA308" s="161" t="str">
        <f t="shared" ca="1" si="31"/>
        <v>NO</v>
      </c>
      <c r="AB308" s="113"/>
      <c r="AC308" s="117"/>
      <c r="AD308" s="144"/>
      <c r="AE308" s="144"/>
      <c r="AF308" s="111" t="str">
        <f t="shared" ca="1" si="26"/>
        <v>N/A</v>
      </c>
      <c r="AG308" s="162">
        <v>0</v>
      </c>
      <c r="AH308" s="162">
        <v>0</v>
      </c>
      <c r="AI308" s="164">
        <f t="shared" si="27"/>
        <v>0</v>
      </c>
      <c r="AJ308" s="118"/>
      <c r="AK308" s="113"/>
      <c r="AL308" s="118"/>
      <c r="AM308" s="165" t="str">
        <f t="shared" si="28"/>
        <v>17048 YIXING</v>
      </c>
      <c r="AN308" s="165" t="str">
        <f t="shared" si="29"/>
        <v>17048 YIXING : strainer material is wrong</v>
      </c>
    </row>
    <row r="309" spans="1:40" s="76" customFormat="1" ht="13" hidden="1" x14ac:dyDescent="0.3">
      <c r="A309" s="122" t="e">
        <f>HYPERLINK(#REF!)</f>
        <v>#REF!</v>
      </c>
      <c r="B309" s="116">
        <v>17049</v>
      </c>
      <c r="C309" s="113" t="s">
        <v>8</v>
      </c>
      <c r="D309" s="144">
        <v>42992</v>
      </c>
      <c r="E309" s="118" t="s">
        <v>1140</v>
      </c>
      <c r="F309" s="145" t="s">
        <v>164</v>
      </c>
      <c r="G309" s="111" t="s">
        <v>1183</v>
      </c>
      <c r="H309" s="111" t="s">
        <v>1184</v>
      </c>
      <c r="I309" s="119" t="s">
        <v>2056</v>
      </c>
      <c r="J309" s="113"/>
      <c r="K309" s="118">
        <v>2015</v>
      </c>
      <c r="L309" s="118">
        <v>11722</v>
      </c>
      <c r="M309" s="118" t="s">
        <v>1185</v>
      </c>
      <c r="N309" s="111" t="s">
        <v>1186</v>
      </c>
      <c r="O309" s="146" t="s">
        <v>29</v>
      </c>
      <c r="P309" s="146" t="s">
        <v>86</v>
      </c>
      <c r="Q309" s="111"/>
      <c r="R309" s="146" t="s">
        <v>145</v>
      </c>
      <c r="S309" s="146"/>
      <c r="T309" s="118"/>
      <c r="U309" s="64"/>
      <c r="V309" s="158" t="s">
        <v>6</v>
      </c>
      <c r="W309" s="118" t="s">
        <v>621</v>
      </c>
      <c r="X309" s="113">
        <v>42992</v>
      </c>
      <c r="Y309" s="117">
        <f t="shared" si="24"/>
        <v>43083</v>
      </c>
      <c r="Z309" s="117">
        <v>43056</v>
      </c>
      <c r="AA309" s="161" t="str">
        <f t="shared" ca="1" si="31"/>
        <v>YES</v>
      </c>
      <c r="AB309" s="113"/>
      <c r="AC309" s="117"/>
      <c r="AD309" s="144"/>
      <c r="AE309" s="144"/>
      <c r="AF309" s="111" t="str">
        <f t="shared" ca="1" si="26"/>
        <v>N/A</v>
      </c>
      <c r="AG309" s="162">
        <v>1641.0256410256411</v>
      </c>
      <c r="AH309" s="162">
        <v>512.82051282051282</v>
      </c>
      <c r="AI309" s="164">
        <f t="shared" si="27"/>
        <v>2153.8461538461538</v>
      </c>
      <c r="AJ309" s="118"/>
      <c r="AK309" s="113"/>
      <c r="AL309" s="118"/>
      <c r="AM309" s="165" t="str">
        <f t="shared" si="28"/>
        <v>17049 RZBC2</v>
      </c>
      <c r="AN309" s="165" t="str">
        <f t="shared" si="29"/>
        <v>17049 RZBC2 : The program is not completed</v>
      </c>
    </row>
    <row r="310" spans="1:40" s="76" customFormat="1" ht="13" hidden="1" x14ac:dyDescent="0.3">
      <c r="A310" s="122" t="e">
        <f>HYPERLINK(#REF!)</f>
        <v>#REF!</v>
      </c>
      <c r="B310" s="116">
        <v>17050</v>
      </c>
      <c r="C310" s="143" t="s">
        <v>4</v>
      </c>
      <c r="D310" s="144">
        <v>43010</v>
      </c>
      <c r="E310" s="145" t="s">
        <v>1009</v>
      </c>
      <c r="F310" s="145" t="s">
        <v>164</v>
      </c>
      <c r="G310" s="146" t="s">
        <v>1187</v>
      </c>
      <c r="H310" s="146" t="s">
        <v>1041</v>
      </c>
      <c r="I310" s="119" t="s">
        <v>2057</v>
      </c>
      <c r="J310" s="143"/>
      <c r="K310" s="145">
        <v>2032</v>
      </c>
      <c r="L310" s="145">
        <v>12519</v>
      </c>
      <c r="M310" s="145" t="s">
        <v>13</v>
      </c>
      <c r="N310" s="111" t="s">
        <v>1188</v>
      </c>
      <c r="O310" s="146" t="s">
        <v>29</v>
      </c>
      <c r="P310" s="146" t="s">
        <v>86</v>
      </c>
      <c r="Q310" s="111" t="s">
        <v>510</v>
      </c>
      <c r="R310" s="146" t="s">
        <v>9</v>
      </c>
      <c r="S310" s="146"/>
      <c r="T310" s="145"/>
      <c r="U310" s="72"/>
      <c r="V310" s="158" t="s">
        <v>10</v>
      </c>
      <c r="W310" s="145"/>
      <c r="X310" s="143"/>
      <c r="Y310" s="117">
        <f t="shared" si="24"/>
        <v>43102</v>
      </c>
      <c r="Z310" s="144">
        <v>43083</v>
      </c>
      <c r="AA310" s="161" t="str">
        <f t="shared" ca="1" si="31"/>
        <v>YES</v>
      </c>
      <c r="AB310" s="113"/>
      <c r="AC310" s="144"/>
      <c r="AD310" s="144"/>
      <c r="AE310" s="144"/>
      <c r="AF310" s="146" t="str">
        <f t="shared" ca="1" si="26"/>
        <v>N/A</v>
      </c>
      <c r="AG310" s="183">
        <v>255</v>
      </c>
      <c r="AH310" s="183">
        <v>0</v>
      </c>
      <c r="AI310" s="164">
        <f t="shared" si="27"/>
        <v>255</v>
      </c>
      <c r="AJ310" s="182" t="s">
        <v>10</v>
      </c>
      <c r="AK310" s="113">
        <v>43530</v>
      </c>
      <c r="AL310" s="118" t="s">
        <v>1189</v>
      </c>
      <c r="AM310" s="184" t="str">
        <f t="shared" si="28"/>
        <v>17050 Cargill Manchester</v>
      </c>
      <c r="AN310" s="184" t="str">
        <f t="shared" si="29"/>
        <v>17050 Cargill Manchester : Management of gravel supply</v>
      </c>
    </row>
    <row r="311" spans="1:40" s="76" customFormat="1" ht="13" hidden="1" x14ac:dyDescent="0.3">
      <c r="A311" s="122" t="e">
        <f>HYPERLINK(#REF!)</f>
        <v>#REF!</v>
      </c>
      <c r="B311" s="116">
        <v>17051</v>
      </c>
      <c r="C311" s="113" t="s">
        <v>8</v>
      </c>
      <c r="D311" s="144">
        <v>43017</v>
      </c>
      <c r="E311" s="118" t="s">
        <v>1190</v>
      </c>
      <c r="F311" s="145" t="s">
        <v>164</v>
      </c>
      <c r="G311" s="111" t="s">
        <v>1191</v>
      </c>
      <c r="H311" s="111"/>
      <c r="I311" s="119" t="s">
        <v>2058</v>
      </c>
      <c r="J311" s="70"/>
      <c r="K311" s="118">
        <v>2027</v>
      </c>
      <c r="L311" s="118">
        <v>11432</v>
      </c>
      <c r="M311" s="118" t="s">
        <v>1181</v>
      </c>
      <c r="N311" s="111" t="s">
        <v>1192</v>
      </c>
      <c r="O311" s="146" t="s">
        <v>29</v>
      </c>
      <c r="P311" s="146" t="s">
        <v>86</v>
      </c>
      <c r="Q311" s="70"/>
      <c r="R311" s="146" t="s">
        <v>145</v>
      </c>
      <c r="S311" s="146"/>
      <c r="T311" s="70"/>
      <c r="U311" s="70"/>
      <c r="V311" s="158" t="s">
        <v>6</v>
      </c>
      <c r="W311" s="118" t="s">
        <v>1190</v>
      </c>
      <c r="X311" s="113">
        <v>43023</v>
      </c>
      <c r="Y311" s="117">
        <f t="shared" si="24"/>
        <v>43109</v>
      </c>
      <c r="Z311" s="144">
        <v>43118</v>
      </c>
      <c r="AA311" s="161" t="str">
        <f t="shared" ca="1" si="31"/>
        <v>NO</v>
      </c>
      <c r="AB311" s="113"/>
      <c r="AC311" s="70"/>
      <c r="AD311" s="144"/>
      <c r="AE311" s="144"/>
      <c r="AF311" s="70" t="str">
        <f t="shared" ca="1" si="26"/>
        <v>N/A</v>
      </c>
      <c r="AG311" s="185">
        <v>0</v>
      </c>
      <c r="AH311" s="185">
        <v>0</v>
      </c>
      <c r="AI311" s="186">
        <f t="shared" si="27"/>
        <v>0</v>
      </c>
      <c r="AJ311" s="70"/>
      <c r="AK311" s="70"/>
      <c r="AL311" s="70"/>
      <c r="AM311" s="184" t="str">
        <f t="shared" si="28"/>
        <v>17051 Fufeng</v>
      </c>
      <c r="AN311" s="184" t="str">
        <f t="shared" si="29"/>
        <v>17051 Fufeng : Hose broken,  Jeff burn by hot water and resin</v>
      </c>
    </row>
    <row r="312" spans="1:40" s="76" customFormat="1" ht="14.5" hidden="1" x14ac:dyDescent="0.35">
      <c r="A312" s="122" t="e">
        <f>HYPERLINK(#REF!)</f>
        <v>#REF!</v>
      </c>
      <c r="B312" s="116">
        <v>17052</v>
      </c>
      <c r="C312" s="113" t="s">
        <v>1193</v>
      </c>
      <c r="D312" s="144">
        <v>43027</v>
      </c>
      <c r="E312" s="118" t="s">
        <v>1162</v>
      </c>
      <c r="F312" s="145" t="s">
        <v>164</v>
      </c>
      <c r="G312" s="111" t="s">
        <v>1194</v>
      </c>
      <c r="H312" s="147" t="s">
        <v>1195</v>
      </c>
      <c r="I312" s="119" t="s">
        <v>14</v>
      </c>
      <c r="J312" s="70"/>
      <c r="K312" s="118">
        <v>2029</v>
      </c>
      <c r="L312" s="118">
        <v>9801</v>
      </c>
      <c r="M312" s="118" t="s">
        <v>1164</v>
      </c>
      <c r="N312" s="147" t="s">
        <v>1196</v>
      </c>
      <c r="O312" s="146" t="s">
        <v>29</v>
      </c>
      <c r="P312" s="146" t="s">
        <v>86</v>
      </c>
      <c r="Q312" s="70"/>
      <c r="R312" s="146" t="s">
        <v>9</v>
      </c>
      <c r="S312" s="146"/>
      <c r="T312" s="70"/>
      <c r="U312" s="70"/>
      <c r="V312" s="158" t="s">
        <v>6</v>
      </c>
      <c r="W312" s="118" t="s">
        <v>1162</v>
      </c>
      <c r="X312" s="113">
        <v>43056</v>
      </c>
      <c r="Y312" s="117">
        <f t="shared" si="24"/>
        <v>43119</v>
      </c>
      <c r="Z312" s="144">
        <v>43105</v>
      </c>
      <c r="AA312" s="161" t="str">
        <f t="shared" ca="1" si="31"/>
        <v>YES</v>
      </c>
      <c r="AB312" s="113"/>
      <c r="AC312" s="70"/>
      <c r="AD312" s="144"/>
      <c r="AE312" s="144"/>
      <c r="AF312" s="70" t="str">
        <f t="shared" ca="1" si="26"/>
        <v>N/A</v>
      </c>
      <c r="AG312" s="185">
        <v>0</v>
      </c>
      <c r="AH312" s="185">
        <v>0</v>
      </c>
      <c r="AI312" s="186">
        <f t="shared" si="27"/>
        <v>0</v>
      </c>
      <c r="AJ312" s="70"/>
      <c r="AK312" s="70"/>
      <c r="AL312" s="70"/>
      <c r="AM312" s="184" t="str">
        <f t="shared" si="28"/>
        <v>17052 YINMORE</v>
      </c>
      <c r="AN312" s="184" t="str">
        <f t="shared" si="29"/>
        <v>17052 YINMORE : The nozzle plate was not oriented at the right angle</v>
      </c>
    </row>
    <row r="313" spans="1:40" s="76" customFormat="1" ht="14.5" hidden="1" x14ac:dyDescent="0.35">
      <c r="A313" s="122" t="e">
        <f>HYPERLINK(#REF!)</f>
        <v>#REF!</v>
      </c>
      <c r="B313" s="116">
        <v>17053</v>
      </c>
      <c r="C313" s="113" t="s">
        <v>1193</v>
      </c>
      <c r="D313" s="144">
        <v>43039</v>
      </c>
      <c r="E313" s="118" t="s">
        <v>1197</v>
      </c>
      <c r="F313" s="145" t="s">
        <v>164</v>
      </c>
      <c r="G313" s="111" t="s">
        <v>1136</v>
      </c>
      <c r="H313" s="111" t="s">
        <v>1198</v>
      </c>
      <c r="I313" s="119" t="s">
        <v>14</v>
      </c>
      <c r="J313" s="70"/>
      <c r="K313" s="118">
        <v>2046</v>
      </c>
      <c r="L313" s="118">
        <v>13011</v>
      </c>
      <c r="M313" s="147" t="s">
        <v>1199</v>
      </c>
      <c r="N313" s="111" t="s">
        <v>1200</v>
      </c>
      <c r="O313" s="146" t="s">
        <v>29</v>
      </c>
      <c r="P313" s="146" t="s">
        <v>86</v>
      </c>
      <c r="Q313" s="70"/>
      <c r="R313" s="111" t="s">
        <v>15</v>
      </c>
      <c r="S313" s="111"/>
      <c r="T313" s="70"/>
      <c r="U313" s="70"/>
      <c r="V313" s="158" t="s">
        <v>6</v>
      </c>
      <c r="W313" s="118" t="s">
        <v>1197</v>
      </c>
      <c r="X313" s="113">
        <v>43054</v>
      </c>
      <c r="Y313" s="117">
        <f t="shared" si="24"/>
        <v>43131</v>
      </c>
      <c r="Z313" s="117">
        <v>43069</v>
      </c>
      <c r="AA313" s="161" t="str">
        <f t="shared" ca="1" si="31"/>
        <v>YES</v>
      </c>
      <c r="AB313" s="113"/>
      <c r="AC313" s="70"/>
      <c r="AD313" s="144"/>
      <c r="AE313" s="144"/>
      <c r="AF313" s="70" t="str">
        <f t="shared" ca="1" si="26"/>
        <v>N/A</v>
      </c>
      <c r="AG313" s="185">
        <v>0</v>
      </c>
      <c r="AH313" s="185">
        <v>0</v>
      </c>
      <c r="AI313" s="186">
        <f t="shared" si="27"/>
        <v>0</v>
      </c>
      <c r="AJ313" s="70"/>
      <c r="AK313" s="70"/>
      <c r="AL313" s="70"/>
      <c r="AM313" s="165" t="str">
        <f t="shared" si="28"/>
        <v>17053 FUFENG</v>
      </c>
      <c r="AN313" s="165" t="str">
        <f t="shared" si="29"/>
        <v>17053 FUFENG : The name plate of HE is wrong</v>
      </c>
    </row>
    <row r="314" spans="1:40" s="76" customFormat="1" ht="14.5" hidden="1" x14ac:dyDescent="0.35">
      <c r="A314" s="122" t="e">
        <f>HYPERLINK(#REF!)</f>
        <v>#REF!</v>
      </c>
      <c r="B314" s="116">
        <v>17054</v>
      </c>
      <c r="C314" s="113" t="s">
        <v>4</v>
      </c>
      <c r="D314" s="144">
        <v>43041</v>
      </c>
      <c r="E314" s="118" t="s">
        <v>82</v>
      </c>
      <c r="F314" s="145" t="s">
        <v>658</v>
      </c>
      <c r="G314" s="111" t="s">
        <v>1201</v>
      </c>
      <c r="H314" s="111" t="s">
        <v>1202</v>
      </c>
      <c r="I314" s="119" t="s">
        <v>2056</v>
      </c>
      <c r="J314" s="70" t="s">
        <v>6</v>
      </c>
      <c r="K314" s="118">
        <v>2044</v>
      </c>
      <c r="L314" s="118">
        <v>13042</v>
      </c>
      <c r="M314" s="147" t="s">
        <v>11</v>
      </c>
      <c r="N314" s="111" t="s">
        <v>1092</v>
      </c>
      <c r="O314" s="146" t="s">
        <v>28</v>
      </c>
      <c r="P314" s="146" t="s">
        <v>103</v>
      </c>
      <c r="Q314" s="70" t="s">
        <v>1093</v>
      </c>
      <c r="R314" s="111" t="s">
        <v>145</v>
      </c>
      <c r="S314" s="140"/>
      <c r="T314" s="148" t="s">
        <v>1203</v>
      </c>
      <c r="U314" s="70"/>
      <c r="V314" s="158" t="s">
        <v>10</v>
      </c>
      <c r="W314" s="118"/>
      <c r="X314" s="113"/>
      <c r="Y314" s="117">
        <f t="shared" si="24"/>
        <v>43133</v>
      </c>
      <c r="Z314" s="187">
        <v>43214</v>
      </c>
      <c r="AA314" s="161" t="str">
        <f t="shared" ca="1" si="31"/>
        <v>NO</v>
      </c>
      <c r="AB314" s="113"/>
      <c r="AC314" s="70"/>
      <c r="AD314" s="144"/>
      <c r="AE314" s="144"/>
      <c r="AF314" s="70" t="str">
        <f t="shared" ca="1" si="26"/>
        <v>N/A</v>
      </c>
      <c r="AG314" s="185">
        <v>7712</v>
      </c>
      <c r="AH314" s="185">
        <v>7014</v>
      </c>
      <c r="AI314" s="186">
        <f t="shared" si="27"/>
        <v>14726</v>
      </c>
      <c r="AJ314" s="182" t="s">
        <v>6</v>
      </c>
      <c r="AK314" s="113">
        <v>43413</v>
      </c>
      <c r="AL314" s="70"/>
      <c r="AM314" s="165" t="str">
        <f t="shared" si="28"/>
        <v>17054 TAT Nisasta</v>
      </c>
      <c r="AN314" s="165" t="str">
        <f t="shared" si="29"/>
        <v>17054 TAT Nisasta : resin delivery delay</v>
      </c>
    </row>
    <row r="315" spans="1:40" s="76" customFormat="1" ht="14.5" hidden="1" x14ac:dyDescent="0.35">
      <c r="A315" s="122" t="e">
        <f>HYPERLINK(#REF!)</f>
        <v>#REF!</v>
      </c>
      <c r="B315" s="116">
        <v>17055</v>
      </c>
      <c r="C315" s="113" t="s">
        <v>4</v>
      </c>
      <c r="D315" s="144">
        <v>43045</v>
      </c>
      <c r="E315" s="118" t="s">
        <v>951</v>
      </c>
      <c r="F315" s="145" t="s">
        <v>420</v>
      </c>
      <c r="G315" s="111" t="s">
        <v>416</v>
      </c>
      <c r="H315" s="111" t="s">
        <v>309</v>
      </c>
      <c r="I315" s="119" t="s">
        <v>2056</v>
      </c>
      <c r="J315" s="70" t="s">
        <v>6</v>
      </c>
      <c r="K315" s="118">
        <v>2024</v>
      </c>
      <c r="L315" s="118">
        <v>10065</v>
      </c>
      <c r="M315" s="147" t="s">
        <v>11</v>
      </c>
      <c r="N315" s="111" t="s">
        <v>1101</v>
      </c>
      <c r="O315" s="146" t="s">
        <v>28</v>
      </c>
      <c r="P315" s="146" t="s">
        <v>103</v>
      </c>
      <c r="Q315" s="70" t="s">
        <v>1093</v>
      </c>
      <c r="R315" s="111" t="s">
        <v>145</v>
      </c>
      <c r="S315" s="111"/>
      <c r="T315" s="112" t="s">
        <v>309</v>
      </c>
      <c r="U315" s="70"/>
      <c r="V315" s="158" t="s">
        <v>10</v>
      </c>
      <c r="W315" s="118"/>
      <c r="X315" s="113"/>
      <c r="Y315" s="117">
        <f t="shared" si="24"/>
        <v>43137</v>
      </c>
      <c r="Z315" s="187">
        <v>43185</v>
      </c>
      <c r="AA315" s="161" t="str">
        <f t="shared" ca="1" si="31"/>
        <v>NO</v>
      </c>
      <c r="AB315" s="113"/>
      <c r="AC315" s="70"/>
      <c r="AD315" s="144"/>
      <c r="AE315" s="144"/>
      <c r="AF315" s="70" t="str">
        <f t="shared" ca="1" si="26"/>
        <v>N/A</v>
      </c>
      <c r="AG315" s="185">
        <v>28634</v>
      </c>
      <c r="AH315" s="185">
        <v>29419</v>
      </c>
      <c r="AI315" s="186">
        <f t="shared" si="27"/>
        <v>58053</v>
      </c>
      <c r="AJ315" s="182" t="s">
        <v>6</v>
      </c>
      <c r="AK315" s="187">
        <v>43411</v>
      </c>
      <c r="AL315" s="70"/>
      <c r="AM315" s="165" t="str">
        <f t="shared" si="28"/>
        <v>17055 VITALUS</v>
      </c>
      <c r="AN315" s="165" t="str">
        <f t="shared" si="29"/>
        <v>17055 VITALUS : resin doesn't in accordance with FDA requirements</v>
      </c>
    </row>
    <row r="316" spans="1:40" s="76" customFormat="1" ht="14.5" hidden="1" x14ac:dyDescent="0.35">
      <c r="A316" s="122" t="e">
        <f>HYPERLINK(#REF!)</f>
        <v>#REF!</v>
      </c>
      <c r="B316" s="116">
        <v>17056</v>
      </c>
      <c r="C316" s="113" t="s">
        <v>1193</v>
      </c>
      <c r="D316" s="117">
        <v>43069</v>
      </c>
      <c r="E316" s="118" t="s">
        <v>1167</v>
      </c>
      <c r="F316" s="145" t="s">
        <v>164</v>
      </c>
      <c r="G316" s="111" t="s">
        <v>1136</v>
      </c>
      <c r="H316" s="111" t="s">
        <v>1204</v>
      </c>
      <c r="I316" s="119" t="s">
        <v>5</v>
      </c>
      <c r="J316" s="70"/>
      <c r="K316" s="118">
        <v>2025</v>
      </c>
      <c r="L316" s="118">
        <v>11291</v>
      </c>
      <c r="M316" s="147" t="s">
        <v>1181</v>
      </c>
      <c r="N316" s="111" t="s">
        <v>1205</v>
      </c>
      <c r="O316" s="111" t="s">
        <v>29</v>
      </c>
      <c r="P316" s="146" t="s">
        <v>86</v>
      </c>
      <c r="Q316" s="70"/>
      <c r="R316" s="111" t="s">
        <v>145</v>
      </c>
      <c r="S316" s="111"/>
      <c r="T316" s="70"/>
      <c r="U316" s="70"/>
      <c r="V316" s="158" t="s">
        <v>6</v>
      </c>
      <c r="W316" s="118" t="s">
        <v>1135</v>
      </c>
      <c r="X316" s="113">
        <v>43054</v>
      </c>
      <c r="Y316" s="117">
        <f t="shared" si="24"/>
        <v>43159</v>
      </c>
      <c r="Z316" s="144">
        <v>43133</v>
      </c>
      <c r="AA316" s="161" t="str">
        <f t="shared" ca="1" si="31"/>
        <v>YES</v>
      </c>
      <c r="AB316" s="113"/>
      <c r="AC316" s="117">
        <v>43046</v>
      </c>
      <c r="AD316" s="144">
        <v>43159</v>
      </c>
      <c r="AE316" s="144">
        <v>43133</v>
      </c>
      <c r="AF316" s="70" t="str">
        <f t="shared" ca="1" si="26"/>
        <v>YES</v>
      </c>
      <c r="AG316" s="185">
        <v>1230.7692307692307</v>
      </c>
      <c r="AH316" s="185">
        <v>769.23076923076928</v>
      </c>
      <c r="AI316" s="186">
        <f t="shared" si="27"/>
        <v>2000</v>
      </c>
      <c r="AJ316" s="70"/>
      <c r="AK316" s="70"/>
      <c r="AL316" s="70"/>
      <c r="AM316" s="165" t="str">
        <f t="shared" si="28"/>
        <v>17056 FUFENG</v>
      </c>
      <c r="AN316" s="165" t="str">
        <f t="shared" si="29"/>
        <v>17056 FUFENG : Valve malfunction and recovery rate low</v>
      </c>
    </row>
    <row r="317" spans="1:40" s="76" customFormat="1" ht="14.5" hidden="1" x14ac:dyDescent="0.35">
      <c r="A317" s="122" t="e">
        <f>HYPERLINK(#REF!)</f>
        <v>#REF!</v>
      </c>
      <c r="B317" s="116">
        <v>17057</v>
      </c>
      <c r="C317" s="143" t="s">
        <v>4</v>
      </c>
      <c r="D317" s="144">
        <v>43070</v>
      </c>
      <c r="E317" s="145" t="s">
        <v>1206</v>
      </c>
      <c r="F317" s="145" t="s">
        <v>164</v>
      </c>
      <c r="G317" s="146" t="s">
        <v>454</v>
      </c>
      <c r="H317" s="146" t="s">
        <v>1207</v>
      </c>
      <c r="I317" s="119" t="s">
        <v>2057</v>
      </c>
      <c r="J317" s="232"/>
      <c r="K317" s="145" t="s">
        <v>454</v>
      </c>
      <c r="L317" s="145" t="s">
        <v>454</v>
      </c>
      <c r="M317" s="147" t="s">
        <v>454</v>
      </c>
      <c r="N317" s="146" t="s">
        <v>1208</v>
      </c>
      <c r="O317" s="146" t="s">
        <v>29</v>
      </c>
      <c r="P317" s="146" t="s">
        <v>176</v>
      </c>
      <c r="Q317" s="232"/>
      <c r="R317" s="146" t="s">
        <v>9</v>
      </c>
      <c r="S317" s="146"/>
      <c r="T317" s="232"/>
      <c r="U317" s="232"/>
      <c r="V317" s="158" t="s">
        <v>6</v>
      </c>
      <c r="W317" s="145" t="s">
        <v>224</v>
      </c>
      <c r="X317" s="143">
        <v>43083</v>
      </c>
      <c r="Y317" s="144">
        <f t="shared" si="24"/>
        <v>43160</v>
      </c>
      <c r="Z317" s="187">
        <v>43157</v>
      </c>
      <c r="AA317" s="161" t="str">
        <f t="shared" ca="1" si="31"/>
        <v>YES</v>
      </c>
      <c r="AB317" s="113"/>
      <c r="AC317" s="232"/>
      <c r="AD317" s="144"/>
      <c r="AE317" s="144"/>
      <c r="AF317" s="232" t="str">
        <f t="shared" ca="1" si="26"/>
        <v>N/A</v>
      </c>
      <c r="AG317" s="188">
        <v>431</v>
      </c>
      <c r="AH317" s="188">
        <v>0</v>
      </c>
      <c r="AI317" s="186">
        <f t="shared" si="27"/>
        <v>431</v>
      </c>
      <c r="AJ317" s="182" t="s">
        <v>6</v>
      </c>
      <c r="AK317" s="113">
        <v>43773</v>
      </c>
      <c r="AL317" s="232"/>
      <c r="AM317" s="184" t="str">
        <f t="shared" si="28"/>
        <v>17057 NA</v>
      </c>
      <c r="AN317" s="233" t="str">
        <f t="shared" si="29"/>
        <v>17057 NA : Difficulty in making the down payment</v>
      </c>
    </row>
    <row r="318" spans="1:40" s="76" customFormat="1" ht="14.5" hidden="1" x14ac:dyDescent="0.3">
      <c r="A318" s="122" t="s">
        <v>1209</v>
      </c>
      <c r="B318" s="116">
        <v>18001</v>
      </c>
      <c r="C318" s="143" t="s">
        <v>4</v>
      </c>
      <c r="D318" s="144">
        <v>43112</v>
      </c>
      <c r="E318" s="145" t="s">
        <v>99</v>
      </c>
      <c r="F318" s="145" t="s">
        <v>658</v>
      </c>
      <c r="G318" s="146" t="s">
        <v>664</v>
      </c>
      <c r="H318" s="146" t="s">
        <v>460</v>
      </c>
      <c r="I318" s="119" t="s">
        <v>5</v>
      </c>
      <c r="J318" s="232"/>
      <c r="K318" s="145"/>
      <c r="L318" s="145" t="s">
        <v>1210</v>
      </c>
      <c r="M318" s="234" t="s">
        <v>18</v>
      </c>
      <c r="N318" s="146" t="s">
        <v>1211</v>
      </c>
      <c r="O318" s="146" t="s">
        <v>28</v>
      </c>
      <c r="P318" s="146" t="s">
        <v>103</v>
      </c>
      <c r="Q318" s="232" t="s">
        <v>176</v>
      </c>
      <c r="R318" s="146" t="s">
        <v>145</v>
      </c>
      <c r="S318" s="146"/>
      <c r="T318" s="145" t="s">
        <v>460</v>
      </c>
      <c r="U318" s="232"/>
      <c r="V318" s="158" t="s">
        <v>6</v>
      </c>
      <c r="W318" s="118" t="s">
        <v>99</v>
      </c>
      <c r="X318" s="143">
        <v>42751</v>
      </c>
      <c r="Y318" s="144">
        <f t="shared" si="24"/>
        <v>43202</v>
      </c>
      <c r="Z318" s="235">
        <v>43172</v>
      </c>
      <c r="AA318" s="161" t="str">
        <f t="shared" ca="1" si="31"/>
        <v>YES</v>
      </c>
      <c r="AB318" s="113"/>
      <c r="AC318" s="144">
        <v>43112</v>
      </c>
      <c r="AD318" s="144">
        <v>43220</v>
      </c>
      <c r="AE318" s="144">
        <v>43172</v>
      </c>
      <c r="AF318" s="232" t="str">
        <f t="shared" ca="1" si="26"/>
        <v>YES</v>
      </c>
      <c r="AG318" s="188">
        <v>572</v>
      </c>
      <c r="AH318" s="188">
        <v>0</v>
      </c>
      <c r="AI318" s="186">
        <f t="shared" si="27"/>
        <v>572</v>
      </c>
      <c r="AJ318" s="182" t="s">
        <v>6</v>
      </c>
      <c r="AK318" s="113">
        <v>43411</v>
      </c>
      <c r="AL318" s="232"/>
      <c r="AM318" s="184" t="str">
        <f t="shared" si="28"/>
        <v xml:space="preserve">18001 TEREOS NESLE </v>
      </c>
      <c r="AN318" s="184" t="str">
        <f t="shared" si="29"/>
        <v>18001 TEREOS NESLE  : breaking gaskets NF membrane</v>
      </c>
    </row>
    <row r="319" spans="1:40" s="76" customFormat="1" ht="14.5" hidden="1" x14ac:dyDescent="0.35">
      <c r="A319" s="122" t="s">
        <v>1212</v>
      </c>
      <c r="B319" s="116">
        <v>18002</v>
      </c>
      <c r="C319" s="143" t="s">
        <v>4</v>
      </c>
      <c r="D319" s="144">
        <v>43119</v>
      </c>
      <c r="E319" s="145" t="s">
        <v>95</v>
      </c>
      <c r="F319" s="145" t="s">
        <v>164</v>
      </c>
      <c r="G319" s="146" t="s">
        <v>854</v>
      </c>
      <c r="H319" s="146"/>
      <c r="I319" s="119" t="s">
        <v>2057</v>
      </c>
      <c r="J319" s="118" t="s">
        <v>1213</v>
      </c>
      <c r="K319" s="145">
        <v>1974</v>
      </c>
      <c r="L319" s="145">
        <v>9876</v>
      </c>
      <c r="M319" s="147" t="s">
        <v>13</v>
      </c>
      <c r="N319" s="146" t="s">
        <v>1214</v>
      </c>
      <c r="O319" s="146" t="s">
        <v>29</v>
      </c>
      <c r="P319" s="146" t="s">
        <v>86</v>
      </c>
      <c r="Q319" s="232" t="s">
        <v>916</v>
      </c>
      <c r="R319" s="146" t="s">
        <v>9</v>
      </c>
      <c r="S319" s="146"/>
      <c r="T319" s="232"/>
      <c r="U319" s="232"/>
      <c r="V319" s="158" t="s">
        <v>6</v>
      </c>
      <c r="W319" s="145" t="s">
        <v>1215</v>
      </c>
      <c r="X319" s="143">
        <v>42766</v>
      </c>
      <c r="Y319" s="144">
        <f t="shared" si="24"/>
        <v>43209</v>
      </c>
      <c r="Z319" s="235">
        <v>43196</v>
      </c>
      <c r="AA319" s="161" t="str">
        <f t="shared" ca="1" si="31"/>
        <v>YES</v>
      </c>
      <c r="AB319" s="113"/>
      <c r="AC319" s="232"/>
      <c r="AD319" s="144"/>
      <c r="AE319" s="232"/>
      <c r="AF319" s="232" t="str">
        <f t="shared" ca="1" si="26"/>
        <v>N/A</v>
      </c>
      <c r="AG319" s="188">
        <v>17600</v>
      </c>
      <c r="AH319" s="188">
        <v>0</v>
      </c>
      <c r="AI319" s="186">
        <f t="shared" si="27"/>
        <v>17600</v>
      </c>
      <c r="AJ319" s="182" t="s">
        <v>6</v>
      </c>
      <c r="AK319" s="113">
        <v>43411</v>
      </c>
      <c r="AL319" s="232"/>
      <c r="AM319" s="184" t="str">
        <f t="shared" si="28"/>
        <v>18002 MEFSCO</v>
      </c>
      <c r="AN319" s="184" t="str">
        <f t="shared" si="29"/>
        <v>18002 MEFSCO : Hydraulic issues during cation/anion regeneration</v>
      </c>
    </row>
    <row r="320" spans="1:40" s="76" customFormat="1" ht="14.5" hidden="1" x14ac:dyDescent="0.35">
      <c r="A320" s="122" t="s">
        <v>1216</v>
      </c>
      <c r="B320" s="116">
        <v>18003</v>
      </c>
      <c r="C320" s="143" t="s">
        <v>4</v>
      </c>
      <c r="D320" s="144">
        <v>43129</v>
      </c>
      <c r="E320" s="145" t="s">
        <v>82</v>
      </c>
      <c r="F320" s="145" t="s">
        <v>658</v>
      </c>
      <c r="G320" s="146" t="s">
        <v>1217</v>
      </c>
      <c r="H320" s="146" t="s">
        <v>1218</v>
      </c>
      <c r="I320" s="119" t="s">
        <v>2057</v>
      </c>
      <c r="J320" s="232"/>
      <c r="K320" s="145"/>
      <c r="L320" s="145" t="s">
        <v>1219</v>
      </c>
      <c r="M320" s="147"/>
      <c r="N320" s="146" t="s">
        <v>1220</v>
      </c>
      <c r="O320" s="146" t="s">
        <v>28</v>
      </c>
      <c r="P320" s="146" t="s">
        <v>103</v>
      </c>
      <c r="Q320" s="232" t="s">
        <v>176</v>
      </c>
      <c r="R320" s="146" t="s">
        <v>15</v>
      </c>
      <c r="S320" s="146"/>
      <c r="T320" s="232"/>
      <c r="U320" s="232"/>
      <c r="V320" s="158" t="s">
        <v>6</v>
      </c>
      <c r="W320" s="145" t="s">
        <v>82</v>
      </c>
      <c r="X320" s="143">
        <v>42773</v>
      </c>
      <c r="Y320" s="144">
        <f t="shared" si="24"/>
        <v>43219</v>
      </c>
      <c r="Z320" s="235">
        <v>43175</v>
      </c>
      <c r="AA320" s="161" t="str">
        <f t="shared" ca="1" si="31"/>
        <v>YES</v>
      </c>
      <c r="AB320" s="113"/>
      <c r="AC320" s="232"/>
      <c r="AD320" s="232"/>
      <c r="AE320" s="232"/>
      <c r="AF320" s="232" t="str">
        <f t="shared" ca="1" si="26"/>
        <v>N/A</v>
      </c>
      <c r="AG320" s="188">
        <v>632</v>
      </c>
      <c r="AH320" s="188">
        <v>0</v>
      </c>
      <c r="AI320" s="186">
        <f t="shared" si="27"/>
        <v>632</v>
      </c>
      <c r="AJ320" s="182" t="s">
        <v>6</v>
      </c>
      <c r="AK320" s="187">
        <v>43413</v>
      </c>
      <c r="AL320" s="235"/>
      <c r="AM320" s="184" t="str">
        <f t="shared" si="28"/>
        <v>18003 Hilmar Cheese</v>
      </c>
      <c r="AN320" s="184" t="str">
        <f t="shared" si="29"/>
        <v>18003 Hilmar Cheese : Supplier purchase order oversight</v>
      </c>
    </row>
    <row r="321" spans="1:40" s="76" customFormat="1" ht="14.5" hidden="1" x14ac:dyDescent="0.35">
      <c r="A321" s="122" t="s">
        <v>1221</v>
      </c>
      <c r="B321" s="116">
        <v>18004</v>
      </c>
      <c r="C321" s="113" t="s">
        <v>1193</v>
      </c>
      <c r="D321" s="117">
        <v>43133</v>
      </c>
      <c r="E321" s="118" t="s">
        <v>1162</v>
      </c>
      <c r="F321" s="118" t="s">
        <v>1222</v>
      </c>
      <c r="G321" s="146" t="s">
        <v>1223</v>
      </c>
      <c r="H321" s="111" t="s">
        <v>1168</v>
      </c>
      <c r="I321" s="119" t="s">
        <v>1224</v>
      </c>
      <c r="J321" s="70"/>
      <c r="K321" s="118">
        <v>2034</v>
      </c>
      <c r="L321" s="118">
        <v>11864</v>
      </c>
      <c r="M321" s="147" t="s">
        <v>1181</v>
      </c>
      <c r="N321" s="146" t="s">
        <v>1225</v>
      </c>
      <c r="O321" s="111" t="s">
        <v>29</v>
      </c>
      <c r="P321" s="111" t="s">
        <v>1226</v>
      </c>
      <c r="Q321" s="70" t="s">
        <v>885</v>
      </c>
      <c r="R321" s="111" t="s">
        <v>1227</v>
      </c>
      <c r="S321" s="111"/>
      <c r="T321" s="70"/>
      <c r="U321" s="73"/>
      <c r="V321" s="158" t="s">
        <v>6</v>
      </c>
      <c r="W321" s="118" t="s">
        <v>441</v>
      </c>
      <c r="X321" s="113">
        <v>42994</v>
      </c>
      <c r="Y321" s="117">
        <f t="shared" si="24"/>
        <v>43222</v>
      </c>
      <c r="Z321" s="187">
        <v>43175</v>
      </c>
      <c r="AA321" s="161" t="str">
        <f t="shared" ca="1" si="31"/>
        <v>YES</v>
      </c>
      <c r="AB321" s="113"/>
      <c r="AC321" s="70"/>
      <c r="AD321" s="70"/>
      <c r="AE321" s="70"/>
      <c r="AF321" s="70" t="str">
        <f t="shared" ca="1" si="26"/>
        <v>N/A</v>
      </c>
      <c r="AG321" s="185">
        <v>2424</v>
      </c>
      <c r="AH321" s="185">
        <v>9814</v>
      </c>
      <c r="AI321" s="186">
        <f t="shared" si="27"/>
        <v>12238</v>
      </c>
      <c r="AJ321" s="70"/>
      <c r="AK321" s="70"/>
      <c r="AL321" s="70"/>
      <c r="AM321" s="165" t="str">
        <f t="shared" si="28"/>
        <v>18004 Canlac Abbott</v>
      </c>
      <c r="AN321" s="165" t="str">
        <f t="shared" si="29"/>
        <v>18004 Canlac Abbott : The anchoring bolts too close to insulation  hinder couter drilling on concrete</v>
      </c>
    </row>
    <row r="322" spans="1:40" s="76" customFormat="1" ht="14.5" hidden="1" x14ac:dyDescent="0.35">
      <c r="A322" s="122" t="s">
        <v>1228</v>
      </c>
      <c r="B322" s="116">
        <v>18005</v>
      </c>
      <c r="C322" s="113" t="s">
        <v>1193</v>
      </c>
      <c r="D322" s="117">
        <v>43133</v>
      </c>
      <c r="E322" s="118" t="s">
        <v>1162</v>
      </c>
      <c r="F322" s="118" t="s">
        <v>1222</v>
      </c>
      <c r="G322" s="146" t="s">
        <v>1067</v>
      </c>
      <c r="H322" s="111" t="s">
        <v>1229</v>
      </c>
      <c r="I322" s="119" t="s">
        <v>1230</v>
      </c>
      <c r="J322" s="70"/>
      <c r="K322" s="118">
        <v>2032</v>
      </c>
      <c r="L322" s="118">
        <v>12519</v>
      </c>
      <c r="M322" s="149" t="s">
        <v>1231</v>
      </c>
      <c r="N322" s="146" t="s">
        <v>1232</v>
      </c>
      <c r="O322" s="111" t="s">
        <v>29</v>
      </c>
      <c r="P322" s="121" t="s">
        <v>1226</v>
      </c>
      <c r="Q322" s="70" t="s">
        <v>522</v>
      </c>
      <c r="R322" s="111" t="s">
        <v>1233</v>
      </c>
      <c r="S322" s="111"/>
      <c r="T322" s="70"/>
      <c r="U322" s="73"/>
      <c r="V322" s="158" t="s">
        <v>10</v>
      </c>
      <c r="W322" s="118"/>
      <c r="X322" s="113"/>
      <c r="Y322" s="117">
        <f t="shared" si="24"/>
        <v>43222</v>
      </c>
      <c r="Z322" s="187">
        <v>43175</v>
      </c>
      <c r="AA322" s="161" t="str">
        <f t="shared" ca="1" si="31"/>
        <v>YES</v>
      </c>
      <c r="AB322" s="113"/>
      <c r="AC322" s="70"/>
      <c r="AD322" s="75"/>
      <c r="AE322" s="75"/>
      <c r="AF322" s="70" t="str">
        <f t="shared" ca="1" si="26"/>
        <v>N/A</v>
      </c>
      <c r="AG322" s="185">
        <v>0</v>
      </c>
      <c r="AH322" s="185">
        <v>0</v>
      </c>
      <c r="AI322" s="186">
        <f t="shared" si="27"/>
        <v>0</v>
      </c>
      <c r="AJ322" s="70"/>
      <c r="AK322" s="75"/>
      <c r="AL322" s="75"/>
      <c r="AM322" s="165" t="str">
        <f t="shared" si="28"/>
        <v>18005 Cargill</v>
      </c>
      <c r="AN322" s="189" t="str">
        <f t="shared" si="29"/>
        <v>18005 Cargill : The top manhole on anionic IEX column FEA calculation can't pass</v>
      </c>
    </row>
    <row r="323" spans="1:40" s="76" customFormat="1" ht="14.5" hidden="1" x14ac:dyDescent="0.35">
      <c r="A323" s="122" t="s">
        <v>1234</v>
      </c>
      <c r="B323" s="116">
        <v>18006</v>
      </c>
      <c r="C323" s="143" t="s">
        <v>4</v>
      </c>
      <c r="D323" s="144">
        <v>43133</v>
      </c>
      <c r="E323" s="145" t="s">
        <v>1083</v>
      </c>
      <c r="F323" s="145" t="s">
        <v>164</v>
      </c>
      <c r="G323" s="146" t="s">
        <v>1235</v>
      </c>
      <c r="H323" s="146" t="s">
        <v>1236</v>
      </c>
      <c r="I323" s="119" t="s">
        <v>2057</v>
      </c>
      <c r="J323" s="232"/>
      <c r="K323" s="145">
        <v>2053</v>
      </c>
      <c r="L323" s="145">
        <v>13174</v>
      </c>
      <c r="M323" s="147"/>
      <c r="N323" s="146" t="s">
        <v>1237</v>
      </c>
      <c r="O323" s="146" t="s">
        <v>29</v>
      </c>
      <c r="P323" s="146" t="s">
        <v>1148</v>
      </c>
      <c r="Q323" s="232" t="s">
        <v>1149</v>
      </c>
      <c r="R323" s="146" t="s">
        <v>15</v>
      </c>
      <c r="S323" s="146"/>
      <c r="T323" s="232"/>
      <c r="U323" s="232"/>
      <c r="V323" s="158" t="s">
        <v>10</v>
      </c>
      <c r="W323" s="145"/>
      <c r="X323" s="143"/>
      <c r="Y323" s="144">
        <f t="shared" si="24"/>
        <v>43222</v>
      </c>
      <c r="Z323" s="235">
        <v>43181</v>
      </c>
      <c r="AA323" s="161" t="str">
        <f t="shared" ca="1" si="31"/>
        <v>YES</v>
      </c>
      <c r="AB323" s="113"/>
      <c r="AC323" s="232"/>
      <c r="AD323" s="232"/>
      <c r="AE323" s="232"/>
      <c r="AF323" s="232" t="str">
        <f t="shared" ca="1" si="26"/>
        <v>N/A</v>
      </c>
      <c r="AG323" s="188">
        <v>176</v>
      </c>
      <c r="AH323" s="188">
        <v>4000</v>
      </c>
      <c r="AI323" s="186">
        <f t="shared" si="27"/>
        <v>4176</v>
      </c>
      <c r="AJ323" s="182" t="s">
        <v>6</v>
      </c>
      <c r="AK323" s="187">
        <v>43781</v>
      </c>
      <c r="AL323" s="70"/>
      <c r="AM323" s="184" t="str">
        <f t="shared" si="28"/>
        <v>18006 Pfeifer and Langen</v>
      </c>
      <c r="AN323" s="184" t="str">
        <f t="shared" si="29"/>
        <v>18006 Pfeifer and Langen : Supplier quotation not updated in PkPv</v>
      </c>
    </row>
    <row r="324" spans="1:40" s="76" customFormat="1" ht="14.5" hidden="1" x14ac:dyDescent="0.35">
      <c r="A324" s="122" t="s">
        <v>1238</v>
      </c>
      <c r="B324" s="116">
        <v>18007</v>
      </c>
      <c r="C324" s="143" t="s">
        <v>4</v>
      </c>
      <c r="D324" s="144">
        <v>43158</v>
      </c>
      <c r="E324" s="145" t="s">
        <v>1009</v>
      </c>
      <c r="F324" s="145" t="s">
        <v>164</v>
      </c>
      <c r="G324" s="146" t="s">
        <v>1239</v>
      </c>
      <c r="H324" s="146" t="s">
        <v>1240</v>
      </c>
      <c r="I324" s="119" t="s">
        <v>2057</v>
      </c>
      <c r="J324" s="232"/>
      <c r="K324" s="145">
        <v>2049</v>
      </c>
      <c r="L324" s="145">
        <v>13198</v>
      </c>
      <c r="M324" s="147" t="s">
        <v>359</v>
      </c>
      <c r="N324" s="111" t="s">
        <v>1241</v>
      </c>
      <c r="O324" s="146" t="s">
        <v>29</v>
      </c>
      <c r="P324" s="146" t="s">
        <v>86</v>
      </c>
      <c r="Q324" s="232" t="s">
        <v>634</v>
      </c>
      <c r="R324" s="146" t="s">
        <v>9</v>
      </c>
      <c r="S324" s="146"/>
      <c r="T324" s="232"/>
      <c r="U324" s="232"/>
      <c r="V324" s="158" t="s">
        <v>6</v>
      </c>
      <c r="W324" s="145" t="s">
        <v>1009</v>
      </c>
      <c r="X324" s="143">
        <v>43167</v>
      </c>
      <c r="Y324" s="144">
        <f t="shared" si="24"/>
        <v>43247</v>
      </c>
      <c r="Z324" s="235">
        <v>43361</v>
      </c>
      <c r="AA324" s="161" t="str">
        <f t="shared" ca="1" si="31"/>
        <v>NO</v>
      </c>
      <c r="AB324" s="113"/>
      <c r="AC324" s="232"/>
      <c r="AD324" s="232"/>
      <c r="AE324" s="232"/>
      <c r="AF324" s="232" t="str">
        <f t="shared" ca="1" si="26"/>
        <v>N/A</v>
      </c>
      <c r="AG324" s="188">
        <v>6688</v>
      </c>
      <c r="AH324" s="188">
        <v>1895</v>
      </c>
      <c r="AI324" s="186">
        <f t="shared" si="27"/>
        <v>8583</v>
      </c>
      <c r="AJ324" s="182" t="s">
        <v>6</v>
      </c>
      <c r="AK324" s="187">
        <v>43496</v>
      </c>
      <c r="AL324" s="232"/>
      <c r="AM324" s="184" t="str">
        <f t="shared" si="28"/>
        <v>18007 CEVA</v>
      </c>
      <c r="AN324" s="184" t="str">
        <f t="shared" si="29"/>
        <v>18007 CEVA : Carbosep modules mounting issues</v>
      </c>
    </row>
    <row r="325" spans="1:40" s="76" customFormat="1" ht="14.5" hidden="1" x14ac:dyDescent="0.35">
      <c r="A325" s="122" t="s">
        <v>1242</v>
      </c>
      <c r="B325" s="116">
        <v>18008</v>
      </c>
      <c r="C325" s="143" t="s">
        <v>4</v>
      </c>
      <c r="D325" s="144">
        <v>43164</v>
      </c>
      <c r="E325" s="145" t="s">
        <v>221</v>
      </c>
      <c r="F325" s="145" t="s">
        <v>164</v>
      </c>
      <c r="G325" s="146" t="s">
        <v>1243</v>
      </c>
      <c r="H325" s="146" t="s">
        <v>357</v>
      </c>
      <c r="I325" s="119" t="s">
        <v>5</v>
      </c>
      <c r="J325" s="232" t="s">
        <v>6</v>
      </c>
      <c r="K325" s="145">
        <v>2040</v>
      </c>
      <c r="L325" s="145">
        <v>12585</v>
      </c>
      <c r="M325" s="147" t="s">
        <v>359</v>
      </c>
      <c r="N325" s="111" t="s">
        <v>1156</v>
      </c>
      <c r="O325" s="146" t="s">
        <v>29</v>
      </c>
      <c r="P325" s="146" t="s">
        <v>86</v>
      </c>
      <c r="Q325" s="232" t="s">
        <v>176</v>
      </c>
      <c r="R325" s="146" t="s">
        <v>145</v>
      </c>
      <c r="S325" s="146"/>
      <c r="T325" s="112" t="s">
        <v>357</v>
      </c>
      <c r="U325" s="232"/>
      <c r="V325" s="158" t="s">
        <v>6</v>
      </c>
      <c r="W325" s="118" t="s">
        <v>1244</v>
      </c>
      <c r="X325" s="143">
        <v>43171</v>
      </c>
      <c r="Y325" s="144">
        <f t="shared" si="24"/>
        <v>43256</v>
      </c>
      <c r="Z325" s="235">
        <v>43307</v>
      </c>
      <c r="AA325" s="161" t="str">
        <f t="shared" ca="1" si="31"/>
        <v>NO</v>
      </c>
      <c r="AB325" s="113"/>
      <c r="AC325" s="113">
        <v>43167</v>
      </c>
      <c r="AD325" s="187">
        <v>43343</v>
      </c>
      <c r="AE325" s="235">
        <v>43307</v>
      </c>
      <c r="AF325" s="232" t="str">
        <f t="shared" ca="1" si="26"/>
        <v>YES</v>
      </c>
      <c r="AG325" s="188">
        <v>7964.25</v>
      </c>
      <c r="AH325" s="188">
        <v>10547.5</v>
      </c>
      <c r="AI325" s="186">
        <f t="shared" si="27"/>
        <v>18511.75</v>
      </c>
      <c r="AJ325" s="182" t="s">
        <v>6</v>
      </c>
      <c r="AK325" s="187">
        <v>43774</v>
      </c>
      <c r="AL325" s="232"/>
      <c r="AM325" s="184" t="str">
        <f t="shared" si="28"/>
        <v>18008 CJ Malaisie</v>
      </c>
      <c r="AN325" s="184" t="str">
        <f t="shared" si="29"/>
        <v>18008 CJ Malaisie : Breakage of BE Kerasep membranes</v>
      </c>
    </row>
    <row r="326" spans="1:40" s="76" customFormat="1" ht="14.5" hidden="1" x14ac:dyDescent="0.35">
      <c r="A326" s="122" t="s">
        <v>1245</v>
      </c>
      <c r="B326" s="116">
        <v>18009</v>
      </c>
      <c r="C326" s="143" t="s">
        <v>4</v>
      </c>
      <c r="D326" s="144">
        <v>43166</v>
      </c>
      <c r="E326" s="145" t="s">
        <v>413</v>
      </c>
      <c r="F326" s="145" t="s">
        <v>691</v>
      </c>
      <c r="G326" s="146" t="s">
        <v>454</v>
      </c>
      <c r="H326" s="146"/>
      <c r="I326" s="119" t="s">
        <v>2058</v>
      </c>
      <c r="J326" s="232"/>
      <c r="K326" s="145" t="s">
        <v>454</v>
      </c>
      <c r="L326" s="145" t="s">
        <v>454</v>
      </c>
      <c r="M326" s="147" t="s">
        <v>454</v>
      </c>
      <c r="N326" s="146" t="s">
        <v>1246</v>
      </c>
      <c r="O326" s="146" t="s">
        <v>691</v>
      </c>
      <c r="P326" s="146" t="s">
        <v>454</v>
      </c>
      <c r="Q326" s="232" t="s">
        <v>454</v>
      </c>
      <c r="R326" s="146" t="s">
        <v>15</v>
      </c>
      <c r="S326" s="146"/>
      <c r="T326" s="232"/>
      <c r="U326" s="232"/>
      <c r="V326" s="158" t="s">
        <v>6</v>
      </c>
      <c r="W326" s="145" t="s">
        <v>577</v>
      </c>
      <c r="X326" s="143">
        <v>43166</v>
      </c>
      <c r="Y326" s="144">
        <f t="shared" si="24"/>
        <v>43258</v>
      </c>
      <c r="Z326" s="235">
        <v>43222</v>
      </c>
      <c r="AA326" s="161" t="str">
        <f t="shared" ca="1" si="31"/>
        <v>YES</v>
      </c>
      <c r="AB326" s="113"/>
      <c r="AC326" s="232"/>
      <c r="AD326" s="232"/>
      <c r="AE326" s="232"/>
      <c r="AF326" s="70" t="str">
        <f t="shared" ca="1" si="26"/>
        <v>N/A</v>
      </c>
      <c r="AG326" s="185">
        <v>352</v>
      </c>
      <c r="AH326" s="185">
        <v>0</v>
      </c>
      <c r="AI326" s="186">
        <f t="shared" si="27"/>
        <v>352</v>
      </c>
      <c r="AJ326" s="182" t="s">
        <v>6</v>
      </c>
      <c r="AK326" s="187">
        <v>43411</v>
      </c>
      <c r="AL326" s="232"/>
      <c r="AM326" s="184" t="str">
        <f t="shared" si="28"/>
        <v>18009 NA</v>
      </c>
      <c r="AN326" s="184" t="str">
        <f t="shared" si="29"/>
        <v>18009 NA : Fall of an employee outside staircase</v>
      </c>
    </row>
    <row r="327" spans="1:40" s="76" customFormat="1" ht="14.5" hidden="1" x14ac:dyDescent="0.35">
      <c r="A327" s="122" t="s">
        <v>1247</v>
      </c>
      <c r="B327" s="116">
        <v>18010</v>
      </c>
      <c r="C327" s="113" t="s">
        <v>1193</v>
      </c>
      <c r="D327" s="144">
        <v>43172</v>
      </c>
      <c r="E327" s="118" t="s">
        <v>1140</v>
      </c>
      <c r="F327" s="118" t="s">
        <v>1222</v>
      </c>
      <c r="G327" s="111" t="s">
        <v>1248</v>
      </c>
      <c r="H327" s="111" t="s">
        <v>1249</v>
      </c>
      <c r="I327" s="119" t="s">
        <v>1224</v>
      </c>
      <c r="J327" s="70"/>
      <c r="K327" s="118">
        <v>2045</v>
      </c>
      <c r="L327" s="118">
        <v>13010</v>
      </c>
      <c r="M327" s="147" t="s">
        <v>1137</v>
      </c>
      <c r="N327" s="111" t="s">
        <v>1250</v>
      </c>
      <c r="O327" s="146" t="s">
        <v>29</v>
      </c>
      <c r="P327" s="111" t="s">
        <v>1226</v>
      </c>
      <c r="Q327" s="70" t="s">
        <v>916</v>
      </c>
      <c r="R327" s="111" t="s">
        <v>145</v>
      </c>
      <c r="S327" s="111"/>
      <c r="T327" s="70"/>
      <c r="U327" s="70"/>
      <c r="V327" s="158" t="s">
        <v>6</v>
      </c>
      <c r="W327" s="118" t="s">
        <v>1140</v>
      </c>
      <c r="X327" s="113">
        <v>43262</v>
      </c>
      <c r="Y327" s="117">
        <f t="shared" ref="Y327:Y390" si="32">EDATE(D327,3)</f>
        <v>43264</v>
      </c>
      <c r="Z327" s="187">
        <v>43263</v>
      </c>
      <c r="AA327" s="161" t="str">
        <f t="shared" ca="1" si="31"/>
        <v>YES</v>
      </c>
      <c r="AB327" s="113"/>
      <c r="AC327" s="70"/>
      <c r="AD327" s="70"/>
      <c r="AE327" s="70"/>
      <c r="AF327" s="70" t="str">
        <f t="shared" ca="1" si="26"/>
        <v>N/A</v>
      </c>
      <c r="AG327" s="185">
        <v>0</v>
      </c>
      <c r="AH327" s="185">
        <v>0</v>
      </c>
      <c r="AI327" s="186">
        <f t="shared" si="27"/>
        <v>0</v>
      </c>
      <c r="AJ327" s="70"/>
      <c r="AK327" s="70"/>
      <c r="AL327" s="70"/>
      <c r="AM327" s="165" t="str">
        <f t="shared" si="28"/>
        <v>18010 FUFENG 7</v>
      </c>
      <c r="AN327" s="165" t="str">
        <f t="shared" si="29"/>
        <v>18010 FUFENG 7 : The membranes were damaged by SS scraps in manifolds</v>
      </c>
    </row>
    <row r="328" spans="1:40" s="76" customFormat="1" ht="14.5" hidden="1" x14ac:dyDescent="0.35">
      <c r="A328" s="122" t="s">
        <v>1251</v>
      </c>
      <c r="B328" s="116">
        <v>18011</v>
      </c>
      <c r="C328" s="143" t="s">
        <v>4</v>
      </c>
      <c r="D328" s="144">
        <v>43187</v>
      </c>
      <c r="E328" s="145" t="s">
        <v>1009</v>
      </c>
      <c r="F328" s="145" t="s">
        <v>164</v>
      </c>
      <c r="G328" s="146" t="s">
        <v>1252</v>
      </c>
      <c r="H328" s="146" t="s">
        <v>1253</v>
      </c>
      <c r="I328" s="119" t="s">
        <v>5</v>
      </c>
      <c r="J328" s="232"/>
      <c r="K328" s="145">
        <v>2038</v>
      </c>
      <c r="L328" s="145">
        <v>12573</v>
      </c>
      <c r="M328" s="147" t="s">
        <v>338</v>
      </c>
      <c r="N328" s="111" t="s">
        <v>1254</v>
      </c>
      <c r="O328" s="146" t="s">
        <v>29</v>
      </c>
      <c r="P328" s="146" t="s">
        <v>86</v>
      </c>
      <c r="Q328" s="232"/>
      <c r="R328" s="146" t="s">
        <v>9</v>
      </c>
      <c r="S328" s="146"/>
      <c r="T328" s="232"/>
      <c r="U328" s="232"/>
      <c r="V328" s="158" t="s">
        <v>6</v>
      </c>
      <c r="W328" s="145" t="s">
        <v>1009</v>
      </c>
      <c r="X328" s="143">
        <v>43187</v>
      </c>
      <c r="Y328" s="144">
        <f t="shared" si="32"/>
        <v>43279</v>
      </c>
      <c r="Z328" s="235">
        <v>43371</v>
      </c>
      <c r="AA328" s="161" t="str">
        <f t="shared" ca="1" si="31"/>
        <v>NO</v>
      </c>
      <c r="AB328" s="113"/>
      <c r="AC328" s="143">
        <v>43194</v>
      </c>
      <c r="AD328" s="235">
        <v>43343</v>
      </c>
      <c r="AE328" s="235">
        <v>43371</v>
      </c>
      <c r="AF328" s="70" t="str">
        <f t="shared" ref="AF328:AF391" ca="1" si="33">IF(I328="Claim",IF(AD328="","",IF(AE328="",IF(TODAY()&gt;AD328,"NO","YES"),IF(AE328&gt;AD328,"NO",IF(AE328&lt;AD328,"YES",IF(AD328=AE328,"YES","N/A"))))),"N/A")</f>
        <v>NO</v>
      </c>
      <c r="AG328" s="185">
        <v>15400</v>
      </c>
      <c r="AH328" s="185">
        <v>28875</v>
      </c>
      <c r="AI328" s="186">
        <f t="shared" ref="AI328:AI391" si="34">AH328+AG328</f>
        <v>44275</v>
      </c>
      <c r="AJ328" s="182" t="s">
        <v>6</v>
      </c>
      <c r="AK328" s="187">
        <v>43726</v>
      </c>
      <c r="AL328" s="232"/>
      <c r="AM328" s="184" t="str">
        <f t="shared" ref="AM328:AM391" si="35">CONCATENATE(B328," ",G328)</f>
        <v>18011 Friesland Campina</v>
      </c>
      <c r="AN328" s="184" t="str">
        <f t="shared" ref="AN328:AN391" si="36">CONCATENATE(B328," ",G328," : ",N328)</f>
        <v>18011 Friesland Campina : delay in units delivery, welding quality issue</v>
      </c>
    </row>
    <row r="329" spans="1:40" s="76" customFormat="1" ht="14.5" hidden="1" x14ac:dyDescent="0.35">
      <c r="A329" s="122" t="s">
        <v>1255</v>
      </c>
      <c r="B329" s="116">
        <v>18012</v>
      </c>
      <c r="C329" s="113" t="s">
        <v>1193</v>
      </c>
      <c r="D329" s="117">
        <v>43216</v>
      </c>
      <c r="E329" s="118" t="s">
        <v>1167</v>
      </c>
      <c r="F329" s="145" t="s">
        <v>164</v>
      </c>
      <c r="G329" s="111" t="s">
        <v>1256</v>
      </c>
      <c r="H329" s="111"/>
      <c r="I329" s="119" t="s">
        <v>2057</v>
      </c>
      <c r="J329" s="70"/>
      <c r="K329" s="118">
        <v>2055</v>
      </c>
      <c r="L329" s="118">
        <v>12578</v>
      </c>
      <c r="M329" s="147" t="s">
        <v>1181</v>
      </c>
      <c r="N329" s="147" t="s">
        <v>1257</v>
      </c>
      <c r="O329" s="146" t="s">
        <v>29</v>
      </c>
      <c r="P329" s="146" t="s">
        <v>86</v>
      </c>
      <c r="Q329" s="70"/>
      <c r="R329" s="146" t="s">
        <v>9</v>
      </c>
      <c r="S329" s="146"/>
      <c r="T329" s="70"/>
      <c r="U329" s="73"/>
      <c r="V329" s="158" t="s">
        <v>6</v>
      </c>
      <c r="W329" s="118" t="s">
        <v>1167</v>
      </c>
      <c r="X329" s="113">
        <v>43216</v>
      </c>
      <c r="Y329" s="117">
        <f t="shared" si="32"/>
        <v>43307</v>
      </c>
      <c r="Z329" s="187">
        <v>43283</v>
      </c>
      <c r="AA329" s="161" t="str">
        <f t="shared" ca="1" si="31"/>
        <v>YES</v>
      </c>
      <c r="AB329" s="113"/>
      <c r="AC329" s="70"/>
      <c r="AD329" s="70"/>
      <c r="AE329" s="70"/>
      <c r="AF329" s="70" t="str">
        <f t="shared" ca="1" si="33"/>
        <v>N/A</v>
      </c>
      <c r="AG329" s="185">
        <v>1230.7692307692307</v>
      </c>
      <c r="AH329" s="185">
        <v>4641.0256410256416</v>
      </c>
      <c r="AI329" s="186">
        <f t="shared" si="34"/>
        <v>5871.7948717948721</v>
      </c>
      <c r="AJ329" s="70"/>
      <c r="AK329" s="70"/>
      <c r="AL329" s="70"/>
      <c r="AM329" s="165" t="str">
        <f t="shared" si="35"/>
        <v>18012 Xiangyu</v>
      </c>
      <c r="AN329" s="165" t="str">
        <f t="shared" si="36"/>
        <v>18012 Xiangyu : Column bottom and top board deformation</v>
      </c>
    </row>
    <row r="330" spans="1:40" s="76" customFormat="1" ht="14.5" hidden="1" x14ac:dyDescent="0.35">
      <c r="A330" s="122" t="s">
        <v>1258</v>
      </c>
      <c r="B330" s="116">
        <v>18013</v>
      </c>
      <c r="C330" s="143" t="s">
        <v>4</v>
      </c>
      <c r="D330" s="144">
        <v>43222</v>
      </c>
      <c r="E330" s="145" t="s">
        <v>177</v>
      </c>
      <c r="F330" s="145" t="s">
        <v>1103</v>
      </c>
      <c r="G330" s="146" t="s">
        <v>1252</v>
      </c>
      <c r="H330" s="146" t="s">
        <v>597</v>
      </c>
      <c r="I330" s="119" t="s">
        <v>2056</v>
      </c>
      <c r="J330" s="232"/>
      <c r="K330" s="145">
        <v>2038</v>
      </c>
      <c r="L330" s="145">
        <v>12573</v>
      </c>
      <c r="M330" s="147" t="s">
        <v>338</v>
      </c>
      <c r="N330" s="146" t="s">
        <v>1259</v>
      </c>
      <c r="O330" s="146" t="s">
        <v>29</v>
      </c>
      <c r="P330" s="146" t="s">
        <v>86</v>
      </c>
      <c r="Q330" s="232" t="s">
        <v>1260</v>
      </c>
      <c r="R330" s="146" t="s">
        <v>145</v>
      </c>
      <c r="S330" s="146"/>
      <c r="T330" s="70" t="s">
        <v>597</v>
      </c>
      <c r="U330" s="232"/>
      <c r="V330" s="158" t="s">
        <v>6</v>
      </c>
      <c r="W330" s="145" t="s">
        <v>1261</v>
      </c>
      <c r="X330" s="143">
        <v>43222</v>
      </c>
      <c r="Y330" s="144">
        <f t="shared" si="32"/>
        <v>43314</v>
      </c>
      <c r="Z330" s="235">
        <v>43292</v>
      </c>
      <c r="AA330" s="161" t="str">
        <f t="shared" ca="1" si="31"/>
        <v>YES</v>
      </c>
      <c r="AB330" s="113"/>
      <c r="AC330" s="232"/>
      <c r="AD330" s="232"/>
      <c r="AE330" s="232"/>
      <c r="AF330" s="70" t="str">
        <f t="shared" ca="1" si="33"/>
        <v>N/A</v>
      </c>
      <c r="AG330" s="185">
        <v>8272</v>
      </c>
      <c r="AH330" s="185">
        <v>13639</v>
      </c>
      <c r="AI330" s="186">
        <f t="shared" si="34"/>
        <v>21911</v>
      </c>
      <c r="AJ330" s="182" t="s">
        <v>10</v>
      </c>
      <c r="AK330" s="187">
        <v>43514</v>
      </c>
      <c r="AL330" s="70" t="s">
        <v>1262</v>
      </c>
      <c r="AM330" s="184" t="str">
        <f t="shared" si="35"/>
        <v>18013 Friesland Campina</v>
      </c>
      <c r="AN330" s="184" t="str">
        <f t="shared" si="36"/>
        <v>18013 Friesland Campina : Welding quality issue MF skid</v>
      </c>
    </row>
    <row r="331" spans="1:40" s="76" customFormat="1" ht="14.5" hidden="1" x14ac:dyDescent="0.35">
      <c r="A331" s="122">
        <v>14</v>
      </c>
      <c r="B331" s="116">
        <v>18014</v>
      </c>
      <c r="C331" s="143" t="s">
        <v>4</v>
      </c>
      <c r="D331" s="144">
        <v>43223</v>
      </c>
      <c r="E331" s="145" t="s">
        <v>82</v>
      </c>
      <c r="F331" s="145" t="s">
        <v>658</v>
      </c>
      <c r="G331" s="146" t="s">
        <v>388</v>
      </c>
      <c r="H331" s="111" t="s">
        <v>1041</v>
      </c>
      <c r="I331" s="119" t="s">
        <v>5</v>
      </c>
      <c r="J331" s="232"/>
      <c r="K331" s="145"/>
      <c r="L331" s="145" t="s">
        <v>1263</v>
      </c>
      <c r="M331" s="147" t="s">
        <v>13</v>
      </c>
      <c r="N331" s="111" t="s">
        <v>1264</v>
      </c>
      <c r="O331" s="146" t="s">
        <v>28</v>
      </c>
      <c r="P331" s="146" t="s">
        <v>103</v>
      </c>
      <c r="Q331" s="70" t="s">
        <v>510</v>
      </c>
      <c r="R331" s="111" t="s">
        <v>9</v>
      </c>
      <c r="S331" s="111"/>
      <c r="T331" s="70"/>
      <c r="U331" s="232"/>
      <c r="V331" s="158" t="s">
        <v>6</v>
      </c>
      <c r="W331" s="145" t="s">
        <v>82</v>
      </c>
      <c r="X331" s="143">
        <v>43234</v>
      </c>
      <c r="Y331" s="144">
        <f t="shared" si="32"/>
        <v>43315</v>
      </c>
      <c r="Z331" s="235">
        <v>43304</v>
      </c>
      <c r="AA331" s="161" t="str">
        <f t="shared" ca="1" si="31"/>
        <v>YES</v>
      </c>
      <c r="AB331" s="113"/>
      <c r="AC331" s="143">
        <v>43235</v>
      </c>
      <c r="AD331" s="187">
        <v>43343</v>
      </c>
      <c r="AE331" s="235">
        <v>43304</v>
      </c>
      <c r="AF331" s="70" t="str">
        <f t="shared" ca="1" si="33"/>
        <v>YES</v>
      </c>
      <c r="AG331" s="185">
        <v>7744</v>
      </c>
      <c r="AH331" s="185">
        <v>4100</v>
      </c>
      <c r="AI331" s="186">
        <f t="shared" si="34"/>
        <v>11844</v>
      </c>
      <c r="AJ331" s="182" t="s">
        <v>6</v>
      </c>
      <c r="AK331" s="187">
        <v>43510</v>
      </c>
      <c r="AL331" s="232"/>
      <c r="AM331" s="184" t="str">
        <f t="shared" si="35"/>
        <v>18014 GOI</v>
      </c>
      <c r="AN331" s="184" t="str">
        <f t="shared" si="36"/>
        <v>18014 GOI : Resins tagging error</v>
      </c>
    </row>
    <row r="332" spans="1:40" s="76" customFormat="1" ht="14.5" hidden="1" x14ac:dyDescent="0.35">
      <c r="A332" s="122" t="s">
        <v>1265</v>
      </c>
      <c r="B332" s="116">
        <v>18015</v>
      </c>
      <c r="C332" s="143" t="s">
        <v>4</v>
      </c>
      <c r="D332" s="144">
        <v>43227</v>
      </c>
      <c r="E332" s="145" t="s">
        <v>82</v>
      </c>
      <c r="F332" s="145" t="s">
        <v>658</v>
      </c>
      <c r="G332" s="146" t="s">
        <v>1266</v>
      </c>
      <c r="H332" s="146" t="s">
        <v>1267</v>
      </c>
      <c r="I332" s="119" t="s">
        <v>2056</v>
      </c>
      <c r="J332" s="232"/>
      <c r="K332" s="145"/>
      <c r="L332" s="145" t="s">
        <v>1268</v>
      </c>
      <c r="M332" s="147" t="s">
        <v>13</v>
      </c>
      <c r="N332" s="146" t="s">
        <v>1269</v>
      </c>
      <c r="O332" s="146" t="s">
        <v>28</v>
      </c>
      <c r="P332" s="146" t="s">
        <v>103</v>
      </c>
      <c r="Q332" s="232" t="s">
        <v>176</v>
      </c>
      <c r="R332" s="146" t="s">
        <v>145</v>
      </c>
      <c r="S332" s="146"/>
      <c r="T332" s="112" t="s">
        <v>1270</v>
      </c>
      <c r="U332" s="232"/>
      <c r="V332" s="158" t="s">
        <v>10</v>
      </c>
      <c r="W332" s="145"/>
      <c r="X332" s="143"/>
      <c r="Y332" s="144">
        <f t="shared" si="32"/>
        <v>43319</v>
      </c>
      <c r="Z332" s="235">
        <v>43273</v>
      </c>
      <c r="AA332" s="161" t="str">
        <f t="shared" ca="1" si="31"/>
        <v>YES</v>
      </c>
      <c r="AB332" s="113"/>
      <c r="AC332" s="232"/>
      <c r="AD332" s="232"/>
      <c r="AE332" s="232"/>
      <c r="AF332" s="70" t="str">
        <f t="shared" ca="1" si="33"/>
        <v>N/A</v>
      </c>
      <c r="AG332" s="185">
        <v>440</v>
      </c>
      <c r="AH332" s="185">
        <v>300</v>
      </c>
      <c r="AI332" s="186">
        <f t="shared" si="34"/>
        <v>740</v>
      </c>
      <c r="AJ332" s="182" t="s">
        <v>6</v>
      </c>
      <c r="AK332" s="187">
        <v>43413</v>
      </c>
      <c r="AL332" s="232"/>
      <c r="AM332" s="184" t="str">
        <f t="shared" si="35"/>
        <v>18015 YCSR</v>
      </c>
      <c r="AN332" s="184" t="str">
        <f t="shared" si="36"/>
        <v>18015 YCSR : Defective nozzles</v>
      </c>
    </row>
    <row r="333" spans="1:40" s="76" customFormat="1" ht="14.5" hidden="1" x14ac:dyDescent="0.35">
      <c r="A333" s="122" t="s">
        <v>1271</v>
      </c>
      <c r="B333" s="116">
        <v>18016</v>
      </c>
      <c r="C333" s="113" t="s">
        <v>1193</v>
      </c>
      <c r="D333" s="144">
        <v>43228</v>
      </c>
      <c r="E333" s="118" t="s">
        <v>1272</v>
      </c>
      <c r="F333" s="145" t="s">
        <v>164</v>
      </c>
      <c r="G333" s="111" t="s">
        <v>1273</v>
      </c>
      <c r="H333" s="111"/>
      <c r="I333" s="119" t="s">
        <v>2058</v>
      </c>
      <c r="J333" s="232"/>
      <c r="K333" s="118" t="s">
        <v>1274</v>
      </c>
      <c r="L333" s="118"/>
      <c r="M333" s="147"/>
      <c r="N333" s="111" t="s">
        <v>1275</v>
      </c>
      <c r="O333" s="111" t="s">
        <v>1276</v>
      </c>
      <c r="P333" s="111"/>
      <c r="Q333" s="70"/>
      <c r="R333" s="146" t="s">
        <v>9</v>
      </c>
      <c r="S333" s="146"/>
      <c r="T333" s="70"/>
      <c r="U333" s="232"/>
      <c r="V333" s="158" t="s">
        <v>6</v>
      </c>
      <c r="W333" s="118" t="s">
        <v>1272</v>
      </c>
      <c r="X333" s="113">
        <v>43250</v>
      </c>
      <c r="Y333" s="117">
        <f t="shared" si="32"/>
        <v>43320</v>
      </c>
      <c r="Z333" s="187">
        <v>43584</v>
      </c>
      <c r="AA333" s="161" t="str">
        <f t="shared" ca="1" si="31"/>
        <v>NO</v>
      </c>
      <c r="AB333" s="113"/>
      <c r="AC333" s="70"/>
      <c r="AD333" s="70"/>
      <c r="AE333" s="70"/>
      <c r="AF333" s="70" t="str">
        <f t="shared" ca="1" si="33"/>
        <v>N/A</v>
      </c>
      <c r="AG333" s="185">
        <v>0</v>
      </c>
      <c r="AH333" s="185">
        <v>0</v>
      </c>
      <c r="AI333" s="186">
        <f t="shared" si="34"/>
        <v>0</v>
      </c>
      <c r="AJ333" s="70"/>
      <c r="AK333" s="70"/>
      <c r="AL333" s="70"/>
      <c r="AM333" s="165" t="str">
        <f t="shared" si="35"/>
        <v>18016 WANBANG</v>
      </c>
      <c r="AN333" s="165" t="str">
        <f t="shared" si="36"/>
        <v>18016 WANBANG : Archer Zhang site accident - broken foot</v>
      </c>
    </row>
    <row r="334" spans="1:40" s="76" customFormat="1" ht="14.5" hidden="1" x14ac:dyDescent="0.35">
      <c r="A334" s="122" t="s">
        <v>1277</v>
      </c>
      <c r="B334" s="116">
        <v>18017</v>
      </c>
      <c r="C334" s="143" t="s">
        <v>4</v>
      </c>
      <c r="D334" s="144">
        <v>43234</v>
      </c>
      <c r="E334" s="145" t="s">
        <v>160</v>
      </c>
      <c r="F334" s="145" t="s">
        <v>658</v>
      </c>
      <c r="G334" s="146" t="s">
        <v>1278</v>
      </c>
      <c r="H334" s="146" t="s">
        <v>1267</v>
      </c>
      <c r="I334" s="119" t="s">
        <v>2057</v>
      </c>
      <c r="J334" s="232"/>
      <c r="K334" s="145"/>
      <c r="L334" s="145" t="s">
        <v>1279</v>
      </c>
      <c r="M334" s="147"/>
      <c r="N334" s="146" t="s">
        <v>1280</v>
      </c>
      <c r="O334" s="146" t="s">
        <v>28</v>
      </c>
      <c r="P334" s="146" t="s">
        <v>103</v>
      </c>
      <c r="Q334" s="232" t="s">
        <v>176</v>
      </c>
      <c r="R334" s="146" t="s">
        <v>15</v>
      </c>
      <c r="S334" s="146"/>
      <c r="T334" s="232"/>
      <c r="U334" s="232"/>
      <c r="V334" s="158" t="s">
        <v>10</v>
      </c>
      <c r="W334" s="145"/>
      <c r="X334" s="143">
        <v>43234</v>
      </c>
      <c r="Y334" s="144">
        <f t="shared" si="32"/>
        <v>43326</v>
      </c>
      <c r="Z334" s="235">
        <v>43287</v>
      </c>
      <c r="AA334" s="161" t="str">
        <f t="shared" ca="1" si="31"/>
        <v>YES</v>
      </c>
      <c r="AB334" s="113"/>
      <c r="AC334" s="232"/>
      <c r="AD334" s="232"/>
      <c r="AE334" s="232"/>
      <c r="AF334" s="70" t="str">
        <f t="shared" ca="1" si="33"/>
        <v>N/A</v>
      </c>
      <c r="AG334" s="185">
        <v>528</v>
      </c>
      <c r="AH334" s="185">
        <v>9055</v>
      </c>
      <c r="AI334" s="186">
        <f t="shared" si="34"/>
        <v>9583</v>
      </c>
      <c r="AJ334" s="182" t="s">
        <v>6</v>
      </c>
      <c r="AK334" s="187">
        <v>43774</v>
      </c>
      <c r="AL334" s="232"/>
      <c r="AM334" s="184" t="str">
        <f t="shared" si="35"/>
        <v>18017 Vale Inco</v>
      </c>
      <c r="AN334" s="184" t="str">
        <f t="shared" si="36"/>
        <v>18017 Vale Inco : Error of purchased nozzle references</v>
      </c>
    </row>
    <row r="335" spans="1:40" s="76" customFormat="1" ht="14.5" hidden="1" x14ac:dyDescent="0.35">
      <c r="A335" s="122" t="s">
        <v>1281</v>
      </c>
      <c r="B335" s="116">
        <v>18018</v>
      </c>
      <c r="C335" s="143" t="s">
        <v>4</v>
      </c>
      <c r="D335" s="144">
        <v>43245</v>
      </c>
      <c r="E335" s="145" t="s">
        <v>1009</v>
      </c>
      <c r="F335" s="145" t="s">
        <v>164</v>
      </c>
      <c r="G335" s="146" t="s">
        <v>1252</v>
      </c>
      <c r="H335" s="146" t="s">
        <v>1282</v>
      </c>
      <c r="I335" s="119" t="s">
        <v>2057</v>
      </c>
      <c r="J335" s="232"/>
      <c r="K335" s="145">
        <v>2038</v>
      </c>
      <c r="L335" s="145">
        <v>12573</v>
      </c>
      <c r="M335" s="147" t="s">
        <v>1283</v>
      </c>
      <c r="N335" s="146" t="s">
        <v>1284</v>
      </c>
      <c r="O335" s="146" t="s">
        <v>29</v>
      </c>
      <c r="P335" s="146" t="s">
        <v>86</v>
      </c>
      <c r="Q335" s="70" t="s">
        <v>1285</v>
      </c>
      <c r="R335" s="146" t="s">
        <v>9</v>
      </c>
      <c r="S335" s="146"/>
      <c r="T335" s="232"/>
      <c r="U335" s="232"/>
      <c r="V335" s="158" t="s">
        <v>6</v>
      </c>
      <c r="W335" s="145" t="s">
        <v>1009</v>
      </c>
      <c r="X335" s="143">
        <v>43243</v>
      </c>
      <c r="Y335" s="144">
        <f t="shared" si="32"/>
        <v>43337</v>
      </c>
      <c r="Z335" s="235">
        <v>43333</v>
      </c>
      <c r="AA335" s="161" t="str">
        <f t="shared" ca="1" si="31"/>
        <v>YES</v>
      </c>
      <c r="AB335" s="113"/>
      <c r="AC335" s="232"/>
      <c r="AD335" s="232"/>
      <c r="AE335" s="232"/>
      <c r="AF335" s="70" t="str">
        <f t="shared" ca="1" si="33"/>
        <v>N/A</v>
      </c>
      <c r="AG335" s="185">
        <v>2552</v>
      </c>
      <c r="AH335" s="185">
        <v>0</v>
      </c>
      <c r="AI335" s="186">
        <f t="shared" si="34"/>
        <v>2552</v>
      </c>
      <c r="AJ335" s="182" t="s">
        <v>6</v>
      </c>
      <c r="AK335" s="187">
        <v>43726</v>
      </c>
      <c r="AL335" s="232"/>
      <c r="AM335" s="184" t="str">
        <f t="shared" si="35"/>
        <v>18018 Friesland Campina</v>
      </c>
      <c r="AN335" s="184" t="str">
        <f t="shared" si="36"/>
        <v>18018 Friesland Campina : Delay UF RO skids delivery</v>
      </c>
    </row>
    <row r="336" spans="1:40" s="76" customFormat="1" ht="14.5" hidden="1" x14ac:dyDescent="0.35">
      <c r="A336" s="122" t="s">
        <v>1286</v>
      </c>
      <c r="B336" s="116">
        <v>18019</v>
      </c>
      <c r="C336" s="143" t="s">
        <v>4</v>
      </c>
      <c r="D336" s="144">
        <v>43259</v>
      </c>
      <c r="E336" s="145" t="s">
        <v>335</v>
      </c>
      <c r="F336" s="145" t="s">
        <v>164</v>
      </c>
      <c r="G336" s="146" t="s">
        <v>1125</v>
      </c>
      <c r="H336" s="146" t="s">
        <v>1287</v>
      </c>
      <c r="I336" s="119" t="s">
        <v>2056</v>
      </c>
      <c r="J336" s="232"/>
      <c r="K336" s="145">
        <v>2048</v>
      </c>
      <c r="L336" s="145">
        <v>12194</v>
      </c>
      <c r="M336" s="147"/>
      <c r="N336" s="111" t="s">
        <v>1288</v>
      </c>
      <c r="O336" s="146" t="s">
        <v>29</v>
      </c>
      <c r="P336" s="146" t="s">
        <v>86</v>
      </c>
      <c r="Q336" s="232" t="s">
        <v>1289</v>
      </c>
      <c r="R336" s="146" t="s">
        <v>145</v>
      </c>
      <c r="S336" s="146"/>
      <c r="T336" s="232"/>
      <c r="U336" s="232"/>
      <c r="V336" s="158" t="s">
        <v>10</v>
      </c>
      <c r="W336" s="145"/>
      <c r="X336" s="143"/>
      <c r="Y336" s="144">
        <f t="shared" si="32"/>
        <v>43351</v>
      </c>
      <c r="Z336" s="235">
        <v>43334</v>
      </c>
      <c r="AA336" s="161" t="str">
        <f t="shared" ca="1" si="31"/>
        <v>YES</v>
      </c>
      <c r="AB336" s="113"/>
      <c r="AC336" s="232"/>
      <c r="AD336" s="232"/>
      <c r="AE336" s="232"/>
      <c r="AF336" s="70" t="str">
        <f t="shared" ca="1" si="33"/>
        <v>N/A</v>
      </c>
      <c r="AG336" s="185">
        <v>616</v>
      </c>
      <c r="AH336" s="185">
        <v>0</v>
      </c>
      <c r="AI336" s="186">
        <f t="shared" si="34"/>
        <v>616</v>
      </c>
      <c r="AJ336" s="182" t="s">
        <v>6</v>
      </c>
      <c r="AK336" s="187">
        <v>43773</v>
      </c>
      <c r="AL336" s="232"/>
      <c r="AM336" s="184" t="str">
        <f t="shared" si="35"/>
        <v>18019 ADM US</v>
      </c>
      <c r="AN336" s="184" t="str">
        <f t="shared" si="36"/>
        <v>18019 ADM US : Error in the choice of electrical terminal blocks</v>
      </c>
    </row>
    <row r="337" spans="1:40" s="76" customFormat="1" ht="14.5" hidden="1" x14ac:dyDescent="0.35">
      <c r="A337" s="122" t="s">
        <v>1290</v>
      </c>
      <c r="B337" s="116">
        <v>18020</v>
      </c>
      <c r="C337" s="143" t="s">
        <v>4</v>
      </c>
      <c r="D337" s="144">
        <v>43266</v>
      </c>
      <c r="E337" s="145" t="s">
        <v>1046</v>
      </c>
      <c r="F337" s="145" t="s">
        <v>420</v>
      </c>
      <c r="G337" s="146" t="s">
        <v>1291</v>
      </c>
      <c r="H337" s="146"/>
      <c r="I337" s="119" t="s">
        <v>2057</v>
      </c>
      <c r="J337" s="232"/>
      <c r="K337" s="145"/>
      <c r="L337" s="145" t="s">
        <v>1292</v>
      </c>
      <c r="M337" s="147" t="s">
        <v>1293</v>
      </c>
      <c r="N337" s="146" t="s">
        <v>1294</v>
      </c>
      <c r="O337" s="111" t="s">
        <v>420</v>
      </c>
      <c r="P337" s="146" t="s">
        <v>80</v>
      </c>
      <c r="Q337" s="70" t="s">
        <v>1295</v>
      </c>
      <c r="R337" s="146" t="s">
        <v>87</v>
      </c>
      <c r="S337" s="146"/>
      <c r="T337" s="232"/>
      <c r="U337" s="232"/>
      <c r="V337" s="158" t="s">
        <v>6</v>
      </c>
      <c r="W337" s="145" t="s">
        <v>1046</v>
      </c>
      <c r="X337" s="143">
        <v>43284</v>
      </c>
      <c r="Y337" s="144">
        <f t="shared" si="32"/>
        <v>43358</v>
      </c>
      <c r="Z337" s="235">
        <v>43354</v>
      </c>
      <c r="AA337" s="161" t="str">
        <f t="shared" ca="1" si="31"/>
        <v>YES</v>
      </c>
      <c r="AB337" s="113"/>
      <c r="AC337" s="232"/>
      <c r="AD337" s="232"/>
      <c r="AE337" s="232"/>
      <c r="AF337" s="70" t="str">
        <f t="shared" ca="1" si="33"/>
        <v>N/A</v>
      </c>
      <c r="AG337" s="185">
        <v>12936</v>
      </c>
      <c r="AH337" s="185">
        <v>1930</v>
      </c>
      <c r="AI337" s="186">
        <f t="shared" si="34"/>
        <v>14866</v>
      </c>
      <c r="AJ337" s="182" t="s">
        <v>6</v>
      </c>
      <c r="AK337" s="187">
        <v>43768</v>
      </c>
      <c r="AL337" s="232"/>
      <c r="AM337" s="184" t="str">
        <f t="shared" si="35"/>
        <v>18020 BENEO Chili</v>
      </c>
      <c r="AN337" s="184" t="str">
        <f t="shared" si="36"/>
        <v>18020 BENEO Chili : Regeneration protocol pb and not adapted pilot</v>
      </c>
    </row>
    <row r="338" spans="1:40" s="76" customFormat="1" ht="14.5" hidden="1" x14ac:dyDescent="0.35">
      <c r="A338" s="122" t="s">
        <v>1296</v>
      </c>
      <c r="B338" s="116">
        <v>18021</v>
      </c>
      <c r="C338" s="143" t="s">
        <v>4</v>
      </c>
      <c r="D338" s="144">
        <v>43278</v>
      </c>
      <c r="E338" s="145" t="s">
        <v>116</v>
      </c>
      <c r="F338" s="145" t="s">
        <v>164</v>
      </c>
      <c r="G338" s="146" t="s">
        <v>1014</v>
      </c>
      <c r="H338" s="111" t="s">
        <v>1297</v>
      </c>
      <c r="I338" s="119" t="s">
        <v>2056</v>
      </c>
      <c r="J338" s="232"/>
      <c r="K338" s="145">
        <v>2026</v>
      </c>
      <c r="L338" s="145">
        <v>11244</v>
      </c>
      <c r="M338" s="147" t="s">
        <v>338</v>
      </c>
      <c r="N338" s="146" t="s">
        <v>1298</v>
      </c>
      <c r="O338" s="146" t="s">
        <v>29</v>
      </c>
      <c r="P338" s="146" t="s">
        <v>176</v>
      </c>
      <c r="Q338" s="232" t="s">
        <v>634</v>
      </c>
      <c r="R338" s="146" t="s">
        <v>145</v>
      </c>
      <c r="S338" s="146"/>
      <c r="T338" s="232"/>
      <c r="U338" s="232"/>
      <c r="V338" s="158" t="s">
        <v>10</v>
      </c>
      <c r="W338" s="145"/>
      <c r="X338" s="143"/>
      <c r="Y338" s="144">
        <f t="shared" si="32"/>
        <v>43370</v>
      </c>
      <c r="Z338" s="235">
        <v>43357</v>
      </c>
      <c r="AA338" s="161" t="str">
        <f t="shared" ref="AA338:AA369" ca="1" si="37">IF(Z338="",IF(TODAY()&gt;Y338,"NO","YES"),IF(Z338&gt;Y338,"NO",IF(Z338&lt;Y338,"YES",IF(Y338=Z338,"YES","N/A"))))</f>
        <v>YES</v>
      </c>
      <c r="AB338" s="113"/>
      <c r="AC338" s="232"/>
      <c r="AD338" s="232"/>
      <c r="AE338" s="232"/>
      <c r="AF338" s="70" t="str">
        <f t="shared" ca="1" si="33"/>
        <v>N/A</v>
      </c>
      <c r="AG338" s="185">
        <v>2728</v>
      </c>
      <c r="AH338" s="185">
        <v>0</v>
      </c>
      <c r="AI338" s="186">
        <f t="shared" si="34"/>
        <v>2728</v>
      </c>
      <c r="AJ338" s="182" t="s">
        <v>6</v>
      </c>
      <c r="AK338" s="187">
        <v>43495</v>
      </c>
      <c r="AL338" s="232"/>
      <c r="AM338" s="184" t="str">
        <f t="shared" si="35"/>
        <v>18021 Biospringer</v>
      </c>
      <c r="AN338" s="184" t="str">
        <f t="shared" si="36"/>
        <v>18021 Biospringer : K99 module leakage</v>
      </c>
    </row>
    <row r="339" spans="1:40" s="76" customFormat="1" ht="14.5" hidden="1" x14ac:dyDescent="0.35">
      <c r="A339" s="122" t="s">
        <v>1299</v>
      </c>
      <c r="B339" s="116">
        <v>18022</v>
      </c>
      <c r="C339" s="113" t="s">
        <v>1300</v>
      </c>
      <c r="D339" s="117">
        <v>43286</v>
      </c>
      <c r="E339" s="118" t="s">
        <v>1301</v>
      </c>
      <c r="F339" s="118" t="s">
        <v>164</v>
      </c>
      <c r="G339" s="111" t="s">
        <v>1302</v>
      </c>
      <c r="H339" s="111" t="s">
        <v>1303</v>
      </c>
      <c r="I339" s="119" t="s">
        <v>2057</v>
      </c>
      <c r="J339" s="70"/>
      <c r="K339" s="118">
        <v>2062</v>
      </c>
      <c r="L339" s="118">
        <v>13678</v>
      </c>
      <c r="M339" s="147" t="s">
        <v>1304</v>
      </c>
      <c r="N339" s="111" t="s">
        <v>1305</v>
      </c>
      <c r="O339" s="111" t="s">
        <v>29</v>
      </c>
      <c r="P339" s="146" t="s">
        <v>86</v>
      </c>
      <c r="Q339" s="70" t="s">
        <v>522</v>
      </c>
      <c r="R339" s="146" t="s">
        <v>9</v>
      </c>
      <c r="S339" s="146"/>
      <c r="T339" s="70"/>
      <c r="U339" s="73"/>
      <c r="V339" s="158" t="s">
        <v>6</v>
      </c>
      <c r="W339" s="118" t="s">
        <v>1306</v>
      </c>
      <c r="X339" s="113">
        <v>43284</v>
      </c>
      <c r="Y339" s="117">
        <f t="shared" si="32"/>
        <v>43378</v>
      </c>
      <c r="Z339" s="187">
        <v>43307</v>
      </c>
      <c r="AA339" s="161" t="str">
        <f t="shared" ca="1" si="37"/>
        <v>YES</v>
      </c>
      <c r="AB339" s="113"/>
      <c r="AC339" s="70"/>
      <c r="AD339" s="70"/>
      <c r="AE339" s="70"/>
      <c r="AF339" s="70" t="str">
        <f t="shared" ca="1" si="33"/>
        <v>N/A</v>
      </c>
      <c r="AG339" s="185">
        <v>164.10256410256412</v>
      </c>
      <c r="AH339" s="185">
        <v>145.38461538461539</v>
      </c>
      <c r="AI339" s="186">
        <f t="shared" si="34"/>
        <v>309.4871794871795</v>
      </c>
      <c r="AJ339" s="70"/>
      <c r="AK339" s="70"/>
      <c r="AL339" s="70"/>
      <c r="AM339" s="165" t="str">
        <f t="shared" si="35"/>
        <v>18022 CJ GMP1</v>
      </c>
      <c r="AN339" s="165" t="str">
        <f t="shared" si="36"/>
        <v>18022 CJ GMP1 : The mismatch on internals parts</v>
      </c>
    </row>
    <row r="340" spans="1:40" s="76" customFormat="1" ht="14.5" hidden="1" x14ac:dyDescent="0.35">
      <c r="A340" s="122" t="s">
        <v>1307</v>
      </c>
      <c r="B340" s="116">
        <v>18023</v>
      </c>
      <c r="C340" s="113" t="s">
        <v>1300</v>
      </c>
      <c r="D340" s="117">
        <v>43286</v>
      </c>
      <c r="E340" s="118" t="s">
        <v>1301</v>
      </c>
      <c r="F340" s="118" t="s">
        <v>164</v>
      </c>
      <c r="G340" s="111" t="s">
        <v>1308</v>
      </c>
      <c r="H340" s="111"/>
      <c r="I340" s="119" t="s">
        <v>2057</v>
      </c>
      <c r="J340" s="70"/>
      <c r="K340" s="118">
        <v>2029</v>
      </c>
      <c r="L340" s="118">
        <v>9801</v>
      </c>
      <c r="M340" s="147" t="s">
        <v>1309</v>
      </c>
      <c r="N340" s="111" t="s">
        <v>1310</v>
      </c>
      <c r="O340" s="111" t="s">
        <v>29</v>
      </c>
      <c r="P340" s="146" t="s">
        <v>86</v>
      </c>
      <c r="Q340" s="70" t="s">
        <v>522</v>
      </c>
      <c r="R340" s="146" t="s">
        <v>9</v>
      </c>
      <c r="S340" s="146"/>
      <c r="T340" s="70"/>
      <c r="U340" s="73"/>
      <c r="V340" s="158" t="s">
        <v>6</v>
      </c>
      <c r="W340" s="118" t="s">
        <v>1311</v>
      </c>
      <c r="X340" s="113">
        <v>43294</v>
      </c>
      <c r="Y340" s="117">
        <f t="shared" si="32"/>
        <v>43378</v>
      </c>
      <c r="Z340" s="187">
        <v>43307</v>
      </c>
      <c r="AA340" s="161" t="str">
        <f t="shared" ca="1" si="37"/>
        <v>YES</v>
      </c>
      <c r="AB340" s="113"/>
      <c r="AC340" s="70"/>
      <c r="AD340" s="70"/>
      <c r="AE340" s="70"/>
      <c r="AF340" s="70" t="str">
        <f t="shared" ca="1" si="33"/>
        <v>N/A</v>
      </c>
      <c r="AG340" s="185">
        <v>164.10256410256412</v>
      </c>
      <c r="AH340" s="185">
        <v>46.15384615384616</v>
      </c>
      <c r="AI340" s="186">
        <f t="shared" si="34"/>
        <v>210.25641025641028</v>
      </c>
      <c r="AJ340" s="70"/>
      <c r="AK340" s="75"/>
      <c r="AL340" s="75"/>
      <c r="AM340" s="166" t="str">
        <f t="shared" si="35"/>
        <v>18023 Yinmore-Haisum</v>
      </c>
      <c r="AN340" s="166" t="str">
        <f t="shared" si="36"/>
        <v>18023 Yinmore-Haisum : The nozzle under internal backwashing flange can't be mounted</v>
      </c>
    </row>
    <row r="341" spans="1:40" s="76" customFormat="1" ht="14.5" hidden="1" x14ac:dyDescent="0.35">
      <c r="A341" s="122" t="s">
        <v>1312</v>
      </c>
      <c r="B341" s="116">
        <v>18024</v>
      </c>
      <c r="C341" s="143" t="s">
        <v>4</v>
      </c>
      <c r="D341" s="144">
        <v>43298</v>
      </c>
      <c r="E341" s="145" t="s">
        <v>370</v>
      </c>
      <c r="F341" s="145" t="s">
        <v>420</v>
      </c>
      <c r="G341" s="146" t="s">
        <v>1313</v>
      </c>
      <c r="H341" s="146"/>
      <c r="I341" s="119" t="s">
        <v>2058</v>
      </c>
      <c r="J341" s="232"/>
      <c r="K341" s="145"/>
      <c r="L341" s="145" t="s">
        <v>1314</v>
      </c>
      <c r="M341" s="147"/>
      <c r="N341" s="111" t="s">
        <v>1315</v>
      </c>
      <c r="O341" s="111" t="s">
        <v>420</v>
      </c>
      <c r="P341" s="111" t="s">
        <v>80</v>
      </c>
      <c r="Q341" s="70" t="s">
        <v>1316</v>
      </c>
      <c r="R341" s="146" t="s">
        <v>9</v>
      </c>
      <c r="S341" s="146"/>
      <c r="T341" s="232"/>
      <c r="U341" s="232"/>
      <c r="V341" s="158" t="s">
        <v>6</v>
      </c>
      <c r="W341" s="145" t="s">
        <v>577</v>
      </c>
      <c r="X341" s="143">
        <v>43298</v>
      </c>
      <c r="Y341" s="144">
        <f t="shared" si="32"/>
        <v>43390</v>
      </c>
      <c r="Z341" s="235">
        <v>43378</v>
      </c>
      <c r="AA341" s="161" t="str">
        <f t="shared" ca="1" si="37"/>
        <v>YES</v>
      </c>
      <c r="AB341" s="113"/>
      <c r="AC341" s="232"/>
      <c r="AD341" s="232"/>
      <c r="AE341" s="232"/>
      <c r="AF341" s="70" t="str">
        <f t="shared" ca="1" si="33"/>
        <v>N/A</v>
      </c>
      <c r="AG341" s="185">
        <v>176</v>
      </c>
      <c r="AH341" s="185">
        <v>418</v>
      </c>
      <c r="AI341" s="186">
        <f t="shared" si="34"/>
        <v>594</v>
      </c>
      <c r="AJ341" s="182" t="s">
        <v>6</v>
      </c>
      <c r="AK341" s="187">
        <v>43768</v>
      </c>
      <c r="AL341" s="232"/>
      <c r="AM341" s="184" t="str">
        <f t="shared" si="35"/>
        <v>18024 Sucden</v>
      </c>
      <c r="AN341" s="184" t="str">
        <f t="shared" si="36"/>
        <v>18024 Sucden : Rotavapor balloon breakage</v>
      </c>
    </row>
    <row r="342" spans="1:40" s="76" customFormat="1" ht="14.5" hidden="1" x14ac:dyDescent="0.35">
      <c r="A342" s="122" t="s">
        <v>1317</v>
      </c>
      <c r="B342" s="116">
        <v>18025</v>
      </c>
      <c r="C342" s="113" t="s">
        <v>1193</v>
      </c>
      <c r="D342" s="144">
        <v>43312</v>
      </c>
      <c r="E342" s="118" t="s">
        <v>1318</v>
      </c>
      <c r="F342" s="118" t="s">
        <v>1222</v>
      </c>
      <c r="G342" s="111" t="s">
        <v>1319</v>
      </c>
      <c r="H342" s="111" t="s">
        <v>1320</v>
      </c>
      <c r="I342" s="119" t="s">
        <v>1224</v>
      </c>
      <c r="J342" s="70"/>
      <c r="K342" s="118">
        <v>1984</v>
      </c>
      <c r="L342" s="118">
        <v>9728</v>
      </c>
      <c r="M342" s="147" t="s">
        <v>1321</v>
      </c>
      <c r="N342" s="111" t="s">
        <v>1322</v>
      </c>
      <c r="O342" s="146" t="s">
        <v>29</v>
      </c>
      <c r="P342" s="111" t="s">
        <v>1226</v>
      </c>
      <c r="Q342" s="70" t="s">
        <v>1289</v>
      </c>
      <c r="R342" s="146" t="s">
        <v>9</v>
      </c>
      <c r="S342" s="146"/>
      <c r="T342" s="70"/>
      <c r="U342" s="70"/>
      <c r="V342" s="158" t="s">
        <v>6</v>
      </c>
      <c r="W342" s="118" t="s">
        <v>1318</v>
      </c>
      <c r="X342" s="113">
        <v>43312</v>
      </c>
      <c r="Y342" s="117">
        <f t="shared" si="32"/>
        <v>43404</v>
      </c>
      <c r="Z342" s="187">
        <v>43403</v>
      </c>
      <c r="AA342" s="161" t="str">
        <f t="shared" ca="1" si="37"/>
        <v>YES</v>
      </c>
      <c r="AB342" s="113"/>
      <c r="AC342" s="70"/>
      <c r="AD342" s="70"/>
      <c r="AE342" s="70"/>
      <c r="AF342" s="70" t="str">
        <f t="shared" ca="1" si="33"/>
        <v>N/A</v>
      </c>
      <c r="AG342" s="185">
        <v>1518.2051282051282</v>
      </c>
      <c r="AH342" s="185">
        <v>25641.025641025641</v>
      </c>
      <c r="AI342" s="186">
        <f t="shared" si="34"/>
        <v>27159.23076923077</v>
      </c>
      <c r="AJ342" s="70"/>
      <c r="AK342" s="70"/>
      <c r="AL342" s="70"/>
      <c r="AM342" s="165" t="str">
        <f t="shared" si="35"/>
        <v>18025 ADM</v>
      </c>
      <c r="AN342" s="165" t="str">
        <f t="shared" si="36"/>
        <v>18025 ADM : The electromagnetic flowmeter doesn't work properly</v>
      </c>
    </row>
    <row r="343" spans="1:40" s="76" customFormat="1" ht="14.5" hidden="1" x14ac:dyDescent="0.35">
      <c r="A343" s="122" t="s">
        <v>1323</v>
      </c>
      <c r="B343" s="116">
        <v>18026</v>
      </c>
      <c r="C343" s="143" t="s">
        <v>4</v>
      </c>
      <c r="D343" s="144">
        <v>43333</v>
      </c>
      <c r="E343" s="145" t="s">
        <v>160</v>
      </c>
      <c r="F343" s="145" t="s">
        <v>658</v>
      </c>
      <c r="G343" s="146" t="s">
        <v>1324</v>
      </c>
      <c r="H343" s="146" t="s">
        <v>309</v>
      </c>
      <c r="I343" s="119" t="s">
        <v>14</v>
      </c>
      <c r="J343" s="232"/>
      <c r="K343" s="145"/>
      <c r="L343" s="145" t="s">
        <v>1325</v>
      </c>
      <c r="M343" s="150" t="s">
        <v>13</v>
      </c>
      <c r="N343" s="146" t="s">
        <v>1326</v>
      </c>
      <c r="O343" s="146" t="s">
        <v>28</v>
      </c>
      <c r="P343" s="146" t="s">
        <v>103</v>
      </c>
      <c r="Q343" s="232"/>
      <c r="R343" s="146" t="s">
        <v>9</v>
      </c>
      <c r="S343" s="146"/>
      <c r="T343" s="232"/>
      <c r="U343" s="232"/>
      <c r="V343" s="158" t="s">
        <v>6</v>
      </c>
      <c r="W343" s="145" t="s">
        <v>160</v>
      </c>
      <c r="X343" s="143">
        <v>43333</v>
      </c>
      <c r="Y343" s="144">
        <f t="shared" si="32"/>
        <v>43425</v>
      </c>
      <c r="Z343" s="235">
        <v>43507</v>
      </c>
      <c r="AA343" s="161" t="str">
        <f t="shared" ca="1" si="37"/>
        <v>NO</v>
      </c>
      <c r="AB343" s="113"/>
      <c r="AC343" s="232"/>
      <c r="AD343" s="232"/>
      <c r="AE343" s="232"/>
      <c r="AF343" s="70" t="str">
        <f t="shared" ca="1" si="33"/>
        <v>N/A</v>
      </c>
      <c r="AG343" s="185">
        <v>1408</v>
      </c>
      <c r="AH343" s="185">
        <v>100</v>
      </c>
      <c r="AI343" s="186">
        <f t="shared" si="34"/>
        <v>1508</v>
      </c>
      <c r="AJ343" s="182" t="s">
        <v>6</v>
      </c>
      <c r="AK343" s="187">
        <v>43781</v>
      </c>
      <c r="AL343" s="232"/>
      <c r="AM343" s="184" t="str">
        <f t="shared" si="35"/>
        <v>18026 Téréos Chevrières</v>
      </c>
      <c r="AN343" s="184" t="str">
        <f t="shared" si="36"/>
        <v>18026 Téréos Chevrières : Amine taste of liquid sugar</v>
      </c>
    </row>
    <row r="344" spans="1:40" s="76" customFormat="1" ht="14.5" hidden="1" x14ac:dyDescent="0.35">
      <c r="A344" s="122" t="s">
        <v>1327</v>
      </c>
      <c r="B344" s="116">
        <v>18027</v>
      </c>
      <c r="C344" s="143" t="s">
        <v>4</v>
      </c>
      <c r="D344" s="144">
        <v>43334</v>
      </c>
      <c r="E344" s="145" t="s">
        <v>99</v>
      </c>
      <c r="F344" s="145" t="s">
        <v>658</v>
      </c>
      <c r="G344" s="146" t="s">
        <v>1095</v>
      </c>
      <c r="H344" s="146" t="s">
        <v>901</v>
      </c>
      <c r="I344" s="119" t="s">
        <v>5</v>
      </c>
      <c r="J344" s="232"/>
      <c r="K344" s="145"/>
      <c r="L344" s="145" t="s">
        <v>1328</v>
      </c>
      <c r="M344" s="150" t="s">
        <v>359</v>
      </c>
      <c r="N344" s="146" t="s">
        <v>1329</v>
      </c>
      <c r="O344" s="146" t="s">
        <v>28</v>
      </c>
      <c r="P344" s="146" t="s">
        <v>103</v>
      </c>
      <c r="Q344" s="232"/>
      <c r="R344" s="146" t="s">
        <v>145</v>
      </c>
      <c r="S344" s="146"/>
      <c r="T344" s="232"/>
      <c r="U344" s="232"/>
      <c r="V344" s="158" t="s">
        <v>6</v>
      </c>
      <c r="W344" s="145" t="s">
        <v>99</v>
      </c>
      <c r="X344" s="143">
        <v>43339</v>
      </c>
      <c r="Y344" s="144">
        <f t="shared" si="32"/>
        <v>43426</v>
      </c>
      <c r="Z344" s="235">
        <v>43490</v>
      </c>
      <c r="AA344" s="161" t="str">
        <f t="shared" ca="1" si="37"/>
        <v>NO</v>
      </c>
      <c r="AB344" s="113"/>
      <c r="AC344" s="190">
        <v>43325</v>
      </c>
      <c r="AD344" s="235">
        <v>43496</v>
      </c>
      <c r="AE344" s="235">
        <v>43490</v>
      </c>
      <c r="AF344" s="70" t="str">
        <f t="shared" ca="1" si="33"/>
        <v>YES</v>
      </c>
      <c r="AG344" s="185">
        <v>616</v>
      </c>
      <c r="AH344" s="185">
        <v>0</v>
      </c>
      <c r="AI344" s="186">
        <f t="shared" si="34"/>
        <v>616</v>
      </c>
      <c r="AJ344" s="182" t="s">
        <v>6</v>
      </c>
      <c r="AK344" s="187">
        <v>43773</v>
      </c>
      <c r="AL344" s="232"/>
      <c r="AM344" s="184" t="str">
        <f t="shared" si="35"/>
        <v>18027 Mérial</v>
      </c>
      <c r="AN344" s="184" t="str">
        <f t="shared" si="36"/>
        <v xml:space="preserve">18027 Mérial : Leakage and broken Carbosep mbres </v>
      </c>
    </row>
    <row r="345" spans="1:40" s="76" customFormat="1" ht="14.5" hidden="1" x14ac:dyDescent="0.35">
      <c r="A345" s="122" t="s">
        <v>1330</v>
      </c>
      <c r="B345" s="116">
        <v>18028</v>
      </c>
      <c r="C345" s="143" t="s">
        <v>4</v>
      </c>
      <c r="D345" s="144">
        <v>43346</v>
      </c>
      <c r="E345" s="145" t="s">
        <v>877</v>
      </c>
      <c r="F345" s="145" t="s">
        <v>691</v>
      </c>
      <c r="G345" s="146" t="s">
        <v>1331</v>
      </c>
      <c r="H345" s="146"/>
      <c r="I345" s="119" t="s">
        <v>2057</v>
      </c>
      <c r="J345" s="232" t="s">
        <v>1332</v>
      </c>
      <c r="K345" s="145">
        <v>2070</v>
      </c>
      <c r="L345" s="145">
        <v>13599</v>
      </c>
      <c r="M345" s="147" t="s">
        <v>1333</v>
      </c>
      <c r="N345" s="146" t="s">
        <v>1334</v>
      </c>
      <c r="O345" s="146" t="s">
        <v>29</v>
      </c>
      <c r="P345" s="146" t="s">
        <v>86</v>
      </c>
      <c r="Q345" s="70" t="s">
        <v>885</v>
      </c>
      <c r="R345" s="146" t="s">
        <v>15</v>
      </c>
      <c r="S345" s="146"/>
      <c r="T345" s="232"/>
      <c r="U345" s="232"/>
      <c r="V345" s="158" t="s">
        <v>6</v>
      </c>
      <c r="W345" s="118" t="s">
        <v>913</v>
      </c>
      <c r="X345" s="143">
        <v>43368</v>
      </c>
      <c r="Y345" s="144">
        <f t="shared" si="32"/>
        <v>43437</v>
      </c>
      <c r="Z345" s="235">
        <v>43488</v>
      </c>
      <c r="AA345" s="161" t="str">
        <f t="shared" ca="1" si="37"/>
        <v>NO</v>
      </c>
      <c r="AB345" s="113"/>
      <c r="AC345" s="232"/>
      <c r="AD345" s="232"/>
      <c r="AE345" s="232"/>
      <c r="AF345" s="70" t="str">
        <f t="shared" ca="1" si="33"/>
        <v>N/A</v>
      </c>
      <c r="AG345" s="185">
        <v>1533</v>
      </c>
      <c r="AH345" s="185">
        <v>0</v>
      </c>
      <c r="AI345" s="186">
        <f t="shared" si="34"/>
        <v>1533</v>
      </c>
      <c r="AJ345" s="182" t="s">
        <v>6</v>
      </c>
      <c r="AK345" s="187">
        <v>43773</v>
      </c>
      <c r="AL345" s="232"/>
      <c r="AM345" s="184" t="str">
        <f t="shared" si="35"/>
        <v>18028 QNS</v>
      </c>
      <c r="AN345" s="184" t="str">
        <f t="shared" si="36"/>
        <v>18028 QNS : PID Tags coding error</v>
      </c>
    </row>
    <row r="346" spans="1:40" s="76" customFormat="1" ht="14.5" hidden="1" x14ac:dyDescent="0.35">
      <c r="A346" s="122" t="s">
        <v>1335</v>
      </c>
      <c r="B346" s="116">
        <v>18029</v>
      </c>
      <c r="C346" s="143" t="s">
        <v>4</v>
      </c>
      <c r="D346" s="144">
        <v>43364</v>
      </c>
      <c r="E346" s="118" t="s">
        <v>1336</v>
      </c>
      <c r="F346" s="145" t="s">
        <v>164</v>
      </c>
      <c r="G346" s="146" t="s">
        <v>1239</v>
      </c>
      <c r="H346" s="146" t="s">
        <v>1096</v>
      </c>
      <c r="I346" s="119" t="s">
        <v>2056</v>
      </c>
      <c r="J346" s="232"/>
      <c r="K346" s="145">
        <v>2050</v>
      </c>
      <c r="L346" s="145">
        <v>13191</v>
      </c>
      <c r="M346" s="147" t="s">
        <v>359</v>
      </c>
      <c r="N346" s="146" t="s">
        <v>1337</v>
      </c>
      <c r="O346" s="146" t="s">
        <v>29</v>
      </c>
      <c r="P346" s="146" t="s">
        <v>86</v>
      </c>
      <c r="Q346" s="232" t="s">
        <v>634</v>
      </c>
      <c r="R346" s="146" t="s">
        <v>145</v>
      </c>
      <c r="S346" s="146"/>
      <c r="T346" s="232"/>
      <c r="U346" s="232"/>
      <c r="V346" s="158" t="s">
        <v>10</v>
      </c>
      <c r="W346" s="145"/>
      <c r="X346" s="143"/>
      <c r="Y346" s="144">
        <f t="shared" si="32"/>
        <v>43455</v>
      </c>
      <c r="Z346" s="235">
        <v>43396</v>
      </c>
      <c r="AA346" s="161" t="str">
        <f t="shared" ca="1" si="37"/>
        <v>YES</v>
      </c>
      <c r="AB346" s="113"/>
      <c r="AC346" s="232"/>
      <c r="AD346" s="232"/>
      <c r="AE346" s="232"/>
      <c r="AF346" s="70" t="str">
        <f t="shared" ca="1" si="33"/>
        <v>N/A</v>
      </c>
      <c r="AG346" s="185">
        <v>0</v>
      </c>
      <c r="AH346" s="185">
        <v>0</v>
      </c>
      <c r="AI346" s="186">
        <f t="shared" si="34"/>
        <v>0</v>
      </c>
      <c r="AJ346" s="182" t="s">
        <v>6</v>
      </c>
      <c r="AK346" s="187">
        <v>43496</v>
      </c>
      <c r="AL346" s="232"/>
      <c r="AM346" s="184" t="str">
        <f t="shared" si="35"/>
        <v>18029 CEVA</v>
      </c>
      <c r="AN346" s="184" t="str">
        <f t="shared" si="36"/>
        <v>18029 CEVA : flatness defect on permeate output module S52</v>
      </c>
    </row>
    <row r="347" spans="1:40" s="76" customFormat="1" ht="14.5" hidden="1" x14ac:dyDescent="0.35">
      <c r="A347" s="122" t="s">
        <v>1338</v>
      </c>
      <c r="B347" s="116">
        <v>18030</v>
      </c>
      <c r="C347" s="143" t="s">
        <v>4</v>
      </c>
      <c r="D347" s="144">
        <v>43371</v>
      </c>
      <c r="E347" s="145" t="s">
        <v>224</v>
      </c>
      <c r="F347" s="145" t="s">
        <v>1103</v>
      </c>
      <c r="G347" s="146" t="s">
        <v>1339</v>
      </c>
      <c r="H347" s="146" t="s">
        <v>1041</v>
      </c>
      <c r="I347" s="119" t="s">
        <v>2057</v>
      </c>
      <c r="J347" s="232"/>
      <c r="K347" s="145">
        <v>2051</v>
      </c>
      <c r="L347" s="145">
        <v>10154</v>
      </c>
      <c r="M347" s="147" t="s">
        <v>18</v>
      </c>
      <c r="N347" s="111" t="s">
        <v>1340</v>
      </c>
      <c r="O347" s="146" t="s">
        <v>29</v>
      </c>
      <c r="P347" s="146" t="s">
        <v>176</v>
      </c>
      <c r="Q347" s="232" t="s">
        <v>510</v>
      </c>
      <c r="R347" s="146" t="s">
        <v>9</v>
      </c>
      <c r="S347" s="146"/>
      <c r="T347" s="232"/>
      <c r="U347" s="232"/>
      <c r="V347" s="158" t="s">
        <v>6</v>
      </c>
      <c r="W347" s="145" t="s">
        <v>224</v>
      </c>
      <c r="X347" s="143">
        <v>43355</v>
      </c>
      <c r="Y347" s="144">
        <f t="shared" si="32"/>
        <v>43462</v>
      </c>
      <c r="Z347" s="235">
        <v>43440</v>
      </c>
      <c r="AA347" s="161" t="str">
        <f t="shared" ca="1" si="37"/>
        <v>YES</v>
      </c>
      <c r="AB347" s="113"/>
      <c r="AC347" s="232"/>
      <c r="AD347" s="232"/>
      <c r="AE347" s="232"/>
      <c r="AF347" s="70" t="str">
        <f t="shared" ca="1" si="33"/>
        <v>N/A</v>
      </c>
      <c r="AG347" s="185">
        <v>704</v>
      </c>
      <c r="AH347" s="185">
        <v>0</v>
      </c>
      <c r="AI347" s="186">
        <f t="shared" si="34"/>
        <v>704</v>
      </c>
      <c r="AJ347" s="182" t="s">
        <v>6</v>
      </c>
      <c r="AK347" s="187">
        <v>43768</v>
      </c>
      <c r="AL347" s="232"/>
      <c r="AM347" s="184" t="str">
        <f t="shared" si="35"/>
        <v>18030 KLIM 3</v>
      </c>
      <c r="AN347" s="184" t="str">
        <f t="shared" si="36"/>
        <v>18030 KLIM 3 : Shipment of material subject to export license without license</v>
      </c>
    </row>
    <row r="348" spans="1:40" s="76" customFormat="1" ht="14.5" hidden="1" x14ac:dyDescent="0.35">
      <c r="A348" s="122" t="s">
        <v>1341</v>
      </c>
      <c r="B348" s="116">
        <v>18031</v>
      </c>
      <c r="C348" s="143" t="s">
        <v>4</v>
      </c>
      <c r="D348" s="144">
        <v>43383</v>
      </c>
      <c r="E348" s="145" t="s">
        <v>1342</v>
      </c>
      <c r="F348" s="116" t="s">
        <v>164</v>
      </c>
      <c r="G348" s="146" t="s">
        <v>1252</v>
      </c>
      <c r="H348" s="146" t="s">
        <v>1104</v>
      </c>
      <c r="I348" s="119" t="s">
        <v>2057</v>
      </c>
      <c r="J348" s="232"/>
      <c r="K348" s="145">
        <v>2038</v>
      </c>
      <c r="L348" s="145">
        <v>12573</v>
      </c>
      <c r="M348" s="147" t="s">
        <v>19</v>
      </c>
      <c r="N348" s="146" t="s">
        <v>1343</v>
      </c>
      <c r="O348" s="146" t="s">
        <v>29</v>
      </c>
      <c r="P348" s="146" t="s">
        <v>86</v>
      </c>
      <c r="Q348" s="232" t="s">
        <v>1026</v>
      </c>
      <c r="R348" s="146" t="s">
        <v>9</v>
      </c>
      <c r="S348" s="111" t="s">
        <v>1344</v>
      </c>
      <c r="T348" s="232"/>
      <c r="U348" s="232"/>
      <c r="V348" s="158" t="s">
        <v>6</v>
      </c>
      <c r="W348" s="145" t="s">
        <v>319</v>
      </c>
      <c r="X348" s="143">
        <v>43378</v>
      </c>
      <c r="Y348" s="144">
        <f t="shared" si="32"/>
        <v>43475</v>
      </c>
      <c r="Z348" s="235">
        <v>43474</v>
      </c>
      <c r="AA348" s="161" t="str">
        <f t="shared" ca="1" si="37"/>
        <v>YES</v>
      </c>
      <c r="AB348" s="113"/>
      <c r="AC348" s="232"/>
      <c r="AD348" s="232"/>
      <c r="AE348" s="232"/>
      <c r="AF348" s="70" t="str">
        <f t="shared" ca="1" si="33"/>
        <v>N/A</v>
      </c>
      <c r="AG348" s="185">
        <v>5720</v>
      </c>
      <c r="AH348" s="185">
        <v>1999.4700000000012</v>
      </c>
      <c r="AI348" s="186">
        <f t="shared" si="34"/>
        <v>7719.4700000000012</v>
      </c>
      <c r="AJ348" s="182" t="s">
        <v>6</v>
      </c>
      <c r="AK348" s="187">
        <v>43726</v>
      </c>
      <c r="AL348" s="232"/>
      <c r="AM348" s="184" t="str">
        <f t="shared" si="35"/>
        <v>18031 Friesland Campina</v>
      </c>
      <c r="AN348" s="184" t="str">
        <f t="shared" si="36"/>
        <v>18031 Friesland Campina : Broken booster pump</v>
      </c>
    </row>
    <row r="349" spans="1:40" s="76" customFormat="1" ht="14.5" hidden="1" x14ac:dyDescent="0.35">
      <c r="A349" s="122" t="s">
        <v>1345</v>
      </c>
      <c r="B349" s="116">
        <v>18032</v>
      </c>
      <c r="C349" s="143" t="s">
        <v>4</v>
      </c>
      <c r="D349" s="144">
        <v>43383</v>
      </c>
      <c r="E349" s="145" t="s">
        <v>146</v>
      </c>
      <c r="F349" s="145" t="s">
        <v>164</v>
      </c>
      <c r="G349" s="146" t="s">
        <v>1346</v>
      </c>
      <c r="H349" s="111" t="s">
        <v>1347</v>
      </c>
      <c r="I349" s="119" t="s">
        <v>5</v>
      </c>
      <c r="J349" s="232"/>
      <c r="K349" s="145">
        <v>1961</v>
      </c>
      <c r="L349" s="145">
        <v>9310</v>
      </c>
      <c r="M349" s="147" t="s">
        <v>13</v>
      </c>
      <c r="N349" s="111" t="s">
        <v>1348</v>
      </c>
      <c r="O349" s="111" t="s">
        <v>29</v>
      </c>
      <c r="P349" s="111" t="s">
        <v>86</v>
      </c>
      <c r="Q349" s="232"/>
      <c r="R349" s="111" t="s">
        <v>145</v>
      </c>
      <c r="S349" s="111"/>
      <c r="T349" s="232"/>
      <c r="U349" s="232"/>
      <c r="V349" s="158" t="s">
        <v>6</v>
      </c>
      <c r="W349" s="118" t="s">
        <v>146</v>
      </c>
      <c r="X349" s="143">
        <v>43390</v>
      </c>
      <c r="Y349" s="144">
        <f t="shared" si="32"/>
        <v>43475</v>
      </c>
      <c r="Z349" s="235">
        <v>43495</v>
      </c>
      <c r="AA349" s="161" t="str">
        <f t="shared" ca="1" si="37"/>
        <v>NO</v>
      </c>
      <c r="AB349" s="113"/>
      <c r="AC349" s="190">
        <v>43384</v>
      </c>
      <c r="AD349" s="235">
        <v>43496</v>
      </c>
      <c r="AE349" s="235">
        <v>43495</v>
      </c>
      <c r="AF349" s="70" t="str">
        <f t="shared" ca="1" si="33"/>
        <v>YES</v>
      </c>
      <c r="AG349" s="185">
        <v>1496</v>
      </c>
      <c r="AH349" s="185">
        <v>0</v>
      </c>
      <c r="AI349" s="186">
        <f t="shared" si="34"/>
        <v>1496</v>
      </c>
      <c r="AJ349" s="182" t="s">
        <v>6</v>
      </c>
      <c r="AK349" s="113">
        <v>43773</v>
      </c>
      <c r="AL349" s="232"/>
      <c r="AM349" s="184" t="str">
        <f t="shared" si="35"/>
        <v>18032 Cargill Spain</v>
      </c>
      <c r="AN349" s="184" t="str">
        <f t="shared" si="36"/>
        <v>18032 Cargill Spain : Leak on cationic column</v>
      </c>
    </row>
    <row r="350" spans="1:40" s="76" customFormat="1" ht="14.5" hidden="1" x14ac:dyDescent="0.35">
      <c r="A350" s="122" t="s">
        <v>1349</v>
      </c>
      <c r="B350" s="116">
        <v>18033</v>
      </c>
      <c r="C350" s="143" t="s">
        <v>4</v>
      </c>
      <c r="D350" s="144">
        <v>43395</v>
      </c>
      <c r="E350" s="145" t="s">
        <v>1336</v>
      </c>
      <c r="F350" s="145" t="s">
        <v>164</v>
      </c>
      <c r="G350" s="146" t="s">
        <v>1187</v>
      </c>
      <c r="H350" s="146" t="s">
        <v>1350</v>
      </c>
      <c r="I350" s="119" t="s">
        <v>5</v>
      </c>
      <c r="J350" s="232"/>
      <c r="K350" s="145">
        <v>2031</v>
      </c>
      <c r="L350" s="145">
        <v>10376</v>
      </c>
      <c r="M350" s="147" t="s">
        <v>13</v>
      </c>
      <c r="N350" s="111" t="s">
        <v>1351</v>
      </c>
      <c r="O350" s="146" t="s">
        <v>29</v>
      </c>
      <c r="P350" s="146" t="s">
        <v>86</v>
      </c>
      <c r="Q350" s="232"/>
      <c r="R350" s="146" t="s">
        <v>9</v>
      </c>
      <c r="S350" s="146"/>
      <c r="T350" s="232"/>
      <c r="U350" s="232"/>
      <c r="V350" s="158" t="s">
        <v>6</v>
      </c>
      <c r="W350" s="145" t="s">
        <v>1336</v>
      </c>
      <c r="X350" s="143">
        <v>43396</v>
      </c>
      <c r="Y350" s="144">
        <f t="shared" si="32"/>
        <v>43487</v>
      </c>
      <c r="Z350" s="235">
        <v>43553</v>
      </c>
      <c r="AA350" s="161" t="str">
        <f t="shared" ca="1" si="37"/>
        <v>NO</v>
      </c>
      <c r="AB350" s="113"/>
      <c r="AC350" s="190">
        <v>43357</v>
      </c>
      <c r="AD350" s="235">
        <v>43555</v>
      </c>
      <c r="AE350" s="235">
        <v>43553</v>
      </c>
      <c r="AF350" s="70" t="str">
        <f t="shared" ca="1" si="33"/>
        <v>YES</v>
      </c>
      <c r="AG350" s="185">
        <v>6792</v>
      </c>
      <c r="AH350" s="185">
        <v>1000</v>
      </c>
      <c r="AI350" s="186">
        <f t="shared" si="34"/>
        <v>7792</v>
      </c>
      <c r="AJ350" s="182" t="s">
        <v>6</v>
      </c>
      <c r="AK350" s="187">
        <v>43782</v>
      </c>
      <c r="AL350" s="232"/>
      <c r="AM350" s="184" t="str">
        <f t="shared" si="35"/>
        <v>18033 Cargill Manchester</v>
      </c>
      <c r="AN350" s="184" t="str">
        <f t="shared" si="36"/>
        <v>18033 Cargill Manchester : Resin leakage on sight glass column</v>
      </c>
    </row>
    <row r="351" spans="1:40" s="76" customFormat="1" ht="14.5" hidden="1" x14ac:dyDescent="0.35">
      <c r="A351" s="122" t="s">
        <v>1352</v>
      </c>
      <c r="B351" s="116">
        <v>18034</v>
      </c>
      <c r="C351" s="113" t="s">
        <v>4</v>
      </c>
      <c r="D351" s="117">
        <v>43399</v>
      </c>
      <c r="E351" s="118" t="s">
        <v>120</v>
      </c>
      <c r="F351" s="116" t="s">
        <v>164</v>
      </c>
      <c r="G351" s="111" t="s">
        <v>340</v>
      </c>
      <c r="H351" s="111"/>
      <c r="I351" s="119" t="s">
        <v>2057</v>
      </c>
      <c r="J351" s="70"/>
      <c r="K351" s="118">
        <v>2014</v>
      </c>
      <c r="L351" s="118">
        <v>10416</v>
      </c>
      <c r="M351" s="147" t="s">
        <v>11</v>
      </c>
      <c r="N351" s="111" t="s">
        <v>1353</v>
      </c>
      <c r="O351" s="111" t="s">
        <v>29</v>
      </c>
      <c r="P351" s="111" t="s">
        <v>86</v>
      </c>
      <c r="Q351" s="70" t="s">
        <v>1026</v>
      </c>
      <c r="R351" s="111" t="s">
        <v>9</v>
      </c>
      <c r="S351" s="111" t="s">
        <v>1344</v>
      </c>
      <c r="T351" s="70"/>
      <c r="U351" s="232"/>
      <c r="V351" s="158" t="s">
        <v>6</v>
      </c>
      <c r="W351" s="118" t="s">
        <v>120</v>
      </c>
      <c r="X351" s="113">
        <v>43399</v>
      </c>
      <c r="Y351" s="117">
        <f t="shared" si="32"/>
        <v>43491</v>
      </c>
      <c r="Z351" s="187">
        <v>43487</v>
      </c>
      <c r="AA351" s="161" t="str">
        <f t="shared" ca="1" si="37"/>
        <v>YES</v>
      </c>
      <c r="AB351" s="113"/>
      <c r="AC351" s="70"/>
      <c r="AD351" s="70"/>
      <c r="AE351" s="70"/>
      <c r="AF351" s="70" t="str">
        <f t="shared" ca="1" si="33"/>
        <v>N/A</v>
      </c>
      <c r="AG351" s="185">
        <v>27896</v>
      </c>
      <c r="AH351" s="185">
        <v>38680</v>
      </c>
      <c r="AI351" s="186">
        <f t="shared" si="34"/>
        <v>66576</v>
      </c>
      <c r="AJ351" s="182"/>
      <c r="AK351" s="70" t="s">
        <v>1354</v>
      </c>
      <c r="AL351" s="70" t="s">
        <v>1355</v>
      </c>
      <c r="AM351" s="165" t="str">
        <f t="shared" si="35"/>
        <v>18034 AGRANA</v>
      </c>
      <c r="AN351" s="165" t="str">
        <f t="shared" si="36"/>
        <v>18034 AGRANA : Resin leakage on SSMB column</v>
      </c>
    </row>
    <row r="352" spans="1:40" s="76" customFormat="1" ht="14.5" hidden="1" x14ac:dyDescent="0.35">
      <c r="A352" s="122" t="s">
        <v>1356</v>
      </c>
      <c r="B352" s="116">
        <v>18035</v>
      </c>
      <c r="C352" s="143" t="s">
        <v>4</v>
      </c>
      <c r="D352" s="144">
        <v>43409</v>
      </c>
      <c r="E352" s="145" t="s">
        <v>177</v>
      </c>
      <c r="F352" s="145" t="s">
        <v>1103</v>
      </c>
      <c r="G352" s="146" t="s">
        <v>1252</v>
      </c>
      <c r="H352" s="146" t="s">
        <v>1041</v>
      </c>
      <c r="I352" s="119" t="s">
        <v>2057</v>
      </c>
      <c r="J352" s="232"/>
      <c r="K352" s="145">
        <v>2038</v>
      </c>
      <c r="L352" s="145">
        <v>12573</v>
      </c>
      <c r="M352" s="147" t="s">
        <v>19</v>
      </c>
      <c r="N352" s="146" t="s">
        <v>1357</v>
      </c>
      <c r="O352" s="146" t="s">
        <v>29</v>
      </c>
      <c r="P352" s="146" t="s">
        <v>176</v>
      </c>
      <c r="Q352" s="232" t="s">
        <v>1358</v>
      </c>
      <c r="R352" s="146" t="s">
        <v>9</v>
      </c>
      <c r="S352" s="146"/>
      <c r="T352" s="232"/>
      <c r="U352" s="232"/>
      <c r="V352" s="158" t="s">
        <v>6</v>
      </c>
      <c r="W352" s="145" t="s">
        <v>177</v>
      </c>
      <c r="X352" s="143">
        <v>43412</v>
      </c>
      <c r="Y352" s="144">
        <f t="shared" si="32"/>
        <v>43501</v>
      </c>
      <c r="Z352" s="235">
        <v>43497</v>
      </c>
      <c r="AA352" s="161" t="str">
        <f t="shared" ca="1" si="37"/>
        <v>YES</v>
      </c>
      <c r="AB352" s="113"/>
      <c r="AC352" s="232"/>
      <c r="AD352" s="232"/>
      <c r="AE352" s="232"/>
      <c r="AF352" s="70" t="str">
        <f t="shared" ca="1" si="33"/>
        <v>N/A</v>
      </c>
      <c r="AG352" s="185">
        <v>528</v>
      </c>
      <c r="AH352" s="185">
        <v>2026</v>
      </c>
      <c r="AI352" s="186">
        <f t="shared" si="34"/>
        <v>2554</v>
      </c>
      <c r="AJ352" s="182" t="s">
        <v>6</v>
      </c>
      <c r="AK352" s="187">
        <v>43773</v>
      </c>
      <c r="AL352" s="232"/>
      <c r="AM352" s="184" t="str">
        <f t="shared" si="35"/>
        <v>18035 Friesland Campina</v>
      </c>
      <c r="AN352" s="184" t="str">
        <f t="shared" si="36"/>
        <v>18035 Friesland Campina : Missing organic membranes</v>
      </c>
    </row>
    <row r="353" spans="1:40" s="76" customFormat="1" ht="14.5" hidden="1" x14ac:dyDescent="0.35">
      <c r="A353" s="122" t="s">
        <v>1359</v>
      </c>
      <c r="B353" s="116">
        <v>18036</v>
      </c>
      <c r="C353" s="113" t="s">
        <v>1193</v>
      </c>
      <c r="D353" s="117">
        <v>43453</v>
      </c>
      <c r="E353" s="118" t="s">
        <v>1318</v>
      </c>
      <c r="F353" s="118" t="s">
        <v>1222</v>
      </c>
      <c r="G353" s="111" t="s">
        <v>1136</v>
      </c>
      <c r="H353" s="111" t="s">
        <v>1360</v>
      </c>
      <c r="I353" s="119" t="s">
        <v>1224</v>
      </c>
      <c r="J353" s="70"/>
      <c r="K353" s="118">
        <v>2060</v>
      </c>
      <c r="L353" s="118">
        <v>13653</v>
      </c>
      <c r="M353" s="147" t="s">
        <v>1185</v>
      </c>
      <c r="N353" s="111" t="s">
        <v>1361</v>
      </c>
      <c r="O353" s="146" t="s">
        <v>29</v>
      </c>
      <c r="P353" s="111" t="s">
        <v>1226</v>
      </c>
      <c r="Q353" s="148" t="s">
        <v>522</v>
      </c>
      <c r="R353" s="146" t="s">
        <v>9</v>
      </c>
      <c r="S353" s="146"/>
      <c r="T353" s="70"/>
      <c r="U353" s="232"/>
      <c r="V353" s="158" t="s">
        <v>6</v>
      </c>
      <c r="W353" s="118" t="s">
        <v>1318</v>
      </c>
      <c r="X353" s="113">
        <v>43465</v>
      </c>
      <c r="Y353" s="117">
        <f t="shared" si="32"/>
        <v>43543</v>
      </c>
      <c r="Z353" s="187">
        <v>43472</v>
      </c>
      <c r="AA353" s="161" t="str">
        <f t="shared" ca="1" si="37"/>
        <v>YES</v>
      </c>
      <c r="AB353" s="113"/>
      <c r="AC353" s="70"/>
      <c r="AD353" s="70"/>
      <c r="AE353" s="70"/>
      <c r="AF353" s="70" t="str">
        <f t="shared" ca="1" si="33"/>
        <v>N/A</v>
      </c>
      <c r="AG353" s="185">
        <v>0</v>
      </c>
      <c r="AH353" s="185">
        <v>350</v>
      </c>
      <c r="AI353" s="186">
        <f t="shared" si="34"/>
        <v>350</v>
      </c>
      <c r="AJ353" s="70"/>
      <c r="AK353" s="70"/>
      <c r="AL353" s="70"/>
      <c r="AM353" s="165" t="str">
        <f t="shared" si="35"/>
        <v>18036 FUFENG</v>
      </c>
      <c r="AN353" s="165" t="str">
        <f t="shared" si="36"/>
        <v>18036 FUFENG : Gaskets of front piping leakage</v>
      </c>
    </row>
    <row r="354" spans="1:40" s="76" customFormat="1" ht="14.5" hidden="1" x14ac:dyDescent="0.35">
      <c r="A354" s="122" t="s">
        <v>1362</v>
      </c>
      <c r="B354" s="116">
        <v>18037</v>
      </c>
      <c r="C354" s="143" t="s">
        <v>4</v>
      </c>
      <c r="D354" s="144">
        <v>43455</v>
      </c>
      <c r="E354" s="145" t="s">
        <v>82</v>
      </c>
      <c r="F354" s="145" t="s">
        <v>658</v>
      </c>
      <c r="G354" s="146" t="s">
        <v>388</v>
      </c>
      <c r="H354" s="146" t="s">
        <v>1041</v>
      </c>
      <c r="I354" s="119" t="s">
        <v>5</v>
      </c>
      <c r="J354" s="232"/>
      <c r="K354" s="145"/>
      <c r="L354" s="145" t="s">
        <v>1363</v>
      </c>
      <c r="M354" s="147" t="s">
        <v>13</v>
      </c>
      <c r="N354" s="146" t="s">
        <v>1364</v>
      </c>
      <c r="O354" s="146" t="s">
        <v>28</v>
      </c>
      <c r="P354" s="146" t="s">
        <v>103</v>
      </c>
      <c r="Q354" s="70" t="s">
        <v>1358</v>
      </c>
      <c r="R354" s="146" t="s">
        <v>145</v>
      </c>
      <c r="S354" s="146"/>
      <c r="T354" s="232"/>
      <c r="U354" s="232"/>
      <c r="V354" s="158" t="s">
        <v>6</v>
      </c>
      <c r="W354" s="118" t="s">
        <v>82</v>
      </c>
      <c r="X354" s="143">
        <v>43473</v>
      </c>
      <c r="Y354" s="144">
        <f t="shared" si="32"/>
        <v>43545</v>
      </c>
      <c r="Z354" s="235">
        <v>43510</v>
      </c>
      <c r="AA354" s="161" t="str">
        <f t="shared" ca="1" si="37"/>
        <v>YES</v>
      </c>
      <c r="AB354" s="113"/>
      <c r="AC354" s="235">
        <v>43442</v>
      </c>
      <c r="AD354" s="187">
        <v>43555</v>
      </c>
      <c r="AE354" s="235">
        <v>43510</v>
      </c>
      <c r="AF354" s="70" t="str">
        <f t="shared" ca="1" si="33"/>
        <v>YES</v>
      </c>
      <c r="AG354" s="185">
        <v>352</v>
      </c>
      <c r="AH354" s="185">
        <v>1200</v>
      </c>
      <c r="AI354" s="186">
        <f t="shared" si="34"/>
        <v>1552</v>
      </c>
      <c r="AJ354" s="236"/>
      <c r="AK354" s="70" t="s">
        <v>1354</v>
      </c>
      <c r="AL354" s="70" t="s">
        <v>1365</v>
      </c>
      <c r="AM354" s="184" t="str">
        <f t="shared" si="35"/>
        <v>18037 GOI</v>
      </c>
      <c r="AN354" s="184" t="str">
        <f t="shared" si="36"/>
        <v>18037 GOI : Damaged gravels bags/pallets</v>
      </c>
    </row>
    <row r="355" spans="1:40" s="76" customFormat="1" ht="14.5" hidden="1" x14ac:dyDescent="0.35">
      <c r="A355" s="122" t="s">
        <v>1366</v>
      </c>
      <c r="B355" s="116">
        <v>19001</v>
      </c>
      <c r="C355" s="143" t="s">
        <v>4</v>
      </c>
      <c r="D355" s="144">
        <v>43481</v>
      </c>
      <c r="E355" s="118" t="s">
        <v>1367</v>
      </c>
      <c r="F355" s="145" t="s">
        <v>691</v>
      </c>
      <c r="G355" s="146" t="s">
        <v>1072</v>
      </c>
      <c r="H355" s="146"/>
      <c r="I355" s="119" t="s">
        <v>2057</v>
      </c>
      <c r="J355" s="232"/>
      <c r="K355" s="145">
        <v>2014</v>
      </c>
      <c r="L355" s="145">
        <v>10416</v>
      </c>
      <c r="M355" s="147" t="s">
        <v>13</v>
      </c>
      <c r="N355" s="111" t="s">
        <v>1368</v>
      </c>
      <c r="O355" s="146" t="s">
        <v>29</v>
      </c>
      <c r="P355" s="146" t="s">
        <v>86</v>
      </c>
      <c r="Q355" s="232" t="s">
        <v>1036</v>
      </c>
      <c r="R355" s="146" t="s">
        <v>9</v>
      </c>
      <c r="S355" s="146"/>
      <c r="T355" s="232"/>
      <c r="U355" s="232"/>
      <c r="V355" s="158" t="s">
        <v>6</v>
      </c>
      <c r="W355" s="145" t="s">
        <v>1367</v>
      </c>
      <c r="X355" s="143">
        <v>43489</v>
      </c>
      <c r="Y355" s="144">
        <f t="shared" si="32"/>
        <v>43571</v>
      </c>
      <c r="Z355" s="187">
        <v>43570</v>
      </c>
      <c r="AA355" s="161" t="str">
        <f t="shared" ca="1" si="37"/>
        <v>YES</v>
      </c>
      <c r="AB355" s="113"/>
      <c r="AC355" s="232"/>
      <c r="AD355" s="232"/>
      <c r="AE355" s="232"/>
      <c r="AF355" s="70" t="str">
        <f t="shared" ca="1" si="33"/>
        <v>N/A</v>
      </c>
      <c r="AG355" s="185">
        <v>1256</v>
      </c>
      <c r="AH355" s="185">
        <v>5000</v>
      </c>
      <c r="AI355" s="186">
        <f t="shared" si="34"/>
        <v>6256</v>
      </c>
      <c r="AJ355" s="191" t="s">
        <v>6</v>
      </c>
      <c r="AK355" s="187">
        <v>44160</v>
      </c>
      <c r="AL355" s="232"/>
      <c r="AM355" s="184" t="str">
        <f t="shared" si="35"/>
        <v>19001 Agrana</v>
      </c>
      <c r="AN355" s="184" t="str">
        <f t="shared" si="36"/>
        <v>19001 Agrana : Back wash tank design</v>
      </c>
    </row>
    <row r="356" spans="1:40" s="76" customFormat="1" ht="14.5" hidden="1" x14ac:dyDescent="0.35">
      <c r="A356" s="122" t="s">
        <v>1369</v>
      </c>
      <c r="B356" s="116">
        <v>19002</v>
      </c>
      <c r="C356" s="113" t="s">
        <v>1193</v>
      </c>
      <c r="D356" s="144">
        <v>43493</v>
      </c>
      <c r="E356" s="118" t="s">
        <v>1162</v>
      </c>
      <c r="F356" s="118" t="s">
        <v>1222</v>
      </c>
      <c r="G356" s="111" t="s">
        <v>1370</v>
      </c>
      <c r="H356" s="111" t="s">
        <v>1371</v>
      </c>
      <c r="I356" s="119" t="s">
        <v>2057</v>
      </c>
      <c r="J356" s="232"/>
      <c r="K356" s="118">
        <v>2070</v>
      </c>
      <c r="L356" s="118">
        <v>13599</v>
      </c>
      <c r="M356" s="147" t="s">
        <v>1372</v>
      </c>
      <c r="N356" s="111" t="s">
        <v>1373</v>
      </c>
      <c r="O356" s="111" t="s">
        <v>29</v>
      </c>
      <c r="P356" s="146" t="s">
        <v>86</v>
      </c>
      <c r="Q356" s="70" t="s">
        <v>1374</v>
      </c>
      <c r="R356" s="146" t="s">
        <v>15</v>
      </c>
      <c r="S356" s="146"/>
      <c r="T356" s="70"/>
      <c r="U356" s="232"/>
      <c r="V356" s="158" t="s">
        <v>6</v>
      </c>
      <c r="W356" s="118" t="s">
        <v>1311</v>
      </c>
      <c r="X356" s="113">
        <v>43539</v>
      </c>
      <c r="Y356" s="117">
        <f t="shared" si="32"/>
        <v>43583</v>
      </c>
      <c r="Z356" s="187">
        <v>43542</v>
      </c>
      <c r="AA356" s="161" t="str">
        <f t="shared" ca="1" si="37"/>
        <v>YES</v>
      </c>
      <c r="AB356" s="113"/>
      <c r="AC356" s="70"/>
      <c r="AD356" s="70"/>
      <c r="AE356" s="70"/>
      <c r="AF356" s="70" t="str">
        <f t="shared" ca="1" si="33"/>
        <v>N/A</v>
      </c>
      <c r="AG356" s="185">
        <v>213.33333333333331</v>
      </c>
      <c r="AH356" s="185">
        <v>62.173333333333346</v>
      </c>
      <c r="AI356" s="186">
        <f t="shared" si="34"/>
        <v>275.50666666666666</v>
      </c>
      <c r="AJ356" s="70"/>
      <c r="AK356" s="70"/>
      <c r="AL356" s="70"/>
      <c r="AM356" s="165" t="str">
        <f t="shared" si="35"/>
        <v>19002 QNS</v>
      </c>
      <c r="AN356" s="165" t="str">
        <f t="shared" si="36"/>
        <v>19002 QNS : Material of 300# gasket should be PTFE instead of EPDM, wrong chosed in spec</v>
      </c>
    </row>
    <row r="357" spans="1:40" s="76" customFormat="1" ht="14.5" hidden="1" x14ac:dyDescent="0.35">
      <c r="A357" s="122" t="s">
        <v>1375</v>
      </c>
      <c r="B357" s="116">
        <v>19003</v>
      </c>
      <c r="C357" s="143" t="s">
        <v>4</v>
      </c>
      <c r="D357" s="144">
        <v>43502</v>
      </c>
      <c r="E357" s="145" t="s">
        <v>224</v>
      </c>
      <c r="F357" s="116" t="s">
        <v>1103</v>
      </c>
      <c r="G357" s="146" t="s">
        <v>1252</v>
      </c>
      <c r="H357" s="146" t="s">
        <v>1376</v>
      </c>
      <c r="I357" s="119" t="s">
        <v>2056</v>
      </c>
      <c r="J357" s="70" t="s">
        <v>1332</v>
      </c>
      <c r="K357" s="145">
        <v>2047</v>
      </c>
      <c r="L357" s="145">
        <v>13149</v>
      </c>
      <c r="M357" s="147" t="s">
        <v>11</v>
      </c>
      <c r="N357" s="146" t="s">
        <v>1377</v>
      </c>
      <c r="O357" s="146" t="s">
        <v>29</v>
      </c>
      <c r="P357" s="146" t="s">
        <v>176</v>
      </c>
      <c r="Q357" s="232"/>
      <c r="R357" s="146" t="s">
        <v>9</v>
      </c>
      <c r="S357" s="111" t="s">
        <v>1344</v>
      </c>
      <c r="T357" s="232"/>
      <c r="U357" s="232"/>
      <c r="V357" s="158" t="s">
        <v>6</v>
      </c>
      <c r="W357" s="145" t="s">
        <v>224</v>
      </c>
      <c r="X357" s="143">
        <v>43514</v>
      </c>
      <c r="Y357" s="144">
        <f t="shared" si="32"/>
        <v>43591</v>
      </c>
      <c r="Z357" s="235">
        <v>43721</v>
      </c>
      <c r="AA357" s="161" t="str">
        <f t="shared" ca="1" si="37"/>
        <v>NO</v>
      </c>
      <c r="AB357" s="113"/>
      <c r="AC357" s="232"/>
      <c r="AD357" s="232"/>
      <c r="AE357" s="232"/>
      <c r="AF357" s="70" t="str">
        <f t="shared" ca="1" si="33"/>
        <v>N/A</v>
      </c>
      <c r="AG357" s="185">
        <v>23092</v>
      </c>
      <c r="AH357" s="185">
        <v>78494</v>
      </c>
      <c r="AI357" s="186">
        <f t="shared" si="34"/>
        <v>101586</v>
      </c>
      <c r="AJ357" s="236"/>
      <c r="AK357" s="70" t="s">
        <v>1378</v>
      </c>
      <c r="AL357" s="70" t="s">
        <v>1379</v>
      </c>
      <c r="AM357" s="184" t="str">
        <f t="shared" si="35"/>
        <v>19003 Friesland Campina</v>
      </c>
      <c r="AN357" s="184" t="str">
        <f t="shared" si="36"/>
        <v>19003 Friesland Campina : Welding quality issue chromato columns</v>
      </c>
    </row>
    <row r="358" spans="1:40" s="76" customFormat="1" ht="14.5" hidden="1" x14ac:dyDescent="0.35">
      <c r="A358" s="122" t="s">
        <v>1380</v>
      </c>
      <c r="B358" s="116">
        <v>19004</v>
      </c>
      <c r="C358" s="143" t="s">
        <v>4</v>
      </c>
      <c r="D358" s="144">
        <v>43509</v>
      </c>
      <c r="E358" s="145" t="s">
        <v>1381</v>
      </c>
      <c r="F358" s="145" t="s">
        <v>420</v>
      </c>
      <c r="G358" s="146" t="s">
        <v>1382</v>
      </c>
      <c r="H358" s="146"/>
      <c r="I358" s="119" t="s">
        <v>17</v>
      </c>
      <c r="J358" s="232"/>
      <c r="K358" s="145"/>
      <c r="L358" s="145" t="s">
        <v>1383</v>
      </c>
      <c r="M358" s="147" t="s">
        <v>11</v>
      </c>
      <c r="N358" s="146" t="s">
        <v>1384</v>
      </c>
      <c r="O358" s="111" t="s">
        <v>420</v>
      </c>
      <c r="P358" s="146" t="s">
        <v>80</v>
      </c>
      <c r="Q358" s="232" t="s">
        <v>1036</v>
      </c>
      <c r="R358" s="146" t="s">
        <v>9</v>
      </c>
      <c r="S358" s="146"/>
      <c r="T358" s="232"/>
      <c r="U358" s="232"/>
      <c r="V358" s="158" t="s">
        <v>10</v>
      </c>
      <c r="W358" s="145"/>
      <c r="X358" s="143"/>
      <c r="Y358" s="144">
        <f t="shared" si="32"/>
        <v>43598</v>
      </c>
      <c r="Z358" s="235">
        <v>43591</v>
      </c>
      <c r="AA358" s="161" t="str">
        <f t="shared" ca="1" si="37"/>
        <v>YES</v>
      </c>
      <c r="AB358" s="113"/>
      <c r="AC358" s="232"/>
      <c r="AD358" s="232"/>
      <c r="AE358" s="232"/>
      <c r="AF358" s="70" t="str">
        <f t="shared" ca="1" si="33"/>
        <v>N/A</v>
      </c>
      <c r="AG358" s="185">
        <v>1293.5999999999999</v>
      </c>
      <c r="AH358" s="185">
        <v>0</v>
      </c>
      <c r="AI358" s="186">
        <f t="shared" si="34"/>
        <v>1293.5999999999999</v>
      </c>
      <c r="AJ358" s="191" t="s">
        <v>6</v>
      </c>
      <c r="AK358" s="187">
        <v>44151</v>
      </c>
      <c r="AL358" s="232"/>
      <c r="AM358" s="184" t="str">
        <f t="shared" si="35"/>
        <v>19004 Sunar</v>
      </c>
      <c r="AN358" s="184" t="str">
        <f t="shared" si="36"/>
        <v>19004 Sunar : Insufficient URS at the begining of the project</v>
      </c>
    </row>
    <row r="359" spans="1:40" s="76" customFormat="1" ht="14.5" hidden="1" x14ac:dyDescent="0.35">
      <c r="A359" s="122" t="s">
        <v>1385</v>
      </c>
      <c r="B359" s="116">
        <v>19005</v>
      </c>
      <c r="C359" s="143" t="s">
        <v>4</v>
      </c>
      <c r="D359" s="144">
        <v>43515</v>
      </c>
      <c r="E359" s="145" t="s">
        <v>1386</v>
      </c>
      <c r="F359" s="145" t="s">
        <v>658</v>
      </c>
      <c r="G359" s="146" t="s">
        <v>388</v>
      </c>
      <c r="H359" s="146" t="s">
        <v>309</v>
      </c>
      <c r="I359" s="119" t="s">
        <v>2056</v>
      </c>
      <c r="J359" s="232"/>
      <c r="K359" s="145"/>
      <c r="L359" s="145" t="s">
        <v>1363</v>
      </c>
      <c r="M359" s="147" t="s">
        <v>13</v>
      </c>
      <c r="N359" s="146" t="s">
        <v>1387</v>
      </c>
      <c r="O359" s="146" t="s">
        <v>28</v>
      </c>
      <c r="P359" s="146" t="s">
        <v>103</v>
      </c>
      <c r="Q359" s="232" t="s">
        <v>1388</v>
      </c>
      <c r="R359" s="146" t="s">
        <v>145</v>
      </c>
      <c r="S359" s="146"/>
      <c r="T359" s="232"/>
      <c r="U359" s="232"/>
      <c r="V359" s="158" t="s">
        <v>10</v>
      </c>
      <c r="W359" s="145"/>
      <c r="X359" s="143"/>
      <c r="Y359" s="144">
        <f t="shared" si="32"/>
        <v>43604</v>
      </c>
      <c r="Z359" s="235">
        <v>43594</v>
      </c>
      <c r="AA359" s="161" t="str">
        <f t="shared" ca="1" si="37"/>
        <v>YES</v>
      </c>
      <c r="AB359" s="113"/>
      <c r="AC359" s="232"/>
      <c r="AD359" s="232"/>
      <c r="AE359" s="232"/>
      <c r="AF359" s="70" t="str">
        <f t="shared" ca="1" si="33"/>
        <v>N/A</v>
      </c>
      <c r="AG359" s="185">
        <v>2992</v>
      </c>
      <c r="AH359" s="185">
        <v>0</v>
      </c>
      <c r="AI359" s="186">
        <f t="shared" si="34"/>
        <v>2992</v>
      </c>
      <c r="AJ359" s="182" t="s">
        <v>10</v>
      </c>
      <c r="AK359" s="187">
        <v>43816</v>
      </c>
      <c r="AL359" s="70" t="s">
        <v>1389</v>
      </c>
      <c r="AM359" s="184" t="str">
        <f t="shared" si="35"/>
        <v>19005 GOI</v>
      </c>
      <c r="AN359" s="184" t="str">
        <f t="shared" si="36"/>
        <v>19005 GOI : Poor packaging of resins</v>
      </c>
    </row>
    <row r="360" spans="1:40" s="76" customFormat="1" ht="14.5" hidden="1" x14ac:dyDescent="0.35">
      <c r="A360" s="122" t="s">
        <v>1390</v>
      </c>
      <c r="B360" s="116">
        <v>19006</v>
      </c>
      <c r="C360" s="143" t="s">
        <v>4</v>
      </c>
      <c r="D360" s="144">
        <v>43529</v>
      </c>
      <c r="E360" s="145" t="s">
        <v>1386</v>
      </c>
      <c r="F360" s="145" t="s">
        <v>658</v>
      </c>
      <c r="G360" s="146" t="s">
        <v>1391</v>
      </c>
      <c r="H360" s="146" t="s">
        <v>1041</v>
      </c>
      <c r="I360" s="119" t="s">
        <v>2056</v>
      </c>
      <c r="J360" s="70" t="s">
        <v>1332</v>
      </c>
      <c r="K360" s="145"/>
      <c r="L360" s="145" t="s">
        <v>1392</v>
      </c>
      <c r="M360" s="147" t="s">
        <v>13</v>
      </c>
      <c r="N360" s="146" t="s">
        <v>1393</v>
      </c>
      <c r="O360" s="146" t="s">
        <v>28</v>
      </c>
      <c r="P360" s="146" t="s">
        <v>103</v>
      </c>
      <c r="Q360" s="232" t="s">
        <v>510</v>
      </c>
      <c r="R360" s="146" t="s">
        <v>145</v>
      </c>
      <c r="S360" s="146"/>
      <c r="T360" s="112" t="s">
        <v>1394</v>
      </c>
      <c r="U360" s="232"/>
      <c r="V360" s="158" t="s">
        <v>6</v>
      </c>
      <c r="W360" s="118" t="s">
        <v>82</v>
      </c>
      <c r="X360" s="143">
        <v>43558</v>
      </c>
      <c r="Y360" s="144">
        <f t="shared" si="32"/>
        <v>43621</v>
      </c>
      <c r="Z360" s="187">
        <v>43592</v>
      </c>
      <c r="AA360" s="161" t="str">
        <f t="shared" ca="1" si="37"/>
        <v>YES</v>
      </c>
      <c r="AB360" s="113"/>
      <c r="AC360" s="232"/>
      <c r="AD360" s="232"/>
      <c r="AE360" s="232"/>
      <c r="AF360" s="70" t="str">
        <f t="shared" ca="1" si="33"/>
        <v>N/A</v>
      </c>
      <c r="AG360" s="185">
        <v>1564</v>
      </c>
      <c r="AH360" s="185">
        <v>2000</v>
      </c>
      <c r="AI360" s="186">
        <f t="shared" si="34"/>
        <v>3564</v>
      </c>
      <c r="AJ360" s="191" t="s">
        <v>6</v>
      </c>
      <c r="AK360" s="187">
        <v>44153</v>
      </c>
      <c r="AL360" s="232"/>
      <c r="AM360" s="184" t="str">
        <f t="shared" si="35"/>
        <v>19006 Parag</v>
      </c>
      <c r="AN360" s="184" t="str">
        <f t="shared" si="36"/>
        <v>19006 Parag : Bad resine reference sent to customer</v>
      </c>
    </row>
    <row r="361" spans="1:40" s="76" customFormat="1" ht="14.5" hidden="1" x14ac:dyDescent="0.35">
      <c r="A361" s="122" t="s">
        <v>1395</v>
      </c>
      <c r="B361" s="116">
        <v>19007</v>
      </c>
      <c r="C361" s="113" t="s">
        <v>4</v>
      </c>
      <c r="D361" s="117">
        <v>43529</v>
      </c>
      <c r="E361" s="118" t="s">
        <v>1396</v>
      </c>
      <c r="F361" s="118" t="s">
        <v>164</v>
      </c>
      <c r="G361" s="111" t="s">
        <v>1397</v>
      </c>
      <c r="H361" s="111"/>
      <c r="I361" s="119" t="s">
        <v>2057</v>
      </c>
      <c r="J361" s="232"/>
      <c r="K361" s="118">
        <v>2073</v>
      </c>
      <c r="L361" s="118">
        <v>13929</v>
      </c>
      <c r="M361" s="147" t="s">
        <v>338</v>
      </c>
      <c r="N361" s="111" t="s">
        <v>1398</v>
      </c>
      <c r="O361" s="111" t="s">
        <v>29</v>
      </c>
      <c r="P361" s="111" t="s">
        <v>86</v>
      </c>
      <c r="Q361" s="70" t="s">
        <v>1036</v>
      </c>
      <c r="R361" s="111" t="s">
        <v>9</v>
      </c>
      <c r="S361" s="111"/>
      <c r="T361" s="70"/>
      <c r="U361" s="232"/>
      <c r="V361" s="158" t="s">
        <v>6</v>
      </c>
      <c r="W361" s="118" t="s">
        <v>1396</v>
      </c>
      <c r="X361" s="113">
        <v>43531</v>
      </c>
      <c r="Y361" s="117">
        <f t="shared" si="32"/>
        <v>43621</v>
      </c>
      <c r="Z361" s="187">
        <v>43607</v>
      </c>
      <c r="AA361" s="161" t="str">
        <f t="shared" ca="1" si="37"/>
        <v>YES</v>
      </c>
      <c r="AB361" s="113"/>
      <c r="AC361" s="70"/>
      <c r="AD361" s="70"/>
      <c r="AE361" s="70"/>
      <c r="AF361" s="70" t="str">
        <f t="shared" ca="1" si="33"/>
        <v>N/A</v>
      </c>
      <c r="AG361" s="185">
        <v>0</v>
      </c>
      <c r="AH361" s="185">
        <v>47500</v>
      </c>
      <c r="AI361" s="186">
        <f t="shared" si="34"/>
        <v>47500</v>
      </c>
      <c r="AJ361" s="191" t="s">
        <v>6</v>
      </c>
      <c r="AK361" s="187">
        <v>44153</v>
      </c>
      <c r="AL361" s="70"/>
      <c r="AM361" s="165" t="str">
        <f t="shared" si="35"/>
        <v>19007 OLON</v>
      </c>
      <c r="AN361" s="165" t="str">
        <f t="shared" si="36"/>
        <v>19007 OLON : Important budget difference between offer and order of self-cleaning filters</v>
      </c>
    </row>
    <row r="362" spans="1:40" s="76" customFormat="1" ht="14.5" hidden="1" x14ac:dyDescent="0.35">
      <c r="A362" s="122" t="s">
        <v>1399</v>
      </c>
      <c r="B362" s="116">
        <v>19008</v>
      </c>
      <c r="C362" s="143" t="s">
        <v>4</v>
      </c>
      <c r="D362" s="144">
        <v>43539</v>
      </c>
      <c r="E362" s="145" t="s">
        <v>621</v>
      </c>
      <c r="F362" s="145" t="s">
        <v>164</v>
      </c>
      <c r="G362" s="146" t="s">
        <v>1400</v>
      </c>
      <c r="H362" s="146" t="s">
        <v>1287</v>
      </c>
      <c r="I362" s="119" t="s">
        <v>2057</v>
      </c>
      <c r="J362" s="232"/>
      <c r="K362" s="145">
        <v>2052</v>
      </c>
      <c r="L362" s="145">
        <v>12322</v>
      </c>
      <c r="M362" s="147" t="s">
        <v>11</v>
      </c>
      <c r="N362" s="146" t="s">
        <v>1401</v>
      </c>
      <c r="O362" s="146" t="s">
        <v>29</v>
      </c>
      <c r="P362" s="146" t="s">
        <v>86</v>
      </c>
      <c r="Q362" s="232" t="s">
        <v>1289</v>
      </c>
      <c r="R362" s="146" t="s">
        <v>9</v>
      </c>
      <c r="S362" s="146"/>
      <c r="T362" s="232"/>
      <c r="U362" s="232"/>
      <c r="V362" s="158" t="s">
        <v>10</v>
      </c>
      <c r="W362" s="145"/>
      <c r="X362" s="143"/>
      <c r="Y362" s="144">
        <f t="shared" si="32"/>
        <v>43631</v>
      </c>
      <c r="Z362" s="187">
        <v>43628</v>
      </c>
      <c r="AA362" s="161" t="str">
        <f t="shared" ca="1" si="37"/>
        <v>YES</v>
      </c>
      <c r="AB362" s="113"/>
      <c r="AC362" s="232"/>
      <c r="AD362" s="232"/>
      <c r="AE362" s="232"/>
      <c r="AF362" s="70" t="str">
        <f t="shared" ca="1" si="33"/>
        <v>N/A</v>
      </c>
      <c r="AG362" s="185">
        <v>2484</v>
      </c>
      <c r="AH362" s="185">
        <v>0</v>
      </c>
      <c r="AI362" s="186">
        <f t="shared" si="34"/>
        <v>2484</v>
      </c>
      <c r="AJ362" s="191" t="s">
        <v>6</v>
      </c>
      <c r="AK362" s="187">
        <v>44152</v>
      </c>
      <c r="AL362" s="232"/>
      <c r="AM362" s="184" t="str">
        <f t="shared" si="35"/>
        <v>19008 ALKEM</v>
      </c>
      <c r="AN362" s="184" t="str">
        <f t="shared" si="36"/>
        <v>19008 ALKEM : Bad wiring done by customer from electrical diagrams provided</v>
      </c>
    </row>
    <row r="363" spans="1:40" s="76" customFormat="1" ht="14.5" hidden="1" x14ac:dyDescent="0.35">
      <c r="A363" s="122" t="s">
        <v>1402</v>
      </c>
      <c r="B363" s="116">
        <v>19009</v>
      </c>
      <c r="C363" s="143" t="s">
        <v>4</v>
      </c>
      <c r="D363" s="144">
        <v>43543</v>
      </c>
      <c r="E363" s="145" t="s">
        <v>82</v>
      </c>
      <c r="F363" s="145" t="s">
        <v>1403</v>
      </c>
      <c r="G363" s="146" t="s">
        <v>782</v>
      </c>
      <c r="H363" s="146" t="s">
        <v>1240</v>
      </c>
      <c r="I363" s="119" t="s">
        <v>2057</v>
      </c>
      <c r="J363" s="232"/>
      <c r="K363" s="145"/>
      <c r="L363" s="145" t="s">
        <v>1404</v>
      </c>
      <c r="M363" s="147" t="s">
        <v>338</v>
      </c>
      <c r="N363" s="146" t="s">
        <v>1405</v>
      </c>
      <c r="O363" s="146" t="s">
        <v>28</v>
      </c>
      <c r="P363" s="146" t="s">
        <v>103</v>
      </c>
      <c r="Q363" s="232" t="s">
        <v>634</v>
      </c>
      <c r="R363" s="111" t="s">
        <v>9</v>
      </c>
      <c r="S363" s="111"/>
      <c r="T363" s="232"/>
      <c r="U363" s="232"/>
      <c r="V363" s="158" t="s">
        <v>6</v>
      </c>
      <c r="W363" s="145" t="s">
        <v>82</v>
      </c>
      <c r="X363" s="143">
        <v>43556</v>
      </c>
      <c r="Y363" s="144">
        <f t="shared" si="32"/>
        <v>43635</v>
      </c>
      <c r="Z363" s="235">
        <v>43633</v>
      </c>
      <c r="AA363" s="161" t="str">
        <f t="shared" ca="1" si="37"/>
        <v>YES</v>
      </c>
      <c r="AB363" s="113"/>
      <c r="AC363" s="232"/>
      <c r="AD363" s="232"/>
      <c r="AE363" s="232"/>
      <c r="AF363" s="70" t="str">
        <f t="shared" ca="1" si="33"/>
        <v>N/A</v>
      </c>
      <c r="AG363" s="185">
        <v>736</v>
      </c>
      <c r="AH363" s="185">
        <v>0</v>
      </c>
      <c r="AI363" s="186">
        <f t="shared" si="34"/>
        <v>736</v>
      </c>
      <c r="AJ363" s="191" t="s">
        <v>6</v>
      </c>
      <c r="AK363" s="187">
        <v>44153</v>
      </c>
      <c r="AL363" s="232"/>
      <c r="AM363" s="184" t="str">
        <f t="shared" si="35"/>
        <v>19009 BBCA</v>
      </c>
      <c r="AN363" s="184" t="str">
        <f t="shared" si="36"/>
        <v>19009 BBCA : Delay to place purchase order</v>
      </c>
    </row>
    <row r="364" spans="1:40" s="76" customFormat="1" ht="14.5" hidden="1" x14ac:dyDescent="0.35">
      <c r="A364" s="122" t="s">
        <v>1406</v>
      </c>
      <c r="B364" s="116">
        <v>19010</v>
      </c>
      <c r="C364" s="143" t="s">
        <v>4</v>
      </c>
      <c r="D364" s="144">
        <v>43545</v>
      </c>
      <c r="E364" s="145" t="s">
        <v>195</v>
      </c>
      <c r="F364" s="145" t="s">
        <v>420</v>
      </c>
      <c r="G364" s="146" t="s">
        <v>1407</v>
      </c>
      <c r="H364" s="146"/>
      <c r="I364" s="119" t="s">
        <v>2057</v>
      </c>
      <c r="J364" s="232"/>
      <c r="K364" s="145"/>
      <c r="L364" s="145" t="s">
        <v>1408</v>
      </c>
      <c r="M364" s="147"/>
      <c r="N364" s="146" t="s">
        <v>1409</v>
      </c>
      <c r="O364" s="111" t="s">
        <v>420</v>
      </c>
      <c r="P364" s="146" t="s">
        <v>80</v>
      </c>
      <c r="Q364" s="70" t="s">
        <v>1410</v>
      </c>
      <c r="R364" s="146" t="s">
        <v>15</v>
      </c>
      <c r="S364" s="146"/>
      <c r="T364" s="232"/>
      <c r="U364" s="232"/>
      <c r="V364" s="158" t="s">
        <v>10</v>
      </c>
      <c r="W364" s="145"/>
      <c r="X364" s="143"/>
      <c r="Y364" s="144">
        <f t="shared" si="32"/>
        <v>43637</v>
      </c>
      <c r="Z364" s="235">
        <v>43635</v>
      </c>
      <c r="AA364" s="161" t="str">
        <f t="shared" ca="1" si="37"/>
        <v>YES</v>
      </c>
      <c r="AB364" s="113"/>
      <c r="AC364" s="232"/>
      <c r="AD364" s="232"/>
      <c r="AE364" s="232"/>
      <c r="AF364" s="70" t="str">
        <f t="shared" ca="1" si="33"/>
        <v>N/A</v>
      </c>
      <c r="AG364" s="185">
        <v>276</v>
      </c>
      <c r="AH364" s="185">
        <v>0</v>
      </c>
      <c r="AI364" s="186">
        <f t="shared" si="34"/>
        <v>276</v>
      </c>
      <c r="AJ364" s="191" t="s">
        <v>6</v>
      </c>
      <c r="AK364" s="187">
        <v>44153</v>
      </c>
      <c r="AL364" s="232"/>
      <c r="AM364" s="184" t="str">
        <f t="shared" si="35"/>
        <v>19010 Danone</v>
      </c>
      <c r="AN364" s="184" t="str">
        <f t="shared" si="36"/>
        <v>19010 Danone : Hydrolysis of a customer sample stored at room temperature</v>
      </c>
    </row>
    <row r="365" spans="1:40" s="76" customFormat="1" ht="14.5" hidden="1" x14ac:dyDescent="0.35">
      <c r="A365" s="122" t="s">
        <v>1411</v>
      </c>
      <c r="B365" s="116">
        <v>19011</v>
      </c>
      <c r="C365" s="113" t="s">
        <v>1193</v>
      </c>
      <c r="D365" s="144">
        <v>43556</v>
      </c>
      <c r="E365" s="118" t="s">
        <v>1162</v>
      </c>
      <c r="F365" s="118" t="s">
        <v>1222</v>
      </c>
      <c r="G365" s="111" t="s">
        <v>1412</v>
      </c>
      <c r="H365" s="111" t="s">
        <v>1168</v>
      </c>
      <c r="I365" s="119" t="s">
        <v>2057</v>
      </c>
      <c r="J365" s="232"/>
      <c r="K365" s="118">
        <v>2077</v>
      </c>
      <c r="L365" s="118">
        <v>13825</v>
      </c>
      <c r="M365" s="147" t="s">
        <v>1181</v>
      </c>
      <c r="N365" s="111" t="s">
        <v>1413</v>
      </c>
      <c r="O365" s="111" t="s">
        <v>29</v>
      </c>
      <c r="P365" s="111" t="s">
        <v>86</v>
      </c>
      <c r="Q365" s="70" t="s">
        <v>885</v>
      </c>
      <c r="R365" s="146" t="s">
        <v>9</v>
      </c>
      <c r="S365" s="146"/>
      <c r="T365" s="70"/>
      <c r="U365" s="232"/>
      <c r="V365" s="158" t="s">
        <v>1414</v>
      </c>
      <c r="W365" s="118" t="s">
        <v>932</v>
      </c>
      <c r="X365" s="113">
        <v>43577</v>
      </c>
      <c r="Y365" s="117">
        <f t="shared" si="32"/>
        <v>43647</v>
      </c>
      <c r="Z365" s="187">
        <v>43629</v>
      </c>
      <c r="AA365" s="161" t="str">
        <f t="shared" ca="1" si="37"/>
        <v>YES</v>
      </c>
      <c r="AB365" s="113"/>
      <c r="AC365" s="70"/>
      <c r="AD365" s="70"/>
      <c r="AE365" s="70"/>
      <c r="AF365" s="70" t="str">
        <f t="shared" ca="1" si="33"/>
        <v>N/A</v>
      </c>
      <c r="AG365" s="185">
        <v>426.66666666666663</v>
      </c>
      <c r="AH365" s="185">
        <v>566.66666666666663</v>
      </c>
      <c r="AI365" s="186">
        <f t="shared" si="34"/>
        <v>993.33333333333326</v>
      </c>
      <c r="AJ365" s="70"/>
      <c r="AK365" s="70"/>
      <c r="AL365" s="70"/>
      <c r="AM365" s="165" t="str">
        <f t="shared" si="35"/>
        <v>19011 CJ Liaocheng</v>
      </c>
      <c r="AN365" s="165" t="str">
        <f t="shared" si="36"/>
        <v>19011 CJ Liaocheng : The height of LSH/LSL is wrong</v>
      </c>
    </row>
    <row r="366" spans="1:40" s="76" customFormat="1" ht="14.5" hidden="1" x14ac:dyDescent="0.35">
      <c r="A366" s="122" t="s">
        <v>1415</v>
      </c>
      <c r="B366" s="116">
        <v>19012</v>
      </c>
      <c r="C366" s="113" t="s">
        <v>1193</v>
      </c>
      <c r="D366" s="144">
        <v>43556</v>
      </c>
      <c r="E366" s="118" t="s">
        <v>1167</v>
      </c>
      <c r="F366" s="118" t="s">
        <v>1222</v>
      </c>
      <c r="G366" s="111" t="s">
        <v>218</v>
      </c>
      <c r="H366" s="147" t="s">
        <v>1416</v>
      </c>
      <c r="I366" s="119" t="s">
        <v>2057</v>
      </c>
      <c r="J366" s="232"/>
      <c r="K366" s="118">
        <v>2069</v>
      </c>
      <c r="L366" s="118">
        <v>13883</v>
      </c>
      <c r="M366" s="147" t="s">
        <v>1185</v>
      </c>
      <c r="N366" s="147" t="s">
        <v>1417</v>
      </c>
      <c r="O366" s="111" t="s">
        <v>28</v>
      </c>
      <c r="P366" s="111" t="s">
        <v>103</v>
      </c>
      <c r="Q366" s="70" t="s">
        <v>1418</v>
      </c>
      <c r="R366" s="146" t="s">
        <v>15</v>
      </c>
      <c r="S366" s="146"/>
      <c r="T366" s="70"/>
      <c r="U366" s="232"/>
      <c r="V366" s="158" t="s">
        <v>1414</v>
      </c>
      <c r="W366" s="118" t="s">
        <v>904</v>
      </c>
      <c r="X366" s="113">
        <v>43561</v>
      </c>
      <c r="Y366" s="117">
        <f t="shared" si="32"/>
        <v>43647</v>
      </c>
      <c r="Z366" s="187">
        <v>43585</v>
      </c>
      <c r="AA366" s="161" t="str">
        <f t="shared" ca="1" si="37"/>
        <v>YES</v>
      </c>
      <c r="AB366" s="113"/>
      <c r="AC366" s="70"/>
      <c r="AD366" s="70"/>
      <c r="AE366" s="70"/>
      <c r="AF366" s="70" t="str">
        <f t="shared" ca="1" si="33"/>
        <v>N/A</v>
      </c>
      <c r="AG366" s="185">
        <v>757.33333333333326</v>
      </c>
      <c r="AH366" s="185">
        <v>2917.333333333333</v>
      </c>
      <c r="AI366" s="186">
        <f t="shared" si="34"/>
        <v>3674.6666666666661</v>
      </c>
      <c r="AJ366" s="70"/>
      <c r="AK366" s="70"/>
      <c r="AL366" s="70"/>
      <c r="AM366" s="165" t="str">
        <f t="shared" si="35"/>
        <v>19012 CJ Jombang Indonesia</v>
      </c>
      <c r="AN366" s="165" t="str">
        <f t="shared" si="36"/>
        <v>19012 CJ Jombang Indonesia : The resin package should be blank.</v>
      </c>
    </row>
    <row r="367" spans="1:40" s="76" customFormat="1" ht="14.5" hidden="1" x14ac:dyDescent="0.35">
      <c r="A367" s="122" t="s">
        <v>1419</v>
      </c>
      <c r="B367" s="116">
        <v>19013</v>
      </c>
      <c r="C367" s="143" t="s">
        <v>4</v>
      </c>
      <c r="D367" s="144">
        <v>43557</v>
      </c>
      <c r="E367" s="145" t="s">
        <v>1396</v>
      </c>
      <c r="F367" s="145" t="s">
        <v>164</v>
      </c>
      <c r="G367" s="146" t="s">
        <v>1331</v>
      </c>
      <c r="H367" s="146" t="s">
        <v>1420</v>
      </c>
      <c r="I367" s="119" t="s">
        <v>2057</v>
      </c>
      <c r="J367" s="232"/>
      <c r="K367" s="145">
        <v>2070</v>
      </c>
      <c r="L367" s="145">
        <v>13599</v>
      </c>
      <c r="M367" s="147" t="s">
        <v>13</v>
      </c>
      <c r="N367" s="146" t="s">
        <v>1421</v>
      </c>
      <c r="O367" s="146" t="s">
        <v>29</v>
      </c>
      <c r="P367" s="146" t="s">
        <v>176</v>
      </c>
      <c r="Q367" s="70" t="s">
        <v>885</v>
      </c>
      <c r="R367" s="146" t="s">
        <v>15</v>
      </c>
      <c r="S367" s="146"/>
      <c r="T367" s="232"/>
      <c r="U367" s="232"/>
      <c r="V367" s="158" t="s">
        <v>6</v>
      </c>
      <c r="W367" s="145" t="s">
        <v>1396</v>
      </c>
      <c r="X367" s="143">
        <v>43558</v>
      </c>
      <c r="Y367" s="144">
        <f t="shared" si="32"/>
        <v>43648</v>
      </c>
      <c r="Z367" s="235">
        <v>43647</v>
      </c>
      <c r="AA367" s="161" t="str">
        <f t="shared" ca="1" si="37"/>
        <v>YES</v>
      </c>
      <c r="AB367" s="113"/>
      <c r="AC367" s="232"/>
      <c r="AD367" s="232"/>
      <c r="AE367" s="232"/>
      <c r="AF367" s="70" t="str">
        <f t="shared" ca="1" si="33"/>
        <v>N/A</v>
      </c>
      <c r="AG367" s="185">
        <v>460</v>
      </c>
      <c r="AH367" s="185">
        <v>2260</v>
      </c>
      <c r="AI367" s="186">
        <f t="shared" si="34"/>
        <v>2720</v>
      </c>
      <c r="AJ367" s="191" t="s">
        <v>6</v>
      </c>
      <c r="AK367" s="187">
        <v>44153</v>
      </c>
      <c r="AL367" s="232"/>
      <c r="AM367" s="184" t="str">
        <f t="shared" si="35"/>
        <v>19013 QNS</v>
      </c>
      <c r="AN367" s="184" t="str">
        <f t="shared" si="36"/>
        <v>19013 QNS : Blower not purchased on time</v>
      </c>
    </row>
    <row r="368" spans="1:40" s="76" customFormat="1" ht="14.5" hidden="1" x14ac:dyDescent="0.35">
      <c r="A368" s="122" t="s">
        <v>1422</v>
      </c>
      <c r="B368" s="116">
        <v>19014</v>
      </c>
      <c r="C368" s="143" t="s">
        <v>4</v>
      </c>
      <c r="D368" s="144">
        <v>43564</v>
      </c>
      <c r="E368" s="145" t="s">
        <v>813</v>
      </c>
      <c r="F368" s="145" t="s">
        <v>164</v>
      </c>
      <c r="G368" s="146" t="s">
        <v>1423</v>
      </c>
      <c r="H368" s="146" t="s">
        <v>858</v>
      </c>
      <c r="I368" s="119" t="s">
        <v>2057</v>
      </c>
      <c r="J368" s="232"/>
      <c r="K368" s="145">
        <v>2067</v>
      </c>
      <c r="L368" s="145">
        <v>11925</v>
      </c>
      <c r="M368" s="147" t="s">
        <v>11</v>
      </c>
      <c r="N368" s="146" t="s">
        <v>1424</v>
      </c>
      <c r="O368" s="146" t="s">
        <v>29</v>
      </c>
      <c r="P368" s="146" t="s">
        <v>176</v>
      </c>
      <c r="Q368" s="232" t="s">
        <v>522</v>
      </c>
      <c r="R368" s="146" t="s">
        <v>15</v>
      </c>
      <c r="S368" s="146"/>
      <c r="T368" s="232"/>
      <c r="U368" s="232"/>
      <c r="V368" s="158" t="s">
        <v>6</v>
      </c>
      <c r="W368" s="118" t="s">
        <v>116</v>
      </c>
      <c r="X368" s="143">
        <v>43571</v>
      </c>
      <c r="Y368" s="144">
        <f t="shared" si="32"/>
        <v>43655</v>
      </c>
      <c r="Z368" s="235">
        <v>43651</v>
      </c>
      <c r="AA368" s="161" t="str">
        <f t="shared" ca="1" si="37"/>
        <v>YES</v>
      </c>
      <c r="AB368" s="113"/>
      <c r="AC368" s="232"/>
      <c r="AD368" s="232"/>
      <c r="AE368" s="232"/>
      <c r="AF368" s="70" t="str">
        <f t="shared" ca="1" si="33"/>
        <v>N/A</v>
      </c>
      <c r="AG368" s="185">
        <v>1472</v>
      </c>
      <c r="AH368" s="185">
        <v>25547</v>
      </c>
      <c r="AI368" s="186">
        <f t="shared" si="34"/>
        <v>27019</v>
      </c>
      <c r="AJ368" s="191" t="s">
        <v>6</v>
      </c>
      <c r="AK368" s="187">
        <v>44148</v>
      </c>
      <c r="AL368" s="232"/>
      <c r="AM368" s="184" t="str">
        <f t="shared" si="35"/>
        <v>19014 Ingredion</v>
      </c>
      <c r="AN368" s="184" t="str">
        <f t="shared" si="36"/>
        <v>19014 Ingredion : Material of butterfly valves</v>
      </c>
    </row>
    <row r="369" spans="1:40" s="76" customFormat="1" ht="14.5" hidden="1" x14ac:dyDescent="0.35">
      <c r="A369" s="122" t="s">
        <v>1425</v>
      </c>
      <c r="B369" s="116">
        <v>19015</v>
      </c>
      <c r="C369" s="143" t="s">
        <v>4</v>
      </c>
      <c r="D369" s="144">
        <v>43566</v>
      </c>
      <c r="E369" s="145" t="s">
        <v>224</v>
      </c>
      <c r="F369" s="145" t="s">
        <v>164</v>
      </c>
      <c r="G369" s="146" t="s">
        <v>1426</v>
      </c>
      <c r="H369" s="146" t="s">
        <v>1041</v>
      </c>
      <c r="I369" s="119" t="s">
        <v>2057</v>
      </c>
      <c r="J369" s="232"/>
      <c r="K369" s="145">
        <v>2052</v>
      </c>
      <c r="L369" s="145">
        <v>12322</v>
      </c>
      <c r="M369" s="147" t="s">
        <v>11</v>
      </c>
      <c r="N369" s="146" t="s">
        <v>1427</v>
      </c>
      <c r="O369" s="146" t="s">
        <v>29</v>
      </c>
      <c r="P369" s="146" t="s">
        <v>176</v>
      </c>
      <c r="Q369" s="232" t="s">
        <v>452</v>
      </c>
      <c r="R369" s="146" t="s">
        <v>9</v>
      </c>
      <c r="S369" s="146"/>
      <c r="T369" s="232"/>
      <c r="U369" s="232"/>
      <c r="V369" s="158" t="s">
        <v>6</v>
      </c>
      <c r="W369" s="145" t="s">
        <v>224</v>
      </c>
      <c r="X369" s="143">
        <v>43530</v>
      </c>
      <c r="Y369" s="144">
        <f t="shared" si="32"/>
        <v>43657</v>
      </c>
      <c r="Z369" s="187">
        <v>43633</v>
      </c>
      <c r="AA369" s="161" t="str">
        <f t="shared" ca="1" si="37"/>
        <v>YES</v>
      </c>
      <c r="AB369" s="113"/>
      <c r="AC369" s="232"/>
      <c r="AD369" s="232"/>
      <c r="AE369" s="232"/>
      <c r="AF369" s="70" t="str">
        <f t="shared" ca="1" si="33"/>
        <v>N/A</v>
      </c>
      <c r="AG369" s="185">
        <v>920</v>
      </c>
      <c r="AH369" s="185">
        <v>1290</v>
      </c>
      <c r="AI369" s="186">
        <f t="shared" si="34"/>
        <v>2210</v>
      </c>
      <c r="AJ369" s="191" t="s">
        <v>6</v>
      </c>
      <c r="AK369" s="187">
        <v>44161</v>
      </c>
      <c r="AL369" s="232"/>
      <c r="AM369" s="184" t="str">
        <f t="shared" si="35"/>
        <v>19015 Alkem</v>
      </c>
      <c r="AN369" s="184" t="str">
        <f t="shared" si="36"/>
        <v>19015 Alkem : Gravel not delivered to customer site</v>
      </c>
    </row>
    <row r="370" spans="1:40" s="76" customFormat="1" ht="14.5" hidden="1" x14ac:dyDescent="0.35">
      <c r="A370" s="122" t="s">
        <v>1428</v>
      </c>
      <c r="B370" s="116">
        <v>19016</v>
      </c>
      <c r="C370" s="113" t="s">
        <v>1193</v>
      </c>
      <c r="D370" s="144">
        <v>43581</v>
      </c>
      <c r="E370" s="118" t="s">
        <v>1429</v>
      </c>
      <c r="F370" s="145" t="s">
        <v>164</v>
      </c>
      <c r="G370" s="111" t="s">
        <v>1430</v>
      </c>
      <c r="H370" s="111" t="s">
        <v>1431</v>
      </c>
      <c r="I370" s="119" t="s">
        <v>2056</v>
      </c>
      <c r="J370" s="232"/>
      <c r="K370" s="118">
        <v>2072</v>
      </c>
      <c r="L370" s="118">
        <v>14268</v>
      </c>
      <c r="M370" s="147" t="s">
        <v>1137</v>
      </c>
      <c r="N370" s="111" t="s">
        <v>1432</v>
      </c>
      <c r="O370" s="146" t="s">
        <v>29</v>
      </c>
      <c r="P370" s="111" t="s">
        <v>86</v>
      </c>
      <c r="Q370" s="70"/>
      <c r="R370" s="146" t="s">
        <v>9</v>
      </c>
      <c r="S370" s="146"/>
      <c r="T370" s="70"/>
      <c r="U370" s="232"/>
      <c r="V370" s="158" t="s">
        <v>1433</v>
      </c>
      <c r="W370" s="118"/>
      <c r="X370" s="113"/>
      <c r="Y370" s="117">
        <f t="shared" si="32"/>
        <v>43672</v>
      </c>
      <c r="Z370" s="187">
        <v>43585</v>
      </c>
      <c r="AA370" s="161" t="str">
        <f t="shared" ref="AA370:AA401" ca="1" si="38">IF(Z370="",IF(TODAY()&gt;Y370,"NO","YES"),IF(Z370&gt;Y370,"NO",IF(Z370&lt;Y370,"YES",IF(Y370=Z370,"YES","N/A"))))</f>
        <v>YES</v>
      </c>
      <c r="AB370" s="113"/>
      <c r="AC370" s="70"/>
      <c r="AD370" s="70"/>
      <c r="AE370" s="70"/>
      <c r="AF370" s="70" t="str">
        <f t="shared" ca="1" si="33"/>
        <v>N/A</v>
      </c>
      <c r="AG370" s="185">
        <v>0</v>
      </c>
      <c r="AH370" s="185">
        <v>0</v>
      </c>
      <c r="AI370" s="186">
        <f t="shared" si="34"/>
        <v>0</v>
      </c>
      <c r="AJ370" s="70"/>
      <c r="AK370" s="70"/>
      <c r="AL370" s="70"/>
      <c r="AM370" s="165" t="str">
        <f t="shared" si="35"/>
        <v>19016 CJ Brazil</v>
      </c>
      <c r="AN370" s="165" t="str">
        <f t="shared" si="36"/>
        <v>19016 CJ Brazil : The Sulzer motor missed delivery</v>
      </c>
    </row>
    <row r="371" spans="1:40" s="76" customFormat="1" ht="14.5" hidden="1" x14ac:dyDescent="0.35">
      <c r="A371" s="122" t="s">
        <v>1434</v>
      </c>
      <c r="B371" s="116">
        <v>19017</v>
      </c>
      <c r="C371" s="113" t="s">
        <v>1193</v>
      </c>
      <c r="D371" s="144">
        <v>43581</v>
      </c>
      <c r="E371" s="118" t="s">
        <v>1429</v>
      </c>
      <c r="F371" s="145" t="s">
        <v>164</v>
      </c>
      <c r="G371" s="111" t="s">
        <v>1430</v>
      </c>
      <c r="H371" s="111" t="s">
        <v>1435</v>
      </c>
      <c r="I371" s="119" t="s">
        <v>2056</v>
      </c>
      <c r="J371" s="232"/>
      <c r="K371" s="118">
        <v>2072</v>
      </c>
      <c r="L371" s="118">
        <v>14268</v>
      </c>
      <c r="M371" s="147" t="s">
        <v>1137</v>
      </c>
      <c r="N371" s="111" t="s">
        <v>1436</v>
      </c>
      <c r="O371" s="146" t="s">
        <v>29</v>
      </c>
      <c r="P371" s="111" t="s">
        <v>86</v>
      </c>
      <c r="Q371" s="70"/>
      <c r="R371" s="146" t="s">
        <v>9</v>
      </c>
      <c r="S371" s="146"/>
      <c r="T371" s="70"/>
      <c r="U371" s="232"/>
      <c r="V371" s="158" t="s">
        <v>1433</v>
      </c>
      <c r="W371" s="118"/>
      <c r="X371" s="113"/>
      <c r="Y371" s="117">
        <f t="shared" si="32"/>
        <v>43672</v>
      </c>
      <c r="Z371" s="187">
        <v>43585</v>
      </c>
      <c r="AA371" s="161" t="str">
        <f t="shared" ca="1" si="38"/>
        <v>YES</v>
      </c>
      <c r="AB371" s="113"/>
      <c r="AC371" s="70"/>
      <c r="AD371" s="70"/>
      <c r="AE371" s="70"/>
      <c r="AF371" s="70" t="str">
        <f t="shared" ca="1" si="33"/>
        <v>N/A</v>
      </c>
      <c r="AG371" s="185">
        <v>0</v>
      </c>
      <c r="AH371" s="185">
        <v>0</v>
      </c>
      <c r="AI371" s="186">
        <f t="shared" si="34"/>
        <v>0</v>
      </c>
      <c r="AJ371" s="70"/>
      <c r="AK371" s="70"/>
      <c r="AL371" s="70"/>
      <c r="AM371" s="165" t="str">
        <f t="shared" si="35"/>
        <v>19017 CJ Brazil</v>
      </c>
      <c r="AN371" s="165" t="str">
        <f t="shared" si="36"/>
        <v>19017 CJ Brazil : The Ebro valves delivery mistake</v>
      </c>
    </row>
    <row r="372" spans="1:40" s="76" customFormat="1" ht="14.5" hidden="1" x14ac:dyDescent="0.35">
      <c r="A372" s="122" t="s">
        <v>1437</v>
      </c>
      <c r="B372" s="116">
        <v>19018</v>
      </c>
      <c r="C372" s="113" t="s">
        <v>1193</v>
      </c>
      <c r="D372" s="144">
        <v>43581</v>
      </c>
      <c r="E372" s="118" t="s">
        <v>1438</v>
      </c>
      <c r="F372" s="145" t="s">
        <v>164</v>
      </c>
      <c r="G372" s="111" t="s">
        <v>1439</v>
      </c>
      <c r="H372" s="111" t="s">
        <v>1435</v>
      </c>
      <c r="I372" s="119" t="s">
        <v>2056</v>
      </c>
      <c r="J372" s="232"/>
      <c r="K372" s="118">
        <v>2056</v>
      </c>
      <c r="L372" s="118">
        <v>12996</v>
      </c>
      <c r="M372" s="147" t="s">
        <v>1372</v>
      </c>
      <c r="N372" s="147" t="s">
        <v>1440</v>
      </c>
      <c r="O372" s="146" t="s">
        <v>29</v>
      </c>
      <c r="P372" s="111" t="s">
        <v>86</v>
      </c>
      <c r="Q372" s="70"/>
      <c r="R372" s="146" t="s">
        <v>15</v>
      </c>
      <c r="S372" s="146"/>
      <c r="T372" s="70"/>
      <c r="U372" s="232"/>
      <c r="V372" s="158" t="s">
        <v>6</v>
      </c>
      <c r="W372" s="118" t="s">
        <v>1311</v>
      </c>
      <c r="X372" s="113">
        <v>43573</v>
      </c>
      <c r="Y372" s="117">
        <f t="shared" si="32"/>
        <v>43672</v>
      </c>
      <c r="Z372" s="187">
        <v>43662</v>
      </c>
      <c r="AA372" s="161" t="str">
        <f t="shared" ca="1" si="38"/>
        <v>YES</v>
      </c>
      <c r="AB372" s="113"/>
      <c r="AC372" s="70"/>
      <c r="AD372" s="70"/>
      <c r="AE372" s="70"/>
      <c r="AF372" s="70" t="str">
        <f t="shared" ca="1" si="33"/>
        <v>N/A</v>
      </c>
      <c r="AG372" s="185">
        <v>0</v>
      </c>
      <c r="AH372" s="185">
        <v>0</v>
      </c>
      <c r="AI372" s="186">
        <f t="shared" si="34"/>
        <v>0</v>
      </c>
      <c r="AJ372" s="70"/>
      <c r="AK372" s="70"/>
      <c r="AL372" s="70"/>
      <c r="AM372" s="165" t="str">
        <f t="shared" si="35"/>
        <v>19018 HUAQIAO</v>
      </c>
      <c r="AN372" s="165" t="str">
        <f t="shared" si="36"/>
        <v>19018 HUAQIAO : Butterfly valve disc position indicators are wrongly mounted</v>
      </c>
    </row>
    <row r="373" spans="1:40" s="76" customFormat="1" ht="14.5" hidden="1" x14ac:dyDescent="0.35">
      <c r="A373" s="122" t="s">
        <v>1441</v>
      </c>
      <c r="B373" s="116">
        <v>19019</v>
      </c>
      <c r="C373" s="113" t="s">
        <v>1193</v>
      </c>
      <c r="D373" s="144">
        <v>43593</v>
      </c>
      <c r="E373" s="118" t="s">
        <v>1318</v>
      </c>
      <c r="F373" s="145" t="s">
        <v>164</v>
      </c>
      <c r="G373" s="111" t="s">
        <v>1442</v>
      </c>
      <c r="H373" s="111" t="s">
        <v>1179</v>
      </c>
      <c r="I373" s="119" t="s">
        <v>2057</v>
      </c>
      <c r="J373" s="232"/>
      <c r="K373" s="118">
        <v>2051</v>
      </c>
      <c r="L373" s="118">
        <v>10154</v>
      </c>
      <c r="M373" s="147" t="s">
        <v>1443</v>
      </c>
      <c r="N373" s="111" t="s">
        <v>1444</v>
      </c>
      <c r="O373" s="111" t="s">
        <v>29</v>
      </c>
      <c r="P373" s="111" t="s">
        <v>86</v>
      </c>
      <c r="Q373" s="70"/>
      <c r="R373" s="146" t="s">
        <v>15</v>
      </c>
      <c r="S373" s="146"/>
      <c r="T373" s="70"/>
      <c r="U373" s="232"/>
      <c r="V373" s="158" t="s">
        <v>1433</v>
      </c>
      <c r="W373" s="118"/>
      <c r="X373" s="113"/>
      <c r="Y373" s="117">
        <f t="shared" si="32"/>
        <v>43685</v>
      </c>
      <c r="Z373" s="187">
        <v>43629</v>
      </c>
      <c r="AA373" s="161" t="str">
        <f t="shared" ca="1" si="38"/>
        <v>YES</v>
      </c>
      <c r="AB373" s="113"/>
      <c r="AC373" s="70"/>
      <c r="AD373" s="70"/>
      <c r="AE373" s="70"/>
      <c r="AF373" s="70" t="str">
        <f t="shared" ca="1" si="33"/>
        <v>N/A</v>
      </c>
      <c r="AG373" s="185">
        <v>0</v>
      </c>
      <c r="AH373" s="185">
        <v>333.33333333333331</v>
      </c>
      <c r="AI373" s="186">
        <f t="shared" si="34"/>
        <v>333.33333333333331</v>
      </c>
      <c r="AJ373" s="70"/>
      <c r="AK373" s="70"/>
      <c r="AL373" s="70"/>
      <c r="AM373" s="165" t="str">
        <f t="shared" si="35"/>
        <v>19019 KLIM</v>
      </c>
      <c r="AN373" s="165" t="str">
        <f t="shared" si="36"/>
        <v>19019 KLIM : Resin packing list information wrong</v>
      </c>
    </row>
    <row r="374" spans="1:40" s="76" customFormat="1" ht="14.5" hidden="1" x14ac:dyDescent="0.35">
      <c r="A374" s="122" t="s">
        <v>1445</v>
      </c>
      <c r="B374" s="116">
        <v>19020</v>
      </c>
      <c r="C374" s="143" t="s">
        <v>4</v>
      </c>
      <c r="D374" s="144">
        <v>43600</v>
      </c>
      <c r="E374" s="145" t="s">
        <v>1396</v>
      </c>
      <c r="F374" s="145" t="s">
        <v>164</v>
      </c>
      <c r="G374" s="146" t="s">
        <v>1397</v>
      </c>
      <c r="H374" s="146"/>
      <c r="I374" s="119" t="s">
        <v>2057</v>
      </c>
      <c r="J374" s="232"/>
      <c r="K374" s="145">
        <v>2073</v>
      </c>
      <c r="L374" s="145">
        <v>13929</v>
      </c>
      <c r="M374" s="147" t="s">
        <v>338</v>
      </c>
      <c r="N374" s="146" t="s">
        <v>1446</v>
      </c>
      <c r="O374" s="146" t="s">
        <v>29</v>
      </c>
      <c r="P374" s="146" t="s">
        <v>86</v>
      </c>
      <c r="Q374" s="70" t="s">
        <v>1289</v>
      </c>
      <c r="R374" s="146" t="s">
        <v>15</v>
      </c>
      <c r="S374" s="146"/>
      <c r="T374" s="232"/>
      <c r="U374" s="232"/>
      <c r="V374" s="158" t="s">
        <v>6</v>
      </c>
      <c r="W374" s="145" t="s">
        <v>1396</v>
      </c>
      <c r="X374" s="143">
        <v>43605</v>
      </c>
      <c r="Y374" s="144">
        <f t="shared" si="32"/>
        <v>43692</v>
      </c>
      <c r="Z374" s="187">
        <v>43658</v>
      </c>
      <c r="AA374" s="161" t="str">
        <f t="shared" ca="1" si="38"/>
        <v>YES</v>
      </c>
      <c r="AB374" s="113"/>
      <c r="AC374" s="232"/>
      <c r="AD374" s="232"/>
      <c r="AE374" s="232"/>
      <c r="AF374" s="70" t="str">
        <f t="shared" ca="1" si="33"/>
        <v>N/A</v>
      </c>
      <c r="AG374" s="185">
        <v>0</v>
      </c>
      <c r="AH374" s="185">
        <v>2287.5</v>
      </c>
      <c r="AI374" s="186">
        <f t="shared" si="34"/>
        <v>2287.5</v>
      </c>
      <c r="AJ374" s="191" t="s">
        <v>6</v>
      </c>
      <c r="AK374" s="187">
        <v>44153</v>
      </c>
      <c r="AL374" s="232"/>
      <c r="AM374" s="184" t="str">
        <f t="shared" si="35"/>
        <v>19020 OLON</v>
      </c>
      <c r="AN374" s="184" t="str">
        <f t="shared" si="36"/>
        <v>19020 OLON : MF solenoid valves specifications error</v>
      </c>
    </row>
    <row r="375" spans="1:40" s="76" customFormat="1" ht="14.5" hidden="1" x14ac:dyDescent="0.35">
      <c r="A375" s="122" t="s">
        <v>1447</v>
      </c>
      <c r="B375" s="116">
        <v>19021</v>
      </c>
      <c r="C375" s="113" t="s">
        <v>1193</v>
      </c>
      <c r="D375" s="144">
        <v>43609</v>
      </c>
      <c r="E375" s="118" t="s">
        <v>1429</v>
      </c>
      <c r="F375" s="145" t="s">
        <v>164</v>
      </c>
      <c r="G375" s="111" t="s">
        <v>1448</v>
      </c>
      <c r="H375" s="111" t="s">
        <v>1431</v>
      </c>
      <c r="I375" s="119" t="s">
        <v>2056</v>
      </c>
      <c r="J375" s="232"/>
      <c r="K375" s="118">
        <v>2072</v>
      </c>
      <c r="L375" s="118">
        <v>14268</v>
      </c>
      <c r="M375" s="147" t="s">
        <v>338</v>
      </c>
      <c r="N375" s="111" t="s">
        <v>1449</v>
      </c>
      <c r="O375" s="146" t="s">
        <v>29</v>
      </c>
      <c r="P375" s="111" t="s">
        <v>176</v>
      </c>
      <c r="Q375" s="70"/>
      <c r="R375" s="146" t="s">
        <v>9</v>
      </c>
      <c r="S375" s="146"/>
      <c r="T375" s="70"/>
      <c r="U375" s="232"/>
      <c r="V375" s="158" t="s">
        <v>1433</v>
      </c>
      <c r="W375" s="118"/>
      <c r="X375" s="113"/>
      <c r="Y375" s="117">
        <f t="shared" si="32"/>
        <v>43701</v>
      </c>
      <c r="Z375" s="187">
        <v>43651</v>
      </c>
      <c r="AA375" s="161" t="str">
        <f t="shared" ca="1" si="38"/>
        <v>YES</v>
      </c>
      <c r="AB375" s="113"/>
      <c r="AC375" s="70"/>
      <c r="AD375" s="70"/>
      <c r="AE375" s="70"/>
      <c r="AF375" s="70" t="str">
        <f t="shared" ca="1" si="33"/>
        <v>N/A</v>
      </c>
      <c r="AG375" s="185">
        <v>0</v>
      </c>
      <c r="AH375" s="185">
        <v>0</v>
      </c>
      <c r="AI375" s="186">
        <f t="shared" si="34"/>
        <v>0</v>
      </c>
      <c r="AJ375" s="70"/>
      <c r="AK375" s="70"/>
      <c r="AL375" s="70"/>
      <c r="AM375" s="165" t="str">
        <f t="shared" si="35"/>
        <v>19021 CJ Brazil</v>
      </c>
      <c r="AN375" s="165" t="str">
        <f t="shared" si="36"/>
        <v>19021 CJ Brazil : Sulzer circulation pump GA2242 coupling rubber tire(Martin) was broken</v>
      </c>
    </row>
    <row r="376" spans="1:40" s="76" customFormat="1" ht="14.5" hidden="1" x14ac:dyDescent="0.35">
      <c r="A376" s="122" t="s">
        <v>1450</v>
      </c>
      <c r="B376" s="116">
        <v>19022</v>
      </c>
      <c r="C376" s="143" t="s">
        <v>4</v>
      </c>
      <c r="D376" s="144">
        <v>43634</v>
      </c>
      <c r="E376" s="145" t="s">
        <v>1083</v>
      </c>
      <c r="F376" s="145" t="s">
        <v>164</v>
      </c>
      <c r="G376" s="146" t="s">
        <v>1235</v>
      </c>
      <c r="H376" s="146"/>
      <c r="I376" s="119" t="s">
        <v>5</v>
      </c>
      <c r="J376" s="232"/>
      <c r="K376" s="145">
        <v>2053</v>
      </c>
      <c r="L376" s="145">
        <v>13174</v>
      </c>
      <c r="M376" s="147" t="s">
        <v>13</v>
      </c>
      <c r="N376" s="146" t="s">
        <v>1451</v>
      </c>
      <c r="O376" s="146" t="s">
        <v>29</v>
      </c>
      <c r="P376" s="146" t="s">
        <v>86</v>
      </c>
      <c r="Q376" s="232" t="s">
        <v>885</v>
      </c>
      <c r="R376" s="146" t="s">
        <v>9</v>
      </c>
      <c r="S376" s="146"/>
      <c r="T376" s="232"/>
      <c r="U376" s="232"/>
      <c r="V376" s="158" t="s">
        <v>10</v>
      </c>
      <c r="W376" s="145"/>
      <c r="X376" s="143"/>
      <c r="Y376" s="144">
        <f t="shared" si="32"/>
        <v>43726</v>
      </c>
      <c r="Z376" s="235">
        <v>43713</v>
      </c>
      <c r="AA376" s="161" t="str">
        <f t="shared" ca="1" si="38"/>
        <v>YES</v>
      </c>
      <c r="AB376" s="113"/>
      <c r="AC376" s="235">
        <v>43598</v>
      </c>
      <c r="AD376" s="235">
        <v>43738</v>
      </c>
      <c r="AE376" s="235">
        <v>43713</v>
      </c>
      <c r="AF376" s="70" t="str">
        <f t="shared" ca="1" si="33"/>
        <v>YES</v>
      </c>
      <c r="AG376" s="185">
        <v>92</v>
      </c>
      <c r="AH376" s="185">
        <v>1513</v>
      </c>
      <c r="AI376" s="186">
        <f t="shared" si="34"/>
        <v>1605</v>
      </c>
      <c r="AJ376" s="191" t="s">
        <v>6</v>
      </c>
      <c r="AK376" s="187">
        <v>44148</v>
      </c>
      <c r="AL376" s="232"/>
      <c r="AM376" s="184" t="str">
        <f t="shared" si="35"/>
        <v>19022 Pfeifer and Langen</v>
      </c>
      <c r="AN376" s="184" t="str">
        <f t="shared" si="36"/>
        <v>19022 Pfeifer and Langen : Misposition column feet</v>
      </c>
    </row>
    <row r="377" spans="1:40" s="76" customFormat="1" ht="14.5" hidden="1" x14ac:dyDescent="0.35">
      <c r="A377" s="122" t="s">
        <v>1452</v>
      </c>
      <c r="B377" s="116">
        <v>19023</v>
      </c>
      <c r="C377" s="143" t="s">
        <v>4</v>
      </c>
      <c r="D377" s="144">
        <v>43641</v>
      </c>
      <c r="E377" s="145" t="s">
        <v>877</v>
      </c>
      <c r="F377" s="145" t="s">
        <v>691</v>
      </c>
      <c r="G377" s="146" t="s">
        <v>1453</v>
      </c>
      <c r="H377" s="146" t="s">
        <v>1287</v>
      </c>
      <c r="I377" s="119" t="s">
        <v>2057</v>
      </c>
      <c r="J377" s="232"/>
      <c r="K377" s="145">
        <v>2074</v>
      </c>
      <c r="L377" s="145">
        <v>14035</v>
      </c>
      <c r="M377" s="147" t="s">
        <v>13</v>
      </c>
      <c r="N377" s="146" t="s">
        <v>1454</v>
      </c>
      <c r="O377" s="146" t="s">
        <v>29</v>
      </c>
      <c r="P377" s="146" t="s">
        <v>86</v>
      </c>
      <c r="Q377" s="232" t="s">
        <v>916</v>
      </c>
      <c r="R377" s="146" t="s">
        <v>9</v>
      </c>
      <c r="S377" s="146"/>
      <c r="T377" s="232"/>
      <c r="U377" s="232"/>
      <c r="V377" s="158" t="s">
        <v>6</v>
      </c>
      <c r="W377" s="145" t="s">
        <v>877</v>
      </c>
      <c r="X377" s="143">
        <v>43642</v>
      </c>
      <c r="Y377" s="144">
        <f t="shared" si="32"/>
        <v>43733</v>
      </c>
      <c r="Z377" s="235">
        <v>43714</v>
      </c>
      <c r="AA377" s="161" t="str">
        <f t="shared" ca="1" si="38"/>
        <v>YES</v>
      </c>
      <c r="AB377" s="113"/>
      <c r="AC377" s="232"/>
      <c r="AD377" s="232"/>
      <c r="AE377" s="232"/>
      <c r="AF377" s="70" t="str">
        <f t="shared" ca="1" si="33"/>
        <v>N/A</v>
      </c>
      <c r="AG377" s="185">
        <v>5888</v>
      </c>
      <c r="AH377" s="185">
        <v>1040</v>
      </c>
      <c r="AI377" s="186">
        <f t="shared" si="34"/>
        <v>6928</v>
      </c>
      <c r="AJ377" s="236"/>
      <c r="AK377" s="70" t="s">
        <v>1378</v>
      </c>
      <c r="AL377" s="70" t="s">
        <v>1379</v>
      </c>
      <c r="AM377" s="184" t="str">
        <f t="shared" si="35"/>
        <v>19023 MAG</v>
      </c>
      <c r="AN377" s="184" t="str">
        <f t="shared" si="36"/>
        <v>19023 MAG : Untested exchange table on customer site</v>
      </c>
    </row>
    <row r="378" spans="1:40" s="76" customFormat="1" ht="14.5" hidden="1" x14ac:dyDescent="0.35">
      <c r="A378" s="122" t="s">
        <v>1455</v>
      </c>
      <c r="B378" s="116">
        <v>19024</v>
      </c>
      <c r="C378" s="143" t="s">
        <v>4</v>
      </c>
      <c r="D378" s="144">
        <v>43642</v>
      </c>
      <c r="E378" s="145" t="s">
        <v>1386</v>
      </c>
      <c r="F378" s="145" t="s">
        <v>658</v>
      </c>
      <c r="G378" s="111" t="s">
        <v>1456</v>
      </c>
      <c r="H378" s="146" t="s">
        <v>309</v>
      </c>
      <c r="I378" s="119" t="s">
        <v>2056</v>
      </c>
      <c r="J378" s="232"/>
      <c r="K378" s="145"/>
      <c r="L378" s="145" t="s">
        <v>1457</v>
      </c>
      <c r="M378" s="150" t="s">
        <v>13</v>
      </c>
      <c r="N378" s="146" t="s">
        <v>1458</v>
      </c>
      <c r="O378" s="146" t="s">
        <v>28</v>
      </c>
      <c r="P378" s="146" t="s">
        <v>103</v>
      </c>
      <c r="Q378" s="232" t="s">
        <v>510</v>
      </c>
      <c r="R378" s="146" t="s">
        <v>145</v>
      </c>
      <c r="S378" s="146"/>
      <c r="T378" s="112" t="s">
        <v>309</v>
      </c>
      <c r="U378" s="232"/>
      <c r="V378" s="158" t="s">
        <v>10</v>
      </c>
      <c r="W378" s="145"/>
      <c r="X378" s="143"/>
      <c r="Y378" s="144">
        <f t="shared" si="32"/>
        <v>43734</v>
      </c>
      <c r="Z378" s="235">
        <v>43720</v>
      </c>
      <c r="AA378" s="161" t="str">
        <f t="shared" ca="1" si="38"/>
        <v>YES</v>
      </c>
      <c r="AB378" s="113"/>
      <c r="AC378" s="232"/>
      <c r="AD378" s="232"/>
      <c r="AE378" s="232"/>
      <c r="AF378" s="70" t="str">
        <f t="shared" ca="1" si="33"/>
        <v>N/A</v>
      </c>
      <c r="AG378" s="185">
        <v>368</v>
      </c>
      <c r="AH378" s="185">
        <v>0</v>
      </c>
      <c r="AI378" s="186">
        <f t="shared" si="34"/>
        <v>368</v>
      </c>
      <c r="AJ378" s="191" t="s">
        <v>6</v>
      </c>
      <c r="AK378" s="187">
        <v>44153</v>
      </c>
      <c r="AL378" s="232"/>
      <c r="AM378" s="184" t="str">
        <f t="shared" si="35"/>
        <v>19024 Tereos Chevrières</v>
      </c>
      <c r="AN378" s="184" t="str">
        <f t="shared" si="36"/>
        <v>19024 Tereos Chevrières : Lack of resins delivery information</v>
      </c>
    </row>
    <row r="379" spans="1:40" s="76" customFormat="1" ht="14.5" hidden="1" x14ac:dyDescent="0.35">
      <c r="A379" s="122" t="s">
        <v>1459</v>
      </c>
      <c r="B379" s="116">
        <v>19025</v>
      </c>
      <c r="C379" s="113" t="s">
        <v>1193</v>
      </c>
      <c r="D379" s="144">
        <v>43650</v>
      </c>
      <c r="E379" s="118" t="s">
        <v>1429</v>
      </c>
      <c r="F379" s="145" t="s">
        <v>164</v>
      </c>
      <c r="G379" s="111" t="s">
        <v>1136</v>
      </c>
      <c r="H379" s="111" t="s">
        <v>1460</v>
      </c>
      <c r="I379" s="119" t="s">
        <v>2057</v>
      </c>
      <c r="J379" s="70"/>
      <c r="K379" s="118">
        <v>2076</v>
      </c>
      <c r="L379" s="118">
        <v>14478</v>
      </c>
      <c r="M379" s="147" t="s">
        <v>1181</v>
      </c>
      <c r="N379" s="111" t="s">
        <v>1461</v>
      </c>
      <c r="O379" s="146" t="s">
        <v>29</v>
      </c>
      <c r="P379" s="111" t="s">
        <v>86</v>
      </c>
      <c r="Q379" s="70" t="s">
        <v>522</v>
      </c>
      <c r="R379" s="146" t="s">
        <v>15</v>
      </c>
      <c r="S379" s="146"/>
      <c r="T379" s="70"/>
      <c r="U379" s="70"/>
      <c r="V379" s="158" t="s">
        <v>1414</v>
      </c>
      <c r="W379" s="118" t="s">
        <v>932</v>
      </c>
      <c r="X379" s="113">
        <v>43675</v>
      </c>
      <c r="Y379" s="117">
        <f t="shared" si="32"/>
        <v>43742</v>
      </c>
      <c r="Z379" s="187">
        <v>43675</v>
      </c>
      <c r="AA379" s="161" t="str">
        <f t="shared" ca="1" si="38"/>
        <v>YES</v>
      </c>
      <c r="AB379" s="113"/>
      <c r="AC379" s="70"/>
      <c r="AD379" s="70"/>
      <c r="AE379" s="70"/>
      <c r="AF379" s="70" t="str">
        <f t="shared" ca="1" si="33"/>
        <v>N/A</v>
      </c>
      <c r="AG379" s="185">
        <v>88.33</v>
      </c>
      <c r="AH379" s="185">
        <v>0</v>
      </c>
      <c r="AI379" s="186">
        <f t="shared" si="34"/>
        <v>88.33</v>
      </c>
      <c r="AJ379" s="70"/>
      <c r="AK379" s="70"/>
      <c r="AL379" s="70"/>
      <c r="AM379" s="165" t="str">
        <f t="shared" si="35"/>
        <v>19025 FUFENG</v>
      </c>
      <c r="AN379" s="165" t="str">
        <f t="shared" si="36"/>
        <v>19025 FUFENG : Flange DN150 on degassing tank F160 is too small</v>
      </c>
    </row>
    <row r="380" spans="1:40" s="76" customFormat="1" ht="14.5" hidden="1" x14ac:dyDescent="0.35">
      <c r="A380" s="122" t="s">
        <v>1462</v>
      </c>
      <c r="B380" s="116">
        <v>19026</v>
      </c>
      <c r="C380" s="143" t="s">
        <v>4</v>
      </c>
      <c r="D380" s="144">
        <v>43654</v>
      </c>
      <c r="E380" s="145" t="s">
        <v>877</v>
      </c>
      <c r="F380" s="145" t="s">
        <v>691</v>
      </c>
      <c r="G380" s="146" t="s">
        <v>1453</v>
      </c>
      <c r="H380" s="146" t="s">
        <v>1287</v>
      </c>
      <c r="I380" s="119" t="s">
        <v>2057</v>
      </c>
      <c r="J380" s="232"/>
      <c r="K380" s="145">
        <v>2074</v>
      </c>
      <c r="L380" s="145">
        <v>14035</v>
      </c>
      <c r="M380" s="147" t="s">
        <v>13</v>
      </c>
      <c r="N380" s="146" t="s">
        <v>1463</v>
      </c>
      <c r="O380" s="146" t="s">
        <v>29</v>
      </c>
      <c r="P380" s="146" t="s">
        <v>86</v>
      </c>
      <c r="Q380" s="232" t="s">
        <v>916</v>
      </c>
      <c r="R380" s="146" t="s">
        <v>15</v>
      </c>
      <c r="S380" s="146"/>
      <c r="T380" s="232"/>
      <c r="U380" s="232"/>
      <c r="V380" s="158" t="s">
        <v>6</v>
      </c>
      <c r="W380" s="118" t="s">
        <v>146</v>
      </c>
      <c r="X380" s="143">
        <v>43664</v>
      </c>
      <c r="Y380" s="144">
        <f t="shared" si="32"/>
        <v>43746</v>
      </c>
      <c r="Z380" s="235">
        <v>43741</v>
      </c>
      <c r="AA380" s="161" t="str">
        <f t="shared" ca="1" si="38"/>
        <v>YES</v>
      </c>
      <c r="AB380" s="113"/>
      <c r="AC380" s="232"/>
      <c r="AD380" s="232"/>
      <c r="AE380" s="232"/>
      <c r="AF380" s="70" t="str">
        <f t="shared" ca="1" si="33"/>
        <v>N/A</v>
      </c>
      <c r="AG380" s="185">
        <v>828</v>
      </c>
      <c r="AH380" s="185">
        <v>0</v>
      </c>
      <c r="AI380" s="186">
        <f t="shared" si="34"/>
        <v>828</v>
      </c>
      <c r="AJ380" s="236"/>
      <c r="AK380" s="70" t="s">
        <v>1378</v>
      </c>
      <c r="AL380" s="70" t="s">
        <v>1379</v>
      </c>
      <c r="AM380" s="184" t="str">
        <f t="shared" si="35"/>
        <v>19026 MAG</v>
      </c>
      <c r="AN380" s="184" t="str">
        <f t="shared" si="36"/>
        <v>19026 MAG : Default settings and screenshot</v>
      </c>
    </row>
    <row r="381" spans="1:40" s="76" customFormat="1" ht="14.5" hidden="1" x14ac:dyDescent="0.35">
      <c r="A381" s="122" t="s">
        <v>1464</v>
      </c>
      <c r="B381" s="116">
        <v>19027</v>
      </c>
      <c r="C381" s="143" t="s">
        <v>4</v>
      </c>
      <c r="D381" s="144">
        <v>43663</v>
      </c>
      <c r="E381" s="145" t="s">
        <v>294</v>
      </c>
      <c r="F381" s="145" t="s">
        <v>164</v>
      </c>
      <c r="G381" s="146" t="s">
        <v>1397</v>
      </c>
      <c r="H381" s="146"/>
      <c r="I381" s="119" t="s">
        <v>2057</v>
      </c>
      <c r="J381" s="232"/>
      <c r="K381" s="145">
        <v>2073</v>
      </c>
      <c r="L381" s="145">
        <v>13929</v>
      </c>
      <c r="M381" s="147" t="s">
        <v>338</v>
      </c>
      <c r="N381" s="146" t="s">
        <v>1465</v>
      </c>
      <c r="O381" s="146" t="s">
        <v>29</v>
      </c>
      <c r="P381" s="146" t="s">
        <v>86</v>
      </c>
      <c r="Q381" s="232" t="s">
        <v>522</v>
      </c>
      <c r="R381" s="111" t="s">
        <v>15</v>
      </c>
      <c r="S381" s="111"/>
      <c r="T381" s="232"/>
      <c r="U381" s="232"/>
      <c r="V381" s="158" t="s">
        <v>6</v>
      </c>
      <c r="W381" s="118" t="s">
        <v>120</v>
      </c>
      <c r="X381" s="143">
        <v>43665</v>
      </c>
      <c r="Y381" s="144">
        <f t="shared" si="32"/>
        <v>43755</v>
      </c>
      <c r="Z381" s="235">
        <v>43749</v>
      </c>
      <c r="AA381" s="161" t="str">
        <f t="shared" ca="1" si="38"/>
        <v>YES</v>
      </c>
      <c r="AB381" s="113"/>
      <c r="AC381" s="232"/>
      <c r="AD381" s="232"/>
      <c r="AE381" s="232"/>
      <c r="AF381" s="70" t="str">
        <f t="shared" ca="1" si="33"/>
        <v>N/A</v>
      </c>
      <c r="AG381" s="185">
        <v>184</v>
      </c>
      <c r="AH381" s="185">
        <v>2500</v>
      </c>
      <c r="AI381" s="186">
        <f t="shared" si="34"/>
        <v>2684</v>
      </c>
      <c r="AJ381" s="191" t="s">
        <v>6</v>
      </c>
      <c r="AK381" s="187">
        <v>44158</v>
      </c>
      <c r="AL381" s="232"/>
      <c r="AM381" s="184" t="str">
        <f t="shared" si="35"/>
        <v>19027 OLON</v>
      </c>
      <c r="AN381" s="184" t="str">
        <f t="shared" si="36"/>
        <v>19027 OLON : Mounting problem pH and conductivity probes</v>
      </c>
    </row>
    <row r="382" spans="1:40" s="76" customFormat="1" ht="14.5" hidden="1" x14ac:dyDescent="0.35">
      <c r="A382" s="122" t="s">
        <v>1466</v>
      </c>
      <c r="B382" s="116">
        <v>19028</v>
      </c>
      <c r="C382" s="143" t="s">
        <v>4</v>
      </c>
      <c r="D382" s="144">
        <v>43664</v>
      </c>
      <c r="E382" s="145" t="s">
        <v>1396</v>
      </c>
      <c r="F382" s="145" t="s">
        <v>164</v>
      </c>
      <c r="G382" s="146" t="s">
        <v>1331</v>
      </c>
      <c r="H382" s="146"/>
      <c r="I382" s="119" t="s">
        <v>2057</v>
      </c>
      <c r="J382" s="232"/>
      <c r="K382" s="145">
        <v>2070</v>
      </c>
      <c r="L382" s="145">
        <v>13599</v>
      </c>
      <c r="M382" s="147" t="s">
        <v>672</v>
      </c>
      <c r="N382" s="146" t="s">
        <v>1467</v>
      </c>
      <c r="O382" s="146" t="s">
        <v>29</v>
      </c>
      <c r="P382" s="146" t="s">
        <v>176</v>
      </c>
      <c r="Q382" s="232" t="s">
        <v>885</v>
      </c>
      <c r="R382" s="146" t="s">
        <v>9</v>
      </c>
      <c r="S382" s="146"/>
      <c r="T382" s="232"/>
      <c r="U382" s="232"/>
      <c r="V382" s="158" t="s">
        <v>6</v>
      </c>
      <c r="W382" s="118" t="s">
        <v>120</v>
      </c>
      <c r="X382" s="143">
        <v>43670</v>
      </c>
      <c r="Y382" s="144">
        <f t="shared" si="32"/>
        <v>43756</v>
      </c>
      <c r="Z382" s="187">
        <v>43753</v>
      </c>
      <c r="AA382" s="161" t="str">
        <f t="shared" ca="1" si="38"/>
        <v>YES</v>
      </c>
      <c r="AB382" s="113"/>
      <c r="AC382" s="232"/>
      <c r="AD382" s="232"/>
      <c r="AE382" s="232"/>
      <c r="AF382" s="70" t="str">
        <f t="shared" ca="1" si="33"/>
        <v>N/A</v>
      </c>
      <c r="AG382" s="185">
        <v>330</v>
      </c>
      <c r="AH382" s="185">
        <v>278</v>
      </c>
      <c r="AI382" s="186">
        <f t="shared" si="34"/>
        <v>608</v>
      </c>
      <c r="AJ382" s="191" t="s">
        <v>6</v>
      </c>
      <c r="AK382" s="187">
        <v>44153</v>
      </c>
      <c r="AL382" s="232"/>
      <c r="AM382" s="184" t="str">
        <f t="shared" si="35"/>
        <v>19028 QNS</v>
      </c>
      <c r="AN382" s="184" t="str">
        <f t="shared" si="36"/>
        <v>19028 QNS : Air cooler order not generated despite of its specification</v>
      </c>
    </row>
    <row r="383" spans="1:40" s="76" customFormat="1" ht="14.5" hidden="1" x14ac:dyDescent="0.35">
      <c r="A383" s="122" t="s">
        <v>1468</v>
      </c>
      <c r="B383" s="116">
        <v>19029</v>
      </c>
      <c r="C383" s="113" t="s">
        <v>1193</v>
      </c>
      <c r="D383" s="117">
        <v>43669</v>
      </c>
      <c r="E383" s="118" t="s">
        <v>1318</v>
      </c>
      <c r="F383" s="145" t="s">
        <v>164</v>
      </c>
      <c r="G383" s="111" t="s">
        <v>1469</v>
      </c>
      <c r="H383" s="111"/>
      <c r="I383" s="119" t="s">
        <v>2057</v>
      </c>
      <c r="J383" s="70"/>
      <c r="K383" s="118">
        <v>2077</v>
      </c>
      <c r="L383" s="118">
        <v>13825</v>
      </c>
      <c r="M383" s="147" t="s">
        <v>1470</v>
      </c>
      <c r="N383" s="111" t="s">
        <v>1471</v>
      </c>
      <c r="O383" s="146" t="s">
        <v>29</v>
      </c>
      <c r="P383" s="111" t="s">
        <v>86</v>
      </c>
      <c r="Q383" s="70" t="s">
        <v>522</v>
      </c>
      <c r="R383" s="146" t="s">
        <v>9</v>
      </c>
      <c r="S383" s="146"/>
      <c r="T383" s="70"/>
      <c r="U383" s="70"/>
      <c r="V383" s="158" t="s">
        <v>1414</v>
      </c>
      <c r="W383" s="118" t="s">
        <v>932</v>
      </c>
      <c r="X383" s="113">
        <v>43669</v>
      </c>
      <c r="Y383" s="117">
        <f t="shared" si="32"/>
        <v>43761</v>
      </c>
      <c r="Z383" s="187">
        <v>43761</v>
      </c>
      <c r="AA383" s="161" t="str">
        <f t="shared" ca="1" si="38"/>
        <v>YES</v>
      </c>
      <c r="AB383" s="113"/>
      <c r="AC383" s="70"/>
      <c r="AD383" s="70"/>
      <c r="AE383" s="70"/>
      <c r="AF383" s="70" t="str">
        <f t="shared" ca="1" si="33"/>
        <v>N/A</v>
      </c>
      <c r="AG383" s="185">
        <v>128</v>
      </c>
      <c r="AH383" s="185">
        <v>4116.1333333333332</v>
      </c>
      <c r="AI383" s="186">
        <f t="shared" si="34"/>
        <v>4244.1333333333332</v>
      </c>
      <c r="AJ383" s="70"/>
      <c r="AK383" s="70"/>
      <c r="AL383" s="70"/>
      <c r="AM383" s="165" t="str">
        <f t="shared" si="35"/>
        <v>19029 CJ LIAOCHENG</v>
      </c>
      <c r="AN383" s="165" t="str">
        <f t="shared" si="36"/>
        <v>19029 CJ LIAOCHENG : Bolts length is not long enough</v>
      </c>
    </row>
    <row r="384" spans="1:40" s="76" customFormat="1" ht="14.5" hidden="1" x14ac:dyDescent="0.35">
      <c r="A384" s="122" t="s">
        <v>1472</v>
      </c>
      <c r="B384" s="116">
        <v>19030</v>
      </c>
      <c r="C384" s="113" t="s">
        <v>1193</v>
      </c>
      <c r="D384" s="117">
        <v>43669</v>
      </c>
      <c r="E384" s="118" t="s">
        <v>1318</v>
      </c>
      <c r="F384" s="145" t="s">
        <v>164</v>
      </c>
      <c r="G384" s="111" t="s">
        <v>1473</v>
      </c>
      <c r="H384" s="149" t="s">
        <v>937</v>
      </c>
      <c r="I384" s="119" t="s">
        <v>2057</v>
      </c>
      <c r="J384" s="70"/>
      <c r="K384" s="118">
        <v>2077</v>
      </c>
      <c r="L384" s="118">
        <v>13825</v>
      </c>
      <c r="M384" s="147" t="s">
        <v>1470</v>
      </c>
      <c r="N384" s="111" t="s">
        <v>1474</v>
      </c>
      <c r="O384" s="146" t="s">
        <v>29</v>
      </c>
      <c r="P384" s="111" t="s">
        <v>86</v>
      </c>
      <c r="Q384" s="70" t="s">
        <v>885</v>
      </c>
      <c r="R384" s="146" t="s">
        <v>9</v>
      </c>
      <c r="S384" s="146"/>
      <c r="T384" s="70"/>
      <c r="U384" s="70"/>
      <c r="V384" s="158" t="s">
        <v>1414</v>
      </c>
      <c r="W384" s="118" t="s">
        <v>1311</v>
      </c>
      <c r="X384" s="113">
        <v>43676</v>
      </c>
      <c r="Y384" s="117">
        <f t="shared" si="32"/>
        <v>43761</v>
      </c>
      <c r="Z384" s="187">
        <v>43678</v>
      </c>
      <c r="AA384" s="161" t="str">
        <f t="shared" ca="1" si="38"/>
        <v>YES</v>
      </c>
      <c r="AB384" s="113"/>
      <c r="AC384" s="70"/>
      <c r="AD384" s="70"/>
      <c r="AE384" s="70"/>
      <c r="AF384" s="70" t="str">
        <f t="shared" ca="1" si="33"/>
        <v>N/A</v>
      </c>
      <c r="AG384" s="185">
        <v>128</v>
      </c>
      <c r="AH384" s="185">
        <v>0</v>
      </c>
      <c r="AI384" s="186">
        <f t="shared" si="34"/>
        <v>128</v>
      </c>
      <c r="AJ384" s="70"/>
      <c r="AK384" s="70"/>
      <c r="AL384" s="70"/>
      <c r="AM384" s="165" t="str">
        <f t="shared" si="35"/>
        <v>19030 CJ LIAOCHENG</v>
      </c>
      <c r="AN384" s="165" t="str">
        <f t="shared" si="36"/>
        <v>19030 CJ LIAOCHENG : Drawing updating and following should be continuously tracking</v>
      </c>
    </row>
    <row r="385" spans="1:40" s="76" customFormat="1" ht="14.5" hidden="1" x14ac:dyDescent="0.35">
      <c r="A385" s="122" t="s">
        <v>1475</v>
      </c>
      <c r="B385" s="116">
        <v>19031</v>
      </c>
      <c r="C385" s="143" t="s">
        <v>4</v>
      </c>
      <c r="D385" s="144">
        <v>43671</v>
      </c>
      <c r="E385" s="145" t="s">
        <v>1476</v>
      </c>
      <c r="F385" s="118" t="s">
        <v>658</v>
      </c>
      <c r="G385" s="146" t="s">
        <v>538</v>
      </c>
      <c r="H385" s="146" t="s">
        <v>1041</v>
      </c>
      <c r="I385" s="119" t="s">
        <v>2056</v>
      </c>
      <c r="J385" s="232"/>
      <c r="K385" s="145"/>
      <c r="L385" s="145" t="s">
        <v>1477</v>
      </c>
      <c r="M385" s="147"/>
      <c r="N385" s="146" t="s">
        <v>1478</v>
      </c>
      <c r="O385" s="146" t="s">
        <v>28</v>
      </c>
      <c r="P385" s="146" t="s">
        <v>103</v>
      </c>
      <c r="Q385" s="232" t="s">
        <v>510</v>
      </c>
      <c r="R385" s="146" t="s">
        <v>145</v>
      </c>
      <c r="S385" s="146"/>
      <c r="T385" s="112" t="s">
        <v>1394</v>
      </c>
      <c r="U385" s="232"/>
      <c r="V385" s="158" t="s">
        <v>10</v>
      </c>
      <c r="W385" s="145"/>
      <c r="X385" s="143"/>
      <c r="Y385" s="144">
        <f t="shared" si="32"/>
        <v>43763</v>
      </c>
      <c r="Z385" s="235">
        <v>43759</v>
      </c>
      <c r="AA385" s="161" t="str">
        <f t="shared" ca="1" si="38"/>
        <v>YES</v>
      </c>
      <c r="AB385" s="113"/>
      <c r="AC385" s="232"/>
      <c r="AD385" s="232"/>
      <c r="AE385" s="232"/>
      <c r="AF385" s="70" t="str">
        <f t="shared" ca="1" si="33"/>
        <v>N/A</v>
      </c>
      <c r="AG385" s="185">
        <v>220</v>
      </c>
      <c r="AH385" s="185">
        <v>6256.1333333333332</v>
      </c>
      <c r="AI385" s="186">
        <f t="shared" si="34"/>
        <v>6476.1333333333332</v>
      </c>
      <c r="AJ385" s="191" t="s">
        <v>6</v>
      </c>
      <c r="AK385" s="187">
        <v>44148</v>
      </c>
      <c r="AL385" s="232"/>
      <c r="AM385" s="184" t="str">
        <f t="shared" si="35"/>
        <v>19031 ADM</v>
      </c>
      <c r="AN385" s="184" t="str">
        <f t="shared" si="36"/>
        <v>19031 ADM : Package sent by mistake to a customer</v>
      </c>
    </row>
    <row r="386" spans="1:40" s="76" customFormat="1" ht="14.5" hidden="1" x14ac:dyDescent="0.35">
      <c r="A386" s="122" t="s">
        <v>1475</v>
      </c>
      <c r="B386" s="116">
        <v>19032</v>
      </c>
      <c r="C386" s="113" t="s">
        <v>4</v>
      </c>
      <c r="D386" s="117">
        <v>43686</v>
      </c>
      <c r="E386" s="118" t="s">
        <v>621</v>
      </c>
      <c r="F386" s="118" t="s">
        <v>164</v>
      </c>
      <c r="G386" s="111" t="s">
        <v>1397</v>
      </c>
      <c r="H386" s="111" t="s">
        <v>1111</v>
      </c>
      <c r="I386" s="119" t="s">
        <v>2056</v>
      </c>
      <c r="J386" s="70"/>
      <c r="K386" s="118">
        <v>2073</v>
      </c>
      <c r="L386" s="118">
        <v>13929</v>
      </c>
      <c r="M386" s="147" t="s">
        <v>359</v>
      </c>
      <c r="N386" s="111" t="s">
        <v>1479</v>
      </c>
      <c r="O386" s="111" t="s">
        <v>29</v>
      </c>
      <c r="P386" s="111" t="s">
        <v>86</v>
      </c>
      <c r="Q386" s="70" t="s">
        <v>605</v>
      </c>
      <c r="R386" s="111" t="s">
        <v>9</v>
      </c>
      <c r="S386" s="111"/>
      <c r="T386" s="70"/>
      <c r="U386" s="70"/>
      <c r="V386" s="158" t="s">
        <v>10</v>
      </c>
      <c r="W386" s="118"/>
      <c r="X386" s="113"/>
      <c r="Y386" s="117">
        <f t="shared" si="32"/>
        <v>43778</v>
      </c>
      <c r="Z386" s="187">
        <v>43763</v>
      </c>
      <c r="AA386" s="161" t="str">
        <f t="shared" ca="1" si="38"/>
        <v>YES</v>
      </c>
      <c r="AB386" s="113"/>
      <c r="AC386" s="70"/>
      <c r="AD386" s="70"/>
      <c r="AE386" s="70"/>
      <c r="AF386" s="70" t="str">
        <f t="shared" ca="1" si="33"/>
        <v>N/A</v>
      </c>
      <c r="AG386" s="185">
        <v>1196</v>
      </c>
      <c r="AH386" s="185">
        <v>40</v>
      </c>
      <c r="AI386" s="186">
        <f t="shared" si="34"/>
        <v>1236</v>
      </c>
      <c r="AJ386" s="191" t="s">
        <v>6</v>
      </c>
      <c r="AK386" s="187">
        <v>44152</v>
      </c>
      <c r="AL386" s="70"/>
      <c r="AM386" s="165" t="str">
        <f t="shared" si="35"/>
        <v>19032 OLON</v>
      </c>
      <c r="AN386" s="165" t="str">
        <f t="shared" si="36"/>
        <v>19032 OLON : Connection issue pH and conductivity probes on tank (NA Connect)</v>
      </c>
    </row>
    <row r="387" spans="1:40" s="76" customFormat="1" ht="14.5" hidden="1" x14ac:dyDescent="0.35">
      <c r="A387" s="122" t="s">
        <v>1480</v>
      </c>
      <c r="B387" s="116">
        <v>19033</v>
      </c>
      <c r="C387" s="113" t="s">
        <v>4</v>
      </c>
      <c r="D387" s="117">
        <v>43704</v>
      </c>
      <c r="E387" s="118" t="s">
        <v>1019</v>
      </c>
      <c r="F387" s="118" t="s">
        <v>164</v>
      </c>
      <c r="G387" s="111" t="s">
        <v>1235</v>
      </c>
      <c r="H387" s="111"/>
      <c r="I387" s="119" t="s">
        <v>2057</v>
      </c>
      <c r="J387" s="75"/>
      <c r="K387" s="141">
        <v>2053</v>
      </c>
      <c r="L387" s="141">
        <v>13174</v>
      </c>
      <c r="M387" s="151" t="s">
        <v>13</v>
      </c>
      <c r="N387" s="121" t="s">
        <v>1481</v>
      </c>
      <c r="O387" s="111" t="s">
        <v>29</v>
      </c>
      <c r="P387" s="111" t="s">
        <v>86</v>
      </c>
      <c r="Q387" s="70" t="s">
        <v>605</v>
      </c>
      <c r="R387" s="111" t="s">
        <v>9</v>
      </c>
      <c r="S387" s="121"/>
      <c r="T387" s="75"/>
      <c r="U387" s="75"/>
      <c r="V387" s="158" t="s">
        <v>6</v>
      </c>
      <c r="W387" s="141" t="s">
        <v>146</v>
      </c>
      <c r="X387" s="159">
        <v>43704</v>
      </c>
      <c r="Y387" s="160">
        <f t="shared" si="32"/>
        <v>43796</v>
      </c>
      <c r="Z387" s="192">
        <v>43774</v>
      </c>
      <c r="AA387" s="181" t="str">
        <f t="shared" ca="1" si="38"/>
        <v>YES</v>
      </c>
      <c r="AB387" s="159"/>
      <c r="AC387" s="75"/>
      <c r="AD387" s="75"/>
      <c r="AE387" s="75"/>
      <c r="AF387" s="70" t="str">
        <f t="shared" ca="1" si="33"/>
        <v>N/A</v>
      </c>
      <c r="AG387" s="185">
        <v>1840</v>
      </c>
      <c r="AH387" s="185">
        <v>2178</v>
      </c>
      <c r="AI387" s="186">
        <f t="shared" si="34"/>
        <v>4018</v>
      </c>
      <c r="AJ387" s="191" t="s">
        <v>6</v>
      </c>
      <c r="AK387" s="187">
        <v>44158</v>
      </c>
      <c r="AL387" s="75"/>
      <c r="AM387" s="166" t="str">
        <f t="shared" si="35"/>
        <v>19033 Pfeifer and Langen</v>
      </c>
      <c r="AN387" s="165" t="str">
        <f t="shared" si="36"/>
        <v>19033 Pfeifer and Langen : Fan blower forgotten for electrical study</v>
      </c>
    </row>
    <row r="388" spans="1:40" s="76" customFormat="1" ht="14.5" hidden="1" x14ac:dyDescent="0.35">
      <c r="A388" s="122" t="s">
        <v>1482</v>
      </c>
      <c r="B388" s="116">
        <v>19034</v>
      </c>
      <c r="C388" s="113" t="s">
        <v>4</v>
      </c>
      <c r="D388" s="117">
        <v>43704</v>
      </c>
      <c r="E388" s="118" t="s">
        <v>864</v>
      </c>
      <c r="F388" s="118" t="s">
        <v>164</v>
      </c>
      <c r="G388" s="111" t="s">
        <v>1483</v>
      </c>
      <c r="H388" s="121" t="s">
        <v>1041</v>
      </c>
      <c r="I388" s="119" t="s">
        <v>2056</v>
      </c>
      <c r="J388" s="75"/>
      <c r="K388" s="141">
        <v>2078</v>
      </c>
      <c r="L388" s="141">
        <v>12769</v>
      </c>
      <c r="M388" s="151" t="s">
        <v>11</v>
      </c>
      <c r="N388" s="121" t="s">
        <v>1484</v>
      </c>
      <c r="O388" s="111" t="s">
        <v>29</v>
      </c>
      <c r="P388" s="121" t="s">
        <v>176</v>
      </c>
      <c r="Q388" s="75" t="s">
        <v>510</v>
      </c>
      <c r="R388" s="111" t="s">
        <v>145</v>
      </c>
      <c r="S388" s="121"/>
      <c r="T388" s="122" t="s">
        <v>1394</v>
      </c>
      <c r="U388" s="75"/>
      <c r="V388" s="158" t="s">
        <v>6</v>
      </c>
      <c r="W388" s="141" t="s">
        <v>224</v>
      </c>
      <c r="X388" s="159">
        <v>43728</v>
      </c>
      <c r="Y388" s="160">
        <f t="shared" si="32"/>
        <v>43796</v>
      </c>
      <c r="Z388" s="192">
        <v>43791</v>
      </c>
      <c r="AA388" s="181" t="str">
        <f t="shared" ca="1" si="38"/>
        <v>YES</v>
      </c>
      <c r="AB388" s="159"/>
      <c r="AC388" s="75"/>
      <c r="AD388" s="75"/>
      <c r="AE388" s="75"/>
      <c r="AF388" s="70" t="str">
        <f t="shared" ca="1" si="33"/>
        <v>N/A</v>
      </c>
      <c r="AG388" s="185">
        <v>703.33333333333337</v>
      </c>
      <c r="AH388" s="185">
        <v>0</v>
      </c>
      <c r="AI388" s="186">
        <f t="shared" si="34"/>
        <v>703.33333333333337</v>
      </c>
      <c r="AJ388" s="191" t="s">
        <v>6</v>
      </c>
      <c r="AK388" s="187">
        <v>44161</v>
      </c>
      <c r="AL388" s="75"/>
      <c r="AM388" s="166" t="str">
        <f t="shared" si="35"/>
        <v>19034 CHENGXIN</v>
      </c>
      <c r="AN388" s="166" t="str">
        <f t="shared" si="36"/>
        <v>19034 CHENGXIN : Issue with Re-Labelling of XA Resins by our Logistic Supplier</v>
      </c>
    </row>
    <row r="389" spans="1:40" s="76" customFormat="1" ht="14.5" hidden="1" x14ac:dyDescent="0.35">
      <c r="A389" s="122" t="s">
        <v>1485</v>
      </c>
      <c r="B389" s="116">
        <v>19035</v>
      </c>
      <c r="C389" s="143" t="s">
        <v>4</v>
      </c>
      <c r="D389" s="144">
        <v>43712</v>
      </c>
      <c r="E389" s="145" t="s">
        <v>294</v>
      </c>
      <c r="F389" s="145" t="s">
        <v>164</v>
      </c>
      <c r="G389" s="146" t="s">
        <v>1397</v>
      </c>
      <c r="H389" s="146" t="s">
        <v>653</v>
      </c>
      <c r="I389" s="119" t="s">
        <v>2056</v>
      </c>
      <c r="J389" s="232"/>
      <c r="K389" s="145">
        <v>2073</v>
      </c>
      <c r="L389" s="145">
        <v>13929</v>
      </c>
      <c r="M389" s="147" t="s">
        <v>338</v>
      </c>
      <c r="N389" s="146" t="s">
        <v>1486</v>
      </c>
      <c r="O389" s="146" t="s">
        <v>29</v>
      </c>
      <c r="P389" s="146" t="s">
        <v>176</v>
      </c>
      <c r="Q389" s="232"/>
      <c r="R389" s="146" t="s">
        <v>145</v>
      </c>
      <c r="S389" s="146"/>
      <c r="T389" s="112" t="s">
        <v>653</v>
      </c>
      <c r="U389" s="232"/>
      <c r="V389" s="158" t="s">
        <v>10</v>
      </c>
      <c r="W389" s="145"/>
      <c r="X389" s="143"/>
      <c r="Y389" s="144">
        <f t="shared" si="32"/>
        <v>43803</v>
      </c>
      <c r="Z389" s="235">
        <v>43796</v>
      </c>
      <c r="AA389" s="161" t="str">
        <f t="shared" ca="1" si="38"/>
        <v>YES</v>
      </c>
      <c r="AB389" s="113"/>
      <c r="AC389" s="232"/>
      <c r="AD389" s="232"/>
      <c r="AE389" s="232"/>
      <c r="AF389" s="70" t="str">
        <f t="shared" ca="1" si="33"/>
        <v>N/A</v>
      </c>
      <c r="AG389" s="185">
        <v>184</v>
      </c>
      <c r="AH389" s="185">
        <v>2000</v>
      </c>
      <c r="AI389" s="186">
        <f t="shared" si="34"/>
        <v>2184</v>
      </c>
      <c r="AJ389" s="191" t="s">
        <v>6</v>
      </c>
      <c r="AK389" s="187">
        <v>44158</v>
      </c>
      <c r="AL389" s="232"/>
      <c r="AM389" s="184" t="str">
        <f t="shared" si="35"/>
        <v>19035 OLON</v>
      </c>
      <c r="AN389" s="184" t="str">
        <f t="shared" si="36"/>
        <v>19035 OLON : Manufacturing and mounting failure of MF drain piping</v>
      </c>
    </row>
    <row r="390" spans="1:40" s="76" customFormat="1" ht="14.5" hidden="1" x14ac:dyDescent="0.35">
      <c r="A390" s="122" t="s">
        <v>1487</v>
      </c>
      <c r="B390" s="116">
        <v>19036</v>
      </c>
      <c r="C390" s="143" t="s">
        <v>4</v>
      </c>
      <c r="D390" s="144">
        <v>43717</v>
      </c>
      <c r="E390" s="145" t="s">
        <v>195</v>
      </c>
      <c r="F390" s="145" t="s">
        <v>420</v>
      </c>
      <c r="G390" s="111" t="s">
        <v>803</v>
      </c>
      <c r="H390" s="146"/>
      <c r="I390" s="119" t="s">
        <v>2058</v>
      </c>
      <c r="J390" s="232"/>
      <c r="K390" s="145" t="s">
        <v>454</v>
      </c>
      <c r="L390" s="145" t="s">
        <v>454</v>
      </c>
      <c r="M390" s="147" t="s">
        <v>454</v>
      </c>
      <c r="N390" s="111" t="s">
        <v>1488</v>
      </c>
      <c r="O390" s="111" t="s">
        <v>420</v>
      </c>
      <c r="P390" s="146" t="s">
        <v>80</v>
      </c>
      <c r="Q390" s="232"/>
      <c r="R390" s="146" t="s">
        <v>87</v>
      </c>
      <c r="S390" s="146"/>
      <c r="T390" s="232"/>
      <c r="U390" s="232"/>
      <c r="V390" s="158" t="s">
        <v>10</v>
      </c>
      <c r="W390" s="145"/>
      <c r="X390" s="143"/>
      <c r="Y390" s="144">
        <f t="shared" si="32"/>
        <v>43808</v>
      </c>
      <c r="Z390" s="235">
        <v>43836</v>
      </c>
      <c r="AA390" s="161" t="str">
        <f t="shared" ca="1" si="38"/>
        <v>NO</v>
      </c>
      <c r="AB390" s="113"/>
      <c r="AC390" s="232"/>
      <c r="AD390" s="232"/>
      <c r="AE390" s="232"/>
      <c r="AF390" s="148" t="str">
        <f t="shared" ca="1" si="33"/>
        <v>N/A</v>
      </c>
      <c r="AG390" s="193">
        <v>92</v>
      </c>
      <c r="AH390" s="194">
        <v>200</v>
      </c>
      <c r="AI390" s="195">
        <f t="shared" si="34"/>
        <v>292</v>
      </c>
      <c r="AJ390" s="191" t="s">
        <v>6</v>
      </c>
      <c r="AK390" s="192">
        <v>44153</v>
      </c>
      <c r="AL390" s="232"/>
      <c r="AM390" s="184" t="str">
        <f t="shared" si="35"/>
        <v>19036 Service R&amp;D</v>
      </c>
      <c r="AN390" s="184" t="str">
        <f t="shared" si="36"/>
        <v>19036 Service R&amp;D : Overheating of a R&amp;D oven</v>
      </c>
    </row>
    <row r="391" spans="1:40" s="76" customFormat="1" ht="14.5" hidden="1" x14ac:dyDescent="0.35">
      <c r="A391" s="122" t="s">
        <v>1489</v>
      </c>
      <c r="B391" s="116">
        <v>19037</v>
      </c>
      <c r="C391" s="143" t="s">
        <v>4</v>
      </c>
      <c r="D391" s="144">
        <v>43718</v>
      </c>
      <c r="E391" s="145" t="s">
        <v>1083</v>
      </c>
      <c r="F391" s="145" t="s">
        <v>164</v>
      </c>
      <c r="G391" s="146" t="s">
        <v>1235</v>
      </c>
      <c r="H391" s="146"/>
      <c r="I391" s="119" t="s">
        <v>17</v>
      </c>
      <c r="J391" s="232"/>
      <c r="K391" s="145">
        <v>2053</v>
      </c>
      <c r="L391" s="145">
        <v>13174</v>
      </c>
      <c r="M391" s="147" t="s">
        <v>13</v>
      </c>
      <c r="N391" s="146" t="s">
        <v>1490</v>
      </c>
      <c r="O391" s="146" t="s">
        <v>29</v>
      </c>
      <c r="P391" s="146" t="s">
        <v>86</v>
      </c>
      <c r="Q391" s="232" t="s">
        <v>1036</v>
      </c>
      <c r="R391" s="146" t="s">
        <v>9</v>
      </c>
      <c r="S391" s="146"/>
      <c r="T391" s="232"/>
      <c r="U391" s="232"/>
      <c r="V391" s="158" t="s">
        <v>10</v>
      </c>
      <c r="W391" s="145"/>
      <c r="X391" s="143"/>
      <c r="Y391" s="144">
        <f t="shared" ref="Y391:Y454" si="39">EDATE(D391,3)</f>
        <v>43809</v>
      </c>
      <c r="Z391" s="235">
        <v>43801</v>
      </c>
      <c r="AA391" s="161" t="str">
        <f t="shared" ca="1" si="38"/>
        <v>YES</v>
      </c>
      <c r="AB391" s="113"/>
      <c r="AC391" s="232"/>
      <c r="AD391" s="232"/>
      <c r="AE391" s="232"/>
      <c r="AF391" s="70" t="str">
        <f t="shared" ca="1" si="33"/>
        <v>N/A</v>
      </c>
      <c r="AG391" s="185">
        <v>552</v>
      </c>
      <c r="AH391" s="185">
        <v>0</v>
      </c>
      <c r="AI391" s="186">
        <f t="shared" si="34"/>
        <v>552</v>
      </c>
      <c r="AJ391" s="191" t="s">
        <v>6</v>
      </c>
      <c r="AK391" s="192">
        <v>44148</v>
      </c>
      <c r="AL391" s="70"/>
      <c r="AM391" s="184" t="str">
        <f t="shared" si="35"/>
        <v>19037 Pfeifer and Langen</v>
      </c>
      <c r="AN391" s="184" t="str">
        <f t="shared" si="36"/>
        <v>19037 Pfeifer and Langen : DP definition</v>
      </c>
    </row>
    <row r="392" spans="1:40" s="76" customFormat="1" ht="14.5" hidden="1" x14ac:dyDescent="0.35">
      <c r="A392" s="122" t="s">
        <v>1491</v>
      </c>
      <c r="B392" s="116">
        <v>19038</v>
      </c>
      <c r="C392" s="143" t="s">
        <v>4</v>
      </c>
      <c r="D392" s="144">
        <v>43721</v>
      </c>
      <c r="E392" s="145" t="s">
        <v>1492</v>
      </c>
      <c r="F392" s="116" t="s">
        <v>420</v>
      </c>
      <c r="G392" s="146" t="s">
        <v>1493</v>
      </c>
      <c r="H392" s="146" t="s">
        <v>1041</v>
      </c>
      <c r="I392" s="119" t="s">
        <v>2057</v>
      </c>
      <c r="J392" s="232"/>
      <c r="K392" s="145"/>
      <c r="L392" s="145" t="s">
        <v>1494</v>
      </c>
      <c r="M392" s="147"/>
      <c r="N392" s="146" t="s">
        <v>1495</v>
      </c>
      <c r="O392" s="111" t="s">
        <v>420</v>
      </c>
      <c r="P392" s="146" t="s">
        <v>80</v>
      </c>
      <c r="Q392" s="232"/>
      <c r="R392" s="146" t="s">
        <v>9</v>
      </c>
      <c r="S392" s="111" t="s">
        <v>1344</v>
      </c>
      <c r="T392" s="232"/>
      <c r="U392" s="232"/>
      <c r="V392" s="158" t="s">
        <v>6</v>
      </c>
      <c r="W392" s="145" t="s">
        <v>1492</v>
      </c>
      <c r="X392" s="143">
        <v>43740</v>
      </c>
      <c r="Y392" s="144">
        <f t="shared" si="39"/>
        <v>43812</v>
      </c>
      <c r="Z392" s="187">
        <v>43803</v>
      </c>
      <c r="AA392" s="161" t="str">
        <f t="shared" ca="1" si="38"/>
        <v>YES</v>
      </c>
      <c r="AB392" s="113"/>
      <c r="AC392" s="232"/>
      <c r="AD392" s="232"/>
      <c r="AE392" s="232"/>
      <c r="AF392" s="70" t="str">
        <f t="shared" ref="AF392:AF406" ca="1" si="40">IF(I392="Claim",IF(AD392="","",IF(AE392="",IF(TODAY()&gt;AD392,"NO","YES"),IF(AE392&gt;AD392,"NO",IF(AE392&lt;AD392,"YES",IF(AD392=AE392,"YES","N/A"))))),"N/A")</f>
        <v>N/A</v>
      </c>
      <c r="AG392" s="185">
        <v>1567.8333333333335</v>
      </c>
      <c r="AH392" s="185">
        <v>0</v>
      </c>
      <c r="AI392" s="186">
        <f t="shared" ref="AI392:AI406" si="41">AH392+AG392</f>
        <v>1567.8333333333335</v>
      </c>
      <c r="AJ392" s="236"/>
      <c r="AK392" s="75" t="s">
        <v>1378</v>
      </c>
      <c r="AL392" s="232"/>
      <c r="AM392" s="184" t="str">
        <f t="shared" ref="AM392:AM406" si="42">CONCATENATE(B392," ",G392)</f>
        <v>19038 Tate &amp; Lyle</v>
      </c>
      <c r="AN392" s="184" t="str">
        <f t="shared" ref="AN392:AN406" si="43">CONCATENATE(B392," ",G392," : ",N392)</f>
        <v>19038 Tate &amp; Lyle : Customer sample received late at NVS SMB</v>
      </c>
    </row>
    <row r="393" spans="1:40" s="76" customFormat="1" ht="14.5" hidden="1" x14ac:dyDescent="0.35">
      <c r="A393" s="122" t="s">
        <v>1496</v>
      </c>
      <c r="B393" s="116">
        <v>19039</v>
      </c>
      <c r="C393" s="143" t="s">
        <v>4</v>
      </c>
      <c r="D393" s="144">
        <v>43724</v>
      </c>
      <c r="E393" s="145" t="s">
        <v>116</v>
      </c>
      <c r="F393" s="116" t="s">
        <v>164</v>
      </c>
      <c r="G393" s="146" t="s">
        <v>1423</v>
      </c>
      <c r="H393" s="146"/>
      <c r="I393" s="119" t="s">
        <v>2057</v>
      </c>
      <c r="J393" s="232"/>
      <c r="K393" s="145">
        <v>2067</v>
      </c>
      <c r="L393" s="145">
        <v>11925</v>
      </c>
      <c r="M393" s="147" t="s">
        <v>11</v>
      </c>
      <c r="N393" s="146" t="s">
        <v>1497</v>
      </c>
      <c r="O393" s="146" t="s">
        <v>29</v>
      </c>
      <c r="P393" s="146" t="s">
        <v>86</v>
      </c>
      <c r="Q393" s="232" t="s">
        <v>605</v>
      </c>
      <c r="R393" s="146" t="s">
        <v>15</v>
      </c>
      <c r="S393" s="111" t="s">
        <v>1344</v>
      </c>
      <c r="T393" s="232"/>
      <c r="U393" s="232"/>
      <c r="V393" s="158" t="s">
        <v>6</v>
      </c>
      <c r="W393" s="145" t="s">
        <v>116</v>
      </c>
      <c r="X393" s="143">
        <v>43734</v>
      </c>
      <c r="Y393" s="144">
        <f t="shared" si="39"/>
        <v>43815</v>
      </c>
      <c r="Z393" s="235">
        <v>43795</v>
      </c>
      <c r="AA393" s="161" t="str">
        <f t="shared" ca="1" si="38"/>
        <v>YES</v>
      </c>
      <c r="AB393" s="113"/>
      <c r="AC393" s="232"/>
      <c r="AD393" s="232"/>
      <c r="AE393" s="232"/>
      <c r="AF393" s="70" t="str">
        <f t="shared" ca="1" si="40"/>
        <v>N/A</v>
      </c>
      <c r="AG393" s="185">
        <v>460</v>
      </c>
      <c r="AH393" s="185">
        <v>0</v>
      </c>
      <c r="AI393" s="186">
        <f t="shared" si="41"/>
        <v>460</v>
      </c>
      <c r="AJ393" s="191" t="s">
        <v>6</v>
      </c>
      <c r="AK393" s="187">
        <v>44148</v>
      </c>
      <c r="AL393" s="232"/>
      <c r="AM393" s="184" t="str">
        <f t="shared" si="42"/>
        <v>19039 Ingredion</v>
      </c>
      <c r="AN393" s="184" t="str">
        <f t="shared" si="43"/>
        <v>19039 Ingredion : Forgotten item from Novasep scope</v>
      </c>
    </row>
    <row r="394" spans="1:40" s="76" customFormat="1" ht="14.5" hidden="1" x14ac:dyDescent="0.35">
      <c r="A394" s="122" t="s">
        <v>1498</v>
      </c>
      <c r="B394" s="116">
        <v>19040</v>
      </c>
      <c r="C394" s="143" t="s">
        <v>4</v>
      </c>
      <c r="D394" s="144">
        <v>43725</v>
      </c>
      <c r="E394" s="145" t="s">
        <v>82</v>
      </c>
      <c r="F394" s="145" t="s">
        <v>658</v>
      </c>
      <c r="G394" s="146" t="s">
        <v>1499</v>
      </c>
      <c r="H394" s="146" t="s">
        <v>357</v>
      </c>
      <c r="I394" s="119" t="s">
        <v>5</v>
      </c>
      <c r="J394" s="232"/>
      <c r="K394" s="145"/>
      <c r="L394" s="145" t="s">
        <v>1500</v>
      </c>
      <c r="M394" s="147" t="s">
        <v>338</v>
      </c>
      <c r="N394" s="146" t="s">
        <v>1501</v>
      </c>
      <c r="O394" s="146" t="s">
        <v>28</v>
      </c>
      <c r="P394" s="146" t="s">
        <v>103</v>
      </c>
      <c r="Q394" s="232" t="s">
        <v>176</v>
      </c>
      <c r="R394" s="146" t="s">
        <v>145</v>
      </c>
      <c r="S394" s="146"/>
      <c r="T394" s="112" t="s">
        <v>357</v>
      </c>
      <c r="U394" s="232"/>
      <c r="V394" s="158" t="s">
        <v>6</v>
      </c>
      <c r="W394" s="145" t="s">
        <v>82</v>
      </c>
      <c r="X394" s="143">
        <v>43727</v>
      </c>
      <c r="Y394" s="144">
        <f t="shared" si="39"/>
        <v>43816</v>
      </c>
      <c r="Z394" s="235">
        <v>43795</v>
      </c>
      <c r="AA394" s="161" t="str">
        <f t="shared" ca="1" si="38"/>
        <v>YES</v>
      </c>
      <c r="AB394" s="113"/>
      <c r="AC394" s="190">
        <v>43725</v>
      </c>
      <c r="AD394" s="235">
        <v>43830</v>
      </c>
      <c r="AE394" s="235">
        <v>43795</v>
      </c>
      <c r="AF394" s="70" t="str">
        <f t="shared" ca="1" si="40"/>
        <v>YES</v>
      </c>
      <c r="AG394" s="185">
        <v>276</v>
      </c>
      <c r="AH394" s="185">
        <v>100</v>
      </c>
      <c r="AI394" s="186">
        <f t="shared" si="41"/>
        <v>376</v>
      </c>
      <c r="AJ394" s="191" t="s">
        <v>6</v>
      </c>
      <c r="AK394" s="187">
        <v>44153</v>
      </c>
      <c r="AL394" s="232"/>
      <c r="AM394" s="184" t="str">
        <f t="shared" si="42"/>
        <v>19040 Rousselot</v>
      </c>
      <c r="AN394" s="184" t="str">
        <f t="shared" si="43"/>
        <v>19040 Rousselot : Kerasep membrane length problem</v>
      </c>
    </row>
    <row r="395" spans="1:40" s="76" customFormat="1" ht="14.5" hidden="1" x14ac:dyDescent="0.35">
      <c r="A395" s="122" t="s">
        <v>1502</v>
      </c>
      <c r="B395" s="116">
        <v>19041</v>
      </c>
      <c r="C395" s="143" t="s">
        <v>4</v>
      </c>
      <c r="D395" s="144">
        <v>43738</v>
      </c>
      <c r="E395" s="145" t="s">
        <v>1503</v>
      </c>
      <c r="F395" s="116" t="s">
        <v>658</v>
      </c>
      <c r="G395" s="146" t="s">
        <v>1504</v>
      </c>
      <c r="H395" s="146" t="s">
        <v>1041</v>
      </c>
      <c r="I395" s="119" t="s">
        <v>2057</v>
      </c>
      <c r="J395" s="232"/>
      <c r="K395" s="145"/>
      <c r="L395" s="145" t="s">
        <v>1505</v>
      </c>
      <c r="M395" s="147" t="s">
        <v>18</v>
      </c>
      <c r="N395" s="146" t="s">
        <v>1506</v>
      </c>
      <c r="O395" s="146" t="s">
        <v>28</v>
      </c>
      <c r="P395" s="146" t="s">
        <v>103</v>
      </c>
      <c r="Q395" s="232" t="s">
        <v>510</v>
      </c>
      <c r="R395" s="111" t="s">
        <v>9</v>
      </c>
      <c r="S395" s="111"/>
      <c r="T395" s="232"/>
      <c r="U395" s="232"/>
      <c r="V395" s="158" t="s">
        <v>6</v>
      </c>
      <c r="W395" s="118" t="s">
        <v>82</v>
      </c>
      <c r="X395" s="143">
        <v>43752</v>
      </c>
      <c r="Y395" s="144">
        <f t="shared" si="39"/>
        <v>43829</v>
      </c>
      <c r="Z395" s="235">
        <v>43886</v>
      </c>
      <c r="AA395" s="161" t="str">
        <f t="shared" ca="1" si="38"/>
        <v>NO</v>
      </c>
      <c r="AB395" s="113"/>
      <c r="AC395" s="232"/>
      <c r="AD395" s="232"/>
      <c r="AE395" s="232"/>
      <c r="AF395" s="148" t="str">
        <f t="shared" ca="1" si="40"/>
        <v>N/A</v>
      </c>
      <c r="AG395" s="193">
        <v>644</v>
      </c>
      <c r="AH395" s="194">
        <v>0</v>
      </c>
      <c r="AI395" s="195">
        <f t="shared" si="41"/>
        <v>644</v>
      </c>
      <c r="AJ395" s="191" t="s">
        <v>6</v>
      </c>
      <c r="AK395" s="187">
        <v>44153</v>
      </c>
      <c r="AL395" s="232"/>
      <c r="AM395" s="184" t="str">
        <f t="shared" si="42"/>
        <v>19041 Parry Sugar</v>
      </c>
      <c r="AN395" s="184" t="str">
        <f t="shared" si="43"/>
        <v>19041 Parry Sugar : NF membranes quantity delivery error</v>
      </c>
    </row>
    <row r="396" spans="1:40" s="76" customFormat="1" ht="14.5" hidden="1" x14ac:dyDescent="0.35">
      <c r="A396" s="122" t="s">
        <v>1507</v>
      </c>
      <c r="B396" s="116">
        <v>19042</v>
      </c>
      <c r="C396" s="143" t="s">
        <v>4</v>
      </c>
      <c r="D396" s="144">
        <v>43741</v>
      </c>
      <c r="E396" s="145" t="s">
        <v>82</v>
      </c>
      <c r="F396" s="145" t="s">
        <v>658</v>
      </c>
      <c r="G396" s="146" t="s">
        <v>1090</v>
      </c>
      <c r="H396" s="146" t="s">
        <v>1508</v>
      </c>
      <c r="I396" s="119" t="s">
        <v>5</v>
      </c>
      <c r="J396" s="232"/>
      <c r="K396" s="145"/>
      <c r="L396" s="145" t="s">
        <v>1509</v>
      </c>
      <c r="M396" s="147" t="s">
        <v>13</v>
      </c>
      <c r="N396" s="146" t="s">
        <v>1510</v>
      </c>
      <c r="O396" s="146" t="s">
        <v>28</v>
      </c>
      <c r="P396" s="146" t="s">
        <v>103</v>
      </c>
      <c r="Q396" s="232" t="s">
        <v>176</v>
      </c>
      <c r="R396" s="146" t="s">
        <v>145</v>
      </c>
      <c r="S396" s="146"/>
      <c r="T396" s="112" t="s">
        <v>1508</v>
      </c>
      <c r="U396" s="232"/>
      <c r="V396" s="158" t="s">
        <v>6</v>
      </c>
      <c r="W396" s="118" t="s">
        <v>82</v>
      </c>
      <c r="X396" s="113">
        <v>43755</v>
      </c>
      <c r="Y396" s="144">
        <f t="shared" si="39"/>
        <v>43833</v>
      </c>
      <c r="Z396" s="235">
        <v>43810</v>
      </c>
      <c r="AA396" s="161" t="str">
        <f t="shared" ca="1" si="38"/>
        <v>YES</v>
      </c>
      <c r="AB396" s="113"/>
      <c r="AC396" s="190">
        <v>43741</v>
      </c>
      <c r="AD396" s="235">
        <v>43833</v>
      </c>
      <c r="AE396" s="235">
        <v>43810</v>
      </c>
      <c r="AF396" s="70" t="str">
        <f t="shared" ca="1" si="40"/>
        <v>YES</v>
      </c>
      <c r="AG396" s="185">
        <v>644</v>
      </c>
      <c r="AH396" s="185">
        <v>0</v>
      </c>
      <c r="AI396" s="186">
        <f t="shared" si="41"/>
        <v>644</v>
      </c>
      <c r="AJ396" s="191"/>
      <c r="AK396" s="187" t="s">
        <v>1511</v>
      </c>
      <c r="AL396" s="70" t="s">
        <v>1512</v>
      </c>
      <c r="AM396" s="184" t="str">
        <f t="shared" si="42"/>
        <v>19042 Beneo Orafti</v>
      </c>
      <c r="AN396" s="184" t="str">
        <f t="shared" si="43"/>
        <v xml:space="preserve">19042 Beneo Orafti : Resins delivery delay </v>
      </c>
    </row>
    <row r="397" spans="1:40" s="76" customFormat="1" ht="14.5" hidden="1" x14ac:dyDescent="0.35">
      <c r="A397" s="122" t="s">
        <v>1513</v>
      </c>
      <c r="B397" s="116">
        <v>19043</v>
      </c>
      <c r="C397" s="143" t="s">
        <v>4</v>
      </c>
      <c r="D397" s="144">
        <v>43745</v>
      </c>
      <c r="E397" s="145" t="s">
        <v>1019</v>
      </c>
      <c r="F397" s="116" t="s">
        <v>658</v>
      </c>
      <c r="G397" s="146" t="s">
        <v>1514</v>
      </c>
      <c r="H397" s="146"/>
      <c r="I397" s="119" t="s">
        <v>2057</v>
      </c>
      <c r="J397" s="232" t="s">
        <v>1332</v>
      </c>
      <c r="K397" s="145"/>
      <c r="L397" s="145" t="s">
        <v>1515</v>
      </c>
      <c r="M397" s="147"/>
      <c r="N397" s="146" t="s">
        <v>1516</v>
      </c>
      <c r="O397" s="146" t="s">
        <v>28</v>
      </c>
      <c r="P397" s="146" t="s">
        <v>103</v>
      </c>
      <c r="Q397" s="232" t="s">
        <v>1517</v>
      </c>
      <c r="R397" s="146" t="s">
        <v>15</v>
      </c>
      <c r="S397" s="111" t="s">
        <v>1344</v>
      </c>
      <c r="T397" s="232"/>
      <c r="U397" s="232"/>
      <c r="V397" s="158" t="s">
        <v>6</v>
      </c>
      <c r="W397" s="145" t="s">
        <v>82</v>
      </c>
      <c r="X397" s="143">
        <v>43748</v>
      </c>
      <c r="Y397" s="144">
        <f t="shared" si="39"/>
        <v>43837</v>
      </c>
      <c r="Z397" s="235">
        <v>43832</v>
      </c>
      <c r="AA397" s="161" t="str">
        <f t="shared" ca="1" si="38"/>
        <v>YES</v>
      </c>
      <c r="AB397" s="113"/>
      <c r="AC397" s="232"/>
      <c r="AD397" s="232"/>
      <c r="AE397" s="232"/>
      <c r="AF397" s="148" t="str">
        <f t="shared" ca="1" si="40"/>
        <v>N/A</v>
      </c>
      <c r="AG397" s="193">
        <v>552</v>
      </c>
      <c r="AH397" s="194"/>
      <c r="AI397" s="195">
        <f t="shared" si="41"/>
        <v>552</v>
      </c>
      <c r="AJ397" s="191" t="s">
        <v>10</v>
      </c>
      <c r="AK397" s="187">
        <v>44109</v>
      </c>
      <c r="AL397" s="70" t="s">
        <v>1518</v>
      </c>
      <c r="AM397" s="184" t="str">
        <f t="shared" si="42"/>
        <v>19043 LAICA</v>
      </c>
      <c r="AN397" s="184" t="str">
        <f t="shared" si="43"/>
        <v>19043 LAICA : Resins labeling error</v>
      </c>
    </row>
    <row r="398" spans="1:40" s="76" customFormat="1" ht="14.5" hidden="1" x14ac:dyDescent="0.35">
      <c r="A398" s="122" t="s">
        <v>1519</v>
      </c>
      <c r="B398" s="116">
        <v>19044</v>
      </c>
      <c r="C398" s="113" t="s">
        <v>1193</v>
      </c>
      <c r="D398" s="117">
        <v>43752</v>
      </c>
      <c r="E398" s="118" t="s">
        <v>1140</v>
      </c>
      <c r="F398" s="118" t="s">
        <v>1222</v>
      </c>
      <c r="G398" s="111" t="s">
        <v>1473</v>
      </c>
      <c r="H398" s="111" t="s">
        <v>1204</v>
      </c>
      <c r="I398" s="119" t="s">
        <v>5</v>
      </c>
      <c r="J398" s="70"/>
      <c r="K398" s="118">
        <v>2062</v>
      </c>
      <c r="L398" s="118">
        <v>13678</v>
      </c>
      <c r="M398" s="147" t="s">
        <v>1520</v>
      </c>
      <c r="N398" s="111" t="s">
        <v>1521</v>
      </c>
      <c r="O398" s="146" t="s">
        <v>29</v>
      </c>
      <c r="P398" s="111" t="s">
        <v>86</v>
      </c>
      <c r="Q398" s="70" t="s">
        <v>1522</v>
      </c>
      <c r="R398" s="111" t="s">
        <v>9</v>
      </c>
      <c r="S398" s="111"/>
      <c r="T398" s="70"/>
      <c r="U398" s="70"/>
      <c r="V398" s="158" t="s">
        <v>6</v>
      </c>
      <c r="W398" s="118" t="s">
        <v>1523</v>
      </c>
      <c r="X398" s="113">
        <v>43773</v>
      </c>
      <c r="Y398" s="117">
        <f t="shared" si="39"/>
        <v>43844</v>
      </c>
      <c r="Z398" s="187">
        <v>43840</v>
      </c>
      <c r="AA398" s="161" t="str">
        <f t="shared" ca="1" si="38"/>
        <v>YES</v>
      </c>
      <c r="AB398" s="113"/>
      <c r="AC398" s="70"/>
      <c r="AD398" s="187">
        <v>43840</v>
      </c>
      <c r="AE398" s="187">
        <v>43840</v>
      </c>
      <c r="AF398" s="114" t="str">
        <f t="shared" ca="1" si="40"/>
        <v>YES</v>
      </c>
      <c r="AG398" s="194">
        <v>0</v>
      </c>
      <c r="AH398" s="194">
        <v>0</v>
      </c>
      <c r="AI398" s="196">
        <f t="shared" si="41"/>
        <v>0</v>
      </c>
      <c r="AJ398" s="70"/>
      <c r="AK398" s="75"/>
      <c r="AL398" s="70"/>
      <c r="AM398" s="165" t="str">
        <f t="shared" si="42"/>
        <v>19044 CJ LIAOCHENG</v>
      </c>
      <c r="AN398" s="165" t="str">
        <f t="shared" si="43"/>
        <v>19044 CJ LIAOCHENG : Bray butterfly valves quality problem</v>
      </c>
    </row>
    <row r="399" spans="1:40" s="76" customFormat="1" ht="14.5" hidden="1" x14ac:dyDescent="0.35">
      <c r="A399" s="122" t="s">
        <v>1524</v>
      </c>
      <c r="B399" s="116">
        <v>19045</v>
      </c>
      <c r="C399" s="113" t="s">
        <v>1193</v>
      </c>
      <c r="D399" s="117">
        <v>43788</v>
      </c>
      <c r="E399" s="118" t="s">
        <v>1167</v>
      </c>
      <c r="F399" s="118" t="s">
        <v>1222</v>
      </c>
      <c r="G399" s="111" t="s">
        <v>1483</v>
      </c>
      <c r="H399" s="152" t="s">
        <v>1525</v>
      </c>
      <c r="I399" s="119" t="s">
        <v>5</v>
      </c>
      <c r="J399" s="70"/>
      <c r="K399" s="118">
        <v>2078</v>
      </c>
      <c r="L399" s="118">
        <v>12769</v>
      </c>
      <c r="M399" s="147" t="s">
        <v>11</v>
      </c>
      <c r="N399" s="147" t="s">
        <v>1526</v>
      </c>
      <c r="O399" s="146" t="s">
        <v>29</v>
      </c>
      <c r="P399" s="111" t="s">
        <v>86</v>
      </c>
      <c r="Q399" s="70" t="s">
        <v>1527</v>
      </c>
      <c r="R399" s="146" t="s">
        <v>87</v>
      </c>
      <c r="S399" s="146"/>
      <c r="T399" s="70"/>
      <c r="U399" s="74"/>
      <c r="V399" s="158" t="s">
        <v>6</v>
      </c>
      <c r="W399" s="118" t="s">
        <v>904</v>
      </c>
      <c r="X399" s="113">
        <v>43788</v>
      </c>
      <c r="Y399" s="117">
        <f t="shared" si="39"/>
        <v>43880</v>
      </c>
      <c r="Z399" s="187">
        <v>44266</v>
      </c>
      <c r="AA399" s="161" t="str">
        <f t="shared" ca="1" si="38"/>
        <v>NO</v>
      </c>
      <c r="AB399" s="113"/>
      <c r="AC399" s="70"/>
      <c r="AD399" s="187">
        <v>43921</v>
      </c>
      <c r="AE399" s="187">
        <v>44266</v>
      </c>
      <c r="AF399" s="114" t="str">
        <f t="shared" ca="1" si="40"/>
        <v>NO</v>
      </c>
      <c r="AG399" s="194"/>
      <c r="AH399" s="194"/>
      <c r="AI399" s="196">
        <f t="shared" si="41"/>
        <v>0</v>
      </c>
      <c r="AJ399" s="70"/>
      <c r="AK399" s="70"/>
      <c r="AL399" s="70"/>
      <c r="AM399" s="165" t="str">
        <f t="shared" si="42"/>
        <v>19045 CHENGXIN</v>
      </c>
      <c r="AN399" s="165" t="str">
        <f t="shared" si="43"/>
        <v>19045 CHENGXIN : Resin leakage is found from strainers during resin loading phase</v>
      </c>
    </row>
    <row r="400" spans="1:40" s="76" customFormat="1" ht="14.5" hidden="1" x14ac:dyDescent="0.35">
      <c r="A400" s="122" t="s">
        <v>1528</v>
      </c>
      <c r="B400" s="116">
        <v>19046</v>
      </c>
      <c r="C400" s="143" t="s">
        <v>4</v>
      </c>
      <c r="D400" s="144">
        <v>43788</v>
      </c>
      <c r="E400" s="145" t="s">
        <v>1529</v>
      </c>
      <c r="F400" s="145" t="s">
        <v>658</v>
      </c>
      <c r="G400" s="146" t="s">
        <v>1530</v>
      </c>
      <c r="H400" s="146" t="s">
        <v>357</v>
      </c>
      <c r="I400" s="119" t="s">
        <v>5</v>
      </c>
      <c r="J400" s="232"/>
      <c r="K400" s="145"/>
      <c r="L400" s="114" t="s">
        <v>1531</v>
      </c>
      <c r="M400" s="147" t="s">
        <v>359</v>
      </c>
      <c r="N400" s="111" t="s">
        <v>1532</v>
      </c>
      <c r="O400" s="146" t="s">
        <v>28</v>
      </c>
      <c r="P400" s="111" t="s">
        <v>103</v>
      </c>
      <c r="Q400" s="70" t="s">
        <v>176</v>
      </c>
      <c r="R400" s="146" t="s">
        <v>145</v>
      </c>
      <c r="S400" s="146"/>
      <c r="T400" s="70" t="s">
        <v>357</v>
      </c>
      <c r="U400" s="232"/>
      <c r="V400" s="158" t="s">
        <v>6</v>
      </c>
      <c r="W400" s="118" t="s">
        <v>82</v>
      </c>
      <c r="X400" s="143">
        <v>43788</v>
      </c>
      <c r="Y400" s="144">
        <f t="shared" si="39"/>
        <v>43880</v>
      </c>
      <c r="Z400" s="235">
        <v>43868</v>
      </c>
      <c r="AA400" s="161" t="str">
        <f t="shared" ca="1" si="38"/>
        <v>YES</v>
      </c>
      <c r="AB400" s="113"/>
      <c r="AC400" s="190">
        <v>43789</v>
      </c>
      <c r="AD400" s="235">
        <v>43890</v>
      </c>
      <c r="AE400" s="235">
        <v>43868</v>
      </c>
      <c r="AF400" s="114" t="str">
        <f t="shared" ca="1" si="40"/>
        <v>YES</v>
      </c>
      <c r="AG400" s="194">
        <v>920</v>
      </c>
      <c r="AH400" s="194">
        <v>0</v>
      </c>
      <c r="AI400" s="196">
        <f t="shared" si="41"/>
        <v>920</v>
      </c>
      <c r="AJ400" s="191" t="s">
        <v>6</v>
      </c>
      <c r="AK400" s="187">
        <v>44153</v>
      </c>
      <c r="AL400" s="232"/>
      <c r="AM400" s="184" t="str">
        <f t="shared" si="42"/>
        <v>19046 Ennolys</v>
      </c>
      <c r="AN400" s="184" t="str">
        <f t="shared" si="43"/>
        <v>19046 Ennolys : Order confirmation and delay too long</v>
      </c>
    </row>
    <row r="401" spans="1:40" s="76" customFormat="1" ht="14.5" hidden="1" x14ac:dyDescent="0.35">
      <c r="A401" s="122" t="s">
        <v>1533</v>
      </c>
      <c r="B401" s="116">
        <v>19047</v>
      </c>
      <c r="C401" s="143" t="s">
        <v>4</v>
      </c>
      <c r="D401" s="144">
        <v>43790</v>
      </c>
      <c r="E401" s="145" t="s">
        <v>1529</v>
      </c>
      <c r="F401" s="145" t="s">
        <v>658</v>
      </c>
      <c r="G401" s="146" t="s">
        <v>1534</v>
      </c>
      <c r="H401" s="146" t="s">
        <v>357</v>
      </c>
      <c r="I401" s="119" t="s">
        <v>5</v>
      </c>
      <c r="J401" s="70" t="s">
        <v>1332</v>
      </c>
      <c r="K401" s="145"/>
      <c r="L401" s="114" t="s">
        <v>1535</v>
      </c>
      <c r="M401" s="147" t="s">
        <v>338</v>
      </c>
      <c r="N401" s="146" t="s">
        <v>1536</v>
      </c>
      <c r="O401" s="146" t="s">
        <v>28</v>
      </c>
      <c r="P401" s="111" t="s">
        <v>103</v>
      </c>
      <c r="Q401" s="70" t="s">
        <v>176</v>
      </c>
      <c r="R401" s="146" t="s">
        <v>145</v>
      </c>
      <c r="S401" s="146"/>
      <c r="T401" s="232" t="s">
        <v>357</v>
      </c>
      <c r="U401" s="232"/>
      <c r="V401" s="158" t="s">
        <v>6</v>
      </c>
      <c r="W401" s="118" t="s">
        <v>82</v>
      </c>
      <c r="X401" s="143">
        <v>43791</v>
      </c>
      <c r="Y401" s="144">
        <f t="shared" si="39"/>
        <v>43882</v>
      </c>
      <c r="Z401" s="235">
        <v>43880</v>
      </c>
      <c r="AA401" s="161" t="str">
        <f t="shared" ca="1" si="38"/>
        <v>YES</v>
      </c>
      <c r="AB401" s="113"/>
      <c r="AC401" s="190">
        <v>43790</v>
      </c>
      <c r="AD401" s="235">
        <v>43890</v>
      </c>
      <c r="AE401" s="235">
        <v>43880</v>
      </c>
      <c r="AF401" s="114" t="str">
        <f t="shared" ca="1" si="40"/>
        <v>YES</v>
      </c>
      <c r="AG401" s="194">
        <v>920</v>
      </c>
      <c r="AH401" s="194">
        <v>0</v>
      </c>
      <c r="AI401" s="196">
        <f t="shared" si="41"/>
        <v>920</v>
      </c>
      <c r="AJ401" s="191" t="s">
        <v>6</v>
      </c>
      <c r="AK401" s="187">
        <v>44153</v>
      </c>
      <c r="AL401" s="232"/>
      <c r="AM401" s="184" t="str">
        <f t="shared" si="42"/>
        <v>19047 CKD</v>
      </c>
      <c r="AN401" s="184" t="str">
        <f t="shared" si="43"/>
        <v>19047 CKD : Successive postponements of the delivery date</v>
      </c>
    </row>
    <row r="402" spans="1:40" s="76" customFormat="1" ht="14.5" hidden="1" x14ac:dyDescent="0.35">
      <c r="A402" s="122" t="s">
        <v>1537</v>
      </c>
      <c r="B402" s="116">
        <v>19048</v>
      </c>
      <c r="C402" s="143" t="s">
        <v>4</v>
      </c>
      <c r="D402" s="144">
        <v>43790</v>
      </c>
      <c r="E402" s="145" t="s">
        <v>1529</v>
      </c>
      <c r="F402" s="145" t="s">
        <v>658</v>
      </c>
      <c r="G402" s="146" t="s">
        <v>1538</v>
      </c>
      <c r="H402" s="146" t="s">
        <v>357</v>
      </c>
      <c r="I402" s="119" t="s">
        <v>5</v>
      </c>
      <c r="J402" s="70" t="s">
        <v>1332</v>
      </c>
      <c r="K402" s="145"/>
      <c r="L402" s="114" t="s">
        <v>1539</v>
      </c>
      <c r="M402" s="147" t="s">
        <v>338</v>
      </c>
      <c r="N402" s="146" t="s">
        <v>1532</v>
      </c>
      <c r="O402" s="146" t="s">
        <v>28</v>
      </c>
      <c r="P402" s="111" t="s">
        <v>103</v>
      </c>
      <c r="Q402" s="70" t="s">
        <v>176</v>
      </c>
      <c r="R402" s="111" t="s">
        <v>9</v>
      </c>
      <c r="S402" s="111"/>
      <c r="T402" s="232" t="s">
        <v>357</v>
      </c>
      <c r="U402" s="232"/>
      <c r="V402" s="158" t="s">
        <v>6</v>
      </c>
      <c r="W402" s="118" t="s">
        <v>82</v>
      </c>
      <c r="X402" s="143">
        <v>43791</v>
      </c>
      <c r="Y402" s="144">
        <f t="shared" si="39"/>
        <v>43882</v>
      </c>
      <c r="Z402" s="235">
        <v>43868</v>
      </c>
      <c r="AA402" s="161" t="str">
        <f t="shared" ref="AA402:AA407" ca="1" si="44">IF(Z402="",IF(TODAY()&gt;Y402,"NO","YES"),IF(Z402&gt;Y402,"NO",IF(Z402&lt;Y402,"YES",IF(Y402=Z402,"YES","N/A"))))</f>
        <v>YES</v>
      </c>
      <c r="AB402" s="113"/>
      <c r="AC402" s="190">
        <v>43791</v>
      </c>
      <c r="AD402" s="235">
        <v>43890</v>
      </c>
      <c r="AE402" s="235">
        <v>43868</v>
      </c>
      <c r="AF402" s="114" t="str">
        <f t="shared" ca="1" si="40"/>
        <v>YES</v>
      </c>
      <c r="AG402" s="194">
        <v>552</v>
      </c>
      <c r="AH402" s="194">
        <v>0</v>
      </c>
      <c r="AI402" s="196">
        <f t="shared" si="41"/>
        <v>552</v>
      </c>
      <c r="AJ402" s="191" t="s">
        <v>6</v>
      </c>
      <c r="AK402" s="187">
        <v>44153</v>
      </c>
      <c r="AL402" s="232"/>
      <c r="AM402" s="184" t="str">
        <f t="shared" si="42"/>
        <v>19048 Puratos</v>
      </c>
      <c r="AN402" s="184" t="str">
        <f t="shared" si="43"/>
        <v>19048 Puratos : Order confirmation and delay too long</v>
      </c>
    </row>
    <row r="403" spans="1:40" s="76" customFormat="1" ht="14.5" hidden="1" x14ac:dyDescent="0.35">
      <c r="A403" s="122" t="s">
        <v>1540</v>
      </c>
      <c r="B403" s="116">
        <v>19049</v>
      </c>
      <c r="C403" s="143" t="s">
        <v>4</v>
      </c>
      <c r="D403" s="144">
        <v>43795</v>
      </c>
      <c r="E403" s="145" t="s">
        <v>290</v>
      </c>
      <c r="F403" s="145" t="s">
        <v>420</v>
      </c>
      <c r="G403" s="146" t="s">
        <v>803</v>
      </c>
      <c r="H403" s="146" t="s">
        <v>1541</v>
      </c>
      <c r="I403" s="119" t="s">
        <v>2057</v>
      </c>
      <c r="J403" s="232"/>
      <c r="K403" s="145" t="s">
        <v>454</v>
      </c>
      <c r="L403" s="145" t="s">
        <v>454</v>
      </c>
      <c r="M403" s="147" t="s">
        <v>955</v>
      </c>
      <c r="N403" s="146" t="s">
        <v>1542</v>
      </c>
      <c r="O403" s="111" t="s">
        <v>420</v>
      </c>
      <c r="P403" s="146" t="s">
        <v>80</v>
      </c>
      <c r="Q403" s="232" t="s">
        <v>1543</v>
      </c>
      <c r="R403" s="111" t="s">
        <v>9</v>
      </c>
      <c r="S403" s="111"/>
      <c r="T403" s="232"/>
      <c r="U403" s="232"/>
      <c r="V403" s="158" t="s">
        <v>6</v>
      </c>
      <c r="W403" s="118" t="s">
        <v>290</v>
      </c>
      <c r="X403" s="143">
        <v>43802</v>
      </c>
      <c r="Y403" s="144">
        <f t="shared" si="39"/>
        <v>43887</v>
      </c>
      <c r="Z403" s="235">
        <v>43879</v>
      </c>
      <c r="AA403" s="161" t="str">
        <f t="shared" ca="1" si="44"/>
        <v>YES</v>
      </c>
      <c r="AB403" s="113"/>
      <c r="AC403" s="232"/>
      <c r="AD403" s="232"/>
      <c r="AE403" s="232"/>
      <c r="AF403" s="114" t="str">
        <f t="shared" ca="1" si="40"/>
        <v>N/A</v>
      </c>
      <c r="AG403" s="194">
        <v>2576</v>
      </c>
      <c r="AH403" s="194">
        <v>300</v>
      </c>
      <c r="AI403" s="196">
        <f t="shared" si="41"/>
        <v>2876</v>
      </c>
      <c r="AJ403" s="232"/>
      <c r="AK403" s="75" t="s">
        <v>1378</v>
      </c>
      <c r="AL403" s="70" t="s">
        <v>1544</v>
      </c>
      <c r="AM403" s="184" t="str">
        <f t="shared" si="42"/>
        <v>19049 Service R&amp;D</v>
      </c>
      <c r="AN403" s="184" t="str">
        <f t="shared" si="43"/>
        <v>19049 Service R&amp;D : Connection of the new separator evaporation pilot incorrectly positioned</v>
      </c>
    </row>
    <row r="404" spans="1:40" s="76" customFormat="1" ht="14.5" hidden="1" x14ac:dyDescent="0.35">
      <c r="A404" s="122" t="s">
        <v>1545</v>
      </c>
      <c r="B404" s="116">
        <v>19050</v>
      </c>
      <c r="C404" s="143" t="s">
        <v>4</v>
      </c>
      <c r="D404" s="144">
        <v>43797</v>
      </c>
      <c r="E404" s="145" t="s">
        <v>116</v>
      </c>
      <c r="F404" s="145" t="s">
        <v>164</v>
      </c>
      <c r="G404" s="146" t="s">
        <v>1423</v>
      </c>
      <c r="H404" s="146"/>
      <c r="I404" s="119" t="s">
        <v>2057</v>
      </c>
      <c r="J404" s="232"/>
      <c r="K404" s="145">
        <v>2067</v>
      </c>
      <c r="L404" s="145">
        <v>11925</v>
      </c>
      <c r="M404" s="147" t="s">
        <v>11</v>
      </c>
      <c r="N404" s="146" t="s">
        <v>1546</v>
      </c>
      <c r="O404" s="146" t="s">
        <v>29</v>
      </c>
      <c r="P404" s="146" t="s">
        <v>86</v>
      </c>
      <c r="Q404" s="232" t="s">
        <v>916</v>
      </c>
      <c r="R404" s="146" t="s">
        <v>15</v>
      </c>
      <c r="S404" s="146"/>
      <c r="T404" s="232"/>
      <c r="U404" s="232"/>
      <c r="V404" s="158" t="s">
        <v>6</v>
      </c>
      <c r="W404" s="145" t="s">
        <v>116</v>
      </c>
      <c r="X404" s="143">
        <v>43782</v>
      </c>
      <c r="Y404" s="144">
        <f t="shared" si="39"/>
        <v>43889</v>
      </c>
      <c r="Z404" s="235">
        <v>43843</v>
      </c>
      <c r="AA404" s="161" t="str">
        <f t="shared" ca="1" si="44"/>
        <v>YES</v>
      </c>
      <c r="AB404" s="113"/>
      <c r="AC404" s="232"/>
      <c r="AD404" s="232"/>
      <c r="AE404" s="232"/>
      <c r="AF404" s="114" t="str">
        <f t="shared" ca="1" si="40"/>
        <v>N/A</v>
      </c>
      <c r="AG404" s="194">
        <v>7620</v>
      </c>
      <c r="AH404" s="194">
        <v>0</v>
      </c>
      <c r="AI404" s="196">
        <f t="shared" si="41"/>
        <v>7620</v>
      </c>
      <c r="AJ404" s="70" t="s">
        <v>6</v>
      </c>
      <c r="AK404" s="187">
        <v>44148</v>
      </c>
      <c r="AL404" s="232"/>
      <c r="AM404" s="184" t="str">
        <f t="shared" si="42"/>
        <v>19050 Ingredion</v>
      </c>
      <c r="AN404" s="184" t="str">
        <f t="shared" si="43"/>
        <v>19050 Ingredion : Excessive pressure drop on lower network cell C201</v>
      </c>
    </row>
    <row r="405" spans="1:40" s="76" customFormat="1" ht="14.5" hidden="1" x14ac:dyDescent="0.35">
      <c r="A405" s="122" t="s">
        <v>1547</v>
      </c>
      <c r="B405" s="116">
        <v>19051</v>
      </c>
      <c r="C405" s="113" t="s">
        <v>1193</v>
      </c>
      <c r="D405" s="144">
        <v>43808</v>
      </c>
      <c r="E405" s="118" t="s">
        <v>1140</v>
      </c>
      <c r="F405" s="118" t="s">
        <v>1222</v>
      </c>
      <c r="G405" s="111" t="s">
        <v>1548</v>
      </c>
      <c r="H405" s="111" t="s">
        <v>1549</v>
      </c>
      <c r="I405" s="119" t="s">
        <v>2056</v>
      </c>
      <c r="J405" s="70"/>
      <c r="K405" s="118">
        <v>2084</v>
      </c>
      <c r="L405" s="118">
        <v>14930</v>
      </c>
      <c r="M405" s="147" t="s">
        <v>1181</v>
      </c>
      <c r="N405" s="111" t="s">
        <v>1550</v>
      </c>
      <c r="O405" s="146" t="s">
        <v>29</v>
      </c>
      <c r="P405" s="146" t="s">
        <v>176</v>
      </c>
      <c r="Q405" s="70" t="s">
        <v>1551</v>
      </c>
      <c r="R405" s="111" t="s">
        <v>1552</v>
      </c>
      <c r="S405" s="111"/>
      <c r="T405" s="70"/>
      <c r="U405" s="70"/>
      <c r="V405" s="158" t="s">
        <v>6</v>
      </c>
      <c r="W405" s="118" t="s">
        <v>1140</v>
      </c>
      <c r="X405" s="113">
        <v>43812</v>
      </c>
      <c r="Y405" s="117">
        <f t="shared" si="39"/>
        <v>43899</v>
      </c>
      <c r="Z405" s="187">
        <v>43888</v>
      </c>
      <c r="AA405" s="161" t="str">
        <f t="shared" ca="1" si="44"/>
        <v>YES</v>
      </c>
      <c r="AB405" s="113"/>
      <c r="AC405" s="70"/>
      <c r="AD405" s="70"/>
      <c r="AE405" s="70"/>
      <c r="AF405" s="114" t="str">
        <f t="shared" ca="1" si="40"/>
        <v>N/A</v>
      </c>
      <c r="AG405" s="194">
        <v>2725</v>
      </c>
      <c r="AH405" s="194">
        <v>1867</v>
      </c>
      <c r="AI405" s="196">
        <f t="shared" si="41"/>
        <v>4592</v>
      </c>
      <c r="AJ405" s="70"/>
      <c r="AK405" s="70"/>
      <c r="AL405" s="70"/>
      <c r="AM405" s="165" t="str">
        <f t="shared" si="42"/>
        <v>19051 CJ P6</v>
      </c>
      <c r="AN405" s="165" t="str">
        <f t="shared" si="43"/>
        <v>19051 CJ P6 : Columns delay ,can't catch the schedule</v>
      </c>
    </row>
    <row r="406" spans="1:40" s="76" customFormat="1" ht="14.5" hidden="1" x14ac:dyDescent="0.35">
      <c r="A406" s="122" t="s">
        <v>1553</v>
      </c>
      <c r="B406" s="116">
        <v>19052</v>
      </c>
      <c r="C406" s="143" t="s">
        <v>4</v>
      </c>
      <c r="D406" s="144">
        <v>43811</v>
      </c>
      <c r="E406" s="145" t="s">
        <v>82</v>
      </c>
      <c r="F406" s="145" t="s">
        <v>658</v>
      </c>
      <c r="G406" s="146" t="s">
        <v>311</v>
      </c>
      <c r="H406" s="111" t="s">
        <v>570</v>
      </c>
      <c r="I406" s="119" t="s">
        <v>5</v>
      </c>
      <c r="J406" s="70" t="s">
        <v>1332</v>
      </c>
      <c r="K406" s="145"/>
      <c r="L406" s="145" t="s">
        <v>1554</v>
      </c>
      <c r="M406" s="147"/>
      <c r="N406" s="146" t="s">
        <v>1555</v>
      </c>
      <c r="O406" s="146" t="s">
        <v>28</v>
      </c>
      <c r="P406" s="146" t="s">
        <v>103</v>
      </c>
      <c r="Q406" s="232" t="s">
        <v>1556</v>
      </c>
      <c r="R406" s="111" t="s">
        <v>15</v>
      </c>
      <c r="S406" s="111"/>
      <c r="T406" s="112" t="s">
        <v>573</v>
      </c>
      <c r="U406" s="232"/>
      <c r="V406" s="158" t="s">
        <v>6</v>
      </c>
      <c r="W406" s="118" t="s">
        <v>82</v>
      </c>
      <c r="X406" s="143">
        <v>43816</v>
      </c>
      <c r="Y406" s="144">
        <f t="shared" si="39"/>
        <v>43902</v>
      </c>
      <c r="Z406" s="187">
        <v>43916</v>
      </c>
      <c r="AA406" s="161" t="str">
        <f t="shared" ca="1" si="44"/>
        <v>NO</v>
      </c>
      <c r="AB406" s="113"/>
      <c r="AC406" s="190">
        <v>43811</v>
      </c>
      <c r="AD406" s="235">
        <v>43921</v>
      </c>
      <c r="AE406" s="235">
        <v>43916</v>
      </c>
      <c r="AF406" s="114" t="str">
        <f t="shared" ca="1" si="40"/>
        <v>YES</v>
      </c>
      <c r="AG406" s="197">
        <v>644</v>
      </c>
      <c r="AH406" s="197">
        <v>1550</v>
      </c>
      <c r="AI406" s="196">
        <f t="shared" si="41"/>
        <v>2194</v>
      </c>
      <c r="AJ406" s="191" t="s">
        <v>6</v>
      </c>
      <c r="AK406" s="187">
        <v>44153</v>
      </c>
      <c r="AL406" s="232"/>
      <c r="AM406" s="184" t="str">
        <f t="shared" si="42"/>
        <v>19052 Galactic</v>
      </c>
      <c r="AN406" s="184" t="str">
        <f t="shared" si="43"/>
        <v>19052 Galactic : Delivery without customer agreement and packaging error</v>
      </c>
    </row>
    <row r="407" spans="1:40" s="76" customFormat="1" ht="14.5" hidden="1" x14ac:dyDescent="0.35">
      <c r="A407" s="153" t="s">
        <v>1557</v>
      </c>
      <c r="B407" s="154">
        <v>19053</v>
      </c>
      <c r="C407" s="143" t="s">
        <v>4</v>
      </c>
      <c r="D407" s="144">
        <v>43812</v>
      </c>
      <c r="E407" s="145" t="s">
        <v>1503</v>
      </c>
      <c r="F407" s="116" t="s">
        <v>658</v>
      </c>
      <c r="G407" s="146" t="s">
        <v>1558</v>
      </c>
      <c r="H407" s="111" t="s">
        <v>1041</v>
      </c>
      <c r="I407" s="119" t="s">
        <v>2057</v>
      </c>
      <c r="J407" s="232" t="s">
        <v>1332</v>
      </c>
      <c r="K407" s="145"/>
      <c r="L407" s="145" t="s">
        <v>1559</v>
      </c>
      <c r="M407" s="147" t="s">
        <v>18</v>
      </c>
      <c r="N407" s="146" t="s">
        <v>1560</v>
      </c>
      <c r="O407" s="111" t="s">
        <v>28</v>
      </c>
      <c r="P407" s="111" t="s">
        <v>103</v>
      </c>
      <c r="Q407" s="70" t="s">
        <v>510</v>
      </c>
      <c r="R407" s="111" t="s">
        <v>9</v>
      </c>
      <c r="S407" s="111" t="s">
        <v>1344</v>
      </c>
      <c r="T407" s="112" t="s">
        <v>1394</v>
      </c>
      <c r="U407" s="232"/>
      <c r="V407" s="158" t="s">
        <v>6</v>
      </c>
      <c r="W407" s="118" t="s">
        <v>82</v>
      </c>
      <c r="X407" s="143">
        <v>43817</v>
      </c>
      <c r="Y407" s="144">
        <f t="shared" si="39"/>
        <v>43903</v>
      </c>
      <c r="Z407" s="235">
        <v>43900</v>
      </c>
      <c r="AA407" s="161" t="str">
        <f t="shared" ca="1" si="44"/>
        <v>YES</v>
      </c>
      <c r="AB407" s="113"/>
      <c r="AC407" s="232"/>
      <c r="AD407" s="232"/>
      <c r="AE407" s="232"/>
      <c r="AF407" s="114" t="str">
        <f t="shared" ref="AF407:AF412" ca="1" si="45">IF(I407="Claim",IF(AD407="","",IF(AE407="",IF(TODAY()&gt;AD407,"NO","YES"),IF(AE407&gt;AD407,"NO",IF(AE407&lt;AD407,"YES",IF(AD407=AE407,"YES","N/A"))))),"N/A")</f>
        <v>N/A</v>
      </c>
      <c r="AG407" s="197">
        <v>368</v>
      </c>
      <c r="AH407" s="197">
        <v>0</v>
      </c>
      <c r="AI407" s="196">
        <f t="shared" ref="AI407:AI412" si="46">AH407+AG407</f>
        <v>368</v>
      </c>
      <c r="AJ407" s="191" t="s">
        <v>6</v>
      </c>
      <c r="AK407" s="187">
        <v>44153</v>
      </c>
      <c r="AL407" s="232"/>
      <c r="AM407" s="184" t="str">
        <f t="shared" ref="AM407:AM414" si="47">CONCATENATE(B407," ",G407)</f>
        <v>19053 Etihad</v>
      </c>
      <c r="AN407" s="184" t="str">
        <f t="shared" ref="AN407:AN412" si="48">CONCATENATE(B407," ",G407," : ",N407)</f>
        <v>19053 Etihad : Shipment of NF membranes subject to export license without license</v>
      </c>
    </row>
    <row r="408" spans="1:40" s="76" customFormat="1" ht="14.5" hidden="1" x14ac:dyDescent="0.35">
      <c r="A408" s="153" t="s">
        <v>1561</v>
      </c>
      <c r="B408" s="154">
        <v>19054</v>
      </c>
      <c r="C408" s="113" t="s">
        <v>1193</v>
      </c>
      <c r="D408" s="144">
        <v>43822</v>
      </c>
      <c r="E408" s="118" t="s">
        <v>1318</v>
      </c>
      <c r="F408" s="118" t="s">
        <v>1222</v>
      </c>
      <c r="G408" s="111" t="s">
        <v>1562</v>
      </c>
      <c r="H408" s="111" t="s">
        <v>1563</v>
      </c>
      <c r="I408" s="119" t="s">
        <v>14</v>
      </c>
      <c r="J408" s="70"/>
      <c r="K408" s="118">
        <v>2077</v>
      </c>
      <c r="L408" s="118">
        <v>13825</v>
      </c>
      <c r="M408" s="147" t="s">
        <v>1185</v>
      </c>
      <c r="N408" s="111" t="s">
        <v>1564</v>
      </c>
      <c r="O408" s="146" t="s">
        <v>29</v>
      </c>
      <c r="P408" s="111" t="s">
        <v>176</v>
      </c>
      <c r="Q408" s="70"/>
      <c r="R408" s="111" t="s">
        <v>145</v>
      </c>
      <c r="S408" s="111"/>
      <c r="T408" s="70"/>
      <c r="U408" s="70"/>
      <c r="V408" s="158" t="s">
        <v>6</v>
      </c>
      <c r="W408" s="118" t="s">
        <v>1523</v>
      </c>
      <c r="X408" s="113">
        <v>43822</v>
      </c>
      <c r="Y408" s="117">
        <f t="shared" si="39"/>
        <v>43913</v>
      </c>
      <c r="Z408" s="187">
        <v>43837</v>
      </c>
      <c r="AA408" s="161" t="str">
        <f t="shared" ref="AA408:AA413" ca="1" si="49">IF(Z408="",IF(TODAY()&gt;Y408,"NO","YES"),IF(Z408&gt;Y408,"NO",IF(Z408&lt;Y408,"YES",IF(Y408=Z408,"YES","N/A"))))</f>
        <v>YES</v>
      </c>
      <c r="AB408" s="113"/>
      <c r="AC408" s="70"/>
      <c r="AD408" s="70"/>
      <c r="AE408" s="70"/>
      <c r="AF408" s="114" t="str">
        <f t="shared" ca="1" si="45"/>
        <v>N/A</v>
      </c>
      <c r="AG408" s="194">
        <v>0</v>
      </c>
      <c r="AH408" s="194">
        <v>0</v>
      </c>
      <c r="AI408" s="196">
        <f t="shared" si="46"/>
        <v>0</v>
      </c>
      <c r="AJ408" s="148"/>
      <c r="AK408" s="70"/>
      <c r="AL408" s="70"/>
      <c r="AM408" s="165" t="str">
        <f t="shared" si="47"/>
        <v>19054 CJ liaocheng</v>
      </c>
      <c r="AN408" s="165" t="str">
        <f t="shared" si="48"/>
        <v>19054 CJ liaocheng : The spring in the pneumatic butterfly actuator cannot close the valve completely</v>
      </c>
    </row>
    <row r="409" spans="1:40" s="76" customFormat="1" ht="14.5" hidden="1" x14ac:dyDescent="0.35">
      <c r="A409" s="153" t="s">
        <v>1565</v>
      </c>
      <c r="B409" s="154">
        <v>20001</v>
      </c>
      <c r="C409" s="143" t="s">
        <v>4</v>
      </c>
      <c r="D409" s="144">
        <v>43847</v>
      </c>
      <c r="E409" s="145" t="s">
        <v>1492</v>
      </c>
      <c r="F409" s="116" t="s">
        <v>420</v>
      </c>
      <c r="G409" s="146" t="s">
        <v>1566</v>
      </c>
      <c r="H409" s="146"/>
      <c r="I409" s="119" t="s">
        <v>2058</v>
      </c>
      <c r="J409" s="232"/>
      <c r="K409" s="145"/>
      <c r="L409" s="145" t="s">
        <v>1567</v>
      </c>
      <c r="M409" s="147" t="s">
        <v>955</v>
      </c>
      <c r="N409" s="111" t="s">
        <v>1568</v>
      </c>
      <c r="O409" s="111" t="s">
        <v>420</v>
      </c>
      <c r="P409" s="146" t="s">
        <v>80</v>
      </c>
      <c r="Q409" s="70" t="s">
        <v>1543</v>
      </c>
      <c r="R409" s="146" t="s">
        <v>87</v>
      </c>
      <c r="S409" s="111" t="s">
        <v>1344</v>
      </c>
      <c r="T409" s="232"/>
      <c r="U409" s="232"/>
      <c r="V409" s="158" t="s">
        <v>6</v>
      </c>
      <c r="W409" s="118" t="s">
        <v>1492</v>
      </c>
      <c r="X409" s="143">
        <v>43851</v>
      </c>
      <c r="Y409" s="144">
        <f t="shared" si="39"/>
        <v>43938</v>
      </c>
      <c r="Z409" s="235">
        <v>44040</v>
      </c>
      <c r="AA409" s="161" t="str">
        <f t="shared" ca="1" si="49"/>
        <v>NO</v>
      </c>
      <c r="AB409" s="113"/>
      <c r="AC409" s="232"/>
      <c r="AD409" s="232"/>
      <c r="AE409" s="232"/>
      <c r="AF409" s="114" t="str">
        <f t="shared" ca="1" si="45"/>
        <v>N/A</v>
      </c>
      <c r="AG409" s="197">
        <v>368</v>
      </c>
      <c r="AH409" s="197">
        <v>2774.48</v>
      </c>
      <c r="AI409" s="196">
        <f t="shared" si="46"/>
        <v>3142.48</v>
      </c>
      <c r="AJ409" s="237"/>
      <c r="AK409" s="70" t="s">
        <v>1569</v>
      </c>
      <c r="AL409" s="70" t="s">
        <v>1544</v>
      </c>
      <c r="AM409" s="165" t="str">
        <f t="shared" si="47"/>
        <v>20001 UPM C6</v>
      </c>
      <c r="AN409" s="184" t="str">
        <f t="shared" si="48"/>
        <v>20001 UPM C6 : Brocken glass separator of the evapo pilot</v>
      </c>
    </row>
    <row r="410" spans="1:40" s="76" customFormat="1" ht="14.5" hidden="1" x14ac:dyDescent="0.35">
      <c r="A410" s="153" t="s">
        <v>1570</v>
      </c>
      <c r="B410" s="154">
        <v>20002</v>
      </c>
      <c r="C410" s="143" t="s">
        <v>4</v>
      </c>
      <c r="D410" s="144">
        <v>43860</v>
      </c>
      <c r="E410" s="145" t="s">
        <v>82</v>
      </c>
      <c r="F410" s="145" t="s">
        <v>658</v>
      </c>
      <c r="G410" s="146" t="s">
        <v>538</v>
      </c>
      <c r="H410" s="146"/>
      <c r="I410" s="119" t="s">
        <v>5</v>
      </c>
      <c r="J410" s="232"/>
      <c r="K410" s="145">
        <v>2022</v>
      </c>
      <c r="L410" s="145">
        <v>11279</v>
      </c>
      <c r="M410" s="147" t="s">
        <v>11</v>
      </c>
      <c r="N410" s="111" t="s">
        <v>1571</v>
      </c>
      <c r="O410" s="146" t="s">
        <v>28</v>
      </c>
      <c r="P410" s="146" t="s">
        <v>103</v>
      </c>
      <c r="Q410" s="232"/>
      <c r="R410" s="111" t="s">
        <v>1552</v>
      </c>
      <c r="S410" s="111"/>
      <c r="T410" s="232"/>
      <c r="U410" s="232"/>
      <c r="V410" s="158" t="s">
        <v>6</v>
      </c>
      <c r="W410" s="145" t="s">
        <v>82</v>
      </c>
      <c r="X410" s="143">
        <v>43861</v>
      </c>
      <c r="Y410" s="144">
        <f t="shared" si="39"/>
        <v>43951</v>
      </c>
      <c r="Z410" s="235">
        <v>43949</v>
      </c>
      <c r="AA410" s="161" t="str">
        <f t="shared" ca="1" si="49"/>
        <v>YES</v>
      </c>
      <c r="AB410" s="113"/>
      <c r="AC410" s="190">
        <v>43861</v>
      </c>
      <c r="AD410" s="235">
        <v>43951</v>
      </c>
      <c r="AE410" s="235">
        <v>43949</v>
      </c>
      <c r="AF410" s="114" t="str">
        <f t="shared" ca="1" si="45"/>
        <v>YES</v>
      </c>
      <c r="AG410" s="197">
        <v>1615</v>
      </c>
      <c r="AH410" s="197">
        <v>0</v>
      </c>
      <c r="AI410" s="196">
        <f t="shared" si="46"/>
        <v>1615</v>
      </c>
      <c r="AJ410" s="191" t="s">
        <v>6</v>
      </c>
      <c r="AK410" s="187">
        <v>44153</v>
      </c>
      <c r="AL410" s="232"/>
      <c r="AM410" s="165" t="str">
        <f t="shared" si="47"/>
        <v>20002 ADM</v>
      </c>
      <c r="AN410" s="184" t="str">
        <f t="shared" si="48"/>
        <v>20002 ADM : Incorrect gravel loading at start-up / Unsuccessful customer service intervention</v>
      </c>
    </row>
    <row r="411" spans="1:40" s="76" customFormat="1" ht="14.5" hidden="1" x14ac:dyDescent="0.35">
      <c r="A411" s="153" t="s">
        <v>1572</v>
      </c>
      <c r="B411" s="154">
        <v>20003</v>
      </c>
      <c r="C411" s="143" t="s">
        <v>4</v>
      </c>
      <c r="D411" s="144">
        <v>43880</v>
      </c>
      <c r="E411" s="145" t="s">
        <v>621</v>
      </c>
      <c r="F411" s="145" t="s">
        <v>164</v>
      </c>
      <c r="G411" s="146" t="s">
        <v>1573</v>
      </c>
      <c r="H411" s="146"/>
      <c r="I411" s="119" t="s">
        <v>2057</v>
      </c>
      <c r="J411" s="232"/>
      <c r="K411" s="145">
        <v>2083</v>
      </c>
      <c r="L411" s="145">
        <v>13900</v>
      </c>
      <c r="M411" s="147" t="s">
        <v>13</v>
      </c>
      <c r="N411" s="111" t="s">
        <v>23</v>
      </c>
      <c r="O411" s="146" t="s">
        <v>29</v>
      </c>
      <c r="P411" s="146" t="s">
        <v>86</v>
      </c>
      <c r="Q411" s="232" t="s">
        <v>1036</v>
      </c>
      <c r="R411" s="146" t="s">
        <v>9</v>
      </c>
      <c r="S411" s="146"/>
      <c r="T411" s="232"/>
      <c r="U411" s="232"/>
      <c r="V411" s="158" t="s">
        <v>6</v>
      </c>
      <c r="W411" s="145" t="s">
        <v>621</v>
      </c>
      <c r="X411" s="143">
        <v>43882</v>
      </c>
      <c r="Y411" s="144">
        <f t="shared" si="39"/>
        <v>43970</v>
      </c>
      <c r="Z411" s="235">
        <v>44004</v>
      </c>
      <c r="AA411" s="161" t="str">
        <f t="shared" ca="1" si="49"/>
        <v>NO</v>
      </c>
      <c r="AB411" s="113"/>
      <c r="AC411" s="232"/>
      <c r="AD411" s="232"/>
      <c r="AE411" s="232"/>
      <c r="AF411" s="114" t="str">
        <f t="shared" ca="1" si="45"/>
        <v>N/A</v>
      </c>
      <c r="AG411" s="197">
        <v>944</v>
      </c>
      <c r="AH411" s="197">
        <v>990</v>
      </c>
      <c r="AI411" s="196">
        <f t="shared" si="46"/>
        <v>1934</v>
      </c>
      <c r="AJ411" s="148" t="s">
        <v>6</v>
      </c>
      <c r="AK411" s="187">
        <v>44152</v>
      </c>
      <c r="AL411" s="232"/>
      <c r="AM411" s="165" t="str">
        <f t="shared" si="47"/>
        <v>20003 Cargill Butterfly</v>
      </c>
      <c r="AN411" s="184" t="str">
        <f t="shared" si="48"/>
        <v>20003 Cargill Butterfly : Wrong choice of flowmeter technology</v>
      </c>
    </row>
    <row r="412" spans="1:40" s="76" customFormat="1" ht="14.5" hidden="1" x14ac:dyDescent="0.35">
      <c r="A412" s="153" t="s">
        <v>1574</v>
      </c>
      <c r="B412" s="154">
        <v>20004</v>
      </c>
      <c r="C412" s="143" t="s">
        <v>4</v>
      </c>
      <c r="D412" s="144">
        <v>43888</v>
      </c>
      <c r="E412" s="145" t="s">
        <v>1575</v>
      </c>
      <c r="F412" s="145" t="s">
        <v>164</v>
      </c>
      <c r="G412" s="146" t="s">
        <v>1573</v>
      </c>
      <c r="H412" s="146"/>
      <c r="I412" s="119" t="s">
        <v>2057</v>
      </c>
      <c r="J412" s="232"/>
      <c r="K412" s="145">
        <v>2083</v>
      </c>
      <c r="L412" s="145">
        <v>13900</v>
      </c>
      <c r="M412" s="147" t="s">
        <v>13</v>
      </c>
      <c r="N412" s="146" t="s">
        <v>24</v>
      </c>
      <c r="O412" s="146" t="s">
        <v>29</v>
      </c>
      <c r="P412" s="111" t="s">
        <v>157</v>
      </c>
      <c r="Q412" s="232" t="s">
        <v>1576</v>
      </c>
      <c r="R412" s="111" t="s">
        <v>1552</v>
      </c>
      <c r="S412" s="111"/>
      <c r="T412" s="232"/>
      <c r="U412" s="232"/>
      <c r="V412" s="158" t="s">
        <v>6</v>
      </c>
      <c r="W412" s="145" t="s">
        <v>1575</v>
      </c>
      <c r="X412" s="143">
        <v>43907</v>
      </c>
      <c r="Y412" s="144">
        <f t="shared" si="39"/>
        <v>43978</v>
      </c>
      <c r="Z412" s="235">
        <v>43977</v>
      </c>
      <c r="AA412" s="161" t="str">
        <f t="shared" ca="1" si="49"/>
        <v>YES</v>
      </c>
      <c r="AB412" s="113"/>
      <c r="AC412" s="232"/>
      <c r="AD412" s="232"/>
      <c r="AE412" s="232"/>
      <c r="AF412" s="114" t="str">
        <f t="shared" ca="1" si="45"/>
        <v>N/A</v>
      </c>
      <c r="AG412" s="197">
        <v>2208</v>
      </c>
      <c r="AH412" s="197">
        <v>30655</v>
      </c>
      <c r="AI412" s="196">
        <f t="shared" si="46"/>
        <v>32863</v>
      </c>
      <c r="AJ412" s="237"/>
      <c r="AK412" s="70" t="s">
        <v>1569</v>
      </c>
      <c r="AL412" s="232"/>
      <c r="AM412" s="165" t="str">
        <f t="shared" si="47"/>
        <v>20004 Cargill Butterfly</v>
      </c>
      <c r="AN412" s="184" t="str">
        <f t="shared" si="48"/>
        <v>20004 Cargill Butterfly : Sheet pump quotation vs customer URS</v>
      </c>
    </row>
    <row r="413" spans="1:40" s="76" customFormat="1" ht="14.5" hidden="1" x14ac:dyDescent="0.35">
      <c r="A413" s="153" t="s">
        <v>1577</v>
      </c>
      <c r="B413" s="154">
        <v>20005</v>
      </c>
      <c r="C413" s="143" t="s">
        <v>4</v>
      </c>
      <c r="D413" s="144">
        <v>43889</v>
      </c>
      <c r="E413" s="145" t="s">
        <v>99</v>
      </c>
      <c r="F413" s="118" t="s">
        <v>658</v>
      </c>
      <c r="G413" s="146" t="s">
        <v>664</v>
      </c>
      <c r="H413" s="146" t="s">
        <v>1578</v>
      </c>
      <c r="I413" s="119" t="s">
        <v>5</v>
      </c>
      <c r="J413" s="232"/>
      <c r="K413" s="145"/>
      <c r="L413" s="118" t="s">
        <v>1579</v>
      </c>
      <c r="M413" s="150" t="s">
        <v>18</v>
      </c>
      <c r="N413" s="111" t="s">
        <v>1580</v>
      </c>
      <c r="O413" s="146" t="s">
        <v>28</v>
      </c>
      <c r="P413" s="111" t="s">
        <v>103</v>
      </c>
      <c r="Q413" s="70" t="s">
        <v>176</v>
      </c>
      <c r="R413" s="146" t="s">
        <v>145</v>
      </c>
      <c r="S413" s="146"/>
      <c r="T413" s="112" t="s">
        <v>1578</v>
      </c>
      <c r="U413" s="232"/>
      <c r="V413" s="158" t="s">
        <v>6</v>
      </c>
      <c r="W413" s="118" t="s">
        <v>1019</v>
      </c>
      <c r="X413" s="143">
        <v>43899</v>
      </c>
      <c r="Y413" s="144">
        <f t="shared" si="39"/>
        <v>43979</v>
      </c>
      <c r="Z413" s="235">
        <v>43931</v>
      </c>
      <c r="AA413" s="161" t="str">
        <f t="shared" ca="1" si="49"/>
        <v>YES</v>
      </c>
      <c r="AB413" s="113"/>
      <c r="AC413" s="190">
        <v>43889</v>
      </c>
      <c r="AD413" s="235">
        <v>43982</v>
      </c>
      <c r="AE413" s="235">
        <v>43931</v>
      </c>
      <c r="AF413" s="114" t="str">
        <f t="shared" ref="AF413:AF418" ca="1" si="50">IF(I413="Claim",IF(AD413="","",IF(AE413="",IF(TODAY()&gt;AD413,"NO","YES"),IF(AE413&gt;AD413,"NO",IF(AE413&lt;AD413,"YES",IF(AD413=AE413,"YES","N/A"))))),"N/A")</f>
        <v>YES</v>
      </c>
      <c r="AG413" s="197">
        <v>190</v>
      </c>
      <c r="AH413" s="197">
        <v>0</v>
      </c>
      <c r="AI413" s="196">
        <f t="shared" ref="AI413:AI418" si="51">AH413+AG413</f>
        <v>190</v>
      </c>
      <c r="AJ413" s="148" t="s">
        <v>6</v>
      </c>
      <c r="AK413" s="187">
        <v>44148</v>
      </c>
      <c r="AL413" s="232"/>
      <c r="AM413" s="165" t="str">
        <f t="shared" si="47"/>
        <v xml:space="preserve">20005 TEREOS NESLE </v>
      </c>
      <c r="AN413" s="184" t="str">
        <f t="shared" ref="AN413:AN418" si="52">CONCATENATE(B413," ",G413," : ",N413)</f>
        <v>20005 TEREOS NESLE  : default NF membrane</v>
      </c>
    </row>
    <row r="414" spans="1:40" s="76" customFormat="1" ht="14.5" hidden="1" x14ac:dyDescent="0.35">
      <c r="A414" s="153" t="s">
        <v>1581</v>
      </c>
      <c r="B414" s="154">
        <v>20006</v>
      </c>
      <c r="C414" s="113" t="s">
        <v>1193</v>
      </c>
      <c r="D414" s="117">
        <v>43899</v>
      </c>
      <c r="E414" s="118" t="s">
        <v>1162</v>
      </c>
      <c r="F414" s="118" t="s">
        <v>1222</v>
      </c>
      <c r="G414" s="111" t="s">
        <v>1548</v>
      </c>
      <c r="H414" s="111" t="s">
        <v>1582</v>
      </c>
      <c r="I414" s="119" t="s">
        <v>2056</v>
      </c>
      <c r="J414" s="70"/>
      <c r="K414" s="118">
        <v>2084</v>
      </c>
      <c r="L414" s="118">
        <v>14930</v>
      </c>
      <c r="M414" s="147" t="s">
        <v>1181</v>
      </c>
      <c r="N414" s="111" t="s">
        <v>1583</v>
      </c>
      <c r="O414" s="146" t="s">
        <v>29</v>
      </c>
      <c r="P414" s="111" t="s">
        <v>86</v>
      </c>
      <c r="Q414" s="70"/>
      <c r="R414" s="111" t="s">
        <v>145</v>
      </c>
      <c r="S414" s="111"/>
      <c r="T414" s="70"/>
      <c r="U414" s="70"/>
      <c r="V414" s="158" t="s">
        <v>6</v>
      </c>
      <c r="W414" s="118" t="s">
        <v>441</v>
      </c>
      <c r="X414" s="113">
        <v>43900</v>
      </c>
      <c r="Y414" s="117">
        <f t="shared" si="39"/>
        <v>43991</v>
      </c>
      <c r="Z414" s="187">
        <v>43972</v>
      </c>
      <c r="AA414" s="161" t="str">
        <f t="shared" ref="AA414:AA419" ca="1" si="53">IF(Z414="",IF(TODAY()&gt;Y414,"NO","YES"),IF(Z414&gt;Y414,"NO",IF(Z414&lt;Y414,"YES",IF(Y414=Z414,"YES","N/A"))))</f>
        <v>YES</v>
      </c>
      <c r="AB414" s="113"/>
      <c r="AC414" s="70"/>
      <c r="AD414" s="70"/>
      <c r="AE414" s="70"/>
      <c r="AF414" s="114" t="str">
        <f t="shared" ca="1" si="50"/>
        <v>N/A</v>
      </c>
      <c r="AG414" s="194">
        <v>3057</v>
      </c>
      <c r="AH414" s="194">
        <v>160</v>
      </c>
      <c r="AI414" s="196">
        <f t="shared" si="51"/>
        <v>3217</v>
      </c>
      <c r="AJ414" s="148"/>
      <c r="AK414" s="70"/>
      <c r="AL414" s="70"/>
      <c r="AM414" s="165" t="str">
        <f t="shared" si="47"/>
        <v>20006 CJ P6</v>
      </c>
      <c r="AN414" s="165" t="str">
        <f t="shared" si="52"/>
        <v>20006 CJ P6 : Stud welded rod fall off from internal box</v>
      </c>
    </row>
    <row r="415" spans="1:40" s="76" customFormat="1" ht="15" hidden="1" customHeight="1" x14ac:dyDescent="0.35">
      <c r="A415" s="153" t="s">
        <v>1584</v>
      </c>
      <c r="B415" s="154">
        <v>20007</v>
      </c>
      <c r="C415" s="143" t="s">
        <v>4</v>
      </c>
      <c r="D415" s="144">
        <v>43906</v>
      </c>
      <c r="E415" s="145" t="s">
        <v>160</v>
      </c>
      <c r="F415" s="145" t="s">
        <v>658</v>
      </c>
      <c r="G415" s="146" t="s">
        <v>707</v>
      </c>
      <c r="H415" s="146" t="s">
        <v>972</v>
      </c>
      <c r="I415" s="119" t="s">
        <v>2056</v>
      </c>
      <c r="J415" s="232"/>
      <c r="K415" s="145"/>
      <c r="L415" s="152" t="s">
        <v>1585</v>
      </c>
      <c r="M415" s="147" t="s">
        <v>7</v>
      </c>
      <c r="N415" s="111" t="s">
        <v>1586</v>
      </c>
      <c r="O415" s="111" t="s">
        <v>28</v>
      </c>
      <c r="P415" s="111" t="s">
        <v>103</v>
      </c>
      <c r="Q415" s="70" t="s">
        <v>176</v>
      </c>
      <c r="R415" s="111" t="s">
        <v>145</v>
      </c>
      <c r="S415" s="111"/>
      <c r="T415" s="112" t="s">
        <v>708</v>
      </c>
      <c r="U415" s="232"/>
      <c r="V415" s="158" t="s">
        <v>10</v>
      </c>
      <c r="W415" s="145"/>
      <c r="X415" s="143"/>
      <c r="Y415" s="144">
        <f t="shared" si="39"/>
        <v>43998</v>
      </c>
      <c r="Z415" s="187">
        <v>43984</v>
      </c>
      <c r="AA415" s="161" t="str">
        <f t="shared" ca="1" si="53"/>
        <v>YES</v>
      </c>
      <c r="AB415" s="113"/>
      <c r="AC415" s="232"/>
      <c r="AD415" s="232"/>
      <c r="AE415" s="232"/>
      <c r="AF415" s="114" t="str">
        <f t="shared" ca="1" si="50"/>
        <v>N/A</v>
      </c>
      <c r="AG415" s="197">
        <v>570</v>
      </c>
      <c r="AH415" s="197">
        <v>0</v>
      </c>
      <c r="AI415" s="196">
        <f t="shared" si="51"/>
        <v>570</v>
      </c>
      <c r="AJ415" s="191"/>
      <c r="AK415" s="70" t="s">
        <v>1569</v>
      </c>
      <c r="AL415" s="232"/>
      <c r="AM415" s="184" t="str">
        <f t="shared" ref="AM415:AM420" si="54">CONCATENATE(B415," ",G415)</f>
        <v>20007 Sofivo</v>
      </c>
      <c r="AN415" s="184" t="str">
        <f t="shared" si="52"/>
        <v>20007 Sofivo : Ground welded bolt missing on ED stack</v>
      </c>
    </row>
    <row r="416" spans="1:40" s="76" customFormat="1" ht="14.5" hidden="1" x14ac:dyDescent="0.35">
      <c r="A416" s="153" t="s">
        <v>1587</v>
      </c>
      <c r="B416" s="154">
        <v>20008</v>
      </c>
      <c r="C416" s="113" t="s">
        <v>1193</v>
      </c>
      <c r="D416" s="144">
        <v>43913</v>
      </c>
      <c r="E416" s="118" t="s">
        <v>1429</v>
      </c>
      <c r="F416" s="118" t="s">
        <v>1222</v>
      </c>
      <c r="G416" s="111" t="s">
        <v>1548</v>
      </c>
      <c r="H416" s="111" t="s">
        <v>1588</v>
      </c>
      <c r="I416" s="119" t="s">
        <v>2056</v>
      </c>
      <c r="J416" s="70"/>
      <c r="K416" s="118">
        <v>2084</v>
      </c>
      <c r="L416" s="118">
        <v>14930</v>
      </c>
      <c r="M416" s="147" t="s">
        <v>1181</v>
      </c>
      <c r="N416" s="111" t="s">
        <v>1589</v>
      </c>
      <c r="O416" s="146" t="s">
        <v>29</v>
      </c>
      <c r="P416" s="111" t="s">
        <v>86</v>
      </c>
      <c r="Q416" s="70"/>
      <c r="R416" s="111" t="s">
        <v>145</v>
      </c>
      <c r="S416" s="111"/>
      <c r="T416" s="70"/>
      <c r="U416" s="70"/>
      <c r="V416" s="158" t="s">
        <v>6</v>
      </c>
      <c r="W416" s="118" t="s">
        <v>1429</v>
      </c>
      <c r="X416" s="113">
        <v>43908</v>
      </c>
      <c r="Y416" s="117">
        <f t="shared" si="39"/>
        <v>44005</v>
      </c>
      <c r="Z416" s="187">
        <v>43973</v>
      </c>
      <c r="AA416" s="161" t="str">
        <f t="shared" ca="1" si="53"/>
        <v>YES</v>
      </c>
      <c r="AB416" s="113"/>
      <c r="AC416" s="70"/>
      <c r="AD416" s="70"/>
      <c r="AE416" s="70"/>
      <c r="AF416" s="114" t="str">
        <f t="shared" ca="1" si="50"/>
        <v>N/A</v>
      </c>
      <c r="AG416" s="194">
        <v>2327</v>
      </c>
      <c r="AH416" s="194">
        <v>0</v>
      </c>
      <c r="AI416" s="196">
        <f t="shared" si="51"/>
        <v>2327</v>
      </c>
      <c r="AJ416" s="148"/>
      <c r="AK416" s="70"/>
      <c r="AL416" s="70"/>
      <c r="AM416" s="165" t="str">
        <f t="shared" si="54"/>
        <v>20008 CJ P6</v>
      </c>
      <c r="AN416" s="165" t="str">
        <f t="shared" si="52"/>
        <v>20008 CJ P6 : Spare parts welding crack</v>
      </c>
    </row>
    <row r="417" spans="1:40" s="76" customFormat="1" ht="14.5" hidden="1" x14ac:dyDescent="0.35">
      <c r="A417" s="153" t="s">
        <v>1590</v>
      </c>
      <c r="B417" s="154">
        <v>20009</v>
      </c>
      <c r="C417" s="113" t="s">
        <v>1193</v>
      </c>
      <c r="D417" s="144">
        <v>43936</v>
      </c>
      <c r="E417" s="118" t="s">
        <v>1167</v>
      </c>
      <c r="F417" s="118" t="s">
        <v>1222</v>
      </c>
      <c r="G417" s="111" t="s">
        <v>994</v>
      </c>
      <c r="H417" s="111" t="s">
        <v>1591</v>
      </c>
      <c r="I417" s="119" t="s">
        <v>2057</v>
      </c>
      <c r="J417" s="70"/>
      <c r="K417" s="118">
        <v>2082</v>
      </c>
      <c r="L417" s="118">
        <v>14552</v>
      </c>
      <c r="M417" s="147" t="s">
        <v>1181</v>
      </c>
      <c r="N417" s="111" t="s">
        <v>1592</v>
      </c>
      <c r="O417" s="111" t="s">
        <v>28</v>
      </c>
      <c r="P417" s="111" t="s">
        <v>1593</v>
      </c>
      <c r="Q417" s="232" t="s">
        <v>1576</v>
      </c>
      <c r="R417" s="146" t="s">
        <v>9</v>
      </c>
      <c r="S417" s="146"/>
      <c r="T417" s="70"/>
      <c r="U417" s="70"/>
      <c r="V417" s="158" t="s">
        <v>6</v>
      </c>
      <c r="W417" s="118" t="s">
        <v>1167</v>
      </c>
      <c r="X417" s="113">
        <v>43910</v>
      </c>
      <c r="Y417" s="117">
        <f t="shared" si="39"/>
        <v>44027</v>
      </c>
      <c r="Z417" s="187">
        <v>43948</v>
      </c>
      <c r="AA417" s="161" t="str">
        <f t="shared" ca="1" si="53"/>
        <v>YES</v>
      </c>
      <c r="AB417" s="113"/>
      <c r="AC417" s="70"/>
      <c r="AD417" s="70"/>
      <c r="AE417" s="70"/>
      <c r="AF417" s="114" t="str">
        <f t="shared" ca="1" si="50"/>
        <v>N/A</v>
      </c>
      <c r="AG417" s="194">
        <v>2163</v>
      </c>
      <c r="AH417" s="194">
        <v>107150</v>
      </c>
      <c r="AI417" s="196">
        <f t="shared" si="51"/>
        <v>109313</v>
      </c>
      <c r="AJ417" s="148"/>
      <c r="AK417" s="70"/>
      <c r="AL417" s="70"/>
      <c r="AM417" s="165" t="str">
        <f t="shared" si="54"/>
        <v>20009 Shuangqiao</v>
      </c>
      <c r="AN417" s="165" t="str">
        <f t="shared" si="52"/>
        <v>20009 Shuangqiao : Membrane quantity and type</v>
      </c>
    </row>
    <row r="418" spans="1:40" s="76" customFormat="1" ht="14.5" hidden="1" x14ac:dyDescent="0.35">
      <c r="A418" s="153" t="s">
        <v>1594</v>
      </c>
      <c r="B418" s="154">
        <v>20010</v>
      </c>
      <c r="C418" s="113" t="s">
        <v>1193</v>
      </c>
      <c r="D418" s="144">
        <v>43948</v>
      </c>
      <c r="E418" s="118" t="s">
        <v>1429</v>
      </c>
      <c r="F418" s="118" t="s">
        <v>1222</v>
      </c>
      <c r="G418" s="111" t="s">
        <v>1191</v>
      </c>
      <c r="H418" s="111" t="s">
        <v>1595</v>
      </c>
      <c r="I418" s="119" t="s">
        <v>2056</v>
      </c>
      <c r="J418" s="70"/>
      <c r="K418" s="118">
        <v>2076</v>
      </c>
      <c r="L418" s="118">
        <v>14478</v>
      </c>
      <c r="M418" s="147" t="s">
        <v>1181</v>
      </c>
      <c r="N418" s="111" t="s">
        <v>1596</v>
      </c>
      <c r="O418" s="146" t="s">
        <v>29</v>
      </c>
      <c r="P418" s="146" t="s">
        <v>86</v>
      </c>
      <c r="Q418" s="70" t="s">
        <v>176</v>
      </c>
      <c r="R418" s="111" t="s">
        <v>145</v>
      </c>
      <c r="S418" s="111"/>
      <c r="T418" s="70"/>
      <c r="U418" s="70"/>
      <c r="V418" s="158" t="s">
        <v>6</v>
      </c>
      <c r="W418" s="118" t="s">
        <v>1429</v>
      </c>
      <c r="X418" s="113">
        <v>43947</v>
      </c>
      <c r="Y418" s="117">
        <f t="shared" si="39"/>
        <v>44039</v>
      </c>
      <c r="Z418" s="187">
        <v>43985</v>
      </c>
      <c r="AA418" s="161" t="str">
        <f t="shared" ca="1" si="53"/>
        <v>YES</v>
      </c>
      <c r="AB418" s="113"/>
      <c r="AC418" s="70"/>
      <c r="AD418" s="70"/>
      <c r="AE418" s="70"/>
      <c r="AF418" s="114" t="str">
        <f t="shared" ca="1" si="50"/>
        <v>N/A</v>
      </c>
      <c r="AG418" s="194">
        <v>2237</v>
      </c>
      <c r="AH418" s="194">
        <v>2174</v>
      </c>
      <c r="AI418" s="196">
        <f t="shared" si="51"/>
        <v>4411</v>
      </c>
      <c r="AJ418" s="148"/>
      <c r="AK418" s="70"/>
      <c r="AL418" s="70"/>
      <c r="AM418" s="165" t="str">
        <f t="shared" si="54"/>
        <v>20010 Fufeng</v>
      </c>
      <c r="AN418" s="165" t="str">
        <f t="shared" si="52"/>
        <v>20010 Fufeng : Gravel quality issue</v>
      </c>
    </row>
    <row r="419" spans="1:40" s="76" customFormat="1" ht="14.5" hidden="1" x14ac:dyDescent="0.35">
      <c r="A419" s="153" t="s">
        <v>1597</v>
      </c>
      <c r="B419" s="154">
        <v>20011</v>
      </c>
      <c r="C419" s="113" t="s">
        <v>1193</v>
      </c>
      <c r="D419" s="144">
        <v>43951</v>
      </c>
      <c r="E419" s="118" t="s">
        <v>1429</v>
      </c>
      <c r="F419" s="118" t="s">
        <v>1222</v>
      </c>
      <c r="G419" s="111" t="s">
        <v>1598</v>
      </c>
      <c r="H419" s="111"/>
      <c r="I419" s="119" t="s">
        <v>2057</v>
      </c>
      <c r="J419" s="70"/>
      <c r="K419" s="118">
        <v>2088</v>
      </c>
      <c r="L419" s="118">
        <v>14363</v>
      </c>
      <c r="M419" s="147" t="s">
        <v>1181</v>
      </c>
      <c r="N419" s="111" t="s">
        <v>1599</v>
      </c>
      <c r="O419" s="146" t="s">
        <v>29</v>
      </c>
      <c r="P419" s="146" t="s">
        <v>86</v>
      </c>
      <c r="Q419" s="232" t="s">
        <v>1576</v>
      </c>
      <c r="R419" s="146" t="s">
        <v>9</v>
      </c>
      <c r="S419" s="146"/>
      <c r="T419" s="70"/>
      <c r="U419" s="70"/>
      <c r="V419" s="158" t="s">
        <v>1433</v>
      </c>
      <c r="W419" s="118"/>
      <c r="X419" s="113"/>
      <c r="Y419" s="117">
        <f t="shared" si="39"/>
        <v>44042</v>
      </c>
      <c r="Z419" s="187">
        <v>43984</v>
      </c>
      <c r="AA419" s="161" t="str">
        <f t="shared" ca="1" si="53"/>
        <v>YES</v>
      </c>
      <c r="AB419" s="113"/>
      <c r="AC419" s="70"/>
      <c r="AD419" s="70"/>
      <c r="AE419" s="70"/>
      <c r="AF419" s="114" t="str">
        <f t="shared" ref="AF419:AF424" ca="1" si="55">IF(I419="Claim",IF(AD419="","",IF(AE419="",IF(TODAY()&gt;AD419,"NO","YES"),IF(AE419&gt;AD419,"NO",IF(AE419&lt;AD419,"YES",IF(AD419=AE419,"YES","N/A"))))),"N/A")</f>
        <v>N/A</v>
      </c>
      <c r="AG419" s="194">
        <v>0</v>
      </c>
      <c r="AH419" s="194">
        <v>0</v>
      </c>
      <c r="AI419" s="196">
        <f t="shared" ref="AI419:AI424" si="56">AH419+AG419</f>
        <v>0</v>
      </c>
      <c r="AJ419" s="148"/>
      <c r="AK419" s="70"/>
      <c r="AL419" s="70"/>
      <c r="AM419" s="165" t="str">
        <f t="shared" si="54"/>
        <v>20011 CITIC</v>
      </c>
      <c r="AN419" s="165" t="str">
        <f t="shared" ref="AN419:AN424" si="57">CONCATENATE(B419," ",G419," : ",N419)</f>
        <v>20011 CITIC : Front piping budget for small column is not enough</v>
      </c>
    </row>
    <row r="420" spans="1:40" s="76" customFormat="1" ht="14.5" hidden="1" x14ac:dyDescent="0.35">
      <c r="A420" s="153" t="s">
        <v>1600</v>
      </c>
      <c r="B420" s="154">
        <v>20012</v>
      </c>
      <c r="C420" s="113" t="s">
        <v>1193</v>
      </c>
      <c r="D420" s="144">
        <v>43959</v>
      </c>
      <c r="E420" s="118" t="s">
        <v>1429</v>
      </c>
      <c r="F420" s="118" t="s">
        <v>1222</v>
      </c>
      <c r="G420" s="111" t="s">
        <v>1191</v>
      </c>
      <c r="H420" s="111" t="s">
        <v>1595</v>
      </c>
      <c r="I420" s="119" t="s">
        <v>1601</v>
      </c>
      <c r="J420" s="70"/>
      <c r="K420" s="118">
        <v>2076</v>
      </c>
      <c r="L420" s="118">
        <v>14478</v>
      </c>
      <c r="M420" s="147" t="s">
        <v>1181</v>
      </c>
      <c r="N420" s="111" t="s">
        <v>1602</v>
      </c>
      <c r="O420" s="146" t="s">
        <v>29</v>
      </c>
      <c r="P420" s="146" t="s">
        <v>86</v>
      </c>
      <c r="Q420" s="70" t="s">
        <v>1527</v>
      </c>
      <c r="R420" s="146" t="s">
        <v>9</v>
      </c>
      <c r="S420" s="146"/>
      <c r="T420" s="70"/>
      <c r="U420" s="70"/>
      <c r="V420" s="158" t="s">
        <v>1433</v>
      </c>
      <c r="W420" s="118"/>
      <c r="X420" s="113"/>
      <c r="Y420" s="144">
        <f t="shared" si="39"/>
        <v>44051</v>
      </c>
      <c r="Z420" s="187">
        <v>43985</v>
      </c>
      <c r="AA420" s="161" t="str">
        <f t="shared" ref="AA420:AA425" ca="1" si="58">IF(Z420="",IF(TODAY()&gt;Y420,"NO","YES"),IF(Z420&gt;Y420,"NO",IF(Z420&lt;Y420,"YES",IF(Y420=Z420,"YES","N/A"))))</f>
        <v>YES</v>
      </c>
      <c r="AB420" s="113"/>
      <c r="AC420" s="187">
        <v>43959</v>
      </c>
      <c r="AD420" s="235">
        <v>44012</v>
      </c>
      <c r="AE420" s="187">
        <v>43985</v>
      </c>
      <c r="AF420" s="114" t="str">
        <f t="shared" ca="1" si="55"/>
        <v>YES</v>
      </c>
      <c r="AG420" s="194">
        <v>0</v>
      </c>
      <c r="AH420" s="194">
        <v>0</v>
      </c>
      <c r="AI420" s="196">
        <f t="shared" si="56"/>
        <v>0</v>
      </c>
      <c r="AJ420" s="148"/>
      <c r="AK420" s="70"/>
      <c r="AL420" s="70"/>
      <c r="AM420" s="165" t="str">
        <f t="shared" si="54"/>
        <v>20012 Fufeng</v>
      </c>
      <c r="AN420" s="165" t="str">
        <f t="shared" si="57"/>
        <v>20012 Fufeng : Gravel quality issue need be solved</v>
      </c>
    </row>
    <row r="421" spans="1:40" s="76" customFormat="1" ht="14.5" hidden="1" x14ac:dyDescent="0.35">
      <c r="A421" s="153" t="s">
        <v>1603</v>
      </c>
      <c r="B421" s="154">
        <v>20013</v>
      </c>
      <c r="C421" s="113" t="s">
        <v>1193</v>
      </c>
      <c r="D421" s="144">
        <v>43970</v>
      </c>
      <c r="E421" s="118" t="s">
        <v>1162</v>
      </c>
      <c r="F421" s="118" t="s">
        <v>1222</v>
      </c>
      <c r="G421" s="111" t="s">
        <v>1604</v>
      </c>
      <c r="H421" s="111" t="s">
        <v>1605</v>
      </c>
      <c r="I421" s="119" t="s">
        <v>2056</v>
      </c>
      <c r="J421" s="70"/>
      <c r="K421" s="118">
        <v>2087</v>
      </c>
      <c r="L421" s="118">
        <v>13086</v>
      </c>
      <c r="M421" s="147" t="s">
        <v>1185</v>
      </c>
      <c r="N421" s="111" t="s">
        <v>1606</v>
      </c>
      <c r="O421" s="146" t="s">
        <v>29</v>
      </c>
      <c r="P421" s="146" t="s">
        <v>86</v>
      </c>
      <c r="Q421" s="70"/>
      <c r="R421" s="111" t="s">
        <v>145</v>
      </c>
      <c r="S421" s="111"/>
      <c r="T421" s="70"/>
      <c r="U421" s="70"/>
      <c r="V421" s="158" t="s">
        <v>1433</v>
      </c>
      <c r="W421" s="118"/>
      <c r="X421" s="113"/>
      <c r="Y421" s="144">
        <f t="shared" si="39"/>
        <v>44062</v>
      </c>
      <c r="Z421" s="187">
        <v>43987</v>
      </c>
      <c r="AA421" s="161" t="str">
        <f t="shared" ca="1" si="58"/>
        <v>YES</v>
      </c>
      <c r="AB421" s="113"/>
      <c r="AC421" s="70"/>
      <c r="AD421" s="70"/>
      <c r="AE421" s="70"/>
      <c r="AF421" s="114" t="str">
        <f t="shared" ca="1" si="55"/>
        <v>N/A</v>
      </c>
      <c r="AG421" s="194">
        <v>0</v>
      </c>
      <c r="AH421" s="194">
        <v>0</v>
      </c>
      <c r="AI421" s="196">
        <f t="shared" si="56"/>
        <v>0</v>
      </c>
      <c r="AJ421" s="148"/>
      <c r="AK421" s="70"/>
      <c r="AL421" s="70"/>
      <c r="AM421" s="165" t="str">
        <f t="shared" ref="AM421:AM426" si="59">CONCATENATE(B421," ",G421)</f>
        <v>20013 Cargill Zest</v>
      </c>
      <c r="AN421" s="165" t="str">
        <f t="shared" si="57"/>
        <v>20013 Cargill Zest : PP fixation plate machining dimensions is wrong</v>
      </c>
    </row>
    <row r="422" spans="1:40" s="76" customFormat="1" ht="14.5" hidden="1" x14ac:dyDescent="0.35">
      <c r="A422" s="153" t="s">
        <v>1607</v>
      </c>
      <c r="B422" s="154">
        <v>20014</v>
      </c>
      <c r="C422" s="143" t="s">
        <v>4</v>
      </c>
      <c r="D422" s="144">
        <v>43979</v>
      </c>
      <c r="E422" s="145" t="s">
        <v>228</v>
      </c>
      <c r="F422" s="145" t="s">
        <v>658</v>
      </c>
      <c r="G422" s="146" t="s">
        <v>1534</v>
      </c>
      <c r="H422" s="146" t="s">
        <v>1608</v>
      </c>
      <c r="I422" s="119" t="s">
        <v>5</v>
      </c>
      <c r="J422" s="232"/>
      <c r="K422" s="145"/>
      <c r="L422" s="155" t="s">
        <v>1609</v>
      </c>
      <c r="M422" s="147" t="s">
        <v>359</v>
      </c>
      <c r="N422" s="111" t="s">
        <v>1610</v>
      </c>
      <c r="O422" s="111" t="s">
        <v>28</v>
      </c>
      <c r="P422" s="111" t="s">
        <v>103</v>
      </c>
      <c r="Q422" s="70" t="s">
        <v>176</v>
      </c>
      <c r="R422" s="111" t="s">
        <v>145</v>
      </c>
      <c r="S422" s="111"/>
      <c r="T422" s="112" t="s">
        <v>1608</v>
      </c>
      <c r="U422" s="232"/>
      <c r="V422" s="158" t="s">
        <v>6</v>
      </c>
      <c r="W422" s="118" t="s">
        <v>228</v>
      </c>
      <c r="X422" s="143">
        <v>43984</v>
      </c>
      <c r="Y422" s="144">
        <f t="shared" si="39"/>
        <v>44071</v>
      </c>
      <c r="Z422" s="235">
        <v>44020</v>
      </c>
      <c r="AA422" s="161" t="str">
        <f t="shared" ca="1" si="58"/>
        <v>YES</v>
      </c>
      <c r="AB422" s="198"/>
      <c r="AC422" s="199">
        <v>43984</v>
      </c>
      <c r="AD422" s="235">
        <v>44074</v>
      </c>
      <c r="AE422" s="235">
        <v>44020</v>
      </c>
      <c r="AF422" s="114" t="str">
        <f t="shared" ca="1" si="55"/>
        <v>YES</v>
      </c>
      <c r="AG422" s="197">
        <v>3126</v>
      </c>
      <c r="AH422" s="197">
        <v>0</v>
      </c>
      <c r="AI422" s="196">
        <f t="shared" si="56"/>
        <v>3126</v>
      </c>
      <c r="AJ422" s="148" t="s">
        <v>6</v>
      </c>
      <c r="AK422" s="187">
        <v>44148</v>
      </c>
      <c r="AL422" s="232"/>
      <c r="AM422" s="184" t="str">
        <f t="shared" si="59"/>
        <v>20014 CKD</v>
      </c>
      <c r="AN422" s="184" t="str">
        <f t="shared" si="57"/>
        <v>20014 CKD : Wrong sizes of K01 module</v>
      </c>
    </row>
    <row r="423" spans="1:40" s="76" customFormat="1" ht="14.5" hidden="1" x14ac:dyDescent="0.35">
      <c r="A423" s="153" t="s">
        <v>1611</v>
      </c>
      <c r="B423" s="154">
        <v>20015</v>
      </c>
      <c r="C423" s="113" t="s">
        <v>1193</v>
      </c>
      <c r="D423" s="117">
        <v>43998</v>
      </c>
      <c r="E423" s="118" t="s">
        <v>1167</v>
      </c>
      <c r="F423" s="118" t="s">
        <v>1222</v>
      </c>
      <c r="G423" s="111" t="s">
        <v>1612</v>
      </c>
      <c r="H423" s="111" t="s">
        <v>1613</v>
      </c>
      <c r="I423" s="119" t="s">
        <v>2057</v>
      </c>
      <c r="J423" s="70"/>
      <c r="K423" s="118">
        <v>2085</v>
      </c>
      <c r="L423" s="118">
        <v>15333</v>
      </c>
      <c r="M423" s="147" t="s">
        <v>1181</v>
      </c>
      <c r="N423" s="111" t="s">
        <v>1614</v>
      </c>
      <c r="O423" s="146" t="s">
        <v>29</v>
      </c>
      <c r="P423" s="146" t="s">
        <v>86</v>
      </c>
      <c r="Q423" s="70" t="s">
        <v>522</v>
      </c>
      <c r="R423" s="111" t="s">
        <v>15</v>
      </c>
      <c r="S423" s="111"/>
      <c r="T423" s="70"/>
      <c r="U423" s="70"/>
      <c r="V423" s="158" t="s">
        <v>6</v>
      </c>
      <c r="W423" s="118" t="s">
        <v>1167</v>
      </c>
      <c r="X423" s="113">
        <v>43998</v>
      </c>
      <c r="Y423" s="144">
        <f t="shared" si="39"/>
        <v>44090</v>
      </c>
      <c r="Z423" s="187">
        <v>44084</v>
      </c>
      <c r="AA423" s="161" t="str">
        <f t="shared" ca="1" si="58"/>
        <v>YES</v>
      </c>
      <c r="AB423" s="113"/>
      <c r="AC423" s="70"/>
      <c r="AD423" s="70"/>
      <c r="AE423" s="70"/>
      <c r="AF423" s="114" t="str">
        <f t="shared" ca="1" si="55"/>
        <v>N/A</v>
      </c>
      <c r="AG423" s="194">
        <v>292</v>
      </c>
      <c r="AH423" s="194">
        <v>555</v>
      </c>
      <c r="AI423" s="196">
        <f t="shared" si="56"/>
        <v>847</v>
      </c>
      <c r="AJ423" s="148"/>
      <c r="AK423" s="70"/>
      <c r="AL423" s="70"/>
      <c r="AM423" s="165" t="str">
        <f t="shared" si="59"/>
        <v>20015 Huakang</v>
      </c>
      <c r="AN423" s="165" t="str">
        <f t="shared" si="57"/>
        <v>20015 Huakang : Wrong size of PP support</v>
      </c>
    </row>
    <row r="424" spans="1:40" s="76" customFormat="1" ht="14.5" hidden="1" x14ac:dyDescent="0.35">
      <c r="A424" s="153" t="s">
        <v>1615</v>
      </c>
      <c r="B424" s="154">
        <v>20016</v>
      </c>
      <c r="C424" s="113" t="s">
        <v>1193</v>
      </c>
      <c r="D424" s="117">
        <v>43999</v>
      </c>
      <c r="E424" s="118" t="s">
        <v>1429</v>
      </c>
      <c r="F424" s="118" t="s">
        <v>1222</v>
      </c>
      <c r="G424" s="111" t="s">
        <v>1616</v>
      </c>
      <c r="H424" s="151" t="s">
        <v>739</v>
      </c>
      <c r="I424" s="119" t="s">
        <v>2056</v>
      </c>
      <c r="J424" s="70"/>
      <c r="K424" s="118">
        <v>2077</v>
      </c>
      <c r="L424" s="118">
        <v>13825</v>
      </c>
      <c r="M424" s="147" t="s">
        <v>1181</v>
      </c>
      <c r="N424" s="111" t="s">
        <v>1617</v>
      </c>
      <c r="O424" s="146" t="s">
        <v>29</v>
      </c>
      <c r="P424" s="146" t="s">
        <v>86</v>
      </c>
      <c r="Q424" s="70"/>
      <c r="R424" s="111" t="s">
        <v>145</v>
      </c>
      <c r="S424" s="111"/>
      <c r="T424" s="70"/>
      <c r="U424" s="70"/>
      <c r="V424" s="158" t="s">
        <v>6</v>
      </c>
      <c r="W424" s="118" t="s">
        <v>1429</v>
      </c>
      <c r="X424" s="113">
        <v>43999</v>
      </c>
      <c r="Y424" s="144">
        <f t="shared" si="39"/>
        <v>44091</v>
      </c>
      <c r="Z424" s="187">
        <v>44151</v>
      </c>
      <c r="AA424" s="161" t="str">
        <f t="shared" ca="1" si="58"/>
        <v>NO</v>
      </c>
      <c r="AB424" s="113"/>
      <c r="AC424" s="70"/>
      <c r="AD424" s="70"/>
      <c r="AE424" s="70"/>
      <c r="AF424" s="114" t="str">
        <f t="shared" ca="1" si="55"/>
        <v>N/A</v>
      </c>
      <c r="AG424" s="194">
        <v>973</v>
      </c>
      <c r="AH424" s="194">
        <v>0</v>
      </c>
      <c r="AI424" s="196">
        <f t="shared" si="56"/>
        <v>973</v>
      </c>
      <c r="AJ424" s="148"/>
      <c r="AK424" s="70"/>
      <c r="AL424" s="70"/>
      <c r="AM424" s="165" t="str">
        <f t="shared" si="59"/>
        <v>20016 CJ Liaocheng GMP3</v>
      </c>
      <c r="AN424" s="165" t="str">
        <f t="shared" si="57"/>
        <v>20016 CJ Liaocheng GMP3 : PP-FRP pipe is broken issue</v>
      </c>
    </row>
    <row r="425" spans="1:40" s="76" customFormat="1" ht="14.5" hidden="1" x14ac:dyDescent="0.35">
      <c r="A425" s="153" t="s">
        <v>1618</v>
      </c>
      <c r="B425" s="154">
        <v>20017</v>
      </c>
      <c r="C425" s="143" t="s">
        <v>4</v>
      </c>
      <c r="D425" s="144">
        <v>44008</v>
      </c>
      <c r="E425" s="118" t="s">
        <v>1619</v>
      </c>
      <c r="F425" s="145" t="s">
        <v>822</v>
      </c>
      <c r="G425" s="146" t="s">
        <v>380</v>
      </c>
      <c r="H425" s="146" t="s">
        <v>1620</v>
      </c>
      <c r="I425" s="119" t="s">
        <v>5</v>
      </c>
      <c r="J425" s="232"/>
      <c r="K425" s="145"/>
      <c r="L425" s="145" t="s">
        <v>1621</v>
      </c>
      <c r="M425" s="147"/>
      <c r="N425" s="146" t="s">
        <v>1622</v>
      </c>
      <c r="O425" s="146" t="s">
        <v>28</v>
      </c>
      <c r="P425" s="146" t="s">
        <v>103</v>
      </c>
      <c r="Q425" s="232" t="s">
        <v>176</v>
      </c>
      <c r="R425" s="146" t="s">
        <v>145</v>
      </c>
      <c r="S425" s="146"/>
      <c r="T425" s="232"/>
      <c r="U425" s="232"/>
      <c r="V425" s="158" t="s">
        <v>6</v>
      </c>
      <c r="W425" s="145" t="s">
        <v>160</v>
      </c>
      <c r="X425" s="143">
        <v>44011</v>
      </c>
      <c r="Y425" s="144">
        <f t="shared" si="39"/>
        <v>44100</v>
      </c>
      <c r="Z425" s="235">
        <v>44085</v>
      </c>
      <c r="AA425" s="161" t="str">
        <f t="shared" ca="1" si="58"/>
        <v>YES</v>
      </c>
      <c r="AB425" s="113">
        <v>44007</v>
      </c>
      <c r="AC425" s="190">
        <v>44008</v>
      </c>
      <c r="AD425" s="187">
        <v>44104</v>
      </c>
      <c r="AE425" s="235">
        <v>44085</v>
      </c>
      <c r="AF425" s="114" t="str">
        <f t="shared" ref="AF425:AF430" ca="1" si="60">IF(I425="Claim",IF(AD425="","",IF(AE425="",IF(TODAY()&gt;AD425,"NO","YES"),IF(AE425&gt;AD425,"NO",IF(AE425&lt;AD425,"YES",IF(AD425=AE425,"YES","N/A"))))),"N/A")</f>
        <v>YES</v>
      </c>
      <c r="AG425" s="197">
        <v>380</v>
      </c>
      <c r="AH425" s="197">
        <v>0</v>
      </c>
      <c r="AI425" s="196">
        <f t="shared" ref="AI425:AI431" si="61">AH425+AG425</f>
        <v>380</v>
      </c>
      <c r="AJ425" s="237"/>
      <c r="AK425" s="70" t="s">
        <v>1569</v>
      </c>
      <c r="AL425" s="232"/>
      <c r="AM425" s="184" t="str">
        <f t="shared" si="59"/>
        <v>20017 Prolactal</v>
      </c>
      <c r="AN425" s="184" t="str">
        <f t="shared" ref="AN425:AN430" si="62">CONCATENATE(B425," ",G425," : ",N425)</f>
        <v>20017 Prolactal : Delivered valves damaged</v>
      </c>
    </row>
    <row r="426" spans="1:40" s="76" customFormat="1" ht="14.5" hidden="1" x14ac:dyDescent="0.35">
      <c r="A426" s="153" t="s">
        <v>1623</v>
      </c>
      <c r="B426" s="154">
        <v>20018</v>
      </c>
      <c r="C426" s="143" t="s">
        <v>4</v>
      </c>
      <c r="D426" s="144">
        <v>44029</v>
      </c>
      <c r="E426" s="145" t="s">
        <v>1624</v>
      </c>
      <c r="F426" s="116" t="s">
        <v>658</v>
      </c>
      <c r="G426" s="146" t="s">
        <v>1625</v>
      </c>
      <c r="H426" s="146" t="s">
        <v>1626</v>
      </c>
      <c r="I426" s="119" t="s">
        <v>2057</v>
      </c>
      <c r="J426" s="232"/>
      <c r="K426" s="145"/>
      <c r="L426" s="145" t="s">
        <v>1627</v>
      </c>
      <c r="M426" s="147"/>
      <c r="N426" s="146" t="s">
        <v>1628</v>
      </c>
      <c r="O426" s="146" t="s">
        <v>28</v>
      </c>
      <c r="P426" s="146" t="s">
        <v>103</v>
      </c>
      <c r="Q426" s="70" t="s">
        <v>1629</v>
      </c>
      <c r="R426" s="111" t="s">
        <v>1552</v>
      </c>
      <c r="S426" s="111" t="s">
        <v>1344</v>
      </c>
      <c r="T426" s="232"/>
      <c r="U426" s="232"/>
      <c r="V426" s="158" t="s">
        <v>6</v>
      </c>
      <c r="W426" s="145" t="s">
        <v>1624</v>
      </c>
      <c r="X426" s="143">
        <v>44035</v>
      </c>
      <c r="Y426" s="144">
        <f t="shared" si="39"/>
        <v>44121</v>
      </c>
      <c r="Z426" s="235">
        <v>44111</v>
      </c>
      <c r="AA426" s="161" t="str">
        <f t="shared" ref="AA426:AA431" ca="1" si="63">IF(Z426="",IF(TODAY()&gt;Y426,"NO","YES"),IF(Z426&gt;Y426,"NO",IF(Z426&lt;Y426,"YES",IF(Y426=Z426,"YES","N/A"))))</f>
        <v>YES</v>
      </c>
      <c r="AB426" s="113"/>
      <c r="AC426" s="232"/>
      <c r="AD426" s="232"/>
      <c r="AE426" s="232"/>
      <c r="AF426" s="114" t="str">
        <f t="shared" ca="1" si="60"/>
        <v>N/A</v>
      </c>
      <c r="AG426" s="197">
        <v>276</v>
      </c>
      <c r="AH426" s="197">
        <v>3325</v>
      </c>
      <c r="AI426" s="196">
        <f t="shared" si="61"/>
        <v>3601</v>
      </c>
      <c r="AJ426" s="237"/>
      <c r="AK426" s="70" t="s">
        <v>1569</v>
      </c>
      <c r="AL426" s="232"/>
      <c r="AM426" s="184" t="str">
        <f t="shared" si="59"/>
        <v>20018 Cargill Boz</v>
      </c>
      <c r="AN426" s="184" t="str">
        <f t="shared" si="62"/>
        <v>20018 Cargill Boz : Baskets mixed up during pre-mounting</v>
      </c>
    </row>
    <row r="427" spans="1:40" s="76" customFormat="1" ht="14.5" hidden="1" x14ac:dyDescent="0.35">
      <c r="A427" s="153" t="s">
        <v>1630</v>
      </c>
      <c r="B427" s="154">
        <v>20019</v>
      </c>
      <c r="C427" s="113" t="s">
        <v>1193</v>
      </c>
      <c r="D427" s="144">
        <v>44046</v>
      </c>
      <c r="E427" s="145" t="s">
        <v>888</v>
      </c>
      <c r="F427" s="141" t="s">
        <v>1222</v>
      </c>
      <c r="G427" s="146" t="s">
        <v>1631</v>
      </c>
      <c r="H427" s="146" t="s">
        <v>1632</v>
      </c>
      <c r="I427" s="119" t="s">
        <v>5</v>
      </c>
      <c r="J427" s="232"/>
      <c r="K427" s="145">
        <v>2059</v>
      </c>
      <c r="L427" s="145">
        <v>13052</v>
      </c>
      <c r="M427" s="147" t="s">
        <v>18</v>
      </c>
      <c r="N427" s="146" t="s">
        <v>1633</v>
      </c>
      <c r="O427" s="146" t="s">
        <v>29</v>
      </c>
      <c r="P427" s="146" t="s">
        <v>86</v>
      </c>
      <c r="Q427" s="70" t="s">
        <v>1527</v>
      </c>
      <c r="R427" s="146" t="s">
        <v>145</v>
      </c>
      <c r="S427" s="146"/>
      <c r="T427" s="232"/>
      <c r="U427" s="238"/>
      <c r="V427" s="158" t="s">
        <v>6</v>
      </c>
      <c r="W427" s="145" t="s">
        <v>1634</v>
      </c>
      <c r="X427" s="143">
        <v>44074</v>
      </c>
      <c r="Y427" s="144">
        <f t="shared" si="39"/>
        <v>44138</v>
      </c>
      <c r="Z427" s="235">
        <v>44280</v>
      </c>
      <c r="AA427" s="161" t="str">
        <f t="shared" ca="1" si="63"/>
        <v>NO</v>
      </c>
      <c r="AB427" s="113">
        <v>44025</v>
      </c>
      <c r="AC427" s="232"/>
      <c r="AD427" s="235">
        <v>44165</v>
      </c>
      <c r="AE427" s="235">
        <v>44280</v>
      </c>
      <c r="AF427" s="114" t="str">
        <f t="shared" ca="1" si="60"/>
        <v>NO</v>
      </c>
      <c r="AG427" s="197">
        <v>2336</v>
      </c>
      <c r="AH427" s="197">
        <v>1067</v>
      </c>
      <c r="AI427" s="196">
        <f t="shared" si="61"/>
        <v>3403</v>
      </c>
      <c r="AJ427" s="237"/>
      <c r="AK427" s="70" t="s">
        <v>1635</v>
      </c>
      <c r="AL427" s="232"/>
      <c r="AM427" s="184" t="str">
        <f t="shared" ref="AM427:AM432" si="64">CONCATENATE(B427," ",G427)</f>
        <v>20019 MIPENG</v>
      </c>
      <c r="AN427" s="184" t="str">
        <f t="shared" si="62"/>
        <v>20019 MIPENG : NF housing leakage</v>
      </c>
    </row>
    <row r="428" spans="1:40" s="76" customFormat="1" ht="14.5" hidden="1" x14ac:dyDescent="0.35">
      <c r="A428" s="153" t="s">
        <v>1636</v>
      </c>
      <c r="B428" s="154">
        <v>20020</v>
      </c>
      <c r="C428" s="143" t="s">
        <v>4</v>
      </c>
      <c r="D428" s="144">
        <v>44109</v>
      </c>
      <c r="E428" s="145" t="s">
        <v>1476</v>
      </c>
      <c r="F428" s="116" t="s">
        <v>658</v>
      </c>
      <c r="G428" s="146" t="s">
        <v>1637</v>
      </c>
      <c r="H428" s="146"/>
      <c r="I428" s="119" t="s">
        <v>2057</v>
      </c>
      <c r="J428" s="232" t="s">
        <v>1332</v>
      </c>
      <c r="K428" s="145"/>
      <c r="L428" s="155" t="s">
        <v>1638</v>
      </c>
      <c r="M428" s="147" t="s">
        <v>13</v>
      </c>
      <c r="N428" s="146" t="s">
        <v>1516</v>
      </c>
      <c r="O428" s="146" t="s">
        <v>28</v>
      </c>
      <c r="P428" s="146" t="s">
        <v>103</v>
      </c>
      <c r="Q428" s="232" t="s">
        <v>1517</v>
      </c>
      <c r="R428" s="146" t="s">
        <v>15</v>
      </c>
      <c r="S428" s="146" t="s">
        <v>1344</v>
      </c>
      <c r="T428" s="232"/>
      <c r="U428" s="238"/>
      <c r="V428" s="158" t="s">
        <v>6</v>
      </c>
      <c r="W428" s="145" t="s">
        <v>82</v>
      </c>
      <c r="X428" s="143">
        <v>44111</v>
      </c>
      <c r="Y428" s="144">
        <f t="shared" si="39"/>
        <v>44201</v>
      </c>
      <c r="Z428" s="235">
        <v>44181</v>
      </c>
      <c r="AA428" s="161" t="str">
        <f t="shared" ca="1" si="63"/>
        <v>YES</v>
      </c>
      <c r="AB428" s="113"/>
      <c r="AC428" s="232"/>
      <c r="AD428" s="232"/>
      <c r="AE428" s="232"/>
      <c r="AF428" s="114" t="s">
        <v>6</v>
      </c>
      <c r="AG428" s="197">
        <v>236</v>
      </c>
      <c r="AH428" s="197">
        <v>0</v>
      </c>
      <c r="AI428" s="196">
        <f t="shared" si="61"/>
        <v>236</v>
      </c>
      <c r="AJ428" s="237"/>
      <c r="AK428" s="70" t="s">
        <v>1569</v>
      </c>
      <c r="AL428" s="232"/>
      <c r="AM428" s="184" t="str">
        <f t="shared" si="64"/>
        <v>20020 BENEO Oreye</v>
      </c>
      <c r="AN428" s="184" t="str">
        <f t="shared" si="62"/>
        <v>20020 BENEO Oreye : Resins labeling error</v>
      </c>
    </row>
    <row r="429" spans="1:40" s="76" customFormat="1" ht="14.5" hidden="1" x14ac:dyDescent="0.35">
      <c r="A429" s="153" t="s">
        <v>1639</v>
      </c>
      <c r="B429" s="154">
        <v>20021</v>
      </c>
      <c r="C429" s="143" t="s">
        <v>4</v>
      </c>
      <c r="D429" s="144">
        <v>44109</v>
      </c>
      <c r="E429" s="145" t="s">
        <v>1019</v>
      </c>
      <c r="F429" s="116" t="s">
        <v>658</v>
      </c>
      <c r="G429" s="146" t="s">
        <v>1640</v>
      </c>
      <c r="H429" s="146"/>
      <c r="I429" s="119" t="s">
        <v>2057</v>
      </c>
      <c r="J429" s="232"/>
      <c r="K429" s="145" t="s">
        <v>1641</v>
      </c>
      <c r="L429" s="145">
        <v>16420</v>
      </c>
      <c r="M429" s="147"/>
      <c r="N429" s="146" t="s">
        <v>1642</v>
      </c>
      <c r="O429" s="146" t="s">
        <v>28</v>
      </c>
      <c r="P429" s="146" t="s">
        <v>103</v>
      </c>
      <c r="Q429" s="232" t="s">
        <v>1358</v>
      </c>
      <c r="R429" s="146" t="s">
        <v>9</v>
      </c>
      <c r="S429" s="146" t="s">
        <v>1344</v>
      </c>
      <c r="T429" s="232"/>
      <c r="U429" s="238"/>
      <c r="V429" s="158" t="s">
        <v>6</v>
      </c>
      <c r="W429" s="145" t="s">
        <v>1019</v>
      </c>
      <c r="X429" s="143">
        <v>44111</v>
      </c>
      <c r="Y429" s="144">
        <f t="shared" si="39"/>
        <v>44201</v>
      </c>
      <c r="Z429" s="235">
        <v>44187</v>
      </c>
      <c r="AA429" s="161" t="str">
        <f t="shared" ca="1" si="63"/>
        <v>YES</v>
      </c>
      <c r="AB429" s="113"/>
      <c r="AC429" s="232"/>
      <c r="AD429" s="232"/>
      <c r="AE429" s="232"/>
      <c r="AF429" s="114" t="str">
        <f t="shared" ca="1" si="60"/>
        <v>N/A</v>
      </c>
      <c r="AG429" s="197">
        <v>567</v>
      </c>
      <c r="AH429" s="197">
        <v>0</v>
      </c>
      <c r="AI429" s="196">
        <f t="shared" si="61"/>
        <v>567</v>
      </c>
      <c r="AJ429" s="237"/>
      <c r="AK429" s="70" t="s">
        <v>1569</v>
      </c>
      <c r="AL429" s="232"/>
      <c r="AM429" s="184" t="str">
        <f t="shared" si="64"/>
        <v>20021 PT SUJ</v>
      </c>
      <c r="AN429" s="184" t="str">
        <f t="shared" si="62"/>
        <v>20021 PT SUJ : Incorrect customs values on invoices</v>
      </c>
    </row>
    <row r="430" spans="1:40" s="76" customFormat="1" ht="14.5" hidden="1" x14ac:dyDescent="0.35">
      <c r="A430" s="153" t="s">
        <v>1643</v>
      </c>
      <c r="B430" s="154">
        <v>20022</v>
      </c>
      <c r="C430" s="143" t="s">
        <v>4</v>
      </c>
      <c r="D430" s="144">
        <v>44111</v>
      </c>
      <c r="E430" s="145" t="s">
        <v>1381</v>
      </c>
      <c r="F430" s="145" t="s">
        <v>420</v>
      </c>
      <c r="G430" s="146" t="s">
        <v>1644</v>
      </c>
      <c r="H430" s="146"/>
      <c r="I430" s="119" t="s">
        <v>2058</v>
      </c>
      <c r="J430" s="232"/>
      <c r="K430" s="145" t="s">
        <v>1645</v>
      </c>
      <c r="L430" s="118"/>
      <c r="M430" s="147" t="s">
        <v>13</v>
      </c>
      <c r="N430" s="146" t="s">
        <v>1646</v>
      </c>
      <c r="O430" s="111" t="s">
        <v>420</v>
      </c>
      <c r="P430" s="146" t="s">
        <v>80</v>
      </c>
      <c r="Q430" s="232" t="s">
        <v>1543</v>
      </c>
      <c r="R430" s="146" t="s">
        <v>9</v>
      </c>
      <c r="S430" s="111" t="s">
        <v>1344</v>
      </c>
      <c r="T430" s="232"/>
      <c r="U430" s="238"/>
      <c r="V430" s="158" t="s">
        <v>6</v>
      </c>
      <c r="W430" s="145" t="s">
        <v>1647</v>
      </c>
      <c r="X430" s="143">
        <v>44117</v>
      </c>
      <c r="Y430" s="144">
        <f t="shared" si="39"/>
        <v>44203</v>
      </c>
      <c r="Z430" s="235">
        <v>44181</v>
      </c>
      <c r="AA430" s="161" t="str">
        <f t="shared" ca="1" si="63"/>
        <v>YES</v>
      </c>
      <c r="AB430" s="113"/>
      <c r="AC430" s="232"/>
      <c r="AD430" s="232"/>
      <c r="AE430" s="232"/>
      <c r="AF430" s="114" t="str">
        <f t="shared" ca="1" si="60"/>
        <v>N/A</v>
      </c>
      <c r="AG430" s="197">
        <v>567</v>
      </c>
      <c r="AH430" s="197">
        <v>0</v>
      </c>
      <c r="AI430" s="196">
        <f t="shared" si="61"/>
        <v>567</v>
      </c>
      <c r="AJ430" s="237"/>
      <c r="AK430" s="70" t="s">
        <v>1569</v>
      </c>
      <c r="AL430" s="232"/>
      <c r="AM430" s="184" t="str">
        <f t="shared" si="64"/>
        <v>20022 Manuelita Laredo pilotage</v>
      </c>
      <c r="AN430" s="184" t="str">
        <f t="shared" si="62"/>
        <v>20022 Manuelita Laredo pilotage : Resin projection IEX pilot</v>
      </c>
    </row>
    <row r="431" spans="1:40" s="76" customFormat="1" ht="14.5" hidden="1" x14ac:dyDescent="0.35">
      <c r="A431" s="156" t="s">
        <v>1648</v>
      </c>
      <c r="B431" s="154">
        <v>21001</v>
      </c>
      <c r="C431" s="143" t="s">
        <v>8</v>
      </c>
      <c r="D431" s="144">
        <v>44203</v>
      </c>
      <c r="E431" s="145" t="s">
        <v>904</v>
      </c>
      <c r="F431" s="118" t="s">
        <v>1222</v>
      </c>
      <c r="G431" s="146" t="s">
        <v>1649</v>
      </c>
      <c r="H431" s="146"/>
      <c r="I431" s="119" t="s">
        <v>17</v>
      </c>
      <c r="J431" s="232"/>
      <c r="K431" s="145">
        <v>2056</v>
      </c>
      <c r="L431" s="145">
        <v>12996</v>
      </c>
      <c r="M431" s="147" t="s">
        <v>18</v>
      </c>
      <c r="N431" s="146" t="s">
        <v>1633</v>
      </c>
      <c r="O431" s="111" t="s">
        <v>29</v>
      </c>
      <c r="P431" s="111" t="s">
        <v>86</v>
      </c>
      <c r="Q431" s="70" t="s">
        <v>1527</v>
      </c>
      <c r="R431" s="146" t="s">
        <v>87</v>
      </c>
      <c r="S431" s="146"/>
      <c r="T431" s="70" t="s">
        <v>1650</v>
      </c>
      <c r="U431" s="238"/>
      <c r="V431" s="158" t="s">
        <v>6</v>
      </c>
      <c r="W431" s="145" t="s">
        <v>904</v>
      </c>
      <c r="X431" s="143">
        <v>44185</v>
      </c>
      <c r="Y431" s="144">
        <f t="shared" si="39"/>
        <v>44293</v>
      </c>
      <c r="Z431" s="235">
        <v>44330</v>
      </c>
      <c r="AA431" s="161" t="str">
        <f t="shared" ca="1" si="63"/>
        <v>NO</v>
      </c>
      <c r="AB431" s="113">
        <v>44233</v>
      </c>
      <c r="AC431" s="235">
        <v>44233</v>
      </c>
      <c r="AD431" s="235">
        <v>44316</v>
      </c>
      <c r="AE431" s="235">
        <v>44328</v>
      </c>
      <c r="AF431" s="114" t="str">
        <f t="shared" ref="AF431:AF436" ca="1" si="65">IF(I431="Claim",IF(AD431="","",IF(AE431="",IF(TODAY()&gt;AD431,"NO","YES"),IF(AE431&gt;AD431,"NO",IF(AE431&lt;AD431,"YES",IF(AD431=AE431,"YES","N/A"))))),"N/A")</f>
        <v>N/A</v>
      </c>
      <c r="AG431" s="197">
        <v>3971.94</v>
      </c>
      <c r="AH431" s="197"/>
      <c r="AI431" s="196">
        <f t="shared" si="61"/>
        <v>3971.94</v>
      </c>
      <c r="AJ431" s="237"/>
      <c r="AK431" s="232" t="s">
        <v>1569</v>
      </c>
      <c r="AL431" s="232"/>
      <c r="AM431" s="184" t="str">
        <f t="shared" si="64"/>
        <v>21001 Huaqiao</v>
      </c>
      <c r="AN431" s="184" t="str">
        <f t="shared" ref="AN431:AN436" si="66">CONCATENATE(B431," ",G431," : ",N431)</f>
        <v>21001 Huaqiao : NF housing leakage</v>
      </c>
    </row>
    <row r="432" spans="1:40" s="76" customFormat="1" ht="14.5" hidden="1" x14ac:dyDescent="0.35">
      <c r="A432" s="153" t="s">
        <v>1651</v>
      </c>
      <c r="B432" s="154">
        <v>21002</v>
      </c>
      <c r="C432" s="143" t="s">
        <v>4</v>
      </c>
      <c r="D432" s="144">
        <v>44207</v>
      </c>
      <c r="E432" s="145" t="s">
        <v>1083</v>
      </c>
      <c r="F432" s="145" t="s">
        <v>164</v>
      </c>
      <c r="G432" s="146" t="s">
        <v>797</v>
      </c>
      <c r="H432" s="146"/>
      <c r="I432" s="119" t="s">
        <v>17</v>
      </c>
      <c r="J432" s="232"/>
      <c r="K432" s="145" t="s">
        <v>1652</v>
      </c>
      <c r="L432" s="145">
        <v>16162</v>
      </c>
      <c r="M432" s="147" t="s">
        <v>338</v>
      </c>
      <c r="N432" s="146" t="s">
        <v>1653</v>
      </c>
      <c r="O432" s="146" t="s">
        <v>29</v>
      </c>
      <c r="P432" s="146" t="s">
        <v>86</v>
      </c>
      <c r="Q432" s="232" t="s">
        <v>1026</v>
      </c>
      <c r="R432" s="146" t="s">
        <v>9</v>
      </c>
      <c r="S432" s="146"/>
      <c r="T432" s="232"/>
      <c r="U432" s="238"/>
      <c r="V432" s="158" t="s">
        <v>6</v>
      </c>
      <c r="W432" s="145" t="s">
        <v>120</v>
      </c>
      <c r="X432" s="143">
        <v>44210</v>
      </c>
      <c r="Y432" s="144">
        <f t="shared" si="39"/>
        <v>44297</v>
      </c>
      <c r="Z432" s="235">
        <v>44281</v>
      </c>
      <c r="AA432" s="161" t="str">
        <f t="shared" ref="AA432:AA437" ca="1" si="67">IF(Z432="",IF(TODAY()&gt;Y432,"NO","YES"),IF(Z432&gt;Y432,"NO",IF(Z432&lt;Y432,"YES",IF(Y432=Z432,"YES","N/A"))))</f>
        <v>YES</v>
      </c>
      <c r="AB432" s="113"/>
      <c r="AC432" s="232"/>
      <c r="AD432" s="232"/>
      <c r="AE432" s="232"/>
      <c r="AF432" s="114" t="str">
        <f t="shared" ca="1" si="65"/>
        <v>N/A</v>
      </c>
      <c r="AG432" s="197">
        <v>279</v>
      </c>
      <c r="AH432" s="197"/>
      <c r="AI432" s="196">
        <f t="shared" ref="AI432:AI435" si="68">AH432+AG432</f>
        <v>279</v>
      </c>
      <c r="AJ432" s="148" t="s">
        <v>6</v>
      </c>
      <c r="AK432" s="187">
        <v>44495</v>
      </c>
      <c r="AL432" s="232"/>
      <c r="AM432" s="184" t="str">
        <f t="shared" si="64"/>
        <v>21002 CAPUA</v>
      </c>
      <c r="AN432" s="184" t="str">
        <f t="shared" si="66"/>
        <v>21002 CAPUA : Effluent to be connected to customer sewers</v>
      </c>
    </row>
    <row r="433" spans="1:40" s="76" customFormat="1" ht="14.5" hidden="1" x14ac:dyDescent="0.35">
      <c r="A433" s="153" t="s">
        <v>1654</v>
      </c>
      <c r="B433" s="154">
        <v>21003</v>
      </c>
      <c r="C433" s="143" t="s">
        <v>4</v>
      </c>
      <c r="D433" s="144">
        <v>44211</v>
      </c>
      <c r="E433" s="145" t="s">
        <v>1476</v>
      </c>
      <c r="F433" s="145" t="s">
        <v>658</v>
      </c>
      <c r="G433" s="146" t="s">
        <v>388</v>
      </c>
      <c r="H433" s="146" t="s">
        <v>1041</v>
      </c>
      <c r="I433" s="119" t="s">
        <v>5</v>
      </c>
      <c r="J433" s="70" t="s">
        <v>1332</v>
      </c>
      <c r="K433" s="118"/>
      <c r="L433" s="118" t="s">
        <v>1655</v>
      </c>
      <c r="M433" s="147" t="s">
        <v>13</v>
      </c>
      <c r="N433" s="111" t="s">
        <v>1516</v>
      </c>
      <c r="O433" s="146" t="s">
        <v>28</v>
      </c>
      <c r="P433" s="111" t="s">
        <v>103</v>
      </c>
      <c r="Q433" s="70" t="s">
        <v>510</v>
      </c>
      <c r="R433" s="146" t="s">
        <v>145</v>
      </c>
      <c r="S433" s="146"/>
      <c r="T433" s="112" t="s">
        <v>1394</v>
      </c>
      <c r="U433" s="238"/>
      <c r="V433" s="158" t="s">
        <v>6</v>
      </c>
      <c r="W433" s="118" t="s">
        <v>221</v>
      </c>
      <c r="X433" s="143">
        <v>44215</v>
      </c>
      <c r="Y433" s="144">
        <f t="shared" si="39"/>
        <v>44301</v>
      </c>
      <c r="Z433" s="235">
        <v>44315</v>
      </c>
      <c r="AA433" s="161" t="str">
        <f t="shared" ca="1" si="67"/>
        <v>NO</v>
      </c>
      <c r="AB433" s="113">
        <v>44209</v>
      </c>
      <c r="AC433" s="190">
        <v>44214</v>
      </c>
      <c r="AD433" s="235">
        <v>44346</v>
      </c>
      <c r="AE433" s="235">
        <v>44315</v>
      </c>
      <c r="AF433" s="114" t="str">
        <f t="shared" ca="1" si="65"/>
        <v>YES</v>
      </c>
      <c r="AG433" s="197">
        <v>1018</v>
      </c>
      <c r="AH433" s="197">
        <v>1540</v>
      </c>
      <c r="AI433" s="196">
        <f t="shared" si="68"/>
        <v>2558</v>
      </c>
      <c r="AJ433" s="148" t="s">
        <v>10</v>
      </c>
      <c r="AK433" s="187">
        <v>44434</v>
      </c>
      <c r="AL433" s="232">
        <v>21022</v>
      </c>
      <c r="AM433" s="184" t="str">
        <f t="shared" ref="AM433:AM438" si="69">CONCATENATE(B433," ",G433)</f>
        <v>21003 GOI</v>
      </c>
      <c r="AN433" s="184" t="str">
        <f t="shared" si="66"/>
        <v>21003 GOI : Resins labeling error</v>
      </c>
    </row>
    <row r="434" spans="1:40" s="76" customFormat="1" ht="14.5" hidden="1" x14ac:dyDescent="0.35">
      <c r="A434" s="153" t="s">
        <v>1656</v>
      </c>
      <c r="B434" s="154">
        <v>21004</v>
      </c>
      <c r="C434" s="143" t="s">
        <v>4</v>
      </c>
      <c r="D434" s="144">
        <v>44228</v>
      </c>
      <c r="E434" s="145" t="s">
        <v>1476</v>
      </c>
      <c r="F434" s="145" t="s">
        <v>658</v>
      </c>
      <c r="G434" s="111" t="s">
        <v>1637</v>
      </c>
      <c r="H434" s="146" t="s">
        <v>1041</v>
      </c>
      <c r="I434" s="119" t="s">
        <v>2056</v>
      </c>
      <c r="J434" s="232"/>
      <c r="K434" s="145"/>
      <c r="L434" s="145" t="s">
        <v>1638</v>
      </c>
      <c r="M434" s="147" t="s">
        <v>13</v>
      </c>
      <c r="N434" s="146" t="s">
        <v>1657</v>
      </c>
      <c r="O434" s="146" t="s">
        <v>28</v>
      </c>
      <c r="P434" s="146" t="s">
        <v>103</v>
      </c>
      <c r="Q434" s="232" t="s">
        <v>510</v>
      </c>
      <c r="R434" s="146" t="s">
        <v>145</v>
      </c>
      <c r="S434" s="146"/>
      <c r="T434" s="112" t="s">
        <v>1394</v>
      </c>
      <c r="U434" s="238"/>
      <c r="V434" s="158" t="s">
        <v>10</v>
      </c>
      <c r="W434" s="145"/>
      <c r="X434" s="143"/>
      <c r="Y434" s="144">
        <f t="shared" si="39"/>
        <v>44317</v>
      </c>
      <c r="Z434" s="235">
        <v>44308</v>
      </c>
      <c r="AA434" s="161" t="str">
        <f t="shared" ca="1" si="67"/>
        <v>YES</v>
      </c>
      <c r="AB434" s="113"/>
      <c r="AC434" s="232"/>
      <c r="AD434" s="232"/>
      <c r="AE434" s="232"/>
      <c r="AF434" s="114" t="str">
        <f t="shared" ca="1" si="65"/>
        <v>N/A</v>
      </c>
      <c r="AG434" s="197">
        <v>95</v>
      </c>
      <c r="AH434" s="197">
        <v>0</v>
      </c>
      <c r="AI434" s="196">
        <f t="shared" si="68"/>
        <v>95</v>
      </c>
      <c r="AJ434" s="148" t="s">
        <v>6</v>
      </c>
      <c r="AK434" s="187">
        <v>44860</v>
      </c>
      <c r="AL434" s="232"/>
      <c r="AM434" s="184" t="str">
        <f t="shared" si="69"/>
        <v>21004 BENEO Oreye</v>
      </c>
      <c r="AN434" s="184" t="str">
        <f t="shared" si="66"/>
        <v>21004 BENEO Oreye : Forgotten pallett, not delivered</v>
      </c>
    </row>
    <row r="435" spans="1:40" s="76" customFormat="1" ht="14.5" hidden="1" x14ac:dyDescent="0.35">
      <c r="A435" s="156" t="s">
        <v>1658</v>
      </c>
      <c r="B435" s="154">
        <v>21005</v>
      </c>
      <c r="C435" s="143" t="s">
        <v>4</v>
      </c>
      <c r="D435" s="144">
        <v>44235</v>
      </c>
      <c r="E435" s="145" t="s">
        <v>177</v>
      </c>
      <c r="F435" s="145" t="s">
        <v>164</v>
      </c>
      <c r="G435" s="146" t="s">
        <v>1291</v>
      </c>
      <c r="H435" s="146" t="s">
        <v>1659</v>
      </c>
      <c r="I435" s="119" t="s">
        <v>2056</v>
      </c>
      <c r="J435" s="232"/>
      <c r="K435" s="145">
        <v>2066</v>
      </c>
      <c r="L435" s="145">
        <v>13829</v>
      </c>
      <c r="M435" s="147" t="s">
        <v>700</v>
      </c>
      <c r="N435" s="146" t="s">
        <v>1660</v>
      </c>
      <c r="O435" s="146" t="s">
        <v>29</v>
      </c>
      <c r="P435" s="146" t="s">
        <v>176</v>
      </c>
      <c r="Q435" s="232" t="s">
        <v>1661</v>
      </c>
      <c r="R435" s="146" t="s">
        <v>145</v>
      </c>
      <c r="S435" s="146"/>
      <c r="T435" s="112" t="s">
        <v>1659</v>
      </c>
      <c r="U435" s="238"/>
      <c r="V435" s="158" t="s">
        <v>10</v>
      </c>
      <c r="W435" s="145"/>
      <c r="X435" s="143"/>
      <c r="Y435" s="144">
        <f t="shared" si="39"/>
        <v>44324</v>
      </c>
      <c r="Z435" s="235">
        <v>44305</v>
      </c>
      <c r="AA435" s="161" t="str">
        <f t="shared" ca="1" si="67"/>
        <v>YES</v>
      </c>
      <c r="AB435" s="113"/>
      <c r="AC435" s="232"/>
      <c r="AD435" s="232"/>
      <c r="AE435" s="232"/>
      <c r="AF435" s="114" t="str">
        <f t="shared" ca="1" si="65"/>
        <v>N/A</v>
      </c>
      <c r="AG435" s="197">
        <v>1318</v>
      </c>
      <c r="AH435" s="197">
        <v>0</v>
      </c>
      <c r="AI435" s="196">
        <f t="shared" si="68"/>
        <v>1318</v>
      </c>
      <c r="AJ435" s="237"/>
      <c r="AK435" s="182" t="s">
        <v>454</v>
      </c>
      <c r="AL435" s="70" t="s">
        <v>1662</v>
      </c>
      <c r="AM435" s="184" t="str">
        <f t="shared" si="69"/>
        <v>21005 BENEO Chili</v>
      </c>
      <c r="AN435" s="184" t="str">
        <f t="shared" si="66"/>
        <v>21005 BENEO Chili : Late delivery of the centrifugal pumps order</v>
      </c>
    </row>
    <row r="436" spans="1:40" s="76" customFormat="1" ht="14.5" hidden="1" x14ac:dyDescent="0.35">
      <c r="A436" s="153" t="s">
        <v>1663</v>
      </c>
      <c r="B436" s="154">
        <v>21006</v>
      </c>
      <c r="C436" s="143" t="s">
        <v>8</v>
      </c>
      <c r="D436" s="144">
        <v>44236</v>
      </c>
      <c r="E436" s="145" t="s">
        <v>1664</v>
      </c>
      <c r="F436" s="145" t="s">
        <v>1665</v>
      </c>
      <c r="G436" s="146" t="s">
        <v>1067</v>
      </c>
      <c r="H436" s="146" t="s">
        <v>930</v>
      </c>
      <c r="I436" s="119" t="s">
        <v>2056</v>
      </c>
      <c r="J436" s="232"/>
      <c r="K436" s="145" t="s">
        <v>1666</v>
      </c>
      <c r="L436" s="145">
        <v>15842</v>
      </c>
      <c r="M436" s="147" t="s">
        <v>13</v>
      </c>
      <c r="N436" s="146" t="s">
        <v>1667</v>
      </c>
      <c r="O436" s="146" t="s">
        <v>29</v>
      </c>
      <c r="P436" s="146" t="s">
        <v>86</v>
      </c>
      <c r="Q436" s="70" t="s">
        <v>1629</v>
      </c>
      <c r="R436" s="146" t="s">
        <v>145</v>
      </c>
      <c r="S436" s="146"/>
      <c r="T436" s="232" t="s">
        <v>1668</v>
      </c>
      <c r="U436" s="238"/>
      <c r="V436" s="158" t="s">
        <v>6</v>
      </c>
      <c r="W436" s="145" t="s">
        <v>1664</v>
      </c>
      <c r="X436" s="143">
        <v>44236</v>
      </c>
      <c r="Y436" s="144">
        <f t="shared" si="39"/>
        <v>44325</v>
      </c>
      <c r="Z436" s="235">
        <v>44313</v>
      </c>
      <c r="AA436" s="161" t="str">
        <f t="shared" ca="1" si="67"/>
        <v>YES</v>
      </c>
      <c r="AB436" s="113"/>
      <c r="AC436" s="232"/>
      <c r="AD436" s="232"/>
      <c r="AE436" s="232"/>
      <c r="AF436" s="114" t="str">
        <f t="shared" ca="1" si="65"/>
        <v>N/A</v>
      </c>
      <c r="AG436" s="197">
        <v>980</v>
      </c>
      <c r="AH436" s="197"/>
      <c r="AI436" s="196">
        <v>980</v>
      </c>
      <c r="AJ436" s="237"/>
      <c r="AK436" s="70" t="s">
        <v>1669</v>
      </c>
      <c r="AL436" s="232"/>
      <c r="AM436" s="184" t="str">
        <f t="shared" si="69"/>
        <v>21006 Cargill</v>
      </c>
      <c r="AN436" s="184" t="str">
        <f t="shared" si="66"/>
        <v>21006 Cargill : Mounting issue of internal box</v>
      </c>
    </row>
    <row r="437" spans="1:40" s="76" customFormat="1" ht="14.5" hidden="1" x14ac:dyDescent="0.35">
      <c r="A437" s="153" t="s">
        <v>1670</v>
      </c>
      <c r="B437" s="154">
        <v>21007</v>
      </c>
      <c r="C437" s="143" t="s">
        <v>4</v>
      </c>
      <c r="D437" s="144">
        <v>44238</v>
      </c>
      <c r="E437" s="145" t="s">
        <v>1624</v>
      </c>
      <c r="F437" s="145" t="s">
        <v>658</v>
      </c>
      <c r="G437" s="146" t="s">
        <v>1671</v>
      </c>
      <c r="H437" s="146"/>
      <c r="I437" s="119" t="s">
        <v>2057</v>
      </c>
      <c r="J437" s="232"/>
      <c r="K437" s="145"/>
      <c r="L437" s="145" t="s">
        <v>1672</v>
      </c>
      <c r="M437" s="147" t="s">
        <v>7</v>
      </c>
      <c r="N437" s="146" t="s">
        <v>1673</v>
      </c>
      <c r="O437" s="146" t="s">
        <v>28</v>
      </c>
      <c r="P437" s="146" t="s">
        <v>103</v>
      </c>
      <c r="Q437" s="232" t="s">
        <v>510</v>
      </c>
      <c r="R437" s="146" t="s">
        <v>15</v>
      </c>
      <c r="S437" s="146"/>
      <c r="T437" s="232"/>
      <c r="U437" s="238"/>
      <c r="V437" s="158" t="s">
        <v>6</v>
      </c>
      <c r="W437" s="145" t="s">
        <v>1476</v>
      </c>
      <c r="X437" s="143">
        <v>44250</v>
      </c>
      <c r="Y437" s="144">
        <f t="shared" si="39"/>
        <v>44327</v>
      </c>
      <c r="Z437" s="235">
        <v>44278</v>
      </c>
      <c r="AA437" s="161" t="str">
        <f t="shared" ca="1" si="67"/>
        <v>YES</v>
      </c>
      <c r="AB437" s="113"/>
      <c r="AC437" s="232"/>
      <c r="AD437" s="232"/>
      <c r="AE437" s="232"/>
      <c r="AF437" s="114" t="str">
        <f t="shared" ref="AF437:AF442" ca="1" si="70">IF(I437="Claim",IF(AD437="","",IF(AE437="",IF(TODAY()&gt;AD437,"NO","YES"),IF(AE437&gt;AD437,"NO",IF(AE437&lt;AD437,"YES",IF(AD437=AE437,"YES","N/A"))))),"N/A")</f>
        <v>N/A</v>
      </c>
      <c r="AG437" s="197">
        <v>285</v>
      </c>
      <c r="AH437" s="197">
        <v>80</v>
      </c>
      <c r="AI437" s="196">
        <f t="shared" ref="AI437:AI442" si="71">AH437+AG437</f>
        <v>365</v>
      </c>
      <c r="AJ437" s="148" t="s">
        <v>6</v>
      </c>
      <c r="AK437" s="187">
        <v>44860</v>
      </c>
      <c r="AL437" s="232"/>
      <c r="AM437" s="184" t="str">
        <f t="shared" si="69"/>
        <v>21007 HSN-Tetrapak</v>
      </c>
      <c r="AN437" s="184" t="str">
        <f t="shared" ref="AN437:AN442" si="72">CONCATENATE(B437," ",G437," : ",N437)</f>
        <v>21007 HSN-Tetrapak : Order delivery error</v>
      </c>
    </row>
    <row r="438" spans="1:40" s="76" customFormat="1" ht="14.5" hidden="1" x14ac:dyDescent="0.35">
      <c r="A438" s="153" t="s">
        <v>1674</v>
      </c>
      <c r="B438" s="154">
        <v>21008</v>
      </c>
      <c r="C438" s="143" t="s">
        <v>4</v>
      </c>
      <c r="D438" s="144">
        <v>44257</v>
      </c>
      <c r="E438" s="145" t="s">
        <v>273</v>
      </c>
      <c r="F438" s="145" t="s">
        <v>658</v>
      </c>
      <c r="G438" s="146" t="s">
        <v>1675</v>
      </c>
      <c r="H438" s="146"/>
      <c r="I438" s="119" t="s">
        <v>2057</v>
      </c>
      <c r="J438" s="232"/>
      <c r="K438" s="145" t="s">
        <v>1676</v>
      </c>
      <c r="L438" s="145">
        <v>16977</v>
      </c>
      <c r="M438" s="147"/>
      <c r="N438" s="146" t="s">
        <v>1677</v>
      </c>
      <c r="O438" s="146" t="s">
        <v>28</v>
      </c>
      <c r="P438" s="146" t="s">
        <v>103</v>
      </c>
      <c r="Q438" s="70" t="s">
        <v>81</v>
      </c>
      <c r="R438" s="146" t="s">
        <v>9</v>
      </c>
      <c r="S438" s="146"/>
      <c r="T438" s="232"/>
      <c r="U438" s="238"/>
      <c r="V438" s="158" t="s">
        <v>6</v>
      </c>
      <c r="W438" s="145" t="s">
        <v>273</v>
      </c>
      <c r="X438" s="143">
        <v>44260</v>
      </c>
      <c r="Y438" s="144">
        <f t="shared" si="39"/>
        <v>44349</v>
      </c>
      <c r="Z438" s="235">
        <v>44315</v>
      </c>
      <c r="AA438" s="161" t="str">
        <f t="shared" ref="AA438:AA442" ca="1" si="73">IF(Z438="",IF(TODAY()&gt;Y438,"NO","YES"),IF(Z438&gt;Y438,"NO",IF(Z438&lt;Y438,"YES",IF(Y438=Z438,"YES","N/A"))))</f>
        <v>YES</v>
      </c>
      <c r="AB438" s="113"/>
      <c r="AC438" s="232"/>
      <c r="AD438" s="232"/>
      <c r="AE438" s="232"/>
      <c r="AF438" s="114" t="str">
        <f t="shared" ca="1" si="70"/>
        <v>N/A</v>
      </c>
      <c r="AG438" s="197">
        <v>570</v>
      </c>
      <c r="AH438" s="197">
        <v>0</v>
      </c>
      <c r="AI438" s="196">
        <f t="shared" si="71"/>
        <v>570</v>
      </c>
      <c r="AJ438" s="148" t="s">
        <v>6</v>
      </c>
      <c r="AK438" s="235">
        <v>44874</v>
      </c>
      <c r="AL438" s="232"/>
      <c r="AM438" s="184" t="str">
        <f t="shared" si="69"/>
        <v>21008 Polypeptides US</v>
      </c>
      <c r="AN438" s="184" t="str">
        <f t="shared" si="72"/>
        <v>21008 Polypeptides US : Creation of US accounting project on ISIS</v>
      </c>
    </row>
    <row r="439" spans="1:40" s="76" customFormat="1" ht="14.5" hidden="1" x14ac:dyDescent="0.35">
      <c r="A439" s="153" t="s">
        <v>1678</v>
      </c>
      <c r="B439" s="154">
        <v>21009</v>
      </c>
      <c r="C439" s="143" t="s">
        <v>4</v>
      </c>
      <c r="D439" s="144">
        <v>44257</v>
      </c>
      <c r="E439" s="145" t="s">
        <v>1575</v>
      </c>
      <c r="F439" s="145" t="s">
        <v>164</v>
      </c>
      <c r="G439" s="111" t="s">
        <v>1679</v>
      </c>
      <c r="H439" s="111" t="s">
        <v>1680</v>
      </c>
      <c r="I439" s="119" t="s">
        <v>2056</v>
      </c>
      <c r="J439" s="232"/>
      <c r="K439" s="118" t="s">
        <v>1681</v>
      </c>
      <c r="L439" s="145">
        <v>15771</v>
      </c>
      <c r="M439" s="147" t="s">
        <v>13</v>
      </c>
      <c r="N439" s="111" t="s">
        <v>1682</v>
      </c>
      <c r="O439" s="111" t="s">
        <v>28</v>
      </c>
      <c r="P439" s="111" t="s">
        <v>103</v>
      </c>
      <c r="Q439" s="70" t="s">
        <v>1683</v>
      </c>
      <c r="R439" s="111" t="s">
        <v>145</v>
      </c>
      <c r="S439" s="146"/>
      <c r="T439" s="232"/>
      <c r="U439" s="238"/>
      <c r="V439" s="158" t="s">
        <v>6</v>
      </c>
      <c r="W439" s="145" t="s">
        <v>120</v>
      </c>
      <c r="X439" s="143">
        <v>44257</v>
      </c>
      <c r="Y439" s="144">
        <f t="shared" si="39"/>
        <v>44349</v>
      </c>
      <c r="Z439" s="235">
        <v>44335</v>
      </c>
      <c r="AA439" s="161" t="str">
        <f t="shared" ca="1" si="73"/>
        <v>YES</v>
      </c>
      <c r="AB439" s="113"/>
      <c r="AC439" s="232"/>
      <c r="AD439" s="232"/>
      <c r="AE439" s="232"/>
      <c r="AF439" s="114" t="str">
        <f t="shared" ca="1" si="70"/>
        <v>N/A</v>
      </c>
      <c r="AG439" s="197">
        <v>380</v>
      </c>
      <c r="AH439" s="197">
        <v>1232</v>
      </c>
      <c r="AI439" s="196">
        <f t="shared" si="71"/>
        <v>1612</v>
      </c>
      <c r="AJ439" s="148" t="s">
        <v>6</v>
      </c>
      <c r="AK439" s="235">
        <v>44860</v>
      </c>
      <c r="AL439" s="232"/>
      <c r="AM439" s="184" t="str">
        <f t="shared" ref="AM439:AM444" si="74">CONCATENATE(B439," ",G439)</f>
        <v>21009 Tereos Connantres</v>
      </c>
      <c r="AN439" s="184" t="str">
        <f t="shared" si="72"/>
        <v>21009 Tereos Connantres : Spare sightglass missing and bad quality for sightglass gaskets</v>
      </c>
    </row>
    <row r="440" spans="1:40" s="76" customFormat="1" ht="14.5" hidden="1" x14ac:dyDescent="0.35">
      <c r="A440" s="153" t="s">
        <v>1684</v>
      </c>
      <c r="B440" s="154">
        <v>21010</v>
      </c>
      <c r="C440" s="143" t="s">
        <v>4</v>
      </c>
      <c r="D440" s="144">
        <v>44257</v>
      </c>
      <c r="E440" s="145" t="s">
        <v>273</v>
      </c>
      <c r="F440" s="145" t="s">
        <v>658</v>
      </c>
      <c r="G440" s="111" t="s">
        <v>1679</v>
      </c>
      <c r="H440" s="146"/>
      <c r="I440" s="119" t="s">
        <v>2057</v>
      </c>
      <c r="J440" s="232"/>
      <c r="K440" s="118" t="s">
        <v>1681</v>
      </c>
      <c r="L440" s="145">
        <v>15771</v>
      </c>
      <c r="M440" s="147" t="s">
        <v>13</v>
      </c>
      <c r="N440" s="146" t="s">
        <v>1685</v>
      </c>
      <c r="O440" s="146" t="s">
        <v>28</v>
      </c>
      <c r="P440" s="146" t="s">
        <v>103</v>
      </c>
      <c r="Q440" s="232" t="s">
        <v>1683</v>
      </c>
      <c r="R440" s="146" t="s">
        <v>145</v>
      </c>
      <c r="S440" s="146"/>
      <c r="T440" s="232"/>
      <c r="U440" s="238"/>
      <c r="V440" s="158" t="s">
        <v>6</v>
      </c>
      <c r="W440" s="145" t="s">
        <v>160</v>
      </c>
      <c r="X440" s="143">
        <v>44202</v>
      </c>
      <c r="Y440" s="144">
        <f t="shared" si="39"/>
        <v>44349</v>
      </c>
      <c r="Z440" s="235">
        <v>44343</v>
      </c>
      <c r="AA440" s="161" t="str">
        <f t="shared" ca="1" si="73"/>
        <v>YES</v>
      </c>
      <c r="AB440" s="113"/>
      <c r="AC440" s="232"/>
      <c r="AD440" s="232"/>
      <c r="AE440" s="232"/>
      <c r="AF440" s="114" t="str">
        <f t="shared" ca="1" si="70"/>
        <v>N/A</v>
      </c>
      <c r="AG440" s="197">
        <v>5225</v>
      </c>
      <c r="AH440" s="197">
        <v>30765</v>
      </c>
      <c r="AI440" s="196">
        <f t="shared" si="71"/>
        <v>35990</v>
      </c>
      <c r="AJ440" s="148" t="s">
        <v>6</v>
      </c>
      <c r="AK440" s="187">
        <v>44879</v>
      </c>
      <c r="AL440" s="70" t="s">
        <v>1686</v>
      </c>
      <c r="AM440" s="184" t="str">
        <f t="shared" si="74"/>
        <v>21010 Tereos Connantres</v>
      </c>
      <c r="AN440" s="184" t="str">
        <f t="shared" si="72"/>
        <v>21010 Tereos Connantres : High pressure drop in production</v>
      </c>
    </row>
    <row r="441" spans="1:40" s="76" customFormat="1" ht="14.5" hidden="1" x14ac:dyDescent="0.35">
      <c r="A441" s="153" t="s">
        <v>1687</v>
      </c>
      <c r="B441" s="154">
        <v>21011</v>
      </c>
      <c r="C441" s="143" t="s">
        <v>4</v>
      </c>
      <c r="D441" s="144">
        <v>44270</v>
      </c>
      <c r="E441" s="145" t="s">
        <v>796</v>
      </c>
      <c r="F441" s="145" t="s">
        <v>420</v>
      </c>
      <c r="G441" s="146" t="s">
        <v>1688</v>
      </c>
      <c r="H441" s="146"/>
      <c r="I441" s="119" t="s">
        <v>2058</v>
      </c>
      <c r="J441" s="232"/>
      <c r="K441" s="150" t="s">
        <v>1689</v>
      </c>
      <c r="L441" s="150" t="s">
        <v>1690</v>
      </c>
      <c r="M441" s="147" t="s">
        <v>18</v>
      </c>
      <c r="N441" s="111" t="s">
        <v>1691</v>
      </c>
      <c r="O441" s="111" t="s">
        <v>420</v>
      </c>
      <c r="P441" s="146" t="s">
        <v>80</v>
      </c>
      <c r="Q441" s="70" t="s">
        <v>1543</v>
      </c>
      <c r="R441" s="146" t="s">
        <v>87</v>
      </c>
      <c r="S441" s="157" t="s">
        <v>1344</v>
      </c>
      <c r="T441" s="232"/>
      <c r="U441" s="238"/>
      <c r="V441" s="158" t="s">
        <v>6</v>
      </c>
      <c r="W441" s="145" t="s">
        <v>1647</v>
      </c>
      <c r="X441" s="143">
        <v>44274</v>
      </c>
      <c r="Y441" s="144">
        <f t="shared" si="39"/>
        <v>44362</v>
      </c>
      <c r="Z441" s="235">
        <v>44438</v>
      </c>
      <c r="AA441" s="161" t="str">
        <f t="shared" ca="1" si="73"/>
        <v>NO</v>
      </c>
      <c r="AB441" s="113"/>
      <c r="AC441" s="232"/>
      <c r="AD441" s="232"/>
      <c r="AE441" s="232"/>
      <c r="AF441" s="114" t="str">
        <f t="shared" ca="1" si="70"/>
        <v>N/A</v>
      </c>
      <c r="AG441" s="197">
        <v>950</v>
      </c>
      <c r="AH441" s="197">
        <v>140</v>
      </c>
      <c r="AI441" s="196">
        <f t="shared" si="71"/>
        <v>1090</v>
      </c>
      <c r="AJ441" s="237"/>
      <c r="AK441" s="70" t="s">
        <v>2045</v>
      </c>
      <c r="AL441" s="232"/>
      <c r="AM441" s="184" t="str">
        <f t="shared" si="74"/>
        <v>21011 PRAJ</v>
      </c>
      <c r="AN441" s="184" t="str">
        <f t="shared" si="72"/>
        <v>21011 PRAJ : Product leakage, high pressure</v>
      </c>
    </row>
    <row r="442" spans="1:40" s="76" customFormat="1" ht="14.5" hidden="1" x14ac:dyDescent="0.35">
      <c r="A442" s="153" t="s">
        <v>1692</v>
      </c>
      <c r="B442" s="154">
        <v>21012</v>
      </c>
      <c r="C442" s="143" t="s">
        <v>4</v>
      </c>
      <c r="D442" s="144">
        <v>44309</v>
      </c>
      <c r="E442" s="145" t="s">
        <v>1693</v>
      </c>
      <c r="F442" s="145" t="s">
        <v>658</v>
      </c>
      <c r="G442" s="148" t="s">
        <v>1694</v>
      </c>
      <c r="H442" s="146"/>
      <c r="I442" s="119" t="s">
        <v>2057</v>
      </c>
      <c r="J442" s="232"/>
      <c r="K442" s="145"/>
      <c r="L442" s="114" t="s">
        <v>1695</v>
      </c>
      <c r="M442" s="147" t="s">
        <v>338</v>
      </c>
      <c r="N442" s="111" t="s">
        <v>1696</v>
      </c>
      <c r="O442" s="111" t="s">
        <v>28</v>
      </c>
      <c r="P442" s="111" t="s">
        <v>103</v>
      </c>
      <c r="Q442" s="232" t="s">
        <v>1149</v>
      </c>
      <c r="R442" s="111" t="s">
        <v>9</v>
      </c>
      <c r="S442" s="146"/>
      <c r="T442" s="232"/>
      <c r="U442" s="238"/>
      <c r="V442" s="158" t="s">
        <v>6</v>
      </c>
      <c r="W442" s="118" t="s">
        <v>221</v>
      </c>
      <c r="X442" s="143">
        <v>44314</v>
      </c>
      <c r="Y442" s="144">
        <f t="shared" si="39"/>
        <v>44400</v>
      </c>
      <c r="Z442" s="235">
        <v>44383</v>
      </c>
      <c r="AA442" s="161" t="str">
        <f t="shared" ca="1" si="73"/>
        <v>YES</v>
      </c>
      <c r="AB442" s="113"/>
      <c r="AC442" s="232"/>
      <c r="AD442" s="232"/>
      <c r="AE442" s="232"/>
      <c r="AF442" s="114" t="str">
        <f t="shared" ca="1" si="70"/>
        <v>N/A</v>
      </c>
      <c r="AG442" s="197">
        <v>570</v>
      </c>
      <c r="AH442" s="197">
        <v>0</v>
      </c>
      <c r="AI442" s="196">
        <f t="shared" si="71"/>
        <v>570</v>
      </c>
      <c r="AJ442" s="148" t="s">
        <v>6</v>
      </c>
      <c r="AK442" s="187">
        <v>44873</v>
      </c>
      <c r="AL442" s="232"/>
      <c r="AM442" s="184" t="str">
        <f t="shared" si="74"/>
        <v>21012 Açucareira Quatá</v>
      </c>
      <c r="AN442" s="184" t="str">
        <f t="shared" si="72"/>
        <v>21012 Açucareira Quatá : Exportation certificate unsend to the client on time</v>
      </c>
    </row>
    <row r="443" spans="1:40" s="76" customFormat="1" ht="14.5" hidden="1" x14ac:dyDescent="0.35">
      <c r="A443" s="153" t="s">
        <v>1697</v>
      </c>
      <c r="B443" s="154">
        <v>21013</v>
      </c>
      <c r="C443" s="143" t="s">
        <v>4</v>
      </c>
      <c r="D443" s="144">
        <v>44321</v>
      </c>
      <c r="E443" s="145" t="s">
        <v>1698</v>
      </c>
      <c r="F443" s="145" t="s">
        <v>1699</v>
      </c>
      <c r="G443" s="146" t="s">
        <v>602</v>
      </c>
      <c r="H443" s="146"/>
      <c r="I443" s="119" t="s">
        <v>2057</v>
      </c>
      <c r="J443" s="232"/>
      <c r="K443" s="145"/>
      <c r="L443" s="118" t="s">
        <v>1700</v>
      </c>
      <c r="M443" s="147" t="s">
        <v>18</v>
      </c>
      <c r="N443" s="111" t="s">
        <v>1701</v>
      </c>
      <c r="O443" s="146" t="s">
        <v>28</v>
      </c>
      <c r="P443" s="146" t="s">
        <v>103</v>
      </c>
      <c r="Q443" s="70" t="s">
        <v>1702</v>
      </c>
      <c r="R443" s="111" t="s">
        <v>1552</v>
      </c>
      <c r="S443" s="157" t="s">
        <v>1344</v>
      </c>
      <c r="T443" s="232"/>
      <c r="U443" s="238"/>
      <c r="V443" s="158" t="s">
        <v>6</v>
      </c>
      <c r="W443" s="118" t="s">
        <v>221</v>
      </c>
      <c r="X443" s="143">
        <v>44336</v>
      </c>
      <c r="Y443" s="144">
        <f t="shared" si="39"/>
        <v>44413</v>
      </c>
      <c r="Z443" s="235">
        <v>44397</v>
      </c>
      <c r="AA443" s="161" t="str">
        <f t="shared" ref="AA443:AA449" ca="1" si="75">IF(Z443="",IF(TODAY()&gt;Y443,"NO","YES"),IF(Z443&gt;Y443,"NO",IF(Z443&lt;Y443,"YES",IF(Y443=Z443,"YES","N/A"))))</f>
        <v>YES</v>
      </c>
      <c r="AB443" s="113"/>
      <c r="AC443" s="232"/>
      <c r="AD443" s="232"/>
      <c r="AE443" s="232"/>
      <c r="AF443" s="114" t="str">
        <f t="shared" ref="AF443:AF448" ca="1" si="76">IF(I443="Claim",IF(AD443="","",IF(AE443="",IF(TODAY()&gt;AD443,"NO","YES"),IF(AE443&gt;AD443,"NO",IF(AE443&lt;AD443,"YES",IF(AD443=AE443,"YES","N/A"))))),"N/A")</f>
        <v>N/A</v>
      </c>
      <c r="AG443" s="197">
        <v>190</v>
      </c>
      <c r="AH443" s="197">
        <v>0</v>
      </c>
      <c r="AI443" s="196">
        <f t="shared" ref="AI443:AI448" si="77">AH443+AG443</f>
        <v>190</v>
      </c>
      <c r="AJ443" s="148" t="s">
        <v>6</v>
      </c>
      <c r="AK443" s="187">
        <v>44873</v>
      </c>
      <c r="AL443" s="232"/>
      <c r="AM443" s="184" t="str">
        <f t="shared" si="74"/>
        <v>21013 Cevital</v>
      </c>
      <c r="AN443" s="184" t="str">
        <f t="shared" ref="AN443:AN448" si="78">CONCATENATE(B443," ",G443," : ",N443)</f>
        <v>21013 Cevital : Export licence not request</v>
      </c>
    </row>
    <row r="444" spans="1:40" s="76" customFormat="1" ht="14.5" hidden="1" x14ac:dyDescent="0.35">
      <c r="A444" s="153" t="s">
        <v>1703</v>
      </c>
      <c r="B444" s="154">
        <v>21014</v>
      </c>
      <c r="C444" s="143" t="s">
        <v>4</v>
      </c>
      <c r="D444" s="144">
        <v>44323</v>
      </c>
      <c r="E444" s="145" t="s">
        <v>1476</v>
      </c>
      <c r="F444" s="145" t="s">
        <v>658</v>
      </c>
      <c r="G444" s="146" t="s">
        <v>1704</v>
      </c>
      <c r="H444" s="146" t="s">
        <v>1100</v>
      </c>
      <c r="I444" s="119" t="s">
        <v>2056</v>
      </c>
      <c r="J444" s="232"/>
      <c r="K444" s="145">
        <v>2105</v>
      </c>
      <c r="L444" s="145">
        <v>15099</v>
      </c>
      <c r="M444" s="147"/>
      <c r="N444" s="111" t="s">
        <v>1705</v>
      </c>
      <c r="O444" s="146" t="s">
        <v>28</v>
      </c>
      <c r="P444" s="146" t="s">
        <v>103</v>
      </c>
      <c r="Q444" s="232" t="s">
        <v>1517</v>
      </c>
      <c r="R444" s="146" t="s">
        <v>145</v>
      </c>
      <c r="S444" s="146"/>
      <c r="T444" s="232"/>
      <c r="U444" s="238"/>
      <c r="V444" s="158" t="s">
        <v>10</v>
      </c>
      <c r="W444" s="145"/>
      <c r="X444" s="143"/>
      <c r="Y444" s="144">
        <f t="shared" si="39"/>
        <v>44415</v>
      </c>
      <c r="Z444" s="235">
        <v>44404</v>
      </c>
      <c r="AA444" s="161" t="str">
        <f t="shared" ca="1" si="75"/>
        <v>YES</v>
      </c>
      <c r="AB444" s="113"/>
      <c r="AC444" s="232"/>
      <c r="AD444" s="232"/>
      <c r="AE444" s="232"/>
      <c r="AF444" s="114" t="str">
        <f t="shared" ca="1" si="76"/>
        <v>N/A</v>
      </c>
      <c r="AG444" s="197">
        <v>48</v>
      </c>
      <c r="AH444" s="197">
        <v>0</v>
      </c>
      <c r="AI444" s="196">
        <f t="shared" si="77"/>
        <v>48</v>
      </c>
      <c r="AJ444" s="148" t="s">
        <v>6</v>
      </c>
      <c r="AK444" s="187">
        <v>44860</v>
      </c>
      <c r="AL444" s="232"/>
      <c r="AM444" s="184" t="str">
        <f t="shared" si="74"/>
        <v>21014 Savola</v>
      </c>
      <c r="AN444" s="184" t="str">
        <f t="shared" si="78"/>
        <v>21014 Savola : Resin delivery in non neutral Big Bag</v>
      </c>
    </row>
    <row r="445" spans="1:40" s="76" customFormat="1" ht="14.5" hidden="1" x14ac:dyDescent="0.35">
      <c r="A445" s="153" t="s">
        <v>1706</v>
      </c>
      <c r="B445" s="154">
        <v>21015</v>
      </c>
      <c r="C445" s="143" t="s">
        <v>4</v>
      </c>
      <c r="D445" s="144">
        <v>44323</v>
      </c>
      <c r="E445" s="145" t="s">
        <v>1476</v>
      </c>
      <c r="F445" s="145" t="s">
        <v>658</v>
      </c>
      <c r="G445" s="146" t="s">
        <v>1707</v>
      </c>
      <c r="H445" s="146" t="s">
        <v>1708</v>
      </c>
      <c r="I445" s="119" t="s">
        <v>2056</v>
      </c>
      <c r="J445" s="232"/>
      <c r="K445" s="145"/>
      <c r="L445" s="152" t="s">
        <v>1709</v>
      </c>
      <c r="M445" s="147" t="s">
        <v>18</v>
      </c>
      <c r="N445" s="111" t="s">
        <v>1710</v>
      </c>
      <c r="O445" s="146" t="s">
        <v>28</v>
      </c>
      <c r="P445" s="146" t="s">
        <v>103</v>
      </c>
      <c r="Q445" s="232" t="s">
        <v>176</v>
      </c>
      <c r="R445" s="146" t="s">
        <v>145</v>
      </c>
      <c r="S445" s="146"/>
      <c r="T445" s="232"/>
      <c r="U445" s="238"/>
      <c r="V445" s="158" t="s">
        <v>10</v>
      </c>
      <c r="W445" s="145"/>
      <c r="X445" s="143"/>
      <c r="Y445" s="144">
        <f t="shared" si="39"/>
        <v>44415</v>
      </c>
      <c r="Z445" s="235">
        <v>44389</v>
      </c>
      <c r="AA445" s="161" t="str">
        <f t="shared" ca="1" si="75"/>
        <v>YES</v>
      </c>
      <c r="AB445" s="113"/>
      <c r="AC445" s="232"/>
      <c r="AD445" s="232"/>
      <c r="AE445" s="232"/>
      <c r="AF445" s="114" t="str">
        <f t="shared" ca="1" si="76"/>
        <v>N/A</v>
      </c>
      <c r="AG445" s="197">
        <v>0</v>
      </c>
      <c r="AH445" s="197">
        <v>700</v>
      </c>
      <c r="AI445" s="196">
        <f t="shared" si="77"/>
        <v>700</v>
      </c>
      <c r="AJ445" s="148" t="s">
        <v>6</v>
      </c>
      <c r="AK445" s="187">
        <v>44860</v>
      </c>
      <c r="AL445" s="232"/>
      <c r="AM445" s="184" t="str">
        <f t="shared" ref="AM445:AM450" si="79">CONCATENATE(B445," ",G445)</f>
        <v>21015 Nutribio</v>
      </c>
      <c r="AN445" s="184" t="str">
        <f t="shared" si="78"/>
        <v>21015 Nutribio : Late delivery NF membranes</v>
      </c>
    </row>
    <row r="446" spans="1:40" s="76" customFormat="1" ht="14.5" hidden="1" x14ac:dyDescent="0.35">
      <c r="A446" s="156" t="s">
        <v>1711</v>
      </c>
      <c r="B446" s="154">
        <v>21016</v>
      </c>
      <c r="C446" s="143" t="s">
        <v>4</v>
      </c>
      <c r="D446" s="144">
        <v>44349</v>
      </c>
      <c r="E446" s="145" t="s">
        <v>1083</v>
      </c>
      <c r="F446" s="145" t="s">
        <v>164</v>
      </c>
      <c r="G446" s="146" t="s">
        <v>1573</v>
      </c>
      <c r="H446" s="146" t="s">
        <v>433</v>
      </c>
      <c r="I446" s="119" t="s">
        <v>2056</v>
      </c>
      <c r="J446" s="232"/>
      <c r="K446" s="145">
        <v>2083</v>
      </c>
      <c r="L446" s="145">
        <v>13900</v>
      </c>
      <c r="M446" s="147" t="s">
        <v>13</v>
      </c>
      <c r="N446" s="146" t="s">
        <v>25</v>
      </c>
      <c r="O446" s="146" t="s">
        <v>29</v>
      </c>
      <c r="P446" s="146" t="s">
        <v>86</v>
      </c>
      <c r="Q446" s="232" t="s">
        <v>1026</v>
      </c>
      <c r="R446" s="146" t="s">
        <v>145</v>
      </c>
      <c r="S446" s="146"/>
      <c r="T446" s="232"/>
      <c r="U446" s="238"/>
      <c r="V446" s="158" t="s">
        <v>6</v>
      </c>
      <c r="W446" s="145" t="s">
        <v>1712</v>
      </c>
      <c r="X446" s="143">
        <v>44372</v>
      </c>
      <c r="Y446" s="144">
        <f t="shared" si="39"/>
        <v>44441</v>
      </c>
      <c r="Z446" s="235">
        <v>44441</v>
      </c>
      <c r="AA446" s="161" t="str">
        <f t="shared" ca="1" si="75"/>
        <v>YES</v>
      </c>
      <c r="AB446" s="113"/>
      <c r="AC446" s="232"/>
      <c r="AD446" s="232"/>
      <c r="AE446" s="232"/>
      <c r="AF446" s="114" t="str">
        <f t="shared" ca="1" si="76"/>
        <v>N/A</v>
      </c>
      <c r="AG446" s="197">
        <v>465</v>
      </c>
      <c r="AH446" s="197">
        <v>0</v>
      </c>
      <c r="AI446" s="196">
        <f t="shared" si="77"/>
        <v>465</v>
      </c>
      <c r="AJ446" s="237"/>
      <c r="AK446" s="70" t="s">
        <v>2045</v>
      </c>
      <c r="AL446" s="70" t="s">
        <v>1713</v>
      </c>
      <c r="AM446" s="184" t="str">
        <f t="shared" si="79"/>
        <v>21016 Cargill Butterfly</v>
      </c>
      <c r="AN446" s="184" t="str">
        <f t="shared" si="78"/>
        <v>21016 Cargill Butterfly : Rust on IEX columns</v>
      </c>
    </row>
    <row r="447" spans="1:40" s="76" customFormat="1" ht="14.5" hidden="1" x14ac:dyDescent="0.35">
      <c r="A447" s="153" t="s">
        <v>1714</v>
      </c>
      <c r="B447" s="154">
        <v>21017</v>
      </c>
      <c r="C447" s="143" t="s">
        <v>4</v>
      </c>
      <c r="D447" s="144">
        <v>44351</v>
      </c>
      <c r="E447" s="145" t="s">
        <v>1019</v>
      </c>
      <c r="F447" s="145" t="s">
        <v>658</v>
      </c>
      <c r="G447" s="146" t="s">
        <v>664</v>
      </c>
      <c r="H447" s="111" t="s">
        <v>1578</v>
      </c>
      <c r="I447" s="119" t="s">
        <v>5</v>
      </c>
      <c r="J447" s="70" t="s">
        <v>1332</v>
      </c>
      <c r="K447" s="145"/>
      <c r="L447" s="152" t="s">
        <v>1715</v>
      </c>
      <c r="M447" s="147" t="s">
        <v>18</v>
      </c>
      <c r="N447" s="146" t="s">
        <v>1716</v>
      </c>
      <c r="O447" s="146" t="s">
        <v>28</v>
      </c>
      <c r="P447" s="146" t="s">
        <v>103</v>
      </c>
      <c r="Q447" s="70" t="s">
        <v>1527</v>
      </c>
      <c r="R447" s="146" t="s">
        <v>145</v>
      </c>
      <c r="S447" s="146"/>
      <c r="T447" s="112" t="s">
        <v>1578</v>
      </c>
      <c r="U447" s="238"/>
      <c r="V447" s="158" t="s">
        <v>6</v>
      </c>
      <c r="W447" s="118" t="s">
        <v>1019</v>
      </c>
      <c r="X447" s="143">
        <v>44354</v>
      </c>
      <c r="Y447" s="144">
        <f t="shared" si="39"/>
        <v>44443</v>
      </c>
      <c r="Z447" s="235">
        <v>44497</v>
      </c>
      <c r="AA447" s="161" t="str">
        <f t="shared" ca="1" si="75"/>
        <v>NO</v>
      </c>
      <c r="AB447" s="200">
        <v>44347</v>
      </c>
      <c r="AC447" s="190">
        <v>44351</v>
      </c>
      <c r="AD447" s="235">
        <v>44500</v>
      </c>
      <c r="AE447" s="235">
        <v>44497</v>
      </c>
      <c r="AF447" s="114" t="str">
        <f t="shared" ca="1" si="76"/>
        <v>YES</v>
      </c>
      <c r="AG447" s="197">
        <v>282</v>
      </c>
      <c r="AH447" s="197">
        <v>0</v>
      </c>
      <c r="AI447" s="196">
        <f t="shared" si="77"/>
        <v>282</v>
      </c>
      <c r="AJ447" s="237" t="s">
        <v>10</v>
      </c>
      <c r="AK447" s="235">
        <v>44580</v>
      </c>
      <c r="AL447" s="232" t="s">
        <v>1717</v>
      </c>
      <c r="AM447" s="184" t="str">
        <f t="shared" si="79"/>
        <v xml:space="preserve">21017 TEREOS NESLE </v>
      </c>
      <c r="AN447" s="184" t="str">
        <f t="shared" si="78"/>
        <v>21017 TEREOS NESLE  : NF mbre performance out of specification at start up</v>
      </c>
    </row>
    <row r="448" spans="1:40" s="76" customFormat="1" ht="14.5" hidden="1" x14ac:dyDescent="0.35">
      <c r="A448" s="153" t="s">
        <v>1718</v>
      </c>
      <c r="B448" s="154">
        <v>21018</v>
      </c>
      <c r="C448" s="143" t="s">
        <v>4</v>
      </c>
      <c r="D448" s="144">
        <v>44354</v>
      </c>
      <c r="E448" s="145" t="s">
        <v>1083</v>
      </c>
      <c r="F448" s="145" t="s">
        <v>164</v>
      </c>
      <c r="G448" s="146" t="s">
        <v>1719</v>
      </c>
      <c r="H448" s="146" t="s">
        <v>1720</v>
      </c>
      <c r="I448" s="119" t="s">
        <v>2056</v>
      </c>
      <c r="J448" s="232"/>
      <c r="K448" s="145">
        <v>2113</v>
      </c>
      <c r="L448" s="145">
        <v>16807</v>
      </c>
      <c r="M448" s="147" t="s">
        <v>13</v>
      </c>
      <c r="N448" s="146" t="s">
        <v>1721</v>
      </c>
      <c r="O448" s="146" t="s">
        <v>29</v>
      </c>
      <c r="P448" s="146" t="s">
        <v>176</v>
      </c>
      <c r="Q448" s="147" t="s">
        <v>1722</v>
      </c>
      <c r="R448" s="146" t="s">
        <v>9</v>
      </c>
      <c r="S448" s="146"/>
      <c r="T448" s="232"/>
      <c r="U448" s="238"/>
      <c r="V448" s="158" t="s">
        <v>6</v>
      </c>
      <c r="W448" s="145" t="s">
        <v>1083</v>
      </c>
      <c r="X448" s="143">
        <v>44356</v>
      </c>
      <c r="Y448" s="144">
        <f t="shared" si="39"/>
        <v>44446</v>
      </c>
      <c r="Z448" s="235">
        <v>44441</v>
      </c>
      <c r="AA448" s="161" t="str">
        <f t="shared" ca="1" si="75"/>
        <v>YES</v>
      </c>
      <c r="AB448" s="113"/>
      <c r="AC448" s="232"/>
      <c r="AD448" s="232"/>
      <c r="AE448" s="232"/>
      <c r="AF448" s="114" t="str">
        <f t="shared" ca="1" si="76"/>
        <v>N/A</v>
      </c>
      <c r="AG448" s="197">
        <v>282</v>
      </c>
      <c r="AH448" s="197">
        <v>0</v>
      </c>
      <c r="AI448" s="196">
        <f t="shared" si="77"/>
        <v>282</v>
      </c>
      <c r="AJ448" s="148" t="s">
        <v>6</v>
      </c>
      <c r="AK448" s="235">
        <v>44874</v>
      </c>
      <c r="AL448" s="232"/>
      <c r="AM448" s="184" t="str">
        <f t="shared" si="79"/>
        <v>21018 Sucro</v>
      </c>
      <c r="AN448" s="184" t="str">
        <f t="shared" si="78"/>
        <v>21018 Sucro : Resin order not received by Dow</v>
      </c>
    </row>
    <row r="449" spans="1:40" s="76" customFormat="1" ht="14.5" hidden="1" x14ac:dyDescent="0.35">
      <c r="A449" s="153" t="s">
        <v>1723</v>
      </c>
      <c r="B449" s="154">
        <v>21019</v>
      </c>
      <c r="C449" s="143" t="s">
        <v>8</v>
      </c>
      <c r="D449" s="144">
        <v>44362</v>
      </c>
      <c r="E449" s="145" t="s">
        <v>1724</v>
      </c>
      <c r="F449" s="145" t="s">
        <v>164</v>
      </c>
      <c r="G449" s="146" t="s">
        <v>1725</v>
      </c>
      <c r="H449" s="146" t="s">
        <v>1726</v>
      </c>
      <c r="I449" s="119" t="s">
        <v>2056</v>
      </c>
      <c r="J449" s="232"/>
      <c r="K449" s="145">
        <v>2108</v>
      </c>
      <c r="L449" s="145">
        <v>16789</v>
      </c>
      <c r="M449" s="147" t="s">
        <v>13</v>
      </c>
      <c r="N449" s="146" t="s">
        <v>1727</v>
      </c>
      <c r="O449" s="146" t="s">
        <v>29</v>
      </c>
      <c r="P449" s="146" t="s">
        <v>86</v>
      </c>
      <c r="Q449" s="232" t="s">
        <v>1629</v>
      </c>
      <c r="R449" s="146" t="s">
        <v>145</v>
      </c>
      <c r="S449" s="146"/>
      <c r="T449" s="232"/>
      <c r="U449" s="238"/>
      <c r="V449" s="158" t="s">
        <v>6</v>
      </c>
      <c r="W449" s="145" t="s">
        <v>993</v>
      </c>
      <c r="X449" s="143">
        <v>44360</v>
      </c>
      <c r="Y449" s="144">
        <f t="shared" si="39"/>
        <v>44454</v>
      </c>
      <c r="Z449" s="235">
        <v>44362</v>
      </c>
      <c r="AA449" s="161" t="str">
        <f t="shared" ca="1" si="75"/>
        <v>YES</v>
      </c>
      <c r="AB449" s="113"/>
      <c r="AC449" s="232"/>
      <c r="AD449" s="232"/>
      <c r="AE449" s="232"/>
      <c r="AF449" s="114" t="str">
        <f t="shared" ref="AF449:AF454" ca="1" si="80">IF(I449="Claim",IF(AD449="","",IF(AE449="",IF(TODAY()&gt;AD449,"NO","YES"),IF(AE449&gt;AD449,"NO",IF(AE449&lt;AD449,"YES",IF(AD449=AE449,"YES","N/A"))))),"N/A")</f>
        <v>N/A</v>
      </c>
      <c r="AG449" s="197">
        <v>182.5</v>
      </c>
      <c r="AH449" s="197">
        <v>0</v>
      </c>
      <c r="AI449" s="196">
        <f t="shared" ref="AI449:AI454" si="81">AH449+AG449</f>
        <v>182.5</v>
      </c>
      <c r="AJ449" s="237"/>
      <c r="AK449" s="232"/>
      <c r="AL449" s="232"/>
      <c r="AM449" s="184" t="str">
        <f t="shared" si="79"/>
        <v>21019 Jindan</v>
      </c>
      <c r="AN449" s="184" t="str">
        <f t="shared" ref="AN449:AN454" si="82">CONCATENATE(B449," ",G449," : ",N449)</f>
        <v>21019 Jindan : wrong internal chord length of valve disc</v>
      </c>
    </row>
    <row r="450" spans="1:40" s="76" customFormat="1" ht="14.5" hidden="1" x14ac:dyDescent="0.35">
      <c r="A450" s="156" t="s">
        <v>1728</v>
      </c>
      <c r="B450" s="154">
        <v>21020</v>
      </c>
      <c r="C450" s="143" t="s">
        <v>8</v>
      </c>
      <c r="D450" s="144">
        <v>44389</v>
      </c>
      <c r="E450" s="145" t="s">
        <v>1664</v>
      </c>
      <c r="F450" s="145" t="s">
        <v>164</v>
      </c>
      <c r="G450" s="146" t="s">
        <v>1729</v>
      </c>
      <c r="H450" s="146" t="s">
        <v>616</v>
      </c>
      <c r="I450" s="119" t="s">
        <v>5</v>
      </c>
      <c r="J450" s="232"/>
      <c r="K450" s="145">
        <v>2101</v>
      </c>
      <c r="L450" s="145">
        <v>16382</v>
      </c>
      <c r="M450" s="147" t="s">
        <v>13</v>
      </c>
      <c r="N450" s="146" t="s">
        <v>1730</v>
      </c>
      <c r="O450" s="146" t="s">
        <v>29</v>
      </c>
      <c r="P450" s="146" t="s">
        <v>86</v>
      </c>
      <c r="Q450" s="232" t="s">
        <v>510</v>
      </c>
      <c r="R450" s="146" t="s">
        <v>9</v>
      </c>
      <c r="S450" s="146"/>
      <c r="T450" s="232"/>
      <c r="U450" s="238"/>
      <c r="V450" s="158" t="s">
        <v>6</v>
      </c>
      <c r="W450" s="145" t="s">
        <v>1664</v>
      </c>
      <c r="X450" s="143">
        <v>44388</v>
      </c>
      <c r="Y450" s="144">
        <f t="shared" si="39"/>
        <v>44481</v>
      </c>
      <c r="Z450" s="235">
        <v>44466</v>
      </c>
      <c r="AA450" s="161" t="str">
        <f t="shared" ref="AA450:AA455" ca="1" si="83">IF(Z450="",IF(TODAY()&gt;Y450,"NO","YES"),IF(Z450&gt;Y450,"NO",IF(Z450&lt;Y450,"YES",IF(Y450=Z450,"YES","N/A"))))</f>
        <v>YES</v>
      </c>
      <c r="AB450" s="201">
        <v>44375</v>
      </c>
      <c r="AC450" s="190">
        <v>44376</v>
      </c>
      <c r="AD450" s="235">
        <v>44561</v>
      </c>
      <c r="AE450" s="235">
        <v>44466</v>
      </c>
      <c r="AF450" s="114" t="str">
        <f t="shared" ca="1" si="80"/>
        <v>YES</v>
      </c>
      <c r="AG450" s="197">
        <v>365</v>
      </c>
      <c r="AH450" s="197"/>
      <c r="AI450" s="196">
        <f t="shared" si="81"/>
        <v>365</v>
      </c>
      <c r="AJ450" s="237"/>
      <c r="AK450" s="232"/>
      <c r="AL450" s="232"/>
      <c r="AM450" s="184" t="str">
        <f t="shared" si="79"/>
        <v>21020 Cargill MicroBA</v>
      </c>
      <c r="AN450" s="184" t="str">
        <f t="shared" si="82"/>
        <v>21020 Cargill MicroBA : packing &amp; saddles and lifting issue</v>
      </c>
    </row>
    <row r="451" spans="1:40" ht="14.5" hidden="1" x14ac:dyDescent="0.35">
      <c r="A451" s="153" t="s">
        <v>1731</v>
      </c>
      <c r="B451" s="154">
        <v>21021</v>
      </c>
      <c r="C451" s="143" t="s">
        <v>4</v>
      </c>
      <c r="D451" s="144">
        <v>44432</v>
      </c>
      <c r="E451" s="145" t="s">
        <v>1019</v>
      </c>
      <c r="F451" s="145" t="s">
        <v>658</v>
      </c>
      <c r="G451" s="111" t="s">
        <v>1732</v>
      </c>
      <c r="H451" s="146" t="s">
        <v>1733</v>
      </c>
      <c r="I451" s="119" t="s">
        <v>5</v>
      </c>
      <c r="J451" s="232"/>
      <c r="K451" s="145" t="s">
        <v>1666</v>
      </c>
      <c r="L451" s="145">
        <v>15842</v>
      </c>
      <c r="M451" s="147" t="s">
        <v>13</v>
      </c>
      <c r="N451" s="146" t="s">
        <v>1734</v>
      </c>
      <c r="O451" s="146" t="s">
        <v>28</v>
      </c>
      <c r="P451" s="146" t="s">
        <v>103</v>
      </c>
      <c r="Q451" s="232" t="s">
        <v>1527</v>
      </c>
      <c r="R451" s="146" t="s">
        <v>145</v>
      </c>
      <c r="S451" s="146"/>
      <c r="T451" s="232"/>
      <c r="U451" s="232"/>
      <c r="V451" s="158" t="s">
        <v>6</v>
      </c>
      <c r="W451" s="145" t="s">
        <v>221</v>
      </c>
      <c r="X451" s="143">
        <v>44433</v>
      </c>
      <c r="Y451" s="144">
        <f t="shared" si="39"/>
        <v>44524</v>
      </c>
      <c r="Z451" s="235">
        <v>45268</v>
      </c>
      <c r="AA451" s="161" t="str">
        <f t="shared" ca="1" si="83"/>
        <v>NO</v>
      </c>
      <c r="AB451" s="246">
        <v>44428</v>
      </c>
      <c r="AC451" s="190">
        <v>44434</v>
      </c>
      <c r="AD451" s="235">
        <v>44742</v>
      </c>
      <c r="AE451" s="235">
        <v>45268</v>
      </c>
      <c r="AF451" s="114" t="str">
        <f t="shared" ca="1" si="80"/>
        <v>NO</v>
      </c>
      <c r="AG451" s="197">
        <v>53279</v>
      </c>
      <c r="AH451" s="197">
        <v>99041</v>
      </c>
      <c r="AI451" s="196">
        <f t="shared" si="81"/>
        <v>152320</v>
      </c>
      <c r="AJ451" s="237"/>
      <c r="AK451" s="232"/>
      <c r="AL451" s="232"/>
      <c r="AM451" s="184" t="str">
        <f t="shared" ref="AM451:AM457" si="84">CONCATENATE(B451," ",G451)</f>
        <v>21021 Cargill Haubourdin</v>
      </c>
      <c r="AN451" s="184" t="str">
        <f t="shared" si="82"/>
        <v>21021 Cargill Haubourdin : Resin leakage : EPDM gasket pb, rubber lining pb</v>
      </c>
    </row>
    <row r="452" spans="1:40" s="76" customFormat="1" ht="14.5" hidden="1" x14ac:dyDescent="0.35">
      <c r="A452" s="153" t="s">
        <v>1735</v>
      </c>
      <c r="B452" s="154">
        <v>21022</v>
      </c>
      <c r="C452" s="143" t="s">
        <v>4</v>
      </c>
      <c r="D452" s="144">
        <v>44433</v>
      </c>
      <c r="E452" s="145" t="s">
        <v>1019</v>
      </c>
      <c r="F452" s="145" t="s">
        <v>658</v>
      </c>
      <c r="G452" s="146" t="s">
        <v>1736</v>
      </c>
      <c r="H452" s="146" t="s">
        <v>1041</v>
      </c>
      <c r="I452" s="119" t="s">
        <v>2056</v>
      </c>
      <c r="J452" s="70" t="s">
        <v>1332</v>
      </c>
      <c r="K452" s="145"/>
      <c r="L452" s="145" t="s">
        <v>1737</v>
      </c>
      <c r="M452" s="147" t="s">
        <v>13</v>
      </c>
      <c r="N452" s="146" t="s">
        <v>1738</v>
      </c>
      <c r="O452" s="146" t="s">
        <v>28</v>
      </c>
      <c r="P452" s="146" t="s">
        <v>103</v>
      </c>
      <c r="Q452" s="232" t="s">
        <v>510</v>
      </c>
      <c r="R452" s="146" t="s">
        <v>145</v>
      </c>
      <c r="S452" s="146"/>
      <c r="T452" s="112" t="s">
        <v>1394</v>
      </c>
      <c r="U452" s="238"/>
      <c r="V452" s="158" t="s">
        <v>10</v>
      </c>
      <c r="W452" s="145"/>
      <c r="X452" s="143"/>
      <c r="Y452" s="144">
        <f t="shared" si="39"/>
        <v>44525</v>
      </c>
      <c r="Z452" s="235">
        <v>44502</v>
      </c>
      <c r="AA452" s="161" t="str">
        <f t="shared" ca="1" si="83"/>
        <v>YES</v>
      </c>
      <c r="AB452" s="113"/>
      <c r="AC452" s="232"/>
      <c r="AD452" s="232"/>
      <c r="AE452" s="232"/>
      <c r="AF452" s="114" t="str">
        <f t="shared" ca="1" si="80"/>
        <v>N/A</v>
      </c>
      <c r="AG452" s="197">
        <v>190</v>
      </c>
      <c r="AH452" s="197">
        <v>0</v>
      </c>
      <c r="AI452" s="196">
        <f t="shared" si="81"/>
        <v>190</v>
      </c>
      <c r="AJ452" s="148" t="s">
        <v>6</v>
      </c>
      <c r="AK452" s="235">
        <v>44860</v>
      </c>
      <c r="AL452" s="232"/>
      <c r="AM452" s="184" t="str">
        <f t="shared" si="84"/>
        <v>21022 Hochdorf Swiss Nutrition AG</v>
      </c>
      <c r="AN452" s="184" t="str">
        <f t="shared" si="82"/>
        <v>21022 Hochdorf Swiss Nutrition AG : No resins relabelling by our Logistic Supplier</v>
      </c>
    </row>
    <row r="453" spans="1:40" s="76" customFormat="1" ht="14.5" hidden="1" x14ac:dyDescent="0.35">
      <c r="A453" s="202"/>
      <c r="B453" s="154">
        <v>21023</v>
      </c>
      <c r="C453" s="143" t="s">
        <v>8</v>
      </c>
      <c r="D453" s="144">
        <v>44445</v>
      </c>
      <c r="E453" s="145" t="s">
        <v>1739</v>
      </c>
      <c r="F453" s="145" t="s">
        <v>164</v>
      </c>
      <c r="G453" s="146" t="s">
        <v>1740</v>
      </c>
      <c r="H453" s="146"/>
      <c r="I453" s="119" t="s">
        <v>2057</v>
      </c>
      <c r="J453" s="232"/>
      <c r="K453" s="145">
        <v>2007</v>
      </c>
      <c r="L453" s="145">
        <v>11179</v>
      </c>
      <c r="M453" s="147" t="s">
        <v>338</v>
      </c>
      <c r="N453" s="111" t="s">
        <v>1741</v>
      </c>
      <c r="O453" s="146" t="s">
        <v>29</v>
      </c>
      <c r="P453" s="146" t="s">
        <v>1742</v>
      </c>
      <c r="Q453" s="232"/>
      <c r="R453" s="146" t="s">
        <v>1552</v>
      </c>
      <c r="S453" s="146"/>
      <c r="T453" s="232"/>
      <c r="U453" s="79"/>
      <c r="V453" s="145" t="s">
        <v>10</v>
      </c>
      <c r="W453" s="143" t="s">
        <v>1739</v>
      </c>
      <c r="X453" s="144"/>
      <c r="Y453" s="240">
        <f t="shared" si="39"/>
        <v>44536</v>
      </c>
      <c r="Z453" s="161" t="s">
        <v>1743</v>
      </c>
      <c r="AA453" s="203" t="str">
        <f t="shared" ca="1" si="83"/>
        <v>NO</v>
      </c>
      <c r="AB453" s="70"/>
      <c r="AC453" s="235"/>
      <c r="AD453" s="232"/>
      <c r="AE453" s="114"/>
      <c r="AF453" s="197" t="str">
        <f t="shared" ca="1" si="80"/>
        <v>N/A</v>
      </c>
      <c r="AG453" s="197"/>
      <c r="AH453" s="196"/>
      <c r="AI453" s="237">
        <f t="shared" si="81"/>
        <v>0</v>
      </c>
      <c r="AJ453" s="232"/>
      <c r="AK453" s="232"/>
      <c r="AL453" s="184"/>
      <c r="AM453" s="184" t="str">
        <f t="shared" si="84"/>
        <v>21023 Fufeng Zhalantun</v>
      </c>
      <c r="AN453" s="114" t="str">
        <f t="shared" si="82"/>
        <v>21023 Fufeng Zhalantun : Financial unbalance caused by closed project purchase</v>
      </c>
    </row>
    <row r="454" spans="1:40" s="76" customFormat="1" ht="14.5" hidden="1" x14ac:dyDescent="0.35">
      <c r="A454" s="153" t="s">
        <v>1744</v>
      </c>
      <c r="B454" s="154">
        <v>21024</v>
      </c>
      <c r="C454" s="143" t="s">
        <v>8</v>
      </c>
      <c r="D454" s="144">
        <v>44461</v>
      </c>
      <c r="E454" s="145" t="s">
        <v>1745</v>
      </c>
      <c r="F454" s="145" t="s">
        <v>1699</v>
      </c>
      <c r="G454" s="146" t="s">
        <v>1746</v>
      </c>
      <c r="H454" s="146" t="s">
        <v>357</v>
      </c>
      <c r="I454" s="119" t="s">
        <v>5</v>
      </c>
      <c r="J454" s="232"/>
      <c r="K454" s="145">
        <v>75</v>
      </c>
      <c r="L454" s="145">
        <v>2253</v>
      </c>
      <c r="M454" s="147" t="s">
        <v>338</v>
      </c>
      <c r="N454" s="111" t="s">
        <v>1747</v>
      </c>
      <c r="O454" s="146" t="s">
        <v>28</v>
      </c>
      <c r="P454" s="146" t="s">
        <v>103</v>
      </c>
      <c r="Q454" s="232" t="s">
        <v>1527</v>
      </c>
      <c r="R454" s="146" t="s">
        <v>145</v>
      </c>
      <c r="S454" s="146"/>
      <c r="T454" s="112" t="s">
        <v>357</v>
      </c>
      <c r="U454" s="238"/>
      <c r="V454" s="158" t="s">
        <v>6</v>
      </c>
      <c r="W454" s="145" t="s">
        <v>1745</v>
      </c>
      <c r="X454" s="143">
        <v>44459</v>
      </c>
      <c r="Y454" s="144">
        <f t="shared" si="39"/>
        <v>44552</v>
      </c>
      <c r="Z454" s="235">
        <v>44560</v>
      </c>
      <c r="AA454" s="161" t="str">
        <f t="shared" ca="1" si="83"/>
        <v>NO</v>
      </c>
      <c r="AB454" s="168">
        <v>44457</v>
      </c>
      <c r="AC454" s="232"/>
      <c r="AD454" s="235" t="s">
        <v>1748</v>
      </c>
      <c r="AE454" s="235">
        <v>44560</v>
      </c>
      <c r="AF454" s="114" t="str">
        <f t="shared" ca="1" si="80"/>
        <v>YES</v>
      </c>
      <c r="AG454" s="197">
        <v>2008</v>
      </c>
      <c r="AH454" s="197">
        <v>32250</v>
      </c>
      <c r="AI454" s="196">
        <f t="shared" si="81"/>
        <v>34258</v>
      </c>
      <c r="AJ454" s="237"/>
      <c r="AK454" s="232"/>
      <c r="AL454" s="232"/>
      <c r="AM454" s="184" t="str">
        <f t="shared" si="84"/>
        <v>21024 Fufeng Longjiang</v>
      </c>
      <c r="AN454" s="184" t="str">
        <f t="shared" si="82"/>
        <v>21024 Fufeng Longjiang : membrane breakage issue</v>
      </c>
    </row>
    <row r="455" spans="1:40" ht="14.5" hidden="1" x14ac:dyDescent="0.35">
      <c r="A455" s="78" t="s">
        <v>1749</v>
      </c>
      <c r="B455" s="154">
        <v>21025</v>
      </c>
      <c r="C455" s="143" t="s">
        <v>4</v>
      </c>
      <c r="D455" s="144">
        <v>44466</v>
      </c>
      <c r="E455" s="145" t="s">
        <v>221</v>
      </c>
      <c r="F455" s="145" t="s">
        <v>658</v>
      </c>
      <c r="G455" s="146" t="s">
        <v>602</v>
      </c>
      <c r="H455" s="146" t="s">
        <v>1100</v>
      </c>
      <c r="I455" s="119" t="s">
        <v>2057</v>
      </c>
      <c r="J455" s="232"/>
      <c r="K455" s="145"/>
      <c r="L455" s="152" t="s">
        <v>1700</v>
      </c>
      <c r="M455" s="147" t="s">
        <v>672</v>
      </c>
      <c r="N455" s="111" t="s">
        <v>1750</v>
      </c>
      <c r="O455" s="146" t="s">
        <v>28</v>
      </c>
      <c r="P455" s="146" t="s">
        <v>103</v>
      </c>
      <c r="Q455" s="70" t="s">
        <v>176</v>
      </c>
      <c r="R455" s="111" t="s">
        <v>15</v>
      </c>
      <c r="S455" s="146"/>
      <c r="T455" s="232"/>
      <c r="U455" s="238"/>
      <c r="V455" s="158" t="s">
        <v>10</v>
      </c>
      <c r="W455" s="145"/>
      <c r="X455" s="143"/>
      <c r="Y455" s="144">
        <f t="shared" ref="Y455:Y478" si="85">EDATE(D455,3)</f>
        <v>44557</v>
      </c>
      <c r="Z455" s="235">
        <v>44902</v>
      </c>
      <c r="AA455" s="161" t="str">
        <f t="shared" ca="1" si="83"/>
        <v>NO</v>
      </c>
      <c r="AB455" s="113"/>
      <c r="AC455" s="232"/>
      <c r="AD455" s="232"/>
      <c r="AE455" s="232"/>
      <c r="AF455" s="114" t="str">
        <f t="shared" ref="AF455:AF460" ca="1" si="86">IF(I455="Claim",IF(AD455="","",IF(AE455="",IF(TODAY()&gt;AD455,"NO","YES"),IF(AE455&gt;AD455,"NO",IF(AE455&lt;AD455,"YES",IF(AD455=AE455,"YES","N/A"))))),"N/A")</f>
        <v>N/A</v>
      </c>
      <c r="AG455" s="197">
        <v>1425</v>
      </c>
      <c r="AH455" s="197">
        <v>16388</v>
      </c>
      <c r="AI455" s="196">
        <f t="shared" ref="AI455:AI460" si="87">AH455+AG455</f>
        <v>17813</v>
      </c>
      <c r="AJ455" s="237" t="s">
        <v>6</v>
      </c>
      <c r="AK455" s="187">
        <v>45236</v>
      </c>
      <c r="AL455" s="232"/>
      <c r="AM455" s="184" t="str">
        <f t="shared" si="84"/>
        <v>21025 Cevital</v>
      </c>
      <c r="AN455" s="184" t="str">
        <f t="shared" ref="AN455:AN460" si="88">CONCATENATE(B455," ",G455," : ",N455)</f>
        <v>21025 Cevital : European origin goods</v>
      </c>
    </row>
    <row r="456" spans="1:40" s="76" customFormat="1" ht="14.5" hidden="1" x14ac:dyDescent="0.35">
      <c r="A456" s="153" t="s">
        <v>1751</v>
      </c>
      <c r="B456" s="154">
        <v>21026</v>
      </c>
      <c r="C456" s="143" t="s">
        <v>4</v>
      </c>
      <c r="D456" s="144">
        <v>44467</v>
      </c>
      <c r="E456" s="145" t="s">
        <v>1396</v>
      </c>
      <c r="F456" s="145" t="s">
        <v>164</v>
      </c>
      <c r="G456" s="146" t="s">
        <v>1752</v>
      </c>
      <c r="H456" s="146"/>
      <c r="I456" s="119" t="s">
        <v>2057</v>
      </c>
      <c r="J456" s="232"/>
      <c r="K456" s="145">
        <v>2116</v>
      </c>
      <c r="L456" s="145">
        <v>16253</v>
      </c>
      <c r="M456" s="147" t="s">
        <v>700</v>
      </c>
      <c r="N456" s="146" t="s">
        <v>1753</v>
      </c>
      <c r="O456" s="146" t="s">
        <v>29</v>
      </c>
      <c r="P456" s="146" t="s">
        <v>86</v>
      </c>
      <c r="Q456" s="232" t="s">
        <v>1754</v>
      </c>
      <c r="R456" s="146" t="s">
        <v>9</v>
      </c>
      <c r="S456" s="146"/>
      <c r="T456" s="232"/>
      <c r="U456" s="238"/>
      <c r="V456" s="158" t="s">
        <v>6</v>
      </c>
      <c r="W456" s="145" t="s">
        <v>1396</v>
      </c>
      <c r="X456" s="143">
        <v>44474</v>
      </c>
      <c r="Y456" s="144">
        <f t="shared" si="85"/>
        <v>44558</v>
      </c>
      <c r="Z456" s="235">
        <v>44533</v>
      </c>
      <c r="AA456" s="161" t="str">
        <f t="shared" ref="AA456:AA462" ca="1" si="89">IF(Z456="",IF(TODAY()&gt;Y456,"NO","YES"),IF(Z456&gt;Y456,"NO",IF(Z456&lt;Y456,"YES",IF(Y456=Z456,"YES","N/A"))))</f>
        <v>YES</v>
      </c>
      <c r="AB456" s="113"/>
      <c r="AC456" s="232"/>
      <c r="AD456" s="232"/>
      <c r="AE456" s="232"/>
      <c r="AF456" s="114" t="str">
        <f t="shared" ca="1" si="86"/>
        <v>N/A</v>
      </c>
      <c r="AG456" s="197">
        <v>0</v>
      </c>
      <c r="AH456" s="197">
        <v>200261.5</v>
      </c>
      <c r="AI456" s="196">
        <f t="shared" si="87"/>
        <v>200261.5</v>
      </c>
      <c r="AJ456" s="237" t="s">
        <v>6</v>
      </c>
      <c r="AK456" s="187">
        <v>45240</v>
      </c>
      <c r="AL456" s="232"/>
      <c r="AM456" s="184" t="str">
        <f t="shared" si="84"/>
        <v>21026 Bonumose</v>
      </c>
      <c r="AN456" s="184" t="str">
        <f t="shared" si="88"/>
        <v>21026 Bonumose : Extra cost for heating system</v>
      </c>
    </row>
    <row r="457" spans="1:40" s="76" customFormat="1" ht="14.5" hidden="1" x14ac:dyDescent="0.35">
      <c r="A457" s="153" t="s">
        <v>1755</v>
      </c>
      <c r="B457" s="154">
        <v>21027</v>
      </c>
      <c r="C457" s="143" t="s">
        <v>4</v>
      </c>
      <c r="D457" s="144">
        <v>44467</v>
      </c>
      <c r="E457" s="145" t="s">
        <v>1396</v>
      </c>
      <c r="F457" s="145" t="s">
        <v>164</v>
      </c>
      <c r="G457" s="146" t="s">
        <v>1752</v>
      </c>
      <c r="H457" s="146"/>
      <c r="I457" s="119" t="s">
        <v>2057</v>
      </c>
      <c r="J457" s="232"/>
      <c r="K457" s="145">
        <v>2116</v>
      </c>
      <c r="L457" s="145">
        <v>16253</v>
      </c>
      <c r="M457" s="147" t="s">
        <v>700</v>
      </c>
      <c r="N457" s="146" t="s">
        <v>1756</v>
      </c>
      <c r="O457" s="146" t="s">
        <v>29</v>
      </c>
      <c r="P457" s="146" t="s">
        <v>86</v>
      </c>
      <c r="Q457" s="232" t="s">
        <v>1754</v>
      </c>
      <c r="R457" s="146" t="s">
        <v>9</v>
      </c>
      <c r="S457" s="146"/>
      <c r="T457" s="232"/>
      <c r="U457" s="238"/>
      <c r="V457" s="158" t="s">
        <v>10</v>
      </c>
      <c r="W457" s="145"/>
      <c r="X457" s="143"/>
      <c r="Y457" s="144">
        <f t="shared" si="85"/>
        <v>44558</v>
      </c>
      <c r="Z457" s="235">
        <v>44533</v>
      </c>
      <c r="AA457" s="161" t="str">
        <f t="shared" ca="1" si="89"/>
        <v>YES</v>
      </c>
      <c r="AB457" s="113"/>
      <c r="AC457" s="232"/>
      <c r="AD457" s="232"/>
      <c r="AE457" s="232"/>
      <c r="AF457" s="114" t="str">
        <f t="shared" ca="1" si="86"/>
        <v>N/A</v>
      </c>
      <c r="AG457" s="197">
        <v>1900</v>
      </c>
      <c r="AH457" s="197">
        <v>40000</v>
      </c>
      <c r="AI457" s="196">
        <f t="shared" si="87"/>
        <v>41900</v>
      </c>
      <c r="AJ457" s="237" t="s">
        <v>6</v>
      </c>
      <c r="AK457" s="187">
        <v>45240</v>
      </c>
      <c r="AL457" s="232"/>
      <c r="AM457" s="184" t="str">
        <f t="shared" si="84"/>
        <v>21027 Bonumose</v>
      </c>
      <c r="AN457" s="184" t="str">
        <f t="shared" si="88"/>
        <v>21027 Bonumose : Extra cost for UF unit</v>
      </c>
    </row>
    <row r="458" spans="1:40" s="76" customFormat="1" ht="14.5" hidden="1" x14ac:dyDescent="0.35">
      <c r="A458" s="153" t="s">
        <v>1757</v>
      </c>
      <c r="B458" s="154">
        <v>21028</v>
      </c>
      <c r="C458" s="143" t="s">
        <v>4</v>
      </c>
      <c r="D458" s="144">
        <v>44469</v>
      </c>
      <c r="E458" s="145" t="s">
        <v>1396</v>
      </c>
      <c r="F458" s="145" t="s">
        <v>164</v>
      </c>
      <c r="G458" s="146" t="s">
        <v>1758</v>
      </c>
      <c r="H458" s="146"/>
      <c r="I458" s="119" t="s">
        <v>2057</v>
      </c>
      <c r="J458" s="232"/>
      <c r="K458" s="145">
        <v>2105</v>
      </c>
      <c r="L458" s="145">
        <v>15099</v>
      </c>
      <c r="M458" s="147" t="s">
        <v>672</v>
      </c>
      <c r="N458" s="146" t="s">
        <v>1759</v>
      </c>
      <c r="O458" s="146" t="s">
        <v>29</v>
      </c>
      <c r="P458" s="146" t="s">
        <v>86</v>
      </c>
      <c r="Q458" s="232" t="s">
        <v>1036</v>
      </c>
      <c r="R458" s="146" t="s">
        <v>9</v>
      </c>
      <c r="S458" s="146"/>
      <c r="T458" s="232"/>
      <c r="U458" s="238"/>
      <c r="V458" s="158" t="s">
        <v>6</v>
      </c>
      <c r="W458" s="145" t="s">
        <v>1760</v>
      </c>
      <c r="X458" s="143">
        <v>44475</v>
      </c>
      <c r="Y458" s="144">
        <f t="shared" si="85"/>
        <v>44560</v>
      </c>
      <c r="Z458" s="235">
        <v>44546</v>
      </c>
      <c r="AA458" s="161" t="str">
        <f t="shared" ca="1" si="89"/>
        <v>YES</v>
      </c>
      <c r="AB458" s="113"/>
      <c r="AC458" s="232"/>
      <c r="AD458" s="232"/>
      <c r="AE458" s="232"/>
      <c r="AF458" s="114" t="str">
        <f t="shared" ca="1" si="86"/>
        <v>N/A</v>
      </c>
      <c r="AG458" s="197">
        <v>1045</v>
      </c>
      <c r="AH458" s="197">
        <v>4050</v>
      </c>
      <c r="AI458" s="196">
        <f t="shared" si="87"/>
        <v>5095</v>
      </c>
      <c r="AJ458" s="148" t="s">
        <v>6</v>
      </c>
      <c r="AK458" s="235">
        <v>44874</v>
      </c>
      <c r="AL458" s="232"/>
      <c r="AM458" s="184" t="str">
        <f t="shared" ref="AM458:AM463" si="90">CONCATENATE(B458," ",G458)</f>
        <v xml:space="preserve">21028 Savola </v>
      </c>
      <c r="AN458" s="184" t="str">
        <f t="shared" si="88"/>
        <v>21028 Savola  : NF Skid level in tank and counterpressure</v>
      </c>
    </row>
    <row r="459" spans="1:40" s="76" customFormat="1" ht="14.5" hidden="1" x14ac:dyDescent="0.35">
      <c r="A459" s="153" t="s">
        <v>1761</v>
      </c>
      <c r="B459" s="154">
        <v>21029</v>
      </c>
      <c r="C459" s="143" t="s">
        <v>4</v>
      </c>
      <c r="D459" s="144">
        <v>44473</v>
      </c>
      <c r="E459" s="145" t="s">
        <v>1575</v>
      </c>
      <c r="F459" s="145" t="s">
        <v>164</v>
      </c>
      <c r="G459" s="146" t="s">
        <v>1499</v>
      </c>
      <c r="H459" s="146" t="s">
        <v>1762</v>
      </c>
      <c r="I459" s="119" t="s">
        <v>2057</v>
      </c>
      <c r="J459" s="232"/>
      <c r="K459" s="145" t="s">
        <v>1763</v>
      </c>
      <c r="L459" s="145">
        <v>15457</v>
      </c>
      <c r="M459" s="147" t="s">
        <v>13</v>
      </c>
      <c r="N459" s="111" t="s">
        <v>1764</v>
      </c>
      <c r="O459" s="146" t="s">
        <v>28</v>
      </c>
      <c r="P459" s="146" t="s">
        <v>86</v>
      </c>
      <c r="Q459" s="232" t="s">
        <v>885</v>
      </c>
      <c r="R459" s="146" t="s">
        <v>9</v>
      </c>
      <c r="S459" s="146"/>
      <c r="T459" s="232"/>
      <c r="U459" s="238"/>
      <c r="V459" s="158" t="s">
        <v>6</v>
      </c>
      <c r="W459" s="145" t="s">
        <v>120</v>
      </c>
      <c r="X459" s="143">
        <v>44481</v>
      </c>
      <c r="Y459" s="144">
        <f t="shared" si="85"/>
        <v>44565</v>
      </c>
      <c r="Z459" s="235">
        <v>44532</v>
      </c>
      <c r="AA459" s="161" t="str">
        <f t="shared" ca="1" si="89"/>
        <v>YES</v>
      </c>
      <c r="AB459" s="113"/>
      <c r="AC459" s="232"/>
      <c r="AD459" s="232"/>
      <c r="AE459" s="232"/>
      <c r="AF459" s="114" t="str">
        <f t="shared" ca="1" si="86"/>
        <v>N/A</v>
      </c>
      <c r="AG459" s="197">
        <v>285</v>
      </c>
      <c r="AH459" s="197"/>
      <c r="AI459" s="196">
        <f t="shared" si="87"/>
        <v>285</v>
      </c>
      <c r="AJ459" s="148" t="s">
        <v>6</v>
      </c>
      <c r="AK459" s="235">
        <v>44860</v>
      </c>
      <c r="AL459" s="232" t="s">
        <v>1765</v>
      </c>
      <c r="AM459" s="184" t="str">
        <f t="shared" si="90"/>
        <v>21029 Rousselot</v>
      </c>
      <c r="AN459" s="184" t="str">
        <f t="shared" si="88"/>
        <v>21029 Rousselot : SS strainers mounting issue</v>
      </c>
    </row>
    <row r="460" spans="1:40" s="76" customFormat="1" ht="14.5" hidden="1" x14ac:dyDescent="0.35">
      <c r="A460" s="153" t="s">
        <v>1766</v>
      </c>
      <c r="B460" s="154">
        <v>21030</v>
      </c>
      <c r="C460" s="143" t="s">
        <v>4</v>
      </c>
      <c r="D460" s="144">
        <v>44474</v>
      </c>
      <c r="E460" s="145" t="s">
        <v>273</v>
      </c>
      <c r="F460" s="145" t="s">
        <v>658</v>
      </c>
      <c r="G460" s="146" t="s">
        <v>1767</v>
      </c>
      <c r="H460" s="146" t="s">
        <v>1768</v>
      </c>
      <c r="I460" s="119" t="s">
        <v>2056</v>
      </c>
      <c r="J460" s="232"/>
      <c r="K460" s="145"/>
      <c r="L460" s="145" t="s">
        <v>1769</v>
      </c>
      <c r="M460" s="147" t="s">
        <v>338</v>
      </c>
      <c r="N460" s="146" t="s">
        <v>1770</v>
      </c>
      <c r="O460" s="146" t="s">
        <v>28</v>
      </c>
      <c r="P460" s="146" t="s">
        <v>103</v>
      </c>
      <c r="Q460" s="232" t="s">
        <v>176</v>
      </c>
      <c r="R460" s="146" t="s">
        <v>145</v>
      </c>
      <c r="S460" s="146"/>
      <c r="T460" s="112" t="s">
        <v>1771</v>
      </c>
      <c r="U460" s="238"/>
      <c r="V460" s="158" t="s">
        <v>6</v>
      </c>
      <c r="W460" s="145" t="s">
        <v>273</v>
      </c>
      <c r="X460" s="143">
        <v>44474</v>
      </c>
      <c r="Y460" s="144">
        <f t="shared" si="85"/>
        <v>44566</v>
      </c>
      <c r="Z460" s="235">
        <v>44539</v>
      </c>
      <c r="AA460" s="161" t="str">
        <f t="shared" ca="1" si="89"/>
        <v>YES</v>
      </c>
      <c r="AB460" s="113"/>
      <c r="AC460" s="232"/>
      <c r="AD460" s="232"/>
      <c r="AE460" s="232"/>
      <c r="AF460" s="114" t="str">
        <f t="shared" ca="1" si="86"/>
        <v>N/A</v>
      </c>
      <c r="AG460" s="197">
        <v>950</v>
      </c>
      <c r="AH460" s="197">
        <v>500</v>
      </c>
      <c r="AI460" s="196">
        <f t="shared" si="87"/>
        <v>1450</v>
      </c>
      <c r="AJ460" s="148" t="s">
        <v>6</v>
      </c>
      <c r="AK460" s="235">
        <v>44874</v>
      </c>
      <c r="AL460" s="232"/>
      <c r="AM460" s="184" t="str">
        <f t="shared" si="90"/>
        <v>21030 KIE</v>
      </c>
      <c r="AN460" s="184" t="str">
        <f t="shared" si="88"/>
        <v>21030 KIE : Quality issue on membranes delivery</v>
      </c>
    </row>
    <row r="461" spans="1:40" s="76" customFormat="1" ht="14.5" hidden="1" x14ac:dyDescent="0.35">
      <c r="A461" s="153" t="s">
        <v>1772</v>
      </c>
      <c r="B461" s="154">
        <v>21031</v>
      </c>
      <c r="C461" s="143" t="s">
        <v>4</v>
      </c>
      <c r="D461" s="144">
        <v>44496</v>
      </c>
      <c r="E461" s="145" t="s">
        <v>1019</v>
      </c>
      <c r="F461" s="145" t="s">
        <v>658</v>
      </c>
      <c r="G461" s="146" t="s">
        <v>1499</v>
      </c>
      <c r="H461" s="146" t="s">
        <v>1762</v>
      </c>
      <c r="I461" s="119" t="s">
        <v>2056</v>
      </c>
      <c r="J461" s="232"/>
      <c r="K461" s="145" t="s">
        <v>1763</v>
      </c>
      <c r="L461" s="145">
        <v>15457</v>
      </c>
      <c r="M461" s="147" t="s">
        <v>13</v>
      </c>
      <c r="N461" s="146" t="s">
        <v>1773</v>
      </c>
      <c r="O461" s="146" t="s">
        <v>28</v>
      </c>
      <c r="P461" s="146" t="s">
        <v>103</v>
      </c>
      <c r="Q461" s="232" t="s">
        <v>1774</v>
      </c>
      <c r="R461" s="146" t="s">
        <v>145</v>
      </c>
      <c r="S461" s="146"/>
      <c r="T461" s="112" t="s">
        <v>1775</v>
      </c>
      <c r="U461" s="238"/>
      <c r="V461" s="158" t="s">
        <v>6</v>
      </c>
      <c r="W461" s="145" t="s">
        <v>120</v>
      </c>
      <c r="X461" s="143">
        <v>44497</v>
      </c>
      <c r="Y461" s="144">
        <f t="shared" si="85"/>
        <v>44588</v>
      </c>
      <c r="Z461" s="235">
        <v>44571</v>
      </c>
      <c r="AA461" s="161" t="str">
        <f t="shared" ca="1" si="89"/>
        <v>YES</v>
      </c>
      <c r="AB461" s="113"/>
      <c r="AC461" s="232"/>
      <c r="AD461" s="232"/>
      <c r="AE461" s="232"/>
      <c r="AF461" s="114" t="str">
        <f t="shared" ref="AF461:AF466" ca="1" si="91">IF(I461="Claim",IF(AD461="","",IF(AE461="",IF(TODAY()&gt;AD461,"NO","YES"),IF(AE461&gt;AD461,"NO",IF(AE461&lt;AD461,"YES",IF(AD461=AE461,"YES","N/A"))))),"N/A")</f>
        <v>N/A</v>
      </c>
      <c r="AG461" s="197">
        <v>190</v>
      </c>
      <c r="AH461" s="197">
        <v>0</v>
      </c>
      <c r="AI461" s="196">
        <f t="shared" ref="AI461:AI466" si="92">AH461+AG461</f>
        <v>190</v>
      </c>
      <c r="AJ461" s="148" t="s">
        <v>6</v>
      </c>
      <c r="AK461" s="235">
        <v>44860</v>
      </c>
      <c r="AL461" s="232" t="s">
        <v>1776</v>
      </c>
      <c r="AM461" s="184" t="str">
        <f t="shared" si="90"/>
        <v>21031 Rousselot</v>
      </c>
      <c r="AN461" s="184" t="str">
        <f t="shared" ref="AN461:AN466" si="93">CONCATENATE(B461," ",G461," : ",N461)</f>
        <v>21031 Rousselot : Bad positioning of reinfortement ring</v>
      </c>
    </row>
    <row r="462" spans="1:40" s="76" customFormat="1" ht="15" hidden="1" customHeight="1" x14ac:dyDescent="0.35">
      <c r="A462" s="153" t="s">
        <v>1777</v>
      </c>
      <c r="B462" s="154">
        <v>21032</v>
      </c>
      <c r="C462" s="143" t="s">
        <v>4</v>
      </c>
      <c r="D462" s="144">
        <v>44496</v>
      </c>
      <c r="E462" s="145" t="s">
        <v>1019</v>
      </c>
      <c r="F462" s="145" t="s">
        <v>658</v>
      </c>
      <c r="G462" s="146" t="s">
        <v>1499</v>
      </c>
      <c r="H462" s="146" t="s">
        <v>1762</v>
      </c>
      <c r="I462" s="119" t="s">
        <v>5</v>
      </c>
      <c r="J462" s="232"/>
      <c r="K462" s="145" t="s">
        <v>1763</v>
      </c>
      <c r="L462" s="145">
        <v>15457</v>
      </c>
      <c r="M462" s="147" t="s">
        <v>13</v>
      </c>
      <c r="N462" s="146" t="s">
        <v>1778</v>
      </c>
      <c r="O462" s="146" t="s">
        <v>28</v>
      </c>
      <c r="P462" s="146" t="s">
        <v>103</v>
      </c>
      <c r="Q462" s="232" t="s">
        <v>1774</v>
      </c>
      <c r="R462" s="146" t="s">
        <v>145</v>
      </c>
      <c r="S462" s="146"/>
      <c r="T462" s="112" t="s">
        <v>1775</v>
      </c>
      <c r="U462" s="238"/>
      <c r="V462" s="158" t="s">
        <v>6</v>
      </c>
      <c r="W462" s="145" t="s">
        <v>120</v>
      </c>
      <c r="X462" s="143">
        <v>44497</v>
      </c>
      <c r="Y462" s="144">
        <f t="shared" si="85"/>
        <v>44588</v>
      </c>
      <c r="Z462" s="235">
        <v>44571</v>
      </c>
      <c r="AA462" s="161" t="str">
        <f t="shared" ca="1" si="89"/>
        <v>YES</v>
      </c>
      <c r="AB462" s="168">
        <v>44490</v>
      </c>
      <c r="AC462" s="190">
        <v>44490</v>
      </c>
      <c r="AD462" s="235">
        <v>44592</v>
      </c>
      <c r="AE462" s="235">
        <v>44571</v>
      </c>
      <c r="AF462" s="114" t="str">
        <f t="shared" ca="1" si="91"/>
        <v>YES</v>
      </c>
      <c r="AG462" s="197">
        <v>285</v>
      </c>
      <c r="AH462" s="197">
        <v>0</v>
      </c>
      <c r="AI462" s="196">
        <f t="shared" si="92"/>
        <v>285</v>
      </c>
      <c r="AJ462" s="148" t="s">
        <v>6</v>
      </c>
      <c r="AK462" s="235">
        <v>44860</v>
      </c>
      <c r="AL462" s="232" t="s">
        <v>1776</v>
      </c>
      <c r="AM462" s="184" t="str">
        <f t="shared" si="90"/>
        <v>21032 Rousselot</v>
      </c>
      <c r="AN462" s="184" t="str">
        <f t="shared" si="93"/>
        <v>21032 Rousselot : DIN connection supply instead of SMS</v>
      </c>
    </row>
    <row r="463" spans="1:40" s="76" customFormat="1" ht="14.5" hidden="1" x14ac:dyDescent="0.35">
      <c r="A463" s="153" t="s">
        <v>1779</v>
      </c>
      <c r="B463" s="154">
        <v>21033</v>
      </c>
      <c r="C463" s="143" t="s">
        <v>4</v>
      </c>
      <c r="D463" s="144">
        <v>44524</v>
      </c>
      <c r="E463" s="145" t="s">
        <v>1476</v>
      </c>
      <c r="F463" s="145" t="s">
        <v>658</v>
      </c>
      <c r="G463" s="146" t="s">
        <v>1780</v>
      </c>
      <c r="H463" s="146" t="s">
        <v>1781</v>
      </c>
      <c r="I463" s="119" t="s">
        <v>2056</v>
      </c>
      <c r="J463" s="232"/>
      <c r="K463" s="145"/>
      <c r="L463" s="145" t="s">
        <v>1782</v>
      </c>
      <c r="M463" s="147"/>
      <c r="N463" s="111" t="s">
        <v>1783</v>
      </c>
      <c r="O463" s="146" t="s">
        <v>28</v>
      </c>
      <c r="P463" s="146" t="s">
        <v>103</v>
      </c>
      <c r="Q463" s="232" t="s">
        <v>176</v>
      </c>
      <c r="R463" s="146" t="s">
        <v>145</v>
      </c>
      <c r="S463" s="146"/>
      <c r="T463" s="112" t="s">
        <v>1781</v>
      </c>
      <c r="U463" s="239"/>
      <c r="V463" s="158" t="s">
        <v>10</v>
      </c>
      <c r="W463" s="143"/>
      <c r="X463" s="143"/>
      <c r="Y463" s="144">
        <f t="shared" si="85"/>
        <v>44616</v>
      </c>
      <c r="Z463" s="143">
        <v>44601</v>
      </c>
      <c r="AA463" s="241" t="str">
        <f t="shared" ref="AA463:AA468" ca="1" si="94">IF(Z463="",IF(TODAY()&gt;Y463,"NO","YES"),IF(Z463&gt;Y463,"NO",IF(Z463&lt;Y463,"YES",IF(Y463=Z463,"YES","N/A"))))</f>
        <v>YES</v>
      </c>
      <c r="AB463" s="204"/>
      <c r="AC463" s="235"/>
      <c r="AD463" s="232"/>
      <c r="AE463" s="232"/>
      <c r="AF463" s="197" t="str">
        <f t="shared" ca="1" si="91"/>
        <v>N/A</v>
      </c>
      <c r="AG463" s="197">
        <v>95</v>
      </c>
      <c r="AH463" s="197">
        <v>12000</v>
      </c>
      <c r="AI463" s="195">
        <f t="shared" si="92"/>
        <v>12095</v>
      </c>
      <c r="AJ463" s="148" t="s">
        <v>6</v>
      </c>
      <c r="AK463" s="235">
        <v>44860</v>
      </c>
      <c r="AL463" s="184"/>
      <c r="AM463" s="184" t="str">
        <f t="shared" si="90"/>
        <v>21033 SQ-NVS trading</v>
      </c>
      <c r="AN463" s="184" t="str">
        <f t="shared" si="93"/>
        <v>21033 SQ-NVS trading : Issue of size range gravel</v>
      </c>
    </row>
    <row r="464" spans="1:40" s="76" customFormat="1" ht="14.5" hidden="1" x14ac:dyDescent="0.35">
      <c r="A464" s="153" t="s">
        <v>1784</v>
      </c>
      <c r="B464" s="154">
        <v>21034</v>
      </c>
      <c r="C464" s="143" t="s">
        <v>4</v>
      </c>
      <c r="D464" s="144">
        <v>44525</v>
      </c>
      <c r="E464" s="145" t="s">
        <v>91</v>
      </c>
      <c r="F464" s="145" t="s">
        <v>164</v>
      </c>
      <c r="G464" s="146" t="s">
        <v>1729</v>
      </c>
      <c r="H464" s="146" t="s">
        <v>1785</v>
      </c>
      <c r="I464" s="119" t="s">
        <v>2056</v>
      </c>
      <c r="J464" s="232"/>
      <c r="K464" s="145">
        <v>2101</v>
      </c>
      <c r="L464" s="145">
        <v>16382</v>
      </c>
      <c r="M464" s="147" t="s">
        <v>13</v>
      </c>
      <c r="N464" s="146" t="s">
        <v>1786</v>
      </c>
      <c r="O464" s="146" t="s">
        <v>28</v>
      </c>
      <c r="P464" s="146" t="s">
        <v>86</v>
      </c>
      <c r="Q464" s="232" t="s">
        <v>1774</v>
      </c>
      <c r="R464" s="146" t="s">
        <v>145</v>
      </c>
      <c r="S464" s="146"/>
      <c r="T464" s="232"/>
      <c r="U464" s="238"/>
      <c r="V464" s="158" t="s">
        <v>6</v>
      </c>
      <c r="W464" s="145" t="s">
        <v>1664</v>
      </c>
      <c r="X464" s="143">
        <v>44530</v>
      </c>
      <c r="Y464" s="144">
        <f t="shared" si="85"/>
        <v>44617</v>
      </c>
      <c r="Z464" s="235">
        <v>44578</v>
      </c>
      <c r="AA464" s="161" t="str">
        <f t="shared" ca="1" si="94"/>
        <v>YES</v>
      </c>
      <c r="AB464" s="113"/>
      <c r="AC464" s="232"/>
      <c r="AD464" s="232"/>
      <c r="AE464" s="232"/>
      <c r="AF464" s="114" t="str">
        <f t="shared" ca="1" si="91"/>
        <v>N/A</v>
      </c>
      <c r="AG464" s="197">
        <v>984</v>
      </c>
      <c r="AH464" s="197">
        <v>2075</v>
      </c>
      <c r="AI464" s="196">
        <f t="shared" si="92"/>
        <v>3059</v>
      </c>
      <c r="AJ464" s="237"/>
      <c r="AK464" s="70" t="s">
        <v>2045</v>
      </c>
      <c r="AL464" s="232"/>
      <c r="AM464" s="184" t="str">
        <f t="shared" ref="AM464:AM469" si="95">CONCATENATE(B464," ",G464)</f>
        <v>21034 Cargill MicroBA</v>
      </c>
      <c r="AN464" s="184" t="str">
        <f t="shared" si="93"/>
        <v>21034 Cargill MicroBA : Inversion of the columns tags plates</v>
      </c>
    </row>
    <row r="465" spans="1:40" ht="14.5" hidden="1" x14ac:dyDescent="0.35">
      <c r="A465" s="78" t="s">
        <v>1787</v>
      </c>
      <c r="B465" s="154">
        <v>21035</v>
      </c>
      <c r="C465" s="143" t="s">
        <v>4</v>
      </c>
      <c r="D465" s="144">
        <v>44536</v>
      </c>
      <c r="E465" s="145" t="s">
        <v>1019</v>
      </c>
      <c r="F465" s="145" t="s">
        <v>658</v>
      </c>
      <c r="G465" s="146" t="s">
        <v>1558</v>
      </c>
      <c r="H465" s="146" t="s">
        <v>1788</v>
      </c>
      <c r="I465" s="119" t="s">
        <v>2056</v>
      </c>
      <c r="J465" s="232"/>
      <c r="K465" s="145"/>
      <c r="L465" s="205" t="s">
        <v>1559</v>
      </c>
      <c r="M465" s="147" t="s">
        <v>18</v>
      </c>
      <c r="N465" s="146" t="s">
        <v>1789</v>
      </c>
      <c r="O465" s="111" t="s">
        <v>28</v>
      </c>
      <c r="P465" s="111" t="s">
        <v>103</v>
      </c>
      <c r="Q465" s="232" t="s">
        <v>1036</v>
      </c>
      <c r="R465" s="111" t="s">
        <v>145</v>
      </c>
      <c r="S465" s="146"/>
      <c r="T465" s="112" t="s">
        <v>1788</v>
      </c>
      <c r="U465" s="238"/>
      <c r="V465" s="158" t="s">
        <v>6</v>
      </c>
      <c r="W465" s="145" t="s">
        <v>221</v>
      </c>
      <c r="X465" s="143">
        <v>44538</v>
      </c>
      <c r="Y465" s="144">
        <f t="shared" si="85"/>
        <v>44626</v>
      </c>
      <c r="Z465" s="235">
        <v>44635</v>
      </c>
      <c r="AA465" s="161" t="str">
        <f t="shared" ca="1" si="94"/>
        <v>NO</v>
      </c>
      <c r="AB465" s="113"/>
      <c r="AC465" s="232"/>
      <c r="AD465" s="232"/>
      <c r="AE465" s="232"/>
      <c r="AF465" s="114" t="str">
        <f t="shared" ca="1" si="91"/>
        <v>N/A</v>
      </c>
      <c r="AG465" s="197">
        <v>579</v>
      </c>
      <c r="AH465" s="194">
        <v>3637.39</v>
      </c>
      <c r="AI465" s="196">
        <f t="shared" si="92"/>
        <v>4216.3899999999994</v>
      </c>
      <c r="AJ465" s="237"/>
      <c r="AK465" s="70" t="s">
        <v>2045</v>
      </c>
      <c r="AL465" s="232"/>
      <c r="AM465" s="184" t="str">
        <f t="shared" si="95"/>
        <v>21035 Etihad</v>
      </c>
      <c r="AN465" s="184" t="str">
        <f t="shared" si="93"/>
        <v>21035 Etihad : Leakage, pressure vessels coating quality  problem</v>
      </c>
    </row>
    <row r="466" spans="1:40" ht="14.15" hidden="1" customHeight="1" x14ac:dyDescent="0.35">
      <c r="A466" s="153" t="s">
        <v>1790</v>
      </c>
      <c r="B466" s="154">
        <v>21036</v>
      </c>
      <c r="C466" s="143" t="s">
        <v>4</v>
      </c>
      <c r="D466" s="144">
        <v>44537</v>
      </c>
      <c r="E466" s="145" t="s">
        <v>621</v>
      </c>
      <c r="F466" s="145" t="s">
        <v>164</v>
      </c>
      <c r="G466" s="146" t="s">
        <v>1729</v>
      </c>
      <c r="H466" s="146" t="s">
        <v>1791</v>
      </c>
      <c r="I466" s="119" t="s">
        <v>2056</v>
      </c>
      <c r="J466" s="232"/>
      <c r="K466" s="145">
        <v>2101</v>
      </c>
      <c r="L466" s="145">
        <v>16382</v>
      </c>
      <c r="M466" s="147" t="s">
        <v>13</v>
      </c>
      <c r="N466" s="111" t="s">
        <v>1792</v>
      </c>
      <c r="O466" s="146" t="s">
        <v>29</v>
      </c>
      <c r="P466" s="146" t="s">
        <v>176</v>
      </c>
      <c r="Q466" s="70" t="s">
        <v>916</v>
      </c>
      <c r="R466" s="146" t="s">
        <v>145</v>
      </c>
      <c r="S466" s="146"/>
      <c r="T466" s="112" t="s">
        <v>1791</v>
      </c>
      <c r="U466" s="238"/>
      <c r="V466" s="158" t="s">
        <v>10</v>
      </c>
      <c r="W466" s="145"/>
      <c r="X466" s="143"/>
      <c r="Y466" s="144">
        <f t="shared" si="85"/>
        <v>44627</v>
      </c>
      <c r="Z466" s="235">
        <v>44623</v>
      </c>
      <c r="AA466" s="161" t="str">
        <f t="shared" ca="1" si="94"/>
        <v>YES</v>
      </c>
      <c r="AB466" s="113"/>
      <c r="AC466" s="232"/>
      <c r="AD466" s="232"/>
      <c r="AE466" s="232"/>
      <c r="AF466" s="114" t="str">
        <f t="shared" ca="1" si="91"/>
        <v>N/A</v>
      </c>
      <c r="AG466" s="197">
        <v>1045</v>
      </c>
      <c r="AH466" s="197">
        <v>0</v>
      </c>
      <c r="AI466" s="196">
        <f t="shared" si="92"/>
        <v>1045</v>
      </c>
      <c r="AJ466" s="148" t="s">
        <v>6</v>
      </c>
      <c r="AK466" s="187">
        <v>44873</v>
      </c>
      <c r="AL466" s="232"/>
      <c r="AM466" s="184" t="str">
        <f t="shared" si="95"/>
        <v>21036 Cargill MicroBA</v>
      </c>
      <c r="AN466" s="184" t="str">
        <f t="shared" si="93"/>
        <v>21036 Cargill MicroBA : Reference error of the supplied pressure sensors</v>
      </c>
    </row>
    <row r="467" spans="1:40" ht="15.65" hidden="1" customHeight="1" x14ac:dyDescent="0.35">
      <c r="A467" s="153" t="s">
        <v>1793</v>
      </c>
      <c r="B467" s="154">
        <v>21037</v>
      </c>
      <c r="C467" s="143" t="s">
        <v>8</v>
      </c>
      <c r="D467" s="144">
        <v>44539</v>
      </c>
      <c r="E467" s="145" t="s">
        <v>1794</v>
      </c>
      <c r="F467" s="145" t="s">
        <v>164</v>
      </c>
      <c r="G467" s="111" t="s">
        <v>1795</v>
      </c>
      <c r="H467" s="146" t="s">
        <v>1796</v>
      </c>
      <c r="I467" s="119" t="s">
        <v>2056</v>
      </c>
      <c r="J467" s="232"/>
      <c r="K467" s="145">
        <v>10</v>
      </c>
      <c r="L467" s="145">
        <v>16017</v>
      </c>
      <c r="M467" s="147" t="s">
        <v>11</v>
      </c>
      <c r="N467" s="146" t="s">
        <v>1797</v>
      </c>
      <c r="O467" s="146" t="s">
        <v>28</v>
      </c>
      <c r="P467" s="146" t="s">
        <v>86</v>
      </c>
      <c r="Q467" s="70" t="s">
        <v>916</v>
      </c>
      <c r="R467" s="146" t="s">
        <v>145</v>
      </c>
      <c r="S467" s="146"/>
      <c r="T467" s="232" t="s">
        <v>1796</v>
      </c>
      <c r="U467" s="238"/>
      <c r="V467" s="158" t="s">
        <v>6</v>
      </c>
      <c r="W467" s="145" t="s">
        <v>1794</v>
      </c>
      <c r="X467" s="144">
        <v>44539</v>
      </c>
      <c r="Y467" s="144">
        <f t="shared" si="85"/>
        <v>44629</v>
      </c>
      <c r="Z467" s="235">
        <v>44628</v>
      </c>
      <c r="AA467" s="161" t="str">
        <f t="shared" ca="1" si="94"/>
        <v>YES</v>
      </c>
      <c r="AB467" s="113"/>
      <c r="AC467" s="232"/>
      <c r="AD467" s="232"/>
      <c r="AE467" s="232"/>
      <c r="AF467" s="114" t="str">
        <f t="shared" ref="AF467:AF472" ca="1" si="96">IF(I467="Claim",IF(AD467="","",IF(AE467="",IF(TODAY()&gt;AD467,"NO","YES"),IF(AE467&gt;AD467,"NO",IF(AE467&lt;AD467,"YES",IF(AD467=AE467,"YES","N/A"))))),"N/A")</f>
        <v>N/A</v>
      </c>
      <c r="AG467" s="197">
        <v>500</v>
      </c>
      <c r="AH467" s="197">
        <v>0</v>
      </c>
      <c r="AI467" s="196">
        <f t="shared" ref="AI467:AI472" si="97">AH467+AG467</f>
        <v>500</v>
      </c>
      <c r="AJ467" s="237"/>
      <c r="AK467" s="232"/>
      <c r="AL467" s="232"/>
      <c r="AM467" s="184" t="str">
        <f t="shared" si="95"/>
        <v>21037 Lvyuan</v>
      </c>
      <c r="AN467" s="184" t="str">
        <f t="shared" ref="AN467:AN472" si="98">CONCATENATE(B467," ",G467," : ",N467)</f>
        <v>21037 Lvyuan : Dysfunction of supplier Guanxing</v>
      </c>
    </row>
    <row r="468" spans="1:40" s="76" customFormat="1" ht="14.15" hidden="1" customHeight="1" x14ac:dyDescent="0.35">
      <c r="A468" s="153" t="s">
        <v>1798</v>
      </c>
      <c r="B468" s="154">
        <v>21038</v>
      </c>
      <c r="C468" s="143" t="s">
        <v>4</v>
      </c>
      <c r="D468" s="144">
        <v>44553</v>
      </c>
      <c r="E468" s="145" t="s">
        <v>273</v>
      </c>
      <c r="F468" s="145" t="s">
        <v>658</v>
      </c>
      <c r="G468" s="146" t="s">
        <v>1799</v>
      </c>
      <c r="H468" s="146" t="s">
        <v>357</v>
      </c>
      <c r="I468" s="119" t="s">
        <v>2056</v>
      </c>
      <c r="J468" s="70"/>
      <c r="K468" s="145"/>
      <c r="L468" s="145" t="s">
        <v>1800</v>
      </c>
      <c r="M468" s="147" t="s">
        <v>359</v>
      </c>
      <c r="N468" s="146" t="s">
        <v>1801</v>
      </c>
      <c r="O468" s="146" t="s">
        <v>28</v>
      </c>
      <c r="P468" s="146" t="s">
        <v>103</v>
      </c>
      <c r="Q468" s="232" t="s">
        <v>176</v>
      </c>
      <c r="R468" s="146" t="s">
        <v>145</v>
      </c>
      <c r="S468" s="146"/>
      <c r="T468" s="112" t="s">
        <v>357</v>
      </c>
      <c r="U468" s="238"/>
      <c r="V468" s="158" t="s">
        <v>10</v>
      </c>
      <c r="W468" s="145"/>
      <c r="X468" s="143"/>
      <c r="Y468" s="144">
        <f t="shared" si="85"/>
        <v>44643</v>
      </c>
      <c r="Z468" s="235">
        <v>44602</v>
      </c>
      <c r="AA468" s="161" t="str">
        <f t="shared" ca="1" si="94"/>
        <v>YES</v>
      </c>
      <c r="AB468" s="113"/>
      <c r="AC468" s="232"/>
      <c r="AD468" s="232"/>
      <c r="AE468" s="232"/>
      <c r="AF468" s="114" t="str">
        <f t="shared" ca="1" si="96"/>
        <v>N/A</v>
      </c>
      <c r="AG468" s="197">
        <v>285</v>
      </c>
      <c r="AH468" s="197">
        <v>0</v>
      </c>
      <c r="AI468" s="196">
        <f t="shared" si="97"/>
        <v>285</v>
      </c>
      <c r="AJ468" s="148" t="s">
        <v>6</v>
      </c>
      <c r="AK468" s="235">
        <v>44874</v>
      </c>
      <c r="AL468" s="232"/>
      <c r="AM468" s="184" t="str">
        <f t="shared" si="95"/>
        <v>21038 Gambro</v>
      </c>
      <c r="AN468" s="184" t="str">
        <f t="shared" si="98"/>
        <v>21038 Gambro : Cut off labeling error on Kerasep mbre</v>
      </c>
    </row>
    <row r="469" spans="1:40" ht="14.15" hidden="1" customHeight="1" x14ac:dyDescent="0.35">
      <c r="A469" s="78" t="s">
        <v>1802</v>
      </c>
      <c r="B469" s="154">
        <v>22001</v>
      </c>
      <c r="C469" s="143" t="s">
        <v>4</v>
      </c>
      <c r="D469" s="144">
        <v>44578</v>
      </c>
      <c r="E469" s="145" t="s">
        <v>1019</v>
      </c>
      <c r="F469" s="145" t="s">
        <v>658</v>
      </c>
      <c r="G469" s="146" t="s">
        <v>664</v>
      </c>
      <c r="H469" s="111" t="s">
        <v>1578</v>
      </c>
      <c r="I469" s="119" t="s">
        <v>5</v>
      </c>
      <c r="J469" s="70" t="s">
        <v>1332</v>
      </c>
      <c r="K469" s="145"/>
      <c r="L469" s="118" t="s">
        <v>1803</v>
      </c>
      <c r="M469" s="147" t="s">
        <v>18</v>
      </c>
      <c r="N469" s="146" t="s">
        <v>1716</v>
      </c>
      <c r="O469" s="146" t="s">
        <v>28</v>
      </c>
      <c r="P469" s="146" t="s">
        <v>103</v>
      </c>
      <c r="Q469" s="70" t="s">
        <v>1527</v>
      </c>
      <c r="R469" s="146" t="s">
        <v>145</v>
      </c>
      <c r="S469" s="146"/>
      <c r="T469" s="112" t="s">
        <v>1578</v>
      </c>
      <c r="U469" s="238"/>
      <c r="V469" s="158" t="s">
        <v>6</v>
      </c>
      <c r="W469" s="145" t="s">
        <v>1019</v>
      </c>
      <c r="X469" s="143">
        <v>44580</v>
      </c>
      <c r="Y469" s="144">
        <f t="shared" si="85"/>
        <v>44668</v>
      </c>
      <c r="Z469" s="235">
        <v>44645</v>
      </c>
      <c r="AA469" s="161" t="str">
        <f t="shared" ref="AA469:AA474" ca="1" si="99">IF(Z469="",IF(TODAY()&gt;Y469,"NO","YES"),IF(Z469&gt;Y469,"NO",IF(Z469&lt;Y469,"YES",IF(Y469=Z469,"YES","N/A"))))</f>
        <v>YES</v>
      </c>
      <c r="AB469" s="113">
        <v>44574</v>
      </c>
      <c r="AC469" s="190">
        <v>44575</v>
      </c>
      <c r="AD469" s="235">
        <v>44681</v>
      </c>
      <c r="AE469" s="235">
        <v>44645</v>
      </c>
      <c r="AF469" s="114" t="str">
        <f t="shared" ca="1" si="96"/>
        <v>YES</v>
      </c>
      <c r="AG469" s="197">
        <v>190</v>
      </c>
      <c r="AH469" s="197">
        <v>0</v>
      </c>
      <c r="AI469" s="196">
        <f t="shared" si="97"/>
        <v>190</v>
      </c>
      <c r="AJ469" s="148" t="s">
        <v>6</v>
      </c>
      <c r="AK469" s="235">
        <v>44860</v>
      </c>
      <c r="AL469" s="232"/>
      <c r="AM469" s="184" t="str">
        <f t="shared" si="95"/>
        <v xml:space="preserve">22001 TEREOS NESLE </v>
      </c>
      <c r="AN469" s="184" t="str">
        <f t="shared" si="98"/>
        <v>22001 TEREOS NESLE  : NF mbre performance out of specification at start up</v>
      </c>
    </row>
    <row r="470" spans="1:40" ht="15.65" hidden="1" customHeight="1" x14ac:dyDescent="0.35">
      <c r="A470" s="78" t="s">
        <v>1804</v>
      </c>
      <c r="B470" s="154">
        <v>22002</v>
      </c>
      <c r="C470" s="143" t="s">
        <v>4</v>
      </c>
      <c r="D470" s="144">
        <v>44580</v>
      </c>
      <c r="E470" s="145" t="s">
        <v>1805</v>
      </c>
      <c r="F470" s="145" t="s">
        <v>1806</v>
      </c>
      <c r="G470" s="146" t="s">
        <v>1807</v>
      </c>
      <c r="H470" s="146"/>
      <c r="I470" s="119" t="s">
        <v>2057</v>
      </c>
      <c r="J470" s="232"/>
      <c r="K470" s="145">
        <v>2082</v>
      </c>
      <c r="L470" s="145">
        <v>14552</v>
      </c>
      <c r="M470" s="147" t="s">
        <v>11</v>
      </c>
      <c r="N470" s="146" t="s">
        <v>1808</v>
      </c>
      <c r="O470" s="146" t="s">
        <v>29</v>
      </c>
      <c r="P470" s="146" t="s">
        <v>86</v>
      </c>
      <c r="Q470" s="232" t="s">
        <v>1358</v>
      </c>
      <c r="R470" s="111" t="s">
        <v>9</v>
      </c>
      <c r="S470" s="146"/>
      <c r="T470" s="232"/>
      <c r="U470" s="238"/>
      <c r="V470" s="158" t="s">
        <v>6</v>
      </c>
      <c r="W470" s="145" t="s">
        <v>1809</v>
      </c>
      <c r="X470" s="143">
        <v>44582</v>
      </c>
      <c r="Y470" s="144">
        <f t="shared" si="85"/>
        <v>44670</v>
      </c>
      <c r="Z470" s="235">
        <v>44670</v>
      </c>
      <c r="AA470" s="161" t="str">
        <f t="shared" ca="1" si="99"/>
        <v>YES</v>
      </c>
      <c r="AB470" s="113"/>
      <c r="AC470" s="232"/>
      <c r="AD470" s="232"/>
      <c r="AE470" s="232"/>
      <c r="AF470" s="114" t="str">
        <f t="shared" ca="1" si="96"/>
        <v>N/A</v>
      </c>
      <c r="AG470" s="197">
        <v>2874</v>
      </c>
      <c r="AH470" s="197">
        <v>20437</v>
      </c>
      <c r="AI470" s="196">
        <f t="shared" si="97"/>
        <v>23311</v>
      </c>
      <c r="AJ470" s="237"/>
      <c r="AK470" s="70" t="s">
        <v>2045</v>
      </c>
      <c r="AL470" s="232"/>
      <c r="AM470" s="184" t="str">
        <f t="shared" ref="AM470:AM475" si="100">CONCATENATE(B470," ",G470)</f>
        <v>22002 SQ10</v>
      </c>
      <c r="AN470" s="184" t="str">
        <f t="shared" si="98"/>
        <v>22002 SQ10 : Lost polarimeter</v>
      </c>
    </row>
    <row r="471" spans="1:40" ht="14.5" hidden="1" x14ac:dyDescent="0.35">
      <c r="A471" s="78" t="s">
        <v>1810</v>
      </c>
      <c r="B471" s="154">
        <v>22003</v>
      </c>
      <c r="C471" s="143" t="s">
        <v>8</v>
      </c>
      <c r="D471" s="144">
        <v>44585</v>
      </c>
      <c r="E471" s="145" t="s">
        <v>1664</v>
      </c>
      <c r="F471" s="145" t="s">
        <v>164</v>
      </c>
      <c r="G471" s="146" t="s">
        <v>2109</v>
      </c>
      <c r="H471" s="146" t="s">
        <v>433</v>
      </c>
      <c r="I471" s="119" t="s">
        <v>2056</v>
      </c>
      <c r="J471" s="232"/>
      <c r="K471" s="145">
        <v>2097</v>
      </c>
      <c r="L471" s="145">
        <v>16108</v>
      </c>
      <c r="M471" s="147" t="s">
        <v>11</v>
      </c>
      <c r="N471" s="146" t="s">
        <v>1812</v>
      </c>
      <c r="O471" s="146" t="s">
        <v>29</v>
      </c>
      <c r="P471" s="146" t="s">
        <v>86</v>
      </c>
      <c r="Q471" s="70" t="s">
        <v>916</v>
      </c>
      <c r="R471" s="146" t="s">
        <v>145</v>
      </c>
      <c r="S471" s="146"/>
      <c r="T471" s="232" t="s">
        <v>433</v>
      </c>
      <c r="U471" s="238"/>
      <c r="V471" s="158" t="s">
        <v>6</v>
      </c>
      <c r="W471" s="145" t="s">
        <v>1664</v>
      </c>
      <c r="X471" s="143">
        <v>44578</v>
      </c>
      <c r="Y471" s="144">
        <f>EDATE(D471,3)</f>
        <v>44675</v>
      </c>
      <c r="Z471" s="235">
        <v>44673</v>
      </c>
      <c r="AA471" s="161" t="str">
        <f t="shared" ca="1" si="99"/>
        <v>YES</v>
      </c>
      <c r="AB471" s="113">
        <v>44553</v>
      </c>
      <c r="AC471" s="232"/>
      <c r="AD471" s="232"/>
      <c r="AE471" s="232"/>
      <c r="AF471" s="114" t="str">
        <f t="shared" ca="1" si="96"/>
        <v>N/A</v>
      </c>
      <c r="AG471" s="197">
        <v>1250</v>
      </c>
      <c r="AH471" s="197">
        <v>243</v>
      </c>
      <c r="AI471" s="196">
        <f t="shared" si="97"/>
        <v>1493</v>
      </c>
      <c r="AJ471" s="237"/>
      <c r="AK471" s="232"/>
      <c r="AL471" s="232"/>
      <c r="AM471" s="184" t="str">
        <f t="shared" si="100"/>
        <v>22003 SQ13</v>
      </c>
      <c r="AN471" s="184" t="str">
        <f t="shared" si="98"/>
        <v>22003 SQ13 : Name plates misplaced</v>
      </c>
    </row>
    <row r="472" spans="1:40" ht="14.5" hidden="1" x14ac:dyDescent="0.35">
      <c r="A472" s="78" t="s">
        <v>1810</v>
      </c>
      <c r="B472" s="154">
        <v>22004</v>
      </c>
      <c r="C472" s="143" t="s">
        <v>8</v>
      </c>
      <c r="D472" s="144">
        <v>44585</v>
      </c>
      <c r="E472" s="145" t="s">
        <v>1664</v>
      </c>
      <c r="F472" s="145" t="s">
        <v>164</v>
      </c>
      <c r="G472" s="146" t="s">
        <v>2111</v>
      </c>
      <c r="H472" s="111" t="s">
        <v>1796</v>
      </c>
      <c r="I472" s="119" t="s">
        <v>2056</v>
      </c>
      <c r="J472" s="232"/>
      <c r="K472" s="145">
        <v>2092</v>
      </c>
      <c r="L472" s="145" t="s">
        <v>1814</v>
      </c>
      <c r="M472" s="147" t="s">
        <v>859</v>
      </c>
      <c r="N472" s="146" t="s">
        <v>1815</v>
      </c>
      <c r="O472" s="146" t="s">
        <v>29</v>
      </c>
      <c r="P472" s="146" t="s">
        <v>86</v>
      </c>
      <c r="Q472" s="232" t="s">
        <v>1629</v>
      </c>
      <c r="R472" s="146" t="s">
        <v>145</v>
      </c>
      <c r="S472" s="146"/>
      <c r="T472" s="146" t="s">
        <v>1813</v>
      </c>
      <c r="U472" s="238"/>
      <c r="V472" s="158" t="s">
        <v>6</v>
      </c>
      <c r="W472" s="145" t="s">
        <v>1664</v>
      </c>
      <c r="X472" s="143">
        <v>44564</v>
      </c>
      <c r="Y472" s="144">
        <f t="shared" si="85"/>
        <v>44675</v>
      </c>
      <c r="Z472" s="235">
        <v>44673</v>
      </c>
      <c r="AA472" s="161" t="str">
        <f t="shared" ca="1" si="99"/>
        <v>YES</v>
      </c>
      <c r="AB472" s="113">
        <v>44556</v>
      </c>
      <c r="AC472" s="232"/>
      <c r="AD472" s="232"/>
      <c r="AE472" s="232"/>
      <c r="AF472" s="114" t="str">
        <f t="shared" ca="1" si="96"/>
        <v>N/A</v>
      </c>
      <c r="AG472" s="197">
        <v>1250</v>
      </c>
      <c r="AH472" s="197">
        <v>243</v>
      </c>
      <c r="AI472" s="196">
        <f t="shared" si="97"/>
        <v>1493</v>
      </c>
      <c r="AJ472" s="237"/>
      <c r="AK472" s="232"/>
      <c r="AL472" s="232"/>
      <c r="AM472" s="184" t="str">
        <f t="shared" si="100"/>
        <v xml:space="preserve">22004 SQ12 </v>
      </c>
      <c r="AN472" s="184" t="str">
        <f t="shared" si="98"/>
        <v>22004 SQ12  : Column rods broken or missing</v>
      </c>
    </row>
    <row r="473" spans="1:40" ht="14.5" hidden="1" x14ac:dyDescent="0.35">
      <c r="A473" s="78" t="s">
        <v>1816</v>
      </c>
      <c r="B473" s="154">
        <v>22005</v>
      </c>
      <c r="C473" s="143" t="s">
        <v>4</v>
      </c>
      <c r="D473" s="144">
        <v>44586</v>
      </c>
      <c r="E473" s="145" t="s">
        <v>1019</v>
      </c>
      <c r="F473" s="145" t="s">
        <v>658</v>
      </c>
      <c r="G473" s="146" t="s">
        <v>1817</v>
      </c>
      <c r="H473" s="146" t="s">
        <v>1267</v>
      </c>
      <c r="I473" s="119" t="s">
        <v>5</v>
      </c>
      <c r="J473" s="232"/>
      <c r="K473" s="145"/>
      <c r="L473" s="145" t="s">
        <v>1818</v>
      </c>
      <c r="M473" s="147" t="s">
        <v>672</v>
      </c>
      <c r="N473" s="146" t="s">
        <v>1819</v>
      </c>
      <c r="O473" s="146" t="s">
        <v>28</v>
      </c>
      <c r="P473" s="146" t="s">
        <v>103</v>
      </c>
      <c r="Q473" s="232" t="s">
        <v>1820</v>
      </c>
      <c r="R473" s="146" t="s">
        <v>87</v>
      </c>
      <c r="S473" s="146"/>
      <c r="T473" s="112" t="s">
        <v>1267</v>
      </c>
      <c r="U473" s="238"/>
      <c r="V473" s="158" t="s">
        <v>6</v>
      </c>
      <c r="W473" s="145" t="s">
        <v>1019</v>
      </c>
      <c r="X473" s="143">
        <v>44588</v>
      </c>
      <c r="Y473" s="144">
        <f t="shared" si="85"/>
        <v>44676</v>
      </c>
      <c r="Z473" s="235">
        <v>44636</v>
      </c>
      <c r="AA473" s="161" t="str">
        <f t="shared" ca="1" si="99"/>
        <v>YES</v>
      </c>
      <c r="AB473" s="113">
        <v>44579</v>
      </c>
      <c r="AC473" s="190">
        <v>44579</v>
      </c>
      <c r="AD473" s="235">
        <v>44681</v>
      </c>
      <c r="AE473" s="235">
        <v>44636</v>
      </c>
      <c r="AF473" s="114" t="str">
        <f t="shared" ref="AF473:AF478" ca="1" si="101">IF(I473="Claim",IF(AD473="","",IF(AE473="",IF(TODAY()&gt;AD473,"NO","YES"),IF(AE473&gt;AD473,"NO",IF(AE473&lt;AD473,"YES",IF(AD473=AE473,"YES","N/A"))))),"N/A")</f>
        <v>YES</v>
      </c>
      <c r="AG473" s="197">
        <v>285</v>
      </c>
      <c r="AH473" s="197">
        <v>40</v>
      </c>
      <c r="AI473" s="196">
        <f t="shared" ref="AI473:AI478" si="102">AH473+AG473</f>
        <v>325</v>
      </c>
      <c r="AJ473" s="148" t="s">
        <v>6</v>
      </c>
      <c r="AK473" s="187">
        <v>44860</v>
      </c>
      <c r="AL473" s="70"/>
      <c r="AM473" s="184" t="str">
        <f t="shared" si="100"/>
        <v>22005 RAM Sucre</v>
      </c>
      <c r="AN473" s="184" t="str">
        <f t="shared" ref="AN473:AN478" si="103">CONCATENATE(B473," ",G473," : ",N473)</f>
        <v>22005 RAM Sucre : Issue of nozzle rod length</v>
      </c>
    </row>
    <row r="474" spans="1:40" ht="14.5" hidden="1" x14ac:dyDescent="0.35">
      <c r="A474" s="78" t="s">
        <v>1821</v>
      </c>
      <c r="B474" s="154">
        <v>22006</v>
      </c>
      <c r="C474" s="143" t="s">
        <v>4</v>
      </c>
      <c r="D474" s="144">
        <v>44593</v>
      </c>
      <c r="E474" s="145" t="s">
        <v>621</v>
      </c>
      <c r="F474" s="145" t="s">
        <v>164</v>
      </c>
      <c r="G474" s="146" t="s">
        <v>1822</v>
      </c>
      <c r="H474" s="146" t="s">
        <v>1065</v>
      </c>
      <c r="I474" s="119" t="s">
        <v>2056</v>
      </c>
      <c r="J474" s="232"/>
      <c r="K474" s="145">
        <v>2113</v>
      </c>
      <c r="L474" s="145">
        <v>16809</v>
      </c>
      <c r="M474" s="147" t="s">
        <v>672</v>
      </c>
      <c r="N474" s="146" t="s">
        <v>1823</v>
      </c>
      <c r="O474" s="146" t="s">
        <v>29</v>
      </c>
      <c r="P474" s="146" t="s">
        <v>86</v>
      </c>
      <c r="Q474" s="232" t="s">
        <v>1289</v>
      </c>
      <c r="R474" s="146" t="s">
        <v>145</v>
      </c>
      <c r="S474" s="146"/>
      <c r="T474" s="112" t="s">
        <v>1065</v>
      </c>
      <c r="U474" s="238"/>
      <c r="V474" s="158" t="s">
        <v>10</v>
      </c>
      <c r="W474" s="145"/>
      <c r="X474" s="143"/>
      <c r="Y474" s="144">
        <f t="shared" si="85"/>
        <v>44682</v>
      </c>
      <c r="Z474" s="235">
        <v>44664</v>
      </c>
      <c r="AA474" s="161" t="str">
        <f t="shared" ca="1" si="99"/>
        <v>YES</v>
      </c>
      <c r="AB474" s="113"/>
      <c r="AC474" s="232"/>
      <c r="AD474" s="232"/>
      <c r="AE474" s="232"/>
      <c r="AF474" s="114" t="str">
        <f t="shared" ca="1" si="101"/>
        <v>N/A</v>
      </c>
      <c r="AG474" s="197">
        <v>1143.69</v>
      </c>
      <c r="AH474" s="197">
        <v>0</v>
      </c>
      <c r="AI474" s="196">
        <f t="shared" si="102"/>
        <v>1143.69</v>
      </c>
      <c r="AJ474" s="237"/>
      <c r="AK474" s="70" t="s">
        <v>2045</v>
      </c>
      <c r="AL474" s="70" t="s">
        <v>1824</v>
      </c>
      <c r="AM474" s="184" t="str">
        <f t="shared" si="100"/>
        <v>22006 SUCRO</v>
      </c>
      <c r="AN474" s="184" t="str">
        <f t="shared" si="103"/>
        <v>22006 SUCRO : CPU size too small</v>
      </c>
    </row>
    <row r="475" spans="1:40" ht="14.5" hidden="1" x14ac:dyDescent="0.35">
      <c r="A475" s="78" t="s">
        <v>1825</v>
      </c>
      <c r="B475" s="154">
        <v>22007</v>
      </c>
      <c r="C475" s="143" t="s">
        <v>4</v>
      </c>
      <c r="D475" s="144">
        <v>44594</v>
      </c>
      <c r="E475" s="145" t="s">
        <v>177</v>
      </c>
      <c r="F475" s="145" t="s">
        <v>1103</v>
      </c>
      <c r="G475" s="146" t="s">
        <v>1826</v>
      </c>
      <c r="H475" s="146" t="s">
        <v>597</v>
      </c>
      <c r="I475" s="119" t="s">
        <v>2057</v>
      </c>
      <c r="J475" s="232"/>
      <c r="K475" s="145">
        <v>2115</v>
      </c>
      <c r="L475" s="145">
        <v>16573</v>
      </c>
      <c r="M475" s="147" t="s">
        <v>1827</v>
      </c>
      <c r="N475" s="111" t="s">
        <v>1828</v>
      </c>
      <c r="O475" s="146" t="s">
        <v>29</v>
      </c>
      <c r="P475" s="111" t="s">
        <v>1829</v>
      </c>
      <c r="Q475" s="232" t="s">
        <v>1830</v>
      </c>
      <c r="R475" s="146" t="s">
        <v>9</v>
      </c>
      <c r="S475" s="111" t="s">
        <v>1332</v>
      </c>
      <c r="T475" s="232"/>
      <c r="U475" s="238"/>
      <c r="V475" s="158" t="s">
        <v>6</v>
      </c>
      <c r="W475" s="118" t="s">
        <v>268</v>
      </c>
      <c r="X475" s="143">
        <v>44595</v>
      </c>
      <c r="Y475" s="144">
        <f t="shared" si="85"/>
        <v>44683</v>
      </c>
      <c r="Z475" s="235">
        <v>44680</v>
      </c>
      <c r="AA475" s="161" t="str">
        <f ca="1">IF(Z475="",IF(TODAY()&gt;Y475,"NO","YES"),IF(Z475&gt;Y475,"NO",IF(Z475&lt;Y475,"YES",IF(Y475=Z475,"YES","N/A"))))</f>
        <v>YES</v>
      </c>
      <c r="AB475" s="113"/>
      <c r="AC475" s="232"/>
      <c r="AD475" s="232"/>
      <c r="AE475" s="232"/>
      <c r="AF475" s="114" t="str">
        <f t="shared" ca="1" si="101"/>
        <v>N/A</v>
      </c>
      <c r="AG475" s="197">
        <v>1568</v>
      </c>
      <c r="AH475" s="197">
        <v>111540</v>
      </c>
      <c r="AI475" s="196">
        <f t="shared" si="102"/>
        <v>113108</v>
      </c>
      <c r="AJ475" s="237" t="s">
        <v>6</v>
      </c>
      <c r="AK475" s="187">
        <v>45239</v>
      </c>
      <c r="AL475" s="232"/>
      <c r="AM475" s="184" t="str">
        <f t="shared" si="100"/>
        <v>22007 Cristal Union</v>
      </c>
      <c r="AN475" s="184" t="str">
        <f t="shared" si="103"/>
        <v>22007 Cristal Union : Front piping budget underestimated</v>
      </c>
    </row>
    <row r="476" spans="1:40" ht="15" hidden="1" customHeight="1" x14ac:dyDescent="0.35">
      <c r="A476" s="78" t="s">
        <v>1831</v>
      </c>
      <c r="B476" s="154">
        <v>22008</v>
      </c>
      <c r="C476" s="143" t="s">
        <v>4</v>
      </c>
      <c r="D476" s="144">
        <v>44599</v>
      </c>
      <c r="E476" s="145" t="s">
        <v>273</v>
      </c>
      <c r="F476" s="145" t="s">
        <v>658</v>
      </c>
      <c r="G476" s="146" t="s">
        <v>1832</v>
      </c>
      <c r="H476" s="146" t="s">
        <v>1833</v>
      </c>
      <c r="I476" s="119" t="s">
        <v>5</v>
      </c>
      <c r="J476" s="232"/>
      <c r="K476" s="145"/>
      <c r="L476" s="145" t="s">
        <v>1834</v>
      </c>
      <c r="M476" s="147"/>
      <c r="N476" s="146" t="s">
        <v>1835</v>
      </c>
      <c r="O476" s="146" t="s">
        <v>28</v>
      </c>
      <c r="P476" s="146" t="s">
        <v>103</v>
      </c>
      <c r="Q476" s="232" t="s">
        <v>1358</v>
      </c>
      <c r="R476" s="146" t="s">
        <v>145</v>
      </c>
      <c r="S476" s="146"/>
      <c r="T476" s="232"/>
      <c r="U476" s="238"/>
      <c r="V476" s="158" t="s">
        <v>6</v>
      </c>
      <c r="W476" s="118" t="s">
        <v>273</v>
      </c>
      <c r="X476" s="143">
        <v>44601</v>
      </c>
      <c r="Y476" s="144">
        <f t="shared" si="85"/>
        <v>44688</v>
      </c>
      <c r="Z476" s="235">
        <v>44687</v>
      </c>
      <c r="AA476" s="161" t="str">
        <f ca="1">IF(Z476="",IF(TODAY()&gt;Y476,"NO","YES"),IF(Z476&gt;Y476,"NO",IF(Z476&lt;Y476,"YES",IF(Y476=Z476,"YES","N/A"))))</f>
        <v>YES</v>
      </c>
      <c r="AB476" s="113">
        <v>44582</v>
      </c>
      <c r="AC476" s="190">
        <v>44582</v>
      </c>
      <c r="AD476" s="235">
        <v>44712</v>
      </c>
      <c r="AE476" s="235">
        <v>44687</v>
      </c>
      <c r="AF476" s="114" t="str">
        <f t="shared" ca="1" si="101"/>
        <v>YES</v>
      </c>
      <c r="AG476" s="197">
        <v>784</v>
      </c>
      <c r="AH476" s="197">
        <v>1100</v>
      </c>
      <c r="AI476" s="196">
        <f t="shared" si="102"/>
        <v>1884</v>
      </c>
      <c r="AJ476" s="148" t="s">
        <v>6</v>
      </c>
      <c r="AK476" s="235">
        <v>44874</v>
      </c>
      <c r="AL476" s="232"/>
      <c r="AM476" s="184" t="str">
        <f t="shared" ref="AM476:AM481" si="104">CONCATENATE(B476," ",G476)</f>
        <v>22008 Tessier</v>
      </c>
      <c r="AN476" s="184" t="str">
        <f t="shared" si="103"/>
        <v>22008 Tessier : Broken membranes upon client receipt</v>
      </c>
    </row>
    <row r="477" spans="1:40" ht="14.5" hidden="1" x14ac:dyDescent="0.35">
      <c r="A477" s="78" t="s">
        <v>1810</v>
      </c>
      <c r="B477" s="154">
        <v>22009</v>
      </c>
      <c r="C477" s="143" t="s">
        <v>8</v>
      </c>
      <c r="D477" s="144">
        <v>44603</v>
      </c>
      <c r="E477" s="145" t="s">
        <v>1745</v>
      </c>
      <c r="F477" s="145" t="s">
        <v>658</v>
      </c>
      <c r="G477" s="146" t="s">
        <v>1836</v>
      </c>
      <c r="H477" s="146" t="s">
        <v>1771</v>
      </c>
      <c r="I477" s="119" t="s">
        <v>2056</v>
      </c>
      <c r="J477" s="232"/>
      <c r="K477" s="145"/>
      <c r="L477" s="145">
        <v>75.226900000000001</v>
      </c>
      <c r="M477" s="147" t="s">
        <v>338</v>
      </c>
      <c r="N477" s="146" t="s">
        <v>1837</v>
      </c>
      <c r="O477" s="146" t="s">
        <v>28</v>
      </c>
      <c r="P477" s="146" t="s">
        <v>103</v>
      </c>
      <c r="Q477" s="232" t="s">
        <v>176</v>
      </c>
      <c r="R477" s="146" t="s">
        <v>145</v>
      </c>
      <c r="S477" s="146"/>
      <c r="T477" s="232"/>
      <c r="U477" s="158"/>
      <c r="V477" s="118" t="s">
        <v>6</v>
      </c>
      <c r="W477" s="143" t="s">
        <v>1745</v>
      </c>
      <c r="X477" s="144">
        <v>44561</v>
      </c>
      <c r="Y477" s="235">
        <f t="shared" si="85"/>
        <v>44692</v>
      </c>
      <c r="Z477" s="113">
        <v>44691</v>
      </c>
      <c r="AA477" s="113" t="str">
        <f t="shared" ref="AA477" ca="1" si="105">IF(Z477="",IF(TODAY()&gt;Y477,"NO","YES"),IF(Z477&gt;Y477,"NO",IF(Z477&lt;Y477,"YES",IF(Y477=Z477,"YES","N/A"))))</f>
        <v>YES</v>
      </c>
      <c r="AB477" s="235"/>
      <c r="AC477" s="235"/>
      <c r="AD477" s="235"/>
      <c r="AE477" s="114"/>
      <c r="AF477" s="197" t="str">
        <f t="shared" ca="1" si="101"/>
        <v>N/A</v>
      </c>
      <c r="AG477" s="197">
        <v>1500</v>
      </c>
      <c r="AH477" s="196">
        <v>694</v>
      </c>
      <c r="AI477" s="237">
        <f t="shared" si="102"/>
        <v>2194</v>
      </c>
      <c r="AJ477" s="70"/>
      <c r="AK477" s="232"/>
      <c r="AL477" s="184"/>
      <c r="AM477" s="184" t="str">
        <f t="shared" si="104"/>
        <v>22009 DYG</v>
      </c>
      <c r="AN477" s="184" t="str">
        <f t="shared" si="103"/>
        <v xml:space="preserve">22009 DYG : Ends of alpha mbre worn out after 3 months usage </v>
      </c>
    </row>
    <row r="478" spans="1:40" ht="14.5" hidden="1" x14ac:dyDescent="0.35">
      <c r="A478" s="78" t="s">
        <v>1838</v>
      </c>
      <c r="B478" s="154">
        <v>22010</v>
      </c>
      <c r="C478" s="143" t="s">
        <v>4</v>
      </c>
      <c r="D478" s="144">
        <v>44607</v>
      </c>
      <c r="E478" s="145" t="s">
        <v>1046</v>
      </c>
      <c r="F478" s="145" t="s">
        <v>420</v>
      </c>
      <c r="G478" s="146" t="s">
        <v>1839</v>
      </c>
      <c r="H478" s="146"/>
      <c r="I478" s="119" t="s">
        <v>2058</v>
      </c>
      <c r="J478" s="232"/>
      <c r="K478" s="145" t="s">
        <v>1840</v>
      </c>
      <c r="L478" s="145"/>
      <c r="M478" s="147"/>
      <c r="N478" s="146" t="s">
        <v>1841</v>
      </c>
      <c r="O478" s="146" t="s">
        <v>420</v>
      </c>
      <c r="P478" s="146" t="s">
        <v>80</v>
      </c>
      <c r="Q478" s="232" t="s">
        <v>1842</v>
      </c>
      <c r="R478" s="146" t="s">
        <v>87</v>
      </c>
      <c r="S478" s="146"/>
      <c r="T478" s="232"/>
      <c r="U478" s="238"/>
      <c r="V478" s="158" t="s">
        <v>6</v>
      </c>
      <c r="W478" s="145" t="s">
        <v>1647</v>
      </c>
      <c r="X478" s="143">
        <v>44609</v>
      </c>
      <c r="Y478" s="144">
        <f t="shared" si="85"/>
        <v>44696</v>
      </c>
      <c r="Z478" s="235">
        <v>44670</v>
      </c>
      <c r="AA478" s="161" t="str">
        <f t="shared" ref="AA478:AA483" ca="1" si="106">IF(Z478="",IF(TODAY()&gt;Y478,"NO","YES"),IF(Z478&gt;Y478,"NO",IF(Z478&lt;Y478,"YES",IF(Y478=Z478,"YES","N/A"))))</f>
        <v>YES</v>
      </c>
      <c r="AB478" s="113"/>
      <c r="AC478" s="232"/>
      <c r="AD478" s="232"/>
      <c r="AE478" s="232"/>
      <c r="AF478" s="148" t="str">
        <f t="shared" ca="1" si="101"/>
        <v>N/A</v>
      </c>
      <c r="AG478" s="242">
        <v>588</v>
      </c>
      <c r="AH478" s="197">
        <v>200</v>
      </c>
      <c r="AI478" s="195">
        <f t="shared" si="102"/>
        <v>788</v>
      </c>
      <c r="AJ478" s="237"/>
      <c r="AK478" s="70" t="s">
        <v>2045</v>
      </c>
      <c r="AL478" s="232"/>
      <c r="AM478" s="184" t="str">
        <f t="shared" si="104"/>
        <v>22010 Abbott</v>
      </c>
      <c r="AN478" s="184" t="str">
        <f t="shared" si="103"/>
        <v>22010 Abbott : Water leak</v>
      </c>
    </row>
    <row r="479" spans="1:40" ht="14.5" hidden="1" x14ac:dyDescent="0.35">
      <c r="A479" s="78" t="s">
        <v>1843</v>
      </c>
      <c r="B479" s="154">
        <v>22011</v>
      </c>
      <c r="C479" s="113" t="s">
        <v>4</v>
      </c>
      <c r="D479" s="117">
        <v>44622</v>
      </c>
      <c r="E479" s="118" t="s">
        <v>1844</v>
      </c>
      <c r="F479" s="118" t="s">
        <v>164</v>
      </c>
      <c r="G479" s="111" t="s">
        <v>1822</v>
      </c>
      <c r="H479" s="111" t="s">
        <v>1845</v>
      </c>
      <c r="I479" s="119" t="s">
        <v>2057</v>
      </c>
      <c r="J479" s="70"/>
      <c r="K479" s="118">
        <v>2113</v>
      </c>
      <c r="L479" s="118">
        <v>16809</v>
      </c>
      <c r="M479" s="147" t="s">
        <v>18</v>
      </c>
      <c r="N479" s="111" t="s">
        <v>1846</v>
      </c>
      <c r="O479" s="111" t="s">
        <v>29</v>
      </c>
      <c r="P479" s="111" t="s">
        <v>86</v>
      </c>
      <c r="Q479" s="70" t="s">
        <v>1036</v>
      </c>
      <c r="R479" s="111" t="s">
        <v>9</v>
      </c>
      <c r="S479" s="111"/>
      <c r="T479" s="70"/>
      <c r="U479" s="70"/>
      <c r="V479" s="158" t="s">
        <v>6</v>
      </c>
      <c r="W479" s="118" t="s">
        <v>319</v>
      </c>
      <c r="X479" s="113">
        <v>44623</v>
      </c>
      <c r="Y479" s="117">
        <f t="shared" ref="Y479:Y485" si="107">EDATE(D479,3)</f>
        <v>44714</v>
      </c>
      <c r="Z479" s="187">
        <v>44698</v>
      </c>
      <c r="AA479" s="161" t="str">
        <f t="shared" ca="1" si="106"/>
        <v>YES</v>
      </c>
      <c r="AB479" s="113"/>
      <c r="AC479" s="70"/>
      <c r="AD479" s="70"/>
      <c r="AE479" s="70"/>
      <c r="AF479" s="114" t="str">
        <f t="shared" ref="AF479:AF485" ca="1" si="108">IF(I479="Claim",IF(AD479="","",IF(AE479="",IF(TODAY()&gt;AD479,"NO","YES"),IF(AE479&gt;AD479,"NO",IF(AE479&lt;AD479,"YES",IF(AD479=AE479,"YES","N/A"))))),"N/A")</f>
        <v>N/A</v>
      </c>
      <c r="AG479" s="194">
        <v>2994</v>
      </c>
      <c r="AH479" s="194">
        <v>0</v>
      </c>
      <c r="AI479" s="196">
        <f t="shared" ref="AI479:AI485" si="109">AH479+AG479</f>
        <v>2994</v>
      </c>
      <c r="AJ479" s="148"/>
      <c r="AK479" s="70" t="s">
        <v>2045</v>
      </c>
      <c r="AL479" s="70"/>
      <c r="AM479" s="165" t="str">
        <f t="shared" si="104"/>
        <v>22011 SUCRO</v>
      </c>
      <c r="AN479" s="165" t="str">
        <f t="shared" ref="AN479:AN485" si="110">CONCATENATE(B479," ",G479," : ",N479)</f>
        <v>22011 SUCRO : Inconsistences between PID and 3D Model of NF Skid</v>
      </c>
    </row>
    <row r="480" spans="1:40" ht="14.5" hidden="1" x14ac:dyDescent="0.35">
      <c r="A480" s="78" t="s">
        <v>1847</v>
      </c>
      <c r="B480" s="154">
        <v>22012</v>
      </c>
      <c r="C480" s="113" t="s">
        <v>4</v>
      </c>
      <c r="D480" s="117">
        <v>44622</v>
      </c>
      <c r="E480" s="118" t="s">
        <v>1848</v>
      </c>
      <c r="F480" s="118" t="s">
        <v>658</v>
      </c>
      <c r="G480" s="111" t="s">
        <v>1849</v>
      </c>
      <c r="H480" s="111" t="s">
        <v>1850</v>
      </c>
      <c r="I480" s="119" t="s">
        <v>2056</v>
      </c>
      <c r="J480" s="70"/>
      <c r="K480" s="118" t="s">
        <v>1851</v>
      </c>
      <c r="L480" s="118">
        <v>17223</v>
      </c>
      <c r="M480" s="147" t="s">
        <v>13</v>
      </c>
      <c r="N480" s="111" t="s">
        <v>1852</v>
      </c>
      <c r="O480" s="111" t="s">
        <v>28</v>
      </c>
      <c r="P480" s="111" t="s">
        <v>103</v>
      </c>
      <c r="Q480" s="70" t="s">
        <v>1683</v>
      </c>
      <c r="R480" s="111" t="s">
        <v>145</v>
      </c>
      <c r="S480" s="111"/>
      <c r="T480" s="70"/>
      <c r="U480" s="70"/>
      <c r="V480" s="158" t="s">
        <v>10</v>
      </c>
      <c r="W480" s="118"/>
      <c r="X480" s="113"/>
      <c r="Y480" s="117">
        <f t="shared" si="107"/>
        <v>44714</v>
      </c>
      <c r="Z480" s="187">
        <v>44698</v>
      </c>
      <c r="AA480" s="161" t="str">
        <f t="shared" ca="1" si="106"/>
        <v>YES</v>
      </c>
      <c r="AB480" s="113"/>
      <c r="AC480" s="70"/>
      <c r="AD480" s="70"/>
      <c r="AE480" s="70"/>
      <c r="AF480" s="114" t="str">
        <f t="shared" ca="1" si="108"/>
        <v>N/A</v>
      </c>
      <c r="AG480" s="194">
        <v>490</v>
      </c>
      <c r="AH480" s="194">
        <v>0</v>
      </c>
      <c r="AI480" s="196">
        <f t="shared" si="109"/>
        <v>490</v>
      </c>
      <c r="AJ480" s="148"/>
      <c r="AK480" s="70" t="s">
        <v>2045</v>
      </c>
      <c r="AL480" s="70"/>
      <c r="AM480" s="165" t="str">
        <f t="shared" si="104"/>
        <v>22012 Beneo Oreye</v>
      </c>
      <c r="AN480" s="165" t="str">
        <f t="shared" si="110"/>
        <v>22012 Beneo Oreye : Reliability of supplier (deadlines and quality)</v>
      </c>
    </row>
    <row r="481" spans="1:40" ht="14.5" hidden="1" x14ac:dyDescent="0.35">
      <c r="A481" s="78" t="s">
        <v>1853</v>
      </c>
      <c r="B481" s="154">
        <v>22013</v>
      </c>
      <c r="C481" s="113" t="s">
        <v>8</v>
      </c>
      <c r="D481" s="117">
        <v>44627</v>
      </c>
      <c r="E481" s="118" t="s">
        <v>1854</v>
      </c>
      <c r="F481" s="118" t="s">
        <v>164</v>
      </c>
      <c r="G481" s="111" t="s">
        <v>1855</v>
      </c>
      <c r="H481" s="111" t="s">
        <v>433</v>
      </c>
      <c r="I481" s="119" t="s">
        <v>5</v>
      </c>
      <c r="J481" s="70"/>
      <c r="K481" s="118"/>
      <c r="L481" s="118">
        <v>14619</v>
      </c>
      <c r="M481" s="147" t="s">
        <v>13</v>
      </c>
      <c r="N481" s="111" t="s">
        <v>1856</v>
      </c>
      <c r="O481" s="111" t="s">
        <v>29</v>
      </c>
      <c r="P481" s="111" t="s">
        <v>86</v>
      </c>
      <c r="Q481" s="70" t="s">
        <v>916</v>
      </c>
      <c r="R481" s="111" t="s">
        <v>145</v>
      </c>
      <c r="S481" s="111"/>
      <c r="T481" s="70"/>
      <c r="U481" s="74"/>
      <c r="V481" s="158" t="s">
        <v>6</v>
      </c>
      <c r="W481" s="118" t="s">
        <v>1854</v>
      </c>
      <c r="X481" s="113">
        <v>44627</v>
      </c>
      <c r="Y481" s="117">
        <f t="shared" si="107"/>
        <v>44719</v>
      </c>
      <c r="Z481" s="187">
        <v>44911</v>
      </c>
      <c r="AA481" s="161" t="str">
        <f t="shared" ca="1" si="106"/>
        <v>NO</v>
      </c>
      <c r="AB481" s="113">
        <v>44609</v>
      </c>
      <c r="AC481" s="187">
        <v>44609</v>
      </c>
      <c r="AD481" s="187">
        <v>44926</v>
      </c>
      <c r="AE481" s="187">
        <v>44911</v>
      </c>
      <c r="AF481" s="114" t="str">
        <f t="shared" ca="1" si="108"/>
        <v>YES</v>
      </c>
      <c r="AG481" s="194">
        <v>5125</v>
      </c>
      <c r="AH481" s="194">
        <v>32166</v>
      </c>
      <c r="AI481" s="196">
        <f t="shared" si="109"/>
        <v>37291</v>
      </c>
      <c r="AJ481" s="148"/>
      <c r="AK481" s="70"/>
      <c r="AL481" s="70"/>
      <c r="AM481" s="165" t="str">
        <f t="shared" si="104"/>
        <v>22013 ENSIGN</v>
      </c>
      <c r="AN481" s="165" t="str">
        <f t="shared" si="110"/>
        <v xml:space="preserve">22013 ENSIGN : Rubber lining cracking </v>
      </c>
    </row>
    <row r="482" spans="1:40" ht="14.5" hidden="1" x14ac:dyDescent="0.35">
      <c r="A482" s="78" t="s">
        <v>1857</v>
      </c>
      <c r="B482" s="154">
        <v>22014</v>
      </c>
      <c r="C482" s="113" t="s">
        <v>4</v>
      </c>
      <c r="D482" s="117">
        <v>44637</v>
      </c>
      <c r="E482" s="118" t="s">
        <v>1698</v>
      </c>
      <c r="F482" s="118" t="s">
        <v>1699</v>
      </c>
      <c r="G482" s="111" t="s">
        <v>1504</v>
      </c>
      <c r="H482" s="111" t="s">
        <v>1858</v>
      </c>
      <c r="I482" s="119" t="s">
        <v>5</v>
      </c>
      <c r="J482" s="70"/>
      <c r="K482" s="118"/>
      <c r="L482" s="118" t="s">
        <v>1859</v>
      </c>
      <c r="M482" s="147"/>
      <c r="N482" s="111" t="s">
        <v>1860</v>
      </c>
      <c r="O482" s="111" t="s">
        <v>28</v>
      </c>
      <c r="P482" s="111" t="s">
        <v>103</v>
      </c>
      <c r="Q482" s="70" t="s">
        <v>510</v>
      </c>
      <c r="R482" s="111" t="s">
        <v>145</v>
      </c>
      <c r="S482" s="111"/>
      <c r="T482" s="70"/>
      <c r="U482" s="74"/>
      <c r="V482" s="158" t="s">
        <v>6</v>
      </c>
      <c r="W482" s="118" t="s">
        <v>1476</v>
      </c>
      <c r="X482" s="113">
        <v>44641</v>
      </c>
      <c r="Y482" s="117">
        <f t="shared" si="107"/>
        <v>44729</v>
      </c>
      <c r="Z482" s="187">
        <v>44683</v>
      </c>
      <c r="AA482" s="161" t="str">
        <f t="shared" ca="1" si="106"/>
        <v>YES</v>
      </c>
      <c r="AB482" s="113">
        <v>44629</v>
      </c>
      <c r="AC482" s="190">
        <v>44631</v>
      </c>
      <c r="AD482" s="187">
        <v>44742</v>
      </c>
      <c r="AE482" s="187">
        <v>44683</v>
      </c>
      <c r="AF482" s="114" t="str">
        <f t="shared" ca="1" si="108"/>
        <v>YES</v>
      </c>
      <c r="AG482" s="194">
        <v>98</v>
      </c>
      <c r="AH482" s="194">
        <v>0</v>
      </c>
      <c r="AI482" s="196">
        <f t="shared" si="109"/>
        <v>98</v>
      </c>
      <c r="AJ482" s="148" t="s">
        <v>6</v>
      </c>
      <c r="AK482" s="187">
        <v>44874</v>
      </c>
      <c r="AL482" s="70"/>
      <c r="AM482" s="165" t="str">
        <f t="shared" ref="AM482:AM487" si="111">CONCATENATE(B482," ",G482)</f>
        <v>22014 Parry Sugar</v>
      </c>
      <c r="AN482" s="165" t="str">
        <f t="shared" si="110"/>
        <v>22014 Parry Sugar : Wrong packing list</v>
      </c>
    </row>
    <row r="483" spans="1:40" ht="14.5" hidden="1" x14ac:dyDescent="0.35">
      <c r="A483" s="78" t="s">
        <v>1853</v>
      </c>
      <c r="B483" s="154">
        <v>22015</v>
      </c>
      <c r="C483" s="113" t="s">
        <v>8</v>
      </c>
      <c r="D483" s="117">
        <v>44651</v>
      </c>
      <c r="E483" s="118" t="s">
        <v>1664</v>
      </c>
      <c r="F483" s="118" t="s">
        <v>164</v>
      </c>
      <c r="G483" s="111" t="s">
        <v>1822</v>
      </c>
      <c r="H483" s="111" t="s">
        <v>1861</v>
      </c>
      <c r="I483" s="119" t="s">
        <v>2056</v>
      </c>
      <c r="J483" s="70"/>
      <c r="K483" s="118">
        <v>2113</v>
      </c>
      <c r="L483" s="118">
        <v>16809</v>
      </c>
      <c r="M483" s="147"/>
      <c r="N483" s="111" t="s">
        <v>1862</v>
      </c>
      <c r="O483" s="111" t="s">
        <v>29</v>
      </c>
      <c r="P483" s="111" t="s">
        <v>86</v>
      </c>
      <c r="Q483" s="70" t="s">
        <v>1629</v>
      </c>
      <c r="R483" s="111" t="s">
        <v>145</v>
      </c>
      <c r="S483" s="111"/>
      <c r="T483" s="70"/>
      <c r="U483" s="74"/>
      <c r="V483" s="158" t="s">
        <v>6</v>
      </c>
      <c r="W483" s="118" t="s">
        <v>1664</v>
      </c>
      <c r="X483" s="113">
        <v>44645</v>
      </c>
      <c r="Y483" s="117">
        <f t="shared" si="107"/>
        <v>44742</v>
      </c>
      <c r="Z483" s="187">
        <v>44712</v>
      </c>
      <c r="AA483" s="161" t="str">
        <f t="shared" ca="1" si="106"/>
        <v>YES</v>
      </c>
      <c r="AB483" s="113"/>
      <c r="AC483" s="70"/>
      <c r="AD483" s="70"/>
      <c r="AE483" s="70"/>
      <c r="AF483" s="114" t="str">
        <f t="shared" ca="1" si="108"/>
        <v>N/A</v>
      </c>
      <c r="AG483" s="194">
        <v>500</v>
      </c>
      <c r="AH483" s="194">
        <v>0</v>
      </c>
      <c r="AI483" s="196">
        <f t="shared" si="109"/>
        <v>500</v>
      </c>
      <c r="AJ483" s="148"/>
      <c r="AK483" s="70"/>
      <c r="AL483" s="70"/>
      <c r="AM483" s="165" t="str">
        <f t="shared" si="111"/>
        <v>22015 SUCRO</v>
      </c>
      <c r="AN483" s="165" t="str">
        <f t="shared" si="110"/>
        <v xml:space="preserve">22015 SUCRO : FRP sand filter nozzle plate thickness issue </v>
      </c>
    </row>
    <row r="484" spans="1:40" ht="14.5" hidden="1" x14ac:dyDescent="0.35">
      <c r="A484" s="206" t="s">
        <v>1863</v>
      </c>
      <c r="B484" s="154">
        <v>22016</v>
      </c>
      <c r="C484" s="113" t="s">
        <v>4</v>
      </c>
      <c r="D484" s="117">
        <v>44658</v>
      </c>
      <c r="E484" s="118" t="s">
        <v>1575</v>
      </c>
      <c r="F484" s="118" t="s">
        <v>164</v>
      </c>
      <c r="G484" s="111" t="s">
        <v>1864</v>
      </c>
      <c r="H484" s="111" t="s">
        <v>930</v>
      </c>
      <c r="I484" s="119" t="s">
        <v>2057</v>
      </c>
      <c r="J484" s="70"/>
      <c r="K484" s="118">
        <v>2104</v>
      </c>
      <c r="L484" s="118">
        <v>15841</v>
      </c>
      <c r="M484" s="147" t="s">
        <v>13</v>
      </c>
      <c r="N484" s="111" t="s">
        <v>1865</v>
      </c>
      <c r="O484" s="111" t="s">
        <v>29</v>
      </c>
      <c r="P484" s="111" t="s">
        <v>86</v>
      </c>
      <c r="Q484" s="70" t="s">
        <v>885</v>
      </c>
      <c r="R484" s="111" t="s">
        <v>9</v>
      </c>
      <c r="S484" s="111"/>
      <c r="T484" s="70"/>
      <c r="U484" s="74"/>
      <c r="V484" s="158" t="s">
        <v>6</v>
      </c>
      <c r="W484" s="118" t="s">
        <v>319</v>
      </c>
      <c r="X484" s="113">
        <v>44665</v>
      </c>
      <c r="Y484" s="117">
        <f t="shared" si="107"/>
        <v>44749</v>
      </c>
      <c r="Z484" s="187">
        <v>44749</v>
      </c>
      <c r="AA484" s="161" t="str">
        <f t="shared" ref="AA484:AA491" ca="1" si="112">IF(Z484="",IF(TODAY()&gt;Y484,"NO","YES"),IF(Z484&gt;Y484,"NO",IF(Z484&lt;Y484,"YES",IF(Y484=Z484,"YES","N/A"))))</f>
        <v>YES</v>
      </c>
      <c r="AB484" s="113"/>
      <c r="AC484" s="70"/>
      <c r="AD484" s="70"/>
      <c r="AE484" s="70"/>
      <c r="AF484" s="114" t="str">
        <f t="shared" ca="1" si="108"/>
        <v>N/A</v>
      </c>
      <c r="AG484" s="194">
        <v>980</v>
      </c>
      <c r="AH484" s="194">
        <v>21000</v>
      </c>
      <c r="AI484" s="196">
        <f t="shared" si="109"/>
        <v>21980</v>
      </c>
      <c r="AJ484" s="148" t="s">
        <v>6</v>
      </c>
      <c r="AK484" s="187">
        <v>45237</v>
      </c>
      <c r="AL484" s="70"/>
      <c r="AM484" s="165" t="str">
        <f t="shared" si="111"/>
        <v>22016 Cargill BOZ</v>
      </c>
      <c r="AN484" s="165" t="str">
        <f t="shared" si="110"/>
        <v>22016 Cargill BOZ : Manholes and davit design</v>
      </c>
    </row>
    <row r="485" spans="1:40" ht="14.5" hidden="1" x14ac:dyDescent="0.35">
      <c r="A485" s="78" t="s">
        <v>1866</v>
      </c>
      <c r="B485" s="154">
        <v>22017</v>
      </c>
      <c r="C485" s="113" t="s">
        <v>4</v>
      </c>
      <c r="D485" s="117">
        <v>44658</v>
      </c>
      <c r="E485" s="118" t="s">
        <v>273</v>
      </c>
      <c r="F485" s="118" t="s">
        <v>658</v>
      </c>
      <c r="G485" s="111" t="s">
        <v>2047</v>
      </c>
      <c r="H485" s="111" t="s">
        <v>807</v>
      </c>
      <c r="I485" s="119" t="s">
        <v>2058</v>
      </c>
      <c r="J485" s="70"/>
      <c r="K485" s="118"/>
      <c r="L485" s="118"/>
      <c r="M485" s="147"/>
      <c r="N485" s="111" t="s">
        <v>1867</v>
      </c>
      <c r="O485" s="111" t="s">
        <v>28</v>
      </c>
      <c r="P485" s="111" t="s">
        <v>103</v>
      </c>
      <c r="Q485" s="70" t="s">
        <v>1868</v>
      </c>
      <c r="R485" s="111" t="s">
        <v>87</v>
      </c>
      <c r="S485" s="111"/>
      <c r="T485" s="70"/>
      <c r="U485" s="74"/>
      <c r="V485" s="158" t="s">
        <v>6</v>
      </c>
      <c r="W485" s="118" t="s">
        <v>273</v>
      </c>
      <c r="X485" s="113">
        <v>44663</v>
      </c>
      <c r="Y485" s="117">
        <f t="shared" si="107"/>
        <v>44749</v>
      </c>
      <c r="Z485" s="187">
        <v>44732</v>
      </c>
      <c r="AA485" s="161" t="str">
        <f t="shared" ca="1" si="112"/>
        <v>YES</v>
      </c>
      <c r="AB485" s="113"/>
      <c r="AC485" s="70"/>
      <c r="AD485" s="70"/>
      <c r="AE485" s="70"/>
      <c r="AF485" s="114" t="str">
        <f t="shared" ca="1" si="108"/>
        <v>N/A</v>
      </c>
      <c r="AG485" s="194">
        <v>1470</v>
      </c>
      <c r="AH485" s="194">
        <v>0</v>
      </c>
      <c r="AI485" s="196">
        <f t="shared" si="109"/>
        <v>1470</v>
      </c>
      <c r="AJ485" s="148" t="s">
        <v>6</v>
      </c>
      <c r="AK485" s="187">
        <v>44874</v>
      </c>
      <c r="AL485" s="70"/>
      <c r="AM485" s="165" t="str">
        <f t="shared" si="111"/>
        <v>22017 interne</v>
      </c>
      <c r="AN485" s="165" t="str">
        <f t="shared" si="110"/>
        <v>22017 interne : Hot water leakage</v>
      </c>
    </row>
    <row r="486" spans="1:40" ht="14.15" hidden="1" customHeight="1" x14ac:dyDescent="0.35">
      <c r="A486" s="153" t="s">
        <v>1869</v>
      </c>
      <c r="B486" s="154">
        <v>22018</v>
      </c>
      <c r="C486" s="113" t="s">
        <v>4</v>
      </c>
      <c r="D486" s="117">
        <v>44659</v>
      </c>
      <c r="E486" s="118" t="s">
        <v>1396</v>
      </c>
      <c r="F486" s="118" t="s">
        <v>164</v>
      </c>
      <c r="G486" s="111" t="s">
        <v>1704</v>
      </c>
      <c r="H486" s="111"/>
      <c r="I486" s="119" t="s">
        <v>2057</v>
      </c>
      <c r="J486" s="70"/>
      <c r="K486" s="118">
        <v>2105</v>
      </c>
      <c r="L486" s="118">
        <v>15099</v>
      </c>
      <c r="M486" s="147" t="s">
        <v>672</v>
      </c>
      <c r="N486" s="111" t="s">
        <v>1870</v>
      </c>
      <c r="O486" s="111" t="s">
        <v>29</v>
      </c>
      <c r="P486" s="111" t="s">
        <v>176</v>
      </c>
      <c r="Q486" s="70" t="s">
        <v>1358</v>
      </c>
      <c r="R486" s="111" t="s">
        <v>9</v>
      </c>
      <c r="S486" s="111"/>
      <c r="T486" s="70"/>
      <c r="U486" s="74"/>
      <c r="V486" s="158" t="s">
        <v>6</v>
      </c>
      <c r="W486" s="118" t="s">
        <v>1871</v>
      </c>
      <c r="X486" s="113">
        <v>44685</v>
      </c>
      <c r="Y486" s="117">
        <f t="shared" ref="Y486:Y491" si="113">EDATE(D486,3)</f>
        <v>44750</v>
      </c>
      <c r="Z486" s="187">
        <v>44742</v>
      </c>
      <c r="AA486" s="161" t="str">
        <f t="shared" ca="1" si="112"/>
        <v>YES</v>
      </c>
      <c r="AB486" s="113"/>
      <c r="AC486" s="70"/>
      <c r="AD486" s="70"/>
      <c r="AE486" s="70"/>
      <c r="AF486" s="114" t="str">
        <f ca="1">IF(I486="Claim",IF(AD486="","",IF(AE486="",IF(TODAY()&gt;AD486,"NO","YES"),IF(AE486&gt;AD486,"NO",IF(AE486&lt;AD486,"YES",IF(AD486=AE486,"YES","N/A"))))),"N/A")</f>
        <v>N/A</v>
      </c>
      <c r="AG486" s="194">
        <v>490</v>
      </c>
      <c r="AH486" s="194">
        <v>0</v>
      </c>
      <c r="AI486" s="196">
        <f>AH486+AG486</f>
        <v>490</v>
      </c>
      <c r="AJ486" s="148" t="s">
        <v>6</v>
      </c>
      <c r="AK486" s="187">
        <v>45240</v>
      </c>
      <c r="AL486" s="70"/>
      <c r="AM486" s="165" t="str">
        <f t="shared" si="111"/>
        <v>22018 Savola</v>
      </c>
      <c r="AN486" s="165" t="str">
        <f t="shared" ref="AN486:AN491" si="114">CONCATENATE(B486," ",G486," : ",N486)</f>
        <v>22018 Savola : Shipping documents and custom clearance issues</v>
      </c>
    </row>
    <row r="487" spans="1:40" ht="14.5" hidden="1" x14ac:dyDescent="0.35">
      <c r="A487" s="78" t="s">
        <v>1872</v>
      </c>
      <c r="B487" s="154">
        <v>22019</v>
      </c>
      <c r="C487" s="113" t="s">
        <v>4</v>
      </c>
      <c r="D487" s="117">
        <v>44663</v>
      </c>
      <c r="E487" s="118" t="s">
        <v>91</v>
      </c>
      <c r="F487" s="118" t="s">
        <v>658</v>
      </c>
      <c r="G487" s="111" t="s">
        <v>1873</v>
      </c>
      <c r="H487" s="111" t="s">
        <v>597</v>
      </c>
      <c r="I487" s="119" t="s">
        <v>2057</v>
      </c>
      <c r="J487" s="70" t="s">
        <v>1332</v>
      </c>
      <c r="K487" s="118" t="s">
        <v>1874</v>
      </c>
      <c r="L487" s="118">
        <v>18076</v>
      </c>
      <c r="M487" s="147" t="s">
        <v>11</v>
      </c>
      <c r="N487" s="111" t="s">
        <v>1875</v>
      </c>
      <c r="O487" s="111" t="s">
        <v>28</v>
      </c>
      <c r="P487" s="111" t="s">
        <v>103</v>
      </c>
      <c r="Q487" s="70" t="s">
        <v>1830</v>
      </c>
      <c r="R487" s="111" t="s">
        <v>9</v>
      </c>
      <c r="S487" s="111"/>
      <c r="T487" s="70"/>
      <c r="U487" s="74"/>
      <c r="V487" s="158" t="s">
        <v>6</v>
      </c>
      <c r="W487" s="118" t="s">
        <v>120</v>
      </c>
      <c r="X487" s="113">
        <v>44684</v>
      </c>
      <c r="Y487" s="117">
        <f t="shared" si="113"/>
        <v>44754</v>
      </c>
      <c r="Z487" s="187">
        <v>44732</v>
      </c>
      <c r="AA487" s="161" t="str">
        <f t="shared" ca="1" si="112"/>
        <v>YES</v>
      </c>
      <c r="AB487" s="113"/>
      <c r="AC487" s="70"/>
      <c r="AD487" s="70"/>
      <c r="AE487" s="70"/>
      <c r="AF487" s="114" t="str">
        <f ca="1">IF(I487="Claim",IF(AD487="","",IF(AE487="",IF(TODAY()&gt;AD487,"NO","YES"),IF(AE487&gt;AD487,"NO",IF(AE487&lt;AD487,"YES",IF(AD487=AE487,"YES","N/A"))))),"N/A")</f>
        <v>N/A</v>
      </c>
      <c r="AG487" s="194">
        <v>294</v>
      </c>
      <c r="AH487" s="194">
        <v>9500</v>
      </c>
      <c r="AI487" s="196">
        <f>AH487+AG487</f>
        <v>9794</v>
      </c>
      <c r="AJ487" s="148" t="s">
        <v>6</v>
      </c>
      <c r="AK487" s="187">
        <v>45236</v>
      </c>
      <c r="AL487" s="70" t="s">
        <v>1876</v>
      </c>
      <c r="AM487" s="165" t="str">
        <f t="shared" si="111"/>
        <v>22019 ADM Chamtor</v>
      </c>
      <c r="AN487" s="165" t="str">
        <f t="shared" si="114"/>
        <v>22019 ADM Chamtor : Piping budget underestimated</v>
      </c>
    </row>
    <row r="488" spans="1:40" ht="14.5" hidden="1" x14ac:dyDescent="0.35">
      <c r="A488" s="78" t="s">
        <v>1877</v>
      </c>
      <c r="B488" s="154">
        <v>22020</v>
      </c>
      <c r="C488" s="113" t="s">
        <v>4</v>
      </c>
      <c r="D488" s="117">
        <v>44677</v>
      </c>
      <c r="E488" s="118" t="s">
        <v>195</v>
      </c>
      <c r="F488" s="118" t="s">
        <v>420</v>
      </c>
      <c r="G488" s="111" t="s">
        <v>1878</v>
      </c>
      <c r="H488" s="111"/>
      <c r="I488" s="119" t="s">
        <v>2058</v>
      </c>
      <c r="J488" s="70"/>
      <c r="K488" s="118" t="s">
        <v>1879</v>
      </c>
      <c r="L488" s="118"/>
      <c r="M488" s="147"/>
      <c r="N488" s="111" t="s">
        <v>1880</v>
      </c>
      <c r="O488" s="111" t="s">
        <v>420</v>
      </c>
      <c r="P488" s="111" t="s">
        <v>80</v>
      </c>
      <c r="Q488" s="70" t="s">
        <v>1543</v>
      </c>
      <c r="R488" s="111" t="s">
        <v>87</v>
      </c>
      <c r="S488" s="111"/>
      <c r="T488" s="70"/>
      <c r="U488" s="74"/>
      <c r="V488" s="158" t="s">
        <v>6</v>
      </c>
      <c r="W488" s="118" t="s">
        <v>1647</v>
      </c>
      <c r="X488" s="113">
        <v>44690</v>
      </c>
      <c r="Y488" s="117">
        <f t="shared" si="113"/>
        <v>44768</v>
      </c>
      <c r="Z488" s="187">
        <v>44733</v>
      </c>
      <c r="AA488" s="161" t="str">
        <f t="shared" ca="1" si="112"/>
        <v>YES</v>
      </c>
      <c r="AB488" s="113"/>
      <c r="AC488" s="70"/>
      <c r="AD488" s="70"/>
      <c r="AE488" s="70"/>
      <c r="AF488" s="114" t="str">
        <f ca="1">IF(I488="Claim",IF(AD488="","",IF(AE488="",IF(TODAY()&gt;AD488,"NO","YES"),IF(AE488&gt;AD488,"NO",IF(AE488&lt;AD488,"YES",IF(AD488=AE488,"YES","N/A"))))),"N/A")</f>
        <v>N/A</v>
      </c>
      <c r="AG488" s="194">
        <v>294</v>
      </c>
      <c r="AH488" s="194">
        <v>0</v>
      </c>
      <c r="AI488" s="196">
        <f>AH488+AG488</f>
        <v>294</v>
      </c>
      <c r="AJ488" s="148" t="s">
        <v>6</v>
      </c>
      <c r="AK488" s="187">
        <v>45238</v>
      </c>
      <c r="AL488" s="70"/>
      <c r="AM488" s="165" t="str">
        <f t="shared" ref="AM488:AM493" si="115">CONCATENATE(B488," ",G488)</f>
        <v>22020 TREDI</v>
      </c>
      <c r="AN488" s="165" t="str">
        <f t="shared" si="114"/>
        <v>22020 TREDI : Brine IBC leak</v>
      </c>
    </row>
    <row r="489" spans="1:40" ht="14.5" hidden="1" x14ac:dyDescent="0.35">
      <c r="A489" s="78" t="s">
        <v>1881</v>
      </c>
      <c r="B489" s="154">
        <v>22021</v>
      </c>
      <c r="C489" s="113" t="s">
        <v>4</v>
      </c>
      <c r="D489" s="117">
        <v>44677</v>
      </c>
      <c r="E489" s="118" t="s">
        <v>195</v>
      </c>
      <c r="F489" s="118" t="s">
        <v>420</v>
      </c>
      <c r="G489" s="111" t="s">
        <v>1882</v>
      </c>
      <c r="H489" s="111"/>
      <c r="I489" s="119" t="s">
        <v>2058</v>
      </c>
      <c r="J489" s="70"/>
      <c r="K489" s="118" t="s">
        <v>1883</v>
      </c>
      <c r="L489" s="118"/>
      <c r="M489" s="147" t="s">
        <v>955</v>
      </c>
      <c r="N489" s="111" t="s">
        <v>1884</v>
      </c>
      <c r="O489" s="111" t="s">
        <v>420</v>
      </c>
      <c r="P489" s="111" t="s">
        <v>80</v>
      </c>
      <c r="Q489" s="70" t="s">
        <v>1543</v>
      </c>
      <c r="R489" s="111" t="s">
        <v>87</v>
      </c>
      <c r="S489" s="111"/>
      <c r="T489" s="70"/>
      <c r="U489" s="74"/>
      <c r="V489" s="158" t="s">
        <v>6</v>
      </c>
      <c r="W489" s="118" t="s">
        <v>1647</v>
      </c>
      <c r="X489" s="113">
        <v>44690</v>
      </c>
      <c r="Y489" s="117">
        <f t="shared" si="113"/>
        <v>44768</v>
      </c>
      <c r="Z489" s="187">
        <v>44733</v>
      </c>
      <c r="AA489" s="161" t="str">
        <f t="shared" ca="1" si="112"/>
        <v>YES</v>
      </c>
      <c r="AB489" s="113"/>
      <c r="AC489" s="70"/>
      <c r="AD489" s="70"/>
      <c r="AE489" s="70"/>
      <c r="AF489" s="114" t="str">
        <f ca="1">IF(I489="Claim",IF(AD489="","",IF(AE489="",IF(TODAY()&gt;AD489,"NO","YES"),IF(AE489&gt;AD489,"NO",IF(AE489&lt;AD489,"YES",IF(AD489=AE489,"YES","N/A"))))),"N/A")</f>
        <v>N/A</v>
      </c>
      <c r="AG489" s="194">
        <v>490</v>
      </c>
      <c r="AH489" s="194">
        <v>1163</v>
      </c>
      <c r="AI489" s="196">
        <f>AH489+AG489</f>
        <v>1653</v>
      </c>
      <c r="AJ489" s="148" t="s">
        <v>6</v>
      </c>
      <c r="AK489" s="187">
        <v>45238</v>
      </c>
      <c r="AL489" s="70"/>
      <c r="AM489" s="165" t="str">
        <f t="shared" si="115"/>
        <v>22021 Damhert</v>
      </c>
      <c r="AN489" s="165" t="str">
        <f t="shared" si="114"/>
        <v>22021 Damhert : Glycol water leak on 7l evapo</v>
      </c>
    </row>
    <row r="490" spans="1:40" ht="14.5" hidden="1" x14ac:dyDescent="0.35">
      <c r="A490" s="78" t="s">
        <v>1885</v>
      </c>
      <c r="B490" s="154">
        <v>22022</v>
      </c>
      <c r="C490" s="113" t="s">
        <v>4</v>
      </c>
      <c r="D490" s="117">
        <v>44700</v>
      </c>
      <c r="E490" s="118" t="s">
        <v>1019</v>
      </c>
      <c r="F490" s="118" t="s">
        <v>658</v>
      </c>
      <c r="G490" s="111" t="s">
        <v>1886</v>
      </c>
      <c r="H490" s="111"/>
      <c r="I490" s="119" t="s">
        <v>5</v>
      </c>
      <c r="J490" s="70"/>
      <c r="K490" s="118"/>
      <c r="L490" s="118" t="s">
        <v>1887</v>
      </c>
      <c r="M490" s="147" t="s">
        <v>13</v>
      </c>
      <c r="N490" s="111" t="s">
        <v>1888</v>
      </c>
      <c r="O490" s="111" t="s">
        <v>28</v>
      </c>
      <c r="P490" s="111" t="s">
        <v>103</v>
      </c>
      <c r="Q490" s="70" t="s">
        <v>1889</v>
      </c>
      <c r="R490" s="111" t="s">
        <v>1890</v>
      </c>
      <c r="S490" s="111"/>
      <c r="T490" s="70"/>
      <c r="U490" s="74"/>
      <c r="V490" s="158" t="s">
        <v>6</v>
      </c>
      <c r="W490" s="118" t="s">
        <v>1891</v>
      </c>
      <c r="X490" s="113">
        <v>44697</v>
      </c>
      <c r="Y490" s="117">
        <f t="shared" si="113"/>
        <v>44792</v>
      </c>
      <c r="Z490" s="187">
        <v>44803</v>
      </c>
      <c r="AA490" s="161" t="str">
        <f t="shared" ca="1" si="112"/>
        <v>NO</v>
      </c>
      <c r="AB490" s="113">
        <v>44691</v>
      </c>
      <c r="AC490" s="187">
        <v>44691</v>
      </c>
      <c r="AD490" s="187">
        <v>44804</v>
      </c>
      <c r="AE490" s="187">
        <v>44803</v>
      </c>
      <c r="AF490" s="114" t="str">
        <f t="shared" ref="AF490:AF491" ca="1" si="116">IF(I490="Claim",IF(AD490="","",IF(AE490="",IF(TODAY()&gt;AD490,"NO","YES"),IF(AE490&gt;AD490,"NO",IF(AE490&lt;AD490,"YES",IF(AD490=AE490,"YES","N/A"))))),"N/A")</f>
        <v>YES</v>
      </c>
      <c r="AG490" s="194">
        <v>2450</v>
      </c>
      <c r="AH490" s="194">
        <v>0</v>
      </c>
      <c r="AI490" s="196">
        <f>AH490+AG490</f>
        <v>2450</v>
      </c>
      <c r="AJ490" s="148"/>
      <c r="AK490" s="70" t="s">
        <v>2045</v>
      </c>
      <c r="AL490" s="70"/>
      <c r="AM490" s="165" t="str">
        <f t="shared" si="115"/>
        <v>22022 CJ Bio</v>
      </c>
      <c r="AN490" s="165" t="str">
        <f t="shared" si="114"/>
        <v>22022 CJ Bio : Automatic by pass cell procedure cIEX</v>
      </c>
    </row>
    <row r="491" spans="1:40" ht="14.5" hidden="1" x14ac:dyDescent="0.35">
      <c r="A491" s="78" t="s">
        <v>1853</v>
      </c>
      <c r="B491" s="207">
        <v>22023</v>
      </c>
      <c r="C491" s="208" t="s">
        <v>8</v>
      </c>
      <c r="D491" s="209">
        <v>44705</v>
      </c>
      <c r="E491" s="210" t="s">
        <v>1745</v>
      </c>
      <c r="F491" s="210" t="s">
        <v>658</v>
      </c>
      <c r="G491" s="211" t="s">
        <v>782</v>
      </c>
      <c r="H491" s="211" t="s">
        <v>357</v>
      </c>
      <c r="I491" s="212" t="s">
        <v>5</v>
      </c>
      <c r="J491" s="73"/>
      <c r="K491" s="210"/>
      <c r="L491" s="210">
        <v>75.233099999999993</v>
      </c>
      <c r="M491" s="213" t="s">
        <v>338</v>
      </c>
      <c r="N491" s="211" t="s">
        <v>1892</v>
      </c>
      <c r="O491" s="211" t="s">
        <v>28</v>
      </c>
      <c r="P491" s="211" t="s">
        <v>103</v>
      </c>
      <c r="Q491" s="73" t="s">
        <v>176</v>
      </c>
      <c r="R491" s="211" t="s">
        <v>9</v>
      </c>
      <c r="S491" s="211"/>
      <c r="T491" s="73"/>
      <c r="U491" s="74"/>
      <c r="V491" s="215" t="s">
        <v>6</v>
      </c>
      <c r="W491" s="210" t="s">
        <v>1745</v>
      </c>
      <c r="X491" s="208">
        <v>44687</v>
      </c>
      <c r="Y491" s="209">
        <f t="shared" si="113"/>
        <v>44797</v>
      </c>
      <c r="Z491" s="221">
        <v>44796</v>
      </c>
      <c r="AA491" s="216" t="str">
        <f t="shared" ca="1" si="112"/>
        <v>YES</v>
      </c>
      <c r="AB491" s="208">
        <v>44697</v>
      </c>
      <c r="AC491" s="208">
        <v>44697</v>
      </c>
      <c r="AD491" s="221">
        <v>44804</v>
      </c>
      <c r="AE491" s="221">
        <v>44796</v>
      </c>
      <c r="AF491" s="217" t="str">
        <f t="shared" ca="1" si="116"/>
        <v>YES</v>
      </c>
      <c r="AG491" s="218">
        <v>0</v>
      </c>
      <c r="AH491" s="218">
        <v>6595</v>
      </c>
      <c r="AI491" s="222">
        <f>CHRONO_CAP[[#This Row],[Hours (€)]]+CHRONO_CAP[[#This Row],[Eqmt (€)]]</f>
        <v>6595</v>
      </c>
      <c r="AJ491" s="219"/>
      <c r="AK491" s="73"/>
      <c r="AL491" s="73"/>
      <c r="AM491" s="220" t="str">
        <f t="shared" si="115"/>
        <v>22023 BBCA</v>
      </c>
      <c r="AN491" s="220" t="str">
        <f t="shared" si="114"/>
        <v>22023 BBCA : Order placing late</v>
      </c>
    </row>
    <row r="492" spans="1:40" ht="14.5" hidden="1" x14ac:dyDescent="0.35">
      <c r="A492" s="78" t="s">
        <v>1853</v>
      </c>
      <c r="B492" s="207">
        <v>22024</v>
      </c>
      <c r="C492" s="208" t="s">
        <v>8</v>
      </c>
      <c r="D492" s="209">
        <v>44711</v>
      </c>
      <c r="E492" s="210" t="s">
        <v>1664</v>
      </c>
      <c r="F492" s="210" t="s">
        <v>164</v>
      </c>
      <c r="G492" s="211" t="s">
        <v>1811</v>
      </c>
      <c r="H492" s="211" t="s">
        <v>1796</v>
      </c>
      <c r="I492" s="212" t="s">
        <v>17</v>
      </c>
      <c r="J492" s="73"/>
      <c r="K492" s="210">
        <v>2092</v>
      </c>
      <c r="L492" s="210">
        <v>15490</v>
      </c>
      <c r="M492" s="213" t="s">
        <v>11</v>
      </c>
      <c r="N492" s="214" t="s">
        <v>1893</v>
      </c>
      <c r="O492" s="211" t="s">
        <v>29</v>
      </c>
      <c r="P492" s="211" t="s">
        <v>86</v>
      </c>
      <c r="Q492" s="73" t="s">
        <v>1036</v>
      </c>
      <c r="R492" s="211" t="s">
        <v>9</v>
      </c>
      <c r="S492" s="211"/>
      <c r="T492" s="73"/>
      <c r="U492" s="74"/>
      <c r="V492" s="215" t="s">
        <v>6</v>
      </c>
      <c r="W492" s="210" t="s">
        <v>1664</v>
      </c>
      <c r="X492" s="208">
        <v>44706</v>
      </c>
      <c r="Y492" s="209">
        <f t="shared" ref="Y492:Y497" si="117">EDATE(D492,3)</f>
        <v>44803</v>
      </c>
      <c r="Z492" s="221">
        <v>44776</v>
      </c>
      <c r="AA492" s="216" t="str">
        <f t="shared" ref="AA492:AA497" ca="1" si="118">IF(Z492="",IF(TODAY()&gt;Y492,"NO","YES"),IF(Z492&gt;Y492,"NO",IF(Z492&lt;Y492,"YES",IF(Y492=Z492,"YES","N/A"))))</f>
        <v>YES</v>
      </c>
      <c r="AB492" s="208"/>
      <c r="AC492" s="73"/>
      <c r="AD492" s="73"/>
      <c r="AE492" s="73"/>
      <c r="AF492" s="217" t="s">
        <v>1894</v>
      </c>
      <c r="AG492" s="218">
        <v>1000</v>
      </c>
      <c r="AH492" s="218">
        <v>1667</v>
      </c>
      <c r="AI492" s="196">
        <f>AG492+AH492</f>
        <v>2667</v>
      </c>
      <c r="AJ492" s="219"/>
      <c r="AK492" s="73"/>
      <c r="AL492" s="73"/>
      <c r="AM492" s="220" t="str">
        <f t="shared" si="115"/>
        <v>22024 SQ12</v>
      </c>
      <c r="AN492" s="220" t="str">
        <f t="shared" ref="AN492:AN497" si="119">CONCATENATE(B492," ",G492," : ",N492)</f>
        <v>22024 SQ12 : Internal leakage in rubber lining connection piping</v>
      </c>
    </row>
    <row r="493" spans="1:40" ht="14.5" hidden="1" x14ac:dyDescent="0.35">
      <c r="A493" s="78" t="s">
        <v>1895</v>
      </c>
      <c r="B493" s="154">
        <v>22025</v>
      </c>
      <c r="C493" s="113" t="s">
        <v>8</v>
      </c>
      <c r="D493" s="117">
        <v>44711</v>
      </c>
      <c r="E493" s="118" t="s">
        <v>1896</v>
      </c>
      <c r="F493" s="118" t="s">
        <v>164</v>
      </c>
      <c r="G493" s="111" t="s">
        <v>1807</v>
      </c>
      <c r="H493" s="111" t="s">
        <v>1897</v>
      </c>
      <c r="I493" s="119" t="s">
        <v>14</v>
      </c>
      <c r="J493" s="70"/>
      <c r="K493" s="145">
        <v>2082</v>
      </c>
      <c r="L493" s="118">
        <v>14552</v>
      </c>
      <c r="M493" s="147" t="s">
        <v>1898</v>
      </c>
      <c r="N493" s="111" t="s">
        <v>1899</v>
      </c>
      <c r="O493" s="111" t="s">
        <v>29</v>
      </c>
      <c r="P493" s="111" t="s">
        <v>86</v>
      </c>
      <c r="Q493" s="70" t="s">
        <v>916</v>
      </c>
      <c r="R493" s="111" t="s">
        <v>145</v>
      </c>
      <c r="S493" s="111"/>
      <c r="T493" s="70"/>
      <c r="U493" s="74"/>
      <c r="V493" s="158" t="s">
        <v>6</v>
      </c>
      <c r="W493" s="118" t="s">
        <v>1900</v>
      </c>
      <c r="X493" s="113">
        <v>44704</v>
      </c>
      <c r="Y493" s="117">
        <f t="shared" si="117"/>
        <v>44803</v>
      </c>
      <c r="Z493" s="187">
        <v>44799</v>
      </c>
      <c r="AA493" s="161" t="str">
        <f t="shared" ca="1" si="118"/>
        <v>YES</v>
      </c>
      <c r="AB493" s="113"/>
      <c r="AC493" s="70"/>
      <c r="AD493" s="70"/>
      <c r="AE493" s="70"/>
      <c r="AF493" s="114" t="str">
        <f t="shared" ref="AF493:AF498" ca="1" si="120">IF(I493="Claim",IF(AD493="","",IF(AE493="",IF(TODAY()&gt;AD493,"NO","YES"),IF(AE493&gt;AD493,"NO",IF(AE493&lt;AD493,"YES",IF(AD493=AE493,"YES","N/A"))))),"N/A")</f>
        <v>N/A</v>
      </c>
      <c r="AG493" s="218">
        <v>1500</v>
      </c>
      <c r="AH493" s="218">
        <v>1103</v>
      </c>
      <c r="AI493" s="196">
        <f t="shared" ref="AI493:AI497" si="121">AH493+AG493</f>
        <v>2603</v>
      </c>
      <c r="AJ493" s="148"/>
      <c r="AK493" s="70"/>
      <c r="AL493" s="70"/>
      <c r="AM493" s="165" t="str">
        <f t="shared" si="115"/>
        <v>22025 SQ10</v>
      </c>
      <c r="AN493" s="165" t="str">
        <f t="shared" si="119"/>
        <v>22025 SQ10 : Fine particle in gravel of SQ10 SSMB</v>
      </c>
    </row>
    <row r="494" spans="1:40" ht="14.5" hidden="1" x14ac:dyDescent="0.35">
      <c r="A494" s="78" t="s">
        <v>1901</v>
      </c>
      <c r="B494" s="154">
        <v>22026</v>
      </c>
      <c r="C494" s="113" t="s">
        <v>4</v>
      </c>
      <c r="D494" s="117">
        <v>44715</v>
      </c>
      <c r="E494" s="118" t="s">
        <v>621</v>
      </c>
      <c r="F494" s="118" t="s">
        <v>164</v>
      </c>
      <c r="G494" s="146" t="s">
        <v>1291</v>
      </c>
      <c r="H494" s="111"/>
      <c r="I494" s="119" t="s">
        <v>2057</v>
      </c>
      <c r="J494" s="70"/>
      <c r="K494" s="118">
        <v>2066</v>
      </c>
      <c r="L494" s="118">
        <v>13829</v>
      </c>
      <c r="M494" s="147" t="s">
        <v>700</v>
      </c>
      <c r="N494" s="111" t="s">
        <v>1902</v>
      </c>
      <c r="O494" s="111" t="s">
        <v>29</v>
      </c>
      <c r="P494" s="111" t="s">
        <v>86</v>
      </c>
      <c r="Q494" s="70" t="s">
        <v>605</v>
      </c>
      <c r="R494" s="111" t="s">
        <v>9</v>
      </c>
      <c r="S494" s="111"/>
      <c r="T494" s="70"/>
      <c r="U494" s="74"/>
      <c r="V494" s="158" t="s">
        <v>6</v>
      </c>
      <c r="W494" s="118" t="s">
        <v>319</v>
      </c>
      <c r="X494" s="113">
        <v>44719</v>
      </c>
      <c r="Y494" s="117">
        <f t="shared" si="117"/>
        <v>44807</v>
      </c>
      <c r="Z494" s="187">
        <v>44797</v>
      </c>
      <c r="AA494" s="161" t="str">
        <f t="shared" ca="1" si="118"/>
        <v>YES</v>
      </c>
      <c r="AB494" s="113"/>
      <c r="AC494" s="70"/>
      <c r="AD494" s="70"/>
      <c r="AE494" s="70"/>
      <c r="AF494" s="114" t="str">
        <f t="shared" ca="1" si="120"/>
        <v>N/A</v>
      </c>
      <c r="AG494" s="194">
        <v>784</v>
      </c>
      <c r="AH494" s="194">
        <v>0</v>
      </c>
      <c r="AI494" s="196">
        <f t="shared" si="121"/>
        <v>784</v>
      </c>
      <c r="AJ494" s="148"/>
      <c r="AK494" s="70" t="s">
        <v>2045</v>
      </c>
      <c r="AL494" s="70" t="s">
        <v>2099</v>
      </c>
      <c r="AM494" s="165" t="str">
        <f t="shared" ref="AM494:AM499" si="122">CONCATENATE(B494," ",G494)</f>
        <v>22026 BENEO Chili</v>
      </c>
      <c r="AN494" s="165" t="str">
        <f t="shared" si="119"/>
        <v>22026 BENEO Chili : Wrong installation of Flowmeters on front pipings</v>
      </c>
    </row>
    <row r="495" spans="1:40" ht="14.5" hidden="1" x14ac:dyDescent="0.35">
      <c r="A495" s="78" t="s">
        <v>1903</v>
      </c>
      <c r="B495" s="154">
        <v>22027</v>
      </c>
      <c r="C495" s="113" t="s">
        <v>4</v>
      </c>
      <c r="D495" s="117">
        <v>44715</v>
      </c>
      <c r="E495" s="118" t="s">
        <v>1844</v>
      </c>
      <c r="F495" s="118" t="s">
        <v>164</v>
      </c>
      <c r="G495" s="111" t="s">
        <v>1904</v>
      </c>
      <c r="H495" s="111"/>
      <c r="I495" s="119" t="s">
        <v>5</v>
      </c>
      <c r="J495" s="70"/>
      <c r="K495" s="118">
        <v>2137</v>
      </c>
      <c r="L495" s="118">
        <v>18080</v>
      </c>
      <c r="M495" s="147" t="s">
        <v>11</v>
      </c>
      <c r="N495" s="111" t="s">
        <v>1905</v>
      </c>
      <c r="O495" s="111" t="s">
        <v>29</v>
      </c>
      <c r="P495" s="111" t="s">
        <v>86</v>
      </c>
      <c r="Q495" s="70" t="s">
        <v>522</v>
      </c>
      <c r="R495" s="111" t="s">
        <v>9</v>
      </c>
      <c r="S495" s="111"/>
      <c r="T495" s="70"/>
      <c r="U495" s="74"/>
      <c r="V495" s="158" t="s">
        <v>6</v>
      </c>
      <c r="W495" s="118" t="s">
        <v>319</v>
      </c>
      <c r="X495" s="113">
        <v>44719</v>
      </c>
      <c r="Y495" s="117">
        <f t="shared" si="117"/>
        <v>44807</v>
      </c>
      <c r="Z495" s="187">
        <v>44768</v>
      </c>
      <c r="AA495" s="161" t="str">
        <f t="shared" ca="1" si="118"/>
        <v>YES</v>
      </c>
      <c r="AB495" s="113">
        <v>44694</v>
      </c>
      <c r="AC495" s="187">
        <v>44700</v>
      </c>
      <c r="AD495" s="187">
        <v>44834</v>
      </c>
      <c r="AE495" s="187">
        <v>44768</v>
      </c>
      <c r="AF495" s="114" t="str">
        <f t="shared" ca="1" si="120"/>
        <v>YES</v>
      </c>
      <c r="AG495" s="194">
        <v>588</v>
      </c>
      <c r="AH495" s="194">
        <v>0</v>
      </c>
      <c r="AI495" s="196">
        <f t="shared" si="121"/>
        <v>588</v>
      </c>
      <c r="AJ495" s="148"/>
      <c r="AK495" s="70" t="s">
        <v>2045</v>
      </c>
      <c r="AL495" s="70"/>
      <c r="AM495" s="165" t="str">
        <f t="shared" si="122"/>
        <v>22027 LEKAI</v>
      </c>
      <c r="AN495" s="165" t="str">
        <f t="shared" si="119"/>
        <v>22027 LEKAI : Layout and Civil work drawings</v>
      </c>
    </row>
    <row r="496" spans="1:40" ht="14.5" hidden="1" x14ac:dyDescent="0.35">
      <c r="A496" s="78" t="s">
        <v>1906</v>
      </c>
      <c r="B496" s="154">
        <v>22028</v>
      </c>
      <c r="C496" s="113" t="s">
        <v>4</v>
      </c>
      <c r="D496" s="117">
        <v>44760</v>
      </c>
      <c r="E496" s="118" t="s">
        <v>1907</v>
      </c>
      <c r="F496" s="118" t="s">
        <v>164</v>
      </c>
      <c r="G496" s="111" t="s">
        <v>1908</v>
      </c>
      <c r="H496" s="111" t="s">
        <v>1041</v>
      </c>
      <c r="I496" s="119" t="s">
        <v>2057</v>
      </c>
      <c r="J496" s="70"/>
      <c r="K496" s="118">
        <v>2107</v>
      </c>
      <c r="L496" s="118">
        <v>13737</v>
      </c>
      <c r="M496" s="147" t="s">
        <v>1827</v>
      </c>
      <c r="N496" s="111" t="s">
        <v>1909</v>
      </c>
      <c r="O496" s="111" t="s">
        <v>29</v>
      </c>
      <c r="P496" s="111" t="s">
        <v>176</v>
      </c>
      <c r="Q496" s="70" t="s">
        <v>510</v>
      </c>
      <c r="R496" s="111" t="s">
        <v>9</v>
      </c>
      <c r="S496" s="111"/>
      <c r="T496" s="70"/>
      <c r="U496" s="74"/>
      <c r="V496" s="158" t="s">
        <v>6</v>
      </c>
      <c r="W496" s="118" t="s">
        <v>1907</v>
      </c>
      <c r="X496" s="113">
        <v>44762</v>
      </c>
      <c r="Y496" s="117">
        <f t="shared" si="117"/>
        <v>44852</v>
      </c>
      <c r="Z496" s="187">
        <v>44844</v>
      </c>
      <c r="AA496" s="161" t="str">
        <f t="shared" ca="1" si="118"/>
        <v>YES</v>
      </c>
      <c r="AB496" s="113"/>
      <c r="AC496" s="70"/>
      <c r="AD496" s="70"/>
      <c r="AE496" s="70"/>
      <c r="AF496" s="114" t="str">
        <f t="shared" ca="1" si="120"/>
        <v>N/A</v>
      </c>
      <c r="AG496" s="194">
        <v>490</v>
      </c>
      <c r="AH496" s="194">
        <v>2680</v>
      </c>
      <c r="AI496" s="196">
        <f t="shared" si="121"/>
        <v>3170</v>
      </c>
      <c r="AJ496" s="148" t="s">
        <v>6</v>
      </c>
      <c r="AK496" s="187">
        <v>45233</v>
      </c>
      <c r="AL496" s="70"/>
      <c r="AM496" s="165" t="str">
        <f t="shared" si="122"/>
        <v>22028 KIRSANOV</v>
      </c>
      <c r="AN496" s="165" t="str">
        <f t="shared" si="119"/>
        <v>22028 KIRSANOV : Forgot to ship the gravel</v>
      </c>
    </row>
    <row r="497" spans="1:40" ht="14.5" hidden="1" x14ac:dyDescent="0.35">
      <c r="A497" s="78" t="s">
        <v>1910</v>
      </c>
      <c r="B497" s="154">
        <v>22029</v>
      </c>
      <c r="C497" s="113" t="s">
        <v>4</v>
      </c>
      <c r="D497" s="117">
        <v>44762</v>
      </c>
      <c r="E497" s="118" t="s">
        <v>1848</v>
      </c>
      <c r="F497" s="118" t="s">
        <v>658</v>
      </c>
      <c r="G497" s="111" t="s">
        <v>1849</v>
      </c>
      <c r="H497" s="111" t="s">
        <v>1850</v>
      </c>
      <c r="I497" s="119" t="s">
        <v>2056</v>
      </c>
      <c r="J497" s="70"/>
      <c r="K497" s="118" t="s">
        <v>1911</v>
      </c>
      <c r="L497" s="118">
        <v>18021</v>
      </c>
      <c r="M497" s="147" t="s">
        <v>13</v>
      </c>
      <c r="N497" s="111" t="s">
        <v>1912</v>
      </c>
      <c r="O497" s="111" t="s">
        <v>28</v>
      </c>
      <c r="P497" s="111" t="s">
        <v>103</v>
      </c>
      <c r="Q497" s="70" t="s">
        <v>1683</v>
      </c>
      <c r="R497" s="111" t="s">
        <v>145</v>
      </c>
      <c r="S497" s="111"/>
      <c r="T497" s="112" t="s">
        <v>1913</v>
      </c>
      <c r="U497" s="74"/>
      <c r="V497" s="158" t="s">
        <v>10</v>
      </c>
      <c r="W497" s="118"/>
      <c r="X497" s="113"/>
      <c r="Y497" s="117">
        <f t="shared" si="117"/>
        <v>44854</v>
      </c>
      <c r="Z497" s="187">
        <v>44851</v>
      </c>
      <c r="AA497" s="161" t="str">
        <f t="shared" ca="1" si="118"/>
        <v>YES</v>
      </c>
      <c r="AB497" s="113"/>
      <c r="AC497" s="70"/>
      <c r="AD497" s="70"/>
      <c r="AE497" s="70"/>
      <c r="AF497" s="114" t="str">
        <f t="shared" ca="1" si="120"/>
        <v>N/A</v>
      </c>
      <c r="AG497" s="194">
        <v>490</v>
      </c>
      <c r="AH497" s="194">
        <v>0</v>
      </c>
      <c r="AI497" s="196">
        <f t="shared" si="121"/>
        <v>490</v>
      </c>
      <c r="AJ497" s="148"/>
      <c r="AK497" s="70" t="s">
        <v>2045</v>
      </c>
      <c r="AL497" s="70"/>
      <c r="AM497" s="165" t="str">
        <f t="shared" si="122"/>
        <v>22029 Beneo Oreye</v>
      </c>
      <c r="AN497" s="165" t="str">
        <f t="shared" si="119"/>
        <v>22029 Beneo Oreye : Hole diameter error in lower network</v>
      </c>
    </row>
    <row r="498" spans="1:40" ht="14.5" hidden="1" x14ac:dyDescent="0.35">
      <c r="A498" s="78" t="s">
        <v>1914</v>
      </c>
      <c r="B498" s="154">
        <v>22030</v>
      </c>
      <c r="C498" s="113" t="s">
        <v>4</v>
      </c>
      <c r="D498" s="117">
        <v>44767</v>
      </c>
      <c r="E498" s="118" t="s">
        <v>273</v>
      </c>
      <c r="F498" s="118" t="s">
        <v>658</v>
      </c>
      <c r="G498" s="111" t="s">
        <v>1397</v>
      </c>
      <c r="H498" s="111" t="s">
        <v>357</v>
      </c>
      <c r="I498" s="119" t="s">
        <v>2056</v>
      </c>
      <c r="J498" s="70"/>
      <c r="K498" s="118"/>
      <c r="L498" s="118" t="s">
        <v>1915</v>
      </c>
      <c r="M498" s="147" t="s">
        <v>338</v>
      </c>
      <c r="N498" s="111" t="s">
        <v>1916</v>
      </c>
      <c r="O498" s="111" t="s">
        <v>28</v>
      </c>
      <c r="P498" s="111" t="s">
        <v>103</v>
      </c>
      <c r="Q498" s="70" t="s">
        <v>176</v>
      </c>
      <c r="R498" s="111" t="s">
        <v>145</v>
      </c>
      <c r="S498" s="111"/>
      <c r="T498" s="112" t="s">
        <v>357</v>
      </c>
      <c r="U498" s="74"/>
      <c r="V498" s="158" t="s">
        <v>6</v>
      </c>
      <c r="W498" s="118" t="s">
        <v>273</v>
      </c>
      <c r="X498" s="113">
        <v>44767</v>
      </c>
      <c r="Y498" s="117">
        <f t="shared" ref="Y498:Y502" si="123">EDATE(D498,3)</f>
        <v>44859</v>
      </c>
      <c r="Z498" s="187">
        <v>44851</v>
      </c>
      <c r="AA498" s="161" t="str">
        <f t="shared" ref="AA498:AA502" ca="1" si="124">IF(Z498="",IF(TODAY()&gt;Y498,"NO","YES"),IF(Z498&gt;Y498,"NO",IF(Z498&lt;Y498,"YES",IF(Y498=Z498,"YES","N/A"))))</f>
        <v>YES</v>
      </c>
      <c r="AB498" s="113"/>
      <c r="AC498" s="70"/>
      <c r="AD498" s="70"/>
      <c r="AE498" s="70"/>
      <c r="AF498" s="114" t="str">
        <f t="shared" ca="1" si="120"/>
        <v>N/A</v>
      </c>
      <c r="AG498" s="194">
        <v>6174</v>
      </c>
      <c r="AH498" s="194">
        <v>200</v>
      </c>
      <c r="AI498" s="196">
        <f t="shared" ref="AI498:AI502" si="125">AH498+AG498</f>
        <v>6374</v>
      </c>
      <c r="AJ498" s="148" t="s">
        <v>6</v>
      </c>
      <c r="AK498" s="187">
        <v>45239</v>
      </c>
      <c r="AL498" s="70"/>
      <c r="AM498" s="165" t="str">
        <f t="shared" si="122"/>
        <v>22030 OLON</v>
      </c>
      <c r="AN498" s="165" t="str">
        <f t="shared" ref="AN498:AN502" si="126">CONCATENATE(B498," ",G498," : ",N498)</f>
        <v>22030 OLON : Pollution on the end of Kerasep membranes</v>
      </c>
    </row>
    <row r="499" spans="1:40" ht="14.5" hidden="1" x14ac:dyDescent="0.35">
      <c r="A499" s="206" t="s">
        <v>1917</v>
      </c>
      <c r="B499" s="154">
        <v>22031</v>
      </c>
      <c r="C499" s="113" t="s">
        <v>4</v>
      </c>
      <c r="D499" s="117">
        <v>44768</v>
      </c>
      <c r="E499" s="118" t="s">
        <v>1575</v>
      </c>
      <c r="F499" s="118" t="s">
        <v>164</v>
      </c>
      <c r="G499" s="111" t="s">
        <v>1826</v>
      </c>
      <c r="H499" s="111" t="s">
        <v>1850</v>
      </c>
      <c r="I499" s="119" t="s">
        <v>2056</v>
      </c>
      <c r="J499" s="70"/>
      <c r="K499" s="118">
        <v>2115</v>
      </c>
      <c r="L499" s="118">
        <v>16573</v>
      </c>
      <c r="M499" s="147" t="s">
        <v>1827</v>
      </c>
      <c r="N499" s="111" t="s">
        <v>1918</v>
      </c>
      <c r="O499" s="111" t="s">
        <v>29</v>
      </c>
      <c r="P499" s="111" t="s">
        <v>86</v>
      </c>
      <c r="Q499" s="70" t="s">
        <v>522</v>
      </c>
      <c r="R499" s="111" t="s">
        <v>145</v>
      </c>
      <c r="S499" s="111"/>
      <c r="T499" s="70"/>
      <c r="U499" s="74"/>
      <c r="V499" s="158" t="s">
        <v>10</v>
      </c>
      <c r="W499" s="118"/>
      <c r="X499" s="113"/>
      <c r="Y499" s="117">
        <f t="shared" si="123"/>
        <v>44860</v>
      </c>
      <c r="Z499" s="187">
        <v>44844</v>
      </c>
      <c r="AA499" s="161" t="str">
        <f t="shared" ca="1" si="124"/>
        <v>YES</v>
      </c>
      <c r="AB499" s="113"/>
      <c r="AC499" s="70"/>
      <c r="AD499" s="70"/>
      <c r="AE499" s="70"/>
      <c r="AF499" s="114" t="str">
        <f t="shared" ref="AF499:AF504" ca="1" si="127">IF(I499="Claim",IF(AD499="","",IF(AE499="",IF(TODAY()&gt;AD499,"NO","YES"),IF(AE499&gt;AD499,"NO",IF(AE499&lt;AD499,"YES",IF(AD499=AE499,"YES","N/A"))))),"N/A")</f>
        <v>N/A</v>
      </c>
      <c r="AG499" s="194">
        <v>392</v>
      </c>
      <c r="AH499" s="194">
        <v>1936</v>
      </c>
      <c r="AI499" s="196">
        <f t="shared" si="125"/>
        <v>2328</v>
      </c>
      <c r="AJ499" s="148" t="s">
        <v>6</v>
      </c>
      <c r="AK499" s="187">
        <v>45237</v>
      </c>
      <c r="AL499" s="70"/>
      <c r="AM499" s="165" t="str">
        <f t="shared" si="122"/>
        <v>22031 Cristal Union</v>
      </c>
      <c r="AN499" s="165" t="str">
        <f t="shared" si="126"/>
        <v>22031 Cristal Union : Defective strainers</v>
      </c>
    </row>
    <row r="500" spans="1:40" ht="14.5" hidden="1" x14ac:dyDescent="0.35">
      <c r="A500" s="223"/>
      <c r="B500" s="207">
        <v>22032</v>
      </c>
      <c r="C500" s="208" t="s">
        <v>8</v>
      </c>
      <c r="D500" s="209">
        <v>44796</v>
      </c>
      <c r="E500" s="210" t="s">
        <v>1664</v>
      </c>
      <c r="F500" s="210" t="s">
        <v>164</v>
      </c>
      <c r="G500" s="211" t="s">
        <v>1919</v>
      </c>
      <c r="H500" s="211" t="s">
        <v>1920</v>
      </c>
      <c r="I500" s="212" t="s">
        <v>2057</v>
      </c>
      <c r="J500" s="73"/>
      <c r="K500" s="210">
        <v>2131</v>
      </c>
      <c r="L500" s="210">
        <v>18072</v>
      </c>
      <c r="M500" s="213" t="s">
        <v>11</v>
      </c>
      <c r="N500" s="211" t="s">
        <v>1921</v>
      </c>
      <c r="O500" s="211" t="s">
        <v>29</v>
      </c>
      <c r="P500" s="211" t="s">
        <v>176</v>
      </c>
      <c r="Q500" s="73" t="s">
        <v>1629</v>
      </c>
      <c r="R500" s="211" t="s">
        <v>9</v>
      </c>
      <c r="S500" s="211"/>
      <c r="T500" s="73" t="s">
        <v>1920</v>
      </c>
      <c r="U500" s="74"/>
      <c r="V500" s="215" t="s">
        <v>6</v>
      </c>
      <c r="W500" s="210" t="s">
        <v>1664</v>
      </c>
      <c r="X500" s="208">
        <v>44785</v>
      </c>
      <c r="Y500" s="117">
        <f t="shared" si="123"/>
        <v>44888</v>
      </c>
      <c r="Z500" s="221">
        <v>44832</v>
      </c>
      <c r="AA500" s="216" t="str">
        <f t="shared" ca="1" si="124"/>
        <v>YES</v>
      </c>
      <c r="AB500" s="208"/>
      <c r="AC500" s="73"/>
      <c r="AD500" s="73"/>
      <c r="AE500" s="73"/>
      <c r="AF500" s="217" t="str">
        <f t="shared" ca="1" si="127"/>
        <v>N/A</v>
      </c>
      <c r="AG500" s="218">
        <v>1000</v>
      </c>
      <c r="AH500" s="218"/>
      <c r="AI500" s="222">
        <f t="shared" si="125"/>
        <v>1000</v>
      </c>
      <c r="AJ500" s="219"/>
      <c r="AK500" s="73"/>
      <c r="AL500" s="73"/>
      <c r="AM500" s="220" t="str">
        <f t="shared" ref="AM500:AM506" si="128">CONCATENATE(B500," ",G500)</f>
        <v>22032 SQ21</v>
      </c>
      <c r="AN500" s="220" t="str">
        <f t="shared" si="126"/>
        <v>22032 SQ21 : Cylinder positioning issue for internal mounting</v>
      </c>
    </row>
    <row r="501" spans="1:40" ht="14.5" hidden="1" x14ac:dyDescent="0.35">
      <c r="A501" s="78" t="s">
        <v>1922</v>
      </c>
      <c r="B501" s="154">
        <v>22033</v>
      </c>
      <c r="C501" s="113" t="s">
        <v>4</v>
      </c>
      <c r="D501" s="117">
        <v>44802</v>
      </c>
      <c r="E501" s="118" t="s">
        <v>91</v>
      </c>
      <c r="F501" s="118" t="s">
        <v>164</v>
      </c>
      <c r="G501" s="111" t="s">
        <v>1752</v>
      </c>
      <c r="H501" s="111"/>
      <c r="I501" s="119" t="s">
        <v>17</v>
      </c>
      <c r="J501" s="70"/>
      <c r="K501" s="118">
        <v>2116</v>
      </c>
      <c r="L501" s="118">
        <v>16253</v>
      </c>
      <c r="M501" s="147" t="s">
        <v>13</v>
      </c>
      <c r="N501" s="111" t="s">
        <v>1923</v>
      </c>
      <c r="O501" s="111" t="s">
        <v>29</v>
      </c>
      <c r="P501" s="111" t="s">
        <v>86</v>
      </c>
      <c r="Q501" s="70" t="s">
        <v>522</v>
      </c>
      <c r="R501" s="111" t="s">
        <v>9</v>
      </c>
      <c r="S501" s="111"/>
      <c r="T501" s="70"/>
      <c r="U501" s="74"/>
      <c r="V501" s="158" t="s">
        <v>6</v>
      </c>
      <c r="W501" s="118" t="s">
        <v>319</v>
      </c>
      <c r="X501" s="113">
        <v>44806</v>
      </c>
      <c r="Y501" s="117">
        <f t="shared" si="123"/>
        <v>44894</v>
      </c>
      <c r="Z501" s="187">
        <v>44889</v>
      </c>
      <c r="AA501" s="161" t="str">
        <f t="shared" ca="1" si="124"/>
        <v>YES</v>
      </c>
      <c r="AB501" s="113"/>
      <c r="AC501" s="70"/>
      <c r="AD501" s="70"/>
      <c r="AE501" s="70"/>
      <c r="AF501" s="114" t="str">
        <f t="shared" ca="1" si="127"/>
        <v>N/A</v>
      </c>
      <c r="AG501" s="194">
        <v>1274</v>
      </c>
      <c r="AH501" s="194">
        <v>0</v>
      </c>
      <c r="AI501" s="196">
        <f t="shared" si="125"/>
        <v>1274</v>
      </c>
      <c r="AJ501" s="148"/>
      <c r="AK501" s="70" t="s">
        <v>2045</v>
      </c>
      <c r="AL501" s="70"/>
      <c r="AM501" s="165" t="str">
        <f t="shared" si="128"/>
        <v>22033 Bonumose</v>
      </c>
      <c r="AN501" s="165" t="str">
        <f t="shared" si="126"/>
        <v>22033 Bonumose : Difficult access inside small diameter IEX columns</v>
      </c>
    </row>
    <row r="502" spans="1:40" ht="14.5" hidden="1" x14ac:dyDescent="0.35">
      <c r="A502" s="78" t="s">
        <v>1924</v>
      </c>
      <c r="B502" s="154">
        <v>22034</v>
      </c>
      <c r="C502" s="113" t="s">
        <v>4</v>
      </c>
      <c r="D502" s="117">
        <v>44805</v>
      </c>
      <c r="E502" s="118" t="s">
        <v>1396</v>
      </c>
      <c r="F502" s="118" t="s">
        <v>164</v>
      </c>
      <c r="G502" s="111" t="s">
        <v>1752</v>
      </c>
      <c r="H502" s="111"/>
      <c r="I502" s="119" t="s">
        <v>2057</v>
      </c>
      <c r="J502" s="70" t="s">
        <v>1332</v>
      </c>
      <c r="K502" s="118">
        <v>2116</v>
      </c>
      <c r="L502" s="118">
        <v>16253</v>
      </c>
      <c r="M502" s="147" t="s">
        <v>13</v>
      </c>
      <c r="N502" s="111" t="s">
        <v>1925</v>
      </c>
      <c r="O502" s="111" t="s">
        <v>29</v>
      </c>
      <c r="P502" s="111" t="s">
        <v>176</v>
      </c>
      <c r="Q502" s="70" t="s">
        <v>510</v>
      </c>
      <c r="R502" s="111" t="s">
        <v>9</v>
      </c>
      <c r="S502" s="111"/>
      <c r="T502" s="70"/>
      <c r="U502" s="74"/>
      <c r="V502" s="158" t="s">
        <v>6</v>
      </c>
      <c r="W502" s="118" t="s">
        <v>1396</v>
      </c>
      <c r="X502" s="113">
        <v>44811</v>
      </c>
      <c r="Y502" s="117">
        <f t="shared" si="123"/>
        <v>44896</v>
      </c>
      <c r="Z502" s="187">
        <v>44894</v>
      </c>
      <c r="AA502" s="161" t="str">
        <f t="shared" ca="1" si="124"/>
        <v>YES</v>
      </c>
      <c r="AB502" s="113"/>
      <c r="AC502" s="70"/>
      <c r="AD502" s="70"/>
      <c r="AE502" s="70"/>
      <c r="AF502" s="114" t="str">
        <f t="shared" ca="1" si="127"/>
        <v>N/A</v>
      </c>
      <c r="AG502" s="194">
        <v>294</v>
      </c>
      <c r="AH502" s="194">
        <v>1500</v>
      </c>
      <c r="AI502" s="196">
        <f t="shared" si="125"/>
        <v>1794</v>
      </c>
      <c r="AJ502" s="148" t="s">
        <v>6</v>
      </c>
      <c r="AK502" s="187">
        <v>45240</v>
      </c>
      <c r="AL502" s="70"/>
      <c r="AM502" s="165" t="str">
        <f t="shared" si="128"/>
        <v>22034 Bonumose</v>
      </c>
      <c r="AN502" s="165" t="str">
        <f t="shared" si="126"/>
        <v>22034 Bonumose : Gravels not been sent on site before commissioning</v>
      </c>
    </row>
    <row r="503" spans="1:40" ht="15" hidden="1" customHeight="1" x14ac:dyDescent="0.35">
      <c r="A503" s="78" t="s">
        <v>1926</v>
      </c>
      <c r="B503" s="154">
        <v>22035</v>
      </c>
      <c r="C503" s="113" t="s">
        <v>4</v>
      </c>
      <c r="D503" s="117">
        <v>44823</v>
      </c>
      <c r="E503" s="118" t="s">
        <v>621</v>
      </c>
      <c r="F503" s="118" t="s">
        <v>164</v>
      </c>
      <c r="G503" s="111" t="s">
        <v>1927</v>
      </c>
      <c r="H503" s="111" t="s">
        <v>1928</v>
      </c>
      <c r="I503" s="119" t="s">
        <v>2056</v>
      </c>
      <c r="J503" s="70"/>
      <c r="K503" s="118">
        <v>2066</v>
      </c>
      <c r="L503" s="118">
        <v>13829</v>
      </c>
      <c r="M503" s="147" t="s">
        <v>700</v>
      </c>
      <c r="N503" s="111" t="s">
        <v>1929</v>
      </c>
      <c r="O503" s="111" t="s">
        <v>29</v>
      </c>
      <c r="P503" s="111" t="s">
        <v>86</v>
      </c>
      <c r="Q503" s="70" t="s">
        <v>605</v>
      </c>
      <c r="R503" s="111" t="s">
        <v>145</v>
      </c>
      <c r="S503" s="111"/>
      <c r="T503" s="112" t="s">
        <v>1928</v>
      </c>
      <c r="U503" s="74"/>
      <c r="V503" s="158" t="s">
        <v>6</v>
      </c>
      <c r="W503" s="118" t="s">
        <v>621</v>
      </c>
      <c r="X503" s="113">
        <v>44833</v>
      </c>
      <c r="Y503" s="117">
        <f t="shared" ref="Y503:Y508" si="129">EDATE(D503,3)</f>
        <v>44914</v>
      </c>
      <c r="Z503" s="187">
        <v>44883</v>
      </c>
      <c r="AA503" s="161" t="str">
        <f t="shared" ref="AA503:AA508" ca="1" si="130">IF(Z503="",IF(TODAY()&gt;Y503,"NO","YES"),IF(Z503&gt;Y503,"NO",IF(Z503&lt;Y503,"YES",IF(Y503=Z503,"YES","N/A"))))</f>
        <v>YES</v>
      </c>
      <c r="AB503" s="113"/>
      <c r="AC503" s="70"/>
      <c r="AD503" s="70"/>
      <c r="AE503" s="70"/>
      <c r="AF503" s="114" t="str">
        <f t="shared" ca="1" si="127"/>
        <v>N/A</v>
      </c>
      <c r="AG503" s="194">
        <v>686</v>
      </c>
      <c r="AH503" s="194">
        <v>0</v>
      </c>
      <c r="AI503" s="196">
        <f t="shared" ref="AI503:AI508" si="131">AH503+AG503</f>
        <v>686</v>
      </c>
      <c r="AJ503" s="148"/>
      <c r="AK503" s="70" t="s">
        <v>2045</v>
      </c>
      <c r="AL503" s="70"/>
      <c r="AM503" s="165" t="str">
        <f t="shared" si="128"/>
        <v>22035 Beneo Chili</v>
      </c>
      <c r="AN503" s="165" t="str">
        <f t="shared" ref="AN503:AN508" si="132">CONCATENATE(B503," ",G503," : ",N503)</f>
        <v>22035 Beneo Chili : Calibration certificates missing for Instrumentation</v>
      </c>
    </row>
    <row r="504" spans="1:40" ht="14.5" hidden="1" x14ac:dyDescent="0.35">
      <c r="A504" s="206" t="s">
        <v>1930</v>
      </c>
      <c r="B504" s="154">
        <v>22036</v>
      </c>
      <c r="C504" s="113" t="s">
        <v>4</v>
      </c>
      <c r="D504" s="117">
        <v>44824</v>
      </c>
      <c r="E504" s="118" t="s">
        <v>273</v>
      </c>
      <c r="F504" s="118" t="s">
        <v>658</v>
      </c>
      <c r="G504" s="111" t="s">
        <v>1931</v>
      </c>
      <c r="H504" s="111" t="s">
        <v>357</v>
      </c>
      <c r="I504" s="119" t="s">
        <v>2056</v>
      </c>
      <c r="J504" s="70"/>
      <c r="K504" s="118"/>
      <c r="L504" s="118"/>
      <c r="M504" s="147" t="s">
        <v>16</v>
      </c>
      <c r="N504" s="111" t="s">
        <v>1932</v>
      </c>
      <c r="O504" s="111" t="s">
        <v>28</v>
      </c>
      <c r="P504" s="111" t="s">
        <v>103</v>
      </c>
      <c r="Q504" s="70" t="s">
        <v>176</v>
      </c>
      <c r="R504" s="111" t="s">
        <v>145</v>
      </c>
      <c r="S504" s="111"/>
      <c r="T504" s="70"/>
      <c r="U504" s="74"/>
      <c r="V504" s="158" t="s">
        <v>6</v>
      </c>
      <c r="W504" s="118" t="s">
        <v>273</v>
      </c>
      <c r="X504" s="113">
        <v>44824</v>
      </c>
      <c r="Y504" s="117">
        <f t="shared" si="129"/>
        <v>44915</v>
      </c>
      <c r="Z504" s="187">
        <v>44911</v>
      </c>
      <c r="AA504" s="161" t="str">
        <f t="shared" ca="1" si="130"/>
        <v>YES</v>
      </c>
      <c r="AB504" s="113"/>
      <c r="AC504" s="70"/>
      <c r="AD504" s="70"/>
      <c r="AE504" s="70"/>
      <c r="AF504" s="114" t="str">
        <f t="shared" ca="1" si="127"/>
        <v>N/A</v>
      </c>
      <c r="AG504" s="194">
        <v>784</v>
      </c>
      <c r="AH504" s="194">
        <v>0</v>
      </c>
      <c r="AI504" s="196">
        <f t="shared" si="131"/>
        <v>784</v>
      </c>
      <c r="AJ504" s="148" t="s">
        <v>6</v>
      </c>
      <c r="AK504" s="187">
        <v>45239</v>
      </c>
      <c r="AL504" s="70"/>
      <c r="AM504" s="165" t="str">
        <f t="shared" si="128"/>
        <v>22036 GSK Hamilton</v>
      </c>
      <c r="AN504" s="165" t="str">
        <f t="shared" si="132"/>
        <v>22036 GSK Hamilton : End sealing peeling off inside membrane</v>
      </c>
    </row>
    <row r="505" spans="1:40" ht="14.5" hidden="1" x14ac:dyDescent="0.35">
      <c r="A505" s="78" t="s">
        <v>1933</v>
      </c>
      <c r="B505" s="154">
        <v>22037</v>
      </c>
      <c r="C505" s="113" t="s">
        <v>4</v>
      </c>
      <c r="D505" s="117">
        <v>44830</v>
      </c>
      <c r="E505" s="118" t="s">
        <v>335</v>
      </c>
      <c r="F505" s="118" t="s">
        <v>164</v>
      </c>
      <c r="G505" s="111" t="s">
        <v>1826</v>
      </c>
      <c r="H505" s="111" t="s">
        <v>597</v>
      </c>
      <c r="I505" s="119" t="s">
        <v>2057</v>
      </c>
      <c r="J505" s="70"/>
      <c r="K505" s="118">
        <v>2115</v>
      </c>
      <c r="L505" s="118">
        <v>16573</v>
      </c>
      <c r="M505" s="147" t="s">
        <v>1827</v>
      </c>
      <c r="N505" s="111" t="s">
        <v>1934</v>
      </c>
      <c r="O505" s="111" t="s">
        <v>29</v>
      </c>
      <c r="P505" s="111" t="s">
        <v>86</v>
      </c>
      <c r="Q505" s="70" t="s">
        <v>605</v>
      </c>
      <c r="R505" s="111" t="s">
        <v>9</v>
      </c>
      <c r="S505" s="111"/>
      <c r="T505" s="70"/>
      <c r="U505" s="74"/>
      <c r="V505" s="158" t="s">
        <v>6</v>
      </c>
      <c r="W505" s="118" t="s">
        <v>319</v>
      </c>
      <c r="X505" s="113">
        <v>44841</v>
      </c>
      <c r="Y505" s="117">
        <f t="shared" si="129"/>
        <v>44921</v>
      </c>
      <c r="Z505" s="187">
        <v>44883</v>
      </c>
      <c r="AA505" s="161" t="str">
        <f t="shared" ca="1" si="130"/>
        <v>YES</v>
      </c>
      <c r="AB505" s="113"/>
      <c r="AC505" s="70"/>
      <c r="AD505" s="70"/>
      <c r="AE505" s="70"/>
      <c r="AF505" s="114" t="str">
        <f t="shared" ref="AF505:AF510" ca="1" si="133">IF(I505="Claim",IF(AD505="","",IF(AE505="",IF(TODAY()&gt;AD505,"NO","YES"),IF(AE505&gt;AD505,"NO",IF(AE505&lt;AD505,"YES",IF(AD505=AE505,"YES","N/A"))))),"N/A")</f>
        <v>N/A</v>
      </c>
      <c r="AG505" s="194">
        <v>490</v>
      </c>
      <c r="AH505" s="194">
        <v>0</v>
      </c>
      <c r="AI505" s="196">
        <f t="shared" si="131"/>
        <v>490</v>
      </c>
      <c r="AJ505" s="148" t="s">
        <v>6</v>
      </c>
      <c r="AK505" s="187">
        <v>45239</v>
      </c>
      <c r="AL505" s="70"/>
      <c r="AM505" s="165" t="str">
        <f t="shared" si="128"/>
        <v>22037 Cristal Union</v>
      </c>
      <c r="AN505" s="165" t="str">
        <f t="shared" si="132"/>
        <v>22037 Cristal Union : Insufficient space for FT uncabling</v>
      </c>
    </row>
    <row r="506" spans="1:40" ht="14.5" hidden="1" x14ac:dyDescent="0.35">
      <c r="A506" s="78" t="s">
        <v>1935</v>
      </c>
      <c r="B506" s="154">
        <v>22038</v>
      </c>
      <c r="C506" s="113" t="s">
        <v>4</v>
      </c>
      <c r="D506" s="117">
        <v>44830</v>
      </c>
      <c r="E506" s="118" t="s">
        <v>335</v>
      </c>
      <c r="F506" s="118" t="s">
        <v>164</v>
      </c>
      <c r="G506" s="111" t="s">
        <v>1936</v>
      </c>
      <c r="H506" s="111" t="s">
        <v>597</v>
      </c>
      <c r="I506" s="119" t="s">
        <v>2057</v>
      </c>
      <c r="J506" s="70"/>
      <c r="K506" s="118">
        <v>2126</v>
      </c>
      <c r="L506" s="118">
        <v>17697</v>
      </c>
      <c r="M506" s="147"/>
      <c r="N506" s="111" t="s">
        <v>1937</v>
      </c>
      <c r="O506" s="111" t="s">
        <v>29</v>
      </c>
      <c r="P506" s="111" t="s">
        <v>86</v>
      </c>
      <c r="Q506" s="70" t="s">
        <v>605</v>
      </c>
      <c r="R506" s="111" t="s">
        <v>9</v>
      </c>
      <c r="S506" s="111"/>
      <c r="T506" s="70"/>
      <c r="U506" s="74"/>
      <c r="V506" s="158" t="s">
        <v>6</v>
      </c>
      <c r="W506" s="118" t="s">
        <v>621</v>
      </c>
      <c r="X506" s="113">
        <v>44841</v>
      </c>
      <c r="Y506" s="117">
        <f t="shared" si="129"/>
        <v>44921</v>
      </c>
      <c r="Z506" s="187">
        <v>44895</v>
      </c>
      <c r="AA506" s="161" t="str">
        <f t="shared" ca="1" si="130"/>
        <v>YES</v>
      </c>
      <c r="AB506" s="113"/>
      <c r="AC506" s="70"/>
      <c r="AD506" s="70"/>
      <c r="AE506" s="70"/>
      <c r="AF506" s="114" t="str">
        <f t="shared" ca="1" si="133"/>
        <v>N/A</v>
      </c>
      <c r="AG506" s="194">
        <v>882</v>
      </c>
      <c r="AH506" s="194">
        <v>1500</v>
      </c>
      <c r="AI506" s="196">
        <f t="shared" si="131"/>
        <v>2382</v>
      </c>
      <c r="AJ506" s="148" t="s">
        <v>6</v>
      </c>
      <c r="AK506" s="187">
        <v>45239</v>
      </c>
      <c r="AL506" s="70"/>
      <c r="AM506" s="165" t="str">
        <f t="shared" si="128"/>
        <v>22038 Nexira</v>
      </c>
      <c r="AN506" s="165" t="str">
        <f t="shared" si="132"/>
        <v>22038 Nexira : Pb pipe connection diameter for CT installation</v>
      </c>
    </row>
    <row r="507" spans="1:40" ht="14.5" hidden="1" x14ac:dyDescent="0.35">
      <c r="A507" s="206" t="s">
        <v>1938</v>
      </c>
      <c r="B507" s="154">
        <v>22039</v>
      </c>
      <c r="C507" s="113" t="s">
        <v>4</v>
      </c>
      <c r="D507" s="117">
        <v>44831</v>
      </c>
      <c r="E507" s="118" t="s">
        <v>370</v>
      </c>
      <c r="F507" s="118" t="s">
        <v>420</v>
      </c>
      <c r="G507" s="111" t="s">
        <v>1939</v>
      </c>
      <c r="H507" s="111" t="s">
        <v>1940</v>
      </c>
      <c r="I507" s="119" t="s">
        <v>14</v>
      </c>
      <c r="J507" s="70"/>
      <c r="K507" s="118" t="s">
        <v>454</v>
      </c>
      <c r="L507" s="118" t="s">
        <v>454</v>
      </c>
      <c r="M507" s="147" t="s">
        <v>454</v>
      </c>
      <c r="N507" s="111" t="s">
        <v>1941</v>
      </c>
      <c r="O507" s="111" t="s">
        <v>420</v>
      </c>
      <c r="P507" s="111" t="s">
        <v>80</v>
      </c>
      <c r="Q507" s="70" t="s">
        <v>1942</v>
      </c>
      <c r="R507" s="111" t="s">
        <v>145</v>
      </c>
      <c r="S507" s="111"/>
      <c r="T507" s="112" t="s">
        <v>1940</v>
      </c>
      <c r="U507" s="74"/>
      <c r="V507" s="158" t="s">
        <v>6</v>
      </c>
      <c r="W507" s="118" t="s">
        <v>1647</v>
      </c>
      <c r="X507" s="113">
        <v>44834</v>
      </c>
      <c r="Y507" s="117">
        <f t="shared" si="129"/>
        <v>44922</v>
      </c>
      <c r="Z507" s="187">
        <v>44903</v>
      </c>
      <c r="AA507" s="161" t="str">
        <f t="shared" ca="1" si="130"/>
        <v>YES</v>
      </c>
      <c r="AB507" s="113"/>
      <c r="AC507" s="70"/>
      <c r="AD507" s="70"/>
      <c r="AE507" s="70"/>
      <c r="AF507" s="114" t="str">
        <f t="shared" ca="1" si="133"/>
        <v>N/A</v>
      </c>
      <c r="AG507" s="194">
        <v>784</v>
      </c>
      <c r="AH507" s="194">
        <v>0</v>
      </c>
      <c r="AI507" s="196">
        <f t="shared" si="131"/>
        <v>784</v>
      </c>
      <c r="AJ507" s="148" t="s">
        <v>6</v>
      </c>
      <c r="AK507" s="187">
        <v>45237</v>
      </c>
      <c r="AL507" s="70"/>
      <c r="AM507" s="165" t="str">
        <f t="shared" ref="AM507:AM512" si="134">CONCATENATE(B507," ",G507)</f>
        <v>22039 Interne</v>
      </c>
      <c r="AN507" s="165" t="str">
        <f t="shared" si="132"/>
        <v>22039 Interne : Annual HPLC checking date exceeded</v>
      </c>
    </row>
    <row r="508" spans="1:40" ht="14.5" hidden="1" x14ac:dyDescent="0.35">
      <c r="A508" s="78" t="s">
        <v>1943</v>
      </c>
      <c r="B508" s="154">
        <v>22040</v>
      </c>
      <c r="C508" s="113" t="s">
        <v>4</v>
      </c>
      <c r="D508" s="117">
        <v>44834</v>
      </c>
      <c r="E508" s="118" t="s">
        <v>273</v>
      </c>
      <c r="F508" s="118" t="s">
        <v>658</v>
      </c>
      <c r="G508" s="111" t="s">
        <v>1944</v>
      </c>
      <c r="H508" s="111"/>
      <c r="I508" s="119" t="s">
        <v>5</v>
      </c>
      <c r="J508" s="70"/>
      <c r="K508" s="118"/>
      <c r="L508" s="118" t="s">
        <v>1945</v>
      </c>
      <c r="M508" s="147" t="s">
        <v>16</v>
      </c>
      <c r="N508" s="111" t="s">
        <v>1946</v>
      </c>
      <c r="O508" s="111" t="s">
        <v>28</v>
      </c>
      <c r="P508" s="111" t="s">
        <v>103</v>
      </c>
      <c r="Q508" s="70" t="s">
        <v>1358</v>
      </c>
      <c r="R508" s="111" t="s">
        <v>145</v>
      </c>
      <c r="S508" s="111"/>
      <c r="T508" s="70"/>
      <c r="U508" s="74"/>
      <c r="V508" s="158" t="s">
        <v>10</v>
      </c>
      <c r="W508" s="118"/>
      <c r="X508" s="113"/>
      <c r="Y508" s="117">
        <f t="shared" si="129"/>
        <v>44925</v>
      </c>
      <c r="Z508" s="187">
        <v>44903</v>
      </c>
      <c r="AA508" s="161" t="str">
        <f t="shared" ca="1" si="130"/>
        <v>YES</v>
      </c>
      <c r="AB508" s="203">
        <v>44823</v>
      </c>
      <c r="AC508" s="190">
        <v>44460</v>
      </c>
      <c r="AD508" s="187">
        <v>44925</v>
      </c>
      <c r="AE508" s="187">
        <v>44903</v>
      </c>
      <c r="AF508" s="114" t="str">
        <f t="shared" ca="1" si="133"/>
        <v>YES</v>
      </c>
      <c r="AG508" s="194">
        <v>294</v>
      </c>
      <c r="AH508" s="194">
        <v>0</v>
      </c>
      <c r="AI508" s="196">
        <f t="shared" si="131"/>
        <v>294</v>
      </c>
      <c r="AJ508" s="148" t="s">
        <v>6</v>
      </c>
      <c r="AK508" s="187">
        <v>45239</v>
      </c>
      <c r="AL508" s="70"/>
      <c r="AM508" s="165" t="str">
        <f t="shared" si="134"/>
        <v xml:space="preserve">22040 Sanofi </v>
      </c>
      <c r="AN508" s="165" t="str">
        <f t="shared" si="132"/>
        <v>22040 Sanofi  : Missing label on shipping crate</v>
      </c>
    </row>
    <row r="509" spans="1:40" ht="14.5" hidden="1" x14ac:dyDescent="0.35">
      <c r="A509" s="78" t="s">
        <v>1947</v>
      </c>
      <c r="B509" s="154">
        <v>22041</v>
      </c>
      <c r="C509" s="113" t="s">
        <v>4</v>
      </c>
      <c r="D509" s="117">
        <v>44844</v>
      </c>
      <c r="E509" s="118" t="s">
        <v>273</v>
      </c>
      <c r="F509" s="118" t="s">
        <v>658</v>
      </c>
      <c r="G509" s="111" t="s">
        <v>1948</v>
      </c>
      <c r="H509" s="111" t="s">
        <v>1768</v>
      </c>
      <c r="I509" s="119" t="s">
        <v>2056</v>
      </c>
      <c r="J509" s="70"/>
      <c r="K509" s="118">
        <v>2142</v>
      </c>
      <c r="L509" s="118" t="s">
        <v>1949</v>
      </c>
      <c r="M509" s="147" t="s">
        <v>16</v>
      </c>
      <c r="N509" s="111" t="s">
        <v>1950</v>
      </c>
      <c r="O509" s="111" t="s">
        <v>28</v>
      </c>
      <c r="P509" s="111" t="s">
        <v>103</v>
      </c>
      <c r="Q509" s="70" t="s">
        <v>1358</v>
      </c>
      <c r="R509" s="111" t="s">
        <v>145</v>
      </c>
      <c r="S509" s="111"/>
      <c r="T509" s="112" t="s">
        <v>1771</v>
      </c>
      <c r="U509" s="74"/>
      <c r="V509" s="158" t="s">
        <v>6</v>
      </c>
      <c r="W509" s="118" t="s">
        <v>273</v>
      </c>
      <c r="X509" s="113">
        <v>44845</v>
      </c>
      <c r="Y509" s="117">
        <f t="shared" ref="Y509:Y514" si="135">EDATE(D509,3)</f>
        <v>44936</v>
      </c>
      <c r="Z509" s="187">
        <v>44935</v>
      </c>
      <c r="AA509" s="161" t="str">
        <f t="shared" ref="AA509:AA514" ca="1" si="136">IF(Z509="",IF(TODAY()&gt;Y509,"NO","YES"),IF(Z509&gt;Y509,"NO",IF(Z509&lt;Y509,"YES",IF(Y509=Z509,"YES","N/A"))))</f>
        <v>YES</v>
      </c>
      <c r="AB509" s="113"/>
      <c r="AC509" s="70"/>
      <c r="AD509" s="70"/>
      <c r="AE509" s="70"/>
      <c r="AF509" s="114" t="str">
        <f t="shared" ca="1" si="133"/>
        <v>N/A</v>
      </c>
      <c r="AG509" s="194">
        <v>784</v>
      </c>
      <c r="AH509" s="194">
        <v>250</v>
      </c>
      <c r="AI509" s="196">
        <f t="shared" ref="AI509:AI514" si="137">AH509+AG509</f>
        <v>1034</v>
      </c>
      <c r="AJ509" s="148" t="s">
        <v>6</v>
      </c>
      <c r="AK509" s="187">
        <v>45239</v>
      </c>
      <c r="AL509" s="70"/>
      <c r="AM509" s="165" t="str">
        <f t="shared" si="134"/>
        <v>22041 Lesaffre</v>
      </c>
      <c r="AN509" s="165" t="str">
        <f t="shared" ref="AN509:AN514" si="138">CONCATENATE(B509," ",G509," : ",N509)</f>
        <v>22041 Lesaffre : Kerasep Alpha membrane breakage during delivery</v>
      </c>
    </row>
    <row r="510" spans="1:40" ht="14.5" hidden="1" x14ac:dyDescent="0.35">
      <c r="A510" s="78" t="s">
        <v>1951</v>
      </c>
      <c r="B510" s="154">
        <v>22042</v>
      </c>
      <c r="C510" s="113" t="s">
        <v>4</v>
      </c>
      <c r="D510" s="117">
        <v>44852</v>
      </c>
      <c r="E510" s="118" t="s">
        <v>177</v>
      </c>
      <c r="F510" s="118" t="s">
        <v>1103</v>
      </c>
      <c r="G510" s="111" t="s">
        <v>1939</v>
      </c>
      <c r="H510" s="111" t="s">
        <v>1952</v>
      </c>
      <c r="I510" s="119" t="s">
        <v>2057</v>
      </c>
      <c r="J510" s="70"/>
      <c r="K510" s="118" t="s">
        <v>454</v>
      </c>
      <c r="L510" s="118" t="s">
        <v>454</v>
      </c>
      <c r="M510" s="147" t="s">
        <v>454</v>
      </c>
      <c r="N510" s="111" t="s">
        <v>1953</v>
      </c>
      <c r="O510" s="111" t="s">
        <v>29</v>
      </c>
      <c r="P510" s="111" t="s">
        <v>176</v>
      </c>
      <c r="Q510" s="70" t="s">
        <v>1954</v>
      </c>
      <c r="R510" s="111" t="s">
        <v>15</v>
      </c>
      <c r="S510" s="111"/>
      <c r="T510" s="70"/>
      <c r="U510" s="74"/>
      <c r="V510" s="158" t="s">
        <v>6</v>
      </c>
      <c r="W510" s="118" t="s">
        <v>1955</v>
      </c>
      <c r="X510" s="113">
        <v>44885</v>
      </c>
      <c r="Y510" s="117">
        <f t="shared" si="135"/>
        <v>44944</v>
      </c>
      <c r="Z510" s="187">
        <v>44939</v>
      </c>
      <c r="AA510" s="161" t="str">
        <f t="shared" ca="1" si="136"/>
        <v>YES</v>
      </c>
      <c r="AB510" s="113"/>
      <c r="AC510" s="70"/>
      <c r="AD510" s="70"/>
      <c r="AE510" s="70"/>
      <c r="AF510" s="114" t="str">
        <f t="shared" ca="1" si="133"/>
        <v>N/A</v>
      </c>
      <c r="AG510" s="194">
        <v>490</v>
      </c>
      <c r="AH510" s="194">
        <v>0</v>
      </c>
      <c r="AI510" s="196">
        <f t="shared" si="137"/>
        <v>490</v>
      </c>
      <c r="AJ510" s="148" t="s">
        <v>6</v>
      </c>
      <c r="AK510" s="187">
        <v>45239</v>
      </c>
      <c r="AL510" s="70"/>
      <c r="AM510" s="165" t="str">
        <f t="shared" si="134"/>
        <v>22042 Interne</v>
      </c>
      <c r="AN510" s="165" t="str">
        <f t="shared" si="138"/>
        <v>22042 Interne : Order transfert from ISIS to Navision</v>
      </c>
    </row>
    <row r="511" spans="1:40" ht="14.5" hidden="1" x14ac:dyDescent="0.35">
      <c r="A511" s="78" t="s">
        <v>1956</v>
      </c>
      <c r="B511" s="154">
        <v>22043</v>
      </c>
      <c r="C511" s="113" t="s">
        <v>4</v>
      </c>
      <c r="D511" s="117">
        <v>44855</v>
      </c>
      <c r="E511" s="118" t="s">
        <v>1575</v>
      </c>
      <c r="F511" s="118" t="s">
        <v>164</v>
      </c>
      <c r="G511" s="111" t="s">
        <v>1499</v>
      </c>
      <c r="H511" s="111" t="s">
        <v>1218</v>
      </c>
      <c r="I511" s="119" t="s">
        <v>2057</v>
      </c>
      <c r="J511" s="70"/>
      <c r="K511" s="118">
        <v>2139</v>
      </c>
      <c r="L511" s="118">
        <v>17596</v>
      </c>
      <c r="M511" s="147" t="s">
        <v>13</v>
      </c>
      <c r="N511" s="111" t="s">
        <v>1957</v>
      </c>
      <c r="O511" s="111" t="s">
        <v>29</v>
      </c>
      <c r="P511" s="111" t="s">
        <v>86</v>
      </c>
      <c r="Q511" s="70" t="s">
        <v>885</v>
      </c>
      <c r="R511" s="111" t="s">
        <v>15</v>
      </c>
      <c r="S511" s="111"/>
      <c r="T511" s="70"/>
      <c r="U511" s="74"/>
      <c r="V511" s="158" t="s">
        <v>10</v>
      </c>
      <c r="W511" s="118"/>
      <c r="X511" s="113"/>
      <c r="Y511" s="117">
        <f t="shared" si="135"/>
        <v>44947</v>
      </c>
      <c r="Z511" s="187">
        <v>44945</v>
      </c>
      <c r="AA511" s="161" t="str">
        <f t="shared" ca="1" si="136"/>
        <v>YES</v>
      </c>
      <c r="AB511" s="113"/>
      <c r="AC511" s="70"/>
      <c r="AD511" s="70"/>
      <c r="AE511" s="70"/>
      <c r="AF511" s="114" t="str">
        <f t="shared" ref="AF511:AF517" ca="1" si="139">IF(I511="Claim",IF(AD511="","",IF(AE511="",IF(TODAY()&gt;AD511,"NO","YES"),IF(AE511&gt;AD511,"NO",IF(AE511&lt;AD511,"YES",IF(AD511=AE511,"YES","N/A"))))),"N/A")</f>
        <v>N/A</v>
      </c>
      <c r="AG511" s="194">
        <v>784</v>
      </c>
      <c r="AH511" s="194">
        <v>4700</v>
      </c>
      <c r="AI511" s="196">
        <f t="shared" si="137"/>
        <v>5484</v>
      </c>
      <c r="AJ511" s="148" t="s">
        <v>6</v>
      </c>
      <c r="AK511" s="187">
        <v>45237</v>
      </c>
      <c r="AL511" s="70"/>
      <c r="AM511" s="165" t="str">
        <f t="shared" si="134"/>
        <v>22043 Rousselot</v>
      </c>
      <c r="AN511" s="165" t="str">
        <f t="shared" si="138"/>
        <v>22043 Rousselot : Strainer mounting issue (too long)</v>
      </c>
    </row>
    <row r="512" spans="1:40" ht="13" hidden="1" customHeight="1" x14ac:dyDescent="0.35">
      <c r="A512" s="82"/>
      <c r="B512" s="154">
        <v>22044</v>
      </c>
      <c r="C512" s="113" t="s">
        <v>8</v>
      </c>
      <c r="D512" s="117">
        <v>44858</v>
      </c>
      <c r="E512" s="118" t="s">
        <v>1854</v>
      </c>
      <c r="F512" s="118" t="s">
        <v>164</v>
      </c>
      <c r="G512" s="111" t="s">
        <v>1919</v>
      </c>
      <c r="H512" s="111" t="s">
        <v>1920</v>
      </c>
      <c r="I512" s="119" t="s">
        <v>14</v>
      </c>
      <c r="J512" s="70"/>
      <c r="K512" s="210">
        <v>2131</v>
      </c>
      <c r="L512" s="118">
        <v>18072</v>
      </c>
      <c r="M512" s="147" t="s">
        <v>13</v>
      </c>
      <c r="N512" s="111" t="s">
        <v>1958</v>
      </c>
      <c r="O512" s="111" t="s">
        <v>29</v>
      </c>
      <c r="P512" s="111" t="s">
        <v>86</v>
      </c>
      <c r="Q512" s="70" t="s">
        <v>1629</v>
      </c>
      <c r="R512" s="111" t="s">
        <v>9</v>
      </c>
      <c r="S512" s="111"/>
      <c r="T512" s="70"/>
      <c r="U512" s="74"/>
      <c r="V512" s="158" t="s">
        <v>6</v>
      </c>
      <c r="W512" s="118" t="s">
        <v>1854</v>
      </c>
      <c r="X512" s="113">
        <v>44852</v>
      </c>
      <c r="Y512" s="117">
        <f t="shared" si="135"/>
        <v>44950</v>
      </c>
      <c r="Z512" s="187">
        <v>44935</v>
      </c>
      <c r="AA512" s="161" t="str">
        <f t="shared" ca="1" si="136"/>
        <v>YES</v>
      </c>
      <c r="AB512" s="113"/>
      <c r="AC512" s="70"/>
      <c r="AD512" s="70"/>
      <c r="AE512" s="70"/>
      <c r="AF512" s="114" t="str">
        <f t="shared" ca="1" si="139"/>
        <v>N/A</v>
      </c>
      <c r="AG512" s="194">
        <v>500</v>
      </c>
      <c r="AH512" s="194"/>
      <c r="AI512" s="196">
        <f t="shared" si="137"/>
        <v>500</v>
      </c>
      <c r="AJ512" s="148"/>
      <c r="AK512" s="70"/>
      <c r="AL512" s="70"/>
      <c r="AM512" s="165" t="str">
        <f t="shared" si="134"/>
        <v>22044 SQ21</v>
      </c>
      <c r="AN512" s="165" t="str">
        <f t="shared" si="138"/>
        <v xml:space="preserve">22044 SQ21 : Installation issue of manhole for IEX column </v>
      </c>
    </row>
    <row r="513" spans="1:40" ht="12" hidden="1" customHeight="1" x14ac:dyDescent="0.35">
      <c r="A513" s="78" t="s">
        <v>1959</v>
      </c>
      <c r="B513" s="154">
        <v>22045</v>
      </c>
      <c r="C513" s="113" t="s">
        <v>4</v>
      </c>
      <c r="D513" s="117">
        <v>44860</v>
      </c>
      <c r="E513" s="118" t="s">
        <v>160</v>
      </c>
      <c r="F513" s="118" t="s">
        <v>658</v>
      </c>
      <c r="G513" s="111" t="s">
        <v>1960</v>
      </c>
      <c r="H513" s="111" t="s">
        <v>570</v>
      </c>
      <c r="I513" s="119" t="s">
        <v>2056</v>
      </c>
      <c r="J513" s="70"/>
      <c r="K513" s="118"/>
      <c r="L513" s="118" t="s">
        <v>1915</v>
      </c>
      <c r="M513" s="147"/>
      <c r="N513" s="111" t="s">
        <v>1961</v>
      </c>
      <c r="O513" s="111" t="s">
        <v>28</v>
      </c>
      <c r="P513" s="111" t="s">
        <v>103</v>
      </c>
      <c r="Q513" s="70" t="s">
        <v>176</v>
      </c>
      <c r="R513" s="111" t="s">
        <v>145</v>
      </c>
      <c r="S513" s="111"/>
      <c r="T513" s="112" t="s">
        <v>570</v>
      </c>
      <c r="U513" s="74"/>
      <c r="V513" s="158" t="s">
        <v>6</v>
      </c>
      <c r="W513" s="118" t="s">
        <v>1962</v>
      </c>
      <c r="X513" s="113">
        <v>44881</v>
      </c>
      <c r="Y513" s="117">
        <f t="shared" si="135"/>
        <v>44952</v>
      </c>
      <c r="Z513" s="187">
        <v>45030</v>
      </c>
      <c r="AA513" s="161" t="str">
        <f t="shared" ca="1" si="136"/>
        <v>NO</v>
      </c>
      <c r="AB513" s="113"/>
      <c r="AC513" s="70"/>
      <c r="AD513" s="70"/>
      <c r="AE513" s="70"/>
      <c r="AF513" s="114" t="str">
        <f t="shared" ca="1" si="139"/>
        <v>N/A</v>
      </c>
      <c r="AG513" s="194">
        <v>5160.95</v>
      </c>
      <c r="AH513" s="194">
        <v>0</v>
      </c>
      <c r="AI513" s="196">
        <f t="shared" si="137"/>
        <v>5160.95</v>
      </c>
      <c r="AJ513" s="148"/>
      <c r="AK513" s="70" t="s">
        <v>2045</v>
      </c>
      <c r="AL513" s="70"/>
      <c r="AM513" s="165" t="str">
        <f t="shared" ref="AM513:AM518" si="140">CONCATENATE(B513," ",G513)</f>
        <v>22045 Cristal Union Erstein</v>
      </c>
      <c r="AN513" s="165" t="str">
        <f t="shared" si="138"/>
        <v>22045 Cristal Union Erstein : Abnormal resins swelling</v>
      </c>
    </row>
    <row r="514" spans="1:40" ht="16" hidden="1" customHeight="1" x14ac:dyDescent="0.35">
      <c r="A514" s="82"/>
      <c r="B514" s="154">
        <v>22046</v>
      </c>
      <c r="C514" s="113" t="s">
        <v>8</v>
      </c>
      <c r="D514" s="117">
        <v>44862</v>
      </c>
      <c r="E514" s="118" t="s">
        <v>1664</v>
      </c>
      <c r="F514" s="118" t="s">
        <v>164</v>
      </c>
      <c r="G514" s="111" t="s">
        <v>1919</v>
      </c>
      <c r="H514" s="111" t="s">
        <v>1920</v>
      </c>
      <c r="I514" s="119" t="s">
        <v>5</v>
      </c>
      <c r="J514" s="70"/>
      <c r="K514" s="210">
        <v>2131</v>
      </c>
      <c r="L514" s="118">
        <v>18072</v>
      </c>
      <c r="M514" s="147" t="s">
        <v>13</v>
      </c>
      <c r="N514" s="111" t="s">
        <v>1963</v>
      </c>
      <c r="O514" s="111" t="s">
        <v>29</v>
      </c>
      <c r="P514" s="111" t="s">
        <v>86</v>
      </c>
      <c r="Q514" s="70" t="s">
        <v>1629</v>
      </c>
      <c r="R514" s="111" t="s">
        <v>145</v>
      </c>
      <c r="S514" s="111"/>
      <c r="T514" s="70"/>
      <c r="U514" s="74"/>
      <c r="V514" s="158" t="s">
        <v>6</v>
      </c>
      <c r="W514" s="118" t="s">
        <v>1854</v>
      </c>
      <c r="X514" s="113">
        <v>44850</v>
      </c>
      <c r="Y514" s="117">
        <f t="shared" si="135"/>
        <v>44954</v>
      </c>
      <c r="Z514" s="187">
        <v>44914</v>
      </c>
      <c r="AA514" s="161" t="str">
        <f t="shared" ca="1" si="136"/>
        <v>YES</v>
      </c>
      <c r="AB514" s="113">
        <v>44826</v>
      </c>
      <c r="AC514" s="224">
        <v>44827</v>
      </c>
      <c r="AD514" s="224">
        <v>44895</v>
      </c>
      <c r="AE514" s="187">
        <v>44914</v>
      </c>
      <c r="AF514" s="225" t="str">
        <f t="shared" ca="1" si="139"/>
        <v>NO</v>
      </c>
      <c r="AG514" s="194">
        <v>2500</v>
      </c>
      <c r="AH514" s="194">
        <v>0</v>
      </c>
      <c r="AI514" s="196">
        <f t="shared" si="137"/>
        <v>2500</v>
      </c>
      <c r="AJ514" s="148"/>
      <c r="AK514" s="70"/>
      <c r="AL514" s="70"/>
      <c r="AM514" s="165" t="str">
        <f t="shared" si="140"/>
        <v>22046 SQ21</v>
      </c>
      <c r="AN514" s="165" t="str">
        <f t="shared" si="138"/>
        <v>22046 SQ21 : Material and welding issues on IEX front piping</v>
      </c>
    </row>
    <row r="515" spans="1:40" ht="17.5" hidden="1" customHeight="1" x14ac:dyDescent="0.35">
      <c r="A515" s="82"/>
      <c r="B515" s="154">
        <v>22047</v>
      </c>
      <c r="C515" s="113" t="s">
        <v>8</v>
      </c>
      <c r="D515" s="117">
        <v>44862</v>
      </c>
      <c r="E515" s="118" t="s">
        <v>1896</v>
      </c>
      <c r="F515" s="118" t="s">
        <v>164</v>
      </c>
      <c r="G515" s="111" t="s">
        <v>1807</v>
      </c>
      <c r="H515" s="111" t="s">
        <v>1668</v>
      </c>
      <c r="I515" s="119" t="s">
        <v>5</v>
      </c>
      <c r="J515" s="70"/>
      <c r="K515" s="145">
        <v>2082</v>
      </c>
      <c r="L515" s="118">
        <v>14552</v>
      </c>
      <c r="M515" s="147" t="s">
        <v>13</v>
      </c>
      <c r="N515" s="111" t="s">
        <v>1964</v>
      </c>
      <c r="O515" s="111" t="s">
        <v>29</v>
      </c>
      <c r="P515" s="111" t="s">
        <v>86</v>
      </c>
      <c r="Q515" s="70" t="s">
        <v>1629</v>
      </c>
      <c r="R515" s="111" t="s">
        <v>145</v>
      </c>
      <c r="S515" s="111"/>
      <c r="T515" s="70"/>
      <c r="U515" s="74"/>
      <c r="V515" s="158" t="s">
        <v>6</v>
      </c>
      <c r="W515" s="118" t="s">
        <v>1854</v>
      </c>
      <c r="X515" s="113">
        <v>44853</v>
      </c>
      <c r="Y515" s="117">
        <f t="shared" ref="Y515:Y520" si="141">EDATE(D515,3)</f>
        <v>44954</v>
      </c>
      <c r="Z515" s="187">
        <v>44911</v>
      </c>
      <c r="AA515" s="161" t="str">
        <f t="shared" ref="AA515:AA520" ca="1" si="142">IF(Z515="",IF(TODAY()&gt;Y515,"NO","YES"),IF(Z515&gt;Y515,"NO",IF(Z515&lt;Y515,"YES",IF(Y515=Z515,"YES","N/A"))))</f>
        <v>YES</v>
      </c>
      <c r="AB515" s="113">
        <v>44831</v>
      </c>
      <c r="AC515" s="224">
        <v>44832</v>
      </c>
      <c r="AD515" s="224">
        <v>44914</v>
      </c>
      <c r="AE515" s="224">
        <v>44911</v>
      </c>
      <c r="AF515" s="114" t="str">
        <f t="shared" ca="1" si="139"/>
        <v>YES</v>
      </c>
      <c r="AG515" s="194">
        <v>500</v>
      </c>
      <c r="AH515" s="194"/>
      <c r="AI515" s="196">
        <f t="shared" ref="AI515:AI520" si="143">AH515+AG515</f>
        <v>500</v>
      </c>
      <c r="AJ515" s="148"/>
      <c r="AK515" s="70"/>
      <c r="AL515" s="70"/>
      <c r="AM515" s="165" t="str">
        <f t="shared" si="140"/>
        <v>22047 SQ10</v>
      </c>
      <c r="AN515" s="165" t="str">
        <f t="shared" ref="AN515:AN520" si="144">CONCATENATE(B515," ",G515," : ",N515)</f>
        <v>22047 SQ10 : Lack welding on the vent pipe inside SSMB</v>
      </c>
    </row>
    <row r="516" spans="1:40" ht="10.5" hidden="1" customHeight="1" x14ac:dyDescent="0.35">
      <c r="A516" s="82"/>
      <c r="B516" s="154">
        <v>22048</v>
      </c>
      <c r="C516" s="113" t="s">
        <v>8</v>
      </c>
      <c r="D516" s="117">
        <v>44886</v>
      </c>
      <c r="E516" s="118" t="s">
        <v>1965</v>
      </c>
      <c r="F516" s="118" t="s">
        <v>164</v>
      </c>
      <c r="G516" s="111" t="s">
        <v>1966</v>
      </c>
      <c r="H516" s="111" t="s">
        <v>147</v>
      </c>
      <c r="I516" s="119" t="s">
        <v>14</v>
      </c>
      <c r="J516" s="70"/>
      <c r="K516" s="118"/>
      <c r="L516" s="118">
        <v>11608</v>
      </c>
      <c r="M516" s="147" t="s">
        <v>13</v>
      </c>
      <c r="N516" s="111" t="s">
        <v>1967</v>
      </c>
      <c r="O516" s="111" t="s">
        <v>29</v>
      </c>
      <c r="P516" s="111" t="s">
        <v>86</v>
      </c>
      <c r="Q516" s="70" t="s">
        <v>1629</v>
      </c>
      <c r="R516" s="111" t="s">
        <v>9</v>
      </c>
      <c r="S516" s="111"/>
      <c r="T516" s="70"/>
      <c r="U516" s="74"/>
      <c r="V516" s="158" t="s">
        <v>6</v>
      </c>
      <c r="W516" s="118" t="s">
        <v>1965</v>
      </c>
      <c r="X516" s="113">
        <v>44886</v>
      </c>
      <c r="Y516" s="117">
        <f t="shared" si="141"/>
        <v>44978</v>
      </c>
      <c r="Z516" s="187">
        <v>44907</v>
      </c>
      <c r="AA516" s="161" t="str">
        <f t="shared" ca="1" si="142"/>
        <v>YES</v>
      </c>
      <c r="AB516" s="113"/>
      <c r="AC516" s="70"/>
      <c r="AD516" s="70"/>
      <c r="AE516" s="70"/>
      <c r="AF516" s="114" t="str">
        <f t="shared" ca="1" si="139"/>
        <v>N/A</v>
      </c>
      <c r="AG516" s="194">
        <v>0</v>
      </c>
      <c r="AH516" s="194">
        <v>0</v>
      </c>
      <c r="AI516" s="196">
        <f t="shared" si="143"/>
        <v>0</v>
      </c>
      <c r="AJ516" s="148"/>
      <c r="AK516" s="70"/>
      <c r="AL516" s="70"/>
      <c r="AM516" s="165" t="str">
        <f t="shared" si="140"/>
        <v>22048 COFCO</v>
      </c>
      <c r="AN516" s="165" t="str">
        <f t="shared" si="144"/>
        <v xml:space="preserve">22048 COFCO : filter not matching </v>
      </c>
    </row>
    <row r="517" spans="1:40" ht="14.5" hidden="1" customHeight="1" x14ac:dyDescent="0.35">
      <c r="A517" s="82"/>
      <c r="B517" s="154">
        <v>22049</v>
      </c>
      <c r="C517" s="113" t="s">
        <v>8</v>
      </c>
      <c r="D517" s="117">
        <v>44886</v>
      </c>
      <c r="E517" s="118" t="s">
        <v>1965</v>
      </c>
      <c r="F517" s="118" t="s">
        <v>164</v>
      </c>
      <c r="G517" s="111" t="s">
        <v>1966</v>
      </c>
      <c r="H517" s="111" t="s">
        <v>1920</v>
      </c>
      <c r="I517" s="119" t="s">
        <v>14</v>
      </c>
      <c r="J517" s="70"/>
      <c r="K517" s="118"/>
      <c r="L517" s="118">
        <v>11608</v>
      </c>
      <c r="M517" s="147" t="s">
        <v>13</v>
      </c>
      <c r="N517" s="111" t="s">
        <v>1968</v>
      </c>
      <c r="O517" s="111" t="s">
        <v>29</v>
      </c>
      <c r="P517" s="111" t="s">
        <v>86</v>
      </c>
      <c r="Q517" s="70" t="s">
        <v>1629</v>
      </c>
      <c r="R517" s="111" t="s">
        <v>9</v>
      </c>
      <c r="S517" s="111"/>
      <c r="T517" s="70"/>
      <c r="U517" s="74"/>
      <c r="V517" s="158" t="s">
        <v>6</v>
      </c>
      <c r="W517" s="118" t="s">
        <v>1965</v>
      </c>
      <c r="X517" s="113">
        <v>44886</v>
      </c>
      <c r="Y517" s="117">
        <f t="shared" si="141"/>
        <v>44978</v>
      </c>
      <c r="Z517" s="187">
        <v>44893</v>
      </c>
      <c r="AA517" s="161" t="str">
        <f t="shared" ca="1" si="142"/>
        <v>YES</v>
      </c>
      <c r="AB517" s="113"/>
      <c r="AC517" s="70"/>
      <c r="AD517" s="70"/>
      <c r="AE517" s="70"/>
      <c r="AF517" s="114" t="str">
        <f t="shared" ca="1" si="139"/>
        <v>N/A</v>
      </c>
      <c r="AG517" s="194">
        <v>0</v>
      </c>
      <c r="AH517" s="194">
        <v>0</v>
      </c>
      <c r="AI517" s="196">
        <f t="shared" si="143"/>
        <v>0</v>
      </c>
      <c r="AJ517" s="148"/>
      <c r="AK517" s="70"/>
      <c r="AL517" s="70"/>
      <c r="AM517" s="165" t="str">
        <f t="shared" si="140"/>
        <v>22049 COFCO</v>
      </c>
      <c r="AN517" s="165" t="str">
        <f t="shared" si="144"/>
        <v xml:space="preserve">22049 COFCO : different ball valves were mixed </v>
      </c>
    </row>
    <row r="518" spans="1:40" ht="11.5" hidden="1" customHeight="1" x14ac:dyDescent="0.35">
      <c r="A518" s="82"/>
      <c r="B518" s="154">
        <v>22050</v>
      </c>
      <c r="C518" s="113" t="s">
        <v>8</v>
      </c>
      <c r="D518" s="117">
        <v>44893</v>
      </c>
      <c r="E518" s="118" t="s">
        <v>1965</v>
      </c>
      <c r="F518" s="118" t="s">
        <v>164</v>
      </c>
      <c r="G518" s="111" t="s">
        <v>1969</v>
      </c>
      <c r="H518" s="111" t="s">
        <v>433</v>
      </c>
      <c r="I518" s="119" t="s">
        <v>14</v>
      </c>
      <c r="J518" s="70"/>
      <c r="K518" s="118"/>
      <c r="L518" s="118">
        <v>16753</v>
      </c>
      <c r="M518" s="147" t="s">
        <v>13</v>
      </c>
      <c r="N518" s="111" t="s">
        <v>1970</v>
      </c>
      <c r="O518" s="111" t="s">
        <v>29</v>
      </c>
      <c r="P518" s="111" t="s">
        <v>86</v>
      </c>
      <c r="Q518" s="70" t="s">
        <v>1629</v>
      </c>
      <c r="R518" s="111" t="s">
        <v>87</v>
      </c>
      <c r="S518" s="111"/>
      <c r="T518" s="70"/>
      <c r="U518" s="74"/>
      <c r="V518" s="158" t="s">
        <v>6</v>
      </c>
      <c r="W518" s="118" t="s">
        <v>1965</v>
      </c>
      <c r="X518" s="113">
        <v>44893</v>
      </c>
      <c r="Y518" s="117">
        <f t="shared" si="141"/>
        <v>44985</v>
      </c>
      <c r="Z518" s="187">
        <v>44932</v>
      </c>
      <c r="AA518" s="161" t="str">
        <f t="shared" ca="1" si="142"/>
        <v>YES</v>
      </c>
      <c r="AB518" s="113">
        <v>44894</v>
      </c>
      <c r="AC518" s="224">
        <v>44894</v>
      </c>
      <c r="AD518" s="224">
        <v>44926</v>
      </c>
      <c r="AE518" s="224">
        <v>45290</v>
      </c>
      <c r="AF518" s="114" t="str">
        <f t="shared" ref="AF518:AF522" ca="1" si="145">IF(I518="Claim",IF(AD518="","",IF(AE518="",IF(TODAY()&gt;AD518,"NO","YES"),IF(AE518&gt;AD518,"NO",IF(AE518&lt;AD518,"YES",IF(AD518=AE518,"YES","N/A"))))),"N/A")</f>
        <v>N/A</v>
      </c>
      <c r="AG518" s="194">
        <v>2500</v>
      </c>
      <c r="AH518" s="194"/>
      <c r="AI518" s="196">
        <f t="shared" si="143"/>
        <v>2500</v>
      </c>
      <c r="AJ518" s="148"/>
      <c r="AK518" s="70"/>
      <c r="AL518" s="70"/>
      <c r="AM518" s="165" t="str">
        <f t="shared" si="140"/>
        <v>22050 Natureworks</v>
      </c>
      <c r="AN518" s="165" t="str">
        <f t="shared" si="144"/>
        <v>22050 Natureworks : Rubber lining thickness is lower than the standard</v>
      </c>
    </row>
    <row r="519" spans="1:40" ht="19" hidden="1" customHeight="1" x14ac:dyDescent="0.4">
      <c r="A519" s="82"/>
      <c r="B519" s="154">
        <v>22051</v>
      </c>
      <c r="C519" s="113" t="s">
        <v>8</v>
      </c>
      <c r="D519" s="117">
        <v>44900</v>
      </c>
      <c r="E519" s="118" t="s">
        <v>1965</v>
      </c>
      <c r="F519" s="118" t="s">
        <v>164</v>
      </c>
      <c r="G519" s="111" t="s">
        <v>1969</v>
      </c>
      <c r="H519" s="226" t="s">
        <v>1971</v>
      </c>
      <c r="I519" s="119" t="s">
        <v>14</v>
      </c>
      <c r="J519" s="70"/>
      <c r="K519" s="118"/>
      <c r="L519" s="118">
        <v>16753</v>
      </c>
      <c r="M519" s="147" t="s">
        <v>13</v>
      </c>
      <c r="N519" s="111" t="s">
        <v>1972</v>
      </c>
      <c r="O519" s="111" t="s">
        <v>29</v>
      </c>
      <c r="P519" s="111" t="s">
        <v>86</v>
      </c>
      <c r="Q519" s="70" t="s">
        <v>1629</v>
      </c>
      <c r="R519" s="111" t="s">
        <v>87</v>
      </c>
      <c r="S519" s="111"/>
      <c r="T519" s="70"/>
      <c r="U519" s="74"/>
      <c r="V519" s="158" t="s">
        <v>6</v>
      </c>
      <c r="W519" s="118" t="s">
        <v>1973</v>
      </c>
      <c r="X519" s="113">
        <v>44900</v>
      </c>
      <c r="Y519" s="117">
        <f t="shared" si="141"/>
        <v>44990</v>
      </c>
      <c r="Z519" s="187">
        <v>44935</v>
      </c>
      <c r="AA519" s="161" t="str">
        <f t="shared" ca="1" si="142"/>
        <v>YES</v>
      </c>
      <c r="AB519" s="113"/>
      <c r="AC519" s="70"/>
      <c r="AD519" s="70"/>
      <c r="AE519" s="70"/>
      <c r="AF519" s="114" t="str">
        <f t="shared" ca="1" si="145"/>
        <v>N/A</v>
      </c>
      <c r="AG519" s="194"/>
      <c r="AH519" s="194"/>
      <c r="AI519" s="196">
        <f t="shared" si="143"/>
        <v>0</v>
      </c>
      <c r="AJ519" s="148"/>
      <c r="AK519" s="70"/>
      <c r="AL519" s="70"/>
      <c r="AM519" s="165" t="str">
        <f t="shared" ref="AM519:AM523" si="146">CONCATENATE(B519," ",G519)</f>
        <v>22051 Natureworks</v>
      </c>
      <c r="AN519" s="165" t="str">
        <f t="shared" si="144"/>
        <v xml:space="preserve">22051 Natureworks : filter halar thickness </v>
      </c>
    </row>
    <row r="520" spans="1:40" ht="14.5" hidden="1" x14ac:dyDescent="0.35">
      <c r="A520" s="78" t="s">
        <v>1974</v>
      </c>
      <c r="B520" s="154">
        <v>23001</v>
      </c>
      <c r="C520" s="113" t="s">
        <v>4</v>
      </c>
      <c r="D520" s="117">
        <v>44937</v>
      </c>
      <c r="E520" s="118" t="s">
        <v>273</v>
      </c>
      <c r="F520" s="118" t="s">
        <v>658</v>
      </c>
      <c r="G520" s="111" t="s">
        <v>1975</v>
      </c>
      <c r="H520" s="111" t="s">
        <v>357</v>
      </c>
      <c r="I520" s="119" t="s">
        <v>5</v>
      </c>
      <c r="J520" s="70"/>
      <c r="K520" s="118"/>
      <c r="L520" s="118" t="s">
        <v>1976</v>
      </c>
      <c r="M520" s="147" t="s">
        <v>16</v>
      </c>
      <c r="N520" s="111" t="s">
        <v>1977</v>
      </c>
      <c r="O520" s="111" t="s">
        <v>28</v>
      </c>
      <c r="P520" s="111" t="s">
        <v>103</v>
      </c>
      <c r="Q520" s="70" t="s">
        <v>176</v>
      </c>
      <c r="R520" s="111" t="s">
        <v>145</v>
      </c>
      <c r="S520" s="111"/>
      <c r="T520" s="112" t="s">
        <v>357</v>
      </c>
      <c r="U520" s="74"/>
      <c r="V520" s="158" t="s">
        <v>6</v>
      </c>
      <c r="W520" s="118" t="s">
        <v>273</v>
      </c>
      <c r="X520" s="113">
        <v>44963</v>
      </c>
      <c r="Y520" s="117">
        <f t="shared" si="141"/>
        <v>45027</v>
      </c>
      <c r="Z520" s="187">
        <v>45097</v>
      </c>
      <c r="AA520" s="161" t="str">
        <f t="shared" ca="1" si="142"/>
        <v>NO</v>
      </c>
      <c r="AB520" s="113">
        <v>44931</v>
      </c>
      <c r="AC520" s="190">
        <v>44932</v>
      </c>
      <c r="AD520" s="187">
        <v>45107</v>
      </c>
      <c r="AE520" s="187">
        <v>45097</v>
      </c>
      <c r="AF520" s="114" t="str">
        <f t="shared" ca="1" si="145"/>
        <v>YES</v>
      </c>
      <c r="AG520" s="194">
        <v>3430</v>
      </c>
      <c r="AH520" s="194">
        <v>0</v>
      </c>
      <c r="AI520" s="196">
        <f t="shared" si="143"/>
        <v>3430</v>
      </c>
      <c r="AJ520" s="148"/>
      <c r="AK520" s="70" t="s">
        <v>2045</v>
      </c>
      <c r="AL520" s="70"/>
      <c r="AM520" s="165" t="str">
        <f t="shared" si="146"/>
        <v>23001 Sanofi</v>
      </c>
      <c r="AN520" s="165" t="str">
        <f t="shared" si="144"/>
        <v xml:space="preserve">23001 Sanofi : Abnormal evolution of water flow Kerasep membranes </v>
      </c>
    </row>
    <row r="521" spans="1:40" ht="14.5" hidden="1" x14ac:dyDescent="0.35">
      <c r="A521" s="78" t="s">
        <v>1978</v>
      </c>
      <c r="B521" s="154">
        <v>23002</v>
      </c>
      <c r="C521" s="113" t="s">
        <v>4</v>
      </c>
      <c r="D521" s="117">
        <v>44946</v>
      </c>
      <c r="E521" s="118" t="s">
        <v>1624</v>
      </c>
      <c r="F521" s="118" t="s">
        <v>658</v>
      </c>
      <c r="G521" s="111" t="s">
        <v>1979</v>
      </c>
      <c r="H521" s="111" t="s">
        <v>570</v>
      </c>
      <c r="I521" s="119" t="s">
        <v>2057</v>
      </c>
      <c r="J521" s="70"/>
      <c r="K521" s="118"/>
      <c r="L521" s="118" t="s">
        <v>1980</v>
      </c>
      <c r="M521" s="147" t="s">
        <v>13</v>
      </c>
      <c r="N521" s="111" t="s">
        <v>1981</v>
      </c>
      <c r="O521" s="111" t="s">
        <v>28</v>
      </c>
      <c r="P521" s="111" t="s">
        <v>103</v>
      </c>
      <c r="Q521" s="70" t="s">
        <v>1954</v>
      </c>
      <c r="R521" s="111" t="s">
        <v>9</v>
      </c>
      <c r="S521" s="68"/>
      <c r="T521" s="70"/>
      <c r="U521" s="74"/>
      <c r="V521" s="158" t="s">
        <v>6</v>
      </c>
      <c r="W521" s="118" t="s">
        <v>221</v>
      </c>
      <c r="X521" s="113">
        <v>44942</v>
      </c>
      <c r="Y521" s="117">
        <f t="shared" ref="Y521:Y526" si="147">EDATE(D521,3)</f>
        <v>45036</v>
      </c>
      <c r="Z521" s="187">
        <v>45538</v>
      </c>
      <c r="AA521" s="161" t="str">
        <f t="shared" ref="AA521:AA526" ca="1" si="148">IF(Z521="",IF(TODAY()&gt;Y521,"NO","YES"),IF(Z521&gt;Y521,"NO",IF(Z521&lt;Y521,"YES",IF(Y521=Z521,"YES","N/A"))))</f>
        <v>NO</v>
      </c>
      <c r="AB521" s="113"/>
      <c r="AC521" s="70"/>
      <c r="AD521" s="70"/>
      <c r="AE521" s="70"/>
      <c r="AF521" s="114" t="str">
        <f t="shared" ca="1" si="145"/>
        <v>N/A</v>
      </c>
      <c r="AG521" s="194">
        <v>980</v>
      </c>
      <c r="AH521" s="194">
        <v>5000</v>
      </c>
      <c r="AI521" s="196">
        <f t="shared" ref="AI521:AI526" si="149">AH521+AG521</f>
        <v>5980</v>
      </c>
      <c r="AJ521" s="148"/>
      <c r="AK521" s="70" t="s">
        <v>2144</v>
      </c>
      <c r="AL521" s="70"/>
      <c r="AM521" s="165" t="str">
        <f t="shared" si="146"/>
        <v>23002 Friesland</v>
      </c>
      <c r="AN521" s="165" t="str">
        <f t="shared" ref="AN521:AN526" si="150">CONCATENATE(B521," ",G521," : ",N521)</f>
        <v>23002 Friesland : Non halal resin delivered</v>
      </c>
    </row>
    <row r="522" spans="1:40" ht="14.5" hidden="1" x14ac:dyDescent="0.35">
      <c r="A522" s="153" t="s">
        <v>1982</v>
      </c>
      <c r="B522" s="154">
        <v>23003</v>
      </c>
      <c r="C522" s="113" t="s">
        <v>4</v>
      </c>
      <c r="D522" s="117">
        <v>44949</v>
      </c>
      <c r="E522" s="118" t="s">
        <v>1575</v>
      </c>
      <c r="F522" s="118" t="s">
        <v>164</v>
      </c>
      <c r="G522" s="111" t="s">
        <v>1864</v>
      </c>
      <c r="H522" s="111" t="s">
        <v>930</v>
      </c>
      <c r="I522" s="119" t="s">
        <v>5</v>
      </c>
      <c r="J522" s="70"/>
      <c r="K522" s="118">
        <v>2104</v>
      </c>
      <c r="L522" s="118">
        <v>15841</v>
      </c>
      <c r="M522" s="147" t="s">
        <v>13</v>
      </c>
      <c r="N522" s="111" t="s">
        <v>1983</v>
      </c>
      <c r="O522" s="111" t="s">
        <v>29</v>
      </c>
      <c r="P522" s="111" t="s">
        <v>86</v>
      </c>
      <c r="Q522" s="70" t="s">
        <v>1665</v>
      </c>
      <c r="R522" s="111" t="s">
        <v>9</v>
      </c>
      <c r="S522" s="111"/>
      <c r="T522" s="70"/>
      <c r="U522" s="74"/>
      <c r="V522" s="158" t="s">
        <v>6</v>
      </c>
      <c r="W522" s="118" t="s">
        <v>864</v>
      </c>
      <c r="X522" s="113">
        <v>44957</v>
      </c>
      <c r="Y522" s="117">
        <f t="shared" si="147"/>
        <v>45039</v>
      </c>
      <c r="Z522" s="187">
        <v>45043</v>
      </c>
      <c r="AA522" s="161" t="str">
        <f t="shared" ca="1" si="148"/>
        <v>NO</v>
      </c>
      <c r="AB522" s="113">
        <v>44942</v>
      </c>
      <c r="AC522" s="190">
        <v>44949</v>
      </c>
      <c r="AD522" s="187">
        <v>45107</v>
      </c>
      <c r="AE522" s="187">
        <v>45043</v>
      </c>
      <c r="AF522" s="114" t="str">
        <f t="shared" ca="1" si="145"/>
        <v>YES</v>
      </c>
      <c r="AG522" s="194">
        <v>196</v>
      </c>
      <c r="AH522" s="194">
        <v>5077</v>
      </c>
      <c r="AI522" s="196">
        <f t="shared" si="149"/>
        <v>5273</v>
      </c>
      <c r="AJ522" s="148"/>
      <c r="AK522" s="70" t="s">
        <v>2045</v>
      </c>
      <c r="AL522" s="70"/>
      <c r="AM522" s="165" t="str">
        <f t="shared" si="146"/>
        <v>23003 Cargill BOZ</v>
      </c>
      <c r="AN522" s="165" t="str">
        <f t="shared" si="150"/>
        <v>23003 Cargill BOZ : Side glasses gaskets of columns not conform</v>
      </c>
    </row>
    <row r="523" spans="1:40" ht="14.5" hidden="1" x14ac:dyDescent="0.35">
      <c r="A523" s="78" t="s">
        <v>1984</v>
      </c>
      <c r="B523" s="154">
        <v>23004</v>
      </c>
      <c r="C523" s="113" t="s">
        <v>4</v>
      </c>
      <c r="D523" s="117">
        <v>44952</v>
      </c>
      <c r="E523" s="118" t="s">
        <v>1019</v>
      </c>
      <c r="F523" s="118" t="s">
        <v>658</v>
      </c>
      <c r="G523" s="111" t="s">
        <v>602</v>
      </c>
      <c r="H523" s="111" t="s">
        <v>1267</v>
      </c>
      <c r="I523" s="119" t="s">
        <v>17</v>
      </c>
      <c r="J523" s="70"/>
      <c r="K523" s="118"/>
      <c r="L523" s="118" t="s">
        <v>1985</v>
      </c>
      <c r="M523" s="147" t="s">
        <v>672</v>
      </c>
      <c r="N523" s="111" t="s">
        <v>1986</v>
      </c>
      <c r="O523" s="111" t="s">
        <v>28</v>
      </c>
      <c r="P523" s="111" t="s">
        <v>103</v>
      </c>
      <c r="Q523" s="70" t="s">
        <v>1987</v>
      </c>
      <c r="R523" s="111" t="s">
        <v>145</v>
      </c>
      <c r="S523" s="111"/>
      <c r="T523" s="70"/>
      <c r="U523" s="70"/>
      <c r="V523" s="158" t="s">
        <v>6</v>
      </c>
      <c r="W523" s="118" t="s">
        <v>1019</v>
      </c>
      <c r="X523" s="113">
        <v>44950</v>
      </c>
      <c r="Y523" s="117">
        <f t="shared" si="147"/>
        <v>45042</v>
      </c>
      <c r="Z523" s="187">
        <v>45019</v>
      </c>
      <c r="AA523" s="161" t="str">
        <f t="shared" ca="1" si="148"/>
        <v>YES</v>
      </c>
      <c r="AB523" s="113"/>
      <c r="AC523" s="70"/>
      <c r="AD523" s="70"/>
      <c r="AE523" s="70"/>
      <c r="AF523" s="114" t="str">
        <f t="shared" ref="AF523:AF528" ca="1" si="151">IF(I523="Claim",IF(AD523="","",IF(AE523="",IF(TODAY()&gt;AD523,"NO","YES"),IF(AE523&gt;AD523,"NO",IF(AE523&lt;AD523,"YES",IF(AD523=AE523,"YES","N/A"))))),"N/A")</f>
        <v>N/A</v>
      </c>
      <c r="AG523" s="194">
        <v>490</v>
      </c>
      <c r="AH523" s="194">
        <v>0</v>
      </c>
      <c r="AI523" s="196">
        <f t="shared" si="149"/>
        <v>490</v>
      </c>
      <c r="AJ523" s="148"/>
      <c r="AK523" s="70" t="s">
        <v>2045</v>
      </c>
      <c r="AL523" s="70"/>
      <c r="AM523" s="165" t="str">
        <f t="shared" si="146"/>
        <v>23004 Cevital</v>
      </c>
      <c r="AN523" s="165" t="str">
        <f t="shared" si="150"/>
        <v>23004 Cevital : Deformation of column nozzles</v>
      </c>
    </row>
    <row r="524" spans="1:40" ht="14.5" hidden="1" x14ac:dyDescent="0.35">
      <c r="A524" s="78" t="s">
        <v>1988</v>
      </c>
      <c r="B524" s="154">
        <v>23005</v>
      </c>
      <c r="C524" s="113" t="s">
        <v>4</v>
      </c>
      <c r="D524" s="117">
        <v>44956</v>
      </c>
      <c r="E524" s="118" t="s">
        <v>273</v>
      </c>
      <c r="F524" s="118" t="s">
        <v>658</v>
      </c>
      <c r="G524" s="111" t="s">
        <v>1931</v>
      </c>
      <c r="H524" s="111"/>
      <c r="I524" s="119" t="s">
        <v>2057</v>
      </c>
      <c r="J524" s="70"/>
      <c r="K524" s="118"/>
      <c r="L524" s="118" t="s">
        <v>1989</v>
      </c>
      <c r="M524" s="147" t="s">
        <v>16</v>
      </c>
      <c r="N524" s="111" t="s">
        <v>1990</v>
      </c>
      <c r="O524" s="111" t="s">
        <v>28</v>
      </c>
      <c r="P524" s="111" t="s">
        <v>103</v>
      </c>
      <c r="Q524" s="70" t="s">
        <v>1358</v>
      </c>
      <c r="R524" s="111" t="s">
        <v>9</v>
      </c>
      <c r="S524" s="111"/>
      <c r="T524" s="70"/>
      <c r="U524" s="70"/>
      <c r="V524" s="158" t="s">
        <v>10</v>
      </c>
      <c r="W524" s="118"/>
      <c r="X524" s="113"/>
      <c r="Y524" s="117">
        <f t="shared" si="147"/>
        <v>45046</v>
      </c>
      <c r="Z524" s="187">
        <v>45021</v>
      </c>
      <c r="AA524" s="161" t="str">
        <f t="shared" ca="1" si="148"/>
        <v>YES</v>
      </c>
      <c r="AB524" s="113"/>
      <c r="AC524" s="70"/>
      <c r="AD524" s="70"/>
      <c r="AE524" s="70"/>
      <c r="AF524" s="114" t="str">
        <f t="shared" ca="1" si="151"/>
        <v>N/A</v>
      </c>
      <c r="AG524" s="194">
        <v>686</v>
      </c>
      <c r="AH524" s="194">
        <v>0</v>
      </c>
      <c r="AI524" s="196">
        <f t="shared" si="149"/>
        <v>686</v>
      </c>
      <c r="AJ524" s="148"/>
      <c r="AK524" s="70" t="s">
        <v>2144</v>
      </c>
      <c r="AL524" s="70"/>
      <c r="AM524" s="165" t="str">
        <f t="shared" ref="AM524:AM529" si="152">CONCATENATE(B524," ",G524)</f>
        <v>23005 GSK Hamilton</v>
      </c>
      <c r="AN524" s="165" t="str">
        <f t="shared" si="150"/>
        <v>23005 GSK Hamilton : Internal management of customer requests</v>
      </c>
    </row>
    <row r="525" spans="1:40" ht="14.5" hidden="1" x14ac:dyDescent="0.35">
      <c r="A525" s="82"/>
      <c r="B525" s="154">
        <v>23006</v>
      </c>
      <c r="C525" s="113" t="s">
        <v>8</v>
      </c>
      <c r="D525" s="117">
        <v>44967</v>
      </c>
      <c r="E525" s="118" t="s">
        <v>1965</v>
      </c>
      <c r="F525" s="118" t="s">
        <v>164</v>
      </c>
      <c r="G525" s="111" t="s">
        <v>1969</v>
      </c>
      <c r="H525" s="111" t="s">
        <v>2061</v>
      </c>
      <c r="I525" s="119" t="s">
        <v>14</v>
      </c>
      <c r="J525" s="70"/>
      <c r="K525" s="118"/>
      <c r="L525" s="118">
        <v>16753</v>
      </c>
      <c r="M525" s="147"/>
      <c r="N525" s="111"/>
      <c r="O525" s="111" t="s">
        <v>29</v>
      </c>
      <c r="P525" s="111" t="s">
        <v>86</v>
      </c>
      <c r="Q525" s="70" t="s">
        <v>1665</v>
      </c>
      <c r="R525" s="111" t="s">
        <v>9</v>
      </c>
      <c r="S525" s="111"/>
      <c r="T525" s="70"/>
      <c r="U525" s="74"/>
      <c r="V525" s="158" t="s">
        <v>6</v>
      </c>
      <c r="W525" s="118" t="s">
        <v>1965</v>
      </c>
      <c r="X525" s="113">
        <v>44967</v>
      </c>
      <c r="Y525" s="117">
        <f t="shared" si="147"/>
        <v>45056</v>
      </c>
      <c r="Z525" s="187">
        <v>44981</v>
      </c>
      <c r="AA525" s="161" t="str">
        <f t="shared" ca="1" si="148"/>
        <v>YES</v>
      </c>
      <c r="AB525" s="113"/>
      <c r="AC525" s="70"/>
      <c r="AD525" s="224">
        <v>44978</v>
      </c>
      <c r="AE525" s="224">
        <v>44977</v>
      </c>
      <c r="AF525" s="114" t="str">
        <f t="shared" ca="1" si="151"/>
        <v>N/A</v>
      </c>
      <c r="AG525" s="194">
        <v>1500</v>
      </c>
      <c r="AH525" s="194">
        <v>0</v>
      </c>
      <c r="AI525" s="196">
        <f t="shared" si="149"/>
        <v>1500</v>
      </c>
      <c r="AJ525" s="148"/>
      <c r="AK525" s="70"/>
      <c r="AL525" s="70"/>
      <c r="AM525" s="165" t="str">
        <f t="shared" si="152"/>
        <v>23006 Natureworks</v>
      </c>
      <c r="AN525" s="165" t="str">
        <f t="shared" si="150"/>
        <v xml:space="preserve">23006 Natureworks : </v>
      </c>
    </row>
    <row r="526" spans="1:40" ht="14.5" hidden="1" x14ac:dyDescent="0.35">
      <c r="A526" s="78" t="s">
        <v>1991</v>
      </c>
      <c r="B526" s="154">
        <v>23007</v>
      </c>
      <c r="C526" s="113" t="s">
        <v>4</v>
      </c>
      <c r="D526" s="117">
        <v>44985</v>
      </c>
      <c r="E526" s="118" t="s">
        <v>160</v>
      </c>
      <c r="F526" s="118" t="s">
        <v>658</v>
      </c>
      <c r="G526" s="111" t="s">
        <v>1992</v>
      </c>
      <c r="H526" s="111" t="s">
        <v>1993</v>
      </c>
      <c r="I526" s="119" t="s">
        <v>5</v>
      </c>
      <c r="J526" s="70"/>
      <c r="K526" s="118"/>
      <c r="L526" s="118" t="s">
        <v>1994</v>
      </c>
      <c r="M526" s="147" t="s">
        <v>13</v>
      </c>
      <c r="N526" s="111" t="s">
        <v>1995</v>
      </c>
      <c r="O526" s="111" t="s">
        <v>28</v>
      </c>
      <c r="P526" s="111" t="s">
        <v>103</v>
      </c>
      <c r="Q526" s="70" t="s">
        <v>176</v>
      </c>
      <c r="R526" s="111" t="s">
        <v>145</v>
      </c>
      <c r="S526" s="111"/>
      <c r="T526" s="70" t="s">
        <v>1992</v>
      </c>
      <c r="U526" s="74"/>
      <c r="V526" s="158" t="s">
        <v>6</v>
      </c>
      <c r="W526" s="118" t="s">
        <v>160</v>
      </c>
      <c r="X526" s="113">
        <v>45002</v>
      </c>
      <c r="Y526" s="117">
        <f t="shared" si="147"/>
        <v>45074</v>
      </c>
      <c r="Z526" s="187">
        <v>45077</v>
      </c>
      <c r="AA526" s="161" t="str">
        <f t="shared" ca="1" si="148"/>
        <v>NO</v>
      </c>
      <c r="AB526" s="203">
        <v>44981</v>
      </c>
      <c r="AC526" s="190">
        <v>44984</v>
      </c>
      <c r="AD526" s="187">
        <v>45107</v>
      </c>
      <c r="AE526" s="187">
        <v>45077</v>
      </c>
      <c r="AF526" s="114" t="str">
        <f t="shared" ca="1" si="151"/>
        <v>YES</v>
      </c>
      <c r="AG526" s="194">
        <v>784</v>
      </c>
      <c r="AH526" s="194">
        <v>0</v>
      </c>
      <c r="AI526" s="196">
        <f t="shared" si="149"/>
        <v>784</v>
      </c>
      <c r="AJ526" s="148"/>
      <c r="AK526" s="243" t="s">
        <v>2045</v>
      </c>
      <c r="AL526" s="70"/>
      <c r="AM526" s="165" t="str">
        <f t="shared" si="152"/>
        <v>23007 DSM</v>
      </c>
      <c r="AN526" s="165" t="str">
        <f t="shared" si="150"/>
        <v>23007 DSM : Early tearing of filter bags</v>
      </c>
    </row>
    <row r="527" spans="1:40" ht="14.5" hidden="1" x14ac:dyDescent="0.35">
      <c r="A527" s="78" t="s">
        <v>1996</v>
      </c>
      <c r="B527" s="154">
        <v>23008</v>
      </c>
      <c r="C527" s="113" t="s">
        <v>4</v>
      </c>
      <c r="D527" s="117">
        <v>44986</v>
      </c>
      <c r="E527" s="118" t="s">
        <v>1476</v>
      </c>
      <c r="F527" s="118" t="s">
        <v>658</v>
      </c>
      <c r="G527" s="111" t="s">
        <v>1997</v>
      </c>
      <c r="H527" s="111" t="s">
        <v>1394</v>
      </c>
      <c r="I527" s="119" t="s">
        <v>5</v>
      </c>
      <c r="J527" s="70"/>
      <c r="K527" s="118"/>
      <c r="L527" s="118" t="s">
        <v>1998</v>
      </c>
      <c r="M527" s="147" t="s">
        <v>13</v>
      </c>
      <c r="N527" s="111" t="s">
        <v>1999</v>
      </c>
      <c r="O527" s="111" t="s">
        <v>28</v>
      </c>
      <c r="P527" s="111" t="s">
        <v>103</v>
      </c>
      <c r="Q527" s="70" t="s">
        <v>510</v>
      </c>
      <c r="R527" s="111" t="s">
        <v>145</v>
      </c>
      <c r="S527" s="111"/>
      <c r="T527" s="70" t="s">
        <v>1394</v>
      </c>
      <c r="U527" s="74"/>
      <c r="V527" s="158" t="s">
        <v>10</v>
      </c>
      <c r="W527" s="118"/>
      <c r="X527" s="113"/>
      <c r="Y527" s="117">
        <f t="shared" ref="Y527:Y532" si="153">EDATE(D527,3)</f>
        <v>45078</v>
      </c>
      <c r="Z527" s="187">
        <v>45105</v>
      </c>
      <c r="AA527" s="161" t="str">
        <f t="shared" ref="AA527:AA532" ca="1" si="154">IF(Z527="",IF(TODAY()&gt;Y527,"NO","YES"),IF(Z527&gt;Y527,"NO",IF(Z527&lt;Y527,"YES",IF(Y527=Z527,"YES","N/A"))))</f>
        <v>NO</v>
      </c>
      <c r="AB527" s="113">
        <v>44969</v>
      </c>
      <c r="AC527" s="70"/>
      <c r="AD527" s="187">
        <v>45107</v>
      </c>
      <c r="AE527" s="187">
        <v>45105</v>
      </c>
      <c r="AF527" s="114" t="str">
        <f t="shared" ca="1" si="151"/>
        <v>YES</v>
      </c>
      <c r="AG527" s="194">
        <v>784</v>
      </c>
      <c r="AH527" s="194">
        <v>0</v>
      </c>
      <c r="AI527" s="196">
        <f t="shared" ref="AI527:AI532" si="155">AH527+AG527</f>
        <v>784</v>
      </c>
      <c r="AJ527" s="148"/>
      <c r="AK527" s="243" t="s">
        <v>2045</v>
      </c>
      <c r="AL527" s="70"/>
      <c r="AM527" s="165" t="str">
        <f t="shared" si="152"/>
        <v>23008 VRS</v>
      </c>
      <c r="AN527" s="165" t="str">
        <f t="shared" ref="AN527:AN532" si="156">CONCATENATE(B527," ",G527," : ",N527)</f>
        <v>23008 VRS : Wrong resin delivered</v>
      </c>
    </row>
    <row r="528" spans="1:40" ht="14.5" hidden="1" x14ac:dyDescent="0.35">
      <c r="A528" s="78" t="s">
        <v>2000</v>
      </c>
      <c r="B528" s="154">
        <v>23009</v>
      </c>
      <c r="C528" s="113" t="s">
        <v>4</v>
      </c>
      <c r="D528" s="117">
        <v>44986</v>
      </c>
      <c r="E528" s="118" t="s">
        <v>1476</v>
      </c>
      <c r="F528" s="118" t="s">
        <v>658</v>
      </c>
      <c r="G528" s="111" t="s">
        <v>602</v>
      </c>
      <c r="H528" s="111" t="s">
        <v>1394</v>
      </c>
      <c r="I528" s="119" t="s">
        <v>5</v>
      </c>
      <c r="J528" s="70"/>
      <c r="K528" s="118"/>
      <c r="L528" s="118" t="s">
        <v>2001</v>
      </c>
      <c r="M528" s="147" t="s">
        <v>672</v>
      </c>
      <c r="N528" s="111" t="s">
        <v>2002</v>
      </c>
      <c r="O528" s="111" t="s">
        <v>28</v>
      </c>
      <c r="P528" s="111" t="s">
        <v>103</v>
      </c>
      <c r="Q528" s="70" t="s">
        <v>510</v>
      </c>
      <c r="R528" s="111" t="s">
        <v>145</v>
      </c>
      <c r="S528" s="111"/>
      <c r="T528" s="70" t="s">
        <v>1394</v>
      </c>
      <c r="U528" s="74"/>
      <c r="V528" s="158" t="s">
        <v>10</v>
      </c>
      <c r="W528" s="118"/>
      <c r="X528" s="113"/>
      <c r="Y528" s="117">
        <f t="shared" si="153"/>
        <v>45078</v>
      </c>
      <c r="Z528" s="187">
        <v>45105</v>
      </c>
      <c r="AA528" s="161" t="str">
        <f t="shared" ca="1" si="154"/>
        <v>NO</v>
      </c>
      <c r="AB528" s="113">
        <v>44966</v>
      </c>
      <c r="AC528" s="190">
        <v>44979</v>
      </c>
      <c r="AD528" s="187">
        <v>45107</v>
      </c>
      <c r="AE528" s="187">
        <v>45105</v>
      </c>
      <c r="AF528" s="114" t="str">
        <f t="shared" ca="1" si="151"/>
        <v>YES</v>
      </c>
      <c r="AG528" s="194">
        <v>588</v>
      </c>
      <c r="AH528" s="194">
        <v>0</v>
      </c>
      <c r="AI528" s="196">
        <f t="shared" si="155"/>
        <v>588</v>
      </c>
      <c r="AJ528" s="148"/>
      <c r="AK528" s="70" t="s">
        <v>2100</v>
      </c>
      <c r="AL528" s="70"/>
      <c r="AM528" s="165" t="str">
        <f t="shared" si="152"/>
        <v>23009 Cevital</v>
      </c>
      <c r="AN528" s="165" t="str">
        <f t="shared" si="156"/>
        <v>23009 Cevital : Forgotten supplier label on BB of resins</v>
      </c>
    </row>
    <row r="529" spans="1:40" ht="14.5" hidden="1" x14ac:dyDescent="0.35">
      <c r="A529" s="82"/>
      <c r="B529" s="154">
        <v>23010</v>
      </c>
      <c r="C529" s="113" t="s">
        <v>8</v>
      </c>
      <c r="D529" s="117">
        <v>44988</v>
      </c>
      <c r="E529" s="118" t="s">
        <v>1965</v>
      </c>
      <c r="F529" s="118" t="s">
        <v>164</v>
      </c>
      <c r="G529" s="111" t="s">
        <v>1904</v>
      </c>
      <c r="H529" s="111" t="s">
        <v>1920</v>
      </c>
      <c r="I529" s="119" t="s">
        <v>2056</v>
      </c>
      <c r="J529" s="70"/>
      <c r="K529" s="118">
        <v>2137</v>
      </c>
      <c r="L529" s="118">
        <v>18080</v>
      </c>
      <c r="M529" s="147" t="s">
        <v>11</v>
      </c>
      <c r="N529" s="111" t="s">
        <v>2003</v>
      </c>
      <c r="O529" s="111" t="s">
        <v>29</v>
      </c>
      <c r="P529" s="111" t="s">
        <v>86</v>
      </c>
      <c r="Q529" s="70" t="s">
        <v>1026</v>
      </c>
      <c r="R529" s="111" t="s">
        <v>145</v>
      </c>
      <c r="S529" s="111"/>
      <c r="T529" s="70"/>
      <c r="U529" s="74"/>
      <c r="V529" s="158" t="s">
        <v>6</v>
      </c>
      <c r="W529" s="118" t="s">
        <v>1965</v>
      </c>
      <c r="X529" s="113">
        <v>44988</v>
      </c>
      <c r="Y529" s="117">
        <f t="shared" si="153"/>
        <v>45080</v>
      </c>
      <c r="Z529" s="187">
        <v>45051</v>
      </c>
      <c r="AA529" s="161" t="str">
        <f t="shared" ca="1" si="154"/>
        <v>YES</v>
      </c>
      <c r="AB529" s="113"/>
      <c r="AC529" s="70"/>
      <c r="AD529" s="70"/>
      <c r="AE529" s="70"/>
      <c r="AF529" s="114" t="str">
        <f t="shared" ref="AF529:AF534" ca="1" si="157">IF(I529="Claim",IF(AD529="","",IF(AE529="",IF(TODAY()&gt;AD529,"NO","YES"),IF(AE529&gt;AD529,"NO",IF(AE529&lt;AD529,"YES",IF(AD529=AE529,"YES","N/A"))))),"N/A")</f>
        <v>N/A</v>
      </c>
      <c r="AG529" s="194"/>
      <c r="AH529" s="194"/>
      <c r="AI529" s="196">
        <f t="shared" si="155"/>
        <v>0</v>
      </c>
      <c r="AJ529" s="148"/>
      <c r="AK529" s="70"/>
      <c r="AL529" s="70"/>
      <c r="AM529" s="165" t="str">
        <f t="shared" si="152"/>
        <v>23010 LEKAI</v>
      </c>
      <c r="AN529" s="165" t="str">
        <f t="shared" si="156"/>
        <v>23010 LEKAI : Piping fabrication quality</v>
      </c>
    </row>
    <row r="530" spans="1:40" ht="14.5" hidden="1" x14ac:dyDescent="0.35">
      <c r="A530" s="78" t="s">
        <v>2004</v>
      </c>
      <c r="B530" s="154">
        <v>23011</v>
      </c>
      <c r="C530" s="113" t="s">
        <v>4</v>
      </c>
      <c r="D530" s="117">
        <v>44998</v>
      </c>
      <c r="E530" s="118" t="s">
        <v>273</v>
      </c>
      <c r="F530" s="118" t="s">
        <v>658</v>
      </c>
      <c r="G530" s="111" t="s">
        <v>2005</v>
      </c>
      <c r="H530" s="111" t="s">
        <v>357</v>
      </c>
      <c r="I530" s="119" t="s">
        <v>2056</v>
      </c>
      <c r="J530" s="70"/>
      <c r="K530" s="118"/>
      <c r="L530" s="118" t="s">
        <v>2006</v>
      </c>
      <c r="M530" s="147" t="s">
        <v>16</v>
      </c>
      <c r="N530" s="111" t="s">
        <v>2007</v>
      </c>
      <c r="O530" s="111" t="s">
        <v>28</v>
      </c>
      <c r="P530" s="111" t="s">
        <v>103</v>
      </c>
      <c r="Q530" s="70" t="s">
        <v>176</v>
      </c>
      <c r="R530" s="111" t="s">
        <v>145</v>
      </c>
      <c r="S530" s="111"/>
      <c r="T530" s="70" t="s">
        <v>357</v>
      </c>
      <c r="U530" s="74"/>
      <c r="V530" s="158" t="s">
        <v>6</v>
      </c>
      <c r="W530" s="118" t="s">
        <v>273</v>
      </c>
      <c r="X530" s="113">
        <v>44994</v>
      </c>
      <c r="Y530" s="117">
        <f t="shared" si="153"/>
        <v>45090</v>
      </c>
      <c r="Z530" s="187">
        <v>45083</v>
      </c>
      <c r="AA530" s="161" t="str">
        <f t="shared" ca="1" si="154"/>
        <v>YES</v>
      </c>
      <c r="AB530" s="113"/>
      <c r="AC530" s="70"/>
      <c r="AD530" s="70"/>
      <c r="AE530" s="70"/>
      <c r="AF530" s="114" t="str">
        <f t="shared" ca="1" si="157"/>
        <v>N/A</v>
      </c>
      <c r="AG530" s="194">
        <v>882</v>
      </c>
      <c r="AH530" s="194">
        <v>0</v>
      </c>
      <c r="AI530" s="196">
        <f t="shared" si="155"/>
        <v>882</v>
      </c>
      <c r="AJ530" s="148"/>
      <c r="AK530" s="70" t="s">
        <v>2100</v>
      </c>
      <c r="AL530" s="70"/>
      <c r="AM530" s="165" t="str">
        <f t="shared" ref="AM530:AM534" si="158">CONCATENATE(B530," ",G530)</f>
        <v>23011 LIER</v>
      </c>
      <c r="AN530" s="165" t="str">
        <f t="shared" si="156"/>
        <v>23011 LIER : 15 KD Kerasep membrane layer detachment</v>
      </c>
    </row>
    <row r="531" spans="1:40" ht="14.5" hidden="1" x14ac:dyDescent="0.35">
      <c r="A531" s="78" t="s">
        <v>2008</v>
      </c>
      <c r="B531" s="154">
        <v>23012</v>
      </c>
      <c r="C531" s="113" t="s">
        <v>4</v>
      </c>
      <c r="D531" s="117">
        <v>45005</v>
      </c>
      <c r="E531" s="118" t="s">
        <v>273</v>
      </c>
      <c r="F531" s="118" t="s">
        <v>658</v>
      </c>
      <c r="G531" s="111" t="s">
        <v>797</v>
      </c>
      <c r="H531" s="111"/>
      <c r="I531" s="119" t="s">
        <v>2057</v>
      </c>
      <c r="J531" s="70"/>
      <c r="K531" s="118"/>
      <c r="L531" s="118" t="s">
        <v>2009</v>
      </c>
      <c r="M531" s="147" t="s">
        <v>16</v>
      </c>
      <c r="N531" s="111" t="s">
        <v>2010</v>
      </c>
      <c r="O531" s="111" t="s">
        <v>28</v>
      </c>
      <c r="P531" s="111" t="s">
        <v>103</v>
      </c>
      <c r="Q531" s="70" t="s">
        <v>2011</v>
      </c>
      <c r="R531" s="111" t="s">
        <v>15</v>
      </c>
      <c r="S531" s="111"/>
      <c r="T531" s="70"/>
      <c r="U531" s="74"/>
      <c r="V531" s="158" t="s">
        <v>10</v>
      </c>
      <c r="W531" s="118"/>
      <c r="X531" s="113"/>
      <c r="Y531" s="117">
        <f t="shared" si="153"/>
        <v>45097</v>
      </c>
      <c r="Z531" s="187">
        <v>45072</v>
      </c>
      <c r="AA531" s="161" t="str">
        <f t="shared" ca="1" si="154"/>
        <v>YES</v>
      </c>
      <c r="AB531" s="113"/>
      <c r="AC531" s="70"/>
      <c r="AD531" s="70"/>
      <c r="AE531" s="70"/>
      <c r="AF531" s="114" t="str">
        <f t="shared" ca="1" si="157"/>
        <v>N/A</v>
      </c>
      <c r="AG531" s="194">
        <v>196</v>
      </c>
      <c r="AH531" s="194">
        <v>0</v>
      </c>
      <c r="AI531" s="196">
        <f t="shared" si="155"/>
        <v>196</v>
      </c>
      <c r="AJ531" s="148"/>
      <c r="AK531" s="70" t="s">
        <v>2100</v>
      </c>
      <c r="AL531" s="70"/>
      <c r="AM531" s="165" t="str">
        <f t="shared" si="158"/>
        <v>23012 CAPUA</v>
      </c>
      <c r="AN531" s="165" t="str">
        <f t="shared" si="156"/>
        <v>23012 CAPUA : Membrane cut off error in client installation</v>
      </c>
    </row>
    <row r="532" spans="1:40" ht="14.5" hidden="1" x14ac:dyDescent="0.35">
      <c r="A532" s="82"/>
      <c r="B532" s="154">
        <v>23013</v>
      </c>
      <c r="C532" s="113" t="s">
        <v>8</v>
      </c>
      <c r="D532" s="117">
        <v>45027</v>
      </c>
      <c r="E532" s="118" t="s">
        <v>1965</v>
      </c>
      <c r="F532" s="118" t="s">
        <v>164</v>
      </c>
      <c r="G532" s="111" t="s">
        <v>2012</v>
      </c>
      <c r="H532" s="111"/>
      <c r="I532" s="119" t="s">
        <v>2057</v>
      </c>
      <c r="J532" s="70"/>
      <c r="K532" s="118"/>
      <c r="L532" s="118" t="s">
        <v>2013</v>
      </c>
      <c r="M532" s="147"/>
      <c r="N532" s="111" t="s">
        <v>2014</v>
      </c>
      <c r="O532" s="111" t="s">
        <v>29</v>
      </c>
      <c r="P532" s="111" t="s">
        <v>86</v>
      </c>
      <c r="Q532" s="70" t="s">
        <v>522</v>
      </c>
      <c r="R532" s="111" t="s">
        <v>9</v>
      </c>
      <c r="S532" s="111"/>
      <c r="T532" s="70"/>
      <c r="U532" s="74"/>
      <c r="V532" s="158" t="s">
        <v>6</v>
      </c>
      <c r="W532" s="118" t="s">
        <v>1965</v>
      </c>
      <c r="X532" s="113">
        <v>45026</v>
      </c>
      <c r="Y532" s="117">
        <f t="shared" si="153"/>
        <v>45118</v>
      </c>
      <c r="Z532" s="187">
        <v>45050</v>
      </c>
      <c r="AA532" s="161" t="str">
        <f t="shared" ca="1" si="154"/>
        <v>YES</v>
      </c>
      <c r="AB532" s="113"/>
      <c r="AC532" s="70"/>
      <c r="AD532" s="70"/>
      <c r="AE532" s="70"/>
      <c r="AF532" s="114" t="str">
        <f t="shared" ca="1" si="157"/>
        <v>N/A</v>
      </c>
      <c r="AG532" s="194"/>
      <c r="AH532" s="194">
        <v>278</v>
      </c>
      <c r="AI532" s="196">
        <f t="shared" si="155"/>
        <v>278</v>
      </c>
      <c r="AJ532" s="148"/>
      <c r="AK532" s="70"/>
      <c r="AL532" s="70"/>
      <c r="AM532" s="165" t="str">
        <f t="shared" si="158"/>
        <v>23013 Cofco Tangshan</v>
      </c>
      <c r="AN532" s="165" t="str">
        <f t="shared" si="156"/>
        <v>23013 Cofco Tangshan : Cofco_issue control valve on drawing</v>
      </c>
    </row>
    <row r="533" spans="1:40" ht="14.5" hidden="1" x14ac:dyDescent="0.35">
      <c r="A533" s="82"/>
      <c r="B533" s="154">
        <v>23014</v>
      </c>
      <c r="C533" s="113" t="s">
        <v>8</v>
      </c>
      <c r="D533" s="117">
        <v>45027</v>
      </c>
      <c r="E533" s="118" t="s">
        <v>1965</v>
      </c>
      <c r="F533" s="118" t="s">
        <v>164</v>
      </c>
      <c r="G533" s="111" t="s">
        <v>2015</v>
      </c>
      <c r="H533" s="111" t="s">
        <v>1920</v>
      </c>
      <c r="I533" s="119" t="s">
        <v>5</v>
      </c>
      <c r="J533" s="70"/>
      <c r="K533" s="118"/>
      <c r="L533" s="118">
        <v>10.17789</v>
      </c>
      <c r="M533" s="147"/>
      <c r="N533" s="111" t="s">
        <v>2043</v>
      </c>
      <c r="O533" s="111" t="s">
        <v>29</v>
      </c>
      <c r="P533" s="111" t="s">
        <v>86</v>
      </c>
      <c r="Q533" s="70" t="s">
        <v>1629</v>
      </c>
      <c r="R533" s="111" t="s">
        <v>145</v>
      </c>
      <c r="S533" s="111"/>
      <c r="T533" s="70"/>
      <c r="U533" s="74"/>
      <c r="V533" s="158" t="s">
        <v>6</v>
      </c>
      <c r="W533" s="118" t="s">
        <v>1965</v>
      </c>
      <c r="X533" s="113">
        <v>45026</v>
      </c>
      <c r="Y533" s="117">
        <f t="shared" ref="Y533:Y538" si="159">EDATE(D533,3)</f>
        <v>45118</v>
      </c>
      <c r="Z533" s="187">
        <v>45050</v>
      </c>
      <c r="AA533" s="161" t="str">
        <f t="shared" ref="AA533:AA538" ca="1" si="160">IF(Z533="",IF(TODAY()&gt;Y533,"NO","YES"),IF(Z533&gt;Y533,"NO",IF(Z533&lt;Y533,"YES",IF(Y533=Z533,"YES","N/A"))))</f>
        <v>YES</v>
      </c>
      <c r="AB533" s="113">
        <v>45014</v>
      </c>
      <c r="AC533" s="224">
        <v>45014</v>
      </c>
      <c r="AD533" s="224">
        <v>45138</v>
      </c>
      <c r="AE533" s="187">
        <v>45050</v>
      </c>
      <c r="AF533" s="114" t="str">
        <f t="shared" ca="1" si="157"/>
        <v>YES</v>
      </c>
      <c r="AG533" s="194">
        <v>1000</v>
      </c>
      <c r="AH533" s="194"/>
      <c r="AI533" s="196">
        <f t="shared" ref="AI533:AI538" si="161">AH533+AG533</f>
        <v>1000</v>
      </c>
      <c r="AJ533" s="148"/>
      <c r="AK533" s="70"/>
      <c r="AL533" s="70"/>
      <c r="AM533" s="165" t="str">
        <f t="shared" si="158"/>
        <v>23014 Huitong SSMB</v>
      </c>
      <c r="AN533" s="165" t="str">
        <f t="shared" ref="AN533:AN538" si="162">CONCATENATE(B533," ",G533," : ",N533)</f>
        <v>23014 Huitong SSMB : SSMB internals material (SS304 instead of SS316)</v>
      </c>
    </row>
    <row r="534" spans="1:40" ht="14.5" hidden="1" x14ac:dyDescent="0.35">
      <c r="A534" s="82"/>
      <c r="B534" s="207">
        <v>23015</v>
      </c>
      <c r="C534" s="208" t="s">
        <v>8</v>
      </c>
      <c r="D534" s="209">
        <v>45027</v>
      </c>
      <c r="E534" s="210" t="s">
        <v>1965</v>
      </c>
      <c r="F534" s="118" t="s">
        <v>164</v>
      </c>
      <c r="G534" s="211" t="s">
        <v>2016</v>
      </c>
      <c r="H534" s="211" t="s">
        <v>433</v>
      </c>
      <c r="I534" s="212" t="s">
        <v>5</v>
      </c>
      <c r="J534" s="73"/>
      <c r="K534" s="210"/>
      <c r="L534" s="244">
        <v>18251</v>
      </c>
      <c r="M534" s="213" t="s">
        <v>13</v>
      </c>
      <c r="N534" s="211" t="s">
        <v>2044</v>
      </c>
      <c r="O534" s="211" t="s">
        <v>29</v>
      </c>
      <c r="P534" s="211" t="s">
        <v>86</v>
      </c>
      <c r="Q534" s="73" t="s">
        <v>1026</v>
      </c>
      <c r="R534" s="211" t="s">
        <v>145</v>
      </c>
      <c r="S534" s="211"/>
      <c r="T534" s="73"/>
      <c r="U534" s="74"/>
      <c r="V534" s="215" t="s">
        <v>6</v>
      </c>
      <c r="W534" s="210" t="s">
        <v>1965</v>
      </c>
      <c r="X534" s="208">
        <v>45026</v>
      </c>
      <c r="Y534" s="209">
        <f t="shared" si="159"/>
        <v>45118</v>
      </c>
      <c r="Z534" s="187">
        <v>45089</v>
      </c>
      <c r="AA534" s="216" t="str">
        <f t="shared" ca="1" si="160"/>
        <v>YES</v>
      </c>
      <c r="AB534" s="208">
        <v>44993</v>
      </c>
      <c r="AC534" s="245">
        <v>44993</v>
      </c>
      <c r="AD534" s="245">
        <v>45138</v>
      </c>
      <c r="AE534" s="187">
        <v>45089</v>
      </c>
      <c r="AF534" s="217" t="str">
        <f t="shared" ca="1" si="157"/>
        <v>YES</v>
      </c>
      <c r="AG534" s="218">
        <v>2500</v>
      </c>
      <c r="AH534" s="218">
        <v>2583</v>
      </c>
      <c r="AI534" s="222">
        <f t="shared" si="161"/>
        <v>5083</v>
      </c>
      <c r="AJ534" s="219"/>
      <c r="AK534" s="73"/>
      <c r="AL534" s="73"/>
      <c r="AM534" s="220" t="str">
        <f t="shared" si="158"/>
        <v>23015 Ensign 2</v>
      </c>
      <c r="AN534" s="220" t="str">
        <f t="shared" si="162"/>
        <v>23015 Ensign 2 : Ensign site issues rubber lining leakage</v>
      </c>
    </row>
    <row r="535" spans="1:40" ht="14.5" hidden="1" x14ac:dyDescent="0.35">
      <c r="A535" s="78" t="s">
        <v>2017</v>
      </c>
      <c r="B535" s="154">
        <v>23016</v>
      </c>
      <c r="C535" s="113" t="s">
        <v>4</v>
      </c>
      <c r="D535" s="117">
        <v>45030</v>
      </c>
      <c r="E535" s="118" t="s">
        <v>273</v>
      </c>
      <c r="F535" s="118" t="s">
        <v>658</v>
      </c>
      <c r="G535" s="111" t="s">
        <v>1975</v>
      </c>
      <c r="H535" s="111" t="s">
        <v>357</v>
      </c>
      <c r="I535" s="119" t="s">
        <v>5</v>
      </c>
      <c r="J535" s="70" t="s">
        <v>1332</v>
      </c>
      <c r="K535" s="118"/>
      <c r="L535" s="118" t="s">
        <v>2018</v>
      </c>
      <c r="M535" s="147" t="s">
        <v>16</v>
      </c>
      <c r="N535" s="111" t="s">
        <v>2019</v>
      </c>
      <c r="O535" s="111" t="s">
        <v>28</v>
      </c>
      <c r="P535" s="111" t="s">
        <v>103</v>
      </c>
      <c r="Q535" s="70" t="s">
        <v>176</v>
      </c>
      <c r="R535" s="111" t="s">
        <v>145</v>
      </c>
      <c r="S535" s="68"/>
      <c r="T535" s="70"/>
      <c r="U535" s="74"/>
      <c r="V535" s="158" t="s">
        <v>6</v>
      </c>
      <c r="W535" s="118" t="s">
        <v>273</v>
      </c>
      <c r="X535" s="113">
        <v>45030</v>
      </c>
      <c r="Y535" s="117">
        <f t="shared" si="159"/>
        <v>45121</v>
      </c>
      <c r="Z535" s="187">
        <v>45453</v>
      </c>
      <c r="AA535" s="161" t="str">
        <f t="shared" ca="1" si="160"/>
        <v>NO</v>
      </c>
      <c r="AB535" s="113">
        <v>45020</v>
      </c>
      <c r="AC535" s="187">
        <v>45023</v>
      </c>
      <c r="AD535" s="187">
        <v>45291</v>
      </c>
      <c r="AE535" s="187">
        <v>45453</v>
      </c>
      <c r="AF535" s="114" t="str">
        <f t="shared" ref="AF535:AF539" ca="1" si="163">IF(I535="Claim",IF(AD535="","",IF(AE535="",IF(TODAY()&gt;AD535,"NO","YES"),IF(AE535&gt;AD535,"NO",IF(AE535&lt;AD535,"YES",IF(AD535=AE535,"YES","N/A"))))),"N/A")</f>
        <v>NO</v>
      </c>
      <c r="AG535" s="194">
        <v>13916</v>
      </c>
      <c r="AH535" s="194">
        <v>10550</v>
      </c>
      <c r="AI535" s="196">
        <f t="shared" si="161"/>
        <v>24466</v>
      </c>
      <c r="AJ535" s="148"/>
      <c r="AK535" s="70" t="s">
        <v>2144</v>
      </c>
      <c r="AL535" s="70"/>
      <c r="AM535" s="165" t="str">
        <f t="shared" ref="AM535:AM539" si="164">CONCATENATE(B535," ",G535)</f>
        <v>23016 Sanofi</v>
      </c>
      <c r="AN535" s="165" t="str">
        <f t="shared" si="162"/>
        <v>23016 Sanofi : Abnormal water flow Kerasep membranes 50 kD</v>
      </c>
    </row>
    <row r="536" spans="1:40" ht="14.5" hidden="1" x14ac:dyDescent="0.35">
      <c r="A536" s="78" t="s">
        <v>2038</v>
      </c>
      <c r="B536" s="154">
        <v>23017</v>
      </c>
      <c r="C536" s="113" t="s">
        <v>4</v>
      </c>
      <c r="D536" s="117">
        <v>45040</v>
      </c>
      <c r="E536" s="118" t="s">
        <v>1698</v>
      </c>
      <c r="F536" s="118" t="s">
        <v>658</v>
      </c>
      <c r="G536" s="111" t="s">
        <v>602</v>
      </c>
      <c r="H536" s="111" t="s">
        <v>1394</v>
      </c>
      <c r="I536" s="119" t="s">
        <v>2057</v>
      </c>
      <c r="J536" s="70"/>
      <c r="K536" s="118"/>
      <c r="L536" s="118" t="s">
        <v>2039</v>
      </c>
      <c r="M536" s="147" t="s">
        <v>672</v>
      </c>
      <c r="N536" s="111" t="s">
        <v>2037</v>
      </c>
      <c r="O536" s="111" t="s">
        <v>28</v>
      </c>
      <c r="P536" s="111" t="s">
        <v>103</v>
      </c>
      <c r="Q536" s="70" t="s">
        <v>510</v>
      </c>
      <c r="R536" s="111" t="s">
        <v>15</v>
      </c>
      <c r="S536" s="111"/>
      <c r="T536" s="70"/>
      <c r="U536" s="70"/>
      <c r="V536" s="158" t="s">
        <v>6</v>
      </c>
      <c r="W536" s="118" t="s">
        <v>1871</v>
      </c>
      <c r="X536" s="113">
        <v>45041</v>
      </c>
      <c r="Y536" s="117">
        <f t="shared" si="159"/>
        <v>45131</v>
      </c>
      <c r="Z536" s="187">
        <v>45128</v>
      </c>
      <c r="AA536" s="161" t="str">
        <f t="shared" ca="1" si="160"/>
        <v>YES</v>
      </c>
      <c r="AB536" s="113"/>
      <c r="AC536" s="70"/>
      <c r="AD536" s="70"/>
      <c r="AE536" s="70"/>
      <c r="AF536" s="114" t="str">
        <f t="shared" ca="1" si="163"/>
        <v>N/A</v>
      </c>
      <c r="AG536" s="194">
        <v>294</v>
      </c>
      <c r="AH536" s="194">
        <v>0</v>
      </c>
      <c r="AI536" s="196">
        <f t="shared" si="161"/>
        <v>294</v>
      </c>
      <c r="AJ536" s="148"/>
      <c r="AK536" s="70" t="s">
        <v>2101</v>
      </c>
      <c r="AL536" s="70"/>
      <c r="AM536" s="165" t="str">
        <f t="shared" si="164"/>
        <v>23017 Cevital</v>
      </c>
      <c r="AN536" s="165" t="str">
        <f t="shared" si="162"/>
        <v>23017 Cevital : Wrong shipping documents</v>
      </c>
    </row>
    <row r="537" spans="1:40" ht="14.5" hidden="1" x14ac:dyDescent="0.35">
      <c r="A537" s="82"/>
      <c r="B537" s="154">
        <v>23018</v>
      </c>
      <c r="C537" s="113" t="s">
        <v>8</v>
      </c>
      <c r="D537" s="117">
        <v>45061</v>
      </c>
      <c r="E537" s="118" t="s">
        <v>1745</v>
      </c>
      <c r="F537" s="118" t="s">
        <v>658</v>
      </c>
      <c r="G537" s="111" t="s">
        <v>2040</v>
      </c>
      <c r="H537" s="111" t="s">
        <v>2042</v>
      </c>
      <c r="I537" s="119" t="s">
        <v>5</v>
      </c>
      <c r="J537" s="70"/>
      <c r="K537" s="118"/>
      <c r="L537" s="152">
        <v>15333</v>
      </c>
      <c r="M537" s="147" t="s">
        <v>11</v>
      </c>
      <c r="N537" s="111" t="s">
        <v>2041</v>
      </c>
      <c r="O537" s="111" t="s">
        <v>28</v>
      </c>
      <c r="P537" s="111" t="s">
        <v>103</v>
      </c>
      <c r="Q537" s="70" t="s">
        <v>1522</v>
      </c>
      <c r="R537" s="111" t="s">
        <v>145</v>
      </c>
      <c r="S537" s="111"/>
      <c r="T537" s="70"/>
      <c r="U537" s="70"/>
      <c r="V537" s="158" t="s">
        <v>6</v>
      </c>
      <c r="W537" s="118" t="s">
        <v>1745</v>
      </c>
      <c r="X537" s="113">
        <v>45061</v>
      </c>
      <c r="Y537" s="117">
        <f t="shared" si="159"/>
        <v>45153</v>
      </c>
      <c r="Z537" s="187">
        <v>45126</v>
      </c>
      <c r="AA537" s="161" t="str">
        <f t="shared" ca="1" si="160"/>
        <v>YES</v>
      </c>
      <c r="AB537" s="113">
        <v>45030</v>
      </c>
      <c r="AC537" s="224">
        <v>45033</v>
      </c>
      <c r="AD537" s="224">
        <v>45169</v>
      </c>
      <c r="AE537" s="187">
        <v>45126</v>
      </c>
      <c r="AF537" s="114" t="str">
        <f t="shared" ca="1" si="163"/>
        <v>YES</v>
      </c>
      <c r="AG537" s="194">
        <v>0</v>
      </c>
      <c r="AH537" s="194">
        <v>3000</v>
      </c>
      <c r="AI537" s="196">
        <f t="shared" si="161"/>
        <v>3000</v>
      </c>
      <c r="AJ537" s="148"/>
      <c r="AK537" s="70"/>
      <c r="AL537" s="70"/>
      <c r="AM537" s="165" t="str">
        <f t="shared" si="164"/>
        <v>23018 HUAKANG</v>
      </c>
      <c r="AN537" s="165" t="str">
        <f t="shared" si="162"/>
        <v>23018 HUAKANG : Poor performance of Xylose ML SSMB/Resin issue</v>
      </c>
    </row>
    <row r="538" spans="1:40" ht="14" hidden="1" customHeight="1" x14ac:dyDescent="0.35">
      <c r="A538" s="82"/>
      <c r="B538" s="154">
        <v>23019</v>
      </c>
      <c r="C538" s="113" t="s">
        <v>8</v>
      </c>
      <c r="D538" s="117">
        <v>45079</v>
      </c>
      <c r="E538" s="118" t="s">
        <v>1745</v>
      </c>
      <c r="F538" s="118" t="s">
        <v>658</v>
      </c>
      <c r="G538" s="111" t="s">
        <v>1836</v>
      </c>
      <c r="H538" s="111" t="s">
        <v>1771</v>
      </c>
      <c r="I538" s="119" t="s">
        <v>5</v>
      </c>
      <c r="J538" s="70" t="s">
        <v>1332</v>
      </c>
      <c r="K538" s="118"/>
      <c r="L538" s="152">
        <v>75.226900000000001</v>
      </c>
      <c r="M538" s="147" t="s">
        <v>338</v>
      </c>
      <c r="N538" s="111" t="s">
        <v>2046</v>
      </c>
      <c r="O538" s="111" t="s">
        <v>28</v>
      </c>
      <c r="P538" s="111" t="s">
        <v>103</v>
      </c>
      <c r="Q538" s="70" t="s">
        <v>1522</v>
      </c>
      <c r="R538" s="111" t="s">
        <v>145</v>
      </c>
      <c r="S538" s="111"/>
      <c r="T538" s="70" t="s">
        <v>1771</v>
      </c>
      <c r="U538" s="70"/>
      <c r="V538" s="158" t="s">
        <v>6</v>
      </c>
      <c r="W538" s="118" t="s">
        <v>1745</v>
      </c>
      <c r="X538" s="113">
        <v>45079</v>
      </c>
      <c r="Y538" s="117">
        <f t="shared" si="159"/>
        <v>45171</v>
      </c>
      <c r="Z538" s="187">
        <v>45126</v>
      </c>
      <c r="AA538" s="161" t="str">
        <f t="shared" ca="1" si="160"/>
        <v>YES</v>
      </c>
      <c r="AB538" s="113">
        <v>44962</v>
      </c>
      <c r="AC538" s="224">
        <v>44962</v>
      </c>
      <c r="AD538" s="224">
        <v>45230</v>
      </c>
      <c r="AE538" s="187">
        <v>45126</v>
      </c>
      <c r="AF538" s="114" t="str">
        <f t="shared" ca="1" si="163"/>
        <v>YES</v>
      </c>
      <c r="AG538" s="194">
        <v>0</v>
      </c>
      <c r="AH538" s="194">
        <v>130000</v>
      </c>
      <c r="AI538" s="196">
        <f t="shared" si="161"/>
        <v>130000</v>
      </c>
      <c r="AJ538" s="148"/>
      <c r="AK538" s="70"/>
      <c r="AL538" s="70"/>
      <c r="AM538" s="165" t="str">
        <f t="shared" si="164"/>
        <v>23019 DYG</v>
      </c>
      <c r="AN538" s="165" t="str">
        <f t="shared" si="162"/>
        <v>23019 DYG : Alpha KBW 0.1U membranes abrasion issue</v>
      </c>
    </row>
    <row r="539" spans="1:40" ht="14.75" hidden="1" customHeight="1" x14ac:dyDescent="0.35">
      <c r="A539" s="78" t="s">
        <v>2050</v>
      </c>
      <c r="B539" s="154">
        <v>23020</v>
      </c>
      <c r="C539" s="113" t="s">
        <v>4</v>
      </c>
      <c r="D539" s="117">
        <v>45100</v>
      </c>
      <c r="E539" s="118" t="s">
        <v>273</v>
      </c>
      <c r="F539" s="118" t="s">
        <v>658</v>
      </c>
      <c r="G539" s="111" t="s">
        <v>1939</v>
      </c>
      <c r="H539" s="111"/>
      <c r="I539" s="119" t="s">
        <v>2058</v>
      </c>
      <c r="J539" s="70"/>
      <c r="K539" s="118"/>
      <c r="L539" s="118"/>
      <c r="M539" s="147"/>
      <c r="N539" s="111" t="s">
        <v>2049</v>
      </c>
      <c r="O539" s="111" t="s">
        <v>28</v>
      </c>
      <c r="P539" s="111" t="s">
        <v>103</v>
      </c>
      <c r="Q539" s="70" t="s">
        <v>2048</v>
      </c>
      <c r="R539" s="111" t="s">
        <v>87</v>
      </c>
      <c r="S539" s="111"/>
      <c r="T539" s="70"/>
      <c r="U539" s="74"/>
      <c r="V539" s="158" t="s">
        <v>10</v>
      </c>
      <c r="W539" s="118"/>
      <c r="X539" s="113"/>
      <c r="Y539" s="117">
        <f t="shared" ref="Y539:Y546" si="165">EDATE(D539,3)</f>
        <v>45192</v>
      </c>
      <c r="Z539" s="187">
        <v>45166</v>
      </c>
      <c r="AA539" s="161" t="str">
        <f t="shared" ref="AA539:AA546" ca="1" si="166">IF(Z539="",IF(TODAY()&gt;Y539,"NO","YES"),IF(Z539&gt;Y539,"NO",IF(Z539&lt;Y539,"YES",IF(Y539=Z539,"YES","N/A"))))</f>
        <v>YES</v>
      </c>
      <c r="AB539" s="113"/>
      <c r="AC539" s="70"/>
      <c r="AD539" s="70"/>
      <c r="AE539" s="70"/>
      <c r="AF539" s="114" t="str">
        <f t="shared" ca="1" si="163"/>
        <v>N/A</v>
      </c>
      <c r="AG539" s="194">
        <v>490</v>
      </c>
      <c r="AH539" s="194">
        <v>450</v>
      </c>
      <c r="AI539" s="196">
        <f t="shared" ref="AI539:AI546" si="167">AH539+AG539</f>
        <v>940</v>
      </c>
      <c r="AJ539" s="148"/>
      <c r="AK539" s="70" t="s">
        <v>2100</v>
      </c>
      <c r="AL539" s="70"/>
      <c r="AM539" s="165" t="str">
        <f t="shared" si="164"/>
        <v>23020 Interne</v>
      </c>
      <c r="AN539" s="165" t="str">
        <f t="shared" ref="AN539:AN546" si="168">CONCATENATE(B539," ",G539," : ",N539)</f>
        <v>23020 Interne : Water leakage in the membrane office</v>
      </c>
    </row>
    <row r="540" spans="1:40" ht="14.5" hidden="1" x14ac:dyDescent="0.35">
      <c r="A540" s="78" t="s">
        <v>2052</v>
      </c>
      <c r="B540" s="154">
        <v>23021</v>
      </c>
      <c r="C540" s="113" t="s">
        <v>4</v>
      </c>
      <c r="D540" s="117">
        <v>45117</v>
      </c>
      <c r="E540" s="118" t="s">
        <v>91</v>
      </c>
      <c r="F540" s="118" t="s">
        <v>164</v>
      </c>
      <c r="G540" s="111" t="s">
        <v>1752</v>
      </c>
      <c r="H540" s="111"/>
      <c r="I540" s="119" t="s">
        <v>5</v>
      </c>
      <c r="J540" s="70"/>
      <c r="K540" s="118">
        <v>2116</v>
      </c>
      <c r="L540" s="118">
        <v>16253</v>
      </c>
      <c r="M540" s="147" t="s">
        <v>13</v>
      </c>
      <c r="N540" s="111" t="s">
        <v>2051</v>
      </c>
      <c r="O540" s="111" t="s">
        <v>29</v>
      </c>
      <c r="P540" s="111" t="s">
        <v>86</v>
      </c>
      <c r="Q540" s="70" t="s">
        <v>885</v>
      </c>
      <c r="R540" s="111" t="s">
        <v>9</v>
      </c>
      <c r="S540" s="111"/>
      <c r="T540" s="70"/>
      <c r="U540" s="74"/>
      <c r="V540" s="158" t="s">
        <v>6</v>
      </c>
      <c r="W540" s="118" t="s">
        <v>319</v>
      </c>
      <c r="X540" s="113">
        <v>45117</v>
      </c>
      <c r="Y540" s="117">
        <f t="shared" si="165"/>
        <v>45209</v>
      </c>
      <c r="Z540" s="187">
        <v>45168</v>
      </c>
      <c r="AA540" s="161" t="str">
        <f t="shared" ca="1" si="166"/>
        <v>YES</v>
      </c>
      <c r="AB540" s="113">
        <v>44971</v>
      </c>
      <c r="AC540" s="70"/>
      <c r="AD540" s="187">
        <v>45230</v>
      </c>
      <c r="AE540" s="187">
        <v>45168</v>
      </c>
      <c r="AF540" s="114" t="str">
        <f t="shared" ref="AF540:AF546" ca="1" si="169">IF(I540="Claim",IF(AD540="","",IF(AE540="",IF(TODAY()&gt;AD540,"NO","YES"),IF(AE540&gt;AD540,"NO",IF(AE540&lt;AD540,"YES",IF(AD540=AE540,"YES","N/A"))))),"N/A")</f>
        <v>YES</v>
      </c>
      <c r="AG540" s="194">
        <v>1473</v>
      </c>
      <c r="AH540" s="194">
        <v>5431</v>
      </c>
      <c r="AI540" s="196">
        <f t="shared" si="167"/>
        <v>6904</v>
      </c>
      <c r="AJ540" s="148"/>
      <c r="AK540" s="70" t="s">
        <v>2100</v>
      </c>
      <c r="AL540" s="70"/>
      <c r="AM540" s="165" t="str">
        <f t="shared" ref="AM540:AM546" si="170">CONCATENATE(B540," ",G540)</f>
        <v>23021 Bonumose</v>
      </c>
      <c r="AN540" s="165" t="str">
        <f t="shared" si="168"/>
        <v>23021 Bonumose : Acid corrosion on piping and tank</v>
      </c>
    </row>
    <row r="541" spans="1:40" ht="14.5" hidden="1" x14ac:dyDescent="0.35">
      <c r="A541" s="78" t="s">
        <v>2055</v>
      </c>
      <c r="B541" s="154">
        <v>23022</v>
      </c>
      <c r="C541" s="113" t="s">
        <v>4</v>
      </c>
      <c r="D541" s="117">
        <v>45119</v>
      </c>
      <c r="E541" s="118" t="s">
        <v>1844</v>
      </c>
      <c r="F541" s="118" t="s">
        <v>164</v>
      </c>
      <c r="G541" s="111" t="s">
        <v>2053</v>
      </c>
      <c r="H541" s="111" t="s">
        <v>2115</v>
      </c>
      <c r="I541" s="119" t="s">
        <v>2056</v>
      </c>
      <c r="J541" s="70"/>
      <c r="K541" s="118">
        <v>2144</v>
      </c>
      <c r="L541" s="118">
        <v>18147</v>
      </c>
      <c r="M541" s="147" t="s">
        <v>13</v>
      </c>
      <c r="N541" s="111" t="s">
        <v>2054</v>
      </c>
      <c r="O541" s="111" t="s">
        <v>29</v>
      </c>
      <c r="P541" s="111" t="s">
        <v>86</v>
      </c>
      <c r="Q541" s="70" t="s">
        <v>176</v>
      </c>
      <c r="R541" s="111" t="s">
        <v>145</v>
      </c>
      <c r="S541" s="111"/>
      <c r="T541" s="70"/>
      <c r="U541" s="74"/>
      <c r="V541" s="158" t="s">
        <v>6</v>
      </c>
      <c r="W541" s="118" t="s">
        <v>319</v>
      </c>
      <c r="X541" s="113">
        <v>45127</v>
      </c>
      <c r="Y541" s="117">
        <f t="shared" si="165"/>
        <v>45211</v>
      </c>
      <c r="Z541" s="187">
        <v>45306</v>
      </c>
      <c r="AA541" s="161" t="str">
        <f t="shared" ca="1" si="166"/>
        <v>NO</v>
      </c>
      <c r="AB541" s="113"/>
      <c r="AC541" s="70"/>
      <c r="AD541" s="70"/>
      <c r="AE541" s="70"/>
      <c r="AF541" s="114" t="str">
        <f t="shared" ca="1" si="169"/>
        <v>N/A</v>
      </c>
      <c r="AG541" s="194">
        <v>980</v>
      </c>
      <c r="AH541" s="194">
        <v>0</v>
      </c>
      <c r="AI541" s="196">
        <f t="shared" si="167"/>
        <v>980</v>
      </c>
      <c r="AJ541" s="148"/>
      <c r="AK541" s="70" t="s">
        <v>2106</v>
      </c>
      <c r="AL541" s="70"/>
      <c r="AM541" s="165" t="str">
        <f t="shared" si="170"/>
        <v>23022 Inovyn</v>
      </c>
      <c r="AN541" s="165" t="str">
        <f t="shared" si="168"/>
        <v>23022 Inovyn : Default of IEX columns rubber lining</v>
      </c>
    </row>
    <row r="542" spans="1:40" ht="14.5" hidden="1" x14ac:dyDescent="0.35">
      <c r="A542" s="153" t="s">
        <v>2064</v>
      </c>
      <c r="B542" s="154">
        <v>23023</v>
      </c>
      <c r="C542" s="113" t="s">
        <v>4</v>
      </c>
      <c r="D542" s="117">
        <v>45195</v>
      </c>
      <c r="E542" s="118" t="s">
        <v>2062</v>
      </c>
      <c r="F542" s="118" t="s">
        <v>420</v>
      </c>
      <c r="G542" s="111" t="s">
        <v>1939</v>
      </c>
      <c r="H542" s="111"/>
      <c r="I542" s="119" t="s">
        <v>2058</v>
      </c>
      <c r="J542" s="70"/>
      <c r="K542" s="118"/>
      <c r="L542" s="118"/>
      <c r="M542" s="147"/>
      <c r="N542" s="111" t="s">
        <v>2063</v>
      </c>
      <c r="O542" s="111" t="s">
        <v>420</v>
      </c>
      <c r="P542" s="111" t="s">
        <v>80</v>
      </c>
      <c r="Q542" s="70" t="s">
        <v>1543</v>
      </c>
      <c r="R542" s="111" t="s">
        <v>87</v>
      </c>
      <c r="S542" s="111"/>
      <c r="T542" s="70"/>
      <c r="U542" s="74"/>
      <c r="V542" s="158" t="s">
        <v>6</v>
      </c>
      <c r="W542" s="118" t="s">
        <v>1647</v>
      </c>
      <c r="X542" s="113">
        <v>45226</v>
      </c>
      <c r="Y542" s="117">
        <f t="shared" si="165"/>
        <v>45286</v>
      </c>
      <c r="Z542" s="187">
        <v>45233</v>
      </c>
      <c r="AA542" s="161" t="str">
        <f t="shared" ca="1" si="166"/>
        <v>YES</v>
      </c>
      <c r="AB542" s="113"/>
      <c r="AC542" s="70"/>
      <c r="AD542" s="70"/>
      <c r="AE542" s="70"/>
      <c r="AF542" s="114" t="str">
        <f t="shared" ca="1" si="169"/>
        <v>N/A</v>
      </c>
      <c r="AG542" s="194">
        <v>784</v>
      </c>
      <c r="AH542" s="194">
        <v>0</v>
      </c>
      <c r="AI542" s="196">
        <f t="shared" si="167"/>
        <v>784</v>
      </c>
      <c r="AJ542" s="148"/>
      <c r="AK542" s="70" t="s">
        <v>2100</v>
      </c>
      <c r="AL542" s="70"/>
      <c r="AM542" s="165" t="str">
        <f t="shared" si="170"/>
        <v>23023 Interne</v>
      </c>
      <c r="AN542" s="165" t="str">
        <f t="shared" si="168"/>
        <v>23023 Interne : R&amp;D hall N°2 roof leak</v>
      </c>
    </row>
    <row r="543" spans="1:40" ht="14.5" hidden="1" x14ac:dyDescent="0.35">
      <c r="A543" s="78" t="s">
        <v>2070</v>
      </c>
      <c r="B543" s="154">
        <v>23024</v>
      </c>
      <c r="C543" s="113" t="s">
        <v>4</v>
      </c>
      <c r="D543" s="117">
        <v>45202</v>
      </c>
      <c r="E543" s="118" t="s">
        <v>864</v>
      </c>
      <c r="F543" s="118" t="s">
        <v>164</v>
      </c>
      <c r="G543" s="111" t="s">
        <v>2065</v>
      </c>
      <c r="H543" s="111"/>
      <c r="I543" s="119" t="s">
        <v>5</v>
      </c>
      <c r="J543" s="70"/>
      <c r="K543" s="118">
        <v>2066</v>
      </c>
      <c r="L543" s="118">
        <v>13829</v>
      </c>
      <c r="M543" s="147" t="s">
        <v>2067</v>
      </c>
      <c r="N543" s="111" t="s">
        <v>2066</v>
      </c>
      <c r="O543" s="111" t="s">
        <v>29</v>
      </c>
      <c r="P543" s="111" t="s">
        <v>86</v>
      </c>
      <c r="Q543" s="70" t="s">
        <v>885</v>
      </c>
      <c r="R543" s="111" t="s">
        <v>9</v>
      </c>
      <c r="S543" s="111"/>
      <c r="T543" s="70"/>
      <c r="U543" s="74"/>
      <c r="V543" s="158" t="s">
        <v>6</v>
      </c>
      <c r="W543" s="118" t="s">
        <v>864</v>
      </c>
      <c r="X543" s="113">
        <v>45202</v>
      </c>
      <c r="Y543" s="117">
        <f t="shared" si="165"/>
        <v>45294</v>
      </c>
      <c r="Z543" s="187">
        <v>45301</v>
      </c>
      <c r="AA543" s="161" t="str">
        <f t="shared" ca="1" si="166"/>
        <v>NO</v>
      </c>
      <c r="AB543" s="113">
        <v>45058</v>
      </c>
      <c r="AC543" s="187">
        <v>45061</v>
      </c>
      <c r="AD543" s="187">
        <v>45412</v>
      </c>
      <c r="AE543" s="187">
        <v>45301</v>
      </c>
      <c r="AF543" s="114" t="str">
        <f t="shared" ca="1" si="169"/>
        <v>YES</v>
      </c>
      <c r="AG543" s="194">
        <v>18830</v>
      </c>
      <c r="AH543" s="194">
        <v>107477</v>
      </c>
      <c r="AI543" s="196">
        <f t="shared" si="167"/>
        <v>126307</v>
      </c>
      <c r="AJ543" s="148"/>
      <c r="AK543" s="70" t="s">
        <v>2106</v>
      </c>
      <c r="AL543" s="70"/>
      <c r="AM543" s="165" t="str">
        <f t="shared" si="170"/>
        <v>23024 Bénéo Chili</v>
      </c>
      <c r="AN543" s="165" t="str">
        <f t="shared" si="168"/>
        <v>23024 Bénéo Chili : 304L piping corrosion</v>
      </c>
    </row>
    <row r="544" spans="1:40" ht="14.5" hidden="1" x14ac:dyDescent="0.35">
      <c r="A544" s="78" t="s">
        <v>2071</v>
      </c>
      <c r="B544" s="96">
        <v>23025</v>
      </c>
      <c r="C544" s="81" t="s">
        <v>4</v>
      </c>
      <c r="D544" s="97">
        <v>45215</v>
      </c>
      <c r="E544" s="67" t="s">
        <v>864</v>
      </c>
      <c r="F544" s="67" t="s">
        <v>164</v>
      </c>
      <c r="G544" s="68" t="s">
        <v>2068</v>
      </c>
      <c r="H544" s="68" t="s">
        <v>433</v>
      </c>
      <c r="I544" s="99" t="s">
        <v>5</v>
      </c>
      <c r="J544" s="74"/>
      <c r="K544" s="67">
        <v>2087</v>
      </c>
      <c r="L544" s="67">
        <v>13086</v>
      </c>
      <c r="M544" s="80" t="s">
        <v>13</v>
      </c>
      <c r="N544" s="68" t="s">
        <v>2069</v>
      </c>
      <c r="O544" s="68" t="s">
        <v>29</v>
      </c>
      <c r="P544" s="68" t="s">
        <v>86</v>
      </c>
      <c r="Q544" s="74" t="s">
        <v>1036</v>
      </c>
      <c r="R544" s="68" t="s">
        <v>145</v>
      </c>
      <c r="S544" s="68"/>
      <c r="T544" s="74"/>
      <c r="U544" s="74"/>
      <c r="V544" s="79" t="s">
        <v>6</v>
      </c>
      <c r="W544" s="67" t="s">
        <v>864</v>
      </c>
      <c r="X544" s="81">
        <v>45216</v>
      </c>
      <c r="Y544" s="110">
        <f t="shared" si="165"/>
        <v>45307</v>
      </c>
      <c r="Z544" s="74"/>
      <c r="AA544" s="106" t="str">
        <f t="shared" ca="1" si="166"/>
        <v>NO</v>
      </c>
      <c r="AB544" s="81">
        <v>44931</v>
      </c>
      <c r="AC544" s="109">
        <v>44932</v>
      </c>
      <c r="AD544" s="109">
        <v>45596</v>
      </c>
      <c r="AE544" s="74"/>
      <c r="AF544" s="62" t="str">
        <f ca="1">IF(I544="Claim",IF(AD544="","",IF(AE544="",IF(TODAY()&gt;AD544,"NO","YES"),IF(AE544&gt;AD544,"NO",IF(AE544&lt;AD544,"YES",IF(AD544=AE544,"YES","N/A"))))),"N/A")</f>
        <v>NO</v>
      </c>
      <c r="AG544" s="104"/>
      <c r="AH544" s="104"/>
      <c r="AI544" s="107">
        <f t="shared" si="167"/>
        <v>0</v>
      </c>
      <c r="AJ544" s="105"/>
      <c r="AK544" s="74"/>
      <c r="AL544" s="74"/>
      <c r="AM544" s="108" t="str">
        <f t="shared" si="170"/>
        <v>23025 Cargill Zest</v>
      </c>
      <c r="AN544" s="108" t="str">
        <f t="shared" si="168"/>
        <v xml:space="preserve">23025 Cargill Zest : Degradation of Lining inside IEX Column </v>
      </c>
    </row>
    <row r="545" spans="1:40" ht="14.5" hidden="1" x14ac:dyDescent="0.35">
      <c r="A545" s="78" t="s">
        <v>2074</v>
      </c>
      <c r="B545" s="154">
        <v>23026</v>
      </c>
      <c r="C545" s="113" t="s">
        <v>4</v>
      </c>
      <c r="D545" s="117">
        <v>45215</v>
      </c>
      <c r="E545" s="118" t="s">
        <v>1907</v>
      </c>
      <c r="F545" s="118" t="s">
        <v>164</v>
      </c>
      <c r="G545" s="111" t="s">
        <v>2072</v>
      </c>
      <c r="H545" s="111" t="s">
        <v>570</v>
      </c>
      <c r="I545" s="119" t="s">
        <v>2056</v>
      </c>
      <c r="J545" s="70"/>
      <c r="K545" s="118">
        <v>2148</v>
      </c>
      <c r="L545" s="118">
        <v>18201</v>
      </c>
      <c r="M545" s="147" t="s">
        <v>13</v>
      </c>
      <c r="N545" s="111" t="s">
        <v>2073</v>
      </c>
      <c r="O545" s="111" t="s">
        <v>29</v>
      </c>
      <c r="P545" s="111" t="s">
        <v>86</v>
      </c>
      <c r="Q545" s="70" t="s">
        <v>1026</v>
      </c>
      <c r="R545" s="111" t="s">
        <v>145</v>
      </c>
      <c r="S545" s="111"/>
      <c r="T545" s="112" t="s">
        <v>570</v>
      </c>
      <c r="U545" s="74"/>
      <c r="V545" s="158" t="s">
        <v>6</v>
      </c>
      <c r="W545" s="118" t="s">
        <v>1907</v>
      </c>
      <c r="X545" s="113">
        <v>45218</v>
      </c>
      <c r="Y545" s="117">
        <f t="shared" si="165"/>
        <v>45307</v>
      </c>
      <c r="Z545" s="187">
        <v>45307</v>
      </c>
      <c r="AA545" s="161" t="str">
        <f t="shared" ca="1" si="166"/>
        <v>YES</v>
      </c>
      <c r="AB545" s="113"/>
      <c r="AC545" s="70"/>
      <c r="AD545" s="70"/>
      <c r="AE545" s="70"/>
      <c r="AF545" s="114" t="str">
        <f ca="1">IF(I545="Claim",IF(AD545="","",IF(AE545="",IF(TODAY()&gt;AD545,"NO","YES"),IF(AE545&gt;AD545,"NO",IF(AE545&lt;AD545,"YES",IF(AD545=AE545,"YES","N/A"))))),"N/A")</f>
        <v>N/A</v>
      </c>
      <c r="AG545" s="194">
        <v>2352</v>
      </c>
      <c r="AH545" s="194">
        <v>0</v>
      </c>
      <c r="AI545" s="196">
        <f t="shared" si="167"/>
        <v>2352</v>
      </c>
      <c r="AJ545" s="148"/>
      <c r="AK545" s="70" t="s">
        <v>2106</v>
      </c>
      <c r="AL545" s="70"/>
      <c r="AM545" s="165" t="str">
        <f t="shared" si="170"/>
        <v>23026 COPAM</v>
      </c>
      <c r="AN545" s="165" t="str">
        <f t="shared" si="168"/>
        <v>23026 COPAM : Black beads in resin</v>
      </c>
    </row>
    <row r="546" spans="1:40" ht="14.5" hidden="1" x14ac:dyDescent="0.35">
      <c r="A546" s="78" t="s">
        <v>2076</v>
      </c>
      <c r="B546" s="154">
        <v>23027</v>
      </c>
      <c r="C546" s="113" t="s">
        <v>4</v>
      </c>
      <c r="D546" s="117">
        <v>45215</v>
      </c>
      <c r="E546" s="118" t="s">
        <v>335</v>
      </c>
      <c r="F546" s="118" t="s">
        <v>164</v>
      </c>
      <c r="G546" s="111" t="s">
        <v>2053</v>
      </c>
      <c r="H546" s="111" t="s">
        <v>1287</v>
      </c>
      <c r="I546" s="119" t="s">
        <v>5</v>
      </c>
      <c r="J546" s="70"/>
      <c r="K546" s="118">
        <v>2144</v>
      </c>
      <c r="L546" s="118">
        <v>18147</v>
      </c>
      <c r="M546" s="147" t="s">
        <v>13</v>
      </c>
      <c r="N546" s="111" t="s">
        <v>2075</v>
      </c>
      <c r="O546" s="111" t="s">
        <v>29</v>
      </c>
      <c r="P546" s="111" t="s">
        <v>86</v>
      </c>
      <c r="Q546" s="70" t="s">
        <v>1289</v>
      </c>
      <c r="R546" s="111" t="s">
        <v>9</v>
      </c>
      <c r="S546" s="111"/>
      <c r="T546" s="70"/>
      <c r="U546" s="74"/>
      <c r="V546" s="158" t="s">
        <v>6</v>
      </c>
      <c r="W546" s="118" t="s">
        <v>1396</v>
      </c>
      <c r="X546" s="113">
        <v>45218</v>
      </c>
      <c r="Y546" s="117">
        <f t="shared" si="165"/>
        <v>45307</v>
      </c>
      <c r="Z546" s="187">
        <v>45313</v>
      </c>
      <c r="AA546" s="161" t="str">
        <f t="shared" ca="1" si="166"/>
        <v>NO</v>
      </c>
      <c r="AB546" s="113">
        <v>45196</v>
      </c>
      <c r="AC546" s="187">
        <v>45204</v>
      </c>
      <c r="AD546" s="187">
        <v>45322</v>
      </c>
      <c r="AE546" s="187">
        <v>45313</v>
      </c>
      <c r="AF546" s="114" t="str">
        <f t="shared" ca="1" si="169"/>
        <v>YES</v>
      </c>
      <c r="AG546" s="194">
        <v>1078</v>
      </c>
      <c r="AH546" s="194">
        <v>14493.69</v>
      </c>
      <c r="AI546" s="196">
        <f t="shared" si="167"/>
        <v>15571.69</v>
      </c>
      <c r="AJ546" s="148"/>
      <c r="AK546" s="70" t="s">
        <v>2106</v>
      </c>
      <c r="AL546" s="70"/>
      <c r="AM546" s="165" t="str">
        <f t="shared" si="170"/>
        <v>23027 Inovyn</v>
      </c>
      <c r="AN546" s="165" t="str">
        <f t="shared" si="168"/>
        <v>23027 Inovyn : Skid wiring default</v>
      </c>
    </row>
    <row r="547" spans="1:40" ht="14.5" hidden="1" x14ac:dyDescent="0.35">
      <c r="A547" s="78" t="s">
        <v>2082</v>
      </c>
      <c r="B547" s="154">
        <v>23028</v>
      </c>
      <c r="C547" s="113" t="s">
        <v>4</v>
      </c>
      <c r="D547" s="117">
        <v>45222</v>
      </c>
      <c r="E547" s="118" t="s">
        <v>177</v>
      </c>
      <c r="F547" s="118" t="s">
        <v>1103</v>
      </c>
      <c r="G547" s="111" t="s">
        <v>2077</v>
      </c>
      <c r="H547" s="111" t="s">
        <v>2078</v>
      </c>
      <c r="I547" s="119" t="s">
        <v>2056</v>
      </c>
      <c r="J547" s="70"/>
      <c r="K547" s="118">
        <v>2153</v>
      </c>
      <c r="L547" s="118">
        <v>18336</v>
      </c>
      <c r="M547" s="147"/>
      <c r="N547" s="111" t="s">
        <v>2079</v>
      </c>
      <c r="O547" s="111" t="s">
        <v>29</v>
      </c>
      <c r="P547" s="111" t="s">
        <v>176</v>
      </c>
      <c r="Q547" s="70" t="s">
        <v>1661</v>
      </c>
      <c r="R547" s="111" t="s">
        <v>145</v>
      </c>
      <c r="S547" s="111"/>
      <c r="T547" s="112" t="s">
        <v>2078</v>
      </c>
      <c r="U547" s="74"/>
      <c r="V547" s="158" t="s">
        <v>10</v>
      </c>
      <c r="W547" s="118"/>
      <c r="X547" s="113"/>
      <c r="Y547" s="117">
        <f t="shared" ref="Y547:Y551" si="171">EDATE(D547,3)</f>
        <v>45314</v>
      </c>
      <c r="Z547" s="187">
        <v>45301</v>
      </c>
      <c r="AA547" s="161" t="str">
        <f t="shared" ref="AA547:AA551" ca="1" si="172">IF(Z547="",IF(TODAY()&gt;Y547,"NO","YES"),IF(Z547&gt;Y547,"NO",IF(Z547&lt;Y547,"YES",IF(Y547=Z547,"YES","N/A"))))</f>
        <v>YES</v>
      </c>
      <c r="AB547" s="113"/>
      <c r="AC547" s="70"/>
      <c r="AD547" s="70"/>
      <c r="AE547" s="70"/>
      <c r="AF547" s="114" t="str">
        <f t="shared" ref="AF547:AF551" ca="1" si="173">IF(I547="Claim",IF(AD547="","",IF(AE547="",IF(TODAY()&gt;AD547,"NO","YES"),IF(AE547&gt;AD547,"NO",IF(AE547&lt;AD547,"YES",IF(AD547=AE547,"YES","N/A"))))),"N/A")</f>
        <v>N/A</v>
      </c>
      <c r="AG547" s="194">
        <v>2450</v>
      </c>
      <c r="AH547" s="194">
        <v>0</v>
      </c>
      <c r="AI547" s="196">
        <f t="shared" ref="AI547:AI551" si="174">AH547+AG547</f>
        <v>2450</v>
      </c>
      <c r="AJ547" s="148"/>
      <c r="AK547" s="70" t="s">
        <v>2106</v>
      </c>
      <c r="AL547" s="70"/>
      <c r="AM547" s="165" t="str">
        <f t="shared" ref="AM547:AM551" si="175">CONCATENATE(B547," ",G547)</f>
        <v>23028 Via Separation</v>
      </c>
      <c r="AN547" s="165" t="str">
        <f t="shared" ref="AN547:AN551" si="176">CONCATENATE(B547," ",G547," : ",N547)</f>
        <v>23028 Via Separation : Late delivery of centrigugal pumps</v>
      </c>
    </row>
    <row r="548" spans="1:40" ht="14.5" hidden="1" x14ac:dyDescent="0.35">
      <c r="A548" s="78" t="s">
        <v>2083</v>
      </c>
      <c r="B548" s="154">
        <v>23029</v>
      </c>
      <c r="C548" s="113" t="s">
        <v>4</v>
      </c>
      <c r="D548" s="117">
        <v>45222</v>
      </c>
      <c r="E548" s="118" t="s">
        <v>1844</v>
      </c>
      <c r="F548" s="118" t="s">
        <v>164</v>
      </c>
      <c r="G548" s="111" t="s">
        <v>2053</v>
      </c>
      <c r="H548" s="111" t="s">
        <v>2080</v>
      </c>
      <c r="I548" s="119" t="s">
        <v>5</v>
      </c>
      <c r="J548" s="70"/>
      <c r="K548" s="118">
        <v>2144</v>
      </c>
      <c r="L548" s="118">
        <v>18147</v>
      </c>
      <c r="M548" s="147" t="s">
        <v>13</v>
      </c>
      <c r="N548" s="111" t="s">
        <v>2081</v>
      </c>
      <c r="O548" s="111" t="s">
        <v>29</v>
      </c>
      <c r="P548" s="111" t="s">
        <v>86</v>
      </c>
      <c r="Q548" s="70" t="s">
        <v>885</v>
      </c>
      <c r="R548" s="111" t="s">
        <v>9</v>
      </c>
      <c r="S548" s="111"/>
      <c r="T548" s="112" t="s">
        <v>2097</v>
      </c>
      <c r="U548" s="74"/>
      <c r="V548" s="158" t="s">
        <v>6</v>
      </c>
      <c r="W548" s="118" t="s">
        <v>1396</v>
      </c>
      <c r="X548" s="113">
        <v>45233</v>
      </c>
      <c r="Y548" s="117">
        <f t="shared" si="171"/>
        <v>45314</v>
      </c>
      <c r="Z548" s="187">
        <v>45306</v>
      </c>
      <c r="AA548" s="161" t="str">
        <f t="shared" ca="1" si="172"/>
        <v>YES</v>
      </c>
      <c r="AB548" s="113">
        <v>45203</v>
      </c>
      <c r="AC548" s="187">
        <v>45208</v>
      </c>
      <c r="AD548" s="187">
        <v>45322</v>
      </c>
      <c r="AE548" s="187">
        <v>45306</v>
      </c>
      <c r="AF548" s="114" t="str">
        <f t="shared" ca="1" si="173"/>
        <v>YES</v>
      </c>
      <c r="AG548" s="194">
        <v>1372</v>
      </c>
      <c r="AH548" s="194">
        <v>3800</v>
      </c>
      <c r="AI548" s="196">
        <f t="shared" si="174"/>
        <v>5172</v>
      </c>
      <c r="AJ548" s="148"/>
      <c r="AK548" s="70" t="s">
        <v>2106</v>
      </c>
      <c r="AL548" s="70"/>
      <c r="AM548" s="165" t="str">
        <f t="shared" si="175"/>
        <v>23029 Inovyn</v>
      </c>
      <c r="AN548" s="165" t="str">
        <f t="shared" si="176"/>
        <v>23029 Inovyn : Interconnexion piping issues/columns</v>
      </c>
    </row>
    <row r="549" spans="1:40" s="217" customFormat="1" ht="14" hidden="1" customHeight="1" x14ac:dyDescent="0.35">
      <c r="A549" s="82"/>
      <c r="B549" s="207">
        <v>23030</v>
      </c>
      <c r="C549" s="208" t="s">
        <v>8</v>
      </c>
      <c r="D549" s="209">
        <v>45227</v>
      </c>
      <c r="E549" s="210" t="s">
        <v>1896</v>
      </c>
      <c r="F549" s="210" t="s">
        <v>164</v>
      </c>
      <c r="G549" s="211" t="s">
        <v>2084</v>
      </c>
      <c r="H549" s="211" t="s">
        <v>2091</v>
      </c>
      <c r="I549" s="212" t="s">
        <v>2056</v>
      </c>
      <c r="J549" s="73"/>
      <c r="K549" s="210">
        <v>2128</v>
      </c>
      <c r="L549" s="210">
        <v>17951</v>
      </c>
      <c r="M549" s="213" t="s">
        <v>13</v>
      </c>
      <c r="N549" s="211" t="s">
        <v>2085</v>
      </c>
      <c r="O549" s="211" t="s">
        <v>29</v>
      </c>
      <c r="P549" s="211" t="s">
        <v>86</v>
      </c>
      <c r="Q549" s="73" t="s">
        <v>1026</v>
      </c>
      <c r="R549" s="211" t="s">
        <v>9</v>
      </c>
      <c r="S549" s="211"/>
      <c r="T549" s="73"/>
      <c r="U549" s="74"/>
      <c r="V549" s="215" t="s">
        <v>6</v>
      </c>
      <c r="W549" s="210" t="s">
        <v>1965</v>
      </c>
      <c r="X549" s="208">
        <v>45247</v>
      </c>
      <c r="Y549" s="209">
        <f t="shared" si="171"/>
        <v>45319</v>
      </c>
      <c r="Z549" s="247">
        <v>45303</v>
      </c>
      <c r="AA549" s="216" t="str">
        <f t="shared" ca="1" si="172"/>
        <v>YES</v>
      </c>
      <c r="AB549" s="208"/>
      <c r="AC549" s="73"/>
      <c r="AD549" s="73"/>
      <c r="AE549" s="73"/>
      <c r="AF549" s="217" t="str">
        <f t="shared" ca="1" si="173"/>
        <v>N/A</v>
      </c>
      <c r="AG549" s="218">
        <v>3000</v>
      </c>
      <c r="AH549" s="218">
        <v>1892</v>
      </c>
      <c r="AI549" s="222">
        <f t="shared" si="174"/>
        <v>4892</v>
      </c>
      <c r="AJ549" s="219"/>
      <c r="AK549" s="73"/>
      <c r="AL549" s="73"/>
      <c r="AM549" s="220" t="str">
        <f t="shared" si="175"/>
        <v>23030 SQ Nansha</v>
      </c>
      <c r="AN549" s="220" t="str">
        <f t="shared" si="176"/>
        <v>23030 SQ Nansha : Loose nozzles found inside columns of SQ20 on Site</v>
      </c>
    </row>
    <row r="550" spans="1:40" s="114" customFormat="1" ht="15.5" hidden="1" customHeight="1" x14ac:dyDescent="0.35">
      <c r="A550" s="82"/>
      <c r="B550" s="154">
        <v>23031</v>
      </c>
      <c r="C550" s="113" t="s">
        <v>8</v>
      </c>
      <c r="D550" s="117">
        <v>45236</v>
      </c>
      <c r="E550" s="118" t="s">
        <v>2086</v>
      </c>
      <c r="F550" s="118" t="s">
        <v>164</v>
      </c>
      <c r="G550" s="111" t="s">
        <v>2095</v>
      </c>
      <c r="H550" s="111" t="s">
        <v>2087</v>
      </c>
      <c r="I550" s="119" t="s">
        <v>2057</v>
      </c>
      <c r="J550" s="70"/>
      <c r="K550" s="118">
        <v>2151</v>
      </c>
      <c r="L550" s="118">
        <v>18281</v>
      </c>
      <c r="M550" s="147" t="s">
        <v>16</v>
      </c>
      <c r="N550" s="111" t="s">
        <v>2088</v>
      </c>
      <c r="O550" s="111" t="s">
        <v>29</v>
      </c>
      <c r="P550" s="111" t="s">
        <v>86</v>
      </c>
      <c r="Q550" s="70" t="s">
        <v>2096</v>
      </c>
      <c r="R550" s="111" t="s">
        <v>9</v>
      </c>
      <c r="S550" s="111"/>
      <c r="T550" s="70"/>
      <c r="U550" s="74"/>
      <c r="V550" s="158" t="s">
        <v>6</v>
      </c>
      <c r="W550" s="118" t="s">
        <v>1965</v>
      </c>
      <c r="X550" s="113">
        <v>45266</v>
      </c>
      <c r="Y550" s="117">
        <f>EDATE(D550,3)</f>
        <v>45328</v>
      </c>
      <c r="Z550" s="187">
        <v>45323</v>
      </c>
      <c r="AA550" s="161" t="str">
        <f t="shared" ca="1" si="172"/>
        <v>YES</v>
      </c>
      <c r="AB550" s="113"/>
      <c r="AC550" s="70"/>
      <c r="AD550" s="70"/>
      <c r="AE550" s="70"/>
      <c r="AF550" s="114" t="str">
        <f t="shared" ca="1" si="173"/>
        <v>N/A</v>
      </c>
      <c r="AG550" s="194">
        <v>250</v>
      </c>
      <c r="AH550" s="194">
        <v>139</v>
      </c>
      <c r="AI550" s="196">
        <f t="shared" si="174"/>
        <v>389</v>
      </c>
      <c r="AJ550" s="148"/>
      <c r="AK550" s="70"/>
      <c r="AL550" s="70"/>
      <c r="AM550" s="165" t="str">
        <f t="shared" si="175"/>
        <v>23031 Lier</v>
      </c>
      <c r="AN550" s="165" t="str">
        <f t="shared" si="176"/>
        <v xml:space="preserve">23031 Lier : Unproper MF housings site installation </v>
      </c>
    </row>
    <row r="551" spans="1:40" ht="16.5" hidden="1" customHeight="1" x14ac:dyDescent="0.35">
      <c r="A551" s="82"/>
      <c r="B551" s="154">
        <v>23032</v>
      </c>
      <c r="C551" s="113" t="s">
        <v>8</v>
      </c>
      <c r="D551" s="117">
        <v>45236</v>
      </c>
      <c r="E551" s="118" t="s">
        <v>2086</v>
      </c>
      <c r="F551" s="118" t="s">
        <v>164</v>
      </c>
      <c r="G551" s="111" t="s">
        <v>1499</v>
      </c>
      <c r="H551" s="111" t="s">
        <v>2089</v>
      </c>
      <c r="I551" s="119" t="s">
        <v>5</v>
      </c>
      <c r="J551" s="70"/>
      <c r="K551" s="118">
        <v>2150</v>
      </c>
      <c r="L551" s="118">
        <v>18178</v>
      </c>
      <c r="M551" s="147" t="s">
        <v>13</v>
      </c>
      <c r="N551" s="111" t="s">
        <v>2090</v>
      </c>
      <c r="O551" s="111" t="s">
        <v>29</v>
      </c>
      <c r="P551" s="111" t="s">
        <v>86</v>
      </c>
      <c r="Q551" s="70" t="s">
        <v>1661</v>
      </c>
      <c r="R551" s="111" t="s">
        <v>9</v>
      </c>
      <c r="S551" s="111"/>
      <c r="T551" s="70"/>
      <c r="U551" s="74"/>
      <c r="V551" s="158" t="s">
        <v>6</v>
      </c>
      <c r="W551" s="118" t="s">
        <v>1965</v>
      </c>
      <c r="X551" s="113">
        <v>45257</v>
      </c>
      <c r="Y551" s="117">
        <f t="shared" si="171"/>
        <v>45328</v>
      </c>
      <c r="Z551" s="187">
        <v>45408</v>
      </c>
      <c r="AA551" s="161" t="str">
        <f t="shared" ca="1" si="172"/>
        <v>NO</v>
      </c>
      <c r="AB551" s="113">
        <v>45142</v>
      </c>
      <c r="AC551" s="113">
        <v>45142</v>
      </c>
      <c r="AD551" s="187">
        <v>45412</v>
      </c>
      <c r="AE551" s="247">
        <v>45408</v>
      </c>
      <c r="AF551" s="114" t="str">
        <f t="shared" ca="1" si="173"/>
        <v>YES</v>
      </c>
      <c r="AG551" s="194">
        <v>938</v>
      </c>
      <c r="AH551" s="194">
        <v>0</v>
      </c>
      <c r="AI551" s="196">
        <f t="shared" si="174"/>
        <v>938</v>
      </c>
      <c r="AJ551" s="148"/>
      <c r="AK551" s="70"/>
      <c r="AL551" s="70"/>
      <c r="AM551" s="165" t="str">
        <f t="shared" si="175"/>
        <v>23032 Rousselot</v>
      </c>
      <c r="AN551" s="165" t="str">
        <f t="shared" si="176"/>
        <v>23032 Rousselot : Painting damage during transportation</v>
      </c>
    </row>
    <row r="552" spans="1:40" ht="13" hidden="1" customHeight="1" x14ac:dyDescent="0.35">
      <c r="A552" s="78" t="s">
        <v>2094</v>
      </c>
      <c r="B552" s="154">
        <v>23033</v>
      </c>
      <c r="C552" s="113" t="s">
        <v>4</v>
      </c>
      <c r="D552" s="117">
        <v>45238</v>
      </c>
      <c r="E552" s="118" t="s">
        <v>2092</v>
      </c>
      <c r="F552" s="118" t="s">
        <v>420</v>
      </c>
      <c r="G552" s="111" t="s">
        <v>538</v>
      </c>
      <c r="H552" s="111"/>
      <c r="I552" s="119" t="s">
        <v>2057</v>
      </c>
      <c r="J552" s="70"/>
      <c r="K552" s="118">
        <v>3012</v>
      </c>
      <c r="L552" s="118" t="s">
        <v>2098</v>
      </c>
      <c r="M552" s="147" t="s">
        <v>11</v>
      </c>
      <c r="N552" s="111" t="s">
        <v>2093</v>
      </c>
      <c r="O552" s="111" t="s">
        <v>420</v>
      </c>
      <c r="P552" s="111" t="s">
        <v>80</v>
      </c>
      <c r="Q552" s="70" t="s">
        <v>1543</v>
      </c>
      <c r="R552" s="111" t="s">
        <v>15</v>
      </c>
      <c r="S552" s="111"/>
      <c r="T552" s="70"/>
      <c r="U552" s="74"/>
      <c r="V552" s="158" t="s">
        <v>6</v>
      </c>
      <c r="W552" s="118" t="s">
        <v>2092</v>
      </c>
      <c r="X552" s="113">
        <v>45246</v>
      </c>
      <c r="Y552" s="117">
        <f t="shared" ref="Y552:Y557" si="177">EDATE(D552,3)</f>
        <v>45330</v>
      </c>
      <c r="Z552" s="187">
        <v>45303</v>
      </c>
      <c r="AA552" s="161" t="str">
        <f t="shared" ref="AA552:AA557" ca="1" si="178">IF(Z552="",IF(TODAY()&gt;Y552,"NO","YES"),IF(Z552&gt;Y552,"NO",IF(Z552&lt;Y552,"YES",IF(Y552=Z552,"YES","N/A"))))</f>
        <v>YES</v>
      </c>
      <c r="AB552" s="113"/>
      <c r="AC552" s="70"/>
      <c r="AD552" s="70"/>
      <c r="AE552" s="70"/>
      <c r="AF552" s="114" t="str">
        <f t="shared" ref="AF552:AF557" ca="1" si="179">IF(I552="Claim",IF(AD552="","",IF(AE552="",IF(TODAY()&gt;AD552,"NO","YES"),IF(AE552&gt;AD552,"NO",IF(AE552&lt;AD552,"YES",IF(AD552=AE552,"YES","N/A"))))),"N/A")</f>
        <v>N/A</v>
      </c>
      <c r="AG552" s="194">
        <v>2352</v>
      </c>
      <c r="AH552" s="194">
        <v>0</v>
      </c>
      <c r="AI552" s="196">
        <f t="shared" ref="AI552:AI557" si="180">AH552+AG552</f>
        <v>2352</v>
      </c>
      <c r="AJ552" s="148"/>
      <c r="AK552" s="70" t="s">
        <v>2106</v>
      </c>
      <c r="AL552" s="70"/>
      <c r="AM552" s="165" t="str">
        <f t="shared" ref="AM552:AM557" si="181">CONCATENATE(B552," ",G552)</f>
        <v>23033 ADM</v>
      </c>
      <c r="AN552" s="165" t="str">
        <f t="shared" ref="AN552:AN557" si="182">CONCATENATE(B552," ",G552," : ",N552)</f>
        <v>23033 ADM : Extract/Raffinate handling error</v>
      </c>
    </row>
    <row r="553" spans="1:40" ht="13.5" hidden="1" customHeight="1" x14ac:dyDescent="0.35">
      <c r="A553" s="78" t="s">
        <v>2105</v>
      </c>
      <c r="B553" s="154">
        <v>24001</v>
      </c>
      <c r="C553" s="113" t="s">
        <v>4</v>
      </c>
      <c r="D553" s="117">
        <v>45296</v>
      </c>
      <c r="E553" s="118" t="s">
        <v>221</v>
      </c>
      <c r="F553" s="118" t="s">
        <v>658</v>
      </c>
      <c r="G553" s="111" t="s">
        <v>2102</v>
      </c>
      <c r="H553" s="111" t="s">
        <v>2103</v>
      </c>
      <c r="I553" s="119" t="s">
        <v>5</v>
      </c>
      <c r="J553" s="70"/>
      <c r="K553" s="118">
        <v>2044</v>
      </c>
      <c r="L553" s="142">
        <v>13042</v>
      </c>
      <c r="M553" s="147" t="s">
        <v>11</v>
      </c>
      <c r="N553" s="111" t="s">
        <v>2104</v>
      </c>
      <c r="O553" s="111" t="s">
        <v>28</v>
      </c>
      <c r="P553" s="111" t="s">
        <v>103</v>
      </c>
      <c r="Q553" s="70" t="s">
        <v>176</v>
      </c>
      <c r="R553" s="111" t="s">
        <v>12</v>
      </c>
      <c r="S553" s="111"/>
      <c r="T553" s="70"/>
      <c r="U553" s="74"/>
      <c r="V553" s="158" t="s">
        <v>6</v>
      </c>
      <c r="W553" s="118" t="s">
        <v>221</v>
      </c>
      <c r="X553" s="113">
        <v>45296</v>
      </c>
      <c r="Y553" s="117">
        <f t="shared" si="177"/>
        <v>45387</v>
      </c>
      <c r="Z553" s="187">
        <v>45492</v>
      </c>
      <c r="AA553" s="161" t="str">
        <f t="shared" ca="1" si="178"/>
        <v>NO</v>
      </c>
      <c r="AB553" s="113">
        <v>45237</v>
      </c>
      <c r="AC553" s="187">
        <v>45240</v>
      </c>
      <c r="AD553" s="187">
        <v>45565</v>
      </c>
      <c r="AE553" s="187">
        <v>45492</v>
      </c>
      <c r="AF553" s="114" t="str">
        <f t="shared" ca="1" si="179"/>
        <v>YES</v>
      </c>
      <c r="AG553" s="194">
        <v>16268</v>
      </c>
      <c r="AH553" s="194">
        <v>11298</v>
      </c>
      <c r="AI553" s="196">
        <f t="shared" si="180"/>
        <v>27566</v>
      </c>
      <c r="AJ553" s="148"/>
      <c r="AK553" s="70" t="s">
        <v>2144</v>
      </c>
      <c r="AL553" s="70"/>
      <c r="AM553" s="165" t="str">
        <f t="shared" si="181"/>
        <v>24001 Omnia</v>
      </c>
      <c r="AN553" s="165" t="str">
        <f t="shared" si="182"/>
        <v xml:space="preserve">24001 Omnia : Product leak on SSMB column at weld level </v>
      </c>
    </row>
    <row r="554" spans="1:40" s="217" customFormat="1" ht="14.5" x14ac:dyDescent="0.35">
      <c r="A554" s="82"/>
      <c r="B554" s="207">
        <v>24002</v>
      </c>
      <c r="C554" s="208" t="s">
        <v>8</v>
      </c>
      <c r="D554" s="209">
        <v>45307</v>
      </c>
      <c r="E554" s="210" t="s">
        <v>1965</v>
      </c>
      <c r="F554" s="210" t="s">
        <v>164</v>
      </c>
      <c r="G554" s="211" t="s">
        <v>2107</v>
      </c>
      <c r="H554" s="211" t="s">
        <v>1920</v>
      </c>
      <c r="I554" s="212" t="s">
        <v>2056</v>
      </c>
      <c r="J554" s="73"/>
      <c r="K554" s="210"/>
      <c r="L554" s="210">
        <v>18418</v>
      </c>
      <c r="M554" s="213" t="s">
        <v>11</v>
      </c>
      <c r="N554" s="211" t="s">
        <v>2108</v>
      </c>
      <c r="O554" s="211" t="s">
        <v>29</v>
      </c>
      <c r="P554" s="211" t="s">
        <v>86</v>
      </c>
      <c r="Q554" s="73" t="s">
        <v>2133</v>
      </c>
      <c r="R554" s="211" t="s">
        <v>9</v>
      </c>
      <c r="S554" s="111"/>
      <c r="T554" s="73"/>
      <c r="U554" s="73"/>
      <c r="V554" s="215" t="s">
        <v>6</v>
      </c>
      <c r="W554" s="210" t="s">
        <v>1965</v>
      </c>
      <c r="X554" s="208">
        <v>45352</v>
      </c>
      <c r="Y554" s="209">
        <f>EDATE(D554,3)</f>
        <v>45398</v>
      </c>
      <c r="Z554" s="221">
        <v>45397</v>
      </c>
      <c r="AA554" s="216" t="str">
        <f t="shared" ca="1" si="178"/>
        <v>YES</v>
      </c>
      <c r="AB554" s="208"/>
      <c r="AC554" s="73"/>
      <c r="AD554" s="73"/>
      <c r="AE554" s="73"/>
      <c r="AF554" s="217" t="str">
        <f t="shared" ca="1" si="179"/>
        <v>N/A</v>
      </c>
      <c r="AG554" s="218">
        <v>750</v>
      </c>
      <c r="AH554" s="218">
        <v>0</v>
      </c>
      <c r="AI554" s="222">
        <f t="shared" si="180"/>
        <v>750</v>
      </c>
      <c r="AJ554" s="219"/>
      <c r="AK554" s="73"/>
      <c r="AL554" s="73"/>
      <c r="AM554" s="220" t="str">
        <f t="shared" si="181"/>
        <v>24002 Xinlv</v>
      </c>
      <c r="AN554" s="220" t="str">
        <f t="shared" si="182"/>
        <v>24002 Xinlv : Xinlv SSMB cell height</v>
      </c>
    </row>
    <row r="555" spans="1:40" ht="13.5" customHeight="1" x14ac:dyDescent="0.35">
      <c r="A555" s="82"/>
      <c r="B555" s="207">
        <v>24003</v>
      </c>
      <c r="C555" s="208" t="s">
        <v>8</v>
      </c>
      <c r="D555" s="209">
        <v>45313</v>
      </c>
      <c r="E555" s="210" t="s">
        <v>1854</v>
      </c>
      <c r="F555" s="210" t="s">
        <v>164</v>
      </c>
      <c r="G555" s="211" t="s">
        <v>2109</v>
      </c>
      <c r="H555" s="211" t="s">
        <v>1668</v>
      </c>
      <c r="I555" s="212" t="s">
        <v>5</v>
      </c>
      <c r="J555" s="73"/>
      <c r="K555" s="210">
        <v>2097</v>
      </c>
      <c r="L555" s="210">
        <v>16108</v>
      </c>
      <c r="M555" s="213" t="s">
        <v>13</v>
      </c>
      <c r="N555" s="211" t="s">
        <v>2110</v>
      </c>
      <c r="O555" s="211" t="s">
        <v>29</v>
      </c>
      <c r="P555" s="211" t="s">
        <v>86</v>
      </c>
      <c r="Q555" s="73" t="s">
        <v>916</v>
      </c>
      <c r="R555" s="211" t="s">
        <v>9</v>
      </c>
      <c r="S555" s="111"/>
      <c r="T555" s="73"/>
      <c r="U555" s="73"/>
      <c r="V555" s="215" t="s">
        <v>6</v>
      </c>
      <c r="W555" s="210" t="s">
        <v>1854</v>
      </c>
      <c r="X555" s="208">
        <v>45321</v>
      </c>
      <c r="Y555" s="209">
        <f t="shared" si="177"/>
        <v>45404</v>
      </c>
      <c r="Z555" s="221">
        <v>45418</v>
      </c>
      <c r="AA555" s="216" t="str">
        <f ca="1">IF(Z555="",IF(TODAY()&gt;Y555,"NO","YES"),IF(Z555&gt;Y555,"NO",IF(Z555&lt;Y555,"YES",IF(Y555=Z555,"YES","N/A"))))</f>
        <v>NO</v>
      </c>
      <c r="AB555" s="208">
        <v>45304</v>
      </c>
      <c r="AC555" s="208">
        <v>45304</v>
      </c>
      <c r="AD555" s="208">
        <v>45443</v>
      </c>
      <c r="AE555" s="221">
        <v>45418</v>
      </c>
      <c r="AF555" s="217" t="str">
        <f ca="1">IF(I555="Claim",IF(AD555="","",IF(AE555="",IF(TODAY()&gt;AD555,"NO","YES"),IF(AE555&gt;AD555,"NO",IF(AE555&lt;AD555,"YES",IF(AD555=AE555,"YES","N/A"))))),"N/A")</f>
        <v>YES</v>
      </c>
      <c r="AG555" s="218">
        <v>7000</v>
      </c>
      <c r="AH555" s="218">
        <v>3832</v>
      </c>
      <c r="AI555" s="222">
        <f t="shared" si="180"/>
        <v>10832</v>
      </c>
      <c r="AJ555" s="219"/>
      <c r="AK555" s="73"/>
      <c r="AL555" s="73"/>
      <c r="AM555" s="220" t="str">
        <f t="shared" si="181"/>
        <v>24003 SQ13</v>
      </c>
      <c r="AN555" s="220" t="str">
        <f t="shared" si="182"/>
        <v xml:space="preserve">24003 SQ13 : SQ13 LS MB140 column internals deformation </v>
      </c>
    </row>
    <row r="556" spans="1:40" ht="14.5" hidden="1" x14ac:dyDescent="0.35">
      <c r="A556" s="82"/>
      <c r="B556" s="154">
        <v>24004</v>
      </c>
      <c r="C556" s="113" t="s">
        <v>4</v>
      </c>
      <c r="D556" s="117">
        <v>45324</v>
      </c>
      <c r="E556" s="118" t="s">
        <v>2112</v>
      </c>
      <c r="F556" s="118" t="s">
        <v>164</v>
      </c>
      <c r="G556" s="111" t="s">
        <v>1558</v>
      </c>
      <c r="H556" s="111" t="s">
        <v>2113</v>
      </c>
      <c r="I556" s="119" t="s">
        <v>2056</v>
      </c>
      <c r="J556" s="70"/>
      <c r="K556" s="118">
        <v>2159</v>
      </c>
      <c r="L556" s="118">
        <v>18307</v>
      </c>
      <c r="M556" s="147" t="s">
        <v>672</v>
      </c>
      <c r="N556" s="111" t="s">
        <v>2114</v>
      </c>
      <c r="O556" s="111" t="s">
        <v>29</v>
      </c>
      <c r="P556" s="111" t="s">
        <v>86</v>
      </c>
      <c r="Q556" s="70" t="s">
        <v>916</v>
      </c>
      <c r="R556" s="111" t="s">
        <v>9</v>
      </c>
      <c r="S556" s="111"/>
      <c r="T556" s="70"/>
      <c r="U556" s="74"/>
      <c r="V556" s="158" t="s">
        <v>6</v>
      </c>
      <c r="W556" s="118" t="s">
        <v>120</v>
      </c>
      <c r="X556" s="113">
        <v>45324</v>
      </c>
      <c r="Y556" s="117">
        <f t="shared" si="177"/>
        <v>45414</v>
      </c>
      <c r="Z556" s="187">
        <v>45401</v>
      </c>
      <c r="AA556" s="161" t="str">
        <f t="shared" ca="1" si="178"/>
        <v>YES</v>
      </c>
      <c r="AB556" s="113"/>
      <c r="AC556" s="70"/>
      <c r="AD556" s="70"/>
      <c r="AE556" s="70"/>
      <c r="AF556" s="114" t="str">
        <f t="shared" ca="1" si="179"/>
        <v>N/A</v>
      </c>
      <c r="AG556" s="194">
        <v>14308</v>
      </c>
      <c r="AH556" s="194">
        <v>1500</v>
      </c>
      <c r="AI556" s="196">
        <f t="shared" si="180"/>
        <v>15808</v>
      </c>
      <c r="AJ556" s="148"/>
      <c r="AK556" s="70" t="s">
        <v>2144</v>
      </c>
      <c r="AL556" s="70"/>
      <c r="AM556" s="165" t="str">
        <f t="shared" si="181"/>
        <v>24004 Etihad</v>
      </c>
      <c r="AN556" s="165" t="str">
        <f t="shared" si="182"/>
        <v>24004 Etihad : Piping defects and lack of supply for strainers</v>
      </c>
    </row>
    <row r="557" spans="1:40" s="114" customFormat="1" ht="14.5" x14ac:dyDescent="0.35">
      <c r="A557" s="82"/>
      <c r="B557" s="154">
        <v>24005</v>
      </c>
      <c r="C557" s="113" t="s">
        <v>8</v>
      </c>
      <c r="D557" s="209">
        <v>45342</v>
      </c>
      <c r="E557" s="118" t="s">
        <v>1965</v>
      </c>
      <c r="F557" s="118" t="s">
        <v>164</v>
      </c>
      <c r="G557" s="111" t="s">
        <v>2116</v>
      </c>
      <c r="H557" s="111"/>
      <c r="I557" s="119" t="s">
        <v>2057</v>
      </c>
      <c r="J557" s="70"/>
      <c r="K557" s="118">
        <v>2136</v>
      </c>
      <c r="L557" s="118">
        <v>17789</v>
      </c>
      <c r="M557" s="147" t="s">
        <v>11</v>
      </c>
      <c r="N557" s="111" t="s">
        <v>2117</v>
      </c>
      <c r="O557" s="111" t="s">
        <v>29</v>
      </c>
      <c r="P557" s="111" t="s">
        <v>86</v>
      </c>
      <c r="Q557" s="70" t="s">
        <v>916</v>
      </c>
      <c r="R557" s="111" t="s">
        <v>9</v>
      </c>
      <c r="S557" s="111"/>
      <c r="T557" s="70"/>
      <c r="U557" s="74"/>
      <c r="V557" s="158" t="s">
        <v>6</v>
      </c>
      <c r="W557" s="118" t="s">
        <v>1965</v>
      </c>
      <c r="X557" s="113">
        <v>45379</v>
      </c>
      <c r="Y557" s="209">
        <f t="shared" si="177"/>
        <v>45432</v>
      </c>
      <c r="Z557" s="187">
        <v>45432</v>
      </c>
      <c r="AA557" s="161" t="str">
        <f t="shared" ca="1" si="178"/>
        <v>YES</v>
      </c>
      <c r="AB557" s="113"/>
      <c r="AC557" s="70"/>
      <c r="AD557" s="70"/>
      <c r="AE557" s="70"/>
      <c r="AF557" s="114" t="str">
        <f t="shared" ca="1" si="179"/>
        <v>N/A</v>
      </c>
      <c r="AG557" s="194">
        <v>1278</v>
      </c>
      <c r="AH557" s="194"/>
      <c r="AI557" s="196">
        <f t="shared" si="180"/>
        <v>1278</v>
      </c>
      <c r="AJ557" s="148"/>
      <c r="AK557" s="70"/>
      <c r="AL557" s="70"/>
      <c r="AM557" s="165" t="str">
        <f t="shared" si="181"/>
        <v xml:space="preserve">24005 Huitong </v>
      </c>
      <c r="AN557" s="165" t="str">
        <f t="shared" si="182"/>
        <v>24005 Huitong  : Backwashing tank volume issue</v>
      </c>
    </row>
    <row r="558" spans="1:40" ht="14.5" hidden="1" x14ac:dyDescent="0.35">
      <c r="A558" s="82"/>
      <c r="B558" s="154">
        <v>24006</v>
      </c>
      <c r="C558" s="113" t="s">
        <v>4</v>
      </c>
      <c r="D558" s="117">
        <v>45343</v>
      </c>
      <c r="E558" s="118" t="s">
        <v>177</v>
      </c>
      <c r="F558" s="118" t="s">
        <v>1103</v>
      </c>
      <c r="G558" s="111" t="s">
        <v>2065</v>
      </c>
      <c r="H558" s="124" t="s">
        <v>1394</v>
      </c>
      <c r="I558" s="119" t="s">
        <v>17</v>
      </c>
      <c r="J558" s="70"/>
      <c r="K558" s="118">
        <v>2066</v>
      </c>
      <c r="L558" s="118">
        <v>13829</v>
      </c>
      <c r="M558" s="249" t="s">
        <v>2067</v>
      </c>
      <c r="N558" s="111" t="s">
        <v>2118</v>
      </c>
      <c r="O558" s="124" t="s">
        <v>29</v>
      </c>
      <c r="P558" s="124" t="s">
        <v>86</v>
      </c>
      <c r="Q558" s="70" t="s">
        <v>510</v>
      </c>
      <c r="R558" s="111" t="s">
        <v>9</v>
      </c>
      <c r="S558" s="124"/>
      <c r="T558" s="70"/>
      <c r="U558" s="105"/>
      <c r="V558" s="158" t="s">
        <v>6</v>
      </c>
      <c r="W558" s="118" t="s">
        <v>177</v>
      </c>
      <c r="X558" s="113">
        <v>45351</v>
      </c>
      <c r="Y558" s="117">
        <f t="shared" ref="Y558:Y563" si="183">EDATE(D558,3)</f>
        <v>45433</v>
      </c>
      <c r="Z558" s="187">
        <v>45405</v>
      </c>
      <c r="AA558" s="161" t="str">
        <f t="shared" ref="AA558:AA563" ca="1" si="184">IF(Z558="",IF(TODAY()&gt;Y558,"NO","YES"),IF(Z558&gt;Y558,"NO",IF(Z558&lt;Y558,"YES",IF(Y558=Z558,"YES","N/A"))))</f>
        <v>YES</v>
      </c>
      <c r="AB558" s="113"/>
      <c r="AC558" s="70"/>
      <c r="AD558" s="148"/>
      <c r="AE558" s="148"/>
      <c r="AF558" s="114" t="str">
        <f t="shared" ref="AF558:AF563" ca="1" si="185">IF(I558="Claim",IF(AD558="","",IF(AE558="",IF(TODAY()&gt;AD558,"NO","YES"),IF(AE558&gt;AD558,"NO",IF(AE558&lt;AD558,"YES",IF(AD558=AE558,"YES","N/A"))))),"N/A")</f>
        <v>N/A</v>
      </c>
      <c r="AG558" s="194">
        <v>196</v>
      </c>
      <c r="AH558" s="194">
        <v>0</v>
      </c>
      <c r="AI558" s="196">
        <f t="shared" ref="AI558:AI563" si="186">AH558+AG558</f>
        <v>196</v>
      </c>
      <c r="AJ558" s="148"/>
      <c r="AK558" s="70" t="s">
        <v>2144</v>
      </c>
      <c r="AL558" s="148"/>
      <c r="AM558" s="165" t="str">
        <f t="shared" ref="AM558:AM563" si="187">CONCATENATE(B558," ",G558)</f>
        <v>24006 Bénéo Chili</v>
      </c>
      <c r="AN558" s="250" t="str">
        <f t="shared" ref="AN558:AN563" si="188">CONCATENATE(B558," ",G558," : ",N558)</f>
        <v>24006 Bénéo Chili : Late delivery of a piping box</v>
      </c>
    </row>
    <row r="559" spans="1:40" ht="14.5" hidden="1" x14ac:dyDescent="0.35">
      <c r="A559" s="78" t="s">
        <v>2121</v>
      </c>
      <c r="B559" s="154">
        <v>24007</v>
      </c>
      <c r="C559" s="113" t="s">
        <v>4</v>
      </c>
      <c r="D559" s="117">
        <v>45343</v>
      </c>
      <c r="E559" s="118" t="s">
        <v>1476</v>
      </c>
      <c r="F559" s="118" t="s">
        <v>658</v>
      </c>
      <c r="G559" s="111" t="s">
        <v>1979</v>
      </c>
      <c r="H559" s="111" t="s">
        <v>1394</v>
      </c>
      <c r="I559" s="119" t="s">
        <v>5</v>
      </c>
      <c r="J559" s="70"/>
      <c r="K559" s="118"/>
      <c r="L559" s="114" t="s">
        <v>2120</v>
      </c>
      <c r="M559" s="147"/>
      <c r="N559" s="111" t="s">
        <v>2119</v>
      </c>
      <c r="O559" s="111" t="s">
        <v>28</v>
      </c>
      <c r="P559" s="111" t="s">
        <v>103</v>
      </c>
      <c r="Q559" s="70" t="s">
        <v>510</v>
      </c>
      <c r="R559" s="111" t="s">
        <v>145</v>
      </c>
      <c r="S559" s="111"/>
      <c r="T559" s="112" t="s">
        <v>1394</v>
      </c>
      <c r="U559" s="74"/>
      <c r="V559" s="158" t="s">
        <v>6</v>
      </c>
      <c r="W559" s="118" t="s">
        <v>221</v>
      </c>
      <c r="X559" s="113">
        <v>45370</v>
      </c>
      <c r="Y559" s="117">
        <f t="shared" si="183"/>
        <v>45433</v>
      </c>
      <c r="Z559" s="187">
        <v>45412</v>
      </c>
      <c r="AA559" s="161" t="str">
        <f t="shared" ca="1" si="184"/>
        <v>YES</v>
      </c>
      <c r="AB559" s="113">
        <v>45341</v>
      </c>
      <c r="AC559" s="187">
        <v>45341</v>
      </c>
      <c r="AD559" s="187">
        <v>45473</v>
      </c>
      <c r="AE559" s="187">
        <v>45412</v>
      </c>
      <c r="AF559" s="114" t="str">
        <f t="shared" ca="1" si="185"/>
        <v>YES</v>
      </c>
      <c r="AG559" s="194">
        <v>196</v>
      </c>
      <c r="AH559" s="194">
        <v>0</v>
      </c>
      <c r="AI559" s="196">
        <f t="shared" si="186"/>
        <v>196</v>
      </c>
      <c r="AJ559" s="148"/>
      <c r="AK559" s="70" t="s">
        <v>2144</v>
      </c>
      <c r="AL559" s="70"/>
      <c r="AM559" s="165" t="str">
        <f t="shared" si="187"/>
        <v>24007 Friesland</v>
      </c>
      <c r="AN559" s="165" t="str">
        <f t="shared" si="188"/>
        <v>24007 Friesland : Empty supplier resin bag in reconditioned BB of resin</v>
      </c>
    </row>
    <row r="560" spans="1:40" ht="14.5" hidden="1" x14ac:dyDescent="0.35">
      <c r="A560" s="82"/>
      <c r="B560" s="154">
        <v>24008</v>
      </c>
      <c r="C560" s="113" t="s">
        <v>4</v>
      </c>
      <c r="D560" s="117">
        <v>45350</v>
      </c>
      <c r="E560" s="118" t="s">
        <v>1907</v>
      </c>
      <c r="F560" s="118" t="s">
        <v>164</v>
      </c>
      <c r="G560" s="111" t="s">
        <v>2122</v>
      </c>
      <c r="H560" s="111" t="s">
        <v>597</v>
      </c>
      <c r="I560" s="119" t="s">
        <v>2056</v>
      </c>
      <c r="J560" s="70"/>
      <c r="K560" s="118">
        <v>2120</v>
      </c>
      <c r="L560" s="118">
        <v>17042</v>
      </c>
      <c r="M560" s="147" t="s">
        <v>955</v>
      </c>
      <c r="N560" s="111" t="s">
        <v>2123</v>
      </c>
      <c r="O560" s="111" t="s">
        <v>29</v>
      </c>
      <c r="P560" s="111" t="s">
        <v>86</v>
      </c>
      <c r="Q560" s="70" t="s">
        <v>885</v>
      </c>
      <c r="R560" s="111" t="s">
        <v>145</v>
      </c>
      <c r="S560" s="111"/>
      <c r="T560" s="70"/>
      <c r="U560" s="74"/>
      <c r="V560" s="158" t="s">
        <v>6</v>
      </c>
      <c r="W560" s="118" t="s">
        <v>1907</v>
      </c>
      <c r="X560" s="113">
        <v>45352</v>
      </c>
      <c r="Y560" s="117">
        <f t="shared" si="183"/>
        <v>45440</v>
      </c>
      <c r="Z560" s="187">
        <v>45426</v>
      </c>
      <c r="AA560" s="161" t="str">
        <f t="shared" ca="1" si="184"/>
        <v>YES</v>
      </c>
      <c r="AB560" s="113"/>
      <c r="AC560" s="70"/>
      <c r="AD560" s="70"/>
      <c r="AE560" s="70"/>
      <c r="AF560" s="114" t="str">
        <f t="shared" ca="1" si="185"/>
        <v>N/A</v>
      </c>
      <c r="AG560" s="194">
        <v>1960</v>
      </c>
      <c r="AH560" s="194">
        <v>0</v>
      </c>
      <c r="AI560" s="196">
        <f t="shared" si="186"/>
        <v>1960</v>
      </c>
      <c r="AJ560" s="148"/>
      <c r="AK560" s="70" t="s">
        <v>2144</v>
      </c>
      <c r="AL560" s="70"/>
      <c r="AM560" s="165" t="str">
        <f t="shared" si="187"/>
        <v>24008 BMA Bengladesh</v>
      </c>
      <c r="AN560" s="165" t="str">
        <f t="shared" si="188"/>
        <v>24008 BMA Bengladesh : Absence of calculation note for evapo piping</v>
      </c>
    </row>
    <row r="561" spans="1:40" ht="14.5" hidden="1" x14ac:dyDescent="0.35">
      <c r="A561" s="82"/>
      <c r="B561" s="154">
        <v>24009</v>
      </c>
      <c r="C561" s="113" t="s">
        <v>4</v>
      </c>
      <c r="D561" s="117">
        <v>45350</v>
      </c>
      <c r="E561" s="118" t="s">
        <v>864</v>
      </c>
      <c r="F561" s="118" t="s">
        <v>164</v>
      </c>
      <c r="G561" s="111" t="s">
        <v>2077</v>
      </c>
      <c r="H561" s="111" t="s">
        <v>2131</v>
      </c>
      <c r="I561" s="119" t="s">
        <v>2057</v>
      </c>
      <c r="J561" s="70"/>
      <c r="K561" s="118">
        <v>2153</v>
      </c>
      <c r="L561" s="118">
        <v>18336</v>
      </c>
      <c r="M561" s="147" t="s">
        <v>338</v>
      </c>
      <c r="N561" s="111" t="s">
        <v>2124</v>
      </c>
      <c r="O561" s="111" t="s">
        <v>29</v>
      </c>
      <c r="P561" s="111" t="s">
        <v>86</v>
      </c>
      <c r="Q561" s="70" t="s">
        <v>885</v>
      </c>
      <c r="R561" s="111" t="s">
        <v>9</v>
      </c>
      <c r="S561" s="111"/>
      <c r="T561" s="70"/>
      <c r="U561" s="74"/>
      <c r="V561" s="158" t="s">
        <v>6</v>
      </c>
      <c r="W561" s="118" t="s">
        <v>319</v>
      </c>
      <c r="X561" s="113">
        <v>45356</v>
      </c>
      <c r="Y561" s="117">
        <f t="shared" si="183"/>
        <v>45440</v>
      </c>
      <c r="Z561" s="187">
        <v>45436</v>
      </c>
      <c r="AA561" s="161" t="str">
        <f t="shared" ca="1" si="184"/>
        <v>YES</v>
      </c>
      <c r="AB561" s="113"/>
      <c r="AC561" s="70"/>
      <c r="AD561" s="70"/>
      <c r="AE561" s="70"/>
      <c r="AF561" s="114" t="str">
        <f t="shared" ca="1" si="185"/>
        <v>N/A</v>
      </c>
      <c r="AG561" s="194">
        <v>11662</v>
      </c>
      <c r="AH561" s="194">
        <f>15608+43000</f>
        <v>58608</v>
      </c>
      <c r="AI561" s="196">
        <f t="shared" si="186"/>
        <v>70270</v>
      </c>
      <c r="AJ561" s="148"/>
      <c r="AK561" s="70" t="s">
        <v>2144</v>
      </c>
      <c r="AL561" s="70"/>
      <c r="AM561" s="165" t="str">
        <f t="shared" si="187"/>
        <v>24009 Via Separation</v>
      </c>
      <c r="AN561" s="165" t="str">
        <f t="shared" si="188"/>
        <v xml:space="preserve">24009 Via Separation : Studs missing on Kerasep modules delivered by Applexion SHA </v>
      </c>
    </row>
    <row r="562" spans="1:40" ht="14.5" hidden="1" x14ac:dyDescent="0.35">
      <c r="A562" s="82"/>
      <c r="B562" s="154">
        <v>24010</v>
      </c>
      <c r="C562" s="113" t="s">
        <v>4</v>
      </c>
      <c r="D562" s="117">
        <v>45350</v>
      </c>
      <c r="E562" s="118" t="s">
        <v>864</v>
      </c>
      <c r="F562" s="118" t="s">
        <v>164</v>
      </c>
      <c r="G562" s="111" t="s">
        <v>2077</v>
      </c>
      <c r="H562" s="111"/>
      <c r="I562" s="119" t="s">
        <v>2057</v>
      </c>
      <c r="J562" s="70"/>
      <c r="K562" s="118">
        <v>2153</v>
      </c>
      <c r="L562" s="118">
        <v>18336</v>
      </c>
      <c r="M562" s="147" t="s">
        <v>338</v>
      </c>
      <c r="N562" s="111" t="s">
        <v>2125</v>
      </c>
      <c r="O562" s="111" t="s">
        <v>29</v>
      </c>
      <c r="P562" s="111" t="s">
        <v>86</v>
      </c>
      <c r="Q562" s="70" t="s">
        <v>885</v>
      </c>
      <c r="R562" s="111" t="s">
        <v>9</v>
      </c>
      <c r="S562" s="111"/>
      <c r="T562" s="70"/>
      <c r="U562" s="74"/>
      <c r="V562" s="158" t="s">
        <v>6</v>
      </c>
      <c r="W562" s="118" t="s">
        <v>2132</v>
      </c>
      <c r="X562" s="113">
        <v>45363</v>
      </c>
      <c r="Y562" s="117">
        <f t="shared" si="183"/>
        <v>45440</v>
      </c>
      <c r="Z562" s="187">
        <v>45436</v>
      </c>
      <c r="AA562" s="161" t="str">
        <f t="shared" ca="1" si="184"/>
        <v>YES</v>
      </c>
      <c r="AB562" s="113"/>
      <c r="AC562" s="70"/>
      <c r="AD562" s="70"/>
      <c r="AE562" s="70"/>
      <c r="AF562" s="114" t="str">
        <f t="shared" ca="1" si="185"/>
        <v>N/A</v>
      </c>
      <c r="AG562" s="194">
        <v>2352</v>
      </c>
      <c r="AH562" s="194">
        <v>5000</v>
      </c>
      <c r="AI562" s="196">
        <f t="shared" si="186"/>
        <v>7352</v>
      </c>
      <c r="AJ562" s="148"/>
      <c r="AK562" s="70" t="s">
        <v>2144</v>
      </c>
      <c r="AL562" s="70"/>
      <c r="AM562" s="165" t="str">
        <f t="shared" si="187"/>
        <v>24010 Via Separation</v>
      </c>
      <c r="AN562" s="165" t="str">
        <f t="shared" si="188"/>
        <v>24010 Via Separation : MF maintenance kit no compliant</v>
      </c>
    </row>
    <row r="563" spans="1:40" ht="14.5" hidden="1" x14ac:dyDescent="0.35">
      <c r="A563" s="82"/>
      <c r="B563" s="154">
        <v>24011</v>
      </c>
      <c r="C563" s="113" t="s">
        <v>4</v>
      </c>
      <c r="D563" s="117">
        <v>45350</v>
      </c>
      <c r="E563" s="118" t="s">
        <v>864</v>
      </c>
      <c r="F563" s="118" t="s">
        <v>164</v>
      </c>
      <c r="G563" s="111" t="s">
        <v>2077</v>
      </c>
      <c r="H563" s="111"/>
      <c r="I563" s="119" t="s">
        <v>2057</v>
      </c>
      <c r="J563" s="70"/>
      <c r="K563" s="118">
        <v>2153</v>
      </c>
      <c r="L563" s="118">
        <v>18336</v>
      </c>
      <c r="M563" s="147" t="s">
        <v>338</v>
      </c>
      <c r="N563" s="111" t="s">
        <v>2126</v>
      </c>
      <c r="O563" s="111" t="s">
        <v>29</v>
      </c>
      <c r="P563" s="111" t="s">
        <v>86</v>
      </c>
      <c r="Q563" s="70" t="s">
        <v>885</v>
      </c>
      <c r="R563" s="111" t="s">
        <v>9</v>
      </c>
      <c r="S563" s="111"/>
      <c r="T563" s="70"/>
      <c r="U563" s="74"/>
      <c r="V563" s="158" t="s">
        <v>6</v>
      </c>
      <c r="W563" s="118" t="s">
        <v>319</v>
      </c>
      <c r="X563" s="113">
        <v>45363</v>
      </c>
      <c r="Y563" s="117">
        <f t="shared" si="183"/>
        <v>45440</v>
      </c>
      <c r="Z563" s="187">
        <v>45436</v>
      </c>
      <c r="AA563" s="161" t="str">
        <f t="shared" ca="1" si="184"/>
        <v>YES</v>
      </c>
      <c r="AB563" s="113"/>
      <c r="AC563" s="70"/>
      <c r="AD563" s="70"/>
      <c r="AE563" s="70"/>
      <c r="AF563" s="114" t="str">
        <f t="shared" ca="1" si="185"/>
        <v>N/A</v>
      </c>
      <c r="AG563" s="194">
        <v>3136</v>
      </c>
      <c r="AH563" s="194">
        <v>1960</v>
      </c>
      <c r="AI563" s="196">
        <f t="shared" si="186"/>
        <v>5096</v>
      </c>
      <c r="AJ563" s="148"/>
      <c r="AK563" s="70" t="s">
        <v>2144</v>
      </c>
      <c r="AL563" s="70"/>
      <c r="AM563" s="165" t="str">
        <f t="shared" si="187"/>
        <v>24011 Via Separation</v>
      </c>
      <c r="AN563" s="165" t="str">
        <f t="shared" si="188"/>
        <v>24011 Via Separation : Female SMS cap nuts delivered instead of male</v>
      </c>
    </row>
    <row r="564" spans="1:40" ht="14.5" hidden="1" x14ac:dyDescent="0.35">
      <c r="A564" s="82"/>
      <c r="B564" s="154">
        <v>24012</v>
      </c>
      <c r="C564" s="113" t="s">
        <v>4</v>
      </c>
      <c r="D564" s="117">
        <v>45351</v>
      </c>
      <c r="E564" s="118" t="s">
        <v>864</v>
      </c>
      <c r="F564" s="118" t="s">
        <v>164</v>
      </c>
      <c r="G564" s="111" t="s">
        <v>2077</v>
      </c>
      <c r="H564" s="111" t="s">
        <v>1394</v>
      </c>
      <c r="I564" s="119" t="s">
        <v>2057</v>
      </c>
      <c r="J564" s="70"/>
      <c r="K564" s="118">
        <v>2153</v>
      </c>
      <c r="L564" s="118">
        <v>18336</v>
      </c>
      <c r="M564" s="147" t="s">
        <v>338</v>
      </c>
      <c r="N564" s="111" t="s">
        <v>2127</v>
      </c>
      <c r="O564" s="111" t="s">
        <v>29</v>
      </c>
      <c r="P564" s="111" t="s">
        <v>86</v>
      </c>
      <c r="Q564" s="70" t="s">
        <v>510</v>
      </c>
      <c r="R564" s="111" t="s">
        <v>9</v>
      </c>
      <c r="S564" s="111"/>
      <c r="T564" s="70"/>
      <c r="U564" s="74"/>
      <c r="V564" s="158" t="s">
        <v>6</v>
      </c>
      <c r="W564" s="118" t="s">
        <v>177</v>
      </c>
      <c r="X564" s="113">
        <v>45358</v>
      </c>
      <c r="Y564" s="117">
        <f t="shared" ref="Y564:Y569" si="189">EDATE(D564,3)</f>
        <v>45441</v>
      </c>
      <c r="Z564" s="187">
        <v>45408</v>
      </c>
      <c r="AA564" s="161" t="str">
        <f t="shared" ref="AA564:AA569" ca="1" si="190">IF(Z564="",IF(TODAY()&gt;Y564,"NO","YES"),IF(Z564&gt;Y564,"NO",IF(Z564&lt;Y564,"YES",IF(Y564=Z564,"YES","N/A"))))</f>
        <v>YES</v>
      </c>
      <c r="AB564" s="113"/>
      <c r="AC564" s="70"/>
      <c r="AD564" s="70"/>
      <c r="AE564" s="70"/>
      <c r="AF564" s="114" t="str">
        <f t="shared" ref="AF564:AF569" ca="1" si="191">IF(I564="Claim",IF(AD564="","",IF(AE564="",IF(TODAY()&gt;AD564,"NO","YES"),IF(AE564&gt;AD564,"NO",IF(AE564&lt;AD564,"YES",IF(AD564=AE564,"YES","N/A"))))),"N/A")</f>
        <v>N/A</v>
      </c>
      <c r="AG564" s="194">
        <v>4018</v>
      </c>
      <c r="AH564" s="194">
        <v>1105</v>
      </c>
      <c r="AI564" s="196">
        <f t="shared" ref="AI564:AI569" si="192">AH564+AG564</f>
        <v>5123</v>
      </c>
      <c r="AJ564" s="148"/>
      <c r="AK564" s="70" t="s">
        <v>2106</v>
      </c>
      <c r="AL564" s="70"/>
      <c r="AM564" s="165" t="str">
        <f t="shared" ref="AM564:AM569" si="193">CONCATENATE(B564," ",G564)</f>
        <v>24012 Via Separation</v>
      </c>
      <c r="AN564" s="165" t="str">
        <f t="shared" ref="AN564:AN569" si="194">CONCATENATE(B564," ",G564," : ",N564)</f>
        <v>24012 Via Separation : Package lost on site - Difficulties to identify Shipment from APX - Tagging issue</v>
      </c>
    </row>
    <row r="565" spans="1:40" ht="14.5" hidden="1" x14ac:dyDescent="0.35">
      <c r="A565" s="82"/>
      <c r="B565" s="154">
        <v>24013</v>
      </c>
      <c r="C565" s="113" t="s">
        <v>4</v>
      </c>
      <c r="D565" s="117">
        <v>45356</v>
      </c>
      <c r="E565" s="118" t="s">
        <v>2128</v>
      </c>
      <c r="F565" s="118" t="s">
        <v>164</v>
      </c>
      <c r="G565" s="111" t="s">
        <v>2129</v>
      </c>
      <c r="H565" s="111" t="s">
        <v>870</v>
      </c>
      <c r="I565" s="119" t="s">
        <v>2058</v>
      </c>
      <c r="J565" s="70"/>
      <c r="K565" s="118">
        <v>2155</v>
      </c>
      <c r="L565" s="118">
        <v>18332</v>
      </c>
      <c r="M565" s="147" t="s">
        <v>13</v>
      </c>
      <c r="N565" s="111" t="s">
        <v>2130</v>
      </c>
      <c r="O565" s="111" t="s">
        <v>28</v>
      </c>
      <c r="P565" s="111" t="s">
        <v>103</v>
      </c>
      <c r="Q565" s="70" t="s">
        <v>1026</v>
      </c>
      <c r="R565" s="111" t="s">
        <v>9</v>
      </c>
      <c r="S565" s="111"/>
      <c r="T565" s="70"/>
      <c r="U565" s="74"/>
      <c r="V565" s="158" t="s">
        <v>6</v>
      </c>
      <c r="W565" s="118" t="s">
        <v>319</v>
      </c>
      <c r="X565" s="113">
        <v>45407</v>
      </c>
      <c r="Y565" s="117">
        <f t="shared" si="189"/>
        <v>45448</v>
      </c>
      <c r="Z565" s="187">
        <v>45450</v>
      </c>
      <c r="AA565" s="161" t="str">
        <f t="shared" ca="1" si="190"/>
        <v>NO</v>
      </c>
      <c r="AB565" s="113"/>
      <c r="AC565" s="70"/>
      <c r="AD565" s="70"/>
      <c r="AE565" s="70"/>
      <c r="AF565" s="114" t="str">
        <f t="shared" ca="1" si="191"/>
        <v>N/A</v>
      </c>
      <c r="AG565" s="194">
        <v>1176</v>
      </c>
      <c r="AH565" s="194">
        <v>0</v>
      </c>
      <c r="AI565" s="196">
        <f t="shared" si="192"/>
        <v>1176</v>
      </c>
      <c r="AJ565" s="148"/>
      <c r="AK565" s="70" t="s">
        <v>2144</v>
      </c>
      <c r="AL565" s="70"/>
      <c r="AM565" s="165" t="str">
        <f t="shared" si="193"/>
        <v>24013 Carbocode</v>
      </c>
      <c r="AN565" s="165" t="str">
        <f t="shared" si="194"/>
        <v>24013 Carbocode : Acid/base projection risk when priming dosing pumps</v>
      </c>
    </row>
    <row r="566" spans="1:40" s="114" customFormat="1" ht="14.5" x14ac:dyDescent="0.35">
      <c r="A566" s="82"/>
      <c r="B566" s="154">
        <v>24014</v>
      </c>
      <c r="C566" s="113" t="s">
        <v>8</v>
      </c>
      <c r="D566" s="117">
        <v>45384</v>
      </c>
      <c r="E566" s="118" t="s">
        <v>2086</v>
      </c>
      <c r="F566" s="118" t="s">
        <v>164</v>
      </c>
      <c r="G566" s="111" t="s">
        <v>2134</v>
      </c>
      <c r="H566" s="111" t="s">
        <v>2135</v>
      </c>
      <c r="I566" s="119" t="s">
        <v>2057</v>
      </c>
      <c r="J566" s="70"/>
      <c r="K566" s="118">
        <v>3022</v>
      </c>
      <c r="L566" s="118">
        <v>18448</v>
      </c>
      <c r="M566" s="147" t="s">
        <v>11</v>
      </c>
      <c r="N566" s="111" t="s">
        <v>2136</v>
      </c>
      <c r="O566" s="111" t="s">
        <v>29</v>
      </c>
      <c r="P566" s="111" t="s">
        <v>86</v>
      </c>
      <c r="Q566" s="70" t="s">
        <v>1665</v>
      </c>
      <c r="R566" s="111" t="s">
        <v>87</v>
      </c>
      <c r="S566" s="111"/>
      <c r="T566" s="70"/>
      <c r="U566" s="74"/>
      <c r="V566" s="158" t="s">
        <v>6</v>
      </c>
      <c r="W566" s="118" t="s">
        <v>1965</v>
      </c>
      <c r="X566" s="113">
        <v>45392</v>
      </c>
      <c r="Y566" s="117">
        <f t="shared" si="189"/>
        <v>45475</v>
      </c>
      <c r="Z566" s="187">
        <v>45474</v>
      </c>
      <c r="AA566" s="161" t="str">
        <f t="shared" ca="1" si="190"/>
        <v>YES</v>
      </c>
      <c r="AB566" s="113"/>
      <c r="AC566" s="70"/>
      <c r="AD566" s="70"/>
      <c r="AE566" s="70"/>
      <c r="AF566" s="114" t="str">
        <f t="shared" ca="1" si="191"/>
        <v>N/A</v>
      </c>
      <c r="AG566" s="194">
        <v>5139</v>
      </c>
      <c r="AH566" s="194"/>
      <c r="AI566" s="196">
        <f t="shared" si="192"/>
        <v>5139</v>
      </c>
      <c r="AJ566" s="148"/>
      <c r="AK566" s="70"/>
      <c r="AL566" s="70"/>
      <c r="AM566" s="165" t="str">
        <f t="shared" si="193"/>
        <v>24014 SQ CQ</v>
      </c>
      <c r="AN566" s="165" t="str">
        <f t="shared" si="194"/>
        <v>24014 SQ CQ : Unproper internals manufacturing and installation for SSMB</v>
      </c>
    </row>
    <row r="567" spans="1:40" ht="14.5" hidden="1" x14ac:dyDescent="0.35">
      <c r="A567" s="82"/>
      <c r="B567" s="207">
        <v>24015</v>
      </c>
      <c r="C567" s="208" t="s">
        <v>4</v>
      </c>
      <c r="D567" s="209">
        <v>45399</v>
      </c>
      <c r="E567" s="210" t="s">
        <v>2137</v>
      </c>
      <c r="F567" s="210" t="s">
        <v>420</v>
      </c>
      <c r="G567" s="211" t="s">
        <v>538</v>
      </c>
      <c r="H567" s="217" t="s">
        <v>2138</v>
      </c>
      <c r="I567" s="212" t="s">
        <v>17</v>
      </c>
      <c r="J567" s="73"/>
      <c r="K567" s="210">
        <v>3012</v>
      </c>
      <c r="L567" s="210" t="s">
        <v>2098</v>
      </c>
      <c r="M567" s="213" t="s">
        <v>11</v>
      </c>
      <c r="N567" s="211" t="s">
        <v>2139</v>
      </c>
      <c r="O567" s="211" t="s">
        <v>420</v>
      </c>
      <c r="P567" s="211" t="s">
        <v>80</v>
      </c>
      <c r="Q567" s="73" t="s">
        <v>510</v>
      </c>
      <c r="R567" s="211" t="s">
        <v>9</v>
      </c>
      <c r="S567" s="111"/>
      <c r="T567" s="73"/>
      <c r="U567" s="74"/>
      <c r="V567" s="215" t="s">
        <v>6</v>
      </c>
      <c r="W567" s="210" t="s">
        <v>2137</v>
      </c>
      <c r="X567" s="208">
        <v>45414</v>
      </c>
      <c r="Y567" s="209">
        <f t="shared" si="189"/>
        <v>45490</v>
      </c>
      <c r="Z567" s="221">
        <v>45485</v>
      </c>
      <c r="AA567" s="216" t="str">
        <f t="shared" ca="1" si="190"/>
        <v>YES</v>
      </c>
      <c r="AB567" s="208"/>
      <c r="AC567" s="73"/>
      <c r="AD567" s="73"/>
      <c r="AE567" s="73"/>
      <c r="AF567" s="217" t="str">
        <f t="shared" ca="1" si="191"/>
        <v>N/A</v>
      </c>
      <c r="AG567" s="218">
        <v>2352</v>
      </c>
      <c r="AH567" s="218">
        <v>1383</v>
      </c>
      <c r="AI567" s="222">
        <f t="shared" si="192"/>
        <v>3735</v>
      </c>
      <c r="AJ567" s="219"/>
      <c r="AK567" s="73" t="s">
        <v>2144</v>
      </c>
      <c r="AL567" s="73"/>
      <c r="AM567" s="220" t="str">
        <f t="shared" si="193"/>
        <v>24015 ADM</v>
      </c>
      <c r="AN567" s="220" t="str">
        <f t="shared" si="194"/>
        <v>24015 ADM : Samples shipping issues to US</v>
      </c>
    </row>
    <row r="568" spans="1:40" s="114" customFormat="1" ht="14.5" x14ac:dyDescent="0.35">
      <c r="A568" s="82" t="s">
        <v>1356</v>
      </c>
      <c r="B568" s="154">
        <v>24016</v>
      </c>
      <c r="C568" s="113" t="s">
        <v>8</v>
      </c>
      <c r="D568" s="117">
        <v>45400</v>
      </c>
      <c r="E568" s="118" t="s">
        <v>1745</v>
      </c>
      <c r="F568" s="118" t="s">
        <v>658</v>
      </c>
      <c r="G568" s="111" t="s">
        <v>2140</v>
      </c>
      <c r="H568" s="140" t="s">
        <v>1416</v>
      </c>
      <c r="I568" s="119" t="s">
        <v>5</v>
      </c>
      <c r="J568" s="70"/>
      <c r="K568" s="118">
        <v>3087</v>
      </c>
      <c r="L568" s="118">
        <v>75.240600000000001</v>
      </c>
      <c r="M568" s="147" t="s">
        <v>13</v>
      </c>
      <c r="N568" s="111" t="s">
        <v>2141</v>
      </c>
      <c r="O568" s="111" t="s">
        <v>28</v>
      </c>
      <c r="P568" s="111" t="s">
        <v>103</v>
      </c>
      <c r="Q568" s="70" t="s">
        <v>510</v>
      </c>
      <c r="R568" s="111" t="s">
        <v>12</v>
      </c>
      <c r="S568" s="111"/>
      <c r="T568" s="70"/>
      <c r="U568" s="74"/>
      <c r="V568" s="158" t="s">
        <v>6</v>
      </c>
      <c r="W568" s="118" t="s">
        <v>1745</v>
      </c>
      <c r="X568" s="113">
        <v>45404</v>
      </c>
      <c r="Y568" s="117">
        <f t="shared" si="189"/>
        <v>45491</v>
      </c>
      <c r="Z568" s="187">
        <v>45463</v>
      </c>
      <c r="AA568" s="161" t="str">
        <f t="shared" ca="1" si="190"/>
        <v>YES</v>
      </c>
      <c r="AB568" s="187">
        <v>45388</v>
      </c>
      <c r="AC568" s="187">
        <v>45388</v>
      </c>
      <c r="AD568" s="187">
        <v>45504</v>
      </c>
      <c r="AE568" s="187">
        <v>45463</v>
      </c>
      <c r="AF568" s="114" t="str">
        <f t="shared" ca="1" si="191"/>
        <v>YES</v>
      </c>
      <c r="AG568" s="194">
        <v>1333</v>
      </c>
      <c r="AH568" s="194">
        <v>0</v>
      </c>
      <c r="AI568" s="196">
        <f t="shared" si="192"/>
        <v>1333</v>
      </c>
      <c r="AJ568" s="148"/>
      <c r="AK568" s="70"/>
      <c r="AL568" s="70"/>
      <c r="AM568" s="165" t="str">
        <f t="shared" si="193"/>
        <v>24016 Fufeng Qiqihaer</v>
      </c>
      <c r="AN568" s="165" t="str">
        <f t="shared" si="194"/>
        <v>24016 Fufeng Qiqihaer : Fufeng Qiqihaer- Frozen lysine resin</v>
      </c>
    </row>
    <row r="569" spans="1:40" ht="14.5" hidden="1" x14ac:dyDescent="0.35">
      <c r="A569" s="82"/>
      <c r="B569" s="207">
        <v>24017</v>
      </c>
      <c r="C569" s="208" t="s">
        <v>4</v>
      </c>
      <c r="D569" s="209">
        <v>45400</v>
      </c>
      <c r="E569" s="210" t="s">
        <v>796</v>
      </c>
      <c r="F569" s="210" t="s">
        <v>420</v>
      </c>
      <c r="G569" s="211" t="s">
        <v>2142</v>
      </c>
      <c r="H569" s="211"/>
      <c r="I569" s="212" t="s">
        <v>17</v>
      </c>
      <c r="J569" s="73"/>
      <c r="K569" s="210">
        <v>3079</v>
      </c>
      <c r="L569" s="210"/>
      <c r="M569" s="213" t="s">
        <v>338</v>
      </c>
      <c r="N569" s="211" t="s">
        <v>2143</v>
      </c>
      <c r="O569" s="211" t="s">
        <v>420</v>
      </c>
      <c r="P569" s="211" t="s">
        <v>80</v>
      </c>
      <c r="Q569" s="73" t="s">
        <v>510</v>
      </c>
      <c r="R569" s="211" t="s">
        <v>9</v>
      </c>
      <c r="S569" s="111"/>
      <c r="T569" s="73"/>
      <c r="U569" s="74"/>
      <c r="V569" s="215" t="s">
        <v>6</v>
      </c>
      <c r="W569" s="210" t="s">
        <v>796</v>
      </c>
      <c r="X569" s="208">
        <v>45405</v>
      </c>
      <c r="Y569" s="209">
        <f t="shared" si="189"/>
        <v>45491</v>
      </c>
      <c r="Z569" s="221">
        <v>45485</v>
      </c>
      <c r="AA569" s="216" t="str">
        <f t="shared" ca="1" si="190"/>
        <v>YES</v>
      </c>
      <c r="AB569" s="208"/>
      <c r="AC569" s="73"/>
      <c r="AD569" s="73"/>
      <c r="AE569" s="73"/>
      <c r="AF569" s="217" t="str">
        <f t="shared" ca="1" si="191"/>
        <v>N/A</v>
      </c>
      <c r="AG569" s="218">
        <v>1960</v>
      </c>
      <c r="AH569" s="218">
        <v>0</v>
      </c>
      <c r="AI569" s="222">
        <f t="shared" si="192"/>
        <v>1960</v>
      </c>
      <c r="AJ569" s="219"/>
      <c r="AK569" s="73" t="s">
        <v>2144</v>
      </c>
      <c r="AL569" s="73"/>
      <c r="AM569" s="220" t="str">
        <f t="shared" si="193"/>
        <v>24017 Heliobiosys</v>
      </c>
      <c r="AN569" s="220" t="str">
        <f t="shared" si="194"/>
        <v>24017 Heliobiosys : MF pilot return blocked in customs</v>
      </c>
    </row>
    <row r="570" spans="1:40" ht="14.5" hidden="1" x14ac:dyDescent="0.35">
      <c r="A570" s="82"/>
      <c r="B570" s="154">
        <v>24018</v>
      </c>
      <c r="C570" s="113" t="s">
        <v>4</v>
      </c>
      <c r="D570" s="117">
        <v>45439</v>
      </c>
      <c r="E570" s="118" t="s">
        <v>1046</v>
      </c>
      <c r="F570" s="118" t="s">
        <v>40</v>
      </c>
      <c r="G570" s="111" t="s">
        <v>2072</v>
      </c>
      <c r="H570" s="111"/>
      <c r="I570" s="119" t="s">
        <v>17</v>
      </c>
      <c r="J570" s="70"/>
      <c r="K570" s="118">
        <v>2148</v>
      </c>
      <c r="L570" s="118">
        <v>18201</v>
      </c>
      <c r="M570" s="147" t="s">
        <v>13</v>
      </c>
      <c r="N570" s="111" t="s">
        <v>2145</v>
      </c>
      <c r="O570" s="111" t="s">
        <v>28</v>
      </c>
      <c r="P570" s="111" t="s">
        <v>103</v>
      </c>
      <c r="Q570" s="70" t="s">
        <v>452</v>
      </c>
      <c r="R570" s="111" t="s">
        <v>87</v>
      </c>
      <c r="S570" s="111"/>
      <c r="T570" s="70"/>
      <c r="U570" s="74"/>
      <c r="V570" s="158" t="s">
        <v>10</v>
      </c>
      <c r="W570" s="118"/>
      <c r="X570" s="113"/>
      <c r="Y570" s="117">
        <f t="shared" ref="Y570:Y575" si="195">EDATE(D570,3)</f>
        <v>45531</v>
      </c>
      <c r="Z570" s="187">
        <v>45506</v>
      </c>
      <c r="AA570" s="161" t="str">
        <f t="shared" ref="AA570:AA575" ca="1" si="196">IF(Z570="",IF(TODAY()&gt;Y570,"NO","YES"),IF(Z570&gt;Y570,"NO",IF(Z570&lt;Y570,"YES",IF(Y570=Z570,"YES","N/A"))))</f>
        <v>YES</v>
      </c>
      <c r="AB570" s="113"/>
      <c r="AC570" s="70"/>
      <c r="AD570" s="70"/>
      <c r="AE570" s="70"/>
      <c r="AF570" s="114" t="str">
        <f t="shared" ref="AF570:AF575" ca="1" si="197">IF(I570="Claim",IF(AD570="","",IF(AE570="",IF(TODAY()&gt;AD570,"NO","YES"),IF(AE570&gt;AD570,"NO",IF(AE570&lt;AD570,"YES",IF(AD570=AE570,"YES","N/A"))))),"N/A")</f>
        <v>N/A</v>
      </c>
      <c r="AG570" s="194">
        <v>392</v>
      </c>
      <c r="AH570" s="194">
        <v>0</v>
      </c>
      <c r="AI570" s="196">
        <f t="shared" ref="AI570:AI575" si="198">AH570+AG570</f>
        <v>392</v>
      </c>
      <c r="AJ570" s="148"/>
      <c r="AK570" s="70" t="s">
        <v>2144</v>
      </c>
      <c r="AL570" s="70"/>
      <c r="AM570" s="165" t="str">
        <f t="shared" ref="AM570:AM575" si="199">CONCATENATE(B570," ",G570)</f>
        <v>24018 COPAM</v>
      </c>
      <c r="AN570" s="165" t="str">
        <f t="shared" ref="AN570:AN575" si="200">CONCATENATE(B570," ",G570," : ",N570)</f>
        <v>24018 COPAM : Resin loss on demineralization unit L1</v>
      </c>
    </row>
    <row r="571" spans="1:40" s="114" customFormat="1" ht="14.5" x14ac:dyDescent="0.35">
      <c r="A571" s="82"/>
      <c r="B571" s="154">
        <v>24019</v>
      </c>
      <c r="C571" s="113" t="s">
        <v>8</v>
      </c>
      <c r="D571" s="117">
        <v>45454</v>
      </c>
      <c r="E571" s="118" t="s">
        <v>2146</v>
      </c>
      <c r="F571" s="118" t="s">
        <v>164</v>
      </c>
      <c r="G571" s="111" t="s">
        <v>2084</v>
      </c>
      <c r="H571" s="111" t="s">
        <v>433</v>
      </c>
      <c r="I571" s="119" t="s">
        <v>5</v>
      </c>
      <c r="J571" s="70"/>
      <c r="K571" s="118">
        <v>2128</v>
      </c>
      <c r="L571" s="118">
        <v>17951</v>
      </c>
      <c r="M571" s="147" t="s">
        <v>13</v>
      </c>
      <c r="N571" s="111" t="s">
        <v>2147</v>
      </c>
      <c r="O571" s="111" t="s">
        <v>29</v>
      </c>
      <c r="P571" s="111" t="s">
        <v>86</v>
      </c>
      <c r="Q571" s="70" t="s">
        <v>1026</v>
      </c>
      <c r="R571" s="111" t="s">
        <v>87</v>
      </c>
      <c r="S571" s="111"/>
      <c r="T571" s="70"/>
      <c r="U571" s="74"/>
      <c r="V571" s="158" t="s">
        <v>6</v>
      </c>
      <c r="W571" s="118" t="s">
        <v>2146</v>
      </c>
      <c r="X571" s="113">
        <v>45467</v>
      </c>
      <c r="Y571" s="117">
        <f t="shared" si="195"/>
        <v>45546</v>
      </c>
      <c r="Z571" s="187">
        <v>45540</v>
      </c>
      <c r="AA571" s="161" t="str">
        <f t="shared" ca="1" si="196"/>
        <v>YES</v>
      </c>
      <c r="AB571" s="113">
        <v>45409</v>
      </c>
      <c r="AC571" s="187">
        <v>45410</v>
      </c>
      <c r="AD571" s="187">
        <v>45565</v>
      </c>
      <c r="AE571" s="187">
        <v>45540</v>
      </c>
      <c r="AF571" s="114" t="str">
        <f t="shared" ca="1" si="197"/>
        <v>YES</v>
      </c>
      <c r="AG571" s="194">
        <v>500</v>
      </c>
      <c r="AH571" s="194"/>
      <c r="AI571" s="196">
        <f t="shared" si="198"/>
        <v>500</v>
      </c>
      <c r="AJ571" s="148"/>
      <c r="AK571" s="70" t="s">
        <v>2144</v>
      </c>
      <c r="AL571" s="70"/>
      <c r="AM571" s="165" t="str">
        <f t="shared" si="199"/>
        <v>24019 SQ Nansha</v>
      </c>
      <c r="AN571" s="165" t="str">
        <f t="shared" si="200"/>
        <v>24019 SQ Nansha : SQ20 F55MB CL6510  Rubber Lining Issue of Insert Tube</v>
      </c>
    </row>
    <row r="572" spans="1:40" ht="14.5" hidden="1" x14ac:dyDescent="0.35">
      <c r="A572" s="82"/>
      <c r="B572" s="154">
        <v>24020</v>
      </c>
      <c r="C572" s="113" t="s">
        <v>4</v>
      </c>
      <c r="D572" s="117">
        <v>45460</v>
      </c>
      <c r="E572" s="118" t="s">
        <v>2148</v>
      </c>
      <c r="F572" s="118" t="s">
        <v>658</v>
      </c>
      <c r="G572" s="111" t="s">
        <v>380</v>
      </c>
      <c r="H572" s="111" t="s">
        <v>972</v>
      </c>
      <c r="I572" s="119" t="s">
        <v>5</v>
      </c>
      <c r="J572" s="70"/>
      <c r="K572" s="118"/>
      <c r="L572" s="114" t="s">
        <v>2149</v>
      </c>
      <c r="M572" s="147" t="s">
        <v>7</v>
      </c>
      <c r="N572" s="111" t="s">
        <v>2150</v>
      </c>
      <c r="O572" s="111" t="s">
        <v>28</v>
      </c>
      <c r="P572" s="111" t="s">
        <v>103</v>
      </c>
      <c r="Q572" s="70" t="s">
        <v>176</v>
      </c>
      <c r="R572" s="111" t="s">
        <v>145</v>
      </c>
      <c r="S572" s="111"/>
      <c r="T572" s="70"/>
      <c r="U572" s="70"/>
      <c r="V572" s="158" t="s">
        <v>10</v>
      </c>
      <c r="W572" s="118"/>
      <c r="X572" s="113"/>
      <c r="Y572" s="117">
        <f t="shared" si="195"/>
        <v>45552</v>
      </c>
      <c r="Z572" s="187">
        <v>45566</v>
      </c>
      <c r="AA572" s="161" t="str">
        <f t="shared" ca="1" si="196"/>
        <v>NO</v>
      </c>
      <c r="AB572" s="113">
        <v>45174</v>
      </c>
      <c r="AC572" s="187">
        <v>45188</v>
      </c>
      <c r="AD572" s="187">
        <v>45626</v>
      </c>
      <c r="AE572" s="187">
        <v>45566</v>
      </c>
      <c r="AF572" s="114" t="str">
        <f t="shared" ca="1" si="197"/>
        <v>YES</v>
      </c>
      <c r="AG572" s="194">
        <v>980</v>
      </c>
      <c r="AH572" s="194">
        <v>10732</v>
      </c>
      <c r="AI572" s="196">
        <f t="shared" si="198"/>
        <v>11712</v>
      </c>
      <c r="AJ572" s="148"/>
      <c r="AK572" s="70" t="s">
        <v>2182</v>
      </c>
      <c r="AL572" s="70"/>
      <c r="AM572" s="165" t="str">
        <f t="shared" si="199"/>
        <v>24020 Prolactal</v>
      </c>
      <c r="AN572" s="165" t="str">
        <f t="shared" si="200"/>
        <v>24020 Prolactal : non payment of invoice, low life of electrodes</v>
      </c>
    </row>
    <row r="573" spans="1:40" ht="14.5" hidden="1" x14ac:dyDescent="0.35">
      <c r="A573" s="82"/>
      <c r="B573" s="154">
        <v>24021</v>
      </c>
      <c r="C573" s="113" t="s">
        <v>4</v>
      </c>
      <c r="D573" s="117">
        <v>45462</v>
      </c>
      <c r="E573" s="118" t="s">
        <v>2148</v>
      </c>
      <c r="F573" s="118" t="s">
        <v>658</v>
      </c>
      <c r="G573" s="111" t="s">
        <v>538</v>
      </c>
      <c r="H573" s="111" t="s">
        <v>1833</v>
      </c>
      <c r="I573" s="119" t="s">
        <v>5</v>
      </c>
      <c r="J573" s="70"/>
      <c r="K573" s="118"/>
      <c r="L573" s="114" t="s">
        <v>2151</v>
      </c>
      <c r="M573" s="147" t="s">
        <v>11</v>
      </c>
      <c r="N573" s="111" t="s">
        <v>2152</v>
      </c>
      <c r="O573" s="111" t="s">
        <v>28</v>
      </c>
      <c r="P573" s="111" t="s">
        <v>103</v>
      </c>
      <c r="Q573" s="70" t="s">
        <v>2153</v>
      </c>
      <c r="R573" s="111" t="s">
        <v>9</v>
      </c>
      <c r="S573" s="111"/>
      <c r="T573" s="70"/>
      <c r="U573" s="74"/>
      <c r="V573" s="158" t="s">
        <v>6</v>
      </c>
      <c r="W573" s="118" t="s">
        <v>1871</v>
      </c>
      <c r="X573" s="113">
        <v>45467</v>
      </c>
      <c r="Y573" s="117">
        <f t="shared" si="195"/>
        <v>45554</v>
      </c>
      <c r="Z573" s="187">
        <v>45544</v>
      </c>
      <c r="AA573" s="161" t="str">
        <f t="shared" ca="1" si="196"/>
        <v>YES</v>
      </c>
      <c r="AB573" s="113">
        <v>45450</v>
      </c>
      <c r="AC573" s="187">
        <v>45450</v>
      </c>
      <c r="AD573" s="187">
        <v>45596</v>
      </c>
      <c r="AE573" s="187">
        <v>45544</v>
      </c>
      <c r="AF573" s="114" t="str">
        <f t="shared" ca="1" si="197"/>
        <v>YES</v>
      </c>
      <c r="AG573" s="194">
        <v>588</v>
      </c>
      <c r="AH573" s="194">
        <v>0</v>
      </c>
      <c r="AI573" s="196">
        <f t="shared" si="198"/>
        <v>588</v>
      </c>
      <c r="AJ573" s="148"/>
      <c r="AK573" s="70" t="s">
        <v>2179</v>
      </c>
      <c r="AL573" s="70"/>
      <c r="AM573" s="165" t="str">
        <f t="shared" si="199"/>
        <v>24021 ADM</v>
      </c>
      <c r="AN573" s="165" t="str">
        <f t="shared" si="200"/>
        <v xml:space="preserve">24021 ADM : Strainers order - Delivery without ATR document </v>
      </c>
    </row>
    <row r="574" spans="1:40" s="114" customFormat="1" ht="14.5" x14ac:dyDescent="0.35">
      <c r="A574" s="82"/>
      <c r="B574" s="154">
        <v>24022</v>
      </c>
      <c r="C574" s="113" t="s">
        <v>8</v>
      </c>
      <c r="D574" s="117">
        <v>45463</v>
      </c>
      <c r="E574" s="118" t="s">
        <v>1854</v>
      </c>
      <c r="F574" s="118" t="s">
        <v>164</v>
      </c>
      <c r="G574" s="111" t="s">
        <v>2154</v>
      </c>
      <c r="H574" s="111"/>
      <c r="I574" s="119" t="s">
        <v>2057</v>
      </c>
      <c r="J574" s="70"/>
      <c r="K574" s="118">
        <v>3123</v>
      </c>
      <c r="L574" s="118">
        <v>18323</v>
      </c>
      <c r="M574" s="147" t="s">
        <v>11</v>
      </c>
      <c r="N574" s="111" t="s">
        <v>2155</v>
      </c>
      <c r="O574" s="111" t="s">
        <v>29</v>
      </c>
      <c r="P574" s="111" t="s">
        <v>86</v>
      </c>
      <c r="Q574" s="70" t="s">
        <v>2177</v>
      </c>
      <c r="R574" s="111" t="s">
        <v>2031</v>
      </c>
      <c r="S574" s="111"/>
      <c r="T574" s="70"/>
      <c r="U574" s="74"/>
      <c r="V574" s="158" t="s">
        <v>6</v>
      </c>
      <c r="W574" s="118" t="s">
        <v>1854</v>
      </c>
      <c r="X574" s="113">
        <v>45470</v>
      </c>
      <c r="Y574" s="117">
        <f t="shared" si="195"/>
        <v>45555</v>
      </c>
      <c r="Z574" s="187">
        <v>45554</v>
      </c>
      <c r="AA574" s="161" t="str">
        <f t="shared" ca="1" si="196"/>
        <v>YES</v>
      </c>
      <c r="AB574" s="113"/>
      <c r="AC574" s="70"/>
      <c r="AD574" s="70"/>
      <c r="AE574" s="70"/>
      <c r="AF574" s="114" t="str">
        <f t="shared" ca="1" si="197"/>
        <v>N/A</v>
      </c>
      <c r="AG574" s="194">
        <v>250</v>
      </c>
      <c r="AH574" s="194">
        <v>0</v>
      </c>
      <c r="AI574" s="196">
        <f t="shared" si="198"/>
        <v>250</v>
      </c>
      <c r="AJ574" s="148"/>
      <c r="AK574" s="70" t="s">
        <v>2179</v>
      </c>
      <c r="AL574" s="70"/>
      <c r="AM574" s="165" t="str">
        <f t="shared" si="199"/>
        <v>24022 Huaantang</v>
      </c>
      <c r="AN574" s="165" t="str">
        <f t="shared" si="200"/>
        <v>24022 Huaantang : Functional Analysis assignement and workload France-Asia</v>
      </c>
    </row>
    <row r="575" spans="1:40" ht="14.5" hidden="1" x14ac:dyDescent="0.35">
      <c r="A575" s="82"/>
      <c r="B575" s="154">
        <v>24023</v>
      </c>
      <c r="C575" s="113" t="s">
        <v>4</v>
      </c>
      <c r="D575" s="117">
        <v>45476</v>
      </c>
      <c r="E575" s="118" t="s">
        <v>2156</v>
      </c>
      <c r="F575" s="118" t="s">
        <v>164</v>
      </c>
      <c r="G575" s="111" t="s">
        <v>2161</v>
      </c>
      <c r="H575" s="111" t="s">
        <v>433</v>
      </c>
      <c r="I575" s="119" t="s">
        <v>5</v>
      </c>
      <c r="J575" s="70"/>
      <c r="K575" s="145">
        <v>2048</v>
      </c>
      <c r="L575" s="118">
        <v>12194</v>
      </c>
      <c r="M575" s="147" t="s">
        <v>2067</v>
      </c>
      <c r="N575" s="111" t="s">
        <v>2157</v>
      </c>
      <c r="O575" s="111" t="s">
        <v>29</v>
      </c>
      <c r="P575" s="111" t="s">
        <v>86</v>
      </c>
      <c r="Q575" s="70" t="s">
        <v>452</v>
      </c>
      <c r="R575" s="111" t="s">
        <v>145</v>
      </c>
      <c r="S575" s="111"/>
      <c r="T575" s="70"/>
      <c r="U575" s="74"/>
      <c r="V575" s="158" t="s">
        <v>6</v>
      </c>
      <c r="W575" s="118" t="s">
        <v>2156</v>
      </c>
      <c r="X575" s="113">
        <v>45481</v>
      </c>
      <c r="Y575" s="117">
        <f t="shared" si="195"/>
        <v>45568</v>
      </c>
      <c r="Z575" s="187">
        <v>45544</v>
      </c>
      <c r="AA575" s="161" t="str">
        <f t="shared" ca="1" si="196"/>
        <v>YES</v>
      </c>
      <c r="AB575" s="113">
        <v>45302</v>
      </c>
      <c r="AC575" s="187">
        <v>45302</v>
      </c>
      <c r="AD575" s="187">
        <v>45596</v>
      </c>
      <c r="AE575" s="187">
        <v>45544</v>
      </c>
      <c r="AF575" s="114" t="str">
        <f t="shared" ca="1" si="197"/>
        <v>YES</v>
      </c>
      <c r="AG575" s="194">
        <v>5880</v>
      </c>
      <c r="AH575" s="194">
        <v>4599</v>
      </c>
      <c r="AI575" s="196">
        <f t="shared" si="198"/>
        <v>10479</v>
      </c>
      <c r="AJ575" s="148"/>
      <c r="AK575" s="70" t="s">
        <v>2179</v>
      </c>
      <c r="AL575" s="70"/>
      <c r="AM575" s="165" t="str">
        <f t="shared" si="199"/>
        <v>24023 ADM Lysine</v>
      </c>
      <c r="AN575" s="165" t="str">
        <f t="shared" si="200"/>
        <v xml:space="preserve">24023 ADM Lysine : Rubber lining failure of IEXc columns </v>
      </c>
    </row>
    <row r="576" spans="1:40" ht="14.5" hidden="1" x14ac:dyDescent="0.35">
      <c r="A576" s="82"/>
      <c r="B576" s="96">
        <v>24024</v>
      </c>
      <c r="C576" s="81" t="s">
        <v>4</v>
      </c>
      <c r="D576" s="97">
        <v>45478</v>
      </c>
      <c r="E576" s="67" t="s">
        <v>1907</v>
      </c>
      <c r="F576" s="67" t="s">
        <v>164</v>
      </c>
      <c r="G576" s="68" t="s">
        <v>1558</v>
      </c>
      <c r="H576" s="68" t="s">
        <v>2169</v>
      </c>
      <c r="I576" s="99" t="s">
        <v>5</v>
      </c>
      <c r="J576" s="74"/>
      <c r="K576" s="67">
        <v>2159</v>
      </c>
      <c r="L576" s="67">
        <v>18307</v>
      </c>
      <c r="M576" s="80" t="s">
        <v>672</v>
      </c>
      <c r="N576" s="68" t="s">
        <v>2174</v>
      </c>
      <c r="O576" s="68" t="s">
        <v>29</v>
      </c>
      <c r="P576" s="68" t="s">
        <v>86</v>
      </c>
      <c r="Q576" s="74" t="s">
        <v>916</v>
      </c>
      <c r="R576" s="68" t="s">
        <v>9</v>
      </c>
      <c r="S576" s="68"/>
      <c r="T576" s="252" t="s">
        <v>92</v>
      </c>
      <c r="U576" s="74"/>
      <c r="V576" s="79" t="s">
        <v>6</v>
      </c>
      <c r="W576" s="67" t="s">
        <v>1907</v>
      </c>
      <c r="X576" s="81">
        <v>45482</v>
      </c>
      <c r="Y576" s="110">
        <f t="shared" ref="Y576:Y581" si="201">EDATE(D576,3)</f>
        <v>45570</v>
      </c>
      <c r="Z576" s="74"/>
      <c r="AA576" s="106" t="str">
        <f t="shared" ref="AA576:AA581" ca="1" si="202">IF(Z576="",IF(TODAY()&gt;Y576,"NO","YES"),IF(Z576&gt;Y576,"NO",IF(Z576&lt;Y576,"YES",IF(Y576=Z576,"YES","N/A"))))</f>
        <v>NO</v>
      </c>
      <c r="AB576" s="81">
        <v>45472</v>
      </c>
      <c r="AC576" s="109">
        <v>45474</v>
      </c>
      <c r="AD576" s="109">
        <v>45657</v>
      </c>
      <c r="AE576" s="74"/>
      <c r="AF576" s="62" t="str">
        <f t="shared" ref="AF576:AF581" ca="1" si="203">IF(I576="Claim",IF(AD576="","",IF(AE576="",IF(TODAY()&gt;AD576,"NO","YES"),IF(AE576&gt;AD576,"NO",IF(AE576&lt;AD576,"YES",IF(AD576=AE576,"YES","N/A"))))),"N/A")</f>
        <v>NO</v>
      </c>
      <c r="AG576" s="104"/>
      <c r="AH576" s="104"/>
      <c r="AI576" s="107">
        <f t="shared" ref="AI576:AI581" si="204">AH576+AG576</f>
        <v>0</v>
      </c>
      <c r="AJ576" s="105"/>
      <c r="AK576" s="74"/>
      <c r="AL576" s="74"/>
      <c r="AM576" s="108" t="str">
        <f t="shared" ref="AM576:AM581" si="205">CONCATENATE(B576," ",G576)</f>
        <v>24024 Etihad</v>
      </c>
      <c r="AN576" s="108" t="str">
        <f t="shared" ref="AN576:AN581" si="206">CONCATENATE(B576," ",G576," : ",N576)</f>
        <v>24024 Etihad : Piping defects and lack of documentation</v>
      </c>
    </row>
    <row r="577" spans="1:40" ht="14.5" hidden="1" x14ac:dyDescent="0.35">
      <c r="A577" s="82"/>
      <c r="B577" s="96">
        <v>24025</v>
      </c>
      <c r="C577" s="81" t="s">
        <v>4</v>
      </c>
      <c r="D577" s="97">
        <v>45478</v>
      </c>
      <c r="E577" s="67" t="s">
        <v>864</v>
      </c>
      <c r="F577" s="67" t="s">
        <v>164</v>
      </c>
      <c r="G577" s="68" t="s">
        <v>1927</v>
      </c>
      <c r="H577" s="68" t="s">
        <v>1659</v>
      </c>
      <c r="I577" s="99" t="s">
        <v>5</v>
      </c>
      <c r="J577" s="74"/>
      <c r="K577" s="67">
        <v>2066</v>
      </c>
      <c r="L577" s="67">
        <v>13829</v>
      </c>
      <c r="M577" s="80" t="s">
        <v>2067</v>
      </c>
      <c r="N577" s="68" t="s">
        <v>2158</v>
      </c>
      <c r="O577" s="68" t="s">
        <v>29</v>
      </c>
      <c r="P577" s="68" t="s">
        <v>86</v>
      </c>
      <c r="Q577" s="74" t="s">
        <v>916</v>
      </c>
      <c r="R577" s="68" t="s">
        <v>145</v>
      </c>
      <c r="S577" s="68"/>
      <c r="T577" s="251" t="s">
        <v>1659</v>
      </c>
      <c r="U577" s="74"/>
      <c r="V577" s="79" t="s">
        <v>6</v>
      </c>
      <c r="W577" s="67" t="s">
        <v>2160</v>
      </c>
      <c r="X577" s="81">
        <v>45484</v>
      </c>
      <c r="Y577" s="110">
        <f t="shared" si="201"/>
        <v>45570</v>
      </c>
      <c r="Z577" s="74"/>
      <c r="AA577" s="106" t="str">
        <f t="shared" ca="1" si="202"/>
        <v>NO</v>
      </c>
      <c r="AB577" s="81">
        <v>45422</v>
      </c>
      <c r="AC577" s="109">
        <v>45446</v>
      </c>
      <c r="AD577" s="109">
        <v>45657</v>
      </c>
      <c r="AE577" s="74"/>
      <c r="AF577" s="62" t="str">
        <f t="shared" ca="1" si="203"/>
        <v>NO</v>
      </c>
      <c r="AG577" s="104"/>
      <c r="AH577" s="104"/>
      <c r="AI577" s="107">
        <f t="shared" si="204"/>
        <v>0</v>
      </c>
      <c r="AJ577" s="105"/>
      <c r="AK577" s="74"/>
      <c r="AL577" s="74"/>
      <c r="AM577" s="108" t="str">
        <f t="shared" si="205"/>
        <v>24025 Beneo Chili</v>
      </c>
      <c r="AN577" s="108" t="str">
        <f t="shared" si="206"/>
        <v xml:space="preserve">24025 Beneo Chili : Leaks on 3 pumps bodies KSB </v>
      </c>
    </row>
    <row r="578" spans="1:40" ht="14.5" hidden="1" x14ac:dyDescent="0.35">
      <c r="A578" s="82"/>
      <c r="B578" s="154">
        <v>24026</v>
      </c>
      <c r="C578" s="113" t="s">
        <v>4</v>
      </c>
      <c r="D578" s="117">
        <v>45483</v>
      </c>
      <c r="E578" s="118" t="s">
        <v>1575</v>
      </c>
      <c r="F578" s="118" t="s">
        <v>658</v>
      </c>
      <c r="G578" s="111" t="s">
        <v>1849</v>
      </c>
      <c r="H578" s="111" t="s">
        <v>1850</v>
      </c>
      <c r="I578" s="119" t="s">
        <v>2057</v>
      </c>
      <c r="J578" s="70"/>
      <c r="K578" s="118" t="s">
        <v>1911</v>
      </c>
      <c r="L578" s="118">
        <v>18021</v>
      </c>
      <c r="M578" s="147" t="s">
        <v>13</v>
      </c>
      <c r="N578" s="111" t="s">
        <v>2159</v>
      </c>
      <c r="O578" s="111" t="s">
        <v>28</v>
      </c>
      <c r="P578" s="111" t="s">
        <v>103</v>
      </c>
      <c r="Q578" s="70" t="s">
        <v>2178</v>
      </c>
      <c r="R578" s="111" t="s">
        <v>9</v>
      </c>
      <c r="S578" s="111"/>
      <c r="T578" s="70"/>
      <c r="U578" s="74"/>
      <c r="V578" s="158" t="s">
        <v>10</v>
      </c>
      <c r="W578" s="118"/>
      <c r="X578" s="113"/>
      <c r="Y578" s="117">
        <f t="shared" si="201"/>
        <v>45575</v>
      </c>
      <c r="Z578" s="187">
        <v>45572</v>
      </c>
      <c r="AA578" s="161" t="str">
        <f t="shared" ca="1" si="202"/>
        <v>YES</v>
      </c>
      <c r="AB578" s="113"/>
      <c r="AC578" s="70"/>
      <c r="AD578" s="70"/>
      <c r="AE578" s="70"/>
      <c r="AF578" s="114" t="str">
        <f t="shared" ca="1" si="203"/>
        <v>N/A</v>
      </c>
      <c r="AG578" s="194">
        <v>0</v>
      </c>
      <c r="AH578" s="194">
        <v>0</v>
      </c>
      <c r="AI578" s="196">
        <f t="shared" si="204"/>
        <v>0</v>
      </c>
      <c r="AJ578" s="148"/>
      <c r="AK578" s="70" t="s">
        <v>2188</v>
      </c>
      <c r="AL578" s="70"/>
      <c r="AM578" s="165" t="str">
        <f t="shared" si="205"/>
        <v>24026 Beneo Oreye</v>
      </c>
      <c r="AN578" s="165" t="str">
        <f t="shared" si="206"/>
        <v>24026 Beneo Oreye : Internal network anomaly</v>
      </c>
    </row>
    <row r="579" spans="1:40" ht="14.5" hidden="1" x14ac:dyDescent="0.35">
      <c r="A579" s="82"/>
      <c r="B579" s="154">
        <v>24027</v>
      </c>
      <c r="C579" s="113" t="s">
        <v>4</v>
      </c>
      <c r="D579" s="117">
        <v>45488</v>
      </c>
      <c r="E579" s="118" t="s">
        <v>1907</v>
      </c>
      <c r="F579" s="118" t="s">
        <v>164</v>
      </c>
      <c r="G579" s="111" t="s">
        <v>2162</v>
      </c>
      <c r="H579" s="111" t="s">
        <v>1861</v>
      </c>
      <c r="I579" s="119" t="s">
        <v>2056</v>
      </c>
      <c r="J579" s="70"/>
      <c r="K579" s="118">
        <v>3096</v>
      </c>
      <c r="L579" s="118">
        <v>16242</v>
      </c>
      <c r="M579" s="147"/>
      <c r="N579" s="111" t="s">
        <v>2163</v>
      </c>
      <c r="O579" s="111" t="s">
        <v>29</v>
      </c>
      <c r="P579" s="111" t="s">
        <v>86</v>
      </c>
      <c r="Q579" s="70" t="s">
        <v>885</v>
      </c>
      <c r="R579" s="111" t="s">
        <v>9</v>
      </c>
      <c r="S579" s="111"/>
      <c r="T579" s="70"/>
      <c r="U579" s="74"/>
      <c r="V579" s="158" t="s">
        <v>6</v>
      </c>
      <c r="W579" s="118" t="s">
        <v>319</v>
      </c>
      <c r="X579" s="113">
        <v>45491</v>
      </c>
      <c r="Y579" s="117">
        <f t="shared" si="201"/>
        <v>45580</v>
      </c>
      <c r="Z579" s="187">
        <v>45576</v>
      </c>
      <c r="AA579" s="161" t="str">
        <f t="shared" ca="1" si="202"/>
        <v>YES</v>
      </c>
      <c r="AB579" s="113"/>
      <c r="AC579" s="70"/>
      <c r="AD579" s="70"/>
      <c r="AE579" s="70"/>
      <c r="AF579" s="114" t="str">
        <f t="shared" ca="1" si="203"/>
        <v>N/A</v>
      </c>
      <c r="AG579" s="194">
        <v>3038</v>
      </c>
      <c r="AH579" s="194">
        <v>2151</v>
      </c>
      <c r="AI579" s="196">
        <f t="shared" si="204"/>
        <v>5189</v>
      </c>
      <c r="AJ579" s="148"/>
      <c r="AK579" s="70" t="s">
        <v>2189</v>
      </c>
      <c r="AL579" s="70"/>
      <c r="AM579" s="165" t="str">
        <f t="shared" si="205"/>
        <v>24027 BMA Angola</v>
      </c>
      <c r="AN579" s="165" t="str">
        <f t="shared" si="206"/>
        <v>24027 BMA Angola : Design error for sand filter and linked nozzles</v>
      </c>
    </row>
    <row r="580" spans="1:40" ht="14.5" hidden="1" x14ac:dyDescent="0.35">
      <c r="A580" s="82"/>
      <c r="B580" s="154">
        <v>24028</v>
      </c>
      <c r="C580" s="113" t="s">
        <v>2167</v>
      </c>
      <c r="D580" s="117">
        <v>45491</v>
      </c>
      <c r="E580" s="118" t="s">
        <v>2164</v>
      </c>
      <c r="F580" s="118" t="s">
        <v>658</v>
      </c>
      <c r="G580" s="111" t="s">
        <v>2165</v>
      </c>
      <c r="H580" s="111" t="s">
        <v>2170</v>
      </c>
      <c r="I580" s="119" t="s">
        <v>5</v>
      </c>
      <c r="J580" s="70"/>
      <c r="K580" s="118"/>
      <c r="L580" s="118" t="s">
        <v>2171</v>
      </c>
      <c r="M580" s="147" t="s">
        <v>13</v>
      </c>
      <c r="N580" s="111" t="s">
        <v>2166</v>
      </c>
      <c r="O580" s="111" t="s">
        <v>28</v>
      </c>
      <c r="P580" s="111" t="s">
        <v>103</v>
      </c>
      <c r="Q580" s="70" t="s">
        <v>176</v>
      </c>
      <c r="R580" s="111" t="s">
        <v>145</v>
      </c>
      <c r="S580" s="111"/>
      <c r="T580" s="70"/>
      <c r="U580" s="74"/>
      <c r="V580" s="158" t="s">
        <v>6</v>
      </c>
      <c r="W580" s="118" t="s">
        <v>221</v>
      </c>
      <c r="X580" s="113">
        <v>45490</v>
      </c>
      <c r="Y580" s="117">
        <f t="shared" si="201"/>
        <v>45583</v>
      </c>
      <c r="Z580" s="187">
        <v>45580</v>
      </c>
      <c r="AA580" s="161" t="str">
        <f t="shared" ca="1" si="202"/>
        <v>YES</v>
      </c>
      <c r="AB580" s="113">
        <v>45484</v>
      </c>
      <c r="AC580" s="187">
        <v>45491</v>
      </c>
      <c r="AD580" s="187">
        <v>45596</v>
      </c>
      <c r="AE580" s="187">
        <v>45580</v>
      </c>
      <c r="AF580" s="114" t="str">
        <f t="shared" ca="1" si="203"/>
        <v>YES</v>
      </c>
      <c r="AG580" s="194">
        <v>712</v>
      </c>
      <c r="AH580" s="194">
        <v>0</v>
      </c>
      <c r="AI580" s="196">
        <f t="shared" si="204"/>
        <v>712</v>
      </c>
      <c r="AJ580" s="148"/>
      <c r="AK580" s="70" t="s">
        <v>2188</v>
      </c>
      <c r="AL580" s="70"/>
      <c r="AM580" s="165" t="str">
        <f t="shared" si="205"/>
        <v>24028 Casa Grande</v>
      </c>
      <c r="AN580" s="165" t="str">
        <f t="shared" si="206"/>
        <v xml:space="preserve">24028 Casa Grande : Strong smell from IEX </v>
      </c>
    </row>
    <row r="581" spans="1:40" ht="14.5" hidden="1" x14ac:dyDescent="0.35">
      <c r="A581" s="82"/>
      <c r="B581" s="154">
        <v>24029</v>
      </c>
      <c r="C581" s="113" t="s">
        <v>4</v>
      </c>
      <c r="D581" s="117">
        <v>45497</v>
      </c>
      <c r="E581" s="118" t="s">
        <v>2156</v>
      </c>
      <c r="F581" s="118" t="s">
        <v>164</v>
      </c>
      <c r="G581" s="111" t="s">
        <v>2077</v>
      </c>
      <c r="H581" s="124" t="s">
        <v>858</v>
      </c>
      <c r="I581" s="119" t="s">
        <v>5</v>
      </c>
      <c r="J581" s="70"/>
      <c r="K581" s="118">
        <v>2153</v>
      </c>
      <c r="L581" s="118">
        <v>18336</v>
      </c>
      <c r="M581" s="147"/>
      <c r="N581" s="111" t="s">
        <v>2168</v>
      </c>
      <c r="O581" s="248" t="s">
        <v>29</v>
      </c>
      <c r="P581" s="248" t="s">
        <v>86</v>
      </c>
      <c r="Q581" s="74" t="s">
        <v>916</v>
      </c>
      <c r="R581" s="111" t="s">
        <v>145</v>
      </c>
      <c r="S581" s="124"/>
      <c r="T581" s="112" t="s">
        <v>858</v>
      </c>
      <c r="U581" s="148"/>
      <c r="V581" s="158" t="s">
        <v>6</v>
      </c>
      <c r="W581" s="118" t="s">
        <v>2156</v>
      </c>
      <c r="X581" s="113">
        <v>45498</v>
      </c>
      <c r="Y581" s="117">
        <f t="shared" si="201"/>
        <v>45589</v>
      </c>
      <c r="Z581" s="187">
        <v>45618</v>
      </c>
      <c r="AA581" s="161" t="str">
        <f t="shared" ca="1" si="202"/>
        <v>NO</v>
      </c>
      <c r="AB581" s="113">
        <v>45495</v>
      </c>
      <c r="AC581" s="187">
        <v>45499</v>
      </c>
      <c r="AD581" s="187">
        <v>45657</v>
      </c>
      <c r="AE581" s="257">
        <v>45618</v>
      </c>
      <c r="AF581" s="114" t="str">
        <f t="shared" ca="1" si="203"/>
        <v>YES</v>
      </c>
      <c r="AG581" s="194">
        <v>980</v>
      </c>
      <c r="AH581" s="194">
        <v>36394</v>
      </c>
      <c r="AI581" s="196">
        <f t="shared" si="204"/>
        <v>37374</v>
      </c>
      <c r="AJ581" s="148"/>
      <c r="AK581" s="70" t="s">
        <v>2182</v>
      </c>
      <c r="AL581" s="148"/>
      <c r="AM581" s="165" t="str">
        <f t="shared" si="205"/>
        <v>24029 Via Separation</v>
      </c>
      <c r="AN581" s="250" t="str">
        <f t="shared" si="206"/>
        <v>24029 Via Separation : Bray valves damage</v>
      </c>
    </row>
    <row r="582" spans="1:40" ht="14.5" x14ac:dyDescent="0.35">
      <c r="A582" s="82"/>
      <c r="B582" s="96">
        <v>24030</v>
      </c>
      <c r="C582" s="81" t="s">
        <v>8</v>
      </c>
      <c r="D582" s="97">
        <v>45506</v>
      </c>
      <c r="E582" s="67" t="s">
        <v>2172</v>
      </c>
      <c r="F582" s="67" t="s">
        <v>658</v>
      </c>
      <c r="G582" s="68" t="s">
        <v>1948</v>
      </c>
      <c r="H582" s="68" t="s">
        <v>1768</v>
      </c>
      <c r="I582" s="99" t="s">
        <v>5</v>
      </c>
      <c r="J582" s="74"/>
      <c r="K582" s="67">
        <v>2142</v>
      </c>
      <c r="L582" s="67">
        <v>18146</v>
      </c>
      <c r="M582" s="80" t="s">
        <v>16</v>
      </c>
      <c r="N582" s="68" t="s">
        <v>2173</v>
      </c>
      <c r="O582" s="68" t="s">
        <v>28</v>
      </c>
      <c r="P582" s="68" t="s">
        <v>103</v>
      </c>
      <c r="Q582" s="74" t="s">
        <v>452</v>
      </c>
      <c r="R582" s="68" t="s">
        <v>145</v>
      </c>
      <c r="S582" s="68"/>
      <c r="T582" s="74"/>
      <c r="U582" s="74"/>
      <c r="V582" s="79" t="s">
        <v>6</v>
      </c>
      <c r="W582" s="67" t="s">
        <v>1854</v>
      </c>
      <c r="X582" s="81">
        <v>45531</v>
      </c>
      <c r="Y582" s="110">
        <f t="shared" ref="Y582:Y588" si="207">EDATE(D582,3)</f>
        <v>45598</v>
      </c>
      <c r="Z582" s="74"/>
      <c r="AA582" s="106" t="str">
        <f t="shared" ref="AA582:AA588" ca="1" si="208">IF(Z582="",IF(TODAY()&gt;Y582,"NO","YES"),IF(Z582&gt;Y582,"NO",IF(Z582&lt;Y582,"YES",IF(Y582=Z582,"YES","N/A"))))</f>
        <v>NO</v>
      </c>
      <c r="AB582" s="253">
        <v>45498</v>
      </c>
      <c r="AC582" s="254">
        <v>45498</v>
      </c>
      <c r="AD582" s="255">
        <v>45657</v>
      </c>
      <c r="AE582" s="74"/>
      <c r="AF582" s="62" t="str">
        <f t="shared" ref="AF582:AF587" ca="1" si="209">IF(I582="Claim",IF(AD582="","",IF(AE582="",IF(TODAY()&gt;AD582,"NO","YES"),IF(AE582&gt;AD582,"NO",IF(AE582&lt;AD582,"YES",IF(AD582=AE582,"YES","N/A"))))),"N/A")</f>
        <v>NO</v>
      </c>
      <c r="AG582" s="104"/>
      <c r="AH582" s="104"/>
      <c r="AI582" s="107">
        <f t="shared" ref="AI582:AI587" si="210">AH582+AG582</f>
        <v>0</v>
      </c>
      <c r="AJ582" s="105"/>
      <c r="AK582" s="74"/>
      <c r="AL582" s="74"/>
      <c r="AM582" s="108" t="str">
        <f t="shared" ref="AM582:AM587" si="211">CONCATENATE(B582," ",G582)</f>
        <v>24030 Lesaffre</v>
      </c>
      <c r="AN582" s="108" t="str">
        <f t="shared" ref="AN582:AN587" si="212">CONCATENATE(B582," ",G582," : ",N582)</f>
        <v>24030 Lesaffre : KBE alpha Membrane Abrasion</v>
      </c>
    </row>
    <row r="583" spans="1:40" ht="14.5" hidden="1" x14ac:dyDescent="0.35">
      <c r="A583" s="82"/>
      <c r="B583" s="154">
        <v>24031</v>
      </c>
      <c r="C583" s="113" t="s">
        <v>4</v>
      </c>
      <c r="D583" s="117">
        <v>45540</v>
      </c>
      <c r="E583" s="118" t="s">
        <v>273</v>
      </c>
      <c r="F583" s="118" t="s">
        <v>658</v>
      </c>
      <c r="G583" s="111" t="s">
        <v>1931</v>
      </c>
      <c r="H583" s="111" t="s">
        <v>357</v>
      </c>
      <c r="I583" s="119" t="s">
        <v>5</v>
      </c>
      <c r="J583" s="70"/>
      <c r="K583" s="118"/>
      <c r="L583" s="118" t="s">
        <v>2175</v>
      </c>
      <c r="M583" s="147" t="s">
        <v>16</v>
      </c>
      <c r="N583" s="111" t="s">
        <v>2176</v>
      </c>
      <c r="O583" s="111" t="s">
        <v>28</v>
      </c>
      <c r="P583" s="111" t="s">
        <v>103</v>
      </c>
      <c r="Q583" s="70" t="s">
        <v>452</v>
      </c>
      <c r="R583" s="111" t="s">
        <v>145</v>
      </c>
      <c r="S583" s="111"/>
      <c r="T583" s="112" t="s">
        <v>357</v>
      </c>
      <c r="U583" s="74"/>
      <c r="V583" s="158" t="s">
        <v>10</v>
      </c>
      <c r="W583" s="118"/>
      <c r="X583" s="113"/>
      <c r="Y583" s="117">
        <f t="shared" si="207"/>
        <v>45631</v>
      </c>
      <c r="Z583" s="187">
        <v>45595</v>
      </c>
      <c r="AA583" s="161" t="str">
        <f t="shared" ca="1" si="208"/>
        <v>YES</v>
      </c>
      <c r="AB583" s="113">
        <v>45512</v>
      </c>
      <c r="AC583" s="187">
        <v>45513</v>
      </c>
      <c r="AD583" s="187">
        <v>45657</v>
      </c>
      <c r="AE583" s="187">
        <v>45595</v>
      </c>
      <c r="AF583" s="114" t="str">
        <f t="shared" ca="1" si="209"/>
        <v>YES</v>
      </c>
      <c r="AG583" s="194">
        <v>98</v>
      </c>
      <c r="AH583" s="194">
        <v>0</v>
      </c>
      <c r="AI583" s="196">
        <f t="shared" si="210"/>
        <v>98</v>
      </c>
      <c r="AJ583" s="148"/>
      <c r="AK583" s="70" t="s">
        <v>2182</v>
      </c>
      <c r="AL583" s="70"/>
      <c r="AM583" s="165" t="str">
        <f t="shared" si="211"/>
        <v>24031 GSK Hamilton</v>
      </c>
      <c r="AN583" s="165" t="str">
        <f t="shared" si="212"/>
        <v>24031 GSK Hamilton : Marks on Kerasep Biopharma Membranes</v>
      </c>
    </row>
    <row r="584" spans="1:40" ht="14.5" hidden="1" x14ac:dyDescent="0.35">
      <c r="A584" s="82"/>
      <c r="B584" s="154">
        <v>24032</v>
      </c>
      <c r="C584" s="113" t="s">
        <v>4</v>
      </c>
      <c r="D584" s="117">
        <v>45553</v>
      </c>
      <c r="E584" s="118" t="s">
        <v>95</v>
      </c>
      <c r="F584" s="118" t="s">
        <v>164</v>
      </c>
      <c r="G584" s="111" t="s">
        <v>2122</v>
      </c>
      <c r="H584" s="111" t="s">
        <v>2180</v>
      </c>
      <c r="I584" s="119" t="s">
        <v>2056</v>
      </c>
      <c r="J584" s="70" t="s">
        <v>1332</v>
      </c>
      <c r="K584" s="118">
        <v>2120</v>
      </c>
      <c r="L584" s="118">
        <v>17042</v>
      </c>
      <c r="M584" s="147" t="s">
        <v>18</v>
      </c>
      <c r="N584" s="111" t="s">
        <v>2181</v>
      </c>
      <c r="O584" s="111" t="s">
        <v>29</v>
      </c>
      <c r="P584" s="111" t="s">
        <v>86</v>
      </c>
      <c r="Q584" s="70" t="s">
        <v>916</v>
      </c>
      <c r="R584" s="111" t="s">
        <v>145</v>
      </c>
      <c r="S584" s="111"/>
      <c r="T584" s="70"/>
      <c r="U584" s="74"/>
      <c r="V584" s="158" t="s">
        <v>6</v>
      </c>
      <c r="W584" s="118" t="s">
        <v>2193</v>
      </c>
      <c r="X584" s="113">
        <v>45560</v>
      </c>
      <c r="Y584" s="117">
        <f t="shared" si="207"/>
        <v>45644</v>
      </c>
      <c r="Z584" s="187">
        <v>45595</v>
      </c>
      <c r="AA584" s="161" t="str">
        <f t="shared" ca="1" si="208"/>
        <v>YES</v>
      </c>
      <c r="AB584" s="113"/>
      <c r="AC584" s="70"/>
      <c r="AD584" s="70"/>
      <c r="AE584" s="70"/>
      <c r="AF584" s="114" t="str">
        <f t="shared" ca="1" si="209"/>
        <v>N/A</v>
      </c>
      <c r="AG584" s="194">
        <v>98</v>
      </c>
      <c r="AH584" s="194">
        <v>77</v>
      </c>
      <c r="AI584" s="196">
        <f t="shared" si="210"/>
        <v>175</v>
      </c>
      <c r="AJ584" s="148"/>
      <c r="AK584" s="70" t="s">
        <v>2182</v>
      </c>
      <c r="AL584" s="70"/>
      <c r="AM584" s="165" t="str">
        <f t="shared" si="211"/>
        <v>24032 BMA Bengladesh</v>
      </c>
      <c r="AN584" s="165" t="str">
        <f t="shared" si="212"/>
        <v>24032 BMA Bengladesh : Pressure vessels design defect</v>
      </c>
    </row>
    <row r="585" spans="1:40" ht="14.5" hidden="1" x14ac:dyDescent="0.35">
      <c r="A585" s="82"/>
      <c r="B585" s="96">
        <v>24033</v>
      </c>
      <c r="C585" s="81" t="s">
        <v>4</v>
      </c>
      <c r="D585" s="97">
        <v>45566</v>
      </c>
      <c r="E585" s="67" t="s">
        <v>2183</v>
      </c>
      <c r="F585" s="67" t="s">
        <v>420</v>
      </c>
      <c r="G585" s="68" t="s">
        <v>2184</v>
      </c>
      <c r="H585" s="68"/>
      <c r="I585" s="99" t="s">
        <v>2058</v>
      </c>
      <c r="J585" s="74"/>
      <c r="K585" s="67">
        <v>3204</v>
      </c>
      <c r="L585" s="67"/>
      <c r="M585" s="80"/>
      <c r="N585" s="68" t="s">
        <v>2185</v>
      </c>
      <c r="O585" s="68" t="s">
        <v>420</v>
      </c>
      <c r="P585" s="68" t="s">
        <v>80</v>
      </c>
      <c r="Q585" s="74" t="s">
        <v>1543</v>
      </c>
      <c r="R585" s="68" t="s">
        <v>15</v>
      </c>
      <c r="S585" s="68"/>
      <c r="T585" s="74"/>
      <c r="U585" s="74"/>
      <c r="V585" s="79" t="s">
        <v>6</v>
      </c>
      <c r="W585" s="67" t="s">
        <v>1647</v>
      </c>
      <c r="X585" s="81">
        <v>45573</v>
      </c>
      <c r="Y585" s="110">
        <f t="shared" si="207"/>
        <v>45658</v>
      </c>
      <c r="Z585" s="74"/>
      <c r="AA585" s="106" t="str">
        <f t="shared" ca="1" si="208"/>
        <v>NO</v>
      </c>
      <c r="AB585" s="81"/>
      <c r="AC585" s="74"/>
      <c r="AD585" s="74"/>
      <c r="AE585" s="74"/>
      <c r="AF585" s="62" t="str">
        <f t="shared" ca="1" si="209"/>
        <v>N/A</v>
      </c>
      <c r="AG585" s="104"/>
      <c r="AH585" s="104"/>
      <c r="AI585" s="107">
        <f t="shared" si="210"/>
        <v>0</v>
      </c>
      <c r="AJ585" s="105"/>
      <c r="AK585" s="74"/>
      <c r="AL585" s="74"/>
      <c r="AM585" s="108" t="str">
        <f t="shared" si="211"/>
        <v>24033 TEREOS</v>
      </c>
      <c r="AN585" s="108" t="str">
        <f t="shared" si="212"/>
        <v>24033 TEREOS : Left fingers pinched in stirred tank</v>
      </c>
    </row>
    <row r="586" spans="1:40" ht="14.5" hidden="1" x14ac:dyDescent="0.35">
      <c r="A586" s="82"/>
      <c r="B586" s="96">
        <v>24034</v>
      </c>
      <c r="C586" s="81" t="s">
        <v>2167</v>
      </c>
      <c r="D586" s="97">
        <v>45569</v>
      </c>
      <c r="E586" s="67" t="s">
        <v>2186</v>
      </c>
      <c r="F586" s="67" t="s">
        <v>658</v>
      </c>
      <c r="G586" s="68" t="s">
        <v>320</v>
      </c>
      <c r="H586" s="68" t="s">
        <v>1508</v>
      </c>
      <c r="I586" s="99" t="s">
        <v>2056</v>
      </c>
      <c r="J586" s="74"/>
      <c r="K586" s="67"/>
      <c r="L586" t="s">
        <v>2187</v>
      </c>
      <c r="M586" s="80"/>
      <c r="N586" s="68" t="s">
        <v>2196</v>
      </c>
      <c r="O586" s="68" t="s">
        <v>28</v>
      </c>
      <c r="P586" s="68" t="s">
        <v>103</v>
      </c>
      <c r="Q586" s="74" t="s">
        <v>176</v>
      </c>
      <c r="R586" s="68" t="s">
        <v>145</v>
      </c>
      <c r="S586" s="68"/>
      <c r="T586" s="252" t="s">
        <v>1508</v>
      </c>
      <c r="U586" s="74"/>
      <c r="V586" s="79" t="s">
        <v>10</v>
      </c>
      <c r="W586" s="67"/>
      <c r="X586" s="81"/>
      <c r="Y586" s="110">
        <f t="shared" si="207"/>
        <v>45661</v>
      </c>
      <c r="Z586" s="74"/>
      <c r="AA586" s="106" t="str">
        <f t="shared" ca="1" si="208"/>
        <v>NO</v>
      </c>
      <c r="AB586" s="81"/>
      <c r="AC586" s="74"/>
      <c r="AD586" s="74"/>
      <c r="AE586" s="74"/>
      <c r="AF586" s="62" t="str">
        <f t="shared" ca="1" si="209"/>
        <v>N/A</v>
      </c>
      <c r="AG586" s="104"/>
      <c r="AH586" s="104"/>
      <c r="AI586" s="107">
        <f t="shared" si="210"/>
        <v>0</v>
      </c>
      <c r="AJ586" s="105"/>
      <c r="AK586" s="74"/>
      <c r="AL586" s="74"/>
      <c r="AM586" s="108" t="str">
        <f t="shared" si="211"/>
        <v>24034 CJ US</v>
      </c>
      <c r="AN586" s="108" t="str">
        <f t="shared" si="212"/>
        <v xml:space="preserve">24034 CJ US : Resin delivered delayed </v>
      </c>
    </row>
    <row r="587" spans="1:40" ht="14.5" hidden="1" x14ac:dyDescent="0.35">
      <c r="A587" s="82"/>
      <c r="B587" s="96">
        <v>24035</v>
      </c>
      <c r="C587" s="81" t="s">
        <v>4</v>
      </c>
      <c r="D587" s="97">
        <v>45579</v>
      </c>
      <c r="E587" s="67" t="s">
        <v>864</v>
      </c>
      <c r="F587" s="67" t="s">
        <v>164</v>
      </c>
      <c r="G587" s="68" t="s">
        <v>2065</v>
      </c>
      <c r="H587" s="68"/>
      <c r="I587" s="99" t="s">
        <v>5</v>
      </c>
      <c r="J587" s="74"/>
      <c r="K587" s="67">
        <v>2066</v>
      </c>
      <c r="L587" s="67">
        <v>13829</v>
      </c>
      <c r="M587" s="80" t="s">
        <v>2067</v>
      </c>
      <c r="N587" s="68" t="s">
        <v>2190</v>
      </c>
      <c r="O587" s="68" t="s">
        <v>29</v>
      </c>
      <c r="P587" s="68" t="s">
        <v>86</v>
      </c>
      <c r="Q587" s="74"/>
      <c r="R587" s="68" t="s">
        <v>87</v>
      </c>
      <c r="S587" s="68"/>
      <c r="T587" s="74"/>
      <c r="U587" s="74"/>
      <c r="V587" s="79" t="s">
        <v>10</v>
      </c>
      <c r="W587" s="67"/>
      <c r="X587" s="81"/>
      <c r="Y587" s="110">
        <f t="shared" si="207"/>
        <v>45671</v>
      </c>
      <c r="Z587" s="74"/>
      <c r="AA587" s="106" t="str">
        <f t="shared" ca="1" si="208"/>
        <v>NO</v>
      </c>
      <c r="AB587" s="81">
        <v>45572</v>
      </c>
      <c r="AC587" s="109">
        <v>45576</v>
      </c>
      <c r="AD587" s="109">
        <v>45688</v>
      </c>
      <c r="AE587" s="74"/>
      <c r="AF587" s="62" t="str">
        <f t="shared" ca="1" si="209"/>
        <v>NO</v>
      </c>
      <c r="AG587" s="104"/>
      <c r="AH587" s="104"/>
      <c r="AI587" s="107">
        <f t="shared" si="210"/>
        <v>0</v>
      </c>
      <c r="AJ587" s="105"/>
      <c r="AK587" s="74"/>
      <c r="AL587" s="74"/>
      <c r="AM587" s="108" t="str">
        <f t="shared" si="211"/>
        <v>24035 Bénéo Chili</v>
      </c>
      <c r="AN587" s="108" t="str">
        <f t="shared" si="212"/>
        <v>24035 Bénéo Chili : Rust of flanges and structure</v>
      </c>
    </row>
    <row r="588" spans="1:40" ht="14.5" x14ac:dyDescent="0.35">
      <c r="A588" s="82"/>
      <c r="B588" s="96">
        <v>24036</v>
      </c>
      <c r="C588" s="81" t="s">
        <v>8</v>
      </c>
      <c r="D588" s="97">
        <v>45583</v>
      </c>
      <c r="E588" s="67" t="s">
        <v>2172</v>
      </c>
      <c r="F588" s="67" t="s">
        <v>658</v>
      </c>
      <c r="G588" s="68" t="s">
        <v>2191</v>
      </c>
      <c r="H588" s="256" t="s">
        <v>1416</v>
      </c>
      <c r="I588" s="99" t="s">
        <v>5</v>
      </c>
      <c r="J588" s="74"/>
      <c r="K588" s="67"/>
      <c r="L588" s="67">
        <v>10.702</v>
      </c>
      <c r="M588" s="80" t="s">
        <v>13</v>
      </c>
      <c r="N588" s="68" t="s">
        <v>2192</v>
      </c>
      <c r="O588" s="68" t="s">
        <v>28</v>
      </c>
      <c r="P588" s="68" t="s">
        <v>103</v>
      </c>
      <c r="Q588" s="74" t="s">
        <v>916</v>
      </c>
      <c r="R588" s="68" t="s">
        <v>145</v>
      </c>
      <c r="S588" s="68"/>
      <c r="T588" s="74"/>
      <c r="U588" s="74"/>
      <c r="V588" s="79" t="s">
        <v>6</v>
      </c>
      <c r="W588" s="67" t="s">
        <v>1745</v>
      </c>
      <c r="X588" s="81">
        <v>45594</v>
      </c>
      <c r="Y588" s="110">
        <f t="shared" si="207"/>
        <v>45675</v>
      </c>
      <c r="Z588" s="74"/>
      <c r="AA588" s="106" t="str">
        <f t="shared" ca="1" si="208"/>
        <v>NO</v>
      </c>
      <c r="AB588" s="81">
        <v>45551</v>
      </c>
      <c r="AC588" s="81">
        <v>45553</v>
      </c>
      <c r="AD588" s="109">
        <v>45688</v>
      </c>
      <c r="AE588" s="74"/>
      <c r="AF588" s="62" t="str">
        <f t="shared" ref="AF588:AF594" ca="1" si="213">IF(I588="Claim",IF(AD588="","",IF(AE588="",IF(TODAY()&gt;AD588,"NO","YES"),IF(AE588&gt;AD588,"NO",IF(AE588&lt;AD588,"YES",IF(AD588=AE588,"YES","N/A"))))),"N/A")</f>
        <v>NO</v>
      </c>
      <c r="AG588" s="104">
        <v>6389</v>
      </c>
      <c r="AH588" s="104">
        <v>156111</v>
      </c>
      <c r="AI588" s="107">
        <f t="shared" ref="AI588:AI594" si="214">AH588+AG588</f>
        <v>162500</v>
      </c>
      <c r="AJ588" s="105"/>
      <c r="AK588" s="74"/>
      <c r="AL588" s="74"/>
      <c r="AM588" s="108" t="str">
        <f t="shared" ref="AM588:AM594" si="215">CONCATENATE(B588," ",G588)</f>
        <v>24036 GXSF 2</v>
      </c>
      <c r="AN588" s="108" t="str">
        <f t="shared" ref="AN588:AN594" si="216">CONCATENATE(B588," ",G588," : ",N588)</f>
        <v xml:space="preserve">24036 GXSF 2 : High Pressure Drop in C120A upper cell </v>
      </c>
    </row>
    <row r="589" spans="1:40" ht="14.5" hidden="1" x14ac:dyDescent="0.35">
      <c r="A589" s="82"/>
      <c r="B589" s="96">
        <v>24037</v>
      </c>
      <c r="C589" s="81" t="s">
        <v>4</v>
      </c>
      <c r="D589" s="97">
        <v>45603</v>
      </c>
      <c r="E589" s="67" t="s">
        <v>195</v>
      </c>
      <c r="F589" s="67" t="s">
        <v>420</v>
      </c>
      <c r="G589" s="68" t="s">
        <v>2194</v>
      </c>
      <c r="H589" s="68"/>
      <c r="I589" s="99" t="s">
        <v>2057</v>
      </c>
      <c r="J589" s="74"/>
      <c r="K589" s="67">
        <v>3293</v>
      </c>
      <c r="L589" s="67"/>
      <c r="M589" s="80" t="s">
        <v>11</v>
      </c>
      <c r="N589" s="68" t="s">
        <v>2195</v>
      </c>
      <c r="O589" s="68" t="s">
        <v>420</v>
      </c>
      <c r="P589" s="68" t="s">
        <v>80</v>
      </c>
      <c r="Q589" s="74" t="s">
        <v>1543</v>
      </c>
      <c r="R589" s="68" t="s">
        <v>145</v>
      </c>
      <c r="S589" s="68"/>
      <c r="T589" s="74"/>
      <c r="U589" s="74"/>
      <c r="V589" s="79" t="s">
        <v>6</v>
      </c>
      <c r="W589" s="67" t="s">
        <v>1647</v>
      </c>
      <c r="X589" s="81">
        <v>45610</v>
      </c>
      <c r="Y589" s="110">
        <f t="shared" ref="Y589:Y594" si="217">EDATE(D589,3)</f>
        <v>45695</v>
      </c>
      <c r="Z589" s="74"/>
      <c r="AA589" s="106" t="str">
        <f t="shared" ref="AA589:AA594" ca="1" si="218">IF(Z589="",IF(TODAY()&gt;Y589,"NO","YES"),IF(Z589&gt;Y589,"NO",IF(Z589&lt;Y589,"YES",IF(Y589=Z589,"YES","N/A"))))</f>
        <v>NO</v>
      </c>
      <c r="AB589" s="81"/>
      <c r="AC589" s="74"/>
      <c r="AD589" s="74"/>
      <c r="AE589" s="74"/>
      <c r="AF589" s="62" t="str">
        <f t="shared" ca="1" si="213"/>
        <v>N/A</v>
      </c>
      <c r="AG589" s="104"/>
      <c r="AH589" s="104"/>
      <c r="AI589" s="107">
        <f t="shared" si="214"/>
        <v>0</v>
      </c>
      <c r="AJ589" s="105"/>
      <c r="AK589" s="74"/>
      <c r="AL589" s="74"/>
      <c r="AM589" s="108" t="str">
        <f t="shared" si="215"/>
        <v>24037 COSUN</v>
      </c>
      <c r="AN589" s="108" t="str">
        <f t="shared" si="216"/>
        <v>24037 COSUN : High pressure in SSMB pilot columns</v>
      </c>
    </row>
    <row r="590" spans="1:40" ht="14.5" x14ac:dyDescent="0.35">
      <c r="A590" s="82"/>
      <c r="B590" s="96">
        <v>24038</v>
      </c>
      <c r="C590" s="81" t="s">
        <v>8</v>
      </c>
      <c r="D590" s="97">
        <v>45614</v>
      </c>
      <c r="E590" s="67" t="s">
        <v>2172</v>
      </c>
      <c r="F590" s="67" t="s">
        <v>658</v>
      </c>
      <c r="G590" s="68" t="s">
        <v>2197</v>
      </c>
      <c r="H590" s="256" t="s">
        <v>1416</v>
      </c>
      <c r="I590" s="99" t="s">
        <v>5</v>
      </c>
      <c r="J590" s="74"/>
      <c r="K590" s="67"/>
      <c r="L590" s="67">
        <v>9801</v>
      </c>
      <c r="M590" s="80" t="s">
        <v>13</v>
      </c>
      <c r="N590" s="68" t="s">
        <v>2198</v>
      </c>
      <c r="O590" s="68" t="s">
        <v>28</v>
      </c>
      <c r="P590" s="68" t="s">
        <v>103</v>
      </c>
      <c r="Q590" s="74" t="s">
        <v>2208</v>
      </c>
      <c r="R590" s="68" t="s">
        <v>145</v>
      </c>
      <c r="S590" s="68"/>
      <c r="T590" s="74"/>
      <c r="U590" s="74"/>
      <c r="V590" s="79" t="s">
        <v>6</v>
      </c>
      <c r="W590" s="67" t="s">
        <v>1745</v>
      </c>
      <c r="X590" s="81">
        <v>45625</v>
      </c>
      <c r="Y590" s="110">
        <f t="shared" si="217"/>
        <v>45706</v>
      </c>
      <c r="Z590" s="74"/>
      <c r="AA590" s="106" t="str">
        <f t="shared" ca="1" si="218"/>
        <v>NO</v>
      </c>
      <c r="AB590" s="81">
        <v>45545</v>
      </c>
      <c r="AC590" s="109">
        <v>45603</v>
      </c>
      <c r="AD590" s="259"/>
      <c r="AE590" s="74"/>
      <c r="AF590" s="62" t="str">
        <f t="shared" ca="1" si="213"/>
        <v/>
      </c>
      <c r="AG590" s="104"/>
      <c r="AH590" s="104">
        <v>83333.33</v>
      </c>
      <c r="AI590" s="107">
        <f t="shared" si="214"/>
        <v>83333.33</v>
      </c>
      <c r="AJ590" s="105"/>
      <c r="AK590" s="74"/>
      <c r="AL590" s="74"/>
      <c r="AM590" s="108" t="str">
        <f t="shared" si="215"/>
        <v>24038 Yinmore</v>
      </c>
      <c r="AN590" s="108" t="str">
        <f t="shared" si="216"/>
        <v>24038 Yinmore : Large deviation in resin particle size distribution</v>
      </c>
    </row>
    <row r="591" spans="1:40" ht="14.5" x14ac:dyDescent="0.35">
      <c r="A591" s="82"/>
      <c r="B591" s="96">
        <v>24039</v>
      </c>
      <c r="C591" s="81" t="s">
        <v>8</v>
      </c>
      <c r="D591" s="97">
        <v>45615</v>
      </c>
      <c r="E591" s="67" t="s">
        <v>2146</v>
      </c>
      <c r="F591" s="67" t="s">
        <v>164</v>
      </c>
      <c r="G591" s="68" t="s">
        <v>2154</v>
      </c>
      <c r="H591" s="68" t="s">
        <v>433</v>
      </c>
      <c r="I591" s="99" t="s">
        <v>2056</v>
      </c>
      <c r="J591" s="74"/>
      <c r="K591" s="67">
        <v>3123</v>
      </c>
      <c r="L591" s="67">
        <v>18323</v>
      </c>
      <c r="M591" s="80" t="s">
        <v>11</v>
      </c>
      <c r="N591" s="68" t="s">
        <v>2199</v>
      </c>
      <c r="O591" s="68" t="s">
        <v>29</v>
      </c>
      <c r="P591" s="68" t="s">
        <v>86</v>
      </c>
      <c r="Q591" s="68" t="s">
        <v>1665</v>
      </c>
      <c r="R591" s="68" t="s">
        <v>87</v>
      </c>
      <c r="S591" s="68"/>
      <c r="T591" s="74"/>
      <c r="U591" s="74"/>
      <c r="V591" s="79" t="s">
        <v>6</v>
      </c>
      <c r="W591" s="67" t="s">
        <v>2146</v>
      </c>
      <c r="X591" s="81">
        <v>45624</v>
      </c>
      <c r="Y591" s="110">
        <f t="shared" si="217"/>
        <v>45707</v>
      </c>
      <c r="Z591" s="74"/>
      <c r="AA591" s="106" t="str">
        <f t="shared" ca="1" si="218"/>
        <v>NO</v>
      </c>
      <c r="AB591" s="81"/>
      <c r="AC591" s="74"/>
      <c r="AD591" s="74"/>
      <c r="AE591" s="74"/>
      <c r="AF591" s="62" t="str">
        <f t="shared" ca="1" si="213"/>
        <v>N/A</v>
      </c>
      <c r="AG591" s="104">
        <v>625</v>
      </c>
      <c r="AH591" s="104">
        <v>486</v>
      </c>
      <c r="AI591" s="107">
        <f t="shared" si="214"/>
        <v>1111</v>
      </c>
      <c r="AJ591" s="105"/>
      <c r="AK591" s="74"/>
      <c r="AL591" s="74"/>
      <c r="AM591" s="108" t="str">
        <f t="shared" si="215"/>
        <v>24039 Huaantang</v>
      </c>
      <c r="AN591" s="108" t="str">
        <f t="shared" si="216"/>
        <v>24039 Huaantang : Columns  Name plate &amp; Tag No. Installation Mistake</v>
      </c>
    </row>
    <row r="592" spans="1:40" ht="14.5" x14ac:dyDescent="0.35">
      <c r="A592" s="82"/>
      <c r="B592" s="96">
        <v>24040</v>
      </c>
      <c r="C592" s="81" t="s">
        <v>8</v>
      </c>
      <c r="D592" s="97">
        <v>45615</v>
      </c>
      <c r="E592" s="67" t="s">
        <v>2146</v>
      </c>
      <c r="F592" s="67" t="s">
        <v>164</v>
      </c>
      <c r="G592" s="68" t="s">
        <v>2154</v>
      </c>
      <c r="H592" s="68" t="s">
        <v>1920</v>
      </c>
      <c r="I592" s="99" t="s">
        <v>2056</v>
      </c>
      <c r="J592" s="74"/>
      <c r="K592" s="67">
        <v>3123</v>
      </c>
      <c r="L592" s="67">
        <v>18323</v>
      </c>
      <c r="M592" s="80" t="s">
        <v>11</v>
      </c>
      <c r="N592" s="68" t="s">
        <v>2200</v>
      </c>
      <c r="O592" s="68" t="s">
        <v>29</v>
      </c>
      <c r="P592" s="68" t="s">
        <v>86</v>
      </c>
      <c r="Q592" s="68" t="s">
        <v>1665</v>
      </c>
      <c r="R592" s="68" t="s">
        <v>87</v>
      </c>
      <c r="S592" s="68"/>
      <c r="T592" s="74"/>
      <c r="U592" s="74"/>
      <c r="V592" s="79" t="s">
        <v>6</v>
      </c>
      <c r="W592" s="67" t="s">
        <v>2146</v>
      </c>
      <c r="X592" s="81">
        <v>45624</v>
      </c>
      <c r="Y592" s="110">
        <f t="shared" si="217"/>
        <v>45707</v>
      </c>
      <c r="Z592" s="74"/>
      <c r="AA592" s="106" t="str">
        <f t="shared" ca="1" si="218"/>
        <v>NO</v>
      </c>
      <c r="AB592" s="81"/>
      <c r="AC592" s="74"/>
      <c r="AD592" s="74"/>
      <c r="AE592" s="74"/>
      <c r="AF592" s="62" t="str">
        <f t="shared" ca="1" si="213"/>
        <v>N/A</v>
      </c>
      <c r="AG592" s="104">
        <v>625</v>
      </c>
      <c r="AH592" s="104"/>
      <c r="AI592" s="107">
        <f t="shared" si="214"/>
        <v>625</v>
      </c>
      <c r="AJ592" s="105"/>
      <c r="AK592" s="74"/>
      <c r="AL592" s="74"/>
      <c r="AM592" s="108" t="str">
        <f t="shared" si="215"/>
        <v>24040 Huaantang</v>
      </c>
      <c r="AN592" s="108" t="str">
        <f t="shared" si="216"/>
        <v>24040 Huaantang : Column-B Resin Nozzle Orientation Mistake</v>
      </c>
    </row>
    <row r="593" spans="1:40" ht="14.5" x14ac:dyDescent="0.35">
      <c r="A593" s="82"/>
      <c r="B593" s="96">
        <v>24041</v>
      </c>
      <c r="C593" s="81" t="s">
        <v>8</v>
      </c>
      <c r="D593" s="97">
        <v>45616</v>
      </c>
      <c r="E593" s="67" t="s">
        <v>2086</v>
      </c>
      <c r="F593" s="67" t="s">
        <v>164</v>
      </c>
      <c r="G593" s="68" t="s">
        <v>2005</v>
      </c>
      <c r="H593" s="68" t="s">
        <v>937</v>
      </c>
      <c r="I593" s="99" t="s">
        <v>5</v>
      </c>
      <c r="J593" s="74"/>
      <c r="K593" s="67">
        <v>3165</v>
      </c>
      <c r="L593" s="67">
        <v>18466</v>
      </c>
      <c r="M593" s="80" t="s">
        <v>21</v>
      </c>
      <c r="N593" s="68" t="s">
        <v>2201</v>
      </c>
      <c r="O593" s="68" t="s">
        <v>29</v>
      </c>
      <c r="P593" s="68" t="s">
        <v>86</v>
      </c>
      <c r="Q593" s="74" t="s">
        <v>522</v>
      </c>
      <c r="R593" s="68" t="s">
        <v>9</v>
      </c>
      <c r="S593" s="68"/>
      <c r="T593" s="74"/>
      <c r="U593" s="74"/>
      <c r="V593" s="79" t="s">
        <v>6</v>
      </c>
      <c r="W593" s="67" t="s">
        <v>2206</v>
      </c>
      <c r="X593" s="81">
        <v>45623</v>
      </c>
      <c r="Y593" s="110">
        <f t="shared" si="217"/>
        <v>45708</v>
      </c>
      <c r="Z593" s="74"/>
      <c r="AA593" s="106" t="str">
        <f t="shared" ca="1" si="218"/>
        <v>NO</v>
      </c>
      <c r="AB593" s="81">
        <v>45554</v>
      </c>
      <c r="AC593" s="81">
        <v>45554</v>
      </c>
      <c r="AD593" s="259"/>
      <c r="AE593" s="74"/>
      <c r="AF593" s="62" t="str">
        <f t="shared" ca="1" si="213"/>
        <v/>
      </c>
      <c r="AG593" s="104">
        <v>2188</v>
      </c>
      <c r="AH593" s="104">
        <v>1388</v>
      </c>
      <c r="AI593" s="107">
        <f t="shared" si="214"/>
        <v>3576</v>
      </c>
      <c r="AJ593" s="105"/>
      <c r="AK593" s="74"/>
      <c r="AL593" s="74"/>
      <c r="AM593" s="108" t="str">
        <f t="shared" si="215"/>
        <v>24041 LIER</v>
      </c>
      <c r="AN593" s="108" t="str">
        <f t="shared" si="216"/>
        <v>24041 LIER : The carbon backwashing is not efficient</v>
      </c>
    </row>
    <row r="594" spans="1:40" ht="14.5" x14ac:dyDescent="0.35">
      <c r="A594" s="82"/>
      <c r="B594" s="96">
        <v>24042</v>
      </c>
      <c r="C594" s="81" t="s">
        <v>8</v>
      </c>
      <c r="D594" s="97">
        <v>45616</v>
      </c>
      <c r="E594" s="67" t="s">
        <v>2086</v>
      </c>
      <c r="F594" s="67" t="s">
        <v>164</v>
      </c>
      <c r="G594" s="68" t="s">
        <v>2005</v>
      </c>
      <c r="H594" s="68" t="s">
        <v>2202</v>
      </c>
      <c r="I594" s="99" t="s">
        <v>2057</v>
      </c>
      <c r="J594" s="74"/>
      <c r="K594" s="67">
        <v>3165</v>
      </c>
      <c r="L594" s="67">
        <v>18466</v>
      </c>
      <c r="M594" s="80" t="s">
        <v>21</v>
      </c>
      <c r="N594" s="68" t="s">
        <v>2203</v>
      </c>
      <c r="O594" s="68" t="s">
        <v>29</v>
      </c>
      <c r="P594" s="68" t="s">
        <v>86</v>
      </c>
      <c r="Q594" s="74" t="s">
        <v>522</v>
      </c>
      <c r="R594" s="68" t="s">
        <v>9</v>
      </c>
      <c r="S594" s="68"/>
      <c r="T594" s="74"/>
      <c r="U594" s="74"/>
      <c r="V594" s="79" t="s">
        <v>6</v>
      </c>
      <c r="W594" s="67" t="s">
        <v>2206</v>
      </c>
      <c r="X594" s="81">
        <v>45623</v>
      </c>
      <c r="Y594" s="110">
        <f t="shared" si="217"/>
        <v>45708</v>
      </c>
      <c r="Z594" s="74"/>
      <c r="AA594" s="106" t="str">
        <f t="shared" ca="1" si="218"/>
        <v>NO</v>
      </c>
      <c r="AB594" s="81"/>
      <c r="AC594" s="74"/>
      <c r="AD594" s="74"/>
      <c r="AE594" s="74"/>
      <c r="AF594" s="62" t="str">
        <f t="shared" ca="1" si="213"/>
        <v>N/A</v>
      </c>
      <c r="AG594" s="104">
        <v>1876</v>
      </c>
      <c r="AH594" s="104">
        <v>1416</v>
      </c>
      <c r="AI594" s="107">
        <f t="shared" si="214"/>
        <v>3292</v>
      </c>
      <c r="AJ594" s="105"/>
      <c r="AK594" s="74"/>
      <c r="AL594" s="74"/>
      <c r="AM594" s="108" t="str">
        <f t="shared" si="215"/>
        <v>24042 LIER</v>
      </c>
      <c r="AN594" s="108" t="str">
        <f t="shared" si="216"/>
        <v>24042 LIER : Mismatching of Nozzle A1 and A2 betweent column and front piping</v>
      </c>
    </row>
    <row r="595" spans="1:40" ht="14.5" x14ac:dyDescent="0.35">
      <c r="A595" s="82"/>
      <c r="B595" s="96">
        <v>24043</v>
      </c>
      <c r="C595" s="81" t="s">
        <v>8</v>
      </c>
      <c r="D595" s="97">
        <v>45621</v>
      </c>
      <c r="E595" s="67" t="s">
        <v>1745</v>
      </c>
      <c r="F595" s="67" t="s">
        <v>658</v>
      </c>
      <c r="G595" s="68" t="s">
        <v>2204</v>
      </c>
      <c r="H595" s="248" t="s">
        <v>570</v>
      </c>
      <c r="I595" s="99" t="s">
        <v>2057</v>
      </c>
      <c r="J595" s="74"/>
      <c r="K595" s="67"/>
      <c r="L595" s="67">
        <v>17093</v>
      </c>
      <c r="M595" s="260" t="s">
        <v>13</v>
      </c>
      <c r="N595" s="68" t="s">
        <v>2205</v>
      </c>
      <c r="O595" s="248" t="s">
        <v>28</v>
      </c>
      <c r="P595" s="68" t="s">
        <v>103</v>
      </c>
      <c r="Q595" s="74" t="s">
        <v>2207</v>
      </c>
      <c r="R595" s="68" t="s">
        <v>1890</v>
      </c>
      <c r="S595" s="248"/>
      <c r="T595" s="74"/>
      <c r="U595" s="105"/>
      <c r="V595" s="79" t="s">
        <v>6</v>
      </c>
      <c r="W595" s="261" t="s">
        <v>1745</v>
      </c>
      <c r="X595" s="81">
        <v>45625</v>
      </c>
      <c r="Y595" s="110">
        <f>EDATE(D595,3)</f>
        <v>45713</v>
      </c>
      <c r="Z595" s="74"/>
      <c r="AA595" s="106" t="str">
        <f ca="1">IF(Z595="",IF(TODAY()&gt;Y595,"NO","YES"),IF(Z595&gt;Y595,"NO",IF(Z595&lt;Y595,"YES",IF(Y595=Z595,"YES","N/A"))))</f>
        <v>NO</v>
      </c>
      <c r="AB595" s="81"/>
      <c r="AC595" s="74"/>
      <c r="AD595" s="105"/>
      <c r="AE595" s="105"/>
      <c r="AF595" s="62" t="str">
        <f ca="1">IF(I595="Claim",IF(AD595="","",IF(AE595="",IF(TODAY()&gt;AD595,"NO","YES"),IF(AE595&gt;AD595,"NO",IF(AE595&lt;AD595,"YES",IF(AD595=AE595,"YES","N/A"))))),"N/A")</f>
        <v>N/A</v>
      </c>
      <c r="AG595" s="104"/>
      <c r="AH595" s="104">
        <v>105944.44</v>
      </c>
      <c r="AI595" s="107">
        <f>AH595+AG595</f>
        <v>105944.44</v>
      </c>
      <c r="AJ595" s="105"/>
      <c r="AK595" s="74"/>
      <c r="AL595" s="105"/>
      <c r="AM595" s="108" t="str">
        <f>CONCATENATE(B595," ",G595)</f>
        <v>24043 SQ18</v>
      </c>
      <c r="AN595" s="258" t="str">
        <f>CONCATENATE(B595," ",G595," : ",N595)</f>
        <v>24043 SQ18 : SQ18 IRA458 Resin missing in SHA warehouse</v>
      </c>
    </row>
    <row r="596" spans="1:40" ht="14.5" x14ac:dyDescent="0.35">
      <c r="A596" s="82"/>
      <c r="B596" s="96">
        <v>24044</v>
      </c>
      <c r="C596" s="81" t="s">
        <v>8</v>
      </c>
      <c r="D596" s="97">
        <v>45628</v>
      </c>
      <c r="E596" s="67" t="s">
        <v>1854</v>
      </c>
      <c r="F596" s="67" t="s">
        <v>164</v>
      </c>
      <c r="G596" s="68" t="s">
        <v>2209</v>
      </c>
      <c r="H596" s="68" t="s">
        <v>2210</v>
      </c>
      <c r="I596" s="99" t="s">
        <v>5</v>
      </c>
      <c r="J596" s="74"/>
      <c r="K596" s="67">
        <v>2135</v>
      </c>
      <c r="L596" s="67">
        <v>18103</v>
      </c>
      <c r="M596" s="80" t="s">
        <v>21</v>
      </c>
      <c r="N596" s="68" t="s">
        <v>2214</v>
      </c>
      <c r="O596" s="68" t="s">
        <v>29</v>
      </c>
      <c r="P596" s="68" t="s">
        <v>86</v>
      </c>
      <c r="Q596" s="74" t="s">
        <v>2212</v>
      </c>
      <c r="R596" s="68" t="s">
        <v>2031</v>
      </c>
      <c r="S596" s="68"/>
      <c r="T596" s="74"/>
      <c r="U596" s="74"/>
      <c r="V596" s="79" t="s">
        <v>6</v>
      </c>
      <c r="W596" s="67"/>
      <c r="X596" s="81"/>
      <c r="Y596" s="110">
        <f>EDATE(D596,3)</f>
        <v>45718</v>
      </c>
      <c r="Z596" s="74"/>
      <c r="AA596" s="106" t="str">
        <f ca="1">IF(Z596="",IF(TODAY()&gt;Y596,"NO","YES"),IF(Z596&gt;Y596,"NO",IF(Z596&lt;Y596,"YES",IF(Y596=Z596,"YES","N/A"))))</f>
        <v>NO</v>
      </c>
      <c r="AB596" s="262"/>
      <c r="AC596" s="259"/>
      <c r="AD596" s="259"/>
      <c r="AE596" s="74"/>
      <c r="AF596" s="62" t="str">
        <f ca="1">IF(I596="Claim",IF(AD596="","",IF(AE596="",IF(TODAY()&gt;AD596,"NO","YES"),IF(AE596&gt;AD596,"NO",IF(AE596&lt;AD596,"YES",IF(AD596=AE596,"YES","N/A"))))),"N/A")</f>
        <v/>
      </c>
      <c r="AG596" s="104"/>
      <c r="AH596" s="104"/>
      <c r="AI596" s="107">
        <f>AH596+AG596</f>
        <v>0</v>
      </c>
      <c r="AJ596" s="105"/>
      <c r="AK596" s="74"/>
      <c r="AL596" s="74"/>
      <c r="AM596" s="108" t="str">
        <f>CONCATENATE(B596," ",G596)</f>
        <v>24044 PLIITH HUITONG</v>
      </c>
      <c r="AN596" s="108" t="str">
        <f>CONCATENATE(B596," ",G596," : ",N596)</f>
        <v>24044 PLIITH HUITONG : Huitong Claim on GAC revamping program delay</v>
      </c>
    </row>
    <row r="597" spans="1:40" ht="14.5" x14ac:dyDescent="0.35">
      <c r="A597" s="82"/>
      <c r="B597" s="96">
        <v>24045</v>
      </c>
      <c r="C597" s="81" t="s">
        <v>8</v>
      </c>
      <c r="D597" s="97">
        <v>45628</v>
      </c>
      <c r="E597" s="67" t="s">
        <v>2086</v>
      </c>
      <c r="F597" s="67" t="s">
        <v>164</v>
      </c>
      <c r="G597" s="68" t="s">
        <v>2211</v>
      </c>
      <c r="H597" s="68"/>
      <c r="I597" s="99" t="s">
        <v>2057</v>
      </c>
      <c r="J597" s="74"/>
      <c r="K597" s="67">
        <v>3075</v>
      </c>
      <c r="L597" s="67">
        <v>45.003700000000002</v>
      </c>
      <c r="M597" s="80" t="s">
        <v>11</v>
      </c>
      <c r="N597" s="68" t="s">
        <v>2213</v>
      </c>
      <c r="O597" s="68" t="s">
        <v>29</v>
      </c>
      <c r="P597" s="68" t="s">
        <v>86</v>
      </c>
      <c r="Q597" s="74" t="s">
        <v>2212</v>
      </c>
      <c r="R597" s="68" t="s">
        <v>2031</v>
      </c>
      <c r="S597" s="68"/>
      <c r="T597" s="74"/>
      <c r="U597" s="74"/>
      <c r="V597" s="79" t="s">
        <v>6</v>
      </c>
      <c r="W597" s="67"/>
      <c r="X597" s="81"/>
      <c r="Y597" s="110">
        <f>EDATE(D597,3)</f>
        <v>45718</v>
      </c>
      <c r="Z597" s="74"/>
      <c r="AA597" s="106" t="str">
        <f ca="1">IF(Z597="",IF(TODAY()&gt;Y597,"NO","YES"),IF(Z597&gt;Y597,"NO",IF(Z597&lt;Y597,"YES",IF(Y597=Z597,"YES","N/A"))))</f>
        <v>NO</v>
      </c>
      <c r="AB597" s="81"/>
      <c r="AC597" s="74"/>
      <c r="AD597" s="74"/>
      <c r="AE597" s="74"/>
      <c r="AF597" s="62" t="str">
        <f ca="1">IF(I597="Claim",IF(AD597="","",IF(AE597="",IF(TODAY()&gt;AD597,"NO","YES"),IF(AE597&gt;AD597,"NO",IF(AE597&lt;AD597,"YES",IF(AD597=AE597,"YES","N/A"))))),"N/A")</f>
        <v>N/A</v>
      </c>
      <c r="AG597" s="104"/>
      <c r="AH597" s="104"/>
      <c r="AI597" s="107">
        <f>AH597+AG597</f>
        <v>0</v>
      </c>
      <c r="AJ597" s="105"/>
      <c r="AK597" s="74"/>
      <c r="AL597" s="74"/>
      <c r="AM597" s="108" t="str">
        <f>CONCATENATE(B597," ",G597)</f>
        <v>24045 SQ nansha</v>
      </c>
      <c r="AN597" s="108" t="str">
        <f>CONCATENATE(B597," ",G597," : ",N597)</f>
        <v>24045 SQ nansha : SQ1 revamping program didn't complete on time</v>
      </c>
    </row>
    <row r="598" spans="1:40" ht="14.5" hidden="1" x14ac:dyDescent="0.35">
      <c r="A598" s="82"/>
      <c r="B598" s="96">
        <v>24046</v>
      </c>
      <c r="C598" s="81" t="s">
        <v>4</v>
      </c>
      <c r="D598" s="97">
        <v>45628</v>
      </c>
      <c r="E598" s="67" t="s">
        <v>2215</v>
      </c>
      <c r="F598" s="67" t="s">
        <v>420</v>
      </c>
      <c r="G598" s="68" t="s">
        <v>1939</v>
      </c>
      <c r="H598" s="68"/>
      <c r="I598" s="99" t="s">
        <v>2058</v>
      </c>
      <c r="J598" s="74"/>
      <c r="K598" s="67"/>
      <c r="L598" s="67"/>
      <c r="M598" s="80"/>
      <c r="N598" s="68" t="s">
        <v>2216</v>
      </c>
      <c r="O598" s="68" t="s">
        <v>420</v>
      </c>
      <c r="P598" s="68" t="s">
        <v>80</v>
      </c>
      <c r="Q598" s="74" t="s">
        <v>1316</v>
      </c>
      <c r="R598" s="68" t="s">
        <v>12</v>
      </c>
      <c r="S598" s="68"/>
      <c r="T598" s="74"/>
      <c r="U598" s="74"/>
      <c r="V598" s="79" t="s">
        <v>6</v>
      </c>
      <c r="W598" s="67"/>
      <c r="X598" s="81"/>
      <c r="Y598" s="110">
        <f>EDATE(D598,3)</f>
        <v>45718</v>
      </c>
      <c r="Z598" s="74"/>
      <c r="AA598" s="106" t="str">
        <f ca="1">IF(Z598="",IF(TODAY()&gt;Y598,"NO","YES"),IF(Z598&gt;Y598,"NO",IF(Z598&lt;Y598,"YES",IF(Y598=Z598,"YES","N/A"))))</f>
        <v>NO</v>
      </c>
      <c r="AB598" s="81"/>
      <c r="AC598" s="74"/>
      <c r="AD598" s="74"/>
      <c r="AE598" s="74"/>
      <c r="AF598" s="62" t="str">
        <f ca="1">IF(I598="Claim",IF(AD598="","",IF(AE598="",IF(TODAY()&gt;AD598,"NO","YES"),IF(AE598&gt;AD598,"NO",IF(AE598&lt;AD598,"YES",IF(AD598=AE598,"YES","N/A"))))),"N/A")</f>
        <v>N/A</v>
      </c>
      <c r="AG598" s="104"/>
      <c r="AH598" s="104"/>
      <c r="AI598" s="107">
        <f>AH598+AG598</f>
        <v>0</v>
      </c>
      <c r="AJ598" s="105"/>
      <c r="AK598" s="74"/>
      <c r="AL598" s="74"/>
      <c r="AM598" s="108" t="str">
        <f>CONCATENATE(B598," ",G598)</f>
        <v>24046 Interne</v>
      </c>
      <c r="AN598" s="108" t="str">
        <f>CONCATENATE(B598," ",G598," : ",N598)</f>
        <v>24046 Interne : Corrosion in the AKTA laboratory</v>
      </c>
    </row>
  </sheetData>
  <mergeCells count="3">
    <mergeCell ref="AG4:AI4"/>
    <mergeCell ref="AG3:AI3"/>
    <mergeCell ref="AB4:AF4"/>
  </mergeCells>
  <phoneticPr fontId="10" type="noConversion"/>
  <dataValidations xWindow="1123" yWindow="749" count="6">
    <dataValidation type="list" allowBlank="1" showInputMessage="1" showErrorMessage="1" sqref="C7:C598" xr:uid="{A5BDEC27-DC5C-4FA3-B639-B9BA2F1429D8}">
      <formula1>SITE</formula1>
    </dataValidation>
    <dataValidation type="list" allowBlank="1" showInputMessage="1" showErrorMessage="1" sqref="I7:I598" xr:uid="{DC93BB11-04A2-41D6-B6D6-1D317A9C338D}">
      <formula1>CAPTYPE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M7:M598" xr:uid="{EA13E823-5497-4F87-965B-620AB65A6C95}"/>
    <dataValidation type="list" allowBlank="1" showInputMessage="1" showErrorMessage="1" sqref="O7:O598" xr:uid="{51421793-55BF-43C6-AB9E-C9F2E8F96576}">
      <formula1>SCOPE</formula1>
    </dataValidation>
    <dataValidation type="list" allowBlank="1" showInputMessage="1" showErrorMessage="1" sqref="R7:R598" xr:uid="{72974801-BBAF-4323-9C1F-D83A52B5A728}">
      <formula1>MMMMM</formula1>
    </dataValidation>
    <dataValidation type="list" allowBlank="1" showInputMessage="1" showErrorMessage="1" sqref="V7:V598" xr:uid="{7C667C39-5776-4227-92B6-2725716D919C}">
      <formula1>"YES,NO"</formula1>
    </dataValidation>
  </dataValidations>
  <hyperlinks>
    <hyperlink ref="T171" r:id="rId1" xr:uid="{00000000-0004-0000-0100-000000000000}"/>
    <hyperlink ref="T192" r:id="rId2" xr:uid="{00000000-0004-0000-0100-000001000000}"/>
    <hyperlink ref="T194" r:id="rId3" xr:uid="{00000000-0004-0000-0100-000002000000}"/>
    <hyperlink ref="T181" r:id="rId4" xr:uid="{00000000-0004-0000-0100-000003000000}"/>
    <hyperlink ref="T184" r:id="rId5" xr:uid="{00000000-0004-0000-0100-000004000000}"/>
    <hyperlink ref="T178" r:id="rId6" xr:uid="{00000000-0004-0000-0100-000005000000}"/>
    <hyperlink ref="T160" r:id="rId7" xr:uid="{00000000-0004-0000-0100-000006000000}"/>
    <hyperlink ref="T172" r:id="rId8" xr:uid="{00000000-0004-0000-0100-000007000000}"/>
    <hyperlink ref="T199" r:id="rId9" xr:uid="{00000000-0004-0000-0100-000008000000}"/>
    <hyperlink ref="T188" r:id="rId10" xr:uid="{00000000-0004-0000-0100-000009000000}"/>
    <hyperlink ref="T221" r:id="rId11" xr:uid="{00000000-0004-0000-0100-00000A000000}"/>
    <hyperlink ref="T232" r:id="rId12" xr:uid="{00000000-0004-0000-0100-00000B000000}"/>
    <hyperlink ref="T234" r:id="rId13" xr:uid="{00000000-0004-0000-0100-00000C000000}"/>
    <hyperlink ref="T260" r:id="rId14" xr:uid="{00000000-0004-0000-0100-00000D000000}"/>
    <hyperlink ref="T275" r:id="rId15" xr:uid="{00000000-0004-0000-0100-00000E000000}"/>
    <hyperlink ref="T278" r:id="rId16" xr:uid="{00000000-0004-0000-0100-00000F000000}"/>
    <hyperlink ref="T276" r:id="rId17" xr:uid="{00000000-0004-0000-0100-000010000000}"/>
    <hyperlink ref="T283" r:id="rId18" xr:uid="{00000000-0004-0000-0100-000011000000}"/>
    <hyperlink ref="T315" r:id="rId19" xr:uid="{00000000-0004-0000-0100-000012000000}"/>
    <hyperlink ref="T279" r:id="rId20" xr:uid="{00000000-0004-0000-0100-000013000000}"/>
    <hyperlink ref="T295" r:id="rId21" xr:uid="{00000000-0004-0000-0100-000014000000}"/>
    <hyperlink ref="T332" r:id="rId22" xr:uid="{00000000-0004-0000-0100-000015000000}"/>
    <hyperlink ref="T325" r:id="rId23" xr:uid="{00000000-0004-0000-0100-000016000000}"/>
    <hyperlink ref="T306" r:id="rId24" xr:uid="{00000000-0004-0000-0100-000017000000}"/>
    <hyperlink ref="AC344" r:id="rId25" display="C:\Users\assso\AppData\Roaming\Microsoft\Excel\CAP_EMISES 2018\18027 M閞ial St-Priest\180813 mail AR PBO_ MERIAL - Non conformit?bulloscopie _ suite ?maintenance.pdf" xr:uid="{00000000-0004-0000-0100-000018000000}"/>
    <hyperlink ref="AC349" r:id="rId26" display="C:\Users\assso\AppData\Roaming\Microsoft\Excel\CAP_EMISES 2018\18032 Cargill Spain\Quality issue in ion exchanger 53CL1167B - Cargill Spain.pdf" xr:uid="{00000000-0004-0000-0100-000019000000}"/>
    <hyperlink ref="AC350" r:id="rId27" display="C:\Users\assso\AppData\Roaming\Microsoft\Excel\CAP_EMISES 2018\18033 Cargill Manchester Sight glass leak\180914 mail reponse client_RE_ Resin loss incident in Manchester IX system.pdf" xr:uid="{00000000-0004-0000-0100-00001A000000}"/>
    <hyperlink ref="T360" r:id="rId28" xr:uid="{00000000-0004-0000-0100-00001B000000}"/>
    <hyperlink ref="T385" r:id="rId29" xr:uid="{00000000-0004-0000-0100-00001C000000}"/>
    <hyperlink ref="AC394" r:id="rId30" display="CAP_EMISES 2019/19040 Rousselot/190917 AR_R閏lamation St%3fRousselot.pdf" xr:uid="{00000000-0004-0000-0100-00001D000000}"/>
    <hyperlink ref="T394" r:id="rId31" xr:uid="{00000000-0004-0000-0100-00001E000000}"/>
    <hyperlink ref="T378" r:id="rId32" xr:uid="{00000000-0004-0000-0100-00001F000000}"/>
    <hyperlink ref="AC396" r:id="rId33" display="CAP_EMISES 2019\19042 Beneo Orafti-retards livraisons r閟ines\191003 mail CPT AR_Retard livraison r閟ines.pdf" xr:uid="{00000000-0004-0000-0100-000020000000}"/>
    <hyperlink ref="T396" r:id="rId34" xr:uid="{00000000-0004-0000-0100-000021000000}"/>
    <hyperlink ref="AC400" r:id="rId35" display="CAP_EMISES 2019\19046 Ennolys\191120 mail AR CPT_R閏lamation 19C132 Ennolys.pdf" xr:uid="{00000000-0004-0000-0100-000022000000}"/>
    <hyperlink ref="AC402" r:id="rId36" display="CAP_EMISES 2019/19048 Puratos/191122 AR R閏lamation_D閘ai de mise %3fdisposition Modules Kerasep .pdf" xr:uid="{00000000-0004-0000-0100-000023000000}"/>
    <hyperlink ref="AC401" r:id="rId37" display="CAP_EMISES 2019/19047 CKD/191121 mail EWI %3fCKD_ Membrane shipment for CKD  Urgent .pdf" xr:uid="{00000000-0004-0000-0100-000024000000}"/>
    <hyperlink ref="A406" r:id="rId38" xr:uid="{00000000-0004-0000-0100-00002A000000}"/>
    <hyperlink ref="A403" r:id="rId39" xr:uid="{00000000-0004-0000-0100-00002B000000}"/>
    <hyperlink ref="A405" r:id="rId40" xr:uid="{00000000-0004-0000-0100-00002C000000}"/>
    <hyperlink ref="A404" r:id="rId41" xr:uid="{00000000-0004-0000-0100-00002D000000}"/>
    <hyperlink ref="A402" r:id="rId42" xr:uid="{00000000-0004-0000-0100-00002E000000}"/>
    <hyperlink ref="A407" r:id="rId43" xr:uid="{00000000-0004-0000-0100-00002F000000}"/>
    <hyperlink ref="A347" r:id="rId44" xr:uid="{00000000-0004-0000-0100-000030000000}"/>
    <hyperlink ref="AC406" r:id="rId45" display="CAP_EMISES 2019\19052 Galactic\191212 AR REC Galactic _ NC-2020-039 CF201302 NOVASEP.pdf" xr:uid="{00000000-0004-0000-0100-000031000000}"/>
    <hyperlink ref="A359" r:id="rId46" xr:uid="{00000000-0004-0000-0100-000032000000}"/>
    <hyperlink ref="A408" r:id="rId47" xr:uid="{00000000-0004-0000-0100-000033000000}"/>
    <hyperlink ref="A397" r:id="rId48" xr:uid="{00000000-0004-0000-0100-000034000000}"/>
    <hyperlink ref="A395" r:id="rId49" xr:uid="{00000000-0004-0000-0100-000035000000}"/>
    <hyperlink ref="A390" r:id="rId50" xr:uid="{00000000-0004-0000-0100-000036000000}"/>
    <hyperlink ref="T407" r:id="rId51" xr:uid="{00000000-0004-0000-0100-000037000000}"/>
    <hyperlink ref="T406" r:id="rId52" xr:uid="{00000000-0004-0000-0100-000038000000}"/>
    <hyperlink ref="A393" r:id="rId53" xr:uid="{00000000-0004-0000-0100-000039000000}"/>
    <hyperlink ref="A392" r:id="rId54" xr:uid="{00000000-0004-0000-0100-00003A000000}"/>
    <hyperlink ref="A357" r:id="rId55" xr:uid="{00000000-0004-0000-0100-00003B000000}"/>
    <hyperlink ref="A398" r:id="rId56" xr:uid="{00000000-0004-0000-0100-00003C000000}"/>
    <hyperlink ref="A400" r:id="rId57" xr:uid="{00000000-0004-0000-0100-00003D000000}"/>
    <hyperlink ref="A409" r:id="rId58" xr:uid="{00000000-0004-0000-0100-00003E000000}"/>
    <hyperlink ref="A401" r:id="rId59" xr:uid="{00000000-0004-0000-0100-00003F000000}"/>
    <hyperlink ref="A410" r:id="rId60" xr:uid="{00000000-0004-0000-0100-000040000000}"/>
    <hyperlink ref="AC410" r:id="rId61" display="CAP_EMISES 2020\20002 ADM US\20 01 31 Dissatisfaction Novasep intervention.pdf" xr:uid="{00000000-0004-0000-0100-000041000000}"/>
    <hyperlink ref="A360" r:id="rId62" xr:uid="{00000000-0004-0000-0100-000042000000}"/>
    <hyperlink ref="A385" r:id="rId63" xr:uid="{00000000-0004-0000-0100-000043000000}"/>
    <hyperlink ref="A388" r:id="rId64" xr:uid="{00000000-0004-0000-0100-000044000000}"/>
    <hyperlink ref="A411" r:id="rId65" xr:uid="{00000000-0004-0000-0100-000045000000}"/>
    <hyperlink ref="A412" r:id="rId66" xr:uid="{00000000-0004-0000-0100-000046000000}"/>
    <hyperlink ref="A413" r:id="rId67" xr:uid="{00000000-0004-0000-0100-000047000000}"/>
    <hyperlink ref="A414" r:id="rId68" xr:uid="{00000000-0004-0000-0100-000048000000}"/>
    <hyperlink ref="T413" r:id="rId69" xr:uid="{00000000-0004-0000-0100-000049000000}"/>
    <hyperlink ref="A415" r:id="rId70" xr:uid="{00000000-0004-0000-0100-00004A000000}"/>
    <hyperlink ref="T415" r:id="rId71" xr:uid="{00000000-0004-0000-0100-00004B000000}"/>
    <hyperlink ref="A416" r:id="rId72" xr:uid="{00000000-0004-0000-0100-00004C000000}"/>
    <hyperlink ref="AC413" r:id="rId73" display="CAP_EMISES 2020\20005 Tereos Nesle\RE_ Réclamation pour défaut membrane.pdf" xr:uid="{00000000-0004-0000-0100-00004D000000}"/>
    <hyperlink ref="A417" r:id="rId74" xr:uid="{00000000-0004-0000-0100-00004E000000}"/>
    <hyperlink ref="A418" r:id="rId75" xr:uid="{00000000-0004-0000-0100-00004F000000}"/>
    <hyperlink ref="A419" r:id="rId76" xr:uid="{00000000-0004-0000-0100-000050000000}"/>
    <hyperlink ref="A420" r:id="rId77" xr:uid="{00000000-0004-0000-0100-000051000000}"/>
    <hyperlink ref="A421" r:id="rId78" xr:uid="{00000000-0004-0000-0100-000052000000}"/>
    <hyperlink ref="A422" r:id="rId79" xr:uid="{00000000-0004-0000-0100-000053000000}"/>
    <hyperlink ref="A423" r:id="rId80" xr:uid="{00000000-0004-0000-0100-000054000000}"/>
    <hyperlink ref="A424" r:id="rId81" xr:uid="{00000000-0004-0000-0100-000055000000}"/>
    <hyperlink ref="A425" r:id="rId82" xr:uid="{00000000-0004-0000-0100-000056000000}"/>
    <hyperlink ref="AC425" r:id="rId83" display="CAP_EMISES 2020\20017 Prolactal\20 06 26 AR Réclamation Prolactal.pdf" xr:uid="{00000000-0004-0000-0100-000057000000}"/>
    <hyperlink ref="AC422" r:id="rId84" display="CAP_EMISES 2020\20014 CKD Module K01\200602 mail CPT AR Claim.pdf" xr:uid="{00000000-0004-0000-0100-000058000000}"/>
    <hyperlink ref="A426" r:id="rId85" xr:uid="{00000000-0004-0000-0100-000059000000}"/>
    <hyperlink ref="A427" r:id="rId86" xr:uid="{00000000-0004-0000-0100-00005A000000}"/>
    <hyperlink ref="A428" r:id="rId87" xr:uid="{00000000-0004-0000-0100-00005B000000}"/>
    <hyperlink ref="A429" r:id="rId88" xr:uid="{00000000-0004-0000-0100-00005C000000}"/>
    <hyperlink ref="A430" r:id="rId89" xr:uid="{00000000-0004-0000-0100-00005D000000}"/>
    <hyperlink ref="T422" r:id="rId90" xr:uid="{00000000-0004-0000-0100-00005E000000}"/>
    <hyperlink ref="A389" r:id="rId91" xr:uid="{00000000-0004-0000-0100-00005F000000}"/>
    <hyperlink ref="T389" r:id="rId92" xr:uid="{00000000-0004-0000-0100-000060000000}"/>
    <hyperlink ref="T388" r:id="rId93" xr:uid="{00000000-0004-0000-0100-000061000000}"/>
    <hyperlink ref="A431" r:id="rId94" xr:uid="{00000000-0004-0000-0100-000062000000}"/>
    <hyperlink ref="A432" r:id="rId95" xr:uid="{00000000-0004-0000-0100-000063000000}"/>
    <hyperlink ref="A433" r:id="rId96" xr:uid="{00000000-0004-0000-0100-000064000000}"/>
    <hyperlink ref="AC433" r:id="rId97" display="CAP_EMISES 2021\21003 GOI étiquetage résine\210118 mail AR Claim_ Supplier_Non-conformance_Novasep_wrong resin labels- 13012021-1.msg" xr:uid="{00000000-0004-0000-0100-000065000000}"/>
    <hyperlink ref="T433" r:id="rId98" xr:uid="{00000000-0004-0000-0100-000066000000}"/>
    <hyperlink ref="A434" r:id="rId99" xr:uid="{00000000-0004-0000-0100-000067000000}"/>
    <hyperlink ref="A436" r:id="rId100" xr:uid="{00000000-0004-0000-0100-000068000000}"/>
    <hyperlink ref="A437" r:id="rId101" xr:uid="{00000000-0004-0000-0100-000069000000}"/>
    <hyperlink ref="A438" r:id="rId102" xr:uid="{00000000-0004-0000-0100-00006A000000}"/>
    <hyperlink ref="A439" r:id="rId103" xr:uid="{00000000-0004-0000-0100-00006B000000}"/>
    <hyperlink ref="A440" r:id="rId104" xr:uid="{00000000-0004-0000-0100-00006C000000}"/>
    <hyperlink ref="T435" r:id="rId105" xr:uid="{00000000-0004-0000-0100-00006D000000}"/>
    <hyperlink ref="A441" r:id="rId106" xr:uid="{00000000-0004-0000-0100-00006E000000}"/>
    <hyperlink ref="A435" r:id="rId107" xr:uid="{00000000-0004-0000-0100-00006F000000}"/>
    <hyperlink ref="T434" r:id="rId108" xr:uid="{00000000-0004-0000-0100-000070000000}"/>
    <hyperlink ref="A442" r:id="rId109" xr:uid="{00000000-0004-0000-0100-000071000000}"/>
    <hyperlink ref="A443" r:id="rId110" xr:uid="{00000000-0004-0000-0100-000072000000}"/>
    <hyperlink ref="A444" r:id="rId111" xr:uid="{00000000-0004-0000-0100-000073000000}"/>
    <hyperlink ref="A445" r:id="rId112" xr:uid="{00000000-0004-0000-0100-000074000000}"/>
    <hyperlink ref="S443" r:id="rId113" xr:uid="{00000000-0004-0000-0100-000075000000}"/>
    <hyperlink ref="S441" r:id="rId114" xr:uid="{00000000-0004-0000-0100-000076000000}"/>
    <hyperlink ref="A447" r:id="rId115" xr:uid="{00000000-0004-0000-0100-000077000000}"/>
    <hyperlink ref="AC447" r:id="rId116" display="CAP_EMISES 2021\21017 Tereos Nesle- mbre NF\210604 AR REC_Réclamation membranes NF.msg" xr:uid="{00000000-0004-0000-0100-000078000000}"/>
    <hyperlink ref="T447" r:id="rId117" xr:uid="{00000000-0004-0000-0100-000079000000}"/>
    <hyperlink ref="AB447" r:id="rId118" display="CAP_EMISES 2021\21017 Tereos Nesle- mbre NF\210531 mail TEREOS Nesle Réclamation sur 2 membranes DURACON 50D.msg" xr:uid="{00000000-0004-0000-0100-00007A000000}"/>
    <hyperlink ref="A448" r:id="rId119" xr:uid="{00000000-0004-0000-0100-00007B000000}"/>
    <hyperlink ref="A449" r:id="rId120" xr:uid="{00000000-0004-0000-0100-00007C000000}"/>
    <hyperlink ref="A446" r:id="rId121" xr:uid="{00000000-0004-0000-0100-00007D000000}"/>
    <hyperlink ref="A450" r:id="rId122" xr:uid="{00000000-0004-0000-0100-00007E000000}"/>
    <hyperlink ref="AB450" r:id="rId123" display="CAP_EMISES 2021\21020 Cargill MicroBA\21 06 28 mail Client_RE MicroBA - Novasep - Info on delivery.msg" xr:uid="{00000000-0004-0000-0100-00007F000000}"/>
    <hyperlink ref="AC450" r:id="rId124" display="CAP_EMISES 2021\21020 Cargill MicroBA\21 06 29 mail ABN Client_ MicroBA - Novasep - Info on delivery.msg" xr:uid="{00000000-0004-0000-0100-000080000000}"/>
    <hyperlink ref="A451" r:id="rId125" xr:uid="{00000000-0004-0000-0100-000081000000}"/>
    <hyperlink ref="AB451" r:id="rId126" display="CAP_EMISES 2021\21021 Cargill Haubourdin\210821 mail client_10.15842 Cargill Haubourdin  Ouverture CAP.msg" xr:uid="{00000000-0004-0000-0100-000082000000}"/>
    <hyperlink ref="A452" r:id="rId127" xr:uid="{00000000-0004-0000-0100-000083000000}"/>
    <hyperlink ref="AC451" r:id="rId128" display="CAP_EMISES 2021\21021 Cargill Haubourdin\Cargill Haubourdin - fuite résine colonne cationique.msg" xr:uid="{00000000-0004-0000-0100-000084000000}"/>
    <hyperlink ref="T452" r:id="rId129" xr:uid="{00000000-0004-0000-0100-000085000000}"/>
    <hyperlink ref="A455" r:id="rId130" xr:uid="{00000000-0004-0000-0100-000086000000}"/>
    <hyperlink ref="AB454" r:id="rId131" display="CAP_EMISES 2021\21024 Fufneg Longjiang\Letter of notication-FF longjiang.docx" xr:uid="{00000000-0004-0000-0100-000087000000}"/>
    <hyperlink ref="A458" r:id="rId132" xr:uid="{00000000-0004-0000-0100-000088000000}"/>
    <hyperlink ref="A456" r:id="rId133" xr:uid="{00000000-0004-0000-0100-000089000000}"/>
    <hyperlink ref="A457" r:id="rId134" xr:uid="{00000000-0004-0000-0100-00008A000000}"/>
    <hyperlink ref="A459" r:id="rId135" xr:uid="{00000000-0004-0000-0100-00008B000000}"/>
    <hyperlink ref="A460" r:id="rId136" xr:uid="{00000000-0004-0000-0100-00008C000000}"/>
    <hyperlink ref="T460" r:id="rId137" xr:uid="{00000000-0004-0000-0100-00008D000000}"/>
    <hyperlink ref="AC462" r:id="rId138" display="CAP_EMISES 2021\21032 Rousselot - raccord entrée-sortie\211021 mail AR CDV_TR Colonnes résines .msg" xr:uid="{7CBCB538-FD01-4992-91AC-7442DAA6EB55}"/>
    <hyperlink ref="AB462" r:id="rId139" display="CAP_EMISES 2021\21032 Rousselot - raccord entrée-sortie\Colonnes résines .msg" xr:uid="{D08E147D-3FBB-40FF-AF03-C17A15124463}"/>
    <hyperlink ref="A461" r:id="rId140" xr:uid="{E394FE05-20B6-4E53-81F9-C2013F25E0F1}"/>
    <hyperlink ref="A462" r:id="rId141" xr:uid="{0932F7B3-D60F-41D1-87A8-C0BA9BBC2214}"/>
    <hyperlink ref="T461" r:id="rId142" xr:uid="{FB99F5F1-591C-431C-A150-5F7E86DC0AB3}"/>
    <hyperlink ref="T462" r:id="rId143" xr:uid="{48E6D3B7-91A8-4B0D-A14B-478568EA02A5}"/>
    <hyperlink ref="T454" r:id="rId144" xr:uid="{7FC0D803-13DD-474B-A049-0E32D9BA5020}"/>
    <hyperlink ref="A463" r:id="rId145" xr:uid="{9AC66943-53E3-4848-8E9C-6DBF80417A70}"/>
    <hyperlink ref="T463" r:id="rId146" xr:uid="{C91FB14F-EDC3-453E-8D99-058461C5EE37}"/>
    <hyperlink ref="A464" r:id="rId147" xr:uid="{E1B2EB2D-6CE2-42EB-A616-809254989222}"/>
    <hyperlink ref="A465" r:id="rId148" xr:uid="{4BBC1100-5361-471C-BB83-09796E67944E}"/>
    <hyperlink ref="A466" r:id="rId149" xr:uid="{6B8C6C2B-4EB6-43FF-80D6-D4C037907625}"/>
    <hyperlink ref="T465" r:id="rId150" xr:uid="{3EB7D2F1-981D-4EAE-93C3-5763E574CD35}"/>
    <hyperlink ref="A467" r:id="rId151" xr:uid="{5C2430CA-B9C9-4FD6-A0EB-E50D923AE463}"/>
    <hyperlink ref="T468" r:id="rId152" xr:uid="{9D6A6DB1-0EDD-4D58-B1F1-5CE4F8701394}"/>
    <hyperlink ref="A468" r:id="rId153" xr:uid="{4280FF7D-9BFA-4F80-AD8C-CC91CFA01C04}"/>
    <hyperlink ref="T466" r:id="rId154" xr:uid="{52A104B6-D4A6-4727-893F-C37CDDCA7D77}"/>
    <hyperlink ref="A454" r:id="rId155" xr:uid="{30701FC0-650C-4CB0-B7ED-52C5AF4A4064}"/>
    <hyperlink ref="A469" r:id="rId156" xr:uid="{8C05B590-6CF2-4D7A-AD69-3DB641523A1E}"/>
    <hyperlink ref="A470" r:id="rId157" xr:uid="{DC2C81A5-85DB-4AA7-BF5C-CC4A26F38439}"/>
    <hyperlink ref="A473" r:id="rId158" xr:uid="{7F10C0DD-EC3B-48D3-AAF8-C10B8C12ED48}"/>
    <hyperlink ref="AC473" r:id="rId159" display="CAP_EMISES 2022\22005 Ram Sucre- Composites Vec\RE Crépine à filtre - colonne de décoloration (Filter-nozzles).msg" xr:uid="{20A717D6-B7F9-4FA9-9AA1-2AEB6832C3EC}"/>
    <hyperlink ref="T473" r:id="rId160" xr:uid="{5101E092-1B4A-43D7-9F2F-64E7AA0AA7E9}"/>
    <hyperlink ref="T469" r:id="rId161" xr:uid="{4E52359F-BCB4-4AB4-ABB5-53A6F849F0C4}"/>
    <hyperlink ref="AC469" r:id="rId162" display="CAP_EMISES 2022\22001 Teréos - Suez\220114 mail AR MGL_RE Problème jeu de 2 membranes.msg" xr:uid="{1BB83A56-D93D-498D-A276-98A84389C0D3}"/>
    <hyperlink ref="A474" r:id="rId163" xr:uid="{47EF5C32-A845-4EE0-9F05-29F108238FFC}"/>
    <hyperlink ref="A475" r:id="rId164" xr:uid="{6677529A-9C29-4B5D-9EC9-6547BF2A79A4}"/>
    <hyperlink ref="T474" r:id="rId165" xr:uid="{7F31D32C-997E-4914-BB83-7A437D25EB26}"/>
    <hyperlink ref="A476" r:id="rId166" xr:uid="{F175B533-BA8B-4A48-9656-8CE5B00F2271}"/>
    <hyperlink ref="A478" r:id="rId167" xr:uid="{3597BCC1-74CD-443B-A9B9-60D9548E939E}"/>
    <hyperlink ref="A479" r:id="rId168" xr:uid="{2C8F4D45-184C-4FA7-BDFE-CF0B51D04FD0}"/>
    <hyperlink ref="A480" r:id="rId169" xr:uid="{2B7B7D88-EDBA-4C8F-9D5D-C5D01067AF19}"/>
    <hyperlink ref="A482" r:id="rId170" xr:uid="{0058B473-B559-430D-877C-2B9534535377}"/>
    <hyperlink ref="AC482" r:id="rId171" display="CAP_EMISES 2022\22014 Parry Sugar\220311 AR REC SSI_TR Confirmation on the nomination for Consignment Pick Up from France to Chennai on CIP Chennai Airport LYS220245467 15773514140.msg" xr:uid="{37251551-0CBB-4ABE-8419-4982BD62C0EE}"/>
    <hyperlink ref="A485" r:id="rId172" xr:uid="{3C8CBD75-B937-457D-A369-C06419C4BD2C}"/>
    <hyperlink ref="A486" r:id="rId173" xr:uid="{6F0AD60E-7E47-409F-9453-88B09A49386F}"/>
    <hyperlink ref="A487" r:id="rId174" xr:uid="{7AD4618D-ADCD-4D83-884F-594D485E6623}"/>
    <hyperlink ref="A488" r:id="rId175" xr:uid="{4EC9B005-3C04-4226-ABF5-AE15297E1AD0}"/>
    <hyperlink ref="A489" r:id="rId176" xr:uid="{693FBC56-BCC8-453C-B877-8379244B10A3}"/>
    <hyperlink ref="A490" r:id="rId177" xr:uid="{4DA9A9C5-7E99-451E-937C-D166553324D0}"/>
    <hyperlink ref="A471" r:id="rId178" xr:uid="{103D0391-41E2-455D-A2ED-2EFD1B1603D5}"/>
    <hyperlink ref="A472" r:id="rId179" xr:uid="{90804B69-4B48-4690-A485-D1268F8E256E}"/>
    <hyperlink ref="A477" r:id="rId180" xr:uid="{1742E7AD-BAB6-4E49-9CC4-A3AFE515C8A2}"/>
    <hyperlink ref="A481" r:id="rId181" xr:uid="{844DAE11-7911-4528-B4B5-481FD0C3A34B}"/>
    <hyperlink ref="A483" r:id="rId182" xr:uid="{91880E56-2652-4C93-B379-764DF714D684}"/>
    <hyperlink ref="A491" r:id="rId183" xr:uid="{AD06A0A8-3B5B-43CB-BFA4-43252ED8C0F2}"/>
    <hyperlink ref="A492" r:id="rId184" xr:uid="{90763B0E-BD81-467A-8E30-4B2E2157CB71}"/>
    <hyperlink ref="A493" r:id="rId185" xr:uid="{AF37A248-B890-445A-A083-1FBA0A6A5901}"/>
    <hyperlink ref="A494" r:id="rId186" xr:uid="{2DC8B771-925E-4AD7-9F2C-7B8C3F9A9737}"/>
    <hyperlink ref="A495" r:id="rId187" xr:uid="{9FF28056-918C-4908-BE7C-B8316F617D21}"/>
    <hyperlink ref="A484" r:id="rId188" xr:uid="{E8757127-6CCE-4FAB-AF03-8221C86C64A6}"/>
    <hyperlink ref="AC476" r:id="rId189" display="CAP_EMISES 2022\22008 Tessier-casse mbre à réception\RE MARCHANDISES CASSEES - LIVRAISON TESSIER - Membranes KERASEP .msg" xr:uid="{6E585D5D-E936-4DE6-A364-2EBB6E0E8CC7}"/>
    <hyperlink ref="A496" r:id="rId190" xr:uid="{B91756F1-AB53-43D3-8924-FAB72B48559D}"/>
    <hyperlink ref="A497" r:id="rId191" xr:uid="{818AD805-BA0E-4964-A094-0DC48E4F23AE}"/>
    <hyperlink ref="A498" r:id="rId192" xr:uid="{62F64118-A5AD-48E5-AC85-334DDA78105C}"/>
    <hyperlink ref="A499" r:id="rId193" xr:uid="{580DD641-3EED-48B8-AB45-55744796D750}"/>
    <hyperlink ref="T498" r:id="rId194" xr:uid="{E7FE1885-040D-4828-A36F-A0B24A2C7A78}"/>
    <hyperlink ref="A501" r:id="rId195" xr:uid="{2C7694BD-ED35-48BD-A963-BFA9E1FC253E}"/>
    <hyperlink ref="A502" r:id="rId196" xr:uid="{77FA73E1-F61B-481B-AC9E-E369A383268A}"/>
    <hyperlink ref="A503" r:id="rId197" xr:uid="{4C4D3C56-B8D5-4CC2-9678-0497B83801B3}"/>
    <hyperlink ref="A504" r:id="rId198" xr:uid="{E1C2145D-C349-4FAB-BEA2-805D76E11AC2}"/>
    <hyperlink ref="A505" r:id="rId199" xr:uid="{E8146FEA-F9EE-4D4A-B18F-D51E32209813}"/>
    <hyperlink ref="A506" r:id="rId200" xr:uid="{5DD79B07-D3CC-4843-B64E-C6E1B1522BB2}"/>
    <hyperlink ref="A507" r:id="rId201" xr:uid="{77BC8381-30C3-43B8-BFC4-6D5AC3F6B67B}"/>
    <hyperlink ref="A508" r:id="rId202" xr:uid="{41585C67-60DE-4245-8EB8-37AB5152E8A1}"/>
    <hyperlink ref="AB508" r:id="rId203" display="CAP_EMISES 2022\22040 Sanofi-Etiquette\220921 mail réponse SGU_PR590548.msg" xr:uid="{F62F173D-55EA-4530-A78F-C219836802F3}"/>
    <hyperlink ref="AC508" r:id="rId204" display="CAP_EMISES 2022\22040 Sanofi-Etiquette\220921 mail réponse SGU_PR590548.msg" xr:uid="{EC366358-B1F6-44F5-821E-2D9D337E9523}"/>
    <hyperlink ref="A509" r:id="rId205" xr:uid="{B6392331-4DEA-4130-A0A4-E06DFD75D199}"/>
    <hyperlink ref="T509" r:id="rId206" xr:uid="{C8F21133-D549-495A-8656-CD3CD9B70F43}"/>
    <hyperlink ref="T507" r:id="rId207" xr:uid="{DB7E353B-C4D0-459C-A242-8192A9A32B5C}"/>
    <hyperlink ref="T503" r:id="rId208" xr:uid="{E3BA2FCD-A533-43EE-ACD2-153C52E3E45A}"/>
    <hyperlink ref="T497" r:id="rId209" xr:uid="{767D8F9C-A2B9-4D8C-9681-92D9C0D0A9AE}"/>
    <hyperlink ref="A510" r:id="rId210" xr:uid="{EB8AD66D-DAB1-4CFD-BE5C-23CAA5A41457}"/>
    <hyperlink ref="A511" r:id="rId211" xr:uid="{A194377F-61FC-4CD0-B4C7-06E0F45F0913}"/>
    <hyperlink ref="A513" r:id="rId212" xr:uid="{4FE2C061-868A-407F-A39F-4AA82AF18416}"/>
    <hyperlink ref="T513" r:id="rId213" xr:uid="{779BF94F-A76E-4BBF-AA07-79A8CB48047C}"/>
    <hyperlink ref="A521" r:id="rId214" xr:uid="{C88F9C99-DA2C-4406-9969-4C627ED08FD9}"/>
    <hyperlink ref="A520" r:id="rId215" xr:uid="{5A3091F3-0EDD-4CAC-8EF8-F50F7AF05676}"/>
    <hyperlink ref="A522" r:id="rId216" xr:uid="{8A07D38A-6AF4-40C9-91A7-99EB4B763124}"/>
    <hyperlink ref="A523" r:id="rId217" xr:uid="{845085FD-7789-4D27-AB07-DC57E63F8BB3}"/>
    <hyperlink ref="A524" r:id="rId218" xr:uid="{27A680AF-46D2-4238-802E-0E7E4E1327CF}"/>
    <hyperlink ref="A526" r:id="rId219" xr:uid="{A7B7436F-1594-4765-8D06-A22B50A41C44}"/>
    <hyperlink ref="AC526" r:id="rId220" display="C:\Users\nscpt\OneDrive - Novasep Process Solutions\AQHSE\1-Qualite\1-FICHES_CAP\CAP_EMISES 2023\23007 DSM-Qualifiltre\230227 mail AR Réclamation DBA_Siebec Filter Bags - DSM stock code UV02911209.msg" xr:uid="{69508230-1011-4C00-8724-411E6EAE7B34}"/>
    <hyperlink ref="AC520" r:id="rId221" display="C:\Users\nscpt\OneDrive - Novasep Process Solutions\AQHSE\1-Qualite\1-FICHES_CAP\CAP_EMISES 2023\23001 Sanofi DNE membranes\230106 mail SGU_RE RF NOVASEP - PR590905 - Test DNE non conforme sur équipement UF minéral PRP V16.msg" xr:uid="{7CA51E15-788D-4E66-8FE1-76BBE4D04FE2}"/>
    <hyperlink ref="AC522" r:id="rId222" display="C:\Users\nscpt\OneDrive - Novasep Process Solutions\AQHSE\1-Qualite\1-FICHES_CAP\CAP_EMISES 2023\23003 Cargill BOZ- joints EPDM\230123 mail XRO_RE Cargill-BoZ-ISEP Gaskets side window looks already worn-out and easy failure of the side glass..msg" xr:uid="{DFADB69D-3C45-46FF-8FDA-F6BDC807CBD9}"/>
    <hyperlink ref="AC528" r:id="rId223" display="CAP_EMISES 2023/23009 Cévital- Bolloré erreur démarquage/2023.02.22 courrier Cévital.pdf" xr:uid="{01485CCA-464C-4310-AAFB-AF3287322189}"/>
    <hyperlink ref="A527" r:id="rId224" xr:uid="{091D63DC-2035-45EC-94F7-D1330658D56D}"/>
    <hyperlink ref="A528" r:id="rId225" xr:uid="{A3BFC547-A40C-49E5-8E0F-FD11D72565A6}"/>
    <hyperlink ref="T520" r:id="rId226" xr:uid="{804599D4-789D-49A0-9715-D42AA05E454D}"/>
    <hyperlink ref="A530" r:id="rId227" xr:uid="{26B05835-3C9E-4176-B7FF-5E41AF6D84B6}"/>
    <hyperlink ref="AB526" r:id="rId228" display="CAP_EMISES 2023/23007 DSM-Qualifiltre/230224 mail DSM_RE Siebec Filter Bags - DSM stock code UV02911209.msg" xr:uid="{30A0ECD0-7978-445A-86C3-F9F06B03C8B4}"/>
    <hyperlink ref="A531" r:id="rId229" xr:uid="{79BA6FF6-978F-416B-BDC6-A875AADA4162}"/>
    <hyperlink ref="A535" r:id="rId230" xr:uid="{EA22EF23-102E-4CD8-9E11-65BF078E8FF8}"/>
    <hyperlink ref="A536" r:id="rId231" xr:uid="{FBEB2006-DFE9-4A5A-99A7-4B25DCB9B588}"/>
    <hyperlink ref="A539" r:id="rId232" xr:uid="{067AFB49-19C8-4572-A52A-54F240385D5D}"/>
    <hyperlink ref="A540" r:id="rId233" xr:uid="{FBCFF952-86BB-4026-AAF7-D7C8E5B35D62}"/>
    <hyperlink ref="A541" r:id="rId234" xr:uid="{6DC65607-CE9F-4446-968D-8EDE29DF4FC7}"/>
    <hyperlink ref="A542" r:id="rId235" xr:uid="{305C14E8-2B05-461A-9109-CB134945C625}"/>
    <hyperlink ref="A543" r:id="rId236" xr:uid="{2B48FC77-9FBD-43A4-9B8A-9FAA9FBC3C06}"/>
    <hyperlink ref="A544" r:id="rId237" xr:uid="{CB2B8953-8539-457C-8DC2-4FEAED167F13}"/>
    <hyperlink ref="A545" r:id="rId238" xr:uid="{9D64B4D7-356F-4456-8C74-6F272F54A0F9}"/>
    <hyperlink ref="A546" r:id="rId239" xr:uid="{B9033149-E4F6-4486-BAF3-A54BE1C59E07}"/>
    <hyperlink ref="A547" r:id="rId240" xr:uid="{D1989C4B-2FE9-45A4-99F9-EE2321D05FAE}"/>
    <hyperlink ref="A548" r:id="rId241" xr:uid="{2D404A53-BFA2-4DBE-BF7F-BF5D27AA3F42}"/>
    <hyperlink ref="T547" r:id="rId242" xr:uid="{9C75231F-F4FD-4AAF-9485-1C3664AFFD29}"/>
    <hyperlink ref="T545" r:id="rId243" xr:uid="{13D484B5-FFA0-459F-83DE-FC505423E1DC}"/>
    <hyperlink ref="A552" r:id="rId244" xr:uid="{7F921967-99E4-4784-8E62-F48551571877}"/>
    <hyperlink ref="T548" r:id="rId245" xr:uid="{95F45D1A-F108-4573-AAB4-52EB9539014C}"/>
    <hyperlink ref="A553" r:id="rId246" xr:uid="{1BD75E92-F9C2-462E-9D23-699479641FB4}"/>
    <hyperlink ref="A559" r:id="rId247" xr:uid="{FA0A9BC9-53E7-485C-9F5B-2508A69106BF}"/>
    <hyperlink ref="T559" r:id="rId248" xr:uid="{1C3BE08B-4667-4D76-8665-F7605BA19F33}"/>
    <hyperlink ref="T577" r:id="rId249" xr:uid="{E87EAB64-BE0D-498B-B584-4A0AD9C6D8C1}"/>
    <hyperlink ref="T576" r:id="rId250" xr:uid="{AADDB46B-6057-483C-A005-39F40F839081}"/>
    <hyperlink ref="T581" r:id="rId251" xr:uid="{1B978E58-FB4A-4945-B6C5-923471EE76BC}"/>
    <hyperlink ref="T583" r:id="rId252" xr:uid="{7F3D8049-F437-46A6-8604-974854B5F05F}"/>
    <hyperlink ref="T586" r:id="rId253" xr:uid="{9CF55F68-46FD-4F1D-A440-E6EA99EE9ADA}"/>
  </hyperlinks>
  <pageMargins left="0.7" right="0.7" top="0.75" bottom="0.75" header="0.3" footer="0.3"/>
  <pageSetup paperSize="8" scale="97" fitToHeight="0" orientation="landscape" r:id="rId254"/>
  <legacyDrawing r:id="rId255"/>
  <tableParts count="1">
    <tablePart r:id="rId2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7"/>
  <dimension ref="A1:M11"/>
  <sheetViews>
    <sheetView workbookViewId="0">
      <selection activeCell="G16" sqref="G16"/>
    </sheetView>
  </sheetViews>
  <sheetFormatPr defaultColWidth="11.453125" defaultRowHeight="12.5" x14ac:dyDescent="0.25"/>
  <cols>
    <col min="1" max="1" width="11.453125" customWidth="1"/>
    <col min="2" max="2" width="2.453125" customWidth="1"/>
    <col min="3" max="3" width="18.54296875" bestFit="1" customWidth="1"/>
    <col min="4" max="4" width="2.453125" customWidth="1"/>
    <col min="5" max="5" width="11.453125" customWidth="1"/>
    <col min="6" max="6" width="2.453125" customWidth="1"/>
    <col min="7" max="7" width="22.453125" bestFit="1" customWidth="1"/>
    <col min="8" max="8" width="2.453125" customWidth="1"/>
    <col min="10" max="10" width="2.453125" customWidth="1"/>
    <col min="12" max="12" width="2.453125" customWidth="1"/>
  </cols>
  <sheetData>
    <row r="1" spans="1:13" x14ac:dyDescent="0.25">
      <c r="A1" s="1" t="s">
        <v>2020</v>
      </c>
      <c r="B1" s="1"/>
      <c r="C1" s="1" t="s">
        <v>2021</v>
      </c>
      <c r="D1" s="1"/>
      <c r="E1" s="1" t="s">
        <v>2022</v>
      </c>
      <c r="F1" s="1"/>
      <c r="G1" s="1" t="s">
        <v>2</v>
      </c>
      <c r="H1" s="1"/>
      <c r="I1" s="1" t="s">
        <v>2023</v>
      </c>
      <c r="J1" s="1"/>
      <c r="K1" s="1" t="s">
        <v>3</v>
      </c>
      <c r="M1" t="s">
        <v>2024</v>
      </c>
    </row>
    <row r="2" spans="1:13" x14ac:dyDescent="0.25">
      <c r="A2" t="s">
        <v>2025</v>
      </c>
      <c r="C2" t="s">
        <v>5</v>
      </c>
      <c r="E2" t="s">
        <v>7</v>
      </c>
      <c r="G2" t="s">
        <v>15</v>
      </c>
      <c r="I2" t="s">
        <v>29</v>
      </c>
      <c r="K2" t="s">
        <v>6</v>
      </c>
      <c r="M2" t="s">
        <v>2026</v>
      </c>
    </row>
    <row r="3" spans="1:13" x14ac:dyDescent="0.25">
      <c r="A3" t="s">
        <v>4</v>
      </c>
      <c r="C3" t="s">
        <v>2057</v>
      </c>
      <c r="E3" t="s">
        <v>11</v>
      </c>
      <c r="G3" t="s">
        <v>145</v>
      </c>
      <c r="I3" t="s">
        <v>28</v>
      </c>
      <c r="K3" t="s">
        <v>10</v>
      </c>
      <c r="M3" t="s">
        <v>2027</v>
      </c>
    </row>
    <row r="4" spans="1:13" x14ac:dyDescent="0.25">
      <c r="A4" t="s">
        <v>8</v>
      </c>
      <c r="C4" t="s">
        <v>2056</v>
      </c>
      <c r="E4" t="s">
        <v>13</v>
      </c>
      <c r="G4" t="s">
        <v>9</v>
      </c>
      <c r="I4" t="s">
        <v>420</v>
      </c>
      <c r="K4" t="s">
        <v>2028</v>
      </c>
      <c r="M4" s="2" t="s">
        <v>2029</v>
      </c>
    </row>
    <row r="5" spans="1:13" x14ac:dyDescent="0.25">
      <c r="A5" t="s">
        <v>2167</v>
      </c>
      <c r="C5" t="s">
        <v>17</v>
      </c>
      <c r="E5" t="s">
        <v>16</v>
      </c>
      <c r="G5" t="s">
        <v>12</v>
      </c>
      <c r="M5" t="s">
        <v>2030</v>
      </c>
    </row>
    <row r="6" spans="1:13" x14ac:dyDescent="0.25">
      <c r="C6" t="s">
        <v>2058</v>
      </c>
      <c r="E6" t="s">
        <v>672</v>
      </c>
      <c r="G6" t="s">
        <v>2031</v>
      </c>
      <c r="M6" t="s">
        <v>2032</v>
      </c>
    </row>
    <row r="7" spans="1:13" x14ac:dyDescent="0.25">
      <c r="C7" t="s">
        <v>14</v>
      </c>
      <c r="E7" t="s">
        <v>18</v>
      </c>
      <c r="G7" t="s">
        <v>87</v>
      </c>
      <c r="M7" t="s">
        <v>2033</v>
      </c>
    </row>
    <row r="8" spans="1:13" x14ac:dyDescent="0.25">
      <c r="E8" t="s">
        <v>19</v>
      </c>
      <c r="G8" t="s">
        <v>1890</v>
      </c>
      <c r="M8" t="s">
        <v>2034</v>
      </c>
    </row>
    <row r="9" spans="1:13" x14ac:dyDescent="0.25">
      <c r="E9" t="s">
        <v>20</v>
      </c>
      <c r="G9" t="s">
        <v>2035</v>
      </c>
      <c r="M9" t="s">
        <v>2036</v>
      </c>
    </row>
    <row r="10" spans="1:13" x14ac:dyDescent="0.25">
      <c r="E10" t="s">
        <v>21</v>
      </c>
    </row>
    <row r="11" spans="1:13" x14ac:dyDescent="0.25">
      <c r="E11" t="s">
        <v>700</v>
      </c>
    </row>
  </sheetData>
  <phoneticPr fontId="10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199B-9F5C-4366-93D9-00A1D845F88F}">
  <dimension ref="B2:R36"/>
  <sheetViews>
    <sheetView topLeftCell="A11" workbookViewId="0">
      <selection activeCell="G40" sqref="G40"/>
    </sheetView>
  </sheetViews>
  <sheetFormatPr defaultRowHeight="12.5" x14ac:dyDescent="0.25"/>
  <cols>
    <col min="8" max="8" width="12" customWidth="1"/>
    <col min="9" max="9" width="0" hidden="1" customWidth="1"/>
    <col min="11" max="11" width="0" hidden="1" customWidth="1"/>
    <col min="12" max="12" width="40.7265625" customWidth="1"/>
    <col min="13" max="13" width="0" hidden="1" customWidth="1"/>
    <col min="14" max="14" width="16.54296875" customWidth="1"/>
    <col min="15" max="15" width="14.36328125" customWidth="1"/>
  </cols>
  <sheetData>
    <row r="2" spans="2:18" ht="37.5" x14ac:dyDescent="0.25">
      <c r="B2" s="88" t="s">
        <v>31</v>
      </c>
      <c r="C2" s="90" t="s">
        <v>27</v>
      </c>
      <c r="D2" s="89" t="s">
        <v>32</v>
      </c>
      <c r="E2" s="89" t="s">
        <v>33</v>
      </c>
      <c r="F2" s="91" t="s">
        <v>34</v>
      </c>
      <c r="G2" s="91" t="s">
        <v>35</v>
      </c>
      <c r="H2" s="92" t="s">
        <v>26</v>
      </c>
      <c r="I2" s="93" t="s">
        <v>37</v>
      </c>
      <c r="J2" s="93" t="s">
        <v>22</v>
      </c>
      <c r="K2" s="93" t="s">
        <v>38</v>
      </c>
      <c r="L2" s="93" t="s">
        <v>39</v>
      </c>
      <c r="M2" s="84" t="s">
        <v>1</v>
      </c>
      <c r="N2" s="84" t="s">
        <v>41</v>
      </c>
      <c r="O2" s="84" t="s">
        <v>42</v>
      </c>
      <c r="P2" s="94" t="s">
        <v>56</v>
      </c>
      <c r="Q2" s="94" t="s">
        <v>57</v>
      </c>
      <c r="R2" s="94" t="s">
        <v>58</v>
      </c>
    </row>
    <row r="3" spans="2:18" ht="14.5" x14ac:dyDescent="0.35">
      <c r="B3" s="154">
        <v>22003</v>
      </c>
      <c r="C3" s="144">
        <v>44585</v>
      </c>
      <c r="D3" s="145" t="s">
        <v>1664</v>
      </c>
      <c r="E3" s="145" t="s">
        <v>164</v>
      </c>
      <c r="F3" s="146" t="s">
        <v>2109</v>
      </c>
      <c r="G3" s="146" t="s">
        <v>433</v>
      </c>
      <c r="H3" s="119" t="s">
        <v>2056</v>
      </c>
      <c r="I3" s="145">
        <v>2097</v>
      </c>
      <c r="J3" s="145">
        <v>16108</v>
      </c>
      <c r="K3" s="147" t="s">
        <v>11</v>
      </c>
      <c r="L3" s="146" t="s">
        <v>1812</v>
      </c>
      <c r="M3" s="146" t="s">
        <v>29</v>
      </c>
      <c r="N3" s="70" t="s">
        <v>916</v>
      </c>
      <c r="O3" s="146" t="s">
        <v>145</v>
      </c>
      <c r="P3" s="197">
        <v>1250</v>
      </c>
      <c r="Q3" s="197">
        <v>243</v>
      </c>
      <c r="R3" s="196">
        <v>1493</v>
      </c>
    </row>
    <row r="4" spans="2:18" ht="14.5" x14ac:dyDescent="0.35">
      <c r="B4" s="154">
        <v>22004</v>
      </c>
      <c r="C4" s="144">
        <v>44585</v>
      </c>
      <c r="D4" s="145" t="s">
        <v>1664</v>
      </c>
      <c r="E4" s="145" t="s">
        <v>164</v>
      </c>
      <c r="F4" s="146" t="s">
        <v>2111</v>
      </c>
      <c r="G4" s="111" t="s">
        <v>1796</v>
      </c>
      <c r="H4" s="119" t="s">
        <v>2056</v>
      </c>
      <c r="I4" s="145">
        <v>2092</v>
      </c>
      <c r="J4" s="145" t="s">
        <v>1814</v>
      </c>
      <c r="K4" s="147" t="s">
        <v>859</v>
      </c>
      <c r="L4" s="146" t="s">
        <v>1815</v>
      </c>
      <c r="M4" s="146" t="s">
        <v>29</v>
      </c>
      <c r="N4" s="232" t="s">
        <v>1629</v>
      </c>
      <c r="O4" s="146" t="s">
        <v>145</v>
      </c>
      <c r="P4" s="197">
        <v>1250</v>
      </c>
      <c r="Q4" s="197">
        <v>243</v>
      </c>
      <c r="R4" s="196">
        <v>1493</v>
      </c>
    </row>
    <row r="5" spans="2:18" ht="14.5" x14ac:dyDescent="0.35">
      <c r="B5" s="154">
        <v>22013</v>
      </c>
      <c r="C5" s="117">
        <v>44627</v>
      </c>
      <c r="D5" s="118" t="s">
        <v>1854</v>
      </c>
      <c r="E5" s="118" t="s">
        <v>164</v>
      </c>
      <c r="F5" s="111" t="s">
        <v>1855</v>
      </c>
      <c r="G5" s="111" t="s">
        <v>433</v>
      </c>
      <c r="H5" s="119" t="s">
        <v>5</v>
      </c>
      <c r="I5" s="118"/>
      <c r="J5" s="118">
        <v>14619</v>
      </c>
      <c r="K5" s="147" t="s">
        <v>13</v>
      </c>
      <c r="L5" s="111" t="s">
        <v>1856</v>
      </c>
      <c r="M5" s="111" t="s">
        <v>29</v>
      </c>
      <c r="N5" s="70" t="s">
        <v>916</v>
      </c>
      <c r="O5" s="111" t="s">
        <v>145</v>
      </c>
      <c r="P5" s="194">
        <v>5125</v>
      </c>
      <c r="Q5" s="194">
        <v>32166</v>
      </c>
      <c r="R5" s="196">
        <v>37291</v>
      </c>
    </row>
    <row r="6" spans="2:18" ht="14.5" x14ac:dyDescent="0.35">
      <c r="B6" s="154">
        <v>22015</v>
      </c>
      <c r="C6" s="117">
        <v>44651</v>
      </c>
      <c r="D6" s="118" t="s">
        <v>1664</v>
      </c>
      <c r="E6" s="118" t="s">
        <v>164</v>
      </c>
      <c r="F6" s="111" t="s">
        <v>1822</v>
      </c>
      <c r="G6" s="111" t="s">
        <v>1861</v>
      </c>
      <c r="H6" s="119" t="s">
        <v>2056</v>
      </c>
      <c r="I6" s="118">
        <v>2113</v>
      </c>
      <c r="J6" s="118">
        <v>16809</v>
      </c>
      <c r="K6" s="147"/>
      <c r="L6" s="111" t="s">
        <v>1862</v>
      </c>
      <c r="M6" s="111" t="s">
        <v>29</v>
      </c>
      <c r="N6" s="70" t="s">
        <v>1629</v>
      </c>
      <c r="O6" s="111" t="s">
        <v>145</v>
      </c>
      <c r="P6" s="194">
        <v>500</v>
      </c>
      <c r="Q6" s="194">
        <v>0</v>
      </c>
      <c r="R6" s="196">
        <v>500</v>
      </c>
    </row>
    <row r="7" spans="2:18" ht="31" customHeight="1" x14ac:dyDescent="0.35">
      <c r="B7" s="207">
        <v>22024</v>
      </c>
      <c r="C7" s="209">
        <v>44711</v>
      </c>
      <c r="D7" s="210" t="s">
        <v>1664</v>
      </c>
      <c r="E7" s="210" t="s">
        <v>164</v>
      </c>
      <c r="F7" s="211" t="s">
        <v>1811</v>
      </c>
      <c r="G7" s="211" t="s">
        <v>1796</v>
      </c>
      <c r="H7" s="212" t="s">
        <v>17</v>
      </c>
      <c r="I7" s="210">
        <v>2092</v>
      </c>
      <c r="J7" s="210">
        <v>15490</v>
      </c>
      <c r="K7" s="213" t="s">
        <v>11</v>
      </c>
      <c r="L7" s="214" t="s">
        <v>1893</v>
      </c>
      <c r="M7" s="211" t="s">
        <v>29</v>
      </c>
      <c r="N7" s="73" t="s">
        <v>1036</v>
      </c>
      <c r="O7" s="211" t="s">
        <v>9</v>
      </c>
      <c r="P7" s="218">
        <v>1000</v>
      </c>
      <c r="Q7" s="218">
        <v>1667</v>
      </c>
      <c r="R7" s="196">
        <v>2667</v>
      </c>
    </row>
    <row r="8" spans="2:18" ht="14.5" x14ac:dyDescent="0.35">
      <c r="B8" s="154">
        <v>22025</v>
      </c>
      <c r="C8" s="117">
        <v>44711</v>
      </c>
      <c r="D8" s="118" t="s">
        <v>1896</v>
      </c>
      <c r="E8" s="118" t="s">
        <v>164</v>
      </c>
      <c r="F8" s="111" t="s">
        <v>1807</v>
      </c>
      <c r="G8" s="111" t="s">
        <v>1897</v>
      </c>
      <c r="H8" s="119" t="s">
        <v>14</v>
      </c>
      <c r="I8" s="145">
        <v>2082</v>
      </c>
      <c r="J8" s="118">
        <v>14552</v>
      </c>
      <c r="K8" s="147" t="s">
        <v>1898</v>
      </c>
      <c r="L8" s="111" t="s">
        <v>1899</v>
      </c>
      <c r="M8" s="111" t="s">
        <v>29</v>
      </c>
      <c r="N8" s="70" t="s">
        <v>916</v>
      </c>
      <c r="O8" s="111" t="s">
        <v>145</v>
      </c>
      <c r="P8" s="218">
        <v>1500</v>
      </c>
      <c r="Q8" s="218">
        <v>1103</v>
      </c>
      <c r="R8" s="196">
        <v>2603</v>
      </c>
    </row>
    <row r="9" spans="2:18" ht="14.5" x14ac:dyDescent="0.35">
      <c r="B9" s="207">
        <v>22032</v>
      </c>
      <c r="C9" s="209">
        <v>44796</v>
      </c>
      <c r="D9" s="210" t="s">
        <v>1664</v>
      </c>
      <c r="E9" s="210" t="s">
        <v>164</v>
      </c>
      <c r="F9" s="211" t="s">
        <v>1919</v>
      </c>
      <c r="G9" s="211" t="s">
        <v>1920</v>
      </c>
      <c r="H9" s="212" t="s">
        <v>2057</v>
      </c>
      <c r="I9" s="210">
        <v>2131</v>
      </c>
      <c r="J9" s="210">
        <v>18072</v>
      </c>
      <c r="K9" s="213" t="s">
        <v>11</v>
      </c>
      <c r="L9" s="211" t="s">
        <v>1921</v>
      </c>
      <c r="M9" s="211" t="s">
        <v>29</v>
      </c>
      <c r="N9" s="73" t="s">
        <v>1629</v>
      </c>
      <c r="O9" s="211" t="s">
        <v>9</v>
      </c>
      <c r="P9" s="218">
        <v>1000</v>
      </c>
      <c r="Q9" s="218"/>
      <c r="R9" s="222">
        <v>1000</v>
      </c>
    </row>
    <row r="10" spans="2:18" ht="14.5" x14ac:dyDescent="0.35">
      <c r="B10" s="154">
        <v>22044</v>
      </c>
      <c r="C10" s="117">
        <v>44858</v>
      </c>
      <c r="D10" s="118" t="s">
        <v>1854</v>
      </c>
      <c r="E10" s="118" t="s">
        <v>164</v>
      </c>
      <c r="F10" s="111" t="s">
        <v>1919</v>
      </c>
      <c r="G10" s="111" t="s">
        <v>1920</v>
      </c>
      <c r="H10" s="119" t="s">
        <v>14</v>
      </c>
      <c r="I10" s="210">
        <v>2131</v>
      </c>
      <c r="J10" s="118">
        <v>18072</v>
      </c>
      <c r="K10" s="147" t="s">
        <v>13</v>
      </c>
      <c r="L10" s="111" t="s">
        <v>1958</v>
      </c>
      <c r="M10" s="111" t="s">
        <v>29</v>
      </c>
      <c r="N10" s="70" t="s">
        <v>1629</v>
      </c>
      <c r="O10" s="111" t="s">
        <v>9</v>
      </c>
      <c r="P10" s="194">
        <v>500</v>
      </c>
      <c r="Q10" s="194"/>
      <c r="R10" s="196">
        <v>500</v>
      </c>
    </row>
    <row r="11" spans="2:18" ht="14.5" x14ac:dyDescent="0.35">
      <c r="B11" s="154">
        <v>22046</v>
      </c>
      <c r="C11" s="117">
        <v>44862</v>
      </c>
      <c r="D11" s="118" t="s">
        <v>1664</v>
      </c>
      <c r="E11" s="118" t="s">
        <v>164</v>
      </c>
      <c r="F11" s="111" t="s">
        <v>1919</v>
      </c>
      <c r="G11" s="111" t="s">
        <v>1920</v>
      </c>
      <c r="H11" s="119" t="s">
        <v>5</v>
      </c>
      <c r="I11" s="210">
        <v>2131</v>
      </c>
      <c r="J11" s="118">
        <v>18072</v>
      </c>
      <c r="K11" s="147" t="s">
        <v>13</v>
      </c>
      <c r="L11" s="111" t="s">
        <v>1963</v>
      </c>
      <c r="M11" s="111" t="s">
        <v>29</v>
      </c>
      <c r="N11" s="70" t="s">
        <v>1629</v>
      </c>
      <c r="O11" s="111" t="s">
        <v>145</v>
      </c>
      <c r="P11" s="194">
        <v>2500</v>
      </c>
      <c r="Q11" s="194">
        <v>0</v>
      </c>
      <c r="R11" s="196">
        <v>2500</v>
      </c>
    </row>
    <row r="12" spans="2:18" ht="14.5" x14ac:dyDescent="0.35">
      <c r="B12" s="154">
        <v>22047</v>
      </c>
      <c r="C12" s="117">
        <v>44862</v>
      </c>
      <c r="D12" s="118" t="s">
        <v>1896</v>
      </c>
      <c r="E12" s="118" t="s">
        <v>164</v>
      </c>
      <c r="F12" s="111" t="s">
        <v>1807</v>
      </c>
      <c r="G12" s="111" t="s">
        <v>1668</v>
      </c>
      <c r="H12" s="119" t="s">
        <v>5</v>
      </c>
      <c r="I12" s="145">
        <v>2082</v>
      </c>
      <c r="J12" s="118">
        <v>14552</v>
      </c>
      <c r="K12" s="147" t="s">
        <v>13</v>
      </c>
      <c r="L12" s="111" t="s">
        <v>1964</v>
      </c>
      <c r="M12" s="111" t="s">
        <v>29</v>
      </c>
      <c r="N12" s="70" t="s">
        <v>1629</v>
      </c>
      <c r="O12" s="111" t="s">
        <v>145</v>
      </c>
      <c r="P12" s="194">
        <v>500</v>
      </c>
      <c r="Q12" s="194"/>
      <c r="R12" s="196">
        <v>500</v>
      </c>
    </row>
    <row r="13" spans="2:18" ht="14.5" x14ac:dyDescent="0.35">
      <c r="B13" s="154">
        <v>22048</v>
      </c>
      <c r="C13" s="117">
        <v>44886</v>
      </c>
      <c r="D13" s="118" t="s">
        <v>1965</v>
      </c>
      <c r="E13" s="118" t="s">
        <v>164</v>
      </c>
      <c r="F13" s="111" t="s">
        <v>1966</v>
      </c>
      <c r="G13" s="111" t="s">
        <v>147</v>
      </c>
      <c r="H13" s="119" t="s">
        <v>14</v>
      </c>
      <c r="I13" s="118"/>
      <c r="J13" s="118">
        <v>11608</v>
      </c>
      <c r="K13" s="147" t="s">
        <v>13</v>
      </c>
      <c r="L13" s="111" t="s">
        <v>1967</v>
      </c>
      <c r="M13" s="111" t="s">
        <v>29</v>
      </c>
      <c r="N13" s="70" t="s">
        <v>1629</v>
      </c>
      <c r="O13" s="111" t="s">
        <v>9</v>
      </c>
      <c r="P13" s="194">
        <v>0</v>
      </c>
      <c r="Q13" s="194">
        <v>0</v>
      </c>
      <c r="R13" s="196">
        <v>0</v>
      </c>
    </row>
    <row r="14" spans="2:18" ht="14.5" x14ac:dyDescent="0.35">
      <c r="B14" s="154">
        <v>22049</v>
      </c>
      <c r="C14" s="117">
        <v>44886</v>
      </c>
      <c r="D14" s="118" t="s">
        <v>1965</v>
      </c>
      <c r="E14" s="118" t="s">
        <v>164</v>
      </c>
      <c r="F14" s="111" t="s">
        <v>1966</v>
      </c>
      <c r="G14" s="111" t="s">
        <v>1920</v>
      </c>
      <c r="H14" s="119" t="s">
        <v>14</v>
      </c>
      <c r="I14" s="118"/>
      <c r="J14" s="118">
        <v>11608</v>
      </c>
      <c r="K14" s="147" t="s">
        <v>13</v>
      </c>
      <c r="L14" s="111" t="s">
        <v>1968</v>
      </c>
      <c r="M14" s="111" t="s">
        <v>29</v>
      </c>
      <c r="N14" s="70" t="s">
        <v>1629</v>
      </c>
      <c r="O14" s="111" t="s">
        <v>9</v>
      </c>
      <c r="P14" s="194">
        <v>0</v>
      </c>
      <c r="Q14" s="194">
        <v>0</v>
      </c>
      <c r="R14" s="196">
        <v>0</v>
      </c>
    </row>
    <row r="15" spans="2:18" ht="14.5" x14ac:dyDescent="0.35">
      <c r="B15" s="154">
        <v>22050</v>
      </c>
      <c r="C15" s="117">
        <v>44893</v>
      </c>
      <c r="D15" s="118" t="s">
        <v>1965</v>
      </c>
      <c r="E15" s="118" t="s">
        <v>164</v>
      </c>
      <c r="F15" s="111" t="s">
        <v>1969</v>
      </c>
      <c r="G15" s="111" t="s">
        <v>433</v>
      </c>
      <c r="H15" s="119" t="s">
        <v>14</v>
      </c>
      <c r="I15" s="118"/>
      <c r="J15" s="118">
        <v>16753</v>
      </c>
      <c r="K15" s="147" t="s">
        <v>13</v>
      </c>
      <c r="L15" s="111" t="s">
        <v>1970</v>
      </c>
      <c r="M15" s="111" t="s">
        <v>29</v>
      </c>
      <c r="N15" s="70" t="s">
        <v>1629</v>
      </c>
      <c r="O15" s="111" t="s">
        <v>87</v>
      </c>
      <c r="P15" s="194">
        <v>2500</v>
      </c>
      <c r="Q15" s="194"/>
      <c r="R15" s="196">
        <v>2500</v>
      </c>
    </row>
    <row r="16" spans="2:18" ht="15" x14ac:dyDescent="0.4">
      <c r="B16" s="154">
        <v>22051</v>
      </c>
      <c r="C16" s="117">
        <v>44900</v>
      </c>
      <c r="D16" s="118" t="s">
        <v>1965</v>
      </c>
      <c r="E16" s="118" t="s">
        <v>164</v>
      </c>
      <c r="F16" s="111" t="s">
        <v>1969</v>
      </c>
      <c r="G16" s="226" t="s">
        <v>1971</v>
      </c>
      <c r="H16" s="119" t="s">
        <v>14</v>
      </c>
      <c r="I16" s="118"/>
      <c r="J16" s="118">
        <v>16753</v>
      </c>
      <c r="K16" s="147" t="s">
        <v>13</v>
      </c>
      <c r="L16" s="111" t="s">
        <v>1972</v>
      </c>
      <c r="M16" s="111" t="s">
        <v>29</v>
      </c>
      <c r="N16" s="70" t="s">
        <v>1629</v>
      </c>
      <c r="O16" s="111" t="s">
        <v>87</v>
      </c>
      <c r="P16" s="194"/>
      <c r="Q16" s="194"/>
      <c r="R16" s="196">
        <v>0</v>
      </c>
    </row>
    <row r="17" spans="2:18" ht="14.5" x14ac:dyDescent="0.35">
      <c r="B17" s="154">
        <v>23006</v>
      </c>
      <c r="C17" s="117">
        <v>44967</v>
      </c>
      <c r="D17" s="118" t="s">
        <v>1965</v>
      </c>
      <c r="E17" s="118" t="s">
        <v>164</v>
      </c>
      <c r="F17" s="111" t="s">
        <v>1969</v>
      </c>
      <c r="G17" s="111" t="s">
        <v>2061</v>
      </c>
      <c r="H17" s="119" t="s">
        <v>14</v>
      </c>
      <c r="I17" s="118"/>
      <c r="J17" s="118">
        <v>16753</v>
      </c>
      <c r="K17" s="147"/>
      <c r="L17" s="111"/>
      <c r="M17" s="111" t="s">
        <v>29</v>
      </c>
      <c r="N17" s="70" t="s">
        <v>1665</v>
      </c>
      <c r="O17" s="111" t="s">
        <v>9</v>
      </c>
      <c r="P17" s="194">
        <v>1500</v>
      </c>
      <c r="Q17" s="194">
        <v>0</v>
      </c>
      <c r="R17" s="196">
        <v>1500</v>
      </c>
    </row>
    <row r="18" spans="2:18" ht="14.5" x14ac:dyDescent="0.35">
      <c r="B18" s="154">
        <v>23010</v>
      </c>
      <c r="C18" s="117">
        <v>44988</v>
      </c>
      <c r="D18" s="118" t="s">
        <v>1965</v>
      </c>
      <c r="E18" s="118" t="s">
        <v>164</v>
      </c>
      <c r="F18" s="111" t="s">
        <v>1904</v>
      </c>
      <c r="G18" s="111" t="s">
        <v>1920</v>
      </c>
      <c r="H18" s="119" t="s">
        <v>2056</v>
      </c>
      <c r="I18" s="118">
        <v>2137</v>
      </c>
      <c r="J18" s="118">
        <v>18080</v>
      </c>
      <c r="K18" s="147" t="s">
        <v>11</v>
      </c>
      <c r="L18" s="111" t="s">
        <v>2003</v>
      </c>
      <c r="M18" s="111" t="s">
        <v>29</v>
      </c>
      <c r="N18" s="70" t="s">
        <v>1026</v>
      </c>
      <c r="O18" s="111" t="s">
        <v>145</v>
      </c>
      <c r="P18" s="194"/>
      <c r="Q18" s="194"/>
      <c r="R18" s="196">
        <v>0</v>
      </c>
    </row>
    <row r="19" spans="2:18" ht="14.5" x14ac:dyDescent="0.35">
      <c r="B19" s="154">
        <v>23013</v>
      </c>
      <c r="C19" s="117">
        <v>45027</v>
      </c>
      <c r="D19" s="118" t="s">
        <v>1965</v>
      </c>
      <c r="E19" s="118" t="s">
        <v>164</v>
      </c>
      <c r="F19" s="111" t="s">
        <v>2012</v>
      </c>
      <c r="G19" s="111"/>
      <c r="H19" s="119" t="s">
        <v>2057</v>
      </c>
      <c r="I19" s="118"/>
      <c r="J19" s="118" t="s">
        <v>2013</v>
      </c>
      <c r="K19" s="147"/>
      <c r="L19" s="111" t="s">
        <v>2014</v>
      </c>
      <c r="M19" s="111" t="s">
        <v>29</v>
      </c>
      <c r="N19" s="70" t="s">
        <v>522</v>
      </c>
      <c r="O19" s="111" t="s">
        <v>9</v>
      </c>
      <c r="P19" s="194"/>
      <c r="Q19" s="194">
        <v>278</v>
      </c>
      <c r="R19" s="196">
        <v>278</v>
      </c>
    </row>
    <row r="20" spans="2:18" ht="14.5" x14ac:dyDescent="0.35">
      <c r="B20" s="154">
        <v>23014</v>
      </c>
      <c r="C20" s="117">
        <v>45027</v>
      </c>
      <c r="D20" s="118" t="s">
        <v>1965</v>
      </c>
      <c r="E20" s="118" t="s">
        <v>164</v>
      </c>
      <c r="F20" s="111" t="s">
        <v>2015</v>
      </c>
      <c r="G20" s="111" t="s">
        <v>1920</v>
      </c>
      <c r="H20" s="119" t="s">
        <v>5</v>
      </c>
      <c r="I20" s="118"/>
      <c r="J20" s="118">
        <v>10.17789</v>
      </c>
      <c r="K20" s="147"/>
      <c r="L20" s="111" t="s">
        <v>2043</v>
      </c>
      <c r="M20" s="111" t="s">
        <v>29</v>
      </c>
      <c r="N20" s="70" t="s">
        <v>1629</v>
      </c>
      <c r="O20" s="111" t="s">
        <v>145</v>
      </c>
      <c r="P20" s="194">
        <v>1000</v>
      </c>
      <c r="Q20" s="194"/>
      <c r="R20" s="196">
        <v>1000</v>
      </c>
    </row>
    <row r="21" spans="2:18" ht="14.5" x14ac:dyDescent="0.35">
      <c r="B21" s="207">
        <v>23015</v>
      </c>
      <c r="C21" s="209">
        <v>45027</v>
      </c>
      <c r="D21" s="210" t="s">
        <v>1965</v>
      </c>
      <c r="E21" s="118" t="s">
        <v>164</v>
      </c>
      <c r="F21" s="211" t="s">
        <v>2016</v>
      </c>
      <c r="G21" s="211" t="s">
        <v>433</v>
      </c>
      <c r="H21" s="212" t="s">
        <v>5</v>
      </c>
      <c r="I21" s="210"/>
      <c r="J21" s="244">
        <v>18251</v>
      </c>
      <c r="K21" s="213" t="s">
        <v>13</v>
      </c>
      <c r="L21" s="211" t="s">
        <v>2044</v>
      </c>
      <c r="M21" s="211" t="s">
        <v>29</v>
      </c>
      <c r="N21" s="73" t="s">
        <v>1026</v>
      </c>
      <c r="O21" s="211" t="s">
        <v>145</v>
      </c>
      <c r="P21" s="218">
        <v>2500</v>
      </c>
      <c r="Q21" s="218">
        <v>2583</v>
      </c>
      <c r="R21" s="222">
        <v>5083</v>
      </c>
    </row>
    <row r="22" spans="2:18" ht="14.5" x14ac:dyDescent="0.35">
      <c r="B22" s="207">
        <v>23030</v>
      </c>
      <c r="C22" s="209">
        <v>45227</v>
      </c>
      <c r="D22" s="210" t="s">
        <v>1896</v>
      </c>
      <c r="E22" s="210" t="s">
        <v>164</v>
      </c>
      <c r="F22" s="211" t="s">
        <v>2084</v>
      </c>
      <c r="G22" s="211" t="s">
        <v>2091</v>
      </c>
      <c r="H22" s="212" t="s">
        <v>2056</v>
      </c>
      <c r="I22" s="210">
        <v>2128</v>
      </c>
      <c r="J22" s="210">
        <v>17951</v>
      </c>
      <c r="K22" s="213" t="s">
        <v>13</v>
      </c>
      <c r="L22" s="211" t="s">
        <v>2085</v>
      </c>
      <c r="M22" s="211" t="s">
        <v>29</v>
      </c>
      <c r="N22" s="73" t="s">
        <v>1026</v>
      </c>
      <c r="O22" s="211" t="s">
        <v>9</v>
      </c>
      <c r="P22" s="218">
        <v>3000</v>
      </c>
      <c r="Q22" s="218">
        <v>1892</v>
      </c>
      <c r="R22" s="222">
        <v>4892</v>
      </c>
    </row>
    <row r="23" spans="2:18" ht="14.5" x14ac:dyDescent="0.35">
      <c r="B23" s="154">
        <v>23031</v>
      </c>
      <c r="C23" s="117">
        <v>45236</v>
      </c>
      <c r="D23" s="118" t="s">
        <v>2086</v>
      </c>
      <c r="E23" s="118" t="s">
        <v>164</v>
      </c>
      <c r="F23" s="111" t="s">
        <v>2095</v>
      </c>
      <c r="G23" s="111" t="s">
        <v>2087</v>
      </c>
      <c r="H23" s="119" t="s">
        <v>2057</v>
      </c>
      <c r="I23" s="118">
        <v>2151</v>
      </c>
      <c r="J23" s="118">
        <v>18281</v>
      </c>
      <c r="K23" s="147" t="s">
        <v>16</v>
      </c>
      <c r="L23" s="111" t="s">
        <v>2088</v>
      </c>
      <c r="M23" s="111" t="s">
        <v>29</v>
      </c>
      <c r="N23" s="70" t="s">
        <v>2096</v>
      </c>
      <c r="O23" s="111" t="s">
        <v>9</v>
      </c>
      <c r="P23" s="194">
        <v>250</v>
      </c>
      <c r="Q23" s="194">
        <v>139</v>
      </c>
      <c r="R23" s="196">
        <v>389</v>
      </c>
    </row>
    <row r="24" spans="2:18" ht="14.5" x14ac:dyDescent="0.35">
      <c r="B24" s="154">
        <v>23032</v>
      </c>
      <c r="C24" s="117">
        <v>45236</v>
      </c>
      <c r="D24" s="118" t="s">
        <v>2086</v>
      </c>
      <c r="E24" s="118" t="s">
        <v>164</v>
      </c>
      <c r="F24" s="111" t="s">
        <v>1499</v>
      </c>
      <c r="G24" s="111" t="s">
        <v>2089</v>
      </c>
      <c r="H24" s="119" t="s">
        <v>5</v>
      </c>
      <c r="I24" s="118">
        <v>2150</v>
      </c>
      <c r="J24" s="118">
        <v>18178</v>
      </c>
      <c r="K24" s="147" t="s">
        <v>13</v>
      </c>
      <c r="L24" s="111" t="s">
        <v>2090</v>
      </c>
      <c r="M24" s="111" t="s">
        <v>29</v>
      </c>
      <c r="N24" s="70" t="s">
        <v>1661</v>
      </c>
      <c r="O24" s="111" t="s">
        <v>9</v>
      </c>
      <c r="P24" s="194">
        <v>938</v>
      </c>
      <c r="Q24" s="194">
        <v>0</v>
      </c>
      <c r="R24" s="196">
        <v>938</v>
      </c>
    </row>
    <row r="25" spans="2:18" ht="14.5" x14ac:dyDescent="0.35">
      <c r="B25" s="207">
        <v>24002</v>
      </c>
      <c r="C25" s="209">
        <v>45307</v>
      </c>
      <c r="D25" s="210" t="s">
        <v>1965</v>
      </c>
      <c r="E25" s="210" t="s">
        <v>164</v>
      </c>
      <c r="F25" s="211" t="s">
        <v>2107</v>
      </c>
      <c r="G25" s="211" t="s">
        <v>1920</v>
      </c>
      <c r="H25" s="212" t="s">
        <v>2056</v>
      </c>
      <c r="I25" s="210"/>
      <c r="J25" s="210">
        <v>18418</v>
      </c>
      <c r="K25" s="213" t="s">
        <v>11</v>
      </c>
      <c r="L25" s="211" t="s">
        <v>2108</v>
      </c>
      <c r="M25" s="211" t="s">
        <v>29</v>
      </c>
      <c r="N25" s="73" t="s">
        <v>2133</v>
      </c>
      <c r="O25" s="211" t="s">
        <v>9</v>
      </c>
      <c r="P25" s="218">
        <v>750</v>
      </c>
      <c r="Q25" s="218">
        <v>0</v>
      </c>
      <c r="R25" s="222">
        <v>750</v>
      </c>
    </row>
    <row r="26" spans="2:18" ht="14.5" x14ac:dyDescent="0.35">
      <c r="B26" s="207">
        <v>24003</v>
      </c>
      <c r="C26" s="209">
        <v>45313</v>
      </c>
      <c r="D26" s="210" t="s">
        <v>1854</v>
      </c>
      <c r="E26" s="210" t="s">
        <v>164</v>
      </c>
      <c r="F26" s="211" t="s">
        <v>2109</v>
      </c>
      <c r="G26" s="211" t="s">
        <v>1668</v>
      </c>
      <c r="H26" s="212" t="s">
        <v>5</v>
      </c>
      <c r="I26" s="210">
        <v>2097</v>
      </c>
      <c r="J26" s="210">
        <v>16108</v>
      </c>
      <c r="K26" s="213" t="s">
        <v>13</v>
      </c>
      <c r="L26" s="211" t="s">
        <v>2110</v>
      </c>
      <c r="M26" s="211" t="s">
        <v>29</v>
      </c>
      <c r="N26" s="73" t="s">
        <v>916</v>
      </c>
      <c r="O26" s="211" t="s">
        <v>9</v>
      </c>
      <c r="P26" s="218">
        <v>7000</v>
      </c>
      <c r="Q26" s="218">
        <v>3832</v>
      </c>
      <c r="R26" s="222">
        <v>10832</v>
      </c>
    </row>
    <row r="27" spans="2:18" ht="14.5" x14ac:dyDescent="0.35">
      <c r="B27" s="154">
        <v>24005</v>
      </c>
      <c r="C27" s="209">
        <v>45342</v>
      </c>
      <c r="D27" s="118" t="s">
        <v>1965</v>
      </c>
      <c r="E27" s="118" t="s">
        <v>164</v>
      </c>
      <c r="F27" s="111" t="s">
        <v>2116</v>
      </c>
      <c r="G27" s="111"/>
      <c r="H27" s="119" t="s">
        <v>2057</v>
      </c>
      <c r="I27" s="118">
        <v>2136</v>
      </c>
      <c r="J27" s="118">
        <v>17789</v>
      </c>
      <c r="K27" s="147" t="s">
        <v>11</v>
      </c>
      <c r="L27" s="111" t="s">
        <v>2117</v>
      </c>
      <c r="M27" s="111" t="s">
        <v>29</v>
      </c>
      <c r="N27" s="70" t="s">
        <v>916</v>
      </c>
      <c r="O27" s="111" t="s">
        <v>9</v>
      </c>
      <c r="P27" s="194">
        <v>1278</v>
      </c>
      <c r="Q27" s="194"/>
      <c r="R27" s="196">
        <v>1278</v>
      </c>
    </row>
    <row r="28" spans="2:18" ht="14.5" x14ac:dyDescent="0.35">
      <c r="B28" s="154">
        <v>24014</v>
      </c>
      <c r="C28" s="117">
        <v>45384</v>
      </c>
      <c r="D28" s="118" t="s">
        <v>2086</v>
      </c>
      <c r="E28" s="118" t="s">
        <v>164</v>
      </c>
      <c r="F28" s="111" t="s">
        <v>2134</v>
      </c>
      <c r="G28" s="111" t="s">
        <v>2135</v>
      </c>
      <c r="H28" s="119" t="s">
        <v>2057</v>
      </c>
      <c r="I28" s="118">
        <v>3022</v>
      </c>
      <c r="J28" s="118">
        <v>18448</v>
      </c>
      <c r="K28" s="147" t="s">
        <v>11</v>
      </c>
      <c r="L28" s="111" t="s">
        <v>2136</v>
      </c>
      <c r="M28" s="111" t="s">
        <v>29</v>
      </c>
      <c r="N28" s="70" t="s">
        <v>1665</v>
      </c>
      <c r="O28" s="111" t="s">
        <v>87</v>
      </c>
      <c r="P28" s="194">
        <v>5139</v>
      </c>
      <c r="Q28" s="194"/>
      <c r="R28" s="196">
        <v>5139</v>
      </c>
    </row>
    <row r="29" spans="2:18" ht="14.5" x14ac:dyDescent="0.35">
      <c r="B29" s="154">
        <v>24019</v>
      </c>
      <c r="C29" s="117">
        <v>45454</v>
      </c>
      <c r="D29" s="118" t="s">
        <v>2146</v>
      </c>
      <c r="E29" s="118" t="s">
        <v>164</v>
      </c>
      <c r="F29" s="111" t="s">
        <v>2084</v>
      </c>
      <c r="G29" s="111" t="s">
        <v>433</v>
      </c>
      <c r="H29" s="119" t="s">
        <v>5</v>
      </c>
      <c r="I29" s="118">
        <v>2128</v>
      </c>
      <c r="J29" s="118">
        <v>17951</v>
      </c>
      <c r="K29" s="147" t="s">
        <v>13</v>
      </c>
      <c r="L29" s="111" t="s">
        <v>2147</v>
      </c>
      <c r="M29" s="111" t="s">
        <v>29</v>
      </c>
      <c r="N29" s="70" t="s">
        <v>1026</v>
      </c>
      <c r="O29" s="111" t="s">
        <v>87</v>
      </c>
      <c r="P29" s="194">
        <v>500</v>
      </c>
      <c r="Q29" s="194"/>
      <c r="R29" s="196">
        <v>500</v>
      </c>
    </row>
    <row r="30" spans="2:18" ht="14.5" x14ac:dyDescent="0.35">
      <c r="B30" s="154">
        <v>24022</v>
      </c>
      <c r="C30" s="117">
        <v>45463</v>
      </c>
      <c r="D30" s="118" t="s">
        <v>1854</v>
      </c>
      <c r="E30" s="118" t="s">
        <v>164</v>
      </c>
      <c r="F30" s="111" t="s">
        <v>2154</v>
      </c>
      <c r="G30" s="111"/>
      <c r="H30" s="119" t="s">
        <v>2057</v>
      </c>
      <c r="I30" s="118">
        <v>3123</v>
      </c>
      <c r="J30" s="118">
        <v>18323</v>
      </c>
      <c r="K30" s="147" t="s">
        <v>11</v>
      </c>
      <c r="L30" s="111" t="s">
        <v>2155</v>
      </c>
      <c r="M30" s="111" t="s">
        <v>29</v>
      </c>
      <c r="N30" s="70" t="s">
        <v>2177</v>
      </c>
      <c r="O30" s="111" t="s">
        <v>2031</v>
      </c>
      <c r="P30" s="194">
        <v>250</v>
      </c>
      <c r="Q30" s="194">
        <v>0</v>
      </c>
      <c r="R30" s="196">
        <v>250</v>
      </c>
    </row>
    <row r="31" spans="2:18" ht="14.5" x14ac:dyDescent="0.35">
      <c r="B31" s="96">
        <v>24039</v>
      </c>
      <c r="C31" s="97">
        <v>45615</v>
      </c>
      <c r="D31" s="67" t="s">
        <v>2146</v>
      </c>
      <c r="E31" s="67" t="s">
        <v>164</v>
      </c>
      <c r="F31" s="68" t="s">
        <v>2154</v>
      </c>
      <c r="G31" s="68" t="s">
        <v>433</v>
      </c>
      <c r="H31" s="99" t="s">
        <v>2056</v>
      </c>
      <c r="I31" s="67">
        <v>3123</v>
      </c>
      <c r="J31" s="67">
        <v>18323</v>
      </c>
      <c r="K31" s="80" t="s">
        <v>11</v>
      </c>
      <c r="L31" s="68" t="s">
        <v>2199</v>
      </c>
      <c r="M31" s="68" t="s">
        <v>29</v>
      </c>
      <c r="N31" s="68" t="s">
        <v>1665</v>
      </c>
      <c r="O31" s="68" t="s">
        <v>87</v>
      </c>
      <c r="P31" s="104">
        <v>625</v>
      </c>
      <c r="Q31" s="104">
        <v>486</v>
      </c>
      <c r="R31" s="107">
        <f t="shared" ref="R31:R34" si="0">Q31+P31</f>
        <v>1111</v>
      </c>
    </row>
    <row r="32" spans="2:18" ht="14.5" x14ac:dyDescent="0.35">
      <c r="B32" s="96">
        <v>24040</v>
      </c>
      <c r="C32" s="97">
        <v>45615</v>
      </c>
      <c r="D32" s="67" t="s">
        <v>2146</v>
      </c>
      <c r="E32" s="67" t="s">
        <v>164</v>
      </c>
      <c r="F32" s="68" t="s">
        <v>2154</v>
      </c>
      <c r="G32" s="68" t="s">
        <v>1920</v>
      </c>
      <c r="H32" s="99" t="s">
        <v>2056</v>
      </c>
      <c r="I32" s="67">
        <v>3123</v>
      </c>
      <c r="J32" s="67">
        <v>18323</v>
      </c>
      <c r="K32" s="80" t="s">
        <v>11</v>
      </c>
      <c r="L32" s="68" t="s">
        <v>2200</v>
      </c>
      <c r="M32" s="68" t="s">
        <v>29</v>
      </c>
      <c r="N32" s="74" t="s">
        <v>522</v>
      </c>
      <c r="O32" s="68" t="s">
        <v>87</v>
      </c>
      <c r="P32" s="104">
        <v>625</v>
      </c>
      <c r="Q32" s="104"/>
      <c r="R32" s="107">
        <f t="shared" si="0"/>
        <v>625</v>
      </c>
    </row>
    <row r="33" spans="2:18" ht="14.5" x14ac:dyDescent="0.35">
      <c r="B33" s="96">
        <v>24041</v>
      </c>
      <c r="C33" s="97">
        <v>45616</v>
      </c>
      <c r="D33" s="67" t="s">
        <v>2086</v>
      </c>
      <c r="E33" s="67" t="s">
        <v>164</v>
      </c>
      <c r="F33" s="68" t="s">
        <v>2005</v>
      </c>
      <c r="G33" s="68" t="s">
        <v>937</v>
      </c>
      <c r="H33" s="99" t="s">
        <v>5</v>
      </c>
      <c r="I33" s="67">
        <v>3165</v>
      </c>
      <c r="J33" s="67">
        <v>18466</v>
      </c>
      <c r="K33" s="80" t="s">
        <v>21</v>
      </c>
      <c r="L33" s="68" t="s">
        <v>2201</v>
      </c>
      <c r="M33" s="68" t="s">
        <v>29</v>
      </c>
      <c r="N33" s="74" t="s">
        <v>522</v>
      </c>
      <c r="O33" s="68" t="s">
        <v>9</v>
      </c>
      <c r="P33" s="104">
        <v>2188</v>
      </c>
      <c r="Q33" s="104">
        <v>1388</v>
      </c>
      <c r="R33" s="107">
        <f t="shared" si="0"/>
        <v>3576</v>
      </c>
    </row>
    <row r="34" spans="2:18" ht="14.5" x14ac:dyDescent="0.35">
      <c r="B34" s="96">
        <v>24042</v>
      </c>
      <c r="C34" s="97">
        <v>45616</v>
      </c>
      <c r="D34" s="67" t="s">
        <v>2086</v>
      </c>
      <c r="E34" s="67" t="s">
        <v>164</v>
      </c>
      <c r="F34" s="68" t="s">
        <v>2005</v>
      </c>
      <c r="G34" s="68" t="s">
        <v>2202</v>
      </c>
      <c r="H34" s="99" t="s">
        <v>2057</v>
      </c>
      <c r="I34" s="67">
        <v>3165</v>
      </c>
      <c r="J34" s="67">
        <v>18466</v>
      </c>
      <c r="K34" s="80" t="s">
        <v>21</v>
      </c>
      <c r="L34" s="68" t="s">
        <v>2203</v>
      </c>
      <c r="M34" s="68" t="s">
        <v>29</v>
      </c>
      <c r="N34" s="74" t="s">
        <v>522</v>
      </c>
      <c r="O34" s="68" t="s">
        <v>9</v>
      </c>
      <c r="P34" s="104">
        <v>1876</v>
      </c>
      <c r="Q34" s="104">
        <v>1416</v>
      </c>
      <c r="R34" s="107">
        <f t="shared" si="0"/>
        <v>3292</v>
      </c>
    </row>
    <row r="35" spans="2:18" ht="14.5" x14ac:dyDescent="0.35">
      <c r="B35" s="96">
        <v>24044</v>
      </c>
      <c r="C35" s="97">
        <v>45628</v>
      </c>
      <c r="D35" s="67" t="s">
        <v>1854</v>
      </c>
      <c r="E35" s="67" t="s">
        <v>164</v>
      </c>
      <c r="F35" s="68" t="s">
        <v>2209</v>
      </c>
      <c r="G35" s="68" t="s">
        <v>2210</v>
      </c>
      <c r="H35" s="99" t="s">
        <v>5</v>
      </c>
      <c r="I35" s="67">
        <v>2135</v>
      </c>
      <c r="J35" s="67">
        <v>18103</v>
      </c>
      <c r="K35" s="80" t="s">
        <v>21</v>
      </c>
      <c r="L35" s="68" t="s">
        <v>2214</v>
      </c>
      <c r="M35" s="68" t="s">
        <v>29</v>
      </c>
      <c r="N35" s="263" t="s">
        <v>1026</v>
      </c>
      <c r="O35" s="68" t="s">
        <v>9</v>
      </c>
      <c r="P35" s="104"/>
      <c r="Q35" s="104"/>
      <c r="R35" s="107">
        <v>0</v>
      </c>
    </row>
    <row r="36" spans="2:18" ht="14.5" x14ac:dyDescent="0.35">
      <c r="B36" s="96">
        <v>24045</v>
      </c>
      <c r="C36" s="97">
        <v>45628</v>
      </c>
      <c r="D36" s="67" t="s">
        <v>2086</v>
      </c>
      <c r="E36" s="67" t="s">
        <v>164</v>
      </c>
      <c r="F36" s="68" t="s">
        <v>2211</v>
      </c>
      <c r="G36" s="68"/>
      <c r="H36" s="99" t="s">
        <v>2057</v>
      </c>
      <c r="I36" s="67">
        <v>3075</v>
      </c>
      <c r="J36" s="67">
        <v>45.003700000000002</v>
      </c>
      <c r="K36" s="80" t="s">
        <v>11</v>
      </c>
      <c r="L36" s="68" t="s">
        <v>2213</v>
      </c>
      <c r="M36" s="68" t="s">
        <v>29</v>
      </c>
      <c r="N36" s="263" t="s">
        <v>1026</v>
      </c>
      <c r="O36" s="68" t="s">
        <v>9</v>
      </c>
      <c r="P36" s="104"/>
      <c r="Q36" s="104"/>
      <c r="R36" s="107">
        <v>0</v>
      </c>
    </row>
  </sheetData>
  <dataValidations count="4">
    <dataValidation type="list" allowBlank="1" showInputMessage="1" showErrorMessage="1" sqref="H3:H36" xr:uid="{297C166C-891B-485E-888F-37D0B1FC8E45}">
      <formula1>CAPTYPE</formula1>
    </dataValidation>
    <dataValidation type="list" allowBlank="1" showInputMessage="1" showErrorMessage="1" sqref="M3:M36" xr:uid="{00800546-8E36-426F-ACF3-D486105F58B9}">
      <formula1>SCOPE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K3:K36" xr:uid="{4C91D61A-12CC-4F40-8DEB-0603CF1E3A85}"/>
    <dataValidation type="list" allowBlank="1" showInputMessage="1" showErrorMessage="1" sqref="O3:O36" xr:uid="{735ACF91-D92E-41F1-AC89-B9FCB0FCDDCC}">
      <formula1>MMMMM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1CD6-3D47-451A-A6A6-41F3A1E87281}">
  <dimension ref="B2:R11"/>
  <sheetViews>
    <sheetView workbookViewId="0">
      <selection activeCell="I27" sqref="I27"/>
    </sheetView>
  </sheetViews>
  <sheetFormatPr defaultRowHeight="12.5" x14ac:dyDescent="0.25"/>
  <cols>
    <col min="8" max="8" width="9.26953125" customWidth="1"/>
    <col min="9" max="9" width="14.453125" customWidth="1"/>
    <col min="15" max="15" width="14.7265625" customWidth="1"/>
    <col min="16" max="16" width="15.54296875" customWidth="1"/>
    <col min="17" max="17" width="12" customWidth="1"/>
    <col min="18" max="18" width="13.90625" customWidth="1"/>
  </cols>
  <sheetData>
    <row r="2" spans="2:18" ht="37.5" x14ac:dyDescent="0.25">
      <c r="B2" s="88" t="s">
        <v>31</v>
      </c>
      <c r="C2" s="90" t="s">
        <v>27</v>
      </c>
      <c r="D2" s="89" t="s">
        <v>32</v>
      </c>
      <c r="E2" s="89" t="s">
        <v>33</v>
      </c>
      <c r="F2" s="91" t="s">
        <v>34</v>
      </c>
      <c r="G2" s="91" t="s">
        <v>35</v>
      </c>
      <c r="H2" s="92" t="s">
        <v>26</v>
      </c>
      <c r="I2" s="93" t="s">
        <v>37</v>
      </c>
      <c r="J2" s="93" t="s">
        <v>22</v>
      </c>
      <c r="K2" s="93" t="s">
        <v>38</v>
      </c>
      <c r="L2" s="93" t="s">
        <v>39</v>
      </c>
      <c r="M2" s="84" t="s">
        <v>1</v>
      </c>
      <c r="N2" s="84" t="s">
        <v>41</v>
      </c>
      <c r="O2" s="84" t="s">
        <v>42</v>
      </c>
      <c r="P2" s="94" t="s">
        <v>56</v>
      </c>
      <c r="Q2" s="94" t="s">
        <v>57</v>
      </c>
      <c r="R2" s="94" t="s">
        <v>58</v>
      </c>
    </row>
    <row r="3" spans="2:18" ht="14.5" x14ac:dyDescent="0.35">
      <c r="B3" s="154">
        <v>22009</v>
      </c>
      <c r="C3" s="144">
        <v>44603</v>
      </c>
      <c r="D3" s="145" t="s">
        <v>1745</v>
      </c>
      <c r="E3" s="145" t="s">
        <v>658</v>
      </c>
      <c r="F3" s="146" t="s">
        <v>1836</v>
      </c>
      <c r="G3" s="146" t="s">
        <v>1771</v>
      </c>
      <c r="H3" s="119" t="s">
        <v>2056</v>
      </c>
      <c r="I3" s="145"/>
      <c r="J3" s="145">
        <v>75.226900000000001</v>
      </c>
      <c r="K3" s="147" t="s">
        <v>338</v>
      </c>
      <c r="L3" s="146" t="s">
        <v>1837</v>
      </c>
      <c r="M3" s="146" t="s">
        <v>28</v>
      </c>
      <c r="N3" s="232" t="s">
        <v>176</v>
      </c>
      <c r="O3" s="146" t="s">
        <v>145</v>
      </c>
      <c r="P3" s="197">
        <v>1500</v>
      </c>
      <c r="Q3" s="196">
        <v>694</v>
      </c>
      <c r="R3" s="237">
        <v>2194</v>
      </c>
    </row>
    <row r="4" spans="2:18" ht="14.5" x14ac:dyDescent="0.35">
      <c r="B4" s="207">
        <v>22023</v>
      </c>
      <c r="C4" s="209">
        <v>44705</v>
      </c>
      <c r="D4" s="210" t="s">
        <v>1745</v>
      </c>
      <c r="E4" s="210" t="s">
        <v>658</v>
      </c>
      <c r="F4" s="211" t="s">
        <v>782</v>
      </c>
      <c r="G4" s="211" t="s">
        <v>357</v>
      </c>
      <c r="H4" s="212" t="s">
        <v>5</v>
      </c>
      <c r="I4" s="210"/>
      <c r="J4" s="210">
        <v>75.233099999999993</v>
      </c>
      <c r="K4" s="213" t="s">
        <v>338</v>
      </c>
      <c r="L4" s="211" t="s">
        <v>1892</v>
      </c>
      <c r="M4" s="211" t="s">
        <v>28</v>
      </c>
      <c r="N4" s="73" t="s">
        <v>176</v>
      </c>
      <c r="O4" s="211" t="s">
        <v>9</v>
      </c>
      <c r="P4" s="218">
        <v>0</v>
      </c>
      <c r="Q4" s="218">
        <v>6595</v>
      </c>
      <c r="R4" s="222">
        <v>6595</v>
      </c>
    </row>
    <row r="5" spans="2:18" ht="14.5" x14ac:dyDescent="0.35">
      <c r="B5" s="154">
        <v>23018</v>
      </c>
      <c r="C5" s="117">
        <v>45061</v>
      </c>
      <c r="D5" s="118" t="s">
        <v>1745</v>
      </c>
      <c r="E5" s="118" t="s">
        <v>658</v>
      </c>
      <c r="F5" s="111" t="s">
        <v>2040</v>
      </c>
      <c r="G5" s="111" t="s">
        <v>2042</v>
      </c>
      <c r="H5" s="119" t="s">
        <v>5</v>
      </c>
      <c r="I5" s="118"/>
      <c r="J5" s="152">
        <v>15333</v>
      </c>
      <c r="K5" s="147" t="s">
        <v>11</v>
      </c>
      <c r="L5" s="111" t="s">
        <v>2041</v>
      </c>
      <c r="M5" s="111" t="s">
        <v>28</v>
      </c>
      <c r="N5" s="70" t="s">
        <v>1522</v>
      </c>
      <c r="O5" s="111" t="s">
        <v>145</v>
      </c>
      <c r="P5" s="194">
        <v>0</v>
      </c>
      <c r="Q5" s="194">
        <v>3000</v>
      </c>
      <c r="R5" s="196">
        <v>3000</v>
      </c>
    </row>
    <row r="6" spans="2:18" ht="14.5" x14ac:dyDescent="0.35">
      <c r="B6" s="154">
        <v>23019</v>
      </c>
      <c r="C6" s="117">
        <v>45079</v>
      </c>
      <c r="D6" s="118" t="s">
        <v>1745</v>
      </c>
      <c r="E6" s="118" t="s">
        <v>658</v>
      </c>
      <c r="F6" s="111" t="s">
        <v>1836</v>
      </c>
      <c r="G6" s="111" t="s">
        <v>1771</v>
      </c>
      <c r="H6" s="119" t="s">
        <v>5</v>
      </c>
      <c r="I6" s="118"/>
      <c r="J6" s="152">
        <v>75.226900000000001</v>
      </c>
      <c r="K6" s="147" t="s">
        <v>338</v>
      </c>
      <c r="L6" s="111" t="s">
        <v>2046</v>
      </c>
      <c r="M6" s="111" t="s">
        <v>28</v>
      </c>
      <c r="N6" s="70" t="s">
        <v>1522</v>
      </c>
      <c r="O6" s="111" t="s">
        <v>145</v>
      </c>
      <c r="P6" s="194">
        <v>0</v>
      </c>
      <c r="Q6" s="194">
        <v>130000</v>
      </c>
      <c r="R6" s="196">
        <v>130000</v>
      </c>
    </row>
    <row r="7" spans="2:18" ht="14.5" x14ac:dyDescent="0.35">
      <c r="B7" s="154">
        <v>24016</v>
      </c>
      <c r="C7" s="117">
        <v>45400</v>
      </c>
      <c r="D7" s="118" t="s">
        <v>1745</v>
      </c>
      <c r="E7" s="118" t="s">
        <v>658</v>
      </c>
      <c r="F7" s="111" t="s">
        <v>2140</v>
      </c>
      <c r="G7" s="140" t="s">
        <v>1416</v>
      </c>
      <c r="H7" s="119" t="s">
        <v>5</v>
      </c>
      <c r="I7" s="118">
        <v>3087</v>
      </c>
      <c r="J7" s="118">
        <v>75.240600000000001</v>
      </c>
      <c r="K7" s="147" t="s">
        <v>13</v>
      </c>
      <c r="L7" s="111" t="s">
        <v>2141</v>
      </c>
      <c r="M7" s="111" t="s">
        <v>28</v>
      </c>
      <c r="N7" s="70" t="s">
        <v>510</v>
      </c>
      <c r="O7" s="111" t="s">
        <v>12</v>
      </c>
      <c r="P7" s="194">
        <v>1333</v>
      </c>
      <c r="Q7" s="194">
        <v>0</v>
      </c>
      <c r="R7" s="196">
        <v>1333</v>
      </c>
    </row>
    <row r="8" spans="2:18" ht="14.5" x14ac:dyDescent="0.35">
      <c r="B8" s="96">
        <v>24030</v>
      </c>
      <c r="C8" s="97">
        <v>45506</v>
      </c>
      <c r="D8" s="67" t="s">
        <v>2172</v>
      </c>
      <c r="E8" s="67" t="s">
        <v>658</v>
      </c>
      <c r="F8" s="68" t="s">
        <v>1948</v>
      </c>
      <c r="G8" s="68" t="s">
        <v>1768</v>
      </c>
      <c r="H8" s="99" t="s">
        <v>5</v>
      </c>
      <c r="I8" s="67">
        <v>2142</v>
      </c>
      <c r="J8" s="67">
        <v>18146</v>
      </c>
      <c r="K8" s="80" t="s">
        <v>16</v>
      </c>
      <c r="L8" s="68" t="s">
        <v>2173</v>
      </c>
      <c r="M8" s="68" t="s">
        <v>28</v>
      </c>
      <c r="N8" s="74" t="s">
        <v>452</v>
      </c>
      <c r="O8" s="68" t="s">
        <v>145</v>
      </c>
      <c r="P8" s="104"/>
      <c r="Q8" s="104"/>
      <c r="R8" s="107">
        <v>0</v>
      </c>
    </row>
    <row r="9" spans="2:18" ht="14.5" x14ac:dyDescent="0.35">
      <c r="B9" s="96">
        <v>24036</v>
      </c>
      <c r="C9" s="97">
        <v>45583</v>
      </c>
      <c r="D9" s="67" t="s">
        <v>2172</v>
      </c>
      <c r="E9" s="67" t="s">
        <v>658</v>
      </c>
      <c r="F9" s="68" t="s">
        <v>2191</v>
      </c>
      <c r="G9" s="256" t="s">
        <v>1416</v>
      </c>
      <c r="H9" s="99" t="s">
        <v>5</v>
      </c>
      <c r="I9" s="67"/>
      <c r="J9" s="67">
        <v>10.702</v>
      </c>
      <c r="K9" s="80" t="s">
        <v>13</v>
      </c>
      <c r="L9" s="68" t="s">
        <v>2192</v>
      </c>
      <c r="M9" s="68" t="s">
        <v>28</v>
      </c>
      <c r="N9" s="74" t="s">
        <v>916</v>
      </c>
      <c r="O9" s="68" t="s">
        <v>145</v>
      </c>
      <c r="P9" s="104">
        <v>6389</v>
      </c>
      <c r="Q9" s="104">
        <v>156111</v>
      </c>
      <c r="R9" s="107">
        <v>162500</v>
      </c>
    </row>
    <row r="10" spans="2:18" ht="14.5" x14ac:dyDescent="0.35">
      <c r="B10" s="96">
        <v>24038</v>
      </c>
      <c r="C10" s="97">
        <v>45614</v>
      </c>
      <c r="D10" s="67" t="s">
        <v>2172</v>
      </c>
      <c r="E10" s="67" t="s">
        <v>658</v>
      </c>
      <c r="F10" s="68" t="s">
        <v>2197</v>
      </c>
      <c r="G10" s="256" t="s">
        <v>1416</v>
      </c>
      <c r="H10" s="99" t="s">
        <v>5</v>
      </c>
      <c r="I10" s="67"/>
      <c r="J10" s="67">
        <v>9801</v>
      </c>
      <c r="K10" s="80" t="s">
        <v>13</v>
      </c>
      <c r="L10" s="68" t="s">
        <v>2198</v>
      </c>
      <c r="M10" s="68" t="s">
        <v>28</v>
      </c>
      <c r="N10" s="74" t="s">
        <v>2208</v>
      </c>
      <c r="O10" s="68" t="s">
        <v>145</v>
      </c>
      <c r="P10" s="104"/>
      <c r="Q10" s="104">
        <v>83333.33</v>
      </c>
      <c r="R10" s="107">
        <v>83333.33</v>
      </c>
    </row>
    <row r="11" spans="2:18" ht="14.5" x14ac:dyDescent="0.35">
      <c r="B11" s="96">
        <v>24043</v>
      </c>
      <c r="C11" s="97">
        <v>45621</v>
      </c>
      <c r="D11" s="67" t="s">
        <v>1745</v>
      </c>
      <c r="E11" s="67" t="s">
        <v>658</v>
      </c>
      <c r="F11" s="68" t="s">
        <v>2204</v>
      </c>
      <c r="G11" s="248" t="s">
        <v>570</v>
      </c>
      <c r="H11" s="99" t="s">
        <v>2057</v>
      </c>
      <c r="I11" s="67"/>
      <c r="J11" s="67">
        <v>17093</v>
      </c>
      <c r="K11" s="260" t="s">
        <v>13</v>
      </c>
      <c r="L11" s="68" t="s">
        <v>2205</v>
      </c>
      <c r="M11" s="248" t="s">
        <v>28</v>
      </c>
      <c r="N11" s="74" t="s">
        <v>2207</v>
      </c>
      <c r="O11" s="68" t="s">
        <v>1890</v>
      </c>
      <c r="P11" s="104"/>
      <c r="Q11" s="104">
        <v>105944.44</v>
      </c>
      <c r="R11" s="107">
        <v>105944.44</v>
      </c>
    </row>
  </sheetData>
  <dataValidations count="4">
    <dataValidation type="list" allowBlank="1" showInputMessage="1" showErrorMessage="1" sqref="H3:H11" xr:uid="{9445FE30-132B-4529-B937-9F625B9F73EF}">
      <formula1>CAPTYPE</formula1>
    </dataValidation>
    <dataValidation type="list" allowBlank="1" showInputMessage="1" showErrorMessage="1" sqref="M3:M11" xr:uid="{BAAC387F-B5AC-47DD-9C31-092DED5911E7}">
      <formula1>SCOPE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K3:K11" xr:uid="{A15F1871-223D-4D7F-B959-169DC3B91F9A}"/>
    <dataValidation type="list" allowBlank="1" showInputMessage="1" showErrorMessage="1" sqref="O3:O11" xr:uid="{4A0A1CA5-A439-41FE-986E-3357E70DE62B}">
      <formula1>MMMMM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EF55945911C41B57C74669F2D17A6" ma:contentTypeVersion="16" ma:contentTypeDescription="Create a new document." ma:contentTypeScope="" ma:versionID="d719f9ee41485faabdf48476a257cbd0">
  <xsd:schema xmlns:xsd="http://www.w3.org/2001/XMLSchema" xmlns:xs="http://www.w3.org/2001/XMLSchema" xmlns:p="http://schemas.microsoft.com/office/2006/metadata/properties" xmlns:ns2="f4cbad66-c414-4949-b8cc-0f35a964fb17" xmlns:ns3="a9f2bc00-18cd-4ba2-8dd9-d4a07ec7bc29" targetNamespace="http://schemas.microsoft.com/office/2006/metadata/properties" ma:root="true" ma:fieldsID="fbc09c179b1354e1dab9a6d2d10f7777" ns2:_="" ns3:_="">
    <xsd:import namespace="f4cbad66-c414-4949-b8cc-0f35a964fb17"/>
    <xsd:import namespace="a9f2bc00-18cd-4ba2-8dd9-d4a07ec7bc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bad66-c414-4949-b8cc-0f35a964f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08caa3-1d29-49ca-9df7-f5a9f47e09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2bc00-18cd-4ba2-8dd9-d4a07ec7bc2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6436be-547b-4c4a-a264-babda9e1cbc8}" ma:internalName="TaxCatchAll" ma:showField="CatchAllData" ma:web="a9f2bc00-18cd-4ba2-8dd9-d4a07ec7bc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f2bc00-18cd-4ba2-8dd9-d4a07ec7bc29" xsi:nil="true"/>
    <lcf76f155ced4ddcb4097134ff3c332f xmlns="f4cbad66-c414-4949-b8cc-0f35a964fb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8F9A40-8979-434A-BE9E-2342DC0D39E7}"/>
</file>

<file path=customXml/itemProps2.xml><?xml version="1.0" encoding="utf-8"?>
<ds:datastoreItem xmlns:ds="http://schemas.openxmlformats.org/officeDocument/2006/customXml" ds:itemID="{137A2C5D-49FE-496C-B39A-460238FBC31F}">
  <ds:schemaRefs>
    <ds:schemaRef ds:uri="http://schemas.microsoft.com/office/2006/documentManagement/types"/>
    <ds:schemaRef ds:uri="4bb85b61-c25e-4236-878f-cee000813d5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3b8e0b9e-8502-484a-bfbe-94401bada4bb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a9f2bc00-18cd-4ba2-8dd9-d4a07ec7bc29"/>
    <ds:schemaRef ds:uri="f4cbad66-c414-4949-b8cc-0f35a964fb17"/>
  </ds:schemaRefs>
</ds:datastoreItem>
</file>

<file path=customXml/itemProps3.xml><?xml version="1.0" encoding="utf-8"?>
<ds:datastoreItem xmlns:ds="http://schemas.openxmlformats.org/officeDocument/2006/customXml" ds:itemID="{D5945BF3-843D-4AA2-8F36-907B7B4E32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Chrono CAP</vt:lpstr>
      <vt:lpstr>AutoList</vt:lpstr>
      <vt:lpstr>SHA IER</vt:lpstr>
      <vt:lpstr>SHA CS</vt:lpstr>
      <vt:lpstr>'Chrono CAP'!_GoBack</vt:lpstr>
      <vt:lpstr>CAPTYPE</vt:lpstr>
      <vt:lpstr>MMMMM</vt:lpstr>
      <vt:lpstr>'Chrono CAP'!OLE_LINK2</vt:lpstr>
      <vt:lpstr>'Chrono CAP'!Print_Area</vt:lpstr>
      <vt:lpstr>SCOPE</vt:lpstr>
      <vt:lpstr>SITE</vt:lpstr>
      <vt:lpstr>TECHNO</vt:lpstr>
      <vt:lpstr>YNC</vt:lpstr>
      <vt:lpstr>'Chrono CAP'!中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Marie-Pierre Cantarel</dc:creator>
  <cp:keywords/>
  <dc:description/>
  <cp:lastModifiedBy>Alicia Li</cp:lastModifiedBy>
  <cp:revision>1</cp:revision>
  <cp:lastPrinted>2024-09-16T08:40:48Z</cp:lastPrinted>
  <dcterms:created xsi:type="dcterms:W3CDTF">2001-06-06T10:02:17Z</dcterms:created>
  <dcterms:modified xsi:type="dcterms:W3CDTF">2026-01-29T08:24:36Z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2052-10.1.0.6445</vt:lpwstr>
  </property>
  <property fmtid="{D5CDD505-2E9C-101B-9397-08002B2CF9AE}" pid="3" name="ContentTypeId">
    <vt:lpwstr>0x010100708EF55945911C41B57C74669F2D17A6</vt:lpwstr>
  </property>
  <property fmtid="{D5CDD505-2E9C-101B-9397-08002B2CF9AE}" pid="4" name="Order">
    <vt:r8>2400</vt:r8>
  </property>
  <property fmtid="{D5CDD505-2E9C-101B-9397-08002B2CF9AE}" pid="5" name="MediaServiceImageTags">
    <vt:lpwstr/>
  </property>
</Properties>
</file>