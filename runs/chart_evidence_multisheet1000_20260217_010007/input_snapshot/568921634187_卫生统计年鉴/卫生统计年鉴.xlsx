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40" windowHeight="21140" firstSheet="13" activeTab="16"/>
  </bookViews>
  <sheets>
    <sheet name="人口出生率、死亡率与自然增长率" sheetId="2" r:id="rId1"/>
    <sheet name="城乡居民膳食结构" sheetId="3" r:id="rId2"/>
    <sheet name="城乡居民每人每日食物摄入量" sheetId="4" r:id="rId3"/>
    <sheet name="城乡居民每人每日营养素摄入量" sheetId="5" r:id="rId4"/>
    <sheet name="婴儿死亡率与预期寿命" sheetId="6" r:id="rId5"/>
    <sheet name="2023年调查地区居民社会医疗保障制度构成" sheetId="7" r:id="rId6"/>
    <sheet name="医院诊疗人次数" sheetId="8" r:id="rId7"/>
    <sheet name="政府卫生支出所占比重" sheetId="9" r:id="rId8"/>
    <sheet name="城乡居民医疗保健支出" sheetId="10" r:id="rId9"/>
    <sheet name="2020全国分年龄人口" sheetId="15" r:id="rId10"/>
    <sheet name="2023美国5年组死亡率" sheetId="12" r:id="rId11"/>
    <sheet name="2023美国分年龄死亡率" sheetId="11" r:id="rId12"/>
    <sheet name="2020全国分年龄死亡人口" sheetId="17" r:id="rId13"/>
    <sheet name="2020年5年组死亡率" sheetId="14" r:id="rId14"/>
    <sheet name="2021年年龄别、疾病别死亡率" sheetId="1" r:id="rId15"/>
    <sheet name="2023美国分年龄、疾病死亡率" sheetId="18" r:id="rId16"/>
    <sheet name="Sheet19" sheetId="19" r:id="rId17"/>
  </sheets>
  <definedNames>
    <definedName name="_xlnm._FilterDatabase" localSheetId="12" hidden="1">'2020全国分年龄死亡人口'!$A$1:$D$102</definedName>
    <definedName name="_xlnm._FilterDatabase" localSheetId="14" hidden="1">'2021年年龄别、疾病别死亡率'!$A$2:$U$106</definedName>
    <definedName name="_xlnm._FilterDatabase" localSheetId="15" hidden="1">'2023美国分年龄、疾病死亡率'!$A$1:$T$1342</definedName>
    <definedName name="_xlnm._FilterDatabase" localSheetId="1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<sst xmlns="http://schemas.openxmlformats.org/spreadsheetml/2006/main" count="2529" uniqueCount="2024">
  <si>
    <t>单位：‰</t>
  </si>
  <si>
    <t>年份</t>
  </si>
  <si>
    <t>出生率</t>
  </si>
  <si>
    <t>死亡率</t>
  </si>
  <si>
    <t>自然增长率</t>
  </si>
  <si>
    <t>1955</t>
  </si>
  <si>
    <t>1960</t>
  </si>
  <si>
    <t>1965</t>
  </si>
  <si>
    <t>1970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</si>
  <si>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</si>
  <si>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</si>
  <si>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</si>
  <si>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</si>
  <si>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</si>
  <si>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</si>
  <si>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</si>
  <si>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</si>
  <si>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</si>
  <si>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</si>
  <si>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</si>
  <si>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</si>
  <si>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</si>
  <si>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</si>
  <si>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</si>
  <si>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</si>
  <si>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</si>
  <si>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</si>
  <si>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</si>
  <si>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</si>
  <si>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</si>
  <si>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</si>
  <si>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</si>
  <si>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</si>
  <si>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</si>
  <si>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</si>
  <si>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</si>
  <si>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</si>
  <si>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</si>
  <si>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</si>
  <si>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</si>
  <si>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</si>
  <si>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</si>
  <si>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</si>
  <si>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</si>
  <si>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</si>
  <si>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</si>
  <si>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</si>
  <si>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</si>
  <si>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</si>
  <si>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</si>
  <si>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</si>
  <si>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</si>
  <si>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</si>
  <si>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</si>
  <si>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</si>
  <si>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</si>
  <si>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注：数据来源于有关年份《中国统计年鉴》。</t>
  </si>
  <si>
    <t>单位：%</t>
  </si>
  <si>
    <t>食物分类</t>
  </si>
  <si>
    <t>合计</t>
  </si>
  <si>
    <t>城市</t>
  </si>
  <si>
    <t>农村</t>
  </si>
  <si>
    <t>2015—2017</t>
  </si>
  <si>
    <t>能量的食物来源</t>
  </si>
  <si>
    <t xml:space="preserve">  谷类</t>
  </si>
  <si>
    <t xml:space="preserve">  动物性食物类</t>
  </si>
  <si>
    <t xml:space="preserve">  其他</t>
  </si>
  <si>
    <t>能量的营养素来源</t>
  </si>
  <si>
    <t xml:space="preserve">  蛋白质</t>
  </si>
  <si>
    <t xml:space="preserve">  脂肪</t>
  </si>
  <si>
    <t xml:space="preserve">  碳水化合物</t>
  </si>
  <si>
    <t>蛋白质的食物来源</t>
  </si>
  <si>
    <t xml:space="preserve">  豆类</t>
  </si>
  <si>
    <t>脂肪的食物来源</t>
  </si>
  <si>
    <t xml:space="preserve">  动物性食物</t>
  </si>
  <si>
    <t xml:space="preserve">  植物性食物</t>
  </si>
  <si>
    <t>注：数据来源于2002年、2012年、2015—2017年《中国居民营养与健康状况监测》。</t>
  </si>
  <si>
    <t>单位：g</t>
  </si>
  <si>
    <t>米及其制品</t>
  </si>
  <si>
    <t>面及其制品</t>
  </si>
  <si>
    <t>其他谷类</t>
  </si>
  <si>
    <t>薯类</t>
  </si>
  <si>
    <t>杂豆类</t>
  </si>
  <si>
    <t>大豆及其制品</t>
  </si>
  <si>
    <t>新鲜蔬菜</t>
  </si>
  <si>
    <t>新鲜水果</t>
  </si>
  <si>
    <t>坚果</t>
  </si>
  <si>
    <t>乳类及其制品</t>
  </si>
  <si>
    <t>蛋类</t>
  </si>
  <si>
    <t>畜肉类</t>
  </si>
  <si>
    <t>禽肉类</t>
  </si>
  <si>
    <t>动物内脏</t>
  </si>
  <si>
    <t>鱼虾类</t>
  </si>
  <si>
    <t>烹调油</t>
  </si>
  <si>
    <t>糕点类</t>
  </si>
  <si>
    <t>糖及糖果</t>
  </si>
  <si>
    <t>烹调盐</t>
  </si>
  <si>
    <t>酒精</t>
  </si>
  <si>
    <t>注：数据来源于2012年、2015—2017年《中国居民营养与健康状况监测》。</t>
  </si>
  <si>
    <t>营养素名称</t>
  </si>
  <si>
    <t>能量/kcal</t>
  </si>
  <si>
    <t>蛋白质/g</t>
  </si>
  <si>
    <t>脂肪/g</t>
  </si>
  <si>
    <t>碳水化合物/g</t>
  </si>
  <si>
    <t>膳食纤维/g</t>
  </si>
  <si>
    <t>视黄醇当量/ug</t>
  </si>
  <si>
    <t>硫胺素/mg</t>
  </si>
  <si>
    <t>核黄素/mg</t>
  </si>
  <si>
    <t>维生素E/mg</t>
  </si>
  <si>
    <t>钾/mg</t>
  </si>
  <si>
    <t>钠/mg</t>
  </si>
  <si>
    <t>钙/mg</t>
  </si>
  <si>
    <t>铁/mg</t>
  </si>
  <si>
    <t>锌/mg</t>
  </si>
  <si>
    <t>硒/μg</t>
  </si>
  <si>
    <t>注：数据来源于1992年《全国营养调查》,2002年、2012年、2015—2017年《中国居民营养与健康状况监测》。</t>
  </si>
  <si>
    <t>婴儿死亡率/‰</t>
  </si>
  <si>
    <t>预期寿命/岁</t>
  </si>
  <si>
    <t>男</t>
  </si>
  <si>
    <t>女</t>
  </si>
  <si>
    <t>…</t>
  </si>
  <si>
    <t>指标名称</t>
  </si>
  <si>
    <t>小计</t>
  </si>
  <si>
    <t>东</t>
  </si>
  <si>
    <t>中</t>
  </si>
  <si>
    <t>西</t>
  </si>
  <si>
    <t>城镇职工基本医保</t>
  </si>
  <si>
    <t>城乡居民基本医保</t>
  </si>
  <si>
    <t>其他社会医疗保险</t>
  </si>
  <si>
    <t>无社会医疗保险</t>
  </si>
  <si>
    <t>单位：亿人次</t>
  </si>
  <si>
    <t>诊疗人次</t>
  </si>
  <si>
    <t>诊疗人次中：
门急诊</t>
  </si>
  <si>
    <t>卫生健康
部门</t>
  </si>
  <si>
    <t>综合医院</t>
  </si>
  <si>
    <t>中医医院</t>
  </si>
  <si>
    <t>注：①1993年以前诊疗人次系推算数字。②2002年前医院数字包括妇幼保健院、专科疾病防治院数字。③2002年以前综合医院不含高</t>
  </si>
  <si>
    <t>等院校附属医院。</t>
  </si>
  <si>
    <t>政府卫生支出/亿元</t>
  </si>
  <si>
    <t>占财政支出比重/%</t>
  </si>
  <si>
    <t>占卫生总费用比重/%</t>
  </si>
  <si>
    <t>占国内生产总值比重/%</t>
  </si>
  <si>
    <t>10 579.23</t>
  </si>
  <si>
    <t>12 475.28</t>
  </si>
  <si>
    <t>13 910.31</t>
  </si>
  <si>
    <t>15 205.87</t>
  </si>
  <si>
    <t>16 399.13</t>
  </si>
  <si>
    <t>18 016.95</t>
  </si>
  <si>
    <t>21 941.90</t>
  </si>
  <si>
    <t>20 676.06</t>
  </si>
  <si>
    <t>24 040.89</t>
  </si>
  <si>
    <t>24 147.89</t>
  </si>
  <si>
    <t>注：①本表按当年价格计算。②2023年为初步核算数。③为保证支出口径均为一般公共预算支出及历史时间序列数据可比，2020—</t>
  </si>
  <si>
    <t>2023年政府卫生支出占财政支出比重中，政府卫生支出不含政府性基金支出下抗疫特别国债安排的支出。</t>
  </si>
  <si>
    <t>年份/
地区</t>
  </si>
  <si>
    <t>城镇居民</t>
  </si>
  <si>
    <t>农村居民</t>
  </si>
  <si>
    <t>人均年消费
支出/元</t>
  </si>
  <si>
    <t>医疗保健支出
占消费性支出
的百分比</t>
  </si>
  <si>
    <t>人均医疗保
健支出/元</t>
  </si>
  <si>
    <t>13 471.5</t>
  </si>
  <si>
    <t>21 392.4</t>
  </si>
  <si>
    <t>23 078.9</t>
  </si>
  <si>
    <t>10 129.8</t>
  </si>
  <si>
    <t>24 445.0</t>
  </si>
  <si>
    <t>10 954.5</t>
  </si>
  <si>
    <t>26 112.3</t>
  </si>
  <si>
    <t>12 124.3</t>
  </si>
  <si>
    <t>28 063.4</t>
  </si>
  <si>
    <t>13 327.7</t>
  </si>
  <si>
    <t>27 007.4</t>
  </si>
  <si>
    <t>13 713.4</t>
  </si>
  <si>
    <t>30 307.2</t>
  </si>
  <si>
    <t>15 915.6</t>
  </si>
  <si>
    <t>30 390.8</t>
  </si>
  <si>
    <t>16 632.1</t>
  </si>
  <si>
    <t>北京</t>
  </si>
  <si>
    <t>45 616.9</t>
  </si>
  <si>
    <t>23 745.4</t>
  </si>
  <si>
    <t>天津</t>
  </si>
  <si>
    <t>33 823.6</t>
  </si>
  <si>
    <t>18 934.2</t>
  </si>
  <si>
    <t>河北</t>
  </si>
  <si>
    <t>25 071.3</t>
  </si>
  <si>
    <t>16 270.6</t>
  </si>
  <si>
    <t>山西</t>
  </si>
  <si>
    <t>21 922.6</t>
  </si>
  <si>
    <t>12 090.9</t>
  </si>
  <si>
    <t>内蒙古</t>
  </si>
  <si>
    <t>26 666.8</t>
  </si>
  <si>
    <t>15 443.6</t>
  </si>
  <si>
    <t>辽宁</t>
  </si>
  <si>
    <t>26 652.2</t>
  </si>
  <si>
    <t>14 326.1</t>
  </si>
  <si>
    <t>吉林</t>
  </si>
  <si>
    <t>21 834.9</t>
  </si>
  <si>
    <t>12 729.2</t>
  </si>
  <si>
    <t>黑龙江</t>
  </si>
  <si>
    <t>24 011.0</t>
  </si>
  <si>
    <t>15 161.8</t>
  </si>
  <si>
    <t>上海</t>
  </si>
  <si>
    <t>48 110.5</t>
  </si>
  <si>
    <t>27 430.3</t>
  </si>
  <si>
    <t>江苏</t>
  </si>
  <si>
    <t>37 795.7</t>
  </si>
  <si>
    <t>22 596.9</t>
  </si>
  <si>
    <t>浙江</t>
  </si>
  <si>
    <t>44 511.2</t>
  </si>
  <si>
    <t>27 483.4</t>
  </si>
  <si>
    <t>安徽</t>
  </si>
  <si>
    <t>26 832.4</t>
  </si>
  <si>
    <t>17 980.4</t>
  </si>
  <si>
    <t>福建</t>
  </si>
  <si>
    <t>35 692.1</t>
  </si>
  <si>
    <t>20 466.5</t>
  </si>
  <si>
    <t>江西</t>
  </si>
  <si>
    <t>25 975.5</t>
  </si>
  <si>
    <t>16 984.4</t>
  </si>
  <si>
    <t>山东</t>
  </si>
  <si>
    <t>28 555.2</t>
  </si>
  <si>
    <t>14 686.7</t>
  </si>
  <si>
    <t>河南</t>
  </si>
  <si>
    <t>23 539.3</t>
  </si>
  <si>
    <t>14 823.9</t>
  </si>
  <si>
    <t>湖北</t>
  </si>
  <si>
    <t>29 120.9</t>
  </si>
  <si>
    <t>18 991.0</t>
  </si>
  <si>
    <t>湖南</t>
  </si>
  <si>
    <t>29 580.1</t>
  </si>
  <si>
    <t>18 077.7</t>
  </si>
  <si>
    <t>广东</t>
  </si>
  <si>
    <t>36 936.2</t>
  </si>
  <si>
    <t>20 800.0</t>
  </si>
  <si>
    <t>广西</t>
  </si>
  <si>
    <t>22 438.1</t>
  </si>
  <si>
    <t>14 657.7</t>
  </si>
  <si>
    <t>海南</t>
  </si>
  <si>
    <t>26 417.6</t>
  </si>
  <si>
    <t>15 145.5</t>
  </si>
  <si>
    <t>重庆</t>
  </si>
  <si>
    <t>30 573.9</t>
  </si>
  <si>
    <t>16 727.1</t>
  </si>
  <si>
    <t>四川</t>
  </si>
  <si>
    <t>27 637.3</t>
  </si>
  <si>
    <t>17 199.0</t>
  </si>
  <si>
    <t>贵州</t>
  </si>
  <si>
    <t>24 229.9</t>
  </si>
  <si>
    <t>13 172.5</t>
  </si>
  <si>
    <t>云南</t>
  </si>
  <si>
    <t>26 239.7</t>
  </si>
  <si>
    <t>13 308.6</t>
  </si>
  <si>
    <t>西藏</t>
  </si>
  <si>
    <t>28 265.4</t>
  </si>
  <si>
    <t>11 138.9</t>
  </si>
  <si>
    <t>陕西</t>
  </si>
  <si>
    <t>24 765.8</t>
  </si>
  <si>
    <t>14 094.2</t>
  </si>
  <si>
    <t>甘肃</t>
  </si>
  <si>
    <t>25 207.0</t>
  </si>
  <si>
    <t>11 494.2</t>
  </si>
  <si>
    <t>青海</t>
  </si>
  <si>
    <t>21 700.2</t>
  </si>
  <si>
    <t>12 515.8</t>
  </si>
  <si>
    <t>宁夏</t>
  </si>
  <si>
    <t>24 213.4</t>
  </si>
  <si>
    <t>12 825.3</t>
  </si>
  <si>
    <t>新疆</t>
  </si>
  <si>
    <t>24 142.3</t>
  </si>
  <si>
    <t>12 169.1</t>
  </si>
  <si>
    <t>注：①本表按当年价格计算。②分地区系2022年数据。③2023年，国家统计局公布数据，仅保留整数。</t>
  </si>
  <si>
    <t>单位:人、%</t>
  </si>
  <si>
    <t>年 龄</t>
  </si>
  <si>
    <t>人 口 数</t>
  </si>
  <si>
    <t>占总人口比重</t>
  </si>
  <si>
    <t>性别比
(女=100)</t>
  </si>
  <si>
    <t>总 计</t>
  </si>
  <si>
    <t>0-4岁</t>
  </si>
  <si>
    <t>0</t>
  </si>
  <si>
    <t>1</t>
  </si>
  <si>
    <t>2</t>
  </si>
  <si>
    <t>3</t>
  </si>
  <si>
    <t>4</t>
  </si>
  <si>
    <t>5-9岁</t>
  </si>
  <si>
    <t>5</t>
  </si>
  <si>
    <t>6</t>
  </si>
  <si>
    <t>7</t>
  </si>
  <si>
    <t>8</t>
  </si>
  <si>
    <t>9</t>
  </si>
  <si>
    <t>10-14岁</t>
  </si>
  <si>
    <t>10</t>
  </si>
  <si>
    <t>11</t>
  </si>
  <si>
    <t>12</t>
  </si>
  <si>
    <t>13</t>
  </si>
  <si>
    <t>14</t>
  </si>
  <si>
    <t>15-19岁</t>
  </si>
  <si>
    <t>15</t>
  </si>
  <si>
    <t>16</t>
  </si>
  <si>
    <t>17</t>
  </si>
  <si>
    <t>18</t>
  </si>
  <si>
    <t>19</t>
  </si>
  <si>
    <t>20-24岁</t>
  </si>
  <si>
    <t>20</t>
  </si>
  <si>
    <t>21</t>
  </si>
  <si>
    <t>22</t>
  </si>
  <si>
    <t>23</t>
  </si>
  <si>
    <t>24</t>
  </si>
  <si>
    <t>25-29岁</t>
  </si>
  <si>
    <t>25</t>
  </si>
  <si>
    <t>26</t>
  </si>
  <si>
    <t>27</t>
  </si>
  <si>
    <t>28</t>
  </si>
  <si>
    <t>29</t>
  </si>
  <si>
    <t>30-34岁</t>
  </si>
  <si>
    <t>30</t>
  </si>
  <si>
    <t>31</t>
  </si>
  <si>
    <t>32</t>
  </si>
  <si>
    <t>33</t>
  </si>
  <si>
    <t>34</t>
  </si>
  <si>
    <t>35-39岁</t>
  </si>
  <si>
    <t>35</t>
  </si>
  <si>
    <t>36</t>
  </si>
  <si>
    <t>37</t>
  </si>
  <si>
    <t>38</t>
  </si>
  <si>
    <t>39</t>
  </si>
  <si>
    <t>40-44岁</t>
  </si>
  <si>
    <t>40</t>
  </si>
  <si>
    <t>41</t>
  </si>
  <si>
    <t>42</t>
  </si>
  <si>
    <t>43</t>
  </si>
  <si>
    <t>44</t>
  </si>
  <si>
    <t>45-49岁</t>
  </si>
  <si>
    <t>45</t>
  </si>
  <si>
    <t>46</t>
  </si>
  <si>
    <t>47</t>
  </si>
  <si>
    <t>48</t>
  </si>
  <si>
    <t>49</t>
  </si>
  <si>
    <t>50-54岁</t>
  </si>
  <si>
    <t>50</t>
  </si>
  <si>
    <t>51</t>
  </si>
  <si>
    <t>52</t>
  </si>
  <si>
    <t>53</t>
  </si>
  <si>
    <t>54</t>
  </si>
  <si>
    <t>55-59 岁</t>
  </si>
  <si>
    <t>55</t>
  </si>
  <si>
    <t>56</t>
  </si>
  <si>
    <t>57</t>
  </si>
  <si>
    <t>58</t>
  </si>
  <si>
    <t>59</t>
  </si>
  <si>
    <t>60-64岁</t>
  </si>
  <si>
    <t>60</t>
  </si>
  <si>
    <t>61</t>
  </si>
  <si>
    <t>62</t>
  </si>
  <si>
    <t>63</t>
  </si>
  <si>
    <t>64</t>
  </si>
  <si>
    <t>65-69岁</t>
  </si>
  <si>
    <t>65</t>
  </si>
  <si>
    <t>66</t>
  </si>
  <si>
    <t>67</t>
  </si>
  <si>
    <t>68</t>
  </si>
  <si>
    <t>69</t>
  </si>
  <si>
    <t>70-74 岁</t>
  </si>
  <si>
    <t>70</t>
  </si>
  <si>
    <t>71</t>
  </si>
  <si>
    <t>72</t>
  </si>
  <si>
    <t>73</t>
  </si>
  <si>
    <t>74</t>
  </si>
  <si>
    <t>75-79岁</t>
  </si>
  <si>
    <t>75</t>
  </si>
  <si>
    <t>76</t>
  </si>
  <si>
    <t>77</t>
  </si>
  <si>
    <t>78</t>
  </si>
  <si>
    <t>79</t>
  </si>
  <si>
    <t>80-84岁</t>
  </si>
  <si>
    <t>80</t>
  </si>
  <si>
    <t>81</t>
  </si>
  <si>
    <t>82</t>
  </si>
  <si>
    <t>83</t>
  </si>
  <si>
    <t>84</t>
  </si>
  <si>
    <t>85-89岁</t>
  </si>
  <si>
    <t>85</t>
  </si>
  <si>
    <t>86</t>
  </si>
  <si>
    <t>87</t>
  </si>
  <si>
    <t>88</t>
  </si>
  <si>
    <t>89</t>
  </si>
  <si>
    <t>90-94岁</t>
  </si>
  <si>
    <t>90</t>
  </si>
  <si>
    <t>91</t>
  </si>
  <si>
    <t>92</t>
  </si>
  <si>
    <t>93</t>
  </si>
  <si>
    <t>94</t>
  </si>
  <si>
    <t>95-99岁</t>
  </si>
  <si>
    <t>95</t>
  </si>
  <si>
    <t>96</t>
  </si>
  <si>
    <t>97</t>
  </si>
  <si>
    <t>98</t>
  </si>
  <si>
    <t>99</t>
  </si>
  <si>
    <t>100岁及以上</t>
  </si>
  <si>
    <t>Five-Year Age Groups</t>
  </si>
  <si>
    <t>Deaths</t>
  </si>
  <si>
    <t>Population</t>
  </si>
  <si>
    <t>Crude Rate</t>
  </si>
  <si>
    <t>&lt; 1 year</t>
  </si>
  <si>
    <t>1-4 years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</si>
  <si>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</si>
  <si>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</si>
  <si>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</si>
  <si>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</si>
  <si>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</si>
  <si>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</si>
  <si>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</si>
  <si>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</si>
  <si>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</si>
  <si>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</si>
  <si>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</si>
  <si>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 xml:space="preserve">60-64 years </t>
  </si>
  <si>
    <t>65-69 years</t>
  </si>
  <si>
    <t>70-74 years</t>
  </si>
  <si>
    <t>75-79 years</t>
  </si>
  <si>
    <t>80-84 years</t>
  </si>
  <si>
    <t>85-89 years</t>
  </si>
  <si>
    <t>Not Applicable</t>
  </si>
  <si>
    <t>90-94 years</t>
  </si>
  <si>
    <t>95-99 years</t>
  </si>
  <si>
    <t>100+ years</t>
  </si>
  <si>
    <t>Not Stated</t>
  </si>
  <si>
    <t>Single-Year Ages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</si>
  <si>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</si>
  <si>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</si>
  <si>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</si>
  <si>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</si>
  <si>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</si>
  <si>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</si>
  <si>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</si>
  <si>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</si>
  <si>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</si>
  <si>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</si>
  <si>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</si>
  <si>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</si>
  <si>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</si>
  <si>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</si>
  <si>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</si>
  <si>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</si>
  <si>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</si>
  <si>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</si>
  <si>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</si>
  <si>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</si>
  <si>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</si>
  <si>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</si>
  <si>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</si>
  <si>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</si>
  <si>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</si>
  <si>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</si>
  <si>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</si>
  <si>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</si>
  <si>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</si>
  <si>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</si>
  <si>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</si>
  <si>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</si>
  <si>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</si>
  <si>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</si>
  <si>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</si>
  <si>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</si>
  <si>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</si>
  <si>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</si>
  <si>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</si>
  <si>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</si>
  <si>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</si>
  <si>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</si>
  <si>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</si>
  <si>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</si>
  <si>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</si>
  <si>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</si>
  <si>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</si>
  <si>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</si>
  <si>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</si>
  <si>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</si>
  <si>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</si>
  <si>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</si>
  <si>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</si>
  <si>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</si>
  <si>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</si>
  <si>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</si>
  <si>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</si>
  <si>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</si>
  <si>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</si>
  <si>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</si>
  <si>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</si>
  <si>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</si>
  <si>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</si>
  <si>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</si>
  <si>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</si>
  <si>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</si>
  <si>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</si>
  <si>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</si>
  <si>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</si>
  <si>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</si>
  <si>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</si>
  <si>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</si>
  <si>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</si>
  <si>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</si>
  <si>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</si>
  <si>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</si>
  <si>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</si>
  <si>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</si>
  <si>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</si>
  <si>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</si>
  <si>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</si>
  <si>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</si>
  <si>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</si>
  <si>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</si>
  <si>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</si>
  <si>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</si>
  <si>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</si>
  <si>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</si>
  <si>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</si>
  <si>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</si>
  <si>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</si>
  <si>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</si>
  <si>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</si>
  <si>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</si>
  <si>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</si>
  <si>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</si>
  <si>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</si>
  <si>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</si>
  <si>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</t>
  </si>
  <si>
    <t>平均人口</t>
  </si>
  <si>
    <t>死亡人口</t>
  </si>
  <si>
    <t>差异</t>
  </si>
  <si>
    <t>差异率</t>
  </si>
  <si>
    <t>中国</t>
  </si>
  <si>
    <t>美国</t>
  </si>
  <si>
    <t>对比</t>
  </si>
  <si>
    <t>年龄组</t>
  </si>
  <si>
    <t>死亡数</t>
  </si>
  <si>
    <t>粗死亡率</t>
  </si>
  <si>
    <t>死亡率差</t>
  </si>
  <si>
    <t>死亡率差异率</t>
  </si>
  <si>
    <t>0岁</t>
  </si>
  <si>
    <t>1-4岁</t>
  </si>
  <si>
    <t>35-39 岁</t>
  </si>
  <si>
    <t>55-59岁</t>
  </si>
  <si>
    <t>60-64 years</t>
  </si>
  <si>
    <t>70-74岁</t>
  </si>
  <si>
    <t>单位：1/10万</t>
  </si>
  <si>
    <t>疾病名称（ICD-10）</t>
  </si>
  <si>
    <t>不满1岁</t>
  </si>
  <si>
    <t>1～</t>
  </si>
  <si>
    <t>5～</t>
  </si>
  <si>
    <t>10～</t>
  </si>
  <si>
    <t>15～</t>
  </si>
  <si>
    <t>20～</t>
  </si>
  <si>
    <t>25～</t>
  </si>
  <si>
    <t>30～</t>
  </si>
  <si>
    <t>35～</t>
  </si>
  <si>
    <t>40～</t>
  </si>
  <si>
    <t>45～</t>
  </si>
  <si>
    <t>50～</t>
  </si>
  <si>
    <t>55～</t>
  </si>
  <si>
    <t>60～</t>
  </si>
  <si>
    <t>65～</t>
  </si>
  <si>
    <t>70～</t>
  </si>
  <si>
    <t>75～</t>
  </si>
  <si>
    <t>80～</t>
  </si>
  <si>
    <t>85岁及以上</t>
  </si>
  <si>
    <t>总计</t>
  </si>
  <si>
    <t>一、传染病和寄生虫病小计</t>
  </si>
  <si>
    <t xml:space="preserve">  其中:传染病计</t>
  </si>
  <si>
    <t xml:space="preserve">         内:痢疾</t>
  </si>
  <si>
    <t xml:space="preserve">            肠道其他细菌性传染病</t>
  </si>
  <si>
    <t xml:space="preserve">            呼吸道结核</t>
  </si>
  <si>
    <t xml:space="preserve">            破伤风</t>
  </si>
  <si>
    <t xml:space="preserve">            脑膜炎球菌感染</t>
  </si>
  <si>
    <t xml:space="preserve">            败血症</t>
  </si>
  <si>
    <t xml:space="preserve">            性传播疾病</t>
  </si>
  <si>
    <t xml:space="preserve">            狂犬病</t>
  </si>
  <si>
    <t xml:space="preserve">            流行性乙型脑炎</t>
  </si>
  <si>
    <t xml:space="preserve">            病毒性肝炎</t>
  </si>
  <si>
    <t xml:space="preserve">            艾滋病</t>
  </si>
  <si>
    <t xml:space="preserve">         寄生虫病计</t>
  </si>
  <si>
    <t xml:space="preserve">           内:血吸虫病</t>
  </si>
  <si>
    <t>二、肿瘤小计</t>
  </si>
  <si>
    <t xml:space="preserve">  其中:恶性肿瘤计</t>
  </si>
  <si>
    <t xml:space="preserve">         内:鼻咽癌</t>
  </si>
  <si>
    <t xml:space="preserve">            食管癌</t>
  </si>
  <si>
    <t xml:space="preserve">            胃癌</t>
  </si>
  <si>
    <t xml:space="preserve">            结肠、直肠和肛门癌</t>
  </si>
  <si>
    <t xml:space="preserve">              内:结肠癌</t>
  </si>
  <si>
    <t xml:space="preserve">                 直肠癌</t>
  </si>
  <si>
    <t xml:space="preserve">            肝癌</t>
  </si>
  <si>
    <t xml:space="preserve">            胆囊癌</t>
  </si>
  <si>
    <t xml:space="preserve">            胰腺癌</t>
  </si>
  <si>
    <t xml:space="preserve">            肺癌</t>
  </si>
  <si>
    <t xml:space="preserve">            乳腺癌</t>
  </si>
  <si>
    <t xml:space="preserve">            宫颈癌</t>
  </si>
  <si>
    <t xml:space="preserve">            卵巢癌</t>
  </si>
  <si>
    <t xml:space="preserve">            前列腺癌</t>
  </si>
  <si>
    <t xml:space="preserve">            膀胱癌</t>
  </si>
  <si>
    <t xml:space="preserve">            脑及神经系统恶性肿瘤</t>
  </si>
  <si>
    <t xml:space="preserve">            白血病</t>
  </si>
  <si>
    <t xml:space="preserve">       良性肿瘤计</t>
  </si>
  <si>
    <t>三、血液、造血器官及免疫疾病小计</t>
  </si>
  <si>
    <t xml:space="preserve">  其中:贫血</t>
  </si>
  <si>
    <t>四、内分泌、营养和代谢疾病小计</t>
  </si>
  <si>
    <t xml:space="preserve">  其中:甲状腺疾患</t>
  </si>
  <si>
    <t xml:space="preserve">       糖尿病</t>
  </si>
  <si>
    <t>五、精神和行为障碍小计</t>
  </si>
  <si>
    <t xml:space="preserve">  其中:痴呆</t>
  </si>
  <si>
    <t>六、神经系统疾病小计</t>
  </si>
  <si>
    <t xml:space="preserve">  其中:脑膜炎</t>
  </si>
  <si>
    <t xml:space="preserve">       帕金森病</t>
  </si>
  <si>
    <t>七、循环系统疾病小计</t>
  </si>
  <si>
    <t xml:space="preserve">  其中:心脏病计</t>
  </si>
  <si>
    <t xml:space="preserve">         内:慢性风湿性心脏病</t>
  </si>
  <si>
    <t xml:space="preserve">            高血压性心脏病</t>
  </si>
  <si>
    <t xml:space="preserve">            冠心病</t>
  </si>
  <si>
    <t xml:space="preserve">              内:急性心肌梗死</t>
  </si>
  <si>
    <t xml:space="preserve">       其他高血压病</t>
  </si>
  <si>
    <t xml:space="preserve">          脑血管疾病计</t>
  </si>
  <si>
    <t xml:space="preserve">              内:脑出血</t>
  </si>
  <si>
    <t xml:space="preserve">                 脑梗死</t>
  </si>
  <si>
    <t xml:space="preserve">                 卒中（未特指出血或梗死）</t>
  </si>
  <si>
    <t>八、呼吸系统疾病小计</t>
  </si>
  <si>
    <t xml:space="preserve">  其中:肺炎</t>
  </si>
  <si>
    <t xml:space="preserve">       慢性下呼吸道疾病</t>
  </si>
  <si>
    <t xml:space="preserve">           内:慢性支气管肺炎</t>
  </si>
  <si>
    <t xml:space="preserve">              肺气肿</t>
  </si>
  <si>
    <t xml:space="preserve">       尘肺</t>
  </si>
  <si>
    <t>九、消化系统疾病小计</t>
  </si>
  <si>
    <t xml:space="preserve">  其中:胃和十二指肠溃疡</t>
  </si>
  <si>
    <t xml:space="preserve">       阑尾炎</t>
  </si>
  <si>
    <t xml:space="preserve">       肠梗阻</t>
  </si>
  <si>
    <t xml:space="preserve">       肝疾病</t>
  </si>
  <si>
    <t xml:space="preserve">         内:肝硬化</t>
  </si>
  <si>
    <t>十、肌肉骨骼和结缔组织疾病小计</t>
  </si>
  <si>
    <t xml:space="preserve">  其中:系统性红斑狼疮</t>
  </si>
  <si>
    <t>十一、泌尿生殖系统疾病小计</t>
  </si>
  <si>
    <t xml:space="preserve">  其中:肾小球和肾小管间质疾病</t>
  </si>
  <si>
    <t xml:space="preserve">       肾衰竭</t>
  </si>
  <si>
    <t xml:space="preserve">       前列腺增生</t>
  </si>
  <si>
    <t>十二、妊娠、分娩和产褥期并发症小计</t>
  </si>
  <si>
    <t xml:space="preserve">  其中:直接产科原因计</t>
  </si>
  <si>
    <t xml:space="preserve">         内:流产</t>
  </si>
  <si>
    <t xml:space="preserve">            妊娠高血压综合征</t>
  </si>
  <si>
    <t xml:space="preserve">            产后出血</t>
  </si>
  <si>
    <t xml:space="preserve">            产褥期感染</t>
  </si>
  <si>
    <t xml:space="preserve">       间接产科原因计</t>
  </si>
  <si>
    <t>十三、起源于围生期的情况小计</t>
  </si>
  <si>
    <t xml:space="preserve">  其中:早产儿和未成熟儿</t>
  </si>
  <si>
    <t xml:space="preserve">       新生儿产伤和窒息</t>
  </si>
  <si>
    <t>十四、先天畸形、变形和染色体异常小计</t>
  </si>
  <si>
    <t xml:space="preserve">  其中:先天性心脏病</t>
  </si>
  <si>
    <t xml:space="preserve">       先天性脑畸形</t>
  </si>
  <si>
    <t>十五、诊断不明小计</t>
  </si>
  <si>
    <t>十六、其他疾病小计</t>
  </si>
  <si>
    <t>十七、损伤和中毒小计</t>
  </si>
  <si>
    <t xml:space="preserve">  其中:机动车辆交通事故</t>
  </si>
  <si>
    <t xml:space="preserve">       内:行人与机动车发生的交通事故</t>
  </si>
  <si>
    <t xml:space="preserve">          机动车与机动车发生的交通事故</t>
  </si>
  <si>
    <t xml:space="preserve">          机动车以外的运输事故</t>
  </si>
  <si>
    <t xml:space="preserve">       意外中毒</t>
  </si>
  <si>
    <t xml:space="preserve">       意外跌落</t>
  </si>
  <si>
    <t xml:space="preserve">       火灾</t>
  </si>
  <si>
    <t xml:space="preserve">       溺水</t>
  </si>
  <si>
    <t xml:space="preserve">       意外的机械性窒息</t>
  </si>
  <si>
    <t xml:space="preserve">       砸死</t>
  </si>
  <si>
    <t xml:space="preserve">       触电</t>
  </si>
  <si>
    <t xml:space="preserve">       自杀</t>
  </si>
  <si>
    <t xml:space="preserve">       被杀</t>
  </si>
  <si>
    <t>Cause of death</t>
  </si>
  <si>
    <t>Accidental poisoning by and exposure to other and unspecified drugs, medicaments and biological substances</t>
  </si>
  <si>
    <t>Accidental poisoning by and exposure to narcotics and psychodysleptics [hallucinogens], not elsewhere classified</t>
  </si>
  <si>
    <t>Assault by other and unspecified firearm discharge</t>
  </si>
  <si>
    <t>Intentional self-harm by hanging, strangulation and suffocation</t>
  </si>
  <si>
    <t>Intentional self-harm by other and unspecified firearm discharge</t>
  </si>
  <si>
    <t>Person injured in unspecified motor-vehicle accident, traffic</t>
  </si>
  <si>
    <t>Alcoholic cirrhosis of liver</t>
  </si>
  <si>
    <t>Other ill-defined and unspecified causes of mortality</t>
  </si>
  <si>
    <t>Accidental poisoning by and exposure to antiepileptic, sedative-hypnotic, antiparkinsonism and psychotropic drugs, not elsewhere classified</t>
  </si>
  <si>
    <t>Intentional self-harm by handgun discharge</t>
  </si>
  <si>
    <t>Pedestrian injured in traffic accident involving other and unspecified motor vehicles</t>
  </si>
  <si>
    <t>Person injured in collision between other specified motor vehicles (traffic)</t>
  </si>
  <si>
    <t>Hypertensive heart disease without (congestive) heart failure</t>
  </si>
  <si>
    <t>Mental and behavioural disorders due to use of alcohol, harmful use</t>
  </si>
  <si>
    <t>Mental and behavioural disorders due to use of alcohol, dependence syndrome</t>
  </si>
  <si>
    <t>Breast, unspecified - Malignant neoplasms</t>
  </si>
  <si>
    <t>Driver injured in collision with other and unspecified motor vehicles in traffic accident</t>
  </si>
  <si>
    <t>Atherosclerotic cardiovascular disease, so described</t>
  </si>
  <si>
    <t>Septicaemia, unspecified</t>
  </si>
  <si>
    <t>Unspecified diabetes mellitus, with ketoacidosis</t>
  </si>
  <si>
    <t>Pedestrian injured in collision with car, pick-up truck or van, traffic accident</t>
  </si>
  <si>
    <t>Assault by sharp object</t>
  </si>
  <si>
    <t>Other and unspecified cirrhosis of liver</t>
  </si>
  <si>
    <t>Intentional self-poisoning by and exposure to other and unspecified drugs, medicaments and biological substances</t>
  </si>
  <si>
    <t>Other obesity</t>
  </si>
  <si>
    <t>Acute myocardial infarction, unspecified</t>
  </si>
  <si>
    <t>Brain, unspecified - Malignant neoplasms</t>
  </si>
  <si>
    <t>Colon, unspecified - Malignant neoplasms</t>
  </si>
  <si>
    <t>Poisoning by and exposure to narcotics and psychodysleptics [hallucinogens], not elsewhere classified, undetermined intent</t>
  </si>
  <si>
    <t>Accidental poisoning by and exposure to alcohol</t>
  </si>
  <si>
    <t>Motorcycle rider [any] injured in unspecified traffic accident</t>
  </si>
  <si>
    <t>Infantile cerebral palsy, unspecified</t>
  </si>
  <si>
    <t>Epilepsy, unspecified</t>
  </si>
  <si>
    <t>Pneumonia, unspecified</t>
  </si>
  <si>
    <t>Drowning and submersion while in natural water</t>
  </si>
  <si>
    <t>Atherosclerotic heart disease</t>
  </si>
  <si>
    <t>Pulmonary embolism without mention of acute cor pulmonale</t>
  </si>
  <si>
    <t>Unspecified diabetes mellitus, without complications</t>
  </si>
  <si>
    <t>Intentional self-harm by rifle, shotgun and larger firearm discharge</t>
  </si>
  <si>
    <t>COVID-19</t>
  </si>
  <si>
    <t>Motorcycle rider injured in collision with car, pick-up truck or van, driver injured in traffic accident</t>
  </si>
  <si>
    <t>Assault by handgun discharge</t>
  </si>
  <si>
    <t>Car occupant injured in collision with car, pick-up truck or van, driver injured in traffic accident</t>
  </si>
  <si>
    <t>Anoxic brain damage, not elsewhere classified</t>
  </si>
  <si>
    <t>Cardiomyopathy, unspecified</t>
  </si>
  <si>
    <t>Poisoning by and exposure to other and unspecified drugs, medicaments and biological substances, undetermined intent</t>
  </si>
  <si>
    <t>Intentional self-harm by jumping from a high place</t>
  </si>
  <si>
    <t>Car occupant injured in collision with fixed or stationary object, driver injured in traffic accident</t>
  </si>
  <si>
    <t>Cervix uteri, unspecified - Malignant neoplasms</t>
  </si>
  <si>
    <t>Asthma, unspecified</t>
  </si>
  <si>
    <t>Chronic kidney disease, stage 5</t>
  </si>
  <si>
    <t>Mental and behavioural disorders due to multiple drug use and use of other psychoactive substances, harmful use</t>
  </si>
  <si>
    <t>Alcoholic hepatic failure</t>
  </si>
  <si>
    <t>Obesity, unspecified</t>
  </si>
  <si>
    <t>Alcoholic hepatitis</t>
  </si>
  <si>
    <t>Accidental poisoning by and exposure to other gases and vapours</t>
  </si>
  <si>
    <t>Intentional self-poisoning by and exposure to other gases and vapours</t>
  </si>
  <si>
    <t>Connective and soft tissue, unspecified - Malignant neoplasms</t>
  </si>
  <si>
    <t>Car occupant [any] injured in unspecified traffic accident</t>
  </si>
  <si>
    <t>Assault by unspecified means</t>
  </si>
  <si>
    <t>Legal intervention involving firearm discharge</t>
  </si>
  <si>
    <t>Malignant neoplasm without specification of site</t>
  </si>
  <si>
    <t>Alcoholic liver disease, unspecified</t>
  </si>
  <si>
    <t>Intentional self-harm by sharp object</t>
  </si>
  <si>
    <t>Cardiac arrhythmia, unspecified</t>
  </si>
  <si>
    <t>Intentional self-harm by jumping or lying before moving object</t>
  </si>
  <si>
    <t>Bronchus or lung, unspecified - Malignant neoplasms</t>
  </si>
  <si>
    <t>Dilated cardiomyopathy</t>
  </si>
  <si>
    <t>Pneumonitis due to food and vomit</t>
  </si>
  <si>
    <t>Exposure to uncontrolled fire in building or structure</t>
  </si>
  <si>
    <t>Testis, unspecified - Malignant neoplasms</t>
  </si>
  <si>
    <t>Phlebitis and thrombophlebitis of other deep vessels of lower extremities</t>
  </si>
  <si>
    <t>Cardiomegaly</t>
  </si>
  <si>
    <t>Stomach, unspecified - Malignant neoplasms</t>
  </si>
  <si>
    <t>Subarachnoid haemorrhage, unspecified</t>
  </si>
  <si>
    <t>Death from indirect obstetric cause occurring more than 42 days but less than one year after delivery</t>
  </si>
  <si>
    <t>Congestive heart failure</t>
  </si>
  <si>
    <t>Acute pancreatitis, unspecified</t>
  </si>
  <si>
    <t>Other and unspecified convulsions</t>
  </si>
  <si>
    <t>Unspecified whether traffic or nontraffic accident</t>
  </si>
  <si>
    <t>Acute myeloid leukaemia - Malignant neoplasms</t>
  </si>
  <si>
    <t>Acute renal failure, unspecified</t>
  </si>
  <si>
    <t>Cardiac arrest, unspecified</t>
  </si>
  <si>
    <t>Dissection of aorta [any part]</t>
  </si>
  <si>
    <t>Intentional self-poisoning by and exposure to antiepileptic, sedative-hypnotic, antiparkinsonism and psychotropic drugs, not elsewhere classified</t>
  </si>
  <si>
    <t>Alcoholic fatty liver</t>
  </si>
  <si>
    <t>Motorcycle rider injured in collision with fixed or stationary object, driver injured in traffic accident</t>
  </si>
  <si>
    <t>Intracerebral haemorrhage, unspecified</t>
  </si>
  <si>
    <t>Heart failure, unspecified</t>
  </si>
  <si>
    <t>Sequelae of motor-vehicle accident</t>
  </si>
  <si>
    <t>Malignant melanoma of skin, unspecified - Malignant neoplasms</t>
  </si>
  <si>
    <t>HIV disease resulting in other specified conditions</t>
  </si>
  <si>
    <t>Essential (primary) hypertension</t>
  </si>
  <si>
    <t>Unspecified diabetes mellitus, with renal complications</t>
  </si>
  <si>
    <t>Malignant neoplasm of ovary</t>
  </si>
  <si>
    <t>Endocarditis, valve unspecified</t>
  </si>
  <si>
    <t>Insulin-dependent diabetes mellitus, with renal complications</t>
  </si>
  <si>
    <t>Stroke, not specified as haemorrhage or infarction</t>
  </si>
  <si>
    <t>Hepatic failure, unspecified</t>
  </si>
  <si>
    <t>Assault by rifle, shotgun and larger firearm discharge</t>
  </si>
  <si>
    <t>Acute and subacute infective endocarditis</t>
  </si>
  <si>
    <t>Acute lymphoblastic leukaemia - Malignant neoplasms</t>
  </si>
  <si>
    <t>Insulin-dependent diabetes mellitus, without complications</t>
  </si>
  <si>
    <t>Insulin-dependent diabetes mellitus, with ketoacidosis</t>
  </si>
  <si>
    <t>Other secondary pulmonary hypertension</t>
  </si>
  <si>
    <t>Systemic lupus erythematosus with organ or system involvement</t>
  </si>
  <si>
    <t>Mental and behavioural disorders due to multiple drug use and use of other psychoactive substances, unspecified mental and behavioural disorder</t>
  </si>
  <si>
    <t>Unspecified fall</t>
  </si>
  <si>
    <t>Exposure to excessive natural heat</t>
  </si>
  <si>
    <t>Struck by thrown, projected or falling object</t>
  </si>
  <si>
    <t>Unspecified event, undetermined intent</t>
  </si>
  <si>
    <t>Sequelae of assault</t>
  </si>
  <si>
    <t>Fatty (change of) liver, not elsewhere classified</t>
  </si>
  <si>
    <t>Exposure to unspecified factor causing other and unspecified injury</t>
  </si>
  <si>
    <t>Muscular dystrophy</t>
  </si>
  <si>
    <t>Unspecified human immunodeficiency virus [HIV] disease</t>
  </si>
  <si>
    <t>HIV disease resulting in multiple diseases classified elsewhere</t>
  </si>
  <si>
    <t>Other fall on same level</t>
  </si>
  <si>
    <t>Car occupant injured in noncollision transport accident, driver injured in traffic accident</t>
  </si>
  <si>
    <t>Sickle-cell anaemia without crisis</t>
  </si>
  <si>
    <t>Pancreas, unspecified - Malignant neoplasms</t>
  </si>
  <si>
    <t>Hypertensive heart disease with (congestive) heart failure</t>
  </si>
  <si>
    <t>Hypertensive renal disease with renal failure</t>
  </si>
  <si>
    <t>Intentional self-harm by drowning and submersion</t>
  </si>
  <si>
    <t>Other and unspecified firearm discharge, undetermined intent</t>
  </si>
  <si>
    <t>HIV disease resulting in multiple infections</t>
  </si>
  <si>
    <t>Intracranial haemorrhage (nontraumatic), unspecified</t>
  </si>
  <si>
    <t>Liver disease, unspecified</t>
  </si>
  <si>
    <t>Sequelae of other accidents</t>
  </si>
  <si>
    <t>Malignant neoplasm of rectum</t>
  </si>
  <si>
    <t>Non-Hodgkin lymphoma large cell (diffuse)</t>
  </si>
  <si>
    <t>Drowning and submersion while in bath-tub</t>
  </si>
  <si>
    <t>Car occupant injured in collision with car, pick-up truck or van, passenger injured in traffic accident</t>
  </si>
  <si>
    <t>Mental and behavioural disorders due to use of alcohol, unspecified mental and behavioural disorder</t>
  </si>
  <si>
    <t>Unspecified threat to breathing</t>
  </si>
  <si>
    <t>Status asthmaticus</t>
  </si>
  <si>
    <t>Car occupant injured in collision with heavy transport vehicle or bus, driver injured in traffic accident</t>
  </si>
  <si>
    <t>Non-insulin-dependent diabetes mellitus, without complications</t>
  </si>
  <si>
    <t>Gastrointestinal haemorrhage, unspecified</t>
  </si>
  <si>
    <t>Bone and articular cartilage, unspecified - Malignant neoplasms</t>
  </si>
  <si>
    <t>Hodgkin disease, unspecified</t>
  </si>
  <si>
    <t>Assault by hanging, strangulation and suffocation</t>
  </si>
  <si>
    <t>Drowning and submersion, undetermined intent</t>
  </si>
  <si>
    <t>Malignant neoplasm of kidney, except renal pelvis</t>
  </si>
  <si>
    <t>Intrahepatic bile duct carcinoma - Malignant neoplasms</t>
  </si>
  <si>
    <t>Motorcycle rider injured in noncollision transport accident, driver injured in traffic accident</t>
  </si>
  <si>
    <t>Poisoning by and exposure to antiepileptic, sedative-hypnotic, antiparkinsonism and psychotropic drugs, not elsewhere classified, undetermined intent</t>
  </si>
  <si>
    <t>Oesophagus, unspecified - Malignant neoplasms</t>
  </si>
  <si>
    <t>Motor neuron disease</t>
  </si>
  <si>
    <t>Congenital malformation of heart, unspecified</t>
  </si>
  <si>
    <t>HIV disease resulting in other bacterial infections</t>
  </si>
  <si>
    <t>Vascular disorder of intestine, unspecified</t>
  </si>
  <si>
    <t>Acute and subacute hepatic failure</t>
  </si>
  <si>
    <t>Diseases of the circulatory system complicating pregnancy, childbirth and the puerperium</t>
  </si>
  <si>
    <t>Malignant neoplasm of rectosigmoid junction</t>
  </si>
  <si>
    <t>Malignant neoplasms of independent (primary) multiple sites</t>
  </si>
  <si>
    <t>Other hypertrophic cardiomyopathy</t>
  </si>
  <si>
    <t>Alcohol-induced acute pancreatitis</t>
  </si>
  <si>
    <t>Myocarditis, unspecified</t>
  </si>
  <si>
    <t>Cerebral infarction, unspecified</t>
  </si>
  <si>
    <t>Non-Hodgkin lymphoma, unspecified type</t>
  </si>
  <si>
    <t>Brain, unspecified - Uncertain neoplasms</t>
  </si>
  <si>
    <t>Pedestrian injured in collision with heavy transport vehicle or bus, traffic accident</t>
  </si>
  <si>
    <t>Liver cell carcinoma - Malignant neoplasms</t>
  </si>
  <si>
    <t>Adult respiratory distress syndrome</t>
  </si>
  <si>
    <t>Driver of all-terrain or other off-road motor vehicle injured in traffic accident</t>
  </si>
  <si>
    <t>Occupant of pick-up truck or van injured in collision with fixed or stationary object, driver injured in traffic accident</t>
  </si>
  <si>
    <t>Driver of all-terrain or other off-road motor vehicle injured in nontraffic accident</t>
  </si>
  <si>
    <t>Other specified pregnancy-related conditions</t>
  </si>
  <si>
    <t>Car occupant injured in collision with car, pick-up truck or van, unspecified car occupant injured in traffic accident</t>
  </si>
  <si>
    <t>Multiple sclerosis</t>
  </si>
  <si>
    <t>Huntington disease</t>
  </si>
  <si>
    <t>Drowning and submersion while in swimming-pool</t>
  </si>
  <si>
    <t>Intentional self-poisoning by and exposure to narcotics and psychodysleptics [hallucinogens], not elsewhere classified</t>
  </si>
  <si>
    <t>Discharge from other and unspecified firearms</t>
  </si>
  <si>
    <t>Legal intervention involving other specified means</t>
  </si>
  <si>
    <t>Unspecified renal failure</t>
  </si>
  <si>
    <t>Lobar pneumonia, unspecified</t>
  </si>
  <si>
    <t>Other fall from one level to another</t>
  </si>
  <si>
    <t>Unspecified drowning and submersion</t>
  </si>
  <si>
    <t>Hypertensive heart and renal disease with renal failure</t>
  </si>
  <si>
    <t>Status epilepticus, unspecified</t>
  </si>
  <si>
    <t>Haemophagocytic lymphohistiocytosis</t>
  </si>
  <si>
    <t>Unspecified aircraft accident injuring occupant</t>
  </si>
  <si>
    <t>Chronic obstructive pulmonary disease, unspecified</t>
  </si>
  <si>
    <t>Non-insulin-dependent diabetes mellitus, with renal complications</t>
  </si>
  <si>
    <t>Endometrium - Malignant neoplasms</t>
  </si>
  <si>
    <t>Unspecified diabetes mellitus, with multiple complications</t>
  </si>
  <si>
    <t>Exposure to excessive natural cold</t>
  </si>
  <si>
    <t>Cardiovascular disease, unspecified</t>
  </si>
  <si>
    <t>Chronic renal failure, unspecified</t>
  </si>
  <si>
    <t>Acidosis</t>
  </si>
  <si>
    <t>Other specified conduction disorders</t>
  </si>
  <si>
    <t>Other accidental hanging and strangulation</t>
  </si>
  <si>
    <t>Influenza with pneumonia, influenza virus identified</t>
  </si>
  <si>
    <t>Fall from, out of or through building or structure</t>
  </si>
  <si>
    <t>Cerebral oedema</t>
  </si>
  <si>
    <t>Mental and behavioural disorders due to use of opioids, unspecified mental and behavioural disorder</t>
  </si>
  <si>
    <t>Assault by other specified means</t>
  </si>
  <si>
    <t>Other specified diseases and conditions complicating pregnancy, childbirth and the puerperium</t>
  </si>
  <si>
    <t>Urinary tract infection, site not specified</t>
  </si>
  <si>
    <t>Inhalation and ingestion of other objects causing obstruction of respiratory tract</t>
  </si>
  <si>
    <t>Fall on and from stairs and steps</t>
  </si>
  <si>
    <t>Alcoholic cardiomyopathy</t>
  </si>
  <si>
    <t>Mental and behavioural disorders due to use of alcohol, withdrawal state</t>
  </si>
  <si>
    <t>HIV disease resulting in other infectious and parasitic diseases</t>
  </si>
  <si>
    <t>Interstitial pulmonary disease, unspecified</t>
  </si>
  <si>
    <t>Other and unspecified intestinal obstruction</t>
  </si>
  <si>
    <t>Insulin-dependent diabetes mellitus, with multiple complications</t>
  </si>
  <si>
    <t>Mental and behavioural disorders due to use of cocaine, unspecified mental and behavioural disorder</t>
  </si>
  <si>
    <t>Occupant of pick-up truck or van injured in noncollision transport accident, driver injured in traffic accident</t>
  </si>
  <si>
    <t>Person injured in collision between car and two- or three-wheeled motor vehicle (traffic)</t>
  </si>
  <si>
    <t>Heart disease, unspecified</t>
  </si>
  <si>
    <t>Respiratory failure, unspecified</t>
  </si>
  <si>
    <t>Encephalopathy, unspecified</t>
  </si>
  <si>
    <t>Gastroenteritis and colitis of unspecified origin</t>
  </si>
  <si>
    <t>Chronic viral hepatitis C</t>
  </si>
  <si>
    <t>Other specified cerebrovascular diseases</t>
  </si>
  <si>
    <t>Frontal lobe - Malignant neoplasms</t>
  </si>
  <si>
    <t>Other cardiomyopathies</t>
  </si>
  <si>
    <t>Mental and behavioural disorders due to use of other stimulants, including caffeine, harmful use</t>
  </si>
  <si>
    <t>Assault by drugs, medicaments and biological substances</t>
  </si>
  <si>
    <t>Exposure to unspecified electric current</t>
  </si>
  <si>
    <t>Assault by bodily force</t>
  </si>
  <si>
    <t>Sickle-cell anaemia with crisis</t>
  </si>
  <si>
    <t>Assault by crashing of motor vehicle</t>
  </si>
  <si>
    <t>Acute respiratory failure</t>
  </si>
  <si>
    <t>Other disorders of lung</t>
  </si>
  <si>
    <t>Leukaemia, unspecified - Malignant neoplasms</t>
  </si>
  <si>
    <t>Inhalation and ingestion of food causing obstruction of respiratory tract</t>
  </si>
  <si>
    <t>Necrotizing fasciitis</t>
  </si>
  <si>
    <t>Occupant of pick-up truck or van injured in collision with car, pick-up truck or van, driver injured in traffic accident</t>
  </si>
  <si>
    <t>Intentional self-poisoning by and exposure to other and unspecified chemicals and noxious substances</t>
  </si>
  <si>
    <t>Bacterial pneumonia, unspecified</t>
  </si>
  <si>
    <t>Sudden cardiac death, so described</t>
  </si>
  <si>
    <t>Sleep apnoea</t>
  </si>
  <si>
    <t>Intracerebral haemorrhage in brain stem</t>
  </si>
  <si>
    <t>Non-insulin-dependent diabetes mellitus, with ketoacidosis</t>
  </si>
  <si>
    <t>Contact with other and unspecified machinery</t>
  </si>
  <si>
    <t>Intentional self-harm by smoke, fire and flames</t>
  </si>
  <si>
    <t>Marfan syndrome</t>
  </si>
  <si>
    <t>Motorcycle rider injured in collision with heavy transport vehicle or bus, driver injured in traffic accident</t>
  </si>
  <si>
    <t>Poisoning by and exposure to other gases and vapours, undetermined intent</t>
  </si>
  <si>
    <t>Acute subendocardial myocardial infarction</t>
  </si>
  <si>
    <t>Malignant neoplasm of uterus, part unspecified</t>
  </si>
  <si>
    <t>Metabolic disorder, unspecified</t>
  </si>
  <si>
    <t>Staphylococcal infection, unspecified</t>
  </si>
  <si>
    <t>Down syndrome, unspecified</t>
  </si>
  <si>
    <t>Chronic myeloid leukaemia - Malignant neoplasms</t>
  </si>
  <si>
    <t>Sigmoid colon - Malignant neoplasms</t>
  </si>
  <si>
    <t>Crohn disease, unspecified</t>
  </si>
  <si>
    <t>Autoimmune hepatitis</t>
  </si>
  <si>
    <t>Mental and behavioural disorders due to use of other stimulants, including caffeine, unspecified mental and behavioural disorder</t>
  </si>
  <si>
    <t>Myotonic disorders</t>
  </si>
  <si>
    <t>Hanging, strangulation and suffocation, undetermined intent</t>
  </si>
  <si>
    <t>Exposure to smoke, fire and flames, undetermined intent</t>
  </si>
  <si>
    <t>Pedal cyclist injured in collision with car, pick-up truck or van, unspecified pedal cyclist injured in traffic accident</t>
  </si>
  <si>
    <t>Spina bifida, unspecified</t>
  </si>
  <si>
    <t>Intentional self-harm by crashing of motor vehicle</t>
  </si>
  <si>
    <t>Cystic fibrosis with other manifestations</t>
  </si>
  <si>
    <t>Occupant of pick-up truck or van injured in collision with heavy transport vehicle or bus, driver injured in traffic accident</t>
  </si>
  <si>
    <t>Death from direct obstetric cause occurring more than 42 days but less than one year after delivery</t>
  </si>
  <si>
    <t>Fall from cliff</t>
  </si>
  <si>
    <t>Hypertensive heart and renal disease with both (congestive) heart failure and renal failure</t>
  </si>
  <si>
    <t>Enterocolitis due to Clostridium difficile</t>
  </si>
  <si>
    <t>Tongue, unspecified - Malignant neoplasms</t>
  </si>
  <si>
    <t>Ventricular fibrillation and flutter</t>
  </si>
  <si>
    <t>Other viral infections of unspecified site</t>
  </si>
  <si>
    <t>Bacterial infection, unspecified</t>
  </si>
  <si>
    <t>Other and unspecified T-cell lymphomas - Malignant neoplasms</t>
  </si>
  <si>
    <t>Influenza with other respiratory manifestations, influenza virus identified</t>
  </si>
  <si>
    <t>Influenza with pneumonia, virus not identified</t>
  </si>
  <si>
    <t>Peripheral arteriovenous malformation</t>
  </si>
  <si>
    <t>Pedal cyclist [any] injured in unspecified traffic accident</t>
  </si>
  <si>
    <t>Car occupant injured in collision with fixed or stationary object, passenger injured in traffic accident</t>
  </si>
  <si>
    <t>Drowning and submersion following fall into natural water</t>
  </si>
  <si>
    <t>Poisoning by and exposure to alcohol, undetermined intent</t>
  </si>
  <si>
    <t>Sequelae of stroke, not specified as haemorrhage or infarction</t>
  </si>
  <si>
    <t>Unspecified severe protein-energy malnutrition</t>
  </si>
  <si>
    <t>Osteomyelitis, unspecified</t>
  </si>
  <si>
    <t>Pyothorax without fistula</t>
  </si>
  <si>
    <t>Mental and behavioural disorders due to use of tobacco, unspecified mental and behavioural disorder</t>
  </si>
  <si>
    <t>Acute appendicitis, other and unspecified</t>
  </si>
  <si>
    <t>Passenger injured in collision with other and unspecified motor vehicles in traffic accident</t>
  </si>
  <si>
    <t>Other specified events, undetermined intent</t>
  </si>
  <si>
    <t>Intentional self-poisoning by and exposure to nonopioid analgesics, antipyretics and antirheumatics</t>
  </si>
  <si>
    <t>Other generalized epilepsy and epileptic syndromes</t>
  </si>
  <si>
    <t>Car occupant injured in noncollision transport accident, passenger injured in traffic accident</t>
  </si>
  <si>
    <t>HIV disease resulting in Pneumocystis carinii pneumonia</t>
  </si>
  <si>
    <t>Exposure to electric transmission lines</t>
  </si>
  <si>
    <t>HIV disease resulting in other mycoses</t>
  </si>
  <si>
    <t>Mental disorders and diseases of the nervous system complicating pregnancy, childbirth and the puerperium</t>
  </si>
  <si>
    <t>Cardiomyopathy in the puerperium</t>
  </si>
  <si>
    <t>Other specified general symptoms and signs</t>
  </si>
  <si>
    <t>Anus, unspecified - Malignant neoplasms</t>
  </si>
  <si>
    <t>Appendix - Malignant neoplasms</t>
  </si>
  <si>
    <t>Extreme obesity with alveolar hypoventilation</t>
  </si>
  <si>
    <t>Peritonitis, unspecified</t>
  </si>
  <si>
    <t>Disseminated intravascular coagulation [defibrination syndrome]</t>
  </si>
  <si>
    <t>Streptococcal infection, unspecified</t>
  </si>
  <si>
    <t>Tetraplegia, unspecified</t>
  </si>
  <si>
    <t>Other medical procedures</t>
  </si>
  <si>
    <t>Hydrocephalus, unspecified</t>
  </si>
  <si>
    <t>Discoid lupus erythematosus</t>
  </si>
  <si>
    <t>Other chronic pancreatitis</t>
  </si>
  <si>
    <t>Early-onset cerebellar ataxia</t>
  </si>
  <si>
    <t>Unspecified pedal cyclist injured in collision with other and unspecified motor vehicles in traffic accident</t>
  </si>
  <si>
    <t>Spastic tetraplegia</t>
  </si>
  <si>
    <t>Unspecified occupant of all-terrain or other off-road motor vehicle injured in nontraffic accident</t>
  </si>
  <si>
    <t>Car occupant injured in collision with fixed or stationary object, unspecified car occupant injured in traffic accident</t>
  </si>
  <si>
    <t>Infective myocarditis</t>
  </si>
  <si>
    <t>Alzheimer disease, unspecified</t>
  </si>
  <si>
    <t>Unspecified dementia</t>
  </si>
  <si>
    <t>Parkinson disease</t>
  </si>
  <si>
    <t>Malignant neoplasm of prostate</t>
  </si>
  <si>
    <t>Senile degeneration of brain, not elsewhere classified</t>
  </si>
  <si>
    <t>Atrial fibrillation and flutter</t>
  </si>
  <si>
    <t>Bladder, unspecified - Malignant neoplasms</t>
  </si>
  <si>
    <t>Chronic obstructive pulmonary disease with acute lower respiratory infection</t>
  </si>
  <si>
    <t>Other interstitial pulmonary diseases with fibrosis</t>
  </si>
  <si>
    <t>Hyperlipidaemia, unspecified</t>
  </si>
  <si>
    <t>Vascular dementia, unspecified</t>
  </si>
  <si>
    <t>Multiple myeloma - Malignant neoplasms</t>
  </si>
  <si>
    <t>Extreme immaturity</t>
  </si>
  <si>
    <t>Cerebrovascular disease, unspecified</t>
  </si>
  <si>
    <t>Ischaemic cardiomyopathy</t>
  </si>
  <si>
    <t>Cerebral atherosclerosis</t>
  </si>
  <si>
    <t>Sequelae of other and unspecified cerebrovascular diseases</t>
  </si>
  <si>
    <t>Aortic (valve) stenosis</t>
  </si>
  <si>
    <t>Liver, unspecified - Malignant neoplasms</t>
  </si>
  <si>
    <t>Other specified degenerative diseases of nervous system</t>
  </si>
  <si>
    <t>Emphysema, unspecified</t>
  </si>
  <si>
    <t>Chronic obstructive pulmonary disease with acute exacerbation, unspecified</t>
  </si>
  <si>
    <t>Peripheral vascular disease, unspecified</t>
  </si>
  <si>
    <t>Sudden infant death syndrome - SIDS</t>
  </si>
  <si>
    <t>Myelodysplastic syndrome, unspecified - Uncertain neoplasms</t>
  </si>
  <si>
    <t>Chronic respiratory failure</t>
  </si>
  <si>
    <t>Chronic ischaemic heart disease, unspecified</t>
  </si>
  <si>
    <t>Alzheimer disease with late onset</t>
  </si>
  <si>
    <t>Unspecified protein-energy malnutrition</t>
  </si>
  <si>
    <t>Accidental suffocation and strangulation in bed</t>
  </si>
  <si>
    <t>Chronic lymphocytic leukaemia - Malignant neoplasms</t>
  </si>
  <si>
    <t>B-cell lymphoma, unspecified - Malignant neoplasms</t>
  </si>
  <si>
    <t>Sequelae of cerebral infarction</t>
  </si>
  <si>
    <t>Other preterm infants</t>
  </si>
  <si>
    <t>Larynx, unspecified - Malignant neoplasms</t>
  </si>
  <si>
    <t>Perforation of intestine (nontraumatic)</t>
  </si>
  <si>
    <t>Upper lobe, bronchus or lung - Malignant neoplasms</t>
  </si>
  <si>
    <t>Acute ischaemic heart disease, unspecified</t>
  </si>
  <si>
    <t>Newborn affected by premature rupture of membranes</t>
  </si>
  <si>
    <t>Non-insulin-dependent diabetes mellitus, with multiple complications</t>
  </si>
  <si>
    <t>Generalized and unspecified atherosclerosis</t>
  </si>
  <si>
    <t>Secondary malignant neoplasm of other specified sites - Malignant neoplasms</t>
  </si>
  <si>
    <t>Degenerative disease of nervous system, unspecified</t>
  </si>
  <si>
    <t>Subdural haemorrhage (acute)(nontraumatic)</t>
  </si>
  <si>
    <t>Malignant neoplasm of gallbladder</t>
  </si>
  <si>
    <t>Malignant neoplasm of skin, unspecified - Malignant neoplasms</t>
  </si>
  <si>
    <t>Ill-defined sites within the digestive system - Malignant neoplasms</t>
  </si>
  <si>
    <t>Malignant neoplasm of thyroid gland</t>
  </si>
  <si>
    <t>Edwards syndrome, unspecified</t>
  </si>
  <si>
    <t>Organ-limited amyloidosis</t>
  </si>
  <si>
    <t>Secondary malignant neoplasm of liver - Malignant neoplasms</t>
  </si>
  <si>
    <t>Unspecified diabetes mellitus, with peripheral circulatory complications</t>
  </si>
  <si>
    <t>Senility</t>
  </si>
  <si>
    <t>Mitral (valve) insufficiency</t>
  </si>
  <si>
    <t>Anaemia, unspecified</t>
  </si>
  <si>
    <t>Progressive supranuclear ophthalmoplegia [Steele-Richardson-Olszewski]</t>
  </si>
  <si>
    <t>Non-insulin-dependent diabetes mellitus, with peripheral circulatory complications</t>
  </si>
  <si>
    <t>Circumscribed brain atrophy</t>
  </si>
  <si>
    <t>Abdominal aortic aneurysm, ruptured</t>
  </si>
  <si>
    <t>Bacterial sepsis of newborn, unspecified</t>
  </si>
  <si>
    <t>Respiratory distress syndrome of newborn</t>
  </si>
  <si>
    <t>Pure hypercholesterolaemia</t>
  </si>
  <si>
    <t>Other lack of expected normal physiological development</t>
  </si>
  <si>
    <t>Cerebral infarction due to embolism of cerebral arteries</t>
  </si>
  <si>
    <t>Rheumatoid arthritis, unspecified</t>
  </si>
  <si>
    <t>Oropharynx, unspecified - Malignant neoplasms</t>
  </si>
  <si>
    <t>Other ill-defined heart diseases</t>
  </si>
  <si>
    <t>Hypertensive heart and renal disease with (congestive) heart failure</t>
  </si>
  <si>
    <t>Cerebral infarction due to unspecified occlusion or stenosis of precerebral arteries</t>
  </si>
  <si>
    <t>Acute cholecystitis</t>
  </si>
  <si>
    <t>Necrotizing enterocolitis of newborn</t>
  </si>
  <si>
    <t>Intracerebral haemorrhage, intraventricular</t>
  </si>
  <si>
    <t>Skin of scalp and neck - Malignant neoplasms</t>
  </si>
  <si>
    <t>Acute vascular disorders of intestine</t>
  </si>
  <si>
    <t>Lower lobe, bronchus or lung - Malignant neoplasms</t>
  </si>
  <si>
    <t>Mesothelioma, unspecified - Malignant neoplasms</t>
  </si>
  <si>
    <t>Exposure to unspecified factor causing fracture</t>
  </si>
  <si>
    <t>Chronic myeloproliferative disease - Uncertain neoplasms</t>
  </si>
  <si>
    <t>Non-Hodgkin lymphoma small cleaved cell (diffuse)</t>
  </si>
  <si>
    <t>Vulva, unspecified - Malignant neoplasms</t>
  </si>
  <si>
    <t>Newborn affected by incompetent cervix</t>
  </si>
  <si>
    <t>Primary atelectasis of newborn</t>
  </si>
  <si>
    <t>Diverticular disease of intestine, part unspecified, with perforation and abscess</t>
  </si>
  <si>
    <t>Pharynx, unspecified - Malignant neoplasms</t>
  </si>
  <si>
    <t>Neonatal cardiac dysrhythmia</t>
  </si>
  <si>
    <t>Cardia - Malignant neoplasms</t>
  </si>
  <si>
    <t>Mouth, unspecified - Malignant neoplasms</t>
  </si>
  <si>
    <t>Hypoxic ischemic encephalopathy of newborn</t>
  </si>
  <si>
    <t>Pleural effusion, not elsewhere classified</t>
  </si>
  <si>
    <t>Cardiogenic shock</t>
  </si>
  <si>
    <t>Newborn affected by other forms of placental separation and haemorrhage</t>
  </si>
  <si>
    <t>Other forms of chronic ischaemic heart disease</t>
  </si>
  <si>
    <t>Other forms of acute ischaemic heart disease</t>
  </si>
  <si>
    <t>Aortic valve disorder, unspecified</t>
  </si>
  <si>
    <t>Neonatal cardiac failure</t>
  </si>
  <si>
    <t>Anencephaly</t>
  </si>
  <si>
    <t>Disorder of kidney and ureter, unspecified</t>
  </si>
  <si>
    <t>Cholangitis</t>
  </si>
  <si>
    <t>Respiratory arrest</t>
  </si>
  <si>
    <t>Abdominal aortic aneurysm, without mention of rupture</t>
  </si>
  <si>
    <t>Other specified chronic obstructive pulmonary disease</t>
  </si>
  <si>
    <t>Tonsil, unspecified - Malignant neoplasms</t>
  </si>
  <si>
    <t>Disorder of lipoprotein metabolism, unspecified</t>
  </si>
  <si>
    <t>Duodenum - Malignant neoplasms</t>
  </si>
  <si>
    <t>Cholecystitis, unspecified</t>
  </si>
  <si>
    <t>Decubitus ulcer and pressure area, unspecified</t>
  </si>
  <si>
    <t>Ventricular tachycardia</t>
  </si>
  <si>
    <t>Diverticular disease of intestine, part unspecified, without perforation or abscess</t>
  </si>
  <si>
    <t>Acute peritonitis</t>
  </si>
  <si>
    <t>Extrahepatic bile duct - Malignant neoplasms</t>
  </si>
  <si>
    <t>Osteomyelitis of vertebra</t>
  </si>
  <si>
    <t>Acute leukaemia of unspecified cell type - Malignant neoplasms</t>
  </si>
  <si>
    <t>Myasthenia gravis</t>
  </si>
  <si>
    <t>Cellulitis, unspecified</t>
  </si>
  <si>
    <t>Hypothyroidism, unspecified</t>
  </si>
  <si>
    <t>Head of pancreas - Malignant neoplasms</t>
  </si>
  <si>
    <t>Intrauterine hypoxia, unspecified</t>
  </si>
  <si>
    <t>Cellulitis of other parts of limb</t>
  </si>
  <si>
    <t>Local infection of skin and subcutaneous tissue, unspecified</t>
  </si>
  <si>
    <t>Coagulation defect, unspecified</t>
  </si>
  <si>
    <t>Mitral valve disease, unspecified</t>
  </si>
  <si>
    <t>Patau syndrome, unspecified</t>
  </si>
  <si>
    <t>Peritoneum, unspecified - Malignant neoplasms</t>
  </si>
  <si>
    <t>Moderate protein-energy malnutrition</t>
  </si>
  <si>
    <t>Caecum - Malignant neoplasms</t>
  </si>
  <si>
    <t>Septicaemia due to other Gram-negative organisms</t>
  </si>
  <si>
    <t>Hypoplastic left heart syndrome</t>
  </si>
  <si>
    <t>Secondary malignant neoplasm of retroperitoneum and peritoneum - Malignant neoplasms</t>
  </si>
  <si>
    <t>Aplastic anaemia, unspecified</t>
  </si>
  <si>
    <t>Hypertensive renal disease without renal failure</t>
  </si>
  <si>
    <t>Other specified disorders of muscle</t>
  </si>
  <si>
    <t>Other and unspecified gastroenteritis and colitis of infectious origin</t>
  </si>
  <si>
    <t>Other myeloid leukaemia - Malignant neoplasms</t>
  </si>
  <si>
    <t>Bronchiectasis</t>
  </si>
  <si>
    <t>Tubulo-interstitial nephritis, not specified as acute or chronic</t>
  </si>
  <si>
    <t>Pulmonary heart disease, unspecified</t>
  </si>
  <si>
    <t>Chronic kidney disease, stage 4</t>
  </si>
  <si>
    <t>Hydrops fetalis not due to haemolytic disease</t>
  </si>
  <si>
    <t>Congenital diaphragmatic hernia</t>
  </si>
  <si>
    <t>Volvulus</t>
  </si>
  <si>
    <t>Shock, unspecified</t>
  </si>
  <si>
    <t>Secondary malignant neoplasm of brain and cerebral meninges - Malignant neoplasms</t>
  </si>
  <si>
    <t>Unspecified pulmonary haemorrhage originating in the perinatal period</t>
  </si>
  <si>
    <t>Newborn affected by chorioamnionitis</t>
  </si>
  <si>
    <t>Disorders of both mitral and aortic valves</t>
  </si>
  <si>
    <t>Biliary tract, unspecified - Malignant neoplasms</t>
  </si>
  <si>
    <t>Follicular non-Hodgkin lymphoma, unspecified</t>
  </si>
  <si>
    <t>Hypertensive heart and renal disease, unspecified</t>
  </si>
  <si>
    <t>Alzheimer disease with early onset</t>
  </si>
  <si>
    <t>Fall involving bed</t>
  </si>
  <si>
    <t>Polycystic kidney, unspecified</t>
  </si>
  <si>
    <t>Small intestine, unspecified - Malignant neoplasms</t>
  </si>
  <si>
    <t>Haemorrhage, not elsewhere classified</t>
  </si>
  <si>
    <t>Duodenal ulcer, chronic or unspecified with perforation</t>
  </si>
  <si>
    <t>Disease of pancreas, unspecified</t>
  </si>
  <si>
    <t>Pneumonia due to staphylococcus</t>
  </si>
  <si>
    <t>Hyperkalaemia</t>
  </si>
  <si>
    <t>Hyperosmolality and hypernatraemia</t>
  </si>
  <si>
    <t>Aortic aneurysm of unspecified site, ruptured</t>
  </si>
  <si>
    <t>Volume depletion</t>
  </si>
  <si>
    <t>Acute posthaemorrhagic anaemia</t>
  </si>
  <si>
    <t>Aneurysm of unspecified site</t>
  </si>
  <si>
    <t>Other forms of systemic sclerosis</t>
  </si>
  <si>
    <t>Mitral stenosis</t>
  </si>
  <si>
    <t>Calculus of kidney</t>
  </si>
  <si>
    <t>Trachea, bronchus and lung - Uncertain neoplasms</t>
  </si>
  <si>
    <t>Malignant neoplasm of parotid gland</t>
  </si>
  <si>
    <t>Duodenal ulcer, chronic or unspecified with haemorrhage</t>
  </si>
  <si>
    <t>Amyloidosis, unspecified</t>
  </si>
  <si>
    <t>Unspecified intraventricular (nontraumatic) haemorrhage of newborn</t>
  </si>
  <si>
    <t>Chronic kidney disease, stage 3</t>
  </si>
  <si>
    <t>Persistent fetal circulation</t>
  </si>
  <si>
    <t>Fall on same level from slipping, tripping and stumbling</t>
  </si>
  <si>
    <t>Secondary malignant neoplasm of bone and bone marrow - Malignant neoplasms</t>
  </si>
  <si>
    <t>Sarcoidosis, unspecified</t>
  </si>
  <si>
    <t>Muscle wasting and atrophy, not elsewhere classified</t>
  </si>
  <si>
    <t>Pyogenic arthritis, unspecified</t>
  </si>
  <si>
    <t>Hypoplasia and dysplasia of lung</t>
  </si>
  <si>
    <t>Nasopharynx, unspecified - Malignant neoplasms</t>
  </si>
  <si>
    <t>Disorder of brain, unspecified</t>
  </si>
  <si>
    <t>Birth asphyxia, unspecified</t>
  </si>
  <si>
    <t>Congenital malformation, unspecified</t>
  </si>
  <si>
    <t>Cerebral infarction due to unspecified occlusion or stenosis of cerebral arteries</t>
  </si>
  <si>
    <t>Intracerebral haemorrhage in hemisphere, subcortical</t>
  </si>
  <si>
    <t>Multiple congenital malformations, not elsewhere classified</t>
  </si>
  <si>
    <t>Influenza with other respiratory manifestations, virus not identified</t>
  </si>
  <si>
    <t>Aortic aneurysm of unspecified site, without mention of rupture</t>
  </si>
  <si>
    <t>Acute nephritic syndrome, unspecified</t>
  </si>
  <si>
    <t>Other specified diseases of stomach and duodenum</t>
  </si>
  <si>
    <t>Atrioventricular block, complete</t>
  </si>
  <si>
    <t>Pericardial effusion (noninflammatory)</t>
  </si>
  <si>
    <t>Asphyxia</t>
  </si>
  <si>
    <t>Thoracic aortic aneurysm, without mention of rupture</t>
  </si>
  <si>
    <t>Meninges, unspecified - Benign neoplasms</t>
  </si>
  <si>
    <t>Aortic (valve) insufficiency</t>
  </si>
  <si>
    <t>Fallopian tube - Malignant neoplasms</t>
  </si>
  <si>
    <t>Connective and soft tissue of abdomen - Malignant neoplasms</t>
  </si>
  <si>
    <t>Hypoglycaemia, unspecified</t>
  </si>
  <si>
    <t>Bronchopneumonia, unspecified</t>
  </si>
  <si>
    <t>Hyperplasia of prostate</t>
  </si>
  <si>
    <t>Unspecified mycosis</t>
  </si>
  <si>
    <t>Pulmonary oedema</t>
  </si>
  <si>
    <t>Other and unspecified infectious diseases</t>
  </si>
  <si>
    <t>Ascending colon - Malignant neoplasms</t>
  </si>
  <si>
    <t>Fall on and from ladder</t>
  </si>
  <si>
    <t>Bronchopulmonary dysplasia originating in the perinatal period</t>
  </si>
  <si>
    <t>Female genital organ, unspecified - Malignant neoplasms</t>
  </si>
  <si>
    <t>Main bronchus - Malignant neoplasms</t>
  </si>
  <si>
    <t>Secondary malignant neoplasm of lung - Malignant neoplasms</t>
  </si>
  <si>
    <t>Neoplasm of uncertain or unknown behaviour, unspecified - Uncertain neoplasms</t>
  </si>
  <si>
    <t>Centrilobular emphysema</t>
  </si>
  <si>
    <t>Pneumothorax, unspecified</t>
  </si>
  <si>
    <t>Diaphragmatic hernia without obstruction or gangrene</t>
  </si>
  <si>
    <t>Other specified respiratory disorders</t>
  </si>
  <si>
    <t>Supraglottis - Malignant neoplasms</t>
  </si>
  <si>
    <t>Temporal lobe - Malignant neoplasms</t>
  </si>
  <si>
    <t>Left ventricular failure</t>
  </si>
  <si>
    <t>Gastro-oesophageal reflux disease without oesophagitis</t>
  </si>
  <si>
    <t>Gastric ulcer, chronic or unspecified with perforation</t>
  </si>
  <si>
    <t>Intracerebral haemorrhage in cerebellum</t>
  </si>
  <si>
    <t>Creutzfeldt-Jakob disease - CJD</t>
  </si>
  <si>
    <t>Abdomen - Malignant neoplasms</t>
  </si>
  <si>
    <t>Connective and other soft tissue - Uncertain neoplasms</t>
  </si>
  <si>
    <t>Mental and behavioural disorders due to use of alcohol, residual and late-onset psychotic disorder</t>
  </si>
  <si>
    <t>Embolism and thrombosis of unspecified artery</t>
  </si>
  <si>
    <t>Perinatal intestinal perforation</t>
  </si>
  <si>
    <t>Other bacterial infections of unspecified site</t>
  </si>
  <si>
    <t>Holoprosencephaly</t>
  </si>
  <si>
    <t>Disease of intestine, unspecified</t>
  </si>
  <si>
    <t>Hypo-osmolality and hyponatraemia</t>
  </si>
  <si>
    <t>Compression of brain</t>
  </si>
  <si>
    <t>Septicaemia due to Staphylococcus aureus</t>
  </si>
  <si>
    <t>Retroperitoneum - Malignant neoplasms</t>
  </si>
  <si>
    <t>Adrenal gland, unspecified - Malignant neoplasms</t>
  </si>
  <si>
    <t>Intracerebral haemorrhage in hemisphere, cortical</t>
  </si>
  <si>
    <t>Hepatorenal syndrome</t>
  </si>
  <si>
    <t>Ulcerative colitis, unspecified</t>
  </si>
  <si>
    <t>Mixed hyperlipidaemia</t>
  </si>
  <si>
    <t>Delirium, unspecified</t>
  </si>
  <si>
    <t>Malignant neoplasm of vagina</t>
  </si>
  <si>
    <t>Tricuspid insufficiency</t>
  </si>
  <si>
    <t>Surgical procedure, unspecified</t>
  </si>
  <si>
    <t>Chronic ulcer of skin, not elsewhere classified</t>
  </si>
  <si>
    <t>Head, face and neck - Malignant neoplasms</t>
  </si>
  <si>
    <t>Agranulocytosis</t>
  </si>
  <si>
    <t>Pneumonia due to Pseudomonas</t>
  </si>
  <si>
    <t>Other digestive organs - Uncertain neoplasms</t>
  </si>
  <si>
    <t>Gastric ulcer, chronic or unspecified with haemorrhage</t>
  </si>
  <si>
    <t>Viral pneumonia, unspecified</t>
  </si>
  <si>
    <t>Sepsis of newborn due to Escherichia coli</t>
  </si>
  <si>
    <t>Fluid overload</t>
  </si>
  <si>
    <t>Mesothelioma of pleura - Malignant neoplasms</t>
  </si>
  <si>
    <t>Arteritis, unspecified</t>
  </si>
  <si>
    <t>Lower third of oesophagus - Malignant neoplasms</t>
  </si>
  <si>
    <t>Respiratory disorder, unspecified</t>
  </si>
  <si>
    <t>Pulmonary mycobacterial infection</t>
  </si>
  <si>
    <t>Malignant neoplasm of ureter</t>
  </si>
  <si>
    <t>Myoneural disorder, unspecified</t>
  </si>
  <si>
    <t>Ileus, unspecified</t>
  </si>
  <si>
    <t>Cerebral meninges - Benign neoplasms</t>
  </si>
  <si>
    <t>Normal-pressure hydrocephalus</t>
  </si>
  <si>
    <t>Hypopharynx, unspecified - Malignant neoplasms</t>
  </si>
  <si>
    <t>Fall involving wheelchair</t>
  </si>
  <si>
    <t>Unspecified abdominal hernia with obstruction, without gangrene</t>
  </si>
  <si>
    <t>Thoracic aortic aneurysm, ruptured</t>
  </si>
  <si>
    <t>Connective and soft tissue of lower limb, including hip - Malignant neoplasms</t>
  </si>
  <si>
    <t>Other specified disorders of kidney and ureter</t>
  </si>
  <si>
    <t>Newborn affected by oligohydramnios</t>
  </si>
  <si>
    <t>Other aortic valve disorders</t>
  </si>
  <si>
    <t>Oesophageal obstruction</t>
  </si>
  <si>
    <t>Disorders of calcium metabolism</t>
  </si>
  <si>
    <t>Calculus of gallbladder without cholecystitis</t>
  </si>
  <si>
    <t>Renal agenesis, unspecified</t>
  </si>
  <si>
    <t>Encephalitis, myelitis and encephalomyelitis, unspecified</t>
  </si>
  <si>
    <t>Schizophrenia, unspecified</t>
  </si>
  <si>
    <t>Slow fetal growth, unspecified</t>
  </si>
  <si>
    <t>Diverticular disease of large intestine with perforation and abscess</t>
  </si>
  <si>
    <t>Ampulla of Vater - Malignant neoplasms</t>
  </si>
  <si>
    <t>Other and unspecified symptoms and signs involving cognitive functions and awareness</t>
  </si>
  <si>
    <t>Osteochondrodysplasia, unspecified</t>
  </si>
  <si>
    <t>Retarded development following protein-energy malnutrition</t>
  </si>
  <si>
    <t>Waldenstr鱩 macroglobulinemia</t>
  </si>
  <si>
    <t>Cerebral aneurysm, nonruptured</t>
  </si>
  <si>
    <t>Disorder involving the immune mechanism, unspecified</t>
  </si>
  <si>
    <t>Pancreatic duct - Malignant neoplasms</t>
  </si>
  <si>
    <t>Cerebral infarction due to thrombosis of cerebral arteries</t>
  </si>
  <si>
    <t>Thrombocytopenia, unspecified</t>
  </si>
  <si>
    <t>Peptic ulcer, site unspecified, chronic or unspecified with haemorrhage</t>
  </si>
  <si>
    <t>Disease of pericardium, unspecified</t>
  </si>
  <si>
    <t>Sick sinus syndrome</t>
  </si>
  <si>
    <t>Other shock</t>
  </si>
  <si>
    <t>Sequelae of intracerebral haemorrhage</t>
  </si>
  <si>
    <t>Malignant neoplasm of thymus</t>
  </si>
  <si>
    <t>Peripheral T-cell lymphoma - Malignant neoplasms</t>
  </si>
  <si>
    <t>Paraplegia, unspecified</t>
  </si>
  <si>
    <t>Major salivary gland, unspecified - Malignant neoplasms</t>
  </si>
  <si>
    <t>Urethra - Malignant neoplasms</t>
  </si>
  <si>
    <t>Penis, unspecified - Malignant neoplasms</t>
  </si>
  <si>
    <t>Urinary organ, unspecified - Malignant neoplasms</t>
  </si>
  <si>
    <t>Abnormal findings on diagnostic imaging of lung</t>
  </si>
  <si>
    <t>Haemoperitoneum</t>
  </si>
  <si>
    <t>Acute renal failure with tubular necrosis</t>
  </si>
  <si>
    <t>Other specified disorders of peritoneum</t>
  </si>
  <si>
    <t>Inflammatory disorders of other specified male genital organs</t>
  </si>
  <si>
    <t>Unspecified mental disorder due to brain damage and dysfunction and to physical disease</t>
  </si>
  <si>
    <t>Obstructive and reflux uropathy, unspecified</t>
  </si>
  <si>
    <t>Sequelae of other specified infectious and parasitic diseases</t>
  </si>
  <si>
    <t>Primary biliary cirrhosis</t>
  </si>
  <si>
    <t>Perforation of oesophagus</t>
  </si>
  <si>
    <t>Hypokalaemia</t>
  </si>
  <si>
    <t>Panlobular emphysema</t>
  </si>
  <si>
    <t>Pneumocystosis</t>
  </si>
  <si>
    <t>Other disorders of electrolyte and fluid balance, not elsewhere classified</t>
  </si>
  <si>
    <t>Diffuse non-Hodgkin lymphoma, unspecified</t>
  </si>
  <si>
    <t>Sarcoidosis of lung</t>
  </si>
  <si>
    <t>Surgical operation with implant of artificial internal device</t>
  </si>
  <si>
    <t>Chronic vascular disorders of intestine</t>
  </si>
  <si>
    <t>Pelvis - Malignant neoplasms</t>
  </si>
  <si>
    <t>Malignant neoplasm of base of tongue</t>
  </si>
  <si>
    <t>Non-insulin-dependent diabetes mellitus, with neurological complications</t>
  </si>
  <si>
    <t>Candidal septicaemia</t>
  </si>
  <si>
    <t>Guillain-Barre syndrome</t>
  </si>
  <si>
    <t>Viral infection, unspecified</t>
  </si>
  <si>
    <t>Newborn affected by multiple pregnancy</t>
  </si>
  <si>
    <t>Ventral hernia with obstruction, without gangrene</t>
  </si>
  <si>
    <t>Mesothelioma of other sites - Malignant neoplasms</t>
  </si>
  <si>
    <t>Other bacterial sepsis of newborn</t>
  </si>
  <si>
    <t>Tail of pancreas - Malignant neoplasms</t>
  </si>
  <si>
    <t>Meningitis, unspecified</t>
  </si>
  <si>
    <t>Toxic encephalopathy</t>
  </si>
  <si>
    <t>Skin of other and unspecified parts of face - Malignant neoplasms</t>
  </si>
  <si>
    <t>Disorders of plasma-protein metabolism, not elsewhere classified</t>
  </si>
  <si>
    <t>Gangrene and necrosis of lung</t>
  </si>
  <si>
    <t>Abscess of liver</t>
  </si>
  <si>
    <t>Subarachnoid haemorrhage from intracranial artery, unspecified</t>
  </si>
  <si>
    <t>Myeloid leukaemia, unspecified - Malignant neoplasms</t>
  </si>
  <si>
    <t>Intestinal tract, part unspecified - Malignant neoplasms</t>
  </si>
  <si>
    <t>Condition originating in the perinatal period, unspecified</t>
  </si>
  <si>
    <t>Other and unspecified abnormalities of breathing</t>
  </si>
  <si>
    <t>Obstruction of bile duct</t>
  </si>
  <si>
    <t>Intracardiac thrombosis, not elsewhere classified</t>
  </si>
  <si>
    <t>Other and unspecified disorders of circulatory system</t>
  </si>
  <si>
    <t>Acute cystitis</t>
  </si>
  <si>
    <t>Depressive episode, unspecified</t>
  </si>
  <si>
    <t>Renal agenesis, bilateral</t>
  </si>
  <si>
    <t>Disseminated intravascular coagulation of newborn</t>
  </si>
  <si>
    <t>Acute myelomonocytic leukaemia - Malignant neoplasms</t>
  </si>
  <si>
    <t>Multi-infarct dementia</t>
  </si>
  <si>
    <t>Intraventricular (nontraumatic) haemorrhage, grade 3, of newborn</t>
  </si>
  <si>
    <t>Accidental poisoning by and exposure to nonopioid analgesics, antipyretics and antirheumatics</t>
  </si>
  <si>
    <t>Parietal lobe - Malignant neoplasms</t>
  </si>
  <si>
    <t>By unspecified person</t>
  </si>
  <si>
    <t>Other reduction deformities of brain</t>
  </si>
  <si>
    <t>Respiratory syncytial virus pneumonia</t>
  </si>
  <si>
    <t>Legionnaires disease</t>
  </si>
  <si>
    <t>Delirium superimposed on dementia</t>
  </si>
  <si>
    <t>Calculus of ureter</t>
  </si>
  <si>
    <t>Pneumothorax originating in the perinatal period</t>
  </si>
  <si>
    <t>Congenital herpesviral [herpes simplex] infection</t>
  </si>
  <si>
    <t>Inhalation of gastric contents</t>
  </si>
  <si>
    <t>Dyspnoea</t>
  </si>
  <si>
    <t>Liver, gallbladder and bile ducts - Uncertain neoplasms</t>
  </si>
  <si>
    <t>Unspecified abdominal hernia without obstruction or gangrene</t>
  </si>
  <si>
    <t>Newborn affected by other maternal complications of pregnancy</t>
  </si>
  <si>
    <t>Newborn affected by maternal hypertensive disorders</t>
  </si>
  <si>
    <t>Glottis - Malignant neoplasms</t>
  </si>
  <si>
    <t>Malignant melanoma of trunk - Malignant neoplasms</t>
  </si>
  <si>
    <t>Herpesviral encephalitis</t>
  </si>
  <si>
    <t>Other and unspecified hydronephrosis</t>
  </si>
  <si>
    <t>Acute hepatitis B without delta-agent and without hepatic coma</t>
  </si>
  <si>
    <t>Unilateral or unspecified inguinal hernia, with obstruction, without gangrene</t>
  </si>
  <si>
    <t>Other chronic osteomyelitis</t>
  </si>
  <si>
    <t>Non-Hodgkin lymphoma small cell (diffuse)</t>
  </si>
  <si>
    <t>Extradural and subdural abscess, unspecified</t>
  </si>
  <si>
    <t>Spinal stenosis</t>
  </si>
  <si>
    <t>Malignant neoplasm of renal pelvis</t>
  </si>
  <si>
    <t>Pneumoconiosis due to asbestos and other mineral fibres</t>
  </si>
  <si>
    <t>Body of pancreas - Malignant neoplasms</t>
  </si>
  <si>
    <t>Disease of stomach and duodenum, unspecified</t>
  </si>
  <si>
    <t>Inflammatory myopathy, not elsewhere classified</t>
  </si>
  <si>
    <t>Surgical operation with formation of external stoma</t>
  </si>
  <si>
    <t>Maxillary sinus - Malignant neoplasms</t>
  </si>
  <si>
    <t>Duodenal ulcer, unspecified as acute or chronic, without haemorrhage or perforation</t>
  </si>
  <si>
    <t>Tuberculosis of lung, without mention of bacteriological or histological confirmation</t>
  </si>
  <si>
    <t>Tetralogy of Fallot</t>
  </si>
  <si>
    <t>Unspecified diabetes mellitus, with other specified complications</t>
  </si>
  <si>
    <t>Transverse colon - Malignant neoplasms</t>
  </si>
  <si>
    <t>Other specified diseases of intestine</t>
  </si>
  <si>
    <t>Other inflammatory polyneuropathies</t>
  </si>
  <si>
    <t>Chronic hepatic failure</t>
  </si>
  <si>
    <t>Respiratory distress of newborn, unspecified</t>
  </si>
  <si>
    <t>Newborn affected by other specified complications of labour and delivery</t>
  </si>
  <si>
    <t>Cerebral infarction due to thrombosis of precerebral arteries</t>
  </si>
  <si>
    <t>Fall involving chair</t>
  </si>
  <si>
    <t>Disorder of skin and subcutaneous tissue, unspecified</t>
  </si>
  <si>
    <t>Septicaemia due to unspecified staphylococcus</t>
  </si>
  <si>
    <t>Eye, unspecified - Malignant neoplasms</t>
  </si>
  <si>
    <t>Multi-system degeneration</t>
  </si>
  <si>
    <t>Discitis, unspecified</t>
  </si>
  <si>
    <t>Mandible - Malignant neoplasms</t>
  </si>
  <si>
    <t>Intracranial (nontraumatic) haemorrhage of newborn, unspecified</t>
  </si>
  <si>
    <t>Acute tubulo-interstitial nephritis</t>
  </si>
  <si>
    <t>Polycythaemia vera</t>
  </si>
  <si>
    <t>Ulcer of lower limb, not elsewhere classified</t>
  </si>
  <si>
    <t>Other specified diseases of liver</t>
  </si>
  <si>
    <t>Adult T-cell leukaemia - Malignant neoplasms</t>
  </si>
  <si>
    <t>Bacterial meningitis, unspecified</t>
  </si>
  <si>
    <t>Secondary malignant neoplasm of pleura - Malignant neoplasms</t>
  </si>
  <si>
    <t>Other subarachnoid haemorrhage</t>
  </si>
  <si>
    <t>Newborn affected by maternal injury</t>
  </si>
  <si>
    <t>Newborn affected by complication of labour and delivery, unspecified</t>
  </si>
  <si>
    <t>Neonatal aspiration of meconium</t>
  </si>
  <si>
    <t>Pneumonia due to other streptococci</t>
  </si>
  <si>
    <t>Myxoedema coma</t>
  </si>
  <si>
    <t>Polyneuropathy, unspecified</t>
  </si>
  <si>
    <t>Pneumonia due to Klebsiella pneumoniae</t>
  </si>
  <si>
    <t>Lymphoid leukaemia, unspecified - Malignant neoplasms</t>
  </si>
  <si>
    <t>Pulmonary collapse</t>
  </si>
  <si>
    <t>Diseases of mediastinum, not elsewhere classified</t>
  </si>
  <si>
    <t>Other specified congenital malformation syndromes, not elsewhere classified</t>
  </si>
  <si>
    <t>Corpus uteri, unspecified - Malignant neoplasms</t>
  </si>
  <si>
    <t>Malignant melanoma of scalp and neck - Malignant neoplasms</t>
  </si>
  <si>
    <t>Unspecified diabetes mellitus, with neurological complications</t>
  </si>
  <si>
    <t>Mesothelioma of peritoneum - Malignant neoplasms</t>
  </si>
  <si>
    <t>Other specified diseases of oesophagus</t>
  </si>
  <si>
    <t>Disorders of urea cycle metabolism</t>
  </si>
  <si>
    <t>Disease of anus and rectum, unspecified</t>
  </si>
  <si>
    <t>Contact with agricultural machinery</t>
  </si>
  <si>
    <t>Renal dysplasia</t>
  </si>
  <si>
    <t>Supraventricular tachycardia</t>
  </si>
  <si>
    <t>Pneumonia due to Streptococcus pneumoniae</t>
  </si>
  <si>
    <t>Non-insulin-dependent diabetes mellitus, with other specified complications</t>
  </si>
  <si>
    <t>Plasma cell leukaemia - Malignant neoplasms</t>
  </si>
  <si>
    <t>Malaise and fatigue</t>
  </si>
  <si>
    <t>Hypotension, unspecified</t>
  </si>
  <si>
    <t>Dysphagia</t>
  </si>
  <si>
    <t>Calculus of bile duct without cholangitis or cholecystitis</t>
  </si>
  <si>
    <t>Malignant melanoma of lower limb, including hip - Malignant neoplasms</t>
  </si>
  <si>
    <t>Obstructive hypertrophic cardiomyopathy</t>
  </si>
  <si>
    <t>Myopathy, unspecified</t>
  </si>
  <si>
    <t>Congenital malformation of brain, unspecified</t>
  </si>
  <si>
    <t>Congenital hydrocephalus, unspecified</t>
  </si>
  <si>
    <t>Embolism and thrombosis of unspecified vein</t>
  </si>
  <si>
    <t>Degeneration of nervous system due to alcohol</t>
  </si>
  <si>
    <t>Chromosomal abnormality, unspecified</t>
  </si>
  <si>
    <t>Oesophagitis</t>
  </si>
  <si>
    <t>Sicca syndrome [Sjogren]</t>
  </si>
  <si>
    <t>Wernicke encephalopathy</t>
  </si>
  <si>
    <t>Hypersensitivity pneumonitis due to unspecified organic dust</t>
  </si>
  <si>
    <t>Sequelae of other nontraumatic intracranial haemorrhage</t>
  </si>
  <si>
    <t>Intracranial abscess and granuloma</t>
  </si>
  <si>
    <t>Arthrosis, unspecified</t>
  </si>
  <si>
    <t>Constipation</t>
  </si>
  <si>
    <t>Vesicointestinal fistula</t>
  </si>
  <si>
    <t>Other restrictive cardiomyopathy</t>
  </si>
  <si>
    <t>Extremely low birth weight</t>
  </si>
  <si>
    <t>Dyskinesia of oesophagus</t>
  </si>
  <si>
    <t>Other ill-defined sites - Malignant neoplasms</t>
  </si>
  <si>
    <t>Accessory sinus, unspecified - Malignant neoplasms</t>
  </si>
  <si>
    <t>Pulmonary eosinophilia, not elsewhere classified</t>
  </si>
  <si>
    <t>Disorders of iron metabolism</t>
  </si>
  <si>
    <t>Infection specific to the perinatal period, unspecified</t>
  </si>
  <si>
    <t>West Nile fever</t>
  </si>
  <si>
    <t>Embolism and thrombosis of other and unspecified parts of aorta</t>
  </si>
  <si>
    <t>Disease of gallbladder, unspecified</t>
  </si>
  <si>
    <t>Other specified diseases of upper respiratory tract</t>
  </si>
  <si>
    <t>Iron deficiency anaemia secondary to blood loss (chronic)</t>
  </si>
  <si>
    <t>Other specified sites - Uncertain neoplasms</t>
  </si>
  <si>
    <t>Systemic sclerosis, unspecified</t>
  </si>
  <si>
    <t>Other pulmonary aspergillosis</t>
  </si>
  <si>
    <t>Upper-outer quadrant of breast - Malignant neoplasms</t>
  </si>
  <si>
    <t>Severe depressive episode without psychotic symptoms</t>
  </si>
  <si>
    <t>Myocardial degeneration</t>
  </si>
  <si>
    <t>Brain stem - Malignant neoplasms</t>
  </si>
  <si>
    <t>Disorder of arteries and arterioles, unspecified</t>
  </si>
  <si>
    <t>Disease of spinal cord, unspecified</t>
  </si>
  <si>
    <t>Cerebrum, except lobes and ventricles - Malignant neoplasms</t>
  </si>
  <si>
    <t>Portal vein thrombosis</t>
  </si>
  <si>
    <t>Other specified congenital infectious and parasitic diseases</t>
  </si>
  <si>
    <t>Mitral (valve) prolapse</t>
  </si>
  <si>
    <t>Overlapping lesion of rectum, anus and anal canal - Malignant neoplasms</t>
  </si>
  <si>
    <t>Paralytic ileus</t>
  </si>
  <si>
    <t>Other and unspecified symptoms and signs involving the nervous and musculoskeletal systems</t>
  </si>
  <si>
    <t>Other thrombophilia</t>
  </si>
  <si>
    <t>Sarcoidosis of other and combined sites</t>
  </si>
  <si>
    <t>Diverticular disease of large intestine without perforation or abscess</t>
  </si>
  <si>
    <t>Primary pulmonary hypertension</t>
  </si>
  <si>
    <t>Systemic involvement of connective tissue, unspecified</t>
  </si>
  <si>
    <t>Thyrotoxicosis, unspecified</t>
  </si>
  <si>
    <t>Middle lobe, bronchus or lung - Malignant neoplasms</t>
  </si>
  <si>
    <t>Gastric ulcer, unspecified as acute or chronic, without haemorrhage or perforation</t>
  </si>
  <si>
    <t>Neonatal haemorrhage, unspecified</t>
  </si>
  <si>
    <t>Anal canal - Malignant neoplasms</t>
  </si>
  <si>
    <t>Stage IV decubitus ulcer</t>
  </si>
  <si>
    <t>Fistula of intestine</t>
  </si>
  <si>
    <t>Peptic ulcer, site unspecified, chronic or unspecified with perforation</t>
  </si>
  <si>
    <t>Acute promyelocytic leukaemia - Malignant neoplasms</t>
  </si>
  <si>
    <t>Adult hypertrophic pyloric stenosis</t>
  </si>
  <si>
    <t>Bipolar affective disorder, unspecified</t>
  </si>
  <si>
    <t>Thanatophoric short stature</t>
  </si>
  <si>
    <t>Other specified congenital malformations</t>
  </si>
  <si>
    <t>Disease of oesophagus, unspecified</t>
  </si>
  <si>
    <t>Other and unspecified adrenocortical insufficiency</t>
  </si>
  <si>
    <t>Coalworker pneumoconiosis</t>
  </si>
  <si>
    <t>Cystitis, unspecified</t>
  </si>
  <si>
    <t>Conduction disorder, unspecified</t>
  </si>
  <si>
    <t>Mediastinum, part unspecified - Malignant neoplasms</t>
  </si>
  <si>
    <t>Other specified congenital malformations of heart</t>
  </si>
  <si>
    <t>Other specified conditions originating in the perinatal period</t>
  </si>
  <si>
    <t>Meninges, unspecified - Malignant neoplasms</t>
  </si>
  <si>
    <t>Atrioventricular septal defect</t>
  </si>
  <si>
    <t>Secondary parkinsonism, unspecified</t>
  </si>
  <si>
    <t>Skin of ear and external auricular canal - Malignant neoplasms</t>
  </si>
  <si>
    <t>Respiratory failure of newborn</t>
  </si>
  <si>
    <t>Newborn affected by other maternal conditions</t>
  </si>
  <si>
    <t>Congenital pneumonia, unspecified</t>
  </si>
  <si>
    <t>Malignant melanoma of upper limb, including shoulder - Malignant neoplasms</t>
  </si>
  <si>
    <t>Noninfective gastroenteritis and colitis, unspecified</t>
  </si>
  <si>
    <t>Atrial septal defect</t>
  </si>
  <si>
    <t>Thrombotic microangiopathy</t>
  </si>
  <si>
    <t>Malignant neoplasm of lymphoid, haematopoietic and related tissue, unspecified - Malignant neoplasms</t>
  </si>
  <si>
    <t>Exposure to uncontrolled fire, not in building or structure</t>
  </si>
  <si>
    <t>Coronavirus infection, unspecified</t>
  </si>
  <si>
    <t>Bladder - Uncertain neoplasms</t>
  </si>
  <si>
    <t>Osteogenesis imperfecta</t>
  </si>
  <si>
    <t>Newborn affected by maternal use of drugs of addiction</t>
  </si>
  <si>
    <t>Respiratory tuberculosis unspecified, without mention of bacteriological or histological confirmation</t>
  </si>
  <si>
    <t>Lymphoedema, not elsewhere classified</t>
  </si>
  <si>
    <t>Hemiplegia, unspecified</t>
  </si>
  <si>
    <t>Rupture of artery</t>
  </si>
  <si>
    <t>Phlebitis and thrombophlebitis of lower extremities, unspecified</t>
  </si>
  <si>
    <t>Septicaemia due to Streptococcus pneumoniae</t>
  </si>
  <si>
    <t>Achalasia of cardia</t>
  </si>
  <si>
    <t>Newborn affected by placental transfusion syndromes</t>
  </si>
  <si>
    <t>Exomphalos</t>
  </si>
  <si>
    <t>Insulin-dependent diabetes mellitus, with peripheral circulatory complications</t>
  </si>
  <si>
    <t>Urinary catheterization</t>
  </si>
  <si>
    <t>Hereditary ataxia, unspecified</t>
  </si>
  <si>
    <t>Nasal cavity - Malignant neoplasms</t>
  </si>
  <si>
    <t>Disorder of autonomic nervous system, unspecified</t>
  </si>
  <si>
    <t>Peptic ulcer, site unspecified, unspecified as acute or chronic, without haemorrhage or perforation</t>
  </si>
  <si>
    <t>Intestinal adhesions [bands] with obstruction</t>
  </si>
  <si>
    <t>Surgical operation with anastomosis, bypass or graft</t>
  </si>
  <si>
    <t>Overlapping lesion of breast - Malignant neoplasms</t>
  </si>
  <si>
    <t>Arteriovenous fistula, acquired</t>
  </si>
  <si>
    <t>Newborn affected by malpresentation before labour</t>
  </si>
  <si>
    <t>Unspecified chronic bronchitis</t>
  </si>
  <si>
    <t>Pedestrian injured in nontraffic accident involving other and unspecified motor vehicles</t>
  </si>
  <si>
    <t>Sequelae of surgical and medical procedures as the cause of abnormal reaction of the patient, or of later complication, without mention of misadventure at the time of the procedure</t>
  </si>
  <si>
    <t>Other viral pneumonia</t>
  </si>
  <si>
    <t>Iron deficiency anaemia, unspecified</t>
  </si>
  <si>
    <t>Obstructive hydrocephalus</t>
  </si>
  <si>
    <t>Congenital malformation syndromes predominantly associated with short stature</t>
  </si>
  <si>
    <t>Cerebellum - Malignant neoplasms</t>
  </si>
  <si>
    <t>Megacolon, not elsewhere classified</t>
  </si>
  <si>
    <t>Haemothorax</t>
  </si>
  <si>
    <t>Other specified disorders of skin and subcutaneous tissue</t>
  </si>
  <si>
    <t>Osteoporosis, unspecified</t>
  </si>
  <si>
    <t>Sepsis of newborn due to Staphylococcus aureus</t>
  </si>
  <si>
    <t>Colon - Uncertain neoplasms</t>
  </si>
  <si>
    <t>Burkitt tumor</t>
  </si>
  <si>
    <t>Atherosclerosis of aorta</t>
  </si>
  <si>
    <t>Stricture of artery</t>
  </si>
  <si>
    <t>Thorax - Malignant neoplasms</t>
  </si>
  <si>
    <t>Choroid - Malignant neoplasms</t>
  </si>
  <si>
    <t>Patent ductus arteriosus</t>
  </si>
  <si>
    <t>Congenital renal failure</t>
  </si>
  <si>
    <t>Congenital malformation syndromes predominantly involving limbs</t>
  </si>
  <si>
    <t>Atresia of pulmonary artery</t>
  </si>
  <si>
    <t>Nutritional deficiency, unspecified</t>
  </si>
  <si>
    <t>Gastritis, unspecified</t>
  </si>
  <si>
    <t>Haematemesis</t>
  </si>
  <si>
    <t>Malignant melanoma of other and unspecified parts of face - Malignant neoplasms</t>
  </si>
  <si>
    <t>Blind loop syndrome, not elsewhere classified</t>
  </si>
  <si>
    <t>Other lymphoid leukaemia - Malignant neoplasms</t>
  </si>
  <si>
    <t>Overlapping lesion of bronchus and lung - Malignant neoplasms</t>
  </si>
  <si>
    <t>Haemorrhage of anus and rectum</t>
  </si>
  <si>
    <t>Transient cerebral ischaemic attack, unspecified</t>
  </si>
  <si>
    <t>Ventral hernia without obstruction or gangrene</t>
  </si>
  <si>
    <t>Calculus of bile duct with cholangitis</t>
  </si>
  <si>
    <t>Contact with powered lawnmower</t>
  </si>
  <si>
    <t>Other congenital anaemias, not elsewhere classified</t>
  </si>
  <si>
    <t>Common arterial trunk</t>
  </si>
  <si>
    <t>Bladder disorder, unspecified</t>
  </si>
  <si>
    <t>Hairy-cell leukaemia - Malignant neoplasms</t>
  </si>
  <si>
    <t>Skin of trunk - Malignant neoplasms</t>
  </si>
  <si>
    <t>Central portion of breast - Malignant neoplasms</t>
  </si>
  <si>
    <t>Oesophageal varices with bleeding</t>
  </si>
  <si>
    <t>Other specified disorders of white blood cells</t>
  </si>
  <si>
    <t>Adenovirus infection, unspecified</t>
  </si>
  <si>
    <t>Schizoaffective disorder, unspecified</t>
  </si>
  <si>
    <t>Subarachnoid haemorrhage from carotid siphon and bifurcation</t>
  </si>
  <si>
    <t>Pedal cyclist injured in collision with car, pick-up truck or van, driver injured in traffic accident</t>
  </si>
  <si>
    <t>Ischaemic infarction of muscle</t>
  </si>
  <si>
    <t>Wegener granulomatosis</t>
  </si>
  <si>
    <t>Bronchitis, not specified as acute or chronic</t>
  </si>
  <si>
    <t>Exposure to unspecified smoke, fire and flames</t>
  </si>
  <si>
    <t>Postpolio syndrome</t>
  </si>
  <si>
    <t>Ileum - Malignant neoplasms</t>
  </si>
  <si>
    <t>Cachexia</t>
  </si>
  <si>
    <t>Newborn affected by other and unspecified morphological and functional abnormalities of placenta</t>
  </si>
  <si>
    <t>Encephalocele, unspecified</t>
  </si>
  <si>
    <t>Ebstein anomaly</t>
  </si>
  <si>
    <t>Congenital myopathies</t>
  </si>
  <si>
    <t>Thoracoabdominal aortic aneurysm, without mention of rupture</t>
  </si>
  <si>
    <t>Rheumatoid lung disease (J99.0*)</t>
  </si>
  <si>
    <t>Scoliosis, unspecified</t>
  </si>
  <si>
    <t>Calculus of gallbladder with acute cholecystitis</t>
  </si>
  <si>
    <t>Unspecified osteoporosis with pathological fracture</t>
  </si>
  <si>
    <t>HIV disease resulting in other malignant neoplasms</t>
  </si>
  <si>
    <t>Other acute osteomyelitis</t>
  </si>
  <si>
    <t>Interstitial emphysema</t>
  </si>
  <si>
    <t>Aneurysm of other specified arteries</t>
  </si>
  <si>
    <t>Other cerebral infarction</t>
  </si>
  <si>
    <t>Pneumonia due to other aerobic Gram-negative bacteria</t>
  </si>
  <si>
    <t>Connective and soft tissue of pelvis - Malignant neoplasms</t>
  </si>
  <si>
    <t>Endocervix - Malignant neoplasms</t>
  </si>
  <si>
    <t>Secondary thrombocytopenia</t>
  </si>
  <si>
    <t>Descending colon - Malignant neoplasms</t>
  </si>
  <si>
    <t>Streptococcal septicaemia, unspecified</t>
  </si>
  <si>
    <t>Sequelae of subarachnoid haemorrhage</t>
  </si>
  <si>
    <t>Atherosclerosis of arteries of extremities</t>
  </si>
  <si>
    <t>Potter syndrome</t>
  </si>
  <si>
    <t>Other specified respiratory conditions of newborn</t>
  </si>
  <si>
    <t>Neonatal hypertension</t>
  </si>
  <si>
    <t>Double outlet right ventricle</t>
  </si>
  <si>
    <t>Unspecified diabetes mellitus, with coma</t>
  </si>
  <si>
    <t>Unspecified viral encephalitis</t>
  </si>
  <si>
    <t>Chronic leukaemia of unspecified cell type - Malignant neoplasms</t>
  </si>
  <si>
    <t>Neuromuscular dysfunction of bladder, unspecified</t>
  </si>
  <si>
    <t>Exposure to ignition of highly flammable material</t>
  </si>
  <si>
    <t>Connective and soft tissue of head, face and neck - Malignant neoplasms</t>
  </si>
  <si>
    <t>Plasmacytoma, extramedullary - Malignant neoplasms</t>
  </si>
  <si>
    <t>Tuberculosis of bones and joints</t>
  </si>
  <si>
    <t>CR(E)ST syndrome</t>
  </si>
  <si>
    <t>Congenital insufficiency of aortic valve</t>
  </si>
  <si>
    <t>Streptococcal meningitis</t>
  </si>
  <si>
    <t>Other specified cardiac arrhythmias</t>
  </si>
  <si>
    <t>Newborn affected by maternal infectious and parasitic diseases</t>
  </si>
  <si>
    <t>Exposure to ignition or melting of other clothing and apparel</t>
  </si>
  <si>
    <t>Bradycardia, unspecified</t>
  </si>
  <si>
    <t>Angina pectoris, unspecified</t>
  </si>
  <si>
    <t>Disorders of both mitral and tricuspid valves</t>
  </si>
  <si>
    <t>Acute transverse myelitis in demyelinating disease of central nervous system</t>
  </si>
  <si>
    <t>Other sphingolipidosis</t>
  </si>
  <si>
    <t>Explosion of other materials</t>
  </si>
  <si>
    <t>Psychological and behavioural factors associated with disorders or diseases classified elsewhere</t>
  </si>
  <si>
    <t>Diaphragmatic hernia with obstruction, without gangrene</t>
  </si>
  <si>
    <t>Rheumatic heart disease, unspecified</t>
  </si>
  <si>
    <t>Congenital malformation of peripheral vascular system, unspecified</t>
  </si>
  <si>
    <t>Cutaneous abscess, furuncle and carbuncle, unspecified</t>
  </si>
  <si>
    <t>Sequelae of poliomyelitis</t>
  </si>
  <si>
    <t>Vertebral column - Malignant neoplasms</t>
  </si>
  <si>
    <t>Arthritis, unspecified</t>
  </si>
  <si>
    <t>Nutritional marasmus</t>
  </si>
  <si>
    <t>Small for gestational age</t>
  </si>
  <si>
    <t>Discordant ventriculoarterial connection</t>
  </si>
  <si>
    <t>Amputation of limb(s)</t>
  </si>
  <si>
    <t>Portal hypertension</t>
  </si>
  <si>
    <t>Other specified symptoms and signs involving the digestive system and abdomen</t>
  </si>
  <si>
    <t>Vascular parkinsonism</t>
  </si>
  <si>
    <t>HIV disease resulting in other viral infections</t>
  </si>
  <si>
    <t>Malignant neoplasm of trachea</t>
  </si>
  <si>
    <t>Other specified pleural conditions</t>
  </si>
  <si>
    <t>Infective myositis</t>
  </si>
  <si>
    <t>Other disorders of autonomic nervous system</t>
  </si>
  <si>
    <t>Neoplasm of uncertain or unknown behaviour of lymphoid, haematopoietic and related tissue, unspecified - Uncertain neoplasms</t>
  </si>
  <si>
    <t>Other types of diffuse non-Hodgkin lymphoma</t>
  </si>
  <si>
    <t>Pneumonia due to Haemophilus influenzae</t>
  </si>
  <si>
    <t>Monoclonal gammopathy - Uncertain neoplasms</t>
  </si>
  <si>
    <t>Spinal cord - Malignant neoplasms</t>
  </si>
  <si>
    <t>Overlapping lesion of colon - Malignant neoplasms</t>
  </si>
  <si>
    <t>Other specified disorders of brain</t>
  </si>
  <si>
    <t>Ulcer of oesophagus</t>
  </si>
  <si>
    <t>Other dermatomyositis</t>
  </si>
  <si>
    <t>Zoster without complication</t>
  </si>
  <si>
    <t>Idiopathic thrombocytopenic purpura</t>
  </si>
  <si>
    <t>Mycobacterial infection, unspecified</t>
  </si>
  <si>
    <t>Polymyositis</t>
  </si>
  <si>
    <t>Situs inversus</t>
  </si>
  <si>
    <t>Other specified infections specific to the perinatal period</t>
  </si>
  <si>
    <t>Other congenital malformations of trachea</t>
  </si>
  <si>
    <t>Intracerebral (nontraumatic) haemorrhage of newborn</t>
  </si>
  <si>
    <t>Coarctation of aorta</t>
  </si>
  <si>
    <t>Mycosis fungoides - Malignant neoplasms</t>
  </si>
  <si>
    <t>Other specified diseases of pancreas</t>
  </si>
  <si>
    <t>Other autoimmune haemolytic anaemias</t>
  </si>
  <si>
    <t>Umbilical hernia with obstruction, without gangrene</t>
  </si>
  <si>
    <t>Hard palate - Malignant neoplasms</t>
  </si>
  <si>
    <t>Floor of mouth, unspecified - Malignant neoplasms</t>
  </si>
  <si>
    <t>Reaction to severe stress, unspecified</t>
  </si>
  <si>
    <t>Hereditary motor and sensory neuropathy</t>
  </si>
  <si>
    <t>Bullous pemphigoid</t>
  </si>
  <si>
    <t>Nonrheumatic mitral (valve) stenosis</t>
  </si>
  <si>
    <t>Primary adrenocortical insufficiency</t>
  </si>
  <si>
    <t>Haemorrhage from other sites in respiratory passages</t>
  </si>
  <si>
    <t>Other malformations of cerebral vessels</t>
  </si>
  <si>
    <t>Enterovirus infection, unspecified</t>
  </si>
  <si>
    <t>Other reconstructive surgery</t>
  </si>
  <si>
    <t>Cutaneous abscess, furuncle and carbuncle of limb</t>
  </si>
  <si>
    <t>Hypertensive encephalopathy</t>
  </si>
  <si>
    <t>Kidney - Uncertain neoplasms</t>
  </si>
  <si>
    <t>Cutaneous abscess, furuncle and carbuncle of trunk</t>
  </si>
  <si>
    <t>Cortex of adrenal gland - Malignant neoplasms</t>
  </si>
  <si>
    <t>Overlapping lesion of brain - Malignant neoplasms</t>
  </si>
  <si>
    <t>Striking against or struck by other objects</t>
  </si>
  <si>
    <t>Mental and behavioural disorders due to use of cocaine, harmful use</t>
  </si>
  <si>
    <t>Ventricular septal defect</t>
  </si>
  <si>
    <t>Fall on same level involving ice and snow</t>
  </si>
  <si>
    <t>Nipple and areola - Malignant neoplasms</t>
  </si>
  <si>
    <t>Occupant [any] of pick-up truck or van injured in unspecified traffic accident</t>
  </si>
  <si>
    <t>Unspecified nephritic syndrome, unspecified</t>
  </si>
  <si>
    <t>Pulmonary embolism with mention of acute cor pulmonale</t>
  </si>
  <si>
    <t>Barrett esophagus</t>
  </si>
  <si>
    <t>Triploidy and polyploidy</t>
  </si>
  <si>
    <t>Total anomalous pulmonary venous connection</t>
  </si>
  <si>
    <t>Polycystic kidney, infantile type</t>
  </si>
  <si>
    <t>Newborn affected by prolapsed cord</t>
  </si>
  <si>
    <t>Newborn affected by other compression of umbilical cord</t>
  </si>
  <si>
    <t>Congenital malformation of lung, unspecified</t>
  </si>
  <si>
    <t>Primary thrombophilia</t>
  </si>
  <si>
    <t>Water-transport-related drowning and submersion without accident to watercraft, unspecified watercraft, boat NOS, ship NOS, or watercraft NOS</t>
  </si>
  <si>
    <t>Ill-defined sites within the respiratory system - Malignant neoplasms</t>
  </si>
  <si>
    <t>Aneurysm of artery of lower extremity</t>
  </si>
  <si>
    <t>Chronic viral hepatitis B without delta-agent</t>
  </si>
  <si>
    <t>Combined disorders of mitral, aortic and tricuspid valves</t>
  </si>
  <si>
    <t>HIV disease with other types of non-Hodgkin lymphoma</t>
  </si>
  <si>
    <t>Pathological fracture, not elsewhere classified</t>
  </si>
  <si>
    <t>Aneurysm of iliac artery</t>
  </si>
  <si>
    <t>Biliary cirrhosis, unspecified</t>
  </si>
  <si>
    <t>Acute upper respiratory infection, unspecified</t>
  </si>
  <si>
    <t>Pyothorax with fistula</t>
  </si>
  <si>
    <t>Spontaneous tension pneumothorax</t>
  </si>
  <si>
    <t>Unspecified chronic respiratory disease originating in the perinatal period</t>
  </si>
  <si>
    <t>Congenital heart block</t>
  </si>
  <si>
    <t>Calculus of gallbladder with other cholecystitis</t>
  </si>
  <si>
    <t>Infarction of spleen</t>
  </si>
  <si>
    <t>Aortic (valve) stenosis with insufficiency</t>
  </si>
  <si>
    <t>Vascular myelopathies</t>
  </si>
  <si>
    <t>Accidental poisoning by and exposure to other and unspecified chemicals and noxious substances</t>
  </si>
  <si>
    <t>Removal of other organ (partial) (total)</t>
  </si>
  <si>
    <t>Other surgical procedures</t>
  </si>
  <si>
    <t>Pyloric antrum - Malignant neoplasms</t>
  </si>
  <si>
    <t>Spondylopathy, unspecified</t>
  </si>
  <si>
    <t>Intracerebral haemorrhage in hemisphere, unspecified</t>
  </si>
  <si>
    <t>Sialoadenitis</t>
  </si>
  <si>
    <t>Rheumatic diseases of endocardium, valve unspecified</t>
  </si>
  <si>
    <t>Soft palate - Malignant neoplasms</t>
  </si>
  <si>
    <t>Lip, oral cavity and pharynx - Uncertain neoplasms</t>
  </si>
  <si>
    <t>Skin of upper limb, including shoulder - Malignant neoplasms</t>
  </si>
  <si>
    <t>Rectal abscess</t>
  </si>
  <si>
    <t>Other cardiovascular disorders originating in the perinatal period</t>
  </si>
  <si>
    <t>Hypoplastic right heart syndrome</t>
  </si>
  <si>
    <t>Refractory anaemia, unspecified - Uncertain neoplasms</t>
  </si>
  <si>
    <t>Contact with hornets, wasps and bees</t>
  </si>
  <si>
    <t>Other and unspecified atrioventricular block</t>
  </si>
  <si>
    <t>Intraspinal abscess and granuloma</t>
  </si>
  <si>
    <t>Immunodeficiency, unspecified</t>
  </si>
  <si>
    <t>Female pelvic inflammatory disease, unspecified</t>
  </si>
  <si>
    <t>Paralysis of vocal cords and larynx</t>
  </si>
  <si>
    <t>Cellulitis of trunk</t>
  </si>
  <si>
    <t>Other specified inflammatory liver diseases</t>
  </si>
  <si>
    <t>Disorders of diaphragm</t>
  </si>
  <si>
    <t>Fall involving other furniture</t>
  </si>
  <si>
    <t>Termination of pregnancy, newborn</t>
  </si>
  <si>
    <t>Sepsis of newborn due to other and unspecified streptococci</t>
  </si>
  <si>
    <t>Other specified neonatal haemorrhages</t>
  </si>
  <si>
    <t>Endocardial fibroelastosis</t>
  </si>
  <si>
    <t>Congenital malformation syndromes predominantly affecting facial appearance</t>
  </si>
  <si>
    <t>Congenital cytomegalovirus infection</t>
  </si>
  <si>
    <t>Lymph node, unspecified - Malignant neoplasms</t>
  </si>
  <si>
    <t>Chronic passive congestion of liver</t>
  </si>
  <si>
    <t>Occipital lobe - Malignant neoplasms</t>
  </si>
  <si>
    <t>Drug or medicament, unspecified</t>
  </si>
  <si>
    <t>Systemic lupus erythematosus, unspecified</t>
  </si>
  <si>
    <t>Other infantile cerebral palsy</t>
  </si>
  <si>
    <t>HIV disease resulting in encephalopathy</t>
  </si>
  <si>
    <t>Small intestine - Uncertain neoplasms</t>
  </si>
  <si>
    <t>Caught, crushed, jammed or pinched in or between objects</t>
  </si>
  <si>
    <t>Other specified diseases of anus and rectum</t>
  </si>
  <si>
    <t>Other specified disorders of arteries and arterioles</t>
  </si>
  <si>
    <t>Lower limb - Malignant neoplasms</t>
  </si>
  <si>
    <t>Disorder of thyroid, unspecified</t>
  </si>
  <si>
    <t>Long bones of lower limb - Malignant neoplasms</t>
  </si>
  <si>
    <t>Hereditary haemolytic anaemia, unspecified</t>
  </si>
  <si>
    <t>Stenosis of pulmonary artery</t>
  </si>
  <si>
    <t>Sepsis of newborn due to other and unspecified staphylococci</t>
  </si>
  <si>
    <t>Respiratory condition of newborn, unspecified</t>
  </si>
  <si>
    <t>Other specified trisomies and partial trisomies of autosomes</t>
  </si>
  <si>
    <t>Other specified chromosome abnormalities</t>
  </si>
  <si>
    <t>Other congenital viral diseases</t>
  </si>
  <si>
    <t>Gastroschisis</t>
  </si>
  <si>
    <t>Congenital stenosis of aortic valve</t>
  </si>
  <si>
    <t>Congenital malformation of nervous system, unspecified</t>
  </si>
  <si>
    <t>Breast - Uncertain neoplasms</t>
  </si>
  <si>
    <t>Unspecified lump in breast</t>
  </si>
  <si>
    <t>Non-Hodgkin lymphoma lymphoblastic (diffuse)</t>
  </si>
  <si>
    <t>Malformation of coronary vessels</t>
  </si>
  <si>
    <t>Sequelae of inflammatory diseases of central nervous system</t>
  </si>
  <si>
    <t>Central nervous system, unspecified - Malignant neoplasms</t>
  </si>
  <si>
    <t>Connective and soft tissue of upper limb, including shoulder - Malignant neoplasms</t>
  </si>
  <si>
    <t>Acute viral hepatitis, unspecified</t>
  </si>
  <si>
    <t>Generalized idiopathic epilepsy and epileptic syndromes</t>
  </si>
  <si>
    <t>Hyperventilation</t>
  </si>
  <si>
    <t>Chronic cholecystitis</t>
  </si>
  <si>
    <t>Other tricuspid valve diseases</t>
  </si>
  <si>
    <t>Skin of lower limb, including hip - Malignant neoplasms</t>
  </si>
  <si>
    <t>Jejunum - Malignant neoplasms</t>
  </si>
  <si>
    <t>Overlapping lesion of pancreas - Malignant neoplasms</t>
  </si>
  <si>
    <t>Brain, supratentorial - Uncertain neoplasms</t>
  </si>
  <si>
    <t>Sepsis of newborn due to streptococcus, group B</t>
  </si>
  <si>
    <t>Other specified congenital malformations of urinary system</t>
  </si>
  <si>
    <t>Other bacterial meningitis</t>
  </si>
  <si>
    <t>Newborn affected by other maternal circulatory and respiratory diseases</t>
  </si>
  <si>
    <t>Newborn affected by other malpresentation, malposition and disproportion during labour and delivery</t>
  </si>
  <si>
    <t>Disorders of fatty-acid metabolism</t>
  </si>
  <si>
    <t>Conjoined twins</t>
  </si>
  <si>
    <t>Congenital hypotonia</t>
  </si>
  <si>
    <t>Atresia of foramina of Magendie and Luschka</t>
  </si>
  <si>
    <t>Disease of blood and blood-forming organs, unspecified</t>
  </si>
  <si>
    <t>HIV disease resulting in haematological and immunological abnormalities, not elsewhere classified</t>
  </si>
  <si>
    <t>Gout, unspecified</t>
  </si>
  <si>
    <t>Zoster encephalitis</t>
  </si>
  <si>
    <t>Pedestrian injured in collision with car, pick-up truck or van, nontraffic accident</t>
  </si>
  <si>
    <t>Falling, jumping or pushed from a high place, undetermined intent</t>
  </si>
  <si>
    <t>Abscess of lung without pneumonia</t>
  </si>
  <si>
    <t>Extrapyramidal and movement disorder, unspecified</t>
  </si>
  <si>
    <t>Upper-inner quadrant of breast - Malignant neoplasms</t>
  </si>
  <si>
    <t>Bone and articular cartilage - Uncertain neoplasms</t>
  </si>
  <si>
    <t>Other diseases of larynx</t>
  </si>
  <si>
    <t>Exposure to controlled fire, not in building or structure</t>
  </si>
  <si>
    <t>Other intracerebral haemorrhage</t>
  </si>
  <si>
    <t>Acute monocytic leukaemia - Malignant neoplasms</t>
  </si>
  <si>
    <t>Cheek mucosa - Malignant neoplasms</t>
  </si>
  <si>
    <t>Non-insulin-dependent diabetes mellitus, with coma</t>
  </si>
  <si>
    <t>Other specified diseases of pulmonary vessels</t>
  </si>
  <si>
    <t>Newborn affected by precipitate delivery</t>
  </si>
  <si>
    <t>Newborn affected by other and unspecified conditions of umbilical cord</t>
  </si>
  <si>
    <t>Microcephaly</t>
  </si>
  <si>
    <t>Double inlet ventricle</t>
  </si>
  <si>
    <t>Cystic kidney disease, unspecified</t>
  </si>
  <si>
    <t>Convulsions of newborn</t>
  </si>
  <si>
    <t>Congenital malformation of kidney, unspecified</t>
  </si>
  <si>
    <t>Nephrotic syndrome, unspecified</t>
  </si>
  <si>
    <t>Motorcycle rider injured in collision with pedestrian or animal, driver injured in traffic accident</t>
  </si>
  <si>
    <t>Kidney dialysis</t>
  </si>
  <si>
    <t>Abnormal weight loss</t>
  </si>
  <si>
    <t>Syncope and collapse</t>
  </si>
  <si>
    <t>Other specified drowning and submersion</t>
  </si>
  <si>
    <t>Bladder-neck obstruction</t>
  </si>
  <si>
    <t>Inflammatory liver disease, unspecified</t>
  </si>
  <si>
    <t>Calculus of bile duct with cholecystitis</t>
  </si>
  <si>
    <t>Cerebral infarction due to embolism of precerebral arteries</t>
  </si>
  <si>
    <t>Degenerative disease of basal ganglia, unspecified</t>
  </si>
  <si>
    <t>Trigone of bladder - Malignant neoplasms</t>
  </si>
  <si>
    <t>Instantaneous death</t>
  </si>
  <si>
    <t>Overlapping lesion of bladder - Malignant neoplasms</t>
  </si>
  <si>
    <t>Exposure to other specified smoke, fire and flames</t>
  </si>
  <si>
    <t>Joint disorder, unspecified</t>
  </si>
  <si>
    <t>Pituitary gland - Uncertain neoplasms</t>
  </si>
  <si>
    <t>Other specified disorders of veins</t>
  </si>
  <si>
    <t>Familial dysautonomia [Riley-Day]</t>
  </si>
  <si>
    <t>Syndrome of inappropriate secretion of antidiuretic hormone</t>
  </si>
  <si>
    <t>Nonrheumatic tricuspid (valve) insufficiency</t>
  </si>
  <si>
    <t>Cord compression, unspecified</t>
  </si>
  <si>
    <t>Anorexia nervosa</t>
  </si>
  <si>
    <t>Other specified inflammation of vagina and vulva</t>
  </si>
  <si>
    <t>Intentional self-poisoning by and exposure to alcohol</t>
  </si>
  <si>
    <t>Disease of digestive system, unspecified</t>
  </si>
  <si>
    <t>Pelvic bones, sacrum and coccyx - Malignant neoplasms</t>
  </si>
  <si>
    <t>Mental and behavioural disorders due to use of alcohol, withdrawal state with delirium</t>
  </si>
  <si>
    <t>Thoracoabdominal aortic aneurysm, ruptured</t>
  </si>
  <si>
    <t>Sequelae of events of undetermined intent</t>
  </si>
  <si>
    <t>Developmental disorder of scholastic skills, unspecified</t>
  </si>
  <si>
    <t>Left bundle-branch block, unspecified</t>
  </si>
  <si>
    <t>Hereditary factor VIII deficiency</t>
  </si>
  <si>
    <t>Diverticulum of oesophagus, acquired</t>
  </si>
  <si>
    <t>Mental and behavioural disorders due to use of alcohol, amnesic syndrome</t>
  </si>
  <si>
    <t>Cerebral cryptococcosis</t>
  </si>
  <si>
    <t>Pituitary gland - Benign neoplasms</t>
  </si>
  <si>
    <t>Stomach - Uncertain neoplasms</t>
  </si>
  <si>
    <t>Unilateral or unspecified femoral hernia, with obstruction, without gangrene</t>
  </si>
  <si>
    <t>Other diseases of pharynx</t>
  </si>
  <si>
    <t>Other and unspecified kyphosis</t>
  </si>
  <si>
    <t>Anorexia</t>
  </si>
  <si>
    <t>Angiodysplasia of colon</t>
  </si>
  <si>
    <t>Connective and soft tissue of thorax - Malignant neoplasms</t>
  </si>
  <si>
    <t>Ulcer of intestine</t>
  </si>
  <si>
    <t>Car occupant injured in collision with heavy transport vehicle or bus, passenger injured in traffic accident</t>
  </si>
  <si>
    <t>Progressive multifocal leukoencephalopathy</t>
  </si>
  <si>
    <t>Passenger of all-terrain or other off-road motor vehicle injured in traffic accident</t>
  </si>
  <si>
    <t>Unilateral or unspecified inguinal hernia, without obstruction or gangrene</t>
  </si>
  <si>
    <t>Lip, unspecified - Malignant neoplasms</t>
  </si>
  <si>
    <t>Granulomatous disorder of skin and subcutaneous tissue, unspecified</t>
  </si>
  <si>
    <t>Heart - Malignant neoplasms</t>
  </si>
  <si>
    <t>Ovary - Uncertain neoplasms</t>
  </si>
  <si>
    <t>Other impaction of intestine</t>
  </si>
  <si>
    <t>Mild cognitive disorder</t>
  </si>
  <si>
    <t>Hypopituitarism</t>
  </si>
  <si>
    <t>Chronic hepatitis, unspecified</t>
  </si>
  <si>
    <t>Unspecified mental retardation</t>
  </si>
  <si>
    <t>Peritoneal adhesions</t>
  </si>
  <si>
    <t>Haemoptysis</t>
  </si>
  <si>
    <t>Cerebral meninges - Malignant neoplasms</t>
  </si>
  <si>
    <t>Noninflammatory disorder of uterus, unspecified</t>
  </si>
  <si>
    <t>Sequelae of protein-energy malnutrition</t>
  </si>
  <si>
    <t>Other spontaneous pneumothorax</t>
  </si>
  <si>
    <t>Other forms of angina pectoris</t>
  </si>
  <si>
    <t>Hypersensitivity angiitis</t>
  </si>
  <si>
    <t>Disorders of meninges, not elsewhere classified</t>
  </si>
  <si>
    <t>Neurofibromatosis (nonmalignant)</t>
  </si>
  <si>
    <t>Recurrent and persistent haematuria, other</t>
  </si>
  <si>
    <t>Other specified diseases of digestive system</t>
  </si>
  <si>
    <t>Chronic constrictive pericarditis</t>
  </si>
  <si>
    <t>Anxiety disorder, unspecified</t>
  </si>
  <si>
    <t>Bitten or struck by dog</t>
  </si>
  <si>
    <t>Motorcycle rider injured in collision with car, pick-up truck or van, unspecified motorcycle rider injured in traffic accident</t>
  </si>
  <si>
    <t>Victim of cataclysmic storm</t>
  </si>
  <si>
    <t>Person injured in collision between other motor vehicle and two- or three-wheeled motor vehicle (traffic)</t>
  </si>
  <si>
    <t>Angiosarcoma of liver - Malignant neoplasms</t>
  </si>
  <si>
    <t>Venous insufficiency (chronic)(peripheral)</t>
  </si>
  <si>
    <t>Rheumatoid arthritis with involvement of other organs and systems</t>
  </si>
  <si>
    <t>Melaena</t>
  </si>
  <si>
    <t>Intra-abdominal and pelvic swelling, mass and lump</t>
  </si>
  <si>
    <t>Hypergammaglobulinaemia, unspecified</t>
  </si>
  <si>
    <t>Hepatic flexure - Malignant neoplasms</t>
  </si>
  <si>
    <t>Disorder of peritoneum, unspecified</t>
  </si>
  <si>
    <t>Pedal cyclist injured in noncollision transport accident, driver injured in traffic accident</t>
  </si>
  <si>
    <t>Submandibular gland - Malignant neoplasms</t>
  </si>
  <si>
    <t>Renal and perinephric abscess</t>
  </si>
  <si>
    <t>Other specified noninfective gastroenteritis and colitis</t>
  </si>
  <si>
    <t>Surgical operation with transplant of whole organ</t>
  </si>
  <si>
    <t>Assault by blunt object</t>
  </si>
  <si>
    <t>Fistula of vagina to large intestine</t>
  </si>
  <si>
    <t>Body of stomach - Malignant neoplasms</t>
  </si>
  <si>
    <t>Tumor lysis syndrome</t>
  </si>
  <si>
    <t>Unspecified appendicitis</t>
  </si>
  <si>
    <t>Passenger of all-terrain or other off-road motor vehicle injured in nontraffic accident</t>
  </si>
  <si>
    <t>Handgun discharge</t>
  </si>
  <si>
    <t>Embolism and thrombosis of abdominal aorta</t>
  </si>
  <si>
    <t>Bullous erythema multiforme</t>
  </si>
  <si>
    <t>Uterus - Uncertain neoplasms</t>
  </si>
  <si>
    <t>Myositis, unspecified</t>
  </si>
  <si>
    <t>Drowning and submersion following fall into swimming-pool</t>
  </si>
  <si>
    <t>Pleura - Malignant neoplasms</t>
  </si>
  <si>
    <t>Perforation of gallbladder</t>
  </si>
  <si>
    <t>Orthostatic hypotension</t>
  </si>
  <si>
    <t>Rider or occupant injured by fall from or being thrown from animal or animal-drawn vehicle in noncollision accident</t>
  </si>
  <si>
    <t>Other specified polyneuropathies</t>
  </si>
  <si>
    <t>Occupant of heavy transport vehicle injured in noncollision transport accident, driver injured in traffic accident</t>
  </si>
  <si>
    <t>Intentional self-poisoning by and exposure to organic solvents and halogenated hydrocarbons and their vapours</t>
  </si>
  <si>
    <t>Polyarteritis with lung involvement [Churg-Strauss]</t>
  </si>
  <si>
    <t>Fundus of stomach - Malignant neoplasms</t>
  </si>
  <si>
    <t>Chronic sinusitis, unspecified</t>
  </si>
  <si>
    <t>Anticoagulants</t>
  </si>
  <si>
    <t>Abscess of intestine</t>
  </si>
  <si>
    <t>Intentional self-poisoning by and exposure to other drugs acting on the autonomic nervous system</t>
  </si>
  <si>
    <t>Alcohol-induced chronic pancreatitis</t>
  </si>
  <si>
    <t>HIV disease resulting in unspecified malignant neoplasm</t>
  </si>
  <si>
    <t>Accident to watercraft causing drowning and submersion, unspecified watercraft, boat NOS, ship NOS, or watercraft NOS</t>
  </si>
  <si>
    <t>Mental and behavioural disorders due to use of opioids, harmful use</t>
  </si>
  <si>
    <t>Rett syndrome</t>
  </si>
  <si>
    <t>Unspecified contracted kidney</t>
  </si>
  <si>
    <t>Polyarteritis nodosa</t>
  </si>
  <si>
    <t>Myeloid sarcoma - Malignant neoplasms</t>
  </si>
  <si>
    <t>Dysphasia and aphasia</t>
  </si>
  <si>
    <t>Diseases of bronchus, not elsewhere classified</t>
  </si>
  <si>
    <t>Sequelae of intentional self-harm</t>
  </si>
  <si>
    <t>Duodenal ulcer, chronic or unspecified with both haemorrhage and perforation</t>
  </si>
  <si>
    <t>Rectum - Uncertain neoplasms</t>
  </si>
  <si>
    <t>Post-traumatic stress disorder</t>
  </si>
  <si>
    <t>Paralytic syndrome, unspecified</t>
  </si>
  <si>
    <t>Overlapping lesion of urinary organs - Malignant neoplasms</t>
  </si>
  <si>
    <t>Other specified diseases of biliary tract</t>
  </si>
  <si>
    <t>Other overlap syndromes</t>
  </si>
  <si>
    <t>Mastocytosis</t>
  </si>
  <si>
    <t>Malignant neuroleptic syndrome</t>
  </si>
  <si>
    <t>Gangrene, not elsewhere classified</t>
  </si>
  <si>
    <t>Cardiac septal defect, acquired</t>
  </si>
  <si>
    <t>Bones of skull and face - Malignant neoplasms</t>
  </si>
  <si>
    <t>Occupant of pick-up truck or van injured in noncollision transport accident, passenger injured in traffic accident</t>
  </si>
  <si>
    <t>Oesophageal varices without bleeding</t>
  </si>
  <si>
    <t>Toxic shock syndrome</t>
  </si>
  <si>
    <t>Other disorders of nervous system, not elsewhere classified</t>
  </si>
  <si>
    <t>Myoclonus</t>
  </si>
  <si>
    <t>Gastric ulcer, acute with haemorrhage</t>
  </si>
  <si>
    <t>Coeliac disease</t>
  </si>
  <si>
    <t>Bitten or struck by other mammals</t>
  </si>
  <si>
    <t>Intracranial and intraspinal phlebitis and thrombophlebitis</t>
  </si>
  <si>
    <t>Acute transmural myocardial infarction of unspecified site</t>
  </si>
  <si>
    <t>Paranoid schizophrenia</t>
  </si>
  <si>
    <t>Other specified degenerative diseases of basal ganglia</t>
  </si>
  <si>
    <t>Hypovolaemic shock</t>
  </si>
  <si>
    <t>Pure hyperglyceridaemia</t>
  </si>
  <si>
    <t>Hepatoblastoma - Malignant neoplasms</t>
  </si>
  <si>
    <t>Unspecified acute lower respiratory infection</t>
  </si>
  <si>
    <t>Thyrotoxicosis with diffuse goitre</t>
  </si>
  <si>
    <t>Specified parts of peritoneum - Malignant neoplasms</t>
  </si>
  <si>
    <t>Other specified extrapyramidal and movement disorders</t>
  </si>
  <si>
    <t>Other nonrheumatic mitral valve disorders</t>
  </si>
  <si>
    <t>Gastric ulcer, chronic or unspecified with both haemorrhage and perforation</t>
  </si>
  <si>
    <t>Demyelinating disease of central nervous system, unspecified</t>
  </si>
  <si>
    <t>Catatonic schizophrenia</t>
  </si>
  <si>
    <t>Pseudocyst of pancreas</t>
  </si>
  <si>
    <t>Unspecified viral hepatitis without hepatic coma</t>
  </si>
  <si>
    <t>Intentional self-harm by unspecified means</t>
  </si>
  <si>
    <t>Spinal muscular atrophy, unspecified</t>
  </si>
  <si>
    <t>Striatonigral degeneration</t>
  </si>
  <si>
    <t>Septicaemia due to anaerobes</t>
  </si>
  <si>
    <t>Pedal cyclist injured in noncollision transport accident, unspecified pedal cyclist injured in traffic accident</t>
  </si>
  <si>
    <t>Endocrine pancreas - Malignant neoplasms</t>
  </si>
  <si>
    <t>Aspergillosis, unspecified</t>
  </si>
  <si>
    <t>Motorcycle rider injured in noncollision transport accident, unspecified motorcycle rider injured in traffic accident</t>
  </si>
  <si>
    <t>HIV disease resulting in other malignant neoplasms of lymphoid, haematopoietic and related tissue</t>
  </si>
  <si>
    <t>Gastro-oesophageal laceration-haemorrhage syndrome</t>
  </si>
  <si>
    <t>Alveolar and parietoalveolar conditions</t>
  </si>
  <si>
    <t>Palate, unspecified - Malignant neoplasms</t>
  </si>
  <si>
    <t>Mental and behavioural disorders due to multiple drug use and use of other psychoactive substances, dependence syndrome</t>
  </si>
  <si>
    <t>Immunosuppressive agents</t>
  </si>
  <si>
    <t>Peripheral nerves and autonomic nervous system, unspecified - Malignant neoplasms</t>
  </si>
  <si>
    <t>Ectopic pregnancy, unspecified</t>
  </si>
  <si>
    <t>Insulin-dependent diabetes mellitus, with neurological complications</t>
  </si>
  <si>
    <t>Aortic body and other paraganglia - Malignant neoplasms</t>
  </si>
  <si>
    <t>Moyamoya disease</t>
  </si>
  <si>
    <t>Pedestrian injured in collision with heavy transport vehicle or bus, nontraffic accident</t>
  </si>
  <si>
    <t>Assault by smoke, fire and flames</t>
  </si>
  <si>
    <t>Person injured in collision between car and pick-up truck or van (traffic)</t>
  </si>
  <si>
    <t>Childhood autism</t>
  </si>
  <si>
    <t>Car occupant injured in noncollision transport accident, unspecified car occupant injured in traffic accident</t>
  </si>
  <si>
    <t>意外中毒及暴露于其他和未特指的药物、药剂及生物制品</t>
  </si>
  <si>
    <t>意外中毒及暴露于不可归类在他处的麻醉剂和致幻剂</t>
  </si>
  <si>
    <t>涉及其他和未特指枪支发射的加害（他杀/袭击）</t>
  </si>
  <si>
    <t>故意自害（自杀），通过悬吊、勒颈和窒息</t>
  </si>
  <si>
    <t>故意自害（自杀），通过其他和未特指的枪支发射</t>
  </si>
  <si>
    <t>在未特指的机动车事故（交通）中受伤的人员</t>
  </si>
  <si>
    <t>酒精性肝硬化</t>
  </si>
  <si>
    <t>其他定义不明确和未特指的死亡原因</t>
  </si>
  <si>
    <t>意外中毒及暴露于不可归类在他处的抗癫痫药、镇静催眠药、抗帕金森病药和精神药物</t>
  </si>
  <si>
    <t>故意自害（自杀），通过手枪发射</t>
  </si>
  <si>
    <t>在涉及其他和未特指机动车的交通事故中受伤的行人</t>
  </si>
  <si>
    <t>在其他特指机动车之间的碰撞（交通）中受伤的人员</t>
  </si>
  <si>
    <t>高血压性心脏病，不伴有（充血性）心力衰竭</t>
  </si>
  <si>
    <t>使用酒精引起的精神和行为障碍，有害使用</t>
  </si>
  <si>
    <t>使用酒精引起的精神和行为障碍，依赖综合征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</si>
</sst>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_ ;_ * \-#,##0.0_ ;_ * &quot;-&quot;??.0_ ;_ @_ "/>
    <numFmt numFmtId="177" formatCode="_ * #,##0_ ;_ * \-#,##0_ ;_ * &quot;-&quot;??_ ;_ @_ "/>
    <numFmt numFmtId="178" formatCode="_ * #,##0.0_ ;_ * \-#,##0.0_ ;_ 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6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wrapText="1" readingOrder="1"/>
    </xf>
    <xf numFmtId="43" fontId="0" fillId="0" borderId="0" xfId="0" applyNumberFormat="1">
      <alignment vertical="center"/>
    </xf>
    <xf numFmtId="0" fontId="2" fillId="2" borderId="2" xfId="0" applyFont="1" applyFill="1" applyBorder="1">
      <alignment vertical="center"/>
    </xf>
    <xf numFmtId="43" fontId="2" fillId="2" borderId="2" xfId="0" applyNumberFormat="1" applyFont="1" applyFill="1" applyBorder="1">
      <alignment vertical="center"/>
    </xf>
    <xf numFmtId="0" fontId="2" fillId="2" borderId="0" xfId="0" applyFont="1" applyFill="1" applyBorder="1">
      <alignment vertical="center"/>
    </xf>
    <xf numFmtId="43" fontId="2" fillId="2" borderId="0" xfId="0" applyNumberFormat="1" applyFont="1" applyFill="1" applyBorder="1">
      <alignment vertical="center"/>
    </xf>
    <xf numFmtId="0" fontId="0" fillId="0" borderId="0" xfId="0" applyBorder="1">
      <alignment vertical="center"/>
    </xf>
    <xf numFmtId="43" fontId="0" fillId="0" borderId="0" xfId="0" applyNumberFormat="1" applyBorder="1">
      <alignment vertical="center"/>
    </xf>
    <xf numFmtId="0" fontId="0" fillId="0" borderId="2" xfId="0" applyBorder="1">
      <alignment vertical="center"/>
    </xf>
    <xf numFmtId="43" fontId="0" fillId="0" borderId="2" xfId="0" applyNumberFormat="1" applyBorder="1">
      <alignment vertical="center"/>
    </xf>
    <xf numFmtId="0" fontId="0" fillId="0" borderId="3" xfId="0" applyBorder="1">
      <alignment vertical="center"/>
    </xf>
    <xf numFmtId="43" fontId="0" fillId="0" borderId="3" xfId="0" applyNumberFormat="1" applyBorder="1">
      <alignment vertical="center"/>
    </xf>
    <xf numFmtId="49" fontId="3" fillId="0" borderId="4" xfId="0" applyNumberFormat="1" applyFont="1" applyFill="1" applyBorder="1" applyAlignment="1" applyProtection="1"/>
    <xf numFmtId="0" fontId="3" fillId="0" borderId="4" xfId="0" applyFont="1" applyFill="1" applyBorder="1" applyAlignment="1">
      <alignment vertical="center"/>
    </xf>
    <xf numFmtId="49" fontId="3" fillId="0" borderId="5" xfId="0" applyNumberFormat="1" applyFont="1" applyFill="1" applyBorder="1" applyAlignment="1" applyProtection="1">
      <alignment horizontal="center" vertical="center" wrapText="1"/>
    </xf>
    <xf numFmtId="49" fontId="3" fillId="0" borderId="6" xfId="0" applyNumberFormat="1" applyFont="1" applyFill="1" applyBorder="1" applyAlignment="1" applyProtection="1">
      <alignment horizontal="center" vertical="center" wrapText="1"/>
    </xf>
    <xf numFmtId="49" fontId="3" fillId="0" borderId="7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177" fontId="3" fillId="0" borderId="0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4" xfId="0" applyNumberFormat="1" applyFont="1" applyFill="1" applyBorder="1" applyAlignment="1" applyProtection="1">
      <alignment horizontal="left" vertical="center" wrapText="1"/>
    </xf>
    <xf numFmtId="177" fontId="3" fillId="0" borderId="4" xfId="0" applyNumberFormat="1" applyFont="1" applyFill="1" applyBorder="1" applyAlignment="1" applyProtection="1">
      <alignment horizontal="right" vertical="center" wrapText="1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49" fontId="3" fillId="0" borderId="6" xfId="0" applyNumberFormat="1" applyFont="1" applyFill="1" applyBorder="1" applyAlignment="1" applyProtection="1">
      <alignment horizontal="center" vertical="center" wrapText="1"/>
    </xf>
    <xf numFmtId="177" fontId="4" fillId="0" borderId="6" xfId="0" applyNumberFormat="1" applyFont="1" applyFill="1" applyBorder="1" applyAlignment="1" applyProtection="1">
      <alignment horizontal="center" vertical="center" wrapText="1"/>
    </xf>
    <xf numFmtId="177" fontId="3" fillId="0" borderId="6" xfId="0" applyNumberFormat="1" applyFont="1" applyFill="1" applyBorder="1" applyAlignment="1" applyProtection="1">
      <alignment horizontal="center" vertical="center" wrapText="1"/>
    </xf>
    <xf numFmtId="177" fontId="0" fillId="0" borderId="6" xfId="0" applyNumberFormat="1" applyBorder="1">
      <alignment vertical="center"/>
    </xf>
    <xf numFmtId="0" fontId="0" fillId="0" borderId="6" xfId="0" applyBorder="1">
      <alignment vertical="center"/>
    </xf>
    <xf numFmtId="177" fontId="3" fillId="0" borderId="6" xfId="0" applyNumberFormat="1" applyFont="1" applyFill="1" applyBorder="1" applyAlignment="1" applyProtection="1">
      <alignment horizontal="right" vertical="center" wrapText="1"/>
    </xf>
    <xf numFmtId="177" fontId="0" fillId="0" borderId="6" xfId="3" applyNumberFormat="1" applyBorder="1">
      <alignment vertical="center"/>
    </xf>
    <xf numFmtId="9" fontId="0" fillId="0" borderId="6" xfId="3" applyBorder="1">
      <alignment vertical="center"/>
    </xf>
    <xf numFmtId="0" fontId="3" fillId="0" borderId="6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177" fontId="5" fillId="0" borderId="0" xfId="0" applyNumberFormat="1" applyFont="1" applyFill="1" applyBorder="1" applyAlignment="1">
      <alignment vertical="center"/>
    </xf>
    <xf numFmtId="10" fontId="5" fillId="0" borderId="0" xfId="3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9" fontId="3" fillId="0" borderId="8" xfId="0" applyNumberFormat="1" applyFont="1" applyFill="1" applyBorder="1" applyAlignment="1" applyProtection="1">
      <alignment horizontal="center" vertical="center" wrapText="1"/>
    </xf>
    <xf numFmtId="177" fontId="3" fillId="0" borderId="7" xfId="0" applyNumberFormat="1" applyFont="1" applyFill="1" applyBorder="1" applyAlignment="1" applyProtection="1">
      <alignment horizontal="center" vertical="center" wrapText="1"/>
    </xf>
    <xf numFmtId="49" fontId="3" fillId="0" borderId="7" xfId="0" applyNumberFormat="1" applyFont="1" applyFill="1" applyBorder="1" applyAlignment="1" applyProtection="1">
      <alignment horizontal="center" vertical="center" wrapText="1"/>
    </xf>
    <xf numFmtId="10" fontId="3" fillId="0" borderId="0" xfId="3" applyNumberFormat="1" applyFont="1" applyFill="1" applyAlignment="1" applyProtection="1">
      <alignment horizontal="center" vertical="center" wrapText="1"/>
    </xf>
    <xf numFmtId="49" fontId="3" fillId="0" borderId="0" xfId="0" applyNumberFormat="1" applyFont="1" applyFill="1" applyAlignment="1" applyProtection="1">
      <alignment horizontal="center" vertical="center" wrapText="1"/>
    </xf>
    <xf numFmtId="49" fontId="3" fillId="0" borderId="9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right" vertical="center" wrapText="1"/>
    </xf>
    <xf numFmtId="10" fontId="3" fillId="0" borderId="0" xfId="3" applyNumberFormat="1" applyFont="1" applyFill="1" applyBorder="1" applyAlignment="1" applyProtection="1">
      <alignment horizontal="right" vertical="center" wrapText="1"/>
    </xf>
    <xf numFmtId="10" fontId="3" fillId="0" borderId="0" xfId="3" applyNumberFormat="1" applyFont="1" applyFill="1" applyAlignment="1" applyProtection="1">
      <alignment horizontal="right" vertical="center" wrapText="1"/>
    </xf>
    <xf numFmtId="177" fontId="3" fillId="0" borderId="0" xfId="0" applyNumberFormat="1" applyFont="1" applyFill="1" applyAlignment="1" applyProtection="1">
      <alignment horizontal="right" vertical="center" wrapText="1"/>
    </xf>
    <xf numFmtId="9" fontId="0" fillId="0" borderId="0" xfId="3">
      <alignment vertical="center"/>
    </xf>
    <xf numFmtId="49" fontId="3" fillId="0" borderId="10" xfId="0" applyNumberFormat="1" applyFont="1" applyFill="1" applyBorder="1" applyAlignment="1" applyProtection="1">
      <alignment horizontal="center" vertical="center" wrapText="1"/>
    </xf>
    <xf numFmtId="177" fontId="3" fillId="0" borderId="11" xfId="0" applyNumberFormat="1" applyFont="1" applyFill="1" applyBorder="1" applyAlignment="1" applyProtection="1">
      <alignment horizontal="right" vertical="center" wrapText="1"/>
    </xf>
    <xf numFmtId="177" fontId="3" fillId="0" borderId="4" xfId="0" applyNumberFormat="1" applyFont="1" applyFill="1" applyBorder="1" applyAlignment="1" applyProtection="1">
      <alignment horizontal="right" vertical="center" wrapText="1"/>
    </xf>
    <xf numFmtId="49" fontId="4" fillId="0" borderId="10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/>
    <xf numFmtId="0" fontId="3" fillId="0" borderId="4" xfId="0" applyFont="1" applyFill="1" applyBorder="1" applyAlignment="1">
      <alignment vertic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2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/>
    </xf>
    <xf numFmtId="0" fontId="3" fillId="0" borderId="11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49" fontId="4" fillId="0" borderId="8" xfId="0" applyNumberFormat="1" applyFont="1" applyFill="1" applyBorder="1" applyAlignment="1" applyProtection="1">
      <alignment horizontal="center" vertical="center" wrapText="1"/>
    </xf>
    <xf numFmtId="49" fontId="4" fillId="0" borderId="9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right" vertical="center"/>
    </xf>
    <xf numFmtId="177" fontId="3" fillId="0" borderId="4" xfId="0" applyNumberFormat="1" applyFont="1" applyFill="1" applyBorder="1" applyAlignment="1" applyProtection="1">
      <alignment horizontal="right" vertical="center"/>
    </xf>
    <xf numFmtId="0" fontId="3" fillId="0" borderId="9" xfId="0" applyFont="1" applyFill="1" applyBorder="1" applyAlignment="1" applyProtection="1">
      <alignment horizontal="center" vertical="center"/>
    </xf>
    <xf numFmtId="49" fontId="3" fillId="0" borderId="13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>
      <alignment horizontal="right" vertical="center" wrapText="1"/>
    </xf>
    <xf numFmtId="49" fontId="3" fillId="0" borderId="4" xfId="0" applyNumberFormat="1" applyFont="1" applyFill="1" applyBorder="1" applyAlignment="1" applyProtection="1">
      <alignment horizontal="center" vertical="center" wrapText="1"/>
    </xf>
    <xf numFmtId="176" fontId="3" fillId="0" borderId="4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Font="1" applyFill="1" applyBorder="1" applyAlignment="1">
      <alignment vertical="center"/>
    </xf>
    <xf numFmtId="49" fontId="3" fillId="0" borderId="5" xfId="0" applyNumberFormat="1" applyFont="1" applyFill="1" applyBorder="1" applyAlignment="1" applyProtection="1">
      <alignment horizontal="center" vertical="center" wrapText="1"/>
    </xf>
    <xf numFmtId="43" fontId="3" fillId="0" borderId="0" xfId="0" applyNumberFormat="1" applyFont="1" applyFill="1" applyBorder="1" applyAlignment="1" applyProtection="1">
      <alignment horizontal="right" vertical="center" wrapText="1"/>
    </xf>
    <xf numFmtId="43" fontId="3" fillId="0" borderId="4" xfId="0" applyNumberFormat="1" applyFont="1" applyFill="1" applyBorder="1" applyAlignment="1" applyProtection="1">
      <alignment horizontal="right" vertical="center" wrapText="1"/>
    </xf>
    <xf numFmtId="49" fontId="3" fillId="0" borderId="4" xfId="0" applyNumberFormat="1" applyFont="1" applyFill="1" applyBorder="1" applyAlignment="1" applyProtection="1"/>
    <xf numFmtId="0" fontId="3" fillId="0" borderId="16" xfId="0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 applyProtection="1">
      <alignment horizontal="right" vertical="center" wrapText="1"/>
    </xf>
    <xf numFmtId="178" fontId="3" fillId="0" borderId="4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4" xfId="0" applyNumberFormat="1" applyFont="1" applyFill="1" applyBorder="1" applyAlignment="1" applyProtection="1">
      <alignment horizontal="left" vertical="center" wrapText="1"/>
    </xf>
    <xf numFmtId="178" fontId="3" fillId="0" borderId="0" xfId="0" applyNumberFormat="1" applyFont="1" applyFill="1" applyBorder="1" applyAlignment="1" applyProtection="1">
      <alignment horizontal="right" vertical="center"/>
    </xf>
    <xf numFmtId="178" fontId="3" fillId="0" borderId="4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3" fillId="0" borderId="4" xfId="0" applyNumberFormat="1" applyFont="1" applyFill="1" applyBorder="1" applyAlignment="1" applyProtection="1">
      <alignment horizontal="righ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workbookViewId="0">
      <selection activeCell="I15" sqref="I15"/>
    </sheetView>
  </sheetViews>
  <sheetFormatPr defaultColWidth="9.23076923076923" defaultRowHeight="16.8" outlineLevelCol="3"/>
  <cols>
    <col min="4" max="4" width="13.1346153846154" customWidth="1"/>
  </cols>
  <sheetData>
    <row r="1" spans="1:4">
      <c r="A1" s="86" t="s">
        <v>0</v>
      </c>
      <c r="B1" s="57"/>
      <c r="C1" s="57"/>
      <c r="D1" s="57"/>
    </row>
    <row r="2" spans="1:4">
      <c r="A2" s="83" t="s">
        <v>1</v>
      </c>
      <c r="B2" s="28" t="s">
        <v>2</v>
      </c>
      <c r="C2" s="28" t="s">
        <v>3</v>
      </c>
      <c r="D2" s="43" t="s">
        <v>4</v>
      </c>
    </row>
    <row r="3" spans="1:4">
      <c r="A3" s="77" t="s">
        <v>5</v>
      </c>
      <c r="B3" s="78">
        <v>32.6</v>
      </c>
      <c r="C3" s="78">
        <v>12.28</v>
      </c>
      <c r="D3" s="78">
        <v>20.32</v>
      </c>
    </row>
    <row r="4" spans="1:4">
      <c r="A4" s="77" t="s">
        <v>6</v>
      </c>
      <c r="B4" s="78">
        <v>20.86</v>
      </c>
      <c r="C4" s="78">
        <v>25.43</v>
      </c>
      <c r="D4" s="78">
        <v>-4.57</v>
      </c>
    </row>
    <row r="5" spans="1:4">
      <c r="A5" s="77" t="s">
        <v>7</v>
      </c>
      <c r="B5" s="78">
        <v>37.88</v>
      </c>
      <c r="C5" s="78">
        <v>9.5</v>
      </c>
      <c r="D5" s="78">
        <v>28.38</v>
      </c>
    </row>
    <row r="6" spans="1:4">
      <c r="A6" s="77" t="s">
        <v>8</v>
      </c>
      <c r="B6" s="78">
        <v>33.43</v>
      </c>
      <c r="C6" s="78">
        <v>7.6</v>
      </c>
      <c r="D6" s="78">
        <v>25.83</v>
      </c>
    </row>
    <row r="7" spans="1:4">
      <c r="A7" s="77" t="s">
        <v>9</v>
      </c>
      <c r="B7" s="78">
        <v>23.01</v>
      </c>
      <c r="C7" s="78">
        <v>7.32</v>
      </c>
      <c r="D7" s="78">
        <v>15.69</v>
      </c>
    </row>
    <row r="8" spans="1:4">
      <c r="A8" s="77" t="s">
        <v>10</v>
      </c>
      <c r="B8" s="78">
        <v>18.25</v>
      </c>
      <c r="C8" s="78">
        <v>6.25</v>
      </c>
      <c r="D8" s="78">
        <v>12</v>
      </c>
    </row>
    <row r="9" spans="1:4">
      <c r="A9" s="77" t="s">
        <v>11</v>
      </c>
      <c r="B9" s="78">
        <v>17.82</v>
      </c>
      <c r="C9" s="78">
        <v>6.21</v>
      </c>
      <c r="D9" s="78">
        <v>11.61</v>
      </c>
    </row>
    <row r="10" spans="1:4">
      <c r="A10" s="77" t="s">
        <v>12</v>
      </c>
      <c r="B10" s="78">
        <v>18.21</v>
      </c>
      <c r="C10" s="78">
        <v>6.34</v>
      </c>
      <c r="D10" s="78">
        <v>11.87</v>
      </c>
    </row>
    <row r="11" spans="1:4">
      <c r="A11" s="77" t="s">
        <v>13</v>
      </c>
      <c r="B11" s="78">
        <v>20.91</v>
      </c>
      <c r="C11" s="78">
        <v>6.36</v>
      </c>
      <c r="D11" s="78">
        <v>14.55</v>
      </c>
    </row>
    <row r="12" spans="1:4">
      <c r="A12" s="77" t="s">
        <v>14</v>
      </c>
      <c r="B12" s="78">
        <v>22.28</v>
      </c>
      <c r="C12" s="78">
        <v>6.6</v>
      </c>
      <c r="D12" s="78">
        <v>15.68</v>
      </c>
    </row>
    <row r="13" spans="1:4">
      <c r="A13" s="77" t="s">
        <v>15</v>
      </c>
      <c r="B13" s="78">
        <v>20.19</v>
      </c>
      <c r="C13" s="78">
        <v>6.9</v>
      </c>
      <c r="D13" s="78">
        <v>13.29</v>
      </c>
    </row>
    <row r="14" spans="1:4">
      <c r="A14" s="77" t="s">
        <v>16</v>
      </c>
      <c r="B14" s="78">
        <v>19.9</v>
      </c>
      <c r="C14" s="78">
        <v>6.82</v>
      </c>
      <c r="D14" s="78">
        <v>13.08</v>
      </c>
    </row>
    <row r="15" spans="1:4">
      <c r="A15" s="77" t="s">
        <v>17</v>
      </c>
      <c r="B15" s="78">
        <v>21.04</v>
      </c>
      <c r="C15" s="78">
        <v>6.78</v>
      </c>
      <c r="D15" s="78">
        <v>14.26</v>
      </c>
    </row>
    <row r="16" spans="1:4">
      <c r="A16" s="77" t="s">
        <v>18</v>
      </c>
      <c r="B16" s="78">
        <v>22.43</v>
      </c>
      <c r="C16" s="78">
        <v>6.86</v>
      </c>
      <c r="D16" s="78">
        <v>15.57</v>
      </c>
    </row>
    <row r="17" spans="1:4">
      <c r="A17" s="77" t="s">
        <v>19</v>
      </c>
      <c r="B17" s="78">
        <v>23.33</v>
      </c>
      <c r="C17" s="78">
        <v>6.72</v>
      </c>
      <c r="D17" s="78">
        <v>16.61</v>
      </c>
    </row>
    <row r="18" spans="1:4">
      <c r="A18" s="77" t="s">
        <v>20</v>
      </c>
      <c r="B18" s="78">
        <v>22.37</v>
      </c>
      <c r="C18" s="78">
        <v>6.64</v>
      </c>
      <c r="D18" s="78">
        <v>15.73</v>
      </c>
    </row>
    <row r="19" spans="1:4">
      <c r="A19" s="77" t="s">
        <v>21</v>
      </c>
      <c r="B19" s="78">
        <v>21.58</v>
      </c>
      <c r="C19" s="78">
        <v>6.54</v>
      </c>
      <c r="D19" s="78">
        <v>15.04</v>
      </c>
    </row>
    <row r="20" spans="1:4">
      <c r="A20" s="77" t="s">
        <v>22</v>
      </c>
      <c r="B20" s="78">
        <v>21.06</v>
      </c>
      <c r="C20" s="78">
        <v>6.67</v>
      </c>
      <c r="D20" s="78">
        <v>14.39</v>
      </c>
    </row>
    <row r="21" spans="1:4">
      <c r="A21" s="77" t="s">
        <v>23</v>
      </c>
      <c r="B21" s="78">
        <v>19.68</v>
      </c>
      <c r="C21" s="78">
        <v>6.7</v>
      </c>
      <c r="D21" s="78">
        <v>12.98</v>
      </c>
    </row>
    <row r="22" spans="1:4">
      <c r="A22" s="77" t="s">
        <v>24</v>
      </c>
      <c r="B22" s="78">
        <v>18.24</v>
      </c>
      <c r="C22" s="78">
        <v>6.64</v>
      </c>
      <c r="D22" s="78">
        <v>11.6</v>
      </c>
    </row>
    <row r="23" spans="1:4">
      <c r="A23" s="77" t="s">
        <v>25</v>
      </c>
      <c r="B23" s="78">
        <v>18.09</v>
      </c>
      <c r="C23" s="78">
        <v>6.64</v>
      </c>
      <c r="D23" s="78">
        <v>11.45</v>
      </c>
    </row>
    <row r="24" spans="1:4">
      <c r="A24" s="77" t="s">
        <v>26</v>
      </c>
      <c r="B24" s="78">
        <v>17.7</v>
      </c>
      <c r="C24" s="78">
        <v>6.49</v>
      </c>
      <c r="D24" s="78">
        <v>11.21</v>
      </c>
    </row>
    <row r="25" spans="1:4">
      <c r="A25" s="77" t="s">
        <v>27</v>
      </c>
      <c r="B25" s="78">
        <v>17.12</v>
      </c>
      <c r="C25" s="78">
        <v>6.57</v>
      </c>
      <c r="D25" s="78">
        <v>10.55</v>
      </c>
    </row>
    <row r="26" spans="1:4">
      <c r="A26" s="77" t="s">
        <v>28</v>
      </c>
      <c r="B26" s="78">
        <v>16.98</v>
      </c>
      <c r="C26" s="78">
        <v>6.56</v>
      </c>
      <c r="D26" s="78">
        <v>10.42</v>
      </c>
    </row>
    <row r="27" spans="1:4">
      <c r="A27" s="77" t="s">
        <v>29</v>
      </c>
      <c r="B27" s="78">
        <v>16.57</v>
      </c>
      <c r="C27" s="78">
        <v>6.51</v>
      </c>
      <c r="D27" s="78">
        <v>10.06</v>
      </c>
    </row>
    <row r="28" spans="1:4">
      <c r="A28" s="77" t="s">
        <v>30</v>
      </c>
      <c r="B28" s="78">
        <v>15.64</v>
      </c>
      <c r="C28" s="78">
        <v>6.5</v>
      </c>
      <c r="D28" s="78">
        <v>9.14</v>
      </c>
    </row>
    <row r="29" spans="1:4">
      <c r="A29" s="77" t="s">
        <v>31</v>
      </c>
      <c r="B29" s="78">
        <v>14.64</v>
      </c>
      <c r="C29" s="78">
        <v>6.46</v>
      </c>
      <c r="D29" s="78">
        <v>8.18</v>
      </c>
    </row>
    <row r="30" spans="1:4">
      <c r="A30" s="77" t="s">
        <v>32</v>
      </c>
      <c r="B30" s="78">
        <v>14.03</v>
      </c>
      <c r="C30" s="78">
        <v>6.45</v>
      </c>
      <c r="D30" s="78">
        <v>7.58</v>
      </c>
    </row>
    <row r="31" spans="1:4">
      <c r="A31" s="77" t="s">
        <v>33</v>
      </c>
      <c r="B31" s="78">
        <v>13.38</v>
      </c>
      <c r="C31" s="78">
        <v>6.43</v>
      </c>
      <c r="D31" s="78">
        <v>6.95</v>
      </c>
    </row>
    <row r="32" spans="1:4">
      <c r="A32" s="77" t="s">
        <v>34</v>
      </c>
      <c r="B32" s="78">
        <v>12.86</v>
      </c>
      <c r="C32" s="78">
        <v>6.41</v>
      </c>
      <c r="D32" s="78">
        <v>6.45</v>
      </c>
    </row>
    <row r="33" spans="1:4">
      <c r="A33" s="77" t="s">
        <v>35</v>
      </c>
      <c r="B33" s="78">
        <v>12.41</v>
      </c>
      <c r="C33" s="78">
        <v>6.4</v>
      </c>
      <c r="D33" s="78">
        <v>6.01</v>
      </c>
    </row>
    <row r="34" spans="1:4">
      <c r="A34" s="77" t="s">
        <v>36</v>
      </c>
      <c r="B34" s="78">
        <v>12.29</v>
      </c>
      <c r="C34" s="78">
        <v>6.42</v>
      </c>
      <c r="D34" s="78">
        <v>5.87</v>
      </c>
    </row>
    <row r="35" spans="1:4">
      <c r="A35" s="77" t="s">
        <v>37</v>
      </c>
      <c r="B35" s="78">
        <v>12.4</v>
      </c>
      <c r="C35" s="78">
        <v>6.51</v>
      </c>
      <c r="D35" s="78">
        <v>5.89</v>
      </c>
    </row>
    <row r="36" spans="1:4">
      <c r="A36" s="77" t="s">
        <v>38</v>
      </c>
      <c r="B36" s="78">
        <v>12.09</v>
      </c>
      <c r="C36" s="78">
        <v>6.81</v>
      </c>
      <c r="D36" s="78">
        <v>5.28</v>
      </c>
    </row>
    <row r="37" spans="1:4">
      <c r="A37" s="77" t="s">
        <v>39</v>
      </c>
      <c r="B37" s="78">
        <v>12.1</v>
      </c>
      <c r="C37" s="78">
        <v>6.93</v>
      </c>
      <c r="D37" s="78">
        <v>5.17</v>
      </c>
    </row>
    <row r="38" spans="1:4">
      <c r="A38" s="77" t="s">
        <v>40</v>
      </c>
      <c r="B38" s="78">
        <v>12.14</v>
      </c>
      <c r="C38" s="78">
        <v>7.06</v>
      </c>
      <c r="D38" s="78">
        <v>5.08</v>
      </c>
    </row>
    <row r="39" spans="1:4">
      <c r="A39" s="77" t="s">
        <v>41</v>
      </c>
      <c r="B39" s="78">
        <v>11.95</v>
      </c>
      <c r="C39" s="78">
        <v>7.08</v>
      </c>
      <c r="D39" s="78">
        <v>4.87</v>
      </c>
    </row>
    <row r="40" spans="1:4">
      <c r="A40" s="77" t="s">
        <v>42</v>
      </c>
      <c r="B40" s="78">
        <v>11.9</v>
      </c>
      <c r="C40" s="78">
        <v>7.11</v>
      </c>
      <c r="D40" s="78">
        <v>4.79</v>
      </c>
    </row>
    <row r="41" spans="1:4">
      <c r="A41" s="77" t="s">
        <v>43</v>
      </c>
      <c r="B41" s="78">
        <v>13.27</v>
      </c>
      <c r="C41" s="78">
        <v>7.14</v>
      </c>
      <c r="D41" s="78">
        <v>6.13</v>
      </c>
    </row>
    <row r="42" spans="1:4">
      <c r="A42" s="77" t="s">
        <v>44</v>
      </c>
      <c r="B42" s="78">
        <v>14.57</v>
      </c>
      <c r="C42" s="78">
        <v>7.13</v>
      </c>
      <c r="D42" s="78">
        <v>7.43</v>
      </c>
    </row>
    <row r="43" spans="1:4">
      <c r="A43" s="77" t="s">
        <v>45</v>
      </c>
      <c r="B43" s="78">
        <v>13.03</v>
      </c>
      <c r="C43" s="78">
        <v>7.13</v>
      </c>
      <c r="D43" s="78">
        <v>5.9</v>
      </c>
    </row>
    <row r="44" spans="1:4">
      <c r="A44" s="77" t="s">
        <v>46</v>
      </c>
      <c r="B44" s="78">
        <v>13.83</v>
      </c>
      <c r="C44" s="78">
        <v>7.12</v>
      </c>
      <c r="D44" s="78">
        <v>6.71</v>
      </c>
    </row>
    <row r="45" spans="1:4">
      <c r="A45" s="77" t="s">
        <v>47</v>
      </c>
      <c r="B45" s="78">
        <v>11.99</v>
      </c>
      <c r="C45" s="78">
        <v>7.07</v>
      </c>
      <c r="D45" s="78">
        <v>4.93</v>
      </c>
    </row>
    <row r="46" spans="1:4">
      <c r="A46" s="77" t="s">
        <v>48</v>
      </c>
      <c r="B46" s="78">
        <v>13.57</v>
      </c>
      <c r="C46" s="78">
        <v>7.04</v>
      </c>
      <c r="D46" s="78">
        <v>6.53</v>
      </c>
    </row>
    <row r="47" spans="1:4">
      <c r="A47" s="77" t="s">
        <v>49</v>
      </c>
      <c r="B47" s="78">
        <v>12.64</v>
      </c>
      <c r="C47" s="78">
        <v>7.06</v>
      </c>
      <c r="D47" s="78">
        <v>5.58</v>
      </c>
    </row>
    <row r="48" spans="1:4">
      <c r="A48" s="77" t="s">
        <v>50</v>
      </c>
      <c r="B48" s="78">
        <v>10.86</v>
      </c>
      <c r="C48" s="78">
        <v>7.08</v>
      </c>
      <c r="D48" s="78">
        <v>3.78</v>
      </c>
    </row>
    <row r="49" spans="1:4">
      <c r="A49" s="77" t="s">
        <v>51</v>
      </c>
      <c r="B49" s="78">
        <v>10.41</v>
      </c>
      <c r="C49" s="78">
        <v>7.09</v>
      </c>
      <c r="D49" s="78">
        <v>3.32</v>
      </c>
    </row>
    <row r="50" spans="1:4">
      <c r="A50" s="77" t="s">
        <v>52</v>
      </c>
      <c r="B50" s="78">
        <v>8.52</v>
      </c>
      <c r="C50" s="78">
        <v>7.07</v>
      </c>
      <c r="D50" s="78">
        <v>1.45</v>
      </c>
    </row>
    <row r="51" spans="1:4">
      <c r="A51" s="77" t="s">
        <v>53</v>
      </c>
      <c r="B51" s="78">
        <v>7.52</v>
      </c>
      <c r="C51" s="78">
        <v>7.18</v>
      </c>
      <c r="D51" s="78">
        <v>0.34</v>
      </c>
    </row>
    <row r="52" spans="1:4">
      <c r="A52" s="77" t="s">
        <v>54</v>
      </c>
      <c r="B52" s="78">
        <v>6.77</v>
      </c>
      <c r="C52" s="78">
        <v>7.37</v>
      </c>
      <c r="D52" s="78">
        <v>-0.6</v>
      </c>
    </row>
    <row r="53" spans="1:4">
      <c r="A53" s="79" t="s">
        <v>55</v>
      </c>
      <c r="B53" s="80">
        <v>6.39</v>
      </c>
      <c r="C53" s="80">
        <v>7.87</v>
      </c>
      <c r="D53" s="80">
        <v>-1.48</v>
      </c>
    </row>
    <row r="54" spans="1:4">
      <c r="A54" s="81" t="s">
        <v>56</v>
      </c>
      <c r="B54" s="82"/>
      <c r="C54" s="82"/>
      <c r="D54" s="8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I25" sqref="I25"/>
    </sheetView>
  </sheetViews>
  <sheetFormatPr defaultColWidth="9.23076923076923" defaultRowHeight="16.8"/>
  <cols>
    <col min="1" max="1" width="20.1826923076923" customWidth="1"/>
    <col min="2" max="10" width="10.0961538461538" customWidth="1"/>
  </cols>
  <sheetData>
    <row r="1" spans="1:10">
      <c r="A1" s="86" t="s">
        <v>57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41" t="s">
        <v>58</v>
      </c>
      <c r="B2" s="43" t="s">
        <v>59</v>
      </c>
      <c r="C2" s="60"/>
      <c r="D2" s="61"/>
      <c r="E2" s="43" t="s">
        <v>60</v>
      </c>
      <c r="F2" s="60"/>
      <c r="G2" s="61"/>
      <c r="H2" s="43" t="s">
        <v>61</v>
      </c>
      <c r="I2" s="60"/>
      <c r="J2" s="60"/>
    </row>
    <row r="3" spans="1:10">
      <c r="A3" s="63"/>
      <c r="B3" s="28" t="s">
        <v>34</v>
      </c>
      <c r="C3" s="28" t="s">
        <v>44</v>
      </c>
      <c r="D3" s="28" t="s">
        <v>62</v>
      </c>
      <c r="E3" s="28" t="s">
        <v>34</v>
      </c>
      <c r="F3" s="28" t="s">
        <v>44</v>
      </c>
      <c r="G3" s="28" t="s">
        <v>62</v>
      </c>
      <c r="H3" s="28" t="s">
        <v>34</v>
      </c>
      <c r="I3" s="28" t="s">
        <v>44</v>
      </c>
      <c r="J3" s="43" t="s">
        <v>62</v>
      </c>
    </row>
    <row r="4" spans="1:10">
      <c r="A4" s="96" t="s">
        <v>63</v>
      </c>
      <c r="B4" s="97"/>
      <c r="C4" s="97"/>
      <c r="D4" s="97"/>
      <c r="E4" s="97"/>
      <c r="F4" s="97"/>
      <c r="G4" s="97"/>
      <c r="H4" s="97"/>
      <c r="I4" s="97"/>
      <c r="J4" s="97"/>
    </row>
    <row r="5" spans="1:10">
      <c r="A5" s="90" t="s">
        <v>64</v>
      </c>
      <c r="B5" s="88">
        <v>57.9</v>
      </c>
      <c r="C5" s="88">
        <v>53.1</v>
      </c>
      <c r="D5" s="88">
        <v>51.5</v>
      </c>
      <c r="E5" s="88">
        <v>48.5</v>
      </c>
      <c r="F5" s="88">
        <v>47.1</v>
      </c>
      <c r="G5" s="88">
        <v>47</v>
      </c>
      <c r="H5" s="88">
        <v>61.5</v>
      </c>
      <c r="I5" s="88">
        <v>58.8</v>
      </c>
      <c r="J5" s="88">
        <v>54.6</v>
      </c>
    </row>
    <row r="6" spans="1:10">
      <c r="A6" s="90" t="s">
        <v>65</v>
      </c>
      <c r="B6" s="88">
        <v>12.6</v>
      </c>
      <c r="C6" s="88">
        <v>15</v>
      </c>
      <c r="D6" s="88">
        <v>17.2</v>
      </c>
      <c r="E6" s="88">
        <v>17.6</v>
      </c>
      <c r="F6" s="88">
        <v>17.6</v>
      </c>
      <c r="G6" s="88">
        <v>20.3</v>
      </c>
      <c r="H6" s="88">
        <v>10.7</v>
      </c>
      <c r="I6" s="88">
        <v>12.5</v>
      </c>
      <c r="J6" s="88">
        <v>15</v>
      </c>
    </row>
    <row r="7" spans="1:10">
      <c r="A7" s="90" t="s">
        <v>66</v>
      </c>
      <c r="B7" s="88">
        <v>29.5</v>
      </c>
      <c r="C7" s="88">
        <v>31.9</v>
      </c>
      <c r="D7" s="88">
        <v>31.3</v>
      </c>
      <c r="E7" s="88">
        <v>33.9</v>
      </c>
      <c r="F7" s="88">
        <v>35.3</v>
      </c>
      <c r="G7" s="88">
        <v>32.7</v>
      </c>
      <c r="H7" s="88">
        <v>27.8</v>
      </c>
      <c r="I7" s="88">
        <v>28.7</v>
      </c>
      <c r="J7" s="88">
        <v>30.4</v>
      </c>
    </row>
    <row r="8" spans="1:10">
      <c r="A8" s="96" t="s">
        <v>67</v>
      </c>
      <c r="B8" s="92"/>
      <c r="C8" s="92"/>
      <c r="D8" s="92"/>
      <c r="E8" s="92"/>
      <c r="F8" s="92"/>
      <c r="G8" s="92"/>
      <c r="H8" s="92"/>
      <c r="I8" s="92"/>
      <c r="J8" s="92"/>
    </row>
    <row r="9" spans="1:10">
      <c r="A9" s="90" t="s">
        <v>68</v>
      </c>
      <c r="B9" s="88">
        <v>11.8</v>
      </c>
      <c r="C9" s="88">
        <v>12.1</v>
      </c>
      <c r="D9" s="88">
        <v>12</v>
      </c>
      <c r="E9" s="88">
        <v>13.1</v>
      </c>
      <c r="F9" s="88">
        <v>12.9</v>
      </c>
      <c r="G9" s="88">
        <v>13</v>
      </c>
      <c r="H9" s="88">
        <v>11.3</v>
      </c>
      <c r="I9" s="88">
        <v>11.2</v>
      </c>
      <c r="J9" s="88">
        <v>11.5</v>
      </c>
    </row>
    <row r="10" spans="1:10">
      <c r="A10" s="90" t="s">
        <v>69</v>
      </c>
      <c r="B10" s="88">
        <v>29.6</v>
      </c>
      <c r="C10" s="88">
        <v>32.9</v>
      </c>
      <c r="D10" s="88">
        <v>34.6</v>
      </c>
      <c r="E10" s="88">
        <v>35</v>
      </c>
      <c r="F10" s="88">
        <v>36.1</v>
      </c>
      <c r="G10" s="88">
        <v>36.4</v>
      </c>
      <c r="H10" s="88">
        <v>27.5</v>
      </c>
      <c r="I10" s="88">
        <v>29.7</v>
      </c>
      <c r="J10" s="88">
        <v>33.2</v>
      </c>
    </row>
    <row r="11" spans="1:10">
      <c r="A11" s="90" t="s">
        <v>70</v>
      </c>
      <c r="B11" s="88">
        <v>58.6</v>
      </c>
      <c r="C11" s="88">
        <v>55</v>
      </c>
      <c r="D11" s="88">
        <v>53.4</v>
      </c>
      <c r="E11" s="88">
        <v>51.9</v>
      </c>
      <c r="F11" s="88">
        <v>51</v>
      </c>
      <c r="G11" s="88">
        <v>50.6</v>
      </c>
      <c r="H11" s="88">
        <v>61.2</v>
      </c>
      <c r="I11" s="88">
        <v>59.1</v>
      </c>
      <c r="J11" s="88">
        <v>55.3</v>
      </c>
    </row>
    <row r="12" spans="1:10">
      <c r="A12" s="96" t="s">
        <v>71</v>
      </c>
      <c r="B12" s="92"/>
      <c r="C12" s="92"/>
      <c r="D12" s="92"/>
      <c r="E12" s="92"/>
      <c r="F12" s="92"/>
      <c r="G12" s="92"/>
      <c r="H12" s="92"/>
      <c r="I12" s="92"/>
      <c r="J12" s="92"/>
    </row>
    <row r="13" spans="1:10">
      <c r="A13" s="90" t="s">
        <v>64</v>
      </c>
      <c r="B13" s="88">
        <v>52</v>
      </c>
      <c r="C13" s="88">
        <v>47.3</v>
      </c>
      <c r="D13" s="88">
        <v>46.9</v>
      </c>
      <c r="E13" s="88">
        <v>40.7</v>
      </c>
      <c r="F13" s="88">
        <v>39.7</v>
      </c>
      <c r="G13" s="88">
        <v>40.2</v>
      </c>
      <c r="H13" s="88">
        <v>56.5</v>
      </c>
      <c r="I13" s="88">
        <v>54.6</v>
      </c>
      <c r="J13" s="88">
        <v>51.5</v>
      </c>
    </row>
    <row r="14" spans="1:10">
      <c r="A14" s="90" t="s">
        <v>72</v>
      </c>
      <c r="B14" s="88">
        <v>7.5</v>
      </c>
      <c r="C14" s="88">
        <v>5.4</v>
      </c>
      <c r="D14" s="88">
        <v>5.9</v>
      </c>
      <c r="E14" s="88">
        <v>7.3</v>
      </c>
      <c r="F14" s="88">
        <v>6.3</v>
      </c>
      <c r="G14" s="88">
        <v>6.4</v>
      </c>
      <c r="H14" s="88">
        <v>7.6</v>
      </c>
      <c r="I14" s="88">
        <v>4.5</v>
      </c>
      <c r="J14" s="88">
        <v>5.6</v>
      </c>
    </row>
    <row r="15" spans="1:10">
      <c r="A15" s="90" t="s">
        <v>65</v>
      </c>
      <c r="B15" s="88">
        <v>25.1</v>
      </c>
      <c r="C15" s="88">
        <v>30.7</v>
      </c>
      <c r="D15" s="88">
        <v>35.2</v>
      </c>
      <c r="E15" s="88">
        <v>35.8</v>
      </c>
      <c r="F15" s="88">
        <v>36.2</v>
      </c>
      <c r="G15" s="88">
        <v>40.5</v>
      </c>
      <c r="H15" s="88">
        <v>21</v>
      </c>
      <c r="I15" s="88">
        <v>25.4</v>
      </c>
      <c r="J15" s="88">
        <v>31.4</v>
      </c>
    </row>
    <row r="16" spans="1:10">
      <c r="A16" s="90" t="s">
        <v>66</v>
      </c>
      <c r="B16" s="88">
        <v>15.4</v>
      </c>
      <c r="C16" s="88">
        <v>16.6</v>
      </c>
      <c r="D16" s="88">
        <v>12</v>
      </c>
      <c r="E16" s="88">
        <v>16.2</v>
      </c>
      <c r="F16" s="88">
        <v>17.8</v>
      </c>
      <c r="G16" s="88">
        <v>12.8</v>
      </c>
      <c r="H16" s="88">
        <v>14.9</v>
      </c>
      <c r="I16" s="88">
        <v>15.5</v>
      </c>
      <c r="J16" s="88">
        <v>11.5</v>
      </c>
    </row>
    <row r="17" spans="1:10">
      <c r="A17" s="96" t="s">
        <v>73</v>
      </c>
      <c r="B17" s="92"/>
      <c r="C17" s="92"/>
      <c r="D17" s="92"/>
      <c r="E17" s="92"/>
      <c r="F17" s="92"/>
      <c r="G17" s="92"/>
      <c r="H17" s="92"/>
      <c r="I17" s="92"/>
      <c r="J17" s="92"/>
    </row>
    <row r="18" spans="1:10">
      <c r="A18" s="90" t="s">
        <v>74</v>
      </c>
      <c r="B18" s="88">
        <v>39.2</v>
      </c>
      <c r="C18" s="88">
        <v>35.9</v>
      </c>
      <c r="D18" s="88">
        <v>38.6</v>
      </c>
      <c r="E18" s="88">
        <v>36.2</v>
      </c>
      <c r="F18" s="88">
        <v>34.3</v>
      </c>
      <c r="G18" s="88">
        <v>38.8</v>
      </c>
      <c r="H18" s="88">
        <v>40.4</v>
      </c>
      <c r="I18" s="88">
        <v>37.4</v>
      </c>
      <c r="J18" s="88">
        <v>38.4</v>
      </c>
    </row>
    <row r="19" spans="1:10">
      <c r="A19" s="91" t="s">
        <v>75</v>
      </c>
      <c r="B19" s="89">
        <v>60.8</v>
      </c>
      <c r="C19" s="89">
        <v>64.1</v>
      </c>
      <c r="D19" s="89">
        <v>61.4</v>
      </c>
      <c r="E19" s="89">
        <v>63.8</v>
      </c>
      <c r="F19" s="89">
        <v>65.7</v>
      </c>
      <c r="G19" s="89">
        <v>61.2</v>
      </c>
      <c r="H19" s="89">
        <v>59.6</v>
      </c>
      <c r="I19" s="89">
        <v>62.6</v>
      </c>
      <c r="J19" s="89">
        <v>61.6</v>
      </c>
    </row>
    <row r="20" spans="1:10">
      <c r="A20" s="81" t="s">
        <v>76</v>
      </c>
      <c r="B20" s="82"/>
      <c r="C20" s="82"/>
      <c r="D20" s="82"/>
      <c r="E20" s="82"/>
      <c r="F20" s="82"/>
      <c r="G20" s="82"/>
      <c r="H20" s="82"/>
      <c r="I20" s="82"/>
      <c r="J20" s="82"/>
    </row>
  </sheetData>
  <mergeCells count="4">
    <mergeCell ref="B2:D2"/>
    <mergeCell ref="E2:G2"/>
    <mergeCell ref="H2:J2"/>
    <mergeCell ref="A2:A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J29" sqref="J29"/>
    </sheetView>
  </sheetViews>
  <sheetFormatPr defaultColWidth="9.23076923076923" defaultRowHeight="16.8" outlineLevelCol="6"/>
  <cols>
    <col min="1" max="1" width="15.2211538461538" customWidth="1"/>
    <col min="2" max="7" width="12.1730769230769" customWidth="1"/>
  </cols>
  <sheetData>
    <row r="1" spans="1:7">
      <c r="A1" s="86" t="s">
        <v>77</v>
      </c>
      <c r="B1" s="57"/>
      <c r="C1" s="57"/>
      <c r="D1" s="57"/>
      <c r="E1" s="57"/>
      <c r="F1" s="57"/>
      <c r="G1" s="57"/>
    </row>
    <row r="2" spans="1:7">
      <c r="A2" s="41" t="s">
        <v>58</v>
      </c>
      <c r="B2" s="43" t="s">
        <v>59</v>
      </c>
      <c r="C2" s="61"/>
      <c r="D2" s="43" t="s">
        <v>60</v>
      </c>
      <c r="E2" s="61"/>
      <c r="F2" s="43" t="s">
        <v>61</v>
      </c>
      <c r="G2" s="60"/>
    </row>
    <row r="3" spans="1:7">
      <c r="A3" s="63"/>
      <c r="B3" s="28" t="s">
        <v>44</v>
      </c>
      <c r="C3" s="28" t="s">
        <v>62</v>
      </c>
      <c r="D3" s="28" t="s">
        <v>44</v>
      </c>
      <c r="E3" s="28" t="s">
        <v>62</v>
      </c>
      <c r="F3" s="28" t="s">
        <v>44</v>
      </c>
      <c r="G3" s="43" t="s">
        <v>62</v>
      </c>
    </row>
    <row r="4" spans="1:7">
      <c r="A4" s="90" t="s">
        <v>78</v>
      </c>
      <c r="B4" s="94">
        <v>177.7</v>
      </c>
      <c r="C4" s="94">
        <v>168.5</v>
      </c>
      <c r="D4" s="94">
        <v>130.8</v>
      </c>
      <c r="E4" s="94">
        <v>131.6</v>
      </c>
      <c r="F4" s="94">
        <v>222.7</v>
      </c>
      <c r="G4" s="94">
        <v>193.6</v>
      </c>
    </row>
    <row r="5" spans="1:7">
      <c r="A5" s="90" t="s">
        <v>79</v>
      </c>
      <c r="B5" s="94">
        <v>142.8</v>
      </c>
      <c r="C5" s="94">
        <v>121</v>
      </c>
      <c r="D5" s="94">
        <v>134.7</v>
      </c>
      <c r="E5" s="94">
        <v>117.3</v>
      </c>
      <c r="F5" s="94">
        <v>150.4</v>
      </c>
      <c r="G5" s="94">
        <v>123.6</v>
      </c>
    </row>
    <row r="6" spans="1:7">
      <c r="A6" s="90" t="s">
        <v>80</v>
      </c>
      <c r="B6" s="94">
        <v>16.8</v>
      </c>
      <c r="C6" s="94">
        <v>16.3</v>
      </c>
      <c r="D6" s="94">
        <v>15.9</v>
      </c>
      <c r="E6" s="94">
        <v>15</v>
      </c>
      <c r="F6" s="94">
        <v>17.6</v>
      </c>
      <c r="G6" s="94">
        <v>17.2</v>
      </c>
    </row>
    <row r="7" spans="1:7">
      <c r="A7" s="90" t="s">
        <v>81</v>
      </c>
      <c r="B7" s="94">
        <v>35.8</v>
      </c>
      <c r="C7" s="94">
        <v>41.9</v>
      </c>
      <c r="D7" s="94">
        <v>28.4</v>
      </c>
      <c r="E7" s="94">
        <v>35.6</v>
      </c>
      <c r="F7" s="94">
        <v>42.8</v>
      </c>
      <c r="G7" s="94">
        <v>46.2</v>
      </c>
    </row>
    <row r="8" spans="1:7">
      <c r="A8" s="90" t="s">
        <v>82</v>
      </c>
      <c r="B8" s="94">
        <v>3.3</v>
      </c>
      <c r="C8" s="94">
        <v>4</v>
      </c>
      <c r="D8" s="94">
        <v>2.9</v>
      </c>
      <c r="E8" s="94">
        <v>4.2</v>
      </c>
      <c r="F8" s="94">
        <v>3.7</v>
      </c>
      <c r="G8" s="94">
        <v>3.9</v>
      </c>
    </row>
    <row r="9" spans="1:7">
      <c r="A9" s="90" t="s">
        <v>83</v>
      </c>
      <c r="B9" s="94">
        <v>10.9</v>
      </c>
      <c r="C9" s="94">
        <v>10.3</v>
      </c>
      <c r="D9" s="94">
        <v>12.4</v>
      </c>
      <c r="E9" s="94">
        <v>11.3</v>
      </c>
      <c r="F9" s="94">
        <v>9.4</v>
      </c>
      <c r="G9" s="94">
        <v>9.6</v>
      </c>
    </row>
    <row r="10" spans="1:7">
      <c r="A10" s="90" t="s">
        <v>84</v>
      </c>
      <c r="B10" s="94">
        <v>269.4</v>
      </c>
      <c r="C10" s="94">
        <v>265.9</v>
      </c>
      <c r="D10" s="94">
        <v>283.3</v>
      </c>
      <c r="E10" s="94">
        <v>286.5</v>
      </c>
      <c r="F10" s="94">
        <v>256.1</v>
      </c>
      <c r="G10" s="94">
        <v>252</v>
      </c>
    </row>
    <row r="11" spans="1:7">
      <c r="A11" s="90" t="s">
        <v>85</v>
      </c>
      <c r="B11" s="94">
        <v>40.7</v>
      </c>
      <c r="C11" s="94">
        <v>38.1</v>
      </c>
      <c r="D11" s="94">
        <v>48.8</v>
      </c>
      <c r="E11" s="94">
        <v>55.7</v>
      </c>
      <c r="F11" s="94">
        <v>32.9</v>
      </c>
      <c r="G11" s="94">
        <v>26.2</v>
      </c>
    </row>
    <row r="12" spans="1:7">
      <c r="A12" s="90" t="s">
        <v>86</v>
      </c>
      <c r="B12" s="94">
        <v>3.8</v>
      </c>
      <c r="C12" s="94">
        <v>3.6</v>
      </c>
      <c r="D12" s="94">
        <v>4.7</v>
      </c>
      <c r="E12" s="94">
        <v>4.4</v>
      </c>
      <c r="F12" s="94">
        <v>2.8</v>
      </c>
      <c r="G12" s="94">
        <v>3.1</v>
      </c>
    </row>
    <row r="13" spans="1:7">
      <c r="A13" s="90" t="s">
        <v>87</v>
      </c>
      <c r="B13" s="94">
        <v>24.7</v>
      </c>
      <c r="C13" s="94">
        <v>25.9</v>
      </c>
      <c r="D13" s="94">
        <v>37.8</v>
      </c>
      <c r="E13" s="94">
        <v>42.2</v>
      </c>
      <c r="F13" s="94">
        <v>12.1</v>
      </c>
      <c r="G13" s="94">
        <v>14.8</v>
      </c>
    </row>
    <row r="14" spans="1:7">
      <c r="A14" s="90" t="s">
        <v>88</v>
      </c>
      <c r="B14" s="94">
        <v>24.3</v>
      </c>
      <c r="C14" s="94">
        <v>23.4</v>
      </c>
      <c r="D14" s="94">
        <v>29.5</v>
      </c>
      <c r="E14" s="94">
        <v>30.4</v>
      </c>
      <c r="F14" s="94">
        <v>19.4</v>
      </c>
      <c r="G14" s="94">
        <v>18.7</v>
      </c>
    </row>
    <row r="15" spans="1:7">
      <c r="A15" s="90" t="s">
        <v>89</v>
      </c>
      <c r="B15" s="94">
        <v>72.5</v>
      </c>
      <c r="C15" s="94">
        <v>72</v>
      </c>
      <c r="D15" s="94">
        <v>79.3</v>
      </c>
      <c r="E15" s="94">
        <v>79.5</v>
      </c>
      <c r="F15" s="94">
        <v>65.9</v>
      </c>
      <c r="G15" s="94">
        <v>66.9</v>
      </c>
    </row>
    <row r="16" spans="1:7">
      <c r="A16" s="90" t="s">
        <v>90</v>
      </c>
      <c r="B16" s="94">
        <v>14.7</v>
      </c>
      <c r="C16" s="94">
        <v>13</v>
      </c>
      <c r="D16" s="94">
        <v>16.3</v>
      </c>
      <c r="E16" s="94">
        <v>15.5</v>
      </c>
      <c r="F16" s="94">
        <v>13.1</v>
      </c>
      <c r="G16" s="94">
        <v>11.3</v>
      </c>
    </row>
    <row r="17" spans="1:7">
      <c r="A17" s="90" t="s">
        <v>91</v>
      </c>
      <c r="B17" s="94">
        <v>2.5</v>
      </c>
      <c r="C17" s="94">
        <v>2.9</v>
      </c>
      <c r="D17" s="94">
        <v>2.9</v>
      </c>
      <c r="E17" s="94">
        <v>3</v>
      </c>
      <c r="F17" s="94">
        <v>2.2</v>
      </c>
      <c r="G17" s="94">
        <v>2.9</v>
      </c>
    </row>
    <row r="18" spans="1:7">
      <c r="A18" s="90" t="s">
        <v>92</v>
      </c>
      <c r="B18" s="94">
        <v>23.7</v>
      </c>
      <c r="C18" s="94">
        <v>24.3</v>
      </c>
      <c r="D18" s="94">
        <v>32.4</v>
      </c>
      <c r="E18" s="94">
        <v>29.7</v>
      </c>
      <c r="F18" s="94">
        <v>15.4</v>
      </c>
      <c r="G18" s="94">
        <v>20.6</v>
      </c>
    </row>
    <row r="19" spans="1:7">
      <c r="A19" s="90" t="s">
        <v>93</v>
      </c>
      <c r="B19" s="94">
        <v>42.1</v>
      </c>
      <c r="C19" s="94">
        <v>43.2</v>
      </c>
      <c r="D19" s="94">
        <v>43.1</v>
      </c>
      <c r="E19" s="94">
        <v>42</v>
      </c>
      <c r="F19" s="94">
        <v>41</v>
      </c>
      <c r="G19" s="94">
        <v>44.1</v>
      </c>
    </row>
    <row r="20" spans="1:7">
      <c r="A20" s="90" t="s">
        <v>94</v>
      </c>
      <c r="B20" s="94">
        <v>7.4</v>
      </c>
      <c r="C20" s="94">
        <v>6.5</v>
      </c>
      <c r="D20" s="94">
        <v>8.3</v>
      </c>
      <c r="E20" s="94">
        <v>9.8</v>
      </c>
      <c r="F20" s="94">
        <v>6.6</v>
      </c>
      <c r="G20" s="94">
        <v>4.2</v>
      </c>
    </row>
    <row r="21" spans="1:7">
      <c r="A21" s="90" t="s">
        <v>95</v>
      </c>
      <c r="B21" s="92"/>
      <c r="C21" s="94">
        <v>2.5</v>
      </c>
      <c r="D21" s="92"/>
      <c r="E21" s="94">
        <v>2.6</v>
      </c>
      <c r="F21" s="92"/>
      <c r="G21" s="94">
        <v>2.4</v>
      </c>
    </row>
    <row r="22" spans="1:7">
      <c r="A22" s="90" t="s">
        <v>96</v>
      </c>
      <c r="B22" s="94">
        <v>10.5</v>
      </c>
      <c r="C22" s="94">
        <v>9.3</v>
      </c>
      <c r="D22" s="94">
        <v>10.3</v>
      </c>
      <c r="E22" s="94">
        <v>8.9</v>
      </c>
      <c r="F22" s="94">
        <v>10.7</v>
      </c>
      <c r="G22" s="94">
        <v>9.6</v>
      </c>
    </row>
    <row r="23" spans="1:7">
      <c r="A23" s="91" t="s">
        <v>97</v>
      </c>
      <c r="B23" s="95">
        <v>2.1</v>
      </c>
      <c r="C23" s="95">
        <v>2.3</v>
      </c>
      <c r="D23" s="95">
        <v>2.2</v>
      </c>
      <c r="E23" s="95">
        <v>1.8</v>
      </c>
      <c r="F23" s="95">
        <v>2</v>
      </c>
      <c r="G23" s="95">
        <v>2.6</v>
      </c>
    </row>
    <row r="24" spans="1:7">
      <c r="A24" s="81" t="s">
        <v>98</v>
      </c>
      <c r="B24" s="82"/>
      <c r="C24" s="82"/>
      <c r="D24" s="82"/>
      <c r="E24" s="82"/>
      <c r="F24" s="82"/>
      <c r="G24" s="82"/>
    </row>
  </sheetData>
  <mergeCells count="4">
    <mergeCell ref="B2:C2"/>
    <mergeCell ref="D2:E2"/>
    <mergeCell ref="F2:G2"/>
    <mergeCell ref="A2:A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L28" sqref="L28"/>
    </sheetView>
  </sheetViews>
  <sheetFormatPr defaultColWidth="9.23076923076923" defaultRowHeight="16.8"/>
  <cols>
    <col min="1" max="1" width="14.4230769230769" customWidth="1"/>
    <col min="2" max="13" width="11.8557692307692" customWidth="1"/>
  </cols>
  <sheetData>
    <row r="1" spans="1:13">
      <c r="A1" s="41" t="s">
        <v>99</v>
      </c>
      <c r="B1" s="43" t="s">
        <v>59</v>
      </c>
      <c r="C1" s="60"/>
      <c r="D1" s="60"/>
      <c r="E1" s="61"/>
      <c r="F1" s="43" t="s">
        <v>60</v>
      </c>
      <c r="G1" s="60"/>
      <c r="H1" s="60"/>
      <c r="I1" s="61"/>
      <c r="J1" s="43" t="s">
        <v>61</v>
      </c>
      <c r="K1" s="60"/>
      <c r="L1" s="60"/>
      <c r="M1" s="60"/>
    </row>
    <row r="2" spans="1:13">
      <c r="A2" s="63"/>
      <c r="B2" s="28" t="s">
        <v>24</v>
      </c>
      <c r="C2" s="28" t="s">
        <v>34</v>
      </c>
      <c r="D2" s="28" t="s">
        <v>44</v>
      </c>
      <c r="E2" s="28" t="s">
        <v>62</v>
      </c>
      <c r="F2" s="28" t="s">
        <v>24</v>
      </c>
      <c r="G2" s="28" t="s">
        <v>34</v>
      </c>
      <c r="H2" s="28" t="s">
        <v>44</v>
      </c>
      <c r="I2" s="28" t="s">
        <v>62</v>
      </c>
      <c r="J2" s="28" t="s">
        <v>24</v>
      </c>
      <c r="K2" s="28" t="s">
        <v>34</v>
      </c>
      <c r="L2" s="28" t="s">
        <v>44</v>
      </c>
      <c r="M2" s="43" t="s">
        <v>62</v>
      </c>
    </row>
    <row r="3" spans="1:13">
      <c r="A3" s="90" t="s">
        <v>100</v>
      </c>
      <c r="B3" s="88">
        <v>2328.3</v>
      </c>
      <c r="C3" s="88">
        <v>2250.5</v>
      </c>
      <c r="D3" s="88">
        <v>2172.1</v>
      </c>
      <c r="E3" s="88">
        <v>2007.4</v>
      </c>
      <c r="F3" s="88">
        <v>2394.6</v>
      </c>
      <c r="G3" s="88">
        <v>2134</v>
      </c>
      <c r="H3" s="88">
        <v>2052.6</v>
      </c>
      <c r="I3" s="88">
        <v>1940</v>
      </c>
      <c r="J3" s="88">
        <v>2294</v>
      </c>
      <c r="K3" s="88">
        <v>2295.5</v>
      </c>
      <c r="L3" s="88">
        <v>2286.4</v>
      </c>
      <c r="M3" s="88">
        <v>2054.3</v>
      </c>
    </row>
    <row r="4" spans="1:13">
      <c r="A4" s="90" t="s">
        <v>101</v>
      </c>
      <c r="B4" s="88">
        <v>68</v>
      </c>
      <c r="C4" s="88">
        <v>65.9</v>
      </c>
      <c r="D4" s="88">
        <v>64.5</v>
      </c>
      <c r="E4" s="88">
        <v>60.4</v>
      </c>
      <c r="F4" s="88">
        <v>75.1</v>
      </c>
      <c r="G4" s="88">
        <v>69</v>
      </c>
      <c r="H4" s="88">
        <v>65.4</v>
      </c>
      <c r="I4" s="88">
        <v>62.7</v>
      </c>
      <c r="J4" s="88">
        <v>64.3</v>
      </c>
      <c r="K4" s="88">
        <v>64.6</v>
      </c>
      <c r="L4" s="88">
        <v>63.6</v>
      </c>
      <c r="M4" s="88">
        <v>58.7</v>
      </c>
    </row>
    <row r="5" spans="1:13">
      <c r="A5" s="90" t="s">
        <v>102</v>
      </c>
      <c r="B5" s="88">
        <v>58.3</v>
      </c>
      <c r="C5" s="88">
        <v>76.2</v>
      </c>
      <c r="D5" s="88">
        <v>79.9</v>
      </c>
      <c r="E5" s="88">
        <v>79.1</v>
      </c>
      <c r="F5" s="88">
        <v>77.7</v>
      </c>
      <c r="G5" s="88">
        <v>85.5</v>
      </c>
      <c r="H5" s="88">
        <v>83.8</v>
      </c>
      <c r="I5" s="88">
        <v>80.4</v>
      </c>
      <c r="J5" s="88">
        <v>48.3</v>
      </c>
      <c r="K5" s="88">
        <v>72.7</v>
      </c>
      <c r="L5" s="88">
        <v>76.2</v>
      </c>
      <c r="M5" s="88">
        <v>78.1</v>
      </c>
    </row>
    <row r="6" spans="1:13">
      <c r="A6" s="90" t="s">
        <v>103</v>
      </c>
      <c r="B6" s="88">
        <v>378.4</v>
      </c>
      <c r="C6" s="88">
        <v>321.2</v>
      </c>
      <c r="D6" s="88">
        <v>300.8</v>
      </c>
      <c r="E6" s="88">
        <v>266.7</v>
      </c>
      <c r="F6" s="88">
        <v>340.5</v>
      </c>
      <c r="G6" s="88">
        <v>268.3</v>
      </c>
      <c r="H6" s="88">
        <v>261.1</v>
      </c>
      <c r="I6" s="88">
        <v>245.5</v>
      </c>
      <c r="J6" s="88">
        <v>397.9</v>
      </c>
      <c r="K6" s="88">
        <v>341.6</v>
      </c>
      <c r="L6" s="88">
        <v>338.8</v>
      </c>
      <c r="M6" s="88">
        <v>281.5</v>
      </c>
    </row>
    <row r="7" spans="1:13">
      <c r="A7" s="90" t="s">
        <v>104</v>
      </c>
      <c r="B7" s="88">
        <v>13.3</v>
      </c>
      <c r="C7" s="88">
        <v>12</v>
      </c>
      <c r="D7" s="88">
        <v>10.8</v>
      </c>
      <c r="E7" s="88">
        <v>10.4</v>
      </c>
      <c r="F7" s="88">
        <v>11.6</v>
      </c>
      <c r="G7" s="88">
        <v>11.1</v>
      </c>
      <c r="H7" s="88">
        <v>10.8</v>
      </c>
      <c r="I7" s="88">
        <v>10.8</v>
      </c>
      <c r="J7" s="88">
        <v>14.1</v>
      </c>
      <c r="K7" s="88">
        <v>12.4</v>
      </c>
      <c r="L7" s="88">
        <v>10.9</v>
      </c>
      <c r="M7" s="88">
        <v>10.1</v>
      </c>
    </row>
    <row r="8" spans="1:13">
      <c r="A8" s="90" t="s">
        <v>105</v>
      </c>
      <c r="B8" s="88">
        <v>476</v>
      </c>
      <c r="C8" s="88">
        <v>469.2</v>
      </c>
      <c r="D8" s="88">
        <v>443.5</v>
      </c>
      <c r="E8" s="88">
        <v>432.9</v>
      </c>
      <c r="F8" s="88">
        <v>605.5</v>
      </c>
      <c r="G8" s="88">
        <v>547.2</v>
      </c>
      <c r="H8" s="88">
        <v>514.5</v>
      </c>
      <c r="I8" s="88">
        <v>486.7</v>
      </c>
      <c r="J8" s="88">
        <v>409</v>
      </c>
      <c r="K8" s="88">
        <v>439.1</v>
      </c>
      <c r="L8" s="88">
        <v>375.4</v>
      </c>
      <c r="M8" s="88">
        <v>395.4</v>
      </c>
    </row>
    <row r="9" spans="1:13">
      <c r="A9" s="90" t="s">
        <v>106</v>
      </c>
      <c r="B9" s="88">
        <v>1.2</v>
      </c>
      <c r="C9" s="88">
        <v>1</v>
      </c>
      <c r="D9" s="88">
        <v>0.9</v>
      </c>
      <c r="E9" s="88">
        <v>0.8</v>
      </c>
      <c r="F9" s="88">
        <v>1.1</v>
      </c>
      <c r="G9" s="88">
        <v>1</v>
      </c>
      <c r="H9" s="88">
        <v>0.9</v>
      </c>
      <c r="I9" s="88">
        <v>0.8</v>
      </c>
      <c r="J9" s="88">
        <v>1.2</v>
      </c>
      <c r="K9" s="88">
        <v>1</v>
      </c>
      <c r="L9" s="88">
        <v>1</v>
      </c>
      <c r="M9" s="88">
        <v>0.8</v>
      </c>
    </row>
    <row r="10" spans="1:13">
      <c r="A10" s="90" t="s">
        <v>107</v>
      </c>
      <c r="B10" s="88">
        <v>0.8</v>
      </c>
      <c r="C10" s="88">
        <v>0.8</v>
      </c>
      <c r="D10" s="88">
        <v>0.8</v>
      </c>
      <c r="E10" s="88">
        <v>0.7</v>
      </c>
      <c r="F10" s="88">
        <v>0.9</v>
      </c>
      <c r="G10" s="88">
        <v>0.9</v>
      </c>
      <c r="H10" s="88">
        <v>0.8</v>
      </c>
      <c r="I10" s="88">
        <v>0.8</v>
      </c>
      <c r="J10" s="88">
        <v>0.7</v>
      </c>
      <c r="K10" s="88">
        <v>0.7</v>
      </c>
      <c r="L10" s="88">
        <v>0.7</v>
      </c>
      <c r="M10" s="88">
        <v>0.7</v>
      </c>
    </row>
    <row r="11" spans="1:13">
      <c r="A11" s="90" t="s">
        <v>108</v>
      </c>
      <c r="B11" s="92"/>
      <c r="C11" s="88">
        <v>35.6</v>
      </c>
      <c r="D11" s="88">
        <v>35.9</v>
      </c>
      <c r="E11" s="88">
        <v>37.4</v>
      </c>
      <c r="F11" s="92"/>
      <c r="G11" s="88">
        <v>37.3</v>
      </c>
      <c r="H11" s="88">
        <v>37.5</v>
      </c>
      <c r="I11" s="88">
        <v>35.8</v>
      </c>
      <c r="J11" s="92"/>
      <c r="K11" s="88">
        <v>35</v>
      </c>
      <c r="L11" s="88">
        <v>34.3</v>
      </c>
      <c r="M11" s="88">
        <v>38.6</v>
      </c>
    </row>
    <row r="12" spans="1:13">
      <c r="A12" s="90" t="s">
        <v>109</v>
      </c>
      <c r="B12" s="92"/>
      <c r="C12" s="88">
        <v>1700.1</v>
      </c>
      <c r="D12" s="88">
        <v>1616.9</v>
      </c>
      <c r="E12" s="88">
        <v>1547.2</v>
      </c>
      <c r="F12" s="92"/>
      <c r="G12" s="88">
        <v>1722.4</v>
      </c>
      <c r="H12" s="88">
        <v>1660.7</v>
      </c>
      <c r="I12" s="88">
        <v>1658.2</v>
      </c>
      <c r="J12" s="92"/>
      <c r="K12" s="88">
        <v>1691.5</v>
      </c>
      <c r="L12" s="88">
        <v>1574.3</v>
      </c>
      <c r="M12" s="88">
        <v>1469.9</v>
      </c>
    </row>
    <row r="13" spans="1:13">
      <c r="A13" s="90" t="s">
        <v>110</v>
      </c>
      <c r="B13" s="92"/>
      <c r="C13" s="88">
        <v>6268.2</v>
      </c>
      <c r="D13" s="88">
        <v>5702.7</v>
      </c>
      <c r="E13" s="88">
        <v>6046</v>
      </c>
      <c r="F13" s="92"/>
      <c r="G13" s="88">
        <v>6007.7</v>
      </c>
      <c r="H13" s="88">
        <v>5858.8</v>
      </c>
      <c r="I13" s="88">
        <v>6028.1</v>
      </c>
      <c r="J13" s="92"/>
      <c r="K13" s="88">
        <v>6368.8</v>
      </c>
      <c r="L13" s="88">
        <v>5554.6</v>
      </c>
      <c r="M13" s="88">
        <v>6058.5</v>
      </c>
    </row>
    <row r="14" spans="1:13">
      <c r="A14" s="90" t="s">
        <v>111</v>
      </c>
      <c r="B14" s="88">
        <v>405.4</v>
      </c>
      <c r="C14" s="88">
        <v>388.8</v>
      </c>
      <c r="D14" s="88">
        <v>366.1</v>
      </c>
      <c r="E14" s="88">
        <v>356.3</v>
      </c>
      <c r="F14" s="88">
        <v>457.9</v>
      </c>
      <c r="G14" s="88">
        <v>438.6</v>
      </c>
      <c r="H14" s="88">
        <v>412.4</v>
      </c>
      <c r="I14" s="88">
        <v>398.7</v>
      </c>
      <c r="J14" s="88">
        <v>378.2</v>
      </c>
      <c r="K14" s="88">
        <v>369.6</v>
      </c>
      <c r="L14" s="88">
        <v>321.4</v>
      </c>
      <c r="M14" s="88">
        <v>326.8</v>
      </c>
    </row>
    <row r="15" spans="1:13">
      <c r="A15" s="90" t="s">
        <v>112</v>
      </c>
      <c r="B15" s="88">
        <v>23.4</v>
      </c>
      <c r="C15" s="88">
        <v>23.2</v>
      </c>
      <c r="D15" s="88">
        <v>21.5</v>
      </c>
      <c r="E15" s="88">
        <v>21</v>
      </c>
      <c r="F15" s="88">
        <v>25.5</v>
      </c>
      <c r="G15" s="88">
        <v>23.7</v>
      </c>
      <c r="H15" s="88">
        <v>21.9</v>
      </c>
      <c r="I15" s="88">
        <v>21.1</v>
      </c>
      <c r="J15" s="88">
        <v>22.4</v>
      </c>
      <c r="K15" s="88">
        <v>23.1</v>
      </c>
      <c r="L15" s="88">
        <v>21.2</v>
      </c>
      <c r="M15" s="88">
        <v>21</v>
      </c>
    </row>
    <row r="16" spans="1:13">
      <c r="A16" s="90" t="s">
        <v>113</v>
      </c>
      <c r="B16" s="92"/>
      <c r="C16" s="88">
        <v>11.3</v>
      </c>
      <c r="D16" s="88">
        <v>10.7</v>
      </c>
      <c r="E16" s="88">
        <v>10.3</v>
      </c>
      <c r="F16" s="92"/>
      <c r="G16" s="88">
        <v>11.5</v>
      </c>
      <c r="H16" s="88">
        <v>10.6</v>
      </c>
      <c r="I16" s="88">
        <v>10.1</v>
      </c>
      <c r="J16" s="92"/>
      <c r="K16" s="88">
        <v>11.2</v>
      </c>
      <c r="L16" s="88">
        <v>10.8</v>
      </c>
      <c r="M16" s="88">
        <v>10.5</v>
      </c>
    </row>
    <row r="17" spans="1:13">
      <c r="A17" s="91" t="s">
        <v>114</v>
      </c>
      <c r="B17" s="93"/>
      <c r="C17" s="89">
        <v>39.9</v>
      </c>
      <c r="D17" s="89">
        <v>44.6</v>
      </c>
      <c r="E17" s="89">
        <v>41.6</v>
      </c>
      <c r="F17" s="93"/>
      <c r="G17" s="89">
        <v>46.5</v>
      </c>
      <c r="H17" s="89">
        <v>47</v>
      </c>
      <c r="I17" s="89">
        <v>45</v>
      </c>
      <c r="J17" s="93"/>
      <c r="K17" s="89">
        <v>37.4</v>
      </c>
      <c r="L17" s="89">
        <v>42.2</v>
      </c>
      <c r="M17" s="89">
        <v>39.3</v>
      </c>
    </row>
    <row r="18" spans="1:13">
      <c r="A18" s="81" t="s">
        <v>115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</row>
  </sheetData>
  <mergeCells count="4">
    <mergeCell ref="B1:E1"/>
    <mergeCell ref="F1:I1"/>
    <mergeCell ref="J1:M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N18" sqref="N18"/>
    </sheetView>
  </sheetViews>
  <sheetFormatPr defaultColWidth="9.23076923076923" defaultRowHeight="16.8" outlineLevelCol="4"/>
  <cols>
    <col min="2" max="2" width="15.0576923076923" customWidth="1"/>
  </cols>
  <sheetData>
    <row r="1" spans="1:5">
      <c r="A1" s="41" t="s">
        <v>1</v>
      </c>
      <c r="B1" s="75" t="s">
        <v>116</v>
      </c>
      <c r="C1" s="43" t="s">
        <v>117</v>
      </c>
      <c r="D1" s="60"/>
      <c r="E1" s="60"/>
    </row>
    <row r="2" spans="1:5">
      <c r="A2" s="63"/>
      <c r="B2" s="76"/>
      <c r="C2" s="28" t="s">
        <v>59</v>
      </c>
      <c r="D2" s="28" t="s">
        <v>118</v>
      </c>
      <c r="E2" s="43" t="s">
        <v>119</v>
      </c>
    </row>
    <row r="3" spans="1:5">
      <c r="A3" s="77" t="s">
        <v>13</v>
      </c>
      <c r="B3" s="88">
        <v>34.7</v>
      </c>
      <c r="C3" s="88">
        <v>67.77</v>
      </c>
      <c r="D3" s="88">
        <v>66.28</v>
      </c>
      <c r="E3" s="88">
        <v>69.27</v>
      </c>
    </row>
    <row r="4" spans="1:5">
      <c r="A4" s="77" t="s">
        <v>22</v>
      </c>
      <c r="B4" s="88" t="s">
        <v>120</v>
      </c>
      <c r="C4" s="88">
        <v>68.55</v>
      </c>
      <c r="D4" s="88">
        <v>66.84</v>
      </c>
      <c r="E4" s="88">
        <v>70.47</v>
      </c>
    </row>
    <row r="5" spans="1:5">
      <c r="A5" s="77" t="s">
        <v>28</v>
      </c>
      <c r="B5" s="92"/>
      <c r="C5" s="88">
        <v>70.8</v>
      </c>
      <c r="D5" s="92"/>
      <c r="E5" s="92"/>
    </row>
    <row r="6" spans="1:5">
      <c r="A6" s="77" t="s">
        <v>32</v>
      </c>
      <c r="B6" s="88">
        <v>32.2</v>
      </c>
      <c r="C6" s="88">
        <v>71.4</v>
      </c>
      <c r="D6" s="88">
        <v>69.63</v>
      </c>
      <c r="E6" s="88">
        <v>73.3</v>
      </c>
    </row>
    <row r="7" spans="1:5">
      <c r="A7" s="77" t="s">
        <v>37</v>
      </c>
      <c r="B7" s="88">
        <v>19</v>
      </c>
      <c r="C7" s="88">
        <v>72.95</v>
      </c>
      <c r="D7" s="88">
        <v>70.83</v>
      </c>
      <c r="E7" s="88">
        <v>75.25</v>
      </c>
    </row>
    <row r="8" spans="1:5">
      <c r="A8" s="77" t="s">
        <v>42</v>
      </c>
      <c r="B8" s="88">
        <v>13.1</v>
      </c>
      <c r="C8" s="88">
        <v>74.83</v>
      </c>
      <c r="D8" s="88">
        <v>72.4</v>
      </c>
      <c r="E8" s="88">
        <v>77.4</v>
      </c>
    </row>
    <row r="9" spans="1:5">
      <c r="A9" s="77" t="s">
        <v>47</v>
      </c>
      <c r="B9" s="88">
        <v>8.1</v>
      </c>
      <c r="C9" s="88">
        <v>76.34</v>
      </c>
      <c r="D9" s="88">
        <v>73.6</v>
      </c>
      <c r="E9" s="88">
        <v>79.4</v>
      </c>
    </row>
    <row r="10" spans="1:5">
      <c r="A10" s="77" t="s">
        <v>48</v>
      </c>
      <c r="B10" s="88">
        <v>7.5</v>
      </c>
      <c r="C10" s="88">
        <v>76.5</v>
      </c>
      <c r="D10" s="92"/>
      <c r="E10" s="92"/>
    </row>
    <row r="11" spans="1:5">
      <c r="A11" s="77" t="s">
        <v>49</v>
      </c>
      <c r="B11" s="88">
        <v>6.8</v>
      </c>
      <c r="C11" s="88">
        <v>76.7</v>
      </c>
      <c r="D11" s="92"/>
      <c r="E11" s="92"/>
    </row>
    <row r="12" spans="1:5">
      <c r="A12" s="77" t="s">
        <v>50</v>
      </c>
      <c r="B12" s="88">
        <v>6.1</v>
      </c>
      <c r="C12" s="88">
        <v>77</v>
      </c>
      <c r="D12" s="92"/>
      <c r="E12" s="92"/>
    </row>
    <row r="13" spans="1:5">
      <c r="A13" s="77" t="s">
        <v>51</v>
      </c>
      <c r="B13" s="88">
        <v>5.6</v>
      </c>
      <c r="C13" s="88">
        <v>77.3</v>
      </c>
      <c r="D13" s="92"/>
      <c r="E13" s="92"/>
    </row>
    <row r="14" spans="1:5">
      <c r="A14" s="77" t="s">
        <v>52</v>
      </c>
      <c r="B14" s="88">
        <v>5.4</v>
      </c>
      <c r="C14" s="88">
        <v>77.93</v>
      </c>
      <c r="D14" s="88">
        <v>75.4</v>
      </c>
      <c r="E14" s="88">
        <v>80.9</v>
      </c>
    </row>
    <row r="15" spans="1:5">
      <c r="A15" s="77" t="s">
        <v>53</v>
      </c>
      <c r="B15" s="88">
        <v>5</v>
      </c>
      <c r="C15" s="88">
        <v>78.2</v>
      </c>
      <c r="D15" s="92"/>
      <c r="E15" s="92"/>
    </row>
    <row r="16" spans="1:5">
      <c r="A16" s="77" t="s">
        <v>54</v>
      </c>
      <c r="B16" s="88">
        <v>4.9</v>
      </c>
      <c r="C16" s="88">
        <v>78.3</v>
      </c>
      <c r="D16" s="92"/>
      <c r="E16" s="92"/>
    </row>
    <row r="17" spans="1:5">
      <c r="A17" s="79" t="s">
        <v>55</v>
      </c>
      <c r="B17" s="89">
        <v>4.5</v>
      </c>
      <c r="C17" s="89">
        <v>78.6</v>
      </c>
      <c r="D17" s="93"/>
      <c r="E17" s="93"/>
    </row>
  </sheetData>
  <mergeCells count="3">
    <mergeCell ref="C1:E1"/>
    <mergeCell ref="A1:A2"/>
    <mergeCell ref="B1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$A1:$XFD1"/>
    </sheetView>
  </sheetViews>
  <sheetFormatPr defaultColWidth="9.23076923076923" defaultRowHeight="16.8" outlineLevelRow="6"/>
  <sheetData>
    <row r="1" spans="1:10">
      <c r="A1" s="86" t="s">
        <v>57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41" t="s">
        <v>121</v>
      </c>
      <c r="B2" s="75" t="s">
        <v>59</v>
      </c>
      <c r="C2" s="43" t="s">
        <v>60</v>
      </c>
      <c r="D2" s="60"/>
      <c r="E2" s="60"/>
      <c r="F2" s="61"/>
      <c r="G2" s="43" t="s">
        <v>61</v>
      </c>
      <c r="H2" s="60"/>
      <c r="I2" s="60"/>
      <c r="J2" s="60"/>
    </row>
    <row r="3" spans="1:10">
      <c r="A3" s="63"/>
      <c r="B3" s="76"/>
      <c r="C3" s="28" t="s">
        <v>122</v>
      </c>
      <c r="D3" s="28" t="s">
        <v>123</v>
      </c>
      <c r="E3" s="28" t="s">
        <v>124</v>
      </c>
      <c r="F3" s="28" t="s">
        <v>125</v>
      </c>
      <c r="G3" s="28" t="s">
        <v>122</v>
      </c>
      <c r="H3" s="28" t="s">
        <v>123</v>
      </c>
      <c r="I3" s="28" t="s">
        <v>124</v>
      </c>
      <c r="J3" s="43" t="s">
        <v>125</v>
      </c>
    </row>
    <row r="4" ht="31" spans="1:10">
      <c r="A4" s="90" t="s">
        <v>126</v>
      </c>
      <c r="B4" s="78">
        <v>26.6</v>
      </c>
      <c r="C4" s="78">
        <v>42.5</v>
      </c>
      <c r="D4" s="78">
        <v>49.8</v>
      </c>
      <c r="E4" s="78">
        <v>42</v>
      </c>
      <c r="F4" s="78">
        <v>33.5</v>
      </c>
      <c r="G4" s="78">
        <v>9.6</v>
      </c>
      <c r="H4" s="78">
        <v>18.6</v>
      </c>
      <c r="I4" s="78">
        <v>7.1</v>
      </c>
      <c r="J4" s="78">
        <v>4.7</v>
      </c>
    </row>
    <row r="5" ht="31" spans="1:10">
      <c r="A5" s="90" t="s">
        <v>127</v>
      </c>
      <c r="B5" s="78">
        <v>70.3</v>
      </c>
      <c r="C5" s="78">
        <v>54</v>
      </c>
      <c r="D5" s="78">
        <v>45.9</v>
      </c>
      <c r="E5" s="78">
        <v>55.3</v>
      </c>
      <c r="F5" s="78">
        <v>63.1</v>
      </c>
      <c r="G5" s="78">
        <v>87.7</v>
      </c>
      <c r="H5" s="78">
        <v>78.4</v>
      </c>
      <c r="I5" s="78">
        <v>89.7</v>
      </c>
      <c r="J5" s="78">
        <v>93.3</v>
      </c>
    </row>
    <row r="6" ht="31" spans="1:10">
      <c r="A6" s="90" t="s">
        <v>128</v>
      </c>
      <c r="B6" s="78">
        <v>1.1</v>
      </c>
      <c r="C6" s="78">
        <v>1.3</v>
      </c>
      <c r="D6" s="78">
        <v>2.1</v>
      </c>
      <c r="E6" s="78">
        <v>0.8</v>
      </c>
      <c r="F6" s="78">
        <v>0.9</v>
      </c>
      <c r="G6" s="78">
        <v>0.9</v>
      </c>
      <c r="H6" s="78">
        <v>1</v>
      </c>
      <c r="I6" s="78">
        <v>1.1</v>
      </c>
      <c r="J6" s="78">
        <v>0.6</v>
      </c>
    </row>
    <row r="7" ht="31" spans="1:10">
      <c r="A7" s="91" t="s">
        <v>129</v>
      </c>
      <c r="B7" s="80">
        <v>2</v>
      </c>
      <c r="C7" s="80">
        <v>2.3</v>
      </c>
      <c r="D7" s="80">
        <v>2.2</v>
      </c>
      <c r="E7" s="80">
        <v>1.9</v>
      </c>
      <c r="F7" s="80">
        <v>2.6</v>
      </c>
      <c r="G7" s="80">
        <v>1.8</v>
      </c>
      <c r="H7" s="80">
        <v>2</v>
      </c>
      <c r="I7" s="80">
        <v>2</v>
      </c>
      <c r="J7" s="80">
        <v>1.4</v>
      </c>
    </row>
  </sheetData>
  <mergeCells count="4">
    <mergeCell ref="C2:F2"/>
    <mergeCell ref="G2:J2"/>
    <mergeCell ref="A2:A3"/>
    <mergeCell ref="B2:B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opLeftCell="A4" workbookViewId="0">
      <selection activeCell="P33" sqref="P33"/>
    </sheetView>
  </sheetViews>
  <sheetFormatPr defaultColWidth="9.23076923076923" defaultRowHeight="16.8"/>
  <sheetData>
    <row r="1" spans="1:9">
      <c r="A1" s="86" t="s">
        <v>130</v>
      </c>
      <c r="B1" s="57"/>
      <c r="C1" s="57"/>
      <c r="D1" s="57"/>
      <c r="E1" s="57"/>
      <c r="F1" s="57"/>
      <c r="G1" s="57"/>
      <c r="H1" s="57"/>
      <c r="I1" s="57"/>
    </row>
    <row r="2" spans="1:9">
      <c r="A2" s="41" t="s">
        <v>1</v>
      </c>
      <c r="B2" s="74" t="s">
        <v>131</v>
      </c>
      <c r="C2" s="60"/>
      <c r="D2" s="60"/>
      <c r="E2" s="61"/>
      <c r="F2" s="74" t="s">
        <v>132</v>
      </c>
      <c r="G2" s="60"/>
      <c r="H2" s="60"/>
      <c r="I2" s="60"/>
    </row>
    <row r="3" spans="1:9">
      <c r="A3" s="73"/>
      <c r="B3" s="87"/>
      <c r="C3" s="74" t="s">
        <v>133</v>
      </c>
      <c r="D3" s="60"/>
      <c r="E3" s="61"/>
      <c r="F3" s="87"/>
      <c r="G3" s="74" t="s">
        <v>133</v>
      </c>
      <c r="H3" s="60"/>
      <c r="I3" s="60"/>
    </row>
    <row r="4" spans="1:9">
      <c r="A4" s="63"/>
      <c r="B4" s="76"/>
      <c r="C4" s="76"/>
      <c r="D4" s="28" t="s">
        <v>134</v>
      </c>
      <c r="E4" s="28" t="s">
        <v>135</v>
      </c>
      <c r="F4" s="76"/>
      <c r="G4" s="76"/>
      <c r="H4" s="28" t="s">
        <v>134</v>
      </c>
      <c r="I4" s="43" t="s">
        <v>135</v>
      </c>
    </row>
    <row r="5" spans="1:9">
      <c r="A5" s="77" t="s">
        <v>17</v>
      </c>
      <c r="B5" s="88">
        <v>12.55</v>
      </c>
      <c r="C5" s="88">
        <v>7.21</v>
      </c>
      <c r="D5" s="88">
        <v>5.08</v>
      </c>
      <c r="E5" s="88">
        <v>0.87</v>
      </c>
      <c r="F5" s="88">
        <v>11.37</v>
      </c>
      <c r="G5" s="88">
        <v>7</v>
      </c>
      <c r="H5" s="88">
        <v>4.93</v>
      </c>
      <c r="I5" s="88">
        <v>0.83</v>
      </c>
    </row>
    <row r="6" spans="1:9">
      <c r="A6" s="77" t="s">
        <v>18</v>
      </c>
      <c r="B6" s="88">
        <v>13.02</v>
      </c>
      <c r="C6" s="88">
        <v>7.76</v>
      </c>
      <c r="D6" s="88">
        <v>5.36</v>
      </c>
      <c r="E6" s="88">
        <v>1.04</v>
      </c>
      <c r="F6" s="88">
        <v>12.18</v>
      </c>
      <c r="G6" s="88">
        <v>7.54</v>
      </c>
      <c r="H6" s="88">
        <v>5.22</v>
      </c>
      <c r="I6" s="88">
        <v>0.99</v>
      </c>
    </row>
    <row r="7" spans="1:9">
      <c r="A7" s="77" t="s">
        <v>19</v>
      </c>
      <c r="B7" s="88">
        <v>14.8</v>
      </c>
      <c r="C7" s="88">
        <v>8.5</v>
      </c>
      <c r="D7" s="88">
        <v>5.61</v>
      </c>
      <c r="E7" s="88">
        <v>1.38</v>
      </c>
      <c r="F7" s="88">
        <v>14</v>
      </c>
      <c r="G7" s="88">
        <v>8.3</v>
      </c>
      <c r="H7" s="88">
        <v>5.49</v>
      </c>
      <c r="I7" s="88">
        <v>1.33</v>
      </c>
    </row>
    <row r="8" spans="1:9">
      <c r="A8" s="77" t="s">
        <v>20</v>
      </c>
      <c r="B8" s="88">
        <v>14.63</v>
      </c>
      <c r="C8" s="88">
        <v>8.38</v>
      </c>
      <c r="D8" s="88">
        <v>5.48</v>
      </c>
      <c r="E8" s="88">
        <v>1.44</v>
      </c>
      <c r="F8" s="88">
        <v>13.76</v>
      </c>
      <c r="G8" s="88">
        <v>8.18</v>
      </c>
      <c r="H8" s="88">
        <v>5.36</v>
      </c>
      <c r="I8" s="88">
        <v>1.41</v>
      </c>
    </row>
    <row r="9" spans="1:9">
      <c r="A9" s="77" t="s">
        <v>21</v>
      </c>
      <c r="B9" s="88">
        <v>14.43</v>
      </c>
      <c r="C9" s="88">
        <v>8.16</v>
      </c>
      <c r="D9" s="88">
        <v>5.25</v>
      </c>
      <c r="E9" s="88">
        <v>1.46</v>
      </c>
      <c r="F9" s="88">
        <v>13.52</v>
      </c>
      <c r="G9" s="88">
        <v>7.96</v>
      </c>
      <c r="H9" s="88">
        <v>5.13</v>
      </c>
      <c r="I9" s="88">
        <v>1.43</v>
      </c>
    </row>
    <row r="10" spans="1:9">
      <c r="A10" s="77" t="s">
        <v>22</v>
      </c>
      <c r="B10" s="88">
        <v>14.94</v>
      </c>
      <c r="C10" s="88">
        <v>8.58</v>
      </c>
      <c r="D10" s="88">
        <v>5.47</v>
      </c>
      <c r="E10" s="88">
        <v>1.6</v>
      </c>
      <c r="F10" s="88">
        <v>14.05</v>
      </c>
      <c r="G10" s="88">
        <v>8.32</v>
      </c>
      <c r="H10" s="88">
        <v>5.3</v>
      </c>
      <c r="I10" s="88">
        <v>1.55</v>
      </c>
    </row>
    <row r="11" spans="1:9">
      <c r="A11" s="77" t="s">
        <v>23</v>
      </c>
      <c r="B11" s="88">
        <v>15.33</v>
      </c>
      <c r="C11" s="88">
        <v>8.88</v>
      </c>
      <c r="D11" s="88">
        <v>5.54</v>
      </c>
      <c r="E11" s="88">
        <v>1.78</v>
      </c>
      <c r="F11" s="88">
        <v>14.4</v>
      </c>
      <c r="G11" s="88">
        <v>8.64</v>
      </c>
      <c r="H11" s="88">
        <v>5.42</v>
      </c>
      <c r="I11" s="88">
        <v>1.7</v>
      </c>
    </row>
    <row r="12" spans="1:9">
      <c r="A12" s="77" t="s">
        <v>24</v>
      </c>
      <c r="B12" s="88">
        <v>15.35</v>
      </c>
      <c r="C12" s="88">
        <v>8.84</v>
      </c>
      <c r="D12" s="88">
        <v>5.5</v>
      </c>
      <c r="E12" s="88">
        <v>1.78</v>
      </c>
      <c r="F12" s="88">
        <v>14.31</v>
      </c>
      <c r="G12" s="88">
        <v>8.6</v>
      </c>
      <c r="H12" s="88">
        <v>5.35</v>
      </c>
      <c r="I12" s="88">
        <v>1.74</v>
      </c>
    </row>
    <row r="13" spans="1:9">
      <c r="A13" s="77" t="s">
        <v>25</v>
      </c>
      <c r="B13" s="88">
        <v>13.07</v>
      </c>
      <c r="C13" s="88">
        <v>7.98</v>
      </c>
      <c r="D13" s="88">
        <v>4.95</v>
      </c>
      <c r="E13" s="88">
        <v>1.61</v>
      </c>
      <c r="F13" s="88">
        <v>12.19</v>
      </c>
      <c r="G13" s="88">
        <v>7.7</v>
      </c>
      <c r="H13" s="88">
        <v>4.77</v>
      </c>
      <c r="I13" s="88">
        <v>1.55</v>
      </c>
    </row>
    <row r="14" spans="1:9">
      <c r="A14" s="77" t="s">
        <v>26</v>
      </c>
      <c r="B14" s="88">
        <v>12.69</v>
      </c>
      <c r="C14" s="88">
        <v>7.75</v>
      </c>
      <c r="D14" s="88">
        <v>4.81</v>
      </c>
      <c r="E14" s="88">
        <v>1.58</v>
      </c>
      <c r="F14" s="88">
        <v>11.86</v>
      </c>
      <c r="G14" s="88">
        <v>7.47</v>
      </c>
      <c r="H14" s="88">
        <v>4.62</v>
      </c>
      <c r="I14" s="88">
        <v>1.53</v>
      </c>
    </row>
    <row r="15" spans="1:9">
      <c r="A15" s="77" t="s">
        <v>27</v>
      </c>
      <c r="B15" s="88">
        <v>12.52</v>
      </c>
      <c r="C15" s="88">
        <v>7.76</v>
      </c>
      <c r="D15" s="88">
        <v>4.78</v>
      </c>
      <c r="E15" s="88">
        <v>1.58</v>
      </c>
      <c r="F15" s="88">
        <v>11.65</v>
      </c>
      <c r="G15" s="88">
        <v>7.49</v>
      </c>
      <c r="H15" s="88">
        <v>4.59</v>
      </c>
      <c r="I15" s="88">
        <v>1.53</v>
      </c>
    </row>
    <row r="16" spans="1:9">
      <c r="A16" s="77" t="s">
        <v>28</v>
      </c>
      <c r="B16" s="88">
        <v>12.81</v>
      </c>
      <c r="C16" s="88">
        <v>8.08</v>
      </c>
      <c r="D16" s="88">
        <v>4.78</v>
      </c>
      <c r="E16" s="88">
        <v>1.7</v>
      </c>
      <c r="F16" s="88">
        <v>11.61</v>
      </c>
      <c r="G16" s="88">
        <v>7.55</v>
      </c>
      <c r="H16" s="88">
        <v>4.54</v>
      </c>
      <c r="I16" s="88">
        <v>1.58</v>
      </c>
    </row>
    <row r="17" spans="1:9">
      <c r="A17" s="77" t="s">
        <v>29</v>
      </c>
      <c r="B17" s="88">
        <v>12.27</v>
      </c>
      <c r="C17" s="88">
        <v>7.95</v>
      </c>
      <c r="D17" s="88">
        <v>4.76</v>
      </c>
      <c r="E17" s="88">
        <v>1.65</v>
      </c>
      <c r="F17" s="88">
        <v>11.38</v>
      </c>
      <c r="G17" s="88">
        <v>7.61</v>
      </c>
      <c r="H17" s="88">
        <v>4.57</v>
      </c>
      <c r="I17" s="88">
        <v>1.56</v>
      </c>
    </row>
    <row r="18" spans="1:9">
      <c r="A18" s="77" t="s">
        <v>30</v>
      </c>
      <c r="B18" s="88">
        <v>12.39</v>
      </c>
      <c r="C18" s="88">
        <v>8.17</v>
      </c>
      <c r="D18" s="88">
        <v>4.88</v>
      </c>
      <c r="E18" s="88">
        <v>1.62</v>
      </c>
      <c r="F18" s="88">
        <v>11.51</v>
      </c>
      <c r="G18" s="88">
        <v>7.84</v>
      </c>
      <c r="H18" s="88">
        <v>4.69</v>
      </c>
      <c r="I18" s="88">
        <v>1.57</v>
      </c>
    </row>
    <row r="19" spans="1:9">
      <c r="A19" s="77" t="s">
        <v>31</v>
      </c>
      <c r="B19" s="88">
        <v>12.31</v>
      </c>
      <c r="C19" s="88">
        <v>8.19</v>
      </c>
      <c r="D19" s="88">
        <v>4.93</v>
      </c>
      <c r="E19" s="88">
        <v>1.56</v>
      </c>
      <c r="F19" s="88">
        <v>11.51</v>
      </c>
      <c r="G19" s="88">
        <v>7.9</v>
      </c>
      <c r="H19" s="88">
        <v>4.73</v>
      </c>
      <c r="I19" s="88">
        <v>1.51</v>
      </c>
    </row>
    <row r="20" spans="1:9">
      <c r="A20" s="77" t="s">
        <v>32</v>
      </c>
      <c r="B20" s="88">
        <v>12.86</v>
      </c>
      <c r="C20" s="88">
        <v>8.76</v>
      </c>
      <c r="D20" s="88">
        <v>5.27</v>
      </c>
      <c r="E20" s="88">
        <v>1.64</v>
      </c>
      <c r="F20" s="88">
        <v>11.83</v>
      </c>
      <c r="G20" s="88">
        <v>8.32</v>
      </c>
      <c r="H20" s="88">
        <v>5</v>
      </c>
      <c r="I20" s="88">
        <v>1.54</v>
      </c>
    </row>
    <row r="21" spans="1:9">
      <c r="A21" s="77" t="s">
        <v>33</v>
      </c>
      <c r="B21" s="88">
        <v>12.5</v>
      </c>
      <c r="C21" s="88">
        <v>8.74</v>
      </c>
      <c r="D21" s="88">
        <v>5.18</v>
      </c>
      <c r="E21" s="88">
        <v>1.64</v>
      </c>
      <c r="F21" s="88">
        <v>11.74</v>
      </c>
      <c r="G21" s="88">
        <v>8.39</v>
      </c>
      <c r="H21" s="88">
        <v>4.96</v>
      </c>
      <c r="I21" s="88">
        <v>1.57</v>
      </c>
    </row>
    <row r="22" spans="1:9">
      <c r="A22" s="77" t="s">
        <v>34</v>
      </c>
      <c r="B22" s="88">
        <v>12.43</v>
      </c>
      <c r="C22" s="88">
        <v>9.27</v>
      </c>
      <c r="D22" s="88">
        <v>6.69</v>
      </c>
      <c r="E22" s="88">
        <v>1.79</v>
      </c>
      <c r="F22" s="88">
        <v>11.58</v>
      </c>
      <c r="G22" s="88">
        <v>8.78</v>
      </c>
      <c r="H22" s="88">
        <v>6.35</v>
      </c>
      <c r="I22" s="88">
        <v>1.7</v>
      </c>
    </row>
    <row r="23" spans="1:9">
      <c r="A23" s="77" t="s">
        <v>35</v>
      </c>
      <c r="B23" s="88">
        <v>12.13</v>
      </c>
      <c r="C23" s="88">
        <v>9.05</v>
      </c>
      <c r="D23" s="88">
        <v>6.69</v>
      </c>
      <c r="E23" s="88">
        <v>1.85</v>
      </c>
      <c r="F23" s="88">
        <v>11.5</v>
      </c>
      <c r="G23" s="88">
        <v>8.72</v>
      </c>
      <c r="H23" s="88">
        <v>6.44</v>
      </c>
      <c r="I23" s="88">
        <v>1.78</v>
      </c>
    </row>
    <row r="24" spans="1:9">
      <c r="A24" s="77" t="s">
        <v>36</v>
      </c>
      <c r="B24" s="88">
        <v>13.05</v>
      </c>
      <c r="C24" s="88">
        <v>9.73</v>
      </c>
      <c r="D24" s="88">
        <v>7.44</v>
      </c>
      <c r="E24" s="88">
        <v>1.97</v>
      </c>
      <c r="F24" s="88">
        <v>12.45</v>
      </c>
      <c r="G24" s="88">
        <v>9.44</v>
      </c>
      <c r="H24" s="88">
        <v>7.18</v>
      </c>
      <c r="I24" s="88">
        <v>1.9</v>
      </c>
    </row>
    <row r="25" spans="1:9">
      <c r="A25" s="77" t="s">
        <v>37</v>
      </c>
      <c r="B25" s="88">
        <v>13.87</v>
      </c>
      <c r="C25" s="88">
        <v>10.34</v>
      </c>
      <c r="D25" s="88">
        <v>8.12</v>
      </c>
      <c r="E25" s="88">
        <v>2.06</v>
      </c>
      <c r="F25" s="88">
        <v>13.36</v>
      </c>
      <c r="G25" s="88">
        <v>10.13</v>
      </c>
      <c r="H25" s="88">
        <v>7.86</v>
      </c>
      <c r="I25" s="88">
        <v>1.99</v>
      </c>
    </row>
    <row r="26" spans="1:9">
      <c r="A26" s="77" t="s">
        <v>38</v>
      </c>
      <c r="B26" s="88">
        <v>14.71</v>
      </c>
      <c r="C26" s="88">
        <v>10.97</v>
      </c>
      <c r="D26" s="88">
        <v>8.6</v>
      </c>
      <c r="E26" s="88">
        <v>2.19</v>
      </c>
      <c r="F26" s="88">
        <v>14.24</v>
      </c>
      <c r="G26" s="88">
        <v>10.8</v>
      </c>
      <c r="H26" s="88">
        <v>8.35</v>
      </c>
      <c r="I26" s="88">
        <v>2.14</v>
      </c>
    </row>
    <row r="27" spans="1:9">
      <c r="A27" s="77" t="s">
        <v>39</v>
      </c>
      <c r="B27" s="88">
        <v>16.38</v>
      </c>
      <c r="C27" s="88">
        <v>13</v>
      </c>
      <c r="D27" s="88">
        <v>9.55</v>
      </c>
      <c r="E27" s="88">
        <v>2.29</v>
      </c>
      <c r="F27" s="88">
        <v>15.82</v>
      </c>
      <c r="G27" s="88">
        <v>12.63</v>
      </c>
      <c r="H27" s="88">
        <v>9.3</v>
      </c>
      <c r="I27" s="88">
        <v>2.21</v>
      </c>
    </row>
    <row r="28" spans="1:9">
      <c r="A28" s="77" t="s">
        <v>40</v>
      </c>
      <c r="B28" s="88">
        <v>17.82</v>
      </c>
      <c r="C28" s="88">
        <v>14.45</v>
      </c>
      <c r="D28" s="88">
        <v>10.54</v>
      </c>
      <c r="E28" s="88">
        <v>2.64</v>
      </c>
      <c r="F28" s="88">
        <v>17.37</v>
      </c>
      <c r="G28" s="88">
        <v>14.12</v>
      </c>
      <c r="H28" s="88">
        <v>10.3</v>
      </c>
      <c r="I28" s="88">
        <v>2.57</v>
      </c>
    </row>
    <row r="29" spans="1:9">
      <c r="A29" s="77" t="s">
        <v>41</v>
      </c>
      <c r="B29" s="88">
        <v>19.22</v>
      </c>
      <c r="C29" s="88">
        <v>15.53</v>
      </c>
      <c r="D29" s="88">
        <v>11.27</v>
      </c>
      <c r="E29" s="88">
        <v>2.87</v>
      </c>
      <c r="F29" s="88">
        <v>18.75</v>
      </c>
      <c r="G29" s="88">
        <v>15.19</v>
      </c>
      <c r="H29" s="88">
        <v>11.02</v>
      </c>
      <c r="I29" s="88">
        <v>2.81</v>
      </c>
    </row>
    <row r="30" spans="1:9">
      <c r="A30" s="77" t="s">
        <v>42</v>
      </c>
      <c r="B30" s="88">
        <v>20.4</v>
      </c>
      <c r="C30" s="88">
        <v>16.6</v>
      </c>
      <c r="D30" s="88">
        <v>11.98</v>
      </c>
      <c r="E30" s="88">
        <v>3.12</v>
      </c>
      <c r="F30" s="88">
        <v>19.92</v>
      </c>
      <c r="G30" s="88">
        <v>16.23</v>
      </c>
      <c r="H30" s="88">
        <v>11.73</v>
      </c>
      <c r="I30" s="88">
        <v>3.03</v>
      </c>
    </row>
    <row r="31" spans="1:9">
      <c r="A31" s="77" t="s">
        <v>43</v>
      </c>
      <c r="B31" s="88">
        <v>22.59</v>
      </c>
      <c r="C31" s="88">
        <v>18.34</v>
      </c>
      <c r="D31" s="88">
        <v>13.28</v>
      </c>
      <c r="E31" s="88">
        <v>3.43</v>
      </c>
      <c r="F31" s="88">
        <v>22.11</v>
      </c>
      <c r="G31" s="88">
        <v>17.99</v>
      </c>
      <c r="H31" s="88">
        <v>13.03</v>
      </c>
      <c r="I31" s="88">
        <v>3.36</v>
      </c>
    </row>
    <row r="32" spans="1:9">
      <c r="A32" s="77" t="s">
        <v>44</v>
      </c>
      <c r="B32" s="88">
        <v>25.42</v>
      </c>
      <c r="C32" s="88">
        <v>20.49</v>
      </c>
      <c r="D32" s="88">
        <v>14.74</v>
      </c>
      <c r="E32" s="88">
        <v>3.85</v>
      </c>
      <c r="F32" s="88">
        <v>24.83</v>
      </c>
      <c r="G32" s="88">
        <v>20.07</v>
      </c>
      <c r="H32" s="88">
        <v>14.45</v>
      </c>
      <c r="I32" s="88">
        <v>3.76</v>
      </c>
    </row>
    <row r="33" spans="1:9">
      <c r="A33" s="77" t="s">
        <v>45</v>
      </c>
      <c r="B33" s="88">
        <v>27.42</v>
      </c>
      <c r="C33" s="88">
        <v>22.12</v>
      </c>
      <c r="D33" s="88">
        <v>15.87</v>
      </c>
      <c r="E33" s="88">
        <v>4.15</v>
      </c>
      <c r="F33" s="88">
        <v>26.79</v>
      </c>
      <c r="G33" s="88">
        <v>21.66</v>
      </c>
      <c r="H33" s="88">
        <v>15.56</v>
      </c>
      <c r="I33" s="88">
        <v>4.04</v>
      </c>
    </row>
    <row r="34" spans="1:9">
      <c r="A34" s="77" t="s">
        <v>46</v>
      </c>
      <c r="B34" s="88">
        <v>29.72</v>
      </c>
      <c r="C34" s="88">
        <v>23.8</v>
      </c>
      <c r="D34" s="88">
        <v>17.17</v>
      </c>
      <c r="E34" s="88">
        <v>4.31</v>
      </c>
      <c r="F34" s="88">
        <v>29.03</v>
      </c>
      <c r="G34" s="88">
        <v>23.32</v>
      </c>
      <c r="H34" s="88">
        <v>16.83</v>
      </c>
      <c r="I34" s="88">
        <v>4.21</v>
      </c>
    </row>
    <row r="35" spans="1:9">
      <c r="A35" s="77" t="s">
        <v>47</v>
      </c>
      <c r="B35" s="88">
        <v>30.84</v>
      </c>
      <c r="C35" s="88">
        <v>24.52</v>
      </c>
      <c r="D35" s="88">
        <v>17.64</v>
      </c>
      <c r="E35" s="88">
        <v>4.42</v>
      </c>
      <c r="F35" s="88">
        <v>30.17</v>
      </c>
      <c r="G35" s="88">
        <v>24.04</v>
      </c>
      <c r="H35" s="88">
        <v>17.3</v>
      </c>
      <c r="I35" s="88">
        <v>4.31</v>
      </c>
    </row>
    <row r="36" spans="1:9">
      <c r="A36" s="77" t="s">
        <v>48</v>
      </c>
      <c r="B36" s="88">
        <v>32.7</v>
      </c>
      <c r="C36" s="88">
        <v>25.88</v>
      </c>
      <c r="D36" s="88">
        <v>18.62</v>
      </c>
      <c r="E36" s="88">
        <v>4.6</v>
      </c>
      <c r="F36" s="88">
        <v>31.97</v>
      </c>
      <c r="G36" s="88">
        <v>25.36</v>
      </c>
      <c r="H36" s="88">
        <v>18.27</v>
      </c>
      <c r="I36" s="88">
        <v>4.49</v>
      </c>
    </row>
    <row r="37" spans="1:9">
      <c r="A37" s="77" t="s">
        <v>49</v>
      </c>
      <c r="B37" s="88">
        <v>34.39</v>
      </c>
      <c r="C37" s="88">
        <v>27.35</v>
      </c>
      <c r="D37" s="88">
        <v>19.74</v>
      </c>
      <c r="E37" s="88">
        <v>4.79</v>
      </c>
      <c r="F37" s="88">
        <v>33.63</v>
      </c>
      <c r="G37" s="88">
        <v>26.83</v>
      </c>
      <c r="H37" s="88">
        <v>19.39</v>
      </c>
      <c r="I37" s="88">
        <v>4.67</v>
      </c>
    </row>
    <row r="38" spans="1:9">
      <c r="A38" s="77" t="s">
        <v>50</v>
      </c>
      <c r="B38" s="88">
        <v>35.77</v>
      </c>
      <c r="C38" s="88">
        <v>28.37</v>
      </c>
      <c r="D38" s="88">
        <v>20.45</v>
      </c>
      <c r="E38" s="88">
        <v>4.94</v>
      </c>
      <c r="F38" s="88">
        <v>34.95</v>
      </c>
      <c r="G38" s="88">
        <v>27.81</v>
      </c>
      <c r="H38" s="88">
        <v>20.08</v>
      </c>
      <c r="I38" s="88">
        <v>4.81</v>
      </c>
    </row>
    <row r="39" spans="1:9">
      <c r="A39" s="77" t="s">
        <v>51</v>
      </c>
      <c r="B39" s="88">
        <v>38.42</v>
      </c>
      <c r="C39" s="88">
        <v>30.54</v>
      </c>
      <c r="D39" s="88">
        <v>22.05</v>
      </c>
      <c r="E39" s="88">
        <v>5.28</v>
      </c>
      <c r="F39" s="88">
        <v>37.53</v>
      </c>
      <c r="G39" s="88">
        <v>29.91</v>
      </c>
      <c r="H39" s="88">
        <v>21.64</v>
      </c>
      <c r="I39" s="88">
        <v>5.11</v>
      </c>
    </row>
    <row r="40" spans="1:9">
      <c r="A40" s="77" t="s">
        <v>52</v>
      </c>
      <c r="B40" s="88">
        <v>33.23</v>
      </c>
      <c r="C40" s="88">
        <v>26.15</v>
      </c>
      <c r="D40" s="88">
        <v>18.79</v>
      </c>
      <c r="E40" s="88">
        <v>4.67</v>
      </c>
      <c r="F40" s="88">
        <v>32.32</v>
      </c>
      <c r="G40" s="88">
        <v>25.53</v>
      </c>
      <c r="H40" s="88">
        <v>18.38</v>
      </c>
      <c r="I40" s="88">
        <v>4.51</v>
      </c>
    </row>
    <row r="41" spans="1:9">
      <c r="A41" s="77" t="s">
        <v>53</v>
      </c>
      <c r="B41" s="88">
        <v>38.84</v>
      </c>
      <c r="C41" s="88">
        <v>30.73</v>
      </c>
      <c r="D41" s="88">
        <v>22.13</v>
      </c>
      <c r="E41" s="88">
        <v>5.34</v>
      </c>
      <c r="F41" s="88">
        <v>37.82</v>
      </c>
      <c r="G41" s="88">
        <v>30.02</v>
      </c>
      <c r="H41" s="88">
        <v>21.68</v>
      </c>
      <c r="I41" s="88">
        <v>5.15</v>
      </c>
    </row>
    <row r="42" spans="1:9">
      <c r="A42" s="77" t="s">
        <v>54</v>
      </c>
      <c r="B42" s="88">
        <v>38.22</v>
      </c>
      <c r="C42" s="88">
        <v>30.04</v>
      </c>
      <c r="D42" s="88">
        <v>21.57</v>
      </c>
      <c r="E42" s="88">
        <v>5.36</v>
      </c>
      <c r="F42" s="88">
        <v>37.15</v>
      </c>
      <c r="G42" s="88">
        <v>29.28</v>
      </c>
      <c r="H42" s="88">
        <v>21.11</v>
      </c>
      <c r="I42" s="88">
        <v>5.13</v>
      </c>
    </row>
    <row r="43" spans="1:9">
      <c r="A43" s="79" t="s">
        <v>55</v>
      </c>
      <c r="B43" s="89">
        <v>42.61</v>
      </c>
      <c r="C43" s="89">
        <v>33.58</v>
      </c>
      <c r="D43" s="89">
        <v>23.73</v>
      </c>
      <c r="E43" s="89">
        <v>6.03</v>
      </c>
      <c r="F43" s="89">
        <v>41.55</v>
      </c>
      <c r="G43" s="89">
        <v>32.83</v>
      </c>
      <c r="H43" s="89">
        <v>23.29</v>
      </c>
      <c r="I43" s="89">
        <v>5.81</v>
      </c>
    </row>
    <row r="44" spans="1:9">
      <c r="A44" s="81" t="s">
        <v>136</v>
      </c>
      <c r="B44" s="82"/>
      <c r="C44" s="82"/>
      <c r="D44" s="82"/>
      <c r="E44" s="82"/>
      <c r="F44" s="82"/>
      <c r="G44" s="82"/>
      <c r="H44" s="82"/>
      <c r="I44" s="82"/>
    </row>
    <row r="45" spans="1:9">
      <c r="A45" s="81" t="s">
        <v>137</v>
      </c>
      <c r="B45" s="82"/>
      <c r="C45" s="82"/>
      <c r="D45" s="82"/>
      <c r="E45" s="82"/>
      <c r="F45" s="82"/>
      <c r="G45" s="82"/>
      <c r="H45" s="82"/>
      <c r="I45" s="82"/>
    </row>
  </sheetData>
  <mergeCells count="9">
    <mergeCell ref="C2:E2"/>
    <mergeCell ref="G2:I2"/>
    <mergeCell ref="D3:E3"/>
    <mergeCell ref="H3:I3"/>
    <mergeCell ref="A2:A4"/>
    <mergeCell ref="B2:B4"/>
    <mergeCell ref="C3:C4"/>
    <mergeCell ref="F2:F4"/>
    <mergeCell ref="G3:G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L19" sqref="L19"/>
    </sheetView>
  </sheetViews>
  <sheetFormatPr defaultColWidth="9.23076923076923" defaultRowHeight="16.8" outlineLevelCol="4"/>
  <sheetData>
    <row r="1" ht="46" spans="1:5">
      <c r="A1" s="83" t="s">
        <v>1</v>
      </c>
      <c r="B1" s="28" t="s">
        <v>138</v>
      </c>
      <c r="C1" s="28" t="s">
        <v>139</v>
      </c>
      <c r="D1" s="28" t="s">
        <v>140</v>
      </c>
      <c r="E1" s="43" t="s">
        <v>141</v>
      </c>
    </row>
    <row r="2" spans="1:5">
      <c r="A2" s="77" t="s">
        <v>22</v>
      </c>
      <c r="B2" s="84">
        <v>187.28</v>
      </c>
      <c r="C2" s="84">
        <v>6.07</v>
      </c>
      <c r="D2" s="84">
        <v>25.06</v>
      </c>
      <c r="E2" s="84">
        <v>0.99</v>
      </c>
    </row>
    <row r="3" spans="1:5">
      <c r="A3" s="77" t="s">
        <v>23</v>
      </c>
      <c r="B3" s="84">
        <v>204.05</v>
      </c>
      <c r="C3" s="84">
        <v>6.03</v>
      </c>
      <c r="D3" s="84">
        <v>22.84</v>
      </c>
      <c r="E3" s="84">
        <v>0.93</v>
      </c>
    </row>
    <row r="4" spans="1:5">
      <c r="A4" s="77" t="s">
        <v>24</v>
      </c>
      <c r="B4" s="84">
        <v>228.61</v>
      </c>
      <c r="C4" s="84">
        <v>6.11</v>
      </c>
      <c r="D4" s="84">
        <v>20.84</v>
      </c>
      <c r="E4" s="84">
        <v>0.84</v>
      </c>
    </row>
    <row r="5" spans="1:5">
      <c r="A5" s="77" t="s">
        <v>25</v>
      </c>
      <c r="B5" s="84">
        <v>272.06</v>
      </c>
      <c r="C5" s="84">
        <v>5.86</v>
      </c>
      <c r="D5" s="84">
        <v>19.75</v>
      </c>
      <c r="E5" s="84">
        <v>0.76</v>
      </c>
    </row>
    <row r="6" spans="1:5">
      <c r="A6" s="77" t="s">
        <v>26</v>
      </c>
      <c r="B6" s="84">
        <v>342.28</v>
      </c>
      <c r="C6" s="84">
        <v>5.91</v>
      </c>
      <c r="D6" s="84">
        <v>19.43</v>
      </c>
      <c r="E6" s="84">
        <v>0.7</v>
      </c>
    </row>
    <row r="7" spans="1:5">
      <c r="A7" s="77" t="s">
        <v>27</v>
      </c>
      <c r="B7" s="84">
        <v>387.34</v>
      </c>
      <c r="C7" s="84">
        <v>5.68</v>
      </c>
      <c r="D7" s="84">
        <v>17.97</v>
      </c>
      <c r="E7" s="84">
        <v>0.63</v>
      </c>
    </row>
    <row r="8" spans="1:5">
      <c r="A8" s="77" t="s">
        <v>28</v>
      </c>
      <c r="B8" s="84">
        <v>461.61</v>
      </c>
      <c r="C8" s="84">
        <v>5.82</v>
      </c>
      <c r="D8" s="84">
        <v>17.04</v>
      </c>
      <c r="E8" s="84">
        <v>0.64</v>
      </c>
    </row>
    <row r="9" spans="1:5">
      <c r="A9" s="77" t="s">
        <v>29</v>
      </c>
      <c r="B9" s="84">
        <v>523.56</v>
      </c>
      <c r="C9" s="84">
        <v>5.67</v>
      </c>
      <c r="D9" s="84">
        <v>16.38</v>
      </c>
      <c r="E9" s="84">
        <v>0.66</v>
      </c>
    </row>
    <row r="10" spans="1:5">
      <c r="A10" s="77" t="s">
        <v>30</v>
      </c>
      <c r="B10" s="84">
        <v>590.06</v>
      </c>
      <c r="C10" s="84">
        <v>5.46</v>
      </c>
      <c r="D10" s="84">
        <v>16.04</v>
      </c>
      <c r="E10" s="84">
        <v>0.69</v>
      </c>
    </row>
    <row r="11" spans="1:5">
      <c r="A11" s="77" t="s">
        <v>31</v>
      </c>
      <c r="B11" s="84">
        <v>640.96</v>
      </c>
      <c r="C11" s="84">
        <v>4.86</v>
      </c>
      <c r="D11" s="84">
        <v>15.84</v>
      </c>
      <c r="E11" s="84">
        <v>0.71</v>
      </c>
    </row>
    <row r="12" spans="1:5">
      <c r="A12" s="77" t="s">
        <v>32</v>
      </c>
      <c r="B12" s="84">
        <v>709.52</v>
      </c>
      <c r="C12" s="84">
        <v>4.47</v>
      </c>
      <c r="D12" s="84">
        <v>15.47</v>
      </c>
      <c r="E12" s="84">
        <v>0.71</v>
      </c>
    </row>
    <row r="13" spans="1:5">
      <c r="A13" s="77" t="s">
        <v>33</v>
      </c>
      <c r="B13" s="84">
        <v>800.61</v>
      </c>
      <c r="C13" s="84">
        <v>4.24</v>
      </c>
      <c r="D13" s="84">
        <v>15.93</v>
      </c>
      <c r="E13" s="84">
        <v>0.72</v>
      </c>
    </row>
    <row r="14" spans="1:5">
      <c r="A14" s="77" t="s">
        <v>34</v>
      </c>
      <c r="B14" s="84">
        <v>908.51</v>
      </c>
      <c r="C14" s="84">
        <v>4.12</v>
      </c>
      <c r="D14" s="84">
        <v>15.69</v>
      </c>
      <c r="E14" s="84">
        <v>0.75</v>
      </c>
    </row>
    <row r="15" spans="1:5">
      <c r="A15" s="77" t="s">
        <v>35</v>
      </c>
      <c r="B15" s="84">
        <v>1116.94</v>
      </c>
      <c r="C15" s="84">
        <v>4.53</v>
      </c>
      <c r="D15" s="84">
        <v>16.96</v>
      </c>
      <c r="E15" s="84">
        <v>0.81</v>
      </c>
    </row>
    <row r="16" spans="1:5">
      <c r="A16" s="77" t="s">
        <v>36</v>
      </c>
      <c r="B16" s="84">
        <v>1293.58</v>
      </c>
      <c r="C16" s="84">
        <v>4.54</v>
      </c>
      <c r="D16" s="84">
        <v>17.04</v>
      </c>
      <c r="E16" s="84">
        <v>0.8</v>
      </c>
    </row>
    <row r="17" spans="1:5">
      <c r="A17" s="77" t="s">
        <v>37</v>
      </c>
      <c r="B17" s="84">
        <v>1552.53</v>
      </c>
      <c r="C17" s="84">
        <v>4.58</v>
      </c>
      <c r="D17" s="84">
        <v>17.93</v>
      </c>
      <c r="E17" s="84">
        <v>0.83</v>
      </c>
    </row>
    <row r="18" spans="1:5">
      <c r="A18" s="77" t="s">
        <v>38</v>
      </c>
      <c r="B18" s="84">
        <v>1778.86</v>
      </c>
      <c r="C18" s="84">
        <v>4.4</v>
      </c>
      <c r="D18" s="84">
        <v>18.07</v>
      </c>
      <c r="E18" s="84">
        <v>0.81</v>
      </c>
    </row>
    <row r="19" spans="1:5">
      <c r="A19" s="77" t="s">
        <v>39</v>
      </c>
      <c r="B19" s="84">
        <v>2581.58</v>
      </c>
      <c r="C19" s="84">
        <v>5.19</v>
      </c>
      <c r="D19" s="84">
        <v>22.31</v>
      </c>
      <c r="E19" s="84">
        <v>0.96</v>
      </c>
    </row>
    <row r="20" spans="1:5">
      <c r="A20" s="77" t="s">
        <v>40</v>
      </c>
      <c r="B20" s="84">
        <v>3593.94</v>
      </c>
      <c r="C20" s="84">
        <v>5.74</v>
      </c>
      <c r="D20" s="84">
        <v>24.73</v>
      </c>
      <c r="E20" s="84">
        <v>1.13</v>
      </c>
    </row>
    <row r="21" spans="1:5">
      <c r="A21" s="77" t="s">
        <v>41</v>
      </c>
      <c r="B21" s="84">
        <v>4816.26</v>
      </c>
      <c r="C21" s="84">
        <v>6.31</v>
      </c>
      <c r="D21" s="84">
        <v>27.46</v>
      </c>
      <c r="E21" s="84">
        <v>1.38</v>
      </c>
    </row>
    <row r="22" spans="1:5">
      <c r="A22" s="77" t="s">
        <v>42</v>
      </c>
      <c r="B22" s="84">
        <v>5732.49</v>
      </c>
      <c r="C22" s="84">
        <v>6.38</v>
      </c>
      <c r="D22" s="84">
        <v>28.69</v>
      </c>
      <c r="E22" s="84">
        <v>1.39</v>
      </c>
    </row>
    <row r="23" spans="1:5">
      <c r="A23" s="77" t="s">
        <v>43</v>
      </c>
      <c r="B23" s="84">
        <v>7464.18</v>
      </c>
      <c r="C23" s="84">
        <v>6.83</v>
      </c>
      <c r="D23" s="84">
        <v>30.66</v>
      </c>
      <c r="E23" s="84">
        <v>1.53</v>
      </c>
    </row>
    <row r="24" spans="1:5">
      <c r="A24" s="77" t="s">
        <v>44</v>
      </c>
      <c r="B24" s="84">
        <v>8431.98</v>
      </c>
      <c r="C24" s="84">
        <v>6.69</v>
      </c>
      <c r="D24" s="84">
        <v>29.99</v>
      </c>
      <c r="E24" s="84">
        <v>1.57</v>
      </c>
    </row>
    <row r="25" spans="1:5">
      <c r="A25" s="77" t="s">
        <v>45</v>
      </c>
      <c r="B25" s="84">
        <v>9545.81</v>
      </c>
      <c r="C25" s="84">
        <v>6.81</v>
      </c>
      <c r="D25" s="84">
        <v>30.14</v>
      </c>
      <c r="E25" s="84">
        <v>1.61</v>
      </c>
    </row>
    <row r="26" spans="1:5">
      <c r="A26" s="77" t="s">
        <v>46</v>
      </c>
      <c r="B26" s="84" t="s">
        <v>142</v>
      </c>
      <c r="C26" s="84">
        <v>6.97</v>
      </c>
      <c r="D26" s="84">
        <v>29.96</v>
      </c>
      <c r="E26" s="84">
        <v>1.64</v>
      </c>
    </row>
    <row r="27" spans="1:5">
      <c r="A27" s="77" t="s">
        <v>47</v>
      </c>
      <c r="B27" s="84" t="s">
        <v>143</v>
      </c>
      <c r="C27" s="84">
        <v>7.09</v>
      </c>
      <c r="D27" s="84">
        <v>30.45</v>
      </c>
      <c r="E27" s="84">
        <v>1.81</v>
      </c>
    </row>
    <row r="28" spans="1:5">
      <c r="A28" s="77" t="s">
        <v>48</v>
      </c>
      <c r="B28" s="84" t="s">
        <v>144</v>
      </c>
      <c r="C28" s="84">
        <v>7.41</v>
      </c>
      <c r="D28" s="84">
        <v>30.01</v>
      </c>
      <c r="E28" s="84">
        <v>1.86</v>
      </c>
    </row>
    <row r="29" spans="1:5">
      <c r="A29" s="77" t="s">
        <v>49</v>
      </c>
      <c r="B29" s="84" t="s">
        <v>145</v>
      </c>
      <c r="C29" s="84">
        <v>7.49</v>
      </c>
      <c r="D29" s="84">
        <v>28.91</v>
      </c>
      <c r="E29" s="84">
        <v>1.83</v>
      </c>
    </row>
    <row r="30" spans="1:5">
      <c r="A30" s="77" t="s">
        <v>50</v>
      </c>
      <c r="B30" s="84" t="s">
        <v>146</v>
      </c>
      <c r="C30" s="84">
        <v>7.42</v>
      </c>
      <c r="D30" s="84">
        <v>27.74</v>
      </c>
      <c r="E30" s="84">
        <v>1.78</v>
      </c>
    </row>
    <row r="31" spans="1:5">
      <c r="A31" s="77" t="s">
        <v>51</v>
      </c>
      <c r="B31" s="84" t="s">
        <v>147</v>
      </c>
      <c r="C31" s="84">
        <v>7.54</v>
      </c>
      <c r="D31" s="84">
        <v>27.36</v>
      </c>
      <c r="E31" s="84">
        <v>1.83</v>
      </c>
    </row>
    <row r="32" spans="1:5">
      <c r="A32" s="77" t="s">
        <v>52</v>
      </c>
      <c r="B32" s="84" t="s">
        <v>148</v>
      </c>
      <c r="C32" s="84">
        <v>8.41</v>
      </c>
      <c r="D32" s="84">
        <v>30.4</v>
      </c>
      <c r="E32" s="84">
        <v>2.16</v>
      </c>
    </row>
    <row r="33" spans="1:5">
      <c r="A33" s="77" t="s">
        <v>53</v>
      </c>
      <c r="B33" s="84" t="s">
        <v>149</v>
      </c>
      <c r="C33" s="84">
        <v>8.38</v>
      </c>
      <c r="D33" s="84">
        <v>26.91</v>
      </c>
      <c r="E33" s="84">
        <v>1.8</v>
      </c>
    </row>
    <row r="34" spans="1:5">
      <c r="A34" s="77" t="s">
        <v>54</v>
      </c>
      <c r="B34" s="84" t="s">
        <v>150</v>
      </c>
      <c r="C34" s="84">
        <v>9.22</v>
      </c>
      <c r="D34" s="84">
        <v>28.17</v>
      </c>
      <c r="E34" s="84">
        <v>2</v>
      </c>
    </row>
    <row r="35" spans="1:5">
      <c r="A35" s="79" t="s">
        <v>55</v>
      </c>
      <c r="B35" s="85" t="s">
        <v>151</v>
      </c>
      <c r="C35" s="85">
        <v>8.79</v>
      </c>
      <c r="D35" s="85">
        <v>26.66</v>
      </c>
      <c r="E35" s="85">
        <v>1.92</v>
      </c>
    </row>
    <row r="36" spans="1:5">
      <c r="A36" s="81" t="s">
        <v>152</v>
      </c>
      <c r="B36" s="82"/>
      <c r="C36" s="82"/>
      <c r="D36" s="82"/>
      <c r="E36" s="82"/>
    </row>
    <row r="37" spans="1:5">
      <c r="A37" s="81" t="s">
        <v>153</v>
      </c>
      <c r="B37" s="82"/>
      <c r="C37" s="82"/>
      <c r="D37" s="82"/>
      <c r="E37" s="8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workbookViewId="0">
      <selection activeCell="C16" sqref="C16"/>
    </sheetView>
  </sheetViews>
  <sheetFormatPr defaultColWidth="9.23076923076923" defaultRowHeight="16.8" outlineLevelCol="6"/>
  <cols>
    <col min="2" max="2" width="9.69230769230769"/>
    <col min="5" max="5" width="9.69230769230769"/>
  </cols>
  <sheetData>
    <row r="1" spans="1:7">
      <c r="A1" s="41" t="s">
        <v>154</v>
      </c>
      <c r="B1" s="43" t="s">
        <v>155</v>
      </c>
      <c r="C1" s="60"/>
      <c r="D1" s="61"/>
      <c r="E1" s="43" t="s">
        <v>156</v>
      </c>
      <c r="F1" s="60"/>
      <c r="G1" s="60"/>
    </row>
    <row r="2" spans="1:7">
      <c r="A2" s="73"/>
      <c r="B2" s="74" t="s">
        <v>157</v>
      </c>
      <c r="C2" s="61"/>
      <c r="D2" s="75" t="s">
        <v>158</v>
      </c>
      <c r="E2" s="74" t="s">
        <v>157</v>
      </c>
      <c r="F2" s="61"/>
      <c r="G2" s="74" t="s">
        <v>158</v>
      </c>
    </row>
    <row r="3" ht="61" spans="1:7">
      <c r="A3" s="63"/>
      <c r="B3" s="76"/>
      <c r="C3" s="28" t="s">
        <v>159</v>
      </c>
      <c r="D3" s="76"/>
      <c r="E3" s="76"/>
      <c r="F3" s="28" t="s">
        <v>159</v>
      </c>
      <c r="G3" s="64"/>
    </row>
    <row r="4" spans="1:7">
      <c r="A4" s="77" t="s">
        <v>32</v>
      </c>
      <c r="B4" s="78">
        <v>4998</v>
      </c>
      <c r="C4" s="78">
        <v>318.1</v>
      </c>
      <c r="D4" s="78">
        <v>6.4</v>
      </c>
      <c r="E4" s="78">
        <v>1670.1</v>
      </c>
      <c r="F4" s="78">
        <v>87.6</v>
      </c>
      <c r="G4" s="78">
        <v>5.2</v>
      </c>
    </row>
    <row r="5" spans="1:7">
      <c r="A5" s="77" t="s">
        <v>37</v>
      </c>
      <c r="B5" s="78">
        <v>7942.9</v>
      </c>
      <c r="C5" s="78">
        <v>600.9</v>
      </c>
      <c r="D5" s="78">
        <v>7.6</v>
      </c>
      <c r="E5" s="78">
        <v>2555.4</v>
      </c>
      <c r="F5" s="78">
        <v>168.1</v>
      </c>
      <c r="G5" s="78">
        <v>6.6</v>
      </c>
    </row>
    <row r="6" spans="1:7">
      <c r="A6" s="77" t="s">
        <v>42</v>
      </c>
      <c r="B6" s="78" t="s">
        <v>160</v>
      </c>
      <c r="C6" s="78">
        <v>871.8</v>
      </c>
      <c r="D6" s="78">
        <v>6.5</v>
      </c>
      <c r="E6" s="78">
        <v>4381.8</v>
      </c>
      <c r="F6" s="78">
        <v>326</v>
      </c>
      <c r="G6" s="78">
        <v>7.4</v>
      </c>
    </row>
    <row r="7" spans="1:7">
      <c r="A7" s="77" t="s">
        <v>47</v>
      </c>
      <c r="B7" s="78" t="s">
        <v>161</v>
      </c>
      <c r="C7" s="78">
        <v>1443.4</v>
      </c>
      <c r="D7" s="78">
        <v>6.7</v>
      </c>
      <c r="E7" s="78">
        <v>9222.6</v>
      </c>
      <c r="F7" s="78">
        <v>846</v>
      </c>
      <c r="G7" s="78">
        <v>9.2</v>
      </c>
    </row>
    <row r="8" spans="1:7">
      <c r="A8" s="77" t="s">
        <v>48</v>
      </c>
      <c r="B8" s="78" t="s">
        <v>162</v>
      </c>
      <c r="C8" s="78">
        <v>1630.8</v>
      </c>
      <c r="D8" s="78">
        <v>7.1</v>
      </c>
      <c r="E8" s="78" t="s">
        <v>163</v>
      </c>
      <c r="F8" s="78">
        <v>929.2</v>
      </c>
      <c r="G8" s="78">
        <v>9.2</v>
      </c>
    </row>
    <row r="9" spans="1:7">
      <c r="A9" s="77" t="s">
        <v>49</v>
      </c>
      <c r="B9" s="78" t="s">
        <v>164</v>
      </c>
      <c r="C9" s="78">
        <v>1777.4</v>
      </c>
      <c r="D9" s="78">
        <v>7.3</v>
      </c>
      <c r="E9" s="78" t="s">
        <v>165</v>
      </c>
      <c r="F9" s="78">
        <v>1058.7</v>
      </c>
      <c r="G9" s="78">
        <v>9.7</v>
      </c>
    </row>
    <row r="10" spans="1:7">
      <c r="A10" s="77" t="s">
        <v>50</v>
      </c>
      <c r="B10" s="78" t="s">
        <v>166</v>
      </c>
      <c r="C10" s="78">
        <v>2045.7</v>
      </c>
      <c r="D10" s="78">
        <v>7.8</v>
      </c>
      <c r="E10" s="78" t="s">
        <v>167</v>
      </c>
      <c r="F10" s="78">
        <v>1240.1</v>
      </c>
      <c r="G10" s="78">
        <v>10.2</v>
      </c>
    </row>
    <row r="11" spans="1:7">
      <c r="A11" s="77" t="s">
        <v>51</v>
      </c>
      <c r="B11" s="78" t="s">
        <v>168</v>
      </c>
      <c r="C11" s="78">
        <v>2282.7</v>
      </c>
      <c r="D11" s="78">
        <v>8.1</v>
      </c>
      <c r="E11" s="78" t="s">
        <v>169</v>
      </c>
      <c r="F11" s="78">
        <v>1420.8</v>
      </c>
      <c r="G11" s="78">
        <v>10.7</v>
      </c>
    </row>
    <row r="12" spans="1:7">
      <c r="A12" s="77" t="s">
        <v>52</v>
      </c>
      <c r="B12" s="78" t="s">
        <v>170</v>
      </c>
      <c r="C12" s="78">
        <v>2172.2</v>
      </c>
      <c r="D12" s="78">
        <v>8</v>
      </c>
      <c r="E12" s="78" t="s">
        <v>171</v>
      </c>
      <c r="F12" s="78">
        <v>1417.5</v>
      </c>
      <c r="G12" s="78">
        <v>10.3</v>
      </c>
    </row>
    <row r="13" spans="1:7">
      <c r="A13" s="77" t="s">
        <v>53</v>
      </c>
      <c r="B13" s="78" t="s">
        <v>172</v>
      </c>
      <c r="C13" s="78">
        <v>2521.3</v>
      </c>
      <c r="D13" s="78">
        <v>8.3</v>
      </c>
      <c r="E13" s="78" t="s">
        <v>173</v>
      </c>
      <c r="F13" s="78">
        <v>1579.6</v>
      </c>
      <c r="G13" s="78">
        <v>9.9</v>
      </c>
    </row>
    <row r="14" spans="1:7">
      <c r="A14" s="77" t="s">
        <v>54</v>
      </c>
      <c r="B14" s="78" t="s">
        <v>174</v>
      </c>
      <c r="C14" s="78">
        <v>2480.7</v>
      </c>
      <c r="D14" s="78">
        <v>8.2</v>
      </c>
      <c r="E14" s="78" t="s">
        <v>175</v>
      </c>
      <c r="F14" s="78">
        <v>1632.5</v>
      </c>
      <c r="G14" s="78">
        <v>9.8</v>
      </c>
    </row>
    <row r="15" spans="1:7">
      <c r="A15" s="77" t="s">
        <v>55</v>
      </c>
      <c r="B15" s="78">
        <v>32994</v>
      </c>
      <c r="C15" s="78">
        <v>2850</v>
      </c>
      <c r="D15" s="78">
        <v>8.6</v>
      </c>
      <c r="E15" s="78">
        <v>18175</v>
      </c>
      <c r="F15" s="78">
        <v>1916</v>
      </c>
      <c r="G15" s="78">
        <v>10.5</v>
      </c>
    </row>
    <row r="16" spans="1:7">
      <c r="A16" s="77" t="s">
        <v>176</v>
      </c>
      <c r="B16" s="78" t="s">
        <v>177</v>
      </c>
      <c r="C16" s="78">
        <v>4304</v>
      </c>
      <c r="D16" s="78">
        <v>9.4</v>
      </c>
      <c r="E16" s="78" t="s">
        <v>178</v>
      </c>
      <c r="F16" s="78">
        <v>1900.3</v>
      </c>
      <c r="G16" s="78">
        <v>8</v>
      </c>
    </row>
    <row r="17" spans="1:7">
      <c r="A17" s="77" t="s">
        <v>179</v>
      </c>
      <c r="B17" s="78" t="s">
        <v>180</v>
      </c>
      <c r="C17" s="78">
        <v>3811.6</v>
      </c>
      <c r="D17" s="78">
        <v>11.3</v>
      </c>
      <c r="E17" s="78" t="s">
        <v>181</v>
      </c>
      <c r="F17" s="78">
        <v>2286.1</v>
      </c>
      <c r="G17" s="78">
        <v>12.1</v>
      </c>
    </row>
    <row r="18" spans="1:7">
      <c r="A18" s="77" t="s">
        <v>182</v>
      </c>
      <c r="B18" s="78" t="s">
        <v>183</v>
      </c>
      <c r="C18" s="78">
        <v>2338.8</v>
      </c>
      <c r="D18" s="78">
        <v>9.3</v>
      </c>
      <c r="E18" s="78" t="s">
        <v>184</v>
      </c>
      <c r="F18" s="78">
        <v>1662.1</v>
      </c>
      <c r="G18" s="78">
        <v>10.2</v>
      </c>
    </row>
    <row r="19" spans="1:7">
      <c r="A19" s="77" t="s">
        <v>185</v>
      </c>
      <c r="B19" s="78" t="s">
        <v>186</v>
      </c>
      <c r="C19" s="78">
        <v>2442.2</v>
      </c>
      <c r="D19" s="78">
        <v>11.1</v>
      </c>
      <c r="E19" s="78" t="s">
        <v>187</v>
      </c>
      <c r="F19" s="78">
        <v>1324.4</v>
      </c>
      <c r="G19" s="78">
        <v>11</v>
      </c>
    </row>
    <row r="20" spans="1:7">
      <c r="A20" s="77" t="s">
        <v>188</v>
      </c>
      <c r="B20" s="78" t="s">
        <v>189</v>
      </c>
      <c r="C20" s="78">
        <v>2340.7</v>
      </c>
      <c r="D20" s="78">
        <v>8.8</v>
      </c>
      <c r="E20" s="78" t="s">
        <v>190</v>
      </c>
      <c r="F20" s="78">
        <v>2140.3</v>
      </c>
      <c r="G20" s="78">
        <v>13.9</v>
      </c>
    </row>
    <row r="21" spans="1:7">
      <c r="A21" s="77" t="s">
        <v>191</v>
      </c>
      <c r="B21" s="78" t="s">
        <v>192</v>
      </c>
      <c r="C21" s="78">
        <v>2466.4</v>
      </c>
      <c r="D21" s="78">
        <v>9.3</v>
      </c>
      <c r="E21" s="78" t="s">
        <v>193</v>
      </c>
      <c r="F21" s="78">
        <v>1631.8</v>
      </c>
      <c r="G21" s="78">
        <v>11.4</v>
      </c>
    </row>
    <row r="22" spans="1:7">
      <c r="A22" s="77" t="s">
        <v>194</v>
      </c>
      <c r="B22" s="78" t="s">
        <v>195</v>
      </c>
      <c r="C22" s="78">
        <v>2377.5</v>
      </c>
      <c r="D22" s="78">
        <v>10.9</v>
      </c>
      <c r="E22" s="78" t="s">
        <v>196</v>
      </c>
      <c r="F22" s="78">
        <v>1661.6</v>
      </c>
      <c r="G22" s="78">
        <v>13.1</v>
      </c>
    </row>
    <row r="23" spans="1:7">
      <c r="A23" s="77" t="s">
        <v>197</v>
      </c>
      <c r="B23" s="78" t="s">
        <v>198</v>
      </c>
      <c r="C23" s="78">
        <v>2798.9</v>
      </c>
      <c r="D23" s="78">
        <v>11.7</v>
      </c>
      <c r="E23" s="78" t="s">
        <v>199</v>
      </c>
      <c r="F23" s="78">
        <v>2125.3</v>
      </c>
      <c r="G23" s="78">
        <v>14</v>
      </c>
    </row>
    <row r="24" spans="1:7">
      <c r="A24" s="77" t="s">
        <v>200</v>
      </c>
      <c r="B24" s="78" t="s">
        <v>201</v>
      </c>
      <c r="C24" s="78">
        <v>3719.3</v>
      </c>
      <c r="D24" s="78">
        <v>7.7</v>
      </c>
      <c r="E24" s="78" t="s">
        <v>202</v>
      </c>
      <c r="F24" s="78">
        <v>2690.1</v>
      </c>
      <c r="G24" s="78">
        <v>9.8</v>
      </c>
    </row>
    <row r="25" spans="1:7">
      <c r="A25" s="77" t="s">
        <v>203</v>
      </c>
      <c r="B25" s="78" t="s">
        <v>204</v>
      </c>
      <c r="C25" s="78">
        <v>2839.1</v>
      </c>
      <c r="D25" s="78">
        <v>7.5</v>
      </c>
      <c r="E25" s="78" t="s">
        <v>205</v>
      </c>
      <c r="F25" s="78">
        <v>1994.1</v>
      </c>
      <c r="G25" s="78">
        <v>8.8</v>
      </c>
    </row>
    <row r="26" spans="1:7">
      <c r="A26" s="77" t="s">
        <v>206</v>
      </c>
      <c r="B26" s="78" t="s">
        <v>207</v>
      </c>
      <c r="C26" s="78">
        <v>2864.5</v>
      </c>
      <c r="D26" s="78">
        <v>6.4</v>
      </c>
      <c r="E26" s="78" t="s">
        <v>208</v>
      </c>
      <c r="F26" s="78">
        <v>1847.3</v>
      </c>
      <c r="G26" s="78">
        <v>6.7</v>
      </c>
    </row>
    <row r="27" spans="1:7">
      <c r="A27" s="77" t="s">
        <v>209</v>
      </c>
      <c r="B27" s="78" t="s">
        <v>210</v>
      </c>
      <c r="C27" s="78">
        <v>1933.6</v>
      </c>
      <c r="D27" s="78">
        <v>7.2</v>
      </c>
      <c r="E27" s="78" t="s">
        <v>211</v>
      </c>
      <c r="F27" s="78">
        <v>1554.1</v>
      </c>
      <c r="G27" s="78">
        <v>8.6</v>
      </c>
    </row>
    <row r="28" spans="1:7">
      <c r="A28" s="77" t="s">
        <v>212</v>
      </c>
      <c r="B28" s="78" t="s">
        <v>213</v>
      </c>
      <c r="C28" s="78">
        <v>2064.3</v>
      </c>
      <c r="D28" s="78">
        <v>5.8</v>
      </c>
      <c r="E28" s="78" t="s">
        <v>214</v>
      </c>
      <c r="F28" s="78">
        <v>1634.2</v>
      </c>
      <c r="G28" s="78">
        <v>8</v>
      </c>
    </row>
    <row r="29" spans="1:7">
      <c r="A29" s="77" t="s">
        <v>215</v>
      </c>
      <c r="B29" s="78" t="s">
        <v>216</v>
      </c>
      <c r="C29" s="78">
        <v>2185.7</v>
      </c>
      <c r="D29" s="78">
        <v>8.4</v>
      </c>
      <c r="E29" s="78" t="s">
        <v>217</v>
      </c>
      <c r="F29" s="78">
        <v>1491</v>
      </c>
      <c r="G29" s="78">
        <v>8.8</v>
      </c>
    </row>
    <row r="30" spans="1:7">
      <c r="A30" s="77" t="s">
        <v>218</v>
      </c>
      <c r="B30" s="78" t="s">
        <v>219</v>
      </c>
      <c r="C30" s="78">
        <v>2339.6</v>
      </c>
      <c r="D30" s="78">
        <v>8.2</v>
      </c>
      <c r="E30" s="78" t="s">
        <v>220</v>
      </c>
      <c r="F30" s="78">
        <v>1577.6</v>
      </c>
      <c r="G30" s="78">
        <v>10.7</v>
      </c>
    </row>
    <row r="31" spans="1:7">
      <c r="A31" s="77" t="s">
        <v>221</v>
      </c>
      <c r="B31" s="78" t="s">
        <v>222</v>
      </c>
      <c r="C31" s="78">
        <v>2220.1</v>
      </c>
      <c r="D31" s="78">
        <v>9.4</v>
      </c>
      <c r="E31" s="78" t="s">
        <v>223</v>
      </c>
      <c r="F31" s="78">
        <v>1641.5</v>
      </c>
      <c r="G31" s="78">
        <v>11.1</v>
      </c>
    </row>
    <row r="32" spans="1:7">
      <c r="A32" s="77" t="s">
        <v>224</v>
      </c>
      <c r="B32" s="78" t="s">
        <v>225</v>
      </c>
      <c r="C32" s="78">
        <v>2538.4</v>
      </c>
      <c r="D32" s="78">
        <v>8.7</v>
      </c>
      <c r="E32" s="78" t="s">
        <v>226</v>
      </c>
      <c r="F32" s="78">
        <v>1975.6</v>
      </c>
      <c r="G32" s="78">
        <v>10.4</v>
      </c>
    </row>
    <row r="33" spans="1:7">
      <c r="A33" s="77" t="s">
        <v>227</v>
      </c>
      <c r="B33" s="78" t="s">
        <v>228</v>
      </c>
      <c r="C33" s="78">
        <v>2562</v>
      </c>
      <c r="D33" s="78">
        <v>8.7</v>
      </c>
      <c r="E33" s="78" t="s">
        <v>229</v>
      </c>
      <c r="F33" s="78">
        <v>2004.8</v>
      </c>
      <c r="G33" s="78">
        <v>11.1</v>
      </c>
    </row>
    <row r="34" spans="1:7">
      <c r="A34" s="77" t="s">
        <v>230</v>
      </c>
      <c r="B34" s="78" t="s">
        <v>231</v>
      </c>
      <c r="C34" s="78">
        <v>2019.2</v>
      </c>
      <c r="D34" s="78">
        <v>5.5</v>
      </c>
      <c r="E34" s="78" t="s">
        <v>232</v>
      </c>
      <c r="F34" s="78">
        <v>1219.6</v>
      </c>
      <c r="G34" s="78">
        <v>5.9</v>
      </c>
    </row>
    <row r="35" spans="1:7">
      <c r="A35" s="77" t="s">
        <v>233</v>
      </c>
      <c r="B35" s="78" t="s">
        <v>234</v>
      </c>
      <c r="C35" s="78">
        <v>2097</v>
      </c>
      <c r="D35" s="78">
        <v>9.3</v>
      </c>
      <c r="E35" s="78" t="s">
        <v>235</v>
      </c>
      <c r="F35" s="78">
        <v>1539</v>
      </c>
      <c r="G35" s="78">
        <v>10.5</v>
      </c>
    </row>
    <row r="36" spans="1:7">
      <c r="A36" s="77" t="s">
        <v>236</v>
      </c>
      <c r="B36" s="78" t="s">
        <v>237</v>
      </c>
      <c r="C36" s="78">
        <v>1615</v>
      </c>
      <c r="D36" s="78">
        <v>6.1</v>
      </c>
      <c r="E36" s="78" t="s">
        <v>238</v>
      </c>
      <c r="F36" s="78">
        <v>1060.1</v>
      </c>
      <c r="G36" s="78">
        <v>7</v>
      </c>
    </row>
    <row r="37" spans="1:7">
      <c r="A37" s="77" t="s">
        <v>239</v>
      </c>
      <c r="B37" s="78" t="s">
        <v>240</v>
      </c>
      <c r="C37" s="78">
        <v>2697.9</v>
      </c>
      <c r="D37" s="78">
        <v>8.8</v>
      </c>
      <c r="E37" s="78" t="s">
        <v>241</v>
      </c>
      <c r="F37" s="78">
        <v>1773.4</v>
      </c>
      <c r="G37" s="78">
        <v>10.6</v>
      </c>
    </row>
    <row r="38" spans="1:7">
      <c r="A38" s="77" t="s">
        <v>242</v>
      </c>
      <c r="B38" s="78" t="s">
        <v>243</v>
      </c>
      <c r="C38" s="78">
        <v>2343.1</v>
      </c>
      <c r="D38" s="78">
        <v>8.5</v>
      </c>
      <c r="E38" s="78" t="s">
        <v>244</v>
      </c>
      <c r="F38" s="78">
        <v>1878</v>
      </c>
      <c r="G38" s="78">
        <v>10.9</v>
      </c>
    </row>
    <row r="39" spans="1:7">
      <c r="A39" s="77" t="s">
        <v>245</v>
      </c>
      <c r="B39" s="78" t="s">
        <v>246</v>
      </c>
      <c r="C39" s="78">
        <v>1876.2</v>
      </c>
      <c r="D39" s="78">
        <v>7.7</v>
      </c>
      <c r="E39" s="78" t="s">
        <v>247</v>
      </c>
      <c r="F39" s="78">
        <v>993</v>
      </c>
      <c r="G39" s="78">
        <v>7.5</v>
      </c>
    </row>
    <row r="40" spans="1:7">
      <c r="A40" s="77" t="s">
        <v>248</v>
      </c>
      <c r="B40" s="78" t="s">
        <v>249</v>
      </c>
      <c r="C40" s="78">
        <v>2610.2</v>
      </c>
      <c r="D40" s="78">
        <v>9.9</v>
      </c>
      <c r="E40" s="78" t="s">
        <v>250</v>
      </c>
      <c r="F40" s="78">
        <v>1217.6</v>
      </c>
      <c r="G40" s="78">
        <v>9.1</v>
      </c>
    </row>
    <row r="41" spans="1:7">
      <c r="A41" s="77" t="s">
        <v>251</v>
      </c>
      <c r="B41" s="78" t="s">
        <v>252</v>
      </c>
      <c r="C41" s="78">
        <v>1342</v>
      </c>
      <c r="D41" s="78">
        <v>4.7</v>
      </c>
      <c r="E41" s="78" t="s">
        <v>253</v>
      </c>
      <c r="F41" s="78">
        <v>490.5</v>
      </c>
      <c r="G41" s="78">
        <v>4.4</v>
      </c>
    </row>
    <row r="42" spans="1:7">
      <c r="A42" s="77" t="s">
        <v>254</v>
      </c>
      <c r="B42" s="78" t="s">
        <v>255</v>
      </c>
      <c r="C42" s="78">
        <v>2832.4</v>
      </c>
      <c r="D42" s="78">
        <v>11.4</v>
      </c>
      <c r="E42" s="78" t="s">
        <v>256</v>
      </c>
      <c r="F42" s="78">
        <v>1894.7</v>
      </c>
      <c r="G42" s="78">
        <v>13.4</v>
      </c>
    </row>
    <row r="43" spans="1:7">
      <c r="A43" s="77" t="s">
        <v>257</v>
      </c>
      <c r="B43" s="78" t="s">
        <v>258</v>
      </c>
      <c r="C43" s="78">
        <v>2005.1</v>
      </c>
      <c r="D43" s="78">
        <v>8</v>
      </c>
      <c r="E43" s="78" t="s">
        <v>259</v>
      </c>
      <c r="F43" s="78">
        <v>1307.8</v>
      </c>
      <c r="G43" s="78">
        <v>11.4</v>
      </c>
    </row>
    <row r="44" spans="1:7">
      <c r="A44" s="77" t="s">
        <v>260</v>
      </c>
      <c r="B44" s="78" t="s">
        <v>261</v>
      </c>
      <c r="C44" s="78">
        <v>2156.1</v>
      </c>
      <c r="D44" s="78">
        <v>9.9</v>
      </c>
      <c r="E44" s="78" t="s">
        <v>262</v>
      </c>
      <c r="F44" s="78">
        <v>1353.9</v>
      </c>
      <c r="G44" s="78">
        <v>10.8</v>
      </c>
    </row>
    <row r="45" spans="1:7">
      <c r="A45" s="77" t="s">
        <v>263</v>
      </c>
      <c r="B45" s="78" t="s">
        <v>264</v>
      </c>
      <c r="C45" s="78">
        <v>2481.2</v>
      </c>
      <c r="D45" s="78">
        <v>10.2</v>
      </c>
      <c r="E45" s="78" t="s">
        <v>265</v>
      </c>
      <c r="F45" s="78">
        <v>1552.6</v>
      </c>
      <c r="G45" s="78">
        <v>12.1</v>
      </c>
    </row>
    <row r="46" spans="1:7">
      <c r="A46" s="79" t="s">
        <v>266</v>
      </c>
      <c r="B46" s="80" t="s">
        <v>267</v>
      </c>
      <c r="C46" s="80">
        <v>2773.6</v>
      </c>
      <c r="D46" s="80">
        <v>11.5</v>
      </c>
      <c r="E46" s="80" t="s">
        <v>268</v>
      </c>
      <c r="F46" s="80">
        <v>1222.6</v>
      </c>
      <c r="G46" s="80">
        <v>10</v>
      </c>
    </row>
    <row r="47" spans="1:7">
      <c r="A47" s="81" t="s">
        <v>269</v>
      </c>
      <c r="B47" s="82"/>
      <c r="C47" s="82"/>
      <c r="D47" s="82"/>
      <c r="E47" s="82"/>
      <c r="F47" s="82"/>
      <c r="G47" s="82"/>
    </row>
  </sheetData>
  <mergeCells count="7">
    <mergeCell ref="B1:D1"/>
    <mergeCell ref="E1:G1"/>
    <mergeCell ref="A1:A3"/>
    <mergeCell ref="B2:B3"/>
    <mergeCell ref="D2:D3"/>
    <mergeCell ref="E2:E3"/>
    <mergeCell ref="G2:G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"/>
  <sheetViews>
    <sheetView workbookViewId="0">
      <selection activeCell="A2" sqref="A2:H125"/>
    </sheetView>
  </sheetViews>
  <sheetFormatPr defaultColWidth="9.23076923076923" defaultRowHeight="16.8" outlineLevelCol="7"/>
  <cols>
    <col min="2" max="2" width="15.6923076923077"/>
    <col min="3" max="4" width="14.2307692307692"/>
  </cols>
  <sheetData>
    <row r="1" spans="1:8">
      <c r="A1" s="56" t="s">
        <v>270</v>
      </c>
      <c r="B1" s="57"/>
      <c r="C1" s="57"/>
      <c r="D1" s="57"/>
      <c r="E1" s="57"/>
      <c r="F1" s="57"/>
      <c r="G1" s="57"/>
      <c r="H1" s="57"/>
    </row>
    <row r="2" spans="1:8">
      <c r="A2" s="58" t="s">
        <v>271</v>
      </c>
      <c r="B2" s="59" t="s">
        <v>272</v>
      </c>
      <c r="C2" s="60"/>
      <c r="D2" s="61"/>
      <c r="E2" s="59" t="s">
        <v>273</v>
      </c>
      <c r="F2" s="60"/>
      <c r="G2" s="61"/>
      <c r="H2" s="62" t="s">
        <v>274</v>
      </c>
    </row>
    <row r="3" spans="1:8">
      <c r="A3" s="63"/>
      <c r="B3" s="36" t="s">
        <v>59</v>
      </c>
      <c r="C3" s="36" t="s">
        <v>118</v>
      </c>
      <c r="D3" s="36" t="s">
        <v>119</v>
      </c>
      <c r="E3" s="36" t="s">
        <v>59</v>
      </c>
      <c r="F3" s="36" t="s">
        <v>118</v>
      </c>
      <c r="G3" s="36" t="s">
        <v>119</v>
      </c>
      <c r="H3" s="64"/>
    </row>
    <row r="4" spans="1:8">
      <c r="A4" s="65" t="s">
        <v>275</v>
      </c>
      <c r="B4" s="47">
        <v>1409778724</v>
      </c>
      <c r="C4" s="47">
        <v>721416394</v>
      </c>
      <c r="D4" s="47">
        <v>688362330</v>
      </c>
      <c r="E4" s="47">
        <v>100</v>
      </c>
      <c r="F4" s="47">
        <v>51.17</v>
      </c>
      <c r="G4" s="47">
        <v>48.83</v>
      </c>
      <c r="H4" s="47">
        <v>104.8</v>
      </c>
    </row>
    <row r="5" spans="1:8">
      <c r="A5" s="66" t="s">
        <v>276</v>
      </c>
      <c r="B5" s="47">
        <v>77883888</v>
      </c>
      <c r="C5" s="47">
        <v>40969331</v>
      </c>
      <c r="D5" s="47">
        <v>36914557</v>
      </c>
      <c r="E5" s="47">
        <v>5.52</v>
      </c>
      <c r="F5" s="47">
        <v>2.91</v>
      </c>
      <c r="G5" s="47">
        <v>2.62</v>
      </c>
      <c r="H5" s="47">
        <v>110.98</v>
      </c>
    </row>
    <row r="6" spans="1:8">
      <c r="A6" s="67" t="s">
        <v>277</v>
      </c>
      <c r="B6" s="47">
        <v>11988057</v>
      </c>
      <c r="C6" s="47">
        <v>6312409</v>
      </c>
      <c r="D6" s="47">
        <v>5675648</v>
      </c>
      <c r="E6" s="47">
        <v>0.85</v>
      </c>
      <c r="F6" s="47">
        <v>0.45</v>
      </c>
      <c r="G6" s="47">
        <v>0.4</v>
      </c>
      <c r="H6" s="47">
        <v>111.22</v>
      </c>
    </row>
    <row r="7" spans="1:8">
      <c r="A7" s="67" t="s">
        <v>278</v>
      </c>
      <c r="B7" s="47">
        <v>14383791</v>
      </c>
      <c r="C7" s="47">
        <v>7559981</v>
      </c>
      <c r="D7" s="47">
        <v>6823810</v>
      </c>
      <c r="E7" s="47">
        <v>1.02</v>
      </c>
      <c r="F7" s="47">
        <v>0.54</v>
      </c>
      <c r="G7" s="47">
        <v>0.48</v>
      </c>
      <c r="H7" s="47">
        <v>110.79</v>
      </c>
    </row>
    <row r="8" spans="1:8">
      <c r="A8" s="67" t="s">
        <v>279</v>
      </c>
      <c r="B8" s="47">
        <v>15266778</v>
      </c>
      <c r="C8" s="47">
        <v>8020423</v>
      </c>
      <c r="D8" s="47">
        <v>7246355</v>
      </c>
      <c r="E8" s="47">
        <v>1.08</v>
      </c>
      <c r="F8" s="47">
        <v>0.57</v>
      </c>
      <c r="G8" s="47">
        <v>0.51</v>
      </c>
      <c r="H8" s="47">
        <v>110.68</v>
      </c>
    </row>
    <row r="9" spans="1:8">
      <c r="A9" s="67" t="s">
        <v>280</v>
      </c>
      <c r="B9" s="47">
        <v>18418078</v>
      </c>
      <c r="C9" s="47">
        <v>9670005</v>
      </c>
      <c r="D9" s="47">
        <v>8748073</v>
      </c>
      <c r="E9" s="47">
        <v>1.31</v>
      </c>
      <c r="F9" s="47">
        <v>0.69</v>
      </c>
      <c r="G9" s="47">
        <v>0.62</v>
      </c>
      <c r="H9" s="47">
        <v>110.54</v>
      </c>
    </row>
    <row r="10" spans="1:8">
      <c r="A10" s="67" t="s">
        <v>281</v>
      </c>
      <c r="B10" s="47">
        <v>17827184</v>
      </c>
      <c r="C10" s="47">
        <v>9406513</v>
      </c>
      <c r="D10" s="47">
        <v>8420671</v>
      </c>
      <c r="E10" s="47">
        <v>1.26</v>
      </c>
      <c r="F10" s="47">
        <v>0.67</v>
      </c>
      <c r="G10" s="47">
        <v>0.6</v>
      </c>
      <c r="H10" s="47">
        <v>111.71</v>
      </c>
    </row>
    <row r="11" spans="1:8">
      <c r="A11" s="66" t="s">
        <v>282</v>
      </c>
      <c r="B11" s="47">
        <v>90244056</v>
      </c>
      <c r="C11" s="47">
        <v>48017458</v>
      </c>
      <c r="D11" s="47">
        <v>42226598</v>
      </c>
      <c r="E11" s="47">
        <v>6.4</v>
      </c>
      <c r="F11" s="47">
        <v>3.41</v>
      </c>
      <c r="G11" s="47">
        <v>3</v>
      </c>
      <c r="H11" s="47">
        <v>113.71</v>
      </c>
    </row>
    <row r="12" spans="1:8">
      <c r="A12" s="67" t="s">
        <v>283</v>
      </c>
      <c r="B12" s="47">
        <v>16547271</v>
      </c>
      <c r="C12" s="47">
        <v>8765848</v>
      </c>
      <c r="D12" s="47">
        <v>7781423</v>
      </c>
      <c r="E12" s="47">
        <v>1.17</v>
      </c>
      <c r="F12" s="47">
        <v>0.62</v>
      </c>
      <c r="G12" s="47">
        <v>0.55</v>
      </c>
      <c r="H12" s="47">
        <v>112.65</v>
      </c>
    </row>
    <row r="13" spans="1:8">
      <c r="A13" s="67" t="s">
        <v>284</v>
      </c>
      <c r="B13" s="47">
        <v>18591806</v>
      </c>
      <c r="C13" s="47">
        <v>9881523</v>
      </c>
      <c r="D13" s="47">
        <v>8710283</v>
      </c>
      <c r="E13" s="47">
        <v>1.32</v>
      </c>
      <c r="F13" s="47">
        <v>0.7</v>
      </c>
      <c r="G13" s="47">
        <v>0.62</v>
      </c>
      <c r="H13" s="47">
        <v>113.45</v>
      </c>
    </row>
    <row r="14" spans="1:8">
      <c r="A14" s="67" t="s">
        <v>285</v>
      </c>
      <c r="B14" s="47">
        <v>17963157</v>
      </c>
      <c r="C14" s="47">
        <v>9548981</v>
      </c>
      <c r="D14" s="47">
        <v>8414176</v>
      </c>
      <c r="E14" s="47">
        <v>1.27</v>
      </c>
      <c r="F14" s="47">
        <v>0.68</v>
      </c>
      <c r="G14" s="47">
        <v>0.6</v>
      </c>
      <c r="H14" s="47">
        <v>113.49</v>
      </c>
    </row>
    <row r="15" spans="1:8">
      <c r="A15" s="67" t="s">
        <v>286</v>
      </c>
      <c r="B15" s="47">
        <v>19353752</v>
      </c>
      <c r="C15" s="47">
        <v>10317678</v>
      </c>
      <c r="D15" s="47">
        <v>9036074</v>
      </c>
      <c r="E15" s="47">
        <v>1.37</v>
      </c>
      <c r="F15" s="47">
        <v>0.73</v>
      </c>
      <c r="G15" s="47">
        <v>0.64</v>
      </c>
      <c r="H15" s="47">
        <v>114.18</v>
      </c>
    </row>
    <row r="16" spans="1:8">
      <c r="A16" s="67" t="s">
        <v>287</v>
      </c>
      <c r="B16" s="47">
        <v>17788070</v>
      </c>
      <c r="C16" s="47">
        <v>9503428</v>
      </c>
      <c r="D16" s="47">
        <v>8284642</v>
      </c>
      <c r="E16" s="47">
        <v>1.26</v>
      </c>
      <c r="F16" s="47">
        <v>0.67</v>
      </c>
      <c r="G16" s="47">
        <v>0.59</v>
      </c>
      <c r="H16" s="47">
        <v>114.71</v>
      </c>
    </row>
    <row r="17" spans="1:8">
      <c r="A17" s="66" t="s">
        <v>288</v>
      </c>
      <c r="B17" s="47">
        <v>85255994</v>
      </c>
      <c r="C17" s="47">
        <v>45606790</v>
      </c>
      <c r="D17" s="47">
        <v>39649204</v>
      </c>
      <c r="E17" s="47">
        <v>6.05</v>
      </c>
      <c r="F17" s="47">
        <v>3.24</v>
      </c>
      <c r="G17" s="47">
        <v>2.81</v>
      </c>
      <c r="H17" s="47">
        <v>115.03</v>
      </c>
    </row>
    <row r="18" spans="1:8">
      <c r="A18" s="67" t="s">
        <v>289</v>
      </c>
      <c r="B18" s="47">
        <v>17347565</v>
      </c>
      <c r="C18" s="47">
        <v>9285412</v>
      </c>
      <c r="D18" s="47">
        <v>8062153</v>
      </c>
      <c r="E18" s="47">
        <v>1.23</v>
      </c>
      <c r="F18" s="47">
        <v>0.66</v>
      </c>
      <c r="G18" s="47">
        <v>0.57</v>
      </c>
      <c r="H18" s="47">
        <v>115.17</v>
      </c>
    </row>
    <row r="19" spans="1:8">
      <c r="A19" s="67" t="s">
        <v>290</v>
      </c>
      <c r="B19" s="47">
        <v>17695044</v>
      </c>
      <c r="C19" s="47">
        <v>9462024</v>
      </c>
      <c r="D19" s="47">
        <v>8233020</v>
      </c>
      <c r="E19" s="47">
        <v>1.26</v>
      </c>
      <c r="F19" s="47">
        <v>0.67</v>
      </c>
      <c r="G19" s="47">
        <v>0.58</v>
      </c>
      <c r="H19" s="47">
        <v>114.93</v>
      </c>
    </row>
    <row r="20" spans="1:8">
      <c r="A20" s="67" t="s">
        <v>291</v>
      </c>
      <c r="B20" s="47">
        <v>17356919</v>
      </c>
      <c r="C20" s="47">
        <v>9279079</v>
      </c>
      <c r="D20" s="47">
        <v>8077840</v>
      </c>
      <c r="E20" s="47">
        <v>1.23</v>
      </c>
      <c r="F20" s="47">
        <v>0.66</v>
      </c>
      <c r="G20" s="47">
        <v>0.57</v>
      </c>
      <c r="H20" s="47">
        <v>114.87</v>
      </c>
    </row>
    <row r="21" spans="1:8">
      <c r="A21" s="67" t="s">
        <v>292</v>
      </c>
      <c r="B21" s="47">
        <v>16677054</v>
      </c>
      <c r="C21" s="47">
        <v>8920655</v>
      </c>
      <c r="D21" s="47">
        <v>7756399</v>
      </c>
      <c r="E21" s="47">
        <v>1.18</v>
      </c>
      <c r="F21" s="47">
        <v>0.63</v>
      </c>
      <c r="G21" s="47">
        <v>0.55</v>
      </c>
      <c r="H21" s="47">
        <v>115.01</v>
      </c>
    </row>
    <row r="22" spans="1:8">
      <c r="A22" s="67" t="s">
        <v>293</v>
      </c>
      <c r="B22" s="47">
        <v>16179412</v>
      </c>
      <c r="C22" s="47">
        <v>8659620</v>
      </c>
      <c r="D22" s="47">
        <v>7519792</v>
      </c>
      <c r="E22" s="47">
        <v>1.15</v>
      </c>
      <c r="F22" s="47">
        <v>0.61</v>
      </c>
      <c r="G22" s="47">
        <v>0.53</v>
      </c>
      <c r="H22" s="47">
        <v>115.16</v>
      </c>
    </row>
    <row r="23" spans="1:8">
      <c r="A23" s="66" t="s">
        <v>294</v>
      </c>
      <c r="B23" s="47">
        <v>72684140</v>
      </c>
      <c r="C23" s="47">
        <v>39053343</v>
      </c>
      <c r="D23" s="47">
        <v>33630797</v>
      </c>
      <c r="E23" s="47">
        <v>5.16</v>
      </c>
      <c r="F23" s="47">
        <v>2.77</v>
      </c>
      <c r="G23" s="47">
        <v>2.39</v>
      </c>
      <c r="H23" s="47">
        <v>116.12</v>
      </c>
    </row>
    <row r="24" spans="1:8">
      <c r="A24" s="67" t="s">
        <v>295</v>
      </c>
      <c r="B24" s="47">
        <v>15323224</v>
      </c>
      <c r="C24" s="47">
        <v>8225995</v>
      </c>
      <c r="D24" s="47">
        <v>7097229</v>
      </c>
      <c r="E24" s="47">
        <v>1.09</v>
      </c>
      <c r="F24" s="47">
        <v>0.58</v>
      </c>
      <c r="G24" s="47">
        <v>0.5</v>
      </c>
      <c r="H24" s="47">
        <v>115.9</v>
      </c>
    </row>
    <row r="25" spans="1:8">
      <c r="A25" s="67" t="s">
        <v>296</v>
      </c>
      <c r="B25" s="47">
        <v>15218156</v>
      </c>
      <c r="C25" s="47">
        <v>8195908</v>
      </c>
      <c r="D25" s="47">
        <v>7022248</v>
      </c>
      <c r="E25" s="47">
        <v>1.08</v>
      </c>
      <c r="F25" s="47">
        <v>0.58</v>
      </c>
      <c r="G25" s="47">
        <v>0.5</v>
      </c>
      <c r="H25" s="47">
        <v>116.71</v>
      </c>
    </row>
    <row r="26" spans="1:8">
      <c r="A26" s="67" t="s">
        <v>297</v>
      </c>
      <c r="B26" s="47">
        <v>13730626</v>
      </c>
      <c r="C26" s="47">
        <v>7401041</v>
      </c>
      <c r="D26" s="47">
        <v>6329585</v>
      </c>
      <c r="E26" s="47">
        <v>0.97</v>
      </c>
      <c r="F26" s="47">
        <v>0.52</v>
      </c>
      <c r="G26" s="47">
        <v>0.45</v>
      </c>
      <c r="H26" s="47">
        <v>116.93</v>
      </c>
    </row>
    <row r="27" spans="1:8">
      <c r="A27" s="67" t="s">
        <v>298</v>
      </c>
      <c r="B27" s="47">
        <v>14043179</v>
      </c>
      <c r="C27" s="47">
        <v>7560195</v>
      </c>
      <c r="D27" s="47">
        <v>6482984</v>
      </c>
      <c r="E27" s="47">
        <v>1</v>
      </c>
      <c r="F27" s="47">
        <v>0.54</v>
      </c>
      <c r="G27" s="47">
        <v>0.46</v>
      </c>
      <c r="H27" s="47">
        <v>116.62</v>
      </c>
    </row>
    <row r="28" spans="1:8">
      <c r="A28" s="67" t="s">
        <v>299</v>
      </c>
      <c r="B28" s="47">
        <v>14368955</v>
      </c>
      <c r="C28" s="47">
        <v>7670204</v>
      </c>
      <c r="D28" s="47">
        <v>6698751</v>
      </c>
      <c r="E28" s="47">
        <v>1.02</v>
      </c>
      <c r="F28" s="47">
        <v>0.54</v>
      </c>
      <c r="G28" s="47">
        <v>0.48</v>
      </c>
      <c r="H28" s="47">
        <v>114.5</v>
      </c>
    </row>
    <row r="29" spans="1:8">
      <c r="A29" s="66" t="s">
        <v>300</v>
      </c>
      <c r="B29" s="47">
        <v>74941675</v>
      </c>
      <c r="C29" s="47">
        <v>39675995</v>
      </c>
      <c r="D29" s="47">
        <v>35265680</v>
      </c>
      <c r="E29" s="47">
        <v>5.32</v>
      </c>
      <c r="F29" s="47">
        <v>2.81</v>
      </c>
      <c r="G29" s="47">
        <v>2.5</v>
      </c>
      <c r="H29" s="47">
        <v>112.51</v>
      </c>
    </row>
    <row r="30" spans="1:8">
      <c r="A30" s="67" t="s">
        <v>301</v>
      </c>
      <c r="B30" s="47">
        <v>14563347</v>
      </c>
      <c r="C30" s="47">
        <v>7742857</v>
      </c>
      <c r="D30" s="47">
        <v>6820490</v>
      </c>
      <c r="E30" s="47">
        <v>1.03</v>
      </c>
      <c r="F30" s="47">
        <v>0.55</v>
      </c>
      <c r="G30" s="47">
        <v>0.48</v>
      </c>
      <c r="H30" s="47">
        <v>113.52</v>
      </c>
    </row>
    <row r="31" spans="1:8">
      <c r="A31" s="67" t="s">
        <v>302</v>
      </c>
      <c r="B31" s="47">
        <v>13935509</v>
      </c>
      <c r="C31" s="47">
        <v>7389412</v>
      </c>
      <c r="D31" s="47">
        <v>6546097</v>
      </c>
      <c r="E31" s="47">
        <v>0.99</v>
      </c>
      <c r="F31" s="47">
        <v>0.52</v>
      </c>
      <c r="G31" s="47">
        <v>0.46</v>
      </c>
      <c r="H31" s="47">
        <v>112.88</v>
      </c>
    </row>
    <row r="32" spans="1:8">
      <c r="A32" s="67" t="s">
        <v>303</v>
      </c>
      <c r="B32" s="47">
        <v>15249809</v>
      </c>
      <c r="C32" s="47">
        <v>8078183</v>
      </c>
      <c r="D32" s="47">
        <v>7171626</v>
      </c>
      <c r="E32" s="47">
        <v>1.08</v>
      </c>
      <c r="F32" s="47">
        <v>0.57</v>
      </c>
      <c r="G32" s="47">
        <v>0.51</v>
      </c>
      <c r="H32" s="47">
        <v>112.64</v>
      </c>
    </row>
    <row r="33" spans="1:8">
      <c r="A33" s="67" t="s">
        <v>304</v>
      </c>
      <c r="B33" s="47">
        <v>15325970</v>
      </c>
      <c r="C33" s="47">
        <v>8103460</v>
      </c>
      <c r="D33" s="47">
        <v>7222510</v>
      </c>
      <c r="E33" s="47">
        <v>1.09</v>
      </c>
      <c r="F33" s="47">
        <v>0.57</v>
      </c>
      <c r="G33" s="47">
        <v>0.51</v>
      </c>
      <c r="H33" s="47">
        <v>112.2</v>
      </c>
    </row>
    <row r="34" spans="1:8">
      <c r="A34" s="67" t="s">
        <v>305</v>
      </c>
      <c r="B34" s="47">
        <v>15867040</v>
      </c>
      <c r="C34" s="47">
        <v>8362083</v>
      </c>
      <c r="D34" s="47">
        <v>7504957</v>
      </c>
      <c r="E34" s="47">
        <v>1.13</v>
      </c>
      <c r="F34" s="47">
        <v>0.59</v>
      </c>
      <c r="G34" s="47">
        <v>0.53</v>
      </c>
      <c r="H34" s="47">
        <v>111.42</v>
      </c>
    </row>
    <row r="35" spans="1:8">
      <c r="A35" s="66" t="s">
        <v>306</v>
      </c>
      <c r="B35" s="47">
        <v>91847332</v>
      </c>
      <c r="C35" s="47">
        <v>48162270</v>
      </c>
      <c r="D35" s="47">
        <v>43685062</v>
      </c>
      <c r="E35" s="47">
        <v>6.52</v>
      </c>
      <c r="F35" s="47">
        <v>3.42</v>
      </c>
      <c r="G35" s="47">
        <v>3.1</v>
      </c>
      <c r="H35" s="47">
        <v>110.25</v>
      </c>
    </row>
    <row r="36" spans="1:8">
      <c r="A36" s="67" t="s">
        <v>307</v>
      </c>
      <c r="B36" s="47">
        <v>17146447</v>
      </c>
      <c r="C36" s="47">
        <v>9042474</v>
      </c>
      <c r="D36" s="47">
        <v>8103973</v>
      </c>
      <c r="E36" s="47">
        <v>1.22</v>
      </c>
      <c r="F36" s="47">
        <v>0.64</v>
      </c>
      <c r="G36" s="47">
        <v>0.57</v>
      </c>
      <c r="H36" s="47">
        <v>111.58</v>
      </c>
    </row>
    <row r="37" spans="1:8">
      <c r="A37" s="67" t="s">
        <v>308</v>
      </c>
      <c r="B37" s="47">
        <v>16826988</v>
      </c>
      <c r="C37" s="47">
        <v>8845171</v>
      </c>
      <c r="D37" s="47">
        <v>7981817</v>
      </c>
      <c r="E37" s="47">
        <v>1.19</v>
      </c>
      <c r="F37" s="47">
        <v>0.63</v>
      </c>
      <c r="G37" s="47">
        <v>0.57</v>
      </c>
      <c r="H37" s="47">
        <v>110.82</v>
      </c>
    </row>
    <row r="38" spans="1:8">
      <c r="A38" s="67" t="s">
        <v>309</v>
      </c>
      <c r="B38" s="47">
        <v>18298935</v>
      </c>
      <c r="C38" s="47">
        <v>9588428</v>
      </c>
      <c r="D38" s="47">
        <v>8710507</v>
      </c>
      <c r="E38" s="47">
        <v>1.3</v>
      </c>
      <c r="F38" s="47">
        <v>0.68</v>
      </c>
      <c r="G38" s="47">
        <v>0.62</v>
      </c>
      <c r="H38" s="47">
        <v>110.08</v>
      </c>
    </row>
    <row r="39" spans="1:8">
      <c r="A39" s="67" t="s">
        <v>310</v>
      </c>
      <c r="B39" s="47">
        <v>19060645</v>
      </c>
      <c r="C39" s="47">
        <v>9975395</v>
      </c>
      <c r="D39" s="47">
        <v>9085250</v>
      </c>
      <c r="E39" s="47">
        <v>1.35</v>
      </c>
      <c r="F39" s="47">
        <v>0.71</v>
      </c>
      <c r="G39" s="47">
        <v>0.64</v>
      </c>
      <c r="H39" s="47">
        <v>109.8</v>
      </c>
    </row>
    <row r="40" spans="1:8">
      <c r="A40" s="68" t="s">
        <v>311</v>
      </c>
      <c r="B40" s="53">
        <v>20514317</v>
      </c>
      <c r="C40" s="54">
        <v>10710802</v>
      </c>
      <c r="D40" s="54">
        <v>9803515</v>
      </c>
      <c r="E40" s="54">
        <v>1.46</v>
      </c>
      <c r="F40" s="54">
        <v>0.76</v>
      </c>
      <c r="G40" s="54">
        <v>0.7</v>
      </c>
      <c r="H40" s="54">
        <v>109.25</v>
      </c>
    </row>
    <row r="41" spans="1:8">
      <c r="A41" s="69" t="s">
        <v>312</v>
      </c>
      <c r="B41" s="47">
        <v>124145190</v>
      </c>
      <c r="C41" s="47">
        <v>63871808</v>
      </c>
      <c r="D41" s="47">
        <v>60273382</v>
      </c>
      <c r="E41" s="47">
        <v>8.81</v>
      </c>
      <c r="F41" s="47">
        <v>4.53</v>
      </c>
      <c r="G41" s="47">
        <v>4.28</v>
      </c>
      <c r="H41" s="47">
        <v>105.97</v>
      </c>
    </row>
    <row r="42" spans="1:8">
      <c r="A42" s="46" t="s">
        <v>313</v>
      </c>
      <c r="B42" s="47">
        <v>25973082</v>
      </c>
      <c r="C42" s="47">
        <v>13463923</v>
      </c>
      <c r="D42" s="47">
        <v>12509159</v>
      </c>
      <c r="E42" s="47">
        <v>1.84</v>
      </c>
      <c r="F42" s="47">
        <v>0.96</v>
      </c>
      <c r="G42" s="47">
        <v>0.89</v>
      </c>
      <c r="H42" s="47">
        <v>107.63</v>
      </c>
    </row>
    <row r="43" spans="1:8">
      <c r="A43" s="46" t="s">
        <v>314</v>
      </c>
      <c r="B43" s="47">
        <v>25451203</v>
      </c>
      <c r="C43" s="47">
        <v>13094627</v>
      </c>
      <c r="D43" s="47">
        <v>12356576</v>
      </c>
      <c r="E43" s="47">
        <v>1.81</v>
      </c>
      <c r="F43" s="47">
        <v>0.93</v>
      </c>
      <c r="G43" s="47">
        <v>0.88</v>
      </c>
      <c r="H43" s="47">
        <v>105.97</v>
      </c>
    </row>
    <row r="44" spans="1:8">
      <c r="A44" s="46" t="s">
        <v>315</v>
      </c>
      <c r="B44" s="47">
        <v>24037711</v>
      </c>
      <c r="C44" s="47">
        <v>12335076</v>
      </c>
      <c r="D44" s="47">
        <v>11702635</v>
      </c>
      <c r="E44" s="47">
        <v>1.71</v>
      </c>
      <c r="F44" s="47">
        <v>0.87</v>
      </c>
      <c r="G44" s="47">
        <v>0.83</v>
      </c>
      <c r="H44" s="47">
        <v>105.4</v>
      </c>
    </row>
    <row r="45" spans="1:8">
      <c r="A45" s="46" t="s">
        <v>316</v>
      </c>
      <c r="B45" s="47">
        <v>25946853</v>
      </c>
      <c r="C45" s="47">
        <v>13315974</v>
      </c>
      <c r="D45" s="47">
        <v>12630879</v>
      </c>
      <c r="E45" s="47">
        <v>1.84</v>
      </c>
      <c r="F45" s="47">
        <v>0.94</v>
      </c>
      <c r="G45" s="47">
        <v>0.9</v>
      </c>
      <c r="H45" s="47">
        <v>105.42</v>
      </c>
    </row>
    <row r="46" spans="1:8">
      <c r="A46" s="46" t="s">
        <v>317</v>
      </c>
      <c r="B46" s="47">
        <v>22736341</v>
      </c>
      <c r="C46" s="47">
        <v>11662208</v>
      </c>
      <c r="D46" s="47">
        <v>11074133</v>
      </c>
      <c r="E46" s="47">
        <v>1.61</v>
      </c>
      <c r="F46" s="47">
        <v>0.83</v>
      </c>
      <c r="G46" s="47">
        <v>0.79</v>
      </c>
      <c r="H46" s="47">
        <v>105.31</v>
      </c>
    </row>
    <row r="47" spans="1:8">
      <c r="A47" s="70" t="s">
        <v>318</v>
      </c>
      <c r="B47" s="47">
        <v>99012932</v>
      </c>
      <c r="C47" s="47">
        <v>50932037</v>
      </c>
      <c r="D47" s="47">
        <v>48080895</v>
      </c>
      <c r="E47" s="47">
        <v>7.02</v>
      </c>
      <c r="F47" s="47">
        <v>3.61</v>
      </c>
      <c r="G47" s="47">
        <v>3.41</v>
      </c>
      <c r="H47" s="47">
        <v>105.93</v>
      </c>
    </row>
    <row r="48" spans="1:8">
      <c r="A48" s="46" t="s">
        <v>319</v>
      </c>
      <c r="B48" s="47">
        <v>19586332</v>
      </c>
      <c r="C48" s="47">
        <v>10077433</v>
      </c>
      <c r="D48" s="47">
        <v>9508899</v>
      </c>
      <c r="E48" s="47">
        <v>1.39</v>
      </c>
      <c r="F48" s="47">
        <v>0.71</v>
      </c>
      <c r="G48" s="47">
        <v>0.67</v>
      </c>
      <c r="H48" s="47">
        <v>105.98</v>
      </c>
    </row>
    <row r="49" spans="1:8">
      <c r="A49" s="46" t="s">
        <v>320</v>
      </c>
      <c r="B49" s="47">
        <v>19499941</v>
      </c>
      <c r="C49" s="47">
        <v>10034259</v>
      </c>
      <c r="D49" s="47">
        <v>9465682</v>
      </c>
      <c r="E49" s="47">
        <v>1.38</v>
      </c>
      <c r="F49" s="47">
        <v>0.71</v>
      </c>
      <c r="G49" s="47">
        <v>0.67</v>
      </c>
      <c r="H49" s="47">
        <v>106.01</v>
      </c>
    </row>
    <row r="50" spans="1:8">
      <c r="A50" s="46" t="s">
        <v>321</v>
      </c>
      <c r="B50" s="47">
        <v>19063741</v>
      </c>
      <c r="C50" s="47">
        <v>9815714</v>
      </c>
      <c r="D50" s="47">
        <v>9248027</v>
      </c>
      <c r="E50" s="47">
        <v>1.35</v>
      </c>
      <c r="F50" s="47">
        <v>0.7</v>
      </c>
      <c r="G50" s="47">
        <v>0.66</v>
      </c>
      <c r="H50" s="47">
        <v>106.14</v>
      </c>
    </row>
    <row r="51" spans="1:8">
      <c r="A51" s="46" t="s">
        <v>322</v>
      </c>
      <c r="B51" s="47">
        <v>21799284</v>
      </c>
      <c r="C51" s="47">
        <v>11217120</v>
      </c>
      <c r="D51" s="47">
        <v>10582164</v>
      </c>
      <c r="E51" s="47">
        <v>1.55</v>
      </c>
      <c r="F51" s="47">
        <v>0.8</v>
      </c>
      <c r="G51" s="47">
        <v>0.75</v>
      </c>
      <c r="H51" s="47">
        <v>106</v>
      </c>
    </row>
    <row r="52" spans="1:8">
      <c r="A52" s="46" t="s">
        <v>323</v>
      </c>
      <c r="B52" s="47">
        <v>19063634</v>
      </c>
      <c r="C52" s="47">
        <v>9787511</v>
      </c>
      <c r="D52" s="47">
        <v>9276123</v>
      </c>
      <c r="E52" s="47">
        <v>1.35</v>
      </c>
      <c r="F52" s="47">
        <v>0.69</v>
      </c>
      <c r="G52" s="47">
        <v>0.66</v>
      </c>
      <c r="H52" s="47">
        <v>105.51</v>
      </c>
    </row>
    <row r="53" spans="1:8">
      <c r="A53" s="70" t="s">
        <v>324</v>
      </c>
      <c r="B53" s="47">
        <v>92955330</v>
      </c>
      <c r="C53" s="47">
        <v>47632694</v>
      </c>
      <c r="D53" s="47">
        <v>45322636</v>
      </c>
      <c r="E53" s="47">
        <v>6.59</v>
      </c>
      <c r="F53" s="47">
        <v>3.38</v>
      </c>
      <c r="G53" s="47">
        <v>3.21</v>
      </c>
      <c r="H53" s="47">
        <v>105.1</v>
      </c>
    </row>
    <row r="54" spans="1:8">
      <c r="A54" s="46" t="s">
        <v>325</v>
      </c>
      <c r="B54" s="47">
        <v>17540717</v>
      </c>
      <c r="C54" s="47">
        <v>8997291</v>
      </c>
      <c r="D54" s="47">
        <v>8543426</v>
      </c>
      <c r="E54" s="47">
        <v>1.24</v>
      </c>
      <c r="F54" s="47">
        <v>0.64</v>
      </c>
      <c r="G54" s="47">
        <v>0.61</v>
      </c>
      <c r="H54" s="47">
        <v>105.31</v>
      </c>
    </row>
    <row r="55" spans="1:8">
      <c r="A55" s="46" t="s">
        <v>326</v>
      </c>
      <c r="B55" s="47">
        <v>19339617</v>
      </c>
      <c r="C55" s="47">
        <v>9934985</v>
      </c>
      <c r="D55" s="47">
        <v>9404632</v>
      </c>
      <c r="E55" s="47">
        <v>1.37</v>
      </c>
      <c r="F55" s="47">
        <v>0.7</v>
      </c>
      <c r="G55" s="47">
        <v>0.67</v>
      </c>
      <c r="H55" s="47">
        <v>105.64</v>
      </c>
    </row>
    <row r="56" spans="1:8">
      <c r="A56" s="46" t="s">
        <v>327</v>
      </c>
      <c r="B56" s="47">
        <v>18564211</v>
      </c>
      <c r="C56" s="47">
        <v>9492205</v>
      </c>
      <c r="D56" s="47">
        <v>9072006</v>
      </c>
      <c r="E56" s="47">
        <v>1.32</v>
      </c>
      <c r="F56" s="47">
        <v>0.67</v>
      </c>
      <c r="G56" s="47">
        <v>0.64</v>
      </c>
      <c r="H56" s="47">
        <v>104.63</v>
      </c>
    </row>
    <row r="57" spans="1:8">
      <c r="A57" s="46" t="s">
        <v>328</v>
      </c>
      <c r="B57" s="47">
        <v>17758286</v>
      </c>
      <c r="C57" s="47">
        <v>9097039</v>
      </c>
      <c r="D57" s="47">
        <v>8661247</v>
      </c>
      <c r="E57" s="47">
        <v>1.26</v>
      </c>
      <c r="F57" s="47">
        <v>0.65</v>
      </c>
      <c r="G57" s="47">
        <v>0.61</v>
      </c>
      <c r="H57" s="47">
        <v>105.03</v>
      </c>
    </row>
    <row r="58" spans="1:8">
      <c r="A58" s="46" t="s">
        <v>329</v>
      </c>
      <c r="B58" s="47">
        <v>19752499</v>
      </c>
      <c r="C58" s="47">
        <v>10111174</v>
      </c>
      <c r="D58" s="47">
        <v>9641325</v>
      </c>
      <c r="E58" s="47">
        <v>1.4</v>
      </c>
      <c r="F58" s="47">
        <v>0.72</v>
      </c>
      <c r="G58" s="47">
        <v>0.68</v>
      </c>
      <c r="H58" s="47">
        <v>104.87</v>
      </c>
    </row>
    <row r="59" spans="1:8">
      <c r="A59" s="70" t="s">
        <v>330</v>
      </c>
      <c r="B59" s="47">
        <v>114224887</v>
      </c>
      <c r="C59" s="47">
        <v>58191686</v>
      </c>
      <c r="D59" s="47">
        <v>56033201</v>
      </c>
      <c r="E59" s="47">
        <v>8.1</v>
      </c>
      <c r="F59" s="47">
        <v>4.13</v>
      </c>
      <c r="G59" s="47">
        <v>3.97</v>
      </c>
      <c r="H59" s="47">
        <v>103.85</v>
      </c>
    </row>
    <row r="60" spans="1:8">
      <c r="A60" s="46" t="s">
        <v>331</v>
      </c>
      <c r="B60" s="47">
        <v>20259918</v>
      </c>
      <c r="C60" s="47">
        <v>10335133</v>
      </c>
      <c r="D60" s="47">
        <v>9924785</v>
      </c>
      <c r="E60" s="47">
        <v>1.44</v>
      </c>
      <c r="F60" s="47">
        <v>0.73</v>
      </c>
      <c r="G60" s="47">
        <v>0.7</v>
      </c>
      <c r="H60" s="47">
        <v>104.13</v>
      </c>
    </row>
    <row r="61" spans="1:8">
      <c r="A61" s="46" t="s">
        <v>332</v>
      </c>
      <c r="B61" s="47">
        <v>22208985</v>
      </c>
      <c r="C61" s="47">
        <v>11305313</v>
      </c>
      <c r="D61" s="47">
        <v>10903672</v>
      </c>
      <c r="E61" s="47">
        <v>1.58</v>
      </c>
      <c r="F61" s="47">
        <v>0.8</v>
      </c>
      <c r="G61" s="47">
        <v>0.77</v>
      </c>
      <c r="H61" s="47">
        <v>103.68</v>
      </c>
    </row>
    <row r="62" spans="1:8">
      <c r="A62" s="46" t="s">
        <v>333</v>
      </c>
      <c r="B62" s="47">
        <v>23233417</v>
      </c>
      <c r="C62" s="47">
        <v>11844299</v>
      </c>
      <c r="D62" s="47">
        <v>11389118</v>
      </c>
      <c r="E62" s="47">
        <v>1.65</v>
      </c>
      <c r="F62" s="47">
        <v>0.84</v>
      </c>
      <c r="G62" s="47">
        <v>0.81</v>
      </c>
      <c r="H62" s="47">
        <v>104</v>
      </c>
    </row>
    <row r="63" spans="1:8">
      <c r="A63" s="46" t="s">
        <v>334</v>
      </c>
      <c r="B63" s="47">
        <v>23862010</v>
      </c>
      <c r="C63" s="47">
        <v>12147117</v>
      </c>
      <c r="D63" s="47">
        <v>11714893</v>
      </c>
      <c r="E63" s="47">
        <v>1.69</v>
      </c>
      <c r="F63" s="47">
        <v>0.86</v>
      </c>
      <c r="G63" s="47">
        <v>0.83</v>
      </c>
      <c r="H63" s="47">
        <v>103.69</v>
      </c>
    </row>
    <row r="64" spans="1:8">
      <c r="A64" s="46" t="s">
        <v>335</v>
      </c>
      <c r="B64" s="47">
        <v>24660557</v>
      </c>
      <c r="C64" s="47">
        <v>12559824</v>
      </c>
      <c r="D64" s="47">
        <v>12100733</v>
      </c>
      <c r="E64" s="47">
        <v>1.75</v>
      </c>
      <c r="F64" s="47">
        <v>0.89</v>
      </c>
      <c r="G64" s="47">
        <v>0.86</v>
      </c>
      <c r="H64" s="47">
        <v>103.79</v>
      </c>
    </row>
    <row r="65" spans="1:8">
      <c r="A65" s="70" t="s">
        <v>336</v>
      </c>
      <c r="B65" s="47">
        <v>121164296</v>
      </c>
      <c r="C65" s="47">
        <v>61105470</v>
      </c>
      <c r="D65" s="47">
        <v>60058826</v>
      </c>
      <c r="E65" s="47">
        <v>8.59</v>
      </c>
      <c r="F65" s="47">
        <v>4.33</v>
      </c>
      <c r="G65" s="47">
        <v>4.26</v>
      </c>
      <c r="H65" s="47">
        <v>101.74</v>
      </c>
    </row>
    <row r="66" spans="1:8">
      <c r="A66" s="46" t="s">
        <v>337</v>
      </c>
      <c r="B66" s="47">
        <v>26062036</v>
      </c>
      <c r="C66" s="47">
        <v>13149971</v>
      </c>
      <c r="D66" s="47">
        <v>12912065</v>
      </c>
      <c r="E66" s="47">
        <v>1.85</v>
      </c>
      <c r="F66" s="47">
        <v>0.93</v>
      </c>
      <c r="G66" s="47">
        <v>0.92</v>
      </c>
      <c r="H66" s="47">
        <v>101.84</v>
      </c>
    </row>
    <row r="67" spans="1:8">
      <c r="A67" s="46" t="s">
        <v>338</v>
      </c>
      <c r="B67" s="47">
        <v>24444570</v>
      </c>
      <c r="C67" s="47">
        <v>12342864</v>
      </c>
      <c r="D67" s="47">
        <v>12101706</v>
      </c>
      <c r="E67" s="47">
        <v>1.73</v>
      </c>
      <c r="F67" s="47">
        <v>0.88</v>
      </c>
      <c r="G67" s="47">
        <v>0.86</v>
      </c>
      <c r="H67" s="47">
        <v>101.99</v>
      </c>
    </row>
    <row r="68" spans="1:8">
      <c r="A68" s="46" t="s">
        <v>339</v>
      </c>
      <c r="B68" s="47">
        <v>26105080</v>
      </c>
      <c r="C68" s="47">
        <v>13149508</v>
      </c>
      <c r="D68" s="47">
        <v>12955572</v>
      </c>
      <c r="E68" s="47">
        <v>1.85</v>
      </c>
      <c r="F68" s="47">
        <v>0.93</v>
      </c>
      <c r="G68" s="47">
        <v>0.92</v>
      </c>
      <c r="H68" s="47">
        <v>101.5</v>
      </c>
    </row>
    <row r="69" spans="1:8">
      <c r="A69" s="46" t="s">
        <v>340</v>
      </c>
      <c r="B69" s="47">
        <v>20959668</v>
      </c>
      <c r="C69" s="47">
        <v>10539231</v>
      </c>
      <c r="D69" s="47">
        <v>10420437</v>
      </c>
      <c r="E69" s="47">
        <v>1.49</v>
      </c>
      <c r="F69" s="47">
        <v>0.75</v>
      </c>
      <c r="G69" s="47">
        <v>0.74</v>
      </c>
      <c r="H69" s="47">
        <v>101.14</v>
      </c>
    </row>
    <row r="70" spans="1:8">
      <c r="A70" s="46" t="s">
        <v>341</v>
      </c>
      <c r="B70" s="47">
        <v>23592942</v>
      </c>
      <c r="C70" s="47">
        <v>11923896</v>
      </c>
      <c r="D70" s="47">
        <v>11669046</v>
      </c>
      <c r="E70" s="47">
        <v>1.67</v>
      </c>
      <c r="F70" s="47">
        <v>0.85</v>
      </c>
      <c r="G70" s="47">
        <v>0.83</v>
      </c>
      <c r="H70" s="47">
        <v>102.18</v>
      </c>
    </row>
    <row r="71" spans="1:8">
      <c r="A71" s="70" t="s">
        <v>342</v>
      </c>
      <c r="B71" s="47">
        <v>101400786</v>
      </c>
      <c r="C71" s="47">
        <v>50816026</v>
      </c>
      <c r="D71" s="47">
        <v>50584760</v>
      </c>
      <c r="E71" s="47">
        <v>7.19</v>
      </c>
      <c r="F71" s="47">
        <v>3.6</v>
      </c>
      <c r="G71" s="47">
        <v>3.59</v>
      </c>
      <c r="H71" s="47">
        <v>100.46</v>
      </c>
    </row>
    <row r="72" spans="1:8">
      <c r="A72" s="46" t="s">
        <v>343</v>
      </c>
      <c r="B72" s="47">
        <v>23106155</v>
      </c>
      <c r="C72" s="47">
        <v>11648724</v>
      </c>
      <c r="D72" s="47">
        <v>11457431</v>
      </c>
      <c r="E72" s="47">
        <v>1.64</v>
      </c>
      <c r="F72" s="47">
        <v>0.83</v>
      </c>
      <c r="G72" s="47">
        <v>0.81</v>
      </c>
      <c r="H72" s="47">
        <v>101.67</v>
      </c>
    </row>
    <row r="73" spans="1:8">
      <c r="A73" s="46" t="s">
        <v>344</v>
      </c>
      <c r="B73" s="47">
        <v>22559346</v>
      </c>
      <c r="C73" s="47">
        <v>11301683</v>
      </c>
      <c r="D73" s="47">
        <v>11257663</v>
      </c>
      <c r="E73" s="47">
        <v>1.6</v>
      </c>
      <c r="F73" s="47">
        <v>0.8</v>
      </c>
      <c r="G73" s="47">
        <v>0.8</v>
      </c>
      <c r="H73" s="47">
        <v>100.39</v>
      </c>
    </row>
    <row r="74" spans="1:8">
      <c r="A74" s="46" t="s">
        <v>345</v>
      </c>
      <c r="B74" s="47">
        <v>26044142</v>
      </c>
      <c r="C74" s="47">
        <v>13130492</v>
      </c>
      <c r="D74" s="47">
        <v>12913650</v>
      </c>
      <c r="E74" s="47">
        <v>1.85</v>
      </c>
      <c r="F74" s="47">
        <v>0.93</v>
      </c>
      <c r="G74" s="47">
        <v>0.92</v>
      </c>
      <c r="H74" s="47">
        <v>101.68</v>
      </c>
    </row>
    <row r="75" spans="1:8">
      <c r="A75" s="46" t="s">
        <v>346</v>
      </c>
      <c r="B75" s="47">
        <v>19132096</v>
      </c>
      <c r="C75" s="47">
        <v>9562232</v>
      </c>
      <c r="D75" s="47">
        <v>9569864</v>
      </c>
      <c r="E75" s="47">
        <v>1.36</v>
      </c>
      <c r="F75" s="47">
        <v>0.68</v>
      </c>
      <c r="G75" s="47">
        <v>0.68</v>
      </c>
      <c r="H75" s="47">
        <v>99.92</v>
      </c>
    </row>
    <row r="76" spans="1:8">
      <c r="A76" s="46" t="s">
        <v>347</v>
      </c>
      <c r="B76" s="47">
        <v>10559047</v>
      </c>
      <c r="C76" s="47">
        <v>5172895</v>
      </c>
      <c r="D76" s="47">
        <v>5386152</v>
      </c>
      <c r="E76" s="47">
        <v>0.75</v>
      </c>
      <c r="F76" s="47">
        <v>0.37</v>
      </c>
      <c r="G76" s="47">
        <v>0.38</v>
      </c>
      <c r="H76" s="47">
        <v>96.04</v>
      </c>
    </row>
    <row r="77" spans="1:8">
      <c r="A77" s="70" t="s">
        <v>348</v>
      </c>
      <c r="B77" s="47">
        <v>73382938</v>
      </c>
      <c r="C77" s="47">
        <v>36871125</v>
      </c>
      <c r="D77" s="47">
        <v>36511813</v>
      </c>
      <c r="E77" s="47">
        <v>5.21</v>
      </c>
      <c r="F77" s="47">
        <v>2.62</v>
      </c>
      <c r="G77" s="47">
        <v>2.59</v>
      </c>
      <c r="H77" s="47">
        <v>100.98</v>
      </c>
    </row>
    <row r="78" spans="1:8">
      <c r="A78" s="46" t="s">
        <v>349</v>
      </c>
      <c r="B78" s="47">
        <v>12899885</v>
      </c>
      <c r="C78" s="47">
        <v>6442344</v>
      </c>
      <c r="D78" s="47">
        <v>6457541</v>
      </c>
      <c r="E78" s="47">
        <v>0.92</v>
      </c>
      <c r="F78" s="47">
        <v>0.46</v>
      </c>
      <c r="G78" s="47">
        <v>0.46</v>
      </c>
      <c r="H78" s="47">
        <v>99.76</v>
      </c>
    </row>
    <row r="79" spans="1:8">
      <c r="A79" s="46" t="s">
        <v>350</v>
      </c>
      <c r="B79" s="47">
        <v>12135959</v>
      </c>
      <c r="C79" s="47">
        <v>6148108</v>
      </c>
      <c r="D79" s="47">
        <v>5987851</v>
      </c>
      <c r="E79" s="47">
        <v>0.86</v>
      </c>
      <c r="F79" s="47">
        <v>0.44</v>
      </c>
      <c r="G79" s="47">
        <v>0.42</v>
      </c>
      <c r="H79" s="47">
        <v>102.68</v>
      </c>
    </row>
    <row r="80" spans="1:8">
      <c r="A80" s="46" t="s">
        <v>351</v>
      </c>
      <c r="B80" s="47">
        <v>15464277</v>
      </c>
      <c r="C80" s="47">
        <v>7832019</v>
      </c>
      <c r="D80" s="47">
        <v>7632258</v>
      </c>
      <c r="E80" s="47">
        <v>1.1</v>
      </c>
      <c r="F80" s="47">
        <v>0.56</v>
      </c>
      <c r="G80" s="47">
        <v>0.54</v>
      </c>
      <c r="H80" s="47">
        <v>102.62</v>
      </c>
    </row>
    <row r="81" spans="1:8">
      <c r="A81" s="46" t="s">
        <v>352</v>
      </c>
      <c r="B81" s="47">
        <v>17232007</v>
      </c>
      <c r="C81" s="47">
        <v>8678055</v>
      </c>
      <c r="D81" s="47">
        <v>8553952</v>
      </c>
      <c r="E81" s="47">
        <v>1.22</v>
      </c>
      <c r="F81" s="47">
        <v>0.62</v>
      </c>
      <c r="G81" s="47">
        <v>0.61</v>
      </c>
      <c r="H81" s="47">
        <v>101.45</v>
      </c>
    </row>
    <row r="82" spans="1:8">
      <c r="A82" s="52" t="s">
        <v>353</v>
      </c>
      <c r="B82" s="53">
        <v>15650810</v>
      </c>
      <c r="C82" s="54">
        <v>7770599</v>
      </c>
      <c r="D82" s="54">
        <v>7880211</v>
      </c>
      <c r="E82" s="54">
        <v>1.11</v>
      </c>
      <c r="F82" s="54">
        <v>0.55</v>
      </c>
      <c r="G82" s="54">
        <v>0.56</v>
      </c>
      <c r="H82" s="54">
        <v>98.61</v>
      </c>
    </row>
    <row r="83" spans="1:8">
      <c r="A83" s="69" t="s">
        <v>354</v>
      </c>
      <c r="B83" s="47">
        <v>74005560</v>
      </c>
      <c r="C83" s="47">
        <v>36337923</v>
      </c>
      <c r="D83" s="47">
        <v>37667637</v>
      </c>
      <c r="E83" s="47">
        <v>5.25</v>
      </c>
      <c r="F83" s="47">
        <v>2.58</v>
      </c>
      <c r="G83" s="47">
        <v>2.67</v>
      </c>
      <c r="H83" s="47">
        <v>96.47</v>
      </c>
    </row>
    <row r="84" spans="1:8">
      <c r="A84" s="46" t="s">
        <v>355</v>
      </c>
      <c r="B84" s="47">
        <v>16295105</v>
      </c>
      <c r="C84" s="47">
        <v>8101750</v>
      </c>
      <c r="D84" s="47">
        <v>8193355</v>
      </c>
      <c r="E84" s="47">
        <v>1.16</v>
      </c>
      <c r="F84" s="47">
        <v>0.57</v>
      </c>
      <c r="G84" s="47">
        <v>0.58</v>
      </c>
      <c r="H84" s="47">
        <v>98.88</v>
      </c>
    </row>
    <row r="85" spans="1:8">
      <c r="A85" s="46" t="s">
        <v>356</v>
      </c>
      <c r="B85" s="47">
        <v>16248455</v>
      </c>
      <c r="C85" s="47">
        <v>8003803</v>
      </c>
      <c r="D85" s="47">
        <v>8244652</v>
      </c>
      <c r="E85" s="47">
        <v>1.15</v>
      </c>
      <c r="F85" s="47">
        <v>0.57</v>
      </c>
      <c r="G85" s="47">
        <v>0.58</v>
      </c>
      <c r="H85" s="47">
        <v>97.08</v>
      </c>
    </row>
    <row r="86" spans="1:8">
      <c r="A86" s="46" t="s">
        <v>357</v>
      </c>
      <c r="B86" s="47">
        <v>14620318</v>
      </c>
      <c r="C86" s="47">
        <v>7147712</v>
      </c>
      <c r="D86" s="47">
        <v>7472606</v>
      </c>
      <c r="E86" s="47">
        <v>1.04</v>
      </c>
      <c r="F86" s="47">
        <v>0.51</v>
      </c>
      <c r="G86" s="47">
        <v>0.53</v>
      </c>
      <c r="H86" s="47">
        <v>95.65</v>
      </c>
    </row>
    <row r="87" spans="1:8">
      <c r="A87" s="46" t="s">
        <v>358</v>
      </c>
      <c r="B87" s="47">
        <v>14550479</v>
      </c>
      <c r="C87" s="47">
        <v>7115265</v>
      </c>
      <c r="D87" s="47">
        <v>7435214</v>
      </c>
      <c r="E87" s="47">
        <v>1.03</v>
      </c>
      <c r="F87" s="47">
        <v>0.5</v>
      </c>
      <c r="G87" s="47">
        <v>0.53</v>
      </c>
      <c r="H87" s="47">
        <v>95.7</v>
      </c>
    </row>
    <row r="88" spans="1:8">
      <c r="A88" s="46" t="s">
        <v>359</v>
      </c>
      <c r="B88" s="47">
        <v>12291203</v>
      </c>
      <c r="C88" s="47">
        <v>5969393</v>
      </c>
      <c r="D88" s="47">
        <v>6321810</v>
      </c>
      <c r="E88" s="47">
        <v>0.87</v>
      </c>
      <c r="F88" s="47">
        <v>0.42</v>
      </c>
      <c r="G88" s="47">
        <v>0.45</v>
      </c>
      <c r="H88" s="47">
        <v>94.43</v>
      </c>
    </row>
    <row r="89" spans="1:8">
      <c r="A89" s="70" t="s">
        <v>360</v>
      </c>
      <c r="B89" s="47">
        <v>49590036</v>
      </c>
      <c r="C89" s="47">
        <v>24162733</v>
      </c>
      <c r="D89" s="47">
        <v>25427303</v>
      </c>
      <c r="E89" s="47">
        <v>3.52</v>
      </c>
      <c r="F89" s="47">
        <v>1.71</v>
      </c>
      <c r="G89" s="47">
        <v>1.8</v>
      </c>
      <c r="H89" s="47">
        <v>95.03</v>
      </c>
    </row>
    <row r="90" spans="1:8">
      <c r="A90" s="46" t="s">
        <v>361</v>
      </c>
      <c r="B90" s="47">
        <v>11600773</v>
      </c>
      <c r="C90" s="47">
        <v>5667080</v>
      </c>
      <c r="D90" s="47">
        <v>5933693</v>
      </c>
      <c r="E90" s="47">
        <v>0.82</v>
      </c>
      <c r="F90" s="47">
        <v>0.4</v>
      </c>
      <c r="G90" s="47">
        <v>0.42</v>
      </c>
      <c r="H90" s="47">
        <v>95.51</v>
      </c>
    </row>
    <row r="91" spans="1:8">
      <c r="A91" s="46" t="s">
        <v>362</v>
      </c>
      <c r="B91" s="47">
        <v>11228645</v>
      </c>
      <c r="C91" s="47">
        <v>5539299</v>
      </c>
      <c r="D91" s="47">
        <v>5689346</v>
      </c>
      <c r="E91" s="47">
        <v>0.8</v>
      </c>
      <c r="F91" s="47">
        <v>0.39</v>
      </c>
      <c r="G91" s="47">
        <v>0.4</v>
      </c>
      <c r="H91" s="47">
        <v>97.36</v>
      </c>
    </row>
    <row r="92" spans="1:8">
      <c r="A92" s="46" t="s">
        <v>363</v>
      </c>
      <c r="B92" s="47">
        <v>9552234</v>
      </c>
      <c r="C92" s="47">
        <v>4640378</v>
      </c>
      <c r="D92" s="47">
        <v>4911856</v>
      </c>
      <c r="E92" s="47">
        <v>0.68</v>
      </c>
      <c r="F92" s="47">
        <v>0.33</v>
      </c>
      <c r="G92" s="47">
        <v>0.35</v>
      </c>
      <c r="H92" s="47">
        <v>94.47</v>
      </c>
    </row>
    <row r="93" spans="1:8">
      <c r="A93" s="46" t="s">
        <v>364</v>
      </c>
      <c r="B93" s="47">
        <v>9046226</v>
      </c>
      <c r="C93" s="47">
        <v>4399581</v>
      </c>
      <c r="D93" s="47">
        <v>4646645</v>
      </c>
      <c r="E93" s="47">
        <v>0.64</v>
      </c>
      <c r="F93" s="47">
        <v>0.31</v>
      </c>
      <c r="G93" s="47">
        <v>0.33</v>
      </c>
      <c r="H93" s="47">
        <v>94.68</v>
      </c>
    </row>
    <row r="94" spans="1:8">
      <c r="A94" s="46" t="s">
        <v>365</v>
      </c>
      <c r="B94" s="47">
        <v>8162158</v>
      </c>
      <c r="C94" s="47">
        <v>3916395</v>
      </c>
      <c r="D94" s="47">
        <v>4245763</v>
      </c>
      <c r="E94" s="47">
        <v>0.58</v>
      </c>
      <c r="F94" s="47">
        <v>0.28</v>
      </c>
      <c r="G94" s="47">
        <v>0.3</v>
      </c>
      <c r="H94" s="47">
        <v>92.24</v>
      </c>
    </row>
    <row r="95" spans="1:8">
      <c r="A95" s="70" t="s">
        <v>366</v>
      </c>
      <c r="B95" s="47">
        <v>31238849</v>
      </c>
      <c r="C95" s="47">
        <v>14752433</v>
      </c>
      <c r="D95" s="47">
        <v>16486416</v>
      </c>
      <c r="E95" s="47">
        <v>2.22</v>
      </c>
      <c r="F95" s="47">
        <v>1.05</v>
      </c>
      <c r="G95" s="47">
        <v>1.17</v>
      </c>
      <c r="H95" s="47">
        <v>89.48</v>
      </c>
    </row>
    <row r="96" spans="1:8">
      <c r="A96" s="46" t="s">
        <v>367</v>
      </c>
      <c r="B96" s="47">
        <v>7179399</v>
      </c>
      <c r="C96" s="47">
        <v>3414021</v>
      </c>
      <c r="D96" s="47">
        <v>3765378</v>
      </c>
      <c r="E96" s="47">
        <v>0.51</v>
      </c>
      <c r="F96" s="47">
        <v>0.24</v>
      </c>
      <c r="G96" s="47">
        <v>0.27</v>
      </c>
      <c r="H96" s="47">
        <v>90.67</v>
      </c>
    </row>
    <row r="97" spans="1:8">
      <c r="A97" s="46" t="s">
        <v>368</v>
      </c>
      <c r="B97" s="47">
        <v>6818961</v>
      </c>
      <c r="C97" s="47">
        <v>3265307</v>
      </c>
      <c r="D97" s="47">
        <v>3553654</v>
      </c>
      <c r="E97" s="47">
        <v>0.48</v>
      </c>
      <c r="F97" s="47">
        <v>0.23</v>
      </c>
      <c r="G97" s="47">
        <v>0.25</v>
      </c>
      <c r="H97" s="47">
        <v>91.89</v>
      </c>
    </row>
    <row r="98" spans="1:8">
      <c r="A98" s="46" t="s">
        <v>369</v>
      </c>
      <c r="B98" s="47">
        <v>6019552</v>
      </c>
      <c r="C98" s="47">
        <v>2835339</v>
      </c>
      <c r="D98" s="47">
        <v>3184213</v>
      </c>
      <c r="E98" s="47">
        <v>0.43</v>
      </c>
      <c r="F98" s="47">
        <v>0.2</v>
      </c>
      <c r="G98" s="47">
        <v>0.23</v>
      </c>
      <c r="H98" s="47">
        <v>89.04</v>
      </c>
    </row>
    <row r="99" spans="1:8">
      <c r="A99" s="46" t="s">
        <v>370</v>
      </c>
      <c r="B99" s="47">
        <v>5672036</v>
      </c>
      <c r="C99" s="47">
        <v>2657484</v>
      </c>
      <c r="D99" s="47">
        <v>3014552</v>
      </c>
      <c r="E99" s="47">
        <v>0.4</v>
      </c>
      <c r="F99" s="47">
        <v>0.19</v>
      </c>
      <c r="G99" s="47">
        <v>0.21</v>
      </c>
      <c r="H99" s="47">
        <v>88.16</v>
      </c>
    </row>
    <row r="100" spans="1:8">
      <c r="A100" s="46" t="s">
        <v>371</v>
      </c>
      <c r="B100" s="47">
        <v>5548901</v>
      </c>
      <c r="C100" s="47">
        <v>2580282</v>
      </c>
      <c r="D100" s="47">
        <v>2968619</v>
      </c>
      <c r="E100" s="47">
        <v>0.39</v>
      </c>
      <c r="F100" s="47">
        <v>0.18</v>
      </c>
      <c r="G100" s="47">
        <v>0.21</v>
      </c>
      <c r="H100" s="47">
        <v>86.92</v>
      </c>
    </row>
    <row r="101" spans="1:8">
      <c r="A101" s="70" t="s">
        <v>372</v>
      </c>
      <c r="B101" s="47">
        <v>20382878</v>
      </c>
      <c r="C101" s="47">
        <v>9157003</v>
      </c>
      <c r="D101" s="47">
        <v>11225875</v>
      </c>
      <c r="E101" s="47">
        <v>1.45</v>
      </c>
      <c r="F101" s="47">
        <v>0.65</v>
      </c>
      <c r="G101" s="47">
        <v>0.8</v>
      </c>
      <c r="H101" s="47">
        <v>81.57</v>
      </c>
    </row>
    <row r="102" spans="1:8">
      <c r="A102" s="46" t="s">
        <v>373</v>
      </c>
      <c r="B102" s="47">
        <v>4919088</v>
      </c>
      <c r="C102" s="47">
        <v>2271741</v>
      </c>
      <c r="D102" s="47">
        <v>2647347</v>
      </c>
      <c r="E102" s="47">
        <v>0.35</v>
      </c>
      <c r="F102" s="47">
        <v>0.16</v>
      </c>
      <c r="G102" s="47">
        <v>0.19</v>
      </c>
      <c r="H102" s="47">
        <v>85.81</v>
      </c>
    </row>
    <row r="103" spans="1:8">
      <c r="A103" s="46" t="s">
        <v>374</v>
      </c>
      <c r="B103" s="47">
        <v>4139582</v>
      </c>
      <c r="C103" s="47">
        <v>1869035</v>
      </c>
      <c r="D103" s="47">
        <v>2270547</v>
      </c>
      <c r="E103" s="47">
        <v>0.29</v>
      </c>
      <c r="F103" s="47">
        <v>0.13</v>
      </c>
      <c r="G103" s="47">
        <v>0.16</v>
      </c>
      <c r="H103" s="47">
        <v>82.32</v>
      </c>
    </row>
    <row r="104" spans="1:8">
      <c r="A104" s="46" t="s">
        <v>375</v>
      </c>
      <c r="B104" s="47">
        <v>4242478</v>
      </c>
      <c r="C104" s="47">
        <v>1914824</v>
      </c>
      <c r="D104" s="47">
        <v>2327654</v>
      </c>
      <c r="E104" s="47">
        <v>0.3</v>
      </c>
      <c r="F104" s="47">
        <v>0.14</v>
      </c>
      <c r="G104" s="47">
        <v>0.17</v>
      </c>
      <c r="H104" s="47">
        <v>82.26</v>
      </c>
    </row>
    <row r="105" spans="1:8">
      <c r="A105" s="46" t="s">
        <v>376</v>
      </c>
      <c r="B105" s="47">
        <v>3711083</v>
      </c>
      <c r="C105" s="47">
        <v>1645840</v>
      </c>
      <c r="D105" s="47">
        <v>2065243</v>
      </c>
      <c r="E105" s="47">
        <v>0.26</v>
      </c>
      <c r="F105" s="47">
        <v>0.12</v>
      </c>
      <c r="G105" s="47">
        <v>0.15</v>
      </c>
      <c r="H105" s="47">
        <v>79.69</v>
      </c>
    </row>
    <row r="106" spans="1:8">
      <c r="A106" s="46" t="s">
        <v>377</v>
      </c>
      <c r="B106" s="47">
        <v>3370647</v>
      </c>
      <c r="C106" s="47">
        <v>1455563</v>
      </c>
      <c r="D106" s="47">
        <v>1915084</v>
      </c>
      <c r="E106" s="47">
        <v>0.24</v>
      </c>
      <c r="F106" s="47">
        <v>0.1</v>
      </c>
      <c r="G106" s="47">
        <v>0.14</v>
      </c>
      <c r="H106" s="47">
        <v>76.01</v>
      </c>
    </row>
    <row r="107" spans="1:8">
      <c r="A107" s="70" t="s">
        <v>378</v>
      </c>
      <c r="B107" s="47">
        <v>10826530</v>
      </c>
      <c r="C107" s="47">
        <v>4426091</v>
      </c>
      <c r="D107" s="47">
        <v>6400439</v>
      </c>
      <c r="E107" s="47">
        <v>0.77</v>
      </c>
      <c r="F107" s="47">
        <v>0.31</v>
      </c>
      <c r="G107" s="47">
        <v>0.45</v>
      </c>
      <c r="H107" s="47">
        <v>69.15</v>
      </c>
    </row>
    <row r="108" spans="1:8">
      <c r="A108" s="46" t="s">
        <v>379</v>
      </c>
      <c r="B108" s="47">
        <v>2909233</v>
      </c>
      <c r="C108" s="47">
        <v>1213783</v>
      </c>
      <c r="D108" s="47">
        <v>1695450</v>
      </c>
      <c r="E108" s="47">
        <v>0.21</v>
      </c>
      <c r="F108" s="47">
        <v>0.09</v>
      </c>
      <c r="G108" s="47">
        <v>0.12</v>
      </c>
      <c r="H108" s="47">
        <v>71.59</v>
      </c>
    </row>
    <row r="109" spans="1:8">
      <c r="A109" s="46" t="s">
        <v>380</v>
      </c>
      <c r="B109" s="47">
        <v>2518664</v>
      </c>
      <c r="C109" s="47">
        <v>1034635</v>
      </c>
      <c r="D109" s="47">
        <v>1484029</v>
      </c>
      <c r="E109" s="47">
        <v>0.18</v>
      </c>
      <c r="F109" s="47">
        <v>0.07</v>
      </c>
      <c r="G109" s="47">
        <v>0.11</v>
      </c>
      <c r="H109" s="47">
        <v>69.72</v>
      </c>
    </row>
    <row r="110" spans="1:8">
      <c r="A110" s="46" t="s">
        <v>381</v>
      </c>
      <c r="B110" s="47">
        <v>2285081</v>
      </c>
      <c r="C110" s="47">
        <v>935469</v>
      </c>
      <c r="D110" s="47">
        <v>1349612</v>
      </c>
      <c r="E110" s="47">
        <v>0.16</v>
      </c>
      <c r="F110" s="47">
        <v>0.07</v>
      </c>
      <c r="G110" s="47">
        <v>0.1</v>
      </c>
      <c r="H110" s="47">
        <v>69.31</v>
      </c>
    </row>
    <row r="111" spans="1:8">
      <c r="A111" s="46" t="s">
        <v>382</v>
      </c>
      <c r="B111" s="47">
        <v>1724439</v>
      </c>
      <c r="C111" s="47">
        <v>687799</v>
      </c>
      <c r="D111" s="47">
        <v>1036640</v>
      </c>
      <c r="E111" s="47">
        <v>0.12</v>
      </c>
      <c r="F111" s="47">
        <v>0.05</v>
      </c>
      <c r="G111" s="47">
        <v>0.07</v>
      </c>
      <c r="H111" s="47">
        <v>66.35</v>
      </c>
    </row>
    <row r="112" spans="1:8">
      <c r="A112" s="46" t="s">
        <v>383</v>
      </c>
      <c r="B112" s="47">
        <v>1389113</v>
      </c>
      <c r="C112" s="47">
        <v>554405</v>
      </c>
      <c r="D112" s="47">
        <v>834708</v>
      </c>
      <c r="E112" s="47">
        <v>0.1</v>
      </c>
      <c r="F112" s="47">
        <v>0.04</v>
      </c>
      <c r="G112" s="47">
        <v>0.06</v>
      </c>
      <c r="H112" s="47">
        <v>66.42</v>
      </c>
    </row>
    <row r="113" spans="1:8">
      <c r="A113" s="70" t="s">
        <v>384</v>
      </c>
      <c r="B113" s="47">
        <v>3652749</v>
      </c>
      <c r="C113" s="47">
        <v>1367594</v>
      </c>
      <c r="D113" s="47">
        <v>2285155</v>
      </c>
      <c r="E113" s="47">
        <v>0.26</v>
      </c>
      <c r="F113" s="47">
        <v>0.1</v>
      </c>
      <c r="G113" s="47">
        <v>0.16</v>
      </c>
      <c r="H113" s="47">
        <v>59.85</v>
      </c>
    </row>
    <row r="114" spans="1:8">
      <c r="A114" s="46" t="s">
        <v>385</v>
      </c>
      <c r="B114" s="47">
        <v>1216116</v>
      </c>
      <c r="C114" s="47">
        <v>476404</v>
      </c>
      <c r="D114" s="47">
        <v>739712</v>
      </c>
      <c r="E114" s="47">
        <v>0.09</v>
      </c>
      <c r="F114" s="47">
        <v>0.03</v>
      </c>
      <c r="G114" s="47">
        <v>0.05</v>
      </c>
      <c r="H114" s="47">
        <v>64.4</v>
      </c>
    </row>
    <row r="115" spans="1:8">
      <c r="A115" s="46" t="s">
        <v>386</v>
      </c>
      <c r="B115" s="47">
        <v>843235</v>
      </c>
      <c r="C115" s="47">
        <v>315634</v>
      </c>
      <c r="D115" s="47">
        <v>527601</v>
      </c>
      <c r="E115" s="47">
        <v>0.06</v>
      </c>
      <c r="F115" s="47">
        <v>0.02</v>
      </c>
      <c r="G115" s="47">
        <v>0.04</v>
      </c>
      <c r="H115" s="47">
        <v>59.82</v>
      </c>
    </row>
    <row r="116" spans="1:8">
      <c r="A116" s="46" t="s">
        <v>387</v>
      </c>
      <c r="B116" s="47">
        <v>712963</v>
      </c>
      <c r="C116" s="47">
        <v>262078</v>
      </c>
      <c r="D116" s="47">
        <v>450885</v>
      </c>
      <c r="E116" s="47">
        <v>0.05</v>
      </c>
      <c r="F116" s="47">
        <v>0.02</v>
      </c>
      <c r="G116" s="47">
        <v>0.03</v>
      </c>
      <c r="H116" s="47">
        <v>58.13</v>
      </c>
    </row>
    <row r="117" spans="1:8">
      <c r="A117" s="46" t="s">
        <v>388</v>
      </c>
      <c r="B117" s="47">
        <v>511539</v>
      </c>
      <c r="C117" s="47">
        <v>183520</v>
      </c>
      <c r="D117" s="47">
        <v>328019</v>
      </c>
      <c r="E117" s="47">
        <v>0.04</v>
      </c>
      <c r="F117" s="47">
        <v>0.01</v>
      </c>
      <c r="G117" s="47">
        <v>0.02</v>
      </c>
      <c r="H117" s="47">
        <v>55.95</v>
      </c>
    </row>
    <row r="118" spans="1:8">
      <c r="A118" s="46" t="s">
        <v>389</v>
      </c>
      <c r="B118" s="47">
        <v>368896</v>
      </c>
      <c r="C118" s="47">
        <v>129958</v>
      </c>
      <c r="D118" s="47">
        <v>238938</v>
      </c>
      <c r="E118" s="47">
        <v>0.03</v>
      </c>
      <c r="F118" s="47">
        <v>0.01</v>
      </c>
      <c r="G118" s="47">
        <v>0.02</v>
      </c>
      <c r="H118" s="47">
        <v>54.39</v>
      </c>
    </row>
    <row r="119" spans="1:8">
      <c r="A119" s="70" t="s">
        <v>390</v>
      </c>
      <c r="B119" s="47">
        <v>819812</v>
      </c>
      <c r="C119" s="47">
        <v>271455</v>
      </c>
      <c r="D119" s="47">
        <v>548357</v>
      </c>
      <c r="E119" s="47">
        <v>0.06</v>
      </c>
      <c r="F119" s="47">
        <v>0.02</v>
      </c>
      <c r="G119" s="47">
        <v>0.04</v>
      </c>
      <c r="H119" s="47">
        <v>49.5</v>
      </c>
    </row>
    <row r="120" spans="1:8">
      <c r="A120" s="46" t="s">
        <v>391</v>
      </c>
      <c r="B120" s="47">
        <v>289772</v>
      </c>
      <c r="C120" s="47">
        <v>98355</v>
      </c>
      <c r="D120" s="47">
        <v>191417</v>
      </c>
      <c r="E120" s="47">
        <v>0.02</v>
      </c>
      <c r="F120" s="47">
        <v>0.01</v>
      </c>
      <c r="G120" s="47">
        <v>0.01</v>
      </c>
      <c r="H120" s="47">
        <v>51.38</v>
      </c>
    </row>
    <row r="121" spans="1:8">
      <c r="A121" s="46" t="s">
        <v>392</v>
      </c>
      <c r="B121" s="47">
        <v>206218</v>
      </c>
      <c r="C121" s="47">
        <v>68067</v>
      </c>
      <c r="D121" s="47">
        <v>138151</v>
      </c>
      <c r="E121" s="47">
        <v>0.01</v>
      </c>
      <c r="F121" s="71"/>
      <c r="G121" s="47">
        <v>0.01</v>
      </c>
      <c r="H121" s="47">
        <v>49.27</v>
      </c>
    </row>
    <row r="122" spans="1:8">
      <c r="A122" s="46" t="s">
        <v>393</v>
      </c>
      <c r="B122" s="47">
        <v>143736</v>
      </c>
      <c r="C122" s="47">
        <v>46250</v>
      </c>
      <c r="D122" s="47">
        <v>97486</v>
      </c>
      <c r="E122" s="47">
        <v>0.01</v>
      </c>
      <c r="F122" s="71"/>
      <c r="G122" s="47">
        <v>0.01</v>
      </c>
      <c r="H122" s="47">
        <v>47.44</v>
      </c>
    </row>
    <row r="123" spans="1:8">
      <c r="A123" s="46" t="s">
        <v>394</v>
      </c>
      <c r="B123" s="47">
        <v>100616</v>
      </c>
      <c r="C123" s="47">
        <v>32835</v>
      </c>
      <c r="D123" s="47">
        <v>67781</v>
      </c>
      <c r="E123" s="47">
        <v>0.01</v>
      </c>
      <c r="F123" s="71"/>
      <c r="G123" s="71"/>
      <c r="H123" s="47">
        <v>48.44</v>
      </c>
    </row>
    <row r="124" spans="1:8">
      <c r="A124" s="46" t="s">
        <v>395</v>
      </c>
      <c r="B124" s="47">
        <v>79470</v>
      </c>
      <c r="C124" s="47">
        <v>25948</v>
      </c>
      <c r="D124" s="47">
        <v>53522</v>
      </c>
      <c r="E124" s="47">
        <v>0.01</v>
      </c>
      <c r="F124" s="71"/>
      <c r="G124" s="71"/>
      <c r="H124" s="47">
        <v>48.48</v>
      </c>
    </row>
    <row r="125" ht="31" spans="1:8">
      <c r="A125" s="55" t="s">
        <v>396</v>
      </c>
      <c r="B125" s="53">
        <v>118866</v>
      </c>
      <c r="C125" s="54">
        <v>35129</v>
      </c>
      <c r="D125" s="54">
        <v>83737</v>
      </c>
      <c r="E125" s="54">
        <v>0.01</v>
      </c>
      <c r="F125" s="72"/>
      <c r="G125" s="54">
        <v>0.01</v>
      </c>
      <c r="H125" s="54">
        <v>41.95</v>
      </c>
    </row>
  </sheetData>
  <mergeCells count="4">
    <mergeCell ref="B2:D2"/>
    <mergeCell ref="E2:G2"/>
    <mergeCell ref="A2:A3"/>
    <mergeCell ref="H2:H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:D25"/>
    </sheetView>
  </sheetViews>
  <sheetFormatPr defaultColWidth="9.23076923076923" defaultRowHeight="16.8" outlineLevelCol="3"/>
  <cols>
    <col min="1" max="1" width="22.7692307692308" customWidth="1"/>
    <col min="2" max="2" width="10.7692307692308" style="2" customWidth="1"/>
    <col min="3" max="3" width="16" style="2" customWidth="1"/>
    <col min="4" max="4" width="16" customWidth="1"/>
  </cols>
  <sheetData>
    <row r="1" spans="1:4">
      <c r="A1" t="s">
        <v>397</v>
      </c>
      <c r="B1" s="2" t="s">
        <v>398</v>
      </c>
      <c r="C1" s="2" t="s">
        <v>399</v>
      </c>
      <c r="D1" t="s">
        <v>400</v>
      </c>
    </row>
    <row r="2" spans="1:4">
      <c r="A2" t="s">
        <v>401</v>
      </c>
      <c r="B2" s="2">
        <v>20145</v>
      </c>
      <c r="C2" s="2">
        <v>3648654</v>
      </c>
      <c r="D2">
        <v>552.1</v>
      </c>
    </row>
    <row r="3" spans="1:4">
      <c r="A3" t="s">
        <v>402</v>
      </c>
      <c r="B3" s="2">
        <v>4059</v>
      </c>
      <c r="C3" s="2">
        <v>14862506</v>
      </c>
      <c r="D3">
        <v>27.3</v>
      </c>
    </row>
    <row r="4" spans="1:4">
      <c r="A4" t="s">
        <v>403</v>
      </c>
      <c r="B4" s="2">
        <v>2502</v>
      </c>
      <c r="C4" s="2">
        <v>20152757</v>
      </c>
      <c r="D4">
        <v>12.4</v>
      </c>
    </row>
    <row r="5" spans="1:4">
      <c r="A5" t="s">
        <v>404</v>
      </c>
      <c r="B5" s="2">
        <v>3503</v>
      </c>
      <c r="C5" s="2">
        <v>20834564</v>
      </c>
      <c r="D5">
        <v>16.8</v>
      </c>
    </row>
    <row r="6" spans="1:4">
      <c r="A6" t="s">
        <v>405</v>
      </c>
      <c r="B6" s="2">
        <v>12777</v>
      </c>
      <c r="C6" s="2">
        <v>22075480</v>
      </c>
      <c r="D6">
        <v>57.9</v>
      </c>
    </row>
    <row r="7" spans="1:4">
      <c r="A7" t="s">
        <v>406</v>
      </c>
      <c r="B7" s="2">
        <v>20934</v>
      </c>
      <c r="C7" s="2">
        <v>21811172</v>
      </c>
      <c r="D7">
        <v>96</v>
      </c>
    </row>
    <row r="8" spans="1:4">
      <c r="A8" t="s">
        <v>407</v>
      </c>
      <c r="B8" s="2">
        <v>27775</v>
      </c>
      <c r="C8" s="2">
        <v>22018360</v>
      </c>
      <c r="D8">
        <v>126.1</v>
      </c>
    </row>
    <row r="9" spans="1:4">
      <c r="A9" t="s">
        <v>408</v>
      </c>
      <c r="B9" s="2">
        <v>39674</v>
      </c>
      <c r="C9" s="2">
        <v>23524156</v>
      </c>
      <c r="D9">
        <v>168.7</v>
      </c>
    </row>
    <row r="10" spans="1:4">
      <c r="A10" t="s">
        <v>409</v>
      </c>
      <c r="B10" s="2">
        <v>46983</v>
      </c>
      <c r="C10" s="2">
        <v>22506644</v>
      </c>
      <c r="D10">
        <v>208.8</v>
      </c>
    </row>
    <row r="11" spans="1:4">
      <c r="A11" t="s">
        <v>410</v>
      </c>
      <c r="B11" s="2">
        <v>58353</v>
      </c>
      <c r="C11" s="2">
        <v>21884049</v>
      </c>
      <c r="D11">
        <v>266.6</v>
      </c>
    </row>
    <row r="12" spans="1:4">
      <c r="A12" t="s">
        <v>411</v>
      </c>
      <c r="B12" s="2">
        <v>67271</v>
      </c>
      <c r="C12" s="2">
        <v>19817010</v>
      </c>
      <c r="D12">
        <v>339.5</v>
      </c>
    </row>
    <row r="13" spans="1:4">
      <c r="A13" t="s">
        <v>412</v>
      </c>
      <c r="B13" s="2">
        <v>99502</v>
      </c>
      <c r="C13" s="2">
        <v>20676771</v>
      </c>
      <c r="D13">
        <v>481.2</v>
      </c>
    </row>
    <row r="14" spans="1:4">
      <c r="A14" t="s">
        <v>413</v>
      </c>
      <c r="B14" s="2">
        <v>148600</v>
      </c>
      <c r="C14" s="2">
        <v>20606257</v>
      </c>
      <c r="D14">
        <v>721.1</v>
      </c>
    </row>
    <row r="15" spans="1:4">
      <c r="A15" t="s">
        <v>414</v>
      </c>
      <c r="B15" s="2">
        <v>227934</v>
      </c>
      <c r="C15" s="2">
        <v>21248154</v>
      </c>
      <c r="D15">
        <v>1072.7</v>
      </c>
    </row>
    <row r="16" spans="1:4">
      <c r="A16" t="s">
        <v>415</v>
      </c>
      <c r="B16" s="2">
        <v>288996</v>
      </c>
      <c r="C16" s="2">
        <v>19150728</v>
      </c>
      <c r="D16">
        <v>1509.1</v>
      </c>
    </row>
    <row r="17" spans="1:4">
      <c r="A17" t="s">
        <v>416</v>
      </c>
      <c r="B17" s="2">
        <v>338684</v>
      </c>
      <c r="C17" s="2">
        <v>15534556</v>
      </c>
      <c r="D17">
        <v>2180.2</v>
      </c>
    </row>
    <row r="18" spans="1:4">
      <c r="A18" t="s">
        <v>417</v>
      </c>
      <c r="B18" s="2">
        <v>389791</v>
      </c>
      <c r="C18" s="2">
        <v>11387417</v>
      </c>
      <c r="D18">
        <v>3423</v>
      </c>
    </row>
    <row r="19" spans="1:4">
      <c r="A19" t="s">
        <v>418</v>
      </c>
      <c r="B19" s="2">
        <v>408397</v>
      </c>
      <c r="C19" s="2">
        <v>6980680</v>
      </c>
      <c r="D19">
        <v>5850.4</v>
      </c>
    </row>
    <row r="20" spans="1:4">
      <c r="A20" t="s">
        <v>419</v>
      </c>
      <c r="B20" s="2">
        <v>389919</v>
      </c>
      <c r="C20" s="2" t="s">
        <v>420</v>
      </c>
      <c r="D20" t="s">
        <v>420</v>
      </c>
    </row>
    <row r="21" spans="1:4">
      <c r="A21" t="s">
        <v>421</v>
      </c>
      <c r="B21" s="2">
        <v>312034</v>
      </c>
      <c r="C21" s="2" t="s">
        <v>420</v>
      </c>
      <c r="D21" t="s">
        <v>420</v>
      </c>
    </row>
    <row r="22" spans="1:4">
      <c r="A22" t="s">
        <v>422</v>
      </c>
      <c r="B22" s="2">
        <v>149364</v>
      </c>
      <c r="C22" s="2" t="s">
        <v>420</v>
      </c>
      <c r="D22" t="s">
        <v>420</v>
      </c>
    </row>
    <row r="23" spans="1:4">
      <c r="A23" t="s">
        <v>423</v>
      </c>
      <c r="B23" s="2">
        <v>33687</v>
      </c>
      <c r="C23" s="2" t="s">
        <v>420</v>
      </c>
      <c r="D23" t="s">
        <v>420</v>
      </c>
    </row>
    <row r="24" spans="1:4">
      <c r="A24" t="s">
        <v>424</v>
      </c>
      <c r="B24" s="2">
        <v>80</v>
      </c>
      <c r="C24" s="2" t="s">
        <v>420</v>
      </c>
      <c r="D24" t="s">
        <v>420</v>
      </c>
    </row>
    <row r="25" spans="1:4">
      <c r="B25" s="2">
        <v>3090964</v>
      </c>
      <c r="C25" s="2">
        <v>334914895</v>
      </c>
      <c r="D25">
        <v>922.9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opLeftCell="A49" workbookViewId="0">
      <selection activeCell="J95" sqref="J95"/>
    </sheetView>
  </sheetViews>
  <sheetFormatPr defaultColWidth="9.23076923076923" defaultRowHeight="16.8" outlineLevelCol="3"/>
  <cols>
    <col min="1" max="1" width="17.3076923076923" customWidth="1"/>
    <col min="3" max="3" width="17.2307692307692" customWidth="1"/>
  </cols>
  <sheetData>
    <row r="1" spans="1:4">
      <c r="A1" t="s">
        <v>425</v>
      </c>
      <c r="B1" s="2" t="s">
        <v>398</v>
      </c>
      <c r="C1" s="2" t="s">
        <v>399</v>
      </c>
      <c r="D1" s="2" t="s">
        <v>400</v>
      </c>
    </row>
    <row r="2" spans="1:4">
      <c r="A2" t="s">
        <v>401</v>
      </c>
      <c r="B2" s="2">
        <v>20145</v>
      </c>
      <c r="C2" s="2">
        <v>3648654</v>
      </c>
      <c r="D2" s="2">
        <v>552.1</v>
      </c>
    </row>
    <row r="3" spans="1:4">
      <c r="A3" t="s">
        <v>426</v>
      </c>
      <c r="B3" s="2">
        <v>1591</v>
      </c>
      <c r="C3" s="2">
        <v>3694222</v>
      </c>
      <c r="D3" s="2">
        <v>43.1</v>
      </c>
    </row>
    <row r="4" spans="1:4">
      <c r="A4" t="s">
        <v>427</v>
      </c>
      <c r="B4" s="2">
        <v>1046</v>
      </c>
      <c r="C4" s="2">
        <v>3611883</v>
      </c>
      <c r="D4" s="2">
        <v>29</v>
      </c>
    </row>
    <row r="5" spans="1:4">
      <c r="A5" t="s">
        <v>428</v>
      </c>
      <c r="B5" s="2">
        <v>802</v>
      </c>
      <c r="C5" s="2">
        <v>3747807</v>
      </c>
      <c r="D5" s="2">
        <v>21.4</v>
      </c>
    </row>
    <row r="6" spans="1:4">
      <c r="A6" t="s">
        <v>429</v>
      </c>
      <c r="B6" s="2">
        <v>620</v>
      </c>
      <c r="C6" s="2">
        <v>3808594</v>
      </c>
      <c r="D6" s="2">
        <v>16.3</v>
      </c>
    </row>
    <row r="7" spans="1:4">
      <c r="A7" t="s">
        <v>430</v>
      </c>
      <c r="B7" s="2">
        <v>606</v>
      </c>
      <c r="C7" s="2">
        <v>3896077</v>
      </c>
      <c r="D7" s="2">
        <v>15.6</v>
      </c>
    </row>
    <row r="8" spans="1:4">
      <c r="A8" t="s">
        <v>431</v>
      </c>
      <c r="B8" s="2">
        <v>498</v>
      </c>
      <c r="C8" s="2">
        <v>3972997</v>
      </c>
      <c r="D8" s="2">
        <v>12.5</v>
      </c>
    </row>
    <row r="9" spans="1:4">
      <c r="A9" t="s">
        <v>432</v>
      </c>
      <c r="B9" s="2">
        <v>470</v>
      </c>
      <c r="C9" s="2">
        <v>4075558</v>
      </c>
      <c r="D9" s="2">
        <v>11.5</v>
      </c>
    </row>
    <row r="10" spans="1:4">
      <c r="A10" t="s">
        <v>433</v>
      </c>
      <c r="B10" s="2">
        <v>457</v>
      </c>
      <c r="C10" s="2">
        <v>4110498</v>
      </c>
      <c r="D10" s="2">
        <v>11.1</v>
      </c>
    </row>
    <row r="11" spans="1:4">
      <c r="A11" t="s">
        <v>434</v>
      </c>
      <c r="B11" s="2">
        <v>471</v>
      </c>
      <c r="C11" s="2">
        <v>4097627</v>
      </c>
      <c r="D11" s="2">
        <v>11.5</v>
      </c>
    </row>
    <row r="12" spans="1:4">
      <c r="A12" t="s">
        <v>435</v>
      </c>
      <c r="B12" s="2">
        <v>455</v>
      </c>
      <c r="C12" s="2">
        <v>4083444</v>
      </c>
      <c r="D12" s="2">
        <v>11.1</v>
      </c>
    </row>
    <row r="13" spans="1:4">
      <c r="A13" t="s">
        <v>436</v>
      </c>
      <c r="B13" s="2">
        <v>535</v>
      </c>
      <c r="C13" s="2">
        <v>4089809</v>
      </c>
      <c r="D13" s="2">
        <v>13.1</v>
      </c>
    </row>
    <row r="14" spans="1:4">
      <c r="A14" t="s">
        <v>437</v>
      </c>
      <c r="B14" s="2">
        <v>603</v>
      </c>
      <c r="C14" s="2">
        <v>4134024</v>
      </c>
      <c r="D14" s="2">
        <v>14.6</v>
      </c>
    </row>
    <row r="15" spans="1:4">
      <c r="A15" t="s">
        <v>438</v>
      </c>
      <c r="B15" s="2">
        <v>813</v>
      </c>
      <c r="C15" s="2">
        <v>4219014</v>
      </c>
      <c r="D15" s="2">
        <v>19.3</v>
      </c>
    </row>
    <row r="16" spans="1:4">
      <c r="A16" t="s">
        <v>439</v>
      </c>
      <c r="B16" s="2">
        <v>1097</v>
      </c>
      <c r="C16" s="2">
        <v>4308273</v>
      </c>
      <c r="D16" s="2">
        <v>25.5</v>
      </c>
    </row>
    <row r="17" spans="1:4">
      <c r="A17" t="s">
        <v>440</v>
      </c>
      <c r="B17" s="2">
        <v>1547</v>
      </c>
      <c r="C17" s="2">
        <v>4472392</v>
      </c>
      <c r="D17" s="2">
        <v>34.6</v>
      </c>
    </row>
    <row r="18" spans="1:4">
      <c r="A18" t="s">
        <v>441</v>
      </c>
      <c r="B18" s="2">
        <v>2042</v>
      </c>
      <c r="C18" s="2">
        <v>4465940</v>
      </c>
      <c r="D18" s="2">
        <v>45.7</v>
      </c>
    </row>
    <row r="19" spans="1:4">
      <c r="A19" t="s">
        <v>442</v>
      </c>
      <c r="B19" s="2">
        <v>2497</v>
      </c>
      <c r="C19" s="2">
        <v>4395048</v>
      </c>
      <c r="D19" s="2">
        <v>56.8</v>
      </c>
    </row>
    <row r="20" spans="1:4">
      <c r="A20" t="s">
        <v>443</v>
      </c>
      <c r="B20" s="2">
        <v>3165</v>
      </c>
      <c r="C20" s="2">
        <v>4357485</v>
      </c>
      <c r="D20" s="2">
        <v>72.6</v>
      </c>
    </row>
    <row r="21" spans="1:4">
      <c r="A21" t="s">
        <v>444</v>
      </c>
      <c r="B21" s="2">
        <v>3526</v>
      </c>
      <c r="C21" s="2">
        <v>4384615</v>
      </c>
      <c r="D21" s="2">
        <v>80.4</v>
      </c>
    </row>
    <row r="22" spans="1:4">
      <c r="A22" t="s">
        <v>445</v>
      </c>
      <c r="B22" s="2">
        <v>3631</v>
      </c>
      <c r="C22" s="2">
        <v>4343892</v>
      </c>
      <c r="D22" s="2">
        <v>83.6</v>
      </c>
    </row>
    <row r="23" spans="1:4">
      <c r="A23" t="s">
        <v>446</v>
      </c>
      <c r="B23" s="2">
        <v>3977</v>
      </c>
      <c r="C23" s="2">
        <v>4322656</v>
      </c>
      <c r="D23" s="2">
        <v>92</v>
      </c>
    </row>
    <row r="24" spans="1:4">
      <c r="A24" t="s">
        <v>447</v>
      </c>
      <c r="B24" s="2">
        <v>4257</v>
      </c>
      <c r="C24" s="2">
        <v>4402354</v>
      </c>
      <c r="D24" s="2">
        <v>96.7</v>
      </c>
    </row>
    <row r="25" spans="1:4">
      <c r="A25" t="s">
        <v>448</v>
      </c>
      <c r="B25" s="2">
        <v>4413</v>
      </c>
      <c r="C25" s="2">
        <v>4405241</v>
      </c>
      <c r="D25" s="2">
        <v>100.2</v>
      </c>
    </row>
    <row r="26" spans="1:4">
      <c r="A26" t="s">
        <v>449</v>
      </c>
      <c r="B26" s="2">
        <v>4656</v>
      </c>
      <c r="C26" s="2">
        <v>4337029</v>
      </c>
      <c r="D26" s="2">
        <v>107.4</v>
      </c>
    </row>
    <row r="27" spans="1:4">
      <c r="A27" t="s">
        <v>450</v>
      </c>
      <c r="B27" s="2">
        <v>4866</v>
      </c>
      <c r="C27" s="2">
        <v>4330095</v>
      </c>
      <c r="D27" s="2">
        <v>112.4</v>
      </c>
    </row>
    <row r="28" spans="1:4">
      <c r="A28" t="s">
        <v>451</v>
      </c>
      <c r="B28" s="2">
        <v>5124</v>
      </c>
      <c r="C28" s="2">
        <v>4340084</v>
      </c>
      <c r="D28" s="2">
        <v>118.1</v>
      </c>
    </row>
    <row r="29" spans="1:4">
      <c r="A29" t="s">
        <v>452</v>
      </c>
      <c r="B29" s="2">
        <v>5500</v>
      </c>
      <c r="C29" s="2">
        <v>4368541</v>
      </c>
      <c r="D29" s="2">
        <v>125.9</v>
      </c>
    </row>
    <row r="30" spans="1:4">
      <c r="A30" t="s">
        <v>453</v>
      </c>
      <c r="B30" s="2">
        <v>5939</v>
      </c>
      <c r="C30" s="2">
        <v>4443648</v>
      </c>
      <c r="D30" s="2">
        <v>133.7</v>
      </c>
    </row>
    <row r="31" spans="1:4">
      <c r="A31" t="s">
        <v>454</v>
      </c>
      <c r="B31" s="2">
        <v>6346</v>
      </c>
      <c r="C31" s="2">
        <v>4535992</v>
      </c>
      <c r="D31" s="2">
        <v>139.9</v>
      </c>
    </row>
    <row r="32" spans="1:4">
      <c r="A32" t="s">
        <v>455</v>
      </c>
      <c r="B32" s="2">
        <v>6973</v>
      </c>
      <c r="C32" s="2">
        <v>4606983</v>
      </c>
      <c r="D32" s="2">
        <v>151.4</v>
      </c>
    </row>
    <row r="33" spans="1:4">
      <c r="A33" t="s">
        <v>456</v>
      </c>
      <c r="B33" s="2">
        <v>7556</v>
      </c>
      <c r="C33" s="2">
        <v>4708628</v>
      </c>
      <c r="D33" s="2">
        <v>160.5</v>
      </c>
    </row>
    <row r="34" spans="1:4">
      <c r="A34" t="s">
        <v>457</v>
      </c>
      <c r="B34" s="2">
        <v>8025</v>
      </c>
      <c r="C34" s="2">
        <v>4775545</v>
      </c>
      <c r="D34" s="2">
        <v>168</v>
      </c>
    </row>
    <row r="35" spans="1:4">
      <c r="A35" t="s">
        <v>458</v>
      </c>
      <c r="B35" s="2">
        <v>8548</v>
      </c>
      <c r="C35" s="2">
        <v>4785137</v>
      </c>
      <c r="D35" s="2">
        <v>178.6</v>
      </c>
    </row>
    <row r="36" spans="1:4">
      <c r="A36" t="s">
        <v>459</v>
      </c>
      <c r="B36" s="2">
        <v>8572</v>
      </c>
      <c r="C36" s="2">
        <v>4647863</v>
      </c>
      <c r="D36" s="2">
        <v>184.4</v>
      </c>
    </row>
    <row r="37" spans="1:4">
      <c r="A37" t="s">
        <v>460</v>
      </c>
      <c r="B37" s="2">
        <v>8826</v>
      </c>
      <c r="C37" s="2">
        <v>4562605</v>
      </c>
      <c r="D37" s="2">
        <v>193.4</v>
      </c>
    </row>
    <row r="38" spans="1:4">
      <c r="A38" t="s">
        <v>461</v>
      </c>
      <c r="B38" s="2">
        <v>8825</v>
      </c>
      <c r="C38" s="2">
        <v>4508995</v>
      </c>
      <c r="D38" s="2">
        <v>195.7</v>
      </c>
    </row>
    <row r="39" spans="1:4">
      <c r="A39" t="s">
        <v>462</v>
      </c>
      <c r="B39" s="2">
        <v>9513</v>
      </c>
      <c r="C39" s="2">
        <v>4515300</v>
      </c>
      <c r="D39" s="2">
        <v>210.7</v>
      </c>
    </row>
    <row r="40" spans="1:4">
      <c r="A40" t="s">
        <v>463</v>
      </c>
      <c r="B40" s="2">
        <v>9775</v>
      </c>
      <c r="C40" s="2">
        <v>4508193</v>
      </c>
      <c r="D40" s="2">
        <v>216.8</v>
      </c>
    </row>
    <row r="41" spans="1:4">
      <c r="A41" t="s">
        <v>464</v>
      </c>
      <c r="B41" s="2">
        <v>10044</v>
      </c>
      <c r="C41" s="2">
        <v>4411551</v>
      </c>
      <c r="D41" s="2">
        <v>227.7</v>
      </c>
    </row>
    <row r="42" spans="1:4">
      <c r="A42" t="s">
        <v>465</v>
      </c>
      <c r="B42" s="2">
        <v>10873</v>
      </c>
      <c r="C42" s="2">
        <v>4472605</v>
      </c>
      <c r="D42" s="2">
        <v>243.1</v>
      </c>
    </row>
    <row r="43" spans="1:4">
      <c r="A43" t="s">
        <v>466</v>
      </c>
      <c r="B43" s="2">
        <v>11152</v>
      </c>
      <c r="C43" s="2">
        <v>4460551</v>
      </c>
      <c r="D43" s="2">
        <v>250</v>
      </c>
    </row>
    <row r="44" spans="1:4">
      <c r="A44" t="s">
        <v>467</v>
      </c>
      <c r="B44" s="2">
        <v>11667</v>
      </c>
      <c r="C44" s="2">
        <v>4392613</v>
      </c>
      <c r="D44" s="2">
        <v>265.6</v>
      </c>
    </row>
    <row r="45" spans="1:4">
      <c r="A45" t="s">
        <v>468</v>
      </c>
      <c r="B45" s="2">
        <v>12168</v>
      </c>
      <c r="C45" s="2">
        <v>4369992</v>
      </c>
      <c r="D45" s="2">
        <v>278.4</v>
      </c>
    </row>
    <row r="46" spans="1:4">
      <c r="A46" t="s">
        <v>469</v>
      </c>
      <c r="B46" s="2">
        <v>12493</v>
      </c>
      <c r="C46" s="2">
        <v>4188288</v>
      </c>
      <c r="D46" s="2">
        <v>298.3</v>
      </c>
    </row>
    <row r="47" spans="1:4">
      <c r="A47" t="s">
        <v>470</v>
      </c>
      <c r="B47" s="2">
        <v>12637</v>
      </c>
      <c r="C47" s="2">
        <v>4091524</v>
      </c>
      <c r="D47" s="2">
        <v>308.9</v>
      </c>
    </row>
    <row r="48" spans="1:4">
      <c r="A48" t="s">
        <v>471</v>
      </c>
      <c r="B48" s="2">
        <v>12939</v>
      </c>
      <c r="C48" s="2">
        <v>4037052</v>
      </c>
      <c r="D48" s="2">
        <v>320.5</v>
      </c>
    </row>
    <row r="49" spans="1:4">
      <c r="A49" t="s">
        <v>472</v>
      </c>
      <c r="B49" s="2">
        <v>13098</v>
      </c>
      <c r="C49" s="2">
        <v>3896481</v>
      </c>
      <c r="D49" s="2">
        <v>336.1</v>
      </c>
    </row>
    <row r="50" spans="1:4">
      <c r="A50" t="s">
        <v>473</v>
      </c>
      <c r="B50" s="2">
        <v>13779</v>
      </c>
      <c r="C50" s="2">
        <v>3934951</v>
      </c>
      <c r="D50" s="2">
        <v>350.2</v>
      </c>
    </row>
    <row r="51" spans="1:4">
      <c r="A51" t="s">
        <v>474</v>
      </c>
      <c r="B51" s="2">
        <v>14818</v>
      </c>
      <c r="C51" s="2">
        <v>3857002</v>
      </c>
      <c r="D51" s="2">
        <v>384.2</v>
      </c>
    </row>
    <row r="52" spans="1:4">
      <c r="A52" t="s">
        <v>475</v>
      </c>
      <c r="B52" s="2">
        <v>16013</v>
      </c>
      <c r="C52" s="2">
        <v>3904908</v>
      </c>
      <c r="D52" s="2">
        <v>410.1</v>
      </c>
    </row>
    <row r="53" spans="1:4">
      <c r="A53" t="s">
        <v>476</v>
      </c>
      <c r="B53" s="2">
        <v>18102</v>
      </c>
      <c r="C53" s="2">
        <v>4089839</v>
      </c>
      <c r="D53" s="2">
        <v>442.6</v>
      </c>
    </row>
    <row r="54" spans="1:4">
      <c r="A54" t="s">
        <v>477</v>
      </c>
      <c r="B54" s="2">
        <v>20470</v>
      </c>
      <c r="C54" s="2">
        <v>4329946</v>
      </c>
      <c r="D54" s="2">
        <v>472.8</v>
      </c>
    </row>
    <row r="55" spans="1:4">
      <c r="A55" t="s">
        <v>478</v>
      </c>
      <c r="B55" s="2">
        <v>22033</v>
      </c>
      <c r="C55" s="2">
        <v>4257592</v>
      </c>
      <c r="D55" s="2">
        <v>517.5</v>
      </c>
    </row>
    <row r="56" spans="1:4">
      <c r="A56" t="s">
        <v>479</v>
      </c>
      <c r="B56" s="2">
        <v>22884</v>
      </c>
      <c r="C56" s="2">
        <v>4094486</v>
      </c>
      <c r="D56" s="2">
        <v>558.9</v>
      </c>
    </row>
    <row r="57" spans="1:4">
      <c r="A57" t="s">
        <v>480</v>
      </c>
      <c r="B57" s="2">
        <v>24035</v>
      </c>
      <c r="C57" s="2">
        <v>4002437</v>
      </c>
      <c r="D57" s="2">
        <v>600.5</v>
      </c>
    </row>
    <row r="58" spans="1:4">
      <c r="A58" t="s">
        <v>481</v>
      </c>
      <c r="B58" s="2">
        <v>26146</v>
      </c>
      <c r="C58" s="2">
        <v>4011474</v>
      </c>
      <c r="D58" s="2">
        <v>651.8</v>
      </c>
    </row>
    <row r="59" spans="1:4">
      <c r="A59" t="s">
        <v>482</v>
      </c>
      <c r="B59" s="2">
        <v>29499</v>
      </c>
      <c r="C59" s="2">
        <v>4065310</v>
      </c>
      <c r="D59" s="2">
        <v>725.6</v>
      </c>
    </row>
    <row r="60" spans="1:4">
      <c r="A60" t="s">
        <v>483</v>
      </c>
      <c r="B60" s="2">
        <v>32802</v>
      </c>
      <c r="C60" s="2">
        <v>4216422</v>
      </c>
      <c r="D60" s="2">
        <v>778</v>
      </c>
    </row>
    <row r="61" spans="1:4">
      <c r="A61" t="s">
        <v>484</v>
      </c>
      <c r="B61" s="2">
        <v>36118</v>
      </c>
      <c r="C61" s="2">
        <v>4310614</v>
      </c>
      <c r="D61" s="2">
        <v>837.9</v>
      </c>
    </row>
    <row r="62" spans="1:4">
      <c r="A62" t="s">
        <v>485</v>
      </c>
      <c r="B62" s="2">
        <v>39474</v>
      </c>
      <c r="C62" s="2">
        <v>4305792</v>
      </c>
      <c r="D62" s="2">
        <v>916.8</v>
      </c>
    </row>
    <row r="63" spans="1:4">
      <c r="A63" t="s">
        <v>486</v>
      </c>
      <c r="B63" s="2">
        <v>42617</v>
      </c>
      <c r="C63" s="2">
        <v>4312974</v>
      </c>
      <c r="D63" s="2">
        <v>988.1</v>
      </c>
    </row>
    <row r="64" spans="1:4">
      <c r="A64" t="s">
        <v>487</v>
      </c>
      <c r="B64" s="2">
        <v>46064</v>
      </c>
      <c r="C64" s="2">
        <v>4296811</v>
      </c>
      <c r="D64" s="2">
        <v>1072.1</v>
      </c>
    </row>
    <row r="65" spans="1:4">
      <c r="A65" t="s">
        <v>488</v>
      </c>
      <c r="B65" s="2">
        <v>48920</v>
      </c>
      <c r="C65" s="2">
        <v>4210811</v>
      </c>
      <c r="D65" s="2">
        <v>1161.8</v>
      </c>
    </row>
    <row r="66" spans="1:4">
      <c r="A66" t="s">
        <v>489</v>
      </c>
      <c r="B66" s="2">
        <v>50859</v>
      </c>
      <c r="C66" s="2">
        <v>4121766</v>
      </c>
      <c r="D66" s="2">
        <v>1233.9</v>
      </c>
    </row>
    <row r="67" spans="1:4">
      <c r="A67" t="s">
        <v>490</v>
      </c>
      <c r="B67" s="2">
        <v>53608</v>
      </c>
      <c r="C67" s="2">
        <v>4076998</v>
      </c>
      <c r="D67" s="2">
        <v>1314.9</v>
      </c>
    </row>
    <row r="68" spans="1:4">
      <c r="A68" t="s">
        <v>491</v>
      </c>
      <c r="B68" s="2">
        <v>56358</v>
      </c>
      <c r="C68" s="2">
        <v>3993009</v>
      </c>
      <c r="D68" s="2">
        <v>1411.4</v>
      </c>
    </row>
    <row r="69" spans="1:4">
      <c r="A69" t="s">
        <v>492</v>
      </c>
      <c r="B69" s="2">
        <v>57604</v>
      </c>
      <c r="C69" s="2">
        <v>3807066</v>
      </c>
      <c r="D69" s="2">
        <v>1513.1</v>
      </c>
    </row>
    <row r="70" spans="1:4">
      <c r="A70" t="s">
        <v>493</v>
      </c>
      <c r="B70" s="2">
        <v>59664</v>
      </c>
      <c r="C70" s="2">
        <v>3708627</v>
      </c>
      <c r="D70" s="2">
        <v>1608.8</v>
      </c>
    </row>
    <row r="71" spans="1:4">
      <c r="A71" t="s">
        <v>494</v>
      </c>
      <c r="B71" s="2">
        <v>61762</v>
      </c>
      <c r="C71" s="2">
        <v>3565028</v>
      </c>
      <c r="D71" s="2">
        <v>1732.4</v>
      </c>
    </row>
    <row r="72" spans="1:4">
      <c r="A72" t="s">
        <v>495</v>
      </c>
      <c r="B72" s="2">
        <v>62856</v>
      </c>
      <c r="C72" s="2">
        <v>3404652</v>
      </c>
      <c r="D72" s="2">
        <v>1846.2</v>
      </c>
    </row>
    <row r="73" spans="1:4">
      <c r="A73" t="s">
        <v>496</v>
      </c>
      <c r="B73" s="2">
        <v>65466</v>
      </c>
      <c r="C73" s="2">
        <v>3263824</v>
      </c>
      <c r="D73" s="2">
        <v>2005.8</v>
      </c>
    </row>
    <row r="74" spans="1:4">
      <c r="A74" t="s">
        <v>497</v>
      </c>
      <c r="B74" s="2">
        <v>67214</v>
      </c>
      <c r="C74" s="2">
        <v>3094183</v>
      </c>
      <c r="D74" s="2">
        <v>2172.3</v>
      </c>
    </row>
    <row r="75" spans="1:4">
      <c r="A75" t="s">
        <v>498</v>
      </c>
      <c r="B75" s="2">
        <v>69426</v>
      </c>
      <c r="C75" s="2">
        <v>2934599</v>
      </c>
      <c r="D75" s="2">
        <v>2365.8</v>
      </c>
    </row>
    <row r="76" spans="1:4">
      <c r="A76" t="s">
        <v>499</v>
      </c>
      <c r="B76" s="2">
        <v>73722</v>
      </c>
      <c r="C76" s="2">
        <v>2837298</v>
      </c>
      <c r="D76" s="2">
        <v>2598.3</v>
      </c>
    </row>
    <row r="77" spans="1:4">
      <c r="A77" t="s">
        <v>500</v>
      </c>
      <c r="B77" s="2">
        <v>78591</v>
      </c>
      <c r="C77" s="2">
        <v>2754372</v>
      </c>
      <c r="D77" s="2">
        <v>2853.3</v>
      </c>
    </row>
    <row r="78" spans="1:4">
      <c r="A78" t="s">
        <v>501</v>
      </c>
      <c r="B78" s="2">
        <v>85867</v>
      </c>
      <c r="C78" s="2">
        <v>2878060</v>
      </c>
      <c r="D78" s="2">
        <v>2983.5</v>
      </c>
    </row>
    <row r="79" spans="1:4">
      <c r="A79" t="s">
        <v>502</v>
      </c>
      <c r="B79" s="2">
        <v>71981</v>
      </c>
      <c r="C79" s="2">
        <v>2013416</v>
      </c>
      <c r="D79" s="2">
        <v>3575.1</v>
      </c>
    </row>
    <row r="80" spans="1:4">
      <c r="A80" t="s">
        <v>503</v>
      </c>
      <c r="B80" s="2">
        <v>73534</v>
      </c>
      <c r="C80" s="2">
        <v>1909705</v>
      </c>
      <c r="D80" s="2">
        <v>3850.5</v>
      </c>
    </row>
    <row r="81" spans="1:4">
      <c r="A81" t="s">
        <v>504</v>
      </c>
      <c r="B81" s="2">
        <v>79818</v>
      </c>
      <c r="C81" s="2">
        <v>1831864</v>
      </c>
      <c r="D81" s="2">
        <v>4357.2</v>
      </c>
    </row>
    <row r="82" spans="1:4">
      <c r="A82" t="s">
        <v>505</v>
      </c>
      <c r="B82" s="2">
        <v>86666</v>
      </c>
      <c r="C82" s="2">
        <v>1820383</v>
      </c>
      <c r="D82" s="2">
        <v>4760.9</v>
      </c>
    </row>
    <row r="83" spans="1:4">
      <c r="A83" t="s">
        <v>506</v>
      </c>
      <c r="B83" s="2">
        <v>81986</v>
      </c>
      <c r="C83" s="2">
        <v>1529152</v>
      </c>
      <c r="D83" s="2">
        <v>5361.5</v>
      </c>
    </row>
    <row r="84" spans="1:4">
      <c r="A84" t="s">
        <v>507</v>
      </c>
      <c r="B84" s="2">
        <v>80299</v>
      </c>
      <c r="C84" s="2">
        <v>1343429</v>
      </c>
      <c r="D84" s="2">
        <v>5977.2</v>
      </c>
    </row>
    <row r="85" spans="1:4">
      <c r="A85" t="s">
        <v>508</v>
      </c>
      <c r="B85" s="2">
        <v>79183</v>
      </c>
      <c r="C85" s="2">
        <v>1201444</v>
      </c>
      <c r="D85" s="2">
        <v>6590.7</v>
      </c>
    </row>
    <row r="86" spans="1:4">
      <c r="A86" t="s">
        <v>509</v>
      </c>
      <c r="B86" s="2">
        <v>80263</v>
      </c>
      <c r="C86" s="2">
        <v>1086272</v>
      </c>
      <c r="D86" s="2">
        <v>7388.8</v>
      </c>
    </row>
    <row r="87" spans="1:4">
      <c r="A87" t="s">
        <v>510</v>
      </c>
      <c r="B87" s="2">
        <v>81382</v>
      </c>
      <c r="C87" s="2" t="s">
        <v>420</v>
      </c>
      <c r="D87" s="2" t="s">
        <v>420</v>
      </c>
    </row>
    <row r="88" spans="1:4">
      <c r="A88" t="s">
        <v>511</v>
      </c>
      <c r="B88" s="2">
        <v>79090</v>
      </c>
      <c r="C88" s="2" t="s">
        <v>420</v>
      </c>
      <c r="D88" s="2" t="s">
        <v>420</v>
      </c>
    </row>
    <row r="89" spans="1:4">
      <c r="A89" t="s">
        <v>512</v>
      </c>
      <c r="B89" s="2">
        <v>78548</v>
      </c>
      <c r="C89" s="2" t="s">
        <v>420</v>
      </c>
      <c r="D89" s="2" t="s">
        <v>420</v>
      </c>
    </row>
    <row r="90" spans="1:4">
      <c r="A90" t="s">
        <v>513</v>
      </c>
      <c r="B90" s="2">
        <v>78107</v>
      </c>
      <c r="C90" s="2" t="s">
        <v>420</v>
      </c>
      <c r="D90" s="2" t="s">
        <v>420</v>
      </c>
    </row>
    <row r="91" spans="1:4">
      <c r="A91" t="s">
        <v>514</v>
      </c>
      <c r="B91" s="2">
        <v>72792</v>
      </c>
      <c r="C91" s="2" t="s">
        <v>420</v>
      </c>
      <c r="D91" s="2" t="s">
        <v>420</v>
      </c>
    </row>
    <row r="92" spans="1:4">
      <c r="A92" t="s">
        <v>515</v>
      </c>
      <c r="B92" s="2">
        <v>70981</v>
      </c>
      <c r="C92" s="2" t="s">
        <v>420</v>
      </c>
      <c r="D92" s="2" t="s">
        <v>420</v>
      </c>
    </row>
    <row r="93" spans="1:4">
      <c r="A93" t="s">
        <v>516</v>
      </c>
      <c r="B93" s="2">
        <v>68189</v>
      </c>
      <c r="C93" s="2" t="s">
        <v>420</v>
      </c>
      <c r="D93" s="2" t="s">
        <v>420</v>
      </c>
    </row>
    <row r="94" spans="1:4">
      <c r="A94" t="s">
        <v>517</v>
      </c>
      <c r="B94" s="2">
        <v>64033</v>
      </c>
      <c r="C94" s="2" t="s">
        <v>420</v>
      </c>
      <c r="D94" s="2" t="s">
        <v>420</v>
      </c>
    </row>
    <row r="95" spans="1:4">
      <c r="A95" t="s">
        <v>518</v>
      </c>
      <c r="B95" s="2">
        <v>58305</v>
      </c>
      <c r="C95" s="2" t="s">
        <v>420</v>
      </c>
      <c r="D95" s="2" t="s">
        <v>420</v>
      </c>
    </row>
    <row r="96" spans="1:4">
      <c r="A96" t="s">
        <v>519</v>
      </c>
      <c r="B96" s="2">
        <v>50526</v>
      </c>
      <c r="C96" s="2" t="s">
        <v>420</v>
      </c>
      <c r="D96" s="2" t="s">
        <v>420</v>
      </c>
    </row>
    <row r="97" spans="1:4">
      <c r="A97" t="s">
        <v>520</v>
      </c>
      <c r="B97" s="2">
        <v>43838</v>
      </c>
      <c r="C97" s="2" t="s">
        <v>420</v>
      </c>
      <c r="D97" s="2" t="s">
        <v>420</v>
      </c>
    </row>
    <row r="98" spans="1:4">
      <c r="A98" t="s">
        <v>521</v>
      </c>
      <c r="B98" s="2">
        <v>36506</v>
      </c>
      <c r="C98" s="2" t="s">
        <v>420</v>
      </c>
      <c r="D98" s="2" t="s">
        <v>420</v>
      </c>
    </row>
    <row r="99" spans="1:4">
      <c r="A99" t="s">
        <v>522</v>
      </c>
      <c r="B99" s="2">
        <v>29372</v>
      </c>
      <c r="C99" s="2" t="s">
        <v>420</v>
      </c>
      <c r="D99" s="2" t="s">
        <v>420</v>
      </c>
    </row>
    <row r="100" spans="1:4">
      <c r="A100" t="s">
        <v>523</v>
      </c>
      <c r="B100" s="2">
        <v>22845</v>
      </c>
      <c r="C100" s="2" t="s">
        <v>420</v>
      </c>
      <c r="D100" s="2" t="s">
        <v>420</v>
      </c>
    </row>
    <row r="101" spans="1:4">
      <c r="A101" t="s">
        <v>524</v>
      </c>
      <c r="B101" s="2">
        <v>16803</v>
      </c>
      <c r="C101" s="2" t="s">
        <v>420</v>
      </c>
      <c r="D101" s="2" t="s">
        <v>420</v>
      </c>
    </row>
    <row r="102" spans="1:4">
      <c r="A102" t="s">
        <v>423</v>
      </c>
      <c r="B102" s="2">
        <v>33687</v>
      </c>
      <c r="C102" s="2" t="s">
        <v>420</v>
      </c>
      <c r="D102" s="2" t="s">
        <v>420</v>
      </c>
    </row>
    <row r="103" spans="1:4">
      <c r="A103" t="s">
        <v>424</v>
      </c>
      <c r="B103" s="2">
        <v>80</v>
      </c>
      <c r="C103" s="2" t="s">
        <v>420</v>
      </c>
      <c r="D103" s="2" t="s">
        <v>420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"/>
  <sheetViews>
    <sheetView workbookViewId="0">
      <selection activeCell="C1" sqref="C$1:C$1048576"/>
    </sheetView>
  </sheetViews>
  <sheetFormatPr defaultColWidth="9.23076923076923" defaultRowHeight="17.6"/>
  <cols>
    <col min="1" max="1" width="15.0769230769231" style="37" customWidth="1"/>
    <col min="2" max="3" width="9.42307692307692" style="38" customWidth="1"/>
    <col min="4" max="4" width="7.80769230769231" style="37" customWidth="1"/>
    <col min="5" max="5" width="7.80769230769231" style="39" customWidth="1"/>
    <col min="6" max="10" width="7.80769230769231" style="40" customWidth="1"/>
    <col min="13" max="13" width="12.9230769230769" customWidth="1"/>
    <col min="14" max="14" width="13" customWidth="1"/>
    <col min="15" max="15" width="14.0769230769231"/>
    <col min="16" max="16" width="9.61538461538461" customWidth="1"/>
  </cols>
  <sheetData>
    <row r="1" ht="16.8" spans="1:16">
      <c r="A1" s="41" t="s">
        <v>271</v>
      </c>
      <c r="B1" s="42" t="s">
        <v>525</v>
      </c>
      <c r="C1" s="42" t="s">
        <v>526</v>
      </c>
      <c r="D1" s="43" t="s">
        <v>3</v>
      </c>
      <c r="E1" s="44"/>
      <c r="F1" s="45"/>
      <c r="G1" s="45"/>
      <c r="H1" s="45"/>
      <c r="I1" s="45"/>
      <c r="J1" s="45"/>
      <c r="K1" t="s">
        <v>425</v>
      </c>
      <c r="L1" s="2" t="s">
        <v>398</v>
      </c>
      <c r="M1" s="2" t="s">
        <v>399</v>
      </c>
      <c r="N1" s="2" t="s">
        <v>400</v>
      </c>
      <c r="O1" t="s">
        <v>527</v>
      </c>
      <c r="P1" t="s">
        <v>528</v>
      </c>
    </row>
    <row r="2" ht="16.8" spans="1:16">
      <c r="A2" s="46" t="s">
        <v>277</v>
      </c>
      <c r="B2" s="47">
        <v>13629879</v>
      </c>
      <c r="C2" s="47">
        <v>20822</v>
      </c>
      <c r="D2" s="48">
        <f>C2/B2</f>
        <v>0.00152767313634993</v>
      </c>
      <c r="E2" s="49">
        <f>D2/(1+0.85*D2)</f>
        <v>0.00152569199148066</v>
      </c>
      <c r="F2">
        <v>100000</v>
      </c>
      <c r="G2" s="50">
        <f>(F2+F3)/2</f>
        <v>99923.715400426</v>
      </c>
      <c r="H2" s="50">
        <f>SUM(G2:G$102)/F2</f>
        <v>81.6375274482263</v>
      </c>
      <c r="I2" s="50"/>
      <c r="J2" s="50"/>
      <c r="K2" t="s">
        <v>401</v>
      </c>
      <c r="L2" s="2">
        <v>20145</v>
      </c>
      <c r="M2" s="2">
        <v>3648654</v>
      </c>
      <c r="N2" s="51">
        <f>L2/M2</f>
        <v>0.00552121412444151</v>
      </c>
      <c r="O2" s="2">
        <f>D2-N2</f>
        <v>-0.00399354098809158</v>
      </c>
      <c r="P2" s="51">
        <f>O2/D2</f>
        <v>-2.61413314999657</v>
      </c>
    </row>
    <row r="3" ht="16.8" spans="1:16">
      <c r="A3" s="46" t="s">
        <v>278</v>
      </c>
      <c r="B3" s="47">
        <v>14644039</v>
      </c>
      <c r="C3" s="47">
        <v>5682</v>
      </c>
      <c r="D3" s="48">
        <f t="shared" ref="D3:D34" si="0">C3/B3</f>
        <v>0.000388007707436452</v>
      </c>
      <c r="E3" s="49">
        <f>D3/(1+0.5*D3)</f>
        <v>0.000387932447046743</v>
      </c>
      <c r="F3" s="50">
        <f>F2*(1-E2)</f>
        <v>99847.4308008519</v>
      </c>
      <c r="G3" s="50">
        <f t="shared" ref="G3:G34" si="1">(F3+F4)/2</f>
        <v>99828.063771771</v>
      </c>
      <c r="H3" s="50"/>
      <c r="I3" s="50"/>
      <c r="J3" s="50"/>
      <c r="K3" t="s">
        <v>426</v>
      </c>
      <c r="L3" s="2">
        <v>1591</v>
      </c>
      <c r="M3" s="2">
        <v>3694222</v>
      </c>
      <c r="N3" s="51">
        <f t="shared" ref="N3:N34" si="2">L3/M3</f>
        <v>0.000430672547562112</v>
      </c>
      <c r="O3" s="2">
        <f t="shared" ref="O3:O34" si="3">D3-N3</f>
        <v>-4.26648401256594e-5</v>
      </c>
      <c r="P3" s="51">
        <f t="shared" ref="P3:P34" si="4">O3/D3</f>
        <v>-0.109958743880486</v>
      </c>
    </row>
    <row r="4" ht="16.8" spans="1:16">
      <c r="A4" s="46" t="s">
        <v>279</v>
      </c>
      <c r="B4" s="47">
        <v>16630267</v>
      </c>
      <c r="C4" s="47">
        <v>4383</v>
      </c>
      <c r="D4" s="48">
        <f t="shared" si="0"/>
        <v>0.000263555600159637</v>
      </c>
      <c r="E4" s="49">
        <f t="shared" ref="E4:E35" si="5">D4/(1+0.5*D4)</f>
        <v>0.000263520873958591</v>
      </c>
      <c r="F4" s="50">
        <f t="shared" ref="F4:F35" si="6">F3*(1-E3)</f>
        <v>99808.69674269</v>
      </c>
      <c r="G4" s="50">
        <f t="shared" si="1"/>
        <v>99795.5459051929</v>
      </c>
      <c r="H4" s="50"/>
      <c r="I4" s="50"/>
      <c r="J4" s="50"/>
      <c r="K4" t="s">
        <v>427</v>
      </c>
      <c r="L4" s="2">
        <v>1046</v>
      </c>
      <c r="M4" s="2">
        <v>3611883</v>
      </c>
      <c r="N4" s="51">
        <f t="shared" si="2"/>
        <v>0.000289599635425621</v>
      </c>
      <c r="O4" s="2">
        <f t="shared" si="3"/>
        <v>-2.60440352659849e-5</v>
      </c>
      <c r="P4" s="51">
        <f t="shared" si="4"/>
        <v>-0.0988179922954014</v>
      </c>
    </row>
    <row r="5" ht="16.8" spans="1:16">
      <c r="A5" s="46" t="s">
        <v>280</v>
      </c>
      <c r="B5" s="47">
        <v>19182135</v>
      </c>
      <c r="C5" s="47">
        <v>3841</v>
      </c>
      <c r="D5" s="48">
        <f t="shared" si="0"/>
        <v>0.000200238398906065</v>
      </c>
      <c r="E5" s="49">
        <f t="shared" si="5"/>
        <v>0.000200218353204827</v>
      </c>
      <c r="F5" s="50">
        <f t="shared" si="6"/>
        <v>99782.3950676957</v>
      </c>
      <c r="G5" s="50">
        <f t="shared" si="1"/>
        <v>99772.4059342861</v>
      </c>
      <c r="H5" s="50"/>
      <c r="I5" s="50"/>
      <c r="J5" s="50"/>
      <c r="K5" t="s">
        <v>428</v>
      </c>
      <c r="L5" s="2">
        <v>802</v>
      </c>
      <c r="M5" s="2">
        <v>3747807</v>
      </c>
      <c r="N5" s="51">
        <f t="shared" si="2"/>
        <v>0.000213991809076615</v>
      </c>
      <c r="O5" s="2">
        <f t="shared" si="3"/>
        <v>-1.37534101705492e-5</v>
      </c>
      <c r="P5" s="51">
        <f t="shared" si="4"/>
        <v>-0.0686851784956647</v>
      </c>
    </row>
    <row r="6" ht="16.8" spans="1:16">
      <c r="A6" s="46" t="s">
        <v>281</v>
      </c>
      <c r="B6" s="47">
        <v>16026750</v>
      </c>
      <c r="C6" s="47">
        <v>2901</v>
      </c>
      <c r="D6" s="48">
        <f t="shared" si="0"/>
        <v>0.000181009874116711</v>
      </c>
      <c r="E6" s="49">
        <f t="shared" si="5"/>
        <v>0.000180993493311991</v>
      </c>
      <c r="F6" s="50">
        <f t="shared" si="6"/>
        <v>99762.4168008764</v>
      </c>
      <c r="G6" s="50">
        <f t="shared" si="1"/>
        <v>99753.3886267174</v>
      </c>
      <c r="H6" s="50"/>
      <c r="I6" s="50"/>
      <c r="J6" s="50"/>
      <c r="K6" t="s">
        <v>429</v>
      </c>
      <c r="L6" s="2">
        <v>620</v>
      </c>
      <c r="M6" s="2">
        <v>3808594</v>
      </c>
      <c r="N6" s="51">
        <f t="shared" si="2"/>
        <v>0.000162789732904059</v>
      </c>
      <c r="O6" s="2">
        <f t="shared" si="3"/>
        <v>1.82201412126526e-5</v>
      </c>
      <c r="P6" s="51">
        <f t="shared" si="4"/>
        <v>0.100658272381896</v>
      </c>
    </row>
    <row r="7" ht="16.8" spans="1:16">
      <c r="A7" s="46" t="s">
        <v>283</v>
      </c>
      <c r="B7" s="47">
        <v>18446977</v>
      </c>
      <c r="C7" s="47">
        <v>2874</v>
      </c>
      <c r="D7" s="48">
        <f t="shared" si="0"/>
        <v>0.000155797884932583</v>
      </c>
      <c r="E7" s="49">
        <f t="shared" si="5"/>
        <v>0.000155785749387454</v>
      </c>
      <c r="F7" s="50">
        <f t="shared" si="6"/>
        <v>99744.3604525584</v>
      </c>
      <c r="G7" s="50">
        <f t="shared" si="1"/>
        <v>99736.5910775882</v>
      </c>
      <c r="H7" s="50"/>
      <c r="I7" s="50"/>
      <c r="J7" s="50"/>
      <c r="K7" t="s">
        <v>430</v>
      </c>
      <c r="L7" s="2">
        <v>606</v>
      </c>
      <c r="M7" s="2">
        <v>3896077</v>
      </c>
      <c r="N7" s="51">
        <f t="shared" si="2"/>
        <v>0.000155541073751879</v>
      </c>
      <c r="O7" s="2">
        <f t="shared" si="3"/>
        <v>2.56811180703601e-7</v>
      </c>
      <c r="P7" s="51">
        <f t="shared" si="4"/>
        <v>0.00164836114954146</v>
      </c>
    </row>
    <row r="8" ht="16.8" spans="1:16">
      <c r="A8" s="46" t="s">
        <v>284</v>
      </c>
      <c r="B8" s="47">
        <v>17821500</v>
      </c>
      <c r="C8" s="47">
        <v>2566</v>
      </c>
      <c r="D8" s="48">
        <f t="shared" si="0"/>
        <v>0.000143983390848133</v>
      </c>
      <c r="E8" s="49">
        <f t="shared" si="5"/>
        <v>0.000143973025985897</v>
      </c>
      <c r="F8" s="50">
        <f t="shared" si="6"/>
        <v>99728.8217026181</v>
      </c>
      <c r="G8" s="50">
        <f t="shared" si="1"/>
        <v>99721.6425724989</v>
      </c>
      <c r="H8" s="50"/>
      <c r="I8" s="50"/>
      <c r="J8" s="50"/>
      <c r="K8" t="s">
        <v>431</v>
      </c>
      <c r="L8" s="2">
        <v>498</v>
      </c>
      <c r="M8" s="2">
        <v>3972997</v>
      </c>
      <c r="N8" s="51">
        <f t="shared" si="2"/>
        <v>0.00012534618072956</v>
      </c>
      <c r="O8" s="2">
        <f t="shared" si="3"/>
        <v>1.86372101185728e-5</v>
      </c>
      <c r="P8" s="51">
        <f t="shared" si="4"/>
        <v>0.129440000049939</v>
      </c>
    </row>
    <row r="9" ht="16.8" spans="1:16">
      <c r="A9" s="46" t="s">
        <v>285</v>
      </c>
      <c r="B9" s="47">
        <v>19169898</v>
      </c>
      <c r="C9" s="47">
        <v>2554</v>
      </c>
      <c r="D9" s="48">
        <f t="shared" si="0"/>
        <v>0.000133229712542028</v>
      </c>
      <c r="E9" s="49">
        <f t="shared" si="5"/>
        <v>0.000133220838055049</v>
      </c>
      <c r="F9" s="50">
        <f t="shared" si="6"/>
        <v>99714.4634423796</v>
      </c>
      <c r="G9" s="50">
        <f t="shared" si="1"/>
        <v>99707.8214201866</v>
      </c>
      <c r="H9" s="50"/>
      <c r="I9" s="50"/>
      <c r="J9" s="50"/>
      <c r="K9" t="s">
        <v>432</v>
      </c>
      <c r="L9" s="2">
        <v>470</v>
      </c>
      <c r="M9" s="2">
        <v>4075558</v>
      </c>
      <c r="N9" s="51">
        <f t="shared" si="2"/>
        <v>0.000115321632031737</v>
      </c>
      <c r="O9" s="2">
        <f t="shared" si="3"/>
        <v>1.79080805102916e-5</v>
      </c>
      <c r="P9" s="51">
        <f t="shared" si="4"/>
        <v>0.134415065292905</v>
      </c>
    </row>
    <row r="10" ht="16.8" spans="1:16">
      <c r="A10" s="46" t="s">
        <v>286</v>
      </c>
      <c r="B10" s="47">
        <v>18239913</v>
      </c>
      <c r="C10" s="47">
        <v>2391</v>
      </c>
      <c r="D10" s="48">
        <f t="shared" si="0"/>
        <v>0.000131086151562236</v>
      </c>
      <c r="E10" s="49">
        <f t="shared" si="5"/>
        <v>0.000131077560335766</v>
      </c>
      <c r="F10" s="50">
        <f t="shared" si="6"/>
        <v>99701.1793979936</v>
      </c>
      <c r="G10" s="50">
        <f t="shared" si="1"/>
        <v>99694.6451043145</v>
      </c>
      <c r="H10" s="50"/>
      <c r="I10" s="50"/>
      <c r="J10" s="50"/>
      <c r="K10" t="s">
        <v>433</v>
      </c>
      <c r="L10" s="2">
        <v>457</v>
      </c>
      <c r="M10" s="2">
        <v>4110498</v>
      </c>
      <c r="N10" s="51">
        <f t="shared" si="2"/>
        <v>0.000111178742818997</v>
      </c>
      <c r="O10" s="2">
        <f t="shared" si="3"/>
        <v>1.99074087432394e-5</v>
      </c>
      <c r="P10" s="51">
        <f t="shared" si="4"/>
        <v>0.151865078850743</v>
      </c>
    </row>
    <row r="11" ht="16.8" spans="1:16">
      <c r="A11" s="46" t="s">
        <v>287</v>
      </c>
      <c r="B11" s="47">
        <v>17550502</v>
      </c>
      <c r="C11" s="47">
        <v>2244</v>
      </c>
      <c r="D11" s="48">
        <f t="shared" si="0"/>
        <v>0.000127859590568976</v>
      </c>
      <c r="E11" s="49">
        <f t="shared" si="5"/>
        <v>0.000127851417054057</v>
      </c>
      <c r="F11" s="50">
        <f t="shared" si="6"/>
        <v>99688.1108106355</v>
      </c>
      <c r="G11" s="50">
        <f t="shared" si="1"/>
        <v>99681.7381775202</v>
      </c>
      <c r="H11" s="50"/>
      <c r="I11" s="50"/>
      <c r="J11" s="50"/>
      <c r="K11" t="s">
        <v>434</v>
      </c>
      <c r="L11" s="2">
        <v>471</v>
      </c>
      <c r="M11" s="2">
        <v>4097627</v>
      </c>
      <c r="N11" s="51">
        <f t="shared" si="2"/>
        <v>0.000114944576458521</v>
      </c>
      <c r="O11" s="2">
        <f t="shared" si="3"/>
        <v>1.29150141104553e-5</v>
      </c>
      <c r="P11" s="51">
        <f t="shared" si="4"/>
        <v>0.101009349810862</v>
      </c>
    </row>
    <row r="12" ht="16.8" spans="1:16">
      <c r="A12" s="46" t="s">
        <v>289</v>
      </c>
      <c r="B12" s="47">
        <v>17632068</v>
      </c>
      <c r="C12" s="47">
        <v>2515</v>
      </c>
      <c r="D12" s="48">
        <f t="shared" si="0"/>
        <v>0.000142637834654449</v>
      </c>
      <c r="E12" s="49">
        <f t="shared" si="5"/>
        <v>0.000142627662603971</v>
      </c>
      <c r="F12" s="50">
        <f t="shared" si="6"/>
        <v>99675.3655444049</v>
      </c>
      <c r="G12" s="50">
        <f t="shared" si="1"/>
        <v>99668.2573122015</v>
      </c>
      <c r="H12" s="50"/>
      <c r="I12" s="50"/>
      <c r="J12" s="50"/>
      <c r="K12" t="s">
        <v>435</v>
      </c>
      <c r="L12" s="2">
        <v>455</v>
      </c>
      <c r="M12" s="2">
        <v>4083444</v>
      </c>
      <c r="N12" s="51">
        <f t="shared" si="2"/>
        <v>0.000111425551568725</v>
      </c>
      <c r="O12" s="2">
        <f t="shared" si="3"/>
        <v>3.12122830857241e-5</v>
      </c>
      <c r="P12" s="51">
        <f t="shared" si="4"/>
        <v>0.218821907675045</v>
      </c>
    </row>
    <row r="13" ht="16.8" spans="1:16">
      <c r="A13" s="46" t="s">
        <v>290</v>
      </c>
      <c r="B13" s="47">
        <v>17389521</v>
      </c>
      <c r="C13" s="47">
        <v>2652</v>
      </c>
      <c r="D13" s="48">
        <f t="shared" si="0"/>
        <v>0.000152505638309416</v>
      </c>
      <c r="E13" s="49">
        <f t="shared" si="5"/>
        <v>0.000152494010211234</v>
      </c>
      <c r="F13" s="50">
        <f t="shared" si="6"/>
        <v>99661.1490799981</v>
      </c>
      <c r="G13" s="50">
        <f t="shared" si="1"/>
        <v>99653.5502158554</v>
      </c>
      <c r="H13" s="50"/>
      <c r="I13" s="50"/>
      <c r="J13" s="50"/>
      <c r="K13" t="s">
        <v>436</v>
      </c>
      <c r="L13" s="2">
        <v>535</v>
      </c>
      <c r="M13" s="2">
        <v>4089809</v>
      </c>
      <c r="N13" s="51">
        <f t="shared" si="2"/>
        <v>0.00013081295483481</v>
      </c>
      <c r="O13" s="2">
        <f t="shared" si="3"/>
        <v>2.16926834746062e-5</v>
      </c>
      <c r="P13" s="51">
        <f t="shared" si="4"/>
        <v>0.142241845711922</v>
      </c>
    </row>
    <row r="14" ht="16.8" spans="1:16">
      <c r="A14" s="46" t="s">
        <v>291</v>
      </c>
      <c r="B14" s="47">
        <v>17249919</v>
      </c>
      <c r="C14" s="47">
        <v>2994</v>
      </c>
      <c r="D14" s="48">
        <f t="shared" si="0"/>
        <v>0.000173566032397022</v>
      </c>
      <c r="E14" s="49">
        <f t="shared" si="5"/>
        <v>0.000173550971120284</v>
      </c>
      <c r="F14" s="50">
        <f t="shared" si="6"/>
        <v>99645.9513517126</v>
      </c>
      <c r="G14" s="50">
        <f t="shared" si="1"/>
        <v>99637.3045259</v>
      </c>
      <c r="H14" s="50"/>
      <c r="I14" s="50"/>
      <c r="J14" s="50"/>
      <c r="K14" t="s">
        <v>437</v>
      </c>
      <c r="L14" s="2">
        <v>603</v>
      </c>
      <c r="M14" s="2">
        <v>4134024</v>
      </c>
      <c r="N14" s="51">
        <f t="shared" si="2"/>
        <v>0.000145862723583608</v>
      </c>
      <c r="O14" s="2">
        <f t="shared" si="3"/>
        <v>2.77033088134141e-5</v>
      </c>
      <c r="P14" s="51">
        <f t="shared" si="4"/>
        <v>0.159612502693179</v>
      </c>
    </row>
    <row r="15" ht="16.8" spans="1:16">
      <c r="A15" s="46" t="s">
        <v>292</v>
      </c>
      <c r="B15" s="47">
        <v>16468441</v>
      </c>
      <c r="C15" s="47">
        <v>3554</v>
      </c>
      <c r="D15" s="48">
        <f t="shared" si="0"/>
        <v>0.000215806705686349</v>
      </c>
      <c r="E15" s="49">
        <f t="shared" si="5"/>
        <v>0.000215783421931634</v>
      </c>
      <c r="F15" s="50">
        <f t="shared" si="6"/>
        <v>99628.6577000873</v>
      </c>
      <c r="G15" s="50">
        <f t="shared" si="1"/>
        <v>99617.9085937468</v>
      </c>
      <c r="H15" s="50"/>
      <c r="I15" s="50"/>
      <c r="J15" s="50"/>
      <c r="K15" t="s">
        <v>438</v>
      </c>
      <c r="L15" s="2">
        <v>813</v>
      </c>
      <c r="M15" s="2">
        <v>4219014</v>
      </c>
      <c r="N15" s="51">
        <f t="shared" si="2"/>
        <v>0.00019269905243263</v>
      </c>
      <c r="O15" s="2">
        <f t="shared" si="3"/>
        <v>2.31076532537188e-5</v>
      </c>
      <c r="P15" s="51">
        <f t="shared" si="4"/>
        <v>0.107075696189456</v>
      </c>
    </row>
    <row r="16" ht="16.8" spans="1:16">
      <c r="A16" s="46" t="s">
        <v>293</v>
      </c>
      <c r="B16" s="47">
        <v>15633419</v>
      </c>
      <c r="C16" s="47">
        <v>3811</v>
      </c>
      <c r="D16" s="48">
        <f t="shared" si="0"/>
        <v>0.000243772651395066</v>
      </c>
      <c r="E16" s="49">
        <f t="shared" si="5"/>
        <v>0.000243742942463394</v>
      </c>
      <c r="F16" s="50">
        <f t="shared" si="6"/>
        <v>99607.1594874064</v>
      </c>
      <c r="G16" s="50">
        <f t="shared" si="1"/>
        <v>99595.0202163344</v>
      </c>
      <c r="H16" s="50"/>
      <c r="I16" s="50"/>
      <c r="J16" s="50"/>
      <c r="K16" t="s">
        <v>439</v>
      </c>
      <c r="L16" s="2">
        <v>1097</v>
      </c>
      <c r="M16" s="2">
        <v>4308273</v>
      </c>
      <c r="N16" s="51">
        <f t="shared" si="2"/>
        <v>0.000254626389738998</v>
      </c>
      <c r="O16" s="2">
        <f t="shared" si="3"/>
        <v>-1.08537383439316e-5</v>
      </c>
      <c r="P16" s="51">
        <f t="shared" si="4"/>
        <v>-0.0445240197446993</v>
      </c>
    </row>
    <row r="17" ht="16.8" spans="1:16">
      <c r="A17" s="46" t="s">
        <v>295</v>
      </c>
      <c r="B17" s="47">
        <v>15508355</v>
      </c>
      <c r="C17" s="47">
        <v>4153</v>
      </c>
      <c r="D17" s="48">
        <f t="shared" si="0"/>
        <v>0.000267791135810342</v>
      </c>
      <c r="E17" s="49">
        <f t="shared" si="5"/>
        <v>0.000267755284564456</v>
      </c>
      <c r="F17" s="50">
        <f t="shared" si="6"/>
        <v>99582.8809452625</v>
      </c>
      <c r="G17" s="50">
        <f t="shared" si="1"/>
        <v>99569.5490239498</v>
      </c>
      <c r="H17" s="50"/>
      <c r="I17" s="50"/>
      <c r="J17" s="50"/>
      <c r="K17" t="s">
        <v>440</v>
      </c>
      <c r="L17" s="2">
        <v>1547</v>
      </c>
      <c r="M17" s="2">
        <v>4472392</v>
      </c>
      <c r="N17" s="51">
        <f t="shared" si="2"/>
        <v>0.000345899912172278</v>
      </c>
      <c r="O17" s="2">
        <f t="shared" si="3"/>
        <v>-7.81087763619361e-5</v>
      </c>
      <c r="P17" s="51">
        <f t="shared" si="4"/>
        <v>-0.291677975544549</v>
      </c>
    </row>
    <row r="18" ht="16.8" spans="1:16">
      <c r="A18" s="46" t="s">
        <v>296</v>
      </c>
      <c r="B18" s="47">
        <v>14000569</v>
      </c>
      <c r="C18" s="47">
        <v>3927</v>
      </c>
      <c r="D18" s="48">
        <f t="shared" si="0"/>
        <v>0.000280488600141894</v>
      </c>
      <c r="E18" s="49">
        <f t="shared" si="5"/>
        <v>0.000280449268730496</v>
      </c>
      <c r="F18" s="50">
        <f t="shared" si="6"/>
        <v>99556.2171026372</v>
      </c>
      <c r="G18" s="50">
        <f t="shared" si="1"/>
        <v>99542.2568684952</v>
      </c>
      <c r="H18" s="50"/>
      <c r="I18" s="50"/>
      <c r="J18" s="50"/>
      <c r="K18" t="s">
        <v>441</v>
      </c>
      <c r="L18" s="2">
        <v>2042</v>
      </c>
      <c r="M18" s="2">
        <v>4465940</v>
      </c>
      <c r="N18" s="51">
        <f t="shared" si="2"/>
        <v>0.000457238565677103</v>
      </c>
      <c r="O18" s="2">
        <f t="shared" si="3"/>
        <v>-0.000176749965535208</v>
      </c>
      <c r="P18" s="51">
        <f t="shared" si="4"/>
        <v>-0.630150264380776</v>
      </c>
    </row>
    <row r="19" ht="16.8" spans="1:16">
      <c r="A19" s="46" t="s">
        <v>297</v>
      </c>
      <c r="B19" s="47">
        <v>14243352</v>
      </c>
      <c r="C19" s="47">
        <v>4010</v>
      </c>
      <c r="D19" s="48">
        <f t="shared" si="0"/>
        <v>0.000281534852189288</v>
      </c>
      <c r="E19" s="49">
        <f t="shared" si="5"/>
        <v>0.000281495226830749</v>
      </c>
      <c r="F19" s="50">
        <f t="shared" si="6"/>
        <v>99528.2966343532</v>
      </c>
      <c r="G19" s="50">
        <f t="shared" si="1"/>
        <v>99514.2882641346</v>
      </c>
      <c r="H19" s="50"/>
      <c r="I19" s="50"/>
      <c r="J19" s="50"/>
      <c r="K19" t="s">
        <v>442</v>
      </c>
      <c r="L19" s="2">
        <v>2497</v>
      </c>
      <c r="M19" s="2">
        <v>4395048</v>
      </c>
      <c r="N19" s="51">
        <f t="shared" si="2"/>
        <v>0.000568139415087162</v>
      </c>
      <c r="O19" s="2">
        <f t="shared" si="3"/>
        <v>-0.000286604562897874</v>
      </c>
      <c r="P19" s="51">
        <f t="shared" si="4"/>
        <v>-1.01800740004004</v>
      </c>
    </row>
    <row r="20" ht="16.8" spans="1:16">
      <c r="A20" s="46" t="s">
        <v>298</v>
      </c>
      <c r="B20" s="47">
        <v>13944452</v>
      </c>
      <c r="C20" s="47">
        <v>4282</v>
      </c>
      <c r="D20" s="48">
        <f t="shared" si="0"/>
        <v>0.000307075530827601</v>
      </c>
      <c r="E20" s="49">
        <f t="shared" si="5"/>
        <v>0.000307028390374624</v>
      </c>
      <c r="F20" s="50">
        <f t="shared" si="6"/>
        <v>99500.2798939161</v>
      </c>
      <c r="G20" s="50">
        <f t="shared" si="1"/>
        <v>99485.0051885272</v>
      </c>
      <c r="H20" s="50"/>
      <c r="I20" s="50"/>
      <c r="J20" s="50"/>
      <c r="K20" t="s">
        <v>443</v>
      </c>
      <c r="L20" s="2">
        <v>3165</v>
      </c>
      <c r="M20" s="2">
        <v>4357485</v>
      </c>
      <c r="N20" s="51">
        <f t="shared" si="2"/>
        <v>0.000726336407354242</v>
      </c>
      <c r="O20" s="2">
        <f t="shared" si="3"/>
        <v>-0.000419260876526641</v>
      </c>
      <c r="P20" s="51">
        <f t="shared" si="4"/>
        <v>-1.36533469598404</v>
      </c>
    </row>
    <row r="21" ht="16.8" spans="1:16">
      <c r="A21" s="46" t="s">
        <v>299</v>
      </c>
      <c r="B21" s="47">
        <v>14486338</v>
      </c>
      <c r="C21" s="47">
        <v>4241</v>
      </c>
      <c r="D21" s="48">
        <f t="shared" si="0"/>
        <v>0.000292758597790553</v>
      </c>
      <c r="E21" s="49">
        <f t="shared" si="5"/>
        <v>0.000292715750264253</v>
      </c>
      <c r="F21" s="50">
        <f t="shared" si="6"/>
        <v>99469.7304831384</v>
      </c>
      <c r="G21" s="50">
        <f t="shared" si="1"/>
        <v>99455.1723047449</v>
      </c>
      <c r="H21" s="50"/>
      <c r="I21" s="50"/>
      <c r="J21" s="50"/>
      <c r="K21" t="s">
        <v>444</v>
      </c>
      <c r="L21" s="2">
        <v>3526</v>
      </c>
      <c r="M21" s="2">
        <v>4384615</v>
      </c>
      <c r="N21" s="51">
        <f t="shared" si="2"/>
        <v>0.000804175509138203</v>
      </c>
      <c r="O21" s="2">
        <f t="shared" si="3"/>
        <v>-0.00051141691134765</v>
      </c>
      <c r="P21" s="51">
        <f t="shared" si="4"/>
        <v>-1.74688946868618</v>
      </c>
    </row>
    <row r="22" ht="16.8" spans="1:16">
      <c r="A22" s="46" t="s">
        <v>301</v>
      </c>
      <c r="B22" s="47">
        <v>14400615</v>
      </c>
      <c r="C22" s="47">
        <v>4532</v>
      </c>
      <c r="D22" s="48">
        <f t="shared" si="0"/>
        <v>0.000314708781534677</v>
      </c>
      <c r="E22" s="49">
        <f t="shared" si="5"/>
        <v>0.000314659268517181</v>
      </c>
      <c r="F22" s="50">
        <f t="shared" si="6"/>
        <v>99440.6141263514</v>
      </c>
      <c r="G22" s="50">
        <f t="shared" si="1"/>
        <v>99424.9691709005</v>
      </c>
      <c r="H22" s="50"/>
      <c r="I22" s="50"/>
      <c r="J22" s="50"/>
      <c r="K22" t="s">
        <v>445</v>
      </c>
      <c r="L22" s="2">
        <v>3631</v>
      </c>
      <c r="M22" s="2">
        <v>4343892</v>
      </c>
      <c r="N22" s="51">
        <f t="shared" si="2"/>
        <v>0.000835886343398961</v>
      </c>
      <c r="O22" s="2">
        <f t="shared" si="3"/>
        <v>-0.000521177561864284</v>
      </c>
      <c r="P22" s="51">
        <f t="shared" si="4"/>
        <v>-1.65606297772423</v>
      </c>
    </row>
    <row r="23" ht="16.8" spans="1:16">
      <c r="A23" s="46" t="s">
        <v>302</v>
      </c>
      <c r="B23" s="47">
        <v>14687059</v>
      </c>
      <c r="C23" s="47">
        <v>4673</v>
      </c>
      <c r="D23" s="48">
        <f t="shared" si="0"/>
        <v>0.000318171255388843</v>
      </c>
      <c r="E23" s="49">
        <f t="shared" si="5"/>
        <v>0.000318120646966037</v>
      </c>
      <c r="F23" s="50">
        <f t="shared" si="6"/>
        <v>99409.3242154496</v>
      </c>
      <c r="G23" s="50">
        <f t="shared" si="1"/>
        <v>99393.5121361826</v>
      </c>
      <c r="H23" s="50"/>
      <c r="I23" s="50"/>
      <c r="J23" s="50"/>
      <c r="K23" t="s">
        <v>446</v>
      </c>
      <c r="L23" s="2">
        <v>3977</v>
      </c>
      <c r="M23" s="2">
        <v>4322656</v>
      </c>
      <c r="N23" s="51">
        <f t="shared" si="2"/>
        <v>0.000920036199965947</v>
      </c>
      <c r="O23" s="2">
        <f t="shared" si="3"/>
        <v>-0.000601864944577104</v>
      </c>
      <c r="P23" s="51">
        <f t="shared" si="4"/>
        <v>-1.89163833747821</v>
      </c>
    </row>
    <row r="24" ht="16.8" spans="1:16">
      <c r="A24" s="46" t="s">
        <v>303</v>
      </c>
      <c r="B24" s="47">
        <v>15042526</v>
      </c>
      <c r="C24" s="47">
        <v>4961</v>
      </c>
      <c r="D24" s="48">
        <f t="shared" si="0"/>
        <v>0.000329798333072517</v>
      </c>
      <c r="E24" s="49">
        <f t="shared" si="5"/>
        <v>0.000329743958568579</v>
      </c>
      <c r="F24" s="50">
        <f t="shared" si="6"/>
        <v>99377.7000569157</v>
      </c>
      <c r="G24" s="50">
        <f t="shared" si="1"/>
        <v>99361.3154588106</v>
      </c>
      <c r="H24" s="50"/>
      <c r="I24" s="50"/>
      <c r="J24" s="50"/>
      <c r="K24" t="s">
        <v>447</v>
      </c>
      <c r="L24" s="2">
        <v>4257</v>
      </c>
      <c r="M24" s="2">
        <v>4402354</v>
      </c>
      <c r="N24" s="51">
        <f t="shared" si="2"/>
        <v>0.000966982664274613</v>
      </c>
      <c r="O24" s="2">
        <f t="shared" si="3"/>
        <v>-0.000637184331202096</v>
      </c>
      <c r="P24" s="51">
        <f t="shared" si="4"/>
        <v>-1.93204230374927</v>
      </c>
    </row>
    <row r="25" ht="16.8" spans="1:16">
      <c r="A25" s="46" t="s">
        <v>304</v>
      </c>
      <c r="B25" s="47">
        <v>15713815</v>
      </c>
      <c r="C25" s="47">
        <v>5256</v>
      </c>
      <c r="D25" s="48">
        <f t="shared" si="0"/>
        <v>0.000334482746551363</v>
      </c>
      <c r="E25" s="49">
        <f t="shared" si="5"/>
        <v>0.000334426816551302</v>
      </c>
      <c r="F25" s="50">
        <f t="shared" si="6"/>
        <v>99344.9308607055</v>
      </c>
      <c r="G25" s="50">
        <f t="shared" si="1"/>
        <v>99328.3190562213</v>
      </c>
      <c r="H25" s="50"/>
      <c r="I25" s="50"/>
      <c r="J25" s="50"/>
      <c r="K25" t="s">
        <v>448</v>
      </c>
      <c r="L25" s="2">
        <v>4413</v>
      </c>
      <c r="M25" s="2">
        <v>4405241</v>
      </c>
      <c r="N25" s="51">
        <f t="shared" si="2"/>
        <v>0.00100176131112918</v>
      </c>
      <c r="O25" s="2">
        <f t="shared" si="3"/>
        <v>-0.000667278564577813</v>
      </c>
      <c r="P25" s="51">
        <f t="shared" si="4"/>
        <v>-1.994956605259</v>
      </c>
    </row>
    <row r="26" ht="16.8" spans="1:16">
      <c r="A26" s="46" t="s">
        <v>305</v>
      </c>
      <c r="B26" s="47">
        <v>16797188</v>
      </c>
      <c r="C26" s="47">
        <v>5802</v>
      </c>
      <c r="D26" s="48">
        <f t="shared" si="0"/>
        <v>0.000345414958741904</v>
      </c>
      <c r="E26" s="49">
        <f t="shared" si="5"/>
        <v>0.000345355313296257</v>
      </c>
      <c r="F26" s="50">
        <f t="shared" si="6"/>
        <v>99311.7072517372</v>
      </c>
      <c r="G26" s="50">
        <f t="shared" si="1"/>
        <v>99294.5583388513</v>
      </c>
      <c r="H26" s="50"/>
      <c r="I26" s="50"/>
      <c r="J26" s="50"/>
      <c r="K26" t="s">
        <v>449</v>
      </c>
      <c r="L26" s="2">
        <v>4656</v>
      </c>
      <c r="M26" s="2">
        <v>4337029</v>
      </c>
      <c r="N26" s="51">
        <f t="shared" si="2"/>
        <v>0.00107354596891098</v>
      </c>
      <c r="O26" s="2">
        <f t="shared" si="3"/>
        <v>-0.000728131010169072</v>
      </c>
      <c r="P26" s="51">
        <f t="shared" si="4"/>
        <v>-2.10798922206822</v>
      </c>
    </row>
    <row r="27" ht="16.8" spans="1:16">
      <c r="A27" s="46" t="s">
        <v>307</v>
      </c>
      <c r="B27" s="47">
        <v>16856809</v>
      </c>
      <c r="C27" s="47">
        <v>6162</v>
      </c>
      <c r="D27" s="48">
        <f t="shared" si="0"/>
        <v>0.000365549612622413</v>
      </c>
      <c r="E27" s="49">
        <f t="shared" si="5"/>
        <v>0.000365482811572317</v>
      </c>
      <c r="F27" s="50">
        <f t="shared" si="6"/>
        <v>99277.4094259653</v>
      </c>
      <c r="G27" s="50">
        <f t="shared" si="1"/>
        <v>99259.267332604</v>
      </c>
      <c r="H27" s="50"/>
      <c r="I27" s="50"/>
      <c r="J27" s="50"/>
      <c r="K27" t="s">
        <v>450</v>
      </c>
      <c r="L27" s="2">
        <v>4866</v>
      </c>
      <c r="M27" s="2">
        <v>4330095</v>
      </c>
      <c r="N27" s="51">
        <f t="shared" si="2"/>
        <v>0.00112376287356282</v>
      </c>
      <c r="O27" s="2">
        <f t="shared" si="3"/>
        <v>-0.000758213260940407</v>
      </c>
      <c r="P27" s="51">
        <f t="shared" si="4"/>
        <v>-2.07417333997722</v>
      </c>
    </row>
    <row r="28" ht="16.8" spans="1:16">
      <c r="A28" s="46" t="s">
        <v>308</v>
      </c>
      <c r="B28" s="47">
        <v>17272911</v>
      </c>
      <c r="C28" s="47">
        <v>6474</v>
      </c>
      <c r="D28" s="48">
        <f t="shared" si="0"/>
        <v>0.000374806539557808</v>
      </c>
      <c r="E28" s="49">
        <f t="shared" si="5"/>
        <v>0.000374736312747494</v>
      </c>
      <c r="F28" s="50">
        <f t="shared" si="6"/>
        <v>99241.1252392427</v>
      </c>
      <c r="G28" s="50">
        <f t="shared" si="1"/>
        <v>99222.5306125701</v>
      </c>
      <c r="H28" s="50"/>
      <c r="I28" s="50"/>
      <c r="J28" s="50"/>
      <c r="K28" t="s">
        <v>451</v>
      </c>
      <c r="L28" s="2">
        <v>5124</v>
      </c>
      <c r="M28" s="2">
        <v>4340084</v>
      </c>
      <c r="N28" s="51">
        <f t="shared" si="2"/>
        <v>0.00118062231053593</v>
      </c>
      <c r="O28" s="2">
        <f t="shared" si="3"/>
        <v>-0.000805815770978117</v>
      </c>
      <c r="P28" s="51">
        <f t="shared" si="4"/>
        <v>-2.14995120396994</v>
      </c>
    </row>
    <row r="29" ht="16.8" spans="1:16">
      <c r="A29" s="46" t="s">
        <v>309</v>
      </c>
      <c r="B29" s="47">
        <v>18652195</v>
      </c>
      <c r="C29" s="47">
        <v>7286</v>
      </c>
      <c r="D29" s="48">
        <f t="shared" si="0"/>
        <v>0.000390624267009861</v>
      </c>
      <c r="E29" s="49">
        <f t="shared" si="5"/>
        <v>0.00039054798824904</v>
      </c>
      <c r="F29" s="50">
        <f t="shared" si="6"/>
        <v>99203.9359858976</v>
      </c>
      <c r="G29" s="50">
        <f t="shared" si="1"/>
        <v>99184.5640370848</v>
      </c>
      <c r="H29" s="50"/>
      <c r="I29" s="50"/>
      <c r="J29" s="50"/>
      <c r="K29" t="s">
        <v>452</v>
      </c>
      <c r="L29" s="2">
        <v>5500</v>
      </c>
      <c r="M29" s="2">
        <v>4368541</v>
      </c>
      <c r="N29" s="51">
        <f t="shared" si="2"/>
        <v>0.00125900157512543</v>
      </c>
      <c r="O29" s="2">
        <f t="shared" si="3"/>
        <v>-0.000868377308115564</v>
      </c>
      <c r="P29" s="51">
        <f t="shared" si="4"/>
        <v>-2.22305008022874</v>
      </c>
    </row>
    <row r="30" ht="16.8" spans="1:16">
      <c r="A30" s="46" t="s">
        <v>310</v>
      </c>
      <c r="B30" s="47">
        <v>19735216</v>
      </c>
      <c r="C30" s="47">
        <v>8051</v>
      </c>
      <c r="D30" s="48">
        <f t="shared" si="0"/>
        <v>0.000407950944139654</v>
      </c>
      <c r="E30" s="49">
        <f t="shared" si="5"/>
        <v>0.000407867749122984</v>
      </c>
      <c r="F30" s="50">
        <f t="shared" si="6"/>
        <v>99165.1920882719</v>
      </c>
      <c r="G30" s="50">
        <f t="shared" si="1"/>
        <v>99144.9689464277</v>
      </c>
      <c r="H30" s="50"/>
      <c r="I30" s="50"/>
      <c r="J30" s="50"/>
      <c r="K30" t="s">
        <v>453</v>
      </c>
      <c r="L30" s="2">
        <v>5939</v>
      </c>
      <c r="M30" s="2">
        <v>4443648</v>
      </c>
      <c r="N30" s="51">
        <f t="shared" si="2"/>
        <v>0.00133651450339901</v>
      </c>
      <c r="O30" s="2">
        <f t="shared" si="3"/>
        <v>-0.000928563559259355</v>
      </c>
      <c r="P30" s="51">
        <f t="shared" si="4"/>
        <v>-2.27616475117528</v>
      </c>
    </row>
    <row r="31" ht="16.8" spans="1:16">
      <c r="A31" s="52" t="s">
        <v>311</v>
      </c>
      <c r="B31" s="53">
        <v>23227736</v>
      </c>
      <c r="C31" s="54">
        <v>9417</v>
      </c>
      <c r="D31" s="48">
        <f t="shared" si="0"/>
        <v>0.000405420485233688</v>
      </c>
      <c r="E31" s="49">
        <f t="shared" si="5"/>
        <v>0.000405338319004701</v>
      </c>
      <c r="F31" s="50">
        <f t="shared" si="6"/>
        <v>99124.7458045835</v>
      </c>
      <c r="G31" s="50">
        <f t="shared" si="1"/>
        <v>99104.6562756654</v>
      </c>
      <c r="H31" s="50"/>
      <c r="I31" s="50"/>
      <c r="J31" s="50"/>
      <c r="K31" t="s">
        <v>454</v>
      </c>
      <c r="L31" s="2">
        <v>6346</v>
      </c>
      <c r="M31" s="2">
        <v>4535992</v>
      </c>
      <c r="N31" s="51">
        <f t="shared" si="2"/>
        <v>0.00139903244979268</v>
      </c>
      <c r="O31" s="2">
        <f t="shared" si="3"/>
        <v>-0.000993611964558993</v>
      </c>
      <c r="P31" s="51">
        <f t="shared" si="4"/>
        <v>-2.45081834970985</v>
      </c>
    </row>
    <row r="32" ht="16.8" spans="1:16">
      <c r="A32" s="46" t="s">
        <v>313</v>
      </c>
      <c r="B32" s="47">
        <v>26223230</v>
      </c>
      <c r="C32" s="47">
        <v>11587</v>
      </c>
      <c r="D32" s="48">
        <f t="shared" si="0"/>
        <v>0.000441860136985413</v>
      </c>
      <c r="E32" s="49">
        <f t="shared" si="5"/>
        <v>0.000441762538357556</v>
      </c>
      <c r="F32" s="50">
        <f t="shared" si="6"/>
        <v>99084.5667467473</v>
      </c>
      <c r="G32" s="50">
        <f t="shared" si="1"/>
        <v>99062.6808218883</v>
      </c>
      <c r="H32" s="50"/>
      <c r="I32" s="50"/>
      <c r="J32" s="50"/>
      <c r="K32" t="s">
        <v>455</v>
      </c>
      <c r="L32" s="2">
        <v>6973</v>
      </c>
      <c r="M32" s="2">
        <v>4606983</v>
      </c>
      <c r="N32" s="51">
        <f t="shared" si="2"/>
        <v>0.00151357189726986</v>
      </c>
      <c r="O32" s="2">
        <f t="shared" si="3"/>
        <v>-0.00107171176028445</v>
      </c>
      <c r="P32" s="51">
        <f t="shared" si="4"/>
        <v>-2.42545473234176</v>
      </c>
    </row>
    <row r="33" ht="16.8" spans="1:16">
      <c r="A33" s="46" t="s">
        <v>314</v>
      </c>
      <c r="B33" s="47">
        <v>24728518</v>
      </c>
      <c r="C33" s="47">
        <v>11625</v>
      </c>
      <c r="D33" s="48">
        <f t="shared" si="0"/>
        <v>0.000470105001844429</v>
      </c>
      <c r="E33" s="49">
        <f t="shared" si="5"/>
        <v>0.000469994528455096</v>
      </c>
      <c r="F33" s="50">
        <f t="shared" si="6"/>
        <v>99040.7948970292</v>
      </c>
      <c r="G33" s="50">
        <f t="shared" si="1"/>
        <v>99017.5205811815</v>
      </c>
      <c r="H33" s="50"/>
      <c r="I33" s="50"/>
      <c r="J33" s="50"/>
      <c r="K33" t="s">
        <v>456</v>
      </c>
      <c r="L33" s="2">
        <v>7556</v>
      </c>
      <c r="M33" s="2">
        <v>4708628</v>
      </c>
      <c r="N33" s="51">
        <f t="shared" si="2"/>
        <v>0.00160471372977436</v>
      </c>
      <c r="O33" s="2">
        <f t="shared" si="3"/>
        <v>-0.00113460872792993</v>
      </c>
      <c r="P33" s="51">
        <f t="shared" si="4"/>
        <v>-2.41352192271591</v>
      </c>
    </row>
    <row r="34" ht="16.8" spans="1:16">
      <c r="A34" s="46" t="s">
        <v>315</v>
      </c>
      <c r="B34" s="47">
        <v>25491507</v>
      </c>
      <c r="C34" s="47">
        <v>12541</v>
      </c>
      <c r="D34" s="48">
        <f t="shared" si="0"/>
        <v>0.000491967775777242</v>
      </c>
      <c r="E34" s="49">
        <f t="shared" si="5"/>
        <v>0.000491846789391742</v>
      </c>
      <c r="F34" s="50">
        <f t="shared" si="6"/>
        <v>98994.2462653338</v>
      </c>
      <c r="G34" s="50">
        <f t="shared" si="1"/>
        <v>98969.9012642369</v>
      </c>
      <c r="H34" s="50"/>
      <c r="I34" s="50"/>
      <c r="J34" s="50"/>
      <c r="K34" t="s">
        <v>457</v>
      </c>
      <c r="L34" s="2">
        <v>8025</v>
      </c>
      <c r="M34" s="2">
        <v>4775545</v>
      </c>
      <c r="N34" s="51">
        <f t="shared" si="2"/>
        <v>0.00168043647374279</v>
      </c>
      <c r="O34" s="2">
        <f t="shared" si="3"/>
        <v>-0.00118846869796555</v>
      </c>
      <c r="P34" s="51">
        <f t="shared" si="4"/>
        <v>-2.41574500705443</v>
      </c>
    </row>
    <row r="35" ht="16.8" spans="1:16">
      <c r="A35" s="46" t="s">
        <v>316</v>
      </c>
      <c r="B35" s="47">
        <v>24032294</v>
      </c>
      <c r="C35" s="47">
        <v>13400</v>
      </c>
      <c r="D35" s="48">
        <f t="shared" ref="D35:D66" si="7">C35/B35</f>
        <v>0.000557583058862379</v>
      </c>
      <c r="E35" s="49">
        <f t="shared" si="5"/>
        <v>0.00055742765275452</v>
      </c>
      <c r="F35" s="50">
        <f t="shared" si="6"/>
        <v>98945.5562631399</v>
      </c>
      <c r="G35" s="50">
        <f t="shared" ref="G35:G66" si="8">(F35+F36)/2</f>
        <v>98917.9787685508</v>
      </c>
      <c r="H35" s="50"/>
      <c r="I35" s="50"/>
      <c r="J35" s="50"/>
      <c r="K35" t="s">
        <v>458</v>
      </c>
      <c r="L35" s="2">
        <v>8548</v>
      </c>
      <c r="M35" s="2">
        <v>4785137</v>
      </c>
      <c r="N35" s="51">
        <f t="shared" ref="N35:N66" si="9">L35/M35</f>
        <v>0.00178636473731055</v>
      </c>
      <c r="O35" s="2">
        <f t="shared" ref="O35:O66" si="10">D35-N35</f>
        <v>-0.00122878167844817</v>
      </c>
      <c r="P35" s="51">
        <f t="shared" ref="P35:P66" si="11">O35/D35</f>
        <v>-2.20376437002089</v>
      </c>
    </row>
    <row r="36" ht="16.8" spans="1:16">
      <c r="A36" s="46" t="s">
        <v>317</v>
      </c>
      <c r="B36" s="47">
        <v>21078747</v>
      </c>
      <c r="C36" s="47">
        <v>12568</v>
      </c>
      <c r="D36" s="48">
        <f t="shared" si="7"/>
        <v>0.000596240374249949</v>
      </c>
      <c r="E36" s="49">
        <f t="shared" ref="E36:E67" si="12">D36/(1+0.5*D36)</f>
        <v>0.000596062675933462</v>
      </c>
      <c r="F36" s="50">
        <f t="shared" ref="F36:F58" si="13">F35*(1-E35)</f>
        <v>98890.4012739617</v>
      </c>
      <c r="G36" s="50">
        <f t="shared" si="8"/>
        <v>98860.9288353579</v>
      </c>
      <c r="H36" s="50"/>
      <c r="I36" s="50"/>
      <c r="J36" s="50"/>
      <c r="K36" t="s">
        <v>459</v>
      </c>
      <c r="L36" s="2">
        <v>8572</v>
      </c>
      <c r="M36" s="2">
        <v>4647863</v>
      </c>
      <c r="N36" s="51">
        <f t="shared" si="9"/>
        <v>0.00184428843965496</v>
      </c>
      <c r="O36" s="2">
        <f t="shared" si="10"/>
        <v>-0.00124804806540501</v>
      </c>
      <c r="P36" s="51">
        <f t="shared" si="11"/>
        <v>-2.09319616601779</v>
      </c>
    </row>
    <row r="37" ht="16.8" spans="1:16">
      <c r="A37" s="46" t="s">
        <v>319</v>
      </c>
      <c r="B37" s="47">
        <v>19532757</v>
      </c>
      <c r="C37" s="47">
        <v>12615</v>
      </c>
      <c r="D37" s="48">
        <f t="shared" si="7"/>
        <v>0.000645838168160286</v>
      </c>
      <c r="E37" s="49">
        <f t="shared" si="12"/>
        <v>0.000645629682014715</v>
      </c>
      <c r="F37" s="50">
        <f t="shared" si="13"/>
        <v>98831.4563967542</v>
      </c>
      <c r="G37" s="50">
        <f t="shared" si="8"/>
        <v>98799.5521358709</v>
      </c>
      <c r="H37" s="50"/>
      <c r="I37" s="50"/>
      <c r="J37" s="50"/>
      <c r="K37" t="s">
        <v>460</v>
      </c>
      <c r="L37" s="2">
        <v>8826</v>
      </c>
      <c r="M37" s="2">
        <v>4562605</v>
      </c>
      <c r="N37" s="51">
        <f t="shared" si="9"/>
        <v>0.00193442123523733</v>
      </c>
      <c r="O37" s="2">
        <f t="shared" si="10"/>
        <v>-0.00128858306707704</v>
      </c>
      <c r="P37" s="51">
        <f t="shared" si="11"/>
        <v>-1.99521045767186</v>
      </c>
    </row>
    <row r="38" ht="16.8" spans="1:16">
      <c r="A38" s="46" t="s">
        <v>320</v>
      </c>
      <c r="B38" s="47">
        <v>19026132</v>
      </c>
      <c r="C38" s="47">
        <v>13318</v>
      </c>
      <c r="D38" s="48">
        <f t="shared" si="7"/>
        <v>0.000699984631663441</v>
      </c>
      <c r="E38" s="49">
        <f t="shared" si="12"/>
        <v>0.000699739728135511</v>
      </c>
      <c r="F38" s="50">
        <f t="shared" si="13"/>
        <v>98767.6478749877</v>
      </c>
      <c r="G38" s="50">
        <f t="shared" si="8"/>
        <v>98733.0920514514</v>
      </c>
      <c r="H38" s="50"/>
      <c r="I38" s="50"/>
      <c r="J38" s="50"/>
      <c r="K38" t="s">
        <v>461</v>
      </c>
      <c r="L38" s="2">
        <v>8825</v>
      </c>
      <c r="M38" s="2">
        <v>4508995</v>
      </c>
      <c r="N38" s="51">
        <f t="shared" si="9"/>
        <v>0.00195719888800054</v>
      </c>
      <c r="O38" s="2">
        <f t="shared" si="10"/>
        <v>-0.0012572142563371</v>
      </c>
      <c r="P38" s="51">
        <f t="shared" si="11"/>
        <v>-1.79605979826937</v>
      </c>
    </row>
    <row r="39" ht="16.8" spans="1:16">
      <c r="A39" s="46" t="s">
        <v>321</v>
      </c>
      <c r="B39" s="47">
        <v>20215704</v>
      </c>
      <c r="C39" s="47">
        <v>15585</v>
      </c>
      <c r="D39" s="48">
        <f t="shared" si="7"/>
        <v>0.000770935308510651</v>
      </c>
      <c r="E39" s="49">
        <f t="shared" si="12"/>
        <v>0.000770638252391222</v>
      </c>
      <c r="F39" s="50">
        <f t="shared" si="13"/>
        <v>98698.536227915</v>
      </c>
      <c r="G39" s="50">
        <f t="shared" si="8"/>
        <v>98660.5057941789</v>
      </c>
      <c r="H39" s="50"/>
      <c r="I39" s="50"/>
      <c r="J39" s="50"/>
      <c r="K39" t="s">
        <v>462</v>
      </c>
      <c r="L39" s="2">
        <v>9513</v>
      </c>
      <c r="M39" s="2">
        <v>4515300</v>
      </c>
      <c r="N39" s="51">
        <f t="shared" si="9"/>
        <v>0.00210683675503289</v>
      </c>
      <c r="O39" s="2">
        <f t="shared" si="10"/>
        <v>-0.00133590144652224</v>
      </c>
      <c r="P39" s="51">
        <f t="shared" si="11"/>
        <v>-1.73283209599393</v>
      </c>
    </row>
    <row r="40" ht="16.8" spans="1:16">
      <c r="A40" s="46" t="s">
        <v>322</v>
      </c>
      <c r="B40" s="47">
        <v>21184257</v>
      </c>
      <c r="C40" s="47">
        <v>17587</v>
      </c>
      <c r="D40" s="48">
        <f t="shared" si="7"/>
        <v>0.000830191967554019</v>
      </c>
      <c r="E40" s="49">
        <f t="shared" si="12"/>
        <v>0.000829847501189128</v>
      </c>
      <c r="F40" s="50">
        <f t="shared" si="13"/>
        <v>98622.4753604428</v>
      </c>
      <c r="G40" s="50">
        <f t="shared" si="8"/>
        <v>98581.5545530733</v>
      </c>
      <c r="H40" s="50"/>
      <c r="I40" s="50"/>
      <c r="J40" s="50"/>
      <c r="K40" t="s">
        <v>463</v>
      </c>
      <c r="L40" s="2">
        <v>9775</v>
      </c>
      <c r="M40" s="2">
        <v>4508193</v>
      </c>
      <c r="N40" s="51">
        <f t="shared" si="9"/>
        <v>0.00216827451708478</v>
      </c>
      <c r="O40" s="2">
        <f t="shared" si="10"/>
        <v>-0.00133808254953076</v>
      </c>
      <c r="P40" s="51">
        <f t="shared" si="11"/>
        <v>-1.61177486873685</v>
      </c>
    </row>
    <row r="41" ht="16.8" spans="1:16">
      <c r="A41" s="46" t="s">
        <v>323</v>
      </c>
      <c r="B41" s="47">
        <v>17516153</v>
      </c>
      <c r="C41" s="47">
        <v>16638</v>
      </c>
      <c r="D41" s="48">
        <f t="shared" si="7"/>
        <v>0.000949866103590212</v>
      </c>
      <c r="E41" s="49">
        <f t="shared" si="12"/>
        <v>0.000949415194934261</v>
      </c>
      <c r="F41" s="50">
        <f t="shared" si="13"/>
        <v>98540.6337457038</v>
      </c>
      <c r="G41" s="50">
        <f t="shared" si="8"/>
        <v>98493.8557582055</v>
      </c>
      <c r="H41" s="50"/>
      <c r="I41" s="50"/>
      <c r="J41" s="50"/>
      <c r="K41" t="s">
        <v>464</v>
      </c>
      <c r="L41" s="2">
        <v>10044</v>
      </c>
      <c r="M41" s="2">
        <v>4411551</v>
      </c>
      <c r="N41" s="51">
        <f t="shared" si="9"/>
        <v>0.00227675028578384</v>
      </c>
      <c r="O41" s="2">
        <f t="shared" si="10"/>
        <v>-0.00132688418219363</v>
      </c>
      <c r="P41" s="51">
        <f t="shared" si="11"/>
        <v>-1.39691707828967</v>
      </c>
    </row>
    <row r="42" ht="16.8" spans="1:16">
      <c r="A42" s="46" t="s">
        <v>325</v>
      </c>
      <c r="B42" s="47">
        <v>19033867</v>
      </c>
      <c r="C42" s="47">
        <v>19080</v>
      </c>
      <c r="D42" s="48">
        <f t="shared" si="7"/>
        <v>0.00100242373239237</v>
      </c>
      <c r="E42" s="49">
        <f t="shared" si="12"/>
        <v>0.0010019215574188</v>
      </c>
      <c r="F42" s="50">
        <f t="shared" si="13"/>
        <v>98447.0777707072</v>
      </c>
      <c r="G42" s="50">
        <f t="shared" si="8"/>
        <v>98397.7596459655</v>
      </c>
      <c r="H42" s="50"/>
      <c r="I42" s="50"/>
      <c r="J42" s="50"/>
      <c r="K42" t="s">
        <v>465</v>
      </c>
      <c r="L42" s="2">
        <v>10873</v>
      </c>
      <c r="M42" s="2">
        <v>4472605</v>
      </c>
      <c r="N42" s="51">
        <f t="shared" si="9"/>
        <v>0.00243102174236267</v>
      </c>
      <c r="O42" s="2">
        <f t="shared" si="10"/>
        <v>-0.0014285980099703</v>
      </c>
      <c r="P42" s="51">
        <f t="shared" si="11"/>
        <v>-1.42514384267502</v>
      </c>
    </row>
    <row r="43" ht="16.8" spans="1:16">
      <c r="A43" s="46" t="s">
        <v>326</v>
      </c>
      <c r="B43" s="47">
        <v>18679056</v>
      </c>
      <c r="C43" s="47">
        <v>21276</v>
      </c>
      <c r="D43" s="48">
        <f t="shared" si="7"/>
        <v>0.00113902972398605</v>
      </c>
      <c r="E43" s="49">
        <f t="shared" si="12"/>
        <v>0.00113838139886078</v>
      </c>
      <c r="F43" s="50">
        <f t="shared" si="13"/>
        <v>98348.4415212239</v>
      </c>
      <c r="G43" s="50">
        <f t="shared" si="8"/>
        <v>98292.4625030065</v>
      </c>
      <c r="H43" s="50"/>
      <c r="I43" s="50"/>
      <c r="J43" s="50"/>
      <c r="K43" t="s">
        <v>466</v>
      </c>
      <c r="L43" s="2">
        <v>11152</v>
      </c>
      <c r="M43" s="2">
        <v>4460551</v>
      </c>
      <c r="N43" s="51">
        <f t="shared" si="9"/>
        <v>0.00250013955674983</v>
      </c>
      <c r="O43" s="2">
        <f t="shared" si="10"/>
        <v>-0.00136110983276378</v>
      </c>
      <c r="P43" s="51">
        <f t="shared" si="11"/>
        <v>-1.19497305829786</v>
      </c>
    </row>
    <row r="44" ht="16.8" spans="1:16">
      <c r="A44" s="46" t="s">
        <v>327</v>
      </c>
      <c r="B44" s="47">
        <v>18041842</v>
      </c>
      <c r="C44" s="47">
        <v>22392</v>
      </c>
      <c r="D44" s="48">
        <f t="shared" si="7"/>
        <v>0.00124111495932622</v>
      </c>
      <c r="E44" s="49">
        <f t="shared" si="12"/>
        <v>0.0012403452538016</v>
      </c>
      <c r="F44" s="50">
        <f t="shared" si="13"/>
        <v>98236.4834847892</v>
      </c>
      <c r="G44" s="50">
        <f t="shared" si="8"/>
        <v>98175.5599067689</v>
      </c>
      <c r="H44" s="50"/>
      <c r="I44" s="50"/>
      <c r="J44" s="50"/>
      <c r="K44" t="s">
        <v>467</v>
      </c>
      <c r="L44" s="2">
        <v>11667</v>
      </c>
      <c r="M44" s="2">
        <v>4392613</v>
      </c>
      <c r="N44" s="51">
        <f t="shared" si="9"/>
        <v>0.00265605005494452</v>
      </c>
      <c r="O44" s="2">
        <f t="shared" si="10"/>
        <v>-0.0014149350956183</v>
      </c>
      <c r="P44" s="51">
        <f t="shared" si="11"/>
        <v>-1.14005160036622</v>
      </c>
    </row>
    <row r="45" ht="16.8" spans="1:16">
      <c r="A45" s="46" t="s">
        <v>328</v>
      </c>
      <c r="B45" s="47">
        <v>18786442</v>
      </c>
      <c r="C45" s="47">
        <v>25457</v>
      </c>
      <c r="D45" s="48">
        <f t="shared" si="7"/>
        <v>0.00135507298295228</v>
      </c>
      <c r="E45" s="49">
        <f t="shared" si="12"/>
        <v>0.00135415549319051</v>
      </c>
      <c r="F45" s="50">
        <f t="shared" si="13"/>
        <v>98114.6363287486</v>
      </c>
      <c r="G45" s="50">
        <f t="shared" si="8"/>
        <v>98048.2050918752</v>
      </c>
      <c r="H45" s="50"/>
      <c r="I45" s="50"/>
      <c r="J45" s="50"/>
      <c r="K45" t="s">
        <v>468</v>
      </c>
      <c r="L45" s="2">
        <v>12168</v>
      </c>
      <c r="M45" s="2">
        <v>4369992</v>
      </c>
      <c r="N45" s="51">
        <f t="shared" si="9"/>
        <v>0.00278444445664889</v>
      </c>
      <c r="O45" s="2">
        <f t="shared" si="10"/>
        <v>-0.00142937147369661</v>
      </c>
      <c r="P45" s="51">
        <f t="shared" si="11"/>
        <v>-1.05482988125293</v>
      </c>
    </row>
    <row r="46" ht="16.8" spans="1:16">
      <c r="A46" s="46" t="s">
        <v>329</v>
      </c>
      <c r="B46" s="47">
        <v>19985880</v>
      </c>
      <c r="C46" s="47">
        <v>29569</v>
      </c>
      <c r="D46" s="48">
        <f t="shared" si="7"/>
        <v>0.00147949452313333</v>
      </c>
      <c r="E46" s="49">
        <f t="shared" si="12"/>
        <v>0.00147840088013076</v>
      </c>
      <c r="F46" s="50">
        <f t="shared" si="13"/>
        <v>97981.7738550017</v>
      </c>
      <c r="G46" s="50">
        <f t="shared" si="8"/>
        <v>97909.3456846497</v>
      </c>
      <c r="H46" s="50"/>
      <c r="I46" s="50"/>
      <c r="J46" s="50"/>
      <c r="K46" t="s">
        <v>469</v>
      </c>
      <c r="L46" s="2">
        <v>12493</v>
      </c>
      <c r="M46" s="2">
        <v>4188288</v>
      </c>
      <c r="N46" s="51">
        <f t="shared" si="9"/>
        <v>0.00298284167659913</v>
      </c>
      <c r="O46" s="2">
        <f t="shared" si="10"/>
        <v>-0.00150334715346579</v>
      </c>
      <c r="P46" s="51">
        <f t="shared" si="11"/>
        <v>-1.01612214844969</v>
      </c>
    </row>
    <row r="47" ht="16.8" spans="1:16">
      <c r="A47" s="46" t="s">
        <v>331</v>
      </c>
      <c r="B47" s="47">
        <v>21048981</v>
      </c>
      <c r="C47" s="47">
        <v>34294</v>
      </c>
      <c r="D47" s="48">
        <f t="shared" si="7"/>
        <v>0.00162924751559232</v>
      </c>
      <c r="E47" s="49">
        <f t="shared" si="12"/>
        <v>0.00162792137216673</v>
      </c>
      <c r="F47" s="50">
        <f t="shared" si="13"/>
        <v>97836.9175142977</v>
      </c>
      <c r="G47" s="50">
        <f t="shared" si="8"/>
        <v>97757.2821097935</v>
      </c>
      <c r="H47" s="50"/>
      <c r="I47" s="50"/>
      <c r="J47" s="50"/>
      <c r="K47" t="s">
        <v>470</v>
      </c>
      <c r="L47" s="2">
        <v>12637</v>
      </c>
      <c r="M47" s="2">
        <v>4091524</v>
      </c>
      <c r="N47" s="51">
        <f t="shared" si="9"/>
        <v>0.00308858019652335</v>
      </c>
      <c r="O47" s="2">
        <f t="shared" si="10"/>
        <v>-0.00145933268093103</v>
      </c>
      <c r="P47" s="51">
        <f t="shared" si="11"/>
        <v>-0.895709624820559</v>
      </c>
    </row>
    <row r="48" ht="16.8" spans="1:16">
      <c r="A48" s="46" t="s">
        <v>332</v>
      </c>
      <c r="B48" s="47">
        <v>22719468</v>
      </c>
      <c r="C48" s="47">
        <v>39877</v>
      </c>
      <c r="D48" s="48">
        <f t="shared" si="7"/>
        <v>0.00175519074654389</v>
      </c>
      <c r="E48" s="49">
        <f t="shared" si="12"/>
        <v>0.00175365174988186</v>
      </c>
      <c r="F48" s="50">
        <f t="shared" si="13"/>
        <v>97677.6467052892</v>
      </c>
      <c r="G48" s="50">
        <f t="shared" si="8"/>
        <v>97592.0004172547</v>
      </c>
      <c r="H48" s="50"/>
      <c r="I48" s="50"/>
      <c r="J48" s="50"/>
      <c r="K48" t="s">
        <v>471</v>
      </c>
      <c r="L48" s="2">
        <v>12939</v>
      </c>
      <c r="M48" s="2">
        <v>4037052</v>
      </c>
      <c r="N48" s="51">
        <f t="shared" si="9"/>
        <v>0.00320506151518484</v>
      </c>
      <c r="O48" s="2">
        <f t="shared" si="10"/>
        <v>-0.00144987076864095</v>
      </c>
      <c r="P48" s="51">
        <f t="shared" si="11"/>
        <v>-0.82604740908979</v>
      </c>
    </row>
    <row r="49" ht="16.8" spans="1:16">
      <c r="A49" s="46" t="s">
        <v>333</v>
      </c>
      <c r="B49" s="47">
        <v>23963889</v>
      </c>
      <c r="C49" s="47">
        <v>45797</v>
      </c>
      <c r="D49" s="48">
        <f t="shared" si="7"/>
        <v>0.00191108379779259</v>
      </c>
      <c r="E49" s="49">
        <f t="shared" si="12"/>
        <v>0.00190925942042051</v>
      </c>
      <c r="F49" s="50">
        <f t="shared" si="13"/>
        <v>97506.3541292202</v>
      </c>
      <c r="G49" s="50">
        <f t="shared" si="8"/>
        <v>97413.2716666341</v>
      </c>
      <c r="H49" s="50"/>
      <c r="I49" s="50"/>
      <c r="J49" s="50"/>
      <c r="K49" t="s">
        <v>472</v>
      </c>
      <c r="L49" s="2">
        <v>13098</v>
      </c>
      <c r="M49" s="2">
        <v>3896481</v>
      </c>
      <c r="N49" s="51">
        <f t="shared" si="9"/>
        <v>0.0033614946409337</v>
      </c>
      <c r="O49" s="2">
        <f t="shared" si="10"/>
        <v>-0.00145041084314112</v>
      </c>
      <c r="P49" s="51">
        <f t="shared" si="11"/>
        <v>-0.758946753049984</v>
      </c>
    </row>
    <row r="50" ht="16.8" spans="1:16">
      <c r="A50" s="46" t="s">
        <v>334</v>
      </c>
      <c r="B50" s="47">
        <v>24197577</v>
      </c>
      <c r="C50" s="47">
        <v>49924</v>
      </c>
      <c r="D50" s="48">
        <f t="shared" si="7"/>
        <v>0.00206318178055596</v>
      </c>
      <c r="E50" s="49">
        <f t="shared" si="12"/>
        <v>0.00206105561435983</v>
      </c>
      <c r="F50" s="50">
        <f t="shared" si="13"/>
        <v>97320.1892040481</v>
      </c>
      <c r="G50" s="50">
        <f t="shared" si="8"/>
        <v>97219.8980428733</v>
      </c>
      <c r="H50" s="50"/>
      <c r="I50" s="50"/>
      <c r="J50" s="50"/>
      <c r="K50" t="s">
        <v>473</v>
      </c>
      <c r="L50" s="2">
        <v>13779</v>
      </c>
      <c r="M50" s="2">
        <v>3934951</v>
      </c>
      <c r="N50" s="51">
        <f t="shared" si="9"/>
        <v>0.00350169544677939</v>
      </c>
      <c r="O50" s="2">
        <f t="shared" si="10"/>
        <v>-0.00143851366622343</v>
      </c>
      <c r="P50" s="51">
        <f t="shared" si="11"/>
        <v>-0.697230694735872</v>
      </c>
    </row>
    <row r="51" ht="16.8" spans="1:16">
      <c r="A51" s="46" t="s">
        <v>335</v>
      </c>
      <c r="B51" s="47">
        <v>25325863</v>
      </c>
      <c r="C51" s="47">
        <v>57601</v>
      </c>
      <c r="D51" s="48">
        <f t="shared" si="7"/>
        <v>0.00227439436121091</v>
      </c>
      <c r="E51" s="49">
        <f t="shared" si="12"/>
        <v>0.00227181086430116</v>
      </c>
      <c r="F51" s="50">
        <f t="shared" si="13"/>
        <v>97119.6068816985</v>
      </c>
      <c r="G51" s="50">
        <f t="shared" si="8"/>
        <v>97009.2881926733</v>
      </c>
      <c r="H51" s="50"/>
      <c r="I51" s="50"/>
      <c r="J51" s="50"/>
      <c r="K51" t="s">
        <v>474</v>
      </c>
      <c r="L51" s="2">
        <v>14818</v>
      </c>
      <c r="M51" s="2">
        <v>3857002</v>
      </c>
      <c r="N51" s="51">
        <f t="shared" si="9"/>
        <v>0.00384184400215504</v>
      </c>
      <c r="O51" s="2">
        <f t="shared" si="10"/>
        <v>-0.00156744964094413</v>
      </c>
      <c r="P51" s="51">
        <f t="shared" si="11"/>
        <v>-0.689172321069952</v>
      </c>
    </row>
    <row r="52" ht="16.8" spans="1:16">
      <c r="A52" s="46" t="s">
        <v>337</v>
      </c>
      <c r="B52" s="47">
        <v>25054621</v>
      </c>
      <c r="C52" s="47">
        <v>62749</v>
      </c>
      <c r="D52" s="48">
        <f t="shared" si="7"/>
        <v>0.0025044880942322</v>
      </c>
      <c r="E52" s="49">
        <f t="shared" si="12"/>
        <v>0.00250135578633903</v>
      </c>
      <c r="F52" s="50">
        <f t="shared" si="13"/>
        <v>96898.969503648</v>
      </c>
      <c r="G52" s="50">
        <f t="shared" si="8"/>
        <v>96777.7801046189</v>
      </c>
      <c r="H52" s="50"/>
      <c r="I52" s="50"/>
      <c r="J52" s="50"/>
      <c r="K52" t="s">
        <v>475</v>
      </c>
      <c r="L52" s="2">
        <v>16013</v>
      </c>
      <c r="M52" s="2">
        <v>3904908</v>
      </c>
      <c r="N52" s="51">
        <f t="shared" si="9"/>
        <v>0.00410073681633473</v>
      </c>
      <c r="O52" s="2">
        <f t="shared" si="10"/>
        <v>-0.00159624872210253</v>
      </c>
      <c r="P52" s="51">
        <f t="shared" si="11"/>
        <v>-0.637355284610323</v>
      </c>
    </row>
    <row r="53" ht="16.8" spans="1:16">
      <c r="A53" s="46" t="s">
        <v>338</v>
      </c>
      <c r="B53" s="47">
        <v>26565632</v>
      </c>
      <c r="C53" s="47">
        <v>70971</v>
      </c>
      <c r="D53" s="48">
        <f t="shared" si="7"/>
        <v>0.00267153440957098</v>
      </c>
      <c r="E53" s="49">
        <f t="shared" si="12"/>
        <v>0.0026679706219109</v>
      </c>
      <c r="F53" s="50">
        <f t="shared" si="13"/>
        <v>96656.5907055898</v>
      </c>
      <c r="G53" s="50">
        <f t="shared" si="8"/>
        <v>96527.6522333815</v>
      </c>
      <c r="H53" s="50"/>
      <c r="I53" s="50"/>
      <c r="J53" s="50"/>
      <c r="K53" t="s">
        <v>476</v>
      </c>
      <c r="L53" s="2">
        <v>18102</v>
      </c>
      <c r="M53" s="2">
        <v>4089839</v>
      </c>
      <c r="N53" s="51">
        <f t="shared" si="9"/>
        <v>0.00442609110040762</v>
      </c>
      <c r="O53" s="2">
        <f t="shared" si="10"/>
        <v>-0.00175455669083664</v>
      </c>
      <c r="P53" s="51">
        <f t="shared" si="11"/>
        <v>-0.656759907171998</v>
      </c>
    </row>
    <row r="54" ht="16.8" spans="1:16">
      <c r="A54" s="46" t="s">
        <v>339</v>
      </c>
      <c r="B54" s="47">
        <v>22707804</v>
      </c>
      <c r="C54" s="47">
        <v>69809</v>
      </c>
      <c r="D54" s="48">
        <f t="shared" si="7"/>
        <v>0.00307422945873586</v>
      </c>
      <c r="E54" s="49">
        <f t="shared" si="12"/>
        <v>0.00306951126775423</v>
      </c>
      <c r="F54" s="50">
        <f t="shared" si="13"/>
        <v>96398.7137611732</v>
      </c>
      <c r="G54" s="50">
        <f t="shared" si="8"/>
        <v>96250.7652921297</v>
      </c>
      <c r="H54" s="50"/>
      <c r="I54" s="50"/>
      <c r="J54" s="50"/>
      <c r="K54" t="s">
        <v>477</v>
      </c>
      <c r="L54" s="2">
        <v>20470</v>
      </c>
      <c r="M54" s="2">
        <v>4329946</v>
      </c>
      <c r="N54" s="51">
        <f t="shared" si="9"/>
        <v>0.00472754163677792</v>
      </c>
      <c r="O54" s="2">
        <f t="shared" si="10"/>
        <v>-0.00165331217804206</v>
      </c>
      <c r="P54" s="51">
        <f t="shared" si="11"/>
        <v>-0.537797259519434</v>
      </c>
    </row>
    <row r="55" ht="16.8" spans="1:16">
      <c r="A55" s="46" t="s">
        <v>340</v>
      </c>
      <c r="B55" s="47">
        <v>21914071</v>
      </c>
      <c r="C55" s="47">
        <v>72152</v>
      </c>
      <c r="D55" s="48">
        <f t="shared" si="7"/>
        <v>0.00329249640561993</v>
      </c>
      <c r="E55" s="49">
        <f t="shared" si="12"/>
        <v>0.00328708504776756</v>
      </c>
      <c r="F55" s="50">
        <f t="shared" si="13"/>
        <v>96102.8168230863</v>
      </c>
      <c r="G55" s="50">
        <f t="shared" si="8"/>
        <v>95944.8677569725</v>
      </c>
      <c r="H55" s="50"/>
      <c r="I55" s="50"/>
      <c r="J55" s="50"/>
      <c r="K55" t="s">
        <v>478</v>
      </c>
      <c r="L55" s="2">
        <v>22033</v>
      </c>
      <c r="M55" s="2">
        <v>4257592</v>
      </c>
      <c r="N55" s="51">
        <f t="shared" si="9"/>
        <v>0.00517499093384242</v>
      </c>
      <c r="O55" s="2">
        <f t="shared" si="10"/>
        <v>-0.00188249452822248</v>
      </c>
      <c r="P55" s="51">
        <f t="shared" si="11"/>
        <v>-0.571752948616518</v>
      </c>
    </row>
    <row r="56" ht="16.8" spans="1:16">
      <c r="A56" s="46" t="s">
        <v>341</v>
      </c>
      <c r="B56" s="47">
        <v>23578477</v>
      </c>
      <c r="C56" s="47">
        <v>83098</v>
      </c>
      <c r="D56" s="48">
        <f t="shared" si="7"/>
        <v>0.00352431584109525</v>
      </c>
      <c r="E56" s="49">
        <f t="shared" si="12"/>
        <v>0.00351811636447818</v>
      </c>
      <c r="F56" s="50">
        <f t="shared" si="13"/>
        <v>95786.9186908588</v>
      </c>
      <c r="G56" s="50">
        <f t="shared" si="8"/>
        <v>95618.4239277841</v>
      </c>
      <c r="H56" s="50"/>
      <c r="I56" s="50"/>
      <c r="J56" s="50"/>
      <c r="K56" t="s">
        <v>479</v>
      </c>
      <c r="L56" s="2">
        <v>22884</v>
      </c>
      <c r="M56" s="2">
        <v>4094486</v>
      </c>
      <c r="N56" s="51">
        <f t="shared" si="9"/>
        <v>0.00558897991103157</v>
      </c>
      <c r="O56" s="2">
        <f t="shared" si="10"/>
        <v>-0.00206466406993632</v>
      </c>
      <c r="P56" s="51">
        <f t="shared" si="11"/>
        <v>-0.585834006663456</v>
      </c>
    </row>
    <row r="57" ht="16.8" spans="1:16">
      <c r="A57" s="46" t="s">
        <v>343</v>
      </c>
      <c r="B57" s="47">
        <v>22867088</v>
      </c>
      <c r="C57" s="47">
        <v>88514</v>
      </c>
      <c r="D57" s="48">
        <f t="shared" si="7"/>
        <v>0.00387080331347831</v>
      </c>
      <c r="E57" s="49">
        <f t="shared" si="12"/>
        <v>0.00386332622550095</v>
      </c>
      <c r="F57" s="50">
        <f t="shared" si="13"/>
        <v>95449.9291647095</v>
      </c>
      <c r="G57" s="50">
        <f t="shared" si="8"/>
        <v>95265.5520574274</v>
      </c>
      <c r="H57" s="50"/>
      <c r="I57" s="50"/>
      <c r="J57" s="50"/>
      <c r="K57" t="s">
        <v>480</v>
      </c>
      <c r="L57" s="2">
        <v>24035</v>
      </c>
      <c r="M57" s="2">
        <v>4002437</v>
      </c>
      <c r="N57" s="51">
        <f t="shared" si="9"/>
        <v>0.00600509139806573</v>
      </c>
      <c r="O57" s="2">
        <f t="shared" si="10"/>
        <v>-0.00213428808458742</v>
      </c>
      <c r="P57" s="51">
        <f t="shared" si="11"/>
        <v>-0.55138117639709</v>
      </c>
    </row>
    <row r="58" ht="16.8" spans="1:16">
      <c r="A58" s="46" t="s">
        <v>344</v>
      </c>
      <c r="B58" s="47">
        <v>24454888</v>
      </c>
      <c r="C58" s="47">
        <v>103103</v>
      </c>
      <c r="D58" s="48">
        <f t="shared" si="7"/>
        <v>0.00421604875066285</v>
      </c>
      <c r="E58" s="49">
        <f t="shared" si="12"/>
        <v>0.00420717991285515</v>
      </c>
      <c r="F58" s="50">
        <f t="shared" si="13"/>
        <v>95081.1749501453</v>
      </c>
      <c r="G58" s="50">
        <f t="shared" si="8"/>
        <v>94881.1631454748</v>
      </c>
      <c r="H58" s="50"/>
      <c r="I58" s="50"/>
      <c r="J58" s="50"/>
      <c r="K58" t="s">
        <v>481</v>
      </c>
      <c r="L58" s="2">
        <v>26146</v>
      </c>
      <c r="M58" s="2">
        <v>4011474</v>
      </c>
      <c r="N58" s="51">
        <f t="shared" si="9"/>
        <v>0.00651780368014351</v>
      </c>
      <c r="O58" s="2">
        <f t="shared" si="10"/>
        <v>-0.00230175492948066</v>
      </c>
      <c r="P58" s="51">
        <f t="shared" si="11"/>
        <v>-0.545950738619607</v>
      </c>
    </row>
    <row r="59" ht="16.8" spans="1:16">
      <c r="A59" s="46" t="s">
        <v>345</v>
      </c>
      <c r="B59" s="47">
        <v>24416345</v>
      </c>
      <c r="C59" s="47">
        <v>110096</v>
      </c>
      <c r="D59" s="48">
        <f t="shared" si="7"/>
        <v>0.00450911059783928</v>
      </c>
      <c r="E59" s="49">
        <f t="shared" si="12"/>
        <v>0.00449896742698709</v>
      </c>
      <c r="F59" s="50">
        <f t="shared" ref="F59:F102" si="14">F58*(1-E58)</f>
        <v>94681.1513408044</v>
      </c>
      <c r="G59" s="50">
        <f t="shared" si="8"/>
        <v>94468.1676328884</v>
      </c>
      <c r="H59" s="50"/>
      <c r="I59" s="50"/>
      <c r="J59" s="50"/>
      <c r="K59" t="s">
        <v>482</v>
      </c>
      <c r="L59" s="2">
        <v>29499</v>
      </c>
      <c r="M59" s="2">
        <v>4065310</v>
      </c>
      <c r="N59" s="51">
        <f t="shared" si="9"/>
        <v>0.00725627319933781</v>
      </c>
      <c r="O59" s="2">
        <f t="shared" si="10"/>
        <v>-0.00274716260149854</v>
      </c>
      <c r="P59" s="51">
        <f t="shared" si="11"/>
        <v>-0.60924711024275</v>
      </c>
    </row>
    <row r="60" ht="16.8" spans="1:16">
      <c r="A60" s="46" t="s">
        <v>346</v>
      </c>
      <c r="B60" s="47">
        <v>13372820</v>
      </c>
      <c r="C60" s="47">
        <v>71121</v>
      </c>
      <c r="D60" s="48">
        <f t="shared" si="7"/>
        <v>0.00531832478116059</v>
      </c>
      <c r="E60" s="49">
        <f t="shared" si="12"/>
        <v>0.00530421999882834</v>
      </c>
      <c r="F60" s="50">
        <f t="shared" si="14"/>
        <v>94255.1839249725</v>
      </c>
      <c r="G60" s="50">
        <f t="shared" si="8"/>
        <v>94005.2088091884</v>
      </c>
      <c r="H60" s="50"/>
      <c r="I60" s="50"/>
      <c r="J60" s="50"/>
      <c r="K60" t="s">
        <v>483</v>
      </c>
      <c r="L60" s="2">
        <v>32802</v>
      </c>
      <c r="M60" s="2">
        <v>4216422</v>
      </c>
      <c r="N60" s="51">
        <f t="shared" si="9"/>
        <v>0.00777958183502505</v>
      </c>
      <c r="O60" s="2">
        <f t="shared" si="10"/>
        <v>-0.00246125705386446</v>
      </c>
      <c r="P60" s="51">
        <f t="shared" si="11"/>
        <v>-0.462788031032462</v>
      </c>
    </row>
    <row r="61" ht="16.8" spans="1:16">
      <c r="A61" s="46" t="s">
        <v>347</v>
      </c>
      <c r="B61" s="47">
        <v>11270529</v>
      </c>
      <c r="C61" s="47">
        <v>62317</v>
      </c>
      <c r="D61" s="48">
        <f t="shared" si="7"/>
        <v>0.00552919920617746</v>
      </c>
      <c r="E61" s="49">
        <f t="shared" si="12"/>
        <v>0.00551395532746769</v>
      </c>
      <c r="F61" s="50">
        <f t="shared" si="14"/>
        <v>93755.2336934044</v>
      </c>
      <c r="G61" s="50">
        <f t="shared" si="8"/>
        <v>93496.7526082535</v>
      </c>
      <c r="H61" s="50"/>
      <c r="I61" s="50"/>
      <c r="J61" s="50"/>
      <c r="K61" t="s">
        <v>484</v>
      </c>
      <c r="L61" s="2">
        <v>36118</v>
      </c>
      <c r="M61" s="2">
        <v>4310614</v>
      </c>
      <c r="N61" s="51">
        <f t="shared" si="9"/>
        <v>0.00837885275740301</v>
      </c>
      <c r="O61" s="2">
        <f t="shared" si="10"/>
        <v>-0.00284965355122555</v>
      </c>
      <c r="P61" s="51">
        <f t="shared" si="11"/>
        <v>-0.515382688336097</v>
      </c>
    </row>
    <row r="62" ht="16.8" spans="1:16">
      <c r="A62" s="46" t="s">
        <v>349</v>
      </c>
      <c r="B62" s="47">
        <v>12673621</v>
      </c>
      <c r="C62" s="47">
        <v>78766</v>
      </c>
      <c r="D62" s="48">
        <f t="shared" si="7"/>
        <v>0.00621495624652181</v>
      </c>
      <c r="E62" s="49">
        <f t="shared" si="12"/>
        <v>0.00619570323426312</v>
      </c>
      <c r="F62" s="50">
        <f t="shared" si="14"/>
        <v>93238.2715231027</v>
      </c>
      <c r="G62" s="50">
        <f t="shared" si="8"/>
        <v>92949.4331928863</v>
      </c>
      <c r="H62" s="50"/>
      <c r="I62" s="50"/>
      <c r="J62" s="50"/>
      <c r="K62" t="s">
        <v>485</v>
      </c>
      <c r="L62" s="2">
        <v>39474</v>
      </c>
      <c r="M62" s="2">
        <v>4305792</v>
      </c>
      <c r="N62" s="51">
        <f t="shared" si="9"/>
        <v>0.0091676513867832</v>
      </c>
      <c r="O62" s="2">
        <f t="shared" si="10"/>
        <v>-0.00295269514026139</v>
      </c>
      <c r="P62" s="51">
        <f t="shared" si="11"/>
        <v>-0.4750950808244</v>
      </c>
    </row>
    <row r="63" ht="16.8" spans="1:16">
      <c r="A63" s="46" t="s">
        <v>350</v>
      </c>
      <c r="B63" s="47">
        <v>13827826</v>
      </c>
      <c r="C63" s="47">
        <v>93292</v>
      </c>
      <c r="D63" s="48">
        <f t="shared" si="7"/>
        <v>0.0067466859938793</v>
      </c>
      <c r="E63" s="49">
        <f t="shared" si="12"/>
        <v>0.00672400362334509</v>
      </c>
      <c r="F63" s="50">
        <f t="shared" si="14"/>
        <v>92660.5948626699</v>
      </c>
      <c r="G63" s="50">
        <f t="shared" si="8"/>
        <v>92349.0697748709</v>
      </c>
      <c r="H63" s="50"/>
      <c r="I63" s="50"/>
      <c r="J63" s="50"/>
      <c r="K63" t="s">
        <v>486</v>
      </c>
      <c r="L63" s="2">
        <v>42617</v>
      </c>
      <c r="M63" s="2">
        <v>4312974</v>
      </c>
      <c r="N63" s="51">
        <f t="shared" si="9"/>
        <v>0.00988111683492643</v>
      </c>
      <c r="O63" s="2">
        <f t="shared" si="10"/>
        <v>-0.00313443084104714</v>
      </c>
      <c r="P63" s="51">
        <f t="shared" si="11"/>
        <v>-0.464588220630209</v>
      </c>
    </row>
    <row r="64" ht="16.8" spans="1:16">
      <c r="A64" s="46" t="s">
        <v>351</v>
      </c>
      <c r="B64" s="47">
        <v>17053438</v>
      </c>
      <c r="C64" s="47">
        <v>123048</v>
      </c>
      <c r="D64" s="48">
        <f t="shared" si="7"/>
        <v>0.00721543655889211</v>
      </c>
      <c r="E64" s="49">
        <f t="shared" si="12"/>
        <v>0.00718949887239013</v>
      </c>
      <c r="F64" s="50">
        <f t="shared" si="14"/>
        <v>92037.544687072</v>
      </c>
      <c r="G64" s="50">
        <f t="shared" si="8"/>
        <v>91706.6927751993</v>
      </c>
      <c r="H64" s="50"/>
      <c r="I64" s="50"/>
      <c r="J64" s="50"/>
      <c r="K64" t="s">
        <v>487</v>
      </c>
      <c r="L64" s="2">
        <v>46064</v>
      </c>
      <c r="M64" s="2">
        <v>4296811</v>
      </c>
      <c r="N64" s="51">
        <f t="shared" si="9"/>
        <v>0.0107205087680142</v>
      </c>
      <c r="O64" s="2">
        <f t="shared" si="10"/>
        <v>-0.00350507220912212</v>
      </c>
      <c r="P64" s="51">
        <f t="shared" si="11"/>
        <v>-0.485774101194551</v>
      </c>
    </row>
    <row r="65" ht="16.8" spans="1:16">
      <c r="A65" s="46" t="s">
        <v>352</v>
      </c>
      <c r="B65" s="47">
        <v>16293105</v>
      </c>
      <c r="C65" s="47">
        <v>131239</v>
      </c>
      <c r="D65" s="48">
        <f t="shared" si="7"/>
        <v>0.00805487965614903</v>
      </c>
      <c r="E65" s="49">
        <f t="shared" si="12"/>
        <v>0.00802256924126328</v>
      </c>
      <c r="F65" s="50">
        <f t="shared" si="14"/>
        <v>91375.8408633267</v>
      </c>
      <c r="G65" s="50">
        <f t="shared" si="8"/>
        <v>91009.3063581744</v>
      </c>
      <c r="H65" s="50"/>
      <c r="I65" s="50"/>
      <c r="J65" s="50"/>
      <c r="K65" t="s">
        <v>488</v>
      </c>
      <c r="L65" s="2">
        <v>48920</v>
      </c>
      <c r="M65" s="2">
        <v>4210811</v>
      </c>
      <c r="N65" s="51">
        <f t="shared" si="9"/>
        <v>0.0116177144972786</v>
      </c>
      <c r="O65" s="2">
        <f t="shared" si="10"/>
        <v>-0.00356283484112953</v>
      </c>
      <c r="P65" s="51">
        <f t="shared" si="11"/>
        <v>-0.442320058551053</v>
      </c>
    </row>
    <row r="66" ht="16.8" spans="1:16">
      <c r="A66" s="52" t="s">
        <v>353</v>
      </c>
      <c r="B66" s="53">
        <v>15477817</v>
      </c>
      <c r="C66" s="54">
        <v>137008</v>
      </c>
      <c r="D66" s="48">
        <f t="shared" si="7"/>
        <v>0.00885189429491252</v>
      </c>
      <c r="E66" s="49">
        <f t="shared" si="12"/>
        <v>0.00881288891436115</v>
      </c>
      <c r="F66" s="50">
        <f t="shared" si="14"/>
        <v>90642.771853022</v>
      </c>
      <c r="G66" s="50">
        <f t="shared" si="8"/>
        <v>90243.3595134068</v>
      </c>
      <c r="H66" s="50"/>
      <c r="I66" s="50"/>
      <c r="J66" s="50"/>
      <c r="K66" t="s">
        <v>489</v>
      </c>
      <c r="L66" s="2">
        <v>50859</v>
      </c>
      <c r="M66" s="2">
        <v>4121766</v>
      </c>
      <c r="N66" s="51">
        <f t="shared" si="9"/>
        <v>0.0123391284221375</v>
      </c>
      <c r="O66" s="2">
        <f t="shared" si="10"/>
        <v>-0.00348723412722498</v>
      </c>
      <c r="P66" s="51">
        <f t="shared" si="11"/>
        <v>-0.393953430875153</v>
      </c>
    </row>
    <row r="67" ht="16.8" spans="1:16">
      <c r="A67" s="46" t="s">
        <v>355</v>
      </c>
      <c r="B67" s="47">
        <v>16802044</v>
      </c>
      <c r="C67" s="47">
        <v>159453</v>
      </c>
      <c r="D67" s="48">
        <f t="shared" ref="D67:D98" si="15">C67/B67</f>
        <v>0.00949009537172977</v>
      </c>
      <c r="E67" s="49">
        <f t="shared" si="12"/>
        <v>0.00944527708157151</v>
      </c>
      <c r="F67" s="50">
        <f t="shared" si="14"/>
        <v>89843.9471737915</v>
      </c>
      <c r="G67" s="50">
        <f t="shared" ref="G67:G98" si="16">(F67+F68)/2</f>
        <v>89419.6466862123</v>
      </c>
      <c r="H67" s="50"/>
      <c r="I67" s="50"/>
      <c r="J67" s="50"/>
      <c r="K67" t="s">
        <v>490</v>
      </c>
      <c r="L67" s="2">
        <v>53608</v>
      </c>
      <c r="M67" s="2">
        <v>4076998</v>
      </c>
      <c r="N67" s="51">
        <f t="shared" ref="N67:N86" si="17">L67/M67</f>
        <v>0.0131488904335984</v>
      </c>
      <c r="O67" s="2">
        <f t="shared" ref="O67:O98" si="18">D67-N67</f>
        <v>-0.00365879506186867</v>
      </c>
      <c r="P67" s="51">
        <f t="shared" ref="P67:P98" si="19">O67/D67</f>
        <v>-0.385538281603358</v>
      </c>
    </row>
    <row r="68" ht="16.8" spans="1:16">
      <c r="A68" s="46" t="s">
        <v>356</v>
      </c>
      <c r="B68" s="47">
        <v>15620860</v>
      </c>
      <c r="C68" s="47">
        <v>165930</v>
      </c>
      <c r="D68" s="48">
        <f t="shared" si="15"/>
        <v>0.0106223344937475</v>
      </c>
      <c r="E68" s="49">
        <f t="shared" ref="E68:E99" si="20">D68/(1+0.5*D68)</f>
        <v>0.0105662155557643</v>
      </c>
      <c r="F68" s="50">
        <f t="shared" si="14"/>
        <v>88995.346198633</v>
      </c>
      <c r="G68" s="50">
        <f t="shared" si="16"/>
        <v>88525.1741929357</v>
      </c>
      <c r="H68" s="50"/>
      <c r="I68" s="50"/>
      <c r="J68" s="50"/>
      <c r="K68" t="s">
        <v>491</v>
      </c>
      <c r="L68" s="2">
        <v>56358</v>
      </c>
      <c r="M68" s="2">
        <v>3993009</v>
      </c>
      <c r="N68" s="51">
        <f t="shared" si="17"/>
        <v>0.014114168037187</v>
      </c>
      <c r="O68" s="2">
        <f t="shared" si="18"/>
        <v>-0.00349183354343953</v>
      </c>
      <c r="P68" s="51">
        <f t="shared" si="19"/>
        <v>-0.328725624813914</v>
      </c>
    </row>
    <row r="69" ht="16.8" spans="1:16">
      <c r="A69" s="46" t="s">
        <v>357</v>
      </c>
      <c r="B69" s="47">
        <v>14966943</v>
      </c>
      <c r="C69" s="47">
        <v>174855</v>
      </c>
      <c r="D69" s="48">
        <f t="shared" si="15"/>
        <v>0.011682746436597</v>
      </c>
      <c r="E69" s="49">
        <f t="shared" si="20"/>
        <v>0.011614899473877</v>
      </c>
      <c r="F69" s="50">
        <f t="shared" si="14"/>
        <v>88055.0021872384</v>
      </c>
      <c r="G69" s="50">
        <f t="shared" si="16"/>
        <v>87543.62718795</v>
      </c>
      <c r="H69" s="50"/>
      <c r="I69" s="50"/>
      <c r="J69" s="50"/>
      <c r="K69" t="s">
        <v>492</v>
      </c>
      <c r="L69" s="2">
        <v>57604</v>
      </c>
      <c r="M69" s="2">
        <v>3807066</v>
      </c>
      <c r="N69" s="51">
        <f t="shared" si="17"/>
        <v>0.0151308120216461</v>
      </c>
      <c r="O69" s="2">
        <f t="shared" si="18"/>
        <v>-0.00344806558504909</v>
      </c>
      <c r="P69" s="51">
        <f t="shared" si="19"/>
        <v>-0.295141694956915</v>
      </c>
    </row>
    <row r="70" ht="16.8" spans="1:16">
      <c r="A70" s="46" t="s">
        <v>358</v>
      </c>
      <c r="B70" s="47">
        <v>13252260</v>
      </c>
      <c r="C70" s="47">
        <v>176874</v>
      </c>
      <c r="D70" s="48">
        <f t="shared" si="15"/>
        <v>0.0133467046375486</v>
      </c>
      <c r="E70" s="49">
        <f t="shared" si="20"/>
        <v>0.013258227812235</v>
      </c>
      <c r="F70" s="50">
        <f t="shared" si="14"/>
        <v>87032.2521886616</v>
      </c>
      <c r="G70" s="50">
        <f t="shared" si="16"/>
        <v>86455.305475397</v>
      </c>
      <c r="H70" s="50"/>
      <c r="I70" s="50"/>
      <c r="J70" s="50"/>
      <c r="K70" t="s">
        <v>493</v>
      </c>
      <c r="L70" s="2">
        <v>59664</v>
      </c>
      <c r="M70" s="2">
        <v>3708627</v>
      </c>
      <c r="N70" s="51">
        <f t="shared" si="17"/>
        <v>0.0160878945226899</v>
      </c>
      <c r="O70" s="2">
        <f t="shared" si="18"/>
        <v>-0.00274118988514132</v>
      </c>
      <c r="P70" s="51">
        <f t="shared" si="19"/>
        <v>-0.205383273218579</v>
      </c>
    </row>
    <row r="71" ht="16.8" spans="1:16">
      <c r="A71" s="46" t="s">
        <v>359</v>
      </c>
      <c r="B71" s="47">
        <v>11882125</v>
      </c>
      <c r="C71" s="47">
        <v>172885</v>
      </c>
      <c r="D71" s="48">
        <f t="shared" si="15"/>
        <v>0.0145500068380025</v>
      </c>
      <c r="E71" s="49">
        <f t="shared" si="20"/>
        <v>0.0144449199956469</v>
      </c>
      <c r="F71" s="50">
        <f t="shared" si="14"/>
        <v>85878.3587621324</v>
      </c>
      <c r="G71" s="50">
        <f t="shared" si="16"/>
        <v>85258.1057512942</v>
      </c>
      <c r="H71" s="50"/>
      <c r="I71" s="50"/>
      <c r="J71" s="50"/>
      <c r="K71" t="s">
        <v>494</v>
      </c>
      <c r="L71" s="2">
        <v>61762</v>
      </c>
      <c r="M71" s="2">
        <v>3565028</v>
      </c>
      <c r="N71" s="51">
        <f t="shared" si="17"/>
        <v>0.0173244081112406</v>
      </c>
      <c r="O71" s="2">
        <f t="shared" si="18"/>
        <v>-0.00277440127323818</v>
      </c>
      <c r="P71" s="51">
        <f t="shared" si="19"/>
        <v>-0.19068041026564</v>
      </c>
    </row>
    <row r="72" ht="16.8" spans="1:16">
      <c r="A72" s="46" t="s">
        <v>361</v>
      </c>
      <c r="B72" s="47">
        <v>11901096</v>
      </c>
      <c r="C72" s="47">
        <v>192664</v>
      </c>
      <c r="D72" s="48">
        <f t="shared" si="15"/>
        <v>0.0161887611023388</v>
      </c>
      <c r="E72" s="49">
        <f t="shared" si="20"/>
        <v>0.016058775264165</v>
      </c>
      <c r="F72" s="50">
        <f t="shared" si="14"/>
        <v>84637.852740456</v>
      </c>
      <c r="G72" s="50">
        <f t="shared" si="16"/>
        <v>83958.2626124557</v>
      </c>
      <c r="H72" s="50"/>
      <c r="I72" s="50"/>
      <c r="J72" s="50"/>
      <c r="K72" t="s">
        <v>495</v>
      </c>
      <c r="L72" s="2">
        <v>62856</v>
      </c>
      <c r="M72" s="2">
        <v>3404652</v>
      </c>
      <c r="N72" s="51">
        <f t="shared" si="17"/>
        <v>0.0184617987389019</v>
      </c>
      <c r="O72" s="2">
        <f t="shared" si="18"/>
        <v>-0.00227303763656314</v>
      </c>
      <c r="P72" s="51">
        <f t="shared" si="19"/>
        <v>-0.140408374809778</v>
      </c>
    </row>
    <row r="73" ht="16.8" spans="1:16">
      <c r="A73" s="46" t="s">
        <v>362</v>
      </c>
      <c r="B73" s="47">
        <v>10109453</v>
      </c>
      <c r="C73" s="47">
        <v>188914</v>
      </c>
      <c r="D73" s="48">
        <f t="shared" si="15"/>
        <v>0.0186868666385807</v>
      </c>
      <c r="E73" s="49">
        <f t="shared" si="20"/>
        <v>0.0185138834035188</v>
      </c>
      <c r="F73" s="50">
        <f t="shared" si="14"/>
        <v>83278.6724844555</v>
      </c>
      <c r="G73" s="50">
        <f t="shared" si="16"/>
        <v>82507.766668267</v>
      </c>
      <c r="H73" s="50"/>
      <c r="I73" s="50"/>
      <c r="J73" s="50"/>
      <c r="K73" t="s">
        <v>496</v>
      </c>
      <c r="L73" s="2">
        <v>65466</v>
      </c>
      <c r="M73" s="2">
        <v>3263824</v>
      </c>
      <c r="N73" s="51">
        <f t="shared" si="17"/>
        <v>0.0200580668565462</v>
      </c>
      <c r="O73" s="2">
        <f t="shared" si="18"/>
        <v>-0.00137120021796544</v>
      </c>
      <c r="P73" s="51">
        <f t="shared" si="19"/>
        <v>-0.0733777494368412</v>
      </c>
    </row>
    <row r="74" ht="16.8" spans="1:16">
      <c r="A74" s="46" t="s">
        <v>363</v>
      </c>
      <c r="B74" s="47">
        <v>9330892</v>
      </c>
      <c r="C74" s="47">
        <v>191850</v>
      </c>
      <c r="D74" s="48">
        <f t="shared" si="15"/>
        <v>0.0205607352437473</v>
      </c>
      <c r="E74" s="49">
        <f t="shared" si="20"/>
        <v>0.0203515141961491</v>
      </c>
      <c r="F74" s="50">
        <f t="shared" si="14"/>
        <v>81736.8608520784</v>
      </c>
      <c r="G74" s="50">
        <f t="shared" si="16"/>
        <v>80905.1264100886</v>
      </c>
      <c r="H74" s="50"/>
      <c r="I74" s="50"/>
      <c r="J74" s="50"/>
      <c r="K74" t="s">
        <v>497</v>
      </c>
      <c r="L74" s="2">
        <v>67214</v>
      </c>
      <c r="M74" s="2">
        <v>3094183</v>
      </c>
      <c r="N74" s="51">
        <f t="shared" si="17"/>
        <v>0.0217226970738318</v>
      </c>
      <c r="O74" s="2">
        <f t="shared" si="18"/>
        <v>-0.00116196183008444</v>
      </c>
      <c r="P74" s="51">
        <f t="shared" si="19"/>
        <v>-0.056513632236853</v>
      </c>
    </row>
    <row r="75" ht="16.8" spans="1:16">
      <c r="A75" s="46" t="s">
        <v>364</v>
      </c>
      <c r="B75" s="47">
        <v>8745170</v>
      </c>
      <c r="C75" s="47">
        <v>199329</v>
      </c>
      <c r="D75" s="48">
        <f t="shared" si="15"/>
        <v>0.0227930389003301</v>
      </c>
      <c r="E75" s="49">
        <f t="shared" si="20"/>
        <v>0.0225362046062026</v>
      </c>
      <c r="F75" s="50">
        <f t="shared" si="14"/>
        <v>80073.3919680987</v>
      </c>
      <c r="G75" s="50">
        <f t="shared" si="16"/>
        <v>79171.1167956458</v>
      </c>
      <c r="H75" s="50"/>
      <c r="I75" s="50"/>
      <c r="J75" s="50"/>
      <c r="K75" t="s">
        <v>498</v>
      </c>
      <c r="L75" s="2">
        <v>69426</v>
      </c>
      <c r="M75" s="2">
        <v>2934599</v>
      </c>
      <c r="N75" s="51">
        <f t="shared" si="17"/>
        <v>0.0236577467654013</v>
      </c>
      <c r="O75" s="2">
        <f t="shared" si="18"/>
        <v>-0.000864707865071212</v>
      </c>
      <c r="P75" s="51">
        <f t="shared" si="19"/>
        <v>-0.0379373662657456</v>
      </c>
    </row>
    <row r="76" ht="16.8" spans="1:16">
      <c r="A76" s="46" t="s">
        <v>365</v>
      </c>
      <c r="B76" s="47">
        <v>7832265</v>
      </c>
      <c r="C76" s="47">
        <v>198104</v>
      </c>
      <c r="D76" s="48">
        <f t="shared" si="15"/>
        <v>0.0252933219190107</v>
      </c>
      <c r="E76" s="49">
        <f t="shared" si="20"/>
        <v>0.024977440694906</v>
      </c>
      <c r="F76" s="50">
        <f t="shared" si="14"/>
        <v>78268.841623193</v>
      </c>
      <c r="G76" s="50">
        <f t="shared" si="16"/>
        <v>77291.3639482418</v>
      </c>
      <c r="H76" s="50"/>
      <c r="I76" s="50"/>
      <c r="J76" s="50"/>
      <c r="K76" t="s">
        <v>499</v>
      </c>
      <c r="L76" s="2">
        <v>73722</v>
      </c>
      <c r="M76" s="2">
        <v>2837298</v>
      </c>
      <c r="N76" s="51">
        <f t="shared" si="17"/>
        <v>0.0259831713129886</v>
      </c>
      <c r="O76" s="2">
        <f t="shared" si="18"/>
        <v>-0.000689849393977968</v>
      </c>
      <c r="P76" s="51">
        <f t="shared" si="19"/>
        <v>-0.0272739735882408</v>
      </c>
    </row>
    <row r="77" ht="16.8" spans="1:16">
      <c r="A77" s="46" t="s">
        <v>367</v>
      </c>
      <c r="B77" s="47">
        <v>7032108</v>
      </c>
      <c r="C77" s="47">
        <v>203146</v>
      </c>
      <c r="D77" s="48">
        <f t="shared" si="15"/>
        <v>0.02888835040645</v>
      </c>
      <c r="E77" s="49">
        <f t="shared" si="20"/>
        <v>0.0284770232927433</v>
      </c>
      <c r="F77" s="50">
        <f t="shared" si="14"/>
        <v>76313.8862732907</v>
      </c>
      <c r="G77" s="50">
        <f t="shared" si="16"/>
        <v>75227.2901148085</v>
      </c>
      <c r="H77" s="50"/>
      <c r="I77" s="50"/>
      <c r="J77" s="50"/>
      <c r="K77" t="s">
        <v>500</v>
      </c>
      <c r="L77" s="2">
        <v>78591</v>
      </c>
      <c r="M77" s="2">
        <v>2754372</v>
      </c>
      <c r="N77" s="51">
        <f t="shared" si="17"/>
        <v>0.0285331828816151</v>
      </c>
      <c r="O77" s="2">
        <f t="shared" si="18"/>
        <v>0.000355167524834839</v>
      </c>
      <c r="P77" s="51">
        <f t="shared" si="19"/>
        <v>0.0122944896415941</v>
      </c>
    </row>
    <row r="78" ht="16.8" spans="1:16">
      <c r="A78" s="46" t="s">
        <v>368</v>
      </c>
      <c r="B78" s="47">
        <v>6489823</v>
      </c>
      <c r="C78" s="47">
        <v>205431</v>
      </c>
      <c r="D78" s="48">
        <f t="shared" si="15"/>
        <v>0.0316543301720247</v>
      </c>
      <c r="E78" s="49">
        <f t="shared" si="20"/>
        <v>0.0311611377013574</v>
      </c>
      <c r="F78" s="50">
        <f t="shared" si="14"/>
        <v>74140.6939563264</v>
      </c>
      <c r="G78" s="50">
        <f t="shared" si="16"/>
        <v>72985.5397695028</v>
      </c>
      <c r="H78" s="50"/>
      <c r="I78" s="50"/>
      <c r="J78" s="50"/>
      <c r="K78" t="s">
        <v>501</v>
      </c>
      <c r="L78" s="2">
        <v>85867</v>
      </c>
      <c r="M78" s="2">
        <v>2878060</v>
      </c>
      <c r="N78" s="51">
        <f t="shared" si="17"/>
        <v>0.0298350277617562</v>
      </c>
      <c r="O78" s="2">
        <f t="shared" si="18"/>
        <v>0.00181930241026854</v>
      </c>
      <c r="P78" s="51">
        <f t="shared" si="19"/>
        <v>0.0574740454270106</v>
      </c>
    </row>
    <row r="79" ht="16.8" spans="1:16">
      <c r="A79" s="46" t="s">
        <v>369</v>
      </c>
      <c r="B79" s="47">
        <v>6006271</v>
      </c>
      <c r="C79" s="47">
        <v>213115</v>
      </c>
      <c r="D79" s="48">
        <f t="shared" si="15"/>
        <v>0.03548208197732</v>
      </c>
      <c r="E79" s="49">
        <f t="shared" si="20"/>
        <v>0.0348635660234865</v>
      </c>
      <c r="F79" s="50">
        <f t="shared" si="14"/>
        <v>71830.3855826791</v>
      </c>
      <c r="G79" s="50">
        <f t="shared" si="16"/>
        <v>70578.253887552</v>
      </c>
      <c r="H79" s="50"/>
      <c r="I79" s="50"/>
      <c r="J79" s="50"/>
      <c r="K79" t="s">
        <v>502</v>
      </c>
      <c r="L79" s="2">
        <v>71981</v>
      </c>
      <c r="M79" s="2">
        <v>2013416</v>
      </c>
      <c r="N79" s="51">
        <f t="shared" si="17"/>
        <v>0.0357506844089845</v>
      </c>
      <c r="O79" s="2">
        <f t="shared" si="18"/>
        <v>-0.000268602431664496</v>
      </c>
      <c r="P79" s="51">
        <f t="shared" si="19"/>
        <v>-0.00757008655343801</v>
      </c>
    </row>
    <row r="80" ht="16.8" spans="1:16">
      <c r="A80" s="46" t="s">
        <v>370</v>
      </c>
      <c r="B80" s="47">
        <v>5753958</v>
      </c>
      <c r="C80" s="47">
        <v>228277</v>
      </c>
      <c r="D80" s="48">
        <f t="shared" si="15"/>
        <v>0.0396730389759536</v>
      </c>
      <c r="E80" s="49">
        <f t="shared" si="20"/>
        <v>0.0389013711686575</v>
      </c>
      <c r="F80" s="50">
        <f t="shared" si="14"/>
        <v>69326.1221924249</v>
      </c>
      <c r="G80" s="50">
        <f t="shared" si="16"/>
        <v>67977.6815868793</v>
      </c>
      <c r="H80" s="50"/>
      <c r="I80" s="50"/>
      <c r="J80" s="50"/>
      <c r="K80" t="s">
        <v>503</v>
      </c>
      <c r="L80" s="2">
        <v>73534</v>
      </c>
      <c r="M80" s="2">
        <v>1909705</v>
      </c>
      <c r="N80" s="51">
        <f t="shared" si="17"/>
        <v>0.0385054236125475</v>
      </c>
      <c r="O80" s="2">
        <f t="shared" si="18"/>
        <v>0.00116761536340611</v>
      </c>
      <c r="P80" s="51">
        <f t="shared" si="19"/>
        <v>0.029430953452137</v>
      </c>
    </row>
    <row r="81" ht="16.8" spans="1:16">
      <c r="A81" s="46" t="s">
        <v>371</v>
      </c>
      <c r="B81" s="47">
        <v>5262097</v>
      </c>
      <c r="C81" s="47">
        <v>238205</v>
      </c>
      <c r="D81" s="48">
        <f t="shared" si="15"/>
        <v>0.0452680746858144</v>
      </c>
      <c r="E81" s="49">
        <f t="shared" si="20"/>
        <v>0.0442661529274282</v>
      </c>
      <c r="F81" s="50">
        <f t="shared" si="14"/>
        <v>66629.2409813337</v>
      </c>
      <c r="G81" s="50">
        <f t="shared" si="16"/>
        <v>65154.5308959746</v>
      </c>
      <c r="H81" s="50"/>
      <c r="I81" s="50"/>
      <c r="J81" s="50"/>
      <c r="K81" t="s">
        <v>504</v>
      </c>
      <c r="L81" s="2">
        <v>79818</v>
      </c>
      <c r="M81" s="2">
        <v>1831864</v>
      </c>
      <c r="N81" s="51">
        <f t="shared" si="17"/>
        <v>0.0435720118960796</v>
      </c>
      <c r="O81" s="2">
        <f t="shared" si="18"/>
        <v>0.0016960627897348</v>
      </c>
      <c r="P81" s="51">
        <f t="shared" si="19"/>
        <v>0.0374670847281757</v>
      </c>
    </row>
    <row r="82" ht="16.8" spans="1:16">
      <c r="A82" s="46" t="s">
        <v>373</v>
      </c>
      <c r="B82" s="47">
        <v>4628334</v>
      </c>
      <c r="C82" s="47">
        <v>234224</v>
      </c>
      <c r="D82" s="48">
        <f t="shared" si="15"/>
        <v>0.0506065465456901</v>
      </c>
      <c r="E82" s="49">
        <f t="shared" si="20"/>
        <v>0.0493576367742884</v>
      </c>
      <c r="F82" s="50">
        <f t="shared" si="14"/>
        <v>63679.8208106155</v>
      </c>
      <c r="G82" s="50">
        <f t="shared" si="16"/>
        <v>62108.2780779044</v>
      </c>
      <c r="H82" s="50"/>
      <c r="I82" s="50"/>
      <c r="J82" s="50"/>
      <c r="K82" t="s">
        <v>505</v>
      </c>
      <c r="L82" s="2">
        <v>86666</v>
      </c>
      <c r="M82" s="2">
        <v>1820383</v>
      </c>
      <c r="N82" s="51">
        <f t="shared" si="17"/>
        <v>0.0476086625726564</v>
      </c>
      <c r="O82" s="2">
        <f t="shared" si="18"/>
        <v>0.00299788397303368</v>
      </c>
      <c r="P82" s="51">
        <f t="shared" si="19"/>
        <v>0.0592390545821388</v>
      </c>
    </row>
    <row r="83" ht="16.8" spans="1:16">
      <c r="A83" s="46" t="s">
        <v>374</v>
      </c>
      <c r="B83" s="47">
        <v>4364117</v>
      </c>
      <c r="C83" s="47">
        <v>246624</v>
      </c>
      <c r="D83" s="48">
        <f t="shared" si="15"/>
        <v>0.0565117754633984</v>
      </c>
      <c r="E83" s="49">
        <f t="shared" si="20"/>
        <v>0.0549588639731124</v>
      </c>
      <c r="F83" s="50">
        <f t="shared" si="14"/>
        <v>60536.7353451933</v>
      </c>
      <c r="G83" s="50">
        <f t="shared" si="16"/>
        <v>58873.220243587</v>
      </c>
      <c r="H83" s="50"/>
      <c r="I83" s="50"/>
      <c r="J83" s="50"/>
      <c r="K83" t="s">
        <v>506</v>
      </c>
      <c r="L83" s="2">
        <v>81986</v>
      </c>
      <c r="M83" s="2">
        <v>1529152</v>
      </c>
      <c r="N83" s="51">
        <f t="shared" si="17"/>
        <v>0.0536153371280291</v>
      </c>
      <c r="O83" s="2">
        <f t="shared" si="18"/>
        <v>0.00289643833536931</v>
      </c>
      <c r="P83" s="51">
        <f t="shared" si="19"/>
        <v>0.0512537132591999</v>
      </c>
    </row>
    <row r="84" ht="16.8" spans="1:16">
      <c r="A84" s="46" t="s">
        <v>375</v>
      </c>
      <c r="B84" s="47">
        <v>4075444</v>
      </c>
      <c r="C84" s="47">
        <v>261322</v>
      </c>
      <c r="D84" s="48">
        <f t="shared" si="15"/>
        <v>0.064121111712</v>
      </c>
      <c r="E84" s="49">
        <f t="shared" si="20"/>
        <v>0.0621292145583622</v>
      </c>
      <c r="F84" s="50">
        <f t="shared" si="14"/>
        <v>57209.7051419806</v>
      </c>
      <c r="G84" s="50">
        <f t="shared" si="16"/>
        <v>55432.5081191872</v>
      </c>
      <c r="H84" s="50"/>
      <c r="I84" s="50"/>
      <c r="J84" s="50"/>
      <c r="K84" t="s">
        <v>507</v>
      </c>
      <c r="L84" s="2">
        <v>80299</v>
      </c>
      <c r="M84" s="2">
        <v>1343429</v>
      </c>
      <c r="N84" s="51">
        <f t="shared" si="17"/>
        <v>0.0597716738286876</v>
      </c>
      <c r="O84" s="2">
        <f t="shared" si="18"/>
        <v>0.00434943788331233</v>
      </c>
      <c r="P84" s="51">
        <f t="shared" si="19"/>
        <v>0.0678316043996217</v>
      </c>
    </row>
    <row r="85" ht="16.8" spans="1:16">
      <c r="A85" s="46" t="s">
        <v>376</v>
      </c>
      <c r="B85" s="47">
        <v>3634018</v>
      </c>
      <c r="C85" s="47">
        <v>259104</v>
      </c>
      <c r="D85" s="48">
        <f t="shared" si="15"/>
        <v>0.0712995918016917</v>
      </c>
      <c r="E85" s="49">
        <f t="shared" si="20"/>
        <v>0.0688452719093839</v>
      </c>
      <c r="F85" s="50">
        <f t="shared" si="14"/>
        <v>53655.3110963938</v>
      </c>
      <c r="G85" s="50">
        <f t="shared" si="16"/>
        <v>51808.3538554869</v>
      </c>
      <c r="H85" s="50"/>
      <c r="I85" s="50"/>
      <c r="J85" s="50"/>
      <c r="K85" t="s">
        <v>508</v>
      </c>
      <c r="L85" s="2">
        <v>79183</v>
      </c>
      <c r="M85" s="2">
        <v>1201444</v>
      </c>
      <c r="N85" s="51">
        <f t="shared" si="17"/>
        <v>0.0659065258139372</v>
      </c>
      <c r="O85" s="2">
        <f t="shared" si="18"/>
        <v>0.00539306598775445</v>
      </c>
      <c r="P85" s="51">
        <f t="shared" si="19"/>
        <v>0.0756395072043946</v>
      </c>
    </row>
    <row r="86" ht="16.8" spans="1:16">
      <c r="A86" s="46" t="s">
        <v>377</v>
      </c>
      <c r="B86" s="47">
        <v>3280006</v>
      </c>
      <c r="C86" s="47">
        <v>254775</v>
      </c>
      <c r="D86" s="48">
        <f t="shared" si="15"/>
        <v>0.0776751627893364</v>
      </c>
      <c r="E86" s="49">
        <f t="shared" si="20"/>
        <v>0.0747712290934405</v>
      </c>
      <c r="F86" s="50">
        <f t="shared" si="14"/>
        <v>49961.39661458</v>
      </c>
      <c r="G86" s="50">
        <f t="shared" si="16"/>
        <v>48093.5590985315</v>
      </c>
      <c r="H86" s="50"/>
      <c r="I86" s="50"/>
      <c r="J86" s="50"/>
      <c r="K86" t="s">
        <v>509</v>
      </c>
      <c r="L86" s="2">
        <v>80263</v>
      </c>
      <c r="M86" s="2">
        <v>1086272</v>
      </c>
      <c r="N86" s="51">
        <f t="shared" si="17"/>
        <v>0.0738884920167325</v>
      </c>
      <c r="O86" s="2">
        <f t="shared" si="18"/>
        <v>0.0037866707726039</v>
      </c>
      <c r="P86" s="51">
        <f t="shared" si="19"/>
        <v>0.0487500847970383</v>
      </c>
    </row>
    <row r="87" ht="16.8" spans="1:16">
      <c r="A87" s="46" t="s">
        <v>379</v>
      </c>
      <c r="B87" s="47">
        <v>2823086</v>
      </c>
      <c r="C87" s="47">
        <v>245846</v>
      </c>
      <c r="D87" s="48">
        <f t="shared" si="15"/>
        <v>0.0870841341709038</v>
      </c>
      <c r="E87" s="49">
        <f t="shared" si="20"/>
        <v>0.0834505257791134</v>
      </c>
      <c r="F87" s="50">
        <f t="shared" si="14"/>
        <v>46225.721582483</v>
      </c>
      <c r="G87" s="50">
        <f t="shared" si="16"/>
        <v>44296.9411971944</v>
      </c>
      <c r="H87" s="50"/>
      <c r="I87" s="50"/>
      <c r="J87" s="50"/>
      <c r="K87" t="s">
        <v>510</v>
      </c>
      <c r="L87" s="2">
        <v>81382</v>
      </c>
      <c r="M87" s="2"/>
      <c r="N87" s="2"/>
      <c r="O87" s="2"/>
      <c r="P87" s="51"/>
    </row>
    <row r="88" ht="16.8" spans="1:16">
      <c r="A88" s="46" t="s">
        <v>380</v>
      </c>
      <c r="B88" s="47">
        <v>2567949</v>
      </c>
      <c r="C88" s="47">
        <v>242755</v>
      </c>
      <c r="D88" s="48">
        <f t="shared" si="15"/>
        <v>0.0945326406404489</v>
      </c>
      <c r="E88" s="49">
        <f t="shared" si="20"/>
        <v>0.0902660945035867</v>
      </c>
      <c r="F88" s="50">
        <f t="shared" si="14"/>
        <v>42368.1608119059</v>
      </c>
      <c r="G88" s="50">
        <f t="shared" si="16"/>
        <v>40455.9566080105</v>
      </c>
      <c r="H88" s="50"/>
      <c r="I88" s="50"/>
      <c r="J88" s="50"/>
      <c r="K88" t="s">
        <v>511</v>
      </c>
      <c r="L88" s="2">
        <v>79090</v>
      </c>
      <c r="M88" s="2"/>
      <c r="N88" s="2"/>
      <c r="O88" s="2"/>
      <c r="P88" s="51"/>
    </row>
    <row r="89" ht="16.8" spans="1:16">
      <c r="A89" s="46" t="s">
        <v>381</v>
      </c>
      <c r="B89" s="47">
        <v>2030250</v>
      </c>
      <c r="C89" s="47">
        <v>220492</v>
      </c>
      <c r="D89" s="48">
        <f t="shared" si="15"/>
        <v>0.108603373968723</v>
      </c>
      <c r="E89" s="49">
        <f t="shared" si="20"/>
        <v>0.103009769698238</v>
      </c>
      <c r="F89" s="50">
        <f t="shared" si="14"/>
        <v>38543.7524041152</v>
      </c>
      <c r="G89" s="50">
        <f t="shared" si="16"/>
        <v>36558.5608748883</v>
      </c>
      <c r="H89" s="50"/>
      <c r="I89" s="50"/>
      <c r="J89" s="50"/>
      <c r="K89" t="s">
        <v>512</v>
      </c>
      <c r="L89" s="2">
        <v>78548</v>
      </c>
      <c r="M89" s="2"/>
      <c r="N89" s="2"/>
      <c r="O89" s="2"/>
      <c r="P89" s="51"/>
    </row>
    <row r="90" ht="16.8" spans="1:16">
      <c r="A90" s="46" t="s">
        <v>382</v>
      </c>
      <c r="B90" s="47">
        <v>1658755</v>
      </c>
      <c r="C90" s="47">
        <v>191141</v>
      </c>
      <c r="D90" s="48">
        <f t="shared" si="15"/>
        <v>0.115231604426211</v>
      </c>
      <c r="E90" s="49">
        <f t="shared" si="20"/>
        <v>0.108954125103922</v>
      </c>
      <c r="F90" s="50">
        <f t="shared" si="14"/>
        <v>34573.3693456614</v>
      </c>
      <c r="G90" s="50">
        <f t="shared" si="16"/>
        <v>32689.9137411858</v>
      </c>
      <c r="H90" s="50"/>
      <c r="I90" s="50"/>
      <c r="J90" s="50"/>
      <c r="K90" t="s">
        <v>513</v>
      </c>
      <c r="L90" s="2">
        <v>78107</v>
      </c>
      <c r="M90" s="2"/>
      <c r="N90" s="2"/>
      <c r="O90" s="2"/>
      <c r="P90" s="51"/>
    </row>
    <row r="91" ht="16.8" spans="1:16">
      <c r="A91" s="46" t="s">
        <v>383</v>
      </c>
      <c r="B91" s="47">
        <v>1401082</v>
      </c>
      <c r="C91" s="47">
        <v>176852</v>
      </c>
      <c r="D91" s="48">
        <f t="shared" si="15"/>
        <v>0.126225303015812</v>
      </c>
      <c r="E91" s="49">
        <f t="shared" si="20"/>
        <v>0.118731822856943</v>
      </c>
      <c r="F91" s="50">
        <f t="shared" si="14"/>
        <v>30806.4581367101</v>
      </c>
      <c r="G91" s="50">
        <f t="shared" si="16"/>
        <v>28977.6046715413</v>
      </c>
      <c r="H91" s="50"/>
      <c r="I91" s="50"/>
      <c r="J91" s="50"/>
      <c r="K91" t="s">
        <v>514</v>
      </c>
      <c r="L91" s="2">
        <v>72792</v>
      </c>
      <c r="M91" s="2"/>
      <c r="N91" s="2"/>
      <c r="O91" s="2"/>
      <c r="P91" s="51"/>
    </row>
    <row r="92" ht="16.8" spans="1:16">
      <c r="A92" s="46" t="s">
        <v>385</v>
      </c>
      <c r="B92" s="47">
        <v>1071492</v>
      </c>
      <c r="C92" s="47">
        <v>154184</v>
      </c>
      <c r="D92" s="48">
        <f t="shared" si="15"/>
        <v>0.143896547991026</v>
      </c>
      <c r="E92" s="49">
        <f t="shared" si="20"/>
        <v>0.134238331719752</v>
      </c>
      <c r="F92" s="50">
        <f t="shared" si="14"/>
        <v>27148.7512063724</v>
      </c>
      <c r="G92" s="50">
        <f t="shared" si="16"/>
        <v>25326.5496712634</v>
      </c>
      <c r="H92" s="50"/>
      <c r="I92" s="50"/>
      <c r="J92" s="50"/>
      <c r="K92" t="s">
        <v>515</v>
      </c>
      <c r="L92" s="2">
        <v>70981</v>
      </c>
      <c r="M92" s="2"/>
      <c r="N92" s="2"/>
      <c r="O92" s="2"/>
      <c r="P92" s="51"/>
    </row>
    <row r="93" ht="16.8" spans="1:16">
      <c r="A93" s="46" t="s">
        <v>386</v>
      </c>
      <c r="B93" s="47">
        <v>835038</v>
      </c>
      <c r="C93" s="47">
        <v>130255</v>
      </c>
      <c r="D93" s="48">
        <f t="shared" si="15"/>
        <v>0.155986913170419</v>
      </c>
      <c r="E93" s="49">
        <f t="shared" si="20"/>
        <v>0.144701168840619</v>
      </c>
      <c r="F93" s="50">
        <f t="shared" si="14"/>
        <v>23504.3481361544</v>
      </c>
      <c r="G93" s="50">
        <f t="shared" si="16"/>
        <v>21803.7948120852</v>
      </c>
      <c r="H93" s="50"/>
      <c r="I93" s="50"/>
      <c r="J93" s="50"/>
      <c r="K93" t="s">
        <v>516</v>
      </c>
      <c r="L93" s="2">
        <v>68189</v>
      </c>
      <c r="M93" s="2"/>
      <c r="N93" s="2"/>
      <c r="O93" s="2"/>
      <c r="P93" s="51"/>
    </row>
    <row r="94" ht="16.8" spans="1:16">
      <c r="A94" s="46" t="s">
        <v>387</v>
      </c>
      <c r="B94" s="47">
        <v>662260</v>
      </c>
      <c r="C94" s="47">
        <v>111174</v>
      </c>
      <c r="D94" s="48">
        <f t="shared" si="15"/>
        <v>0.167870624830127</v>
      </c>
      <c r="E94" s="49">
        <f t="shared" si="20"/>
        <v>0.154871441964653</v>
      </c>
      <c r="F94" s="50">
        <f t="shared" si="14"/>
        <v>20103.241488016</v>
      </c>
      <c r="G94" s="50">
        <f t="shared" si="16"/>
        <v>18546.5324893097</v>
      </c>
      <c r="H94" s="50"/>
      <c r="I94" s="50"/>
      <c r="J94" s="50"/>
      <c r="K94" t="s">
        <v>517</v>
      </c>
      <c r="L94" s="2">
        <v>64033</v>
      </c>
      <c r="M94" s="2"/>
      <c r="N94" s="2"/>
      <c r="O94" s="2"/>
      <c r="P94" s="51"/>
    </row>
    <row r="95" ht="16.8" spans="1:16">
      <c r="A95" s="46" t="s">
        <v>388</v>
      </c>
      <c r="B95" s="47">
        <v>471661</v>
      </c>
      <c r="C95" s="47">
        <v>85224</v>
      </c>
      <c r="D95" s="48">
        <f t="shared" si="15"/>
        <v>0.180689096618122</v>
      </c>
      <c r="E95" s="49">
        <f t="shared" si="20"/>
        <v>0.16571743023647</v>
      </c>
      <c r="F95" s="50">
        <f t="shared" si="14"/>
        <v>16989.8234906033</v>
      </c>
      <c r="G95" s="50">
        <f t="shared" si="16"/>
        <v>15582.0685460863</v>
      </c>
      <c r="H95" s="50"/>
      <c r="I95" s="50"/>
      <c r="J95" s="50"/>
      <c r="K95" t="s">
        <v>518</v>
      </c>
      <c r="L95" s="2">
        <v>58305</v>
      </c>
      <c r="M95" s="2"/>
      <c r="N95" s="2"/>
      <c r="O95" s="2"/>
      <c r="P95" s="51"/>
    </row>
    <row r="96" ht="16.8" spans="1:16">
      <c r="A96" s="46" t="s">
        <v>389</v>
      </c>
      <c r="B96" s="47">
        <v>355035</v>
      </c>
      <c r="C96" s="47">
        <v>68034</v>
      </c>
      <c r="D96" s="48">
        <f t="shared" si="15"/>
        <v>0.19162617770079</v>
      </c>
      <c r="E96" s="49">
        <f t="shared" si="20"/>
        <v>0.174871225440301</v>
      </c>
      <c r="F96" s="50">
        <f t="shared" si="14"/>
        <v>14174.3136015693</v>
      </c>
      <c r="G96" s="50">
        <f t="shared" si="16"/>
        <v>12934.9738069286</v>
      </c>
      <c r="H96" s="50"/>
      <c r="I96" s="50"/>
      <c r="J96" s="50"/>
      <c r="K96" t="s">
        <v>519</v>
      </c>
      <c r="L96" s="2">
        <v>50526</v>
      </c>
      <c r="M96" s="2"/>
      <c r="N96" s="2"/>
      <c r="O96" s="2"/>
      <c r="P96" s="51"/>
    </row>
    <row r="97" ht="16.8" spans="1:16">
      <c r="A97" s="46" t="s">
        <v>391</v>
      </c>
      <c r="B97" s="47">
        <v>267565</v>
      </c>
      <c r="C97" s="47">
        <v>53653</v>
      </c>
      <c r="D97" s="48">
        <f t="shared" si="15"/>
        <v>0.200523237344197</v>
      </c>
      <c r="E97" s="49">
        <f t="shared" si="20"/>
        <v>0.182250506553348</v>
      </c>
      <c r="F97" s="50">
        <f t="shared" si="14"/>
        <v>11695.6340122878</v>
      </c>
      <c r="G97" s="50">
        <f t="shared" si="16"/>
        <v>10629.8664006868</v>
      </c>
      <c r="H97" s="50"/>
      <c r="I97" s="50"/>
      <c r="J97" s="50"/>
      <c r="K97" t="s">
        <v>520</v>
      </c>
      <c r="L97" s="2">
        <v>43838</v>
      </c>
      <c r="M97" s="2"/>
      <c r="N97" s="2"/>
      <c r="O97" s="2"/>
      <c r="P97" s="51"/>
    </row>
    <row r="98" ht="16.8" spans="1:16">
      <c r="A98" s="46" t="s">
        <v>392</v>
      </c>
      <c r="B98" s="47">
        <v>195473</v>
      </c>
      <c r="C98" s="47">
        <v>40409</v>
      </c>
      <c r="D98" s="48">
        <f t="shared" si="15"/>
        <v>0.206724202319502</v>
      </c>
      <c r="E98" s="49">
        <f t="shared" si="20"/>
        <v>0.18735844026382</v>
      </c>
      <c r="F98" s="50">
        <f t="shared" si="14"/>
        <v>9564.09878908577</v>
      </c>
      <c r="G98" s="50">
        <f t="shared" si="16"/>
        <v>8668.14147325967</v>
      </c>
      <c r="H98" s="50"/>
      <c r="I98" s="50"/>
      <c r="J98" s="50"/>
      <c r="K98" t="s">
        <v>521</v>
      </c>
      <c r="L98" s="2">
        <v>36506</v>
      </c>
      <c r="M98" s="2"/>
      <c r="N98" s="2"/>
      <c r="O98" s="2"/>
      <c r="P98" s="51"/>
    </row>
    <row r="99" ht="16.8" spans="1:16">
      <c r="A99" s="46" t="s">
        <v>393</v>
      </c>
      <c r="B99" s="47">
        <v>130239</v>
      </c>
      <c r="C99" s="47">
        <v>27669</v>
      </c>
      <c r="D99" s="48">
        <f>C99/B99</f>
        <v>0.212447884274296</v>
      </c>
      <c r="E99" s="49">
        <f t="shared" si="20"/>
        <v>0.192047808930858</v>
      </c>
      <c r="F99" s="50">
        <f t="shared" si="14"/>
        <v>7772.18415743357</v>
      </c>
      <c r="G99" s="50">
        <f>(F99+F100)/2</f>
        <v>7025.86868841245</v>
      </c>
      <c r="H99" s="50"/>
      <c r="I99" s="50"/>
      <c r="J99" s="50"/>
      <c r="K99" t="s">
        <v>522</v>
      </c>
      <c r="L99" s="2">
        <v>29372</v>
      </c>
      <c r="M99" s="2"/>
      <c r="N99" s="2"/>
      <c r="O99" s="2"/>
      <c r="P99" s="51"/>
    </row>
    <row r="100" ht="16.8" spans="1:16">
      <c r="A100" s="46" t="s">
        <v>394</v>
      </c>
      <c r="B100" s="47">
        <v>96103</v>
      </c>
      <c r="C100" s="47">
        <v>20857</v>
      </c>
      <c r="D100" s="48">
        <f>C100/B100</f>
        <v>0.217027564175936</v>
      </c>
      <c r="E100" s="49">
        <f>D100/(1+0.5*D100)</f>
        <v>0.195782468096291</v>
      </c>
      <c r="F100" s="50">
        <f t="shared" si="14"/>
        <v>6279.55321939133</v>
      </c>
      <c r="G100" s="50">
        <f>(F100+F101)/2</f>
        <v>5664.84000547411</v>
      </c>
      <c r="H100" s="50"/>
      <c r="I100" s="50"/>
      <c r="J100" s="50"/>
      <c r="K100" t="s">
        <v>523</v>
      </c>
      <c r="L100" s="2">
        <v>22845</v>
      </c>
      <c r="M100" s="2"/>
      <c r="N100" s="2"/>
      <c r="O100" s="2"/>
      <c r="P100" s="51"/>
    </row>
    <row r="101" ht="16.8" spans="1:16">
      <c r="A101" s="46" t="s">
        <v>395</v>
      </c>
      <c r="B101" s="47">
        <v>72199</v>
      </c>
      <c r="C101" s="47">
        <v>15018</v>
      </c>
      <c r="D101" s="48">
        <f>C101/B101</f>
        <v>0.208008421169268</v>
      </c>
      <c r="E101" s="49">
        <f>D101/(1+0.5*D101)</f>
        <v>0.188412706378281</v>
      </c>
      <c r="F101" s="50">
        <f t="shared" si="14"/>
        <v>5050.12679155688</v>
      </c>
      <c r="G101" s="50">
        <f>(F101+F102)/2</f>
        <v>4574.37276338154</v>
      </c>
      <c r="H101" s="50"/>
      <c r="I101" s="50"/>
      <c r="J101" s="50"/>
      <c r="K101" t="s">
        <v>524</v>
      </c>
      <c r="L101" s="2">
        <v>16803</v>
      </c>
      <c r="M101" s="2"/>
      <c r="N101" s="2"/>
      <c r="O101" s="2"/>
      <c r="P101" s="51"/>
    </row>
    <row r="102" ht="16.8" spans="1:16">
      <c r="A102" s="55" t="s">
        <v>396</v>
      </c>
      <c r="B102" s="53">
        <v>118365</v>
      </c>
      <c r="C102" s="54">
        <v>28103</v>
      </c>
      <c r="D102" s="48">
        <f>C102/B102</f>
        <v>0.237426604148186</v>
      </c>
      <c r="E102" s="49">
        <v>0.01</v>
      </c>
      <c r="F102" s="50">
        <f t="shared" si="14"/>
        <v>4098.61873520619</v>
      </c>
      <c r="G102" s="50">
        <f>F102/D102</f>
        <v>17262.6768171612</v>
      </c>
      <c r="H102" s="50"/>
      <c r="I102" s="50"/>
      <c r="J102" s="50"/>
      <c r="K102" t="s">
        <v>423</v>
      </c>
      <c r="L102" s="2">
        <v>33687</v>
      </c>
      <c r="M102" s="2"/>
      <c r="N102" s="2"/>
      <c r="O102" s="2"/>
      <c r="P102" s="51"/>
    </row>
    <row r="103" spans="1:16">
      <c r="K103" t="s">
        <v>424</v>
      </c>
      <c r="L103" s="2">
        <v>80</v>
      </c>
      <c r="M103" s="2"/>
      <c r="N103" s="2"/>
      <c r="O103" s="2"/>
      <c r="P103" s="51"/>
    </row>
  </sheetData>
  <autoFilter xmlns:etc="http://www.wps.cn/officeDocument/2017/etCustomData" ref="A1:D102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J10" sqref="J10"/>
    </sheetView>
  </sheetViews>
  <sheetFormatPr defaultColWidth="9.23076923076923" defaultRowHeight="16.8"/>
  <cols>
    <col min="1" max="1" width="14.8942307692308" customWidth="1"/>
    <col min="2" max="2" width="9.69230769230769" style="2" customWidth="1"/>
    <col min="3" max="3" width="14.2307692307692" style="2"/>
    <col min="4" max="4" width="10.3076923076923" style="2" customWidth="1"/>
    <col min="7" max="7" width="12.9230769230769" customWidth="1"/>
    <col min="8" max="8" width="11.7692307692308" style="2" customWidth="1"/>
    <col min="9" max="9" width="10.6923076923077" style="2"/>
    <col min="10" max="10" width="14.0769230769231"/>
  </cols>
  <sheetData>
    <row r="1" spans="1:10">
      <c r="A1" s="26" t="s">
        <v>529</v>
      </c>
      <c r="B1" s="26"/>
      <c r="C1" s="27"/>
      <c r="D1" s="26"/>
      <c r="E1" s="26" t="s">
        <v>530</v>
      </c>
      <c r="F1" s="26"/>
      <c r="G1" s="26"/>
      <c r="H1" s="26"/>
      <c r="I1" s="27" t="s">
        <v>531</v>
      </c>
      <c r="J1" s="27"/>
    </row>
    <row r="2" spans="1:10">
      <c r="A2" s="28" t="s">
        <v>532</v>
      </c>
      <c r="B2" s="29" t="s">
        <v>533</v>
      </c>
      <c r="C2" s="30" t="s">
        <v>272</v>
      </c>
      <c r="D2" s="31" t="s">
        <v>534</v>
      </c>
      <c r="E2" s="28" t="s">
        <v>532</v>
      </c>
      <c r="F2" s="29" t="s">
        <v>533</v>
      </c>
      <c r="G2" s="30" t="s">
        <v>272</v>
      </c>
      <c r="H2" s="31" t="s">
        <v>534</v>
      </c>
      <c r="I2" s="31" t="s">
        <v>535</v>
      </c>
      <c r="J2" s="32" t="s">
        <v>536</v>
      </c>
    </row>
    <row r="3" spans="1:10">
      <c r="A3" s="28" t="s">
        <v>537</v>
      </c>
      <c r="B3" s="33">
        <v>20822</v>
      </c>
      <c r="C3" s="33">
        <v>11988057</v>
      </c>
      <c r="D3" s="34">
        <f>B3/(C3-B3/2)*100000</f>
        <v>173.840502549499</v>
      </c>
      <c r="E3" s="32" t="s">
        <v>401</v>
      </c>
      <c r="F3" s="31">
        <v>20145</v>
      </c>
      <c r="G3" s="31">
        <v>3648654</v>
      </c>
      <c r="H3" s="31">
        <v>552.1</v>
      </c>
      <c r="I3" s="31">
        <f>D3-H3</f>
        <v>-378.259497450501</v>
      </c>
      <c r="J3" s="35">
        <f>I3/D3</f>
        <v>-2.17589970060513</v>
      </c>
    </row>
    <row r="4" spans="1:10">
      <c r="A4" s="28" t="s">
        <v>538</v>
      </c>
      <c r="B4" s="33">
        <v>16807</v>
      </c>
      <c r="C4" s="33">
        <v>71571479</v>
      </c>
      <c r="D4" s="34">
        <f>B4/(C4-B4/2)*100000</f>
        <v>23.485575322989</v>
      </c>
      <c r="E4" s="32" t="s">
        <v>402</v>
      </c>
      <c r="F4" s="31">
        <v>4059</v>
      </c>
      <c r="G4" s="31">
        <v>14862506</v>
      </c>
      <c r="H4" s="31">
        <v>27.3</v>
      </c>
      <c r="I4" s="31">
        <f>D4-H4</f>
        <v>-3.81442467701098</v>
      </c>
      <c r="J4" s="35">
        <f>I4/D4</f>
        <v>-0.162415637026239</v>
      </c>
    </row>
    <row r="5" spans="1:10">
      <c r="A5" s="28" t="s">
        <v>282</v>
      </c>
      <c r="B5" s="33">
        <v>12629</v>
      </c>
      <c r="C5" s="33">
        <v>90244056</v>
      </c>
      <c r="D5" s="34">
        <f>B5/(C5-B5/2)*100000</f>
        <v>13.9952527513114</v>
      </c>
      <c r="E5" s="32" t="s">
        <v>403</v>
      </c>
      <c r="F5" s="31">
        <v>2502</v>
      </c>
      <c r="G5" s="31">
        <v>20152757</v>
      </c>
      <c r="H5" s="31">
        <v>12.4</v>
      </c>
      <c r="I5" s="31">
        <f>D5-H5</f>
        <v>1.59525275131138</v>
      </c>
      <c r="J5" s="35">
        <f>I5/D5</f>
        <v>0.113985276268905</v>
      </c>
    </row>
    <row r="6" spans="1:10">
      <c r="A6" s="28" t="s">
        <v>288</v>
      </c>
      <c r="B6" s="33">
        <v>15526</v>
      </c>
      <c r="C6" s="33">
        <v>85255994</v>
      </c>
      <c r="D6" s="34">
        <f>B6/(C6-B6/2)*100000</f>
        <v>18.2126946423088</v>
      </c>
      <c r="E6" s="32" t="s">
        <v>404</v>
      </c>
      <c r="F6" s="31">
        <v>3503</v>
      </c>
      <c r="G6" s="31">
        <v>20834564</v>
      </c>
      <c r="H6" s="31">
        <v>16.8</v>
      </c>
      <c r="I6" s="31">
        <f>D6-H6</f>
        <v>1.41269464230876</v>
      </c>
      <c r="J6" s="35">
        <f>I6/D6</f>
        <v>0.0775664815148782</v>
      </c>
    </row>
    <row r="7" spans="1:10">
      <c r="A7" s="28" t="s">
        <v>294</v>
      </c>
      <c r="B7" s="33">
        <v>20613</v>
      </c>
      <c r="C7" s="33">
        <v>72684140</v>
      </c>
      <c r="D7" s="34">
        <f>B7/(C7-B7/2)*100000</f>
        <v>28.3637163574149</v>
      </c>
      <c r="E7" s="32" t="s">
        <v>405</v>
      </c>
      <c r="F7" s="31">
        <v>12777</v>
      </c>
      <c r="G7" s="31">
        <v>22075480</v>
      </c>
      <c r="H7" s="31">
        <v>57.9</v>
      </c>
      <c r="I7" s="31">
        <f>D7-H7</f>
        <v>-29.5362836425851</v>
      </c>
      <c r="J7" s="35">
        <f>I7/D7</f>
        <v>-1.04134039666715</v>
      </c>
    </row>
    <row r="8" spans="1:10">
      <c r="A8" s="28" t="s">
        <v>300</v>
      </c>
      <c r="B8" s="33">
        <v>25224</v>
      </c>
      <c r="C8" s="33">
        <v>74941675</v>
      </c>
      <c r="D8" s="34">
        <f>B8/(C8-B8/2)*100000</f>
        <v>33.6638401577236</v>
      </c>
      <c r="E8" s="32" t="s">
        <v>406</v>
      </c>
      <c r="F8" s="31">
        <v>20934</v>
      </c>
      <c r="G8" s="31">
        <v>21811172</v>
      </c>
      <c r="H8" s="31">
        <v>96</v>
      </c>
      <c r="I8" s="31">
        <f>D8-H8</f>
        <v>-62.3361598422764</v>
      </c>
      <c r="J8" s="35">
        <f>I8/D8</f>
        <v>-1.85172456707897</v>
      </c>
    </row>
    <row r="9" spans="1:10">
      <c r="A9" s="28" t="s">
        <v>306</v>
      </c>
      <c r="B9" s="33">
        <v>37390</v>
      </c>
      <c r="C9" s="33">
        <v>91847332</v>
      </c>
      <c r="D9" s="34">
        <f>B9/(C9-B9/2)*100000</f>
        <v>40.717145785361</v>
      </c>
      <c r="E9" s="32" t="s">
        <v>407</v>
      </c>
      <c r="F9" s="31">
        <v>27775</v>
      </c>
      <c r="G9" s="31">
        <v>22018360</v>
      </c>
      <c r="H9" s="31">
        <v>126.1</v>
      </c>
      <c r="I9" s="31">
        <f>D9-H9</f>
        <v>-85.3828542146389</v>
      </c>
      <c r="J9" s="35">
        <f>I9/D9</f>
        <v>-2.09697542810912</v>
      </c>
    </row>
    <row r="10" spans="1:10">
      <c r="A10" s="28" t="s">
        <v>312</v>
      </c>
      <c r="B10" s="33">
        <v>61721</v>
      </c>
      <c r="C10" s="33">
        <v>124145190</v>
      </c>
      <c r="D10" s="34">
        <f>B10/(C10-B10/2)*100000</f>
        <v>49.7291491229464</v>
      </c>
      <c r="E10" s="32" t="s">
        <v>408</v>
      </c>
      <c r="F10" s="31">
        <v>39674</v>
      </c>
      <c r="G10" s="31">
        <v>23524156</v>
      </c>
      <c r="H10" s="31">
        <v>168.7</v>
      </c>
      <c r="I10" s="31">
        <f>D10-H10</f>
        <v>-118.970850877054</v>
      </c>
      <c r="J10" s="35">
        <f>I10/D10</f>
        <v>-2.39237656334959</v>
      </c>
    </row>
    <row r="11" spans="1:10">
      <c r="A11" s="28" t="s">
        <v>539</v>
      </c>
      <c r="B11" s="33">
        <v>75743</v>
      </c>
      <c r="C11" s="33">
        <v>99012932</v>
      </c>
      <c r="D11" s="34">
        <f>B11/(C11-B11/2)*100000</f>
        <v>76.5273591320513</v>
      </c>
      <c r="E11" s="32" t="s">
        <v>409</v>
      </c>
      <c r="F11" s="31">
        <v>46983</v>
      </c>
      <c r="G11" s="31">
        <v>22506644</v>
      </c>
      <c r="H11" s="31">
        <v>208.8</v>
      </c>
      <c r="I11" s="31">
        <f>D11-H11</f>
        <v>-132.272640867949</v>
      </c>
      <c r="J11" s="35">
        <f>I11/D11</f>
        <v>-1.72843597855907</v>
      </c>
    </row>
    <row r="12" spans="1:10">
      <c r="A12" s="28" t="s">
        <v>324</v>
      </c>
      <c r="B12" s="33">
        <v>117774</v>
      </c>
      <c r="C12" s="33">
        <v>92955330</v>
      </c>
      <c r="D12" s="34">
        <f>B12/(C12-B12/2)*100000</f>
        <v>126.779881119883</v>
      </c>
      <c r="E12" s="32" t="s">
        <v>410</v>
      </c>
      <c r="F12" s="31">
        <v>58353</v>
      </c>
      <c r="G12" s="31">
        <v>21884049</v>
      </c>
      <c r="H12" s="31">
        <v>266.6</v>
      </c>
      <c r="I12" s="31">
        <f>D12-H12</f>
        <v>-139.820118880117</v>
      </c>
      <c r="J12" s="35">
        <f>I12/D12</f>
        <v>-1.10285731178359</v>
      </c>
    </row>
    <row r="13" spans="1:10">
      <c r="A13" s="36" t="s">
        <v>330</v>
      </c>
      <c r="B13" s="33">
        <v>227493</v>
      </c>
      <c r="C13" s="33">
        <v>114224887</v>
      </c>
      <c r="D13" s="34">
        <f>B13/(C13-B13/2)*100000</f>
        <v>199.360902890985</v>
      </c>
      <c r="E13" s="32" t="s">
        <v>411</v>
      </c>
      <c r="F13" s="31">
        <v>67271</v>
      </c>
      <c r="G13" s="31">
        <v>19817010</v>
      </c>
      <c r="H13" s="31">
        <v>339.5</v>
      </c>
      <c r="I13" s="31">
        <f>D13-H13</f>
        <v>-140.139097109015</v>
      </c>
      <c r="J13" s="35">
        <f>I13/D13</f>
        <v>-0.702941725668482</v>
      </c>
    </row>
    <row r="14" spans="1:10">
      <c r="A14" s="36" t="s">
        <v>336</v>
      </c>
      <c r="B14" s="33">
        <v>358779</v>
      </c>
      <c r="C14" s="33">
        <v>121164296</v>
      </c>
      <c r="D14" s="34">
        <f>B14/(C14-B14/2)*100000</f>
        <v>296.548561617477</v>
      </c>
      <c r="E14" s="32" t="s">
        <v>412</v>
      </c>
      <c r="F14" s="31">
        <v>99502</v>
      </c>
      <c r="G14" s="31">
        <v>20676771</v>
      </c>
      <c r="H14" s="31">
        <v>481.2</v>
      </c>
      <c r="I14" s="31">
        <f>D14-H14</f>
        <v>-184.651438382523</v>
      </c>
      <c r="J14" s="35">
        <f>I14/D14</f>
        <v>-0.622668467435385</v>
      </c>
    </row>
    <row r="15" spans="1:10">
      <c r="A15" s="36" t="s">
        <v>540</v>
      </c>
      <c r="B15" s="33">
        <v>435151</v>
      </c>
      <c r="C15" s="33">
        <v>101400786</v>
      </c>
      <c r="D15" s="34">
        <f>B15/(C15-B15/2)*100000</f>
        <v>430.06245586564</v>
      </c>
      <c r="E15" s="32" t="s">
        <v>413</v>
      </c>
      <c r="F15" s="31">
        <v>148600</v>
      </c>
      <c r="G15" s="31">
        <v>20606257</v>
      </c>
      <c r="H15" s="31">
        <v>721.1</v>
      </c>
      <c r="I15" s="31">
        <f>D15-H15</f>
        <v>-291.03754413436</v>
      </c>
      <c r="J15" s="35">
        <f>I15/D15</f>
        <v>-0.676733205061002</v>
      </c>
    </row>
    <row r="16" spans="1:10">
      <c r="A16" s="28" t="s">
        <v>348</v>
      </c>
      <c r="B16" s="33">
        <v>563353</v>
      </c>
      <c r="C16" s="33">
        <v>73382938</v>
      </c>
      <c r="D16" s="34">
        <f>B16/(C16-B16/2)*100000</f>
        <v>770.647439511013</v>
      </c>
      <c r="E16" s="32" t="s">
        <v>541</v>
      </c>
      <c r="F16" s="31">
        <v>227934</v>
      </c>
      <c r="G16" s="31">
        <v>21248154</v>
      </c>
      <c r="H16" s="31">
        <v>1072.7</v>
      </c>
      <c r="I16" s="31">
        <f>D16-H16</f>
        <v>-302.052560488987</v>
      </c>
      <c r="J16" s="35">
        <f>I16/D16</f>
        <v>-0.391946492005013</v>
      </c>
    </row>
    <row r="17" spans="1:10">
      <c r="A17" s="28" t="s">
        <v>354</v>
      </c>
      <c r="B17" s="33">
        <v>849997</v>
      </c>
      <c r="C17" s="33">
        <v>74005560</v>
      </c>
      <c r="D17" s="34">
        <f>B17/(C17-B17/2)*100000</f>
        <v>1155.19232616892</v>
      </c>
      <c r="E17" s="32" t="s">
        <v>415</v>
      </c>
      <c r="F17" s="31">
        <v>288996</v>
      </c>
      <c r="G17" s="31">
        <v>19150728</v>
      </c>
      <c r="H17" s="31">
        <v>1509.1</v>
      </c>
      <c r="I17" s="31">
        <f>D17-H17</f>
        <v>-353.907673831084</v>
      </c>
      <c r="J17" s="35">
        <f>I17/D17</f>
        <v>-0.306362556099021</v>
      </c>
    </row>
    <row r="18" spans="1:10">
      <c r="A18" s="28" t="s">
        <v>542</v>
      </c>
      <c r="B18" s="33">
        <v>970861</v>
      </c>
      <c r="C18" s="33">
        <v>49590036</v>
      </c>
      <c r="D18" s="34">
        <f>B18/(C18-B18/2)*100000</f>
        <v>1977.12819421795</v>
      </c>
      <c r="E18" s="32" t="s">
        <v>416</v>
      </c>
      <c r="F18" s="31">
        <v>338684</v>
      </c>
      <c r="G18" s="31">
        <v>15534556</v>
      </c>
      <c r="H18" s="31">
        <v>2180.2</v>
      </c>
      <c r="I18" s="31">
        <f>D18-H18</f>
        <v>-203.071805782046</v>
      </c>
      <c r="J18" s="35">
        <f>I18/D18</f>
        <v>-0.102710490081484</v>
      </c>
    </row>
    <row r="19" spans="1:10">
      <c r="A19" s="36" t="s">
        <v>366</v>
      </c>
      <c r="B19" s="33">
        <v>1088174</v>
      </c>
      <c r="C19" s="33">
        <v>31238849</v>
      </c>
      <c r="D19" s="34">
        <f>B19/(C19-B19/2)*100000</f>
        <v>3545.14558542594</v>
      </c>
      <c r="E19" s="32" t="s">
        <v>417</v>
      </c>
      <c r="F19" s="31">
        <v>389791</v>
      </c>
      <c r="G19" s="31">
        <v>11387417</v>
      </c>
      <c r="H19" s="31">
        <v>3423</v>
      </c>
      <c r="I19" s="31">
        <f>D19-H19</f>
        <v>122.145585425943</v>
      </c>
      <c r="J19" s="35">
        <f>I19/D19</f>
        <v>0.0344543214044813</v>
      </c>
    </row>
    <row r="20" spans="1:10">
      <c r="A20" s="36" t="s">
        <v>372</v>
      </c>
      <c r="B20" s="33">
        <v>1256049</v>
      </c>
      <c r="C20" s="33">
        <v>20382878</v>
      </c>
      <c r="D20" s="34">
        <f>B20/(C20-B20/2)*100000</f>
        <v>6358.17926971719</v>
      </c>
      <c r="E20" s="32" t="s">
        <v>418</v>
      </c>
      <c r="F20" s="31">
        <v>408397</v>
      </c>
      <c r="G20" s="31">
        <v>6980680</v>
      </c>
      <c r="H20" s="31">
        <v>5850.4</v>
      </c>
      <c r="I20" s="31">
        <f>D20-H20</f>
        <v>507.779269717186</v>
      </c>
      <c r="J20" s="35">
        <f>I20/D20</f>
        <v>0.0798623706845832</v>
      </c>
    </row>
    <row r="21" spans="1:10">
      <c r="A21" s="36" t="s">
        <v>378</v>
      </c>
      <c r="B21" s="33">
        <v>1077086</v>
      </c>
      <c r="C21" s="33">
        <v>10826530</v>
      </c>
      <c r="D21" s="34">
        <f>B21/(C21-B21/2)*100000</f>
        <v>10469.3561529578</v>
      </c>
      <c r="E21" s="32" t="s">
        <v>419</v>
      </c>
      <c r="F21" s="31">
        <v>389919</v>
      </c>
      <c r="G21" s="31"/>
      <c r="H21" s="31"/>
      <c r="I21" s="31"/>
      <c r="J21" s="32"/>
    </row>
    <row r="22" spans="1:10">
      <c r="A22" s="28" t="s">
        <v>384</v>
      </c>
      <c r="B22" s="33">
        <v>548871</v>
      </c>
      <c r="C22" s="33">
        <v>3652749</v>
      </c>
      <c r="D22" s="34">
        <f>B22/(C22-B22/2)*100000</f>
        <v>16246.8936053448</v>
      </c>
      <c r="E22" s="32" t="s">
        <v>421</v>
      </c>
      <c r="F22" s="31">
        <v>312034</v>
      </c>
      <c r="G22" s="31"/>
      <c r="H22" s="31"/>
      <c r="I22" s="31"/>
      <c r="J22" s="32"/>
    </row>
    <row r="23" spans="1:10">
      <c r="A23" s="28" t="s">
        <v>390</v>
      </c>
      <c r="B23" s="33">
        <v>157606</v>
      </c>
      <c r="C23" s="33">
        <v>819812</v>
      </c>
      <c r="D23" s="34">
        <f>B23/(C23-B23/2)*100000</f>
        <v>21269.1073927577</v>
      </c>
      <c r="E23" s="32" t="s">
        <v>422</v>
      </c>
      <c r="F23" s="31">
        <v>149364</v>
      </c>
      <c r="G23" s="31"/>
      <c r="H23" s="31"/>
      <c r="I23" s="31"/>
      <c r="J23" s="32"/>
    </row>
    <row r="24" spans="1:10">
      <c r="A24" s="28" t="s">
        <v>396</v>
      </c>
      <c r="B24" s="33">
        <v>28103</v>
      </c>
      <c r="C24" s="31"/>
      <c r="D24" s="34"/>
      <c r="E24" s="32" t="s">
        <v>423</v>
      </c>
      <c r="F24" s="31">
        <v>33687</v>
      </c>
      <c r="G24" s="31"/>
      <c r="H24" s="31"/>
      <c r="I24" s="31"/>
      <c r="J24" s="32"/>
    </row>
  </sheetData>
  <mergeCells count="3">
    <mergeCell ref="A1:D1"/>
    <mergeCell ref="E1:H1"/>
    <mergeCell ref="I1:J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6"/>
  <sheetViews>
    <sheetView workbookViewId="0">
      <selection activeCell="J98" sqref="J94 J98:J106"/>
    </sheetView>
  </sheetViews>
  <sheetFormatPr defaultColWidth="9.23076923076923" defaultRowHeight="16.8"/>
  <cols>
    <col min="1" max="1" width="51.7692307692308" customWidth="1"/>
    <col min="2" max="2" width="5.76923076923077" hidden="1" customWidth="1"/>
    <col min="3" max="3" width="7.5" hidden="1" customWidth="1"/>
    <col min="4" max="9" width="4.80769230769231" hidden="1" customWidth="1"/>
    <col min="10" max="10" width="5.76923076923077" customWidth="1"/>
    <col min="11" max="11" width="4.80769230769231" hidden="1" customWidth="1"/>
    <col min="12" max="16" width="5.76923076923077" hidden="1" customWidth="1"/>
    <col min="17" max="20" width="6.73076923076923" hidden="1" customWidth="1"/>
    <col min="21" max="21" width="10.1923076923077" hidden="1" customWidth="1"/>
  </cols>
  <sheetData>
    <row r="1" spans="1:21">
      <c r="A1" s="16" t="s">
        <v>543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8" t="s">
        <v>544</v>
      </c>
      <c r="B2" s="19" t="s">
        <v>59</v>
      </c>
      <c r="C2" s="19" t="s">
        <v>545</v>
      </c>
      <c r="D2" s="19" t="s">
        <v>546</v>
      </c>
      <c r="E2" s="19" t="s">
        <v>547</v>
      </c>
      <c r="F2" s="19" t="s">
        <v>548</v>
      </c>
      <c r="G2" s="19" t="s">
        <v>549</v>
      </c>
      <c r="H2" s="19" t="s">
        <v>550</v>
      </c>
      <c r="I2" s="19" t="s">
        <v>551</v>
      </c>
      <c r="J2" s="19" t="s">
        <v>552</v>
      </c>
      <c r="K2" s="19" t="s">
        <v>553</v>
      </c>
      <c r="L2" s="19" t="s">
        <v>554</v>
      </c>
      <c r="M2" s="19" t="s">
        <v>555</v>
      </c>
      <c r="N2" s="19" t="s">
        <v>556</v>
      </c>
      <c r="O2" s="19" t="s">
        <v>557</v>
      </c>
      <c r="P2" s="19" t="s">
        <v>558</v>
      </c>
      <c r="Q2" s="19" t="s">
        <v>559</v>
      </c>
      <c r="R2" s="19" t="s">
        <v>560</v>
      </c>
      <c r="S2" s="19" t="s">
        <v>561</v>
      </c>
      <c r="T2" s="19" t="s">
        <v>562</v>
      </c>
      <c r="U2" s="20" t="s">
        <v>563</v>
      </c>
    </row>
    <row r="3" spans="1:21">
      <c r="A3" s="21" t="s">
        <v>564</v>
      </c>
      <c r="B3" s="22">
        <v>644.99</v>
      </c>
      <c r="C3" s="22">
        <v>166.25</v>
      </c>
      <c r="D3" s="22">
        <v>17.75</v>
      </c>
      <c r="E3" s="22">
        <v>10.62</v>
      </c>
      <c r="F3" s="22">
        <v>15.32</v>
      </c>
      <c r="G3" s="22">
        <v>24.65</v>
      </c>
      <c r="H3" s="22">
        <v>27.56</v>
      </c>
      <c r="I3" s="22">
        <v>29.38</v>
      </c>
      <c r="J3" s="22">
        <v>40.88</v>
      </c>
      <c r="K3" s="22">
        <v>70.95</v>
      </c>
      <c r="L3" s="22">
        <v>103.77</v>
      </c>
      <c r="M3" s="22">
        <v>172.22</v>
      </c>
      <c r="N3" s="22">
        <v>262.53</v>
      </c>
      <c r="O3" s="22">
        <v>444.35</v>
      </c>
      <c r="P3" s="22">
        <v>719.38</v>
      </c>
      <c r="Q3" s="22">
        <v>1215.74</v>
      </c>
      <c r="R3" s="22">
        <v>2007.42</v>
      </c>
      <c r="S3" s="22">
        <v>3417.86</v>
      </c>
      <c r="T3" s="22">
        <v>5980.84</v>
      </c>
      <c r="U3" s="22">
        <v>14978.69</v>
      </c>
    </row>
    <row r="4" spans="1:21">
      <c r="A4" s="23" t="s">
        <v>565</v>
      </c>
      <c r="B4" s="22">
        <v>5.37</v>
      </c>
      <c r="C4" s="22">
        <v>4.28</v>
      </c>
      <c r="D4" s="22">
        <v>0.39</v>
      </c>
      <c r="E4" s="22">
        <v>0.16</v>
      </c>
      <c r="F4" s="22">
        <v>0.14</v>
      </c>
      <c r="G4" s="22">
        <v>0.2</v>
      </c>
      <c r="H4" s="22">
        <v>0.5</v>
      </c>
      <c r="I4" s="22">
        <v>0.91</v>
      </c>
      <c r="J4" s="22">
        <v>0.96</v>
      </c>
      <c r="K4" s="22">
        <v>1.92</v>
      </c>
      <c r="L4" s="22">
        <v>2.68</v>
      </c>
      <c r="M4" s="22">
        <v>4.28</v>
      </c>
      <c r="N4" s="22">
        <v>4.7</v>
      </c>
      <c r="O4" s="22">
        <v>6.56</v>
      </c>
      <c r="P4" s="22">
        <v>8.23</v>
      </c>
      <c r="Q4" s="22">
        <v>11.04</v>
      </c>
      <c r="R4" s="22">
        <v>16.36</v>
      </c>
      <c r="S4" s="22">
        <v>21.69</v>
      </c>
      <c r="T4" s="22">
        <v>33.73</v>
      </c>
      <c r="U4" s="22">
        <v>58.61</v>
      </c>
    </row>
    <row r="5" spans="1:21">
      <c r="A5" s="23" t="s">
        <v>566</v>
      </c>
      <c r="B5" s="22">
        <v>5.3</v>
      </c>
      <c r="C5" s="22">
        <v>4.28</v>
      </c>
      <c r="D5" s="22">
        <v>0.39</v>
      </c>
      <c r="E5" s="22">
        <v>0.14</v>
      </c>
      <c r="F5" s="22">
        <v>0.14</v>
      </c>
      <c r="G5" s="22">
        <v>0.2</v>
      </c>
      <c r="H5" s="22">
        <v>0.5</v>
      </c>
      <c r="I5" s="22">
        <v>0.91</v>
      </c>
      <c r="J5" s="22">
        <v>0.96</v>
      </c>
      <c r="K5" s="22">
        <v>1.9</v>
      </c>
      <c r="L5" s="22">
        <v>2.67</v>
      </c>
      <c r="M5" s="22">
        <v>4.28</v>
      </c>
      <c r="N5" s="22">
        <v>4.68</v>
      </c>
      <c r="O5" s="22">
        <v>6.53</v>
      </c>
      <c r="P5" s="22">
        <v>8.17</v>
      </c>
      <c r="Q5" s="22">
        <v>10.98</v>
      </c>
      <c r="R5" s="22">
        <v>15.89</v>
      </c>
      <c r="S5" s="22">
        <v>21.34</v>
      </c>
      <c r="T5" s="22">
        <v>32.98</v>
      </c>
      <c r="U5" s="22">
        <v>57.31</v>
      </c>
    </row>
    <row r="6" spans="1:21">
      <c r="A6" s="23" t="s">
        <v>567</v>
      </c>
      <c r="B6" s="22">
        <v>0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0.02</v>
      </c>
      <c r="Q6" s="22">
        <v>0</v>
      </c>
      <c r="R6" s="22">
        <v>0</v>
      </c>
      <c r="S6" s="22">
        <v>0.04</v>
      </c>
      <c r="T6" s="22">
        <v>0</v>
      </c>
      <c r="U6" s="22">
        <v>0</v>
      </c>
    </row>
    <row r="7" spans="1:21">
      <c r="A7" s="23" t="s">
        <v>568</v>
      </c>
      <c r="B7" s="22">
        <v>0.11</v>
      </c>
      <c r="C7" s="22">
        <v>0.55</v>
      </c>
      <c r="D7" s="22">
        <v>0.11</v>
      </c>
      <c r="E7" s="22">
        <v>0</v>
      </c>
      <c r="F7" s="22">
        <v>0.04</v>
      </c>
      <c r="G7" s="22">
        <v>0.05</v>
      </c>
      <c r="H7" s="22">
        <v>0</v>
      </c>
      <c r="I7" s="22">
        <v>0.02</v>
      </c>
      <c r="J7" s="22">
        <v>0.02</v>
      </c>
      <c r="K7" s="22">
        <v>0.03</v>
      </c>
      <c r="L7" s="22">
        <v>0.03</v>
      </c>
      <c r="M7" s="22">
        <v>0.03</v>
      </c>
      <c r="N7" s="22">
        <v>0.04</v>
      </c>
      <c r="O7" s="22">
        <v>0.03</v>
      </c>
      <c r="P7" s="22">
        <v>0.15</v>
      </c>
      <c r="Q7" s="22">
        <v>0.18</v>
      </c>
      <c r="R7" s="22">
        <v>0.35</v>
      </c>
      <c r="S7" s="22">
        <v>0.13</v>
      </c>
      <c r="T7" s="22">
        <v>0.94</v>
      </c>
      <c r="U7" s="22">
        <v>2.41</v>
      </c>
    </row>
    <row r="8" spans="1:21">
      <c r="A8" s="23" t="s">
        <v>569</v>
      </c>
      <c r="B8" s="22">
        <v>1.25</v>
      </c>
      <c r="C8" s="22">
        <v>0</v>
      </c>
      <c r="D8" s="22">
        <v>0</v>
      </c>
      <c r="E8" s="22">
        <v>0</v>
      </c>
      <c r="F8" s="22">
        <v>0.02</v>
      </c>
      <c r="G8" s="22">
        <v>0</v>
      </c>
      <c r="H8" s="22">
        <v>0.15</v>
      </c>
      <c r="I8" s="22">
        <v>0.22</v>
      </c>
      <c r="J8" s="22">
        <v>0.24</v>
      </c>
      <c r="K8" s="22">
        <v>0.45</v>
      </c>
      <c r="L8" s="22">
        <v>0.54</v>
      </c>
      <c r="M8" s="22">
        <v>0.71</v>
      </c>
      <c r="N8" s="22">
        <v>0.99</v>
      </c>
      <c r="O8" s="22">
        <v>1.34</v>
      </c>
      <c r="P8" s="22">
        <v>1.85</v>
      </c>
      <c r="Q8" s="22">
        <v>2.47</v>
      </c>
      <c r="R8" s="22">
        <v>4.17</v>
      </c>
      <c r="S8" s="22">
        <v>6.41</v>
      </c>
      <c r="T8" s="22">
        <v>8.54</v>
      </c>
      <c r="U8" s="22">
        <v>15.02</v>
      </c>
    </row>
    <row r="9" spans="1:21">
      <c r="A9" s="23" t="s">
        <v>570</v>
      </c>
      <c r="B9" s="22">
        <v>0.02</v>
      </c>
      <c r="C9" s="22">
        <v>0.14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0.01</v>
      </c>
      <c r="N9" s="22">
        <v>0.01</v>
      </c>
      <c r="O9" s="22">
        <v>0.01</v>
      </c>
      <c r="P9" s="22">
        <v>0.04</v>
      </c>
      <c r="Q9" s="22">
        <v>0.04</v>
      </c>
      <c r="R9" s="22">
        <v>0.06</v>
      </c>
      <c r="S9" s="22">
        <v>0.09</v>
      </c>
      <c r="T9" s="22">
        <v>0.06</v>
      </c>
      <c r="U9" s="22">
        <v>0.09</v>
      </c>
    </row>
    <row r="10" spans="1:21">
      <c r="A10" s="23" t="s">
        <v>571</v>
      </c>
      <c r="B10" s="22">
        <v>0.07</v>
      </c>
      <c r="C10" s="22">
        <v>0.41</v>
      </c>
      <c r="D10" s="22">
        <v>0.03</v>
      </c>
      <c r="E10" s="22">
        <v>0.02</v>
      </c>
      <c r="F10" s="22">
        <v>0.02</v>
      </c>
      <c r="G10" s="22">
        <v>0.05</v>
      </c>
      <c r="H10" s="22">
        <v>0.09</v>
      </c>
      <c r="I10" s="22">
        <v>0</v>
      </c>
      <c r="J10" s="22">
        <v>0.02</v>
      </c>
      <c r="K10" s="22">
        <v>0</v>
      </c>
      <c r="L10" s="22">
        <v>0.08</v>
      </c>
      <c r="M10" s="22">
        <v>0.03</v>
      </c>
      <c r="N10" s="22">
        <v>0.04</v>
      </c>
      <c r="O10" s="22">
        <v>0.08</v>
      </c>
      <c r="P10" s="22">
        <v>0.08</v>
      </c>
      <c r="Q10" s="22">
        <v>0.1</v>
      </c>
      <c r="R10" s="22">
        <v>0.23</v>
      </c>
      <c r="S10" s="22">
        <v>0.22</v>
      </c>
      <c r="T10" s="22">
        <v>0.37</v>
      </c>
      <c r="U10" s="22">
        <v>0.46</v>
      </c>
    </row>
    <row r="11" spans="1:21">
      <c r="A11" s="23" t="s">
        <v>572</v>
      </c>
      <c r="B11" s="22">
        <v>0.51</v>
      </c>
      <c r="C11" s="22">
        <v>2.62</v>
      </c>
      <c r="D11" s="22">
        <v>0.11</v>
      </c>
      <c r="E11" s="22">
        <v>0.04</v>
      </c>
      <c r="F11" s="22">
        <v>0.04</v>
      </c>
      <c r="G11" s="22">
        <v>0.05</v>
      </c>
      <c r="H11" s="22">
        <v>0.02</v>
      </c>
      <c r="I11" s="22">
        <v>0.05</v>
      </c>
      <c r="J11" s="22">
        <v>0.05</v>
      </c>
      <c r="K11" s="22">
        <v>0.09</v>
      </c>
      <c r="L11" s="22">
        <v>0.08</v>
      </c>
      <c r="M11" s="22">
        <v>0.16</v>
      </c>
      <c r="N11" s="22">
        <v>0.26</v>
      </c>
      <c r="O11" s="22">
        <v>0.37</v>
      </c>
      <c r="P11" s="22">
        <v>0.52</v>
      </c>
      <c r="Q11" s="22">
        <v>0.86</v>
      </c>
      <c r="R11" s="22">
        <v>1.34</v>
      </c>
      <c r="S11" s="22">
        <v>2.15</v>
      </c>
      <c r="T11" s="22">
        <v>4.99</v>
      </c>
      <c r="U11" s="22">
        <v>10.85</v>
      </c>
    </row>
    <row r="12" spans="1:21">
      <c r="A12" s="23" t="s">
        <v>573</v>
      </c>
      <c r="B12" s="22">
        <v>0.01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0.02</v>
      </c>
      <c r="L12" s="22">
        <v>0</v>
      </c>
      <c r="M12" s="22">
        <v>0.03</v>
      </c>
      <c r="N12" s="22">
        <v>0.01</v>
      </c>
      <c r="O12" s="22">
        <v>0.04</v>
      </c>
      <c r="P12" s="22">
        <v>0.04</v>
      </c>
      <c r="Q12" s="22">
        <v>0.02</v>
      </c>
      <c r="R12" s="22">
        <v>0</v>
      </c>
      <c r="S12" s="22">
        <v>0.04</v>
      </c>
      <c r="T12" s="22">
        <v>0</v>
      </c>
      <c r="U12" s="22">
        <v>0.09</v>
      </c>
    </row>
    <row r="13" spans="1:21">
      <c r="A13" s="23" t="s">
        <v>574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0.01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0.02</v>
      </c>
      <c r="R13" s="22">
        <v>0</v>
      </c>
      <c r="S13" s="22">
        <v>0.04</v>
      </c>
      <c r="T13" s="22">
        <v>0</v>
      </c>
      <c r="U13" s="22">
        <v>0</v>
      </c>
    </row>
    <row r="14" spans="1:21">
      <c r="A14" s="23" t="s">
        <v>575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</row>
    <row r="15" spans="1:21">
      <c r="A15" s="23" t="s">
        <v>576</v>
      </c>
      <c r="B15" s="22">
        <v>2.17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0.04</v>
      </c>
      <c r="I15" s="22">
        <v>0.17</v>
      </c>
      <c r="J15" s="22">
        <v>0.19</v>
      </c>
      <c r="K15" s="22">
        <v>0.65</v>
      </c>
      <c r="L15" s="22">
        <v>1.32</v>
      </c>
      <c r="M15" s="22">
        <v>2.33</v>
      </c>
      <c r="N15" s="22">
        <v>2.68</v>
      </c>
      <c r="O15" s="22">
        <v>3.49</v>
      </c>
      <c r="P15" s="22">
        <v>3.99</v>
      </c>
      <c r="Q15" s="22">
        <v>5.24</v>
      </c>
      <c r="R15" s="22">
        <v>6.91</v>
      </c>
      <c r="S15" s="22">
        <v>7.73</v>
      </c>
      <c r="T15" s="22">
        <v>10.35</v>
      </c>
      <c r="U15" s="22">
        <v>12.61</v>
      </c>
    </row>
    <row r="16" spans="1:21">
      <c r="A16" s="23" t="s">
        <v>577</v>
      </c>
      <c r="B16" s="22">
        <v>0.45</v>
      </c>
      <c r="C16" s="22">
        <v>0</v>
      </c>
      <c r="D16" s="22">
        <v>0.03</v>
      </c>
      <c r="E16" s="22">
        <v>0</v>
      </c>
      <c r="F16" s="22">
        <v>0</v>
      </c>
      <c r="G16" s="22">
        <v>0</v>
      </c>
      <c r="H16" s="22">
        <v>0.15</v>
      </c>
      <c r="I16" s="22">
        <v>0.37</v>
      </c>
      <c r="J16" s="22">
        <v>0.25</v>
      </c>
      <c r="K16" s="22">
        <v>0.48</v>
      </c>
      <c r="L16" s="22">
        <v>0.42</v>
      </c>
      <c r="M16" s="22">
        <v>0.65</v>
      </c>
      <c r="N16" s="22">
        <v>0.43</v>
      </c>
      <c r="O16" s="22">
        <v>0.59</v>
      </c>
      <c r="P16" s="22">
        <v>0.69</v>
      </c>
      <c r="Q16" s="22">
        <v>0.92</v>
      </c>
      <c r="R16" s="22">
        <v>1.05</v>
      </c>
      <c r="S16" s="22">
        <v>1.05</v>
      </c>
      <c r="T16" s="22">
        <v>1.31</v>
      </c>
      <c r="U16" s="22">
        <v>1.21</v>
      </c>
    </row>
    <row r="17" spans="1:21">
      <c r="A17" s="23" t="s">
        <v>578</v>
      </c>
      <c r="B17" s="22">
        <v>0.07</v>
      </c>
      <c r="C17" s="22">
        <v>0</v>
      </c>
      <c r="D17" s="22">
        <v>0</v>
      </c>
      <c r="E17" s="22">
        <v>0.02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0.02</v>
      </c>
      <c r="L17" s="22">
        <v>0.02</v>
      </c>
      <c r="M17" s="22">
        <v>0</v>
      </c>
      <c r="N17" s="22">
        <v>0.02</v>
      </c>
      <c r="O17" s="22">
        <v>0.03</v>
      </c>
      <c r="P17" s="22">
        <v>0.06</v>
      </c>
      <c r="Q17" s="22">
        <v>0.06</v>
      </c>
      <c r="R17" s="22">
        <v>0.47</v>
      </c>
      <c r="S17" s="22">
        <v>0.35</v>
      </c>
      <c r="T17" s="22">
        <v>0.75</v>
      </c>
      <c r="U17" s="22">
        <v>1.3</v>
      </c>
    </row>
    <row r="18" spans="1:21">
      <c r="A18" s="23" t="s">
        <v>579</v>
      </c>
      <c r="B18" s="22">
        <v>0.05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0.01</v>
      </c>
      <c r="P18" s="22">
        <v>0.02</v>
      </c>
      <c r="Q18" s="22">
        <v>0.06</v>
      </c>
      <c r="R18" s="22">
        <v>0.35</v>
      </c>
      <c r="S18" s="22">
        <v>0.22</v>
      </c>
      <c r="T18" s="22">
        <v>0.69</v>
      </c>
      <c r="U18" s="22">
        <v>1.3</v>
      </c>
    </row>
    <row r="19" spans="1:21">
      <c r="A19" s="23" t="s">
        <v>580</v>
      </c>
      <c r="B19" s="22">
        <v>161.22</v>
      </c>
      <c r="C19" s="22">
        <v>2.9</v>
      </c>
      <c r="D19" s="22">
        <v>3.21</v>
      </c>
      <c r="E19" s="22">
        <v>2.01</v>
      </c>
      <c r="F19" s="22">
        <v>2.51</v>
      </c>
      <c r="G19" s="22">
        <v>3.51</v>
      </c>
      <c r="H19" s="22">
        <v>4.04</v>
      </c>
      <c r="I19" s="22">
        <v>5.14</v>
      </c>
      <c r="J19" s="22">
        <v>9.23</v>
      </c>
      <c r="K19" s="22">
        <v>18.14</v>
      </c>
      <c r="L19" s="22">
        <v>31.16</v>
      </c>
      <c r="M19" s="22">
        <v>58.55</v>
      </c>
      <c r="N19" s="22">
        <v>94.91</v>
      </c>
      <c r="O19" s="22">
        <v>174</v>
      </c>
      <c r="P19" s="22">
        <v>287.63</v>
      </c>
      <c r="Q19" s="22">
        <v>467.23</v>
      </c>
      <c r="R19" s="22">
        <v>658.98</v>
      </c>
      <c r="S19" s="22">
        <v>899.48</v>
      </c>
      <c r="T19" s="22">
        <v>1163.83</v>
      </c>
      <c r="U19" s="22">
        <v>1642.7</v>
      </c>
    </row>
    <row r="20" spans="1:21">
      <c r="A20" s="23" t="s">
        <v>581</v>
      </c>
      <c r="B20" s="22">
        <v>158.7</v>
      </c>
      <c r="C20" s="22">
        <v>2.62</v>
      </c>
      <c r="D20" s="22">
        <v>2.84</v>
      </c>
      <c r="E20" s="22">
        <v>1.93</v>
      </c>
      <c r="F20" s="22">
        <v>2.43</v>
      </c>
      <c r="G20" s="22">
        <v>3.34</v>
      </c>
      <c r="H20" s="22">
        <v>3.88</v>
      </c>
      <c r="I20" s="22">
        <v>5.04</v>
      </c>
      <c r="J20" s="22">
        <v>9.02</v>
      </c>
      <c r="K20" s="22">
        <v>17.65</v>
      </c>
      <c r="L20" s="22">
        <v>30.35</v>
      </c>
      <c r="M20" s="22">
        <v>57.46</v>
      </c>
      <c r="N20" s="22">
        <v>93.42</v>
      </c>
      <c r="O20" s="22">
        <v>171.73</v>
      </c>
      <c r="P20" s="22">
        <v>284.21</v>
      </c>
      <c r="Q20" s="22">
        <v>460.28</v>
      </c>
      <c r="R20" s="22">
        <v>649.88</v>
      </c>
      <c r="S20" s="22">
        <v>886.09</v>
      </c>
      <c r="T20" s="22">
        <v>1142.69</v>
      </c>
      <c r="U20" s="22">
        <v>1614.42</v>
      </c>
    </row>
    <row r="21" spans="1:21">
      <c r="A21" s="23" t="s">
        <v>582</v>
      </c>
      <c r="B21" s="22">
        <v>1.24</v>
      </c>
      <c r="C21" s="22">
        <v>0</v>
      </c>
      <c r="D21" s="22">
        <v>0</v>
      </c>
      <c r="E21" s="22">
        <v>0</v>
      </c>
      <c r="F21" s="22">
        <v>0.02</v>
      </c>
      <c r="G21" s="22">
        <v>0</v>
      </c>
      <c r="H21" s="22">
        <v>0.07</v>
      </c>
      <c r="I21" s="22">
        <v>0.05</v>
      </c>
      <c r="J21" s="22">
        <v>0.15</v>
      </c>
      <c r="K21" s="22">
        <v>0.45</v>
      </c>
      <c r="L21" s="22">
        <v>0.59</v>
      </c>
      <c r="M21" s="22">
        <v>1.09</v>
      </c>
      <c r="N21" s="22">
        <v>1.38</v>
      </c>
      <c r="O21" s="22">
        <v>1.97</v>
      </c>
      <c r="P21" s="22">
        <v>2.81</v>
      </c>
      <c r="Q21" s="22">
        <v>3.55</v>
      </c>
      <c r="R21" s="22">
        <v>4.32</v>
      </c>
      <c r="S21" s="22">
        <v>4.04</v>
      </c>
      <c r="T21" s="22">
        <v>4.74</v>
      </c>
      <c r="U21" s="22">
        <v>6.12</v>
      </c>
    </row>
    <row r="22" spans="1:21">
      <c r="A22" s="23" t="s">
        <v>583</v>
      </c>
      <c r="B22" s="22">
        <v>9.83</v>
      </c>
      <c r="C22" s="22">
        <v>0</v>
      </c>
      <c r="D22" s="22">
        <v>0</v>
      </c>
      <c r="E22" s="22">
        <v>0</v>
      </c>
      <c r="F22" s="22">
        <v>0</v>
      </c>
      <c r="G22" s="22">
        <v>0.05</v>
      </c>
      <c r="H22" s="22">
        <v>0</v>
      </c>
      <c r="I22" s="22">
        <v>0.03</v>
      </c>
      <c r="J22" s="22">
        <v>0.05</v>
      </c>
      <c r="K22" s="22">
        <v>0.11</v>
      </c>
      <c r="L22" s="22">
        <v>0.37</v>
      </c>
      <c r="M22" s="22">
        <v>1.48</v>
      </c>
      <c r="N22" s="22">
        <v>3.76</v>
      </c>
      <c r="O22" s="22">
        <v>8.84</v>
      </c>
      <c r="P22" s="22">
        <v>16.46</v>
      </c>
      <c r="Q22" s="22">
        <v>29.18</v>
      </c>
      <c r="R22" s="22">
        <v>47.42</v>
      </c>
      <c r="S22" s="22">
        <v>67.05</v>
      </c>
      <c r="T22" s="22">
        <v>82.17</v>
      </c>
      <c r="U22" s="22">
        <v>103.31</v>
      </c>
    </row>
    <row r="23" spans="1:21">
      <c r="A23" s="23" t="s">
        <v>584</v>
      </c>
      <c r="B23" s="22">
        <v>16.27</v>
      </c>
      <c r="C23" s="22">
        <v>0</v>
      </c>
      <c r="D23" s="22">
        <v>0</v>
      </c>
      <c r="E23" s="22">
        <v>0</v>
      </c>
      <c r="F23" s="22">
        <v>0.08</v>
      </c>
      <c r="G23" s="22">
        <v>0.1</v>
      </c>
      <c r="H23" s="22">
        <v>0.2</v>
      </c>
      <c r="I23" s="22">
        <v>0.54</v>
      </c>
      <c r="J23" s="22">
        <v>0.72</v>
      </c>
      <c r="K23" s="22">
        <v>1.72</v>
      </c>
      <c r="L23" s="22">
        <v>2.62</v>
      </c>
      <c r="M23" s="22">
        <v>4.66</v>
      </c>
      <c r="N23" s="22">
        <v>8.03</v>
      </c>
      <c r="O23" s="22">
        <v>14.01</v>
      </c>
      <c r="P23" s="22">
        <v>27.63</v>
      </c>
      <c r="Q23" s="22">
        <v>47.45</v>
      </c>
      <c r="R23" s="22">
        <v>70.43</v>
      </c>
      <c r="S23" s="22">
        <v>102.8</v>
      </c>
      <c r="T23" s="22">
        <v>126.06</v>
      </c>
      <c r="U23" s="22">
        <v>175.64</v>
      </c>
    </row>
    <row r="24" spans="1:21">
      <c r="A24" s="23" t="s">
        <v>585</v>
      </c>
      <c r="B24" s="22">
        <v>14.56</v>
      </c>
      <c r="C24" s="22">
        <v>0</v>
      </c>
      <c r="D24" s="22">
        <v>0</v>
      </c>
      <c r="E24" s="22">
        <v>0</v>
      </c>
      <c r="F24" s="22">
        <v>0.04</v>
      </c>
      <c r="G24" s="22">
        <v>0.05</v>
      </c>
      <c r="H24" s="22">
        <v>0.33</v>
      </c>
      <c r="I24" s="22">
        <v>0.37</v>
      </c>
      <c r="J24" s="22">
        <v>0.62</v>
      </c>
      <c r="K24" s="22">
        <v>1.23</v>
      </c>
      <c r="L24" s="22">
        <v>2.06</v>
      </c>
      <c r="M24" s="22">
        <v>3.83</v>
      </c>
      <c r="N24" s="22">
        <v>7.32</v>
      </c>
      <c r="O24" s="22">
        <v>13.4</v>
      </c>
      <c r="P24" s="22">
        <v>22.93</v>
      </c>
      <c r="Q24" s="22">
        <v>37.29</v>
      </c>
      <c r="R24" s="22">
        <v>57.02</v>
      </c>
      <c r="S24" s="22">
        <v>78.6</v>
      </c>
      <c r="T24" s="22">
        <v>127.18</v>
      </c>
      <c r="U24" s="22">
        <v>214.96</v>
      </c>
    </row>
    <row r="25" spans="1:21">
      <c r="A25" s="23" t="s">
        <v>586</v>
      </c>
      <c r="B25" s="22">
        <v>7.13</v>
      </c>
      <c r="C25" s="22">
        <v>0</v>
      </c>
      <c r="D25" s="22">
        <v>0</v>
      </c>
      <c r="E25" s="22">
        <v>0</v>
      </c>
      <c r="F25" s="22">
        <v>0.02</v>
      </c>
      <c r="G25" s="22">
        <v>0.02</v>
      </c>
      <c r="H25" s="22">
        <v>0.15</v>
      </c>
      <c r="I25" s="22">
        <v>0.13</v>
      </c>
      <c r="J25" s="22">
        <v>0.37</v>
      </c>
      <c r="K25" s="22">
        <v>0.75</v>
      </c>
      <c r="L25" s="22">
        <v>1.05</v>
      </c>
      <c r="M25" s="22">
        <v>1.87</v>
      </c>
      <c r="N25" s="22">
        <v>3.28</v>
      </c>
      <c r="O25" s="22">
        <v>6.14</v>
      </c>
      <c r="P25" s="22">
        <v>11.24</v>
      </c>
      <c r="Q25" s="22">
        <v>16.89</v>
      </c>
      <c r="R25" s="22">
        <v>27.47</v>
      </c>
      <c r="S25" s="22">
        <v>37.5</v>
      </c>
      <c r="T25" s="22">
        <v>64.28</v>
      </c>
      <c r="U25" s="22">
        <v>116.01</v>
      </c>
    </row>
    <row r="26" spans="1:21">
      <c r="A26" s="23" t="s">
        <v>587</v>
      </c>
      <c r="B26" s="22">
        <v>7.05</v>
      </c>
      <c r="C26" s="22">
        <v>0</v>
      </c>
      <c r="D26" s="22">
        <v>0</v>
      </c>
      <c r="E26" s="22">
        <v>0</v>
      </c>
      <c r="F26" s="22">
        <v>0.02</v>
      </c>
      <c r="G26" s="22">
        <v>0.02</v>
      </c>
      <c r="H26" s="22">
        <v>0.15</v>
      </c>
      <c r="I26" s="22">
        <v>0.2</v>
      </c>
      <c r="J26" s="22">
        <v>0.24</v>
      </c>
      <c r="K26" s="22">
        <v>0.44</v>
      </c>
      <c r="L26" s="22">
        <v>0.93</v>
      </c>
      <c r="M26" s="22">
        <v>1.85</v>
      </c>
      <c r="N26" s="22">
        <v>3.76</v>
      </c>
      <c r="O26" s="22">
        <v>6.73</v>
      </c>
      <c r="P26" s="22">
        <v>11.15</v>
      </c>
      <c r="Q26" s="22">
        <v>19.64</v>
      </c>
      <c r="R26" s="22">
        <v>27.94</v>
      </c>
      <c r="S26" s="22">
        <v>39.08</v>
      </c>
      <c r="T26" s="22">
        <v>59.48</v>
      </c>
      <c r="U26" s="22">
        <v>95.15</v>
      </c>
    </row>
    <row r="27" spans="1:21">
      <c r="A27" s="23" t="s">
        <v>588</v>
      </c>
      <c r="B27" s="22">
        <v>20.79</v>
      </c>
      <c r="C27" s="22">
        <v>0</v>
      </c>
      <c r="D27" s="22">
        <v>0.21</v>
      </c>
      <c r="E27" s="22">
        <v>0.02</v>
      </c>
      <c r="F27" s="22">
        <v>0.08</v>
      </c>
      <c r="G27" s="22">
        <v>0.05</v>
      </c>
      <c r="H27" s="22">
        <v>0.22</v>
      </c>
      <c r="I27" s="22">
        <v>0.49</v>
      </c>
      <c r="J27" s="22">
        <v>1.73</v>
      </c>
      <c r="K27" s="22">
        <v>3.81</v>
      </c>
      <c r="L27" s="22">
        <v>7.52</v>
      </c>
      <c r="M27" s="22">
        <v>14.38</v>
      </c>
      <c r="N27" s="22">
        <v>20.04</v>
      </c>
      <c r="O27" s="22">
        <v>31.2</v>
      </c>
      <c r="P27" s="22">
        <v>42.63</v>
      </c>
      <c r="Q27" s="22">
        <v>58.85</v>
      </c>
      <c r="R27" s="22">
        <v>73.35</v>
      </c>
      <c r="S27" s="22">
        <v>94.1</v>
      </c>
      <c r="T27" s="22">
        <v>106.86</v>
      </c>
      <c r="U27" s="22">
        <v>144.57</v>
      </c>
    </row>
    <row r="28" spans="1:21">
      <c r="A28" s="23" t="s">
        <v>589</v>
      </c>
      <c r="B28" s="22">
        <v>1.34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0.02</v>
      </c>
      <c r="L28" s="22">
        <v>0.14</v>
      </c>
      <c r="M28" s="22">
        <v>0.35</v>
      </c>
      <c r="N28" s="22">
        <v>0.48</v>
      </c>
      <c r="O28" s="22">
        <v>1.04</v>
      </c>
      <c r="P28" s="22">
        <v>1.95</v>
      </c>
      <c r="Q28" s="22">
        <v>3.88</v>
      </c>
      <c r="R28" s="22">
        <v>5.63</v>
      </c>
      <c r="S28" s="22">
        <v>8.87</v>
      </c>
      <c r="T28" s="22">
        <v>11.78</v>
      </c>
      <c r="U28" s="22">
        <v>18.18</v>
      </c>
    </row>
    <row r="29" spans="1:21">
      <c r="A29" s="23" t="s">
        <v>590</v>
      </c>
      <c r="B29" s="22">
        <v>7.36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0.07</v>
      </c>
      <c r="I29" s="22">
        <v>0.07</v>
      </c>
      <c r="J29" s="22">
        <v>0.19</v>
      </c>
      <c r="K29" s="22">
        <v>0.51</v>
      </c>
      <c r="L29" s="22">
        <v>1.27</v>
      </c>
      <c r="M29" s="22">
        <v>2.4</v>
      </c>
      <c r="N29" s="22">
        <v>3.65</v>
      </c>
      <c r="O29" s="22">
        <v>7.93</v>
      </c>
      <c r="P29" s="22">
        <v>14.38</v>
      </c>
      <c r="Q29" s="22">
        <v>23.63</v>
      </c>
      <c r="R29" s="22">
        <v>30.86</v>
      </c>
      <c r="S29" s="22">
        <v>41.45</v>
      </c>
      <c r="T29" s="22">
        <v>53.74</v>
      </c>
      <c r="U29" s="22">
        <v>69.83</v>
      </c>
    </row>
    <row r="30" spans="1:21">
      <c r="A30" s="23" t="s">
        <v>591</v>
      </c>
      <c r="B30" s="22">
        <v>48</v>
      </c>
      <c r="C30" s="22">
        <v>0</v>
      </c>
      <c r="D30" s="22">
        <v>0</v>
      </c>
      <c r="E30" s="22">
        <v>0</v>
      </c>
      <c r="F30" s="22">
        <v>0.02</v>
      </c>
      <c r="G30" s="22">
        <v>0.15</v>
      </c>
      <c r="H30" s="22">
        <v>0.17</v>
      </c>
      <c r="I30" s="22">
        <v>0.29</v>
      </c>
      <c r="J30" s="22">
        <v>0.87</v>
      </c>
      <c r="K30" s="22">
        <v>2.07</v>
      </c>
      <c r="L30" s="22">
        <v>4.09</v>
      </c>
      <c r="M30" s="22">
        <v>10.34</v>
      </c>
      <c r="N30" s="22">
        <v>20.62</v>
      </c>
      <c r="O30" s="22">
        <v>47.67</v>
      </c>
      <c r="P30" s="22">
        <v>88.56</v>
      </c>
      <c r="Q30" s="22">
        <v>154.65</v>
      </c>
      <c r="R30" s="22">
        <v>222.64</v>
      </c>
      <c r="S30" s="22">
        <v>293.99</v>
      </c>
      <c r="T30" s="22">
        <v>364.09</v>
      </c>
      <c r="U30" s="22">
        <v>463.4</v>
      </c>
    </row>
    <row r="31" spans="1:21">
      <c r="A31" s="23" t="s">
        <v>592</v>
      </c>
      <c r="B31" s="22">
        <v>4.7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0.25</v>
      </c>
      <c r="J31" s="22">
        <v>0.76</v>
      </c>
      <c r="K31" s="22">
        <v>1.9</v>
      </c>
      <c r="L31" s="22">
        <v>2.64</v>
      </c>
      <c r="M31" s="22">
        <v>4.18</v>
      </c>
      <c r="N31" s="22">
        <v>5.65</v>
      </c>
      <c r="O31" s="22">
        <v>8.22</v>
      </c>
      <c r="P31" s="22">
        <v>9.41</v>
      </c>
      <c r="Q31" s="22">
        <v>11.97</v>
      </c>
      <c r="R31" s="22">
        <v>12.28</v>
      </c>
      <c r="S31" s="22">
        <v>14.71</v>
      </c>
      <c r="T31" s="22">
        <v>21.32</v>
      </c>
      <c r="U31" s="22">
        <v>34.03</v>
      </c>
    </row>
    <row r="32" spans="1:21">
      <c r="A32" s="23" t="s">
        <v>593</v>
      </c>
      <c r="B32" s="22">
        <v>2.13</v>
      </c>
      <c r="C32" s="22">
        <v>0</v>
      </c>
      <c r="D32" s="22">
        <v>0</v>
      </c>
      <c r="E32" s="22">
        <v>0</v>
      </c>
      <c r="F32" s="22">
        <v>0</v>
      </c>
      <c r="G32" s="22">
        <v>0.02</v>
      </c>
      <c r="H32" s="22">
        <v>0</v>
      </c>
      <c r="I32" s="22">
        <v>0.13</v>
      </c>
      <c r="J32" s="22">
        <v>0.31</v>
      </c>
      <c r="K32" s="22">
        <v>0.67</v>
      </c>
      <c r="L32" s="22">
        <v>1.19</v>
      </c>
      <c r="M32" s="22">
        <v>2.11</v>
      </c>
      <c r="N32" s="22">
        <v>3.31</v>
      </c>
      <c r="O32" s="22">
        <v>4.17</v>
      </c>
      <c r="P32" s="22">
        <v>4.77</v>
      </c>
      <c r="Q32" s="22">
        <v>5.06</v>
      </c>
      <c r="R32" s="22">
        <v>5.19</v>
      </c>
      <c r="S32" s="22">
        <v>7.2</v>
      </c>
      <c r="T32" s="22">
        <v>7.42</v>
      </c>
      <c r="U32" s="22">
        <v>9.27</v>
      </c>
    </row>
    <row r="33" spans="1:21">
      <c r="A33" s="23" t="s">
        <v>594</v>
      </c>
      <c r="B33" s="22">
        <v>1.73</v>
      </c>
      <c r="C33" s="22">
        <v>0</v>
      </c>
      <c r="D33" s="22">
        <v>0</v>
      </c>
      <c r="E33" s="22">
        <v>0</v>
      </c>
      <c r="F33" s="22">
        <v>0.02</v>
      </c>
      <c r="G33" s="22">
        <v>0.12</v>
      </c>
      <c r="H33" s="22">
        <v>0.09</v>
      </c>
      <c r="I33" s="22">
        <v>0.07</v>
      </c>
      <c r="J33" s="22">
        <v>0.12</v>
      </c>
      <c r="K33" s="22">
        <v>0.22</v>
      </c>
      <c r="L33" s="22">
        <v>0.59</v>
      </c>
      <c r="M33" s="22">
        <v>1.55</v>
      </c>
      <c r="N33" s="22">
        <v>1.94</v>
      </c>
      <c r="O33" s="22">
        <v>2.73</v>
      </c>
      <c r="P33" s="22">
        <v>3.57</v>
      </c>
      <c r="Q33" s="22">
        <v>5.14</v>
      </c>
      <c r="R33" s="22">
        <v>5.92</v>
      </c>
      <c r="S33" s="22">
        <v>7.29</v>
      </c>
      <c r="T33" s="22">
        <v>7.86</v>
      </c>
      <c r="U33" s="22">
        <v>8.72</v>
      </c>
    </row>
    <row r="34" spans="1:21">
      <c r="A34" s="23" t="s">
        <v>595</v>
      </c>
      <c r="B34" s="22">
        <v>2.55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0.02</v>
      </c>
      <c r="J34" s="22">
        <v>0.02</v>
      </c>
      <c r="K34" s="22">
        <v>0</v>
      </c>
      <c r="L34" s="22">
        <v>0.02</v>
      </c>
      <c r="M34" s="22">
        <v>0.11</v>
      </c>
      <c r="N34" s="22">
        <v>0.08</v>
      </c>
      <c r="O34" s="22">
        <v>0.48</v>
      </c>
      <c r="P34" s="22">
        <v>1.62</v>
      </c>
      <c r="Q34" s="22">
        <v>3.77</v>
      </c>
      <c r="R34" s="22">
        <v>8.9</v>
      </c>
      <c r="S34" s="22">
        <v>17.56</v>
      </c>
      <c r="T34" s="22">
        <v>34.85</v>
      </c>
      <c r="U34" s="22">
        <v>69.18</v>
      </c>
    </row>
    <row r="35" spans="1:21">
      <c r="A35" s="23" t="s">
        <v>596</v>
      </c>
      <c r="B35" s="22">
        <v>2.47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0.01</v>
      </c>
      <c r="K35" s="22">
        <v>0.02</v>
      </c>
      <c r="L35" s="22">
        <v>0.09</v>
      </c>
      <c r="M35" s="22">
        <v>0.24</v>
      </c>
      <c r="N35" s="22">
        <v>0.41</v>
      </c>
      <c r="O35" s="22">
        <v>1.01</v>
      </c>
      <c r="P35" s="22">
        <v>2.23</v>
      </c>
      <c r="Q35" s="22">
        <v>4.58</v>
      </c>
      <c r="R35" s="22">
        <v>9.07</v>
      </c>
      <c r="S35" s="22">
        <v>17.7</v>
      </c>
      <c r="T35" s="22">
        <v>26.93</v>
      </c>
      <c r="U35" s="22">
        <v>59.07</v>
      </c>
    </row>
    <row r="36" spans="1:21">
      <c r="A36" s="23" t="s">
        <v>597</v>
      </c>
      <c r="B36" s="22">
        <v>3.73</v>
      </c>
      <c r="C36" s="22">
        <v>0.55</v>
      </c>
      <c r="D36" s="22">
        <v>0.92</v>
      </c>
      <c r="E36" s="22">
        <v>0.74</v>
      </c>
      <c r="F36" s="22">
        <v>0.51</v>
      </c>
      <c r="G36" s="22">
        <v>0.47</v>
      </c>
      <c r="H36" s="22">
        <v>0.48</v>
      </c>
      <c r="I36" s="22">
        <v>0.59</v>
      </c>
      <c r="J36" s="22">
        <v>0.87</v>
      </c>
      <c r="K36" s="22">
        <v>0.97</v>
      </c>
      <c r="L36" s="22">
        <v>1.78</v>
      </c>
      <c r="M36" s="22">
        <v>2.51</v>
      </c>
      <c r="N36" s="22">
        <v>2.86</v>
      </c>
      <c r="O36" s="22">
        <v>5</v>
      </c>
      <c r="P36" s="22">
        <v>7.87</v>
      </c>
      <c r="Q36" s="22">
        <v>9.22</v>
      </c>
      <c r="R36" s="22">
        <v>12.86</v>
      </c>
      <c r="S36" s="22">
        <v>16.12</v>
      </c>
      <c r="T36" s="22">
        <v>17.89</v>
      </c>
      <c r="U36" s="22">
        <v>21.61</v>
      </c>
    </row>
    <row r="37" spans="1:21">
      <c r="A37" s="23" t="s">
        <v>598</v>
      </c>
      <c r="B37" s="22">
        <v>3.5</v>
      </c>
      <c r="C37" s="22">
        <v>1.24</v>
      </c>
      <c r="D37" s="22">
        <v>0.92</v>
      </c>
      <c r="E37" s="22">
        <v>0.62</v>
      </c>
      <c r="F37" s="22">
        <v>0.95</v>
      </c>
      <c r="G37" s="22">
        <v>1.39</v>
      </c>
      <c r="H37" s="22">
        <v>1.04</v>
      </c>
      <c r="I37" s="22">
        <v>0.92</v>
      </c>
      <c r="J37" s="22">
        <v>1.01</v>
      </c>
      <c r="K37" s="22">
        <v>1.12</v>
      </c>
      <c r="L37" s="22">
        <v>1.41</v>
      </c>
      <c r="M37" s="22">
        <v>1.72</v>
      </c>
      <c r="N37" s="22">
        <v>2.18</v>
      </c>
      <c r="O37" s="22">
        <v>3.8</v>
      </c>
      <c r="P37" s="22">
        <v>5.44</v>
      </c>
      <c r="Q37" s="22">
        <v>10.04</v>
      </c>
      <c r="R37" s="22">
        <v>11.52</v>
      </c>
      <c r="S37" s="22">
        <v>16.47</v>
      </c>
      <c r="T37" s="22">
        <v>18.95</v>
      </c>
      <c r="U37" s="22">
        <v>21.79</v>
      </c>
    </row>
    <row r="38" spans="1:21">
      <c r="A38" s="23" t="s">
        <v>599</v>
      </c>
      <c r="B38" s="22">
        <v>0.4</v>
      </c>
      <c r="C38" s="22">
        <v>0.28</v>
      </c>
      <c r="D38" s="22">
        <v>0.16</v>
      </c>
      <c r="E38" s="22">
        <v>0.02</v>
      </c>
      <c r="F38" s="22">
        <v>0</v>
      </c>
      <c r="G38" s="22">
        <v>0.02</v>
      </c>
      <c r="H38" s="22">
        <v>0.07</v>
      </c>
      <c r="I38" s="22">
        <v>0.03</v>
      </c>
      <c r="J38" s="22">
        <v>0.07</v>
      </c>
      <c r="K38" s="22">
        <v>0.16</v>
      </c>
      <c r="L38" s="22">
        <v>0.17</v>
      </c>
      <c r="M38" s="22">
        <v>0.21</v>
      </c>
      <c r="N38" s="22">
        <v>0.23</v>
      </c>
      <c r="O38" s="22">
        <v>0.34</v>
      </c>
      <c r="P38" s="22">
        <v>0.44</v>
      </c>
      <c r="Q38" s="22">
        <v>1.1</v>
      </c>
      <c r="R38" s="22">
        <v>1.4</v>
      </c>
      <c r="S38" s="22">
        <v>1.58</v>
      </c>
      <c r="T38" s="22">
        <v>3.62</v>
      </c>
      <c r="U38" s="22">
        <v>3.89</v>
      </c>
    </row>
    <row r="39" spans="1:21">
      <c r="A39" s="23" t="s">
        <v>600</v>
      </c>
      <c r="B39" s="22">
        <v>1.33</v>
      </c>
      <c r="C39" s="22">
        <v>1.24</v>
      </c>
      <c r="D39" s="22">
        <v>0.18</v>
      </c>
      <c r="E39" s="22">
        <v>0.24</v>
      </c>
      <c r="F39" s="22">
        <v>0.12</v>
      </c>
      <c r="G39" s="22">
        <v>0.25</v>
      </c>
      <c r="H39" s="22">
        <v>0.22</v>
      </c>
      <c r="I39" s="22">
        <v>0.24</v>
      </c>
      <c r="J39" s="22">
        <v>0.19</v>
      </c>
      <c r="K39" s="22">
        <v>0.39</v>
      </c>
      <c r="L39" s="22">
        <v>0.53</v>
      </c>
      <c r="M39" s="22">
        <v>0.48</v>
      </c>
      <c r="N39" s="22">
        <v>0.62</v>
      </c>
      <c r="O39" s="22">
        <v>0.94</v>
      </c>
      <c r="P39" s="22">
        <v>1.55</v>
      </c>
      <c r="Q39" s="22">
        <v>2.25</v>
      </c>
      <c r="R39" s="22">
        <v>4.11</v>
      </c>
      <c r="S39" s="22">
        <v>6.81</v>
      </c>
      <c r="T39" s="22">
        <v>11.28</v>
      </c>
      <c r="U39" s="22">
        <v>23.37</v>
      </c>
    </row>
    <row r="40" spans="1:21">
      <c r="A40" s="23" t="s">
        <v>601</v>
      </c>
      <c r="B40" s="22">
        <v>0.81</v>
      </c>
      <c r="C40" s="22">
        <v>0.14</v>
      </c>
      <c r="D40" s="22">
        <v>0.08</v>
      </c>
      <c r="E40" s="22">
        <v>0.08</v>
      </c>
      <c r="F40" s="22">
        <v>0.06</v>
      </c>
      <c r="G40" s="22">
        <v>0.2</v>
      </c>
      <c r="H40" s="22">
        <v>0.15</v>
      </c>
      <c r="I40" s="22">
        <v>0.1</v>
      </c>
      <c r="J40" s="22">
        <v>0.11</v>
      </c>
      <c r="K40" s="22">
        <v>0.2</v>
      </c>
      <c r="L40" s="22">
        <v>0.34</v>
      </c>
      <c r="M40" s="22">
        <v>0.31</v>
      </c>
      <c r="N40" s="22">
        <v>0.43</v>
      </c>
      <c r="O40" s="22">
        <v>0.53</v>
      </c>
      <c r="P40" s="22">
        <v>0.94</v>
      </c>
      <c r="Q40" s="22">
        <v>1.29</v>
      </c>
      <c r="R40" s="22">
        <v>2.54</v>
      </c>
      <c r="S40" s="22">
        <v>4.44</v>
      </c>
      <c r="T40" s="22">
        <v>6.86</v>
      </c>
      <c r="U40" s="22">
        <v>14.28</v>
      </c>
    </row>
    <row r="41" spans="1:21">
      <c r="A41" s="23" t="s">
        <v>602</v>
      </c>
      <c r="B41" s="22">
        <v>24.15</v>
      </c>
      <c r="C41" s="22">
        <v>1.79</v>
      </c>
      <c r="D41" s="22">
        <v>0.16</v>
      </c>
      <c r="E41" s="22">
        <v>0.22</v>
      </c>
      <c r="F41" s="22">
        <v>0.2</v>
      </c>
      <c r="G41" s="22">
        <v>0.4</v>
      </c>
      <c r="H41" s="22">
        <v>0.39</v>
      </c>
      <c r="I41" s="22">
        <v>0.64</v>
      </c>
      <c r="J41" s="22">
        <v>0.82</v>
      </c>
      <c r="K41" s="22">
        <v>1.9</v>
      </c>
      <c r="L41" s="22">
        <v>2.9</v>
      </c>
      <c r="M41" s="22">
        <v>5.11</v>
      </c>
      <c r="N41" s="22">
        <v>8.41</v>
      </c>
      <c r="O41" s="22">
        <v>15.8</v>
      </c>
      <c r="P41" s="22">
        <v>28.06</v>
      </c>
      <c r="Q41" s="22">
        <v>48.67</v>
      </c>
      <c r="R41" s="22">
        <v>78.95</v>
      </c>
      <c r="S41" s="22">
        <v>142.14</v>
      </c>
      <c r="T41" s="22">
        <v>237.47</v>
      </c>
      <c r="U41" s="22">
        <v>534.71</v>
      </c>
    </row>
    <row r="42" spans="1:21">
      <c r="A42" s="23" t="s">
        <v>603</v>
      </c>
      <c r="B42" s="22">
        <v>0.1</v>
      </c>
      <c r="C42" s="22">
        <v>0</v>
      </c>
      <c r="D42" s="22">
        <v>0</v>
      </c>
      <c r="E42" s="22">
        <v>0.02</v>
      </c>
      <c r="F42" s="22">
        <v>0</v>
      </c>
      <c r="G42" s="22">
        <v>0</v>
      </c>
      <c r="H42" s="22">
        <v>0.02</v>
      </c>
      <c r="I42" s="22">
        <v>0.02</v>
      </c>
      <c r="J42" s="22">
        <v>0.06</v>
      </c>
      <c r="K42" s="22">
        <v>0.03</v>
      </c>
      <c r="L42" s="22">
        <v>0.09</v>
      </c>
      <c r="M42" s="22">
        <v>0.11</v>
      </c>
      <c r="N42" s="22">
        <v>0.08</v>
      </c>
      <c r="O42" s="22">
        <v>0.04</v>
      </c>
      <c r="P42" s="22">
        <v>0.13</v>
      </c>
      <c r="Q42" s="22">
        <v>0.3</v>
      </c>
      <c r="R42" s="22">
        <v>0.2</v>
      </c>
      <c r="S42" s="22">
        <v>0.22</v>
      </c>
      <c r="T42" s="22">
        <v>0.44</v>
      </c>
      <c r="U42" s="22">
        <v>1.3</v>
      </c>
    </row>
    <row r="43" spans="1:21">
      <c r="A43" s="23" t="s">
        <v>604</v>
      </c>
      <c r="B43" s="22">
        <v>21.23</v>
      </c>
      <c r="C43" s="22">
        <v>0</v>
      </c>
      <c r="D43" s="22">
        <v>0</v>
      </c>
      <c r="E43" s="22">
        <v>0</v>
      </c>
      <c r="F43" s="22">
        <v>0.08</v>
      </c>
      <c r="G43" s="22">
        <v>0.15</v>
      </c>
      <c r="H43" s="22">
        <v>0.24</v>
      </c>
      <c r="I43" s="22">
        <v>0.42</v>
      </c>
      <c r="J43" s="22">
        <v>0.55</v>
      </c>
      <c r="K43" s="22">
        <v>1.61</v>
      </c>
      <c r="L43" s="22">
        <v>2.51</v>
      </c>
      <c r="M43" s="22">
        <v>4.66</v>
      </c>
      <c r="N43" s="22">
        <v>7.75</v>
      </c>
      <c r="O43" s="22">
        <v>15</v>
      </c>
      <c r="P43" s="22">
        <v>26.42</v>
      </c>
      <c r="Q43" s="22">
        <v>46.56</v>
      </c>
      <c r="R43" s="22">
        <v>75.13</v>
      </c>
      <c r="S43" s="22">
        <v>133.05</v>
      </c>
      <c r="T43" s="22">
        <v>213.46</v>
      </c>
      <c r="U43" s="22">
        <v>397.37</v>
      </c>
    </row>
    <row r="44" spans="1:21">
      <c r="A44" s="23" t="s">
        <v>605</v>
      </c>
      <c r="B44" s="22">
        <v>3.45</v>
      </c>
      <c r="C44" s="22">
        <v>0</v>
      </c>
      <c r="D44" s="22">
        <v>0.08</v>
      </c>
      <c r="E44" s="22">
        <v>0.02</v>
      </c>
      <c r="F44" s="22">
        <v>0.04</v>
      </c>
      <c r="G44" s="22">
        <v>0.12</v>
      </c>
      <c r="H44" s="22">
        <v>0.41</v>
      </c>
      <c r="I44" s="22">
        <v>0.25</v>
      </c>
      <c r="J44" s="22">
        <v>0.34</v>
      </c>
      <c r="K44" s="22">
        <v>0.61</v>
      </c>
      <c r="L44" s="22">
        <v>0.65</v>
      </c>
      <c r="M44" s="22">
        <v>0.85</v>
      </c>
      <c r="N44" s="22">
        <v>1.24</v>
      </c>
      <c r="O44" s="22">
        <v>1.22</v>
      </c>
      <c r="P44" s="22">
        <v>2.08</v>
      </c>
      <c r="Q44" s="22">
        <v>2.97</v>
      </c>
      <c r="R44" s="22">
        <v>6.47</v>
      </c>
      <c r="S44" s="22">
        <v>14.27</v>
      </c>
      <c r="T44" s="22">
        <v>35.41</v>
      </c>
      <c r="U44" s="22">
        <v>128.44</v>
      </c>
    </row>
    <row r="45" spans="1:21">
      <c r="A45" s="23" t="s">
        <v>606</v>
      </c>
      <c r="B45" s="22">
        <v>1.48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0.02</v>
      </c>
      <c r="I45" s="22">
        <v>0.02</v>
      </c>
      <c r="J45" s="22">
        <v>0</v>
      </c>
      <c r="K45" s="22">
        <v>0.02</v>
      </c>
      <c r="L45" s="22">
        <v>0</v>
      </c>
      <c r="M45" s="22">
        <v>0.03</v>
      </c>
      <c r="N45" s="22">
        <v>0.04</v>
      </c>
      <c r="O45" s="22">
        <v>0.14</v>
      </c>
      <c r="P45" s="22">
        <v>0.52</v>
      </c>
      <c r="Q45" s="22">
        <v>0.84</v>
      </c>
      <c r="R45" s="22">
        <v>2.62</v>
      </c>
      <c r="S45" s="22">
        <v>7.03</v>
      </c>
      <c r="T45" s="22">
        <v>18.83</v>
      </c>
      <c r="U45" s="22">
        <v>66.86</v>
      </c>
    </row>
    <row r="46" spans="1:21">
      <c r="A46" s="23" t="s">
        <v>607</v>
      </c>
      <c r="B46" s="22">
        <v>9.44</v>
      </c>
      <c r="C46" s="22">
        <v>3.31</v>
      </c>
      <c r="D46" s="22">
        <v>1.63</v>
      </c>
      <c r="E46" s="22">
        <v>1.18</v>
      </c>
      <c r="F46" s="22">
        <v>1.56</v>
      </c>
      <c r="G46" s="22">
        <v>1.94</v>
      </c>
      <c r="H46" s="22">
        <v>1.5</v>
      </c>
      <c r="I46" s="22">
        <v>1.18</v>
      </c>
      <c r="J46" s="22">
        <v>1.22</v>
      </c>
      <c r="K46" s="22">
        <v>1.43</v>
      </c>
      <c r="L46" s="22">
        <v>1.63</v>
      </c>
      <c r="M46" s="22">
        <v>2.44</v>
      </c>
      <c r="N46" s="22">
        <v>2.86</v>
      </c>
      <c r="O46" s="22">
        <v>3.94</v>
      </c>
      <c r="P46" s="22">
        <v>6.97</v>
      </c>
      <c r="Q46" s="22">
        <v>12.49</v>
      </c>
      <c r="R46" s="22">
        <v>20.04</v>
      </c>
      <c r="S46" s="22">
        <v>42.95</v>
      </c>
      <c r="T46" s="22">
        <v>92.08</v>
      </c>
      <c r="U46" s="22">
        <v>286.46</v>
      </c>
    </row>
    <row r="47" spans="1:21">
      <c r="A47" s="23" t="s">
        <v>608</v>
      </c>
      <c r="B47" s="22">
        <v>0.08</v>
      </c>
      <c r="C47" s="22">
        <v>0.41</v>
      </c>
      <c r="D47" s="22">
        <v>0.03</v>
      </c>
      <c r="E47" s="22">
        <v>0.04</v>
      </c>
      <c r="F47" s="22">
        <v>0.04</v>
      </c>
      <c r="G47" s="22">
        <v>0.05</v>
      </c>
      <c r="H47" s="22">
        <v>0</v>
      </c>
      <c r="I47" s="22">
        <v>0.02</v>
      </c>
      <c r="J47" s="22">
        <v>0.02</v>
      </c>
      <c r="K47" s="22">
        <v>0.05</v>
      </c>
      <c r="L47" s="22">
        <v>0.06</v>
      </c>
      <c r="M47" s="22">
        <v>0.11</v>
      </c>
      <c r="N47" s="22">
        <v>0.05</v>
      </c>
      <c r="O47" s="22">
        <v>0.08</v>
      </c>
      <c r="P47" s="22">
        <v>0.17</v>
      </c>
      <c r="Q47" s="22">
        <v>0.1</v>
      </c>
      <c r="R47" s="22">
        <v>0.26</v>
      </c>
      <c r="S47" s="22">
        <v>0.04</v>
      </c>
      <c r="T47" s="22">
        <v>0.37</v>
      </c>
      <c r="U47" s="22">
        <v>0.37</v>
      </c>
    </row>
    <row r="48" spans="1:21">
      <c r="A48" s="23" t="s">
        <v>609</v>
      </c>
      <c r="B48" s="22">
        <v>1.48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0.03</v>
      </c>
      <c r="M48" s="22">
        <v>0.07</v>
      </c>
      <c r="N48" s="22">
        <v>0.18</v>
      </c>
      <c r="O48" s="22">
        <v>0.33</v>
      </c>
      <c r="P48" s="22">
        <v>1.05</v>
      </c>
      <c r="Q48" s="22">
        <v>2.67</v>
      </c>
      <c r="R48" s="22">
        <v>5.57</v>
      </c>
      <c r="S48" s="22">
        <v>11.29</v>
      </c>
      <c r="T48" s="22">
        <v>18.52</v>
      </c>
      <c r="U48" s="22">
        <v>35.33</v>
      </c>
    </row>
    <row r="49" spans="1:21">
      <c r="A49" s="23" t="s">
        <v>610</v>
      </c>
      <c r="B49" s="22">
        <v>315.36</v>
      </c>
      <c r="C49" s="22">
        <v>2.9</v>
      </c>
      <c r="D49" s="22">
        <v>0.63</v>
      </c>
      <c r="E49" s="22">
        <v>0.64</v>
      </c>
      <c r="F49" s="22">
        <v>1.01</v>
      </c>
      <c r="G49" s="22">
        <v>2.66</v>
      </c>
      <c r="H49" s="22">
        <v>3.38</v>
      </c>
      <c r="I49" s="22">
        <v>4.53</v>
      </c>
      <c r="J49" s="22">
        <v>9.83</v>
      </c>
      <c r="K49" s="22">
        <v>21.41</v>
      </c>
      <c r="L49" s="22">
        <v>34.34</v>
      </c>
      <c r="M49" s="22">
        <v>58.5</v>
      </c>
      <c r="N49" s="22">
        <v>94.58</v>
      </c>
      <c r="O49" s="22">
        <v>165.11</v>
      </c>
      <c r="P49" s="22">
        <v>277.32</v>
      </c>
      <c r="Q49" s="22">
        <v>489.61</v>
      </c>
      <c r="R49" s="22">
        <v>913.97</v>
      </c>
      <c r="S49" s="22">
        <v>1716.85</v>
      </c>
      <c r="T49" s="22">
        <v>3308</v>
      </c>
      <c r="U49" s="22">
        <v>9031.8</v>
      </c>
    </row>
    <row r="50" spans="1:21">
      <c r="A50" s="23" t="s">
        <v>611</v>
      </c>
      <c r="B50" s="22">
        <v>165.37</v>
      </c>
      <c r="C50" s="22">
        <v>2.21</v>
      </c>
      <c r="D50" s="22">
        <v>0.53</v>
      </c>
      <c r="E50" s="22">
        <v>0.48</v>
      </c>
      <c r="F50" s="22">
        <v>0.75</v>
      </c>
      <c r="G50" s="22">
        <v>1.94</v>
      </c>
      <c r="H50" s="22">
        <v>2.54</v>
      </c>
      <c r="I50" s="22">
        <v>2.87</v>
      </c>
      <c r="J50" s="22">
        <v>5.97</v>
      </c>
      <c r="K50" s="22">
        <v>12.4</v>
      </c>
      <c r="L50" s="22">
        <v>18.55</v>
      </c>
      <c r="M50" s="22">
        <v>31.16</v>
      </c>
      <c r="N50" s="22">
        <v>47.15</v>
      </c>
      <c r="O50" s="22">
        <v>80.66</v>
      </c>
      <c r="P50" s="22">
        <v>134.35</v>
      </c>
      <c r="Q50" s="22">
        <v>232.4</v>
      </c>
      <c r="R50" s="22">
        <v>425.28</v>
      </c>
      <c r="S50" s="22">
        <v>820.44</v>
      </c>
      <c r="T50" s="22">
        <v>1699.29</v>
      </c>
      <c r="U50" s="22">
        <v>5324.73</v>
      </c>
    </row>
    <row r="51" spans="1:21">
      <c r="A51" s="23" t="s">
        <v>612</v>
      </c>
      <c r="B51" s="22">
        <v>3.21</v>
      </c>
      <c r="C51" s="22">
        <v>0</v>
      </c>
      <c r="D51" s="22">
        <v>0</v>
      </c>
      <c r="E51" s="22">
        <v>0</v>
      </c>
      <c r="F51" s="22">
        <v>0.02</v>
      </c>
      <c r="G51" s="22">
        <v>0.02</v>
      </c>
      <c r="H51" s="22">
        <v>0.04</v>
      </c>
      <c r="I51" s="22">
        <v>0.03</v>
      </c>
      <c r="J51" s="22">
        <v>0.05</v>
      </c>
      <c r="K51" s="22">
        <v>0.17</v>
      </c>
      <c r="L51" s="22">
        <v>0.28</v>
      </c>
      <c r="M51" s="22">
        <v>0.63</v>
      </c>
      <c r="N51" s="22">
        <v>0.86</v>
      </c>
      <c r="O51" s="22">
        <v>1.82</v>
      </c>
      <c r="P51" s="22">
        <v>3.11</v>
      </c>
      <c r="Q51" s="22">
        <v>5.9</v>
      </c>
      <c r="R51" s="22">
        <v>10.12</v>
      </c>
      <c r="S51" s="22">
        <v>18</v>
      </c>
      <c r="T51" s="22">
        <v>33.04</v>
      </c>
      <c r="U51" s="22">
        <v>83.92</v>
      </c>
    </row>
    <row r="52" spans="1:21">
      <c r="A52" s="23" t="s">
        <v>613</v>
      </c>
      <c r="B52" s="22">
        <v>15.62</v>
      </c>
      <c r="C52" s="22">
        <v>0</v>
      </c>
      <c r="D52" s="22">
        <v>0</v>
      </c>
      <c r="E52" s="22">
        <v>0</v>
      </c>
      <c r="F52" s="22">
        <v>0.02</v>
      </c>
      <c r="G52" s="22">
        <v>0.02</v>
      </c>
      <c r="H52" s="22">
        <v>0.07</v>
      </c>
      <c r="I52" s="22">
        <v>0.13</v>
      </c>
      <c r="J52" s="22">
        <v>0.17</v>
      </c>
      <c r="K52" s="22">
        <v>0.76</v>
      </c>
      <c r="L52" s="22">
        <v>1.02</v>
      </c>
      <c r="M52" s="22">
        <v>1.71</v>
      </c>
      <c r="N52" s="22">
        <v>2.84</v>
      </c>
      <c r="O52" s="22">
        <v>4.95</v>
      </c>
      <c r="P52" s="22">
        <v>7.64</v>
      </c>
      <c r="Q52" s="22">
        <v>16.65</v>
      </c>
      <c r="R52" s="22">
        <v>36.89</v>
      </c>
      <c r="S52" s="22">
        <v>79.13</v>
      </c>
      <c r="T52" s="22">
        <v>181.73</v>
      </c>
      <c r="U52" s="22">
        <v>579.41</v>
      </c>
    </row>
    <row r="53" spans="1:21">
      <c r="A53" s="23" t="s">
        <v>614</v>
      </c>
      <c r="B53" s="22">
        <v>135.08</v>
      </c>
      <c r="C53" s="22">
        <v>0</v>
      </c>
      <c r="D53" s="22">
        <v>0</v>
      </c>
      <c r="E53" s="22">
        <v>0.04</v>
      </c>
      <c r="F53" s="22">
        <v>0.08</v>
      </c>
      <c r="G53" s="22">
        <v>0.57</v>
      </c>
      <c r="H53" s="22">
        <v>1.28</v>
      </c>
      <c r="I53" s="22">
        <v>1.56</v>
      </c>
      <c r="J53" s="22">
        <v>4.22</v>
      </c>
      <c r="K53" s="22">
        <v>8.61</v>
      </c>
      <c r="L53" s="22">
        <v>13.94</v>
      </c>
      <c r="M53" s="22">
        <v>24.09</v>
      </c>
      <c r="N53" s="22">
        <v>38.42</v>
      </c>
      <c r="O53" s="22">
        <v>65.7</v>
      </c>
      <c r="P53" s="22">
        <v>111.42</v>
      </c>
      <c r="Q53" s="22">
        <v>191.4</v>
      </c>
      <c r="R53" s="22">
        <v>349.95</v>
      </c>
      <c r="S53" s="22">
        <v>672.99</v>
      </c>
      <c r="T53" s="22">
        <v>1388.57</v>
      </c>
      <c r="U53" s="22">
        <v>4370.12</v>
      </c>
    </row>
    <row r="54" spans="1:21">
      <c r="A54" s="23" t="s">
        <v>615</v>
      </c>
      <c r="B54" s="22">
        <v>63.25</v>
      </c>
      <c r="C54" s="22">
        <v>0</v>
      </c>
      <c r="D54" s="22">
        <v>0</v>
      </c>
      <c r="E54" s="22">
        <v>0.02</v>
      </c>
      <c r="F54" s="22">
        <v>0.04</v>
      </c>
      <c r="G54" s="22">
        <v>0.45</v>
      </c>
      <c r="H54" s="22">
        <v>1.04</v>
      </c>
      <c r="I54" s="22">
        <v>1.16</v>
      </c>
      <c r="J54" s="22">
        <v>3.08</v>
      </c>
      <c r="K54" s="22">
        <v>6.22</v>
      </c>
      <c r="L54" s="22">
        <v>9.63</v>
      </c>
      <c r="M54" s="22">
        <v>16.14</v>
      </c>
      <c r="N54" s="22">
        <v>25.21</v>
      </c>
      <c r="O54" s="22">
        <v>40.83</v>
      </c>
      <c r="P54" s="22">
        <v>64.51</v>
      </c>
      <c r="Q54" s="22">
        <v>106.34</v>
      </c>
      <c r="R54" s="22">
        <v>183.74</v>
      </c>
      <c r="S54" s="22">
        <v>325.91</v>
      </c>
      <c r="T54" s="22">
        <v>609.97</v>
      </c>
      <c r="U54" s="22">
        <v>1679.33</v>
      </c>
    </row>
    <row r="55" spans="1:21">
      <c r="A55" s="24" t="s">
        <v>616</v>
      </c>
      <c r="B55" s="25">
        <v>6.4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0.04</v>
      </c>
      <c r="I55" s="25">
        <v>0.07</v>
      </c>
      <c r="J55" s="25">
        <v>0.19</v>
      </c>
      <c r="K55" s="25">
        <v>0.53</v>
      </c>
      <c r="L55" s="25">
        <v>1.21</v>
      </c>
      <c r="M55" s="25">
        <v>1.56</v>
      </c>
      <c r="N55" s="25">
        <v>2.26</v>
      </c>
      <c r="O55" s="25">
        <v>3.43</v>
      </c>
      <c r="P55" s="25">
        <v>6.09</v>
      </c>
      <c r="Q55" s="25">
        <v>10.06</v>
      </c>
      <c r="R55" s="25">
        <v>17.76</v>
      </c>
      <c r="S55" s="25">
        <v>31.44</v>
      </c>
      <c r="T55" s="25">
        <v>62.22</v>
      </c>
      <c r="U55" s="25">
        <v>189.09</v>
      </c>
    </row>
    <row r="56" spans="1:21">
      <c r="A56" s="23" t="s">
        <v>617</v>
      </c>
      <c r="B56" s="22">
        <v>140.02</v>
      </c>
      <c r="C56" s="22">
        <v>0.55</v>
      </c>
      <c r="D56" s="22">
        <v>0.11</v>
      </c>
      <c r="E56" s="22">
        <v>0.14</v>
      </c>
      <c r="F56" s="22">
        <v>0.26</v>
      </c>
      <c r="G56" s="22">
        <v>0.7</v>
      </c>
      <c r="H56" s="22">
        <v>0.69</v>
      </c>
      <c r="I56" s="22">
        <v>1.51</v>
      </c>
      <c r="J56" s="22">
        <v>3.34</v>
      </c>
      <c r="K56" s="22">
        <v>7.8</v>
      </c>
      <c r="L56" s="22">
        <v>13.55</v>
      </c>
      <c r="M56" s="22">
        <v>24.79</v>
      </c>
      <c r="N56" s="22">
        <v>43.39</v>
      </c>
      <c r="O56" s="22">
        <v>78.02</v>
      </c>
      <c r="P56" s="22">
        <v>132.67</v>
      </c>
      <c r="Q56" s="22">
        <v>240.51</v>
      </c>
      <c r="R56" s="22">
        <v>459.03</v>
      </c>
      <c r="S56" s="22">
        <v>845.43</v>
      </c>
      <c r="T56" s="22">
        <v>1514.44</v>
      </c>
      <c r="U56" s="22">
        <v>3447.32</v>
      </c>
    </row>
    <row r="57" spans="1:21">
      <c r="A57" s="23" t="s">
        <v>618</v>
      </c>
      <c r="B57" s="22">
        <v>44.91</v>
      </c>
      <c r="C57" s="22">
        <v>0.55</v>
      </c>
      <c r="D57" s="22">
        <v>0.11</v>
      </c>
      <c r="E57" s="22">
        <v>0.12</v>
      </c>
      <c r="F57" s="22">
        <v>0.24</v>
      </c>
      <c r="G57" s="22">
        <v>0.47</v>
      </c>
      <c r="H57" s="22">
        <v>0.52</v>
      </c>
      <c r="I57" s="22">
        <v>1.19</v>
      </c>
      <c r="J57" s="22">
        <v>2.59</v>
      </c>
      <c r="K57" s="22">
        <v>6.1</v>
      </c>
      <c r="L57" s="22">
        <v>9.66</v>
      </c>
      <c r="M57" s="22">
        <v>15.81</v>
      </c>
      <c r="N57" s="22">
        <v>26.54</v>
      </c>
      <c r="O57" s="22">
        <v>41.26</v>
      </c>
      <c r="P57" s="22">
        <v>57.43</v>
      </c>
      <c r="Q57" s="22">
        <v>96.04</v>
      </c>
      <c r="R57" s="22">
        <v>155.54</v>
      </c>
      <c r="S57" s="22">
        <v>262.64</v>
      </c>
      <c r="T57" s="22">
        <v>394.76</v>
      </c>
      <c r="U57" s="22">
        <v>737.61</v>
      </c>
    </row>
    <row r="58" spans="1:21">
      <c r="A58" s="23" t="s">
        <v>619</v>
      </c>
      <c r="B58" s="22">
        <v>49.38</v>
      </c>
      <c r="C58" s="22">
        <v>0</v>
      </c>
      <c r="D58" s="22">
        <v>0</v>
      </c>
      <c r="E58" s="22">
        <v>0</v>
      </c>
      <c r="F58" s="22">
        <v>0</v>
      </c>
      <c r="G58" s="22">
        <v>0.17</v>
      </c>
      <c r="H58" s="22">
        <v>0.02</v>
      </c>
      <c r="I58" s="22">
        <v>0.15</v>
      </c>
      <c r="J58" s="22">
        <v>0.46</v>
      </c>
      <c r="K58" s="22">
        <v>0.87</v>
      </c>
      <c r="L58" s="22">
        <v>2.14</v>
      </c>
      <c r="M58" s="22">
        <v>5.02</v>
      </c>
      <c r="N58" s="22">
        <v>9.14</v>
      </c>
      <c r="O58" s="22">
        <v>18.99</v>
      </c>
      <c r="P58" s="22">
        <v>38.7</v>
      </c>
      <c r="Q58" s="22">
        <v>75.5</v>
      </c>
      <c r="R58" s="22">
        <v>157.08</v>
      </c>
      <c r="S58" s="22">
        <v>310.59</v>
      </c>
      <c r="T58" s="22">
        <v>583.53</v>
      </c>
      <c r="U58" s="22">
        <v>1381.93</v>
      </c>
    </row>
    <row r="59" spans="1:21">
      <c r="A59" s="23" t="s">
        <v>620</v>
      </c>
      <c r="B59" s="22">
        <v>3.64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0.07</v>
      </c>
      <c r="I59" s="22">
        <v>0.03</v>
      </c>
      <c r="J59" s="22">
        <v>0.05</v>
      </c>
      <c r="K59" s="22">
        <v>0.2</v>
      </c>
      <c r="L59" s="22">
        <v>0.31</v>
      </c>
      <c r="M59" s="22">
        <v>0.75</v>
      </c>
      <c r="N59" s="22">
        <v>1.01</v>
      </c>
      <c r="O59" s="22">
        <v>1.75</v>
      </c>
      <c r="P59" s="22">
        <v>2.67</v>
      </c>
      <c r="Q59" s="22">
        <v>5.26</v>
      </c>
      <c r="R59" s="22">
        <v>10.41</v>
      </c>
      <c r="S59" s="22">
        <v>20.42</v>
      </c>
      <c r="T59" s="22">
        <v>38.78</v>
      </c>
      <c r="U59" s="22">
        <v>109.8</v>
      </c>
    </row>
    <row r="60" spans="1:21">
      <c r="A60" s="23" t="s">
        <v>621</v>
      </c>
      <c r="B60" s="22">
        <v>54.49</v>
      </c>
      <c r="C60" s="22">
        <v>8.55</v>
      </c>
      <c r="D60" s="22">
        <v>0.82</v>
      </c>
      <c r="E60" s="22">
        <v>0.3</v>
      </c>
      <c r="F60" s="22">
        <v>0.43</v>
      </c>
      <c r="G60" s="22">
        <v>0.65</v>
      </c>
      <c r="H60" s="22">
        <v>0.46</v>
      </c>
      <c r="I60" s="22">
        <v>0.44</v>
      </c>
      <c r="J60" s="22">
        <v>1.01</v>
      </c>
      <c r="K60" s="22">
        <v>1.36</v>
      </c>
      <c r="L60" s="22">
        <v>1.85</v>
      </c>
      <c r="M60" s="22">
        <v>3.95</v>
      </c>
      <c r="N60" s="22">
        <v>7.26</v>
      </c>
      <c r="O60" s="22">
        <v>13.81</v>
      </c>
      <c r="P60" s="22">
        <v>31.79</v>
      </c>
      <c r="Q60" s="22">
        <v>70.8</v>
      </c>
      <c r="R60" s="22">
        <v>153.03</v>
      </c>
      <c r="S60" s="22">
        <v>322.35</v>
      </c>
      <c r="T60" s="22">
        <v>650.12</v>
      </c>
      <c r="U60" s="22">
        <v>1795.99</v>
      </c>
    </row>
    <row r="61" spans="1:21">
      <c r="A61" s="23" t="s">
        <v>622</v>
      </c>
      <c r="B61" s="22">
        <v>11.22</v>
      </c>
      <c r="C61" s="22">
        <v>6.76</v>
      </c>
      <c r="D61" s="22">
        <v>0.55</v>
      </c>
      <c r="E61" s="22">
        <v>0.16</v>
      </c>
      <c r="F61" s="22">
        <v>0.28</v>
      </c>
      <c r="G61" s="22">
        <v>0.35</v>
      </c>
      <c r="H61" s="22">
        <v>0.22</v>
      </c>
      <c r="I61" s="22">
        <v>0.13</v>
      </c>
      <c r="J61" s="22">
        <v>0.39</v>
      </c>
      <c r="K61" s="22">
        <v>0.5</v>
      </c>
      <c r="L61" s="22">
        <v>0.62</v>
      </c>
      <c r="M61" s="22">
        <v>1.13</v>
      </c>
      <c r="N61" s="22">
        <v>1.82</v>
      </c>
      <c r="O61" s="22">
        <v>3.35</v>
      </c>
      <c r="P61" s="22">
        <v>6.26</v>
      </c>
      <c r="Q61" s="22">
        <v>11.77</v>
      </c>
      <c r="R61" s="22">
        <v>22.69</v>
      </c>
      <c r="S61" s="22">
        <v>51.11</v>
      </c>
      <c r="T61" s="22">
        <v>121.88</v>
      </c>
      <c r="U61" s="22">
        <v>442.62</v>
      </c>
    </row>
    <row r="62" spans="1:21">
      <c r="A62" s="23" t="s">
        <v>623</v>
      </c>
      <c r="B62" s="22">
        <v>37.74</v>
      </c>
      <c r="C62" s="22">
        <v>0</v>
      </c>
      <c r="D62" s="22">
        <v>0.05</v>
      </c>
      <c r="E62" s="22">
        <v>0.06</v>
      </c>
      <c r="F62" s="22">
        <v>0.08</v>
      </c>
      <c r="G62" s="22">
        <v>0.17</v>
      </c>
      <c r="H62" s="22">
        <v>0.15</v>
      </c>
      <c r="I62" s="22">
        <v>0.07</v>
      </c>
      <c r="J62" s="22">
        <v>0.26</v>
      </c>
      <c r="K62" s="22">
        <v>0.39</v>
      </c>
      <c r="L62" s="22">
        <v>0.9</v>
      </c>
      <c r="M62" s="22">
        <v>1.93</v>
      </c>
      <c r="N62" s="22">
        <v>4.04</v>
      </c>
      <c r="O62" s="22">
        <v>8.2</v>
      </c>
      <c r="P62" s="22">
        <v>20.41</v>
      </c>
      <c r="Q62" s="22">
        <v>50.2</v>
      </c>
      <c r="R62" s="22">
        <v>114.85</v>
      </c>
      <c r="S62" s="22">
        <v>243.71</v>
      </c>
      <c r="T62" s="22">
        <v>471.19</v>
      </c>
      <c r="U62" s="22">
        <v>1185.71</v>
      </c>
    </row>
    <row r="63" spans="1:21">
      <c r="A63" s="23" t="s">
        <v>624</v>
      </c>
      <c r="B63" s="22">
        <v>4.4</v>
      </c>
      <c r="C63" s="22">
        <v>0</v>
      </c>
      <c r="D63" s="22">
        <v>0</v>
      </c>
      <c r="E63" s="22">
        <v>0</v>
      </c>
      <c r="F63" s="22">
        <v>0</v>
      </c>
      <c r="G63" s="22">
        <v>0.02</v>
      </c>
      <c r="H63" s="22">
        <v>0</v>
      </c>
      <c r="I63" s="22">
        <v>0</v>
      </c>
      <c r="J63" s="22">
        <v>0.01</v>
      </c>
      <c r="K63" s="22">
        <v>0.03</v>
      </c>
      <c r="L63" s="22">
        <v>0.06</v>
      </c>
      <c r="M63" s="22">
        <v>0.27</v>
      </c>
      <c r="N63" s="22">
        <v>0.36</v>
      </c>
      <c r="O63" s="22">
        <v>1.03</v>
      </c>
      <c r="P63" s="22">
        <v>2.27</v>
      </c>
      <c r="Q63" s="22">
        <v>5.54</v>
      </c>
      <c r="R63" s="22">
        <v>11.7</v>
      </c>
      <c r="S63" s="22">
        <v>27.27</v>
      </c>
      <c r="T63" s="22">
        <v>56.3</v>
      </c>
      <c r="U63" s="22">
        <v>147.17</v>
      </c>
    </row>
    <row r="64" spans="1:21">
      <c r="A64" s="23" t="s">
        <v>625</v>
      </c>
      <c r="B64" s="22">
        <v>2.8</v>
      </c>
      <c r="C64" s="22">
        <v>0</v>
      </c>
      <c r="D64" s="22">
        <v>0</v>
      </c>
      <c r="E64" s="22">
        <v>0</v>
      </c>
      <c r="F64" s="22">
        <v>0</v>
      </c>
      <c r="G64" s="22">
        <v>0.02</v>
      </c>
      <c r="H64" s="22">
        <v>0</v>
      </c>
      <c r="I64" s="22">
        <v>0.02</v>
      </c>
      <c r="J64" s="22">
        <v>0.04</v>
      </c>
      <c r="K64" s="22">
        <v>0.02</v>
      </c>
      <c r="L64" s="22">
        <v>0.08</v>
      </c>
      <c r="M64" s="22">
        <v>0.13</v>
      </c>
      <c r="N64" s="22">
        <v>0.36</v>
      </c>
      <c r="O64" s="22">
        <v>0.68</v>
      </c>
      <c r="P64" s="22">
        <v>2.04</v>
      </c>
      <c r="Q64" s="22">
        <v>4.42</v>
      </c>
      <c r="R64" s="22">
        <v>8.87</v>
      </c>
      <c r="S64" s="22">
        <v>18.22</v>
      </c>
      <c r="T64" s="22">
        <v>35.22</v>
      </c>
      <c r="U64" s="22">
        <v>79.66</v>
      </c>
    </row>
    <row r="65" spans="1:21">
      <c r="A65" s="23" t="s">
        <v>626</v>
      </c>
      <c r="B65" s="22">
        <v>0.6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0.02</v>
      </c>
      <c r="J65" s="22">
        <v>0.02</v>
      </c>
      <c r="K65" s="22">
        <v>0.02</v>
      </c>
      <c r="L65" s="22">
        <v>0.05</v>
      </c>
      <c r="M65" s="22">
        <v>0.19</v>
      </c>
      <c r="N65" s="22">
        <v>0.2</v>
      </c>
      <c r="O65" s="22">
        <v>0.42</v>
      </c>
      <c r="P65" s="22">
        <v>0.76</v>
      </c>
      <c r="Q65" s="22">
        <v>1.31</v>
      </c>
      <c r="R65" s="22">
        <v>2.04</v>
      </c>
      <c r="S65" s="22">
        <v>2.9</v>
      </c>
      <c r="T65" s="22">
        <v>5.98</v>
      </c>
      <c r="U65" s="22">
        <v>13.63</v>
      </c>
    </row>
    <row r="66" spans="1:21">
      <c r="A66" s="23" t="s">
        <v>627</v>
      </c>
      <c r="B66" s="22">
        <v>15.41</v>
      </c>
      <c r="C66" s="22">
        <v>2.9</v>
      </c>
      <c r="D66" s="22">
        <v>0.42</v>
      </c>
      <c r="E66" s="22">
        <v>0.14</v>
      </c>
      <c r="F66" s="22">
        <v>0.16</v>
      </c>
      <c r="G66" s="22">
        <v>0.37</v>
      </c>
      <c r="H66" s="22">
        <v>0.46</v>
      </c>
      <c r="I66" s="22">
        <v>0.74</v>
      </c>
      <c r="J66" s="22">
        <v>1.28</v>
      </c>
      <c r="K66" s="22">
        <v>2.76</v>
      </c>
      <c r="L66" s="22">
        <v>4.82</v>
      </c>
      <c r="M66" s="22">
        <v>7.08</v>
      </c>
      <c r="N66" s="22">
        <v>9.9</v>
      </c>
      <c r="O66" s="22">
        <v>14.08</v>
      </c>
      <c r="P66" s="22">
        <v>19.11</v>
      </c>
      <c r="Q66" s="22">
        <v>28.53</v>
      </c>
      <c r="R66" s="22">
        <v>41.27</v>
      </c>
      <c r="S66" s="22">
        <v>73.2</v>
      </c>
      <c r="T66" s="22">
        <v>131.05</v>
      </c>
      <c r="U66" s="22">
        <v>316.32</v>
      </c>
    </row>
    <row r="67" spans="1:21">
      <c r="A67" s="23" t="s">
        <v>628</v>
      </c>
      <c r="B67" s="22">
        <v>2.43</v>
      </c>
      <c r="C67" s="22">
        <v>0.28</v>
      </c>
      <c r="D67" s="22">
        <v>0.03</v>
      </c>
      <c r="E67" s="22">
        <v>0</v>
      </c>
      <c r="F67" s="22">
        <v>0.02</v>
      </c>
      <c r="G67" s="22">
        <v>0.02</v>
      </c>
      <c r="H67" s="22">
        <v>0.07</v>
      </c>
      <c r="I67" s="22">
        <v>0.07</v>
      </c>
      <c r="J67" s="22">
        <v>0.09</v>
      </c>
      <c r="K67" s="22">
        <v>0.19</v>
      </c>
      <c r="L67" s="22">
        <v>0.29</v>
      </c>
      <c r="M67" s="22">
        <v>0.59</v>
      </c>
      <c r="N67" s="22">
        <v>0.95</v>
      </c>
      <c r="O67" s="22">
        <v>1.38</v>
      </c>
      <c r="P67" s="22">
        <v>2</v>
      </c>
      <c r="Q67" s="22">
        <v>4.2</v>
      </c>
      <c r="R67" s="22">
        <v>7.03</v>
      </c>
      <c r="S67" s="22">
        <v>13.22</v>
      </c>
      <c r="T67" s="22">
        <v>26.99</v>
      </c>
      <c r="U67" s="22">
        <v>61.67</v>
      </c>
    </row>
    <row r="68" spans="1:21">
      <c r="A68" s="23" t="s">
        <v>629</v>
      </c>
      <c r="B68" s="22">
        <v>0.08</v>
      </c>
      <c r="C68" s="22">
        <v>0</v>
      </c>
      <c r="D68" s="22">
        <v>0.03</v>
      </c>
      <c r="E68" s="22">
        <v>0</v>
      </c>
      <c r="F68" s="22">
        <v>0.04</v>
      </c>
      <c r="G68" s="22">
        <v>0.02</v>
      </c>
      <c r="H68" s="22">
        <v>0</v>
      </c>
      <c r="I68" s="22">
        <v>0</v>
      </c>
      <c r="J68" s="22">
        <v>0.01</v>
      </c>
      <c r="K68" s="22">
        <v>0</v>
      </c>
      <c r="L68" s="22">
        <v>0</v>
      </c>
      <c r="M68" s="22">
        <v>0</v>
      </c>
      <c r="N68" s="22">
        <v>0.05</v>
      </c>
      <c r="O68" s="22">
        <v>0.01</v>
      </c>
      <c r="P68" s="22">
        <v>0.15</v>
      </c>
      <c r="Q68" s="22">
        <v>0.06</v>
      </c>
      <c r="R68" s="22">
        <v>0.29</v>
      </c>
      <c r="S68" s="22">
        <v>0.7</v>
      </c>
      <c r="T68" s="22">
        <v>0.69</v>
      </c>
      <c r="U68" s="22">
        <v>1.58</v>
      </c>
    </row>
    <row r="69" spans="1:21">
      <c r="A69" s="23" t="s">
        <v>630</v>
      </c>
      <c r="B69" s="22">
        <v>1.17</v>
      </c>
      <c r="C69" s="22">
        <v>0.41</v>
      </c>
      <c r="D69" s="22">
        <v>0.08</v>
      </c>
      <c r="E69" s="22">
        <v>0.02</v>
      </c>
      <c r="F69" s="22">
        <v>0.04</v>
      </c>
      <c r="G69" s="22">
        <v>0</v>
      </c>
      <c r="H69" s="22">
        <v>0.04</v>
      </c>
      <c r="I69" s="22">
        <v>0.03</v>
      </c>
      <c r="J69" s="22">
        <v>0.05</v>
      </c>
      <c r="K69" s="22">
        <v>0.09</v>
      </c>
      <c r="L69" s="22">
        <v>0.12</v>
      </c>
      <c r="M69" s="22">
        <v>0.12</v>
      </c>
      <c r="N69" s="22">
        <v>0.28</v>
      </c>
      <c r="O69" s="22">
        <v>0.46</v>
      </c>
      <c r="P69" s="22">
        <v>0.86</v>
      </c>
      <c r="Q69" s="22">
        <v>1.39</v>
      </c>
      <c r="R69" s="22">
        <v>2.74</v>
      </c>
      <c r="S69" s="22">
        <v>6.41</v>
      </c>
      <c r="T69" s="22">
        <v>14.84</v>
      </c>
      <c r="U69" s="22">
        <v>35.24</v>
      </c>
    </row>
    <row r="70" spans="1:21">
      <c r="A70" s="23" t="s">
        <v>631</v>
      </c>
      <c r="B70" s="22">
        <v>5.55</v>
      </c>
      <c r="C70" s="22">
        <v>0.28</v>
      </c>
      <c r="D70" s="22">
        <v>0.08</v>
      </c>
      <c r="E70" s="22">
        <v>0.02</v>
      </c>
      <c r="F70" s="22">
        <v>0</v>
      </c>
      <c r="G70" s="22">
        <v>0.07</v>
      </c>
      <c r="H70" s="22">
        <v>0.13</v>
      </c>
      <c r="I70" s="22">
        <v>0.3</v>
      </c>
      <c r="J70" s="22">
        <v>0.56</v>
      </c>
      <c r="K70" s="22">
        <v>1.76</v>
      </c>
      <c r="L70" s="22">
        <v>3.44</v>
      </c>
      <c r="M70" s="22">
        <v>4.82</v>
      </c>
      <c r="N70" s="22">
        <v>6.44</v>
      </c>
      <c r="O70" s="22">
        <v>8.94</v>
      </c>
      <c r="P70" s="22">
        <v>10.94</v>
      </c>
      <c r="Q70" s="22">
        <v>13.19</v>
      </c>
      <c r="R70" s="22">
        <v>14.7</v>
      </c>
      <c r="S70" s="22">
        <v>21.6</v>
      </c>
      <c r="T70" s="22">
        <v>26.56</v>
      </c>
      <c r="U70" s="22">
        <v>43.49</v>
      </c>
    </row>
    <row r="71" spans="1:21">
      <c r="A71" s="23" t="s">
        <v>632</v>
      </c>
      <c r="B71" s="22">
        <v>4.79</v>
      </c>
      <c r="C71" s="22">
        <v>0.28</v>
      </c>
      <c r="D71" s="22">
        <v>0.08</v>
      </c>
      <c r="E71" s="22">
        <v>0</v>
      </c>
      <c r="F71" s="22">
        <v>0</v>
      </c>
      <c r="G71" s="22">
        <v>0.05</v>
      </c>
      <c r="H71" s="22">
        <v>0.09</v>
      </c>
      <c r="I71" s="22">
        <v>0.17</v>
      </c>
      <c r="J71" s="22">
        <v>0.46</v>
      </c>
      <c r="K71" s="22">
        <v>1.5</v>
      </c>
      <c r="L71" s="22">
        <v>3.04</v>
      </c>
      <c r="M71" s="22">
        <v>4.3</v>
      </c>
      <c r="N71" s="22">
        <v>5.87</v>
      </c>
      <c r="O71" s="22">
        <v>7.87</v>
      </c>
      <c r="P71" s="22">
        <v>9.53</v>
      </c>
      <c r="Q71" s="22">
        <v>11.63</v>
      </c>
      <c r="R71" s="22">
        <v>12.13</v>
      </c>
      <c r="S71" s="22">
        <v>18.22</v>
      </c>
      <c r="T71" s="22">
        <v>22.32</v>
      </c>
      <c r="U71" s="22">
        <v>35.52</v>
      </c>
    </row>
    <row r="72" spans="1:21">
      <c r="A72" s="23" t="s">
        <v>633</v>
      </c>
      <c r="B72" s="22">
        <v>1.95</v>
      </c>
      <c r="C72" s="22">
        <v>0.14</v>
      </c>
      <c r="D72" s="22">
        <v>0.11</v>
      </c>
      <c r="E72" s="22">
        <v>0.04</v>
      </c>
      <c r="F72" s="22">
        <v>0.08</v>
      </c>
      <c r="G72" s="22">
        <v>0.27</v>
      </c>
      <c r="H72" s="22">
        <v>0.22</v>
      </c>
      <c r="I72" s="22">
        <v>0.17</v>
      </c>
      <c r="J72" s="22">
        <v>0.4</v>
      </c>
      <c r="K72" s="22">
        <v>0.56</v>
      </c>
      <c r="L72" s="22">
        <v>0.42</v>
      </c>
      <c r="M72" s="22">
        <v>0.71</v>
      </c>
      <c r="N72" s="22">
        <v>0.97</v>
      </c>
      <c r="O72" s="22">
        <v>1.56</v>
      </c>
      <c r="P72" s="22">
        <v>2.39</v>
      </c>
      <c r="Q72" s="22">
        <v>3.29</v>
      </c>
      <c r="R72" s="22">
        <v>5.57</v>
      </c>
      <c r="S72" s="22">
        <v>9.62</v>
      </c>
      <c r="T72" s="22">
        <v>15.96</v>
      </c>
      <c r="U72" s="22">
        <v>41.73</v>
      </c>
    </row>
    <row r="73" spans="1:21">
      <c r="A73" s="23" t="s">
        <v>634</v>
      </c>
      <c r="B73" s="22">
        <v>0.33</v>
      </c>
      <c r="C73" s="22">
        <v>0</v>
      </c>
      <c r="D73" s="22">
        <v>0</v>
      </c>
      <c r="E73" s="22">
        <v>0</v>
      </c>
      <c r="F73" s="22">
        <v>0.06</v>
      </c>
      <c r="G73" s="22">
        <v>0.1</v>
      </c>
      <c r="H73" s="22">
        <v>0.17</v>
      </c>
      <c r="I73" s="22">
        <v>0.12</v>
      </c>
      <c r="J73" s="22">
        <v>0.29</v>
      </c>
      <c r="K73" s="22">
        <v>0.31</v>
      </c>
      <c r="L73" s="22">
        <v>0.26</v>
      </c>
      <c r="M73" s="22">
        <v>0.37</v>
      </c>
      <c r="N73" s="22">
        <v>0.3</v>
      </c>
      <c r="O73" s="22">
        <v>0.57</v>
      </c>
      <c r="P73" s="22">
        <v>0.48</v>
      </c>
      <c r="Q73" s="22">
        <v>0.68</v>
      </c>
      <c r="R73" s="22">
        <v>0.55</v>
      </c>
      <c r="S73" s="22">
        <v>1.14</v>
      </c>
      <c r="T73" s="22">
        <v>0.75</v>
      </c>
      <c r="U73" s="22">
        <v>0.93</v>
      </c>
    </row>
    <row r="74" spans="1:21">
      <c r="A74" s="23" t="s">
        <v>635</v>
      </c>
      <c r="B74" s="22">
        <v>6.75</v>
      </c>
      <c r="C74" s="22">
        <v>0.41</v>
      </c>
      <c r="D74" s="22">
        <v>0.03</v>
      </c>
      <c r="E74" s="22">
        <v>0.02</v>
      </c>
      <c r="F74" s="22">
        <v>0.08</v>
      </c>
      <c r="G74" s="22">
        <v>0.1</v>
      </c>
      <c r="H74" s="22">
        <v>0.5</v>
      </c>
      <c r="I74" s="22">
        <v>0.54</v>
      </c>
      <c r="J74" s="22">
        <v>0.6</v>
      </c>
      <c r="K74" s="22">
        <v>1.29</v>
      </c>
      <c r="L74" s="22">
        <v>1.64</v>
      </c>
      <c r="M74" s="22">
        <v>2.57</v>
      </c>
      <c r="N74" s="22">
        <v>3.47</v>
      </c>
      <c r="O74" s="22">
        <v>6.03</v>
      </c>
      <c r="P74" s="22">
        <v>8.61</v>
      </c>
      <c r="Q74" s="22">
        <v>14.46</v>
      </c>
      <c r="R74" s="22">
        <v>22.25</v>
      </c>
      <c r="S74" s="22">
        <v>38.29</v>
      </c>
      <c r="T74" s="22">
        <v>58.42</v>
      </c>
      <c r="U74" s="22">
        <v>113.14</v>
      </c>
    </row>
    <row r="75" spans="1:21">
      <c r="A75" s="23" t="s">
        <v>636</v>
      </c>
      <c r="B75" s="22">
        <v>3.82</v>
      </c>
      <c r="C75" s="22">
        <v>0.28</v>
      </c>
      <c r="D75" s="22">
        <v>0.03</v>
      </c>
      <c r="E75" s="22">
        <v>0.02</v>
      </c>
      <c r="F75" s="22">
        <v>0.08</v>
      </c>
      <c r="G75" s="22">
        <v>0.07</v>
      </c>
      <c r="H75" s="22">
        <v>0.39</v>
      </c>
      <c r="I75" s="22">
        <v>0.3</v>
      </c>
      <c r="J75" s="22">
        <v>0.39</v>
      </c>
      <c r="K75" s="22">
        <v>0.78</v>
      </c>
      <c r="L75" s="22">
        <v>1.07</v>
      </c>
      <c r="M75" s="22">
        <v>1.41</v>
      </c>
      <c r="N75" s="22">
        <v>2.03</v>
      </c>
      <c r="O75" s="22">
        <v>3.23</v>
      </c>
      <c r="P75" s="22">
        <v>5.23</v>
      </c>
      <c r="Q75" s="22">
        <v>8.55</v>
      </c>
      <c r="R75" s="22">
        <v>13.56</v>
      </c>
      <c r="S75" s="22">
        <v>21.47</v>
      </c>
      <c r="T75" s="22">
        <v>33.42</v>
      </c>
      <c r="U75" s="22">
        <v>56.2</v>
      </c>
    </row>
    <row r="76" spans="1:21">
      <c r="A76" s="23" t="s">
        <v>637</v>
      </c>
      <c r="B76" s="22">
        <v>2.32</v>
      </c>
      <c r="C76" s="22">
        <v>0</v>
      </c>
      <c r="D76" s="22">
        <v>0</v>
      </c>
      <c r="E76" s="22">
        <v>0</v>
      </c>
      <c r="F76" s="22">
        <v>0</v>
      </c>
      <c r="G76" s="22">
        <v>0.02</v>
      </c>
      <c r="H76" s="22">
        <v>0.09</v>
      </c>
      <c r="I76" s="22">
        <v>0.24</v>
      </c>
      <c r="J76" s="22">
        <v>0.21</v>
      </c>
      <c r="K76" s="22">
        <v>0.47</v>
      </c>
      <c r="L76" s="22">
        <v>0.53</v>
      </c>
      <c r="M76" s="22">
        <v>1.07</v>
      </c>
      <c r="N76" s="22">
        <v>1.27</v>
      </c>
      <c r="O76" s="22">
        <v>2.45</v>
      </c>
      <c r="P76" s="22">
        <v>2.9</v>
      </c>
      <c r="Q76" s="22">
        <v>5.12</v>
      </c>
      <c r="R76" s="22">
        <v>7.41</v>
      </c>
      <c r="S76" s="22">
        <v>13.92</v>
      </c>
      <c r="T76" s="22">
        <v>18.08</v>
      </c>
      <c r="U76" s="22">
        <v>36.72</v>
      </c>
    </row>
    <row r="77" spans="1:21">
      <c r="A77" s="23" t="s">
        <v>638</v>
      </c>
      <c r="B77" s="22">
        <v>0.07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0.01</v>
      </c>
      <c r="P77" s="22">
        <v>0</v>
      </c>
      <c r="Q77" s="22">
        <v>0.06</v>
      </c>
      <c r="R77" s="22">
        <v>0.06</v>
      </c>
      <c r="S77" s="22">
        <v>0.18</v>
      </c>
      <c r="T77" s="22">
        <v>0.94</v>
      </c>
      <c r="U77" s="22">
        <v>3.71</v>
      </c>
    </row>
    <row r="78" spans="1:21">
      <c r="A78" s="23" t="s">
        <v>639</v>
      </c>
      <c r="B78" s="22">
        <v>0.02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0.02</v>
      </c>
      <c r="I78" s="22">
        <v>0.07</v>
      </c>
      <c r="J78" s="22">
        <v>0.1</v>
      </c>
      <c r="K78" s="22">
        <v>0.08</v>
      </c>
      <c r="L78" s="22">
        <v>0.02</v>
      </c>
      <c r="M78" s="22">
        <v>0.01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</row>
    <row r="79" spans="1:21">
      <c r="A79" s="23" t="s">
        <v>640</v>
      </c>
      <c r="B79" s="22">
        <v>0.02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0.02</v>
      </c>
      <c r="I79" s="22">
        <v>0.07</v>
      </c>
      <c r="J79" s="22">
        <v>0.1</v>
      </c>
      <c r="K79" s="22">
        <v>0.05</v>
      </c>
      <c r="L79" s="22">
        <v>0.02</v>
      </c>
      <c r="M79" s="22">
        <v>0.01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</row>
    <row r="80" spans="1:21">
      <c r="A80" s="23" t="s">
        <v>641</v>
      </c>
      <c r="B80" s="22">
        <v>0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0.01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</row>
    <row r="81" spans="1:21">
      <c r="A81" s="23" t="s">
        <v>642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0.04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</row>
    <row r="82" spans="1:21">
      <c r="A82" s="23" t="s">
        <v>643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0.02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</row>
    <row r="83" spans="1:21">
      <c r="A83" s="23" t="s">
        <v>644</v>
      </c>
      <c r="B83" s="22">
        <v>0.01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0.02</v>
      </c>
      <c r="I83" s="22">
        <v>0.02</v>
      </c>
      <c r="J83" s="22">
        <v>0.04</v>
      </c>
      <c r="K83" s="22">
        <v>0.02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</row>
    <row r="84" spans="1:21">
      <c r="A84" s="23" t="s">
        <v>645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0.03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</row>
    <row r="85" spans="1:21">
      <c r="A85" s="23" t="s">
        <v>646</v>
      </c>
      <c r="B85" s="22">
        <v>0.69</v>
      </c>
      <c r="C85" s="22">
        <v>87.06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</row>
    <row r="86" spans="1:21">
      <c r="A86" s="23" t="s">
        <v>647</v>
      </c>
      <c r="B86" s="22">
        <v>0.16</v>
      </c>
      <c r="C86" s="22">
        <v>20.14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</row>
    <row r="87" spans="1:21">
      <c r="A87" s="23" t="s">
        <v>648</v>
      </c>
      <c r="B87" s="22">
        <v>0.1</v>
      </c>
      <c r="C87" s="22">
        <v>12.42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</row>
    <row r="88" spans="1:21">
      <c r="A88" s="23" t="s">
        <v>649</v>
      </c>
      <c r="B88" s="22">
        <v>0.87</v>
      </c>
      <c r="C88" s="22">
        <v>28.97</v>
      </c>
      <c r="D88" s="22">
        <v>1.71</v>
      </c>
      <c r="E88" s="22">
        <v>0.82</v>
      </c>
      <c r="F88" s="22">
        <v>0.89</v>
      </c>
      <c r="G88" s="22">
        <v>0.8</v>
      </c>
      <c r="H88" s="22">
        <v>0.48</v>
      </c>
      <c r="I88" s="22">
        <v>0.35</v>
      </c>
      <c r="J88" s="22">
        <v>0.47</v>
      </c>
      <c r="K88" s="22">
        <v>0.41</v>
      </c>
      <c r="L88" s="22">
        <v>0.31</v>
      </c>
      <c r="M88" s="22">
        <v>0.55</v>
      </c>
      <c r="N88" s="22">
        <v>0.5</v>
      </c>
      <c r="O88" s="22">
        <v>0.6</v>
      </c>
      <c r="P88" s="22">
        <v>0.42</v>
      </c>
      <c r="Q88" s="22">
        <v>0.68</v>
      </c>
      <c r="R88" s="22">
        <v>0.73</v>
      </c>
      <c r="S88" s="22">
        <v>1.32</v>
      </c>
      <c r="T88" s="22">
        <v>1.31</v>
      </c>
      <c r="U88" s="22">
        <v>1.67</v>
      </c>
    </row>
    <row r="89" spans="1:21">
      <c r="A89" s="23" t="s">
        <v>650</v>
      </c>
      <c r="B89" s="22">
        <v>0.55</v>
      </c>
      <c r="C89" s="22">
        <v>14.9</v>
      </c>
      <c r="D89" s="22">
        <v>1.26</v>
      </c>
      <c r="E89" s="22">
        <v>0.56</v>
      </c>
      <c r="F89" s="22">
        <v>0.67</v>
      </c>
      <c r="G89" s="22">
        <v>0.57</v>
      </c>
      <c r="H89" s="22">
        <v>0.39</v>
      </c>
      <c r="I89" s="22">
        <v>0.29</v>
      </c>
      <c r="J89" s="22">
        <v>0.41</v>
      </c>
      <c r="K89" s="22">
        <v>0.33</v>
      </c>
      <c r="L89" s="22">
        <v>0.23</v>
      </c>
      <c r="M89" s="22">
        <v>0.35</v>
      </c>
      <c r="N89" s="22">
        <v>0.36</v>
      </c>
      <c r="O89" s="22">
        <v>0.38</v>
      </c>
      <c r="P89" s="22">
        <v>0.31</v>
      </c>
      <c r="Q89" s="22">
        <v>0.32</v>
      </c>
      <c r="R89" s="22">
        <v>0.47</v>
      </c>
      <c r="S89" s="22">
        <v>0.66</v>
      </c>
      <c r="T89" s="22">
        <v>0.69</v>
      </c>
      <c r="U89" s="22">
        <v>0.56</v>
      </c>
    </row>
    <row r="90" spans="1:21">
      <c r="A90" s="23" t="s">
        <v>651</v>
      </c>
      <c r="B90" s="22">
        <v>0.04</v>
      </c>
      <c r="C90" s="22">
        <v>0.97</v>
      </c>
      <c r="D90" s="22">
        <v>0.11</v>
      </c>
      <c r="E90" s="22">
        <v>0.12</v>
      </c>
      <c r="F90" s="22">
        <v>0.14</v>
      </c>
      <c r="G90" s="22">
        <v>0.05</v>
      </c>
      <c r="H90" s="22">
        <v>0</v>
      </c>
      <c r="I90" s="22">
        <v>0.03</v>
      </c>
      <c r="J90" s="22">
        <v>0</v>
      </c>
      <c r="K90" s="22">
        <v>0</v>
      </c>
      <c r="L90" s="22">
        <v>0</v>
      </c>
      <c r="M90" s="22">
        <v>0.08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</row>
    <row r="91" spans="1:21">
      <c r="A91" s="23" t="s">
        <v>652</v>
      </c>
      <c r="B91" s="22">
        <v>3.19</v>
      </c>
      <c r="C91" s="22">
        <v>4.97</v>
      </c>
      <c r="D91" s="22">
        <v>0.26</v>
      </c>
      <c r="E91" s="22">
        <v>0</v>
      </c>
      <c r="F91" s="22">
        <v>0.22</v>
      </c>
      <c r="G91" s="22">
        <v>0.42</v>
      </c>
      <c r="H91" s="22">
        <v>0.72</v>
      </c>
      <c r="I91" s="22">
        <v>0.84</v>
      </c>
      <c r="J91" s="22">
        <v>0.98</v>
      </c>
      <c r="K91" s="22">
        <v>1.86</v>
      </c>
      <c r="L91" s="22">
        <v>1.95</v>
      </c>
      <c r="M91" s="22">
        <v>2.25</v>
      </c>
      <c r="N91" s="22">
        <v>2.79</v>
      </c>
      <c r="O91" s="22">
        <v>3.76</v>
      </c>
      <c r="P91" s="22">
        <v>4.12</v>
      </c>
      <c r="Q91" s="22">
        <v>4.84</v>
      </c>
      <c r="R91" s="22">
        <v>7.44</v>
      </c>
      <c r="S91" s="22">
        <v>9.79</v>
      </c>
      <c r="T91" s="22">
        <v>15.9</v>
      </c>
      <c r="U91" s="22">
        <v>53.88</v>
      </c>
    </row>
    <row r="92" spans="1:21">
      <c r="A92" s="23" t="s">
        <v>653</v>
      </c>
      <c r="B92" s="22">
        <v>5.57</v>
      </c>
      <c r="C92" s="22">
        <v>1.1</v>
      </c>
      <c r="D92" s="22">
        <v>0.26</v>
      </c>
      <c r="E92" s="22">
        <v>0.06</v>
      </c>
      <c r="F92" s="22">
        <v>0.12</v>
      </c>
      <c r="G92" s="22">
        <v>0.1</v>
      </c>
      <c r="H92" s="22">
        <v>0.11</v>
      </c>
      <c r="I92" s="22">
        <v>0.15</v>
      </c>
      <c r="J92" s="22">
        <v>0.17</v>
      </c>
      <c r="K92" s="22">
        <v>0.34</v>
      </c>
      <c r="L92" s="22">
        <v>0.29</v>
      </c>
      <c r="M92" s="22">
        <v>0.41</v>
      </c>
      <c r="N92" s="22">
        <v>0.49</v>
      </c>
      <c r="O92" s="22">
        <v>0.82</v>
      </c>
      <c r="P92" s="22">
        <v>1.15</v>
      </c>
      <c r="Q92" s="22">
        <v>1.87</v>
      </c>
      <c r="R92" s="22">
        <v>4.14</v>
      </c>
      <c r="S92" s="22">
        <v>8.3</v>
      </c>
      <c r="T92" s="22">
        <v>33.04</v>
      </c>
      <c r="U92" s="22">
        <v>358.79</v>
      </c>
    </row>
    <row r="93" spans="1:21">
      <c r="A93" s="23" t="s">
        <v>654</v>
      </c>
      <c r="B93" s="22">
        <v>35.22</v>
      </c>
      <c r="C93" s="22">
        <v>15.04</v>
      </c>
      <c r="D93" s="22">
        <v>7.68</v>
      </c>
      <c r="E93" s="22">
        <v>4.68</v>
      </c>
      <c r="F93" s="22">
        <v>7.62</v>
      </c>
      <c r="G93" s="22">
        <v>12.67</v>
      </c>
      <c r="H93" s="22">
        <v>14</v>
      </c>
      <c r="I93" s="22">
        <v>12.94</v>
      </c>
      <c r="J93" s="22">
        <v>13.04</v>
      </c>
      <c r="K93" s="22">
        <v>16.23</v>
      </c>
      <c r="L93" s="22">
        <v>18.25</v>
      </c>
      <c r="M93" s="22">
        <v>24.01</v>
      </c>
      <c r="N93" s="22">
        <v>29.29</v>
      </c>
      <c r="O93" s="22">
        <v>35.56</v>
      </c>
      <c r="P93" s="22">
        <v>39.27</v>
      </c>
      <c r="Q93" s="22">
        <v>56.3</v>
      </c>
      <c r="R93" s="22">
        <v>73.35</v>
      </c>
      <c r="S93" s="22">
        <v>109.78</v>
      </c>
      <c r="T93" s="22">
        <v>190.83</v>
      </c>
      <c r="U93" s="22">
        <v>585.25</v>
      </c>
    </row>
    <row r="94" spans="1:21">
      <c r="A94" s="23" t="s">
        <v>655</v>
      </c>
      <c r="B94" s="22">
        <v>9.37</v>
      </c>
      <c r="C94" s="22">
        <v>1.52</v>
      </c>
      <c r="D94" s="22">
        <v>2.21</v>
      </c>
      <c r="E94" s="22">
        <v>1.34</v>
      </c>
      <c r="F94" s="22">
        <v>1.44</v>
      </c>
      <c r="G94" s="22">
        <v>3.51</v>
      </c>
      <c r="H94" s="22">
        <v>4.64</v>
      </c>
      <c r="I94" s="22">
        <v>4.31</v>
      </c>
      <c r="J94" s="22">
        <v>4.61</v>
      </c>
      <c r="K94" s="22">
        <v>6.57</v>
      </c>
      <c r="L94" s="22">
        <v>6.28</v>
      </c>
      <c r="M94" s="22">
        <v>8.9</v>
      </c>
      <c r="N94" s="22">
        <v>11.03</v>
      </c>
      <c r="O94" s="22">
        <v>14.2</v>
      </c>
      <c r="P94" s="22">
        <v>15.39</v>
      </c>
      <c r="Q94" s="22">
        <v>21.18</v>
      </c>
      <c r="R94" s="22">
        <v>23.39</v>
      </c>
      <c r="S94" s="22">
        <v>25.64</v>
      </c>
      <c r="T94" s="22">
        <v>24.63</v>
      </c>
      <c r="U94" s="22">
        <v>25.59</v>
      </c>
    </row>
    <row r="95" spans="1:21">
      <c r="A95" s="23" t="s">
        <v>656</v>
      </c>
      <c r="B95" s="22">
        <v>3.82</v>
      </c>
      <c r="C95" s="22">
        <v>0.14</v>
      </c>
      <c r="D95" s="22">
        <v>1.18</v>
      </c>
      <c r="E95" s="22">
        <v>0.76</v>
      </c>
      <c r="F95" s="22">
        <v>0.67</v>
      </c>
      <c r="G95" s="22">
        <v>1.39</v>
      </c>
      <c r="H95" s="22">
        <v>1.67</v>
      </c>
      <c r="I95" s="22">
        <v>1.46</v>
      </c>
      <c r="J95" s="22">
        <v>1.38</v>
      </c>
      <c r="K95" s="22">
        <v>2</v>
      </c>
      <c r="L95" s="22">
        <v>2.3</v>
      </c>
      <c r="M95" s="22">
        <v>3.22</v>
      </c>
      <c r="N95" s="22">
        <v>4.37</v>
      </c>
      <c r="O95" s="22">
        <v>5.26</v>
      </c>
      <c r="P95" s="22">
        <v>5.99</v>
      </c>
      <c r="Q95" s="22">
        <v>8.53</v>
      </c>
      <c r="R95" s="22">
        <v>11.43</v>
      </c>
      <c r="S95" s="22">
        <v>13.04</v>
      </c>
      <c r="T95" s="22">
        <v>13.15</v>
      </c>
      <c r="U95" s="22">
        <v>14.1</v>
      </c>
    </row>
    <row r="96" spans="1:21">
      <c r="A96" s="23" t="s">
        <v>657</v>
      </c>
      <c r="B96" s="22">
        <v>1.21</v>
      </c>
      <c r="C96" s="22">
        <v>0.28</v>
      </c>
      <c r="D96" s="22">
        <v>0.24</v>
      </c>
      <c r="E96" s="22">
        <v>0.08</v>
      </c>
      <c r="F96" s="22">
        <v>0.08</v>
      </c>
      <c r="G96" s="22">
        <v>0.35</v>
      </c>
      <c r="H96" s="22">
        <v>0.63</v>
      </c>
      <c r="I96" s="22">
        <v>0.86</v>
      </c>
      <c r="J96" s="22">
        <v>0.8</v>
      </c>
      <c r="K96" s="22">
        <v>1.04</v>
      </c>
      <c r="L96" s="22">
        <v>0.93</v>
      </c>
      <c r="M96" s="22">
        <v>1.47</v>
      </c>
      <c r="N96" s="22">
        <v>1.68</v>
      </c>
      <c r="O96" s="22">
        <v>2.13</v>
      </c>
      <c r="P96" s="22">
        <v>2.04</v>
      </c>
      <c r="Q96" s="22">
        <v>2.65</v>
      </c>
      <c r="R96" s="22">
        <v>2.27</v>
      </c>
      <c r="S96" s="22">
        <v>1.76</v>
      </c>
      <c r="T96" s="22">
        <v>1.68</v>
      </c>
      <c r="U96" s="22">
        <v>1.11</v>
      </c>
    </row>
    <row r="97" spans="1:21">
      <c r="A97" s="23" t="s">
        <v>658</v>
      </c>
      <c r="B97" s="22">
        <v>0.02</v>
      </c>
      <c r="C97" s="22">
        <v>0</v>
      </c>
      <c r="D97" s="22">
        <v>0</v>
      </c>
      <c r="E97" s="22">
        <v>0.02</v>
      </c>
      <c r="F97" s="22">
        <v>0.12</v>
      </c>
      <c r="G97" s="22">
        <v>0.1</v>
      </c>
      <c r="H97" s="22">
        <v>0.04</v>
      </c>
      <c r="I97" s="22">
        <v>0</v>
      </c>
      <c r="J97" s="22">
        <v>0</v>
      </c>
      <c r="K97" s="22">
        <v>0</v>
      </c>
      <c r="L97" s="22">
        <v>0.02</v>
      </c>
      <c r="M97" s="22">
        <v>0.01</v>
      </c>
      <c r="N97" s="22">
        <v>0</v>
      </c>
      <c r="O97" s="22">
        <v>0.04</v>
      </c>
      <c r="P97" s="22">
        <v>0</v>
      </c>
      <c r="Q97" s="22">
        <v>0</v>
      </c>
      <c r="R97" s="22">
        <v>0.03</v>
      </c>
      <c r="S97" s="22">
        <v>0.04</v>
      </c>
      <c r="T97" s="22">
        <v>0.06</v>
      </c>
      <c r="U97" s="22">
        <v>0</v>
      </c>
    </row>
    <row r="98" spans="1:21">
      <c r="A98" s="23" t="s">
        <v>659</v>
      </c>
      <c r="B98" s="22">
        <v>1.58</v>
      </c>
      <c r="C98" s="22">
        <v>0.14</v>
      </c>
      <c r="D98" s="22">
        <v>0.11</v>
      </c>
      <c r="E98" s="22">
        <v>0.06</v>
      </c>
      <c r="F98" s="22">
        <v>0.16</v>
      </c>
      <c r="G98" s="22">
        <v>0.67</v>
      </c>
      <c r="H98" s="22">
        <v>0.72</v>
      </c>
      <c r="I98" s="22">
        <v>0.89</v>
      </c>
      <c r="J98" s="22">
        <v>1.05</v>
      </c>
      <c r="K98" s="22">
        <v>1.33</v>
      </c>
      <c r="L98" s="22">
        <v>1.64</v>
      </c>
      <c r="M98" s="22">
        <v>1.95</v>
      </c>
      <c r="N98" s="22">
        <v>2.15</v>
      </c>
      <c r="O98" s="22">
        <v>1.86</v>
      </c>
      <c r="P98" s="22">
        <v>1.89</v>
      </c>
      <c r="Q98" s="22">
        <v>2.51</v>
      </c>
      <c r="R98" s="22">
        <v>2.74</v>
      </c>
      <c r="S98" s="22">
        <v>4.79</v>
      </c>
      <c r="T98" s="22">
        <v>4.99</v>
      </c>
      <c r="U98" s="22">
        <v>7.14</v>
      </c>
    </row>
    <row r="99" spans="1:21">
      <c r="A99" s="23" t="s">
        <v>660</v>
      </c>
      <c r="B99" s="22">
        <v>12.12</v>
      </c>
      <c r="C99" s="22">
        <v>1.79</v>
      </c>
      <c r="D99" s="22">
        <v>1.53</v>
      </c>
      <c r="E99" s="22">
        <v>0.72</v>
      </c>
      <c r="F99" s="22">
        <v>1.07</v>
      </c>
      <c r="G99" s="22">
        <v>1.07</v>
      </c>
      <c r="H99" s="22">
        <v>1.69</v>
      </c>
      <c r="I99" s="22">
        <v>1.59</v>
      </c>
      <c r="J99" s="22">
        <v>1.61</v>
      </c>
      <c r="K99" s="22">
        <v>2.12</v>
      </c>
      <c r="L99" s="22">
        <v>3.09</v>
      </c>
      <c r="M99" s="22">
        <v>4.59</v>
      </c>
      <c r="N99" s="22">
        <v>5.92</v>
      </c>
      <c r="O99" s="22">
        <v>7.23</v>
      </c>
      <c r="P99" s="22">
        <v>7.9</v>
      </c>
      <c r="Q99" s="22">
        <v>14.06</v>
      </c>
      <c r="R99" s="22">
        <v>22.69</v>
      </c>
      <c r="S99" s="22">
        <v>46.24</v>
      </c>
      <c r="T99" s="22">
        <v>110.41</v>
      </c>
      <c r="U99" s="22">
        <v>388.93</v>
      </c>
    </row>
    <row r="100" spans="1:21">
      <c r="A100" s="23" t="s">
        <v>661</v>
      </c>
      <c r="B100" s="22">
        <v>0.37</v>
      </c>
      <c r="C100" s="22">
        <v>0</v>
      </c>
      <c r="D100" s="22">
        <v>0.18</v>
      </c>
      <c r="E100" s="22">
        <v>0.26</v>
      </c>
      <c r="F100" s="22">
        <v>0.06</v>
      </c>
      <c r="G100" s="22">
        <v>0.02</v>
      </c>
      <c r="H100" s="22">
        <v>0.09</v>
      </c>
      <c r="I100" s="22">
        <v>0.13</v>
      </c>
      <c r="J100" s="22">
        <v>0.07</v>
      </c>
      <c r="K100" s="22">
        <v>0.12</v>
      </c>
      <c r="L100" s="22">
        <v>0.23</v>
      </c>
      <c r="M100" s="22">
        <v>0.24</v>
      </c>
      <c r="N100" s="22">
        <v>0.25</v>
      </c>
      <c r="O100" s="22">
        <v>0.36</v>
      </c>
      <c r="P100" s="22">
        <v>0.34</v>
      </c>
      <c r="Q100" s="22">
        <v>0.64</v>
      </c>
      <c r="R100" s="22">
        <v>0.9</v>
      </c>
      <c r="S100" s="22">
        <v>1.58</v>
      </c>
      <c r="T100" s="22">
        <v>2.12</v>
      </c>
      <c r="U100" s="22">
        <v>5.38</v>
      </c>
    </row>
    <row r="101" spans="1:21">
      <c r="A101" s="23" t="s">
        <v>662</v>
      </c>
      <c r="B101" s="22">
        <v>2.03</v>
      </c>
      <c r="C101" s="22">
        <v>0.28</v>
      </c>
      <c r="D101" s="22">
        <v>2.03</v>
      </c>
      <c r="E101" s="22">
        <v>1.53</v>
      </c>
      <c r="F101" s="22">
        <v>2.33</v>
      </c>
      <c r="G101" s="22">
        <v>2.54</v>
      </c>
      <c r="H101" s="22">
        <v>1.52</v>
      </c>
      <c r="I101" s="22">
        <v>1.33</v>
      </c>
      <c r="J101" s="22">
        <v>1.08</v>
      </c>
      <c r="K101" s="22">
        <v>1.12</v>
      </c>
      <c r="L101" s="22">
        <v>1.19</v>
      </c>
      <c r="M101" s="22">
        <v>1.33</v>
      </c>
      <c r="N101" s="22">
        <v>1.56</v>
      </c>
      <c r="O101" s="22">
        <v>1.79</v>
      </c>
      <c r="P101" s="22">
        <v>2.18</v>
      </c>
      <c r="Q101" s="22">
        <v>3.19</v>
      </c>
      <c r="R101" s="22">
        <v>3.67</v>
      </c>
      <c r="S101" s="22">
        <v>5.8</v>
      </c>
      <c r="T101" s="22">
        <v>6.92</v>
      </c>
      <c r="U101" s="22">
        <v>9.09</v>
      </c>
    </row>
    <row r="102" spans="1:21">
      <c r="A102" s="23" t="s">
        <v>663</v>
      </c>
      <c r="B102" s="22">
        <v>0.39</v>
      </c>
      <c r="C102" s="22">
        <v>5.52</v>
      </c>
      <c r="D102" s="22">
        <v>0.37</v>
      </c>
      <c r="E102" s="22">
        <v>0.04</v>
      </c>
      <c r="F102" s="22">
        <v>0.08</v>
      </c>
      <c r="G102" s="22">
        <v>0.2</v>
      </c>
      <c r="H102" s="22">
        <v>0.26</v>
      </c>
      <c r="I102" s="22">
        <v>0.1</v>
      </c>
      <c r="J102" s="22">
        <v>0.15</v>
      </c>
      <c r="K102" s="22">
        <v>0.09</v>
      </c>
      <c r="L102" s="22">
        <v>0.31</v>
      </c>
      <c r="M102" s="22">
        <v>0.33</v>
      </c>
      <c r="N102" s="22">
        <v>0.57</v>
      </c>
      <c r="O102" s="22">
        <v>0.4</v>
      </c>
      <c r="P102" s="22">
        <v>0.4</v>
      </c>
      <c r="Q102" s="22">
        <v>0.6</v>
      </c>
      <c r="R102" s="22">
        <v>0.73</v>
      </c>
      <c r="S102" s="22">
        <v>0.88</v>
      </c>
      <c r="T102" s="22">
        <v>1</v>
      </c>
      <c r="U102" s="22">
        <v>2.13</v>
      </c>
    </row>
    <row r="103" spans="1:21">
      <c r="A103" s="23" t="s">
        <v>664</v>
      </c>
      <c r="B103" s="22">
        <v>0.33</v>
      </c>
      <c r="C103" s="22">
        <v>0.14</v>
      </c>
      <c r="D103" s="22">
        <v>0.11</v>
      </c>
      <c r="E103" s="22">
        <v>0.06</v>
      </c>
      <c r="F103" s="22">
        <v>0</v>
      </c>
      <c r="G103" s="22">
        <v>0.15</v>
      </c>
      <c r="H103" s="22">
        <v>0.17</v>
      </c>
      <c r="I103" s="22">
        <v>0.08</v>
      </c>
      <c r="J103" s="22">
        <v>0.24</v>
      </c>
      <c r="K103" s="22">
        <v>0.34</v>
      </c>
      <c r="L103" s="22">
        <v>0.28</v>
      </c>
      <c r="M103" s="22">
        <v>0.65</v>
      </c>
      <c r="N103" s="22">
        <v>0.53</v>
      </c>
      <c r="O103" s="22">
        <v>0.7</v>
      </c>
      <c r="P103" s="22">
        <v>0.53</v>
      </c>
      <c r="Q103" s="22">
        <v>0.38</v>
      </c>
      <c r="R103" s="22">
        <v>0.41</v>
      </c>
      <c r="S103" s="22">
        <v>0.18</v>
      </c>
      <c r="T103" s="22">
        <v>0.19</v>
      </c>
      <c r="U103" s="22">
        <v>0.09</v>
      </c>
    </row>
    <row r="104" spans="1:21">
      <c r="A104" s="23" t="s">
        <v>665</v>
      </c>
      <c r="B104" s="22">
        <v>0.27</v>
      </c>
      <c r="C104" s="22">
        <v>0</v>
      </c>
      <c r="D104" s="22">
        <v>0</v>
      </c>
      <c r="E104" s="22">
        <v>0.02</v>
      </c>
      <c r="F104" s="22">
        <v>0.08</v>
      </c>
      <c r="G104" s="22">
        <v>0.05</v>
      </c>
      <c r="H104" s="22">
        <v>0.22</v>
      </c>
      <c r="I104" s="22">
        <v>0.27</v>
      </c>
      <c r="J104" s="22">
        <v>0.46</v>
      </c>
      <c r="K104" s="22">
        <v>0.53</v>
      </c>
      <c r="L104" s="22">
        <v>0.37</v>
      </c>
      <c r="M104" s="22">
        <v>0.45</v>
      </c>
      <c r="N104" s="22">
        <v>0.2</v>
      </c>
      <c r="O104" s="22">
        <v>0.4</v>
      </c>
      <c r="P104" s="22">
        <v>0.23</v>
      </c>
      <c r="Q104" s="22">
        <v>0.2</v>
      </c>
      <c r="R104" s="22">
        <v>0.32</v>
      </c>
      <c r="S104" s="22">
        <v>0.18</v>
      </c>
      <c r="T104" s="22">
        <v>0.06</v>
      </c>
      <c r="U104" s="22">
        <v>0.19</v>
      </c>
    </row>
    <row r="105" spans="1:21">
      <c r="A105" s="23" t="s">
        <v>666</v>
      </c>
      <c r="B105" s="22">
        <v>4.31</v>
      </c>
      <c r="C105" s="22">
        <v>0</v>
      </c>
      <c r="D105" s="22">
        <v>0</v>
      </c>
      <c r="E105" s="22">
        <v>0.04</v>
      </c>
      <c r="F105" s="22">
        <v>1.7</v>
      </c>
      <c r="G105" s="22">
        <v>3.34</v>
      </c>
      <c r="H105" s="22">
        <v>3.45</v>
      </c>
      <c r="I105" s="22">
        <v>3.04</v>
      </c>
      <c r="J105" s="22">
        <v>2.33</v>
      </c>
      <c r="K105" s="22">
        <v>2.48</v>
      </c>
      <c r="L105" s="22">
        <v>2.71</v>
      </c>
      <c r="M105" s="22">
        <v>3.09</v>
      </c>
      <c r="N105" s="22">
        <v>4.02</v>
      </c>
      <c r="O105" s="22">
        <v>5.3</v>
      </c>
      <c r="P105" s="22">
        <v>6.45</v>
      </c>
      <c r="Q105" s="22">
        <v>9.14</v>
      </c>
      <c r="R105" s="22">
        <v>10.79</v>
      </c>
      <c r="S105" s="22">
        <v>13.04</v>
      </c>
      <c r="T105" s="22">
        <v>15.15</v>
      </c>
      <c r="U105" s="22">
        <v>19.75</v>
      </c>
    </row>
    <row r="106" spans="1:21">
      <c r="A106" s="24" t="s">
        <v>667</v>
      </c>
      <c r="B106" s="25">
        <v>0.22</v>
      </c>
      <c r="C106" s="25">
        <v>0.41</v>
      </c>
      <c r="D106" s="25">
        <v>0.11</v>
      </c>
      <c r="E106" s="25">
        <v>0.26</v>
      </c>
      <c r="F106" s="25">
        <v>0.06</v>
      </c>
      <c r="G106" s="25">
        <v>0.07</v>
      </c>
      <c r="H106" s="25">
        <v>0.13</v>
      </c>
      <c r="I106" s="25">
        <v>0.12</v>
      </c>
      <c r="J106" s="25">
        <v>0.24</v>
      </c>
      <c r="K106" s="25">
        <v>0.28</v>
      </c>
      <c r="L106" s="25">
        <v>0.31</v>
      </c>
      <c r="M106" s="25">
        <v>0.23</v>
      </c>
      <c r="N106" s="25">
        <v>0.26</v>
      </c>
      <c r="O106" s="25">
        <v>0.3</v>
      </c>
      <c r="P106" s="25">
        <v>0.36</v>
      </c>
      <c r="Q106" s="25">
        <v>0.18</v>
      </c>
      <c r="R106" s="25">
        <v>0.26</v>
      </c>
      <c r="S106" s="25">
        <v>0.22</v>
      </c>
      <c r="T106" s="25">
        <v>0</v>
      </c>
      <c r="U106" s="25">
        <v>0.28</v>
      </c>
    </row>
  </sheetData>
  <autoFilter xmlns:etc="http://www.wps.cn/officeDocument/2017/etCustomData" ref="A2:U106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42"/>
  <sheetViews>
    <sheetView topLeftCell="A65" workbookViewId="0">
      <selection activeCell="I23" sqref="I23:I313"/>
    </sheetView>
  </sheetViews>
  <sheetFormatPr defaultColWidth="9.23076923076923" defaultRowHeight="16.8"/>
  <cols>
    <col min="1" max="1" width="79.6442307692308" customWidth="1"/>
    <col min="2" max="8" width="9.23076923076923" style="5" hidden="1" customWidth="1"/>
    <col min="9" max="14" width="9.23076923076923" style="5"/>
    <col min="15" max="19" width="9.69230769230769" style="5"/>
    <col min="20" max="20" width="10.7692307692308" style="5"/>
  </cols>
  <sheetData>
    <row r="1" spans="1:20">
      <c r="A1" s="6" t="s">
        <v>668</v>
      </c>
      <c r="B1" s="7" t="s">
        <v>401</v>
      </c>
      <c r="C1" s="7" t="s">
        <v>402</v>
      </c>
      <c r="D1" s="7" t="s">
        <v>403</v>
      </c>
      <c r="E1" s="7" t="s">
        <v>404</v>
      </c>
      <c r="F1" s="7" t="s">
        <v>405</v>
      </c>
      <c r="G1" s="7" t="s">
        <v>406</v>
      </c>
      <c r="H1" s="7" t="s">
        <v>407</v>
      </c>
      <c r="I1" s="7" t="s">
        <v>408</v>
      </c>
      <c r="J1" s="7" t="s">
        <v>409</v>
      </c>
      <c r="K1" s="7" t="s">
        <v>410</v>
      </c>
      <c r="L1" s="7" t="s">
        <v>411</v>
      </c>
      <c r="M1" s="7" t="s">
        <v>412</v>
      </c>
      <c r="N1" s="7" t="s">
        <v>413</v>
      </c>
      <c r="O1" s="7" t="s">
        <v>414</v>
      </c>
      <c r="P1" s="7" t="s">
        <v>415</v>
      </c>
      <c r="Q1" s="7" t="s">
        <v>416</v>
      </c>
      <c r="R1" s="7" t="s">
        <v>417</v>
      </c>
      <c r="S1" s="7" t="s">
        <v>418</v>
      </c>
      <c r="T1" s="7" t="s">
        <v>564</v>
      </c>
    </row>
    <row r="2" spans="1:20">
      <c r="A2" s="8" t="s">
        <v>564</v>
      </c>
      <c r="B2" s="9">
        <v>507.611848095215</v>
      </c>
      <c r="C2" s="9">
        <v>18.3549126910361</v>
      </c>
      <c r="D2" s="9">
        <v>7.20993162374756</v>
      </c>
      <c r="E2" s="9">
        <v>10.5209785047578</v>
      </c>
      <c r="F2" s="9">
        <v>50.1189555108201</v>
      </c>
      <c r="G2" s="9">
        <v>86.3594125065815</v>
      </c>
      <c r="H2" s="9">
        <v>115.535398640044</v>
      </c>
      <c r="I2" s="9">
        <v>156.770767886423</v>
      </c>
      <c r="J2" s="9">
        <v>195.85327781432</v>
      </c>
      <c r="K2" s="9">
        <v>251.968911237587</v>
      </c>
      <c r="L2" s="9">
        <v>322.959921804551</v>
      </c>
      <c r="M2" s="9">
        <v>464.371346957415</v>
      </c>
      <c r="N2" s="9">
        <v>703.203886081788</v>
      </c>
      <c r="O2" s="9">
        <v>1053.55975865009</v>
      </c>
      <c r="P2" s="9">
        <v>1488.63270367581</v>
      </c>
      <c r="Q2" s="9">
        <v>2155.04710916746</v>
      </c>
      <c r="R2" s="9">
        <v>3389.54830581861</v>
      </c>
      <c r="S2" s="9">
        <v>5797.94518585582</v>
      </c>
      <c r="T2" s="9">
        <v>16775.572612522</v>
      </c>
    </row>
    <row r="3" spans="1:20">
      <c r="A3" t="s">
        <v>669</v>
      </c>
      <c r="E3" s="5">
        <v>0.0863948964806751</v>
      </c>
      <c r="F3" s="5">
        <v>2.08828981295084</v>
      </c>
      <c r="G3" s="5">
        <v>8.20221856945606</v>
      </c>
      <c r="H3" s="5">
        <v>16.8813662779608</v>
      </c>
      <c r="I3" s="5">
        <v>25.4759405608431</v>
      </c>
      <c r="J3" s="5">
        <v>29.3069015531592</v>
      </c>
      <c r="K3" s="5">
        <v>29.3318663287585</v>
      </c>
      <c r="L3" s="5">
        <v>24.7262326657755</v>
      </c>
      <c r="M3" s="5">
        <v>22.2907145414533</v>
      </c>
      <c r="N3" s="5">
        <v>21.6390584665619</v>
      </c>
      <c r="O3" s="5">
        <v>16.288473812831</v>
      </c>
      <c r="P3" s="5">
        <v>10.1406066651879</v>
      </c>
      <c r="Q3" s="5">
        <v>3.75936074387965</v>
      </c>
      <c r="R3" s="5">
        <v>2.03733647410998</v>
      </c>
      <c r="S3" s="5">
        <v>1.47550095406178</v>
      </c>
      <c r="T3" s="5">
        <v>213.73026232347</v>
      </c>
    </row>
    <row r="4" spans="1:20">
      <c r="A4" t="s">
        <v>670</v>
      </c>
      <c r="B4" s="5">
        <v>0.356295773729162</v>
      </c>
      <c r="C4" s="5">
        <v>0.356602042751068</v>
      </c>
      <c r="D4" s="5">
        <v>0.0496210022281319</v>
      </c>
      <c r="E4" s="5">
        <v>0.211187524730539</v>
      </c>
      <c r="F4" s="5">
        <v>3.85948572805665</v>
      </c>
      <c r="G4" s="5">
        <v>9.22921519302127</v>
      </c>
      <c r="H4" s="5">
        <v>16.3499915525044</v>
      </c>
      <c r="I4" s="5">
        <v>22.4067549968637</v>
      </c>
      <c r="J4" s="5">
        <v>23.144276863312</v>
      </c>
      <c r="K4" s="5">
        <v>22.870539176731</v>
      </c>
      <c r="L4" s="5">
        <v>20.03329462921</v>
      </c>
      <c r="M4" s="5">
        <v>19.5871976335183</v>
      </c>
      <c r="N4" s="5">
        <v>21.0567110756699</v>
      </c>
      <c r="O4" s="5">
        <v>18.2604098219544</v>
      </c>
      <c r="P4" s="5">
        <v>11.4512618005958</v>
      </c>
      <c r="Q4" s="5">
        <v>4.97600317640234</v>
      </c>
      <c r="R4" s="5">
        <v>1.7475429239133</v>
      </c>
      <c r="S4" s="5">
        <v>0.802214110946211</v>
      </c>
      <c r="T4" s="5">
        <v>196.748605026138</v>
      </c>
    </row>
    <row r="5" spans="1:20">
      <c r="A5" t="s">
        <v>671</v>
      </c>
      <c r="B5" s="5">
        <v>0.383703140939097</v>
      </c>
      <c r="C5" s="5">
        <v>0.376787064038864</v>
      </c>
      <c r="D5" s="5">
        <v>0.431702719384747</v>
      </c>
      <c r="E5" s="5">
        <v>1.25272599896979</v>
      </c>
      <c r="F5" s="5">
        <v>10.6226455778085</v>
      </c>
      <c r="G5" s="5">
        <v>12.1451520349296</v>
      </c>
      <c r="H5" s="5">
        <v>10.3141196710382</v>
      </c>
      <c r="I5" s="5">
        <v>10.0917541951346</v>
      </c>
      <c r="J5" s="5">
        <v>7.93099139969513</v>
      </c>
      <c r="K5" s="5">
        <v>6.91371144343535</v>
      </c>
      <c r="L5" s="5">
        <v>5.0007544024048</v>
      </c>
      <c r="M5" s="5">
        <v>3.37576887609772</v>
      </c>
      <c r="N5" s="5">
        <v>2.6302690488622</v>
      </c>
      <c r="O5" s="5">
        <v>1.78839065266564</v>
      </c>
      <c r="P5" s="5">
        <v>1.25843779933588</v>
      </c>
      <c r="Q5" s="5">
        <v>0.965589232160868</v>
      </c>
      <c r="R5" s="5">
        <v>0.667403327725682</v>
      </c>
      <c r="S5" s="5">
        <v>0.630311087172023</v>
      </c>
      <c r="T5" s="5">
        <v>76.7802176717987</v>
      </c>
    </row>
    <row r="6" spans="1:20">
      <c r="A6" t="s">
        <v>672</v>
      </c>
      <c r="E6" s="5">
        <v>1.16153138601797</v>
      </c>
      <c r="F6" s="5">
        <v>2.99427237822235</v>
      </c>
      <c r="G6" s="5">
        <v>4.07130804341922</v>
      </c>
      <c r="H6" s="5">
        <v>5.35916389776532</v>
      </c>
      <c r="I6" s="5">
        <v>6.34241670561954</v>
      </c>
      <c r="J6" s="5">
        <v>6.70912997957403</v>
      </c>
      <c r="K6" s="5">
        <v>6.14145947123405</v>
      </c>
      <c r="L6" s="5">
        <v>5.52555607531106</v>
      </c>
      <c r="M6" s="5">
        <v>4.56550976939291</v>
      </c>
      <c r="N6" s="5">
        <v>4.0424614717753</v>
      </c>
      <c r="O6" s="5">
        <v>3.42617998721207</v>
      </c>
      <c r="P6" s="5">
        <v>2.32889318881246</v>
      </c>
      <c r="Q6" s="5">
        <v>1.69943704860313</v>
      </c>
      <c r="R6" s="5">
        <v>1.44018612825016</v>
      </c>
      <c r="S6" s="5">
        <v>1.54712721396769</v>
      </c>
      <c r="T6" s="5">
        <v>57.3546327451773</v>
      </c>
    </row>
    <row r="7" spans="1:20">
      <c r="A7" t="s">
        <v>673</v>
      </c>
      <c r="E7" s="5">
        <v>0.604764275364726</v>
      </c>
      <c r="F7" s="5">
        <v>3.053161244965</v>
      </c>
      <c r="G7" s="5">
        <v>6.50125541167618</v>
      </c>
      <c r="H7" s="5">
        <v>6.58541326420315</v>
      </c>
      <c r="I7" s="5">
        <v>5.883314155883</v>
      </c>
      <c r="J7" s="5">
        <v>5.72719771104035</v>
      </c>
      <c r="K7" s="5">
        <v>5.95867793935208</v>
      </c>
      <c r="L7" s="5">
        <v>6.13109646712597</v>
      </c>
      <c r="M7" s="5">
        <v>6.63546546992275</v>
      </c>
      <c r="N7" s="5">
        <v>6.73096525972669</v>
      </c>
      <c r="O7" s="5">
        <v>6.42408747602262</v>
      </c>
      <c r="P7" s="5">
        <v>6.3026324638938</v>
      </c>
      <c r="Q7" s="5">
        <v>7.15179757953816</v>
      </c>
      <c r="R7" s="5">
        <v>8.88700220603145</v>
      </c>
      <c r="S7" s="5">
        <v>10.3858076863572</v>
      </c>
      <c r="T7" s="5">
        <v>92.9626386111031</v>
      </c>
    </row>
    <row r="8" spans="1:20">
      <c r="A8" t="s">
        <v>674</v>
      </c>
      <c r="B8" s="5">
        <v>0.931850485137807</v>
      </c>
      <c r="C8" s="5">
        <v>0.659377362068012</v>
      </c>
      <c r="D8" s="5">
        <v>0.411854318493494</v>
      </c>
      <c r="E8" s="5">
        <v>0.681559738903104</v>
      </c>
      <c r="F8" s="5">
        <v>5.5627329507671</v>
      </c>
      <c r="G8" s="5">
        <v>7.2944269111261</v>
      </c>
      <c r="H8" s="5">
        <v>6.06312186738704</v>
      </c>
      <c r="I8" s="5">
        <v>5.09263754244786</v>
      </c>
      <c r="J8" s="5">
        <v>4.80302616418512</v>
      </c>
      <c r="K8" s="5">
        <v>4.38675676516718</v>
      </c>
      <c r="L8" s="5">
        <v>4.24887508256796</v>
      </c>
      <c r="M8" s="5">
        <v>3.80620358952566</v>
      </c>
      <c r="N8" s="5">
        <v>4.0133441022307</v>
      </c>
      <c r="O8" s="5">
        <v>4.11800479232219</v>
      </c>
      <c r="P8" s="5">
        <v>3.94763060704533</v>
      </c>
      <c r="Q8" s="5">
        <v>4.29365345234199</v>
      </c>
      <c r="R8" s="5">
        <v>5.08455956254171</v>
      </c>
      <c r="S8" s="5">
        <v>7.82158758172556</v>
      </c>
      <c r="T8" s="5">
        <v>73.2212028759839</v>
      </c>
    </row>
    <row r="9" spans="1:20">
      <c r="A9" t="s">
        <v>675</v>
      </c>
      <c r="G9" s="5">
        <v>0.0687720953280273</v>
      </c>
      <c r="H9" s="5">
        <v>0.731207955542556</v>
      </c>
      <c r="I9" s="5">
        <v>2.79287384423059</v>
      </c>
      <c r="J9" s="5">
        <v>5.02073965358851</v>
      </c>
      <c r="K9" s="5">
        <v>7.2153009710406</v>
      </c>
      <c r="L9" s="5">
        <v>10.1882170922859</v>
      </c>
      <c r="M9" s="5">
        <v>13.4547120534439</v>
      </c>
      <c r="N9" s="5">
        <v>16.98513223435</v>
      </c>
      <c r="O9" s="5">
        <v>18.2321720748071</v>
      </c>
      <c r="P9" s="5">
        <v>16.3126957889016</v>
      </c>
      <c r="Q9" s="5">
        <v>12.3852912178501</v>
      </c>
      <c r="R9" s="5">
        <v>9.28217522902692</v>
      </c>
      <c r="S9" s="5">
        <v>6.67556742323098</v>
      </c>
      <c r="T9" s="5">
        <v>119.344857633627</v>
      </c>
    </row>
    <row r="10" spans="1:20">
      <c r="A10" t="s">
        <v>676</v>
      </c>
      <c r="B10" s="5">
        <v>30.4221776030284</v>
      </c>
      <c r="C10" s="5">
        <v>1.42640817100427</v>
      </c>
      <c r="D10" s="5">
        <v>0.21833240980378</v>
      </c>
      <c r="E10" s="5">
        <v>0.177589509432499</v>
      </c>
      <c r="F10" s="5">
        <v>0.688546749606351</v>
      </c>
      <c r="G10" s="5">
        <v>1.33876345571893</v>
      </c>
      <c r="H10" s="5">
        <v>2.08008225862417</v>
      </c>
      <c r="I10" s="5">
        <v>2.7631171974884</v>
      </c>
      <c r="J10" s="5">
        <v>2.92358114341703</v>
      </c>
      <c r="K10" s="5">
        <v>3.24437219090489</v>
      </c>
      <c r="L10" s="5">
        <v>3.33047215498201</v>
      </c>
      <c r="M10" s="5">
        <v>3.70464034253704</v>
      </c>
      <c r="N10" s="5">
        <v>4.2268714788911</v>
      </c>
      <c r="O10" s="5">
        <v>4.78159185028497</v>
      </c>
      <c r="P10" s="5">
        <v>4.90320785716345</v>
      </c>
      <c r="Q10" s="5">
        <v>5.69697646974912</v>
      </c>
      <c r="R10" s="5">
        <v>6.29642349972781</v>
      </c>
      <c r="S10" s="5">
        <v>9.2541127798438</v>
      </c>
      <c r="T10" s="5">
        <v>87.477267122208</v>
      </c>
    </row>
    <row r="11" spans="1:20">
      <c r="A11" t="s">
        <v>677</v>
      </c>
      <c r="B11" s="5"/>
      <c r="C11" s="5"/>
      <c r="D11" s="5"/>
      <c r="E11" s="5"/>
      <c r="F11" s="5">
        <v>0.154017036096157</v>
      </c>
      <c r="G11" s="5">
        <v>0.761077854963502</v>
      </c>
      <c r="H11" s="5">
        <v>1.71674911301296</v>
      </c>
      <c r="I11" s="5">
        <v>2.74611339935001</v>
      </c>
      <c r="J11" s="5">
        <v>4.58975580721853</v>
      </c>
      <c r="K11" s="5">
        <v>5.55655856921176</v>
      </c>
      <c r="L11" s="5">
        <v>5.98980370903582</v>
      </c>
      <c r="M11" s="5">
        <v>6.37913917990387</v>
      </c>
      <c r="N11" s="5">
        <v>7.37640028463199</v>
      </c>
      <c r="O11" s="5">
        <v>6.36761198172792</v>
      </c>
      <c r="P11" s="5">
        <v>3.84319593490127</v>
      </c>
      <c r="Q11" s="5">
        <v>1.64150169467348</v>
      </c>
      <c r="R11" s="5">
        <v>0.570805477660123</v>
      </c>
      <c r="S11" s="5">
        <v>0.286505039623647</v>
      </c>
      <c r="T11" s="5">
        <v>47.979235082011</v>
      </c>
    </row>
    <row r="12" spans="1:20">
      <c r="A12" t="s">
        <v>678</v>
      </c>
      <c r="E12" s="5">
        <v>0.196788375317093</v>
      </c>
      <c r="F12" s="5">
        <v>1.18683716050568</v>
      </c>
      <c r="G12" s="5">
        <v>2.67294210508266</v>
      </c>
      <c r="H12" s="5">
        <v>2.51154036903748</v>
      </c>
      <c r="I12" s="5">
        <v>2.32952034495945</v>
      </c>
      <c r="J12" s="5">
        <v>2.42150717805818</v>
      </c>
      <c r="K12" s="5">
        <v>2.48582883359473</v>
      </c>
      <c r="L12" s="5">
        <v>2.38179220780532</v>
      </c>
      <c r="M12" s="5">
        <v>2.48588137867368</v>
      </c>
      <c r="N12" s="5">
        <v>2.8437964255226</v>
      </c>
      <c r="O12" s="5">
        <v>2.69199856138091</v>
      </c>
      <c r="P12" s="5">
        <v>2.5899798691726</v>
      </c>
      <c r="Q12" s="5">
        <v>3.02551292743739</v>
      </c>
      <c r="R12" s="5">
        <v>4.00441996635409</v>
      </c>
      <c r="S12" s="5">
        <v>4.75598365775254</v>
      </c>
      <c r="T12" s="5">
        <v>38.5843293606544</v>
      </c>
    </row>
    <row r="13" spans="1:20">
      <c r="A13" t="s">
        <v>679</v>
      </c>
      <c r="C13" s="5">
        <v>0.464255489619315</v>
      </c>
      <c r="D13" s="5">
        <v>0.178635608021275</v>
      </c>
      <c r="E13" s="5">
        <v>0.215987241201688</v>
      </c>
      <c r="F13" s="5">
        <v>0.665897185474563</v>
      </c>
      <c r="G13" s="5">
        <v>1.32959384300853</v>
      </c>
      <c r="H13" s="5">
        <v>1.67133246981156</v>
      </c>
      <c r="I13" s="5">
        <v>1.97669153358786</v>
      </c>
      <c r="J13" s="5">
        <v>2.04828405336664</v>
      </c>
      <c r="K13" s="5">
        <v>2.10655715493966</v>
      </c>
      <c r="L13" s="5">
        <v>1.92259074401234</v>
      </c>
      <c r="M13" s="5">
        <v>1.85715651636322</v>
      </c>
      <c r="N13" s="5">
        <v>2.2857135092511</v>
      </c>
      <c r="O13" s="5">
        <v>2.10371216247774</v>
      </c>
      <c r="P13" s="5">
        <v>2.07824997566672</v>
      </c>
      <c r="Q13" s="5">
        <v>2.05348643372878</v>
      </c>
      <c r="R13" s="5">
        <v>1.76510616937976</v>
      </c>
      <c r="S13" s="5">
        <v>1.73335548972306</v>
      </c>
      <c r="T13" s="5">
        <v>26.4566055796338</v>
      </c>
    </row>
    <row r="14" spans="1:20">
      <c r="A14" t="s">
        <v>680</v>
      </c>
      <c r="B14" s="5">
        <v>0.328888406519226</v>
      </c>
      <c r="C14" s="5">
        <v>0.222035234165759</v>
      </c>
      <c r="D14" s="5">
        <v>0.228256610249407</v>
      </c>
      <c r="E14" s="5">
        <v>0.239985823557431</v>
      </c>
      <c r="F14" s="5">
        <v>1.29555506833827</v>
      </c>
      <c r="G14" s="5">
        <v>1.97605153909198</v>
      </c>
      <c r="H14" s="5">
        <v>1.63954081957058</v>
      </c>
      <c r="I14" s="5">
        <v>1.78114785499637</v>
      </c>
      <c r="J14" s="5">
        <v>1.37292792297243</v>
      </c>
      <c r="K14" s="5">
        <v>1.52622579121441</v>
      </c>
      <c r="L14" s="5">
        <v>1.35237354171997</v>
      </c>
      <c r="M14" s="5">
        <v>1.38319469708302</v>
      </c>
      <c r="N14" s="5">
        <v>1.4510155823059</v>
      </c>
      <c r="O14" s="5">
        <v>1.54836980191315</v>
      </c>
      <c r="P14" s="5">
        <v>1.74928075841294</v>
      </c>
      <c r="Q14" s="5">
        <v>1.91830394122626</v>
      </c>
      <c r="R14" s="5">
        <v>2.65205006543626</v>
      </c>
      <c r="S14" s="5">
        <v>3.1658806878413</v>
      </c>
      <c r="T14" s="5">
        <v>25.8310841466147</v>
      </c>
    </row>
    <row r="15" spans="1:20">
      <c r="A15" t="s">
        <v>681</v>
      </c>
      <c r="G15" s="5">
        <v>0.192561866918476</v>
      </c>
      <c r="H15" s="5">
        <v>0.631291340499474</v>
      </c>
      <c r="I15" s="5">
        <v>1.5643494287319</v>
      </c>
      <c r="J15" s="5">
        <v>3.10130644088919</v>
      </c>
      <c r="K15" s="5">
        <v>5.30523396287405</v>
      </c>
      <c r="L15" s="5">
        <v>7.97294849222966</v>
      </c>
      <c r="M15" s="5">
        <v>11.4234471136717</v>
      </c>
      <c r="N15" s="5">
        <v>15.7039679743876</v>
      </c>
      <c r="O15" s="5">
        <v>21.7054149739314</v>
      </c>
      <c r="P15" s="5">
        <v>25.8475813556539</v>
      </c>
      <c r="Q15" s="5">
        <v>29.2251674267356</v>
      </c>
      <c r="R15" s="5">
        <v>37.4184944663043</v>
      </c>
      <c r="S15" s="5">
        <v>55.4243999151945</v>
      </c>
      <c r="T15" s="5">
        <v>215.516164758022</v>
      </c>
    </row>
    <row r="16" spans="1:20">
      <c r="A16" t="s">
        <v>682</v>
      </c>
      <c r="G16" s="5">
        <v>0.10086573981444</v>
      </c>
      <c r="H16" s="5">
        <v>0.585874697298073</v>
      </c>
      <c r="I16" s="5">
        <v>1.3773076492096</v>
      </c>
      <c r="J16" s="5">
        <v>2.17713489403396</v>
      </c>
      <c r="K16" s="5">
        <v>2.85596143565571</v>
      </c>
      <c r="L16" s="5">
        <v>3.07311748846067</v>
      </c>
      <c r="M16" s="5">
        <v>3.71914937782113</v>
      </c>
      <c r="N16" s="5">
        <v>4.5423096489576</v>
      </c>
      <c r="O16" s="5">
        <v>5.08279448652339</v>
      </c>
      <c r="P16" s="5">
        <v>4.20871728740547</v>
      </c>
      <c r="Q16" s="5">
        <v>2.69077532695495</v>
      </c>
      <c r="R16" s="5">
        <v>1.73876130118007</v>
      </c>
      <c r="S16" s="5">
        <v>1.2176464184005</v>
      </c>
      <c r="T16" s="5">
        <v>33.3704157517156</v>
      </c>
    </row>
    <row r="17" spans="1:20">
      <c r="A17" t="s">
        <v>683</v>
      </c>
      <c r="G17" s="5">
        <v>0.0687720953280273</v>
      </c>
      <c r="H17" s="5">
        <v>0.581333032977933</v>
      </c>
      <c r="I17" s="5">
        <v>1.33054720432903</v>
      </c>
      <c r="J17" s="5">
        <v>2.16380549672355</v>
      </c>
      <c r="K17" s="5">
        <v>2.82397466757637</v>
      </c>
      <c r="L17" s="5">
        <v>3.22954875634619</v>
      </c>
      <c r="M17" s="5">
        <v>3.9948210482188</v>
      </c>
      <c r="N17" s="5">
        <v>4.8140717647072</v>
      </c>
      <c r="O17" s="5">
        <v>5.76520670925107</v>
      </c>
      <c r="P17" s="5">
        <v>5.05985986537953</v>
      </c>
      <c r="Q17" s="5">
        <v>3.03838745053286</v>
      </c>
      <c r="R17" s="5">
        <v>1.79145103757946</v>
      </c>
      <c r="S17" s="5">
        <v>1.34657368623114</v>
      </c>
      <c r="T17" s="5">
        <v>36.0083528151812</v>
      </c>
    </row>
    <row r="18" spans="1:20">
      <c r="A18" t="s">
        <v>684</v>
      </c>
      <c r="G18" s="5">
        <v>0.0596024826176237</v>
      </c>
      <c r="H18" s="5">
        <v>0.326999831050087</v>
      </c>
      <c r="I18" s="5">
        <v>1.27953580991386</v>
      </c>
      <c r="J18" s="5">
        <v>2.91025174610662</v>
      </c>
      <c r="K18" s="5">
        <v>5.31437303946815</v>
      </c>
      <c r="L18" s="5">
        <v>7.88716360338921</v>
      </c>
      <c r="M18" s="5">
        <v>11.4234471136717</v>
      </c>
      <c r="N18" s="5">
        <v>15.9999945647577</v>
      </c>
      <c r="O18" s="5">
        <v>20.7641567356863</v>
      </c>
      <c r="P18" s="5">
        <v>26.6256196631272</v>
      </c>
      <c r="Q18" s="5">
        <v>34.6710906961229</v>
      </c>
      <c r="R18" s="5">
        <v>47.7017746869198</v>
      </c>
      <c r="S18" s="5">
        <v>68.4747044700516</v>
      </c>
      <c r="T18" s="5">
        <v>243.438714442883</v>
      </c>
    </row>
    <row r="19" spans="1:20">
      <c r="A19" t="s">
        <v>685</v>
      </c>
      <c r="E19" s="5">
        <v>0.0575965976537834</v>
      </c>
      <c r="F19" s="5">
        <v>0.575298928947412</v>
      </c>
      <c r="G19" s="5">
        <v>1.17371042693167</v>
      </c>
      <c r="H19" s="5">
        <v>1.19899938051699</v>
      </c>
      <c r="I19" s="5">
        <v>1.17326207154892</v>
      </c>
      <c r="J19" s="5">
        <v>0.919728414418427</v>
      </c>
      <c r="K19" s="5">
        <v>0.822516893468845</v>
      </c>
      <c r="L19" s="5">
        <v>0.827571868813711</v>
      </c>
      <c r="M19" s="5">
        <v>0.797996940624819</v>
      </c>
      <c r="N19" s="5">
        <v>0.9608731949718</v>
      </c>
      <c r="O19" s="5">
        <v>0.734181425831158</v>
      </c>
      <c r="P19" s="5">
        <v>0.663160168114758</v>
      </c>
      <c r="Q19" s="5">
        <v>0.457045569889477</v>
      </c>
      <c r="R19" s="5">
        <v>0.52689736399396</v>
      </c>
      <c r="S19" s="5">
        <v>0.2435292836801</v>
      </c>
      <c r="T19" s="5">
        <v>11.1323685294058</v>
      </c>
    </row>
    <row r="20" spans="1:20">
      <c r="A20" t="s">
        <v>686</v>
      </c>
      <c r="B20" s="5"/>
      <c r="C20" s="5"/>
      <c r="D20" s="5"/>
      <c r="E20" s="5"/>
      <c r="F20" s="5"/>
      <c r="G20" s="5">
        <v>0.0871113207488346</v>
      </c>
      <c r="H20" s="5">
        <v>0.345166488330648</v>
      </c>
      <c r="I20" s="5">
        <v>1.11799972759915</v>
      </c>
      <c r="J20" s="5">
        <v>2.64366379989838</v>
      </c>
      <c r="K20" s="5">
        <v>5.69821425642028</v>
      </c>
      <c r="L20" s="5">
        <v>10.5616336672384</v>
      </c>
      <c r="M20" s="5">
        <v>19.098726778954</v>
      </c>
      <c r="N20" s="5">
        <v>30.7819125035663</v>
      </c>
      <c r="O20" s="5">
        <v>45.6039616429738</v>
      </c>
      <c r="P20" s="5">
        <v>58.2588818555618</v>
      </c>
      <c r="Q20" s="5">
        <v>68.2349724060346</v>
      </c>
      <c r="R20" s="5">
        <v>84.0928192934359</v>
      </c>
      <c r="S20" s="5">
        <v>116.92270667041</v>
      </c>
      <c r="T20" s="5">
        <v>443.447770411172</v>
      </c>
    </row>
    <row r="21" spans="1:20">
      <c r="A21" t="s">
        <v>687</v>
      </c>
      <c r="B21" s="5">
        <v>2.65851461936374</v>
      </c>
      <c r="C21" s="5">
        <v>0.322960340604741</v>
      </c>
      <c r="D21" s="5">
        <v>0.158787207130022</v>
      </c>
      <c r="E21" s="5">
        <v>0.124792628249864</v>
      </c>
      <c r="F21" s="5">
        <v>0.203846077186091</v>
      </c>
      <c r="G21" s="5">
        <v>0.325521251219329</v>
      </c>
      <c r="H21" s="5">
        <v>0.581333032977933</v>
      </c>
      <c r="I21" s="5">
        <v>0.998973140630423</v>
      </c>
      <c r="J21" s="5">
        <v>1.58619827993903</v>
      </c>
      <c r="K21" s="5">
        <v>2.45384206551539</v>
      </c>
      <c r="L21" s="5">
        <v>3.9461048866605</v>
      </c>
      <c r="M21" s="5">
        <v>6.71768333653258</v>
      </c>
      <c r="N21" s="5">
        <v>10.1862264456859</v>
      </c>
      <c r="O21" s="5">
        <v>15.51664205747</v>
      </c>
      <c r="P21" s="5">
        <v>23.4455838963407</v>
      </c>
      <c r="Q21" s="5">
        <v>34.2784177417108</v>
      </c>
      <c r="R21" s="5">
        <v>53.0058748177923</v>
      </c>
      <c r="S21" s="5">
        <v>77.2131081785729</v>
      </c>
      <c r="T21" s="5">
        <v>233.724410003582</v>
      </c>
    </row>
    <row r="22" spans="1:20">
      <c r="A22" t="s">
        <v>688</v>
      </c>
      <c r="E22" s="5">
        <v>0.100794045894121</v>
      </c>
      <c r="F22" s="5">
        <v>0.113247820658939</v>
      </c>
      <c r="G22" s="5">
        <v>0.417217378323366</v>
      </c>
      <c r="H22" s="5">
        <v>0.694874640981436</v>
      </c>
      <c r="I22" s="5">
        <v>0.998973140630423</v>
      </c>
      <c r="J22" s="5">
        <v>1.12855563894821</v>
      </c>
      <c r="K22" s="5">
        <v>1.38000056570884</v>
      </c>
      <c r="L22" s="5">
        <v>1.42806609069683</v>
      </c>
      <c r="M22" s="5">
        <v>1.69272078314356</v>
      </c>
      <c r="N22" s="5">
        <v>1.9557166544123</v>
      </c>
      <c r="O22" s="5">
        <v>2.14606878319877</v>
      </c>
      <c r="P22" s="5">
        <v>1.89548929941462</v>
      </c>
      <c r="Q22" s="5">
        <v>1.93117846432174</v>
      </c>
      <c r="R22" s="5">
        <v>2.38860138343928</v>
      </c>
      <c r="S22" s="5">
        <v>2.23473930906445</v>
      </c>
      <c r="T22" s="5">
        <v>20.5062439988369</v>
      </c>
    </row>
    <row r="23" spans="1:20">
      <c r="A23" t="s">
        <v>689</v>
      </c>
      <c r="B23" s="5"/>
      <c r="C23" s="5">
        <v>0.242220255453555</v>
      </c>
      <c r="D23" s="5">
        <v>0.119090405347516</v>
      </c>
      <c r="E23" s="5">
        <v>0.177589509432499</v>
      </c>
      <c r="F23" s="5">
        <v>0.339743461976818</v>
      </c>
      <c r="G23" s="5">
        <v>0.609779245241842</v>
      </c>
      <c r="H23" s="5">
        <v>0.703957969621716</v>
      </c>
      <c r="I23" s="5">
        <v>0.977718392957435</v>
      </c>
      <c r="J23" s="5">
        <v>0.924171546855231</v>
      </c>
      <c r="K23" s="5">
        <v>1.11496734447999</v>
      </c>
      <c r="L23" s="5">
        <v>0.923449097517739</v>
      </c>
      <c r="M23" s="5">
        <v>0.996287089507351</v>
      </c>
      <c r="N23" s="5">
        <v>1.0627839883779</v>
      </c>
      <c r="O23" s="5">
        <v>1.18127908899757</v>
      </c>
      <c r="P23" s="5">
        <v>1.20099872965665</v>
      </c>
      <c r="Q23" s="5">
        <v>1.01708732454278</v>
      </c>
      <c r="R23" s="5">
        <v>0.939633632455894</v>
      </c>
      <c r="S23" s="5">
        <v>1.18899591443814</v>
      </c>
      <c r="T23" s="5">
        <v>13.7197529968606</v>
      </c>
    </row>
    <row r="24" spans="1:20">
      <c r="A24" t="s">
        <v>690</v>
      </c>
      <c r="D24" s="5">
        <v>0.0843557037878242</v>
      </c>
      <c r="E24" s="5">
        <v>0.062396314124932</v>
      </c>
      <c r="F24" s="5">
        <v>0.339743461976818</v>
      </c>
      <c r="G24" s="5">
        <v>0.683136146925071</v>
      </c>
      <c r="H24" s="5">
        <v>0.758457941463397</v>
      </c>
      <c r="I24" s="5">
        <v>0.913954149938472</v>
      </c>
      <c r="J24" s="5">
        <v>0.901955884671211</v>
      </c>
      <c r="K24" s="5">
        <v>0.859073199845239</v>
      </c>
      <c r="L24" s="5">
        <v>0.640863581337447</v>
      </c>
      <c r="M24" s="5">
        <v>0.609379481931681</v>
      </c>
      <c r="N24" s="5">
        <v>0.596906075664299</v>
      </c>
      <c r="O24" s="5">
        <v>0.503573157461114</v>
      </c>
      <c r="P24" s="5">
        <v>0.339412684468183</v>
      </c>
      <c r="Q24" s="5">
        <v>0.431296523698521</v>
      </c>
      <c r="R24" s="5">
        <v>0.237103813797282</v>
      </c>
      <c r="S24" s="5">
        <v>0.2435292836801</v>
      </c>
      <c r="T24" s="5">
        <v>8.20513740477159</v>
      </c>
    </row>
    <row r="25" spans="1:20">
      <c r="A25" t="s">
        <v>691</v>
      </c>
      <c r="G25" s="5">
        <v>0.0733569016832291</v>
      </c>
      <c r="H25" s="5">
        <v>0.272499859208406</v>
      </c>
      <c r="I25" s="5">
        <v>0.888448452730887</v>
      </c>
      <c r="J25" s="5">
        <v>1.90610381538891</v>
      </c>
      <c r="K25" s="5">
        <v>3.16212050155801</v>
      </c>
      <c r="L25" s="5">
        <v>4.81909228486033</v>
      </c>
      <c r="M25" s="5">
        <v>8.06218727285803</v>
      </c>
      <c r="N25" s="5">
        <v>11.0500417421757</v>
      </c>
      <c r="O25" s="5">
        <v>15.1589639269369</v>
      </c>
      <c r="P25" s="5">
        <v>18.1611894858514</v>
      </c>
      <c r="Q25" s="5">
        <v>21.9446246162427</v>
      </c>
      <c r="R25" s="5">
        <v>25.5193956627741</v>
      </c>
      <c r="S25" s="5">
        <v>28.7078049702894</v>
      </c>
      <c r="T25" s="5">
        <v>139.725829492558</v>
      </c>
    </row>
    <row r="26" spans="1:20">
      <c r="A26" t="s">
        <v>692</v>
      </c>
      <c r="E26" s="5">
        <v>0.0815951800095265</v>
      </c>
      <c r="F26" s="5">
        <v>0.48470067242026</v>
      </c>
      <c r="G26" s="5">
        <v>0.70606017870108</v>
      </c>
      <c r="H26" s="5">
        <v>0.790249591704378</v>
      </c>
      <c r="I26" s="5">
        <v>0.888448452730887</v>
      </c>
      <c r="J26" s="5">
        <v>0.893069619797603</v>
      </c>
      <c r="K26" s="5">
        <v>1.10582826788589</v>
      </c>
      <c r="L26" s="5">
        <v>1.31705035219743</v>
      </c>
      <c r="M26" s="5">
        <v>1.49443063426103</v>
      </c>
      <c r="N26" s="5">
        <v>1.4849858467746</v>
      </c>
      <c r="O26" s="5">
        <v>1.46365656047109</v>
      </c>
      <c r="P26" s="5">
        <v>1.14878139358462</v>
      </c>
      <c r="Q26" s="5">
        <v>1.01065006299504</v>
      </c>
      <c r="R26" s="5">
        <v>1.00988661432176</v>
      </c>
      <c r="S26" s="5">
        <v>1.00276763868276</v>
      </c>
      <c r="T26" s="5">
        <v>14.882161066538</v>
      </c>
    </row>
    <row r="27" spans="1:20">
      <c r="A27" t="s">
        <v>693</v>
      </c>
      <c r="F27" s="5">
        <v>0.0588888667426484</v>
      </c>
      <c r="G27" s="5">
        <v>0.224655511404889</v>
      </c>
      <c r="H27" s="5">
        <v>0.45870809633415</v>
      </c>
      <c r="I27" s="5">
        <v>0.875695604127094</v>
      </c>
      <c r="J27" s="5">
        <v>1.31072406885718</v>
      </c>
      <c r="K27" s="5">
        <v>1.72728547628458</v>
      </c>
      <c r="L27" s="5">
        <v>2.07902201189786</v>
      </c>
      <c r="M27" s="5">
        <v>2.61646269623047</v>
      </c>
      <c r="N27" s="5">
        <v>2.6496806285586</v>
      </c>
      <c r="O27" s="5">
        <v>2.77200551163174</v>
      </c>
      <c r="P27" s="5">
        <v>3.09648802907127</v>
      </c>
      <c r="Q27" s="5">
        <v>2.87101865029165</v>
      </c>
      <c r="R27" s="5">
        <v>2.65205006543626</v>
      </c>
      <c r="S27" s="5">
        <v>2.42096758481982</v>
      </c>
      <c r="T27" s="5">
        <v>25.8136528016882</v>
      </c>
    </row>
    <row r="28" spans="1:20">
      <c r="A28" t="s">
        <v>694</v>
      </c>
      <c r="B28" s="5"/>
      <c r="G28" s="5">
        <v>0.123789771590449</v>
      </c>
      <c r="H28" s="5">
        <v>0.42691644609317</v>
      </c>
      <c r="I28" s="5">
        <v>0.803429462038936</v>
      </c>
      <c r="J28" s="5">
        <v>2.10160164260829</v>
      </c>
      <c r="K28" s="5">
        <v>4.76145890552521</v>
      </c>
      <c r="L28" s="5">
        <v>9.03769034783754</v>
      </c>
      <c r="M28" s="5">
        <v>16.5403002238599</v>
      </c>
      <c r="N28" s="5">
        <v>26.0843102170375</v>
      </c>
      <c r="O28" s="5">
        <v>39.7446291098982</v>
      </c>
      <c r="P28" s="5">
        <v>53.5332129410433</v>
      </c>
      <c r="Q28" s="5">
        <v>70.7970025020348</v>
      </c>
      <c r="R28" s="5">
        <v>99.0567044308643</v>
      </c>
      <c r="S28" s="5">
        <v>151.904972008458</v>
      </c>
      <c r="T28" s="5">
        <v>474.91601800889</v>
      </c>
    </row>
    <row r="29" spans="1:20">
      <c r="A29" t="s">
        <v>695</v>
      </c>
      <c r="C29" s="5">
        <v>0.242220255453555</v>
      </c>
      <c r="D29" s="5">
        <v>0.441626919830374</v>
      </c>
      <c r="E29" s="5">
        <v>0.335980152980403</v>
      </c>
      <c r="F29" s="5">
        <v>0.434871631330327</v>
      </c>
      <c r="G29" s="5">
        <v>0.522667924493008</v>
      </c>
      <c r="H29" s="5">
        <v>0.567708040017513</v>
      </c>
      <c r="I29" s="5">
        <v>0.77792376483135</v>
      </c>
      <c r="J29" s="5">
        <v>1.2263045525579</v>
      </c>
      <c r="K29" s="5">
        <v>1.94205377624589</v>
      </c>
      <c r="L29" s="5">
        <v>3.02770195907455</v>
      </c>
      <c r="M29" s="5">
        <v>4.47845555768838</v>
      </c>
      <c r="N29" s="5">
        <v>6.59023130692779</v>
      </c>
      <c r="O29" s="5">
        <v>9.29963139386132</v>
      </c>
      <c r="P29" s="5">
        <v>11.8481135547432</v>
      </c>
      <c r="Q29" s="5">
        <v>15.0567547601618</v>
      </c>
      <c r="R29" s="5">
        <v>18.2921201533236</v>
      </c>
      <c r="S29" s="5">
        <v>19.3963911825209</v>
      </c>
      <c r="T29" s="5">
        <v>94.4807568860419</v>
      </c>
    </row>
    <row r="30" spans="1:20">
      <c r="A30" t="s">
        <v>696</v>
      </c>
      <c r="G30" s="5">
        <v>0.077941708038431</v>
      </c>
      <c r="H30" s="5">
        <v>0.272499859208406</v>
      </c>
      <c r="I30" s="5">
        <v>0.765170916227558</v>
      </c>
      <c r="J30" s="5">
        <v>1.49289249876614</v>
      </c>
      <c r="K30" s="5">
        <v>3.01132573775539</v>
      </c>
      <c r="L30" s="5">
        <v>5.87374180060463</v>
      </c>
      <c r="M30" s="5">
        <v>9.19389202501687</v>
      </c>
      <c r="N30" s="5">
        <v>13.2435502478689</v>
      </c>
      <c r="O30" s="5">
        <v>17.7191863349635</v>
      </c>
      <c r="P30" s="5">
        <v>22.9442974700492</v>
      </c>
      <c r="Q30" s="5">
        <v>29.9332661969869</v>
      </c>
      <c r="R30" s="5">
        <v>40.4305910638031</v>
      </c>
      <c r="S30" s="5">
        <v>62.3578218740868</v>
      </c>
      <c r="T30" s="5">
        <v>207.316177733376</v>
      </c>
    </row>
    <row r="31" spans="1:20">
      <c r="A31" t="s">
        <v>697</v>
      </c>
      <c r="B31" s="5">
        <v>0.438517875358968</v>
      </c>
      <c r="C31" s="5">
        <v>0.437342127902253</v>
      </c>
      <c r="F31" s="5">
        <v>0.163076861748873</v>
      </c>
      <c r="G31" s="5">
        <v>0.284257994022513</v>
      </c>
      <c r="H31" s="5">
        <v>0.472333089294571</v>
      </c>
      <c r="I31" s="5">
        <v>0.735414269485375</v>
      </c>
      <c r="J31" s="5">
        <v>0.795320706187915</v>
      </c>
      <c r="K31" s="5">
        <v>0.827086431765895</v>
      </c>
      <c r="L31" s="5">
        <v>0.615632731678492</v>
      </c>
      <c r="M31" s="5">
        <v>0.638397552499856</v>
      </c>
      <c r="N31" s="5">
        <v>0.737640028463199</v>
      </c>
      <c r="O31" s="5">
        <v>0.64005560200665</v>
      </c>
      <c r="P31" s="5">
        <v>0.355077885289792</v>
      </c>
      <c r="Q31" s="5">
        <v>0.302551292743739</v>
      </c>
      <c r="R31" s="5">
        <v>0.0878162273323266</v>
      </c>
      <c r="S31" s="5"/>
      <c r="T31" s="5">
        <v>7.53052067578042</v>
      </c>
    </row>
    <row r="32" spans="1:20">
      <c r="A32" t="s">
        <v>698</v>
      </c>
      <c r="F32" s="5">
        <v>0.095128169353509</v>
      </c>
      <c r="G32" s="5">
        <v>0.20173147962888</v>
      </c>
      <c r="H32" s="5">
        <v>0.531374725456392</v>
      </c>
      <c r="I32" s="5">
        <v>0.72691237041618</v>
      </c>
      <c r="J32" s="5">
        <v>1.13744190382182</v>
      </c>
      <c r="K32" s="5">
        <v>1.0509938083213</v>
      </c>
      <c r="L32" s="5">
        <v>1.23126546335698</v>
      </c>
      <c r="M32" s="5">
        <v>1.11235937178005</v>
      </c>
      <c r="N32" s="5">
        <v>1.2763113650383</v>
      </c>
      <c r="O32" s="5">
        <v>0.922433073480172</v>
      </c>
      <c r="P32" s="5">
        <v>0.689268836150772</v>
      </c>
      <c r="Q32" s="5">
        <v>0.341174862030173</v>
      </c>
      <c r="R32" s="5">
        <v>0.158069209198188</v>
      </c>
      <c r="S32" s="5"/>
      <c r="T32" s="5">
        <v>9.47446463803272</v>
      </c>
    </row>
    <row r="33" spans="1:20">
      <c r="A33" t="s">
        <v>699</v>
      </c>
      <c r="F33" s="5">
        <v>0.344273374803175</v>
      </c>
      <c r="G33" s="5">
        <v>0.820680337581126</v>
      </c>
      <c r="H33" s="5">
        <v>0.835666234905779</v>
      </c>
      <c r="I33" s="5">
        <v>0.705657622743192</v>
      </c>
      <c r="J33" s="5">
        <v>0.684242395267815</v>
      </c>
      <c r="K33" s="5">
        <v>0.676291667963273</v>
      </c>
      <c r="L33" s="5">
        <v>0.640863581337447</v>
      </c>
      <c r="M33" s="5">
        <v>0.590034101552897</v>
      </c>
      <c r="N33" s="5">
        <v>0.645435024905299</v>
      </c>
      <c r="O33" s="5">
        <v>0.677705931536453</v>
      </c>
      <c r="P33" s="5">
        <v>0.527395094327485</v>
      </c>
      <c r="Q33" s="5">
        <v>0.302551292743739</v>
      </c>
      <c r="R33" s="5">
        <v>0.289793550196678</v>
      </c>
      <c r="S33" s="5">
        <v>0.214878779717735</v>
      </c>
      <c r="T33" s="5">
        <v>7.95546898958209</v>
      </c>
    </row>
    <row r="34" spans="1:20">
      <c r="A34" t="s">
        <v>700</v>
      </c>
      <c r="C34" s="5">
        <v>0.16148017030237</v>
      </c>
      <c r="D34" s="5">
        <v>0.277877612477538</v>
      </c>
      <c r="E34" s="5">
        <v>0.355179018864998</v>
      </c>
      <c r="F34" s="5">
        <v>0.557179277641981</v>
      </c>
      <c r="G34" s="5">
        <v>0.77941708038431</v>
      </c>
      <c r="H34" s="5">
        <v>0.822041241945358</v>
      </c>
      <c r="I34" s="5">
        <v>0.6929047741394</v>
      </c>
      <c r="J34" s="5">
        <v>0.710901189888639</v>
      </c>
      <c r="K34" s="5">
        <v>0.598609516913438</v>
      </c>
      <c r="L34" s="5">
        <v>0.691325280655356</v>
      </c>
      <c r="M34" s="5">
        <v>0.754469834772557</v>
      </c>
      <c r="N34" s="5">
        <v>0.844403716793399</v>
      </c>
      <c r="O34" s="5">
        <v>0.880076452759143</v>
      </c>
      <c r="P34" s="5">
        <v>1.03912498783336</v>
      </c>
      <c r="Q34" s="5">
        <v>0.939840185969911</v>
      </c>
      <c r="R34" s="5">
        <v>1.29968016451843</v>
      </c>
      <c r="S34" s="5">
        <v>0.830864614908576</v>
      </c>
      <c r="T34" s="5">
        <v>12.2353751207688</v>
      </c>
    </row>
    <row r="35" spans="1:20">
      <c r="A35" t="s">
        <v>701</v>
      </c>
      <c r="B35" s="5">
        <v>0.301481039309291</v>
      </c>
      <c r="C35" s="5">
        <v>0.148023489443839</v>
      </c>
      <c r="D35" s="5">
        <v>0.143900906461582</v>
      </c>
      <c r="E35" s="5">
        <v>0.191988658845945</v>
      </c>
      <c r="F35" s="5">
        <v>0.403162241545824</v>
      </c>
      <c r="G35" s="5">
        <v>0.628118470662649</v>
      </c>
      <c r="H35" s="5">
        <v>0.726666291222416</v>
      </c>
      <c r="I35" s="5">
        <v>0.671650026466412</v>
      </c>
      <c r="J35" s="5">
        <v>0.639811070899775</v>
      </c>
      <c r="K35" s="5">
        <v>0.603179055210487</v>
      </c>
      <c r="L35" s="5">
        <v>0.625725071542074</v>
      </c>
      <c r="M35" s="5">
        <v>0.580361411363505</v>
      </c>
      <c r="N35" s="5">
        <v>0.640582129981199</v>
      </c>
      <c r="O35" s="5">
        <v>0.734181425831157</v>
      </c>
      <c r="P35" s="5">
        <v>1.00779458619014</v>
      </c>
      <c r="Q35" s="5">
        <v>0.901216616683477</v>
      </c>
      <c r="R35" s="5">
        <v>0.904507141522964</v>
      </c>
      <c r="S35" s="5">
        <v>1.24629692236286</v>
      </c>
      <c r="T35" s="5">
        <v>11.0986465555456</v>
      </c>
    </row>
    <row r="36" spans="1:20">
      <c r="A36" t="s">
        <v>702</v>
      </c>
      <c r="B36" s="5">
        <v>0.904443117927872</v>
      </c>
      <c r="C36" s="5">
        <v>0.208578553307228</v>
      </c>
      <c r="D36" s="5">
        <v>0.0893178040106374</v>
      </c>
      <c r="E36" s="5">
        <v>0.0719957470672293</v>
      </c>
      <c r="F36" s="5">
        <v>0.140427297617085</v>
      </c>
      <c r="G36" s="5">
        <v>0.229240317760091</v>
      </c>
      <c r="H36" s="5">
        <v>0.43145811041331</v>
      </c>
      <c r="I36" s="5">
        <v>0.663148127397217</v>
      </c>
      <c r="J36" s="5">
        <v>0.870853957613583</v>
      </c>
      <c r="K36" s="5">
        <v>1.56278209759081</v>
      </c>
      <c r="L36" s="5">
        <v>1.93772925380771</v>
      </c>
      <c r="M36" s="5">
        <v>3.20649679778337</v>
      </c>
      <c r="N36" s="5">
        <v>5.2605380977244</v>
      </c>
      <c r="O36" s="5">
        <v>9.21962444361049</v>
      </c>
      <c r="P36" s="5">
        <v>14.7044018378831</v>
      </c>
      <c r="Q36" s="5">
        <v>23.8178677266347</v>
      </c>
      <c r="R36" s="5">
        <v>39.4646125631476</v>
      </c>
      <c r="S36" s="5">
        <v>71.2824538583634</v>
      </c>
      <c r="T36" s="5">
        <v>174.06596970966</v>
      </c>
    </row>
    <row r="37" spans="1:20">
      <c r="A37" t="s">
        <v>703</v>
      </c>
      <c r="C37" s="5">
        <v>0.410428766185191</v>
      </c>
      <c r="D37" s="5">
        <v>0.248105011140659</v>
      </c>
      <c r="E37" s="5">
        <v>0.211187524730539</v>
      </c>
      <c r="F37" s="5">
        <v>0.706666400911781</v>
      </c>
      <c r="G37" s="5">
        <v>0.715229791411484</v>
      </c>
      <c r="H37" s="5">
        <v>0.499583075215411</v>
      </c>
      <c r="I37" s="5">
        <v>0.658897177862619</v>
      </c>
      <c r="J37" s="5">
        <v>0.546505289726891</v>
      </c>
      <c r="K37" s="5">
        <v>0.530066442457701</v>
      </c>
      <c r="L37" s="5">
        <v>0.635817411405656</v>
      </c>
      <c r="M37" s="5">
        <v>0.609379481931681</v>
      </c>
      <c r="N37" s="5">
        <v>0.5192597568787</v>
      </c>
      <c r="O37" s="5">
        <v>0.560048651755818</v>
      </c>
      <c r="P37" s="5">
        <v>0.553503762363499</v>
      </c>
      <c r="Q37" s="5">
        <v>0.547167231557825</v>
      </c>
      <c r="R37" s="5">
        <v>0.474207627594563</v>
      </c>
      <c r="S37" s="5">
        <v>0.530034323303747</v>
      </c>
      <c r="T37" s="5">
        <v>8.95608772643377</v>
      </c>
    </row>
    <row r="38" spans="1:20">
      <c r="A38" t="s">
        <v>704</v>
      </c>
      <c r="G38" s="5">
        <v>0.0962809334592382</v>
      </c>
      <c r="H38" s="5">
        <v>0.158958251204904</v>
      </c>
      <c r="I38" s="5">
        <v>0.654646228328022</v>
      </c>
      <c r="J38" s="5">
        <v>1.337382863478</v>
      </c>
      <c r="K38" s="5">
        <v>3.28092849728129</v>
      </c>
      <c r="L38" s="5">
        <v>6.36826645392014</v>
      </c>
      <c r="M38" s="5">
        <v>12.24562577977</v>
      </c>
      <c r="N38" s="5">
        <v>22.4640506036589</v>
      </c>
      <c r="O38" s="5">
        <v>39.6646221596474</v>
      </c>
      <c r="P38" s="5">
        <v>61.7574433723877</v>
      </c>
      <c r="Q38" s="5">
        <v>104.734245381715</v>
      </c>
      <c r="R38" s="5">
        <v>179.347081080811</v>
      </c>
      <c r="S38" s="5">
        <v>339.995530521382</v>
      </c>
      <c r="T38" s="5">
        <v>772.105062127044</v>
      </c>
    </row>
    <row r="39" spans="1:20">
      <c r="A39" t="s">
        <v>705</v>
      </c>
      <c r="F39" s="5">
        <v>0.13136747196437</v>
      </c>
      <c r="G39" s="5">
        <v>0.224655511404889</v>
      </c>
      <c r="H39" s="5">
        <v>0.46779142497443</v>
      </c>
      <c r="I39" s="5">
        <v>0.650395278793424</v>
      </c>
      <c r="J39" s="5">
        <v>1.00859106315451</v>
      </c>
      <c r="K39" s="5">
        <v>1.36629195081769</v>
      </c>
      <c r="L39" s="5">
        <v>2.00837563285279</v>
      </c>
      <c r="M39" s="5">
        <v>2.30210026507524</v>
      </c>
      <c r="N39" s="5">
        <v>3.1204114361963</v>
      </c>
      <c r="O39" s="5">
        <v>3.60972534366985</v>
      </c>
      <c r="P39" s="5">
        <v>5.09119026702275</v>
      </c>
      <c r="Q39" s="5">
        <v>6.48875964012103</v>
      </c>
      <c r="R39" s="5">
        <v>8.87822058329821</v>
      </c>
      <c r="S39" s="5">
        <v>12.96435304297</v>
      </c>
      <c r="T39" s="5">
        <v>48.3122289123155</v>
      </c>
    </row>
    <row r="40" spans="1:20">
      <c r="A40" t="s">
        <v>706</v>
      </c>
      <c r="F40" s="5">
        <v>0.0770085180480787</v>
      </c>
      <c r="G40" s="5">
        <v>0.197146673273678</v>
      </c>
      <c r="H40" s="5">
        <v>0.354249816970928</v>
      </c>
      <c r="I40" s="5">
        <v>0.629140531120436</v>
      </c>
      <c r="J40" s="5">
        <v>1.110783109201</v>
      </c>
      <c r="K40" s="5">
        <v>1.95576239113703</v>
      </c>
      <c r="L40" s="5">
        <v>3.54745746204902</v>
      </c>
      <c r="M40" s="5">
        <v>6.33077572895691</v>
      </c>
      <c r="N40" s="5">
        <v>10.094021442128</v>
      </c>
      <c r="O40" s="5">
        <v>14.0859295353375</v>
      </c>
      <c r="P40" s="5">
        <v>18.6363672441069</v>
      </c>
      <c r="Q40" s="5">
        <v>25.5945519138107</v>
      </c>
      <c r="R40" s="5">
        <v>33.2472236680188</v>
      </c>
      <c r="S40" s="5">
        <v>45.6259275600658</v>
      </c>
      <c r="T40" s="5">
        <v>161.486345594225</v>
      </c>
    </row>
    <row r="41" spans="1:20">
      <c r="A41" t="s">
        <v>707</v>
      </c>
      <c r="E41" s="5">
        <v>0.0911946129518237</v>
      </c>
      <c r="F41" s="5">
        <v>0.588888667426484</v>
      </c>
      <c r="G41" s="5">
        <v>0.949054915526777</v>
      </c>
      <c r="H41" s="5">
        <v>0.722124626902276</v>
      </c>
      <c r="I41" s="5">
        <v>0.629140531120436</v>
      </c>
      <c r="J41" s="5">
        <v>0.746446249383071</v>
      </c>
      <c r="K41" s="5">
        <v>0.731126127527863</v>
      </c>
      <c r="L41" s="5">
        <v>0.686279110723565</v>
      </c>
      <c r="M41" s="5">
        <v>0.730288109299078</v>
      </c>
      <c r="N41" s="5">
        <v>0.946314510199499</v>
      </c>
      <c r="O41" s="5">
        <v>1.14362875946776</v>
      </c>
      <c r="P41" s="5">
        <v>0.939912049296507</v>
      </c>
      <c r="Q41" s="5">
        <v>0.778908647276433</v>
      </c>
      <c r="R41" s="5">
        <v>0.948415255189127</v>
      </c>
      <c r="S41" s="5">
        <v>1.43252519811823</v>
      </c>
      <c r="T41" s="5">
        <v>12.0642473704089</v>
      </c>
    </row>
    <row r="42" spans="1:20">
      <c r="A42" t="s">
        <v>708</v>
      </c>
      <c r="B42" s="5">
        <v>1.61703466538619</v>
      </c>
      <c r="C42" s="5">
        <v>0.296046978887679</v>
      </c>
      <c r="D42" s="5">
        <v>0.129014605793143</v>
      </c>
      <c r="E42" s="5">
        <v>0.115193195307567</v>
      </c>
      <c r="F42" s="5">
        <v>0.140427297617085</v>
      </c>
      <c r="G42" s="5">
        <v>0.275088381312109</v>
      </c>
      <c r="H42" s="5">
        <v>0.45870809633415</v>
      </c>
      <c r="I42" s="5">
        <v>0.624889581585839</v>
      </c>
      <c r="J42" s="5">
        <v>0.928614679292035</v>
      </c>
      <c r="K42" s="5">
        <v>1.41198733378819</v>
      </c>
      <c r="L42" s="5">
        <v>2.23040710985159</v>
      </c>
      <c r="M42" s="5">
        <v>3.35642349571894</v>
      </c>
      <c r="N42" s="5">
        <v>6.45920314397709</v>
      </c>
      <c r="O42" s="5">
        <v>11.0927283377182</v>
      </c>
      <c r="P42" s="5">
        <v>18.6311455104997</v>
      </c>
      <c r="Q42" s="5">
        <v>34.2848550032585</v>
      </c>
      <c r="R42" s="5">
        <v>62.6832230698147</v>
      </c>
      <c r="S42" s="5">
        <v>118.598761152209</v>
      </c>
      <c r="T42" s="5">
        <v>263.333751638352</v>
      </c>
    </row>
    <row r="43" spans="1:20">
      <c r="A43" t="s">
        <v>709</v>
      </c>
      <c r="F43" s="5">
        <v>0.258205031102381</v>
      </c>
      <c r="G43" s="5">
        <v>0.70606017870108</v>
      </c>
      <c r="H43" s="5">
        <v>0.626749676179334</v>
      </c>
      <c r="I43" s="5">
        <v>0.565376288101473</v>
      </c>
      <c r="J43" s="5">
        <v>0.422097581496379</v>
      </c>
      <c r="K43" s="5">
        <v>0.397549831843276</v>
      </c>
      <c r="L43" s="5">
        <v>0.302770195907455</v>
      </c>
      <c r="M43" s="5">
        <v>0.415925678143846</v>
      </c>
      <c r="N43" s="5">
        <v>0.3930844888521</v>
      </c>
      <c r="O43" s="5">
        <v>0.343559256959452</v>
      </c>
      <c r="P43" s="5">
        <v>0.281973614788952</v>
      </c>
      <c r="Q43" s="5">
        <v>0.154494277145739</v>
      </c>
      <c r="R43" s="5"/>
      <c r="S43" s="5"/>
      <c r="T43" s="5">
        <v>4.86784609922147</v>
      </c>
    </row>
    <row r="44" spans="1:20">
      <c r="A44" t="s">
        <v>710</v>
      </c>
      <c r="E44" s="5">
        <v>0.115193195307567</v>
      </c>
      <c r="F44" s="5">
        <v>0.539059626336551</v>
      </c>
      <c r="G44" s="5">
        <v>0.573100794400228</v>
      </c>
      <c r="H44" s="5">
        <v>0.681249648021015</v>
      </c>
      <c r="I44" s="5">
        <v>0.561125338566876</v>
      </c>
      <c r="J44" s="5">
        <v>0.568720951910911</v>
      </c>
      <c r="K44" s="5">
        <v>0.484371059487209</v>
      </c>
      <c r="L44" s="5">
        <v>0.262400836453128</v>
      </c>
      <c r="M44" s="5">
        <v>0.270835325302969</v>
      </c>
      <c r="N44" s="5">
        <v>0.1601455324953</v>
      </c>
      <c r="O44" s="5">
        <v>0.160013900501662</v>
      </c>
      <c r="P44" s="5">
        <v>0.109656405751259</v>
      </c>
      <c r="Q44" s="5">
        <v>0.0901216616683477</v>
      </c>
      <c r="R44" s="5"/>
      <c r="S44" s="5"/>
      <c r="T44" s="5">
        <v>4.57599427620302</v>
      </c>
    </row>
    <row r="45" spans="1:20">
      <c r="A45" t="s">
        <v>711</v>
      </c>
      <c r="B45" s="5"/>
      <c r="C45" s="5"/>
      <c r="D45" s="5"/>
      <c r="E45" s="5"/>
      <c r="F45" s="5">
        <v>0.31709389784503</v>
      </c>
      <c r="G45" s="5">
        <v>0.637288083373053</v>
      </c>
      <c r="H45" s="5">
        <v>0.563166375697373</v>
      </c>
      <c r="I45" s="5">
        <v>0.552623439497681</v>
      </c>
      <c r="J45" s="5">
        <v>0.364336859817928</v>
      </c>
      <c r="K45" s="5">
        <v>0.411258446734423</v>
      </c>
      <c r="L45" s="5">
        <v>0.378462744884319</v>
      </c>
      <c r="M45" s="5">
        <v>0.430434713427933</v>
      </c>
      <c r="N45" s="5">
        <v>0.3639671193075</v>
      </c>
      <c r="O45" s="5">
        <v>0.465922827931311</v>
      </c>
      <c r="P45" s="5">
        <v>0.485621225469862</v>
      </c>
      <c r="Q45" s="5">
        <v>0.469920092984956</v>
      </c>
      <c r="R45" s="5">
        <v>0.518115741260727</v>
      </c>
      <c r="S45" s="5">
        <v>1.10304440255104</v>
      </c>
      <c r="T45" s="5">
        <v>7.06125597078314</v>
      </c>
    </row>
    <row r="46" spans="1:20">
      <c r="A46" t="s">
        <v>712</v>
      </c>
      <c r="B46" s="5">
        <v>0.602962078618581</v>
      </c>
      <c r="C46" s="5">
        <v>0.121110127726778</v>
      </c>
      <c r="D46" s="5">
        <v>0.0496210022281319</v>
      </c>
      <c r="F46" s="5">
        <v>0.0815384308744363</v>
      </c>
      <c r="G46" s="5">
        <v>0.220070705049687</v>
      </c>
      <c r="H46" s="5">
        <v>0.326999831050087</v>
      </c>
      <c r="I46" s="5">
        <v>0.53561964135929</v>
      </c>
      <c r="J46" s="5">
        <v>0.750889381819875</v>
      </c>
      <c r="K46" s="5">
        <v>1.40741779549114</v>
      </c>
      <c r="L46" s="5">
        <v>1.62991288796847</v>
      </c>
      <c r="M46" s="5">
        <v>2.29242757488585</v>
      </c>
      <c r="N46" s="5">
        <v>3.4115851316423</v>
      </c>
      <c r="O46" s="5">
        <v>4.13212366589587</v>
      </c>
      <c r="P46" s="5">
        <v>5.04941639816513</v>
      </c>
      <c r="Q46" s="5">
        <v>5.33005256152799</v>
      </c>
      <c r="R46" s="5">
        <v>6.27007863152812</v>
      </c>
      <c r="S46" s="5">
        <v>5.93065432020949</v>
      </c>
      <c r="T46" s="5">
        <v>38.1424801660412</v>
      </c>
    </row>
    <row r="47" spans="1:20">
      <c r="A47" t="s">
        <v>713</v>
      </c>
      <c r="B47" s="5">
        <v>0.520739976988775</v>
      </c>
      <c r="F47" s="5">
        <v>0.0679486923953635</v>
      </c>
      <c r="G47" s="5">
        <v>0.155883416076862</v>
      </c>
      <c r="H47" s="5">
        <v>0.326999831050087</v>
      </c>
      <c r="I47" s="5">
        <v>0.522866792755498</v>
      </c>
      <c r="J47" s="5">
        <v>1.0041479307177</v>
      </c>
      <c r="K47" s="5">
        <v>1.35258333592655</v>
      </c>
      <c r="L47" s="5">
        <v>2.07902201189786</v>
      </c>
      <c r="M47" s="5">
        <v>2.90180705681753</v>
      </c>
      <c r="N47" s="5">
        <v>3.8192283052667</v>
      </c>
      <c r="O47" s="5">
        <v>5.34634679323201</v>
      </c>
      <c r="P47" s="5">
        <v>7.54018332880087</v>
      </c>
      <c r="Q47" s="5">
        <v>10.2416831224529</v>
      </c>
      <c r="R47" s="5">
        <v>15.5698171060215</v>
      </c>
      <c r="S47" s="5">
        <v>25.140817226975</v>
      </c>
      <c r="T47" s="5">
        <v>76.5900749273752</v>
      </c>
    </row>
    <row r="48" spans="1:20">
      <c r="A48" t="s">
        <v>714</v>
      </c>
      <c r="B48" s="5"/>
      <c r="C48" s="5">
        <v>0.0672834042926543</v>
      </c>
      <c r="F48" s="5">
        <v>0.108717907832582</v>
      </c>
      <c r="G48" s="5">
        <v>0.192561866918476</v>
      </c>
      <c r="H48" s="5">
        <v>0.386041467211909</v>
      </c>
      <c r="I48" s="5">
        <v>0.5186158432209</v>
      </c>
      <c r="J48" s="5">
        <v>0.662026733083795</v>
      </c>
      <c r="K48" s="5">
        <v>0.58490090202229</v>
      </c>
      <c r="L48" s="5">
        <v>0.555078692497001</v>
      </c>
      <c r="M48" s="5">
        <v>0.488470854564284</v>
      </c>
      <c r="N48" s="5">
        <v>0.4755837025618</v>
      </c>
      <c r="O48" s="5">
        <v>0.381209586489255</v>
      </c>
      <c r="P48" s="5">
        <v>0.250643213145735</v>
      </c>
      <c r="Q48" s="5">
        <v>0.193117846432174</v>
      </c>
      <c r="R48" s="5">
        <v>0.105379472798792</v>
      </c>
      <c r="S48" s="5"/>
      <c r="T48" s="5">
        <v>4.96963149307165</v>
      </c>
    </row>
    <row r="49" spans="1:20">
      <c r="A49" t="s">
        <v>715</v>
      </c>
      <c r="F49" s="5">
        <v>0.471110933941187</v>
      </c>
      <c r="G49" s="5">
        <v>0.77941708038431</v>
      </c>
      <c r="H49" s="5">
        <v>0.604041354578634</v>
      </c>
      <c r="I49" s="5">
        <v>0.510113944151705</v>
      </c>
      <c r="J49" s="5">
        <v>0.528732759979675</v>
      </c>
      <c r="K49" s="5">
        <v>0.498079674378357</v>
      </c>
      <c r="L49" s="5">
        <v>0.408739764475065</v>
      </c>
      <c r="M49" s="5">
        <v>0.430434713427933</v>
      </c>
      <c r="N49" s="5">
        <v>0.4949952822582</v>
      </c>
      <c r="O49" s="5">
        <v>0.334146674577001</v>
      </c>
      <c r="P49" s="5">
        <v>0.344634418075386</v>
      </c>
      <c r="Q49" s="5">
        <v>0.283239508100521</v>
      </c>
      <c r="R49" s="5">
        <v>0.29857517292991</v>
      </c>
      <c r="S49" s="5">
        <v>0.358131299529559</v>
      </c>
      <c r="T49" s="5">
        <v>6.34439258078744</v>
      </c>
    </row>
    <row r="50" spans="1:20">
      <c r="A50" t="s">
        <v>716</v>
      </c>
      <c r="F50" s="5">
        <v>0.398632328719466</v>
      </c>
      <c r="G50" s="5">
        <v>0.582270407110631</v>
      </c>
      <c r="H50" s="5">
        <v>0.526833061136252</v>
      </c>
      <c r="I50" s="5">
        <v>0.510113944151705</v>
      </c>
      <c r="J50" s="5">
        <v>0.324348667886692</v>
      </c>
      <c r="K50" s="5">
        <v>0.324437219090489</v>
      </c>
      <c r="L50" s="5">
        <v>0.27249317631671</v>
      </c>
      <c r="M50" s="5">
        <v>0.280508015492361</v>
      </c>
      <c r="N50" s="5">
        <v>0.2669092208255</v>
      </c>
      <c r="O50" s="5">
        <v>0.240020850752494</v>
      </c>
      <c r="P50" s="5">
        <v>0.182760676252099</v>
      </c>
      <c r="Q50" s="5">
        <v>0.238178677266347</v>
      </c>
      <c r="R50" s="5">
        <v>0.307356795663143</v>
      </c>
      <c r="S50" s="5">
        <v>0.415432307454288</v>
      </c>
      <c r="T50" s="5">
        <v>4.87029534811818</v>
      </c>
    </row>
    <row r="51" spans="1:20">
      <c r="A51" t="s">
        <v>717</v>
      </c>
      <c r="H51" s="5">
        <v>0.131708265284063</v>
      </c>
      <c r="I51" s="5">
        <v>0.50161204508251</v>
      </c>
      <c r="J51" s="5">
        <v>1.04413612264894</v>
      </c>
      <c r="K51" s="5">
        <v>1.45768271675868</v>
      </c>
      <c r="L51" s="5">
        <v>1.82166734537652</v>
      </c>
      <c r="M51" s="5">
        <v>1.92002900259426</v>
      </c>
      <c r="N51" s="5">
        <v>2.0576274478184</v>
      </c>
      <c r="O51" s="5">
        <v>2.25431348059695</v>
      </c>
      <c r="P51" s="5">
        <v>2.45421479538532</v>
      </c>
      <c r="Q51" s="5">
        <v>2.47834569587956</v>
      </c>
      <c r="R51" s="5">
        <v>2.80133765190122</v>
      </c>
      <c r="S51" s="5">
        <v>2.93667665614238</v>
      </c>
      <c r="T51" s="5">
        <v>21.8593512254688</v>
      </c>
    </row>
    <row r="52" spans="1:20">
      <c r="A52" t="s">
        <v>718</v>
      </c>
      <c r="B52" s="5"/>
      <c r="C52" s="5">
        <v>0.0807400851511851</v>
      </c>
      <c r="D52" s="5">
        <v>0.0893178040106374</v>
      </c>
      <c r="E52" s="5">
        <v>0.110393478836418</v>
      </c>
      <c r="F52" s="5">
        <v>0.194786251533375</v>
      </c>
      <c r="G52" s="5">
        <v>0.380538927481751</v>
      </c>
      <c r="H52" s="5">
        <v>0.345166488330648</v>
      </c>
      <c r="I52" s="5">
        <v>0.50161204508251</v>
      </c>
      <c r="J52" s="5">
        <v>0.524289627542871</v>
      </c>
      <c r="K52" s="5">
        <v>0.726556589230814</v>
      </c>
      <c r="L52" s="5">
        <v>0.772063999564011</v>
      </c>
      <c r="M52" s="5">
        <v>1.09301399140127</v>
      </c>
      <c r="N52" s="5">
        <v>1.1258716223912</v>
      </c>
      <c r="O52" s="5">
        <v>1.28481749520452</v>
      </c>
      <c r="P52" s="5">
        <v>1.40986807394476</v>
      </c>
      <c r="Q52" s="5">
        <v>1.65437621776895</v>
      </c>
      <c r="R52" s="5">
        <v>2.59936032903687</v>
      </c>
      <c r="S52" s="5">
        <v>3.75321601906978</v>
      </c>
      <c r="T52" s="5">
        <v>16.6459890455816</v>
      </c>
    </row>
    <row r="53" spans="1:20">
      <c r="A53" t="s">
        <v>719</v>
      </c>
      <c r="B53" s="5"/>
      <c r="G53" s="5">
        <v>0.165053028787266</v>
      </c>
      <c r="H53" s="5">
        <v>0.249791537607706</v>
      </c>
      <c r="I53" s="5">
        <v>0.476106347874925</v>
      </c>
      <c r="J53" s="5">
        <v>0.848638295429563</v>
      </c>
      <c r="K53" s="5">
        <v>1.52165625291736</v>
      </c>
      <c r="L53" s="5">
        <v>2.66437772398561</v>
      </c>
      <c r="M53" s="5">
        <v>4.23180195785889</v>
      </c>
      <c r="N53" s="5">
        <v>6.76978841911949</v>
      </c>
      <c r="O53" s="5">
        <v>9.95851216063287</v>
      </c>
      <c r="P53" s="5">
        <v>15.4041141412483</v>
      </c>
      <c r="Q53" s="5">
        <v>23.1677043103131</v>
      </c>
      <c r="R53" s="5">
        <v>35.3987212376608</v>
      </c>
      <c r="S53" s="5">
        <v>53.261286866036</v>
      </c>
      <c r="T53" s="5">
        <v>154.117552279472</v>
      </c>
    </row>
    <row r="54" spans="1:20">
      <c r="A54" t="s">
        <v>720</v>
      </c>
      <c r="G54" s="5">
        <v>0.0825265143936328</v>
      </c>
      <c r="H54" s="5">
        <v>0.204374894406305</v>
      </c>
      <c r="I54" s="5">
        <v>0.476106347874925</v>
      </c>
      <c r="J54" s="5">
        <v>0.568720951910911</v>
      </c>
      <c r="K54" s="5">
        <v>0.680861206260322</v>
      </c>
      <c r="L54" s="5">
        <v>0.666094430996402</v>
      </c>
      <c r="M54" s="5">
        <v>0.502979889848371</v>
      </c>
      <c r="N54" s="5">
        <v>0.723081343690899</v>
      </c>
      <c r="O54" s="5">
        <v>0.607111563668072</v>
      </c>
      <c r="P54" s="5">
        <v>0.402073487754617</v>
      </c>
      <c r="Q54" s="5">
        <v>0.205992369527652</v>
      </c>
      <c r="R54" s="5"/>
      <c r="S54" s="5"/>
      <c r="T54" s="5">
        <v>5.11992300033211</v>
      </c>
    </row>
    <row r="55" spans="1:20">
      <c r="A55" t="s">
        <v>721</v>
      </c>
      <c r="H55" s="5">
        <v>0.149874922564623</v>
      </c>
      <c r="I55" s="5">
        <v>0.46760444880573</v>
      </c>
      <c r="J55" s="5">
        <v>0.742003116946267</v>
      </c>
      <c r="K55" s="5">
        <v>0.808808278577698</v>
      </c>
      <c r="L55" s="5">
        <v>0.989049306631021</v>
      </c>
      <c r="M55" s="5">
        <v>1.06399592083309</v>
      </c>
      <c r="N55" s="5">
        <v>1.0919013579225</v>
      </c>
      <c r="O55" s="5">
        <v>1.30364265996943</v>
      </c>
      <c r="P55" s="5">
        <v>0.851142577974059</v>
      </c>
      <c r="Q55" s="5">
        <v>0.617977108582955</v>
      </c>
      <c r="R55" s="5">
        <v>0.386391400262237</v>
      </c>
      <c r="S55" s="5">
        <v>0.343806047548376</v>
      </c>
      <c r="T55" s="5">
        <v>8.81619714661799</v>
      </c>
    </row>
    <row r="56" spans="1:20">
      <c r="A56" t="s">
        <v>722</v>
      </c>
      <c r="F56" s="5">
        <v>0.0724786052217211</v>
      </c>
      <c r="G56" s="5">
        <v>0.10086573981444</v>
      </c>
      <c r="H56" s="5">
        <v>0.299749845129247</v>
      </c>
      <c r="I56" s="5">
        <v>0.463353499271132</v>
      </c>
      <c r="J56" s="5">
        <v>0.781991308877503</v>
      </c>
      <c r="K56" s="5">
        <v>1.0509938083213</v>
      </c>
      <c r="L56" s="5">
        <v>1.37255822144713</v>
      </c>
      <c r="M56" s="5">
        <v>1.62501195181782</v>
      </c>
      <c r="N56" s="5">
        <v>1.9605695493364</v>
      </c>
      <c r="O56" s="5">
        <v>2.44727141943719</v>
      </c>
      <c r="P56" s="5">
        <v>2.44377132817092</v>
      </c>
      <c r="Q56" s="5">
        <v>2.49765748052278</v>
      </c>
      <c r="R56" s="5">
        <v>2.66083168816949</v>
      </c>
      <c r="S56" s="5">
        <v>2.52124434868809</v>
      </c>
      <c r="T56" s="5">
        <v>20.2983487942252</v>
      </c>
    </row>
    <row r="57" spans="1:20">
      <c r="A57" t="s">
        <v>723</v>
      </c>
      <c r="B57" s="5"/>
      <c r="C57" s="5"/>
      <c r="D57" s="5"/>
      <c r="E57" s="5"/>
      <c r="F57" s="5"/>
      <c r="G57" s="5"/>
      <c r="H57" s="5">
        <v>0.286124852168826</v>
      </c>
      <c r="I57" s="5">
        <v>0.446349701132742</v>
      </c>
      <c r="J57" s="5">
        <v>0.666469865520599</v>
      </c>
      <c r="K57" s="5">
        <v>0.822516893468846</v>
      </c>
      <c r="L57" s="5">
        <v>0.888125907995202</v>
      </c>
      <c r="M57" s="5">
        <v>0.856033081761171</v>
      </c>
      <c r="N57" s="5">
        <v>0.941461615275399</v>
      </c>
      <c r="O57" s="5">
        <v>0.978908567774876</v>
      </c>
      <c r="P57" s="5">
        <v>0.532616827934687</v>
      </c>
      <c r="Q57" s="5">
        <v>0.354049385125652</v>
      </c>
      <c r="R57" s="5">
        <v>0.122942718265257</v>
      </c>
      <c r="S57" s="5"/>
      <c r="T57" s="5">
        <v>6.89559941642326</v>
      </c>
    </row>
    <row r="58" spans="1:20">
      <c r="A58" t="s">
        <v>724</v>
      </c>
      <c r="F58" s="5">
        <v>0.0996580821798665</v>
      </c>
      <c r="G58" s="5">
        <v>0.229240317760091</v>
      </c>
      <c r="H58" s="5">
        <v>0.308833173769527</v>
      </c>
      <c r="I58" s="5">
        <v>0.437847802063547</v>
      </c>
      <c r="J58" s="5">
        <v>0.497630832922047</v>
      </c>
      <c r="K58" s="5">
        <v>0.498079674378357</v>
      </c>
      <c r="L58" s="5">
        <v>0.398647424611483</v>
      </c>
      <c r="M58" s="5">
        <v>0.391743952670366</v>
      </c>
      <c r="N58" s="5">
        <v>0.3494084345352</v>
      </c>
      <c r="O58" s="5">
        <v>0.277671180282297</v>
      </c>
      <c r="P58" s="5">
        <v>0.208869344288113</v>
      </c>
      <c r="Q58" s="5">
        <v>0.263927723457304</v>
      </c>
      <c r="R58" s="5">
        <v>0.158069209198188</v>
      </c>
      <c r="S58" s="5">
        <v>0.315155543586012</v>
      </c>
      <c r="T58" s="5">
        <v>4.4347826957024</v>
      </c>
    </row>
    <row r="59" spans="1:20">
      <c r="A59" t="s">
        <v>725</v>
      </c>
      <c r="F59" s="5">
        <v>0.1494871232698</v>
      </c>
      <c r="G59" s="5">
        <v>0.261333962246504</v>
      </c>
      <c r="H59" s="5">
        <v>0.340624824010508</v>
      </c>
      <c r="I59" s="5">
        <v>0.420844003925157</v>
      </c>
      <c r="J59" s="5">
        <v>0.382109389565144</v>
      </c>
      <c r="K59" s="5">
        <v>0.402119370140325</v>
      </c>
      <c r="L59" s="5">
        <v>0.38350891481611</v>
      </c>
      <c r="M59" s="5">
        <v>0.444943748712021</v>
      </c>
      <c r="N59" s="5">
        <v>0.4949952822582</v>
      </c>
      <c r="O59" s="5">
        <v>0.371797004106804</v>
      </c>
      <c r="P59" s="5">
        <v>0.271530147574547</v>
      </c>
      <c r="Q59" s="5">
        <v>0.238178677266347</v>
      </c>
      <c r="R59" s="5">
        <v>0.39517302299547</v>
      </c>
      <c r="S59" s="5">
        <v>0.401107055473106</v>
      </c>
      <c r="T59" s="5">
        <v>4.95775252636004</v>
      </c>
    </row>
    <row r="60" spans="1:20">
      <c r="A60" t="s">
        <v>726</v>
      </c>
      <c r="B60" s="5"/>
      <c r="C60" s="5">
        <v>0.094196766009716</v>
      </c>
      <c r="D60" s="5">
        <v>0.0843557037878242</v>
      </c>
      <c r="E60" s="5">
        <v>0.182389225903647</v>
      </c>
      <c r="F60" s="5">
        <v>0.258205031102381</v>
      </c>
      <c r="G60" s="5">
        <v>0.261333962246504</v>
      </c>
      <c r="H60" s="5">
        <v>0.267958194888266</v>
      </c>
      <c r="I60" s="5">
        <v>0.416593054390559</v>
      </c>
      <c r="J60" s="5">
        <v>0.382109389565144</v>
      </c>
      <c r="K60" s="5">
        <v>0.58490090202229</v>
      </c>
      <c r="L60" s="5">
        <v>0.782156339427593</v>
      </c>
      <c r="M60" s="5">
        <v>1.02530516007553</v>
      </c>
      <c r="N60" s="5">
        <v>1.4121924229131</v>
      </c>
      <c r="O60" s="5">
        <v>1.80721581743054</v>
      </c>
      <c r="P60" s="5">
        <v>2.12524557813155</v>
      </c>
      <c r="Q60" s="5">
        <v>2.92251674267356</v>
      </c>
      <c r="R60" s="5">
        <v>3.57412045242569</v>
      </c>
      <c r="S60" s="5">
        <v>4.82760991765845</v>
      </c>
      <c r="T60" s="5">
        <v>21.0084046606523</v>
      </c>
    </row>
    <row r="61" spans="1:20">
      <c r="A61" t="s">
        <v>727</v>
      </c>
      <c r="D61" s="5">
        <v>0.0595452026737582</v>
      </c>
      <c r="E61" s="5">
        <v>0.0719957470672293</v>
      </c>
      <c r="F61" s="5">
        <v>0.516410062204763</v>
      </c>
      <c r="G61" s="5">
        <v>0.596024826176237</v>
      </c>
      <c r="H61" s="5">
        <v>0.558624711377232</v>
      </c>
      <c r="I61" s="5">
        <v>0.412342104855962</v>
      </c>
      <c r="J61" s="5">
        <v>0.364336859817928</v>
      </c>
      <c r="K61" s="5">
        <v>0.392980293546226</v>
      </c>
      <c r="L61" s="5">
        <v>0.242216156725964</v>
      </c>
      <c r="M61" s="5">
        <v>0.299853395871145</v>
      </c>
      <c r="N61" s="5">
        <v>0.2814679055978</v>
      </c>
      <c r="O61" s="5">
        <v>0.367090712915578</v>
      </c>
      <c r="P61" s="5">
        <v>0.281973614788952</v>
      </c>
      <c r="Q61" s="5">
        <v>0.424859262150782</v>
      </c>
      <c r="R61" s="5">
        <v>0.649840082259216</v>
      </c>
      <c r="S61" s="5">
        <v>0.615985835190841</v>
      </c>
      <c r="T61" s="5">
        <v>6.13554677321961</v>
      </c>
    </row>
    <row r="62" spans="1:20">
      <c r="A62" t="s">
        <v>728</v>
      </c>
      <c r="B62" s="5">
        <v>3.04221776030284</v>
      </c>
      <c r="C62" s="5">
        <v>0.491168851336376</v>
      </c>
      <c r="D62" s="5">
        <v>0.114128305124703</v>
      </c>
      <c r="F62" s="5">
        <v>0.126837559138012</v>
      </c>
      <c r="G62" s="5">
        <v>0.215485898694486</v>
      </c>
      <c r="H62" s="5">
        <v>0.290666516488966</v>
      </c>
      <c r="I62" s="5">
        <v>0.408091155321364</v>
      </c>
      <c r="J62" s="5">
        <v>0.382109389565144</v>
      </c>
      <c r="K62" s="5">
        <v>0.447814753110816</v>
      </c>
      <c r="L62" s="5">
        <v>0.499570823247301</v>
      </c>
      <c r="M62" s="5">
        <v>0.440107403617325</v>
      </c>
      <c r="N62" s="5">
        <v>0.5192597568787</v>
      </c>
      <c r="O62" s="5">
        <v>0.583580107711945</v>
      </c>
      <c r="P62" s="5">
        <v>0.454290823826645</v>
      </c>
      <c r="Q62" s="5">
        <v>0.373361169768869</v>
      </c>
      <c r="R62" s="5">
        <v>0.324920041129608</v>
      </c>
      <c r="S62" s="5">
        <v>0.444082811416653</v>
      </c>
      <c r="T62" s="5">
        <v>9.15769312667975</v>
      </c>
    </row>
    <row r="63" spans="1:20">
      <c r="A63" t="s">
        <v>729</v>
      </c>
      <c r="F63" s="5">
        <v>0.126837559138012</v>
      </c>
      <c r="G63" s="5">
        <v>0.284257994022513</v>
      </c>
      <c r="H63" s="5">
        <v>0.358791481291068</v>
      </c>
      <c r="I63" s="5">
        <v>0.408091155321364</v>
      </c>
      <c r="J63" s="5">
        <v>0.404325051749164</v>
      </c>
      <c r="K63" s="5">
        <v>0.315298142496391</v>
      </c>
      <c r="L63" s="5">
        <v>0.297724025975664</v>
      </c>
      <c r="M63" s="5">
        <v>0.193453803787835</v>
      </c>
      <c r="N63" s="5">
        <v>0.1504397426471</v>
      </c>
      <c r="O63" s="5">
        <v>0.0988321150157327</v>
      </c>
      <c r="P63" s="5">
        <v>0.0783260041080423</v>
      </c>
      <c r="Q63" s="5"/>
      <c r="R63" s="5"/>
      <c r="S63" s="5"/>
      <c r="T63" s="5">
        <v>2.71637707555289</v>
      </c>
    </row>
    <row r="64" spans="1:20">
      <c r="A64" t="s">
        <v>730</v>
      </c>
      <c r="C64" s="5">
        <v>0.0672834042926543</v>
      </c>
      <c r="F64" s="5">
        <v>0.0860683437007938</v>
      </c>
      <c r="G64" s="5">
        <v>0.183392254208073</v>
      </c>
      <c r="H64" s="5">
        <v>0.349708152650788</v>
      </c>
      <c r="I64" s="5">
        <v>0.403840205786767</v>
      </c>
      <c r="J64" s="5">
        <v>0.795320706187915</v>
      </c>
      <c r="K64" s="5">
        <v>1.6084774805613</v>
      </c>
      <c r="L64" s="5">
        <v>2.50794645610009</v>
      </c>
      <c r="M64" s="5">
        <v>4.97176275734736</v>
      </c>
      <c r="N64" s="5">
        <v>8.35668505930019</v>
      </c>
      <c r="O64" s="5">
        <v>14.7212788461529</v>
      </c>
      <c r="P64" s="5">
        <v>22.3176894371848</v>
      </c>
      <c r="Q64" s="5">
        <v>29.7143993043638</v>
      </c>
      <c r="R64" s="5">
        <v>41.5809836418566</v>
      </c>
      <c r="S64" s="5">
        <v>60.9252966759685</v>
      </c>
      <c r="T64" s="5">
        <v>188.590132725663</v>
      </c>
    </row>
    <row r="65" spans="1:20">
      <c r="A65" t="s">
        <v>731</v>
      </c>
      <c r="H65" s="5">
        <v>0.122624936643783</v>
      </c>
      <c r="I65" s="5">
        <v>0.386836407648376</v>
      </c>
      <c r="J65" s="5">
        <v>0.497630832922047</v>
      </c>
      <c r="K65" s="5">
        <v>0.653443976478027</v>
      </c>
      <c r="L65" s="5">
        <v>0.978956966767439</v>
      </c>
      <c r="M65" s="5">
        <v>1.24294068933684</v>
      </c>
      <c r="N65" s="5">
        <v>1.3491047888998</v>
      </c>
      <c r="O65" s="5">
        <v>1.88722276768137</v>
      </c>
      <c r="P65" s="5">
        <v>1.28454646737189</v>
      </c>
      <c r="Q65" s="5">
        <v>0.914091139778955</v>
      </c>
      <c r="R65" s="5">
        <v>0.720093064125078</v>
      </c>
      <c r="S65" s="5">
        <v>0.372456551510741</v>
      </c>
      <c r="T65" s="5">
        <v>10.4099485891643</v>
      </c>
    </row>
    <row r="66" spans="1:20">
      <c r="A66" t="s">
        <v>732</v>
      </c>
      <c r="F66" s="5">
        <v>0.0588888667426484</v>
      </c>
      <c r="G66" s="5">
        <v>0.178807447852871</v>
      </c>
      <c r="H66" s="5">
        <v>0.263416530568126</v>
      </c>
      <c r="I66" s="5">
        <v>0.386836407648376</v>
      </c>
      <c r="J66" s="5">
        <v>0.39988191931236</v>
      </c>
      <c r="K66" s="5">
        <v>0.411258446734423</v>
      </c>
      <c r="L66" s="5">
        <v>0.484432313451928</v>
      </c>
      <c r="M66" s="5">
        <v>0.454616438901413</v>
      </c>
      <c r="N66" s="5">
        <v>0.592053180740199</v>
      </c>
      <c r="O66" s="5">
        <v>0.583580107711945</v>
      </c>
      <c r="P66" s="5">
        <v>0.469956024648254</v>
      </c>
      <c r="Q66" s="5">
        <v>0.392672954412086</v>
      </c>
      <c r="R66" s="5">
        <v>0.324920041129608</v>
      </c>
      <c r="S66" s="5">
        <v>0.257854535661282</v>
      </c>
      <c r="T66" s="5">
        <v>5.25917521551552</v>
      </c>
    </row>
    <row r="67" spans="1:20">
      <c r="A67" t="s">
        <v>733</v>
      </c>
      <c r="F67" s="5">
        <v>0.135897384790727</v>
      </c>
      <c r="G67" s="5">
        <v>0.270503574956907</v>
      </c>
      <c r="H67" s="5">
        <v>0.331541495370227</v>
      </c>
      <c r="I67" s="5">
        <v>0.382585458113779</v>
      </c>
      <c r="J67" s="5">
        <v>0.519846495106067</v>
      </c>
      <c r="K67" s="5">
        <v>0.575761825428192</v>
      </c>
      <c r="L67" s="5">
        <v>0.943633777244902</v>
      </c>
      <c r="M67" s="5">
        <v>1.2864677951891</v>
      </c>
      <c r="N67" s="5">
        <v>2.2032142955414</v>
      </c>
      <c r="O67" s="5">
        <v>3.04967669191404</v>
      </c>
      <c r="P67" s="5">
        <v>4.09906088165421</v>
      </c>
      <c r="Q67" s="5">
        <v>5.25924268450286</v>
      </c>
      <c r="R67" s="5">
        <v>7.17458577305108</v>
      </c>
      <c r="S67" s="5">
        <v>10.8155652457927</v>
      </c>
      <c r="T67" s="5">
        <v>37.0475833786562</v>
      </c>
    </row>
    <row r="68" spans="1:20">
      <c r="A68" t="s">
        <v>734</v>
      </c>
      <c r="F68" s="5">
        <v>0.231025554144236</v>
      </c>
      <c r="G68" s="5">
        <v>0.357614895705742</v>
      </c>
      <c r="H68" s="5">
        <v>0.313374838089667</v>
      </c>
      <c r="I68" s="5">
        <v>0.382585458113779</v>
      </c>
      <c r="J68" s="5">
        <v>0.35545059494432</v>
      </c>
      <c r="K68" s="5">
        <v>0.287880912714096</v>
      </c>
      <c r="L68" s="5">
        <v>0.27249317631671</v>
      </c>
      <c r="M68" s="5">
        <v>0.24665359982949</v>
      </c>
      <c r="N68" s="5">
        <v>0.242644746205</v>
      </c>
      <c r="O68" s="5">
        <v>0.211783103605141</v>
      </c>
      <c r="P68" s="5">
        <v>0.16709547543049</v>
      </c>
      <c r="Q68" s="5">
        <v>0.0772471385728694</v>
      </c>
      <c r="R68" s="5"/>
      <c r="S68" s="5"/>
      <c r="T68" s="5">
        <v>3.14584949367154</v>
      </c>
    </row>
    <row r="69" spans="1:20">
      <c r="A69" t="s">
        <v>735</v>
      </c>
      <c r="G69" s="5">
        <v>0.077941708038431</v>
      </c>
      <c r="H69" s="5">
        <v>0.154416586884763</v>
      </c>
      <c r="I69" s="5">
        <v>0.365581659975389</v>
      </c>
      <c r="J69" s="5">
        <v>0.870853957613583</v>
      </c>
      <c r="K69" s="5">
        <v>2.40357714424785</v>
      </c>
      <c r="L69" s="5">
        <v>6.08568093773985</v>
      </c>
      <c r="M69" s="5">
        <v>14.3204178253945</v>
      </c>
      <c r="N69" s="5">
        <v>34.7176102870114</v>
      </c>
      <c r="O69" s="5">
        <v>71.9874300609832</v>
      </c>
      <c r="P69" s="5">
        <v>108.345750615851</v>
      </c>
      <c r="Q69" s="5">
        <v>143.126073252432</v>
      </c>
      <c r="R69" s="5">
        <v>197.560166629535</v>
      </c>
      <c r="S69" s="5">
        <v>249.732117787952</v>
      </c>
      <c r="T69" s="5">
        <v>829.747618453659</v>
      </c>
    </row>
    <row r="70" spans="1:20">
      <c r="A70" t="s">
        <v>736</v>
      </c>
      <c r="B70" s="5">
        <v>0.383703140939097</v>
      </c>
      <c r="C70" s="5">
        <v>0.0807400851511851</v>
      </c>
      <c r="E70" s="5">
        <v>0.0671960305960806</v>
      </c>
      <c r="F70" s="5">
        <v>0.063418779569006</v>
      </c>
      <c r="G70" s="5">
        <v>0.123789771590449</v>
      </c>
      <c r="H70" s="5">
        <v>0.227083216007005</v>
      </c>
      <c r="I70" s="5">
        <v>0.365581659975389</v>
      </c>
      <c r="J70" s="5">
        <v>0.510960230232459</v>
      </c>
      <c r="K70" s="5">
        <v>0.74483474241901</v>
      </c>
      <c r="L70" s="5">
        <v>0.802341019154756</v>
      </c>
      <c r="M70" s="5">
        <v>1.03981419535961</v>
      </c>
      <c r="N70" s="5">
        <v>1.0045492492887</v>
      </c>
      <c r="O70" s="5">
        <v>1.28481749520452</v>
      </c>
      <c r="P70" s="5">
        <v>1.32109860262231</v>
      </c>
      <c r="Q70" s="5">
        <v>1.64793895622121</v>
      </c>
      <c r="R70" s="5">
        <v>2.45885436530514</v>
      </c>
      <c r="S70" s="5">
        <v>3.79619177501332</v>
      </c>
      <c r="T70" s="5">
        <v>15.9229133146492</v>
      </c>
    </row>
    <row r="71" spans="1:20">
      <c r="A71" t="s">
        <v>737</v>
      </c>
      <c r="F71" s="5">
        <v>0.0724786052217211</v>
      </c>
      <c r="G71" s="5">
        <v>0.197146673273678</v>
      </c>
      <c r="H71" s="5">
        <v>0.227083216007005</v>
      </c>
      <c r="I71" s="5">
        <v>0.357079760906194</v>
      </c>
      <c r="J71" s="5">
        <v>0.453199508554007</v>
      </c>
      <c r="K71" s="5">
        <v>0.635165823289831</v>
      </c>
      <c r="L71" s="5">
        <v>1.15052674444833</v>
      </c>
      <c r="M71" s="5">
        <v>1.66370271257538</v>
      </c>
      <c r="N71" s="5">
        <v>2.8583551102949</v>
      </c>
      <c r="O71" s="5">
        <v>4.96513720674276</v>
      </c>
      <c r="P71" s="5">
        <v>8.30777816905968</v>
      </c>
      <c r="Q71" s="5">
        <v>12.559097279639</v>
      </c>
      <c r="R71" s="5">
        <v>23.2800818657998</v>
      </c>
      <c r="S71" s="5">
        <v>44.7091114332701</v>
      </c>
      <c r="T71" s="5">
        <v>101.435944109082</v>
      </c>
    </row>
    <row r="72" spans="1:20">
      <c r="A72" t="s">
        <v>738</v>
      </c>
      <c r="B72" s="5"/>
      <c r="C72" s="5">
        <v>0.571908936487561</v>
      </c>
      <c r="D72" s="5">
        <v>0.362233316265363</v>
      </c>
      <c r="E72" s="5">
        <v>0.268784122384323</v>
      </c>
      <c r="F72" s="5">
        <v>0.18572642588066</v>
      </c>
      <c r="G72" s="5">
        <v>0.224655511404889</v>
      </c>
      <c r="H72" s="5">
        <v>0.322458166729947</v>
      </c>
      <c r="I72" s="5">
        <v>0.352828811371596</v>
      </c>
      <c r="J72" s="5">
        <v>0.515403362669263</v>
      </c>
      <c r="K72" s="5">
        <v>0.539205519051799</v>
      </c>
      <c r="L72" s="5">
        <v>0.514709333042674</v>
      </c>
      <c r="M72" s="5">
        <v>0.778651560246036</v>
      </c>
      <c r="N72" s="5">
        <v>0.989990564516399</v>
      </c>
      <c r="O72" s="5">
        <v>1.43071252213251</v>
      </c>
      <c r="P72" s="5">
        <v>1.64484608626889</v>
      </c>
      <c r="Q72" s="5">
        <v>2.20154344932678</v>
      </c>
      <c r="R72" s="5">
        <v>2.05489971957644</v>
      </c>
      <c r="S72" s="5">
        <v>2.57854535661282</v>
      </c>
      <c r="T72" s="5">
        <v>15.537102763968</v>
      </c>
    </row>
    <row r="73" spans="1:20">
      <c r="A73" t="s">
        <v>739</v>
      </c>
      <c r="G73" s="5">
        <v>0.169637835142467</v>
      </c>
      <c r="H73" s="5">
        <v>0.267958194888266</v>
      </c>
      <c r="I73" s="5">
        <v>0.352828811371596</v>
      </c>
      <c r="J73" s="5">
        <v>0.28880360839226</v>
      </c>
      <c r="K73" s="5">
        <v>0.26503322122885</v>
      </c>
      <c r="L73" s="5">
        <v>0.196800627339846</v>
      </c>
      <c r="M73" s="5">
        <v>0.111235937178005</v>
      </c>
      <c r="N73" s="5">
        <v>0.1067636883302</v>
      </c>
      <c r="O73" s="5">
        <v>0.183545356457789</v>
      </c>
      <c r="P73" s="5">
        <v>0.16709547543049</v>
      </c>
      <c r="Q73" s="5">
        <v>0.135182492502521</v>
      </c>
      <c r="R73" s="5">
        <v>0.158069209198188</v>
      </c>
      <c r="S73" s="5"/>
      <c r="T73" s="5">
        <v>2.40295445746048</v>
      </c>
    </row>
    <row r="74" spans="1:20">
      <c r="A74" t="s">
        <v>740</v>
      </c>
      <c r="G74" s="5">
        <v>0.137544190656055</v>
      </c>
      <c r="H74" s="5">
        <v>0.254333201927846</v>
      </c>
      <c r="I74" s="5">
        <v>0.344326912302401</v>
      </c>
      <c r="J74" s="5">
        <v>0.582050349221323</v>
      </c>
      <c r="K74" s="5">
        <v>0.877351353033435</v>
      </c>
      <c r="L74" s="5">
        <v>1.03951100594893</v>
      </c>
      <c r="M74" s="5">
        <v>0.976941709128568</v>
      </c>
      <c r="N74" s="5">
        <v>1.2180766259491</v>
      </c>
      <c r="O74" s="5">
        <v>1.16716021542389</v>
      </c>
      <c r="P74" s="5">
        <v>1.51952447969602</v>
      </c>
      <c r="Q74" s="5">
        <v>1.65437621776895</v>
      </c>
      <c r="R74" s="5">
        <v>2.16027919237523</v>
      </c>
      <c r="S74" s="5">
        <v>3.02262816802948</v>
      </c>
      <c r="T74" s="5">
        <v>14.9541036214612</v>
      </c>
    </row>
    <row r="75" spans="1:20">
      <c r="A75" t="s">
        <v>741</v>
      </c>
      <c r="F75" s="5">
        <v>0.140427297617085</v>
      </c>
      <c r="G75" s="5">
        <v>0.183392254208073</v>
      </c>
      <c r="H75" s="5">
        <v>0.386041467211909</v>
      </c>
      <c r="I75" s="5">
        <v>0.344326912302401</v>
      </c>
      <c r="J75" s="5">
        <v>0.595379746531735</v>
      </c>
      <c r="K75" s="5">
        <v>0.703708897745568</v>
      </c>
      <c r="L75" s="5">
        <v>0.630771241473865</v>
      </c>
      <c r="M75" s="5">
        <v>0.773815215151341</v>
      </c>
      <c r="N75" s="5">
        <v>0.878373981262099</v>
      </c>
      <c r="O75" s="5">
        <v>0.748300299404833</v>
      </c>
      <c r="P75" s="5">
        <v>0.600499364828324</v>
      </c>
      <c r="Q75" s="5">
        <v>0.502106400723651</v>
      </c>
      <c r="R75" s="5">
        <v>0.614713591326286</v>
      </c>
      <c r="S75" s="5">
        <v>0.787888858965029</v>
      </c>
      <c r="T75" s="5">
        <v>7.8897455287522</v>
      </c>
    </row>
    <row r="76" spans="1:20">
      <c r="A76" t="s">
        <v>742</v>
      </c>
      <c r="G76" s="5">
        <v>0.0550176762624218</v>
      </c>
      <c r="H76" s="5">
        <v>0.177124908485464</v>
      </c>
      <c r="I76" s="5">
        <v>0.335825013233206</v>
      </c>
      <c r="J76" s="5">
        <v>0.595379746531735</v>
      </c>
      <c r="K76" s="5">
        <v>1.13324549766819</v>
      </c>
      <c r="L76" s="5">
        <v>1.79139032578578</v>
      </c>
      <c r="M76" s="5">
        <v>2.37464544149568</v>
      </c>
      <c r="N76" s="5">
        <v>3.5134959250484</v>
      </c>
      <c r="O76" s="5">
        <v>4.83336105338845</v>
      </c>
      <c r="P76" s="5">
        <v>6.23997166060737</v>
      </c>
      <c r="Q76" s="5">
        <v>8.40062631979955</v>
      </c>
      <c r="R76" s="5">
        <v>11.2316954758046</v>
      </c>
      <c r="S76" s="5">
        <v>15.5285731476017</v>
      </c>
      <c r="T76" s="5">
        <v>56.2103521917125</v>
      </c>
    </row>
    <row r="77" spans="1:20">
      <c r="A77" t="s">
        <v>743</v>
      </c>
      <c r="F77" s="5">
        <v>0.063418779569006</v>
      </c>
      <c r="G77" s="5">
        <v>0.0687720953280273</v>
      </c>
      <c r="H77" s="5">
        <v>0.113541608003503</v>
      </c>
      <c r="I77" s="5">
        <v>0.335825013233206</v>
      </c>
      <c r="J77" s="5">
        <v>0.590936614094931</v>
      </c>
      <c r="K77" s="5">
        <v>0.881920891330485</v>
      </c>
      <c r="L77" s="5">
        <v>1.32209652212922</v>
      </c>
      <c r="M77" s="5">
        <v>1.65886636748069</v>
      </c>
      <c r="N77" s="5">
        <v>2.0527745528943</v>
      </c>
      <c r="O77" s="5">
        <v>2.33902672203901</v>
      </c>
      <c r="P77" s="5">
        <v>2.39155399209889</v>
      </c>
      <c r="Q77" s="5">
        <v>3.64349003602034</v>
      </c>
      <c r="R77" s="5">
        <v>4.85623737147766</v>
      </c>
      <c r="S77" s="5">
        <v>7.80726232974438</v>
      </c>
      <c r="T77" s="5">
        <v>28.1257228954436</v>
      </c>
    </row>
    <row r="78" spans="1:20">
      <c r="A78" t="s">
        <v>744</v>
      </c>
      <c r="B78" s="5"/>
      <c r="C78" s="5"/>
      <c r="G78" s="5">
        <v>0.142128997011256</v>
      </c>
      <c r="H78" s="5">
        <v>0.281583187848686</v>
      </c>
      <c r="I78" s="5">
        <v>0.331574063698608</v>
      </c>
      <c r="J78" s="5">
        <v>0.31101927057628</v>
      </c>
      <c r="K78" s="5">
        <v>0.150794763802622</v>
      </c>
      <c r="L78" s="5"/>
      <c r="M78" s="5"/>
      <c r="N78" s="5"/>
      <c r="O78" s="5"/>
      <c r="P78" s="5"/>
      <c r="Q78" s="5"/>
      <c r="R78" s="5"/>
      <c r="S78" s="5"/>
      <c r="T78" s="5">
        <v>1.21710028293745</v>
      </c>
    </row>
    <row r="79" spans="1:20">
      <c r="A79" t="s">
        <v>745</v>
      </c>
      <c r="G79" s="5">
        <v>0.0687720953280273</v>
      </c>
      <c r="H79" s="5">
        <v>0.140791593924343</v>
      </c>
      <c r="I79" s="5">
        <v>0.327323114164011</v>
      </c>
      <c r="J79" s="5">
        <v>0.657583600646991</v>
      </c>
      <c r="K79" s="5">
        <v>1.14695411255934</v>
      </c>
      <c r="L79" s="5">
        <v>2.1143452014204</v>
      </c>
      <c r="M79" s="5">
        <v>3.48216846818103</v>
      </c>
      <c r="N79" s="5">
        <v>6.211705502848</v>
      </c>
      <c r="O79" s="5">
        <v>10.8244697398183</v>
      </c>
      <c r="P79" s="5">
        <v>18.0097592112425</v>
      </c>
      <c r="Q79" s="5">
        <v>31.5361443223739</v>
      </c>
      <c r="R79" s="5">
        <v>61.3659796598298</v>
      </c>
      <c r="S79" s="5">
        <v>134.557091859246</v>
      </c>
      <c r="T79" s="5">
        <v>270.443088481583</v>
      </c>
    </row>
    <row r="80" spans="1:20">
      <c r="A80" t="s">
        <v>746</v>
      </c>
      <c r="G80" s="5">
        <v>0.0825265143936328</v>
      </c>
      <c r="H80" s="5">
        <v>0.204374894406305</v>
      </c>
      <c r="I80" s="5">
        <v>0.323072164629413</v>
      </c>
      <c r="J80" s="5">
        <v>0.448756376117203</v>
      </c>
      <c r="K80" s="5">
        <v>0.466092906299013</v>
      </c>
      <c r="L80" s="5">
        <v>0.575263372224165</v>
      </c>
      <c r="M80" s="5">
        <v>0.749633489677861</v>
      </c>
      <c r="N80" s="5">
        <v>0.917197140654899</v>
      </c>
      <c r="O80" s="5">
        <v>1.2424608744835</v>
      </c>
      <c r="P80" s="5">
        <v>1.49863754526721</v>
      </c>
      <c r="Q80" s="5">
        <v>1.88611763348756</v>
      </c>
      <c r="R80" s="5">
        <v>2.44129111983868</v>
      </c>
      <c r="S80" s="5">
        <v>3.18020593982248</v>
      </c>
      <c r="T80" s="5">
        <v>14.0156299713019</v>
      </c>
    </row>
    <row r="81" spans="1:20">
      <c r="A81" t="s">
        <v>747</v>
      </c>
      <c r="F81" s="5">
        <v>0.221965728491521</v>
      </c>
      <c r="G81" s="5">
        <v>0.389708540192155</v>
      </c>
      <c r="H81" s="5">
        <v>0.42691644609317</v>
      </c>
      <c r="I81" s="5">
        <v>0.323072164629413</v>
      </c>
      <c r="J81" s="5">
        <v>0.408768184185968</v>
      </c>
      <c r="K81" s="5">
        <v>0.392980293546226</v>
      </c>
      <c r="L81" s="5">
        <v>0.297724025975664</v>
      </c>
      <c r="M81" s="5">
        <v>0.30468974096584</v>
      </c>
      <c r="N81" s="5">
        <v>0.3542613294593</v>
      </c>
      <c r="O81" s="5">
        <v>0.409447333636607</v>
      </c>
      <c r="P81" s="5">
        <v>0.412516954969023</v>
      </c>
      <c r="Q81" s="5">
        <v>0.251053200361826</v>
      </c>
      <c r="R81" s="5">
        <v>0.491770873061029</v>
      </c>
      <c r="S81" s="5">
        <v>0.415432307454288</v>
      </c>
      <c r="T81" s="5">
        <v>5.10030712302203</v>
      </c>
    </row>
    <row r="82" spans="1:20">
      <c r="A82" t="s">
        <v>748</v>
      </c>
      <c r="F82" s="5">
        <v>0.108717907832582</v>
      </c>
      <c r="G82" s="5">
        <v>0.160468222432064</v>
      </c>
      <c r="H82" s="5">
        <v>0.227083216007005</v>
      </c>
      <c r="I82" s="5">
        <v>0.323072164629413</v>
      </c>
      <c r="J82" s="5">
        <v>0.306576138139476</v>
      </c>
      <c r="K82" s="5">
        <v>0.242185529743605</v>
      </c>
      <c r="L82" s="5">
        <v>0.237169986794173</v>
      </c>
      <c r="M82" s="5">
        <v>0.236980909640098</v>
      </c>
      <c r="N82" s="5">
        <v>0.1795571121917</v>
      </c>
      <c r="O82" s="5">
        <v>0.13177615335431</v>
      </c>
      <c r="P82" s="5">
        <v>0.161873741823287</v>
      </c>
      <c r="Q82" s="5"/>
      <c r="R82" s="5"/>
      <c r="S82" s="5"/>
      <c r="T82" s="5">
        <v>2.31546108258771</v>
      </c>
    </row>
    <row r="83" spans="1:20">
      <c r="A83" t="s">
        <v>749</v>
      </c>
      <c r="C83" s="5">
        <v>0.201850212877963</v>
      </c>
      <c r="D83" s="5">
        <v>0.104204104679077</v>
      </c>
      <c r="E83" s="5">
        <v>0.129592344721013</v>
      </c>
      <c r="F83" s="5">
        <v>0.231025554144236</v>
      </c>
      <c r="G83" s="5">
        <v>0.265918768601706</v>
      </c>
      <c r="H83" s="5">
        <v>0.308833173769527</v>
      </c>
      <c r="I83" s="5">
        <v>0.306068366491023</v>
      </c>
      <c r="J83" s="5">
        <v>0.408768184185968</v>
      </c>
      <c r="K83" s="5">
        <v>0.607748593507536</v>
      </c>
      <c r="L83" s="5">
        <v>0.923449097517739</v>
      </c>
      <c r="M83" s="5">
        <v>1.36868566179893</v>
      </c>
      <c r="N83" s="5">
        <v>2.3633598280367</v>
      </c>
      <c r="O83" s="5">
        <v>3.96269718301176</v>
      </c>
      <c r="P83" s="5">
        <v>6.90835356232933</v>
      </c>
      <c r="Q83" s="5">
        <v>11.252333185448</v>
      </c>
      <c r="R83" s="5">
        <v>18.0198898485934</v>
      </c>
      <c r="S83" s="5">
        <v>24.8829626913137</v>
      </c>
      <c r="T83" s="5">
        <v>72.2457403610276</v>
      </c>
    </row>
    <row r="84" spans="1:20">
      <c r="A84" t="s">
        <v>750</v>
      </c>
      <c r="B84" s="5">
        <v>0.411110508149033</v>
      </c>
      <c r="C84" s="5"/>
      <c r="G84" s="5">
        <v>0.0458480635520182</v>
      </c>
      <c r="H84" s="5">
        <v>0.0817499577625218</v>
      </c>
      <c r="I84" s="5">
        <v>0.301817416956426</v>
      </c>
      <c r="J84" s="5">
        <v>0.279917343518652</v>
      </c>
      <c r="K84" s="5">
        <v>0.598609516913438</v>
      </c>
      <c r="L84" s="5">
        <v>1.01932632622177</v>
      </c>
      <c r="M84" s="5">
        <v>1.44123083821937</v>
      </c>
      <c r="N84" s="5">
        <v>2.3099779838716</v>
      </c>
      <c r="O84" s="5">
        <v>3.8968091063346</v>
      </c>
      <c r="P84" s="5">
        <v>5.96321977942562</v>
      </c>
      <c r="Q84" s="5">
        <v>9.3469037673172</v>
      </c>
      <c r="R84" s="5">
        <v>14.4106429052348</v>
      </c>
      <c r="S84" s="5">
        <v>25.3986717626363</v>
      </c>
      <c r="T84" s="5">
        <v>65.5058352761134</v>
      </c>
    </row>
    <row r="85" spans="1:20">
      <c r="A85" t="s">
        <v>751</v>
      </c>
      <c r="B85" s="5">
        <v>0.520739976988775</v>
      </c>
      <c r="F85" s="5">
        <v>0.0679486923953635</v>
      </c>
      <c r="G85" s="5">
        <v>0.0825265143936328</v>
      </c>
      <c r="H85" s="5">
        <v>0.181666572805604</v>
      </c>
      <c r="I85" s="5">
        <v>0.297566467421828</v>
      </c>
      <c r="J85" s="5">
        <v>0.546505289726891</v>
      </c>
      <c r="K85" s="5">
        <v>0.982450733865566</v>
      </c>
      <c r="L85" s="5">
        <v>1.58449735858235</v>
      </c>
      <c r="M85" s="5">
        <v>2.70835325302969</v>
      </c>
      <c r="N85" s="5">
        <v>4.2074598991947</v>
      </c>
      <c r="O85" s="5">
        <v>6.62645799724531</v>
      </c>
      <c r="P85" s="5">
        <v>8.86650366503038</v>
      </c>
      <c r="Q85" s="5">
        <v>12.2372342022521</v>
      </c>
      <c r="R85" s="5">
        <v>17.5369005982656</v>
      </c>
      <c r="S85" s="5">
        <v>26.2295363775449</v>
      </c>
      <c r="T85" s="5">
        <v>82.6763475987427</v>
      </c>
    </row>
    <row r="86" spans="1:20">
      <c r="A86" t="s">
        <v>752</v>
      </c>
      <c r="G86" s="5">
        <v>0.0687720953280273</v>
      </c>
      <c r="H86" s="5">
        <v>0.158958251204904</v>
      </c>
      <c r="I86" s="5">
        <v>0.289064568352633</v>
      </c>
      <c r="J86" s="5">
        <v>0.573164084347715</v>
      </c>
      <c r="K86" s="5">
        <v>0.945894427489173</v>
      </c>
      <c r="L86" s="5">
        <v>1.32714269206101</v>
      </c>
      <c r="M86" s="5">
        <v>1.58148484596555</v>
      </c>
      <c r="N86" s="5">
        <v>1.8101298066893</v>
      </c>
      <c r="O86" s="5">
        <v>2.13194990962509</v>
      </c>
      <c r="P86" s="5">
        <v>2.29234105356204</v>
      </c>
      <c r="Q86" s="5">
        <v>2.72296163469365</v>
      </c>
      <c r="R86" s="5">
        <v>4.43471948028249</v>
      </c>
      <c r="S86" s="5">
        <v>6.77584418709925</v>
      </c>
      <c r="T86" s="5">
        <v>25.1124270367008</v>
      </c>
    </row>
    <row r="87" spans="1:20">
      <c r="A87" t="s">
        <v>753</v>
      </c>
      <c r="E87" s="5">
        <v>0.0575965976537834</v>
      </c>
      <c r="F87" s="5">
        <v>0.163076861748873</v>
      </c>
      <c r="G87" s="5">
        <v>0.265918768601706</v>
      </c>
      <c r="H87" s="5">
        <v>0.290666516488966</v>
      </c>
      <c r="I87" s="5">
        <v>0.289064568352633</v>
      </c>
      <c r="J87" s="5">
        <v>0.306576138139476</v>
      </c>
      <c r="K87" s="5">
        <v>0.365563063763931</v>
      </c>
      <c r="L87" s="5">
        <v>0.575263372224165</v>
      </c>
      <c r="M87" s="5">
        <v>0.536834305511243</v>
      </c>
      <c r="N87" s="5">
        <v>0.5532300213474</v>
      </c>
      <c r="O87" s="5">
        <v>0.451803954357635</v>
      </c>
      <c r="P87" s="5">
        <v>0.422960422183428</v>
      </c>
      <c r="Q87" s="5">
        <v>0.328300338934695</v>
      </c>
      <c r="R87" s="5">
        <v>0.26344868199698</v>
      </c>
      <c r="S87" s="5">
        <v>0.358131299529559</v>
      </c>
      <c r="T87" s="5">
        <v>5.22843491083447</v>
      </c>
    </row>
    <row r="88" spans="1:20">
      <c r="A88" t="s">
        <v>754</v>
      </c>
      <c r="H88" s="5">
        <v>0.163499915525044</v>
      </c>
      <c r="I88" s="5">
        <v>0.289064568352633</v>
      </c>
      <c r="J88" s="5">
        <v>0.457642640990812</v>
      </c>
      <c r="K88" s="5">
        <v>0.616887670101634</v>
      </c>
      <c r="L88" s="5">
        <v>0.43901678406581</v>
      </c>
      <c r="M88" s="5">
        <v>0.464289129090804</v>
      </c>
      <c r="N88" s="5">
        <v>0.558082916271499</v>
      </c>
      <c r="O88" s="5">
        <v>0.512985739843565</v>
      </c>
      <c r="P88" s="5">
        <v>0.438625623005037</v>
      </c>
      <c r="Q88" s="5">
        <v>0.251053200361826</v>
      </c>
      <c r="R88" s="5">
        <v>0.16685083193142</v>
      </c>
      <c r="S88" s="5"/>
      <c r="T88" s="5">
        <v>4.35799901954008</v>
      </c>
    </row>
    <row r="89" spans="1:20">
      <c r="A89" t="s">
        <v>755</v>
      </c>
      <c r="F89" s="5">
        <v>0.0996580821798665</v>
      </c>
      <c r="G89" s="5">
        <v>0.288842800377715</v>
      </c>
      <c r="H89" s="5">
        <v>0.254333201927846</v>
      </c>
      <c r="I89" s="5">
        <v>0.289064568352633</v>
      </c>
      <c r="J89" s="5">
        <v>0.208827224529788</v>
      </c>
      <c r="K89" s="5">
        <v>0.237615991446555</v>
      </c>
      <c r="L89" s="5">
        <v>0.292677856043873</v>
      </c>
      <c r="M89" s="5">
        <v>0.280508015492361</v>
      </c>
      <c r="N89" s="5">
        <v>0.2086744817363</v>
      </c>
      <c r="O89" s="5">
        <v>0.164720191692888</v>
      </c>
      <c r="P89" s="5">
        <v>0.13054334018007</v>
      </c>
      <c r="Q89" s="5">
        <v>0.0772471385728694</v>
      </c>
      <c r="R89" s="5"/>
      <c r="S89" s="5"/>
      <c r="T89" s="5">
        <v>2.53271289253277</v>
      </c>
    </row>
    <row r="90" spans="1:20">
      <c r="A90" t="s">
        <v>756</v>
      </c>
      <c r="F90" s="5">
        <v>0.0498290410899333</v>
      </c>
      <c r="G90" s="5">
        <v>0.0641872889728255</v>
      </c>
      <c r="H90" s="5">
        <v>0.154416586884763</v>
      </c>
      <c r="I90" s="5">
        <v>0.267809820679645</v>
      </c>
      <c r="J90" s="5">
        <v>0.688685527704619</v>
      </c>
      <c r="K90" s="5">
        <v>1.11039780618294</v>
      </c>
      <c r="L90" s="5">
        <v>2.04369882237532</v>
      </c>
      <c r="M90" s="5">
        <v>2.5874446256623</v>
      </c>
      <c r="N90" s="5">
        <v>3.3339388128567</v>
      </c>
      <c r="O90" s="5">
        <v>4.20271803376425</v>
      </c>
      <c r="P90" s="5">
        <v>5.89533724253198</v>
      </c>
      <c r="Q90" s="5">
        <v>9.21172127481468</v>
      </c>
      <c r="R90" s="5">
        <v>16.4743242475445</v>
      </c>
      <c r="S90" s="5">
        <v>29.2378392935932</v>
      </c>
      <c r="T90" s="5">
        <v>75.3223484246577</v>
      </c>
    </row>
    <row r="91" spans="1:20">
      <c r="A91" t="s">
        <v>757</v>
      </c>
      <c r="B91" s="5">
        <v>0.356295773729162</v>
      </c>
      <c r="G91" s="5">
        <v>0.0825265143936328</v>
      </c>
      <c r="H91" s="5">
        <v>0.145333258244483</v>
      </c>
      <c r="I91" s="5">
        <v>0.263558871145048</v>
      </c>
      <c r="J91" s="5">
        <v>0.422097581496379</v>
      </c>
      <c r="K91" s="5">
        <v>0.817947355171797</v>
      </c>
      <c r="L91" s="5">
        <v>1.24640397315236</v>
      </c>
      <c r="M91" s="5">
        <v>2.27308219450706</v>
      </c>
      <c r="N91" s="5">
        <v>3.7415819864811</v>
      </c>
      <c r="O91" s="5">
        <v>6.01464014238602</v>
      </c>
      <c r="P91" s="5">
        <v>9.34690315689304</v>
      </c>
      <c r="Q91" s="5">
        <v>15.8227888843428</v>
      </c>
      <c r="R91" s="5">
        <v>28.5314922602729</v>
      </c>
      <c r="S91" s="5">
        <v>57.6018382163342</v>
      </c>
      <c r="T91" s="5">
        <v>126.66649016855</v>
      </c>
    </row>
    <row r="92" spans="1:20">
      <c r="A92" t="s">
        <v>758</v>
      </c>
      <c r="B92" s="5"/>
      <c r="F92" s="5">
        <v>0.0543589539162908</v>
      </c>
      <c r="G92" s="5">
        <v>0.0962809334592382</v>
      </c>
      <c r="H92" s="5">
        <v>0.249791537607706</v>
      </c>
      <c r="I92" s="5">
        <v>0.255056972075853</v>
      </c>
      <c r="J92" s="5">
        <v>0.342121197633908</v>
      </c>
      <c r="K92" s="5">
        <v>0.415827985031472</v>
      </c>
      <c r="L92" s="5">
        <v>0.348185725293574</v>
      </c>
      <c r="M92" s="5">
        <v>0.464289129090804</v>
      </c>
      <c r="N92" s="5">
        <v>0.582347390892</v>
      </c>
      <c r="O92" s="5">
        <v>0.743594008213608</v>
      </c>
      <c r="P92" s="5">
        <v>0.746707905830003</v>
      </c>
      <c r="Q92" s="5">
        <v>0.58579080084426</v>
      </c>
      <c r="R92" s="5">
        <v>0.518115741260727</v>
      </c>
      <c r="S92" s="5">
        <v>0.315155543586012</v>
      </c>
      <c r="T92" s="5">
        <v>5.71762382473546</v>
      </c>
    </row>
    <row r="93" spans="1:20">
      <c r="A93" t="s">
        <v>759</v>
      </c>
      <c r="H93" s="5">
        <v>0.149874922564623</v>
      </c>
      <c r="I93" s="5">
        <v>0.250806022541255</v>
      </c>
      <c r="J93" s="5">
        <v>0.466528905864419</v>
      </c>
      <c r="K93" s="5">
        <v>0.827086431765895</v>
      </c>
      <c r="L93" s="5">
        <v>1.05969568567609</v>
      </c>
      <c r="M93" s="5">
        <v>1.58632119106025</v>
      </c>
      <c r="N93" s="5">
        <v>2.3002721940234</v>
      </c>
      <c r="O93" s="5">
        <v>3.23322204837183</v>
      </c>
      <c r="P93" s="5">
        <v>4.6368994431961</v>
      </c>
      <c r="Q93" s="5">
        <v>6.66256570190999</v>
      </c>
      <c r="R93" s="5">
        <v>9.38755470182571</v>
      </c>
      <c r="S93" s="5">
        <v>13.6376398860856</v>
      </c>
      <c r="T93" s="5">
        <v>44.1984671348852</v>
      </c>
    </row>
    <row r="94" spans="1:20">
      <c r="A94" t="s">
        <v>760</v>
      </c>
      <c r="H94" s="5">
        <v>0.0817499577625218</v>
      </c>
      <c r="I94" s="5">
        <v>0.250806022541255</v>
      </c>
      <c r="J94" s="5">
        <v>0.279917343518652</v>
      </c>
      <c r="K94" s="5">
        <v>0.283311374417047</v>
      </c>
      <c r="L94" s="5">
        <v>0.444062953997601</v>
      </c>
      <c r="M94" s="5">
        <v>0.677088313257423</v>
      </c>
      <c r="N94" s="5">
        <v>0.849256611717499</v>
      </c>
      <c r="O94" s="5">
        <v>1.09185955636428</v>
      </c>
      <c r="P94" s="5">
        <v>0.934690315689304</v>
      </c>
      <c r="Q94" s="5">
        <v>0.798220431919651</v>
      </c>
      <c r="R94" s="5">
        <v>0.843035782390335</v>
      </c>
      <c r="S94" s="5">
        <v>0.658961591134388</v>
      </c>
      <c r="T94" s="5">
        <v>7.19296025470996</v>
      </c>
    </row>
    <row r="95" spans="1:20">
      <c r="A95" t="s">
        <v>761</v>
      </c>
      <c r="B95" s="5"/>
      <c r="C95" s="5"/>
      <c r="D95" s="5"/>
      <c r="H95" s="5">
        <v>0.118083272323643</v>
      </c>
      <c r="I95" s="5">
        <v>0.246555073006658</v>
      </c>
      <c r="J95" s="5">
        <v>0.493187700485243</v>
      </c>
      <c r="K95" s="5">
        <v>1.17437134234163</v>
      </c>
      <c r="L95" s="5">
        <v>2.01846797271637</v>
      </c>
      <c r="M95" s="5">
        <v>3.71431303272643</v>
      </c>
      <c r="N95" s="5">
        <v>5.9399433870984</v>
      </c>
      <c r="O95" s="5">
        <v>9.93027441348552</v>
      </c>
      <c r="P95" s="5">
        <v>13.6078377803705</v>
      </c>
      <c r="Q95" s="5">
        <v>18.2946973186746</v>
      </c>
      <c r="R95" s="5">
        <v>26.9595817910243</v>
      </c>
      <c r="S95" s="5">
        <v>47.9609436329985</v>
      </c>
      <c r="T95" s="5">
        <v>130.458256717252</v>
      </c>
    </row>
    <row r="96" spans="1:20">
      <c r="A96" t="s">
        <v>762</v>
      </c>
      <c r="H96" s="5">
        <v>0.122624936643783</v>
      </c>
      <c r="I96" s="5">
        <v>0.246555073006658</v>
      </c>
      <c r="J96" s="5">
        <v>0.448756376117203</v>
      </c>
      <c r="K96" s="5">
        <v>0.891059967924583</v>
      </c>
      <c r="L96" s="5">
        <v>1.64000522783205</v>
      </c>
      <c r="M96" s="5">
        <v>2.65515345698804</v>
      </c>
      <c r="N96" s="5">
        <v>4.3045177976767</v>
      </c>
      <c r="O96" s="5">
        <v>5.91110173617906</v>
      </c>
      <c r="P96" s="5">
        <v>8.97616007078164</v>
      </c>
      <c r="Q96" s="5">
        <v>13.2092606959607</v>
      </c>
      <c r="R96" s="5">
        <v>18.6433850626529</v>
      </c>
      <c r="S96" s="5">
        <v>27.0174252365099</v>
      </c>
      <c r="T96" s="5">
        <v>84.0660056382732</v>
      </c>
    </row>
    <row r="97" spans="1:20">
      <c r="A97" t="s">
        <v>763</v>
      </c>
      <c r="G97" s="5">
        <v>0.077941708038431</v>
      </c>
      <c r="H97" s="5">
        <v>0.149874922564623</v>
      </c>
      <c r="I97" s="5">
        <v>0.246555073006658</v>
      </c>
      <c r="J97" s="5">
        <v>0.466528905864419</v>
      </c>
      <c r="K97" s="5">
        <v>0.859073199845239</v>
      </c>
      <c r="L97" s="5">
        <v>1.7257901166725</v>
      </c>
      <c r="M97" s="5">
        <v>3.22584217816215</v>
      </c>
      <c r="N97" s="5">
        <v>4.6684849169842</v>
      </c>
      <c r="O97" s="5">
        <v>7.11120598994153</v>
      </c>
      <c r="P97" s="5">
        <v>9.8116374479341</v>
      </c>
      <c r="Q97" s="5">
        <v>12.4689756179707</v>
      </c>
      <c r="R97" s="5">
        <v>17.4315211254668</v>
      </c>
      <c r="S97" s="5">
        <v>21.7887082633784</v>
      </c>
      <c r="T97" s="5">
        <v>80.0321394658298</v>
      </c>
    </row>
    <row r="98" spans="1:20">
      <c r="A98" t="s">
        <v>764</v>
      </c>
      <c r="H98" s="5">
        <v>0.0772082934423817</v>
      </c>
      <c r="I98" s="5">
        <v>0.24230412347206</v>
      </c>
      <c r="J98" s="5">
        <v>0.368779992254732</v>
      </c>
      <c r="K98" s="5">
        <v>0.37470214035803</v>
      </c>
      <c r="L98" s="5">
        <v>0.49452465331551</v>
      </c>
      <c r="M98" s="5">
        <v>0.648070242689248</v>
      </c>
      <c r="N98" s="5">
        <v>1.1404303071635</v>
      </c>
      <c r="O98" s="5">
        <v>1.47777543404476</v>
      </c>
      <c r="P98" s="5">
        <v>2.14613251256036</v>
      </c>
      <c r="Q98" s="5">
        <v>3.16069541993991</v>
      </c>
      <c r="R98" s="5">
        <v>5.31288175360576</v>
      </c>
      <c r="S98" s="5">
        <v>10.3571571823948</v>
      </c>
      <c r="T98" s="5">
        <v>25.8006620552411</v>
      </c>
    </row>
    <row r="99" spans="1:20">
      <c r="A99" t="s">
        <v>765</v>
      </c>
      <c r="H99" s="5">
        <v>0.0862916220826619</v>
      </c>
      <c r="I99" s="5">
        <v>0.24230412347206</v>
      </c>
      <c r="J99" s="5">
        <v>0.28880360839226</v>
      </c>
      <c r="K99" s="5">
        <v>0.269602759525899</v>
      </c>
      <c r="L99" s="5">
        <v>0.433970614134019</v>
      </c>
      <c r="M99" s="5">
        <v>0.478798164374892</v>
      </c>
      <c r="N99" s="5">
        <v>0.4610250177895</v>
      </c>
      <c r="O99" s="5">
        <v>0.475335410313762</v>
      </c>
      <c r="P99" s="5">
        <v>0.704934036972381</v>
      </c>
      <c r="Q99" s="5">
        <v>0.72741055489452</v>
      </c>
      <c r="R99" s="5">
        <v>0.746437932324776</v>
      </c>
      <c r="S99" s="5">
        <v>0.658961591134388</v>
      </c>
      <c r="T99" s="5">
        <v>5.57387543541112</v>
      </c>
    </row>
    <row r="100" spans="1:20">
      <c r="A100" t="s">
        <v>766</v>
      </c>
      <c r="H100" s="5">
        <v>0.108999943683362</v>
      </c>
      <c r="I100" s="5">
        <v>0.238053173937462</v>
      </c>
      <c r="J100" s="5">
        <v>0.430983846369988</v>
      </c>
      <c r="K100" s="5">
        <v>0.977881195568517</v>
      </c>
      <c r="L100" s="5">
        <v>1.85194436496727</v>
      </c>
      <c r="M100" s="5">
        <v>3.50151384855982</v>
      </c>
      <c r="N100" s="5">
        <v>6.64846604601699</v>
      </c>
      <c r="O100" s="5">
        <v>10.7068124600377</v>
      </c>
      <c r="P100" s="5">
        <v>18.6363672441069</v>
      </c>
      <c r="Q100" s="5">
        <v>29.5148441963839</v>
      </c>
      <c r="R100" s="5">
        <v>52.0047698262038</v>
      </c>
      <c r="S100" s="5">
        <v>99.3312972375184</v>
      </c>
      <c r="T100" s="5">
        <v>223.951933383354</v>
      </c>
    </row>
    <row r="101" spans="1:20">
      <c r="A101" t="s">
        <v>767</v>
      </c>
      <c r="B101" s="5">
        <v>0.602962078618581</v>
      </c>
      <c r="H101" s="5">
        <v>0.0953749507229421</v>
      </c>
      <c r="I101" s="5">
        <v>0.229551274868267</v>
      </c>
      <c r="J101" s="5">
        <v>0.368779992254732</v>
      </c>
      <c r="K101" s="5">
        <v>0.580331363725241</v>
      </c>
      <c r="L101" s="5">
        <v>0.691325280655356</v>
      </c>
      <c r="M101" s="5">
        <v>1.15105013253762</v>
      </c>
      <c r="N101" s="5">
        <v>1.5432205858638</v>
      </c>
      <c r="O101" s="5">
        <v>2.14136249200754</v>
      </c>
      <c r="P101" s="5">
        <v>2.37588879127728</v>
      </c>
      <c r="Q101" s="5">
        <v>2.54271831135695</v>
      </c>
      <c r="R101" s="5">
        <v>2.82768252010092</v>
      </c>
      <c r="S101" s="5">
        <v>2.97965241208593</v>
      </c>
      <c r="T101" s="5">
        <v>18.1299001860752</v>
      </c>
    </row>
    <row r="102" spans="1:20">
      <c r="A102" t="s">
        <v>768</v>
      </c>
      <c r="F102" s="5">
        <v>0.104187995006224</v>
      </c>
      <c r="G102" s="5">
        <v>0.224655511404889</v>
      </c>
      <c r="H102" s="5">
        <v>0.140791593924343</v>
      </c>
      <c r="I102" s="5">
        <v>0.221049375799072</v>
      </c>
      <c r="J102" s="5">
        <v>0.217713489403396</v>
      </c>
      <c r="K102" s="5">
        <v>0.219337838258359</v>
      </c>
      <c r="L102" s="5">
        <v>0.121108078362982</v>
      </c>
      <c r="M102" s="5">
        <v>0.149926697935572</v>
      </c>
      <c r="N102" s="5">
        <v>0.1795571121917</v>
      </c>
      <c r="O102" s="5">
        <v>0.0847132414420566</v>
      </c>
      <c r="P102" s="5">
        <v>0.104434672144056</v>
      </c>
      <c r="Q102" s="5">
        <v>0.0643726154773912</v>
      </c>
      <c r="R102" s="5"/>
      <c r="S102" s="5"/>
      <c r="T102" s="5">
        <v>1.83184822135004</v>
      </c>
    </row>
    <row r="103" spans="1:20">
      <c r="A103" t="s">
        <v>769</v>
      </c>
      <c r="H103" s="5">
        <v>0.090833286402802</v>
      </c>
      <c r="I103" s="5">
        <v>0.216798426264475</v>
      </c>
      <c r="J103" s="5">
        <v>0.279917343518652</v>
      </c>
      <c r="K103" s="5">
        <v>0.411258446734423</v>
      </c>
      <c r="L103" s="5">
        <v>0.43901678406581</v>
      </c>
      <c r="M103" s="5">
        <v>0.459452783996108</v>
      </c>
      <c r="N103" s="5">
        <v>0.659993709677599</v>
      </c>
      <c r="O103" s="5">
        <v>0.767125464169734</v>
      </c>
      <c r="P103" s="5">
        <v>1.06001192226217</v>
      </c>
      <c r="Q103" s="5">
        <v>1.31320135573878</v>
      </c>
      <c r="R103" s="5">
        <v>1.80901428304593</v>
      </c>
      <c r="S103" s="5">
        <v>2.50691909670691</v>
      </c>
      <c r="T103" s="5">
        <v>10.0135429025834</v>
      </c>
    </row>
    <row r="104" spans="1:20">
      <c r="A104" t="s">
        <v>770</v>
      </c>
      <c r="C104" s="5">
        <v>0.269133617170617</v>
      </c>
      <c r="D104" s="5">
        <v>0.213370309580967</v>
      </c>
      <c r="E104" s="5">
        <v>0.263984405913174</v>
      </c>
      <c r="F104" s="5">
        <v>0.362393026108606</v>
      </c>
      <c r="G104" s="5">
        <v>0.238409930470495</v>
      </c>
      <c r="H104" s="5">
        <v>0.227083216007005</v>
      </c>
      <c r="I104" s="5">
        <v>0.216798426264475</v>
      </c>
      <c r="J104" s="5">
        <v>0.24437228402422</v>
      </c>
      <c r="K104" s="5">
        <v>0.269602759525899</v>
      </c>
      <c r="L104" s="5">
        <v>0.247262326657755</v>
      </c>
      <c r="M104" s="5">
        <v>0.372398572291583</v>
      </c>
      <c r="N104" s="5">
        <v>0.4076431736244</v>
      </c>
      <c r="O104" s="5">
        <v>0.616524146050523</v>
      </c>
      <c r="P104" s="5">
        <v>0.684047102543569</v>
      </c>
      <c r="Q104" s="5">
        <v>0.914091139778955</v>
      </c>
      <c r="R104" s="5">
        <v>1.22064555991934</v>
      </c>
      <c r="S104" s="5">
        <v>1.77633124566661</v>
      </c>
      <c r="T104" s="5">
        <v>8.54409124159819</v>
      </c>
    </row>
    <row r="105" spans="1:20">
      <c r="A105" t="s">
        <v>771</v>
      </c>
      <c r="G105" s="5">
        <v>0.0733569016832291</v>
      </c>
      <c r="H105" s="5">
        <v>0.136249929604203</v>
      </c>
      <c r="I105" s="5">
        <v>0.212547476729877</v>
      </c>
      <c r="J105" s="5">
        <v>0.235486019150612</v>
      </c>
      <c r="K105" s="5">
        <v>0.470662444596062</v>
      </c>
      <c r="L105" s="5">
        <v>0.544986352633419</v>
      </c>
      <c r="M105" s="5">
        <v>0.735124454393774</v>
      </c>
      <c r="N105" s="5">
        <v>0.781316082780099</v>
      </c>
      <c r="O105" s="5">
        <v>1.10597842993796</v>
      </c>
      <c r="P105" s="5">
        <v>1.15922486079903</v>
      </c>
      <c r="Q105" s="5">
        <v>1.62218991003026</v>
      </c>
      <c r="R105" s="5">
        <v>1.51922073284925</v>
      </c>
      <c r="S105" s="5">
        <v>1.60442822189242</v>
      </c>
      <c r="T105" s="5">
        <v>10.2007718170802</v>
      </c>
    </row>
    <row r="106" spans="1:20">
      <c r="A106" t="s">
        <v>772</v>
      </c>
      <c r="F106" s="5">
        <v>0.0679486923953635</v>
      </c>
      <c r="G106" s="5">
        <v>0.0687720953280273</v>
      </c>
      <c r="H106" s="5">
        <v>0.149874922564623</v>
      </c>
      <c r="I106" s="5">
        <v>0.212547476729877</v>
      </c>
      <c r="J106" s="5">
        <v>0.159952767724944</v>
      </c>
      <c r="K106" s="5">
        <v>0.187351070179015</v>
      </c>
      <c r="L106" s="5">
        <v>0.201846797271637</v>
      </c>
      <c r="M106" s="5">
        <v>0.265998980208273</v>
      </c>
      <c r="N106" s="5">
        <v>0.1552926375712</v>
      </c>
      <c r="O106" s="5">
        <v>0.150601318119212</v>
      </c>
      <c r="P106" s="5">
        <v>0.104434672144056</v>
      </c>
      <c r="Q106" s="5">
        <v>0.160931538693478</v>
      </c>
      <c r="R106" s="5">
        <v>0.0965978500655592</v>
      </c>
      <c r="S106" s="5">
        <v>0.214878779717735</v>
      </c>
      <c r="T106" s="5">
        <v>2.197029598713</v>
      </c>
    </row>
    <row r="107" spans="1:20">
      <c r="A107" t="s">
        <v>773</v>
      </c>
      <c r="B107" s="5">
        <v>1.39777572770671</v>
      </c>
      <c r="C107" s="5">
        <v>0.181665191590167</v>
      </c>
      <c r="F107" s="5">
        <v>0.0588888667426484</v>
      </c>
      <c r="G107" s="5">
        <v>0.0550176762624218</v>
      </c>
      <c r="H107" s="5">
        <v>0.113541608003503</v>
      </c>
      <c r="I107" s="5">
        <v>0.20829652719528</v>
      </c>
      <c r="J107" s="5">
        <v>0.328791800323496</v>
      </c>
      <c r="K107" s="5">
        <v>0.603179055210487</v>
      </c>
      <c r="L107" s="5">
        <v>0.772063999564011</v>
      </c>
      <c r="M107" s="5">
        <v>1.12686840706414</v>
      </c>
      <c r="N107" s="5">
        <v>1.8877761254749</v>
      </c>
      <c r="O107" s="5">
        <v>2.79083067639664</v>
      </c>
      <c r="P107" s="5">
        <v>4.05728701279659</v>
      </c>
      <c r="Q107" s="5">
        <v>6.0059650240406</v>
      </c>
      <c r="R107" s="5">
        <v>10.4764759207466</v>
      </c>
      <c r="S107" s="5">
        <v>19.2101629067655</v>
      </c>
      <c r="T107" s="5">
        <v>49.2745865258837</v>
      </c>
    </row>
    <row r="108" spans="1:20">
      <c r="A108" t="s">
        <v>774</v>
      </c>
      <c r="B108" s="5"/>
      <c r="C108" s="5"/>
      <c r="G108" s="5">
        <v>0.105450546169642</v>
      </c>
      <c r="H108" s="5">
        <v>0.090833286402802</v>
      </c>
      <c r="I108" s="5">
        <v>0.20829652719528</v>
      </c>
      <c r="J108" s="5">
        <v>0.137737105540924</v>
      </c>
      <c r="K108" s="5">
        <v>0.169072916990818</v>
      </c>
      <c r="L108" s="5">
        <v>0.237169986794173</v>
      </c>
      <c r="M108" s="5">
        <v>0.227308219450706</v>
      </c>
      <c r="N108" s="5">
        <v>0.2474976411291</v>
      </c>
      <c r="O108" s="5">
        <v>0.301202636238423</v>
      </c>
      <c r="P108" s="5">
        <v>0.522173360720282</v>
      </c>
      <c r="Q108" s="5">
        <v>0.495669139175912</v>
      </c>
      <c r="R108" s="5">
        <v>0.588368723126588</v>
      </c>
      <c r="S108" s="5">
        <v>0.830864614908576</v>
      </c>
      <c r="T108" s="5">
        <v>4.16164470384323</v>
      </c>
    </row>
    <row r="109" spans="1:20">
      <c r="A109" t="s">
        <v>775</v>
      </c>
      <c r="H109" s="5">
        <v>0.145333258244483</v>
      </c>
      <c r="I109" s="5">
        <v>0.20829652719528</v>
      </c>
      <c r="J109" s="5">
        <v>0.302133005702672</v>
      </c>
      <c r="K109" s="5">
        <v>0.287880912714096</v>
      </c>
      <c r="L109" s="5">
        <v>0.176615947612682</v>
      </c>
      <c r="M109" s="5">
        <v>0.24665359982949</v>
      </c>
      <c r="N109" s="5">
        <v>0.1795571121917</v>
      </c>
      <c r="O109" s="5">
        <v>0.25413972432617</v>
      </c>
      <c r="P109" s="5">
        <v>0.214091077895316</v>
      </c>
      <c r="Q109" s="5">
        <v>0.0965589232160868</v>
      </c>
      <c r="R109" s="5">
        <v>0.122942718265257</v>
      </c>
      <c r="S109" s="5"/>
      <c r="T109" s="5">
        <v>2.23420280719323</v>
      </c>
    </row>
    <row r="110" spans="1:20">
      <c r="A110" t="s">
        <v>776</v>
      </c>
      <c r="G110" s="5">
        <v>0.0641872889728255</v>
      </c>
      <c r="H110" s="5">
        <v>0.0953749507229421</v>
      </c>
      <c r="I110" s="5">
        <v>0.204045577660682</v>
      </c>
      <c r="J110" s="5">
        <v>0.4443132436804</v>
      </c>
      <c r="K110" s="5">
        <v>0.580331363725241</v>
      </c>
      <c r="L110" s="5">
        <v>0.792248679291175</v>
      </c>
      <c r="M110" s="5">
        <v>1.34450393632545</v>
      </c>
      <c r="N110" s="5">
        <v>2.2177729803137</v>
      </c>
      <c r="O110" s="5">
        <v>3.53442468461025</v>
      </c>
      <c r="P110" s="5">
        <v>5.50370722199177</v>
      </c>
      <c r="Q110" s="5">
        <v>10.6279188153173</v>
      </c>
      <c r="R110" s="5">
        <v>21.9540568330816</v>
      </c>
      <c r="S110" s="5">
        <v>48.3334001845092</v>
      </c>
      <c r="T110" s="5">
        <v>95.6962857602025</v>
      </c>
    </row>
    <row r="111" spans="1:20">
      <c r="A111" t="s">
        <v>777</v>
      </c>
      <c r="B111" s="5">
        <v>0.274073672099355</v>
      </c>
      <c r="C111" s="5">
        <v>0.154751829873105</v>
      </c>
      <c r="G111" s="5">
        <v>0.0871113207488346</v>
      </c>
      <c r="H111" s="5">
        <v>0.113541608003503</v>
      </c>
      <c r="I111" s="5">
        <v>0.204045577660682</v>
      </c>
      <c r="J111" s="5">
        <v>0.204384092092984</v>
      </c>
      <c r="K111" s="5">
        <v>0.329006757387538</v>
      </c>
      <c r="L111" s="5">
        <v>0.353231895225364</v>
      </c>
      <c r="M111" s="5">
        <v>0.440107403617325</v>
      </c>
      <c r="N111" s="5">
        <v>0.6163176553607</v>
      </c>
      <c r="O111" s="5">
        <v>0.668293349154002</v>
      </c>
      <c r="P111" s="5">
        <v>0.621386299257135</v>
      </c>
      <c r="Q111" s="5">
        <v>0.959151970613129</v>
      </c>
      <c r="R111" s="5">
        <v>1.03623148252145</v>
      </c>
      <c r="S111" s="5">
        <v>1.11736965453222</v>
      </c>
      <c r="T111" s="5">
        <v>7.17900456814733</v>
      </c>
    </row>
    <row r="112" spans="1:20">
      <c r="A112" t="s">
        <v>778</v>
      </c>
      <c r="C112" s="5">
        <v>0.134566808585309</v>
      </c>
      <c r="D112" s="5">
        <v>0.0595452026737582</v>
      </c>
      <c r="F112" s="5">
        <v>0.0815384308744363</v>
      </c>
      <c r="G112" s="5">
        <v>0.146713803366458</v>
      </c>
      <c r="H112" s="5">
        <v>0.172583244165324</v>
      </c>
      <c r="I112" s="5">
        <v>0.204045577660682</v>
      </c>
      <c r="J112" s="5">
        <v>0.15550963528814</v>
      </c>
      <c r="K112" s="5">
        <v>0.310728604199342</v>
      </c>
      <c r="L112" s="5">
        <v>0.27249317631671</v>
      </c>
      <c r="M112" s="5">
        <v>0.372398572291583</v>
      </c>
      <c r="N112" s="5">
        <v>0.3979373837762</v>
      </c>
      <c r="O112" s="5">
        <v>0.423566207210283</v>
      </c>
      <c r="P112" s="5">
        <v>0.422960422183428</v>
      </c>
      <c r="Q112" s="5">
        <v>0.489231877628173</v>
      </c>
      <c r="R112" s="5">
        <v>0.439081136661633</v>
      </c>
      <c r="S112" s="5">
        <v>0.515709071322565</v>
      </c>
      <c r="T112" s="5">
        <v>4.59860915420402</v>
      </c>
    </row>
    <row r="113" spans="1:20">
      <c r="A113" t="s">
        <v>779</v>
      </c>
      <c r="B113" s="5">
        <v>0.465925242568904</v>
      </c>
      <c r="C113" s="5">
        <v>0.134566808585309</v>
      </c>
      <c r="G113" s="5">
        <v>0.0550176762624218</v>
      </c>
      <c r="H113" s="5">
        <v>0.136249929604203</v>
      </c>
      <c r="I113" s="5">
        <v>0.204045577660682</v>
      </c>
      <c r="J113" s="5">
        <v>0.226599754277004</v>
      </c>
      <c r="K113" s="5">
        <v>0.274172297822949</v>
      </c>
      <c r="L113" s="5">
        <v>0.312862535771037</v>
      </c>
      <c r="M113" s="5">
        <v>0.256326290018882</v>
      </c>
      <c r="N113" s="5">
        <v>0.2863208005219</v>
      </c>
      <c r="O113" s="5">
        <v>0.338852965768226</v>
      </c>
      <c r="P113" s="5">
        <v>0.255864946752938</v>
      </c>
      <c r="Q113" s="5">
        <v>0.21886689262313</v>
      </c>
      <c r="R113" s="5">
        <v>0.272230304730212</v>
      </c>
      <c r="S113" s="5"/>
      <c r="T113" s="5">
        <v>3.4379020229678</v>
      </c>
    </row>
    <row r="114" spans="1:20">
      <c r="A114" t="s">
        <v>780</v>
      </c>
      <c r="B114" s="5"/>
      <c r="C114" s="5"/>
      <c r="D114" s="5">
        <v>0.0645073028965714</v>
      </c>
      <c r="G114" s="5">
        <v>0.110035352524844</v>
      </c>
      <c r="H114" s="5">
        <v>0.108999943683362</v>
      </c>
      <c r="I114" s="5">
        <v>0.204045577660682</v>
      </c>
      <c r="J114" s="5">
        <v>0.151066502851336</v>
      </c>
      <c r="K114" s="5">
        <v>0.173642455287867</v>
      </c>
      <c r="L114" s="5">
        <v>0.156431267885519</v>
      </c>
      <c r="M114" s="5">
        <v>0.183781113598443</v>
      </c>
      <c r="N114" s="5">
        <v>0.1552926375712</v>
      </c>
      <c r="O114" s="5">
        <v>0.183545356457789</v>
      </c>
      <c r="P114" s="5">
        <v>0.125321606572868</v>
      </c>
      <c r="Q114" s="5">
        <v>0.122307969407043</v>
      </c>
      <c r="R114" s="5">
        <v>0.114161095532025</v>
      </c>
      <c r="T114" s="5">
        <v>1.85313818192955</v>
      </c>
    </row>
    <row r="115" spans="1:20">
      <c r="A115" t="s">
        <v>781</v>
      </c>
      <c r="H115" s="5">
        <v>0.0544999718416812</v>
      </c>
      <c r="I115" s="5">
        <v>0.199794628126085</v>
      </c>
      <c r="J115" s="5">
        <v>0.208827224529788</v>
      </c>
      <c r="K115" s="5">
        <v>0.292450451011145</v>
      </c>
      <c r="L115" s="5">
        <v>0.504616993179092</v>
      </c>
      <c r="M115" s="5">
        <v>0.952759983655088</v>
      </c>
      <c r="N115" s="5">
        <v>1.4995445315469</v>
      </c>
      <c r="O115" s="5">
        <v>2.37197076037758</v>
      </c>
      <c r="P115" s="5">
        <v>3.8849698037589</v>
      </c>
      <c r="Q115" s="5">
        <v>5.96734145475416</v>
      </c>
      <c r="R115" s="5">
        <v>7.44681607778129</v>
      </c>
      <c r="S115" s="5">
        <v>7.52075729012073</v>
      </c>
      <c r="T115" s="5">
        <v>30.9043491706824</v>
      </c>
    </row>
    <row r="116" spans="1:20">
      <c r="A116" t="s">
        <v>782</v>
      </c>
      <c r="F116" s="5">
        <v>0.0860683437007938</v>
      </c>
      <c r="G116" s="5">
        <v>0.132959384300853</v>
      </c>
      <c r="H116" s="5">
        <v>0.195291565766024</v>
      </c>
      <c r="I116" s="5">
        <v>0.199794628126085</v>
      </c>
      <c r="J116" s="5">
        <v>0.337678065197104</v>
      </c>
      <c r="K116" s="5">
        <v>0.420397523328521</v>
      </c>
      <c r="L116" s="5">
        <v>0.489478483383719</v>
      </c>
      <c r="M116" s="5">
        <v>0.604543136836985</v>
      </c>
      <c r="N116" s="5">
        <v>0.839550821869299</v>
      </c>
      <c r="O116" s="5">
        <v>0.9647896942012</v>
      </c>
      <c r="P116" s="5">
        <v>1.34198553705112</v>
      </c>
      <c r="Q116" s="5">
        <v>1.924741202774</v>
      </c>
      <c r="R116" s="5">
        <v>2.94184361563294</v>
      </c>
      <c r="S116" s="5">
        <v>4.74165840577136</v>
      </c>
      <c r="T116" s="5">
        <v>15.22078040794</v>
      </c>
    </row>
    <row r="117" spans="1:20">
      <c r="A117" t="s">
        <v>783</v>
      </c>
      <c r="E117" s="5">
        <v>0.0575965976537834</v>
      </c>
      <c r="F117" s="5">
        <v>0.226495641317878</v>
      </c>
      <c r="G117" s="5">
        <v>0.366784508416146</v>
      </c>
      <c r="H117" s="5">
        <v>0.358791481291068</v>
      </c>
      <c r="I117" s="5">
        <v>0.199794628126085</v>
      </c>
      <c r="J117" s="5">
        <v>0.164395900161748</v>
      </c>
      <c r="K117" s="5">
        <v>0.210198761664261</v>
      </c>
      <c r="L117" s="5">
        <v>0.222031476998801</v>
      </c>
      <c r="M117" s="5">
        <v>0.290180705681753</v>
      </c>
      <c r="N117" s="5">
        <v>0.2523505360532</v>
      </c>
      <c r="O117" s="5">
        <v>0.334146674577001</v>
      </c>
      <c r="P117" s="5">
        <v>0.386408286933009</v>
      </c>
      <c r="Q117" s="5">
        <v>0.411984739055304</v>
      </c>
      <c r="R117" s="5">
        <v>0.649840082259216</v>
      </c>
      <c r="S117" s="5">
        <v>0.644636339153206</v>
      </c>
      <c r="T117" s="5">
        <v>4.77563635934246</v>
      </c>
    </row>
    <row r="118" spans="1:20">
      <c r="A118" t="s">
        <v>784</v>
      </c>
      <c r="B118" s="5"/>
      <c r="C118" s="5"/>
      <c r="D118" s="5"/>
      <c r="E118" s="5"/>
      <c r="F118" s="5"/>
      <c r="G118" s="5"/>
      <c r="H118" s="5">
        <v>0.0726666291222416</v>
      </c>
      <c r="I118" s="5">
        <v>0.199794628126085</v>
      </c>
      <c r="J118" s="5">
        <v>0.239929151587416</v>
      </c>
      <c r="K118" s="5">
        <v>0.269602759525899</v>
      </c>
      <c r="L118" s="5">
        <v>0.257354666521337</v>
      </c>
      <c r="M118" s="5">
        <v>0.367562227196887</v>
      </c>
      <c r="N118" s="5">
        <v>0.4804365974859</v>
      </c>
      <c r="O118" s="5">
        <v>0.381209586489255</v>
      </c>
      <c r="P118" s="5">
        <v>0.355077885289792</v>
      </c>
      <c r="Q118" s="5">
        <v>0.276802246552782</v>
      </c>
      <c r="R118" s="5">
        <v>0.158069209198188</v>
      </c>
      <c r="S118" s="5">
        <v>0.143252519811824</v>
      </c>
      <c r="T118" s="5">
        <v>3.20175810690761</v>
      </c>
    </row>
    <row r="119" spans="1:20">
      <c r="A119" t="s">
        <v>785</v>
      </c>
      <c r="H119" s="5">
        <v>0.0635833004819614</v>
      </c>
      <c r="I119" s="5">
        <v>0.195543678591487</v>
      </c>
      <c r="J119" s="5">
        <v>0.159952767724944</v>
      </c>
      <c r="K119" s="5">
        <v>0.246755068040654</v>
      </c>
      <c r="L119" s="5">
        <v>0.262400836453128</v>
      </c>
      <c r="M119" s="5">
        <v>0.207962839071923</v>
      </c>
      <c r="N119" s="5">
        <v>0.3688200142316</v>
      </c>
      <c r="O119" s="5">
        <v>0.334146674577001</v>
      </c>
      <c r="P119" s="5">
        <v>0.417738688576225</v>
      </c>
      <c r="Q119" s="5">
        <v>0.257490461909565</v>
      </c>
      <c r="R119" s="5">
        <v>0.281011927463445</v>
      </c>
      <c r="S119" s="5"/>
      <c r="T119" s="5">
        <v>2.79540625712193</v>
      </c>
    </row>
    <row r="120" spans="1:20">
      <c r="A120" t="s">
        <v>786</v>
      </c>
      <c r="G120" s="5">
        <v>0.0825265143936328</v>
      </c>
      <c r="H120" s="5">
        <v>0.0726666291222416</v>
      </c>
      <c r="I120" s="5">
        <v>0.191292729056889</v>
      </c>
      <c r="J120" s="5">
        <v>0.297689873265868</v>
      </c>
      <c r="K120" s="5">
        <v>0.338145833981637</v>
      </c>
      <c r="L120" s="5">
        <v>0.585355712087747</v>
      </c>
      <c r="M120" s="5">
        <v>1.11235937178005</v>
      </c>
      <c r="N120" s="5">
        <v>1.8538058610062</v>
      </c>
      <c r="O120" s="5">
        <v>2.98849490642811</v>
      </c>
      <c r="P120" s="5">
        <v>5.15907280391638</v>
      </c>
      <c r="Q120" s="5">
        <v>9.76532576792024</v>
      </c>
      <c r="R120" s="5">
        <v>21.1198026734245</v>
      </c>
      <c r="S120" s="5">
        <v>47.8176911131867</v>
      </c>
      <c r="T120" s="5">
        <v>91.3842297895702</v>
      </c>
    </row>
    <row r="121" spans="1:20">
      <c r="A121" t="s">
        <v>787</v>
      </c>
      <c r="F121" s="5">
        <v>0.172136687401588</v>
      </c>
      <c r="G121" s="5">
        <v>0.265918768601706</v>
      </c>
      <c r="H121" s="5">
        <v>0.249791537607706</v>
      </c>
      <c r="I121" s="5">
        <v>0.191292729056889</v>
      </c>
      <c r="J121" s="5">
        <v>0.15550963528814</v>
      </c>
      <c r="K121" s="5">
        <v>0.150794763802622</v>
      </c>
      <c r="L121" s="5">
        <v>0.121108078362982</v>
      </c>
      <c r="M121" s="5">
        <v>0.154763043030268</v>
      </c>
      <c r="N121" s="5">
        <v>0.1407339527989</v>
      </c>
      <c r="O121" s="5">
        <v>0.183545356457789</v>
      </c>
      <c r="P121" s="5">
        <v>0.120099872965665</v>
      </c>
      <c r="Q121" s="5">
        <v>0.122307969407043</v>
      </c>
      <c r="R121" s="5">
        <v>0.149287586464955</v>
      </c>
      <c r="S121" s="5"/>
      <c r="T121" s="5">
        <v>2.17728998124625</v>
      </c>
    </row>
    <row r="122" spans="1:20">
      <c r="A122" t="s">
        <v>788</v>
      </c>
      <c r="D122" s="5">
        <v>0.0545831024509451</v>
      </c>
      <c r="G122" s="5">
        <v>0.0825265143936328</v>
      </c>
      <c r="H122" s="5">
        <v>0.0544999718416812</v>
      </c>
      <c r="I122" s="5">
        <v>0.191292729056889</v>
      </c>
      <c r="J122" s="5">
        <v>0.217713489403396</v>
      </c>
      <c r="K122" s="5">
        <v>0.246755068040654</v>
      </c>
      <c r="L122" s="5">
        <v>0.222031476998801</v>
      </c>
      <c r="M122" s="5">
        <v>0.188617458693139</v>
      </c>
      <c r="N122" s="5">
        <v>0.1358810578748</v>
      </c>
      <c r="O122" s="5">
        <v>0.141188735736761</v>
      </c>
      <c r="P122" s="5">
        <v>0.13054334018007</v>
      </c>
      <c r="Q122" s="5"/>
      <c r="R122" s="5"/>
      <c r="S122" s="5"/>
      <c r="T122" s="5">
        <v>1.66563294467077</v>
      </c>
    </row>
    <row r="123" spans="1:20">
      <c r="A123" t="s">
        <v>789</v>
      </c>
      <c r="I123" s="5">
        <v>0.187041779522292</v>
      </c>
      <c r="J123" s="5">
        <v>0.462085773427615</v>
      </c>
      <c r="K123" s="5">
        <v>1.46682179335277</v>
      </c>
      <c r="L123" s="5">
        <v>3.48185725293574</v>
      </c>
      <c r="M123" s="5">
        <v>7.80586098283915</v>
      </c>
      <c r="N123" s="5">
        <v>14.7867708337327</v>
      </c>
      <c r="O123" s="5">
        <v>24.745679083463</v>
      </c>
      <c r="P123" s="5">
        <v>37.7374687792548</v>
      </c>
      <c r="Q123" s="5">
        <v>52.9593507532497</v>
      </c>
      <c r="R123" s="5">
        <v>70.2090737521951</v>
      </c>
      <c r="S123" s="5">
        <v>91.6386369236235</v>
      </c>
      <c r="T123" s="5">
        <v>305.480647707596</v>
      </c>
    </row>
    <row r="124" spans="1:20">
      <c r="A124" t="s">
        <v>790</v>
      </c>
      <c r="H124" s="5">
        <v>0.0726666291222416</v>
      </c>
      <c r="I124" s="5">
        <v>0.187041779522292</v>
      </c>
      <c r="J124" s="5">
        <v>0.382109389565144</v>
      </c>
      <c r="K124" s="5">
        <v>0.690000282854421</v>
      </c>
      <c r="L124" s="5">
        <v>1.08492653533505</v>
      </c>
      <c r="M124" s="5">
        <v>1.96839245354122</v>
      </c>
      <c r="N124" s="5">
        <v>3.3048214433121</v>
      </c>
      <c r="O124" s="5">
        <v>5.04043786580237</v>
      </c>
      <c r="P124" s="5">
        <v>8.01536108705632</v>
      </c>
      <c r="Q124" s="5">
        <v>13.8529868507346</v>
      </c>
      <c r="R124" s="5">
        <v>26.4414660497635</v>
      </c>
      <c r="S124" s="5">
        <v>62.0856420864443</v>
      </c>
      <c r="T124" s="5">
        <v>123.125852453054</v>
      </c>
    </row>
    <row r="125" spans="1:20">
      <c r="A125" t="s">
        <v>791</v>
      </c>
      <c r="H125" s="5">
        <v>0.0726666291222416</v>
      </c>
      <c r="I125" s="5">
        <v>0.187041779522292</v>
      </c>
      <c r="J125" s="5">
        <v>0.342121197633908</v>
      </c>
      <c r="K125" s="5">
        <v>0.644304899883929</v>
      </c>
      <c r="L125" s="5">
        <v>1.110157384994</v>
      </c>
      <c r="M125" s="5">
        <v>1.66853905767008</v>
      </c>
      <c r="N125" s="5">
        <v>2.6157103640899</v>
      </c>
      <c r="O125" s="5">
        <v>3.76032666178907</v>
      </c>
      <c r="P125" s="5">
        <v>5.70213309906548</v>
      </c>
      <c r="Q125" s="5">
        <v>9.26965662874433</v>
      </c>
      <c r="R125" s="5">
        <v>15.9825533744834</v>
      </c>
      <c r="S125" s="5">
        <v>32.5899482571898</v>
      </c>
      <c r="T125" s="5">
        <v>73.9451593341885</v>
      </c>
    </row>
    <row r="126" spans="1:20">
      <c r="A126" t="s">
        <v>792</v>
      </c>
      <c r="F126" s="5">
        <v>0.0679486923953635</v>
      </c>
      <c r="G126" s="5">
        <v>0.160468222432064</v>
      </c>
      <c r="H126" s="5">
        <v>0.145333258244483</v>
      </c>
      <c r="I126" s="5">
        <v>0.187041779522292</v>
      </c>
      <c r="J126" s="5">
        <v>0.13329397310412</v>
      </c>
      <c r="K126" s="5">
        <v>0.196490146773113</v>
      </c>
      <c r="L126" s="5">
        <v>0.161477437817309</v>
      </c>
      <c r="M126" s="5">
        <v>0.169272078314356</v>
      </c>
      <c r="N126" s="5">
        <v>0.2038215868122</v>
      </c>
      <c r="O126" s="5">
        <v>0.188251647649015</v>
      </c>
      <c r="P126" s="5">
        <v>0.161873741823287</v>
      </c>
      <c r="Q126" s="5">
        <v>0.141619754050261</v>
      </c>
      <c r="R126" s="5">
        <v>0.16685083193142</v>
      </c>
      <c r="S126" s="5">
        <v>0.272179787642465</v>
      </c>
      <c r="T126" s="5">
        <v>2.35592293851175</v>
      </c>
    </row>
    <row r="127" spans="1:20">
      <c r="A127" t="s">
        <v>793</v>
      </c>
      <c r="B127" s="5"/>
      <c r="C127" s="5">
        <v>0.0740117447219197</v>
      </c>
      <c r="E127" s="5">
        <v>0.0863948964806751</v>
      </c>
      <c r="F127" s="5">
        <v>0.226495641317878</v>
      </c>
      <c r="G127" s="5">
        <v>0.233825124115293</v>
      </c>
      <c r="H127" s="5">
        <v>0.199833230086164</v>
      </c>
      <c r="I127" s="5">
        <v>0.182790829987694</v>
      </c>
      <c r="J127" s="5">
        <v>0.1110783109201</v>
      </c>
      <c r="K127" s="5">
        <v>0.123377534020327</v>
      </c>
      <c r="L127" s="5">
        <v>0.116061908431191</v>
      </c>
      <c r="M127" s="5">
        <v>0.0628724862310464</v>
      </c>
      <c r="N127" s="5">
        <v>0.0922050035578999</v>
      </c>
      <c r="O127" s="5">
        <v>0.0800069502508312</v>
      </c>
      <c r="P127" s="5">
        <v>0.0522173360720282</v>
      </c>
      <c r="Q127" s="5">
        <v>0.0643726154773912</v>
      </c>
      <c r="R127" s="5"/>
      <c r="S127" s="5"/>
      <c r="T127" s="5">
        <v>1.70554361167044</v>
      </c>
    </row>
    <row r="128" spans="1:20">
      <c r="A128" t="s">
        <v>794</v>
      </c>
      <c r="H128" s="5">
        <v>0.122624936643783</v>
      </c>
      <c r="I128" s="5">
        <v>0.174288930918499</v>
      </c>
      <c r="J128" s="5">
        <v>0.239929151587416</v>
      </c>
      <c r="K128" s="5">
        <v>0.292450451011145</v>
      </c>
      <c r="L128" s="5">
        <v>0.267447006384919</v>
      </c>
      <c r="M128" s="5">
        <v>0.30468974096584</v>
      </c>
      <c r="N128" s="5">
        <v>0.3591142243834</v>
      </c>
      <c r="O128" s="5">
        <v>0.32473409219455</v>
      </c>
      <c r="P128" s="5">
        <v>0.297638815610561</v>
      </c>
      <c r="Q128" s="5">
        <v>0.167368800241217</v>
      </c>
      <c r="R128" s="5">
        <v>0.122942718265257</v>
      </c>
      <c r="S128" s="5"/>
      <c r="T128" s="5">
        <v>2.67322886820659</v>
      </c>
    </row>
    <row r="129" spans="1:20">
      <c r="A129" t="s">
        <v>795</v>
      </c>
      <c r="H129" s="5">
        <v>0.0817499577625218</v>
      </c>
      <c r="I129" s="5">
        <v>0.170037981383902</v>
      </c>
      <c r="J129" s="5">
        <v>0.395438786875556</v>
      </c>
      <c r="K129" s="5">
        <v>0.776821510498354</v>
      </c>
      <c r="L129" s="5">
        <v>1.22621929342519</v>
      </c>
      <c r="M129" s="5">
        <v>1.65886636748069</v>
      </c>
      <c r="N129" s="5">
        <v>2.0721861325907</v>
      </c>
      <c r="O129" s="5">
        <v>3.01673265357546</v>
      </c>
      <c r="P129" s="5">
        <v>3.92674367261652</v>
      </c>
      <c r="Q129" s="5">
        <v>6.17333382428181</v>
      </c>
      <c r="R129" s="5">
        <v>10.9155570574082</v>
      </c>
      <c r="S129" s="5">
        <v>18.1214437561957</v>
      </c>
      <c r="T129" s="5">
        <v>48.5351309940946</v>
      </c>
    </row>
    <row r="130" spans="1:20">
      <c r="A130" t="s">
        <v>796</v>
      </c>
      <c r="B130" s="5"/>
      <c r="H130" s="5">
        <v>0.0635833004819614</v>
      </c>
      <c r="I130" s="5">
        <v>0.165787031849304</v>
      </c>
      <c r="J130" s="5">
        <v>0.284360475955456</v>
      </c>
      <c r="K130" s="5">
        <v>0.447814753110816</v>
      </c>
      <c r="L130" s="5">
        <v>0.731694640109684</v>
      </c>
      <c r="M130" s="5">
        <v>1.22359530895806</v>
      </c>
      <c r="N130" s="5">
        <v>1.7227776980555</v>
      </c>
      <c r="O130" s="5">
        <v>2.24019460702327</v>
      </c>
      <c r="P130" s="5">
        <v>2.53776253310057</v>
      </c>
      <c r="Q130" s="5">
        <v>2.93539126576904</v>
      </c>
      <c r="R130" s="5">
        <v>3.34579826136164</v>
      </c>
      <c r="S130" s="5">
        <v>4.06837156265579</v>
      </c>
      <c r="T130" s="5">
        <v>19.7671314384311</v>
      </c>
    </row>
    <row r="131" spans="1:20">
      <c r="A131" t="s">
        <v>797</v>
      </c>
      <c r="D131" s="5">
        <v>0.0545831024509451</v>
      </c>
      <c r="E131" s="5"/>
      <c r="F131" s="5">
        <v>0.0452991282635757</v>
      </c>
      <c r="G131" s="5">
        <v>0.0550176762624218</v>
      </c>
      <c r="H131" s="5">
        <v>0.127166600963923</v>
      </c>
      <c r="I131" s="5">
        <v>0.165787031849304</v>
      </c>
      <c r="J131" s="5">
        <v>0.226599754277004</v>
      </c>
      <c r="K131" s="5">
        <v>0.329006757387538</v>
      </c>
      <c r="L131" s="5">
        <v>0.408739764475065</v>
      </c>
      <c r="M131" s="5">
        <v>0.507816234943067</v>
      </c>
      <c r="N131" s="5">
        <v>0.747345818311399</v>
      </c>
      <c r="O131" s="5">
        <v>0.870663870376693</v>
      </c>
      <c r="P131" s="5">
        <v>1.02345978701175</v>
      </c>
      <c r="Q131" s="5">
        <v>1.36469944812069</v>
      </c>
      <c r="R131" s="5">
        <v>1.76510616937976</v>
      </c>
      <c r="S131" s="5">
        <v>2.76477363236819</v>
      </c>
      <c r="T131" s="5">
        <v>10.4560647764413</v>
      </c>
    </row>
    <row r="132" spans="1:20">
      <c r="A132" t="s">
        <v>798</v>
      </c>
      <c r="H132" s="5">
        <v>0.0635833004819614</v>
      </c>
      <c r="I132" s="5">
        <v>0.157285132780109</v>
      </c>
      <c r="J132" s="5">
        <v>0.550948422163695</v>
      </c>
      <c r="K132" s="5">
        <v>0.982450733865566</v>
      </c>
      <c r="L132" s="5">
        <v>1.86708287476264</v>
      </c>
      <c r="M132" s="5">
        <v>3.02755202927962</v>
      </c>
      <c r="N132" s="5">
        <v>4.1152548956368</v>
      </c>
      <c r="O132" s="5">
        <v>5.48753552896878</v>
      </c>
      <c r="P132" s="5">
        <v>6.59504954589716</v>
      </c>
      <c r="Q132" s="5">
        <v>7.82127278050303</v>
      </c>
      <c r="R132" s="5">
        <v>9.36120983362601</v>
      </c>
      <c r="S132" s="5">
        <v>13.5230378702361</v>
      </c>
      <c r="T132" s="5">
        <v>53.5522629482015</v>
      </c>
    </row>
    <row r="133" spans="1:20">
      <c r="A133" t="s">
        <v>799</v>
      </c>
      <c r="H133" s="5">
        <v>0.0862916220826619</v>
      </c>
      <c r="I133" s="5">
        <v>0.157285132780109</v>
      </c>
      <c r="J133" s="5">
        <v>0.19994095965618</v>
      </c>
      <c r="K133" s="5">
        <v>0.283311374417047</v>
      </c>
      <c r="L133" s="5">
        <v>0.449109123929392</v>
      </c>
      <c r="M133" s="5">
        <v>0.662579277973335</v>
      </c>
      <c r="N133" s="5">
        <v>1.1501360970117</v>
      </c>
      <c r="O133" s="5">
        <v>1.95311084435853</v>
      </c>
      <c r="P133" s="5">
        <v>3.02338375857043</v>
      </c>
      <c r="Q133" s="5">
        <v>4.75713628377921</v>
      </c>
      <c r="R133" s="5">
        <v>8.5796454103683</v>
      </c>
      <c r="S133" s="5">
        <v>12.1907894359862</v>
      </c>
      <c r="T133" s="5">
        <v>33.4927193209131</v>
      </c>
    </row>
    <row r="134" spans="1:20">
      <c r="A134" t="s">
        <v>800</v>
      </c>
      <c r="B134" s="5">
        <v>1.01407258676761</v>
      </c>
      <c r="C134" s="5">
        <v>0.289318638458413</v>
      </c>
      <c r="D134" s="5">
        <v>0.0694694031193846</v>
      </c>
      <c r="F134" s="5">
        <v>0.0724786052217211</v>
      </c>
      <c r="G134" s="5">
        <v>0.0871113207488346</v>
      </c>
      <c r="H134" s="5">
        <v>0.118083272323643</v>
      </c>
      <c r="I134" s="5">
        <v>0.157285132780109</v>
      </c>
      <c r="J134" s="5">
        <v>0.17772529747216</v>
      </c>
      <c r="K134" s="5">
        <v>0.15993384039672</v>
      </c>
      <c r="L134" s="5">
        <v>0.151385097953728</v>
      </c>
      <c r="M134" s="5">
        <v>0.227308219450706</v>
      </c>
      <c r="N134" s="5">
        <v>0.2377918512809</v>
      </c>
      <c r="O134" s="5">
        <v>0.291790053855973</v>
      </c>
      <c r="P134" s="5">
        <v>0.302860549217763</v>
      </c>
      <c r="Q134" s="5">
        <v>0.379798431316608</v>
      </c>
      <c r="R134" s="5">
        <v>0.500552495794261</v>
      </c>
      <c r="S134" s="5">
        <v>0.458408063397835</v>
      </c>
      <c r="T134" s="5">
        <v>4.69537285955637</v>
      </c>
    </row>
    <row r="135" spans="1:20">
      <c r="A135" t="s">
        <v>801</v>
      </c>
      <c r="C135" s="5">
        <v>0.114381787297512</v>
      </c>
      <c r="D135" s="5">
        <v>0.0992420044562637</v>
      </c>
      <c r="E135" s="5">
        <v>0.115193195307567</v>
      </c>
      <c r="F135" s="5">
        <v>0.289914420886884</v>
      </c>
      <c r="G135" s="5">
        <v>0.311766832153724</v>
      </c>
      <c r="H135" s="5">
        <v>0.172583244165324</v>
      </c>
      <c r="I135" s="5">
        <v>0.157285132780109</v>
      </c>
      <c r="J135" s="5">
        <v>0.142180237977728</v>
      </c>
      <c r="K135" s="5">
        <v>0.063973536158688</v>
      </c>
      <c r="L135" s="5">
        <v>0.116061908431191</v>
      </c>
      <c r="M135" s="5">
        <v>0.116072282272701</v>
      </c>
      <c r="N135" s="5">
        <v>0.0970578984819999</v>
      </c>
      <c r="O135" s="5">
        <v>0.155307609310437</v>
      </c>
      <c r="P135" s="5">
        <v>0.104434672144056</v>
      </c>
      <c r="Q135" s="5">
        <v>0.160931538693478</v>
      </c>
      <c r="R135" s="5">
        <v>0.184414077397886</v>
      </c>
      <c r="S135" s="5">
        <v>0.358131299529559</v>
      </c>
      <c r="T135" s="5">
        <v>2.75893167744511</v>
      </c>
    </row>
    <row r="136" spans="1:20">
      <c r="A136" t="s">
        <v>802</v>
      </c>
      <c r="B136" s="5"/>
      <c r="H136" s="5">
        <v>0.0726666291222416</v>
      </c>
      <c r="I136" s="5">
        <v>0.153034183245512</v>
      </c>
      <c r="J136" s="5">
        <v>0.337678065197104</v>
      </c>
      <c r="K136" s="5">
        <v>0.429536599922619</v>
      </c>
      <c r="L136" s="5">
        <v>0.580309542155956</v>
      </c>
      <c r="M136" s="5">
        <v>0.643233897594552</v>
      </c>
      <c r="N136" s="5">
        <v>0.970578984819999</v>
      </c>
      <c r="O136" s="5">
        <v>0.941258238245073</v>
      </c>
      <c r="P136" s="5">
        <v>0.919025114867696</v>
      </c>
      <c r="Q136" s="5">
        <v>0.785345908824172</v>
      </c>
      <c r="R136" s="5">
        <v>0.667403327725682</v>
      </c>
      <c r="S136" s="5">
        <v>0.343806047548376</v>
      </c>
      <c r="T136" s="5">
        <v>6.84387653926898</v>
      </c>
    </row>
    <row r="137" spans="1:20">
      <c r="A137" t="s">
        <v>803</v>
      </c>
      <c r="B137" s="5">
        <v>1.45259046212658</v>
      </c>
      <c r="C137" s="5">
        <v>0.154751829873105</v>
      </c>
      <c r="G137" s="5">
        <v>0.0550176762624218</v>
      </c>
      <c r="H137" s="5">
        <v>0.0953749507229421</v>
      </c>
      <c r="I137" s="5">
        <v>0.153034183245512</v>
      </c>
      <c r="J137" s="5">
        <v>0.195497827219376</v>
      </c>
      <c r="K137" s="5">
        <v>0.127947072317376</v>
      </c>
      <c r="L137" s="5">
        <v>0.121108078362982</v>
      </c>
      <c r="M137" s="5">
        <v>0.111235937178005</v>
      </c>
      <c r="N137" s="5">
        <v>0.1552926375712</v>
      </c>
      <c r="O137" s="5">
        <v>0.174132774075339</v>
      </c>
      <c r="P137" s="5">
        <v>0.177538942644896</v>
      </c>
      <c r="Q137" s="5">
        <v>0.154494277145739</v>
      </c>
      <c r="R137" s="5">
        <v>0.13172434099849</v>
      </c>
      <c r="S137" s="5">
        <v>0.186228275755371</v>
      </c>
      <c r="T137" s="5">
        <v>3.44596926549934</v>
      </c>
    </row>
    <row r="138" spans="1:20">
      <c r="A138" t="s">
        <v>804</v>
      </c>
      <c r="B138" s="5"/>
      <c r="C138" s="5">
        <v>0.0672834042926543</v>
      </c>
      <c r="D138" s="5">
        <v>0.0694694031193846</v>
      </c>
      <c r="E138" s="5">
        <v>0.10559376236527</v>
      </c>
      <c r="F138" s="5">
        <v>0.13136747196437</v>
      </c>
      <c r="G138" s="5">
        <v>0.165053028787266</v>
      </c>
      <c r="H138" s="5">
        <v>0.177124908485464</v>
      </c>
      <c r="I138" s="5">
        <v>0.153034183245512</v>
      </c>
      <c r="J138" s="5">
        <v>0.159952767724944</v>
      </c>
      <c r="K138" s="5">
        <v>0.155364302099671</v>
      </c>
      <c r="L138" s="5">
        <v>0.181662117544473</v>
      </c>
      <c r="M138" s="5">
        <v>0.174108423409052</v>
      </c>
      <c r="N138" s="5">
        <v>0.1213223731025</v>
      </c>
      <c r="O138" s="5">
        <v>0.150601318119212</v>
      </c>
      <c r="P138" s="5">
        <v>0.0835477377152451</v>
      </c>
      <c r="Q138" s="5">
        <v>0.0643726154773912</v>
      </c>
      <c r="R138" s="5">
        <v>0.114161095532025</v>
      </c>
      <c r="S138" s="5"/>
      <c r="T138" s="5">
        <v>2.07401891298443</v>
      </c>
    </row>
    <row r="139" spans="1:20">
      <c r="A139" t="s">
        <v>805</v>
      </c>
      <c r="B139" s="5"/>
      <c r="F139" s="5">
        <v>0.0679486923953635</v>
      </c>
      <c r="G139" s="5">
        <v>0.155883416076862</v>
      </c>
      <c r="H139" s="5">
        <v>0.190749901445884</v>
      </c>
      <c r="I139" s="5">
        <v>0.153034183245512</v>
      </c>
      <c r="J139" s="5">
        <v>0.0888626487360799</v>
      </c>
      <c r="K139" s="5">
        <v>0.118807995723278</v>
      </c>
      <c r="L139" s="5">
        <v>0.0706463790450729</v>
      </c>
      <c r="M139" s="5">
        <v>0.0870542117045258</v>
      </c>
      <c r="N139" s="5">
        <v>0.1213223731025</v>
      </c>
      <c r="O139" s="5">
        <v>0.0894195326332819</v>
      </c>
      <c r="P139" s="5">
        <v>0.0835477377152451</v>
      </c>
      <c r="Q139" s="5">
        <v>0.0901216616683477</v>
      </c>
      <c r="R139" s="5">
        <v>0.140505963731722</v>
      </c>
      <c r="S139" s="5">
        <v>0.186228275755371</v>
      </c>
      <c r="T139" s="5">
        <v>1.64413297297905</v>
      </c>
    </row>
    <row r="140" spans="1:20">
      <c r="A140" t="s">
        <v>806</v>
      </c>
      <c r="H140" s="5">
        <v>0.0681249648021015</v>
      </c>
      <c r="I140" s="5">
        <v>0.148783233710914</v>
      </c>
      <c r="J140" s="5">
        <v>0.413211316622772</v>
      </c>
      <c r="K140" s="5">
        <v>0.772251972201305</v>
      </c>
      <c r="L140" s="5">
        <v>1.91754457408055</v>
      </c>
      <c r="M140" s="5">
        <v>3.59824075045373</v>
      </c>
      <c r="N140" s="5">
        <v>6.4252328795084</v>
      </c>
      <c r="O140" s="5">
        <v>9.47847045912788</v>
      </c>
      <c r="P140" s="5">
        <v>14.5059759608094</v>
      </c>
      <c r="Q140" s="5">
        <v>19.0414196582123</v>
      </c>
      <c r="R140" s="5">
        <v>28.5227106375397</v>
      </c>
      <c r="S140" s="5">
        <v>40.8699439023132</v>
      </c>
      <c r="T140" s="5">
        <v>125.761910309382</v>
      </c>
    </row>
    <row r="141" spans="1:20">
      <c r="A141" t="s">
        <v>807</v>
      </c>
      <c r="G141" s="5">
        <v>0.0550176762624218</v>
      </c>
      <c r="H141" s="5">
        <v>0.0544999718416812</v>
      </c>
      <c r="I141" s="5">
        <v>0.148783233710914</v>
      </c>
      <c r="J141" s="5">
        <v>0.28880360839226</v>
      </c>
      <c r="K141" s="5">
        <v>0.466092906299013</v>
      </c>
      <c r="L141" s="5">
        <v>0.676186770859983</v>
      </c>
      <c r="M141" s="5">
        <v>1.18006820310579</v>
      </c>
      <c r="N141" s="5">
        <v>1.892629020399</v>
      </c>
      <c r="O141" s="5">
        <v>3.28499125147531</v>
      </c>
      <c r="P141" s="5">
        <v>4.69433851287533</v>
      </c>
      <c r="Q141" s="5">
        <v>6.93936794846277</v>
      </c>
      <c r="R141" s="5">
        <v>11.1965689848716</v>
      </c>
      <c r="S141" s="5">
        <v>21.0008194044133</v>
      </c>
      <c r="T141" s="5">
        <v>51.8781674929694</v>
      </c>
    </row>
    <row r="142" spans="1:20">
      <c r="A142" t="s">
        <v>808</v>
      </c>
      <c r="D142" s="5">
        <v>0.079393603565011</v>
      </c>
      <c r="E142" s="5">
        <v>0.263984405913174</v>
      </c>
      <c r="F142" s="5">
        <v>0.471110933941187</v>
      </c>
      <c r="G142" s="5">
        <v>0.311766832153724</v>
      </c>
      <c r="H142" s="5">
        <v>0.213458223046585</v>
      </c>
      <c r="I142" s="5">
        <v>0.148783233710914</v>
      </c>
      <c r="J142" s="5">
        <v>0.173282165035356</v>
      </c>
      <c r="K142" s="5">
        <v>0.164503378693769</v>
      </c>
      <c r="L142" s="5">
        <v>0.126154248294773</v>
      </c>
      <c r="M142" s="5">
        <v>0.227308219450706</v>
      </c>
      <c r="N142" s="5">
        <v>0.242644746205</v>
      </c>
      <c r="O142" s="5">
        <v>0.522398322226015</v>
      </c>
      <c r="P142" s="5">
        <v>0.522173360720282</v>
      </c>
      <c r="Q142" s="5">
        <v>0.823969478110607</v>
      </c>
      <c r="R142" s="5">
        <v>1.05379472798792</v>
      </c>
      <c r="S142" s="5">
        <v>1.7047049857607</v>
      </c>
      <c r="T142" s="5">
        <v>7.04943086481572</v>
      </c>
    </row>
    <row r="143" spans="1:20">
      <c r="A143" t="s">
        <v>809</v>
      </c>
      <c r="H143" s="5">
        <v>0.0726666291222416</v>
      </c>
      <c r="I143" s="5">
        <v>0.148783233710914</v>
      </c>
      <c r="J143" s="5">
        <v>0.0977489136096879</v>
      </c>
      <c r="K143" s="5">
        <v>0.118807995723278</v>
      </c>
      <c r="L143" s="5">
        <v>0.176615947612682</v>
      </c>
      <c r="M143" s="5">
        <v>0.135417662651485</v>
      </c>
      <c r="N143" s="5">
        <v>0.3202910649906</v>
      </c>
      <c r="O143" s="5">
        <v>0.480041701504987</v>
      </c>
      <c r="P143" s="5">
        <v>0.532616827934687</v>
      </c>
      <c r="Q143" s="5">
        <v>0.914091139778955</v>
      </c>
      <c r="R143" s="5">
        <v>1.2908985417852</v>
      </c>
      <c r="S143" s="5">
        <v>1.7047049857607</v>
      </c>
      <c r="T143" s="5">
        <v>5.99268464418542</v>
      </c>
    </row>
    <row r="144" spans="1:20">
      <c r="A144" t="s">
        <v>810</v>
      </c>
      <c r="B144" s="5">
        <v>0.493332609778839</v>
      </c>
      <c r="C144" s="5">
        <v>0.0672834042926543</v>
      </c>
      <c r="D144" s="5">
        <v>0.0595452026737582</v>
      </c>
      <c r="F144" s="5">
        <v>0.0770085180480787</v>
      </c>
      <c r="G144" s="5">
        <v>0.128374577945651</v>
      </c>
      <c r="H144" s="5">
        <v>0.190749901445884</v>
      </c>
      <c r="I144" s="5">
        <v>0.148783233710914</v>
      </c>
      <c r="J144" s="5">
        <v>0.168839032598552</v>
      </c>
      <c r="K144" s="5">
        <v>0.141655687208523</v>
      </c>
      <c r="L144" s="5">
        <v>0.201846797271637</v>
      </c>
      <c r="M144" s="5">
        <v>0.135417662651485</v>
      </c>
      <c r="N144" s="5">
        <v>0.1649984274194</v>
      </c>
      <c r="O144" s="5">
        <v>0.183545356457789</v>
      </c>
      <c r="P144" s="5">
        <v>0.156652008216085</v>
      </c>
      <c r="Q144" s="5">
        <v>0.102996184763826</v>
      </c>
      <c r="R144" s="5">
        <v>0.0965978500655592</v>
      </c>
      <c r="S144" s="5"/>
      <c r="T144" s="5">
        <v>2.51762645454864</v>
      </c>
    </row>
    <row r="145" spans="1:20">
      <c r="A145" t="s">
        <v>811</v>
      </c>
      <c r="C145" s="5">
        <v>0.0874684255804506</v>
      </c>
      <c r="G145" s="5">
        <v>0.132959384300853</v>
      </c>
      <c r="H145" s="5">
        <v>0.136249929604203</v>
      </c>
      <c r="I145" s="5">
        <v>0.148783233710914</v>
      </c>
      <c r="J145" s="5">
        <v>0.173282165035356</v>
      </c>
      <c r="K145" s="5">
        <v>0.155364302099671</v>
      </c>
      <c r="L145" s="5">
        <v>0.116061908431191</v>
      </c>
      <c r="M145" s="5">
        <v>0.0967269018939176</v>
      </c>
      <c r="N145" s="5">
        <v>0.1164694781784</v>
      </c>
      <c r="O145" s="5">
        <v>0.108244697398183</v>
      </c>
      <c r="P145" s="5">
        <v>0.0783260041080423</v>
      </c>
      <c r="Q145" s="5">
        <v>0.0965589232160868</v>
      </c>
      <c r="R145" s="5">
        <v>0.0878162273323266</v>
      </c>
      <c r="S145" s="5"/>
      <c r="T145" s="5">
        <v>1.5343115808896</v>
      </c>
    </row>
    <row r="146" spans="1:20">
      <c r="A146" t="s">
        <v>812</v>
      </c>
      <c r="D146" s="5">
        <v>0.079393603565011</v>
      </c>
      <c r="E146" s="5">
        <v>0.0671960305960806</v>
      </c>
      <c r="F146" s="5"/>
      <c r="G146" s="5">
        <v>0.10086573981444</v>
      </c>
      <c r="H146" s="5">
        <v>0.0681249648021015</v>
      </c>
      <c r="I146" s="5">
        <v>0.144532284176316</v>
      </c>
      <c r="J146" s="5">
        <v>0.26658794620824</v>
      </c>
      <c r="K146" s="5">
        <v>0.753973819013109</v>
      </c>
      <c r="L146" s="5">
        <v>1.34732737178818</v>
      </c>
      <c r="M146" s="5">
        <v>2.77122573926074</v>
      </c>
      <c r="N146" s="5">
        <v>4.610250177895</v>
      </c>
      <c r="O146" s="5">
        <v>7.60066027382896</v>
      </c>
      <c r="P146" s="5">
        <v>10.6210061570505</v>
      </c>
      <c r="Q146" s="5">
        <v>14.7413289443226</v>
      </c>
      <c r="R146" s="5">
        <v>20.0133182090372</v>
      </c>
      <c r="S146" s="5">
        <v>26.7165949449051</v>
      </c>
      <c r="T146" s="5">
        <v>89.9023862062636</v>
      </c>
    </row>
    <row r="147" spans="1:20">
      <c r="A147" t="s">
        <v>813</v>
      </c>
      <c r="B147" s="5"/>
      <c r="H147" s="5">
        <v>0.0817499577625218</v>
      </c>
      <c r="I147" s="5">
        <v>0.144532284176316</v>
      </c>
      <c r="J147" s="5">
        <v>0.302133005702672</v>
      </c>
      <c r="K147" s="5">
        <v>0.607748593507536</v>
      </c>
      <c r="L147" s="5">
        <v>1.06978802553968</v>
      </c>
      <c r="M147" s="5">
        <v>1.7555932693746</v>
      </c>
      <c r="N147" s="5">
        <v>3.2854098636157</v>
      </c>
      <c r="O147" s="5">
        <v>5.40752857871795</v>
      </c>
      <c r="P147" s="5">
        <v>7.99969588623472</v>
      </c>
      <c r="Q147" s="5">
        <v>10.4798617997193</v>
      </c>
      <c r="R147" s="5">
        <v>13.0494913815837</v>
      </c>
      <c r="S147" s="5">
        <v>15.1704418480721</v>
      </c>
      <c r="T147" s="5">
        <v>59.3539744940068</v>
      </c>
    </row>
    <row r="148" spans="1:20">
      <c r="A148" t="s">
        <v>814</v>
      </c>
      <c r="B148" s="5"/>
      <c r="C148" s="5"/>
      <c r="F148" s="5">
        <v>0.104187995006224</v>
      </c>
      <c r="G148" s="5">
        <v>0.187977060563275</v>
      </c>
      <c r="H148" s="5">
        <v>0.204374894406305</v>
      </c>
      <c r="I148" s="5">
        <v>0.144532284176316</v>
      </c>
      <c r="J148" s="5">
        <v>0.186611562345768</v>
      </c>
      <c r="K148" s="5">
        <v>0.155364302099671</v>
      </c>
      <c r="L148" s="5">
        <v>0.21698530706701</v>
      </c>
      <c r="M148" s="5">
        <v>0.24665359982949</v>
      </c>
      <c r="N148" s="5">
        <v>0.1989686918881</v>
      </c>
      <c r="O148" s="5">
        <v>0.235314559561268</v>
      </c>
      <c r="P148" s="5">
        <v>0.193204143466504</v>
      </c>
      <c r="Q148" s="5">
        <v>0.160931538693478</v>
      </c>
      <c r="R148" s="5">
        <v>0.114161095532025</v>
      </c>
      <c r="S148" s="5"/>
      <c r="T148" s="5">
        <v>2.34926703463543</v>
      </c>
    </row>
    <row r="149" spans="1:20">
      <c r="A149" t="s">
        <v>815</v>
      </c>
      <c r="H149" s="5">
        <v>0.0590416361618213</v>
      </c>
      <c r="I149" s="5">
        <v>0.144532284176316</v>
      </c>
      <c r="J149" s="5">
        <v>0.115521443356904</v>
      </c>
      <c r="K149" s="5">
        <v>0.155364302099671</v>
      </c>
      <c r="L149" s="5">
        <v>0.191754457408055</v>
      </c>
      <c r="M149" s="5">
        <v>0.174108423409052</v>
      </c>
      <c r="N149" s="5">
        <v>0.1649984274194</v>
      </c>
      <c r="O149" s="5">
        <v>0.141188735736761</v>
      </c>
      <c r="P149" s="5">
        <v>0.104434672144056</v>
      </c>
      <c r="Q149" s="5">
        <v>0.0836844001206085</v>
      </c>
      <c r="R149" s="5"/>
      <c r="S149" s="5"/>
      <c r="T149" s="5">
        <v>1.33462878203264</v>
      </c>
    </row>
    <row r="150" spans="1:20">
      <c r="A150" t="s">
        <v>816</v>
      </c>
      <c r="B150" s="5"/>
      <c r="C150" s="5"/>
      <c r="H150" s="5">
        <v>0.0590416361618213</v>
      </c>
      <c r="I150" s="5">
        <v>0.140281334641719</v>
      </c>
      <c r="J150" s="5">
        <v>0.297689873265868</v>
      </c>
      <c r="K150" s="5">
        <v>0.658013514775077</v>
      </c>
      <c r="L150" s="5">
        <v>1.56431267885519</v>
      </c>
      <c r="M150" s="5">
        <v>3.09526086060536</v>
      </c>
      <c r="N150" s="5">
        <v>5.8574441733887</v>
      </c>
      <c r="O150" s="5">
        <v>9.31845655862622</v>
      </c>
      <c r="P150" s="5">
        <v>13.4668509729761</v>
      </c>
      <c r="Q150" s="5">
        <v>17.6960319947348</v>
      </c>
      <c r="R150" s="5">
        <v>20.988078332426</v>
      </c>
      <c r="S150" s="5">
        <v>24.983239455182</v>
      </c>
      <c r="T150" s="5">
        <v>98.1247013856389</v>
      </c>
    </row>
    <row r="151" spans="1:20">
      <c r="A151" t="s">
        <v>817</v>
      </c>
      <c r="I151" s="5">
        <v>0.140281334641719</v>
      </c>
      <c r="J151" s="5">
        <v>0.217713489403396</v>
      </c>
      <c r="K151" s="5">
        <v>0.488940597784258</v>
      </c>
      <c r="L151" s="5">
        <v>0.867941228268038</v>
      </c>
      <c r="M151" s="5">
        <v>1.81362941051095</v>
      </c>
      <c r="N151" s="5">
        <v>2.7952674762816</v>
      </c>
      <c r="O151" s="5">
        <v>4.94160575078663</v>
      </c>
      <c r="P151" s="5">
        <v>6.79869715657807</v>
      </c>
      <c r="Q151" s="5">
        <v>9.39840185969911</v>
      </c>
      <c r="R151" s="5">
        <v>10.5203840344127</v>
      </c>
      <c r="S151" s="5">
        <v>9.75549659918518</v>
      </c>
      <c r="T151" s="5">
        <v>47.7383589375517</v>
      </c>
    </row>
    <row r="152" spans="1:20">
      <c r="A152" t="s">
        <v>818</v>
      </c>
      <c r="B152" s="5">
        <v>10.5244290086152</v>
      </c>
      <c r="C152" s="5">
        <v>0.423885447043722</v>
      </c>
      <c r="D152" s="5">
        <v>0.104204104679077</v>
      </c>
      <c r="E152" s="5">
        <v>0.0815951800095265</v>
      </c>
      <c r="F152" s="5">
        <v>0.0860683437007938</v>
      </c>
      <c r="G152" s="5">
        <v>0.123789771590449</v>
      </c>
      <c r="H152" s="5">
        <v>0.131708265284063</v>
      </c>
      <c r="I152" s="5">
        <v>0.140281334641719</v>
      </c>
      <c r="J152" s="5">
        <v>0.119964575793708</v>
      </c>
      <c r="K152" s="5">
        <v>0.146225225505573</v>
      </c>
      <c r="L152" s="5">
        <v>0.0958772287040275</v>
      </c>
      <c r="M152" s="5">
        <v>0.0967269018939176</v>
      </c>
      <c r="N152" s="5">
        <v>0.0824992137096999</v>
      </c>
      <c r="O152" s="5">
        <v>0.103538406206958</v>
      </c>
      <c r="P152" s="5">
        <v>0.104434672144056</v>
      </c>
      <c r="Q152" s="5">
        <v>0.0772471385728694</v>
      </c>
      <c r="R152" s="5">
        <v>0.0878162273323266</v>
      </c>
      <c r="S152" s="5">
        <v>0.143252519811824</v>
      </c>
      <c r="T152" s="5">
        <v>12.6735435652395</v>
      </c>
    </row>
    <row r="153" spans="1:20">
      <c r="A153" t="s">
        <v>819</v>
      </c>
      <c r="H153" s="5">
        <v>0.0726666291222416</v>
      </c>
      <c r="I153" s="5">
        <v>0.140281334641719</v>
      </c>
      <c r="J153" s="5">
        <v>0.142180237977728</v>
      </c>
      <c r="K153" s="5">
        <v>0.150794763802622</v>
      </c>
      <c r="L153" s="5">
        <v>0.151385097953728</v>
      </c>
      <c r="M153" s="5">
        <v>0.227308219450706</v>
      </c>
      <c r="N153" s="5">
        <v>0.2863208005219</v>
      </c>
      <c r="O153" s="5">
        <v>0.343559256959452</v>
      </c>
      <c r="P153" s="5">
        <v>0.24019974593133</v>
      </c>
      <c r="Q153" s="5">
        <v>0.167368800241217</v>
      </c>
      <c r="R153" s="5">
        <v>0.140505963731722</v>
      </c>
      <c r="S153" s="5"/>
      <c r="T153" s="5">
        <v>2.06257085033437</v>
      </c>
    </row>
    <row r="154" spans="1:20">
      <c r="A154" t="s">
        <v>820</v>
      </c>
      <c r="G154" s="5">
        <v>0.0641872889728255</v>
      </c>
      <c r="H154" s="5">
        <v>0.0635833004819614</v>
      </c>
      <c r="I154" s="5">
        <v>0.136030385107121</v>
      </c>
      <c r="J154" s="5">
        <v>0.19994095965618</v>
      </c>
      <c r="K154" s="5">
        <v>0.329006757387538</v>
      </c>
      <c r="L154" s="5">
        <v>0.433970614134019</v>
      </c>
      <c r="M154" s="5">
        <v>0.744797144583165</v>
      </c>
      <c r="N154" s="5">
        <v>1.2374882056455</v>
      </c>
      <c r="O154" s="5">
        <v>2.48962804015822</v>
      </c>
      <c r="P154" s="5">
        <v>3.80664379965085</v>
      </c>
      <c r="Q154" s="5">
        <v>5.51029588486469</v>
      </c>
      <c r="R154" s="5">
        <v>8.33375997383779</v>
      </c>
      <c r="S154" s="5">
        <v>12.5489207355157</v>
      </c>
      <c r="T154" s="5">
        <v>35.8982530899956</v>
      </c>
    </row>
    <row r="155" spans="1:20">
      <c r="A155" t="s">
        <v>821</v>
      </c>
      <c r="B155" s="5">
        <v>0.274073672099355</v>
      </c>
      <c r="H155" s="5">
        <v>0.0590416361618213</v>
      </c>
      <c r="I155" s="5">
        <v>0.136030385107121</v>
      </c>
      <c r="J155" s="5">
        <v>0.19994095965618</v>
      </c>
      <c r="K155" s="5">
        <v>0.260463682931801</v>
      </c>
      <c r="L155" s="5">
        <v>0.413785934406856</v>
      </c>
      <c r="M155" s="5">
        <v>0.372398572291583</v>
      </c>
      <c r="N155" s="5">
        <v>0.6114647604366</v>
      </c>
      <c r="O155" s="5">
        <v>0.743594008213608</v>
      </c>
      <c r="P155" s="5">
        <v>0.939912049296507</v>
      </c>
      <c r="Q155" s="5">
        <v>1.05571089382922</v>
      </c>
      <c r="R155" s="5">
        <v>0.99232336885529</v>
      </c>
      <c r="S155" s="5">
        <v>1.31792318226878</v>
      </c>
      <c r="T155" s="5">
        <v>7.37666310555472</v>
      </c>
    </row>
    <row r="156" spans="1:20">
      <c r="A156" t="s">
        <v>822</v>
      </c>
      <c r="G156" s="5">
        <v>0.0687720953280273</v>
      </c>
      <c r="H156" s="5">
        <v>0.0862916220826619</v>
      </c>
      <c r="I156" s="5">
        <v>0.131779435572524</v>
      </c>
      <c r="J156" s="5">
        <v>0.151066502851336</v>
      </c>
      <c r="K156" s="5">
        <v>0.0456953829704914</v>
      </c>
      <c r="L156" s="5"/>
      <c r="M156" s="5"/>
      <c r="N156" s="5"/>
      <c r="O156" s="5"/>
      <c r="P156" s="5"/>
      <c r="Q156" s="5"/>
      <c r="R156" s="5"/>
      <c r="S156" s="5"/>
      <c r="T156" s="5">
        <v>0.483605038805041</v>
      </c>
    </row>
    <row r="157" spans="1:20">
      <c r="A157" t="s">
        <v>823</v>
      </c>
      <c r="I157" s="5">
        <v>0.127528486037926</v>
      </c>
      <c r="J157" s="5">
        <v>0.253258548897828</v>
      </c>
      <c r="K157" s="5">
        <v>0.539205519051799</v>
      </c>
      <c r="L157" s="5">
        <v>0.736740810041475</v>
      </c>
      <c r="M157" s="5">
        <v>1.32515855594667</v>
      </c>
      <c r="N157" s="5">
        <v>1.7567479625242</v>
      </c>
      <c r="O157" s="5">
        <v>2.12724361843387</v>
      </c>
      <c r="P157" s="5">
        <v>2.7831840126391</v>
      </c>
      <c r="Q157" s="5">
        <v>3.3731250510153</v>
      </c>
      <c r="R157" s="5">
        <v>3.60924694335862</v>
      </c>
      <c r="S157" s="5">
        <v>5.5152220127552</v>
      </c>
      <c r="T157" s="5">
        <v>22.146661520702</v>
      </c>
    </row>
    <row r="158" spans="1:20">
      <c r="A158" t="s">
        <v>824</v>
      </c>
      <c r="E158" s="5">
        <v>0.0479971647114862</v>
      </c>
      <c r="F158" s="5">
        <v>0.0498290410899333</v>
      </c>
      <c r="G158" s="5">
        <v>0.0596024826176237</v>
      </c>
      <c r="H158" s="5">
        <v>0.0590416361618213</v>
      </c>
      <c r="I158" s="5">
        <v>0.123277536503329</v>
      </c>
      <c r="J158" s="5">
        <v>0.17772529747216</v>
      </c>
      <c r="K158" s="5">
        <v>0.310728604199342</v>
      </c>
      <c r="L158" s="5">
        <v>0.474339973588347</v>
      </c>
      <c r="M158" s="5">
        <v>0.875378462139954</v>
      </c>
      <c r="N158" s="5">
        <v>1.4170453178372</v>
      </c>
      <c r="O158" s="5">
        <v>2.41432738109861</v>
      </c>
      <c r="P158" s="5">
        <v>4.02073487754617</v>
      </c>
      <c r="Q158" s="5">
        <v>6.75268736357834</v>
      </c>
      <c r="R158" s="5">
        <v>10.1076477659508</v>
      </c>
      <c r="S158" s="5">
        <v>15.5285731476017</v>
      </c>
      <c r="T158" s="5">
        <v>42.4189360520968</v>
      </c>
    </row>
    <row r="159" spans="1:20">
      <c r="A159" t="s">
        <v>825</v>
      </c>
      <c r="B159" s="5">
        <v>0.54814734419871</v>
      </c>
      <c r="F159" s="5">
        <v>0.0860683437007938</v>
      </c>
      <c r="G159" s="5">
        <v>0.10086573981444</v>
      </c>
      <c r="H159" s="5">
        <v>0.0862916220826619</v>
      </c>
      <c r="I159" s="5">
        <v>0.123277536503329</v>
      </c>
      <c r="J159" s="5">
        <v>0.128850840667316</v>
      </c>
      <c r="K159" s="5">
        <v>0.155364302099671</v>
      </c>
      <c r="L159" s="5">
        <v>0.141292758090146</v>
      </c>
      <c r="M159" s="5">
        <v>0.193453803787835</v>
      </c>
      <c r="N159" s="5">
        <v>0.2620563259014</v>
      </c>
      <c r="O159" s="5">
        <v>0.282377471473522</v>
      </c>
      <c r="P159" s="5">
        <v>0.323747483646575</v>
      </c>
      <c r="Q159" s="5">
        <v>0.424859262150782</v>
      </c>
      <c r="R159" s="5">
        <v>0.711311441391845</v>
      </c>
      <c r="S159" s="5">
        <v>1.01709289066395</v>
      </c>
      <c r="T159" s="5">
        <v>4.58505716617298</v>
      </c>
    </row>
    <row r="160" spans="1:20">
      <c r="A160" t="s">
        <v>826</v>
      </c>
      <c r="H160" s="5">
        <v>0.108999943683362</v>
      </c>
      <c r="I160" s="5">
        <v>0.123277536503329</v>
      </c>
      <c r="J160" s="5">
        <v>0.257701681334632</v>
      </c>
      <c r="K160" s="5">
        <v>0.260463682931801</v>
      </c>
      <c r="L160" s="5">
        <v>0.267447006384919</v>
      </c>
      <c r="M160" s="5">
        <v>0.319198776249928</v>
      </c>
      <c r="N160" s="5">
        <v>0.291173695446</v>
      </c>
      <c r="O160" s="5">
        <v>0.244727141943719</v>
      </c>
      <c r="P160" s="5">
        <v>0.16709547543049</v>
      </c>
      <c r="Q160" s="5">
        <v>0.212429631075391</v>
      </c>
      <c r="R160" s="5">
        <v>0.13172434099849</v>
      </c>
      <c r="S160" s="5"/>
      <c r="T160" s="5">
        <v>2.38423891198206</v>
      </c>
    </row>
    <row r="161" spans="1:20">
      <c r="A161" t="s">
        <v>827</v>
      </c>
      <c r="B161" s="5">
        <v>0.328888406519226</v>
      </c>
      <c r="C161" s="5">
        <v>0.0874684255804506</v>
      </c>
      <c r="D161" s="5"/>
      <c r="E161" s="5"/>
      <c r="F161" s="5">
        <v>0.063418779569006</v>
      </c>
      <c r="G161" s="5">
        <v>0.077941708038431</v>
      </c>
      <c r="H161" s="5">
        <v>0.122624936643783</v>
      </c>
      <c r="I161" s="5">
        <v>0.123277536503329</v>
      </c>
      <c r="J161" s="5">
        <v>0.159952767724944</v>
      </c>
      <c r="K161" s="5">
        <v>0.114238457426229</v>
      </c>
      <c r="L161" s="5">
        <v>0.191754457408055</v>
      </c>
      <c r="M161" s="5">
        <v>0.130581317556789</v>
      </c>
      <c r="N161" s="5">
        <v>0.1310281629507</v>
      </c>
      <c r="O161" s="5">
        <v>0.117657279780634</v>
      </c>
      <c r="P161" s="5">
        <v>0.0992129385368535</v>
      </c>
      <c r="Q161" s="5">
        <v>0.0643726154773912</v>
      </c>
      <c r="R161" s="5">
        <v>0.184414077397886</v>
      </c>
      <c r="S161" s="5">
        <v>0.171903023774188</v>
      </c>
      <c r="T161" s="5">
        <v>2.1687348908879</v>
      </c>
    </row>
    <row r="162" spans="1:20">
      <c r="A162" t="s">
        <v>828</v>
      </c>
      <c r="H162" s="5">
        <v>0.0544999718416812</v>
      </c>
      <c r="I162" s="5">
        <v>0.119026586968731</v>
      </c>
      <c r="J162" s="5">
        <v>0.284360475955456</v>
      </c>
      <c r="K162" s="5">
        <v>0.539205519051799</v>
      </c>
      <c r="L162" s="5">
        <v>1.0546495157443</v>
      </c>
      <c r="M162" s="5">
        <v>1.77010230465869</v>
      </c>
      <c r="N162" s="5">
        <v>3.0912940666517</v>
      </c>
      <c r="O162" s="5">
        <v>5.97698981285621</v>
      </c>
      <c r="P162" s="5">
        <v>9.27902061999941</v>
      </c>
      <c r="Q162" s="5">
        <v>15.6361082994583</v>
      </c>
      <c r="R162" s="5">
        <v>26.0287297813016</v>
      </c>
      <c r="S162" s="5">
        <v>52.1725677154661</v>
      </c>
      <c r="T162" s="5">
        <v>116.006554669954</v>
      </c>
    </row>
    <row r="163" spans="1:20">
      <c r="A163" t="s">
        <v>829</v>
      </c>
      <c r="H163" s="5">
        <v>0.0953749507229421</v>
      </c>
      <c r="I163" s="5">
        <v>0.119026586968731</v>
      </c>
      <c r="J163" s="5">
        <v>0.195497827219376</v>
      </c>
      <c r="K163" s="5">
        <v>0.274172297822949</v>
      </c>
      <c r="L163" s="5">
        <v>0.388555084747901</v>
      </c>
      <c r="M163" s="5">
        <v>0.73996079948847</v>
      </c>
      <c r="N163" s="5">
        <v>1.2374882056455</v>
      </c>
      <c r="O163" s="5">
        <v>2.08018070652161</v>
      </c>
      <c r="P163" s="5">
        <v>3.59777445536274</v>
      </c>
      <c r="Q163" s="5">
        <v>5.63904111581947</v>
      </c>
      <c r="R163" s="5">
        <v>10.1252110114173</v>
      </c>
      <c r="S163" s="5">
        <v>16.5599912902468</v>
      </c>
      <c r="T163" s="5">
        <v>41.0522743319838</v>
      </c>
    </row>
    <row r="164" spans="1:20">
      <c r="A164" t="s">
        <v>830</v>
      </c>
      <c r="C164" s="5">
        <v>0.127838468156043</v>
      </c>
      <c r="D164" s="5">
        <v>0.0595452026737582</v>
      </c>
      <c r="E164" s="5">
        <v>0.062396314124932</v>
      </c>
      <c r="I164" s="5">
        <v>0.119026586968731</v>
      </c>
      <c r="J164" s="5">
        <v>0.0755332514256679</v>
      </c>
      <c r="K164" s="5">
        <v>0.146225225505573</v>
      </c>
      <c r="L164" s="5">
        <v>0.161477437817309</v>
      </c>
      <c r="M164" s="5">
        <v>0.207962839071923</v>
      </c>
      <c r="N164" s="5">
        <v>0.3591142243834</v>
      </c>
      <c r="O164" s="5">
        <v>0.503573157461114</v>
      </c>
      <c r="P164" s="5">
        <v>0.77803830747322</v>
      </c>
      <c r="Q164" s="5">
        <v>1.16514434014078</v>
      </c>
      <c r="R164" s="5">
        <v>1.47531261918309</v>
      </c>
      <c r="S164" s="5">
        <v>2.59287060859401</v>
      </c>
      <c r="T164" s="5">
        <v>7.83405858297955</v>
      </c>
    </row>
    <row r="165" spans="1:20">
      <c r="A165" t="s">
        <v>831</v>
      </c>
      <c r="G165" s="5">
        <v>0.0596024826176237</v>
      </c>
      <c r="H165" s="5">
        <v>0.0772082934423817</v>
      </c>
      <c r="I165" s="5">
        <v>0.119026586968731</v>
      </c>
      <c r="J165" s="5">
        <v>0.115521443356904</v>
      </c>
      <c r="K165" s="5">
        <v>0.063973536158688</v>
      </c>
      <c r="L165" s="5">
        <v>0.0807387189086547</v>
      </c>
      <c r="M165" s="5">
        <v>0.0773815215151341</v>
      </c>
      <c r="N165" s="5">
        <v>0.1067636883302</v>
      </c>
      <c r="O165" s="5">
        <v>0.0988321150157327</v>
      </c>
      <c r="P165" s="5">
        <v>0.0783260041080423</v>
      </c>
      <c r="Q165" s="5">
        <v>0.0772471385728694</v>
      </c>
      <c r="R165" s="5">
        <v>0.105379472798792</v>
      </c>
      <c r="S165" s="5"/>
      <c r="T165" s="5">
        <v>1.06000100179375</v>
      </c>
    </row>
    <row r="166" spans="1:20">
      <c r="A166" t="s">
        <v>832</v>
      </c>
      <c r="G166" s="5">
        <v>0.0641872889728255</v>
      </c>
      <c r="I166" s="5">
        <v>0.114775637434134</v>
      </c>
      <c r="J166" s="5">
        <v>0.164395900161748</v>
      </c>
      <c r="K166" s="5">
        <v>0.338145833981637</v>
      </c>
      <c r="L166" s="5">
        <v>0.60049422188312</v>
      </c>
      <c r="M166" s="5">
        <v>1.66370271257538</v>
      </c>
      <c r="N166" s="5">
        <v>4.2802533230562</v>
      </c>
      <c r="O166" s="5">
        <v>8.75370161567918</v>
      </c>
      <c r="P166" s="5">
        <v>14.4015412886654</v>
      </c>
      <c r="Q166" s="5">
        <v>16.2669599311368</v>
      </c>
      <c r="R166" s="5">
        <v>16.2635653019469</v>
      </c>
      <c r="S166" s="5">
        <v>17.1759771254376</v>
      </c>
      <c r="T166" s="5">
        <v>80.0877001809309</v>
      </c>
    </row>
    <row r="167" spans="1:20">
      <c r="A167" t="s">
        <v>833</v>
      </c>
      <c r="B167" s="5"/>
      <c r="C167" s="5"/>
      <c r="H167" s="5">
        <v>0.0499583075215411</v>
      </c>
      <c r="I167" s="5">
        <v>0.114775637434134</v>
      </c>
      <c r="J167" s="5">
        <v>0.208827224529788</v>
      </c>
      <c r="K167" s="5">
        <v>0.287880912714096</v>
      </c>
      <c r="L167" s="5">
        <v>0.297724025975664</v>
      </c>
      <c r="M167" s="5">
        <v>0.435271058522629</v>
      </c>
      <c r="N167" s="5">
        <v>0.630876340132999</v>
      </c>
      <c r="O167" s="5">
        <v>0.90360790871527</v>
      </c>
      <c r="P167" s="5">
        <v>1.15922486079903</v>
      </c>
      <c r="Q167" s="5">
        <v>1.37113670966843</v>
      </c>
      <c r="R167" s="5">
        <v>1.68607156478067</v>
      </c>
      <c r="S167" s="5">
        <v>1.79065649764779</v>
      </c>
      <c r="T167" s="5">
        <v>8.93601104844204</v>
      </c>
    </row>
    <row r="168" spans="1:20">
      <c r="A168" t="s">
        <v>834</v>
      </c>
      <c r="B168" s="5"/>
      <c r="C168" s="5"/>
      <c r="D168" s="5"/>
      <c r="E168" s="5">
        <v>0.0911946129518237</v>
      </c>
      <c r="F168" s="5">
        <v>0.18572642588066</v>
      </c>
      <c r="G168" s="5">
        <v>0.142128997011256</v>
      </c>
      <c r="H168" s="5">
        <v>0.127166600963923</v>
      </c>
      <c r="I168" s="5">
        <v>0.114775637434134</v>
      </c>
      <c r="J168" s="5">
        <v>0.1110783109201</v>
      </c>
      <c r="K168" s="5">
        <v>0.118807995723278</v>
      </c>
      <c r="L168" s="5">
        <v>0.191754457408055</v>
      </c>
      <c r="M168" s="5">
        <v>0.16443573321966</v>
      </c>
      <c r="N168" s="5">
        <v>0.1067636883302</v>
      </c>
      <c r="O168" s="5">
        <v>0.0941258238245073</v>
      </c>
      <c r="P168" s="5"/>
      <c r="Q168" s="5">
        <v>0.0901216616683477</v>
      </c>
      <c r="R168" s="5"/>
      <c r="S168" s="5">
        <v>0.157577771793006</v>
      </c>
      <c r="T168" s="5">
        <v>1.69565771712895</v>
      </c>
    </row>
    <row r="169" spans="1:20">
      <c r="A169" t="s">
        <v>835</v>
      </c>
      <c r="F169" s="5">
        <v>0.0588888667426484</v>
      </c>
      <c r="G169" s="5">
        <v>0.0916961271040364</v>
      </c>
      <c r="H169" s="5">
        <v>0.090833286402802</v>
      </c>
      <c r="I169" s="5">
        <v>0.114775637434134</v>
      </c>
      <c r="J169" s="5">
        <v>0.0622038541152559</v>
      </c>
      <c r="K169" s="5">
        <v>0.123377534020327</v>
      </c>
      <c r="L169" s="5">
        <v>0.0958772287040275</v>
      </c>
      <c r="M169" s="5">
        <v>0.0628724862310464</v>
      </c>
      <c r="N169" s="5">
        <v>0.0727934238614999</v>
      </c>
      <c r="O169" s="5">
        <v>0.0847132414420566</v>
      </c>
      <c r="P169" s="5">
        <v>0.0992129385368535</v>
      </c>
      <c r="Q169" s="5">
        <v>0.0708098770251303</v>
      </c>
      <c r="R169" s="5"/>
      <c r="S169" s="5"/>
      <c r="T169" s="5">
        <v>1.02805450161982</v>
      </c>
    </row>
    <row r="170" spans="1:20">
      <c r="A170" t="s">
        <v>836</v>
      </c>
      <c r="E170" s="5">
        <v>0.211187524730539</v>
      </c>
      <c r="F170" s="5">
        <v>0.16760677457523</v>
      </c>
      <c r="G170" s="5">
        <v>0.178807447852871</v>
      </c>
      <c r="H170" s="5">
        <v>0.122624936643783</v>
      </c>
      <c r="I170" s="5">
        <v>0.110524687899536</v>
      </c>
      <c r="J170" s="5">
        <v>0.191054694782572</v>
      </c>
      <c r="K170" s="5">
        <v>0.205629223367211</v>
      </c>
      <c r="L170" s="5">
        <v>0.126154248294773</v>
      </c>
      <c r="M170" s="5">
        <v>0.188617458693139</v>
      </c>
      <c r="N170" s="5">
        <v>0.1795571121917</v>
      </c>
      <c r="O170" s="5">
        <v>0.178839065266564</v>
      </c>
      <c r="P170" s="5">
        <v>0.214091077895316</v>
      </c>
      <c r="Q170" s="5">
        <v>0.160931538693478</v>
      </c>
      <c r="R170" s="5">
        <v>0.219540568330816</v>
      </c>
      <c r="S170" s="5">
        <v>0.229204031698918</v>
      </c>
      <c r="T170" s="5">
        <v>2.68437039091645</v>
      </c>
    </row>
    <row r="171" spans="1:20">
      <c r="A171" t="s">
        <v>837</v>
      </c>
      <c r="G171" s="5">
        <v>0.0458480635520182</v>
      </c>
      <c r="H171" s="5">
        <v>0.0862916220826619</v>
      </c>
      <c r="I171" s="5">
        <v>0.110524687899536</v>
      </c>
      <c r="J171" s="5">
        <v>0.0622038541152559</v>
      </c>
      <c r="K171" s="5">
        <v>0.0502649212675406</v>
      </c>
      <c r="L171" s="5"/>
      <c r="M171" s="5"/>
      <c r="N171" s="5"/>
      <c r="O171" s="5"/>
      <c r="P171" s="5"/>
      <c r="Q171" s="5"/>
      <c r="R171" s="5"/>
      <c r="S171" s="5"/>
      <c r="T171" s="5">
        <v>0.355133148917013</v>
      </c>
    </row>
    <row r="172" spans="1:20">
      <c r="A172" t="s">
        <v>838</v>
      </c>
      <c r="G172" s="5">
        <v>0.05043286990722</v>
      </c>
      <c r="I172" s="5">
        <v>0.110524687899536</v>
      </c>
      <c r="J172" s="5">
        <v>0.0666469865520599</v>
      </c>
      <c r="K172" s="5">
        <v>0.0548344595645897</v>
      </c>
      <c r="L172" s="5"/>
      <c r="M172" s="5"/>
      <c r="N172" s="5"/>
      <c r="O172" s="5">
        <v>0.0611817854859297</v>
      </c>
      <c r="P172" s="5"/>
      <c r="Q172" s="5"/>
      <c r="R172" s="5"/>
      <c r="S172" s="5"/>
      <c r="T172" s="5">
        <v>0.343620789409335</v>
      </c>
    </row>
    <row r="173" spans="1:20">
      <c r="A173" t="s">
        <v>839</v>
      </c>
      <c r="I173" s="5">
        <v>0.106273738364939</v>
      </c>
      <c r="J173" s="5">
        <v>0.217713489403396</v>
      </c>
      <c r="K173" s="5">
        <v>0.42496706162557</v>
      </c>
      <c r="L173" s="5">
        <v>0.756925489768638</v>
      </c>
      <c r="M173" s="5">
        <v>1.22843165405275</v>
      </c>
      <c r="N173" s="5">
        <v>1.9945398138051</v>
      </c>
      <c r="O173" s="5">
        <v>2.95555086808953</v>
      </c>
      <c r="P173" s="5">
        <v>3.86930460293729</v>
      </c>
      <c r="Q173" s="5">
        <v>5.18199554592999</v>
      </c>
      <c r="R173" s="5">
        <v>6.5335273135251</v>
      </c>
      <c r="S173" s="5">
        <v>7.09099973068526</v>
      </c>
      <c r="T173" s="5">
        <v>30.3602293081876</v>
      </c>
    </row>
    <row r="174" spans="1:20">
      <c r="A174" t="s">
        <v>840</v>
      </c>
      <c r="I174" s="5">
        <v>0.106273738364939</v>
      </c>
      <c r="J174" s="5">
        <v>0.191054694782572</v>
      </c>
      <c r="K174" s="5">
        <v>0.315298142496391</v>
      </c>
      <c r="L174" s="5">
        <v>0.388555084747901</v>
      </c>
      <c r="M174" s="5">
        <v>0.590034101552897</v>
      </c>
      <c r="N174" s="5">
        <v>0.732787133539099</v>
      </c>
      <c r="O174" s="5">
        <v>0.818894667273214</v>
      </c>
      <c r="P174" s="5">
        <v>0.971242450939724</v>
      </c>
      <c r="Q174" s="5">
        <v>0.733847816442259</v>
      </c>
      <c r="R174" s="5">
        <v>0.8605990278568</v>
      </c>
      <c r="S174" s="5">
        <v>0.9741171347204</v>
      </c>
      <c r="T174" s="5">
        <v>6.6827039927162</v>
      </c>
    </row>
    <row r="175" spans="1:20">
      <c r="A175" t="s">
        <v>841</v>
      </c>
      <c r="C175" s="5">
        <v>1.83683693718946</v>
      </c>
      <c r="D175" s="5">
        <v>0.282839712700352</v>
      </c>
      <c r="E175" s="5">
        <v>0.100794045894121</v>
      </c>
      <c r="F175" s="5">
        <v>0.104187995006224</v>
      </c>
      <c r="G175" s="5">
        <v>0.155883416076862</v>
      </c>
      <c r="H175" s="5">
        <v>0.0726666291222416</v>
      </c>
      <c r="I175" s="5">
        <v>0.106273738364939</v>
      </c>
      <c r="J175" s="5">
        <v>0.106635178483296</v>
      </c>
      <c r="K175" s="5">
        <v>0.0685430744557372</v>
      </c>
      <c r="L175" s="5">
        <v>0.126154248294773</v>
      </c>
      <c r="M175" s="5">
        <v>0.120908627367397</v>
      </c>
      <c r="N175" s="5">
        <v>0.1698513223435</v>
      </c>
      <c r="O175" s="5">
        <v>0.155307609310437</v>
      </c>
      <c r="P175" s="5">
        <v>0.219312811502518</v>
      </c>
      <c r="Q175" s="5">
        <v>0.231741415718608</v>
      </c>
      <c r="R175" s="5">
        <v>0.272230304730212</v>
      </c>
      <c r="S175" s="5">
        <v>0.42975755943547</v>
      </c>
      <c r="T175" s="5">
        <v>4.55992462599615</v>
      </c>
    </row>
    <row r="176" spans="1:20">
      <c r="A176" t="s">
        <v>842</v>
      </c>
      <c r="F176" s="5">
        <v>0.0724786052217211</v>
      </c>
      <c r="G176" s="5">
        <v>0.105450546169642</v>
      </c>
      <c r="H176" s="5">
        <v>0.104458279363222</v>
      </c>
      <c r="I176" s="5">
        <v>0.106273738364939</v>
      </c>
      <c r="J176" s="5">
        <v>0.17772529747216</v>
      </c>
      <c r="K176" s="5">
        <v>0.205629223367211</v>
      </c>
      <c r="L176" s="5">
        <v>0.141292758090146</v>
      </c>
      <c r="M176" s="5">
        <v>0.236980909640098</v>
      </c>
      <c r="N176" s="5">
        <v>0.2329389563568</v>
      </c>
      <c r="O176" s="5">
        <v>0.202370521222691</v>
      </c>
      <c r="P176" s="5">
        <v>0.24019974593133</v>
      </c>
      <c r="Q176" s="5">
        <v>0.186680584884434</v>
      </c>
      <c r="R176" s="5">
        <v>0.237103813797282</v>
      </c>
      <c r="S176" s="5">
        <v>0.229204031698918</v>
      </c>
      <c r="T176" s="5">
        <v>2.47878701158059</v>
      </c>
    </row>
    <row r="177" spans="1:20">
      <c r="A177" t="s">
        <v>843</v>
      </c>
      <c r="C177" s="5">
        <v>0.228763574595025</v>
      </c>
      <c r="D177" s="5">
        <v>0.0496210022281319</v>
      </c>
      <c r="E177" s="5">
        <v>0.100794045894121</v>
      </c>
      <c r="F177" s="5">
        <v>0.154017036096157</v>
      </c>
      <c r="G177" s="5">
        <v>0.192561866918476</v>
      </c>
      <c r="H177" s="5">
        <v>0.163499915525044</v>
      </c>
      <c r="I177" s="5">
        <v>0.102022788830341</v>
      </c>
      <c r="J177" s="5">
        <v>0.0533175892416479</v>
      </c>
      <c r="K177" s="5">
        <v>0.0776821510498354</v>
      </c>
      <c r="L177" s="5">
        <v>0.0555078692497001</v>
      </c>
      <c r="M177" s="5">
        <v>0.0725451764204382</v>
      </c>
      <c r="N177" s="5">
        <v>0.1067636883302</v>
      </c>
      <c r="O177" s="5"/>
      <c r="P177" s="5">
        <v>0.057439069679231</v>
      </c>
      <c r="Q177" s="5">
        <v>0.0643726154773912</v>
      </c>
      <c r="R177" s="5">
        <v>0.114161095532025</v>
      </c>
      <c r="S177" s="5"/>
      <c r="T177" s="5">
        <v>1.59306948506776</v>
      </c>
    </row>
    <row r="178" spans="1:20">
      <c r="A178" t="s">
        <v>844</v>
      </c>
      <c r="F178" s="5">
        <v>0.0770085180480787</v>
      </c>
      <c r="G178" s="5">
        <v>0.105450546169642</v>
      </c>
      <c r="H178" s="5">
        <v>0.0953749507229421</v>
      </c>
      <c r="I178" s="5">
        <v>0.102022788830341</v>
      </c>
      <c r="J178" s="5">
        <v>0.0755332514256679</v>
      </c>
      <c r="K178" s="5"/>
      <c r="L178" s="5"/>
      <c r="M178" s="5">
        <v>0.0483634509469588</v>
      </c>
      <c r="N178" s="5"/>
      <c r="O178" s="5"/>
      <c r="P178" s="5"/>
      <c r="Q178" s="5"/>
      <c r="R178" s="5"/>
      <c r="S178" s="5"/>
      <c r="T178" s="5">
        <v>0.50375350614363</v>
      </c>
    </row>
    <row r="179" spans="1:20">
      <c r="A179" t="s">
        <v>845</v>
      </c>
      <c r="H179" s="5">
        <v>0.0862916220826619</v>
      </c>
      <c r="I179" s="5">
        <v>0.0977718392957435</v>
      </c>
      <c r="J179" s="5">
        <v>0.151066502851336</v>
      </c>
      <c r="K179" s="5">
        <v>0.274172297822949</v>
      </c>
      <c r="L179" s="5">
        <v>0.49452465331551</v>
      </c>
      <c r="M179" s="5">
        <v>0.710942728920294</v>
      </c>
      <c r="N179" s="5">
        <v>0.936608720351299</v>
      </c>
      <c r="O179" s="5">
        <v>1.57190125786927</v>
      </c>
      <c r="P179" s="5">
        <v>2.37588879127728</v>
      </c>
      <c r="Q179" s="5">
        <v>3.72073717459321</v>
      </c>
      <c r="R179" s="5">
        <v>6.30520512246105</v>
      </c>
      <c r="S179" s="5">
        <v>10.8012399938115</v>
      </c>
      <c r="T179" s="5">
        <v>27.5263507046521</v>
      </c>
    </row>
    <row r="180" spans="1:20">
      <c r="A180" t="s">
        <v>846</v>
      </c>
      <c r="I180" s="5">
        <v>0.0977718392957435</v>
      </c>
      <c r="J180" s="5">
        <v>0.1110783109201</v>
      </c>
      <c r="K180" s="5">
        <v>0.0868212276439337</v>
      </c>
      <c r="L180" s="5">
        <v>0.1110157384994</v>
      </c>
      <c r="M180" s="5">
        <v>0.16443573321966</v>
      </c>
      <c r="N180" s="5">
        <v>0.2038215868122</v>
      </c>
      <c r="O180" s="5">
        <v>0.381209586489255</v>
      </c>
      <c r="P180" s="5">
        <v>0.50128642629147</v>
      </c>
      <c r="Q180" s="5">
        <v>0.637288893226173</v>
      </c>
      <c r="R180" s="5">
        <v>1.25577205085227</v>
      </c>
      <c r="S180" s="5">
        <v>2.00553527736553</v>
      </c>
      <c r="T180" s="5">
        <v>5.55603667061574</v>
      </c>
    </row>
    <row r="181" spans="1:20">
      <c r="A181" t="s">
        <v>847</v>
      </c>
      <c r="F181" s="5">
        <v>0.0543589539162908</v>
      </c>
      <c r="G181" s="5">
        <v>0.110035352524844</v>
      </c>
      <c r="H181" s="5">
        <v>0.136249929604203</v>
      </c>
      <c r="I181" s="5">
        <v>0.0977718392957435</v>
      </c>
      <c r="J181" s="5">
        <v>0.204384092092984</v>
      </c>
      <c r="K181" s="5">
        <v>0.182781531881966</v>
      </c>
      <c r="L181" s="5">
        <v>0.211939137135219</v>
      </c>
      <c r="M181" s="5">
        <v>0.198290148882531</v>
      </c>
      <c r="N181" s="5">
        <v>0.3057323802183</v>
      </c>
      <c r="O181" s="5">
        <v>0.301202636238423</v>
      </c>
      <c r="P181" s="5">
        <v>0.281973614788952</v>
      </c>
      <c r="Q181" s="5">
        <v>0.360486646673391</v>
      </c>
      <c r="R181" s="5">
        <v>0.56202385492689</v>
      </c>
      <c r="S181" s="5">
        <v>0.787888858965029</v>
      </c>
      <c r="T181" s="5">
        <v>3.79511897714477</v>
      </c>
    </row>
    <row r="182" spans="1:20">
      <c r="A182" t="s">
        <v>848</v>
      </c>
      <c r="C182" s="5">
        <v>0.282590298029148</v>
      </c>
      <c r="D182" s="5">
        <v>0.0744315033421978</v>
      </c>
      <c r="E182" s="5"/>
      <c r="F182" s="5">
        <v>0.0996580821798665</v>
      </c>
      <c r="G182" s="5">
        <v>0.077941708038431</v>
      </c>
      <c r="H182" s="5">
        <v>0.108999943683362</v>
      </c>
      <c r="I182" s="5">
        <v>0.0977718392957435</v>
      </c>
      <c r="J182" s="5">
        <v>0.119964575793708</v>
      </c>
      <c r="K182" s="5">
        <v>0.169072916990818</v>
      </c>
      <c r="L182" s="5">
        <v>0.0958772287040275</v>
      </c>
      <c r="M182" s="5">
        <v>0.125744972462093</v>
      </c>
      <c r="N182" s="5">
        <v>0.1164694781784</v>
      </c>
      <c r="O182" s="5">
        <v>0.0941258238245073</v>
      </c>
      <c r="P182" s="5">
        <v>0.13054334018007</v>
      </c>
      <c r="Q182" s="5">
        <v>0.148057015598</v>
      </c>
      <c r="R182" s="5">
        <v>0.122942718265257</v>
      </c>
      <c r="S182" s="5">
        <v>0.2435292836801</v>
      </c>
      <c r="T182" s="5">
        <v>2.10772072824573</v>
      </c>
    </row>
    <row r="183" spans="1:20">
      <c r="A183" t="s">
        <v>849</v>
      </c>
      <c r="B183" s="5"/>
      <c r="C183" s="5"/>
      <c r="D183" s="5"/>
      <c r="E183" s="5"/>
      <c r="F183" s="5"/>
      <c r="G183" s="5"/>
      <c r="H183" s="5">
        <v>0.045416643201401</v>
      </c>
      <c r="I183" s="5">
        <v>0.093520889761146</v>
      </c>
      <c r="J183" s="5">
        <v>0.119964575793708</v>
      </c>
      <c r="K183" s="5">
        <v>0.251324606337703</v>
      </c>
      <c r="L183" s="5">
        <v>0.393601254679692</v>
      </c>
      <c r="M183" s="5">
        <v>0.672251968162727</v>
      </c>
      <c r="N183" s="5">
        <v>0.931755825427199</v>
      </c>
      <c r="O183" s="5">
        <v>1.37423702783781</v>
      </c>
      <c r="P183" s="5">
        <v>2.05214130763071</v>
      </c>
      <c r="Q183" s="5">
        <v>3.4889957588746</v>
      </c>
      <c r="R183" s="5">
        <v>5.63780179473536</v>
      </c>
      <c r="S183" s="5">
        <v>10.5863612140938</v>
      </c>
      <c r="T183" s="5">
        <v>25.6473728665359</v>
      </c>
    </row>
    <row r="184" spans="1:20">
      <c r="A184" t="s">
        <v>850</v>
      </c>
      <c r="B184" s="5">
        <v>0.274073672099355</v>
      </c>
      <c r="D184" s="5">
        <v>0.0496210022281319</v>
      </c>
      <c r="F184" s="5">
        <v>0.0905982565271514</v>
      </c>
      <c r="G184" s="5">
        <v>0.077941708038431</v>
      </c>
      <c r="I184" s="5">
        <v>0.093520889761146</v>
      </c>
      <c r="J184" s="5">
        <v>0.164395900161748</v>
      </c>
      <c r="K184" s="5">
        <v>0.169072916990818</v>
      </c>
      <c r="L184" s="5">
        <v>0.21698530706701</v>
      </c>
      <c r="M184" s="5">
        <v>0.309526086060536</v>
      </c>
      <c r="N184" s="5">
        <v>0.4124960685485</v>
      </c>
      <c r="O184" s="5">
        <v>0.743594008213608</v>
      </c>
      <c r="P184" s="5">
        <v>0.960798983725319</v>
      </c>
      <c r="Q184" s="5">
        <v>1.4483838482413</v>
      </c>
      <c r="R184" s="5">
        <v>1.6685083193142</v>
      </c>
      <c r="S184" s="5">
        <v>2.40664233283863</v>
      </c>
      <c r="T184" s="5">
        <v>9.08615929981589</v>
      </c>
    </row>
    <row r="185" spans="1:20">
      <c r="A185" t="s">
        <v>851</v>
      </c>
      <c r="B185" s="5"/>
      <c r="C185" s="5">
        <v>0.0807400851511851</v>
      </c>
      <c r="F185" s="5">
        <v>0.0498290410899333</v>
      </c>
      <c r="G185" s="5">
        <v>0.0825265143936328</v>
      </c>
      <c r="H185" s="5">
        <v>0.0544999718416812</v>
      </c>
      <c r="I185" s="5">
        <v>0.093520889761146</v>
      </c>
      <c r="J185" s="5">
        <v>0.0533175892416479</v>
      </c>
      <c r="K185" s="5">
        <v>0.0822516893468846</v>
      </c>
      <c r="L185" s="5">
        <v>0.0807387189086547</v>
      </c>
      <c r="M185" s="5">
        <v>0.140254007746181</v>
      </c>
      <c r="N185" s="5">
        <v>0.1989686918881</v>
      </c>
      <c r="O185" s="5">
        <v>0.225901977178818</v>
      </c>
      <c r="P185" s="5">
        <v>0.24019974593133</v>
      </c>
      <c r="Q185" s="5">
        <v>0.302551292743739</v>
      </c>
      <c r="R185" s="5">
        <v>0.29857517292991</v>
      </c>
      <c r="S185" s="5">
        <v>0.229204031698918</v>
      </c>
      <c r="T185" s="5">
        <v>2.21307941985176</v>
      </c>
    </row>
    <row r="186" spans="1:20">
      <c r="A186" t="s">
        <v>852</v>
      </c>
      <c r="B186" s="5"/>
      <c r="G186" s="5">
        <v>0.0825265143936328</v>
      </c>
      <c r="H186" s="5">
        <v>0.0499583075215411</v>
      </c>
      <c r="I186" s="5">
        <v>0.093520889761146</v>
      </c>
      <c r="J186" s="5">
        <v>0.0666469865520599</v>
      </c>
      <c r="K186" s="5">
        <v>0.0822516893468846</v>
      </c>
      <c r="L186" s="5">
        <v>0.0857848888404457</v>
      </c>
      <c r="M186" s="5">
        <v>0.116072282272701</v>
      </c>
      <c r="N186" s="5">
        <v>0.0922050035578999</v>
      </c>
      <c r="O186" s="5">
        <v>0.13177615335431</v>
      </c>
      <c r="P186" s="5">
        <v>0.156652008216085</v>
      </c>
      <c r="Q186" s="5">
        <v>0.135182492502521</v>
      </c>
      <c r="R186" s="5">
        <v>0.149287586464955</v>
      </c>
      <c r="T186" s="5">
        <v>1.24186480278418</v>
      </c>
    </row>
    <row r="187" spans="1:20">
      <c r="A187" t="s">
        <v>853</v>
      </c>
      <c r="I187" s="5">
        <v>0.0892699402265484</v>
      </c>
      <c r="J187" s="5">
        <v>0.262144813771436</v>
      </c>
      <c r="K187" s="5">
        <v>0.63973536158688</v>
      </c>
      <c r="L187" s="5">
        <v>1.91249840414876</v>
      </c>
      <c r="M187" s="5">
        <v>5.58114223927904</v>
      </c>
      <c r="N187" s="5">
        <v>15.5874984962092</v>
      </c>
      <c r="O187" s="5">
        <v>38.0786020282044</v>
      </c>
      <c r="P187" s="5">
        <v>66.1854734712957</v>
      </c>
      <c r="Q187" s="5">
        <v>102.893188579062</v>
      </c>
      <c r="R187" s="5">
        <v>169.081364105662</v>
      </c>
      <c r="S187" s="5">
        <v>272.194112894446</v>
      </c>
      <c r="T187" s="5">
        <v>672.505030333892</v>
      </c>
    </row>
    <row r="188" spans="1:20">
      <c r="A188" t="s">
        <v>854</v>
      </c>
      <c r="I188" s="5">
        <v>0.0892699402265484</v>
      </c>
      <c r="J188" s="5">
        <v>0.191054694782572</v>
      </c>
      <c r="K188" s="5">
        <v>0.594039978616389</v>
      </c>
      <c r="L188" s="5">
        <v>1.14548057451654</v>
      </c>
      <c r="M188" s="5">
        <v>2.35530006111689</v>
      </c>
      <c r="N188" s="5">
        <v>3.6299654032268</v>
      </c>
      <c r="O188" s="5">
        <v>5.75579412686862</v>
      </c>
      <c r="P188" s="5">
        <v>8.74118205845752</v>
      </c>
      <c r="Q188" s="5">
        <v>13.8658613738301</v>
      </c>
      <c r="R188" s="5">
        <v>21.0495496915587</v>
      </c>
      <c r="S188" s="5">
        <v>31.2433745709587</v>
      </c>
      <c r="T188" s="5">
        <v>88.6608724741594</v>
      </c>
    </row>
    <row r="189" spans="1:20">
      <c r="A189" t="s">
        <v>855</v>
      </c>
      <c r="I189" s="5">
        <v>0.0892699402265484</v>
      </c>
      <c r="J189" s="5">
        <v>0.275474211081848</v>
      </c>
      <c r="K189" s="5">
        <v>0.461523368001964</v>
      </c>
      <c r="L189" s="5">
        <v>0.630771241473865</v>
      </c>
      <c r="M189" s="5">
        <v>1.25744972462093</v>
      </c>
      <c r="N189" s="5">
        <v>2.4555648315946</v>
      </c>
      <c r="O189" s="5">
        <v>4.65452198812189</v>
      </c>
      <c r="P189" s="5">
        <v>7.43052692304961</v>
      </c>
      <c r="Q189" s="5">
        <v>9.79751207565894</v>
      </c>
      <c r="R189" s="5">
        <v>11.0121549074738</v>
      </c>
      <c r="S189" s="5">
        <v>11.8469833884378</v>
      </c>
      <c r="T189" s="5">
        <v>49.9117525997418</v>
      </c>
    </row>
    <row r="190" spans="1:20">
      <c r="A190" t="s">
        <v>856</v>
      </c>
      <c r="H190" s="5">
        <v>0.0590416361618213</v>
      </c>
      <c r="I190" s="5">
        <v>0.0892699402265484</v>
      </c>
      <c r="J190" s="5">
        <v>0.15550963528814</v>
      </c>
      <c r="K190" s="5">
        <v>0.182781531881966</v>
      </c>
      <c r="L190" s="5">
        <v>0.363324235088946</v>
      </c>
      <c r="M190" s="5">
        <v>0.609379481931681</v>
      </c>
      <c r="N190" s="5">
        <v>0.878373981262099</v>
      </c>
      <c r="O190" s="5">
        <v>1.27069862163085</v>
      </c>
      <c r="P190" s="5">
        <v>1.62395915184008</v>
      </c>
      <c r="Q190" s="5">
        <v>2.42041034194991</v>
      </c>
      <c r="R190" s="5">
        <v>3.02087822023203</v>
      </c>
      <c r="S190" s="5">
        <v>3.79619177501332</v>
      </c>
      <c r="T190" s="5">
        <v>14.4698185525074</v>
      </c>
    </row>
    <row r="191" spans="1:20">
      <c r="A191" t="s">
        <v>857</v>
      </c>
      <c r="G191" s="5">
        <v>0.0596024826176237</v>
      </c>
      <c r="H191" s="5">
        <v>0.0635833004819614</v>
      </c>
      <c r="I191" s="5">
        <v>0.0892699402265484</v>
      </c>
      <c r="J191" s="5">
        <v>0.164395900161748</v>
      </c>
      <c r="K191" s="5">
        <v>0.178211993584917</v>
      </c>
      <c r="L191" s="5">
        <v>0.237169986794173</v>
      </c>
      <c r="M191" s="5">
        <v>0.319198776249928</v>
      </c>
      <c r="N191" s="5">
        <v>0.5047010721064</v>
      </c>
      <c r="O191" s="5">
        <v>0.57887381652072</v>
      </c>
      <c r="P191" s="5">
        <v>0.704934036972381</v>
      </c>
      <c r="Q191" s="5">
        <v>0.753159601085477</v>
      </c>
      <c r="R191" s="5">
        <v>0.957196877922359</v>
      </c>
      <c r="S191" s="5">
        <v>1.17467066245695</v>
      </c>
      <c r="T191" s="5">
        <v>5.78496844718119</v>
      </c>
    </row>
    <row r="192" spans="1:20">
      <c r="A192" t="s">
        <v>858</v>
      </c>
      <c r="H192" s="5">
        <v>0.0635833004819614</v>
      </c>
      <c r="I192" s="5">
        <v>0.0850189906919509</v>
      </c>
      <c r="J192" s="5">
        <v>0.195497827219376</v>
      </c>
      <c r="K192" s="5">
        <v>0.548344595645897</v>
      </c>
      <c r="L192" s="5">
        <v>0.777110169495802</v>
      </c>
      <c r="M192" s="5">
        <v>1.81362941051095</v>
      </c>
      <c r="N192" s="5">
        <v>3.105852751424</v>
      </c>
      <c r="O192" s="5">
        <v>5.1957454751128</v>
      </c>
      <c r="P192" s="5">
        <v>7.29998358286954</v>
      </c>
      <c r="Q192" s="5">
        <v>8.78042475111616</v>
      </c>
      <c r="R192" s="5">
        <v>11.5039257805348</v>
      </c>
      <c r="S192" s="5">
        <v>17.9352154804403</v>
      </c>
      <c r="T192" s="5">
        <v>57.3043321155435</v>
      </c>
    </row>
    <row r="193" spans="1:20">
      <c r="A193" t="s">
        <v>859</v>
      </c>
      <c r="H193" s="5">
        <v>0.0590416361618213</v>
      </c>
      <c r="I193" s="5">
        <v>0.0850189906919509</v>
      </c>
      <c r="J193" s="5">
        <v>0.115521443356904</v>
      </c>
      <c r="K193" s="5">
        <v>0.21476829996131</v>
      </c>
      <c r="L193" s="5">
        <v>0.408739764475065</v>
      </c>
      <c r="M193" s="5">
        <v>0.652906587783944</v>
      </c>
      <c r="N193" s="5">
        <v>1.1355774122394</v>
      </c>
      <c r="O193" s="5">
        <v>1.73662144956216</v>
      </c>
      <c r="P193" s="5">
        <v>3.12781843071449</v>
      </c>
      <c r="Q193" s="5">
        <v>5.92871788546773</v>
      </c>
      <c r="R193" s="5">
        <v>10.8628673210088</v>
      </c>
      <c r="S193" s="5">
        <v>22.3473930906445</v>
      </c>
      <c r="T193" s="5">
        <v>46.6749923120681</v>
      </c>
    </row>
    <row r="194" spans="1:20">
      <c r="A194" t="s">
        <v>860</v>
      </c>
      <c r="B194" s="5">
        <v>0.54814734419871</v>
      </c>
      <c r="G194" s="5">
        <v>0.0550176762624218</v>
      </c>
      <c r="H194" s="5">
        <v>0.0772082934423817</v>
      </c>
      <c r="I194" s="5">
        <v>0.0850189906919509</v>
      </c>
      <c r="J194" s="5">
        <v>0.239929151587416</v>
      </c>
      <c r="K194" s="5">
        <v>0.306159065902293</v>
      </c>
      <c r="L194" s="5">
        <v>0.413785934406856</v>
      </c>
      <c r="M194" s="5">
        <v>0.735124454393774</v>
      </c>
      <c r="N194" s="5">
        <v>1.1841063614804</v>
      </c>
      <c r="O194" s="5">
        <v>1.70367741122358</v>
      </c>
      <c r="P194" s="5">
        <v>2.28711931995483</v>
      </c>
      <c r="Q194" s="5">
        <v>3.15425815839217</v>
      </c>
      <c r="R194" s="5">
        <v>4.40837461208279</v>
      </c>
      <c r="S194" s="5">
        <v>6.76151893511807</v>
      </c>
      <c r="T194" s="5">
        <v>21.9594457091376</v>
      </c>
    </row>
    <row r="195" spans="1:20">
      <c r="A195" t="s">
        <v>861</v>
      </c>
      <c r="I195" s="5">
        <v>0.0850189906919509</v>
      </c>
      <c r="J195" s="5">
        <v>0.128850840667316</v>
      </c>
      <c r="K195" s="5">
        <v>0.201059685070162</v>
      </c>
      <c r="L195" s="5">
        <v>0.277539346248501</v>
      </c>
      <c r="M195" s="5">
        <v>0.498143544753676</v>
      </c>
      <c r="N195" s="5">
        <v>0.6114647604366</v>
      </c>
      <c r="O195" s="5">
        <v>1.002440023731</v>
      </c>
      <c r="P195" s="5">
        <v>1.3002116681935</v>
      </c>
      <c r="Q195" s="5">
        <v>1.50631920217095</v>
      </c>
      <c r="R195" s="5">
        <v>2.0988078332426</v>
      </c>
      <c r="S195" s="5">
        <v>2.9223514041612</v>
      </c>
      <c r="T195" s="5">
        <v>10.6322072993675</v>
      </c>
    </row>
    <row r="196" spans="1:20">
      <c r="A196" t="s">
        <v>862</v>
      </c>
      <c r="B196" s="5"/>
      <c r="C196" s="5">
        <v>0.141295149014574</v>
      </c>
      <c r="E196" s="5">
        <v>0.0815951800095265</v>
      </c>
      <c r="G196" s="5">
        <v>0.0733569016832291</v>
      </c>
      <c r="H196" s="5">
        <v>0.0817499577625218</v>
      </c>
      <c r="I196" s="5">
        <v>0.0850189906919509</v>
      </c>
      <c r="J196" s="5">
        <v>0.0710901189888639</v>
      </c>
      <c r="K196" s="5"/>
      <c r="L196" s="5">
        <v>0.0504616993179092</v>
      </c>
      <c r="M196" s="5"/>
      <c r="N196" s="5">
        <v>0.0824992137096999</v>
      </c>
      <c r="O196" s="5">
        <v>0.0611817854859297</v>
      </c>
      <c r="P196" s="5"/>
      <c r="Q196" s="5"/>
      <c r="R196" s="5"/>
      <c r="S196" s="5"/>
      <c r="T196" s="5">
        <v>0.728248996664205</v>
      </c>
    </row>
    <row r="197" spans="1:20">
      <c r="A197" t="s">
        <v>863</v>
      </c>
      <c r="H197" s="5">
        <v>0.045416643201401</v>
      </c>
      <c r="I197" s="5">
        <v>0.0807680411573533</v>
      </c>
      <c r="J197" s="5">
        <v>0.0755332514256679</v>
      </c>
      <c r="K197" s="5">
        <v>0.150794763802622</v>
      </c>
      <c r="L197" s="5">
        <v>0.171569777680891</v>
      </c>
      <c r="M197" s="5">
        <v>0.24665359982949</v>
      </c>
      <c r="N197" s="5">
        <v>0.339702644687</v>
      </c>
      <c r="O197" s="5">
        <v>0.428272498401508</v>
      </c>
      <c r="P197" s="5">
        <v>0.563947229577904</v>
      </c>
      <c r="Q197" s="5">
        <v>0.759596862633216</v>
      </c>
      <c r="R197" s="5">
        <v>1.30846178725167</v>
      </c>
      <c r="S197" s="5">
        <v>2.16311304915853</v>
      </c>
      <c r="T197" s="5">
        <v>6.33383014880725</v>
      </c>
    </row>
    <row r="198" spans="1:20">
      <c r="A198" t="s">
        <v>864</v>
      </c>
      <c r="F198" s="5">
        <v>0.0452991282635757</v>
      </c>
      <c r="G198" s="5">
        <v>0.0596024826176237</v>
      </c>
      <c r="H198" s="5">
        <v>0.0999166150430822</v>
      </c>
      <c r="I198" s="5">
        <v>0.0807680411573533</v>
      </c>
      <c r="J198" s="5">
        <v>0.0888626487360799</v>
      </c>
      <c r="K198" s="5">
        <v>0.141655687208523</v>
      </c>
      <c r="L198" s="5">
        <v>0.191754457408055</v>
      </c>
      <c r="M198" s="5">
        <v>0.212799184166619</v>
      </c>
      <c r="N198" s="5">
        <v>0.194115796964</v>
      </c>
      <c r="O198" s="5">
        <v>0.221195685987592</v>
      </c>
      <c r="P198" s="5">
        <v>0.271530147574547</v>
      </c>
      <c r="Q198" s="5">
        <v>0.347612123577912</v>
      </c>
      <c r="R198" s="5">
        <v>0.351264909329306</v>
      </c>
      <c r="S198" s="5">
        <v>0.401107055473106</v>
      </c>
      <c r="T198" s="5">
        <v>2.70748396350738</v>
      </c>
    </row>
    <row r="199" spans="1:20">
      <c r="A199" t="s">
        <v>865</v>
      </c>
      <c r="H199" s="5">
        <v>0.045416643201401</v>
      </c>
      <c r="I199" s="5">
        <v>0.0807680411573533</v>
      </c>
      <c r="J199" s="5">
        <v>0.0577607216784519</v>
      </c>
      <c r="K199" s="5">
        <v>0.146225225505573</v>
      </c>
      <c r="L199" s="5">
        <v>0.1110157384994</v>
      </c>
      <c r="M199" s="5">
        <v>0.174108423409052</v>
      </c>
      <c r="N199" s="5">
        <v>0.1892629020399</v>
      </c>
      <c r="O199" s="5">
        <v>0.249433433134944</v>
      </c>
      <c r="P199" s="5">
        <v>0.234978012324127</v>
      </c>
      <c r="Q199" s="5">
        <v>0.270364985005043</v>
      </c>
      <c r="R199" s="5">
        <v>0.421517891195168</v>
      </c>
      <c r="S199" s="5">
        <v>0.701937347077935</v>
      </c>
      <c r="T199" s="5">
        <v>2.68278936422835</v>
      </c>
    </row>
    <row r="200" spans="1:20">
      <c r="A200" t="s">
        <v>866</v>
      </c>
      <c r="H200" s="5">
        <v>0.0681249648021015</v>
      </c>
      <c r="I200" s="5">
        <v>0.0807680411573533</v>
      </c>
      <c r="J200" s="5">
        <v>0.0933057811728839</v>
      </c>
      <c r="K200" s="5">
        <v>0.150794763802622</v>
      </c>
      <c r="L200" s="5">
        <v>0.0908310587722366</v>
      </c>
      <c r="M200" s="5">
        <v>0.0918905567992217</v>
      </c>
      <c r="N200" s="5">
        <v>0.1310281629507</v>
      </c>
      <c r="O200" s="5">
        <v>0.112950988589409</v>
      </c>
      <c r="P200" s="5">
        <v>0.057439069679231</v>
      </c>
      <c r="Q200" s="5">
        <v>0.0836844001206085</v>
      </c>
      <c r="R200" s="5"/>
      <c r="S200" s="5"/>
      <c r="T200" s="5">
        <v>0.960817787846368</v>
      </c>
    </row>
    <row r="201" spans="1:20">
      <c r="A201" t="s">
        <v>867</v>
      </c>
      <c r="B201" s="5">
        <v>0.328888406519226</v>
      </c>
      <c r="I201" s="5">
        <v>0.0807680411573533</v>
      </c>
      <c r="J201" s="5">
        <v>0.0577607216784519</v>
      </c>
      <c r="K201" s="5">
        <v>0.063973536158688</v>
      </c>
      <c r="L201" s="5">
        <v>0.0605540391814911</v>
      </c>
      <c r="M201" s="5">
        <v>0.111235937178005</v>
      </c>
      <c r="N201" s="5">
        <v>0.0776463187855999</v>
      </c>
      <c r="O201" s="5">
        <v>0.0753006590596058</v>
      </c>
      <c r="P201" s="5"/>
      <c r="Q201" s="5">
        <v>0.0708098770251303</v>
      </c>
      <c r="R201" s="5"/>
      <c r="S201" s="5"/>
      <c r="T201" s="5">
        <v>0.926937536743551</v>
      </c>
    </row>
    <row r="202" spans="1:20">
      <c r="A202" t="s">
        <v>868</v>
      </c>
      <c r="H202" s="5">
        <v>0.0726666291222416</v>
      </c>
      <c r="I202" s="5">
        <v>0.0807680411573533</v>
      </c>
      <c r="J202" s="5">
        <v>0.0577607216784519</v>
      </c>
      <c r="K202" s="5">
        <v>0.063973536158688</v>
      </c>
      <c r="T202" s="5">
        <v>0.275168928116735</v>
      </c>
    </row>
    <row r="203" spans="1:20">
      <c r="A203" t="s">
        <v>869</v>
      </c>
      <c r="H203" s="5">
        <v>0.045416643201401</v>
      </c>
      <c r="I203" s="5">
        <v>0.0765170916227558</v>
      </c>
      <c r="J203" s="5">
        <v>0.119964575793708</v>
      </c>
      <c r="K203" s="5">
        <v>0.205629223367211</v>
      </c>
      <c r="L203" s="5">
        <v>0.423878274270437</v>
      </c>
      <c r="M203" s="5">
        <v>0.856033081761171</v>
      </c>
      <c r="N203" s="5">
        <v>1.5092503213951</v>
      </c>
      <c r="O203" s="5">
        <v>2.86613133545625</v>
      </c>
      <c r="P203" s="5">
        <v>5.03897293095072</v>
      </c>
      <c r="Q203" s="5">
        <v>9.6108314907745</v>
      </c>
      <c r="R203" s="5">
        <v>17.2734519162686</v>
      </c>
      <c r="S203" s="5">
        <v>33.5640653919102</v>
      </c>
      <c r="T203" s="5">
        <v>71.590142276772</v>
      </c>
    </row>
    <row r="204" spans="1:20">
      <c r="A204" t="s">
        <v>870</v>
      </c>
      <c r="B204" s="5">
        <v>0.739998914668259</v>
      </c>
      <c r="C204" s="5">
        <v>0.195121872448697</v>
      </c>
      <c r="D204" s="5">
        <v>0.0496210022281319</v>
      </c>
      <c r="H204" s="5">
        <v>0.0817499577625218</v>
      </c>
      <c r="I204" s="5">
        <v>0.0765170916227558</v>
      </c>
      <c r="J204" s="5">
        <v>0.106635178483296</v>
      </c>
      <c r="K204" s="5">
        <v>0.191920608476064</v>
      </c>
      <c r="L204" s="5">
        <v>0.27249317631671</v>
      </c>
      <c r="M204" s="5">
        <v>0.49330719965898</v>
      </c>
      <c r="N204" s="5">
        <v>0.791021872628299</v>
      </c>
      <c r="O204" s="5">
        <v>1.06362180921693</v>
      </c>
      <c r="P204" s="5">
        <v>1.65006781987609</v>
      </c>
      <c r="Q204" s="5">
        <v>2.65858901921626</v>
      </c>
      <c r="R204" s="5">
        <v>4.09223619368642</v>
      </c>
      <c r="S204" s="5">
        <v>7.40615527427128</v>
      </c>
      <c r="T204" s="5">
        <v>19.8690569905607</v>
      </c>
    </row>
    <row r="205" spans="1:20">
      <c r="A205" t="s">
        <v>871</v>
      </c>
      <c r="I205" s="5">
        <v>0.0765170916227558</v>
      </c>
      <c r="J205" s="5">
        <v>0.142180237977728</v>
      </c>
      <c r="K205" s="5">
        <v>0.15993384039672</v>
      </c>
      <c r="L205" s="5">
        <v>0.257354666521337</v>
      </c>
      <c r="M205" s="5">
        <v>0.488470854564284</v>
      </c>
      <c r="N205" s="5">
        <v>0.771610292931899</v>
      </c>
      <c r="O205" s="5">
        <v>1.09185955636428</v>
      </c>
      <c r="P205" s="5">
        <v>1.63962435266168</v>
      </c>
      <c r="Q205" s="5">
        <v>2.26591606480417</v>
      </c>
      <c r="R205" s="5">
        <v>4.03076483455379</v>
      </c>
      <c r="S205" s="5">
        <v>6.64691691926861</v>
      </c>
      <c r="T205" s="5">
        <v>17.5711487116673</v>
      </c>
    </row>
    <row r="206" spans="1:20">
      <c r="A206" t="s">
        <v>872</v>
      </c>
      <c r="B206" s="5"/>
      <c r="I206" s="5">
        <v>0.0765170916227558</v>
      </c>
      <c r="J206" s="5">
        <v>0.115521443356904</v>
      </c>
      <c r="K206" s="5">
        <v>0.233046453149506</v>
      </c>
      <c r="L206" s="5">
        <v>0.262400836453128</v>
      </c>
      <c r="M206" s="5">
        <v>0.236980909640098</v>
      </c>
      <c r="N206" s="5">
        <v>0.436760543169</v>
      </c>
      <c r="O206" s="5">
        <v>0.465922827931311</v>
      </c>
      <c r="P206" s="5">
        <v>0.469956024648254</v>
      </c>
      <c r="Q206" s="5">
        <v>0.270364985005043</v>
      </c>
      <c r="R206" s="5">
        <v>0.254667059263747</v>
      </c>
      <c r="S206" s="5">
        <v>0.2435292836801</v>
      </c>
      <c r="T206" s="5">
        <v>3.06566745791985</v>
      </c>
    </row>
    <row r="207" spans="1:20">
      <c r="A207" t="s">
        <v>873</v>
      </c>
      <c r="B207" s="5"/>
      <c r="C207" s="5"/>
      <c r="D207" s="5"/>
      <c r="I207" s="5">
        <v>0.0765170916227558</v>
      </c>
      <c r="J207" s="5">
        <v>0.0622038541152559</v>
      </c>
      <c r="K207" s="5">
        <v>0.146225225505573</v>
      </c>
      <c r="L207" s="5">
        <v>0.105969568567609</v>
      </c>
      <c r="M207" s="5">
        <v>0.135417662651485</v>
      </c>
      <c r="N207" s="5">
        <v>0.1844100071158</v>
      </c>
      <c r="O207" s="5">
        <v>0.268258597899846</v>
      </c>
      <c r="P207" s="5">
        <v>0.271530147574547</v>
      </c>
      <c r="Q207" s="5">
        <v>0.283239508100521</v>
      </c>
      <c r="R207" s="5">
        <v>0.16685083193142</v>
      </c>
      <c r="S207" s="5">
        <v>0.157577771793006</v>
      </c>
      <c r="T207" s="5">
        <v>1.85820026687782</v>
      </c>
    </row>
    <row r="208" spans="1:20">
      <c r="A208" t="s">
        <v>874</v>
      </c>
      <c r="B208" s="5"/>
      <c r="C208" s="5"/>
      <c r="D208" s="5"/>
      <c r="E208" s="5"/>
      <c r="F208" s="5"/>
      <c r="I208" s="5">
        <v>0.0765170916227558</v>
      </c>
      <c r="J208" s="5">
        <v>0.1110783109201</v>
      </c>
      <c r="K208" s="5">
        <v>0.0822516893468846</v>
      </c>
      <c r="L208" s="5">
        <v>0.0958772287040275</v>
      </c>
      <c r="M208" s="5">
        <v>0.178944768503748</v>
      </c>
      <c r="N208" s="5">
        <v>0.1407339527989</v>
      </c>
      <c r="O208" s="5">
        <v>0.178839065266564</v>
      </c>
      <c r="P208" s="5">
        <v>0.13054334018007</v>
      </c>
      <c r="Q208" s="5">
        <v>0.122307969407043</v>
      </c>
      <c r="R208" s="5"/>
      <c r="S208" s="5"/>
      <c r="T208" s="5">
        <v>1.11709341675009</v>
      </c>
    </row>
    <row r="209" spans="1:20">
      <c r="A209" t="s">
        <v>875</v>
      </c>
      <c r="B209" s="5">
        <v>0.657776813038452</v>
      </c>
      <c r="C209" s="5"/>
      <c r="D209" s="5"/>
      <c r="I209" s="5">
        <v>0.0722661420881582</v>
      </c>
      <c r="J209" s="5">
        <v>0.0844195162992759</v>
      </c>
      <c r="K209" s="5">
        <v>0.242185529743605</v>
      </c>
      <c r="L209" s="5">
        <v>0.398647424611483</v>
      </c>
      <c r="M209" s="5">
        <v>0.744797144583165</v>
      </c>
      <c r="N209" s="5">
        <v>1.3442518939757</v>
      </c>
      <c r="O209" s="5">
        <v>2.37667705156881</v>
      </c>
      <c r="P209" s="5">
        <v>4.51157783662323</v>
      </c>
      <c r="Q209" s="5">
        <v>8.00151610383972</v>
      </c>
      <c r="R209" s="5">
        <v>13.6466417274435</v>
      </c>
      <c r="S209" s="5">
        <v>21.1440719242251</v>
      </c>
      <c r="T209" s="5">
        <v>53.2248291080402</v>
      </c>
    </row>
    <row r="210" spans="1:20">
      <c r="A210" t="s">
        <v>876</v>
      </c>
      <c r="B210" s="5"/>
      <c r="H210" s="5">
        <v>0.0635833004819614</v>
      </c>
      <c r="I210" s="5">
        <v>0.0722661420881582</v>
      </c>
      <c r="J210" s="5">
        <v>0.124407708230512</v>
      </c>
      <c r="K210" s="5">
        <v>0.141655687208523</v>
      </c>
      <c r="L210" s="5">
        <v>0.353231895225364</v>
      </c>
      <c r="M210" s="5">
        <v>0.49330719965898</v>
      </c>
      <c r="N210" s="5">
        <v>0.771610292931899</v>
      </c>
      <c r="O210" s="5">
        <v>1.39306219260271</v>
      </c>
      <c r="P210" s="5">
        <v>2.24534545109721</v>
      </c>
      <c r="Q210" s="5">
        <v>3.91385502102538</v>
      </c>
      <c r="R210" s="5">
        <v>6.99895331838643</v>
      </c>
      <c r="S210" s="5">
        <v>13.9241449257092</v>
      </c>
      <c r="T210" s="5">
        <v>30.4954231346463</v>
      </c>
    </row>
    <row r="211" spans="1:20">
      <c r="A211" t="s">
        <v>877</v>
      </c>
      <c r="I211" s="5">
        <v>0.0722661420881582</v>
      </c>
      <c r="J211" s="5">
        <v>0.119964575793708</v>
      </c>
      <c r="K211" s="5">
        <v>0.100529842535081</v>
      </c>
      <c r="L211" s="5">
        <v>0.121108078362982</v>
      </c>
      <c r="M211" s="5">
        <v>0.111235937178005</v>
      </c>
      <c r="N211" s="5">
        <v>0.1552926375712</v>
      </c>
      <c r="O211" s="5">
        <v>0.145895026927986</v>
      </c>
      <c r="P211" s="5">
        <v>0.161873741823287</v>
      </c>
      <c r="Q211" s="5">
        <v>0.212429631075391</v>
      </c>
      <c r="R211" s="5">
        <v>0.210758945597584</v>
      </c>
      <c r="S211" s="5">
        <v>0.214878779717735</v>
      </c>
      <c r="T211" s="5">
        <v>1.62623333867112</v>
      </c>
    </row>
    <row r="212" spans="1:20">
      <c r="A212" t="s">
        <v>878</v>
      </c>
      <c r="B212" s="5"/>
      <c r="I212" s="5">
        <v>0.0722661420881582</v>
      </c>
      <c r="J212" s="5">
        <v>0.0799763838624719</v>
      </c>
      <c r="K212" s="5">
        <v>0.100529842535081</v>
      </c>
      <c r="L212" s="5">
        <v>0.1110157384994</v>
      </c>
      <c r="M212" s="5">
        <v>0.145090352840876</v>
      </c>
      <c r="N212" s="5">
        <v>0.2572034309773</v>
      </c>
      <c r="O212" s="5">
        <v>0.240020850752494</v>
      </c>
      <c r="P212" s="5">
        <v>0.250643213145735</v>
      </c>
      <c r="Q212" s="5">
        <v>0.0643726154773912</v>
      </c>
      <c r="R212" s="5"/>
      <c r="S212" s="5"/>
      <c r="T212" s="5">
        <v>1.32111857017891</v>
      </c>
    </row>
    <row r="213" spans="1:20">
      <c r="A213" t="s">
        <v>879</v>
      </c>
      <c r="F213" s="5">
        <v>0.0543589539162908</v>
      </c>
      <c r="G213" s="5">
        <v>0.077941708038431</v>
      </c>
      <c r="H213" s="5">
        <v>0.113541608003503</v>
      </c>
      <c r="I213" s="5">
        <v>0.0722661420881582</v>
      </c>
      <c r="J213" s="5">
        <v>0.0577607216784519</v>
      </c>
      <c r="K213" s="5">
        <v>0.0456953829704914</v>
      </c>
      <c r="L213" s="5">
        <v>0.1110157384994</v>
      </c>
      <c r="M213" s="5">
        <v>0.0725451764204382</v>
      </c>
      <c r="N213" s="5">
        <v>0.0630876340133</v>
      </c>
      <c r="O213" s="5">
        <v>0.103538406206958</v>
      </c>
      <c r="P213" s="5">
        <v>0.057439069679231</v>
      </c>
      <c r="Q213" s="5">
        <v>0.0643726154773912</v>
      </c>
      <c r="R213" s="5"/>
      <c r="S213" s="5"/>
      <c r="T213" s="5">
        <v>0.893563156992045</v>
      </c>
    </row>
    <row r="214" spans="1:20">
      <c r="A214" t="s">
        <v>880</v>
      </c>
      <c r="B214" s="5"/>
      <c r="G214" s="5">
        <v>0.0871113207488346</v>
      </c>
      <c r="H214" s="5">
        <v>0.0681249648021015</v>
      </c>
      <c r="I214" s="5">
        <v>0.0722661420881582</v>
      </c>
      <c r="J214" s="5">
        <v>0.0533175892416479</v>
      </c>
      <c r="K214" s="5">
        <v>0.063973536158688</v>
      </c>
      <c r="L214" s="5"/>
      <c r="M214" s="5"/>
      <c r="N214" s="5">
        <v>0.0630876340133</v>
      </c>
      <c r="O214" s="5">
        <v>0.051769203103479</v>
      </c>
      <c r="P214" s="5">
        <v>0.057439069679231</v>
      </c>
      <c r="Q214" s="5"/>
      <c r="R214" s="5"/>
      <c r="S214" s="5"/>
      <c r="T214" s="5">
        <v>0.51708945983544</v>
      </c>
    </row>
    <row r="215" spans="1:20">
      <c r="A215" t="s">
        <v>881</v>
      </c>
      <c r="G215" s="5">
        <v>0.0550176762624218</v>
      </c>
      <c r="H215" s="5">
        <v>0.0681249648021015</v>
      </c>
      <c r="I215" s="5">
        <v>0.0680151925535607</v>
      </c>
      <c r="J215" s="5">
        <v>0.15550963528814</v>
      </c>
      <c r="K215" s="5">
        <v>0.306159065902293</v>
      </c>
      <c r="L215" s="5">
        <v>0.428924444202228</v>
      </c>
      <c r="M215" s="5">
        <v>0.827015011192995</v>
      </c>
      <c r="N215" s="5">
        <v>1.2957229447347</v>
      </c>
      <c r="O215" s="5">
        <v>2.20254427749347</v>
      </c>
      <c r="P215" s="5">
        <v>3.48289631600428</v>
      </c>
      <c r="Q215" s="5">
        <v>5.03393853033199</v>
      </c>
      <c r="R215" s="5">
        <v>8.15812751917314</v>
      </c>
      <c r="S215" s="5">
        <v>16.0156317149619</v>
      </c>
      <c r="T215" s="5">
        <v>38.0976272929032</v>
      </c>
    </row>
    <row r="216" spans="1:20">
      <c r="A216" t="s">
        <v>882</v>
      </c>
      <c r="H216" s="5">
        <v>0.0544999718416812</v>
      </c>
      <c r="I216" s="5">
        <v>0.0680151925535607</v>
      </c>
      <c r="J216" s="5">
        <v>0.1110783109201</v>
      </c>
      <c r="K216" s="5">
        <v>0.260463682931801</v>
      </c>
      <c r="L216" s="5">
        <v>0.252308496589546</v>
      </c>
      <c r="M216" s="5">
        <v>0.507816234943067</v>
      </c>
      <c r="N216" s="5">
        <v>0.883226876186199</v>
      </c>
      <c r="O216" s="5">
        <v>1.58131384025172</v>
      </c>
      <c r="P216" s="5">
        <v>2.29234105356204</v>
      </c>
      <c r="Q216" s="5">
        <v>3.84304514400025</v>
      </c>
      <c r="R216" s="5">
        <v>6.0241931949976</v>
      </c>
      <c r="S216" s="5">
        <v>10.6293369700373</v>
      </c>
      <c r="T216" s="5">
        <v>26.5076389688149</v>
      </c>
    </row>
    <row r="217" spans="1:20">
      <c r="A217" t="s">
        <v>883</v>
      </c>
      <c r="B217" s="5">
        <v>0.575554711408646</v>
      </c>
      <c r="H217" s="5">
        <v>0.0544999718416812</v>
      </c>
      <c r="I217" s="5">
        <v>0.0680151925535607</v>
      </c>
      <c r="J217" s="5">
        <v>0.0666469865520599</v>
      </c>
      <c r="K217" s="5">
        <v>0.114238457426229</v>
      </c>
      <c r="L217" s="5">
        <v>0.232123816862382</v>
      </c>
      <c r="M217" s="5">
        <v>0.406252987954454</v>
      </c>
      <c r="N217" s="5">
        <v>0.655140814753499</v>
      </c>
      <c r="O217" s="5">
        <v>1.15304134185021</v>
      </c>
      <c r="P217" s="5">
        <v>1.79105462727057</v>
      </c>
      <c r="Q217" s="5">
        <v>3.01907566588965</v>
      </c>
      <c r="R217" s="5">
        <v>4.69816816227947</v>
      </c>
      <c r="S217" s="5">
        <v>8.53785018078468</v>
      </c>
      <c r="T217" s="5">
        <v>21.3716629174271</v>
      </c>
    </row>
    <row r="218" spans="1:20">
      <c r="A218" t="s">
        <v>884</v>
      </c>
      <c r="I218" s="5">
        <v>0.0680151925535607</v>
      </c>
      <c r="J218" s="5">
        <v>0.0710901189888639</v>
      </c>
      <c r="K218" s="5">
        <v>0.127947072317376</v>
      </c>
      <c r="L218" s="5">
        <v>0.171569777680891</v>
      </c>
      <c r="M218" s="5">
        <v>0.290180705681753</v>
      </c>
      <c r="N218" s="5">
        <v>0.4416134380931</v>
      </c>
      <c r="O218" s="5">
        <v>0.823600958464439</v>
      </c>
      <c r="P218" s="5">
        <v>1.1174509919414</v>
      </c>
      <c r="Q218" s="5">
        <v>1.98911381825139</v>
      </c>
      <c r="R218" s="5">
        <v>3.0384414656985</v>
      </c>
      <c r="S218" s="5">
        <v>5.37196949294338</v>
      </c>
      <c r="T218" s="5">
        <v>13.5109930326147</v>
      </c>
    </row>
    <row r="219" spans="1:20">
      <c r="A219" t="s">
        <v>885</v>
      </c>
      <c r="I219" s="5">
        <v>0.0680151925535607</v>
      </c>
      <c r="J219" s="5">
        <v>0.128850840667316</v>
      </c>
      <c r="K219" s="5">
        <v>0.292450451011145</v>
      </c>
      <c r="L219" s="5">
        <v>0.353231895225364</v>
      </c>
      <c r="M219" s="5">
        <v>0.677088313257423</v>
      </c>
      <c r="N219" s="5">
        <v>1.3296932092034</v>
      </c>
      <c r="O219" s="5">
        <v>2.16489394796367</v>
      </c>
      <c r="P219" s="5">
        <v>2.64219720524463</v>
      </c>
      <c r="Q219" s="5">
        <v>2.16291988004034</v>
      </c>
      <c r="R219" s="5">
        <v>1.21186393718611</v>
      </c>
      <c r="S219" s="5">
        <v>0.787888858965029</v>
      </c>
      <c r="T219" s="5">
        <v>11.819093731318</v>
      </c>
    </row>
    <row r="220" spans="1:20">
      <c r="A220" t="s">
        <v>886</v>
      </c>
      <c r="B220" s="5">
        <v>1.3155536260769</v>
      </c>
      <c r="C220" s="5">
        <v>0.201850212877963</v>
      </c>
      <c r="D220" s="5">
        <v>0.0744315033421978</v>
      </c>
      <c r="E220" s="5">
        <v>0.0815951800095265</v>
      </c>
      <c r="F220" s="5">
        <v>0.0588888667426484</v>
      </c>
      <c r="I220" s="5">
        <v>0.0680151925535607</v>
      </c>
      <c r="J220" s="5">
        <v>0.1110783109201</v>
      </c>
      <c r="K220" s="5">
        <v>0.114238457426229</v>
      </c>
      <c r="L220" s="5">
        <v>0.146338928021937</v>
      </c>
      <c r="M220" s="5">
        <v>0.251489944924186</v>
      </c>
      <c r="N220" s="5">
        <v>0.3299968548388</v>
      </c>
      <c r="O220" s="5">
        <v>0.527104613417241</v>
      </c>
      <c r="P220" s="5">
        <v>0.637051500078744</v>
      </c>
      <c r="Q220" s="5">
        <v>0.843281262753824</v>
      </c>
      <c r="R220" s="5">
        <v>1.50165748738278</v>
      </c>
      <c r="S220" s="5">
        <v>2.95100190812356</v>
      </c>
      <c r="T220" s="5">
        <v>9.2135738494902</v>
      </c>
    </row>
    <row r="221" spans="1:20">
      <c r="A221" t="s">
        <v>887</v>
      </c>
      <c r="I221" s="5">
        <v>0.0680151925535607</v>
      </c>
      <c r="J221" s="5">
        <v>0.0888626487360799</v>
      </c>
      <c r="K221" s="5">
        <v>0.109668919129179</v>
      </c>
      <c r="L221" s="5">
        <v>0.156431267885519</v>
      </c>
      <c r="M221" s="5">
        <v>0.174108423409052</v>
      </c>
      <c r="N221" s="5">
        <v>0.2717621157496</v>
      </c>
      <c r="O221" s="5">
        <v>0.376503295298029</v>
      </c>
      <c r="P221" s="5">
        <v>0.527395094327485</v>
      </c>
      <c r="Q221" s="5">
        <v>0.65660067786939</v>
      </c>
      <c r="R221" s="5">
        <v>0.816690914190637</v>
      </c>
      <c r="S221" s="5">
        <v>0.830864614908576</v>
      </c>
      <c r="T221" s="5">
        <v>4.07690316405711</v>
      </c>
    </row>
    <row r="222" spans="1:20">
      <c r="A222" t="s">
        <v>888</v>
      </c>
      <c r="G222" s="5">
        <v>0.0687720953280273</v>
      </c>
      <c r="H222" s="5">
        <v>0.0590416361618213</v>
      </c>
      <c r="I222" s="5">
        <v>0.0680151925535607</v>
      </c>
      <c r="J222" s="5">
        <v>0.0622038541152559</v>
      </c>
      <c r="K222" s="5">
        <v>0.0456953829704914</v>
      </c>
      <c r="L222" s="5">
        <v>0.0706463790450729</v>
      </c>
      <c r="M222" s="5">
        <v>0.0870542117045258</v>
      </c>
      <c r="N222" s="5">
        <v>0.1067636883302</v>
      </c>
      <c r="O222" s="5">
        <v>0.13177615335431</v>
      </c>
      <c r="P222" s="5">
        <v>0.281973614788952</v>
      </c>
      <c r="Q222" s="5">
        <v>0.238178677266347</v>
      </c>
      <c r="R222" s="5">
        <v>0.526897363993959</v>
      </c>
      <c r="S222" s="5">
        <v>0.7305878510403</v>
      </c>
      <c r="T222" s="5">
        <v>2.47760610065282</v>
      </c>
    </row>
    <row r="223" spans="1:20">
      <c r="A223" t="s">
        <v>889</v>
      </c>
      <c r="I223" s="5">
        <v>0.0680151925535607</v>
      </c>
      <c r="J223" s="5">
        <v>0.128850840667316</v>
      </c>
      <c r="K223" s="5">
        <v>0.146225225505573</v>
      </c>
      <c r="L223" s="5">
        <v>0.156431267885519</v>
      </c>
      <c r="M223" s="5">
        <v>0.261162635113577</v>
      </c>
      <c r="N223" s="5">
        <v>0.3591142243834</v>
      </c>
      <c r="O223" s="5">
        <v>0.352971839341902</v>
      </c>
      <c r="P223" s="5">
        <v>0.224534545109721</v>
      </c>
      <c r="Q223" s="5">
        <v>0.0643726154773912</v>
      </c>
      <c r="R223" s="5"/>
      <c r="S223" s="5"/>
      <c r="T223" s="5">
        <v>1.76167838603796</v>
      </c>
    </row>
    <row r="224" spans="1:20">
      <c r="A224" t="s">
        <v>890</v>
      </c>
      <c r="B224" s="5">
        <v>0.657776813038452</v>
      </c>
      <c r="C224" s="5">
        <v>0.336417021463271</v>
      </c>
      <c r="I224" s="5">
        <v>0.0680151925535607</v>
      </c>
      <c r="J224" s="5">
        <v>0.102192046046492</v>
      </c>
      <c r="K224" s="5">
        <v>0.063973536158688</v>
      </c>
      <c r="L224" s="5">
        <v>0.0807387189086547</v>
      </c>
      <c r="M224" s="5">
        <v>0.0677088313257423</v>
      </c>
      <c r="N224" s="5">
        <v>0.0582347390892</v>
      </c>
      <c r="O224" s="5">
        <v>0.0470629119122537</v>
      </c>
      <c r="T224" s="5">
        <v>1.48211981049631</v>
      </c>
    </row>
    <row r="225" spans="1:20">
      <c r="A225" t="s">
        <v>891</v>
      </c>
      <c r="B225" s="5"/>
      <c r="G225" s="5">
        <v>0.0596024826176237</v>
      </c>
      <c r="H225" s="5">
        <v>0.0544999718416812</v>
      </c>
      <c r="I225" s="5">
        <v>0.0680151925535607</v>
      </c>
      <c r="J225" s="5">
        <v>0.0977489136096879</v>
      </c>
      <c r="K225" s="5">
        <v>0.0822516893468846</v>
      </c>
      <c r="L225" s="5">
        <v>0.0857848888404457</v>
      </c>
      <c r="M225" s="5">
        <v>0.0483634509469588</v>
      </c>
      <c r="N225" s="5">
        <v>0.0533818441651</v>
      </c>
      <c r="O225" s="5">
        <v>0.0564754942947044</v>
      </c>
      <c r="T225" s="5">
        <v>0.606123928216647</v>
      </c>
    </row>
    <row r="226" spans="1:20">
      <c r="A226" t="s">
        <v>892</v>
      </c>
      <c r="H226" s="5">
        <v>0.0499583075215411</v>
      </c>
      <c r="I226" s="5">
        <v>0.0680151925535607</v>
      </c>
      <c r="J226" s="5">
        <v>0.0710901189888639</v>
      </c>
      <c r="L226" s="5">
        <v>0.0756925489768638</v>
      </c>
      <c r="M226" s="5">
        <v>0.0967269018939176</v>
      </c>
      <c r="N226" s="5">
        <v>0.0582347390892</v>
      </c>
      <c r="O226" s="5">
        <v>0.051769203103479</v>
      </c>
      <c r="P226" s="5">
        <v>0.057439069679231</v>
      </c>
      <c r="Q226" s="5"/>
      <c r="R226" s="5"/>
      <c r="S226" s="5"/>
      <c r="T226" s="5">
        <v>0.528926081806657</v>
      </c>
    </row>
    <row r="227" spans="1:20">
      <c r="A227" t="s">
        <v>893</v>
      </c>
      <c r="H227" s="5">
        <v>0.045416643201401</v>
      </c>
      <c r="I227" s="5">
        <v>0.0680151925535607</v>
      </c>
      <c r="J227" s="5">
        <v>0.0622038541152559</v>
      </c>
      <c r="K227" s="5">
        <v>0.0822516893468846</v>
      </c>
      <c r="L227" s="5"/>
      <c r="M227" s="5">
        <v>0.0580361411363505</v>
      </c>
      <c r="N227" s="5"/>
      <c r="O227" s="5"/>
      <c r="P227" s="5"/>
      <c r="Q227" s="5"/>
      <c r="R227" s="5"/>
      <c r="S227" s="5"/>
      <c r="T227" s="5">
        <v>0.315923520353453</v>
      </c>
    </row>
    <row r="228" spans="1:20">
      <c r="A228" t="s">
        <v>894</v>
      </c>
      <c r="B228" s="5"/>
      <c r="F228" s="5">
        <v>0.0679486923953635</v>
      </c>
      <c r="I228" s="5">
        <v>0.0680151925535607</v>
      </c>
      <c r="J228" s="5">
        <v>0.04443132436804</v>
      </c>
      <c r="K228" s="5">
        <v>0.0548344595645897</v>
      </c>
      <c r="T228" s="5">
        <v>0.235229668881554</v>
      </c>
    </row>
    <row r="229" spans="1:20">
      <c r="A229" t="s">
        <v>895</v>
      </c>
      <c r="H229" s="5">
        <v>0.0499583075215411</v>
      </c>
      <c r="I229" s="5">
        <v>0.0637642430189632</v>
      </c>
      <c r="J229" s="5">
        <v>0.102192046046492</v>
      </c>
      <c r="K229" s="5">
        <v>0.201059685070162</v>
      </c>
      <c r="L229" s="5">
        <v>0.277539346248501</v>
      </c>
      <c r="M229" s="5">
        <v>0.561016030984722</v>
      </c>
      <c r="N229" s="5">
        <v>0.956020300047699</v>
      </c>
      <c r="O229" s="5">
        <v>1.42129993975006</v>
      </c>
      <c r="P229" s="5">
        <v>2.52209733227896</v>
      </c>
      <c r="Q229" s="5">
        <v>3.68855086685451</v>
      </c>
      <c r="R229" s="5">
        <v>6.0241931949976</v>
      </c>
      <c r="S229" s="5">
        <v>11.2166723012658</v>
      </c>
      <c r="T229" s="5">
        <v>27.084363594085</v>
      </c>
    </row>
    <row r="230" spans="1:20">
      <c r="A230" t="s">
        <v>896</v>
      </c>
      <c r="B230" s="5">
        <v>1.06888732118748</v>
      </c>
      <c r="C230" s="5">
        <v>0.0807400851511851</v>
      </c>
      <c r="F230" s="5">
        <v>0.0770085180480787</v>
      </c>
      <c r="H230" s="5">
        <v>0.0590416361618213</v>
      </c>
      <c r="I230" s="5">
        <v>0.0637642430189632</v>
      </c>
      <c r="J230" s="5">
        <v>0.128850840667316</v>
      </c>
      <c r="K230" s="5">
        <v>0.169072916990818</v>
      </c>
      <c r="L230" s="5">
        <v>0.151385097953728</v>
      </c>
      <c r="M230" s="5">
        <v>0.24665359982949</v>
      </c>
      <c r="N230" s="5">
        <v>0.528965546726899</v>
      </c>
      <c r="O230" s="5">
        <v>0.889489035141594</v>
      </c>
      <c r="P230" s="5">
        <v>1.44119847558798</v>
      </c>
      <c r="Q230" s="5">
        <v>2.28522784944739</v>
      </c>
      <c r="R230" s="5">
        <v>2.96818848383264</v>
      </c>
      <c r="S230" s="5">
        <v>5.08546445331973</v>
      </c>
      <c r="T230" s="5">
        <v>15.2439381030651</v>
      </c>
    </row>
    <row r="231" spans="1:20">
      <c r="A231" t="s">
        <v>897</v>
      </c>
      <c r="C231" s="5">
        <v>0.0740117447219197</v>
      </c>
      <c r="F231" s="5">
        <v>0.0498290410899333</v>
      </c>
      <c r="I231" s="5">
        <v>0.0637642430189632</v>
      </c>
      <c r="J231" s="5">
        <v>0.0844195162992759</v>
      </c>
      <c r="K231" s="5">
        <v>0.0776821510498354</v>
      </c>
      <c r="L231" s="5">
        <v>0.136246588158355</v>
      </c>
      <c r="M231" s="5">
        <v>0.217635529261315</v>
      </c>
      <c r="N231" s="5">
        <v>0.3202910649906</v>
      </c>
      <c r="O231" s="5">
        <v>0.701237387492579</v>
      </c>
      <c r="P231" s="5">
        <v>0.997351118975738</v>
      </c>
      <c r="Q231" s="5">
        <v>1.75093514098504</v>
      </c>
      <c r="R231" s="5">
        <v>3.28432690222901</v>
      </c>
      <c r="S231" s="5">
        <v>4.61273113794072</v>
      </c>
      <c r="T231" s="5">
        <v>12.3704615662133</v>
      </c>
    </row>
    <row r="232" spans="1:20">
      <c r="A232" t="s">
        <v>898</v>
      </c>
      <c r="C232" s="5">
        <v>0.195121872448697</v>
      </c>
      <c r="D232" s="5">
        <v>0.0496210022281319</v>
      </c>
      <c r="H232" s="5">
        <v>0.0726666291222416</v>
      </c>
      <c r="I232" s="5">
        <v>0.0637642430189632</v>
      </c>
      <c r="J232" s="5">
        <v>0.124407708230512</v>
      </c>
      <c r="K232" s="5">
        <v>0.191920608476064</v>
      </c>
      <c r="L232" s="5">
        <v>0.247262326657755</v>
      </c>
      <c r="M232" s="5">
        <v>0.440107403617325</v>
      </c>
      <c r="N232" s="5">
        <v>0.6017589705884</v>
      </c>
      <c r="O232" s="5">
        <v>0.767125464169734</v>
      </c>
      <c r="P232" s="5">
        <v>1.26365953294308</v>
      </c>
      <c r="Q232" s="5">
        <v>1.3003268326433</v>
      </c>
      <c r="R232" s="5">
        <v>1.93195700131118</v>
      </c>
      <c r="S232" s="5">
        <v>2.60719586057519</v>
      </c>
      <c r="T232" s="5">
        <v>9.85689545603057</v>
      </c>
    </row>
    <row r="233" spans="1:20">
      <c r="A233" t="s">
        <v>899</v>
      </c>
      <c r="I233" s="5">
        <v>0.0637642430189632</v>
      </c>
      <c r="J233" s="5">
        <v>0.137737105540924</v>
      </c>
      <c r="K233" s="5">
        <v>0.223907376555408</v>
      </c>
      <c r="L233" s="5">
        <v>0.302770195907455</v>
      </c>
      <c r="M233" s="5">
        <v>0.401416642859758</v>
      </c>
      <c r="N233" s="5">
        <v>0.4998481771823</v>
      </c>
      <c r="O233" s="5">
        <v>0.658880766771551</v>
      </c>
      <c r="P233" s="5">
        <v>0.825033909938045</v>
      </c>
      <c r="Q233" s="5">
        <v>0.740285077989999</v>
      </c>
      <c r="R233" s="5">
        <v>1.03623148252145</v>
      </c>
      <c r="S233" s="5">
        <v>1.76200599368543</v>
      </c>
      <c r="T233" s="5">
        <v>6.65188097197128</v>
      </c>
    </row>
    <row r="234" spans="1:20">
      <c r="A234" t="s">
        <v>900</v>
      </c>
      <c r="B234" s="5"/>
      <c r="I234" s="5">
        <v>0.0637642430189632</v>
      </c>
      <c r="J234" s="5">
        <v>0.0577607216784519</v>
      </c>
      <c r="K234" s="5">
        <v>0.0594039978616389</v>
      </c>
      <c r="L234" s="5">
        <v>0.0605540391814911</v>
      </c>
      <c r="M234" s="5">
        <v>0.0822178666098299</v>
      </c>
      <c r="N234" s="5">
        <v>0.0679405289373999</v>
      </c>
      <c r="O234" s="5">
        <v>0.0894195326332819</v>
      </c>
      <c r="P234" s="5">
        <v>0.0783260041080423</v>
      </c>
      <c r="Q234" s="5">
        <v>0.102996184763826</v>
      </c>
      <c r="S234" s="5">
        <v>0.2435292836801</v>
      </c>
      <c r="T234" s="5">
        <v>0.905912402473025</v>
      </c>
    </row>
    <row r="235" spans="1:20">
      <c r="A235" t="s">
        <v>901</v>
      </c>
      <c r="G235" s="5">
        <v>0.0733569016832291</v>
      </c>
      <c r="H235" s="5">
        <v>0.108999943683362</v>
      </c>
      <c r="I235" s="5">
        <v>0.0637642430189632</v>
      </c>
      <c r="J235" s="5"/>
      <c r="K235" s="5">
        <v>0.0548344595645897</v>
      </c>
      <c r="L235" s="5"/>
      <c r="M235" s="5">
        <v>0.0580361411363505</v>
      </c>
      <c r="N235" s="5">
        <v>0.048528949241</v>
      </c>
      <c r="O235" s="5"/>
      <c r="P235" s="5"/>
      <c r="Q235" s="5"/>
      <c r="R235" s="5"/>
      <c r="S235" s="5"/>
      <c r="T235" s="5">
        <v>0.407520638327494</v>
      </c>
    </row>
    <row r="236" spans="1:20">
      <c r="A236" t="s">
        <v>902</v>
      </c>
      <c r="H236" s="5">
        <v>0.045416643201401</v>
      </c>
      <c r="I236" s="5">
        <v>0.0595132934843656</v>
      </c>
      <c r="J236" s="5">
        <v>0.0933057811728839</v>
      </c>
      <c r="K236" s="5">
        <v>0.109668919129179</v>
      </c>
      <c r="L236" s="5">
        <v>0.1665236077491</v>
      </c>
      <c r="M236" s="5">
        <v>0.430434713427933</v>
      </c>
      <c r="N236" s="5">
        <v>0.684258184298099</v>
      </c>
      <c r="O236" s="5">
        <v>0.880076452759143</v>
      </c>
      <c r="P236" s="5">
        <v>1.46730714362399</v>
      </c>
      <c r="Q236" s="5">
        <v>2.43972212659313</v>
      </c>
      <c r="R236" s="5">
        <v>4.07467294821995</v>
      </c>
      <c r="S236" s="5">
        <v>7.00504821879817</v>
      </c>
      <c r="T236" s="5">
        <v>17.4559480324573</v>
      </c>
    </row>
    <row r="237" spans="1:20">
      <c r="A237" t="s">
        <v>903</v>
      </c>
      <c r="F237" s="5">
        <v>0.0452991282635757</v>
      </c>
      <c r="H237" s="5">
        <v>0.0544999718416812</v>
      </c>
      <c r="I237" s="5">
        <v>0.0595132934843656</v>
      </c>
      <c r="J237" s="5">
        <v>0.0977489136096879</v>
      </c>
      <c r="K237" s="5">
        <v>0.155364302099671</v>
      </c>
      <c r="L237" s="5">
        <v>0.282585516180292</v>
      </c>
      <c r="M237" s="5">
        <v>0.406252987954454</v>
      </c>
      <c r="N237" s="5">
        <v>0.5872002858161</v>
      </c>
      <c r="O237" s="5">
        <v>0.927139364671397</v>
      </c>
      <c r="P237" s="5">
        <v>1.27410300015749</v>
      </c>
      <c r="Q237" s="5">
        <v>1.53206824836191</v>
      </c>
      <c r="R237" s="5">
        <v>1.93195700131118</v>
      </c>
      <c r="S237" s="5">
        <v>2.46394334076336</v>
      </c>
      <c r="T237" s="5">
        <v>9.81767535451517</v>
      </c>
    </row>
    <row r="238" spans="1:20">
      <c r="A238" t="s">
        <v>904</v>
      </c>
      <c r="H238" s="5">
        <v>0.045416643201401</v>
      </c>
      <c r="I238" s="5">
        <v>0.0595132934843656</v>
      </c>
      <c r="J238" s="5">
        <v>0.0933057811728839</v>
      </c>
      <c r="K238" s="5">
        <v>0.132516610614425</v>
      </c>
      <c r="L238" s="5">
        <v>0.252308496589546</v>
      </c>
      <c r="M238" s="5">
        <v>0.372398572291583</v>
      </c>
      <c r="N238" s="5">
        <v>0.4658779127136</v>
      </c>
      <c r="O238" s="5">
        <v>0.57887381652072</v>
      </c>
      <c r="P238" s="5">
        <v>0.731042705008394</v>
      </c>
      <c r="Q238" s="5">
        <v>0.972026493708607</v>
      </c>
      <c r="R238" s="5">
        <v>1.2908985417852</v>
      </c>
      <c r="S238" s="5">
        <v>1.84795750557252</v>
      </c>
      <c r="T238" s="5">
        <v>6.84213637266325</v>
      </c>
    </row>
    <row r="239" spans="1:20">
      <c r="A239" t="s">
        <v>905</v>
      </c>
      <c r="B239" s="5"/>
      <c r="I239" s="5">
        <v>0.0595132934843656</v>
      </c>
      <c r="J239" s="5">
        <v>0.128850840667316</v>
      </c>
      <c r="K239" s="5">
        <v>0.201059685070162</v>
      </c>
      <c r="L239" s="5">
        <v>0.32800104556641</v>
      </c>
      <c r="M239" s="5">
        <v>0.41108933304915</v>
      </c>
      <c r="N239" s="5">
        <v>0.4270547533208</v>
      </c>
      <c r="O239" s="5">
        <v>0.395328460062931</v>
      </c>
      <c r="P239" s="5">
        <v>0.396851754147414</v>
      </c>
      <c r="Q239" s="5">
        <v>0.347612123577912</v>
      </c>
      <c r="R239" s="5">
        <v>0.56202385492689</v>
      </c>
      <c r="S239" s="5">
        <v>0.759238355002665</v>
      </c>
      <c r="T239" s="5">
        <v>4.01662349887602</v>
      </c>
    </row>
    <row r="240" spans="1:20">
      <c r="A240" t="s">
        <v>906</v>
      </c>
      <c r="I240" s="5">
        <v>0.0595132934843656</v>
      </c>
      <c r="J240" s="5">
        <v>0.0622038541152559</v>
      </c>
      <c r="K240" s="5">
        <v>0.10509938083213</v>
      </c>
      <c r="L240" s="5">
        <v>0.136246588158355</v>
      </c>
      <c r="M240" s="5">
        <v>0.251489944924186</v>
      </c>
      <c r="N240" s="5">
        <v>0.2669092208255</v>
      </c>
      <c r="O240" s="5">
        <v>0.381209586489255</v>
      </c>
      <c r="P240" s="5">
        <v>0.391630020540211</v>
      </c>
      <c r="Q240" s="5">
        <v>0.469920092984956</v>
      </c>
      <c r="R240" s="5">
        <v>0.605931968593053</v>
      </c>
      <c r="S240" s="5">
        <v>0.787888858965029</v>
      </c>
      <c r="T240" s="5">
        <v>3.5180428099123</v>
      </c>
    </row>
    <row r="241" spans="1:20">
      <c r="A241" t="s">
        <v>907</v>
      </c>
      <c r="F241" s="5">
        <v>0.0452991282635757</v>
      </c>
      <c r="G241" s="5">
        <v>0.0596024826176237</v>
      </c>
      <c r="H241" s="5">
        <v>0.0681249648021015</v>
      </c>
      <c r="I241" s="5">
        <v>0.0595132934843656</v>
      </c>
      <c r="J241" s="5">
        <v>0.0666469865520599</v>
      </c>
      <c r="K241" s="5">
        <v>0.095960304238032</v>
      </c>
      <c r="L241" s="5">
        <v>0.0908310587722366</v>
      </c>
      <c r="M241" s="5">
        <v>0.120908627367397</v>
      </c>
      <c r="N241" s="5">
        <v>0.1358810578748</v>
      </c>
      <c r="O241" s="5">
        <v>0.0988321150157327</v>
      </c>
      <c r="P241" s="5">
        <v>0.0887694713224479</v>
      </c>
      <c r="Q241" s="5">
        <v>0.0772471385728694</v>
      </c>
      <c r="R241" s="5">
        <v>0.0965978500655592</v>
      </c>
      <c r="S241" s="5"/>
      <c r="T241" s="5">
        <v>1.1042144789488</v>
      </c>
    </row>
    <row r="242" spans="1:20">
      <c r="A242" t="s">
        <v>908</v>
      </c>
      <c r="H242" s="5">
        <v>0.045416643201401</v>
      </c>
      <c r="I242" s="5">
        <v>0.0595132934843656</v>
      </c>
      <c r="J242" s="5">
        <v>0.0666469865520599</v>
      </c>
      <c r="K242" s="5">
        <v>0.0731126127527863</v>
      </c>
      <c r="L242" s="5">
        <v>0.121108078362982</v>
      </c>
      <c r="M242" s="5">
        <v>0.0870542117045258</v>
      </c>
      <c r="N242" s="5">
        <v>0.1407339527989</v>
      </c>
      <c r="O242" s="5">
        <v>0.0800069502508312</v>
      </c>
      <c r="P242" s="5">
        <v>0.0626608032864338</v>
      </c>
      <c r="Q242" s="5">
        <v>0.0643726154773912</v>
      </c>
      <c r="R242" s="5"/>
      <c r="S242" s="5"/>
      <c r="T242" s="5">
        <v>0.800626147871677</v>
      </c>
    </row>
    <row r="243" spans="1:20">
      <c r="A243" t="s">
        <v>909</v>
      </c>
      <c r="B243" s="5"/>
      <c r="C243" s="5"/>
      <c r="I243" s="5">
        <v>0.0595132934843656</v>
      </c>
      <c r="J243" s="5">
        <v>0.0488744568048439</v>
      </c>
      <c r="K243" s="5"/>
      <c r="L243" s="5">
        <v>0.0605540391814911</v>
      </c>
      <c r="M243" s="5">
        <v>0.0628724862310464</v>
      </c>
      <c r="N243" s="5">
        <v>0.0824992137096999</v>
      </c>
      <c r="O243" s="5">
        <v>0.0470629119122537</v>
      </c>
      <c r="P243" s="5">
        <v>0.057439069679231</v>
      </c>
      <c r="Q243" s="5">
        <v>0.0643726154773912</v>
      </c>
      <c r="R243" s="5"/>
      <c r="T243" s="5">
        <v>0.483188086480323</v>
      </c>
    </row>
    <row r="244" spans="1:20">
      <c r="A244" t="s">
        <v>910</v>
      </c>
      <c r="F244" s="5">
        <v>0.0543589539162908</v>
      </c>
      <c r="G244" s="5">
        <v>0.0550176762624218</v>
      </c>
      <c r="H244" s="5">
        <v>0.090833286402802</v>
      </c>
      <c r="I244" s="5">
        <v>0.0595132934843656</v>
      </c>
      <c r="T244" s="5">
        <v>0.25972321006588</v>
      </c>
    </row>
    <row r="245" spans="1:20">
      <c r="A245" t="s">
        <v>911</v>
      </c>
      <c r="B245" s="5"/>
      <c r="I245" s="5">
        <v>0.0595132934843656</v>
      </c>
      <c r="T245" s="5">
        <v>0.0595132934843656</v>
      </c>
    </row>
    <row r="246" spans="1:20">
      <c r="A246" t="s">
        <v>912</v>
      </c>
      <c r="B246" s="5"/>
      <c r="I246" s="5">
        <v>0.0552623439497681</v>
      </c>
      <c r="J246" s="5">
        <v>0.0844195162992759</v>
      </c>
      <c r="K246" s="5">
        <v>0.187351070179015</v>
      </c>
      <c r="L246" s="5">
        <v>0.484432313451928</v>
      </c>
      <c r="M246" s="5">
        <v>0.836687701382387</v>
      </c>
      <c r="N246" s="5">
        <v>1.6208669046494</v>
      </c>
      <c r="O246" s="5">
        <v>2.78141809401419</v>
      </c>
      <c r="P246" s="5">
        <v>4.40192143087198</v>
      </c>
      <c r="Q246" s="5">
        <v>7.53803327240251</v>
      </c>
      <c r="R246" s="5">
        <v>12.8562956814526</v>
      </c>
      <c r="S246" s="5">
        <v>23.5077385011202</v>
      </c>
      <c r="T246" s="5">
        <v>54.3544268297733</v>
      </c>
    </row>
    <row r="247" spans="1:20">
      <c r="A247" t="s">
        <v>913</v>
      </c>
      <c r="B247" s="5"/>
      <c r="I247" s="5">
        <v>0.0552623439497681</v>
      </c>
      <c r="J247" s="5">
        <v>0.191054694782572</v>
      </c>
      <c r="K247" s="5">
        <v>0.383841216952128</v>
      </c>
      <c r="L247" s="5">
        <v>0.645909751269238</v>
      </c>
      <c r="M247" s="5">
        <v>1.11719571687475</v>
      </c>
      <c r="N247" s="5">
        <v>1.8780703356267</v>
      </c>
      <c r="O247" s="5">
        <v>3.2661660867104</v>
      </c>
      <c r="P247" s="5">
        <v>4.27659982429911</v>
      </c>
      <c r="Q247" s="5">
        <v>5.61329206962851</v>
      </c>
      <c r="R247" s="5">
        <v>6.19104402692902</v>
      </c>
      <c r="S247" s="5">
        <v>8.09376736936803</v>
      </c>
      <c r="T247" s="5">
        <v>31.7122034363902</v>
      </c>
    </row>
    <row r="248" spans="1:20">
      <c r="A248" t="s">
        <v>914</v>
      </c>
      <c r="B248" s="5">
        <v>0.877035750717936</v>
      </c>
      <c r="C248" s="5">
        <v>0.0874684255804506</v>
      </c>
      <c r="H248" s="5">
        <v>0.045416643201401</v>
      </c>
      <c r="I248" s="5">
        <v>0.0552623439497681</v>
      </c>
      <c r="J248" s="5">
        <v>0.142180237977728</v>
      </c>
      <c r="K248" s="5">
        <v>0.201059685070162</v>
      </c>
      <c r="L248" s="5">
        <v>0.302770195907455</v>
      </c>
      <c r="M248" s="5">
        <v>0.343380501723407</v>
      </c>
      <c r="N248" s="5">
        <v>0.795874767552399</v>
      </c>
      <c r="O248" s="5">
        <v>1.38364961022026</v>
      </c>
      <c r="P248" s="5">
        <v>2.34978012324127</v>
      </c>
      <c r="Q248" s="5">
        <v>4.17134548293495</v>
      </c>
      <c r="R248" s="5">
        <v>7.3677814731822</v>
      </c>
      <c r="S248" s="5">
        <v>12.9213772870265</v>
      </c>
      <c r="T248" s="5">
        <v>31.0443825282859</v>
      </c>
    </row>
    <row r="249" spans="1:20">
      <c r="A249" t="s">
        <v>915</v>
      </c>
      <c r="I249" s="5">
        <v>0.0552623439497681</v>
      </c>
      <c r="J249" s="5">
        <v>0.0666469865520599</v>
      </c>
      <c r="K249" s="5">
        <v>0.123377534020327</v>
      </c>
      <c r="L249" s="5">
        <v>0.151385097953728</v>
      </c>
      <c r="M249" s="5">
        <v>0.207962839071923</v>
      </c>
      <c r="N249" s="5">
        <v>0.3736729091557</v>
      </c>
      <c r="O249" s="5">
        <v>0.527104613417241</v>
      </c>
      <c r="P249" s="5">
        <v>0.809368709116437</v>
      </c>
      <c r="Q249" s="5">
        <v>1.036399109186</v>
      </c>
      <c r="R249" s="5">
        <v>1.64216345111451</v>
      </c>
      <c r="S249" s="5">
        <v>2.59287060859401</v>
      </c>
      <c r="T249" s="5">
        <v>7.5862142021317</v>
      </c>
    </row>
    <row r="250" spans="1:20">
      <c r="A250" t="s">
        <v>916</v>
      </c>
      <c r="B250" s="5">
        <v>1.34296099328684</v>
      </c>
      <c r="F250" s="5">
        <v>0.0452991282635757</v>
      </c>
      <c r="G250" s="5">
        <v>0.0641872889728255</v>
      </c>
      <c r="H250" s="5">
        <v>0.0862916220826619</v>
      </c>
      <c r="I250" s="5">
        <v>0.0552623439497681</v>
      </c>
      <c r="J250" s="5">
        <v>0.0933057811728839</v>
      </c>
      <c r="K250" s="5">
        <v>0.15993384039672</v>
      </c>
      <c r="L250" s="5">
        <v>0.423878274270437</v>
      </c>
      <c r="M250" s="5">
        <v>0.802833285719516</v>
      </c>
      <c r="N250" s="5">
        <v>1.5480734807879</v>
      </c>
      <c r="O250" s="5">
        <v>1.51542576357457</v>
      </c>
      <c r="P250" s="5">
        <v>0.840699110759654</v>
      </c>
      <c r="Q250" s="5">
        <v>0.21886689262313</v>
      </c>
      <c r="R250" s="5"/>
      <c r="S250" s="5"/>
      <c r="T250" s="5">
        <v>7.19701780586048</v>
      </c>
    </row>
    <row r="251" spans="1:20">
      <c r="A251" t="s">
        <v>917</v>
      </c>
      <c r="B251" s="5"/>
      <c r="I251" s="5">
        <v>0.0552623439497681</v>
      </c>
      <c r="J251" s="5">
        <v>0.0977489136096879</v>
      </c>
      <c r="K251" s="5">
        <v>0.100529842535081</v>
      </c>
      <c r="L251" s="5">
        <v>0.131200418226564</v>
      </c>
      <c r="M251" s="5">
        <v>0.145090352840876</v>
      </c>
      <c r="N251" s="5">
        <v>0.2717621157496</v>
      </c>
      <c r="O251" s="5">
        <v>0.348265548150677</v>
      </c>
      <c r="P251" s="5">
        <v>0.516951627113079</v>
      </c>
      <c r="Q251" s="5">
        <v>0.926965662874433</v>
      </c>
      <c r="R251" s="5">
        <v>1.65094507384774</v>
      </c>
      <c r="S251" s="5">
        <v>2.73612312840583</v>
      </c>
      <c r="T251" s="5">
        <v>6.98084502730334</v>
      </c>
    </row>
    <row r="252" spans="1:20">
      <c r="A252" t="s">
        <v>918</v>
      </c>
      <c r="I252" s="5">
        <v>0.0552623439497681</v>
      </c>
      <c r="J252" s="5">
        <v>0.0844195162992759</v>
      </c>
      <c r="K252" s="5">
        <v>0.114238457426229</v>
      </c>
      <c r="L252" s="5">
        <v>0.353231895225364</v>
      </c>
      <c r="M252" s="5">
        <v>0.454616438901413</v>
      </c>
      <c r="N252" s="5">
        <v>0.5726416010438</v>
      </c>
      <c r="O252" s="5">
        <v>0.630643019624199</v>
      </c>
      <c r="P252" s="5">
        <v>0.892916446831682</v>
      </c>
      <c r="Q252" s="5">
        <v>1.01065006299504</v>
      </c>
      <c r="R252" s="5">
        <v>1.08013959618762</v>
      </c>
      <c r="S252" s="5">
        <v>1.57577771793006</v>
      </c>
      <c r="T252" s="5">
        <v>6.82453709641445</v>
      </c>
    </row>
    <row r="253" spans="1:20">
      <c r="A253" t="s">
        <v>919</v>
      </c>
      <c r="I253" s="5">
        <v>0.0552623439497681</v>
      </c>
      <c r="J253" s="5">
        <v>0.0799763838624719</v>
      </c>
      <c r="K253" s="5">
        <v>0.141655687208523</v>
      </c>
      <c r="L253" s="5">
        <v>0.126154248294773</v>
      </c>
      <c r="M253" s="5">
        <v>0.145090352840876</v>
      </c>
      <c r="N253" s="5">
        <v>0.2135273766604</v>
      </c>
      <c r="O253" s="5">
        <v>0.395328460062931</v>
      </c>
      <c r="P253" s="5">
        <v>0.40729522136182</v>
      </c>
      <c r="Q253" s="5">
        <v>0.598665323939738</v>
      </c>
      <c r="R253" s="5">
        <v>0.878162273323266</v>
      </c>
      <c r="S253" s="5">
        <v>0.931141378776853</v>
      </c>
      <c r="T253" s="5">
        <v>3.97225905028142</v>
      </c>
    </row>
    <row r="254" spans="1:20">
      <c r="A254" t="s">
        <v>920</v>
      </c>
      <c r="B254" s="5"/>
      <c r="C254" s="5"/>
      <c r="H254" s="5">
        <v>0.045416643201401</v>
      </c>
      <c r="I254" s="5">
        <v>0.0552623439497681</v>
      </c>
      <c r="J254" s="5"/>
      <c r="K254" s="5">
        <v>0.0731126127527863</v>
      </c>
      <c r="L254" s="5">
        <v>0.105969568567609</v>
      </c>
      <c r="M254" s="5">
        <v>0.135417662651485</v>
      </c>
      <c r="N254" s="5">
        <v>0.1649984274194</v>
      </c>
      <c r="O254" s="5">
        <v>0.183545356457789</v>
      </c>
      <c r="P254" s="5">
        <v>0.292417082003358</v>
      </c>
      <c r="Q254" s="5">
        <v>0.476357354532695</v>
      </c>
      <c r="R254" s="5">
        <v>0.570805477660123</v>
      </c>
      <c r="S254" s="5">
        <v>0.544359575284929</v>
      </c>
      <c r="T254" s="5">
        <v>2.64766210448134</v>
      </c>
    </row>
    <row r="255" spans="1:20">
      <c r="A255" t="s">
        <v>921</v>
      </c>
      <c r="I255" s="5">
        <v>0.0552623439497681</v>
      </c>
      <c r="J255" s="5">
        <v>0.186611562345768</v>
      </c>
      <c r="K255" s="5">
        <v>0.31986768079344</v>
      </c>
      <c r="L255" s="5">
        <v>0.333047215498201</v>
      </c>
      <c r="M255" s="5">
        <v>0.32887146643932</v>
      </c>
      <c r="N255" s="5">
        <v>0.4755837025618</v>
      </c>
      <c r="O255" s="5">
        <v>0.381209586489255</v>
      </c>
      <c r="P255" s="5">
        <v>0.20364761068091</v>
      </c>
      <c r="Q255" s="5">
        <v>0.0772471385728694</v>
      </c>
      <c r="R255" s="5"/>
      <c r="S255" s="5"/>
      <c r="T255" s="5">
        <v>2.36134830733133</v>
      </c>
    </row>
    <row r="256" spans="1:20">
      <c r="A256" t="s">
        <v>922</v>
      </c>
      <c r="I256" s="5">
        <v>0.0552623439497681</v>
      </c>
      <c r="J256" s="5">
        <v>0.0533175892416479</v>
      </c>
      <c r="K256" s="5">
        <v>0.0685430744557372</v>
      </c>
      <c r="L256" s="5">
        <v>0.0908310587722366</v>
      </c>
      <c r="M256" s="5">
        <v>0.178944768503748</v>
      </c>
      <c r="N256" s="5">
        <v>0.2086744817363</v>
      </c>
      <c r="O256" s="5">
        <v>0.244727141943719</v>
      </c>
      <c r="P256" s="5">
        <v>0.177538942644896</v>
      </c>
      <c r="Q256" s="5">
        <v>0.160931538693478</v>
      </c>
      <c r="R256" s="5">
        <v>0.158069209198188</v>
      </c>
      <c r="S256" s="5">
        <v>0.200553527736553</v>
      </c>
      <c r="T256" s="5">
        <v>1.59739367687627</v>
      </c>
    </row>
    <row r="257" spans="1:20">
      <c r="A257" t="s">
        <v>923</v>
      </c>
      <c r="B257" s="5">
        <v>0.849628383508001</v>
      </c>
      <c r="E257" s="5">
        <v>0.0671960305960806</v>
      </c>
      <c r="H257" s="5">
        <v>0.0544999718416812</v>
      </c>
      <c r="I257" s="5">
        <v>0.0552623439497681</v>
      </c>
      <c r="J257" s="5">
        <v>0.0488744568048439</v>
      </c>
      <c r="K257" s="5">
        <v>0.0594039978616389</v>
      </c>
      <c r="L257" s="5">
        <v>0.0504616993179092</v>
      </c>
      <c r="M257" s="5"/>
      <c r="N257" s="5"/>
      <c r="O257" s="5"/>
      <c r="P257" s="5"/>
      <c r="Q257" s="5"/>
      <c r="R257" s="5"/>
      <c r="S257" s="5"/>
      <c r="T257" s="5">
        <v>1.18532688387992</v>
      </c>
    </row>
    <row r="258" spans="1:20">
      <c r="A258" t="s">
        <v>924</v>
      </c>
      <c r="C258" s="5">
        <v>0.0807400851511851</v>
      </c>
      <c r="H258" s="5">
        <v>0.0499583075215411</v>
      </c>
      <c r="I258" s="5">
        <v>0.0552623439497681</v>
      </c>
      <c r="J258" s="5">
        <v>0.0844195162992759</v>
      </c>
      <c r="K258" s="5">
        <v>0.063973536158688</v>
      </c>
      <c r="L258" s="5">
        <v>0.0807387189086547</v>
      </c>
      <c r="M258" s="5">
        <v>0.0725451764204382</v>
      </c>
      <c r="N258" s="5">
        <v>0.1358810578748</v>
      </c>
      <c r="O258" s="5">
        <v>0.13177615335431</v>
      </c>
      <c r="P258" s="5">
        <v>0.120099872965665</v>
      </c>
      <c r="Q258" s="5">
        <v>0.128745230954782</v>
      </c>
      <c r="R258" s="5">
        <v>0.0965978500655592</v>
      </c>
      <c r="S258" s="5"/>
      <c r="T258" s="5">
        <v>1.10073784962467</v>
      </c>
    </row>
    <row r="259" spans="1:20">
      <c r="A259" t="s">
        <v>925</v>
      </c>
      <c r="I259" s="5">
        <v>0.0552623439497681</v>
      </c>
      <c r="J259" s="5">
        <v>0.106635178483296</v>
      </c>
      <c r="K259" s="5">
        <v>0.114238457426229</v>
      </c>
      <c r="L259" s="5">
        <v>0.0756925489768638</v>
      </c>
      <c r="M259" s="5">
        <v>0.101563246988613</v>
      </c>
      <c r="N259" s="5">
        <v>0.1504397426471</v>
      </c>
      <c r="O259" s="5">
        <v>0.117657279780634</v>
      </c>
      <c r="P259" s="5">
        <v>0.151430274608882</v>
      </c>
      <c r="Q259" s="5">
        <v>0.102996184763826</v>
      </c>
      <c r="R259" s="5"/>
      <c r="S259" s="5"/>
      <c r="T259" s="5">
        <v>0.975915257625212</v>
      </c>
    </row>
    <row r="260" spans="1:20">
      <c r="A260" t="s">
        <v>926</v>
      </c>
      <c r="H260" s="5">
        <v>0.0635833004819614</v>
      </c>
      <c r="I260" s="5">
        <v>0.0552623439497681</v>
      </c>
      <c r="J260" s="5">
        <v>0.0844195162992759</v>
      </c>
      <c r="K260" s="5">
        <v>0.123377534020327</v>
      </c>
      <c r="L260" s="5">
        <v>0.131200418226564</v>
      </c>
      <c r="M260" s="5">
        <v>0.101563246988613</v>
      </c>
      <c r="N260" s="5">
        <v>0.0727934238614999</v>
      </c>
      <c r="O260" s="5"/>
      <c r="P260" s="5"/>
      <c r="Q260" s="5"/>
      <c r="R260" s="5"/>
      <c r="S260" s="5"/>
      <c r="T260" s="5">
        <v>0.632199783828009</v>
      </c>
    </row>
    <row r="261" spans="1:20">
      <c r="A261" t="s">
        <v>927</v>
      </c>
      <c r="F261" s="5">
        <v>0.113247820658939</v>
      </c>
      <c r="G261" s="5">
        <v>0.0687720953280273</v>
      </c>
      <c r="H261" s="5">
        <v>0.0817499577625218</v>
      </c>
      <c r="I261" s="5">
        <v>0.0552623439497681</v>
      </c>
      <c r="J261" s="5">
        <v>0.0844195162992759</v>
      </c>
      <c r="K261" s="5">
        <v>0.063973536158688</v>
      </c>
      <c r="M261" s="5">
        <v>0.0773815215151341</v>
      </c>
      <c r="N261" s="5">
        <v>0.0679405289373999</v>
      </c>
      <c r="O261" s="5"/>
      <c r="P261" s="5"/>
      <c r="Q261" s="5"/>
      <c r="R261" s="5"/>
      <c r="S261" s="5"/>
      <c r="T261" s="5">
        <v>0.612747320609754</v>
      </c>
    </row>
    <row r="262" spans="1:20">
      <c r="A262" t="s">
        <v>928</v>
      </c>
      <c r="G262" s="5">
        <v>0.0733569016832291</v>
      </c>
      <c r="H262" s="5">
        <v>0.0681249648021015</v>
      </c>
      <c r="I262" s="5">
        <v>0.0552623439497681</v>
      </c>
      <c r="J262" s="5">
        <v>0.0666469865520599</v>
      </c>
      <c r="K262" s="5">
        <v>0.0594039978616389</v>
      </c>
      <c r="L262" s="5"/>
      <c r="M262" s="5">
        <v>0.0483634509469588</v>
      </c>
      <c r="N262" s="5"/>
      <c r="O262" s="5"/>
      <c r="P262" s="5"/>
      <c r="Q262" s="5"/>
      <c r="R262" s="5"/>
      <c r="T262" s="5">
        <v>0.371158645795756</v>
      </c>
    </row>
    <row r="263" spans="1:20">
      <c r="A263" t="s">
        <v>929</v>
      </c>
      <c r="I263" s="5">
        <v>0.0552623439497681</v>
      </c>
      <c r="J263" s="5">
        <v>0.0577607216784519</v>
      </c>
      <c r="K263" s="5"/>
      <c r="L263" s="5">
        <v>0.0504616993179092</v>
      </c>
      <c r="M263" s="5">
        <v>0.0677088313257423</v>
      </c>
      <c r="N263" s="5"/>
      <c r="O263" s="5"/>
      <c r="P263" s="5">
        <v>0.057439069679231</v>
      </c>
      <c r="Q263" s="5"/>
      <c r="R263" s="5"/>
      <c r="S263" s="5"/>
      <c r="T263" s="5">
        <v>0.288632665951103</v>
      </c>
    </row>
    <row r="264" spans="1:20">
      <c r="A264" t="s">
        <v>930</v>
      </c>
      <c r="H264" s="5">
        <v>0.0953749507229421</v>
      </c>
      <c r="I264" s="5">
        <v>0.0552623439497681</v>
      </c>
      <c r="J264" s="5">
        <v>0.0977489136096879</v>
      </c>
      <c r="K264" s="5"/>
      <c r="L264" s="5"/>
      <c r="M264" s="5"/>
      <c r="N264" s="5"/>
      <c r="O264" s="5"/>
      <c r="P264" s="5"/>
      <c r="Q264" s="5"/>
      <c r="R264" s="5"/>
      <c r="S264" s="5"/>
      <c r="T264" s="5">
        <v>0.248386208282398</v>
      </c>
    </row>
    <row r="265" spans="1:20">
      <c r="A265" t="s">
        <v>931</v>
      </c>
      <c r="G265" s="5">
        <v>0.0458480635520182</v>
      </c>
      <c r="I265" s="5">
        <v>0.0552623439497681</v>
      </c>
      <c r="T265" s="5">
        <v>0.101110407501786</v>
      </c>
    </row>
    <row r="266" spans="1:20">
      <c r="A266" t="s">
        <v>932</v>
      </c>
      <c r="I266" s="5">
        <v>0.0510113944151705</v>
      </c>
      <c r="J266" s="5">
        <v>0.115521443356904</v>
      </c>
      <c r="K266" s="5">
        <v>0.141655687208523</v>
      </c>
      <c r="L266" s="5">
        <v>0.312862535771037</v>
      </c>
      <c r="M266" s="5">
        <v>0.517488925132459</v>
      </c>
      <c r="N266" s="5">
        <v>0.805580557400599</v>
      </c>
      <c r="O266" s="5">
        <v>1.24716716567472</v>
      </c>
      <c r="P266" s="5">
        <v>2.48554519702854</v>
      </c>
      <c r="Q266" s="5">
        <v>4.02972572888469</v>
      </c>
      <c r="R266" s="5">
        <v>8.95725518789731</v>
      </c>
      <c r="S266" s="5">
        <v>20.8718921365827</v>
      </c>
      <c r="T266" s="5">
        <v>39.5357059593527</v>
      </c>
    </row>
    <row r="267" spans="1:20">
      <c r="A267" t="s">
        <v>933</v>
      </c>
      <c r="I267" s="5">
        <v>0.0510113944151705</v>
      </c>
      <c r="J267" s="5">
        <v>0.0622038541152559</v>
      </c>
      <c r="K267" s="5">
        <v>0.132516610614425</v>
      </c>
      <c r="L267" s="5">
        <v>0.201846797271637</v>
      </c>
      <c r="M267" s="5">
        <v>0.41108933304915</v>
      </c>
      <c r="N267" s="5">
        <v>0.727934238614999</v>
      </c>
      <c r="O267" s="5">
        <v>1.18598538018879</v>
      </c>
      <c r="P267" s="5">
        <v>2.0416978404163</v>
      </c>
      <c r="Q267" s="5">
        <v>3.31518969708565</v>
      </c>
      <c r="R267" s="5">
        <v>5.57633043560274</v>
      </c>
      <c r="S267" s="5">
        <v>9.12518551201316</v>
      </c>
      <c r="T267" s="5">
        <v>22.8309910933873</v>
      </c>
    </row>
    <row r="268" spans="1:20">
      <c r="A268" t="s">
        <v>934</v>
      </c>
      <c r="I268" s="5">
        <v>0.0510113944151705</v>
      </c>
      <c r="J268" s="5">
        <v>0.0844195162992759</v>
      </c>
      <c r="K268" s="5">
        <v>0.15993384039672</v>
      </c>
      <c r="L268" s="5">
        <v>0.373416574952528</v>
      </c>
      <c r="M268" s="5">
        <v>0.619052172121073</v>
      </c>
      <c r="N268" s="5">
        <v>0.999696354364599</v>
      </c>
      <c r="O268" s="5">
        <v>1.80250952623931</v>
      </c>
      <c r="P268" s="5">
        <v>2.38111052488448</v>
      </c>
      <c r="Q268" s="5">
        <v>2.79377151171878</v>
      </c>
      <c r="R268" s="5">
        <v>3.72340803889065</v>
      </c>
      <c r="S268" s="5">
        <v>4.16864832652406</v>
      </c>
      <c r="T268" s="5">
        <v>17.1569777808066</v>
      </c>
    </row>
    <row r="269" spans="1:20">
      <c r="A269" t="s">
        <v>935</v>
      </c>
      <c r="I269" s="5">
        <v>0.0510113944151705</v>
      </c>
      <c r="J269" s="5">
        <v>0.0577607216784519</v>
      </c>
      <c r="K269" s="5">
        <v>0.205629223367211</v>
      </c>
      <c r="L269" s="5">
        <v>0.267447006384919</v>
      </c>
      <c r="M269" s="5">
        <v>0.396580297765062</v>
      </c>
      <c r="N269" s="5">
        <v>0.752198713235499</v>
      </c>
      <c r="O269" s="5">
        <v>0.913020491097721</v>
      </c>
      <c r="P269" s="5">
        <v>1.35765073787273</v>
      </c>
      <c r="Q269" s="5">
        <v>1.56425455610061</v>
      </c>
      <c r="R269" s="5">
        <v>1.88804888764502</v>
      </c>
      <c r="S269" s="5">
        <v>2.69314737246228</v>
      </c>
      <c r="T269" s="5">
        <v>10.1467494020247</v>
      </c>
    </row>
    <row r="270" spans="1:20">
      <c r="A270" t="s">
        <v>936</v>
      </c>
      <c r="B270" s="5">
        <v>2.11036727516503</v>
      </c>
      <c r="C270" s="5">
        <v>0.430613787472987</v>
      </c>
      <c r="D270" s="5">
        <v>0.0992420044562637</v>
      </c>
      <c r="I270" s="5">
        <v>0.0510113944151705</v>
      </c>
      <c r="J270" s="5"/>
      <c r="K270" s="5">
        <v>0.0548344595645897</v>
      </c>
      <c r="L270" s="5"/>
      <c r="M270" s="5">
        <v>0.116072282272701</v>
      </c>
      <c r="N270" s="5">
        <v>0.2232331665086</v>
      </c>
      <c r="O270" s="5">
        <v>0.381209586489255</v>
      </c>
      <c r="P270" s="5">
        <v>0.522173360720282</v>
      </c>
      <c r="Q270" s="5">
        <v>0.926965662874433</v>
      </c>
      <c r="R270" s="5">
        <v>1.51922073284925</v>
      </c>
      <c r="S270" s="5">
        <v>2.82207464029292</v>
      </c>
      <c r="T270" s="5">
        <v>9.25701835308148</v>
      </c>
    </row>
    <row r="271" spans="1:20">
      <c r="A271" t="s">
        <v>937</v>
      </c>
      <c r="I271" s="5">
        <v>0.0510113944151705</v>
      </c>
      <c r="J271" s="5">
        <v>0.0577607216784519</v>
      </c>
      <c r="K271" s="5">
        <v>0.146225225505573</v>
      </c>
      <c r="L271" s="5">
        <v>0.105969568567609</v>
      </c>
      <c r="M271" s="5">
        <v>0.295017050776449</v>
      </c>
      <c r="N271" s="5">
        <v>0.3979373837762</v>
      </c>
      <c r="O271" s="5">
        <v>0.541223486990917</v>
      </c>
      <c r="P271" s="5">
        <v>0.882472979617276</v>
      </c>
      <c r="Q271" s="5">
        <v>1.07502267847243</v>
      </c>
      <c r="R271" s="5">
        <v>1.90561213311149</v>
      </c>
      <c r="S271" s="5">
        <v>2.73612312840583</v>
      </c>
      <c r="T271" s="5">
        <v>8.1943757513174</v>
      </c>
    </row>
    <row r="272" spans="1:20">
      <c r="A272" t="s">
        <v>938</v>
      </c>
      <c r="I272" s="5">
        <v>0.0510113944151705</v>
      </c>
      <c r="J272" s="5">
        <v>0.0666469865520599</v>
      </c>
      <c r="K272" s="5">
        <v>0.0731126127527863</v>
      </c>
      <c r="L272" s="5">
        <v>0.156431267885519</v>
      </c>
      <c r="M272" s="5">
        <v>0.275671670397665</v>
      </c>
      <c r="N272" s="5">
        <v>0.3979373837762</v>
      </c>
      <c r="O272" s="5">
        <v>0.541223486990917</v>
      </c>
      <c r="P272" s="5">
        <v>0.804146975509234</v>
      </c>
      <c r="Q272" s="5">
        <v>1.19089338633174</v>
      </c>
      <c r="R272" s="5">
        <v>1.29968016451843</v>
      </c>
      <c r="S272" s="5">
        <v>1.89093326151607</v>
      </c>
      <c r="T272" s="5">
        <v>6.74768859064579</v>
      </c>
    </row>
    <row r="273" spans="1:20">
      <c r="A273" t="s">
        <v>939</v>
      </c>
      <c r="C273" s="5">
        <v>0.0807400851511851</v>
      </c>
      <c r="D273" s="5">
        <v>0.0496210022281319</v>
      </c>
      <c r="I273" s="5">
        <v>0.0510113944151705</v>
      </c>
      <c r="J273" s="5">
        <v>0.106635178483296</v>
      </c>
      <c r="K273" s="5">
        <v>0.114238457426229</v>
      </c>
      <c r="L273" s="5">
        <v>0.146338928021937</v>
      </c>
      <c r="M273" s="5">
        <v>0.183781113598443</v>
      </c>
      <c r="N273" s="5">
        <v>0.2717621157496</v>
      </c>
      <c r="O273" s="5">
        <v>0.414153624827832</v>
      </c>
      <c r="P273" s="5">
        <v>0.522173360720282</v>
      </c>
      <c r="Q273" s="5">
        <v>0.746722339537738</v>
      </c>
      <c r="R273" s="5">
        <v>1.3435882781846</v>
      </c>
      <c r="S273" s="5">
        <v>2.23473930906445</v>
      </c>
      <c r="T273" s="5">
        <v>6.2655051874089</v>
      </c>
    </row>
    <row r="274" spans="1:20">
      <c r="A274" t="s">
        <v>940</v>
      </c>
      <c r="I274" s="5">
        <v>0.0510113944151705</v>
      </c>
      <c r="J274" s="5">
        <v>0.0799763838624719</v>
      </c>
      <c r="K274" s="5">
        <v>0.0868212276439337</v>
      </c>
      <c r="L274" s="5">
        <v>0.105969568567609</v>
      </c>
      <c r="M274" s="5">
        <v>0.116072282272701</v>
      </c>
      <c r="N274" s="5">
        <v>0.2038215868122</v>
      </c>
      <c r="O274" s="5">
        <v>0.301202636238423</v>
      </c>
      <c r="P274" s="5">
        <v>0.402073487754617</v>
      </c>
      <c r="Q274" s="5">
        <v>0.482794616080434</v>
      </c>
      <c r="R274" s="5">
        <v>0.834254159657102</v>
      </c>
      <c r="S274" s="5">
        <v>1.57577771793006</v>
      </c>
      <c r="T274" s="5">
        <v>4.23977506123472</v>
      </c>
    </row>
    <row r="275" spans="1:20">
      <c r="A275" t="s">
        <v>941</v>
      </c>
      <c r="I275" s="5">
        <v>0.0510113944151705</v>
      </c>
      <c r="J275" s="5"/>
      <c r="K275" s="5">
        <v>0.0548344595645897</v>
      </c>
      <c r="L275" s="5">
        <v>0.0756925489768638</v>
      </c>
      <c r="M275" s="5">
        <v>0.0773815215151341</v>
      </c>
      <c r="N275" s="5">
        <v>0.0727934238614999</v>
      </c>
      <c r="O275" s="5">
        <v>0.169426482884113</v>
      </c>
      <c r="P275" s="5">
        <v>0.177538942644896</v>
      </c>
      <c r="Q275" s="5">
        <v>0.315425815839217</v>
      </c>
      <c r="R275" s="5">
        <v>0.500552495794261</v>
      </c>
      <c r="S275" s="5">
        <v>0.859515118870941</v>
      </c>
      <c r="T275" s="5">
        <v>2.35417220436669</v>
      </c>
    </row>
    <row r="276" spans="1:20">
      <c r="A276" t="s">
        <v>942</v>
      </c>
      <c r="F276" s="5">
        <v>0.0452991282635757</v>
      </c>
      <c r="I276" s="5">
        <v>0.0510113944151705</v>
      </c>
      <c r="J276" s="5"/>
      <c r="K276" s="5">
        <v>0.0731126127527863</v>
      </c>
      <c r="L276" s="5">
        <v>0.065600209113282</v>
      </c>
      <c r="M276" s="5">
        <v>0.0725451764204382</v>
      </c>
      <c r="N276" s="5">
        <v>0.1601455324953</v>
      </c>
      <c r="O276" s="5">
        <v>0.0988321150157327</v>
      </c>
      <c r="P276" s="5">
        <v>0.109656405751259</v>
      </c>
      <c r="Q276" s="5">
        <v>0.0708098770251303</v>
      </c>
      <c r="R276" s="5">
        <v>0.149287586464955</v>
      </c>
      <c r="S276" s="5"/>
      <c r="T276" s="5">
        <v>0.89630003771763</v>
      </c>
    </row>
    <row r="277" spans="1:20">
      <c r="A277" t="s">
        <v>943</v>
      </c>
      <c r="E277" s="5">
        <v>0.062396314124932</v>
      </c>
      <c r="F277" s="5">
        <v>0.249145205449666</v>
      </c>
      <c r="G277" s="5">
        <v>0.247579543180898</v>
      </c>
      <c r="H277" s="5">
        <v>0.163499915525044</v>
      </c>
      <c r="I277" s="5">
        <v>0.0510113944151705</v>
      </c>
      <c r="J277" s="5">
        <v>0.0710901189888639</v>
      </c>
      <c r="T277" s="5">
        <v>0.844722491684574</v>
      </c>
    </row>
    <row r="278" spans="1:20">
      <c r="A278" t="s">
        <v>944</v>
      </c>
      <c r="G278" s="5">
        <v>0.0458480635520182</v>
      </c>
      <c r="H278" s="5"/>
      <c r="I278" s="5">
        <v>0.0510113944151705</v>
      </c>
      <c r="J278" s="5"/>
      <c r="K278" s="5">
        <v>0.0502649212675406</v>
      </c>
      <c r="L278" s="5">
        <v>0.0504616993179092</v>
      </c>
      <c r="M278" s="5"/>
      <c r="N278" s="5">
        <v>0.0630876340133</v>
      </c>
      <c r="O278" s="5">
        <v>0.0894195326332819</v>
      </c>
      <c r="P278" s="5">
        <v>0.0731042705008395</v>
      </c>
      <c r="Q278" s="5">
        <v>0.0901216616683477</v>
      </c>
      <c r="R278" s="5">
        <v>0.122942718265257</v>
      </c>
      <c r="S278" s="5"/>
      <c r="T278" s="5">
        <v>0.636261895633665</v>
      </c>
    </row>
    <row r="279" spans="1:20">
      <c r="A279" t="s">
        <v>945</v>
      </c>
      <c r="I279" s="5">
        <v>0.0510113944151705</v>
      </c>
      <c r="J279" s="5"/>
      <c r="K279" s="5"/>
      <c r="L279" s="5"/>
      <c r="M279" s="5">
        <v>0.0580361411363505</v>
      </c>
      <c r="N279" s="5"/>
      <c r="O279" s="5"/>
      <c r="P279" s="5"/>
      <c r="Q279" s="5"/>
      <c r="R279" s="5"/>
      <c r="S279" s="5"/>
      <c r="T279" s="5">
        <v>0.109047535551521</v>
      </c>
    </row>
    <row r="280" spans="1:20">
      <c r="A280" t="s">
        <v>946</v>
      </c>
      <c r="I280" s="5">
        <v>0.046760444880573</v>
      </c>
      <c r="J280" s="5">
        <v>0.0666469865520599</v>
      </c>
      <c r="K280" s="5">
        <v>0.155364302099671</v>
      </c>
      <c r="L280" s="5">
        <v>0.333047215498201</v>
      </c>
      <c r="M280" s="5">
        <v>0.677088313257423</v>
      </c>
      <c r="N280" s="5">
        <v>1.4316040026095</v>
      </c>
      <c r="O280" s="5">
        <v>2.66376081423356</v>
      </c>
      <c r="P280" s="5">
        <v>4.76222104976897</v>
      </c>
      <c r="Q280" s="5">
        <v>7.44791161073416</v>
      </c>
      <c r="R280" s="5">
        <v>12.8650773041858</v>
      </c>
      <c r="S280" s="5">
        <v>25.68517680226</v>
      </c>
      <c r="T280" s="5">
        <v>56.1346588460799</v>
      </c>
    </row>
    <row r="281" spans="1:20">
      <c r="A281" t="s">
        <v>947</v>
      </c>
      <c r="H281" s="5">
        <v>0.045416643201401</v>
      </c>
      <c r="I281" s="5">
        <v>0.046760444880573</v>
      </c>
      <c r="J281" s="5">
        <v>0.115521443356904</v>
      </c>
      <c r="K281" s="5">
        <v>0.187351070179015</v>
      </c>
      <c r="L281" s="5">
        <v>0.38350891481611</v>
      </c>
      <c r="M281" s="5">
        <v>0.580361411363505</v>
      </c>
      <c r="N281" s="5">
        <v>0.815286347248799</v>
      </c>
      <c r="O281" s="5">
        <v>1.84015985576912</v>
      </c>
      <c r="P281" s="5">
        <v>3.54033538568351</v>
      </c>
      <c r="Q281" s="5">
        <v>6.54025773250294</v>
      </c>
      <c r="R281" s="5">
        <v>12.680663226788</v>
      </c>
      <c r="S281" s="5">
        <v>25.6708515502788</v>
      </c>
      <c r="T281" s="5">
        <v>52.4464740260687</v>
      </c>
    </row>
    <row r="282" spans="1:20">
      <c r="A282" t="s">
        <v>948</v>
      </c>
      <c r="I282" s="5">
        <v>0.046760444880573</v>
      </c>
      <c r="J282" s="5">
        <v>0.04443132436804</v>
      </c>
      <c r="K282" s="5">
        <v>0.132516610614425</v>
      </c>
      <c r="L282" s="5">
        <v>0.277539346248501</v>
      </c>
      <c r="M282" s="5">
        <v>0.4691254741855</v>
      </c>
      <c r="N282" s="5">
        <v>0.723081343690899</v>
      </c>
      <c r="O282" s="5">
        <v>1.06832810040816</v>
      </c>
      <c r="P282" s="5">
        <v>1.73361555759134</v>
      </c>
      <c r="Q282" s="5">
        <v>2.368912249568</v>
      </c>
      <c r="R282" s="5">
        <v>4.16248917555228</v>
      </c>
      <c r="S282" s="5">
        <v>6.9763977148358</v>
      </c>
      <c r="T282" s="5">
        <v>18.0031973419435</v>
      </c>
    </row>
    <row r="283" spans="1:20">
      <c r="A283" t="s">
        <v>949</v>
      </c>
      <c r="I283" s="5">
        <v>0.046760444880573</v>
      </c>
      <c r="J283" s="5">
        <v>0.04443132436804</v>
      </c>
      <c r="K283" s="5">
        <v>0.0776821510498354</v>
      </c>
      <c r="L283" s="5">
        <v>0.0706463790450729</v>
      </c>
      <c r="M283" s="5">
        <v>0.0967269018939176</v>
      </c>
      <c r="N283" s="5">
        <v>0.242644746205</v>
      </c>
      <c r="O283" s="5">
        <v>0.291790053855973</v>
      </c>
      <c r="P283" s="5">
        <v>0.485621225469862</v>
      </c>
      <c r="Q283" s="5">
        <v>0.534292708462347</v>
      </c>
      <c r="R283" s="5">
        <v>0.834254159657102</v>
      </c>
      <c r="S283" s="5">
        <v>1.13169490651341</v>
      </c>
      <c r="T283" s="5">
        <v>3.85654500140113</v>
      </c>
    </row>
    <row r="284" spans="1:20">
      <c r="A284" t="s">
        <v>950</v>
      </c>
      <c r="I284" s="5">
        <v>0.046760444880573</v>
      </c>
      <c r="J284" s="5">
        <v>0.0577607216784519</v>
      </c>
      <c r="K284" s="5">
        <v>0.0731126127527863</v>
      </c>
      <c r="L284" s="5">
        <v>0.121108078362982</v>
      </c>
      <c r="M284" s="5">
        <v>0.236980909640098</v>
      </c>
      <c r="N284" s="5">
        <v>0.291173695446</v>
      </c>
      <c r="O284" s="5">
        <v>0.555342360564593</v>
      </c>
      <c r="P284" s="5">
        <v>0.464734291041051</v>
      </c>
      <c r="Q284" s="5">
        <v>0.650163416321651</v>
      </c>
      <c r="R284" s="5">
        <v>0.412736268461935</v>
      </c>
      <c r="S284" s="5">
        <v>0.458408063397835</v>
      </c>
      <c r="T284" s="5">
        <v>3.36828086254796</v>
      </c>
    </row>
    <row r="285" spans="1:20">
      <c r="A285" t="s">
        <v>951</v>
      </c>
      <c r="I285" s="5">
        <v>0.046760444880573</v>
      </c>
      <c r="J285" s="5">
        <v>0.04443132436804</v>
      </c>
      <c r="L285" s="5">
        <v>0.0504616993179092</v>
      </c>
      <c r="M285" s="5">
        <v>0.0628724862310464</v>
      </c>
      <c r="N285" s="5">
        <v>0.0776463187855999</v>
      </c>
      <c r="O285" s="5">
        <v>0.0988321150157327</v>
      </c>
      <c r="P285" s="5">
        <v>0.182760676252099</v>
      </c>
      <c r="Q285" s="5">
        <v>0.205992369527652</v>
      </c>
      <c r="R285" s="5">
        <v>0.342483286596074</v>
      </c>
      <c r="S285" s="5">
        <v>0.558684827266112</v>
      </c>
      <c r="T285" s="5">
        <v>1.67092554824084</v>
      </c>
    </row>
    <row r="286" spans="1:20">
      <c r="A286" t="s">
        <v>952</v>
      </c>
      <c r="F286" s="5">
        <v>0.0996580821798665</v>
      </c>
      <c r="G286" s="5">
        <v>0.165053028787266</v>
      </c>
      <c r="H286" s="5">
        <v>0.0590416361618213</v>
      </c>
      <c r="I286" s="5">
        <v>0.046760444880573</v>
      </c>
      <c r="J286" s="5">
        <v>0.0533175892416479</v>
      </c>
      <c r="K286" s="5">
        <v>0.123377534020327</v>
      </c>
      <c r="L286" s="5">
        <v>0.100923398635818</v>
      </c>
      <c r="M286" s="5">
        <v>0.0483634509469588</v>
      </c>
      <c r="N286" s="5">
        <v>0.0582347390892</v>
      </c>
      <c r="O286" s="5">
        <v>0.0847132414420566</v>
      </c>
      <c r="P286" s="5">
        <v>0.0626608032864338</v>
      </c>
      <c r="Q286" s="5">
        <v>0.0901216616683477</v>
      </c>
      <c r="R286" s="5">
        <v>0.0965978500655592</v>
      </c>
      <c r="S286" s="5"/>
      <c r="T286" s="5">
        <v>1.08882346040588</v>
      </c>
    </row>
    <row r="287" spans="1:20">
      <c r="A287" t="s">
        <v>953</v>
      </c>
      <c r="B287" s="5"/>
      <c r="I287" s="5">
        <v>0.046760444880573</v>
      </c>
      <c r="J287" s="5">
        <v>0.0533175892416479</v>
      </c>
      <c r="K287" s="5">
        <v>0.0731126127527863</v>
      </c>
      <c r="L287" s="5">
        <v>0.0756925489768638</v>
      </c>
      <c r="M287" s="5">
        <v>0.0531997960416547</v>
      </c>
      <c r="N287" s="5">
        <v>0.0582347390892</v>
      </c>
      <c r="O287" s="5">
        <v>0.0988321150157327</v>
      </c>
      <c r="P287" s="5">
        <v>0.057439069679231</v>
      </c>
      <c r="Q287" s="5">
        <v>0.0836844001206085</v>
      </c>
      <c r="T287" s="5">
        <v>0.600273315798298</v>
      </c>
    </row>
    <row r="288" spans="1:20">
      <c r="A288" t="s">
        <v>954</v>
      </c>
      <c r="I288" s="5">
        <v>0.046760444880573</v>
      </c>
      <c r="J288" s="5">
        <v>0.0533175892416479</v>
      </c>
      <c r="K288" s="5">
        <v>0.0685430744557372</v>
      </c>
      <c r="L288" s="5">
        <v>0.0555078692497001</v>
      </c>
      <c r="M288" s="5">
        <v>0.0822178666098299</v>
      </c>
      <c r="N288" s="5">
        <v>0.0727934238614999</v>
      </c>
      <c r="O288" s="5"/>
      <c r="P288" s="5">
        <v>0.057439069679231</v>
      </c>
      <c r="Q288" s="5">
        <v>0.0643726154773912</v>
      </c>
      <c r="R288" s="5"/>
      <c r="S288" s="5"/>
      <c r="T288" s="5">
        <v>0.50095195345561</v>
      </c>
    </row>
    <row r="289" spans="1:20">
      <c r="A289" t="s">
        <v>955</v>
      </c>
      <c r="C289" s="5">
        <v>0.0874684255804506</v>
      </c>
      <c r="D289" s="5">
        <v>0.0893178040106374</v>
      </c>
      <c r="F289" s="5">
        <v>0.0770085180480787</v>
      </c>
      <c r="G289" s="5">
        <v>0.0641872889728255</v>
      </c>
      <c r="H289" s="5">
        <v>0.0544999718416812</v>
      </c>
      <c r="I289" s="5">
        <v>0.046760444880573</v>
      </c>
      <c r="J289" s="5">
        <v>0.0488744568048439</v>
      </c>
      <c r="K289" s="5"/>
      <c r="L289" s="5"/>
      <c r="M289" s="5"/>
      <c r="N289" s="5"/>
      <c r="O289" s="5"/>
      <c r="P289" s="5"/>
      <c r="Q289" s="5"/>
      <c r="R289" s="5"/>
      <c r="S289" s="5"/>
      <c r="T289" s="5">
        <v>0.46811691013909</v>
      </c>
    </row>
    <row r="290" spans="1:20">
      <c r="A290" t="s">
        <v>956</v>
      </c>
      <c r="F290" s="5">
        <v>0.181196513054303</v>
      </c>
      <c r="G290" s="5">
        <v>0.0962809334592382</v>
      </c>
      <c r="H290" s="5">
        <v>0.0726666291222416</v>
      </c>
      <c r="I290" s="5">
        <v>0.046760444880573</v>
      </c>
      <c r="J290" s="5">
        <v>0.0666469865520599</v>
      </c>
      <c r="K290" s="5"/>
      <c r="L290" s="5"/>
      <c r="M290" s="5"/>
      <c r="N290" s="5"/>
      <c r="O290" s="5"/>
      <c r="P290" s="5"/>
      <c r="Q290" s="5"/>
      <c r="R290" s="5"/>
      <c r="S290" s="5"/>
      <c r="T290" s="5">
        <v>0.463551507068416</v>
      </c>
    </row>
    <row r="291" spans="1:20">
      <c r="A291" t="s">
        <v>957</v>
      </c>
      <c r="B291" s="5"/>
      <c r="H291" s="5">
        <v>0.045416643201401</v>
      </c>
      <c r="I291" s="5">
        <v>0.046760444880573</v>
      </c>
      <c r="J291" s="5"/>
      <c r="K291" s="5">
        <v>0.0502649212675406</v>
      </c>
      <c r="L291" s="5"/>
      <c r="M291" s="5">
        <v>0.0628724862310464</v>
      </c>
      <c r="N291" s="5">
        <v>0.0727934238614999</v>
      </c>
      <c r="O291" s="5"/>
      <c r="P291" s="5"/>
      <c r="Q291" s="5"/>
      <c r="R291" s="5"/>
      <c r="S291" s="5"/>
      <c r="T291" s="5">
        <v>0.278107919442061</v>
      </c>
    </row>
    <row r="292" spans="1:20">
      <c r="A292" t="s">
        <v>958</v>
      </c>
      <c r="G292" s="5">
        <v>0.0596024826176237</v>
      </c>
      <c r="H292" s="5">
        <v>0.0590416361618213</v>
      </c>
      <c r="I292" s="5">
        <v>0.046760444880573</v>
      </c>
      <c r="J292" s="5">
        <v>0.0533175892416479</v>
      </c>
      <c r="K292" s="5">
        <v>0.0502649212675406</v>
      </c>
      <c r="L292" s="5"/>
      <c r="M292" s="5"/>
      <c r="N292" s="5"/>
      <c r="O292" s="5"/>
      <c r="P292" s="5"/>
      <c r="Q292" s="5"/>
      <c r="R292" s="5"/>
      <c r="S292" s="5"/>
      <c r="T292" s="5">
        <v>0.268987074169206</v>
      </c>
    </row>
    <row r="293" spans="1:20">
      <c r="A293" t="s">
        <v>959</v>
      </c>
      <c r="I293" s="5">
        <v>0.046760444880573</v>
      </c>
      <c r="J293" s="5">
        <v>0.04443132436804</v>
      </c>
      <c r="K293" s="5"/>
      <c r="L293" s="5">
        <v>0.0504616993179092</v>
      </c>
      <c r="M293" s="5"/>
      <c r="N293" s="5"/>
      <c r="O293" s="5"/>
      <c r="P293" s="5"/>
      <c r="Q293" s="5"/>
      <c r="R293" s="5"/>
      <c r="S293" s="5"/>
      <c r="T293" s="5">
        <v>0.141653468566522</v>
      </c>
    </row>
    <row r="294" spans="1:20">
      <c r="A294" t="s">
        <v>960</v>
      </c>
      <c r="I294" s="5">
        <v>0.046760444880573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>
        <v>0.046760444880573</v>
      </c>
    </row>
    <row r="295" spans="1:20">
      <c r="A295" t="s">
        <v>961</v>
      </c>
      <c r="B295" s="5"/>
      <c r="I295" s="5">
        <v>0.046760444880573</v>
      </c>
      <c r="T295" s="5">
        <v>0.046760444880573</v>
      </c>
    </row>
    <row r="296" spans="1:20">
      <c r="A296" t="s">
        <v>962</v>
      </c>
      <c r="I296" s="5">
        <v>0.0425094953459754</v>
      </c>
      <c r="J296" s="5">
        <v>0.0888626487360799</v>
      </c>
      <c r="K296" s="5">
        <v>0.127947072317376</v>
      </c>
      <c r="L296" s="5">
        <v>0.161477437817309</v>
      </c>
      <c r="M296" s="5">
        <v>0.236980909640098</v>
      </c>
      <c r="N296" s="5">
        <v>0.3299968548388</v>
      </c>
      <c r="O296" s="5">
        <v>0.621230437241748</v>
      </c>
      <c r="P296" s="5">
        <v>0.809368709116437</v>
      </c>
      <c r="Q296" s="5">
        <v>1.37113670966843</v>
      </c>
      <c r="R296" s="5">
        <v>2.27444028790726</v>
      </c>
      <c r="S296" s="5">
        <v>4.02539580671224</v>
      </c>
      <c r="T296" s="5">
        <v>10.0893463693418</v>
      </c>
    </row>
    <row r="297" spans="1:20">
      <c r="A297" t="s">
        <v>963</v>
      </c>
      <c r="I297" s="5">
        <v>0.0425094953459754</v>
      </c>
      <c r="J297" s="5">
        <v>0.0622038541152559</v>
      </c>
      <c r="K297" s="5">
        <v>0.0776821510498354</v>
      </c>
      <c r="L297" s="5">
        <v>0.196800627339846</v>
      </c>
      <c r="M297" s="5">
        <v>0.338544156628712</v>
      </c>
      <c r="N297" s="5">
        <v>0.533818441651</v>
      </c>
      <c r="O297" s="5">
        <v>0.823600958464439</v>
      </c>
      <c r="P297" s="5">
        <v>1.03912498783336</v>
      </c>
      <c r="Q297" s="5">
        <v>1.1522698170453</v>
      </c>
      <c r="R297" s="5">
        <v>1.29968016451843</v>
      </c>
      <c r="S297" s="5">
        <v>1.60442822189242</v>
      </c>
      <c r="T297" s="5">
        <v>7.17066287588457</v>
      </c>
    </row>
    <row r="298" spans="1:20">
      <c r="A298" t="s">
        <v>964</v>
      </c>
      <c r="I298" s="5">
        <v>0.0425094953459754</v>
      </c>
      <c r="J298" s="5">
        <v>0.0710901189888639</v>
      </c>
      <c r="K298" s="5">
        <v>0.150794763802622</v>
      </c>
      <c r="L298" s="5">
        <v>0.257354666521337</v>
      </c>
      <c r="M298" s="5">
        <v>0.430434713427933</v>
      </c>
      <c r="N298" s="5">
        <v>0.664846604601699</v>
      </c>
      <c r="O298" s="5">
        <v>0.658880766771551</v>
      </c>
      <c r="P298" s="5">
        <v>0.872029512402871</v>
      </c>
      <c r="Q298" s="5">
        <v>1.14583255549756</v>
      </c>
      <c r="R298" s="5">
        <v>1.05379472798792</v>
      </c>
      <c r="S298" s="5">
        <v>1.38954944217469</v>
      </c>
      <c r="T298" s="5">
        <v>6.73711736752302</v>
      </c>
    </row>
    <row r="299" spans="1:20">
      <c r="A299" t="s">
        <v>965</v>
      </c>
      <c r="I299" s="5">
        <v>0.0425094953459754</v>
      </c>
      <c r="J299" s="5">
        <v>0.119964575793708</v>
      </c>
      <c r="K299" s="5">
        <v>0.196490146773113</v>
      </c>
      <c r="L299" s="5">
        <v>0.282585516180292</v>
      </c>
      <c r="M299" s="5">
        <v>0.343380501723407</v>
      </c>
      <c r="N299" s="5">
        <v>0.4561721228654</v>
      </c>
      <c r="O299" s="5">
        <v>0.625936728432974</v>
      </c>
      <c r="P299" s="5">
        <v>0.673603635329164</v>
      </c>
      <c r="Q299" s="5">
        <v>0.856155785849303</v>
      </c>
      <c r="R299" s="5">
        <v>1.05379472798792</v>
      </c>
      <c r="S299" s="5">
        <v>1.26062217434405</v>
      </c>
      <c r="T299" s="5">
        <v>5.91121541062531</v>
      </c>
    </row>
    <row r="300" spans="1:20">
      <c r="A300" t="s">
        <v>966</v>
      </c>
      <c r="B300" s="5"/>
      <c r="I300" s="5">
        <v>0.0425094953459754</v>
      </c>
      <c r="J300" s="5">
        <v>0.0577607216784519</v>
      </c>
      <c r="K300" s="5"/>
      <c r="L300" s="5">
        <v>0.0857848888404457</v>
      </c>
      <c r="M300" s="5">
        <v>0.178944768503748</v>
      </c>
      <c r="N300" s="5">
        <v>0.242644746205</v>
      </c>
      <c r="O300" s="5">
        <v>0.338852965768226</v>
      </c>
      <c r="P300" s="5">
        <v>0.375964819718603</v>
      </c>
      <c r="Q300" s="5">
        <v>0.682349724060347</v>
      </c>
      <c r="R300" s="5">
        <v>0.720093064125078</v>
      </c>
      <c r="S300" s="5">
        <v>1.18899591443814</v>
      </c>
      <c r="T300" s="5">
        <v>3.91390110868402</v>
      </c>
    </row>
    <row r="301" spans="1:20">
      <c r="A301" t="s">
        <v>967</v>
      </c>
      <c r="I301" s="5">
        <v>0.0425094953459754</v>
      </c>
      <c r="J301" s="5">
        <v>0.106635178483296</v>
      </c>
      <c r="K301" s="5">
        <v>0.123377534020327</v>
      </c>
      <c r="L301" s="5">
        <v>0.141292758090146</v>
      </c>
      <c r="M301" s="5">
        <v>0.174108423409052</v>
      </c>
      <c r="N301" s="5">
        <v>0.2960265903701</v>
      </c>
      <c r="O301" s="5">
        <v>0.348265548150677</v>
      </c>
      <c r="P301" s="5">
        <v>0.391630020540211</v>
      </c>
      <c r="Q301" s="5">
        <v>0.572916277748782</v>
      </c>
      <c r="R301" s="5">
        <v>0.649840082259216</v>
      </c>
      <c r="S301" s="5">
        <v>0.787888858965029</v>
      </c>
      <c r="T301" s="5">
        <v>3.63449076738281</v>
      </c>
    </row>
    <row r="302" spans="1:20">
      <c r="A302" t="s">
        <v>968</v>
      </c>
      <c r="C302" s="5">
        <v>0.0672834042926543</v>
      </c>
      <c r="I302" s="5">
        <v>0.0425094953459754</v>
      </c>
      <c r="J302" s="5"/>
      <c r="K302" s="5">
        <v>0.0776821510498354</v>
      </c>
      <c r="L302" s="5">
        <v>0.0857848888404457</v>
      </c>
      <c r="M302" s="5">
        <v>0.16443573321966</v>
      </c>
      <c r="N302" s="5">
        <v>0.1747042172676</v>
      </c>
      <c r="O302" s="5">
        <v>0.272964889091071</v>
      </c>
      <c r="P302" s="5">
        <v>0.250643213145735</v>
      </c>
      <c r="Q302" s="5">
        <v>0.444171046793999</v>
      </c>
      <c r="R302" s="5">
        <v>0.667403327725682</v>
      </c>
      <c r="S302" s="5">
        <v>0.902490874814488</v>
      </c>
      <c r="T302" s="5">
        <v>3.15007324158715</v>
      </c>
    </row>
    <row r="303" spans="1:20">
      <c r="A303" t="s">
        <v>969</v>
      </c>
      <c r="B303" s="5"/>
      <c r="C303" s="5"/>
      <c r="I303" s="5">
        <v>0.0425094953459754</v>
      </c>
      <c r="J303" s="5">
        <v>0.0488744568048439</v>
      </c>
      <c r="K303" s="5">
        <v>0.10509938083213</v>
      </c>
      <c r="L303" s="5">
        <v>0.0908310587722366</v>
      </c>
      <c r="M303" s="5">
        <v>0.174108423409052</v>
      </c>
      <c r="N303" s="5">
        <v>0.2280860614327</v>
      </c>
      <c r="O303" s="5">
        <v>0.26355230670862</v>
      </c>
      <c r="P303" s="5">
        <v>0.459512557433848</v>
      </c>
      <c r="Q303" s="5">
        <v>0.450608308341738</v>
      </c>
      <c r="R303" s="5">
        <v>0.439081136661633</v>
      </c>
      <c r="S303" s="5">
        <v>0.67328684311557</v>
      </c>
      <c r="T303" s="5">
        <v>2.97555002885835</v>
      </c>
    </row>
    <row r="304" spans="1:20">
      <c r="A304" t="s">
        <v>970</v>
      </c>
      <c r="I304" s="5">
        <v>0.0425094953459754</v>
      </c>
      <c r="J304" s="5">
        <v>0.0488744568048439</v>
      </c>
      <c r="K304" s="5">
        <v>0.0502649212675406</v>
      </c>
      <c r="L304" s="5">
        <v>0.0807387189086547</v>
      </c>
      <c r="M304" s="5">
        <v>0.0870542117045258</v>
      </c>
      <c r="N304" s="5">
        <v>0.1116165832543</v>
      </c>
      <c r="O304" s="5">
        <v>0.19295793884024</v>
      </c>
      <c r="P304" s="5">
        <v>0.297638815610561</v>
      </c>
      <c r="Q304" s="5">
        <v>0.296114031195999</v>
      </c>
      <c r="R304" s="5">
        <v>0.579587100393355</v>
      </c>
      <c r="S304" s="5">
        <v>0.587335331228476</v>
      </c>
      <c r="T304" s="5">
        <v>2.37469160455447</v>
      </c>
    </row>
    <row r="305" spans="1:20">
      <c r="A305" t="s">
        <v>971</v>
      </c>
      <c r="D305" s="5">
        <v>0.0496210022281319</v>
      </c>
      <c r="I305" s="5">
        <v>0.0425094953459754</v>
      </c>
      <c r="J305" s="5">
        <v>0.0710901189888639</v>
      </c>
      <c r="K305" s="5">
        <v>0.0685430744557372</v>
      </c>
      <c r="L305" s="5">
        <v>0.100923398635818</v>
      </c>
      <c r="M305" s="5">
        <v>0.111235937178005</v>
      </c>
      <c r="N305" s="5">
        <v>0.145586847723</v>
      </c>
      <c r="O305" s="5">
        <v>0.221195685987592</v>
      </c>
      <c r="P305" s="5">
        <v>0.250643213145735</v>
      </c>
      <c r="Q305" s="5">
        <v>0.283239508100521</v>
      </c>
      <c r="R305" s="5">
        <v>0.342483286596074</v>
      </c>
      <c r="S305" s="5">
        <v>0.601660583209659</v>
      </c>
      <c r="T305" s="5">
        <v>2.28873215159511</v>
      </c>
    </row>
    <row r="306" spans="1:20">
      <c r="A306" t="s">
        <v>972</v>
      </c>
      <c r="H306" s="5">
        <v>0.0590416361618213</v>
      </c>
      <c r="I306" s="5">
        <v>0.0425094953459754</v>
      </c>
      <c r="J306" s="5">
        <v>0.0577607216784519</v>
      </c>
      <c r="K306" s="5">
        <v>0.0776821510498354</v>
      </c>
      <c r="L306" s="5">
        <v>0.126154248294773</v>
      </c>
      <c r="M306" s="5">
        <v>0.0870542117045258</v>
      </c>
      <c r="N306" s="5">
        <v>0.1649984274194</v>
      </c>
      <c r="O306" s="5">
        <v>0.150601318119212</v>
      </c>
      <c r="P306" s="5">
        <v>0.172317209037693</v>
      </c>
      <c r="Q306" s="5">
        <v>0.212429631075391</v>
      </c>
      <c r="R306" s="5">
        <v>0.237103813797282</v>
      </c>
      <c r="S306" s="5">
        <v>0.286505039623647</v>
      </c>
      <c r="T306" s="5">
        <v>1.67415790330801</v>
      </c>
    </row>
    <row r="307" spans="1:20">
      <c r="A307" t="s">
        <v>973</v>
      </c>
      <c r="I307" s="5">
        <v>0.0425094953459754</v>
      </c>
      <c r="J307" s="5"/>
      <c r="K307" s="5">
        <v>0.0594039978616389</v>
      </c>
      <c r="L307" s="5">
        <v>0.0756925489768638</v>
      </c>
      <c r="M307" s="5">
        <v>0.120908627367397</v>
      </c>
      <c r="N307" s="5">
        <v>0.1747042172676</v>
      </c>
      <c r="O307" s="5">
        <v>0.150601318119212</v>
      </c>
      <c r="P307" s="5">
        <v>0.20364761068091</v>
      </c>
      <c r="Q307" s="5">
        <v>0.257490461909565</v>
      </c>
      <c r="R307" s="5">
        <v>0.237103813797282</v>
      </c>
      <c r="S307" s="5">
        <v>0.272179787642465</v>
      </c>
      <c r="T307" s="5">
        <v>1.59424187896891</v>
      </c>
    </row>
    <row r="308" spans="1:20">
      <c r="A308" t="s">
        <v>974</v>
      </c>
      <c r="B308" s="5"/>
      <c r="I308" s="5">
        <v>0.0425094953459754</v>
      </c>
      <c r="K308" s="5">
        <v>0.0776821510498354</v>
      </c>
      <c r="L308" s="5">
        <v>0.0504616993179092</v>
      </c>
      <c r="N308" s="5">
        <v>0.0873521086337999</v>
      </c>
      <c r="O308" s="5">
        <v>0.108244697398183</v>
      </c>
      <c r="P308" s="5">
        <v>0.114878139358462</v>
      </c>
      <c r="Q308" s="5">
        <v>0.135182492502521</v>
      </c>
      <c r="R308" s="5">
        <v>0.122942718265257</v>
      </c>
      <c r="S308" s="5">
        <v>0.171903023774188</v>
      </c>
      <c r="T308" s="5">
        <v>0.911156525646131</v>
      </c>
    </row>
    <row r="309" spans="1:20">
      <c r="A309" t="s">
        <v>975</v>
      </c>
      <c r="I309" s="5">
        <v>0.0425094953459754</v>
      </c>
      <c r="J309" s="5">
        <v>0.0533175892416479</v>
      </c>
      <c r="K309" s="5">
        <v>0.0548344595645897</v>
      </c>
      <c r="L309" s="5">
        <v>0.0555078692497001</v>
      </c>
      <c r="M309" s="5">
        <v>0.111235937178005</v>
      </c>
      <c r="N309" s="5">
        <v>0.0727934238614999</v>
      </c>
      <c r="O309" s="5">
        <v>0.0941258238245073</v>
      </c>
      <c r="P309" s="5">
        <v>0.0835477377152451</v>
      </c>
      <c r="Q309" s="5"/>
      <c r="R309" s="5">
        <v>0.0965978500655592</v>
      </c>
      <c r="S309" s="5"/>
      <c r="T309" s="5">
        <v>0.66447018604673</v>
      </c>
    </row>
    <row r="310" spans="1:20">
      <c r="A310" t="s">
        <v>976</v>
      </c>
      <c r="E310" s="5">
        <v>0.0479971647114862</v>
      </c>
      <c r="F310" s="5">
        <v>0.0543589539162908</v>
      </c>
      <c r="G310" s="5">
        <v>0.0550176762624218</v>
      </c>
      <c r="H310" s="5">
        <v>0.0544999718416812</v>
      </c>
      <c r="I310" s="5">
        <v>0.0425094953459754</v>
      </c>
      <c r="K310" s="5">
        <v>0.0502649212675406</v>
      </c>
      <c r="N310" s="5">
        <v>0.0727934238614999</v>
      </c>
      <c r="O310" s="5"/>
      <c r="P310" s="5">
        <v>0.057439069679231</v>
      </c>
      <c r="Q310" s="5"/>
      <c r="R310" s="5"/>
      <c r="S310" s="5"/>
      <c r="T310" s="5">
        <v>0.434880676886127</v>
      </c>
    </row>
    <row r="311" spans="1:20">
      <c r="A311" t="s">
        <v>977</v>
      </c>
      <c r="E311" s="5">
        <v>0.062396314124932</v>
      </c>
      <c r="G311" s="5">
        <v>0.0550176762624218</v>
      </c>
      <c r="I311" s="5">
        <v>0.0425094953459754</v>
      </c>
      <c r="K311" s="5">
        <v>0.0685430744557372</v>
      </c>
      <c r="N311" s="5">
        <v>0.0582347390892</v>
      </c>
      <c r="O311" s="5"/>
      <c r="P311" s="5">
        <v>0.0522173360720282</v>
      </c>
      <c r="Q311" s="5"/>
      <c r="R311" s="5"/>
      <c r="S311" s="5"/>
      <c r="T311" s="5">
        <v>0.338918635350295</v>
      </c>
    </row>
    <row r="312" spans="1:20">
      <c r="A312" t="s">
        <v>978</v>
      </c>
      <c r="G312" s="5">
        <v>0.0825265143936328</v>
      </c>
      <c r="H312" s="5">
        <v>0.0681249648021015</v>
      </c>
      <c r="I312" s="5">
        <v>0.0425094953459754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>
        <v>0.19316097454171</v>
      </c>
    </row>
    <row r="313" spans="1:20">
      <c r="A313" s="10" t="s">
        <v>979</v>
      </c>
      <c r="B313" s="11"/>
      <c r="C313" s="11"/>
      <c r="D313" s="11"/>
      <c r="E313" s="11"/>
      <c r="F313" s="11"/>
      <c r="G313" s="11"/>
      <c r="H313" s="11"/>
      <c r="I313" s="11">
        <v>0.0425094953459754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>
        <v>0.0425094953459754</v>
      </c>
    </row>
    <row r="314" spans="1:20">
      <c r="A314" t="s">
        <v>980</v>
      </c>
      <c r="L314" s="5">
        <v>0.116061908431191</v>
      </c>
      <c r="M314" s="5">
        <v>0.295017050776449</v>
      </c>
      <c r="N314" s="5">
        <v>1.3685163685962</v>
      </c>
      <c r="O314" s="5">
        <v>3.92975314467318</v>
      </c>
      <c r="P314" s="5">
        <v>11.7019050137415</v>
      </c>
      <c r="Q314" s="5">
        <v>37.9025959930879</v>
      </c>
      <c r="R314" s="5">
        <v>108.549638605489</v>
      </c>
      <c r="S314" s="5">
        <v>293.123306038953</v>
      </c>
      <c r="T314" s="5">
        <v>456.986794123748</v>
      </c>
    </row>
    <row r="315" spans="1:20">
      <c r="A315" t="s">
        <v>981</v>
      </c>
      <c r="L315" s="5">
        <v>0.0756925489768638</v>
      </c>
      <c r="M315" s="5">
        <v>0.295017050776449</v>
      </c>
      <c r="N315" s="5">
        <v>1.1549889919358</v>
      </c>
      <c r="O315" s="5">
        <v>3.60972534366985</v>
      </c>
      <c r="P315" s="5">
        <v>10.015285058615</v>
      </c>
      <c r="Q315" s="5">
        <v>29.4182852731678</v>
      </c>
      <c r="R315" s="5">
        <v>80.5713885774096</v>
      </c>
      <c r="S315" s="5">
        <v>219.949918919074</v>
      </c>
      <c r="T315" s="5">
        <v>345.090301763625</v>
      </c>
    </row>
    <row r="316" spans="1:20">
      <c r="A316" t="s">
        <v>982</v>
      </c>
      <c r="L316" s="5">
        <v>0.0706463790450729</v>
      </c>
      <c r="M316" s="5">
        <v>0.343380501723407</v>
      </c>
      <c r="N316" s="5">
        <v>0.922050035578999</v>
      </c>
      <c r="O316" s="5">
        <v>2.94143199451585</v>
      </c>
      <c r="P316" s="5">
        <v>9.66020717332521</v>
      </c>
      <c r="Q316" s="5">
        <v>28.4784450871979</v>
      </c>
      <c r="R316" s="5">
        <v>70.5779019069909</v>
      </c>
      <c r="S316" s="5">
        <v>142.421655196915</v>
      </c>
      <c r="T316" s="5">
        <v>255.415718275292</v>
      </c>
    </row>
    <row r="317" spans="1:20">
      <c r="A317" t="s">
        <v>983</v>
      </c>
      <c r="K317" s="5">
        <v>0.0685430744557372</v>
      </c>
      <c r="L317" s="5">
        <v>0.353231895225364</v>
      </c>
      <c r="M317" s="5">
        <v>1.25261337952623</v>
      </c>
      <c r="N317" s="5">
        <v>3.6251125083027</v>
      </c>
      <c r="O317" s="5">
        <v>9.27609993790519</v>
      </c>
      <c r="P317" s="5">
        <v>18.5214891047484</v>
      </c>
      <c r="Q317" s="5">
        <v>31.0211633985548</v>
      </c>
      <c r="R317" s="5">
        <v>51.3637113666778</v>
      </c>
      <c r="S317" s="5">
        <v>88.0573239283279</v>
      </c>
      <c r="T317" s="5">
        <v>203.539288593724</v>
      </c>
    </row>
    <row r="318" spans="1:20">
      <c r="A318" t="s">
        <v>984</v>
      </c>
      <c r="B318" s="5"/>
      <c r="M318" s="5">
        <v>0.120908627367397</v>
      </c>
      <c r="N318" s="5">
        <v>0.538671336575099</v>
      </c>
      <c r="O318" s="5">
        <v>1.45895026927986</v>
      </c>
      <c r="P318" s="5">
        <v>4.72044718091135</v>
      </c>
      <c r="Q318" s="5">
        <v>15.101815590996</v>
      </c>
      <c r="R318" s="5">
        <v>44.9267819032183</v>
      </c>
      <c r="S318" s="5">
        <v>125.188377063553</v>
      </c>
      <c r="T318" s="5">
        <v>192.055951971901</v>
      </c>
    </row>
    <row r="319" spans="1:20">
      <c r="A319" t="s">
        <v>985</v>
      </c>
      <c r="B319" s="5"/>
      <c r="J319" s="5">
        <v>0.0710901189888639</v>
      </c>
      <c r="K319" s="5">
        <v>0.150794763802622</v>
      </c>
      <c r="L319" s="5">
        <v>0.363324235088946</v>
      </c>
      <c r="M319" s="5">
        <v>0.889887497424042</v>
      </c>
      <c r="N319" s="5">
        <v>1.9265992848677</v>
      </c>
      <c r="O319" s="5">
        <v>3.8403336120399</v>
      </c>
      <c r="P319" s="5">
        <v>7.43574865665681</v>
      </c>
      <c r="Q319" s="5">
        <v>14.9344467907548</v>
      </c>
      <c r="R319" s="5">
        <v>29.7697010656587</v>
      </c>
      <c r="S319" s="5">
        <v>67.0708297758958</v>
      </c>
      <c r="T319" s="5">
        <v>126.452755801178</v>
      </c>
    </row>
    <row r="320" spans="1:20">
      <c r="A320" t="s">
        <v>986</v>
      </c>
      <c r="B320" s="5"/>
      <c r="J320" s="5">
        <v>0.0710901189888639</v>
      </c>
      <c r="K320" s="5">
        <v>0.196490146773113</v>
      </c>
      <c r="L320" s="5">
        <v>0.464247633724765</v>
      </c>
      <c r="M320" s="5">
        <v>1.14621378744292</v>
      </c>
      <c r="N320" s="5">
        <v>2.4167416722018</v>
      </c>
      <c r="O320" s="5">
        <v>4.75806039432884</v>
      </c>
      <c r="P320" s="5">
        <v>8.7150733904215</v>
      </c>
      <c r="Q320" s="5">
        <v>14.4902757439608</v>
      </c>
      <c r="R320" s="5">
        <v>24.8432107123152</v>
      </c>
      <c r="S320" s="5">
        <v>43.1046832113777</v>
      </c>
      <c r="T320" s="5">
        <v>100.206086811536</v>
      </c>
    </row>
    <row r="321" spans="1:20">
      <c r="A321" t="s">
        <v>987</v>
      </c>
      <c r="J321" s="5">
        <v>0.0577607216784519</v>
      </c>
      <c r="K321" s="5">
        <v>0.137086148911474</v>
      </c>
      <c r="L321" s="5">
        <v>0.282585516180292</v>
      </c>
      <c r="M321" s="5">
        <v>0.918905567992217</v>
      </c>
      <c r="N321" s="5">
        <v>2.4701235163669</v>
      </c>
      <c r="O321" s="5">
        <v>5.37458454037937</v>
      </c>
      <c r="P321" s="5">
        <v>9.4565595626443</v>
      </c>
      <c r="Q321" s="5">
        <v>15.7777280535086</v>
      </c>
      <c r="R321" s="5">
        <v>25.2910734717101</v>
      </c>
      <c r="S321" s="5">
        <v>39.9244772715552</v>
      </c>
      <c r="T321" s="5">
        <v>99.6908843709269</v>
      </c>
    </row>
    <row r="322" spans="1:20">
      <c r="A322" t="s">
        <v>988</v>
      </c>
      <c r="J322" s="5">
        <v>0.0710901189888639</v>
      </c>
      <c r="K322" s="5">
        <v>0.095960304238032</v>
      </c>
      <c r="L322" s="5">
        <v>0.262400836453128</v>
      </c>
      <c r="M322" s="5">
        <v>0.541670650605938</v>
      </c>
      <c r="N322" s="5">
        <v>1.3491047888998</v>
      </c>
      <c r="O322" s="5">
        <v>2.71082372614581</v>
      </c>
      <c r="P322" s="5">
        <v>5.68124616463667</v>
      </c>
      <c r="Q322" s="5">
        <v>12.2372342022521</v>
      </c>
      <c r="R322" s="5">
        <v>24.4392560665865</v>
      </c>
      <c r="S322" s="5">
        <v>42.0875903207137</v>
      </c>
      <c r="T322" s="5">
        <v>89.4763771795205</v>
      </c>
    </row>
    <row r="323" spans="1:20">
      <c r="A323" t="s">
        <v>989</v>
      </c>
      <c r="J323" s="5">
        <v>0.0888626487360799</v>
      </c>
      <c r="K323" s="5">
        <v>0.278741836119998</v>
      </c>
      <c r="L323" s="5">
        <v>0.650955921201029</v>
      </c>
      <c r="M323" s="5">
        <v>1.47992159897694</v>
      </c>
      <c r="N323" s="5">
        <v>3.2708511788434</v>
      </c>
      <c r="O323" s="5">
        <v>5.35105308442324</v>
      </c>
      <c r="P323" s="5">
        <v>8.43832150923975</v>
      </c>
      <c r="Q323" s="5">
        <v>12.2694205099908</v>
      </c>
      <c r="R323" s="5">
        <v>19.4337311086439</v>
      </c>
      <c r="S323" s="5">
        <v>32.289117965585</v>
      </c>
      <c r="T323" s="5">
        <v>83.5509773617602</v>
      </c>
    </row>
    <row r="324" spans="1:20">
      <c r="A324" t="s">
        <v>990</v>
      </c>
      <c r="M324" s="5">
        <v>0.0870542117045258</v>
      </c>
      <c r="N324" s="5">
        <v>0.2863208005219</v>
      </c>
      <c r="O324" s="5">
        <v>1.002440023731</v>
      </c>
      <c r="P324" s="5">
        <v>2.76751881181749</v>
      </c>
      <c r="Q324" s="5">
        <v>7.24191924120651</v>
      </c>
      <c r="R324" s="5">
        <v>18.7926726491179</v>
      </c>
      <c r="S324" s="5">
        <v>50.5681394935737</v>
      </c>
      <c r="T324" s="5">
        <v>80.746065231673</v>
      </c>
    </row>
    <row r="325" spans="1:20">
      <c r="A325" t="s">
        <v>991</v>
      </c>
      <c r="B325" s="5"/>
      <c r="J325" s="5">
        <v>0.0844195162992759</v>
      </c>
      <c r="K325" s="5">
        <v>0.210198761664261</v>
      </c>
      <c r="L325" s="5">
        <v>0.499570823247301</v>
      </c>
      <c r="M325" s="5">
        <v>1.33483124613606</v>
      </c>
      <c r="N325" s="5">
        <v>2.4167416722018</v>
      </c>
      <c r="O325" s="5">
        <v>4.02387896849769</v>
      </c>
      <c r="P325" s="5">
        <v>6.70992768525562</v>
      </c>
      <c r="Q325" s="5">
        <v>11.6771924475988</v>
      </c>
      <c r="R325" s="5">
        <v>18.3974996261224</v>
      </c>
      <c r="S325" s="5">
        <v>28.9370090019883</v>
      </c>
      <c r="T325" s="5">
        <v>74.2912697490115</v>
      </c>
    </row>
    <row r="326" spans="1:20">
      <c r="A326" t="s">
        <v>992</v>
      </c>
      <c r="B326" s="5">
        <v>59.1450984390408</v>
      </c>
      <c r="T326" s="5">
        <v>59.1450984390408</v>
      </c>
    </row>
    <row r="327" spans="1:20">
      <c r="A327" t="s">
        <v>993</v>
      </c>
      <c r="K327" s="5">
        <v>0.0776821510498354</v>
      </c>
      <c r="L327" s="5">
        <v>0.206892967203428</v>
      </c>
      <c r="M327" s="5">
        <v>0.382071262480974</v>
      </c>
      <c r="N327" s="5">
        <v>0.737640028463199</v>
      </c>
      <c r="O327" s="5">
        <v>1.63778933454643</v>
      </c>
      <c r="P327" s="5">
        <v>3.09648802907127</v>
      </c>
      <c r="Q327" s="5">
        <v>6.43082428619138</v>
      </c>
      <c r="R327" s="5">
        <v>14.3491715461022</v>
      </c>
      <c r="S327" s="5">
        <v>30.9425442793539</v>
      </c>
      <c r="T327" s="5">
        <v>57.8611038844626</v>
      </c>
    </row>
    <row r="328" spans="1:20">
      <c r="A328" t="s">
        <v>994</v>
      </c>
      <c r="J328" s="5">
        <v>0.0844195162992759</v>
      </c>
      <c r="K328" s="5">
        <v>0.155364302099671</v>
      </c>
      <c r="L328" s="5">
        <v>0.444062953997601</v>
      </c>
      <c r="M328" s="5">
        <v>0.793160595530124</v>
      </c>
      <c r="N328" s="5">
        <v>1.5480734807879</v>
      </c>
      <c r="O328" s="5">
        <v>2.80965584116154</v>
      </c>
      <c r="P328" s="5">
        <v>4.57423863990967</v>
      </c>
      <c r="Q328" s="5">
        <v>7.7182765957392</v>
      </c>
      <c r="R328" s="5">
        <v>14.0769412413719</v>
      </c>
      <c r="S328" s="5">
        <v>24.3242778640476</v>
      </c>
      <c r="T328" s="5">
        <v>56.5284710309445</v>
      </c>
    </row>
    <row r="329" spans="1:20">
      <c r="A329" t="s">
        <v>995</v>
      </c>
      <c r="M329" s="5">
        <v>0.0773815215151341</v>
      </c>
      <c r="N329" s="5">
        <v>0.2086744817363</v>
      </c>
      <c r="O329" s="5">
        <v>0.654174475580326</v>
      </c>
      <c r="P329" s="5">
        <v>1.65528955348329</v>
      </c>
      <c r="Q329" s="5">
        <v>4.44171046793999</v>
      </c>
      <c r="R329" s="5">
        <v>12.5928469994556</v>
      </c>
      <c r="S329" s="5">
        <v>34.7100855504048</v>
      </c>
      <c r="T329" s="5">
        <v>54.3401630501154</v>
      </c>
    </row>
    <row r="330" spans="1:20">
      <c r="A330" t="s">
        <v>996</v>
      </c>
      <c r="K330" s="5">
        <v>0.0822516893468846</v>
      </c>
      <c r="L330" s="5">
        <v>0.141292758090146</v>
      </c>
      <c r="M330" s="5">
        <v>0.324035121344624</v>
      </c>
      <c r="N330" s="5">
        <v>0.582347390892</v>
      </c>
      <c r="O330" s="5">
        <v>1.39306219260271</v>
      </c>
      <c r="P330" s="5">
        <v>2.73096667656707</v>
      </c>
      <c r="Q330" s="5">
        <v>5.47167231557825</v>
      </c>
      <c r="R330" s="5">
        <v>12.5928469994556</v>
      </c>
      <c r="S330" s="5">
        <v>28.3353484187787</v>
      </c>
      <c r="T330" s="5">
        <v>51.653823562656</v>
      </c>
    </row>
    <row r="331" spans="1:20">
      <c r="A331" t="s">
        <v>997</v>
      </c>
      <c r="J331" s="5">
        <v>0.0666469865520599</v>
      </c>
      <c r="K331" s="5">
        <v>0.0594039978616389</v>
      </c>
      <c r="L331" s="5">
        <v>0.222031476998801</v>
      </c>
      <c r="M331" s="5">
        <v>0.333707811534016</v>
      </c>
      <c r="N331" s="5">
        <v>0.757051608159599</v>
      </c>
      <c r="O331" s="5">
        <v>1.48248172523599</v>
      </c>
      <c r="P331" s="5">
        <v>2.55864946752938</v>
      </c>
      <c r="Q331" s="5">
        <v>5.73560003903555</v>
      </c>
      <c r="R331" s="5">
        <v>11.8025009534647</v>
      </c>
      <c r="S331" s="5">
        <v>26.3727888973567</v>
      </c>
      <c r="T331" s="5">
        <v>49.3908629637284</v>
      </c>
    </row>
    <row r="332" spans="1:20">
      <c r="A332" t="s">
        <v>998</v>
      </c>
      <c r="J332" s="5">
        <v>0.1110783109201</v>
      </c>
      <c r="K332" s="5">
        <v>0.173642455287867</v>
      </c>
      <c r="L332" s="5">
        <v>0.43901678406581</v>
      </c>
      <c r="M332" s="5">
        <v>0.976941709128568</v>
      </c>
      <c r="N332" s="5">
        <v>2.2420374549342</v>
      </c>
      <c r="O332" s="5">
        <v>4.30625643997121</v>
      </c>
      <c r="P332" s="5">
        <v>6.86657969347171</v>
      </c>
      <c r="Q332" s="5">
        <v>8.85123462814129</v>
      </c>
      <c r="R332" s="5">
        <v>10.2130272387496</v>
      </c>
      <c r="S332" s="5">
        <v>13.4514116103302</v>
      </c>
      <c r="T332" s="5">
        <v>47.6312263250006</v>
      </c>
    </row>
    <row r="333" spans="1:20">
      <c r="A333" t="s">
        <v>999</v>
      </c>
      <c r="C333" s="5">
        <v>0.0672834042926543</v>
      </c>
      <c r="M333" s="5">
        <v>0.120908627367397</v>
      </c>
      <c r="N333" s="5">
        <v>0.3251439599147</v>
      </c>
      <c r="O333" s="5">
        <v>0.993027441348552</v>
      </c>
      <c r="P333" s="5">
        <v>2.57953640195819</v>
      </c>
      <c r="Q333" s="5">
        <v>6.43726154773912</v>
      </c>
      <c r="R333" s="5">
        <v>13.0055832679176</v>
      </c>
      <c r="S333" s="5">
        <v>23.722617280838</v>
      </c>
      <c r="T333" s="5">
        <v>47.2513619313762</v>
      </c>
    </row>
    <row r="334" spans="1:20">
      <c r="A334" t="s">
        <v>1000</v>
      </c>
      <c r="K334" s="5">
        <v>0.063973536158688</v>
      </c>
      <c r="L334" s="5">
        <v>0.222031476998801</v>
      </c>
      <c r="M334" s="5">
        <v>0.57552506626881</v>
      </c>
      <c r="N334" s="5">
        <v>1.1986650462527</v>
      </c>
      <c r="O334" s="5">
        <v>2.99790748881056</v>
      </c>
      <c r="P334" s="5">
        <v>5.13296413588037</v>
      </c>
      <c r="Q334" s="5">
        <v>7.46722339537738</v>
      </c>
      <c r="R334" s="5">
        <v>11.4073279304692</v>
      </c>
      <c r="S334" s="5">
        <v>17.1043508655317</v>
      </c>
      <c r="T334" s="5">
        <v>46.1699689417482</v>
      </c>
    </row>
    <row r="335" spans="1:20">
      <c r="A335" t="s">
        <v>1001</v>
      </c>
      <c r="K335" s="5">
        <v>0.0685430744557372</v>
      </c>
      <c r="L335" s="5">
        <v>0.176615947612682</v>
      </c>
      <c r="M335" s="5">
        <v>0.522325270227155</v>
      </c>
      <c r="N335" s="5">
        <v>1.4267511076854</v>
      </c>
      <c r="O335" s="5">
        <v>3.18615913645957</v>
      </c>
      <c r="P335" s="5">
        <v>5.32616827934687</v>
      </c>
      <c r="Q335" s="5">
        <v>7.49940970311607</v>
      </c>
      <c r="R335" s="5">
        <v>11.1965689848716</v>
      </c>
      <c r="S335" s="5">
        <v>15.6718256674135</v>
      </c>
      <c r="T335" s="5">
        <v>45.0743671711886</v>
      </c>
    </row>
    <row r="336" spans="1:20">
      <c r="A336" t="s">
        <v>1002</v>
      </c>
      <c r="B336" s="5"/>
      <c r="J336" s="5">
        <v>0.0666469865520599</v>
      </c>
      <c r="K336" s="5">
        <v>0.205629223367211</v>
      </c>
      <c r="L336" s="5">
        <v>0.307816365839246</v>
      </c>
      <c r="M336" s="5">
        <v>0.619052172121073</v>
      </c>
      <c r="N336" s="5">
        <v>1.1355774122394</v>
      </c>
      <c r="O336" s="5">
        <v>2.77200551163174</v>
      </c>
      <c r="P336" s="5">
        <v>4.28704329151351</v>
      </c>
      <c r="Q336" s="5">
        <v>6.57888130178938</v>
      </c>
      <c r="R336" s="5">
        <v>9.72125636568855</v>
      </c>
      <c r="S336" s="5">
        <v>16.029956966943</v>
      </c>
      <c r="T336" s="5">
        <v>41.7238655976852</v>
      </c>
    </row>
    <row r="337" spans="1:20">
      <c r="A337" t="s">
        <v>1003</v>
      </c>
      <c r="B337" s="5">
        <v>39.6036456183568</v>
      </c>
      <c r="C337" s="5"/>
      <c r="D337" s="5"/>
      <c r="T337" s="5">
        <v>39.6036456183568</v>
      </c>
    </row>
    <row r="338" spans="1:20">
      <c r="A338" t="s">
        <v>1004</v>
      </c>
      <c r="L338" s="5">
        <v>0.1110157384994</v>
      </c>
      <c r="M338" s="5">
        <v>0.22247187435601</v>
      </c>
      <c r="N338" s="5">
        <v>0.4707308076377</v>
      </c>
      <c r="O338" s="5">
        <v>1.08715326517306</v>
      </c>
      <c r="P338" s="5">
        <v>2.05736304123791</v>
      </c>
      <c r="Q338" s="5">
        <v>4.90519329937721</v>
      </c>
      <c r="R338" s="5">
        <v>9.70369312022208</v>
      </c>
      <c r="S338" s="5">
        <v>19.1242113948784</v>
      </c>
      <c r="T338" s="5">
        <v>37.6818325413818</v>
      </c>
    </row>
    <row r="339" spans="1:20">
      <c r="A339" t="s">
        <v>1005</v>
      </c>
      <c r="H339" s="5">
        <v>0.045416643201401</v>
      </c>
      <c r="I339" s="5"/>
      <c r="J339" s="5">
        <v>0.0799763838624719</v>
      </c>
      <c r="K339" s="5">
        <v>0.233046453149506</v>
      </c>
      <c r="L339" s="5">
        <v>0.358278065157155</v>
      </c>
      <c r="M339" s="5">
        <v>0.57552506626881</v>
      </c>
      <c r="N339" s="5">
        <v>1.0482253036056</v>
      </c>
      <c r="O339" s="5">
        <v>2.11312474486019</v>
      </c>
      <c r="P339" s="5">
        <v>3.23225310285854</v>
      </c>
      <c r="Q339" s="5">
        <v>5.61972933117625</v>
      </c>
      <c r="R339" s="5">
        <v>9.29973847449338</v>
      </c>
      <c r="S339" s="5">
        <v>14.29660147722</v>
      </c>
      <c r="T339" s="5">
        <v>36.9019150458533</v>
      </c>
    </row>
    <row r="340" spans="1:20">
      <c r="A340" t="s">
        <v>1006</v>
      </c>
      <c r="B340" s="5"/>
      <c r="J340" s="5">
        <v>0.0844195162992759</v>
      </c>
      <c r="K340" s="5">
        <v>0.178211993584917</v>
      </c>
      <c r="L340" s="5">
        <v>0.363324235088946</v>
      </c>
      <c r="M340" s="5">
        <v>0.585197756458201</v>
      </c>
      <c r="N340" s="5">
        <v>1.0045492492887</v>
      </c>
      <c r="O340" s="5">
        <v>1.74603403194461</v>
      </c>
      <c r="P340" s="5">
        <v>2.74663187738868</v>
      </c>
      <c r="Q340" s="5">
        <v>4.39664963710582</v>
      </c>
      <c r="R340" s="5">
        <v>7.90346045990939</v>
      </c>
      <c r="S340" s="5">
        <v>14.0387469415587</v>
      </c>
      <c r="T340" s="5">
        <v>33.0472256986272</v>
      </c>
    </row>
    <row r="341" spans="1:20">
      <c r="A341" t="s">
        <v>1007</v>
      </c>
      <c r="O341" s="5">
        <v>0.112950988589409</v>
      </c>
      <c r="P341" s="5">
        <v>0.391630020540211</v>
      </c>
      <c r="Q341" s="5">
        <v>2.18223166468356</v>
      </c>
      <c r="R341" s="5">
        <v>7.65757502337888</v>
      </c>
      <c r="S341" s="5">
        <v>22.1898153188515</v>
      </c>
      <c r="T341" s="5">
        <v>32.5342030160436</v>
      </c>
    </row>
    <row r="342" spans="1:20">
      <c r="A342" t="s">
        <v>1008</v>
      </c>
      <c r="J342" s="5">
        <v>0.0488744568048439</v>
      </c>
      <c r="K342" s="5">
        <v>0.123377534020327</v>
      </c>
      <c r="L342" s="5">
        <v>0.181662117544473</v>
      </c>
      <c r="M342" s="5">
        <v>0.314362431155232</v>
      </c>
      <c r="N342" s="5">
        <v>0.606611865512499</v>
      </c>
      <c r="O342" s="5">
        <v>0.9647896942012</v>
      </c>
      <c r="P342" s="5">
        <v>1.77538942644896</v>
      </c>
      <c r="Q342" s="5">
        <v>3.54693111280425</v>
      </c>
      <c r="R342" s="5">
        <v>7.35021822771573</v>
      </c>
      <c r="S342" s="5">
        <v>17.0183993536446</v>
      </c>
      <c r="T342" s="5">
        <v>31.9306162198521</v>
      </c>
    </row>
    <row r="343" spans="1:20">
      <c r="A343" t="s">
        <v>1009</v>
      </c>
      <c r="B343" s="5">
        <v>27.2429230066759</v>
      </c>
      <c r="C343" s="5">
        <v>0.228763574595025</v>
      </c>
      <c r="T343" s="5">
        <v>27.4716865812709</v>
      </c>
    </row>
    <row r="344" spans="1:20">
      <c r="A344" t="s">
        <v>1010</v>
      </c>
      <c r="L344" s="5">
        <v>0.0605540391814911</v>
      </c>
      <c r="M344" s="5">
        <v>0.159599388124964</v>
      </c>
      <c r="N344" s="5">
        <v>0.3105852751424</v>
      </c>
      <c r="O344" s="5">
        <v>0.757712881787284</v>
      </c>
      <c r="P344" s="5">
        <v>1.60829395101847</v>
      </c>
      <c r="Q344" s="5">
        <v>2.90964221957808</v>
      </c>
      <c r="R344" s="5">
        <v>6.17348078146256</v>
      </c>
      <c r="S344" s="5">
        <v>12.0332116641932</v>
      </c>
      <c r="T344" s="5">
        <v>24.0130802004885</v>
      </c>
    </row>
    <row r="345" spans="1:20">
      <c r="A345" t="s">
        <v>1011</v>
      </c>
      <c r="H345" s="5">
        <v>0.0544999718416812</v>
      </c>
      <c r="J345" s="5">
        <v>0.0666469865520599</v>
      </c>
      <c r="K345" s="5">
        <v>0.100529842535081</v>
      </c>
      <c r="L345" s="5">
        <v>0.186708287476264</v>
      </c>
      <c r="M345" s="5">
        <v>0.290180705681753</v>
      </c>
      <c r="N345" s="5">
        <v>0.5483771264233</v>
      </c>
      <c r="O345" s="5">
        <v>1.01655889730468</v>
      </c>
      <c r="P345" s="5">
        <v>1.83805022973539</v>
      </c>
      <c r="Q345" s="5">
        <v>3.05126197362834</v>
      </c>
      <c r="R345" s="5">
        <v>5.69927315386799</v>
      </c>
      <c r="S345" s="5">
        <v>9.84144811107227</v>
      </c>
      <c r="T345" s="5">
        <v>22.6935352861188</v>
      </c>
    </row>
    <row r="346" spans="1:20">
      <c r="A346" t="s">
        <v>1012</v>
      </c>
      <c r="L346" s="5">
        <v>0.0857848888404457</v>
      </c>
      <c r="M346" s="5">
        <v>0.232144564545402</v>
      </c>
      <c r="N346" s="5">
        <v>0.3736729091557</v>
      </c>
      <c r="O346" s="5">
        <v>1.01185260611345</v>
      </c>
      <c r="P346" s="5">
        <v>1.61351568462567</v>
      </c>
      <c r="Q346" s="5">
        <v>3.02551292743739</v>
      </c>
      <c r="R346" s="5">
        <v>5.04943307160878</v>
      </c>
      <c r="S346" s="5">
        <v>10.1279531506959</v>
      </c>
      <c r="T346" s="5">
        <v>21.5198698030227</v>
      </c>
    </row>
    <row r="347" spans="1:20">
      <c r="A347" t="s">
        <v>1013</v>
      </c>
      <c r="B347" s="5">
        <v>19.7058970239436</v>
      </c>
      <c r="T347" s="5">
        <v>19.7058970239436</v>
      </c>
    </row>
    <row r="348" spans="1:20">
      <c r="A348" t="s">
        <v>1014</v>
      </c>
      <c r="K348" s="5">
        <v>0.0868212276439337</v>
      </c>
      <c r="L348" s="5">
        <v>0.232123816862382</v>
      </c>
      <c r="M348" s="5">
        <v>0.580361411363505</v>
      </c>
      <c r="N348" s="5">
        <v>1.1792534665563</v>
      </c>
      <c r="O348" s="5">
        <v>2.28725751893553</v>
      </c>
      <c r="P348" s="5">
        <v>2.90328388560477</v>
      </c>
      <c r="Q348" s="5">
        <v>3.48255849732686</v>
      </c>
      <c r="R348" s="5">
        <v>4.00441996635409</v>
      </c>
      <c r="S348" s="5">
        <v>4.61273113794072</v>
      </c>
      <c r="T348" s="5">
        <v>19.3688109285881</v>
      </c>
    </row>
    <row r="349" spans="1:20">
      <c r="A349" t="s">
        <v>1015</v>
      </c>
      <c r="B349" s="5">
        <v>0.465925242568904</v>
      </c>
      <c r="J349" s="5">
        <v>0.0977489136096879</v>
      </c>
      <c r="K349" s="5">
        <v>0.169072916990818</v>
      </c>
      <c r="L349" s="5">
        <v>0.27249317631671</v>
      </c>
      <c r="M349" s="5">
        <v>0.41108933304915</v>
      </c>
      <c r="N349" s="5">
        <v>0.679405289373999</v>
      </c>
      <c r="O349" s="5">
        <v>1.22834200090982</v>
      </c>
      <c r="P349" s="5">
        <v>1.80671982809218</v>
      </c>
      <c r="Q349" s="5">
        <v>2.47834569587956</v>
      </c>
      <c r="R349" s="5">
        <v>4.20639728921844</v>
      </c>
      <c r="S349" s="5">
        <v>6.5752906593627</v>
      </c>
      <c r="T349" s="5">
        <v>18.390830345372</v>
      </c>
    </row>
    <row r="350" spans="1:20">
      <c r="A350" t="s">
        <v>1016</v>
      </c>
      <c r="L350" s="5">
        <v>0.0958772287040275</v>
      </c>
      <c r="M350" s="5">
        <v>0.22247187435601</v>
      </c>
      <c r="N350" s="5">
        <v>0.723081343690899</v>
      </c>
      <c r="O350" s="5">
        <v>1.43541881332374</v>
      </c>
      <c r="P350" s="5">
        <v>2.18790638141798</v>
      </c>
      <c r="Q350" s="5">
        <v>3.08988554291478</v>
      </c>
      <c r="R350" s="5">
        <v>4.13614430735258</v>
      </c>
      <c r="S350" s="5">
        <v>5.7587512964353</v>
      </c>
      <c r="T350" s="5">
        <v>17.6495367881953</v>
      </c>
    </row>
    <row r="351" spans="1:20">
      <c r="A351" t="s">
        <v>1017</v>
      </c>
      <c r="K351" s="5">
        <v>0.15993384039672</v>
      </c>
      <c r="L351" s="5">
        <v>0.277539346248501</v>
      </c>
      <c r="M351" s="5">
        <v>0.623888517215768</v>
      </c>
      <c r="N351" s="5">
        <v>0.931755825427199</v>
      </c>
      <c r="O351" s="5">
        <v>1.35070557188168</v>
      </c>
      <c r="P351" s="5">
        <v>1.92159796745064</v>
      </c>
      <c r="Q351" s="5">
        <v>2.4525966496886</v>
      </c>
      <c r="R351" s="5">
        <v>3.68828154795772</v>
      </c>
      <c r="S351" s="5">
        <v>5.52954726473639</v>
      </c>
      <c r="T351" s="5">
        <v>16.9358465310032</v>
      </c>
    </row>
    <row r="352" spans="1:20">
      <c r="A352" t="s">
        <v>1018</v>
      </c>
      <c r="B352" s="5">
        <v>16.2251613882818</v>
      </c>
      <c r="T352" s="5">
        <v>16.2251613882818</v>
      </c>
    </row>
    <row r="353" spans="1:20">
      <c r="A353" t="s">
        <v>1019</v>
      </c>
      <c r="J353" s="5">
        <v>0.0710901189888639</v>
      </c>
      <c r="K353" s="5">
        <v>0.109668919129179</v>
      </c>
      <c r="L353" s="5">
        <v>0.222031476998801</v>
      </c>
      <c r="M353" s="5">
        <v>0.478798164374892</v>
      </c>
      <c r="N353" s="5">
        <v>0.757051608159599</v>
      </c>
      <c r="O353" s="5">
        <v>1.09185955636428</v>
      </c>
      <c r="P353" s="5">
        <v>1.75972422562735</v>
      </c>
      <c r="Q353" s="5">
        <v>2.51053200361826</v>
      </c>
      <c r="R353" s="5">
        <v>3.53899396149276</v>
      </c>
      <c r="S353" s="5">
        <v>4.67003214586545</v>
      </c>
      <c r="T353" s="5">
        <v>15.2097821806194</v>
      </c>
    </row>
    <row r="354" spans="1:20">
      <c r="A354" t="s">
        <v>1020</v>
      </c>
      <c r="K354" s="5">
        <v>0.063973536158688</v>
      </c>
      <c r="L354" s="5">
        <v>0.0908310587722366</v>
      </c>
      <c r="M354" s="5">
        <v>0.227308219450706</v>
      </c>
      <c r="N354" s="5">
        <v>0.4513192279413</v>
      </c>
      <c r="O354" s="5">
        <v>0.800069502508312</v>
      </c>
      <c r="P354" s="5">
        <v>1.17489006162063</v>
      </c>
      <c r="Q354" s="5">
        <v>2.03417464908556</v>
      </c>
      <c r="R354" s="5">
        <v>3.63559181155832</v>
      </c>
      <c r="S354" s="5">
        <v>6.54664015540033</v>
      </c>
      <c r="T354" s="5">
        <v>15.0247982224961</v>
      </c>
    </row>
    <row r="355" spans="1:20">
      <c r="A355" t="s">
        <v>1021</v>
      </c>
      <c r="J355" s="5">
        <v>0.0622038541152559</v>
      </c>
      <c r="K355" s="5">
        <v>0.0913907659409829</v>
      </c>
      <c r="L355" s="5">
        <v>0.292677856043873</v>
      </c>
      <c r="M355" s="5">
        <v>0.512652580037763</v>
      </c>
      <c r="N355" s="5">
        <v>1.1016071477707</v>
      </c>
      <c r="O355" s="5">
        <v>1.72250257598848</v>
      </c>
      <c r="P355" s="5">
        <v>1.8589371641642</v>
      </c>
      <c r="Q355" s="5">
        <v>2.53628104980921</v>
      </c>
      <c r="R355" s="5">
        <v>2.96818848383264</v>
      </c>
      <c r="S355" s="5">
        <v>3.76754127105096</v>
      </c>
      <c r="T355" s="5">
        <v>14.9139827487541</v>
      </c>
    </row>
    <row r="356" spans="1:20">
      <c r="A356" t="s">
        <v>1022</v>
      </c>
      <c r="L356" s="5">
        <v>0.0605540391814911</v>
      </c>
      <c r="M356" s="5">
        <v>0.111235937178005</v>
      </c>
      <c r="N356" s="5">
        <v>0.2329389563568</v>
      </c>
      <c r="O356" s="5">
        <v>0.334146674577001</v>
      </c>
      <c r="P356" s="5">
        <v>0.772816573866017</v>
      </c>
      <c r="Q356" s="5">
        <v>1.46125837133678</v>
      </c>
      <c r="R356" s="5">
        <v>3.4423961114272</v>
      </c>
      <c r="S356" s="5">
        <v>8.02214110946212</v>
      </c>
      <c r="T356" s="5">
        <v>14.4374877733854</v>
      </c>
    </row>
    <row r="357" spans="1:20">
      <c r="A357" t="s">
        <v>1023</v>
      </c>
      <c r="J357" s="5">
        <v>0.0533175892416479</v>
      </c>
      <c r="K357" s="5">
        <v>0.0776821510498354</v>
      </c>
      <c r="L357" s="5">
        <v>0.146338928021937</v>
      </c>
      <c r="M357" s="5">
        <v>0.217635529261315</v>
      </c>
      <c r="N357" s="5">
        <v>0.3688200142316</v>
      </c>
      <c r="O357" s="5">
        <v>0.663587057962776</v>
      </c>
      <c r="P357" s="5">
        <v>1.09134232390539</v>
      </c>
      <c r="Q357" s="5">
        <v>1.76380966408052</v>
      </c>
      <c r="R357" s="5">
        <v>3.28432690222901</v>
      </c>
      <c r="S357" s="5">
        <v>6.56096540738152</v>
      </c>
      <c r="T357" s="5">
        <v>14.2278255673656</v>
      </c>
    </row>
    <row r="358" spans="1:20">
      <c r="A358" t="s">
        <v>1024</v>
      </c>
      <c r="J358" s="5">
        <v>0.04443132436804</v>
      </c>
      <c r="K358" s="5">
        <v>0.0868212276439337</v>
      </c>
      <c r="L358" s="5">
        <v>0.242216156725964</v>
      </c>
      <c r="M358" s="5">
        <v>0.362725882102191</v>
      </c>
      <c r="N358" s="5">
        <v>0.664846604601699</v>
      </c>
      <c r="O358" s="5">
        <v>0.927139364671397</v>
      </c>
      <c r="P358" s="5">
        <v>1.55607661494644</v>
      </c>
      <c r="Q358" s="5">
        <v>2.47834569587956</v>
      </c>
      <c r="R358" s="5">
        <v>3.21407392036315</v>
      </c>
      <c r="S358" s="5">
        <v>4.06837156265579</v>
      </c>
      <c r="T358" s="5">
        <v>13.6450483539582</v>
      </c>
    </row>
    <row r="359" spans="1:20">
      <c r="A359" t="s">
        <v>1025</v>
      </c>
      <c r="K359" s="5">
        <v>0.095960304238032</v>
      </c>
      <c r="L359" s="5">
        <v>0.201846797271637</v>
      </c>
      <c r="M359" s="5">
        <v>0.265998980208273</v>
      </c>
      <c r="N359" s="5">
        <v>0.4513192279413</v>
      </c>
      <c r="O359" s="5">
        <v>0.724768843448706</v>
      </c>
      <c r="P359" s="5">
        <v>1.33676380344392</v>
      </c>
      <c r="Q359" s="5">
        <v>1.84105680265339</v>
      </c>
      <c r="R359" s="5">
        <v>3.15260256123052</v>
      </c>
      <c r="S359" s="5">
        <v>5.55819776869875</v>
      </c>
      <c r="T359" s="5">
        <v>13.6285150891345</v>
      </c>
    </row>
    <row r="360" spans="1:20">
      <c r="A360" t="s">
        <v>1026</v>
      </c>
      <c r="J360" s="5">
        <v>0.0577607216784519</v>
      </c>
      <c r="K360" s="5">
        <v>0.137086148911474</v>
      </c>
      <c r="L360" s="5">
        <v>0.222031476998801</v>
      </c>
      <c r="M360" s="5">
        <v>0.348216846818103</v>
      </c>
      <c r="N360" s="5">
        <v>0.5435242314992</v>
      </c>
      <c r="O360" s="5">
        <v>1.09185955636428</v>
      </c>
      <c r="P360" s="5">
        <v>1.71272862316252</v>
      </c>
      <c r="Q360" s="5">
        <v>1.98911381825139</v>
      </c>
      <c r="R360" s="5">
        <v>2.78377440643475</v>
      </c>
      <c r="S360" s="5">
        <v>4.28325034237352</v>
      </c>
      <c r="T360" s="5">
        <v>13.1693461724925</v>
      </c>
    </row>
    <row r="361" spans="1:20">
      <c r="A361" t="s">
        <v>1027</v>
      </c>
      <c r="J361" s="5">
        <v>0.0577607216784519</v>
      </c>
      <c r="K361" s="5">
        <v>0.137086148911474</v>
      </c>
      <c r="L361" s="5">
        <v>0.1665236077491</v>
      </c>
      <c r="M361" s="5">
        <v>0.348216846818103</v>
      </c>
      <c r="N361" s="5">
        <v>0.6357292350571</v>
      </c>
      <c r="O361" s="5">
        <v>0.83301354084689</v>
      </c>
      <c r="P361" s="5">
        <v>1.65528955348329</v>
      </c>
      <c r="Q361" s="5">
        <v>2.13073357230165</v>
      </c>
      <c r="R361" s="5">
        <v>3.02965984296527</v>
      </c>
      <c r="S361" s="5">
        <v>4.06837156265579</v>
      </c>
      <c r="T361" s="5">
        <v>13.0623846324671</v>
      </c>
    </row>
    <row r="362" spans="1:20">
      <c r="A362" t="s">
        <v>1028</v>
      </c>
      <c r="B362" s="5">
        <v>12.6073889165703</v>
      </c>
      <c r="C362" s="5">
        <v>0.114381787297512</v>
      </c>
      <c r="T362" s="5">
        <v>12.7217707038678</v>
      </c>
    </row>
    <row r="363" spans="1:20">
      <c r="A363" t="s">
        <v>1029</v>
      </c>
      <c r="M363" s="5">
        <v>0.101563246988613</v>
      </c>
      <c r="N363" s="5">
        <v>0.2038215868122</v>
      </c>
      <c r="O363" s="5">
        <v>0.428272498401508</v>
      </c>
      <c r="P363" s="5">
        <v>0.825033909938045</v>
      </c>
      <c r="Q363" s="5">
        <v>1.78955871027148</v>
      </c>
      <c r="R363" s="5">
        <v>3.43361448869397</v>
      </c>
      <c r="S363" s="5">
        <v>5.81605230436003</v>
      </c>
      <c r="T363" s="5">
        <v>12.5979167454658</v>
      </c>
    </row>
    <row r="364" spans="1:20">
      <c r="A364" t="s">
        <v>1030</v>
      </c>
      <c r="K364" s="5">
        <v>0.0822516893468846</v>
      </c>
      <c r="L364" s="5">
        <v>0.136246588158355</v>
      </c>
      <c r="M364" s="5">
        <v>0.299853395871145</v>
      </c>
      <c r="N364" s="5">
        <v>0.5435242314992</v>
      </c>
      <c r="O364" s="5">
        <v>1.12480359470286</v>
      </c>
      <c r="P364" s="5">
        <v>1.72839382398413</v>
      </c>
      <c r="Q364" s="5">
        <v>2.22729249551773</v>
      </c>
      <c r="R364" s="5">
        <v>2.76621116096829</v>
      </c>
      <c r="S364" s="5">
        <v>3.62428875123913</v>
      </c>
      <c r="T364" s="5">
        <v>12.5328657312877</v>
      </c>
    </row>
    <row r="365" spans="1:20">
      <c r="A365" t="s">
        <v>1031</v>
      </c>
      <c r="K365" s="5">
        <v>0.0685430744557372</v>
      </c>
      <c r="L365" s="5">
        <v>0.181662117544473</v>
      </c>
      <c r="M365" s="5">
        <v>0.367562227196887</v>
      </c>
      <c r="N365" s="5">
        <v>0.606611865512499</v>
      </c>
      <c r="O365" s="5">
        <v>1.05420922683448</v>
      </c>
      <c r="P365" s="5">
        <v>1.44119847558798</v>
      </c>
      <c r="Q365" s="5">
        <v>2.02130012599008</v>
      </c>
      <c r="R365" s="5">
        <v>2.96818848383264</v>
      </c>
      <c r="S365" s="5">
        <v>3.81051702699451</v>
      </c>
      <c r="T365" s="5">
        <v>12.5197926239493</v>
      </c>
    </row>
    <row r="366" spans="1:20">
      <c r="A366" t="s">
        <v>1032</v>
      </c>
      <c r="B366" s="5"/>
      <c r="N366" s="5">
        <v>0.0824992137096999</v>
      </c>
      <c r="O366" s="5">
        <v>0.150601318119212</v>
      </c>
      <c r="P366" s="5">
        <v>0.417738688576225</v>
      </c>
      <c r="Q366" s="5">
        <v>1.19089338633174</v>
      </c>
      <c r="R366" s="5">
        <v>2.52032572443777</v>
      </c>
      <c r="S366" s="5">
        <v>7.96484010153739</v>
      </c>
      <c r="T366" s="5">
        <v>12.326898432712</v>
      </c>
    </row>
    <row r="367" spans="1:20">
      <c r="A367" t="s">
        <v>1033</v>
      </c>
      <c r="J367" s="5">
        <v>0.04443132436804</v>
      </c>
      <c r="K367" s="5">
        <v>0.0685430744557372</v>
      </c>
      <c r="L367" s="5">
        <v>0.0857848888404457</v>
      </c>
      <c r="M367" s="5">
        <v>0.135417662651485</v>
      </c>
      <c r="N367" s="5">
        <v>0.339702644687</v>
      </c>
      <c r="O367" s="5">
        <v>0.616524146050523</v>
      </c>
      <c r="P367" s="5">
        <v>0.919025114867696</v>
      </c>
      <c r="Q367" s="5">
        <v>1.42263480205035</v>
      </c>
      <c r="R367" s="5">
        <v>2.89793550196678</v>
      </c>
      <c r="S367" s="5">
        <v>5.70145028851058</v>
      </c>
      <c r="T367" s="5">
        <v>12.2314494484486</v>
      </c>
    </row>
    <row r="368" spans="1:20">
      <c r="A368" t="s">
        <v>1034</v>
      </c>
      <c r="B368" s="5"/>
      <c r="J368" s="5">
        <v>0.0488744568048439</v>
      </c>
      <c r="K368" s="5">
        <v>0.0776821510498354</v>
      </c>
      <c r="L368" s="5">
        <v>0.146338928021937</v>
      </c>
      <c r="M368" s="5">
        <v>0.207962839071923</v>
      </c>
      <c r="N368" s="5">
        <v>0.3494084345352</v>
      </c>
      <c r="O368" s="5">
        <v>0.564754942947044</v>
      </c>
      <c r="P368" s="5">
        <v>1.02345978701175</v>
      </c>
      <c r="Q368" s="5">
        <v>1.62218991003026</v>
      </c>
      <c r="R368" s="5">
        <v>2.49398085623807</v>
      </c>
      <c r="S368" s="5">
        <v>5.6011735246423</v>
      </c>
      <c r="T368" s="5">
        <v>12.1358258303532</v>
      </c>
    </row>
    <row r="369" spans="1:20">
      <c r="A369" t="s">
        <v>1035</v>
      </c>
      <c r="N369" s="5">
        <v>0.0970578984819999</v>
      </c>
      <c r="O369" s="5">
        <v>0.414153624827832</v>
      </c>
      <c r="P369" s="5">
        <v>1.03390325422616</v>
      </c>
      <c r="Q369" s="5">
        <v>2.1564826184926</v>
      </c>
      <c r="R369" s="5">
        <v>3.5214307160263</v>
      </c>
      <c r="S369" s="5">
        <v>4.48380387011008</v>
      </c>
      <c r="T369" s="5">
        <v>11.706831982165</v>
      </c>
    </row>
    <row r="370" spans="1:20">
      <c r="A370" t="s">
        <v>1036</v>
      </c>
      <c r="L370" s="5">
        <v>0.0706463790450729</v>
      </c>
      <c r="M370" s="5">
        <v>0.241817254734794</v>
      </c>
      <c r="N370" s="5">
        <v>0.4561721228654</v>
      </c>
      <c r="O370" s="5">
        <v>0.84242612322934</v>
      </c>
      <c r="P370" s="5">
        <v>1.26365953294308</v>
      </c>
      <c r="Q370" s="5">
        <v>2.1886689262313</v>
      </c>
      <c r="R370" s="5">
        <v>2.42372787437221</v>
      </c>
      <c r="S370" s="5">
        <v>4.19729883048643</v>
      </c>
      <c r="T370" s="5">
        <v>11.6844170439076</v>
      </c>
    </row>
    <row r="371" spans="1:20">
      <c r="A371" t="s">
        <v>1037</v>
      </c>
      <c r="M371" s="5">
        <v>0.0773815215151341</v>
      </c>
      <c r="N371" s="5">
        <v>0.2766150106737</v>
      </c>
      <c r="O371" s="5">
        <v>0.83301354084689</v>
      </c>
      <c r="P371" s="5">
        <v>1.43075500837357</v>
      </c>
      <c r="Q371" s="5">
        <v>1.93761572586947</v>
      </c>
      <c r="R371" s="5">
        <v>3.04722308843173</v>
      </c>
      <c r="S371" s="5">
        <v>3.83916753095687</v>
      </c>
      <c r="T371" s="5">
        <v>11.4417714266674</v>
      </c>
    </row>
    <row r="372" spans="1:20">
      <c r="A372" t="s">
        <v>1038</v>
      </c>
      <c r="M372" s="5">
        <v>0.120908627367397</v>
      </c>
      <c r="N372" s="5">
        <v>0.242644746205</v>
      </c>
      <c r="O372" s="5">
        <v>0.757712881787284</v>
      </c>
      <c r="P372" s="5">
        <v>1.17489006162063</v>
      </c>
      <c r="Q372" s="5">
        <v>1.91830394122626</v>
      </c>
      <c r="R372" s="5">
        <v>2.5554522153707</v>
      </c>
      <c r="S372" s="5">
        <v>4.24027458642998</v>
      </c>
      <c r="T372" s="5">
        <v>11.0101870600073</v>
      </c>
    </row>
    <row r="373" spans="1:20">
      <c r="A373" t="s">
        <v>1039</v>
      </c>
      <c r="B373" s="5">
        <v>10.9903542511841</v>
      </c>
      <c r="T373" s="5">
        <v>10.9903542511841</v>
      </c>
    </row>
    <row r="374" spans="1:20">
      <c r="A374" t="s">
        <v>1040</v>
      </c>
      <c r="B374" s="5">
        <v>10.9629468839742</v>
      </c>
      <c r="T374" s="5">
        <v>10.9629468839742</v>
      </c>
    </row>
    <row r="375" spans="1:20">
      <c r="A375" t="s">
        <v>1041</v>
      </c>
      <c r="K375" s="5">
        <v>0.0685430744557372</v>
      </c>
      <c r="L375" s="5">
        <v>0.0908310587722366</v>
      </c>
      <c r="M375" s="5">
        <v>0.22247187435601</v>
      </c>
      <c r="N375" s="5">
        <v>0.3542613294593</v>
      </c>
      <c r="O375" s="5">
        <v>0.861251287994242</v>
      </c>
      <c r="P375" s="5">
        <v>1.27932473376469</v>
      </c>
      <c r="Q375" s="5">
        <v>1.69943704860313</v>
      </c>
      <c r="R375" s="5">
        <v>2.39738300617251</v>
      </c>
      <c r="S375" s="5">
        <v>3.85349278293805</v>
      </c>
      <c r="T375" s="5">
        <v>10.8269961965159</v>
      </c>
    </row>
    <row r="376" spans="1:20">
      <c r="A376" t="s">
        <v>1042</v>
      </c>
      <c r="M376" s="5">
        <v>0.0918905567992217</v>
      </c>
      <c r="N376" s="5">
        <v>0.1698513223435</v>
      </c>
      <c r="O376" s="5">
        <v>0.367090712915578</v>
      </c>
      <c r="P376" s="5">
        <v>0.569168963185107</v>
      </c>
      <c r="Q376" s="5">
        <v>1.17158160168852</v>
      </c>
      <c r="R376" s="5">
        <v>2.44129111983868</v>
      </c>
      <c r="S376" s="5">
        <v>6.00228058011541</v>
      </c>
      <c r="T376" s="5">
        <v>10.813154856886</v>
      </c>
    </row>
    <row r="377" spans="1:20">
      <c r="A377" t="s">
        <v>1043</v>
      </c>
      <c r="B377" s="5"/>
      <c r="J377" s="5">
        <v>0.0577607216784519</v>
      </c>
      <c r="K377" s="5">
        <v>0.10509938083213</v>
      </c>
      <c r="L377" s="5">
        <v>0.156431267885519</v>
      </c>
      <c r="M377" s="5">
        <v>0.270835325302969</v>
      </c>
      <c r="N377" s="5">
        <v>0.3930844888521</v>
      </c>
      <c r="O377" s="5">
        <v>0.71064996987503</v>
      </c>
      <c r="P377" s="5">
        <v>1.14355965997742</v>
      </c>
      <c r="Q377" s="5">
        <v>1.7444978794373</v>
      </c>
      <c r="R377" s="5">
        <v>2.43250949710545</v>
      </c>
      <c r="S377" s="5">
        <v>3.68158975916386</v>
      </c>
      <c r="T377" s="5">
        <v>10.6960179501102</v>
      </c>
    </row>
    <row r="378" spans="1:20">
      <c r="A378" t="s">
        <v>1044</v>
      </c>
      <c r="K378" s="5">
        <v>0.0502649212675406</v>
      </c>
      <c r="L378" s="5">
        <v>0.0958772287040275</v>
      </c>
      <c r="M378" s="5">
        <v>0.135417662651485</v>
      </c>
      <c r="N378" s="5">
        <v>0.3445555396111</v>
      </c>
      <c r="O378" s="5">
        <v>0.607111563668072</v>
      </c>
      <c r="P378" s="5">
        <v>0.919025114867696</v>
      </c>
      <c r="Q378" s="5">
        <v>1.55138003300513</v>
      </c>
      <c r="R378" s="5">
        <v>2.74864791550182</v>
      </c>
      <c r="S378" s="5">
        <v>4.16864832652406</v>
      </c>
      <c r="T378" s="5">
        <v>10.6209283058009</v>
      </c>
    </row>
    <row r="379" spans="1:20">
      <c r="A379" t="s">
        <v>1045</v>
      </c>
      <c r="K379" s="5">
        <v>0.095960304238032</v>
      </c>
      <c r="L379" s="5">
        <v>0.201846797271637</v>
      </c>
      <c r="M379" s="5">
        <v>0.41108933304915</v>
      </c>
      <c r="N379" s="5">
        <v>0.936608720351299</v>
      </c>
      <c r="O379" s="5">
        <v>1.45424397808864</v>
      </c>
      <c r="P379" s="5">
        <v>1.50908101248161</v>
      </c>
      <c r="Q379" s="5">
        <v>1.98267655670365</v>
      </c>
      <c r="R379" s="5">
        <v>1.94952024677765</v>
      </c>
      <c r="S379" s="5">
        <v>2.07716153727144</v>
      </c>
      <c r="T379" s="5">
        <v>10.6181884862331</v>
      </c>
    </row>
    <row r="380" spans="1:20">
      <c r="A380" t="s">
        <v>1046</v>
      </c>
      <c r="B380" s="5">
        <v>0.274073672099355</v>
      </c>
      <c r="J380" s="5">
        <v>0.0710901189888639</v>
      </c>
      <c r="K380" s="5">
        <v>0.109668919129179</v>
      </c>
      <c r="L380" s="5">
        <v>0.242216156725964</v>
      </c>
      <c r="M380" s="5">
        <v>0.343380501723407</v>
      </c>
      <c r="N380" s="5">
        <v>0.582347390892</v>
      </c>
      <c r="O380" s="5">
        <v>0.828307249655664</v>
      </c>
      <c r="P380" s="5">
        <v>1.02345978701175</v>
      </c>
      <c r="Q380" s="5">
        <v>1.40976027895487</v>
      </c>
      <c r="R380" s="5">
        <v>2.27444028790726</v>
      </c>
      <c r="S380" s="5">
        <v>2.99397766406711</v>
      </c>
      <c r="T380" s="5">
        <v>10.1527220271554</v>
      </c>
    </row>
    <row r="381" spans="1:20">
      <c r="A381" t="s">
        <v>1047</v>
      </c>
      <c r="B381" s="5"/>
      <c r="K381" s="5">
        <v>0.0456953829704914</v>
      </c>
      <c r="M381" s="5">
        <v>0.0628724862310464</v>
      </c>
      <c r="N381" s="5">
        <v>0.1504397426471</v>
      </c>
      <c r="O381" s="5">
        <v>0.305908927429649</v>
      </c>
      <c r="P381" s="5">
        <v>0.469956024648254</v>
      </c>
      <c r="Q381" s="5">
        <v>0.991338278351824</v>
      </c>
      <c r="R381" s="5">
        <v>2.01977322864351</v>
      </c>
      <c r="S381" s="5">
        <v>5.42927050086811</v>
      </c>
      <c r="T381" s="5">
        <v>9.47525457178999</v>
      </c>
    </row>
    <row r="382" spans="1:20">
      <c r="A382" t="s">
        <v>1048</v>
      </c>
      <c r="B382" s="5"/>
      <c r="C382" s="5"/>
      <c r="D382" s="5"/>
      <c r="K382" s="5">
        <v>0.100529842535081</v>
      </c>
      <c r="L382" s="5">
        <v>0.151385097953728</v>
      </c>
      <c r="M382" s="5">
        <v>0.241817254734794</v>
      </c>
      <c r="N382" s="5">
        <v>0.3494084345352</v>
      </c>
      <c r="O382" s="5">
        <v>0.531810904608466</v>
      </c>
      <c r="P382" s="5">
        <v>0.845920844366857</v>
      </c>
      <c r="Q382" s="5">
        <v>1.19733064787948</v>
      </c>
      <c r="R382" s="5">
        <v>2.06368134230967</v>
      </c>
      <c r="S382" s="5">
        <v>3.91079379086278</v>
      </c>
      <c r="T382" s="5">
        <v>9.39267815978606</v>
      </c>
    </row>
    <row r="383" spans="1:20">
      <c r="A383" t="s">
        <v>1049</v>
      </c>
      <c r="L383" s="5">
        <v>0.0807387189086547</v>
      </c>
      <c r="M383" s="5">
        <v>0.130581317556789</v>
      </c>
      <c r="N383" s="5">
        <v>0.2377918512809</v>
      </c>
      <c r="O383" s="5">
        <v>0.555342360564593</v>
      </c>
      <c r="P383" s="5">
        <v>0.647494967293149</v>
      </c>
      <c r="Q383" s="5">
        <v>1.3003268326433</v>
      </c>
      <c r="R383" s="5">
        <v>2.30078515610696</v>
      </c>
      <c r="S383" s="5">
        <v>4.11134731859933</v>
      </c>
      <c r="T383" s="5">
        <v>9.36440852295368</v>
      </c>
    </row>
    <row r="384" spans="1:20">
      <c r="A384" t="s">
        <v>1050</v>
      </c>
      <c r="B384" s="5">
        <v>9.31850485137807</v>
      </c>
      <c r="T384" s="5">
        <v>9.31850485137807</v>
      </c>
    </row>
    <row r="385" spans="1:20">
      <c r="A385" t="s">
        <v>1051</v>
      </c>
      <c r="B385" s="5">
        <v>0.328888406519226</v>
      </c>
      <c r="J385" s="5">
        <v>0.0755332514256679</v>
      </c>
      <c r="K385" s="5">
        <v>0.164503378693769</v>
      </c>
      <c r="L385" s="5">
        <v>0.252308496589546</v>
      </c>
      <c r="M385" s="5">
        <v>0.391743952670366</v>
      </c>
      <c r="N385" s="5">
        <v>0.5047010721064</v>
      </c>
      <c r="O385" s="5">
        <v>0.597698981285621</v>
      </c>
      <c r="P385" s="5">
        <v>0.851142577974059</v>
      </c>
      <c r="Q385" s="5">
        <v>1.17801886323626</v>
      </c>
      <c r="R385" s="5">
        <v>1.72997967844683</v>
      </c>
      <c r="S385" s="5">
        <v>3.06560392397302</v>
      </c>
      <c r="T385" s="5">
        <v>9.14012258292077</v>
      </c>
    </row>
    <row r="386" spans="1:20">
      <c r="A386" t="s">
        <v>1052</v>
      </c>
      <c r="B386" s="5"/>
      <c r="C386" s="5"/>
      <c r="K386" s="5">
        <v>0.063973536158688</v>
      </c>
      <c r="L386" s="5">
        <v>0.121108078362982</v>
      </c>
      <c r="M386" s="5">
        <v>0.22247187435601</v>
      </c>
      <c r="N386" s="5">
        <v>0.4949952822582</v>
      </c>
      <c r="O386" s="5">
        <v>0.828307249655664</v>
      </c>
      <c r="P386" s="5">
        <v>1.05479018865497</v>
      </c>
      <c r="Q386" s="5">
        <v>1.67368800241217</v>
      </c>
      <c r="R386" s="5">
        <v>1.92317537857795</v>
      </c>
      <c r="S386" s="5">
        <v>2.72179787642465</v>
      </c>
      <c r="T386" s="5">
        <v>9.10430746686128</v>
      </c>
    </row>
    <row r="387" spans="1:20">
      <c r="A387" t="s">
        <v>1053</v>
      </c>
      <c r="B387" s="5">
        <v>0.411110508149033</v>
      </c>
      <c r="C387" s="5"/>
      <c r="D387" s="5"/>
      <c r="K387" s="5">
        <v>0.0822516893468846</v>
      </c>
      <c r="L387" s="5">
        <v>0.176615947612682</v>
      </c>
      <c r="M387" s="5">
        <v>0.217635529261315</v>
      </c>
      <c r="N387" s="5">
        <v>0.3202910649906</v>
      </c>
      <c r="O387" s="5">
        <v>0.6494681843891</v>
      </c>
      <c r="P387" s="5">
        <v>0.877251246010073</v>
      </c>
      <c r="Q387" s="5">
        <v>1.35826218657295</v>
      </c>
      <c r="R387" s="5">
        <v>1.98464673771058</v>
      </c>
      <c r="S387" s="5">
        <v>2.86505039623647</v>
      </c>
      <c r="T387" s="5">
        <v>8.94258349027969</v>
      </c>
    </row>
    <row r="388" spans="1:20">
      <c r="A388" t="s">
        <v>1054</v>
      </c>
      <c r="L388" s="5">
        <v>0.0504616993179092</v>
      </c>
      <c r="M388" s="5">
        <v>0.0918905567992217</v>
      </c>
      <c r="N388" s="5">
        <v>0.2620563259014</v>
      </c>
      <c r="O388" s="5">
        <v>0.677705931536453</v>
      </c>
      <c r="P388" s="5">
        <v>1.02868152061896</v>
      </c>
      <c r="Q388" s="5">
        <v>1.60931538693478</v>
      </c>
      <c r="R388" s="5">
        <v>2.22175055150786</v>
      </c>
      <c r="S388" s="5">
        <v>2.96532716010475</v>
      </c>
      <c r="T388" s="5">
        <v>8.90718913272134</v>
      </c>
    </row>
    <row r="389" spans="1:20">
      <c r="A389" t="s">
        <v>1055</v>
      </c>
      <c r="L389" s="5">
        <v>0.0555078692497001</v>
      </c>
      <c r="M389" s="5">
        <v>0.145090352840876</v>
      </c>
      <c r="N389" s="5">
        <v>0.2232331665086</v>
      </c>
      <c r="O389" s="5">
        <v>0.287083762664747</v>
      </c>
      <c r="P389" s="5">
        <v>0.704934036972381</v>
      </c>
      <c r="Q389" s="5">
        <v>1.07502267847243</v>
      </c>
      <c r="R389" s="5">
        <v>2.29200353337372</v>
      </c>
      <c r="S389" s="5">
        <v>4.09702206661815</v>
      </c>
      <c r="T389" s="5">
        <v>8.87989746670061</v>
      </c>
    </row>
    <row r="390" spans="1:20">
      <c r="A390" t="s">
        <v>1056</v>
      </c>
      <c r="L390" s="5">
        <v>0.0605540391814911</v>
      </c>
      <c r="M390" s="5">
        <v>0.0870542117045258</v>
      </c>
      <c r="N390" s="5">
        <v>0.194115796964</v>
      </c>
      <c r="O390" s="5">
        <v>0.221195685987592</v>
      </c>
      <c r="P390" s="5">
        <v>0.355077885289792</v>
      </c>
      <c r="Q390" s="5">
        <v>0.695224247155825</v>
      </c>
      <c r="R390" s="5">
        <v>1.82657752851239</v>
      </c>
      <c r="S390" s="5">
        <v>5.20006646916919</v>
      </c>
      <c r="T390" s="5">
        <v>8.63986586396481</v>
      </c>
    </row>
    <row r="391" spans="1:20">
      <c r="A391" t="s">
        <v>1057</v>
      </c>
      <c r="M391" s="5">
        <v>0.0773815215151341</v>
      </c>
      <c r="N391" s="5">
        <v>0.1310281629507</v>
      </c>
      <c r="O391" s="5">
        <v>0.362384421724353</v>
      </c>
      <c r="P391" s="5">
        <v>0.652716700900352</v>
      </c>
      <c r="Q391" s="5">
        <v>1.17801886323626</v>
      </c>
      <c r="R391" s="5">
        <v>2.24809541970756</v>
      </c>
      <c r="S391" s="5">
        <v>3.92511904284396</v>
      </c>
      <c r="T391" s="5">
        <v>8.57474413287832</v>
      </c>
    </row>
    <row r="392" spans="1:20">
      <c r="A392" t="s">
        <v>1058</v>
      </c>
      <c r="M392" s="5">
        <v>0.106399592083309</v>
      </c>
      <c r="N392" s="5">
        <v>0.2135273766604</v>
      </c>
      <c r="O392" s="5">
        <v>0.400034751254156</v>
      </c>
      <c r="P392" s="5">
        <v>0.668381901721961</v>
      </c>
      <c r="Q392" s="5">
        <v>1.31963861728652</v>
      </c>
      <c r="R392" s="5">
        <v>2.36225651523958</v>
      </c>
      <c r="S392" s="5">
        <v>3.38075946755903</v>
      </c>
      <c r="T392" s="5">
        <v>8.45099822180496</v>
      </c>
    </row>
    <row r="393" spans="1:20">
      <c r="A393" t="s">
        <v>1059</v>
      </c>
      <c r="K393" s="5">
        <v>0.0685430744557372</v>
      </c>
      <c r="L393" s="5">
        <v>0.121108078362982</v>
      </c>
      <c r="M393" s="5">
        <v>0.207962839071923</v>
      </c>
      <c r="N393" s="5">
        <v>0.3639671193075</v>
      </c>
      <c r="O393" s="5">
        <v>0.475335410313762</v>
      </c>
      <c r="P393" s="5">
        <v>0.804146975509234</v>
      </c>
      <c r="Q393" s="5">
        <v>1.28101504800008</v>
      </c>
      <c r="R393" s="5">
        <v>2.01099160591028</v>
      </c>
      <c r="S393" s="5">
        <v>3.09425442793539</v>
      </c>
      <c r="T393" s="5">
        <v>8.42732457886689</v>
      </c>
    </row>
    <row r="394" spans="1:20">
      <c r="A394" t="s">
        <v>1060</v>
      </c>
      <c r="B394" s="5">
        <v>8.35924699903033</v>
      </c>
      <c r="T394" s="5">
        <v>8.35924699903033</v>
      </c>
    </row>
    <row r="395" spans="1:20">
      <c r="A395" t="s">
        <v>1061</v>
      </c>
      <c r="B395" s="5">
        <v>8.33183963182039</v>
      </c>
      <c r="C395" s="5"/>
      <c r="T395" s="5">
        <v>8.33183963182039</v>
      </c>
    </row>
    <row r="396" spans="1:20">
      <c r="A396" t="s">
        <v>1062</v>
      </c>
      <c r="B396" s="5"/>
      <c r="C396" s="5"/>
      <c r="L396" s="5">
        <v>0.0807387189086547</v>
      </c>
      <c r="M396" s="5">
        <v>0.125744972462093</v>
      </c>
      <c r="N396" s="5">
        <v>0.2620563259014</v>
      </c>
      <c r="O396" s="5">
        <v>0.480041701504987</v>
      </c>
      <c r="P396" s="5">
        <v>0.757151373044409</v>
      </c>
      <c r="Q396" s="5">
        <v>1.07502267847243</v>
      </c>
      <c r="R396" s="5">
        <v>2.01977322864351</v>
      </c>
      <c r="S396" s="5">
        <v>3.50968673538968</v>
      </c>
      <c r="T396" s="5">
        <v>8.31021573432716</v>
      </c>
    </row>
    <row r="397" spans="1:20">
      <c r="A397" t="s">
        <v>1063</v>
      </c>
      <c r="L397" s="5">
        <v>0.100923398635818</v>
      </c>
      <c r="M397" s="5">
        <v>0.261162635113577</v>
      </c>
      <c r="N397" s="5">
        <v>0.596906075664299</v>
      </c>
      <c r="O397" s="5">
        <v>0.941258238245073</v>
      </c>
      <c r="P397" s="5">
        <v>1.19055526244224</v>
      </c>
      <c r="Q397" s="5">
        <v>1.52563098681417</v>
      </c>
      <c r="R397" s="5">
        <v>1.87048564217856</v>
      </c>
      <c r="S397" s="5">
        <v>1.77633124566661</v>
      </c>
      <c r="T397" s="5">
        <v>8.26325348476035</v>
      </c>
    </row>
    <row r="398" spans="1:20">
      <c r="A398" t="s">
        <v>1064</v>
      </c>
      <c r="B398" s="5">
        <v>8.24961753019059</v>
      </c>
      <c r="T398" s="5">
        <v>8.24961753019059</v>
      </c>
    </row>
    <row r="399" spans="1:20">
      <c r="A399" t="s">
        <v>1065</v>
      </c>
      <c r="J399" s="5">
        <v>0.0622038541152559</v>
      </c>
      <c r="K399" s="5">
        <v>0.0822516893468846</v>
      </c>
      <c r="L399" s="5">
        <v>0.161477437817309</v>
      </c>
      <c r="M399" s="5">
        <v>0.343380501723407</v>
      </c>
      <c r="N399" s="5">
        <v>0.4804365974859</v>
      </c>
      <c r="O399" s="5">
        <v>0.795363211317087</v>
      </c>
      <c r="P399" s="5">
        <v>1.03912498783336</v>
      </c>
      <c r="Q399" s="5">
        <v>1.40332301740713</v>
      </c>
      <c r="R399" s="5">
        <v>1.773887792113</v>
      </c>
      <c r="S399" s="5">
        <v>1.81930700161016</v>
      </c>
      <c r="T399" s="5">
        <v>7.96075609076949</v>
      </c>
    </row>
    <row r="400" spans="1:20">
      <c r="A400" t="s">
        <v>1066</v>
      </c>
      <c r="K400" s="5">
        <v>0.063973536158688</v>
      </c>
      <c r="L400" s="5">
        <v>0.146338928021937</v>
      </c>
      <c r="M400" s="5">
        <v>0.270835325302969</v>
      </c>
      <c r="N400" s="5">
        <v>0.4901423873341</v>
      </c>
      <c r="O400" s="5">
        <v>0.677705931536453</v>
      </c>
      <c r="P400" s="5">
        <v>0.90858164765329</v>
      </c>
      <c r="Q400" s="5">
        <v>1.16514434014078</v>
      </c>
      <c r="R400" s="5">
        <v>1.65972669658097</v>
      </c>
      <c r="S400" s="5">
        <v>2.53556960066928</v>
      </c>
      <c r="T400" s="5">
        <v>7.91801839339847</v>
      </c>
    </row>
    <row r="401" spans="1:20">
      <c r="A401" t="s">
        <v>1067</v>
      </c>
      <c r="B401" s="5">
        <v>7.89332175646143</v>
      </c>
      <c r="T401" s="5">
        <v>7.89332175646143</v>
      </c>
    </row>
    <row r="402" spans="1:20">
      <c r="A402" t="s">
        <v>1068</v>
      </c>
      <c r="L402" s="5">
        <v>0.0504616993179092</v>
      </c>
      <c r="M402" s="5">
        <v>0.125744972462093</v>
      </c>
      <c r="N402" s="5">
        <v>0.145586847723</v>
      </c>
      <c r="O402" s="5">
        <v>0.26355230670862</v>
      </c>
      <c r="P402" s="5">
        <v>0.449069090219442</v>
      </c>
      <c r="Q402" s="5">
        <v>0.881904832040259</v>
      </c>
      <c r="R402" s="5">
        <v>1.83535915124563</v>
      </c>
      <c r="S402" s="5">
        <v>4.12567257058052</v>
      </c>
      <c r="T402" s="5">
        <v>7.87735147029747</v>
      </c>
    </row>
    <row r="403" spans="1:20">
      <c r="A403" t="s">
        <v>1069</v>
      </c>
      <c r="K403" s="5">
        <v>0.118807995723278</v>
      </c>
      <c r="L403" s="5">
        <v>0.116061908431191</v>
      </c>
      <c r="M403" s="5">
        <v>0.261162635113577</v>
      </c>
      <c r="N403" s="5">
        <v>0.4416134380931</v>
      </c>
      <c r="O403" s="5">
        <v>0.625936728432974</v>
      </c>
      <c r="P403" s="5">
        <v>0.845920844366857</v>
      </c>
      <c r="Q403" s="5">
        <v>1.28745230954782</v>
      </c>
      <c r="R403" s="5">
        <v>1.73876130118007</v>
      </c>
      <c r="S403" s="5">
        <v>2.37799182887627</v>
      </c>
      <c r="T403" s="5">
        <v>7.81370898976514</v>
      </c>
    </row>
    <row r="404" spans="1:20">
      <c r="A404" t="s">
        <v>1070</v>
      </c>
      <c r="B404" s="5">
        <v>7.78369228762168</v>
      </c>
      <c r="C404" s="5"/>
      <c r="T404" s="5">
        <v>7.78369228762168</v>
      </c>
    </row>
    <row r="405" spans="1:20">
      <c r="A405" t="s">
        <v>1071</v>
      </c>
      <c r="J405" s="5">
        <v>0.0577607216784519</v>
      </c>
      <c r="K405" s="5">
        <v>0.0731126127527863</v>
      </c>
      <c r="L405" s="5">
        <v>0.1110157384994</v>
      </c>
      <c r="M405" s="5">
        <v>0.145090352840876</v>
      </c>
      <c r="N405" s="5">
        <v>0.3299968548388</v>
      </c>
      <c r="O405" s="5">
        <v>0.564754942947044</v>
      </c>
      <c r="P405" s="5">
        <v>0.699712303365178</v>
      </c>
      <c r="Q405" s="5">
        <v>0.984901016804085</v>
      </c>
      <c r="R405" s="5">
        <v>1.72997967844683</v>
      </c>
      <c r="S405" s="5">
        <v>3.02262816802948</v>
      </c>
      <c r="T405" s="5">
        <v>7.71895239020293</v>
      </c>
    </row>
    <row r="406" spans="1:20">
      <c r="A406" t="s">
        <v>1072</v>
      </c>
      <c r="J406" s="5">
        <v>0.0622038541152559</v>
      </c>
      <c r="K406" s="5">
        <v>0.118807995723278</v>
      </c>
      <c r="L406" s="5">
        <v>0.191754457408055</v>
      </c>
      <c r="M406" s="5">
        <v>0.367562227196887</v>
      </c>
      <c r="N406" s="5">
        <v>0.4755837025618</v>
      </c>
      <c r="O406" s="5">
        <v>0.607111563668072</v>
      </c>
      <c r="P406" s="5">
        <v>1.02345978701175</v>
      </c>
      <c r="Q406" s="5">
        <v>1.1522698170453</v>
      </c>
      <c r="R406" s="5">
        <v>1.29968016451843</v>
      </c>
      <c r="S406" s="5">
        <v>2.40664233283863</v>
      </c>
      <c r="T406" s="5">
        <v>7.70507590208746</v>
      </c>
    </row>
    <row r="407" spans="1:20">
      <c r="A407" t="s">
        <v>1073</v>
      </c>
      <c r="K407" s="5">
        <v>0.0594039978616389</v>
      </c>
      <c r="L407" s="5">
        <v>0.121108078362982</v>
      </c>
      <c r="M407" s="5">
        <v>0.178944768503748</v>
      </c>
      <c r="N407" s="5">
        <v>0.2135273766604</v>
      </c>
      <c r="O407" s="5">
        <v>0.418859916019057</v>
      </c>
      <c r="P407" s="5">
        <v>0.553503762363499</v>
      </c>
      <c r="Q407" s="5">
        <v>1.01708732454278</v>
      </c>
      <c r="R407" s="5">
        <v>1.68607156478067</v>
      </c>
      <c r="S407" s="5">
        <v>3.19453119180366</v>
      </c>
      <c r="T407" s="5">
        <v>7.44303798089844</v>
      </c>
    </row>
    <row r="408" spans="1:20">
      <c r="A408" t="s">
        <v>1074</v>
      </c>
      <c r="B408" s="5">
        <v>7.42739651389252</v>
      </c>
      <c r="T408" s="5">
        <v>7.42739651389252</v>
      </c>
    </row>
    <row r="409" spans="1:20">
      <c r="A409" t="s">
        <v>1075</v>
      </c>
      <c r="B409" s="5">
        <v>7.39998914668259</v>
      </c>
      <c r="T409" s="5">
        <v>7.39998914668259</v>
      </c>
    </row>
    <row r="410" spans="1:20">
      <c r="A410" t="s">
        <v>1076</v>
      </c>
      <c r="J410" s="5">
        <v>0.0622038541152559</v>
      </c>
      <c r="K410" s="5">
        <v>0.0685430744557372</v>
      </c>
      <c r="L410" s="5">
        <v>0.126154248294773</v>
      </c>
      <c r="M410" s="5">
        <v>0.178944768503748</v>
      </c>
      <c r="N410" s="5">
        <v>0.3639671193075</v>
      </c>
      <c r="O410" s="5">
        <v>0.57887381652072</v>
      </c>
      <c r="P410" s="5">
        <v>0.767594840258814</v>
      </c>
      <c r="Q410" s="5">
        <v>1.10720898621113</v>
      </c>
      <c r="R410" s="5">
        <v>1.70363481024714</v>
      </c>
      <c r="S410" s="5">
        <v>2.39231708085745</v>
      </c>
      <c r="T410" s="5">
        <v>7.34944259877227</v>
      </c>
    </row>
    <row r="411" spans="1:20">
      <c r="A411" t="s">
        <v>1077</v>
      </c>
      <c r="B411" s="5"/>
      <c r="C411" s="5"/>
      <c r="K411" s="5">
        <v>0.0456953829704914</v>
      </c>
      <c r="L411" s="5">
        <v>0.100923398635818</v>
      </c>
      <c r="M411" s="5">
        <v>0.116072282272701</v>
      </c>
      <c r="N411" s="5">
        <v>0.2523505360532</v>
      </c>
      <c r="O411" s="5">
        <v>0.45651024554886</v>
      </c>
      <c r="P411" s="5">
        <v>0.637051500078744</v>
      </c>
      <c r="Q411" s="5">
        <v>1.13295803240208</v>
      </c>
      <c r="R411" s="5">
        <v>1.85292239671209</v>
      </c>
      <c r="S411" s="5">
        <v>2.75044838038701</v>
      </c>
      <c r="T411" s="5">
        <v>7.344932155061</v>
      </c>
    </row>
    <row r="412" spans="1:20">
      <c r="A412" t="s">
        <v>1078</v>
      </c>
      <c r="L412" s="5">
        <v>0.105969568567609</v>
      </c>
      <c r="M412" s="5">
        <v>0.154763043030268</v>
      </c>
      <c r="N412" s="5">
        <v>0.2960265903701</v>
      </c>
      <c r="O412" s="5">
        <v>0.569461234138269</v>
      </c>
      <c r="P412" s="5">
        <v>0.626608032864338</v>
      </c>
      <c r="Q412" s="5">
        <v>0.901216616683477</v>
      </c>
      <c r="R412" s="5">
        <v>1.72997967844683</v>
      </c>
      <c r="S412" s="5">
        <v>2.9223514041612</v>
      </c>
      <c r="T412" s="5">
        <v>7.30637616826209</v>
      </c>
    </row>
    <row r="413" spans="1:20">
      <c r="A413" t="s">
        <v>1079</v>
      </c>
      <c r="M413" s="5">
        <v>0.0677088313257423</v>
      </c>
      <c r="N413" s="5">
        <v>0.1164694781784</v>
      </c>
      <c r="O413" s="5">
        <v>0.26355230670862</v>
      </c>
      <c r="P413" s="5">
        <v>0.558725495970701</v>
      </c>
      <c r="Q413" s="5">
        <v>1.0042128014473</v>
      </c>
      <c r="R413" s="5">
        <v>1.7475429239133</v>
      </c>
      <c r="S413" s="5">
        <v>3.42373522350258</v>
      </c>
      <c r="T413" s="5">
        <v>7.18194706104664</v>
      </c>
    </row>
    <row r="414" spans="1:20">
      <c r="A414" t="s">
        <v>1080</v>
      </c>
      <c r="K414" s="5">
        <v>0.0456953829704914</v>
      </c>
      <c r="L414" s="5">
        <v>0.1110157384994</v>
      </c>
      <c r="M414" s="5">
        <v>0.198290148882531</v>
      </c>
      <c r="N414" s="5">
        <v>0.4270547533208</v>
      </c>
      <c r="O414" s="5">
        <v>0.602405272476847</v>
      </c>
      <c r="P414" s="5">
        <v>0.830255643545248</v>
      </c>
      <c r="Q414" s="5">
        <v>1.08145994002017</v>
      </c>
      <c r="R414" s="5">
        <v>1.52800235558248</v>
      </c>
      <c r="S414" s="5">
        <v>2.33501607293272</v>
      </c>
      <c r="T414" s="5">
        <v>7.15919530823069</v>
      </c>
    </row>
    <row r="415" spans="1:20">
      <c r="A415" t="s">
        <v>1081</v>
      </c>
      <c r="K415" s="5">
        <v>0.0456953829704914</v>
      </c>
      <c r="L415" s="5">
        <v>0.116061908431191</v>
      </c>
      <c r="M415" s="5">
        <v>0.299853395871145</v>
      </c>
      <c r="N415" s="5">
        <v>0.5241126518028</v>
      </c>
      <c r="O415" s="5">
        <v>0.960083403009974</v>
      </c>
      <c r="P415" s="5">
        <v>1.06001192226217</v>
      </c>
      <c r="Q415" s="5">
        <v>1.34538766347748</v>
      </c>
      <c r="R415" s="5">
        <v>1.36115152365106</v>
      </c>
      <c r="S415" s="5">
        <v>1.43252519811823</v>
      </c>
      <c r="T415" s="5">
        <v>7.14488304959454</v>
      </c>
    </row>
    <row r="416" spans="1:20">
      <c r="A416" t="s">
        <v>1082</v>
      </c>
      <c r="M416" s="5">
        <v>0.159599388124964</v>
      </c>
      <c r="N416" s="5">
        <v>0.242644746205</v>
      </c>
      <c r="O416" s="5">
        <v>0.414153624827832</v>
      </c>
      <c r="P416" s="5">
        <v>0.663160168114758</v>
      </c>
      <c r="Q416" s="5">
        <v>1.14583255549756</v>
      </c>
      <c r="R416" s="5">
        <v>1.73876130118007</v>
      </c>
      <c r="S416" s="5">
        <v>2.54989485265046</v>
      </c>
      <c r="T416" s="5">
        <v>6.91404663660065</v>
      </c>
    </row>
    <row r="417" spans="1:20">
      <c r="A417" t="s">
        <v>1083</v>
      </c>
      <c r="L417" s="5">
        <v>0.0857848888404457</v>
      </c>
      <c r="M417" s="5">
        <v>0.178944768503748</v>
      </c>
      <c r="N417" s="5">
        <v>0.2717621157496</v>
      </c>
      <c r="O417" s="5">
        <v>0.461216536740086</v>
      </c>
      <c r="P417" s="5">
        <v>0.699712303365178</v>
      </c>
      <c r="Q417" s="5">
        <v>1.036399109186</v>
      </c>
      <c r="R417" s="5">
        <v>1.65094507384774</v>
      </c>
      <c r="S417" s="5">
        <v>2.44961808878218</v>
      </c>
      <c r="T417" s="5">
        <v>6.83438288501498</v>
      </c>
    </row>
    <row r="418" spans="1:20">
      <c r="A418" t="s">
        <v>1084</v>
      </c>
      <c r="M418" s="5">
        <v>0.101563246988613</v>
      </c>
      <c r="N418" s="5">
        <v>0.2183802715845</v>
      </c>
      <c r="O418" s="5">
        <v>0.38591587768048</v>
      </c>
      <c r="P418" s="5">
        <v>0.569168963185107</v>
      </c>
      <c r="Q418" s="5">
        <v>0.843281262753824</v>
      </c>
      <c r="R418" s="5">
        <v>1.63338182838127</v>
      </c>
      <c r="S418" s="5">
        <v>2.93667665614238</v>
      </c>
      <c r="T418" s="5">
        <v>6.68836810671617</v>
      </c>
    </row>
    <row r="419" spans="1:20">
      <c r="A419" t="s">
        <v>1085</v>
      </c>
      <c r="L419" s="5">
        <v>0.065600209113282</v>
      </c>
      <c r="M419" s="5">
        <v>0.0918905567992217</v>
      </c>
      <c r="N419" s="5">
        <v>0.2572034309773</v>
      </c>
      <c r="O419" s="5">
        <v>0.381209586489255</v>
      </c>
      <c r="P419" s="5">
        <v>0.616164565649933</v>
      </c>
      <c r="Q419" s="5">
        <v>1.07502267847243</v>
      </c>
      <c r="R419" s="5">
        <v>1.45774937371662</v>
      </c>
      <c r="S419" s="5">
        <v>2.73612312840583</v>
      </c>
      <c r="T419" s="5">
        <v>6.68096352962387</v>
      </c>
    </row>
    <row r="420" spans="1:20">
      <c r="A420" t="s">
        <v>1086</v>
      </c>
      <c r="K420" s="5">
        <v>0.0548344595645897</v>
      </c>
      <c r="L420" s="5">
        <v>0.121108078362982</v>
      </c>
      <c r="M420" s="5">
        <v>0.193453803787835</v>
      </c>
      <c r="N420" s="5">
        <v>0.3494084345352</v>
      </c>
      <c r="O420" s="5">
        <v>0.475335410313762</v>
      </c>
      <c r="P420" s="5">
        <v>0.668381901721961</v>
      </c>
      <c r="Q420" s="5">
        <v>1.01708732454278</v>
      </c>
      <c r="R420" s="5">
        <v>1.51043911011602</v>
      </c>
      <c r="S420" s="5">
        <v>2.22041405708326</v>
      </c>
      <c r="T420" s="5">
        <v>6.61046258002839</v>
      </c>
    </row>
    <row r="421" spans="1:20">
      <c r="A421" t="s">
        <v>1087</v>
      </c>
      <c r="M421" s="5">
        <v>0.0628724862310464</v>
      </c>
      <c r="N421" s="5">
        <v>0.1601455324953</v>
      </c>
      <c r="O421" s="5">
        <v>0.287083762664747</v>
      </c>
      <c r="P421" s="5">
        <v>0.438625623005037</v>
      </c>
      <c r="Q421" s="5">
        <v>0.901216616683477</v>
      </c>
      <c r="R421" s="5">
        <v>1.65094507384774</v>
      </c>
      <c r="S421" s="5">
        <v>3.02262816802948</v>
      </c>
      <c r="T421" s="5">
        <v>6.52351726295683</v>
      </c>
    </row>
    <row r="422" spans="1:20">
      <c r="A422" t="s">
        <v>1088</v>
      </c>
      <c r="J422" s="5">
        <v>0.106635178483296</v>
      </c>
      <c r="K422" s="5">
        <v>0.137086148911474</v>
      </c>
      <c r="L422" s="5">
        <v>0.181662117544473</v>
      </c>
      <c r="M422" s="5">
        <v>0.30468974096584</v>
      </c>
      <c r="N422" s="5">
        <v>0.3785258040798</v>
      </c>
      <c r="O422" s="5">
        <v>0.672999640345227</v>
      </c>
      <c r="P422" s="5">
        <v>0.746707905830003</v>
      </c>
      <c r="Q422" s="5">
        <v>1.06214815537695</v>
      </c>
      <c r="R422" s="5">
        <v>1.28211691905197</v>
      </c>
      <c r="S422" s="5">
        <v>1.64740397783597</v>
      </c>
      <c r="T422" s="5">
        <v>6.519975588425</v>
      </c>
    </row>
    <row r="423" spans="1:20">
      <c r="A423" t="s">
        <v>1089</v>
      </c>
      <c r="B423" s="5"/>
      <c r="C423" s="5"/>
      <c r="J423" s="5">
        <v>0.0533175892416479</v>
      </c>
      <c r="L423" s="5">
        <v>0.0756925489768638</v>
      </c>
      <c r="M423" s="5">
        <v>0.169272078314356</v>
      </c>
      <c r="N423" s="5">
        <v>0.2717621157496</v>
      </c>
      <c r="O423" s="5">
        <v>0.423566207210283</v>
      </c>
      <c r="P423" s="5">
        <v>0.715377504186786</v>
      </c>
      <c r="Q423" s="5">
        <v>1.02996184763826</v>
      </c>
      <c r="R423" s="5">
        <v>1.65094507384774</v>
      </c>
      <c r="S423" s="5">
        <v>2.09148678925262</v>
      </c>
      <c r="T423" s="5">
        <v>6.48138175441816</v>
      </c>
    </row>
    <row r="424" spans="1:20">
      <c r="A424" t="s">
        <v>1090</v>
      </c>
      <c r="L424" s="5">
        <v>0.0504616993179092</v>
      </c>
      <c r="M424" s="5">
        <v>0.149926697935572</v>
      </c>
      <c r="N424" s="5">
        <v>0.194115796964</v>
      </c>
      <c r="O424" s="5">
        <v>0.352971839341902</v>
      </c>
      <c r="P424" s="5">
        <v>0.558725495970701</v>
      </c>
      <c r="Q424" s="5">
        <v>1.036399109186</v>
      </c>
      <c r="R424" s="5">
        <v>1.41384126005046</v>
      </c>
      <c r="S424" s="5">
        <v>2.65017161651873</v>
      </c>
      <c r="T424" s="5">
        <v>6.40661351528527</v>
      </c>
    </row>
    <row r="425" spans="1:20">
      <c r="A425" t="s">
        <v>1091</v>
      </c>
      <c r="J425" s="5">
        <v>0.04443132436804</v>
      </c>
      <c r="K425" s="5">
        <v>0.063973536158688</v>
      </c>
      <c r="L425" s="5">
        <v>0.065600209113282</v>
      </c>
      <c r="M425" s="5">
        <v>0.0725451764204382</v>
      </c>
      <c r="N425" s="5">
        <v>0.145586847723</v>
      </c>
      <c r="O425" s="5">
        <v>0.272964889091071</v>
      </c>
      <c r="P425" s="5">
        <v>0.443847356612239</v>
      </c>
      <c r="Q425" s="5">
        <v>0.778908647276433</v>
      </c>
      <c r="R425" s="5">
        <v>1.63338182838127</v>
      </c>
      <c r="S425" s="5">
        <v>2.75044838038701</v>
      </c>
      <c r="T425" s="5">
        <v>6.27168819553147</v>
      </c>
    </row>
    <row r="426" spans="1:20">
      <c r="A426" t="s">
        <v>1092</v>
      </c>
      <c r="M426" s="5">
        <v>0.0628724862310464</v>
      </c>
      <c r="N426" s="5">
        <v>0.0533818441651</v>
      </c>
      <c r="O426" s="5">
        <v>0.188251647649015</v>
      </c>
      <c r="P426" s="5">
        <v>0.318525750039372</v>
      </c>
      <c r="Q426" s="5">
        <v>0.753159601085477</v>
      </c>
      <c r="R426" s="5">
        <v>1.65094507384774</v>
      </c>
      <c r="S426" s="5">
        <v>3.22318169576603</v>
      </c>
      <c r="T426" s="5">
        <v>6.25031809878378</v>
      </c>
    </row>
    <row r="427" spans="1:20">
      <c r="A427" t="s">
        <v>1093</v>
      </c>
      <c r="J427" s="5">
        <v>0.0533175892416479</v>
      </c>
      <c r="K427" s="5">
        <v>0.095960304238032</v>
      </c>
      <c r="L427" s="5">
        <v>0.151385097953728</v>
      </c>
      <c r="M427" s="5">
        <v>0.183781113598443</v>
      </c>
      <c r="N427" s="5">
        <v>0.3154381700665</v>
      </c>
      <c r="O427" s="5">
        <v>0.503573157461114</v>
      </c>
      <c r="P427" s="5">
        <v>0.553503762363499</v>
      </c>
      <c r="Q427" s="5">
        <v>0.856155785849303</v>
      </c>
      <c r="R427" s="5">
        <v>1.2908985417852</v>
      </c>
      <c r="S427" s="5">
        <v>2.22041405708326</v>
      </c>
      <c r="T427" s="5">
        <v>6.22442757964073</v>
      </c>
    </row>
    <row r="428" spans="1:20">
      <c r="A428" t="s">
        <v>1094</v>
      </c>
      <c r="L428" s="5">
        <v>0.0605540391814911</v>
      </c>
      <c r="M428" s="5">
        <v>0.111235937178005</v>
      </c>
      <c r="N428" s="5">
        <v>0.2135273766604</v>
      </c>
      <c r="O428" s="5">
        <v>0.32473409219455</v>
      </c>
      <c r="P428" s="5">
        <v>0.532616827934687</v>
      </c>
      <c r="Q428" s="5">
        <v>0.772471385728694</v>
      </c>
      <c r="R428" s="5">
        <v>1.40505963731722</v>
      </c>
      <c r="S428" s="5">
        <v>2.75044838038701</v>
      </c>
      <c r="T428" s="5">
        <v>6.17064767658206</v>
      </c>
    </row>
    <row r="429" spans="1:20">
      <c r="A429" t="s">
        <v>1095</v>
      </c>
      <c r="L429" s="5">
        <v>0.0605540391814911</v>
      </c>
      <c r="M429" s="5">
        <v>0.145090352840876</v>
      </c>
      <c r="N429" s="5">
        <v>0.2377918512809</v>
      </c>
      <c r="O429" s="5">
        <v>0.371797004106804</v>
      </c>
      <c r="P429" s="5">
        <v>0.647494967293149</v>
      </c>
      <c r="Q429" s="5">
        <v>1.13295803240208</v>
      </c>
      <c r="R429" s="5">
        <v>1.37871476911753</v>
      </c>
      <c r="S429" s="5">
        <v>2.16311304915853</v>
      </c>
      <c r="T429" s="5">
        <v>6.13751406538136</v>
      </c>
    </row>
    <row r="430" spans="1:20">
      <c r="A430" t="s">
        <v>1096</v>
      </c>
      <c r="B430" s="5">
        <v>6.08443552060568</v>
      </c>
      <c r="T430" s="5">
        <v>6.08443552060568</v>
      </c>
    </row>
    <row r="431" spans="1:20">
      <c r="A431" t="s">
        <v>1097</v>
      </c>
      <c r="K431" s="5">
        <v>0.0822516893468846</v>
      </c>
      <c r="L431" s="5">
        <v>0.131200418226564</v>
      </c>
      <c r="M431" s="5">
        <v>0.198290148882531</v>
      </c>
      <c r="N431" s="5">
        <v>0.3348497497629</v>
      </c>
      <c r="O431" s="5">
        <v>0.451803954357635</v>
      </c>
      <c r="P431" s="5">
        <v>0.527395094327485</v>
      </c>
      <c r="Q431" s="5">
        <v>0.830406739658346</v>
      </c>
      <c r="R431" s="5">
        <v>1.13282933258701</v>
      </c>
      <c r="S431" s="5">
        <v>2.37799182887627</v>
      </c>
      <c r="T431" s="5">
        <v>6.06701895602563</v>
      </c>
    </row>
    <row r="432" spans="1:20">
      <c r="A432" t="s">
        <v>1098</v>
      </c>
      <c r="J432" s="5">
        <v>0.0710901189888639</v>
      </c>
      <c r="K432" s="5">
        <v>0.0731126127527863</v>
      </c>
      <c r="L432" s="5">
        <v>0.156431267885519</v>
      </c>
      <c r="M432" s="5">
        <v>0.203126493977227</v>
      </c>
      <c r="N432" s="5">
        <v>0.3251439599147</v>
      </c>
      <c r="O432" s="5">
        <v>0.428272498401508</v>
      </c>
      <c r="P432" s="5">
        <v>0.642273233685947</v>
      </c>
      <c r="Q432" s="5">
        <v>0.901216616683477</v>
      </c>
      <c r="R432" s="5">
        <v>1.3172434099849</v>
      </c>
      <c r="S432" s="5">
        <v>1.9482342694408</v>
      </c>
      <c r="T432" s="5">
        <v>6.06614448171573</v>
      </c>
    </row>
    <row r="433" spans="1:20">
      <c r="A433" t="s">
        <v>1099</v>
      </c>
      <c r="B433" s="5">
        <v>0.822221016298065</v>
      </c>
      <c r="J433" s="5">
        <v>0.146623370414532</v>
      </c>
      <c r="K433" s="5">
        <v>0.150794763802622</v>
      </c>
      <c r="L433" s="5">
        <v>0.1665236077491</v>
      </c>
      <c r="M433" s="5">
        <v>0.280508015492361</v>
      </c>
      <c r="N433" s="5">
        <v>0.2766150106737</v>
      </c>
      <c r="O433" s="5">
        <v>0.381209586489255</v>
      </c>
      <c r="P433" s="5">
        <v>0.53783856154189</v>
      </c>
      <c r="Q433" s="5">
        <v>0.650163416321651</v>
      </c>
      <c r="R433" s="5">
        <v>1.03623148252145</v>
      </c>
      <c r="S433" s="5">
        <v>1.51847671000533</v>
      </c>
      <c r="T433" s="5">
        <v>5.96720554130996</v>
      </c>
    </row>
    <row r="434" spans="1:20">
      <c r="A434" t="s">
        <v>1100</v>
      </c>
      <c r="J434" s="5">
        <v>0.0622038541152559</v>
      </c>
      <c r="K434" s="5">
        <v>0.10509938083213</v>
      </c>
      <c r="L434" s="5">
        <v>0.141292758090146</v>
      </c>
      <c r="M434" s="5">
        <v>0.193453803787835</v>
      </c>
      <c r="N434" s="5">
        <v>0.3591142243834</v>
      </c>
      <c r="O434" s="5">
        <v>0.465922827931311</v>
      </c>
      <c r="P434" s="5">
        <v>0.684047102543569</v>
      </c>
      <c r="Q434" s="5">
        <v>0.772471385728694</v>
      </c>
      <c r="R434" s="5">
        <v>1.15917420078671</v>
      </c>
      <c r="S434" s="5">
        <v>1.91958376547843</v>
      </c>
      <c r="T434" s="5">
        <v>5.86236330367748</v>
      </c>
    </row>
    <row r="435" spans="1:20">
      <c r="A435" t="s">
        <v>1101</v>
      </c>
      <c r="B435" s="5">
        <v>5.78295448129639</v>
      </c>
      <c r="T435" s="5">
        <v>5.78295448129639</v>
      </c>
    </row>
    <row r="436" spans="1:20">
      <c r="A436" t="s">
        <v>1102</v>
      </c>
      <c r="B436" s="5"/>
      <c r="L436" s="5">
        <v>0.0504616993179092</v>
      </c>
      <c r="M436" s="5">
        <v>0.111235937178005</v>
      </c>
      <c r="N436" s="5">
        <v>0.1795571121917</v>
      </c>
      <c r="O436" s="5">
        <v>0.348265548150677</v>
      </c>
      <c r="P436" s="5">
        <v>0.61094283204273</v>
      </c>
      <c r="Q436" s="5">
        <v>1.04927363228148</v>
      </c>
      <c r="R436" s="5">
        <v>1.24699042811904</v>
      </c>
      <c r="S436" s="5">
        <v>2.14878779717735</v>
      </c>
      <c r="T436" s="5">
        <v>5.74551498645889</v>
      </c>
    </row>
    <row r="437" spans="1:20">
      <c r="A437" t="s">
        <v>1103</v>
      </c>
      <c r="N437" s="5">
        <v>0.0582347390892</v>
      </c>
      <c r="O437" s="5">
        <v>0.169426482884113</v>
      </c>
      <c r="P437" s="5">
        <v>0.318525750039372</v>
      </c>
      <c r="Q437" s="5">
        <v>0.605102585487477</v>
      </c>
      <c r="R437" s="5">
        <v>1.25577205085227</v>
      </c>
      <c r="S437" s="5">
        <v>3.28048270369076</v>
      </c>
      <c r="T437" s="5">
        <v>5.68754431204319</v>
      </c>
    </row>
    <row r="438" spans="1:20">
      <c r="A438" t="s">
        <v>1104</v>
      </c>
      <c r="B438" s="5"/>
      <c r="C438" s="5"/>
      <c r="D438" s="5"/>
      <c r="K438" s="5">
        <v>0.0594039978616389</v>
      </c>
      <c r="L438" s="5">
        <v>0.126154248294773</v>
      </c>
      <c r="M438" s="5">
        <v>0.169272078314356</v>
      </c>
      <c r="N438" s="5">
        <v>0.2474976411291</v>
      </c>
      <c r="O438" s="5">
        <v>0.414153624827832</v>
      </c>
      <c r="P438" s="5">
        <v>0.642273233685947</v>
      </c>
      <c r="Q438" s="5">
        <v>0.972026493708607</v>
      </c>
      <c r="R438" s="5">
        <v>1.24699042811904</v>
      </c>
      <c r="S438" s="5">
        <v>1.79065649764779</v>
      </c>
      <c r="T438" s="5">
        <v>5.66842824358908</v>
      </c>
    </row>
    <row r="439" spans="1:20">
      <c r="A439" t="s">
        <v>1105</v>
      </c>
      <c r="B439" s="5">
        <v>0.657776813038452</v>
      </c>
      <c r="J439" s="5">
        <v>0.04443132436804</v>
      </c>
      <c r="K439" s="5">
        <v>0.0913907659409829</v>
      </c>
      <c r="L439" s="5">
        <v>0.105969568567609</v>
      </c>
      <c r="M439" s="5">
        <v>0.174108423409052</v>
      </c>
      <c r="N439" s="5">
        <v>0.1698513223435</v>
      </c>
      <c r="O439" s="5">
        <v>0.32473409219455</v>
      </c>
      <c r="P439" s="5">
        <v>0.553503762363499</v>
      </c>
      <c r="Q439" s="5">
        <v>0.695224247155825</v>
      </c>
      <c r="R439" s="5">
        <v>1.12404770985378</v>
      </c>
      <c r="S439" s="5">
        <v>1.64740397783597</v>
      </c>
      <c r="T439" s="5">
        <v>5.58844200707126</v>
      </c>
    </row>
    <row r="440" spans="1:20">
      <c r="A440" t="s">
        <v>1106</v>
      </c>
      <c r="B440" s="5">
        <v>5.23480713709768</v>
      </c>
      <c r="C440" s="5">
        <v>0.174936851160901</v>
      </c>
      <c r="G440" s="5">
        <v>0.0458480635520182</v>
      </c>
      <c r="H440" s="5">
        <v>0.0499583075215411</v>
      </c>
      <c r="T440" s="5">
        <v>5.50555035933214</v>
      </c>
    </row>
    <row r="441" spans="1:20">
      <c r="A441" t="s">
        <v>1107</v>
      </c>
      <c r="L441" s="5">
        <v>0.065600209113282</v>
      </c>
      <c r="M441" s="5">
        <v>0.111235937178005</v>
      </c>
      <c r="N441" s="5">
        <v>0.2766150106737</v>
      </c>
      <c r="O441" s="5">
        <v>0.343559256959452</v>
      </c>
      <c r="P441" s="5">
        <v>0.584834164006716</v>
      </c>
      <c r="Q441" s="5">
        <v>1.0042128014473</v>
      </c>
      <c r="R441" s="5">
        <v>1.10648446438731</v>
      </c>
      <c r="S441" s="5">
        <v>1.9482342694408</v>
      </c>
      <c r="T441" s="5">
        <v>5.44077611320656</v>
      </c>
    </row>
    <row r="442" spans="1:20">
      <c r="A442" t="s">
        <v>1108</v>
      </c>
      <c r="K442" s="5">
        <v>0.0502649212675406</v>
      </c>
      <c r="L442" s="5"/>
      <c r="M442" s="5">
        <v>0.101563246988613</v>
      </c>
      <c r="N442" s="5">
        <v>0.1989686918881</v>
      </c>
      <c r="O442" s="5">
        <v>0.352971839341902</v>
      </c>
      <c r="P442" s="5">
        <v>0.417738688576225</v>
      </c>
      <c r="Q442" s="5">
        <v>0.817532216562868</v>
      </c>
      <c r="R442" s="5">
        <v>1.43140450551692</v>
      </c>
      <c r="S442" s="5">
        <v>2.03418578132789</v>
      </c>
      <c r="T442" s="5">
        <v>5.40462989147006</v>
      </c>
    </row>
    <row r="443" spans="1:20">
      <c r="A443" t="s">
        <v>1109</v>
      </c>
      <c r="M443" s="5">
        <v>0.0773815215151341</v>
      </c>
      <c r="N443" s="5">
        <v>0.1067636883302</v>
      </c>
      <c r="O443" s="5">
        <v>0.155307609310437</v>
      </c>
      <c r="P443" s="5">
        <v>0.355077885289792</v>
      </c>
      <c r="Q443" s="5">
        <v>0.637288893226173</v>
      </c>
      <c r="R443" s="5">
        <v>1.2382088053858</v>
      </c>
      <c r="S443" s="5">
        <v>2.82207464029292</v>
      </c>
      <c r="T443" s="5">
        <v>5.39210304335046</v>
      </c>
    </row>
    <row r="444" spans="1:20">
      <c r="A444" t="s">
        <v>1110</v>
      </c>
      <c r="J444" s="5">
        <v>0.0622038541152559</v>
      </c>
      <c r="K444" s="5">
        <v>0.0548344595645897</v>
      </c>
      <c r="L444" s="5">
        <v>0.105969568567609</v>
      </c>
      <c r="M444" s="5">
        <v>0.149926697935572</v>
      </c>
      <c r="N444" s="5">
        <v>0.1892629020399</v>
      </c>
      <c r="O444" s="5">
        <v>0.301202636238423</v>
      </c>
      <c r="P444" s="5">
        <v>0.527395094327485</v>
      </c>
      <c r="Q444" s="5">
        <v>0.643726154773912</v>
      </c>
      <c r="R444" s="5">
        <v>1.36115152365106</v>
      </c>
      <c r="S444" s="5">
        <v>1.99121002538435</v>
      </c>
      <c r="T444" s="5">
        <v>5.38688291659816</v>
      </c>
    </row>
    <row r="445" spans="1:20">
      <c r="A445" t="s">
        <v>1111</v>
      </c>
      <c r="B445" s="5">
        <v>3.45332826845187</v>
      </c>
      <c r="C445" s="5"/>
      <c r="D445" s="5"/>
      <c r="E445" s="5"/>
      <c r="F445" s="5"/>
      <c r="N445" s="5">
        <v>0.0922050035578999</v>
      </c>
      <c r="O445" s="5">
        <v>0.136482444545536</v>
      </c>
      <c r="P445" s="5">
        <v>0.172317209037693</v>
      </c>
      <c r="Q445" s="5">
        <v>0.341174862030173</v>
      </c>
      <c r="R445" s="5">
        <v>0.4302995139284</v>
      </c>
      <c r="S445" s="5">
        <v>0.701937347077935</v>
      </c>
      <c r="T445" s="5">
        <v>5.32774464862951</v>
      </c>
    </row>
    <row r="446" spans="1:20">
      <c r="A446" t="s">
        <v>1112</v>
      </c>
      <c r="N446" s="5">
        <v>0.0679405289373999</v>
      </c>
      <c r="O446" s="5">
        <v>0.197664230031465</v>
      </c>
      <c r="P446" s="5">
        <v>0.328969217253778</v>
      </c>
      <c r="Q446" s="5">
        <v>0.708098770251303</v>
      </c>
      <c r="R446" s="5">
        <v>1.33480665545136</v>
      </c>
      <c r="S446" s="5">
        <v>2.62152111255637</v>
      </c>
      <c r="T446" s="5">
        <v>5.25900051448168</v>
      </c>
    </row>
    <row r="447" spans="1:20">
      <c r="A447" t="s">
        <v>1113</v>
      </c>
      <c r="K447" s="5">
        <v>0.0502649212675406</v>
      </c>
      <c r="N447" s="5">
        <v>0.0679405289373999</v>
      </c>
      <c r="O447" s="5">
        <v>0.145895026927986</v>
      </c>
      <c r="P447" s="5">
        <v>0.302860549217763</v>
      </c>
      <c r="Q447" s="5">
        <v>0.547167231557825</v>
      </c>
      <c r="R447" s="5">
        <v>1.2382088053858</v>
      </c>
      <c r="S447" s="5">
        <v>2.89370090019883</v>
      </c>
      <c r="T447" s="5">
        <v>5.24603796349314</v>
      </c>
    </row>
    <row r="448" spans="1:20">
      <c r="A448" t="s">
        <v>1114</v>
      </c>
      <c r="K448" s="5">
        <v>0.0502649212675406</v>
      </c>
      <c r="L448" s="5">
        <v>0.0958772287040275</v>
      </c>
      <c r="M448" s="5">
        <v>0.130581317556789</v>
      </c>
      <c r="N448" s="5">
        <v>0.2086744817363</v>
      </c>
      <c r="O448" s="5">
        <v>0.287083762664747</v>
      </c>
      <c r="P448" s="5">
        <v>0.506508159898673</v>
      </c>
      <c r="Q448" s="5">
        <v>0.785345908824172</v>
      </c>
      <c r="R448" s="5">
        <v>0.99232336885529</v>
      </c>
      <c r="S448" s="5">
        <v>2.13446254519617</v>
      </c>
      <c r="T448" s="5">
        <v>5.19112169470371</v>
      </c>
    </row>
    <row r="449" spans="1:20">
      <c r="A449" t="s">
        <v>1115</v>
      </c>
      <c r="K449" s="5">
        <v>0.0456953829704914</v>
      </c>
      <c r="L449" s="5">
        <v>0.0706463790450729</v>
      </c>
      <c r="M449" s="5">
        <v>0.130581317556789</v>
      </c>
      <c r="N449" s="5">
        <v>0.2377918512809</v>
      </c>
      <c r="O449" s="5">
        <v>0.395328460062931</v>
      </c>
      <c r="P449" s="5">
        <v>0.590055897613918</v>
      </c>
      <c r="Q449" s="5">
        <v>0.785345908824172</v>
      </c>
      <c r="R449" s="5">
        <v>1.09770284165408</v>
      </c>
      <c r="S449" s="5">
        <v>1.81930700161016</v>
      </c>
      <c r="T449" s="5">
        <v>5.17245504061851</v>
      </c>
    </row>
    <row r="450" spans="1:20">
      <c r="A450" t="s">
        <v>1116</v>
      </c>
      <c r="N450" s="5">
        <v>0.0970578984819999</v>
      </c>
      <c r="O450" s="5">
        <v>0.112950988589409</v>
      </c>
      <c r="P450" s="5">
        <v>0.250643213145735</v>
      </c>
      <c r="Q450" s="5">
        <v>0.50854366227139</v>
      </c>
      <c r="R450" s="5">
        <v>1.43140450551692</v>
      </c>
      <c r="S450" s="5">
        <v>2.75044838038701</v>
      </c>
      <c r="T450" s="5">
        <v>5.15104864839246</v>
      </c>
    </row>
    <row r="451" spans="1:20">
      <c r="A451" t="s">
        <v>1117</v>
      </c>
      <c r="B451" s="5">
        <v>5.07036293383807</v>
      </c>
      <c r="T451" s="5">
        <v>5.07036293383807</v>
      </c>
    </row>
    <row r="452" spans="1:20">
      <c r="A452" t="s">
        <v>1118</v>
      </c>
      <c r="B452" s="5">
        <v>5.07036293383807</v>
      </c>
      <c r="T452" s="5">
        <v>5.07036293383807</v>
      </c>
    </row>
    <row r="453" spans="1:20">
      <c r="A453" t="s">
        <v>1119</v>
      </c>
      <c r="B453" s="5">
        <v>0.685184180248388</v>
      </c>
      <c r="G453" s="5">
        <v>0.0458480635520182</v>
      </c>
      <c r="M453" s="5">
        <v>0.0628724862310464</v>
      </c>
      <c r="N453" s="5">
        <v>0.1213223731025</v>
      </c>
      <c r="O453" s="5">
        <v>0.160013900501662</v>
      </c>
      <c r="P453" s="5">
        <v>0.349856151682589</v>
      </c>
      <c r="Q453" s="5">
        <v>0.489231877628173</v>
      </c>
      <c r="R453" s="5">
        <v>0.922070386989429</v>
      </c>
      <c r="S453" s="5">
        <v>2.1917635531209</v>
      </c>
      <c r="T453" s="5">
        <v>5.02816297305671</v>
      </c>
    </row>
    <row r="454" spans="1:20">
      <c r="A454" t="s">
        <v>1120</v>
      </c>
      <c r="J454" s="5">
        <v>0.0488744568048439</v>
      </c>
      <c r="K454" s="5">
        <v>0.0822516893468846</v>
      </c>
      <c r="L454" s="5">
        <v>0.0807387189086547</v>
      </c>
      <c r="M454" s="5">
        <v>0.169272078314356</v>
      </c>
      <c r="N454" s="5">
        <v>0.2960265903701</v>
      </c>
      <c r="O454" s="5">
        <v>0.44709766316641</v>
      </c>
      <c r="P454" s="5">
        <v>0.50128642629147</v>
      </c>
      <c r="Q454" s="5">
        <v>0.766034124180955</v>
      </c>
      <c r="R454" s="5">
        <v>1.09770284165408</v>
      </c>
      <c r="S454" s="5">
        <v>1.50415145802415</v>
      </c>
      <c r="T454" s="5">
        <v>4.9934360470619</v>
      </c>
    </row>
    <row r="455" spans="1:20">
      <c r="A455" t="s">
        <v>1121</v>
      </c>
      <c r="L455" s="5">
        <v>0.0807387189086547</v>
      </c>
      <c r="M455" s="5">
        <v>0.183781113598443</v>
      </c>
      <c r="N455" s="5">
        <v>0.242644746205</v>
      </c>
      <c r="O455" s="5">
        <v>0.451803954357635</v>
      </c>
      <c r="P455" s="5">
        <v>0.553503762363499</v>
      </c>
      <c r="Q455" s="5">
        <v>0.753159601085477</v>
      </c>
      <c r="R455" s="5">
        <v>1.13282933258701</v>
      </c>
      <c r="S455" s="5">
        <v>1.54712721396769</v>
      </c>
      <c r="T455" s="5">
        <v>4.94558844307341</v>
      </c>
    </row>
    <row r="456" spans="1:20">
      <c r="A456" t="s">
        <v>1122</v>
      </c>
      <c r="B456" s="5">
        <v>4.93332609778839</v>
      </c>
      <c r="T456" s="5">
        <v>4.93332609778839</v>
      </c>
    </row>
    <row r="457" spans="1:20">
      <c r="A457" t="s">
        <v>1123</v>
      </c>
      <c r="B457" s="5">
        <v>4.93332609778839</v>
      </c>
      <c r="T457" s="5">
        <v>4.93332609778839</v>
      </c>
    </row>
    <row r="458" spans="1:20">
      <c r="A458" t="s">
        <v>1124</v>
      </c>
      <c r="K458" s="5">
        <v>0.0456953829704914</v>
      </c>
      <c r="L458" s="5"/>
      <c r="M458" s="5">
        <v>0.120908627367397</v>
      </c>
      <c r="N458" s="5">
        <v>0.194115796964</v>
      </c>
      <c r="O458" s="5">
        <v>0.315321509812099</v>
      </c>
      <c r="P458" s="5">
        <v>0.422960422183428</v>
      </c>
      <c r="Q458" s="5">
        <v>0.50854366227139</v>
      </c>
      <c r="R458" s="5">
        <v>1.10648446438731</v>
      </c>
      <c r="S458" s="5">
        <v>2.1917635531209</v>
      </c>
      <c r="T458" s="5">
        <v>4.90579341907702</v>
      </c>
    </row>
    <row r="459" spans="1:20">
      <c r="A459" t="s">
        <v>1125</v>
      </c>
      <c r="L459" s="5">
        <v>0.0706463790450729</v>
      </c>
      <c r="M459" s="5">
        <v>0.140254007746181</v>
      </c>
      <c r="N459" s="5">
        <v>0.2183802715845</v>
      </c>
      <c r="O459" s="5">
        <v>0.338852965768226</v>
      </c>
      <c r="P459" s="5">
        <v>0.490842959077065</v>
      </c>
      <c r="Q459" s="5">
        <v>0.733847816442259</v>
      </c>
      <c r="R459" s="5">
        <v>1.2382088053858</v>
      </c>
      <c r="S459" s="5">
        <v>1.60442822189242</v>
      </c>
      <c r="T459" s="5">
        <v>4.83546142694152</v>
      </c>
    </row>
    <row r="460" spans="1:20">
      <c r="A460" t="s">
        <v>1126</v>
      </c>
      <c r="L460" s="5">
        <v>0.0555078692497001</v>
      </c>
      <c r="M460" s="5">
        <v>0.0725451764204382</v>
      </c>
      <c r="N460" s="5">
        <v>0.1116165832543</v>
      </c>
      <c r="O460" s="5">
        <v>0.249433433134944</v>
      </c>
      <c r="P460" s="5">
        <v>0.485621225469862</v>
      </c>
      <c r="Q460" s="5">
        <v>0.643726154773912</v>
      </c>
      <c r="R460" s="5">
        <v>1.19430069171964</v>
      </c>
      <c r="S460" s="5">
        <v>2.01986052934671</v>
      </c>
      <c r="T460" s="5">
        <v>4.83261166336951</v>
      </c>
    </row>
    <row r="461" spans="1:20">
      <c r="A461" t="s">
        <v>1127</v>
      </c>
      <c r="L461" s="5">
        <v>0.0605540391814911</v>
      </c>
      <c r="M461" s="5"/>
      <c r="N461" s="5">
        <v>0.0727934238614999</v>
      </c>
      <c r="O461" s="5">
        <v>0.188251647649015</v>
      </c>
      <c r="P461" s="5">
        <v>0.313304016432169</v>
      </c>
      <c r="Q461" s="5">
        <v>0.514980923819129</v>
      </c>
      <c r="R461" s="5">
        <v>1.14161095532025</v>
      </c>
      <c r="S461" s="5">
        <v>2.52124434868809</v>
      </c>
      <c r="T461" s="5">
        <v>4.81273935495164</v>
      </c>
    </row>
    <row r="462" spans="1:20">
      <c r="A462" t="s">
        <v>1128</v>
      </c>
      <c r="M462" s="5">
        <v>0.0822178666098299</v>
      </c>
      <c r="N462" s="5">
        <v>0.3833786990039</v>
      </c>
      <c r="O462" s="5">
        <v>0.672999640345227</v>
      </c>
      <c r="P462" s="5">
        <v>0.960798983725319</v>
      </c>
      <c r="Q462" s="5">
        <v>1.04283637073374</v>
      </c>
      <c r="R462" s="5">
        <v>0.755219555058008</v>
      </c>
      <c r="S462" s="5">
        <v>0.888165622833306</v>
      </c>
      <c r="T462" s="5">
        <v>4.78561673830933</v>
      </c>
    </row>
    <row r="463" spans="1:20">
      <c r="A463" t="s">
        <v>1129</v>
      </c>
      <c r="L463" s="5">
        <v>0.0504616993179092</v>
      </c>
      <c r="M463" s="5">
        <v>0.0580361411363505</v>
      </c>
      <c r="N463" s="5">
        <v>0.0630876340133</v>
      </c>
      <c r="O463" s="5">
        <v>0.188251647649015</v>
      </c>
      <c r="P463" s="5">
        <v>0.281973614788952</v>
      </c>
      <c r="Q463" s="5">
        <v>0.540729970010086</v>
      </c>
      <c r="R463" s="5">
        <v>1.11526608712055</v>
      </c>
      <c r="S463" s="5">
        <v>2.44961808878218</v>
      </c>
      <c r="T463" s="5">
        <v>4.74742488281834</v>
      </c>
    </row>
    <row r="464" spans="1:20">
      <c r="A464" t="s">
        <v>1130</v>
      </c>
      <c r="B464" s="5">
        <v>2.63110725215381</v>
      </c>
      <c r="K464" s="5">
        <v>0.0456953829704914</v>
      </c>
      <c r="L464" s="5">
        <v>0.0958772287040275</v>
      </c>
      <c r="M464" s="5">
        <v>0.0967269018939176</v>
      </c>
      <c r="N464" s="5">
        <v>0.1989686918881</v>
      </c>
      <c r="O464" s="5">
        <v>0.178839065266564</v>
      </c>
      <c r="P464" s="5">
        <v>0.250643213145735</v>
      </c>
      <c r="Q464" s="5">
        <v>0.328300338934695</v>
      </c>
      <c r="R464" s="5">
        <v>0.307356795663143</v>
      </c>
      <c r="S464" s="5">
        <v>0.601660583209659</v>
      </c>
      <c r="T464" s="5">
        <v>4.73517545383014</v>
      </c>
    </row>
    <row r="465" spans="1:20">
      <c r="A465" t="s">
        <v>1131</v>
      </c>
      <c r="L465" s="5">
        <v>0.1110157384994</v>
      </c>
      <c r="M465" s="5">
        <v>0.145090352840876</v>
      </c>
      <c r="N465" s="5">
        <v>0.2329389563568</v>
      </c>
      <c r="O465" s="5">
        <v>0.404741042445381</v>
      </c>
      <c r="P465" s="5">
        <v>0.490842959077065</v>
      </c>
      <c r="Q465" s="5">
        <v>0.714536031799042</v>
      </c>
      <c r="R465" s="5">
        <v>1.09770284165408</v>
      </c>
      <c r="S465" s="5">
        <v>1.41819994613705</v>
      </c>
      <c r="T465" s="5">
        <v>4.61506786880969</v>
      </c>
    </row>
    <row r="466" spans="1:20">
      <c r="A466" t="s">
        <v>1132</v>
      </c>
      <c r="K466" s="5">
        <v>0.0548344595645897</v>
      </c>
      <c r="L466" s="5">
        <v>0.0958772287040275</v>
      </c>
      <c r="M466" s="5">
        <v>0.135417662651485</v>
      </c>
      <c r="N466" s="5">
        <v>0.1407339527989</v>
      </c>
      <c r="O466" s="5">
        <v>0.244727141943719</v>
      </c>
      <c r="P466" s="5">
        <v>0.349856151682589</v>
      </c>
      <c r="Q466" s="5">
        <v>0.65660067786939</v>
      </c>
      <c r="R466" s="5">
        <v>0.965978500655592</v>
      </c>
      <c r="S466" s="5">
        <v>1.90525851349725</v>
      </c>
      <c r="T466" s="5">
        <v>4.54928428936754</v>
      </c>
    </row>
    <row r="467" spans="1:20">
      <c r="A467" t="s">
        <v>1133</v>
      </c>
      <c r="B467" s="5"/>
      <c r="C467" s="5"/>
      <c r="J467" s="5">
        <v>0.04443132436804</v>
      </c>
      <c r="K467" s="5">
        <v>0.0594039978616389</v>
      </c>
      <c r="L467" s="5">
        <v>0.0605540391814911</v>
      </c>
      <c r="M467" s="5">
        <v>0.101563246988613</v>
      </c>
      <c r="N467" s="5">
        <v>0.1989686918881</v>
      </c>
      <c r="O467" s="5">
        <v>0.329440383385776</v>
      </c>
      <c r="P467" s="5">
        <v>0.543060295149093</v>
      </c>
      <c r="Q467" s="5">
        <v>0.630851631678434</v>
      </c>
      <c r="R467" s="5">
        <v>0.965978500655592</v>
      </c>
      <c r="S467" s="5">
        <v>1.57577771793006</v>
      </c>
      <c r="T467" s="5">
        <v>4.51002982908684</v>
      </c>
    </row>
    <row r="468" spans="1:20">
      <c r="A468" t="s">
        <v>1134</v>
      </c>
      <c r="B468" s="5"/>
      <c r="L468" s="5">
        <v>0.0504616993179092</v>
      </c>
      <c r="M468" s="5">
        <v>0.0483634509469588</v>
      </c>
      <c r="N468" s="5">
        <v>0.1019107934061</v>
      </c>
      <c r="O468" s="5">
        <v>0.197664230031465</v>
      </c>
      <c r="P468" s="5">
        <v>0.391630020540211</v>
      </c>
      <c r="Q468" s="5">
        <v>0.560041754653303</v>
      </c>
      <c r="R468" s="5">
        <v>1.02744985978822</v>
      </c>
      <c r="S468" s="5">
        <v>2.07716153727144</v>
      </c>
      <c r="T468" s="5">
        <v>4.45468334595561</v>
      </c>
    </row>
    <row r="469" spans="1:20">
      <c r="A469" t="s">
        <v>1135</v>
      </c>
      <c r="J469" s="5">
        <v>0.0666469865520599</v>
      </c>
      <c r="K469" s="5">
        <v>0.100529842535081</v>
      </c>
      <c r="L469" s="5">
        <v>0.0857848888404457</v>
      </c>
      <c r="M469" s="5">
        <v>0.169272078314356</v>
      </c>
      <c r="N469" s="5">
        <v>0.2038215868122</v>
      </c>
      <c r="O469" s="5">
        <v>0.432978789592734</v>
      </c>
      <c r="P469" s="5">
        <v>0.475177758255456</v>
      </c>
      <c r="Q469" s="5">
        <v>0.708098770251303</v>
      </c>
      <c r="R469" s="5">
        <v>1.10648446438731</v>
      </c>
      <c r="S469" s="5">
        <v>1.10304440255104</v>
      </c>
      <c r="T469" s="5">
        <v>4.45183956809199</v>
      </c>
    </row>
    <row r="470" spans="1:20">
      <c r="A470" t="s">
        <v>1136</v>
      </c>
      <c r="J470" s="5">
        <v>0.04443132436804</v>
      </c>
      <c r="K470" s="5">
        <v>0.0594039978616389</v>
      </c>
      <c r="L470" s="5">
        <v>0.0756925489768638</v>
      </c>
      <c r="M470" s="5">
        <v>0.0967269018939176</v>
      </c>
      <c r="N470" s="5">
        <v>0.2814679055978</v>
      </c>
      <c r="O470" s="5">
        <v>0.348265548150677</v>
      </c>
      <c r="P470" s="5">
        <v>0.469956024648254</v>
      </c>
      <c r="Q470" s="5">
        <v>0.572916277748782</v>
      </c>
      <c r="R470" s="5">
        <v>0.930852009722662</v>
      </c>
      <c r="S470" s="5">
        <v>1.56145246594888</v>
      </c>
      <c r="T470" s="5">
        <v>4.44116500491752</v>
      </c>
    </row>
    <row r="471" spans="1:20">
      <c r="A471" t="s">
        <v>1137</v>
      </c>
      <c r="N471" s="5">
        <v>0.1164694781784</v>
      </c>
      <c r="O471" s="5">
        <v>0.178839065266564</v>
      </c>
      <c r="P471" s="5">
        <v>0.261086680360141</v>
      </c>
      <c r="Q471" s="5">
        <v>0.469920092984956</v>
      </c>
      <c r="R471" s="5">
        <v>0.99232336885529</v>
      </c>
      <c r="S471" s="5">
        <v>2.33501607293272</v>
      </c>
      <c r="T471" s="5">
        <v>4.35365475857807</v>
      </c>
    </row>
    <row r="472" spans="1:20">
      <c r="A472" t="s">
        <v>1138</v>
      </c>
      <c r="K472" s="5">
        <v>0.0685430744557372</v>
      </c>
      <c r="L472" s="5">
        <v>0.121108078362982</v>
      </c>
      <c r="M472" s="5">
        <v>0.101563246988613</v>
      </c>
      <c r="N472" s="5">
        <v>0.1504397426471</v>
      </c>
      <c r="O472" s="5">
        <v>0.301202636238423</v>
      </c>
      <c r="P472" s="5">
        <v>0.454290823826645</v>
      </c>
      <c r="Q472" s="5">
        <v>0.50854366227139</v>
      </c>
      <c r="R472" s="5">
        <v>1.01866823705499</v>
      </c>
      <c r="S472" s="5">
        <v>1.60442822189242</v>
      </c>
      <c r="T472" s="5">
        <v>4.3287877237383</v>
      </c>
    </row>
    <row r="473" spans="1:20">
      <c r="A473" t="s">
        <v>1139</v>
      </c>
      <c r="B473" s="5">
        <v>0.274073672099355</v>
      </c>
      <c r="K473" s="5">
        <v>0.0502649212675406</v>
      </c>
      <c r="L473" s="5">
        <v>0.0504616993179092</v>
      </c>
      <c r="M473" s="5">
        <v>0.101563246988613</v>
      </c>
      <c r="N473" s="5">
        <v>0.0970578984819999</v>
      </c>
      <c r="O473" s="5">
        <v>0.160013900501662</v>
      </c>
      <c r="P473" s="5">
        <v>0.33419095086098</v>
      </c>
      <c r="Q473" s="5">
        <v>0.444171046793999</v>
      </c>
      <c r="R473" s="5">
        <v>0.737656309591543</v>
      </c>
      <c r="S473" s="5">
        <v>2.04851103330908</v>
      </c>
      <c r="T473" s="5">
        <v>4.29796467921268</v>
      </c>
    </row>
    <row r="474" spans="1:20">
      <c r="A474" t="s">
        <v>1140</v>
      </c>
      <c r="B474" s="5"/>
      <c r="C474" s="5"/>
      <c r="D474" s="5"/>
      <c r="K474" s="5">
        <v>0.0456953829704914</v>
      </c>
      <c r="L474" s="5">
        <v>0.0504616993179092</v>
      </c>
      <c r="M474" s="5">
        <v>0.0967269018939176</v>
      </c>
      <c r="N474" s="5">
        <v>0.1504397426471</v>
      </c>
      <c r="O474" s="5">
        <v>0.258846015517395</v>
      </c>
      <c r="P474" s="5">
        <v>0.3707430861114</v>
      </c>
      <c r="Q474" s="5">
        <v>0.650163416321651</v>
      </c>
      <c r="R474" s="5">
        <v>1.07135797345438</v>
      </c>
      <c r="S474" s="5">
        <v>1.57577771793006</v>
      </c>
      <c r="T474" s="5">
        <v>4.2702119361643</v>
      </c>
    </row>
    <row r="475" spans="1:20">
      <c r="A475" t="s">
        <v>1141</v>
      </c>
      <c r="H475" s="5">
        <v>0.045416643201401</v>
      </c>
      <c r="J475" s="5">
        <v>0.0755332514256679</v>
      </c>
      <c r="K475" s="5">
        <v>0.118807995723278</v>
      </c>
      <c r="L475" s="5">
        <v>0.196800627339846</v>
      </c>
      <c r="M475" s="5">
        <v>0.212799184166619</v>
      </c>
      <c r="N475" s="5">
        <v>0.2814679055978</v>
      </c>
      <c r="O475" s="5">
        <v>0.352971839341902</v>
      </c>
      <c r="P475" s="5">
        <v>0.459512557433848</v>
      </c>
      <c r="Q475" s="5">
        <v>0.58579080084426</v>
      </c>
      <c r="R475" s="5">
        <v>0.799127668724172</v>
      </c>
      <c r="S475" s="5">
        <v>1.11736965453222</v>
      </c>
      <c r="T475" s="5">
        <v>4.24559812833101</v>
      </c>
    </row>
    <row r="476" spans="1:20">
      <c r="A476" t="s">
        <v>1142</v>
      </c>
      <c r="J476" s="5">
        <v>0.0577607216784519</v>
      </c>
      <c r="K476" s="5">
        <v>0.0731126127527863</v>
      </c>
      <c r="L476" s="5">
        <v>0.126154248294773</v>
      </c>
      <c r="M476" s="5">
        <v>0.188617458693139</v>
      </c>
      <c r="N476" s="5">
        <v>0.3251439599147</v>
      </c>
      <c r="O476" s="5">
        <v>0.423566207210283</v>
      </c>
      <c r="P476" s="5">
        <v>0.522173360720282</v>
      </c>
      <c r="Q476" s="5">
        <v>0.740285077989999</v>
      </c>
      <c r="R476" s="5">
        <v>0.82547253692387</v>
      </c>
      <c r="S476" s="5">
        <v>0.959791882739217</v>
      </c>
      <c r="T476" s="5">
        <v>4.2420780669175</v>
      </c>
    </row>
    <row r="477" spans="1:20">
      <c r="A477" t="s">
        <v>1143</v>
      </c>
      <c r="L477" s="5">
        <v>0.0807387189086547</v>
      </c>
      <c r="M477" s="5">
        <v>0.0580361411363505</v>
      </c>
      <c r="N477" s="5">
        <v>0.145586847723</v>
      </c>
      <c r="O477" s="5">
        <v>0.211783103605141</v>
      </c>
      <c r="P477" s="5">
        <v>0.412516954969023</v>
      </c>
      <c r="Q477" s="5">
        <v>0.579353539296521</v>
      </c>
      <c r="R477" s="5">
        <v>0.974760123388825</v>
      </c>
      <c r="S477" s="5">
        <v>1.74768074170425</v>
      </c>
      <c r="T477" s="5">
        <v>4.21045617073177</v>
      </c>
    </row>
    <row r="478" spans="1:20">
      <c r="A478" t="s">
        <v>1144</v>
      </c>
      <c r="M478" s="5">
        <v>0.0725451764204382</v>
      </c>
      <c r="N478" s="5">
        <v>0.0873521086337999</v>
      </c>
      <c r="O478" s="5">
        <v>0.174132774075339</v>
      </c>
      <c r="P478" s="5">
        <v>0.328969217253778</v>
      </c>
      <c r="Q478" s="5">
        <v>0.669475200964868</v>
      </c>
      <c r="R478" s="5">
        <v>0.948415255189127</v>
      </c>
      <c r="S478" s="5">
        <v>1.91958376547843</v>
      </c>
      <c r="T478" s="5">
        <v>4.20047349801578</v>
      </c>
    </row>
    <row r="479" spans="1:20">
      <c r="A479" t="s">
        <v>1145</v>
      </c>
      <c r="M479" s="5">
        <v>0.0483634509469588</v>
      </c>
      <c r="N479" s="5">
        <v>0.1164694781784</v>
      </c>
      <c r="O479" s="5">
        <v>0.235314559561268</v>
      </c>
      <c r="P479" s="5">
        <v>0.454290823826645</v>
      </c>
      <c r="Q479" s="5">
        <v>0.682349724060347</v>
      </c>
      <c r="R479" s="5">
        <v>0.99232336885529</v>
      </c>
      <c r="S479" s="5">
        <v>1.60442822189242</v>
      </c>
      <c r="T479" s="5">
        <v>4.13353962732133</v>
      </c>
    </row>
    <row r="480" spans="1:20">
      <c r="A480" t="s">
        <v>1146</v>
      </c>
      <c r="M480" s="5">
        <v>0.0822178666098299</v>
      </c>
      <c r="N480" s="5">
        <v>0.1892629020399</v>
      </c>
      <c r="O480" s="5">
        <v>0.249433433134944</v>
      </c>
      <c r="P480" s="5">
        <v>0.3707430861114</v>
      </c>
      <c r="Q480" s="5">
        <v>0.514980923819129</v>
      </c>
      <c r="R480" s="5">
        <v>0.930852009722662</v>
      </c>
      <c r="S480" s="5">
        <v>1.79065649764779</v>
      </c>
      <c r="T480" s="5">
        <v>4.12814671908566</v>
      </c>
    </row>
    <row r="481" spans="1:20">
      <c r="A481" t="s">
        <v>1147</v>
      </c>
      <c r="K481" s="5">
        <v>0.0594039978616389</v>
      </c>
      <c r="L481" s="5">
        <v>0.0857848888404457</v>
      </c>
      <c r="M481" s="5">
        <v>0.125744972462093</v>
      </c>
      <c r="N481" s="5">
        <v>0.1504397426471</v>
      </c>
      <c r="O481" s="5">
        <v>0.244727141943719</v>
      </c>
      <c r="P481" s="5">
        <v>0.438625623005037</v>
      </c>
      <c r="Q481" s="5">
        <v>0.514980923819129</v>
      </c>
      <c r="R481" s="5">
        <v>0.886943896056498</v>
      </c>
      <c r="S481" s="5">
        <v>1.57577771793006</v>
      </c>
      <c r="T481" s="5">
        <v>4.08242890456572</v>
      </c>
    </row>
    <row r="482" spans="1:20">
      <c r="A482" t="s">
        <v>1148</v>
      </c>
      <c r="M482" s="5">
        <v>0.0773815215151341</v>
      </c>
      <c r="N482" s="5">
        <v>0.1164694781784</v>
      </c>
      <c r="O482" s="5">
        <v>0.225901977178818</v>
      </c>
      <c r="P482" s="5">
        <v>0.396851754147414</v>
      </c>
      <c r="Q482" s="5">
        <v>0.669475200964868</v>
      </c>
      <c r="R482" s="5">
        <v>0.913288764256196</v>
      </c>
      <c r="S482" s="5">
        <v>1.63307872585479</v>
      </c>
      <c r="T482" s="5">
        <v>4.03244742209562</v>
      </c>
    </row>
    <row r="483" spans="1:20">
      <c r="A483" t="s">
        <v>1149</v>
      </c>
      <c r="B483" s="5">
        <v>4.00147561265058</v>
      </c>
      <c r="T483" s="5">
        <v>4.00147561265058</v>
      </c>
    </row>
    <row r="484" spans="1:20">
      <c r="A484" t="s">
        <v>1150</v>
      </c>
      <c r="N484" s="5">
        <v>0.0727934238614999</v>
      </c>
      <c r="O484" s="5">
        <v>0.160013900501662</v>
      </c>
      <c r="P484" s="5">
        <v>0.208869344288113</v>
      </c>
      <c r="Q484" s="5">
        <v>0.592228062391999</v>
      </c>
      <c r="R484" s="5">
        <v>0.895725518789731</v>
      </c>
      <c r="S484" s="5">
        <v>2.06283628529026</v>
      </c>
      <c r="T484" s="5">
        <v>3.99246653512327</v>
      </c>
    </row>
    <row r="485" spans="1:20">
      <c r="A485" t="s">
        <v>1151</v>
      </c>
      <c r="B485" s="5">
        <v>3.97406824544065</v>
      </c>
      <c r="T485" s="5">
        <v>3.97406824544065</v>
      </c>
    </row>
    <row r="486" spans="1:20">
      <c r="A486" t="s">
        <v>1152</v>
      </c>
      <c r="M486" s="5">
        <v>0.0677088313257423</v>
      </c>
      <c r="N486" s="5">
        <v>0.0922050035578999</v>
      </c>
      <c r="O486" s="5">
        <v>0.141188735736761</v>
      </c>
      <c r="P486" s="5">
        <v>0.208869344288113</v>
      </c>
      <c r="Q486" s="5">
        <v>0.405547477507564</v>
      </c>
      <c r="R486" s="5">
        <v>0.922070386989429</v>
      </c>
      <c r="S486" s="5">
        <v>2.07716153727144</v>
      </c>
      <c r="T486" s="5">
        <v>3.91475131667695</v>
      </c>
    </row>
    <row r="487" spans="1:20">
      <c r="A487" t="s">
        <v>1153</v>
      </c>
      <c r="M487" s="5">
        <v>0.0725451764204382</v>
      </c>
      <c r="N487" s="5">
        <v>0.1892629020399</v>
      </c>
      <c r="O487" s="5">
        <v>0.277671180282297</v>
      </c>
      <c r="P487" s="5">
        <v>0.402073487754617</v>
      </c>
      <c r="Q487" s="5">
        <v>0.617977108582955</v>
      </c>
      <c r="R487" s="5">
        <v>0.790346045990939</v>
      </c>
      <c r="S487" s="5">
        <v>1.56145246594888</v>
      </c>
      <c r="T487" s="5">
        <v>3.91132836702003</v>
      </c>
    </row>
    <row r="488" spans="1:20">
      <c r="A488" t="s">
        <v>1154</v>
      </c>
      <c r="K488" s="5">
        <v>0.10509938083213</v>
      </c>
      <c r="L488" s="5">
        <v>0.1110157384994</v>
      </c>
      <c r="M488" s="5">
        <v>0.183781113598443</v>
      </c>
      <c r="N488" s="5">
        <v>0.242644746205</v>
      </c>
      <c r="O488" s="5">
        <v>0.362384421724353</v>
      </c>
      <c r="P488" s="5">
        <v>0.469956024648254</v>
      </c>
      <c r="Q488" s="5">
        <v>0.675912462512607</v>
      </c>
      <c r="R488" s="5">
        <v>0.983541746122057</v>
      </c>
      <c r="S488" s="5">
        <v>0.7305878510403</v>
      </c>
      <c r="T488" s="5">
        <v>3.86492348518254</v>
      </c>
    </row>
    <row r="489" spans="1:20">
      <c r="A489" t="s">
        <v>1155</v>
      </c>
      <c r="N489" s="5">
        <v>0.0630876340133</v>
      </c>
      <c r="O489" s="5">
        <v>0.0800069502508312</v>
      </c>
      <c r="P489" s="5">
        <v>0.214091077895316</v>
      </c>
      <c r="Q489" s="5">
        <v>0.354049385125652</v>
      </c>
      <c r="R489" s="5">
        <v>0.895725518789731</v>
      </c>
      <c r="S489" s="5">
        <v>2.22041405708326</v>
      </c>
      <c r="T489" s="5">
        <v>3.82737462315809</v>
      </c>
    </row>
    <row r="490" spans="1:20">
      <c r="A490" t="s">
        <v>1156</v>
      </c>
      <c r="M490" s="5">
        <v>0.111235937178005</v>
      </c>
      <c r="N490" s="5">
        <v>0.1504397426471</v>
      </c>
      <c r="O490" s="5">
        <v>0.221195685987592</v>
      </c>
      <c r="P490" s="5">
        <v>0.349856151682589</v>
      </c>
      <c r="Q490" s="5">
        <v>0.650163416321651</v>
      </c>
      <c r="R490" s="5">
        <v>0.843035782390335</v>
      </c>
      <c r="S490" s="5">
        <v>1.48982620604296</v>
      </c>
      <c r="T490" s="5">
        <v>3.81575292225023</v>
      </c>
    </row>
    <row r="491" spans="1:20">
      <c r="A491" t="s">
        <v>1157</v>
      </c>
      <c r="B491" s="5">
        <v>3.80962404218103</v>
      </c>
      <c r="T491" s="5">
        <v>3.80962404218103</v>
      </c>
    </row>
    <row r="492" spans="1:20">
      <c r="A492" t="s">
        <v>1158</v>
      </c>
      <c r="J492" s="5">
        <v>0.0666469865520599</v>
      </c>
      <c r="K492" s="5">
        <v>0.0776821510498354</v>
      </c>
      <c r="L492" s="5">
        <v>0.161477437817309</v>
      </c>
      <c r="M492" s="5">
        <v>0.174108423409052</v>
      </c>
      <c r="N492" s="5">
        <v>0.3639671193075</v>
      </c>
      <c r="O492" s="5">
        <v>0.418859916019057</v>
      </c>
      <c r="P492" s="5">
        <v>0.584834164006716</v>
      </c>
      <c r="Q492" s="5">
        <v>0.643726154773912</v>
      </c>
      <c r="R492" s="5">
        <v>0.667403327725682</v>
      </c>
      <c r="S492" s="5">
        <v>0.615985835190841</v>
      </c>
      <c r="T492" s="5">
        <v>3.77469151585196</v>
      </c>
    </row>
    <row r="493" spans="1:20">
      <c r="A493" t="s">
        <v>1159</v>
      </c>
      <c r="L493" s="5">
        <v>0.0555078692497001</v>
      </c>
      <c r="M493" s="5">
        <v>0.0628724862310464</v>
      </c>
      <c r="N493" s="5">
        <v>0.0776463187855999</v>
      </c>
      <c r="O493" s="5">
        <v>0.188251647649015</v>
      </c>
      <c r="P493" s="5">
        <v>0.266308413967344</v>
      </c>
      <c r="Q493" s="5">
        <v>0.457045569889477</v>
      </c>
      <c r="R493" s="5">
        <v>0.8605990278568</v>
      </c>
      <c r="S493" s="5">
        <v>1.77633124566661</v>
      </c>
      <c r="T493" s="5">
        <v>3.74456257929559</v>
      </c>
    </row>
    <row r="494" spans="1:20">
      <c r="A494" t="s">
        <v>1160</v>
      </c>
      <c r="B494" s="5">
        <v>3.72740194055123</v>
      </c>
      <c r="T494" s="5">
        <v>3.72740194055123</v>
      </c>
    </row>
    <row r="495" spans="1:20">
      <c r="A495" t="s">
        <v>1161</v>
      </c>
      <c r="B495" s="5">
        <v>3.53555037008168</v>
      </c>
      <c r="C495" s="5">
        <v>0.0672834042926543</v>
      </c>
      <c r="D495" s="5">
        <v>0.0595452026737582</v>
      </c>
      <c r="K495" s="5">
        <v>0.0456953829704914</v>
      </c>
      <c r="L495" s="5"/>
      <c r="M495" s="5"/>
      <c r="N495" s="5"/>
      <c r="O495" s="5"/>
      <c r="P495" s="5"/>
      <c r="Q495" s="5"/>
      <c r="R495" s="5"/>
      <c r="S495" s="5"/>
      <c r="T495" s="5">
        <v>3.70807436001858</v>
      </c>
    </row>
    <row r="496" spans="1:20">
      <c r="A496" t="s">
        <v>1162</v>
      </c>
      <c r="L496" s="5">
        <v>0.0504616993179092</v>
      </c>
      <c r="M496" s="5">
        <v>0.0870542117045258</v>
      </c>
      <c r="N496" s="5">
        <v>0.1504397426471</v>
      </c>
      <c r="O496" s="5">
        <v>0.197664230031465</v>
      </c>
      <c r="P496" s="5">
        <v>0.271530147574547</v>
      </c>
      <c r="Q496" s="5">
        <v>0.43773378524626</v>
      </c>
      <c r="R496" s="5">
        <v>0.790346045990939</v>
      </c>
      <c r="S496" s="5">
        <v>1.63307872585479</v>
      </c>
      <c r="T496" s="5">
        <v>3.61830858836754</v>
      </c>
    </row>
    <row r="497" spans="1:20">
      <c r="A497" t="s">
        <v>1163</v>
      </c>
      <c r="K497" s="5">
        <v>0.0502649212675406</v>
      </c>
      <c r="L497" s="5">
        <v>0.176615947612682</v>
      </c>
      <c r="M497" s="5">
        <v>0.212799184166619</v>
      </c>
      <c r="N497" s="5">
        <v>0.3299968548388</v>
      </c>
      <c r="O497" s="5">
        <v>0.296496345047198</v>
      </c>
      <c r="P497" s="5">
        <v>0.365521352504197</v>
      </c>
      <c r="Q497" s="5">
        <v>0.502106400723651</v>
      </c>
      <c r="R497" s="5">
        <v>0.649840082259216</v>
      </c>
      <c r="S497" s="5">
        <v>1.03141814264513</v>
      </c>
      <c r="T497" s="5">
        <v>3.61505923106503</v>
      </c>
    </row>
    <row r="498" spans="1:20">
      <c r="A498" t="s">
        <v>1164</v>
      </c>
      <c r="B498" s="5">
        <v>3.50814300287174</v>
      </c>
      <c r="C498" s="5">
        <v>0.0672834042926543</v>
      </c>
      <c r="T498" s="5">
        <v>3.57542640716439</v>
      </c>
    </row>
    <row r="499" spans="1:20">
      <c r="A499" t="s">
        <v>1165</v>
      </c>
      <c r="C499" s="5">
        <v>0.0874684255804506</v>
      </c>
      <c r="D499" s="5">
        <v>0.0496210022281319</v>
      </c>
      <c r="K499" s="5">
        <v>0.0685430744557372</v>
      </c>
      <c r="L499" s="5">
        <v>0.0504616993179092</v>
      </c>
      <c r="M499" s="5">
        <v>0.125744972462093</v>
      </c>
      <c r="N499" s="5">
        <v>0.1504397426471</v>
      </c>
      <c r="O499" s="5">
        <v>0.277671180282297</v>
      </c>
      <c r="P499" s="5">
        <v>0.391630020540211</v>
      </c>
      <c r="Q499" s="5">
        <v>0.469920092984956</v>
      </c>
      <c r="R499" s="5">
        <v>0.72887468685831</v>
      </c>
      <c r="S499" s="5">
        <v>1.17467066245695</v>
      </c>
      <c r="T499" s="5">
        <v>3.57504555981415</v>
      </c>
    </row>
    <row r="500" spans="1:20">
      <c r="A500" t="s">
        <v>1166</v>
      </c>
      <c r="L500" s="5">
        <v>0.065600209113282</v>
      </c>
      <c r="M500" s="5">
        <v>0.0628724862310464</v>
      </c>
      <c r="N500" s="5">
        <v>0.1067636883302</v>
      </c>
      <c r="O500" s="5">
        <v>0.169426482884113</v>
      </c>
      <c r="P500" s="5">
        <v>0.365521352504197</v>
      </c>
      <c r="Q500" s="5">
        <v>0.637288893226173</v>
      </c>
      <c r="R500" s="5">
        <v>0.772782800524474</v>
      </c>
      <c r="S500" s="5">
        <v>1.38954944217469</v>
      </c>
      <c r="T500" s="5">
        <v>3.56980535498818</v>
      </c>
    </row>
    <row r="501" spans="1:20">
      <c r="A501" t="s">
        <v>1167</v>
      </c>
      <c r="N501" s="5">
        <v>0.0873521086337999</v>
      </c>
      <c r="O501" s="5">
        <v>0.127069862163085</v>
      </c>
      <c r="P501" s="5">
        <v>0.271530147574547</v>
      </c>
      <c r="Q501" s="5">
        <v>0.502106400723651</v>
      </c>
      <c r="R501" s="5">
        <v>0.816690914190637</v>
      </c>
      <c r="S501" s="5">
        <v>1.74768074170425</v>
      </c>
      <c r="T501" s="5">
        <v>3.55243017498997</v>
      </c>
    </row>
    <row r="502" spans="1:20">
      <c r="A502" t="s">
        <v>1168</v>
      </c>
      <c r="B502" s="5"/>
      <c r="K502" s="5">
        <v>0.0594039978616389</v>
      </c>
      <c r="L502" s="5">
        <v>0.0555078692497001</v>
      </c>
      <c r="M502" s="5">
        <v>0.0822178666098299</v>
      </c>
      <c r="N502" s="5">
        <v>0.1067636883302</v>
      </c>
      <c r="O502" s="5">
        <v>0.178839065266564</v>
      </c>
      <c r="P502" s="5">
        <v>0.261086680360141</v>
      </c>
      <c r="Q502" s="5">
        <v>0.424859262150782</v>
      </c>
      <c r="R502" s="5">
        <v>0.851817405123568</v>
      </c>
      <c r="S502" s="5">
        <v>1.47550095406178</v>
      </c>
      <c r="T502" s="5">
        <v>3.4959967890142</v>
      </c>
    </row>
    <row r="503" spans="1:20">
      <c r="A503" t="s">
        <v>1169</v>
      </c>
      <c r="M503" s="5">
        <v>0.0531997960416547</v>
      </c>
      <c r="N503" s="5"/>
      <c r="O503" s="5">
        <v>0.0941258238245073</v>
      </c>
      <c r="P503" s="5">
        <v>0.177538942644896</v>
      </c>
      <c r="Q503" s="5">
        <v>0.463482831437217</v>
      </c>
      <c r="R503" s="5">
        <v>0.807909291457404</v>
      </c>
      <c r="S503" s="5">
        <v>1.89093326151607</v>
      </c>
      <c r="T503" s="5">
        <v>3.48718994692175</v>
      </c>
    </row>
    <row r="504" spans="1:20">
      <c r="A504" t="s">
        <v>1170</v>
      </c>
      <c r="K504" s="5">
        <v>0.0456953829704914</v>
      </c>
      <c r="L504" s="5">
        <v>0.0807387189086547</v>
      </c>
      <c r="M504" s="5">
        <v>0.101563246988613</v>
      </c>
      <c r="N504" s="5">
        <v>0.1892629020399</v>
      </c>
      <c r="O504" s="5">
        <v>0.268258597899846</v>
      </c>
      <c r="P504" s="5">
        <v>0.308082282824966</v>
      </c>
      <c r="Q504" s="5">
        <v>0.444171046793999</v>
      </c>
      <c r="R504" s="5">
        <v>0.790346045990939</v>
      </c>
      <c r="S504" s="5">
        <v>1.24629692236286</v>
      </c>
      <c r="T504" s="5">
        <v>3.47441514678027</v>
      </c>
    </row>
    <row r="505" spans="1:20">
      <c r="A505" t="s">
        <v>1171</v>
      </c>
      <c r="M505" s="5">
        <v>0.101563246988613</v>
      </c>
      <c r="N505" s="5">
        <v>0.1552926375712</v>
      </c>
      <c r="O505" s="5">
        <v>0.230608268370043</v>
      </c>
      <c r="P505" s="5">
        <v>0.40729522136182</v>
      </c>
      <c r="Q505" s="5">
        <v>0.457045569889477</v>
      </c>
      <c r="R505" s="5">
        <v>0.807909291457404</v>
      </c>
      <c r="S505" s="5">
        <v>1.28927267830641</v>
      </c>
      <c r="T505" s="5">
        <v>3.44898691394497</v>
      </c>
    </row>
    <row r="506" spans="1:20">
      <c r="A506" t="s">
        <v>1172</v>
      </c>
      <c r="L506" s="5">
        <v>0.0555078692497001</v>
      </c>
      <c r="M506" s="5">
        <v>0.0870542117045258</v>
      </c>
      <c r="N506" s="5">
        <v>0.1019107934061</v>
      </c>
      <c r="O506" s="5">
        <v>0.164720191692888</v>
      </c>
      <c r="P506" s="5">
        <v>0.255864946752938</v>
      </c>
      <c r="Q506" s="5">
        <v>0.540729970010086</v>
      </c>
      <c r="R506" s="5">
        <v>0.878162273323266</v>
      </c>
      <c r="S506" s="5">
        <v>1.34657368623114</v>
      </c>
      <c r="T506" s="5">
        <v>3.43052394237064</v>
      </c>
    </row>
    <row r="507" spans="1:20">
      <c r="A507" t="s">
        <v>1173</v>
      </c>
      <c r="B507" s="5"/>
      <c r="L507" s="5">
        <v>0.0504616993179092</v>
      </c>
      <c r="M507" s="5">
        <v>0.0870542117045258</v>
      </c>
      <c r="N507" s="5">
        <v>0.1164694781784</v>
      </c>
      <c r="O507" s="5">
        <v>0.211783103605141</v>
      </c>
      <c r="P507" s="5">
        <v>0.349856151682589</v>
      </c>
      <c r="Q507" s="5">
        <v>0.392672954412086</v>
      </c>
      <c r="R507" s="5">
        <v>0.913288764256196</v>
      </c>
      <c r="S507" s="5">
        <v>1.26062217434405</v>
      </c>
      <c r="T507" s="5">
        <v>3.3822085375009</v>
      </c>
    </row>
    <row r="508" spans="1:20">
      <c r="A508" t="s">
        <v>1174</v>
      </c>
      <c r="J508" s="5">
        <v>0.0488744568048439</v>
      </c>
      <c r="K508" s="5"/>
      <c r="L508" s="5">
        <v>0.0706463790450729</v>
      </c>
      <c r="M508" s="5">
        <v>0.0918905567992217</v>
      </c>
      <c r="N508" s="5">
        <v>0.1649984274194</v>
      </c>
      <c r="O508" s="5">
        <v>0.221195685987592</v>
      </c>
      <c r="P508" s="5">
        <v>0.287195348396155</v>
      </c>
      <c r="Q508" s="5">
        <v>0.482794616080434</v>
      </c>
      <c r="R508" s="5">
        <v>0.82547253692387</v>
      </c>
      <c r="S508" s="5">
        <v>1.17467066245695</v>
      </c>
      <c r="T508" s="5">
        <v>3.36773866991354</v>
      </c>
    </row>
    <row r="509" spans="1:20">
      <c r="A509" t="s">
        <v>1175</v>
      </c>
      <c r="L509" s="5">
        <v>0.0504616993179092</v>
      </c>
      <c r="M509" s="5">
        <v>0.101563246988613</v>
      </c>
      <c r="N509" s="5">
        <v>0.1552926375712</v>
      </c>
      <c r="O509" s="5">
        <v>0.362384421724353</v>
      </c>
      <c r="P509" s="5">
        <v>0.480399491862659</v>
      </c>
      <c r="Q509" s="5">
        <v>0.624414370130695</v>
      </c>
      <c r="R509" s="5">
        <v>0.790346045990939</v>
      </c>
      <c r="S509" s="5">
        <v>0.787888858965029</v>
      </c>
      <c r="T509" s="5">
        <v>3.3527507725514</v>
      </c>
    </row>
    <row r="510" spans="1:20">
      <c r="A510" t="s">
        <v>1176</v>
      </c>
      <c r="K510" s="5">
        <v>0.0502649212675406</v>
      </c>
      <c r="L510" s="5">
        <v>0.0908310587722366</v>
      </c>
      <c r="M510" s="5">
        <v>0.130581317556789</v>
      </c>
      <c r="N510" s="5">
        <v>0.2377918512809</v>
      </c>
      <c r="O510" s="5">
        <v>0.301202636238423</v>
      </c>
      <c r="P510" s="5">
        <v>0.3707430861114</v>
      </c>
      <c r="Q510" s="5">
        <v>0.527855446914608</v>
      </c>
      <c r="R510" s="5">
        <v>0.632276836792751</v>
      </c>
      <c r="S510" s="5">
        <v>1.00276763868276</v>
      </c>
      <c r="T510" s="5">
        <v>3.34431479361741</v>
      </c>
    </row>
    <row r="511" spans="1:20">
      <c r="A511" t="s">
        <v>1177</v>
      </c>
      <c r="K511" s="5">
        <v>0.0822516893468846</v>
      </c>
      <c r="L511" s="5">
        <v>0.0807387189086547</v>
      </c>
      <c r="M511" s="5">
        <v>0.154763043030268</v>
      </c>
      <c r="N511" s="5">
        <v>0.1844100071158</v>
      </c>
      <c r="O511" s="5">
        <v>0.240020850752494</v>
      </c>
      <c r="P511" s="5">
        <v>0.365521352504197</v>
      </c>
      <c r="Q511" s="5">
        <v>0.444171046793999</v>
      </c>
      <c r="R511" s="5">
        <v>0.72887468685831</v>
      </c>
      <c r="S511" s="5">
        <v>1.06006864660749</v>
      </c>
      <c r="T511" s="5">
        <v>3.3408200419181</v>
      </c>
    </row>
    <row r="512" spans="1:20">
      <c r="A512" t="s">
        <v>1178</v>
      </c>
      <c r="B512" s="5">
        <v>0.520739976988775</v>
      </c>
      <c r="C512" s="5">
        <v>0.114381787297512</v>
      </c>
      <c r="H512" s="5">
        <v>0.0681249648021015</v>
      </c>
      <c r="J512" s="5">
        <v>0.142180237977728</v>
      </c>
      <c r="K512" s="5">
        <v>0.15993384039672</v>
      </c>
      <c r="L512" s="5">
        <v>0.146338928021937</v>
      </c>
      <c r="M512" s="5">
        <v>0.232144564545402</v>
      </c>
      <c r="N512" s="5">
        <v>0.2183802715845</v>
      </c>
      <c r="O512" s="5">
        <v>0.291790053855973</v>
      </c>
      <c r="P512" s="5">
        <v>0.302860549217763</v>
      </c>
      <c r="Q512" s="5">
        <v>0.296114031195999</v>
      </c>
      <c r="R512" s="5">
        <v>0.351264909329306</v>
      </c>
      <c r="S512" s="5">
        <v>0.4870585673602</v>
      </c>
      <c r="T512" s="5">
        <v>3.33131268257392</v>
      </c>
    </row>
    <row r="513" spans="1:20">
      <c r="A513" t="s">
        <v>1179</v>
      </c>
      <c r="N513" s="5">
        <v>0.0582347390892</v>
      </c>
      <c r="O513" s="5">
        <v>0.0800069502508312</v>
      </c>
      <c r="P513" s="5">
        <v>0.187982409859301</v>
      </c>
      <c r="Q513" s="5">
        <v>0.469920092984956</v>
      </c>
      <c r="R513" s="5">
        <v>0.790346045990939</v>
      </c>
      <c r="S513" s="5">
        <v>1.71903023774188</v>
      </c>
      <c r="T513" s="5">
        <v>3.30552047591711</v>
      </c>
    </row>
    <row r="514" spans="1:20">
      <c r="A514" t="s">
        <v>1180</v>
      </c>
      <c r="B514" s="5"/>
      <c r="J514" s="5">
        <v>0.0710901189888639</v>
      </c>
      <c r="K514" s="5">
        <v>0.114238457426229</v>
      </c>
      <c r="L514" s="5">
        <v>0.121108078362982</v>
      </c>
      <c r="M514" s="5">
        <v>0.149926697935572</v>
      </c>
      <c r="N514" s="5">
        <v>0.2620563259014</v>
      </c>
      <c r="O514" s="5">
        <v>0.277671180282297</v>
      </c>
      <c r="P514" s="5">
        <v>0.323747483646575</v>
      </c>
      <c r="Q514" s="5">
        <v>0.592228062391999</v>
      </c>
      <c r="R514" s="5">
        <v>0.570805477660123</v>
      </c>
      <c r="S514" s="5">
        <v>0.816539362927394</v>
      </c>
      <c r="T514" s="5">
        <v>3.29941124552344</v>
      </c>
    </row>
    <row r="515" spans="1:20">
      <c r="A515" t="s">
        <v>1181</v>
      </c>
      <c r="L515" s="5">
        <v>0.0605540391814911</v>
      </c>
      <c r="M515" s="5">
        <v>0.0628724862310464</v>
      </c>
      <c r="N515" s="5">
        <v>0.1067636883302</v>
      </c>
      <c r="O515" s="5">
        <v>0.202370521222691</v>
      </c>
      <c r="P515" s="5">
        <v>0.302860549217763</v>
      </c>
      <c r="Q515" s="5">
        <v>0.514980923819129</v>
      </c>
      <c r="R515" s="5">
        <v>0.658621704992449</v>
      </c>
      <c r="S515" s="5">
        <v>1.38954944217469</v>
      </c>
      <c r="T515" s="5">
        <v>3.29857335516946</v>
      </c>
    </row>
    <row r="516" spans="1:20">
      <c r="A516" t="s">
        <v>1182</v>
      </c>
      <c r="B516" s="5"/>
      <c r="C516" s="5"/>
      <c r="L516" s="5">
        <v>0.0605540391814911</v>
      </c>
      <c r="M516" s="5">
        <v>0.106399592083309</v>
      </c>
      <c r="N516" s="5">
        <v>0.1649984274194</v>
      </c>
      <c r="O516" s="5">
        <v>0.230608268370043</v>
      </c>
      <c r="P516" s="5">
        <v>0.318525750039372</v>
      </c>
      <c r="Q516" s="5">
        <v>0.457045569889477</v>
      </c>
      <c r="R516" s="5">
        <v>0.720093064125078</v>
      </c>
      <c r="S516" s="5">
        <v>1.2176464184005</v>
      </c>
      <c r="T516" s="5">
        <v>3.27587112950867</v>
      </c>
    </row>
    <row r="517" spans="1:20">
      <c r="A517" t="s">
        <v>1183</v>
      </c>
      <c r="L517" s="5">
        <v>0.0555078692497001</v>
      </c>
      <c r="M517" s="5">
        <v>0.120908627367397</v>
      </c>
      <c r="N517" s="5">
        <v>0.1552926375712</v>
      </c>
      <c r="O517" s="5">
        <v>0.225901977178818</v>
      </c>
      <c r="P517" s="5">
        <v>0.349856151682589</v>
      </c>
      <c r="Q517" s="5">
        <v>0.547167231557825</v>
      </c>
      <c r="R517" s="5">
        <v>0.69374819592538</v>
      </c>
      <c r="S517" s="5">
        <v>1.11736965453222</v>
      </c>
      <c r="T517" s="5">
        <v>3.26575234506513</v>
      </c>
    </row>
    <row r="518" spans="1:20">
      <c r="A518" t="s">
        <v>1184</v>
      </c>
      <c r="J518" s="5">
        <v>0.04443132436804</v>
      </c>
      <c r="K518" s="5">
        <v>0.0913907659409829</v>
      </c>
      <c r="L518" s="5">
        <v>0.136246588158355</v>
      </c>
      <c r="M518" s="5">
        <v>0.140254007746181</v>
      </c>
      <c r="N518" s="5">
        <v>0.2183802715845</v>
      </c>
      <c r="O518" s="5">
        <v>0.352971839341902</v>
      </c>
      <c r="P518" s="5">
        <v>0.375964819718603</v>
      </c>
      <c r="Q518" s="5">
        <v>0.502106400723651</v>
      </c>
      <c r="R518" s="5">
        <v>0.658621704992449</v>
      </c>
      <c r="S518" s="5">
        <v>0.701937347077935</v>
      </c>
      <c r="T518" s="5">
        <v>3.2223050696526</v>
      </c>
    </row>
    <row r="519" spans="1:20">
      <c r="A519" t="s">
        <v>1185</v>
      </c>
      <c r="B519" s="5">
        <v>3.04221776030284</v>
      </c>
      <c r="C519" s="5">
        <v>0.168208510731636</v>
      </c>
      <c r="T519" s="5">
        <v>3.21042627103448</v>
      </c>
    </row>
    <row r="520" spans="1:20">
      <c r="A520" t="s">
        <v>1186</v>
      </c>
      <c r="L520" s="5">
        <v>0.0756925489768638</v>
      </c>
      <c r="M520" s="5">
        <v>0.106399592083309</v>
      </c>
      <c r="N520" s="5">
        <v>0.2086744817363</v>
      </c>
      <c r="O520" s="5">
        <v>0.211783103605141</v>
      </c>
      <c r="P520" s="5">
        <v>0.355077885289792</v>
      </c>
      <c r="Q520" s="5">
        <v>0.502106400723651</v>
      </c>
      <c r="R520" s="5">
        <v>0.684966573192147</v>
      </c>
      <c r="S520" s="5">
        <v>1.06006864660749</v>
      </c>
      <c r="T520" s="5">
        <v>3.20476923221469</v>
      </c>
    </row>
    <row r="521" spans="1:20">
      <c r="A521" t="s">
        <v>1187</v>
      </c>
      <c r="N521" s="5">
        <v>0.1358810578748</v>
      </c>
      <c r="O521" s="5">
        <v>0.26355230670862</v>
      </c>
      <c r="P521" s="5">
        <v>0.381186553325806</v>
      </c>
      <c r="Q521" s="5">
        <v>0.598665323939738</v>
      </c>
      <c r="R521" s="5">
        <v>0.816690914190637</v>
      </c>
      <c r="S521" s="5">
        <v>1.00276763868276</v>
      </c>
      <c r="T521" s="5">
        <v>3.19874379472236</v>
      </c>
    </row>
    <row r="522" spans="1:20">
      <c r="A522" t="s">
        <v>1188</v>
      </c>
      <c r="L522" s="5">
        <v>0.065600209113282</v>
      </c>
      <c r="M522" s="5">
        <v>0.0628724862310464</v>
      </c>
      <c r="N522" s="5">
        <v>0.1067636883302</v>
      </c>
      <c r="O522" s="5">
        <v>0.230608268370043</v>
      </c>
      <c r="P522" s="5">
        <v>0.3707430861114</v>
      </c>
      <c r="Q522" s="5">
        <v>0.50854366227139</v>
      </c>
      <c r="R522" s="5">
        <v>0.781564423257706</v>
      </c>
      <c r="S522" s="5">
        <v>1.04574339462631</v>
      </c>
      <c r="T522" s="5">
        <v>3.17243921831138</v>
      </c>
    </row>
    <row r="523" spans="1:20">
      <c r="A523" t="s">
        <v>1189</v>
      </c>
      <c r="G523" s="5">
        <v>0.0550176762624218</v>
      </c>
      <c r="J523" s="5">
        <v>0.04443132436804</v>
      </c>
      <c r="L523" s="5">
        <v>0.0605540391814911</v>
      </c>
      <c r="M523" s="5">
        <v>0.120908627367397</v>
      </c>
      <c r="N523" s="5">
        <v>0.1795571121917</v>
      </c>
      <c r="O523" s="5">
        <v>0.268258597899846</v>
      </c>
      <c r="P523" s="5">
        <v>0.381186553325806</v>
      </c>
      <c r="Q523" s="5">
        <v>0.469920092984956</v>
      </c>
      <c r="R523" s="5">
        <v>0.518115741260727</v>
      </c>
      <c r="S523" s="5">
        <v>1.04574339462631</v>
      </c>
      <c r="T523" s="5">
        <v>3.1436931594687</v>
      </c>
    </row>
    <row r="524" spans="1:20">
      <c r="A524" t="s">
        <v>1190</v>
      </c>
      <c r="N524" s="5">
        <v>0.048528949241</v>
      </c>
      <c r="O524" s="5">
        <v>0.183545356457789</v>
      </c>
      <c r="P524" s="5">
        <v>0.302860549217763</v>
      </c>
      <c r="Q524" s="5">
        <v>0.482794616080434</v>
      </c>
      <c r="R524" s="5">
        <v>0.649840082259216</v>
      </c>
      <c r="S524" s="5">
        <v>1.41819994613705</v>
      </c>
      <c r="T524" s="5">
        <v>3.08576949939325</v>
      </c>
    </row>
    <row r="525" spans="1:20">
      <c r="A525" t="s">
        <v>1191</v>
      </c>
      <c r="K525" s="5">
        <v>0.0502649212675406</v>
      </c>
      <c r="M525" s="5">
        <v>0.0870542117045258</v>
      </c>
      <c r="N525" s="5">
        <v>0.0824992137096999</v>
      </c>
      <c r="O525" s="5">
        <v>0.183545356457789</v>
      </c>
      <c r="P525" s="5">
        <v>0.3707430861114</v>
      </c>
      <c r="Q525" s="5">
        <v>0.560041754653303</v>
      </c>
      <c r="R525" s="5">
        <v>0.684966573192147</v>
      </c>
      <c r="S525" s="5">
        <v>1.06006864660749</v>
      </c>
      <c r="T525" s="5">
        <v>3.0791837637039</v>
      </c>
    </row>
    <row r="526" spans="1:20">
      <c r="A526" t="s">
        <v>1192</v>
      </c>
      <c r="N526" s="5">
        <v>0.0630876340133</v>
      </c>
      <c r="O526" s="5">
        <v>0.0894195326332819</v>
      </c>
      <c r="P526" s="5">
        <v>0.146208541001679</v>
      </c>
      <c r="Q526" s="5">
        <v>0.28967676964826</v>
      </c>
      <c r="R526" s="5">
        <v>0.737656309591543</v>
      </c>
      <c r="S526" s="5">
        <v>1.73335548972306</v>
      </c>
      <c r="T526" s="5">
        <v>3.05940427661112</v>
      </c>
    </row>
    <row r="527" spans="1:20">
      <c r="A527" t="s">
        <v>1193</v>
      </c>
      <c r="B527" s="5">
        <v>0.493332609778839</v>
      </c>
      <c r="C527" s="5">
        <v>0.134566808585309</v>
      </c>
      <c r="L527" s="5">
        <v>0.0756925489768638</v>
      </c>
      <c r="M527" s="5">
        <v>0.116072282272701</v>
      </c>
      <c r="N527" s="5">
        <v>0.1552926375712</v>
      </c>
      <c r="O527" s="5">
        <v>0.188251647649015</v>
      </c>
      <c r="P527" s="5">
        <v>0.271530147574547</v>
      </c>
      <c r="Q527" s="5">
        <v>0.373361169768869</v>
      </c>
      <c r="R527" s="5">
        <v>0.491770873061029</v>
      </c>
      <c r="S527" s="5">
        <v>0.744913103021482</v>
      </c>
      <c r="T527" s="5">
        <v>3.04478382825986</v>
      </c>
    </row>
    <row r="528" spans="1:20">
      <c r="A528" t="s">
        <v>1194</v>
      </c>
      <c r="M528" s="5">
        <v>0.125744972462093</v>
      </c>
      <c r="N528" s="5">
        <v>0.2669092208255</v>
      </c>
      <c r="O528" s="5">
        <v>0.357678130533128</v>
      </c>
      <c r="P528" s="5">
        <v>0.595277631221121</v>
      </c>
      <c r="Q528" s="5">
        <v>0.592228062391999</v>
      </c>
      <c r="R528" s="5">
        <v>0.56202385492689</v>
      </c>
      <c r="S528" s="5">
        <v>0.530034323303747</v>
      </c>
      <c r="T528" s="5">
        <v>3.02989619566448</v>
      </c>
    </row>
    <row r="529" spans="1:20">
      <c r="A529" t="s">
        <v>1195</v>
      </c>
      <c r="J529" s="5">
        <v>0.04443132436804</v>
      </c>
      <c r="K529" s="5">
        <v>0.0685430744557372</v>
      </c>
      <c r="L529" s="5">
        <v>0.1110157384994</v>
      </c>
      <c r="M529" s="5">
        <v>0.120908627367397</v>
      </c>
      <c r="N529" s="5">
        <v>0.1747042172676</v>
      </c>
      <c r="O529" s="5">
        <v>0.282377471473522</v>
      </c>
      <c r="P529" s="5">
        <v>0.438625623005037</v>
      </c>
      <c r="Q529" s="5">
        <v>0.579353539296521</v>
      </c>
      <c r="R529" s="5">
        <v>0.597150345859821</v>
      </c>
      <c r="S529" s="5">
        <v>0.601660583209659</v>
      </c>
      <c r="T529" s="5">
        <v>3.01877054480273</v>
      </c>
    </row>
    <row r="530" spans="1:20">
      <c r="A530" t="s">
        <v>1196</v>
      </c>
      <c r="L530" s="5">
        <v>0.065600209113282</v>
      </c>
      <c r="M530" s="5">
        <v>0.101563246988613</v>
      </c>
      <c r="N530" s="5">
        <v>0.0824992137096999</v>
      </c>
      <c r="O530" s="5">
        <v>0.188251647649015</v>
      </c>
      <c r="P530" s="5">
        <v>0.198425877073707</v>
      </c>
      <c r="Q530" s="5">
        <v>0.373361169768869</v>
      </c>
      <c r="R530" s="5">
        <v>0.684966573192147</v>
      </c>
      <c r="S530" s="5">
        <v>1.30359793028759</v>
      </c>
      <c r="T530" s="5">
        <v>2.99826586778292</v>
      </c>
    </row>
    <row r="531" spans="1:20">
      <c r="A531" t="s">
        <v>1197</v>
      </c>
      <c r="M531" s="5">
        <v>0.0677088313257423</v>
      </c>
      <c r="N531" s="5">
        <v>0.0922050035578999</v>
      </c>
      <c r="O531" s="5">
        <v>0.183545356457789</v>
      </c>
      <c r="P531" s="5">
        <v>0.271530147574547</v>
      </c>
      <c r="Q531" s="5">
        <v>0.405547477507564</v>
      </c>
      <c r="R531" s="5">
        <v>0.737656309591543</v>
      </c>
      <c r="S531" s="5">
        <v>1.23197167038168</v>
      </c>
      <c r="T531" s="5">
        <v>2.99016479639677</v>
      </c>
    </row>
    <row r="532" spans="1:20">
      <c r="A532" t="s">
        <v>1198</v>
      </c>
      <c r="J532" s="5">
        <v>0.0488744568048439</v>
      </c>
      <c r="K532" s="5"/>
      <c r="L532" s="5"/>
      <c r="M532" s="5">
        <v>0.101563246988613</v>
      </c>
      <c r="N532" s="5">
        <v>0.1407339527989</v>
      </c>
      <c r="O532" s="5">
        <v>0.277671180282297</v>
      </c>
      <c r="P532" s="5">
        <v>0.344634418075386</v>
      </c>
      <c r="Q532" s="5">
        <v>0.424859262150782</v>
      </c>
      <c r="R532" s="5">
        <v>0.684966573192147</v>
      </c>
      <c r="S532" s="5">
        <v>0.959791882739217</v>
      </c>
      <c r="T532" s="5">
        <v>2.98309497303219</v>
      </c>
    </row>
    <row r="533" spans="1:20">
      <c r="A533" t="s">
        <v>1199</v>
      </c>
      <c r="J533" s="5">
        <v>0.0488744568048439</v>
      </c>
      <c r="K533" s="5">
        <v>0.0456953829704914</v>
      </c>
      <c r="L533" s="5">
        <v>0.065600209113282</v>
      </c>
      <c r="M533" s="5">
        <v>0.101563246988613</v>
      </c>
      <c r="N533" s="5">
        <v>0.1989686918881</v>
      </c>
      <c r="O533" s="5">
        <v>0.25413972432617</v>
      </c>
      <c r="P533" s="5">
        <v>0.250643213145735</v>
      </c>
      <c r="Q533" s="5">
        <v>0.463482831437217</v>
      </c>
      <c r="R533" s="5">
        <v>0.676184950458915</v>
      </c>
      <c r="S533" s="5">
        <v>0.873840370852123</v>
      </c>
      <c r="T533" s="5">
        <v>2.97899307798549</v>
      </c>
    </row>
    <row r="534" spans="1:20">
      <c r="A534" t="s">
        <v>1200</v>
      </c>
      <c r="M534" s="5">
        <v>0.0822178666098299</v>
      </c>
      <c r="N534" s="5">
        <v>0.2232331665086</v>
      </c>
      <c r="O534" s="5">
        <v>0.442391371975184</v>
      </c>
      <c r="P534" s="5">
        <v>0.605721098435527</v>
      </c>
      <c r="Q534" s="5">
        <v>0.617977108582955</v>
      </c>
      <c r="R534" s="5">
        <v>0.526897363993959</v>
      </c>
      <c r="S534" s="5">
        <v>0.444082811416653</v>
      </c>
      <c r="T534" s="5">
        <v>2.94252078752271</v>
      </c>
    </row>
    <row r="535" spans="1:20">
      <c r="A535" t="s">
        <v>1201</v>
      </c>
      <c r="M535" s="5">
        <v>0.0677088313257423</v>
      </c>
      <c r="N535" s="5">
        <v>0.1747042172676</v>
      </c>
      <c r="O535" s="5">
        <v>0.216489394796367</v>
      </c>
      <c r="P535" s="5">
        <v>0.308082282824966</v>
      </c>
      <c r="Q535" s="5">
        <v>0.411984739055304</v>
      </c>
      <c r="R535" s="5">
        <v>0.649840082259216</v>
      </c>
      <c r="S535" s="5">
        <v>1.10304440255104</v>
      </c>
      <c r="T535" s="5">
        <v>2.93185395008024</v>
      </c>
    </row>
    <row r="536" spans="1:20">
      <c r="A536" t="s">
        <v>1202</v>
      </c>
      <c r="M536" s="5">
        <v>0.0580361411363505</v>
      </c>
      <c r="N536" s="5">
        <v>0.1407339527989</v>
      </c>
      <c r="O536" s="5">
        <v>0.145895026927986</v>
      </c>
      <c r="P536" s="5">
        <v>0.349856151682589</v>
      </c>
      <c r="Q536" s="5">
        <v>0.469920092984956</v>
      </c>
      <c r="R536" s="5">
        <v>0.702529818658612</v>
      </c>
      <c r="S536" s="5">
        <v>1.06006864660749</v>
      </c>
      <c r="T536" s="5">
        <v>2.92703983079688</v>
      </c>
    </row>
    <row r="537" spans="1:20">
      <c r="A537" t="s">
        <v>1203</v>
      </c>
      <c r="N537" s="5">
        <v>0.0533818441651</v>
      </c>
      <c r="O537" s="5">
        <v>0.216489394796367</v>
      </c>
      <c r="P537" s="5">
        <v>0.402073487754617</v>
      </c>
      <c r="Q537" s="5">
        <v>0.482794616080434</v>
      </c>
      <c r="R537" s="5">
        <v>0.82547253692387</v>
      </c>
      <c r="S537" s="5">
        <v>0.945466630758035</v>
      </c>
      <c r="T537" s="5">
        <v>2.92567851047842</v>
      </c>
    </row>
    <row r="538" spans="1:20">
      <c r="A538" t="s">
        <v>1204</v>
      </c>
      <c r="J538" s="5">
        <v>0.04443132436804</v>
      </c>
      <c r="L538" s="5">
        <v>0.0857848888404457</v>
      </c>
      <c r="M538" s="5">
        <v>0.106399592083309</v>
      </c>
      <c r="N538" s="5">
        <v>0.1552926375712</v>
      </c>
      <c r="O538" s="5">
        <v>0.268258597899846</v>
      </c>
      <c r="P538" s="5">
        <v>0.318525750039372</v>
      </c>
      <c r="Q538" s="5">
        <v>0.457045569889477</v>
      </c>
      <c r="R538" s="5">
        <v>0.474207627594563</v>
      </c>
      <c r="S538" s="5">
        <v>1.00276763868276</v>
      </c>
      <c r="T538" s="5">
        <v>2.91271362696901</v>
      </c>
    </row>
    <row r="539" spans="1:20">
      <c r="A539" t="s">
        <v>1205</v>
      </c>
      <c r="B539" s="5">
        <v>2.90518092425316</v>
      </c>
      <c r="T539" s="5">
        <v>2.90518092425316</v>
      </c>
    </row>
    <row r="540" spans="1:20">
      <c r="A540" t="s">
        <v>1206</v>
      </c>
      <c r="M540" s="5">
        <v>0.0773815215151341</v>
      </c>
      <c r="N540" s="5">
        <v>0.1747042172676</v>
      </c>
      <c r="O540" s="5">
        <v>0.178839065266564</v>
      </c>
      <c r="P540" s="5">
        <v>0.302860549217763</v>
      </c>
      <c r="Q540" s="5">
        <v>0.482794616080434</v>
      </c>
      <c r="R540" s="5">
        <v>0.711311441391845</v>
      </c>
      <c r="S540" s="5">
        <v>0.9741171347204</v>
      </c>
      <c r="T540" s="5">
        <v>2.90200854545974</v>
      </c>
    </row>
    <row r="541" spans="1:20">
      <c r="A541" t="s">
        <v>1207</v>
      </c>
      <c r="B541" s="5">
        <v>2.74073672099355</v>
      </c>
      <c r="C541" s="5">
        <v>0.094196766009716</v>
      </c>
      <c r="D541" s="5">
        <v>0.0496210022281319</v>
      </c>
      <c r="T541" s="5">
        <v>2.8845544892314</v>
      </c>
    </row>
    <row r="542" spans="1:20">
      <c r="A542" t="s">
        <v>1208</v>
      </c>
      <c r="N542" s="5">
        <v>0.0970578984819999</v>
      </c>
      <c r="O542" s="5">
        <v>0.188251647649015</v>
      </c>
      <c r="P542" s="5">
        <v>0.24019974593133</v>
      </c>
      <c r="Q542" s="5">
        <v>0.405547477507564</v>
      </c>
      <c r="R542" s="5">
        <v>0.720093064125078</v>
      </c>
      <c r="S542" s="5">
        <v>1.23197167038168</v>
      </c>
      <c r="T542" s="5">
        <v>2.88312150407667</v>
      </c>
    </row>
    <row r="543" spans="1:20">
      <c r="A543" t="s">
        <v>1209</v>
      </c>
      <c r="L543" s="5">
        <v>0.0555078692497001</v>
      </c>
      <c r="M543" s="5">
        <v>0.0918905567992217</v>
      </c>
      <c r="N543" s="5">
        <v>0.1310281629507</v>
      </c>
      <c r="O543" s="5">
        <v>0.13177615335431</v>
      </c>
      <c r="P543" s="5">
        <v>0.297638815610561</v>
      </c>
      <c r="Q543" s="5">
        <v>0.360486646673391</v>
      </c>
      <c r="R543" s="5">
        <v>0.676184950458915</v>
      </c>
      <c r="S543" s="5">
        <v>1.13169490651341</v>
      </c>
      <c r="T543" s="5">
        <v>2.87620806161021</v>
      </c>
    </row>
    <row r="544" spans="1:20">
      <c r="A544" t="s">
        <v>1210</v>
      </c>
      <c r="J544" s="5">
        <v>0.0710901189888639</v>
      </c>
      <c r="K544" s="5">
        <v>0.0868212276439337</v>
      </c>
      <c r="L544" s="5">
        <v>0.0908310587722366</v>
      </c>
      <c r="M544" s="5">
        <v>0.111235937178005</v>
      </c>
      <c r="N544" s="5">
        <v>0.1649984274194</v>
      </c>
      <c r="O544" s="5">
        <v>0.25413972432617</v>
      </c>
      <c r="P544" s="5">
        <v>0.261086680360141</v>
      </c>
      <c r="Q544" s="5">
        <v>0.379798431316608</v>
      </c>
      <c r="R544" s="5">
        <v>0.676184950458915</v>
      </c>
      <c r="S544" s="5">
        <v>0.744913103021482</v>
      </c>
      <c r="T544" s="5">
        <v>2.84109965948576</v>
      </c>
    </row>
    <row r="545" spans="1:20">
      <c r="A545" t="s">
        <v>1211</v>
      </c>
      <c r="K545" s="5">
        <v>0.0502649212675406</v>
      </c>
      <c r="L545" s="5">
        <v>0.0807387189086547</v>
      </c>
      <c r="M545" s="5">
        <v>0.0628724862310464</v>
      </c>
      <c r="N545" s="5">
        <v>0.1407339527989</v>
      </c>
      <c r="O545" s="5">
        <v>0.150601318119212</v>
      </c>
      <c r="P545" s="5">
        <v>0.302860549217763</v>
      </c>
      <c r="Q545" s="5">
        <v>0.341174862030173</v>
      </c>
      <c r="R545" s="5">
        <v>0.632276836792751</v>
      </c>
      <c r="S545" s="5">
        <v>1.04574339462631</v>
      </c>
      <c r="T545" s="5">
        <v>2.80726703999235</v>
      </c>
    </row>
    <row r="546" spans="1:20">
      <c r="A546" t="s">
        <v>1212</v>
      </c>
      <c r="L546" s="5">
        <v>0.0555078692497001</v>
      </c>
      <c r="M546" s="5">
        <v>0.0918905567992217</v>
      </c>
      <c r="N546" s="5">
        <v>0.1019107934061</v>
      </c>
      <c r="O546" s="5">
        <v>0.19295793884024</v>
      </c>
      <c r="P546" s="5">
        <v>0.386408286933009</v>
      </c>
      <c r="Q546" s="5">
        <v>0.547167231557825</v>
      </c>
      <c r="R546" s="5">
        <v>0.56202385492689</v>
      </c>
      <c r="S546" s="5">
        <v>0.845189866889759</v>
      </c>
      <c r="T546" s="5">
        <v>2.78305639860274</v>
      </c>
    </row>
    <row r="547" spans="1:20">
      <c r="A547" t="s">
        <v>1213</v>
      </c>
      <c r="C547" s="5">
        <v>0.262405276741352</v>
      </c>
      <c r="D547" s="5">
        <v>0.183597708244088</v>
      </c>
      <c r="E547" s="5">
        <v>0.100794045894121</v>
      </c>
      <c r="F547" s="5">
        <v>0.0498290410899333</v>
      </c>
      <c r="L547" s="5">
        <v>0.0555078692497001</v>
      </c>
      <c r="M547" s="5">
        <v>0.125744972462093</v>
      </c>
      <c r="N547" s="5">
        <v>0.1116165832543</v>
      </c>
      <c r="O547" s="5">
        <v>0.277671180282297</v>
      </c>
      <c r="P547" s="5">
        <v>0.250643213145735</v>
      </c>
      <c r="Q547" s="5">
        <v>0.334737600482434</v>
      </c>
      <c r="R547" s="5">
        <v>0.421517891195168</v>
      </c>
      <c r="S547" s="5">
        <v>0.601660583209659</v>
      </c>
      <c r="T547" s="5">
        <v>2.77572596525088</v>
      </c>
    </row>
    <row r="548" spans="1:20">
      <c r="A548" t="s">
        <v>1214</v>
      </c>
      <c r="M548" s="5">
        <v>0.0483634509469588</v>
      </c>
      <c r="N548" s="5">
        <v>0.0582347390892</v>
      </c>
      <c r="O548" s="5">
        <v>0.122363570971859</v>
      </c>
      <c r="P548" s="5">
        <v>0.20364761068091</v>
      </c>
      <c r="Q548" s="5">
        <v>0.321863077386956</v>
      </c>
      <c r="R548" s="5">
        <v>0.72887468685831</v>
      </c>
      <c r="S548" s="5">
        <v>1.27494742632523</v>
      </c>
      <c r="T548" s="5">
        <v>2.75829456225942</v>
      </c>
    </row>
    <row r="549" spans="1:20">
      <c r="A549" t="s">
        <v>1215</v>
      </c>
      <c r="J549" s="5">
        <v>0.0577607216784519</v>
      </c>
      <c r="K549" s="5">
        <v>0.114238457426229</v>
      </c>
      <c r="L549" s="5">
        <v>0.156431267885519</v>
      </c>
      <c r="M549" s="5">
        <v>0.22247187435601</v>
      </c>
      <c r="N549" s="5">
        <v>0.3105852751424</v>
      </c>
      <c r="O549" s="5">
        <v>0.221195685987592</v>
      </c>
      <c r="P549" s="5">
        <v>0.297638815610561</v>
      </c>
      <c r="Q549" s="5">
        <v>0.392672954412086</v>
      </c>
      <c r="R549" s="5">
        <v>0.412736268461935</v>
      </c>
      <c r="S549" s="5">
        <v>0.558684827266112</v>
      </c>
      <c r="T549" s="5">
        <v>2.7444161482269</v>
      </c>
    </row>
    <row r="550" spans="1:20">
      <c r="A550" t="s">
        <v>1216</v>
      </c>
      <c r="L550" s="5">
        <v>0.0504616993179092</v>
      </c>
      <c r="M550" s="5">
        <v>0.0483634509469588</v>
      </c>
      <c r="N550" s="5">
        <v>0.0873521086337999</v>
      </c>
      <c r="O550" s="5">
        <v>0.160013900501662</v>
      </c>
      <c r="P550" s="5">
        <v>0.24019974593133</v>
      </c>
      <c r="Q550" s="5">
        <v>0.36692390822113</v>
      </c>
      <c r="R550" s="5">
        <v>0.579587100393355</v>
      </c>
      <c r="S550" s="5">
        <v>1.20332116641932</v>
      </c>
      <c r="T550" s="5">
        <v>2.73622308036546</v>
      </c>
    </row>
    <row r="551" spans="1:20">
      <c r="A551" t="s">
        <v>1217</v>
      </c>
      <c r="M551" s="5">
        <v>0.0773815215151341</v>
      </c>
      <c r="N551" s="5">
        <v>0.1261752680266</v>
      </c>
      <c r="O551" s="5">
        <v>0.174132774075339</v>
      </c>
      <c r="P551" s="5">
        <v>0.349856151682589</v>
      </c>
      <c r="Q551" s="5">
        <v>0.469920092984956</v>
      </c>
      <c r="R551" s="5">
        <v>0.720093064125078</v>
      </c>
      <c r="S551" s="5">
        <v>0.787888858965029</v>
      </c>
      <c r="T551" s="5">
        <v>2.70544773137473</v>
      </c>
    </row>
    <row r="552" spans="1:20">
      <c r="A552" t="s">
        <v>1218</v>
      </c>
      <c r="O552" s="5">
        <v>0.0658880766771551</v>
      </c>
      <c r="P552" s="5">
        <v>0.177538942644896</v>
      </c>
      <c r="Q552" s="5">
        <v>0.315425815839217</v>
      </c>
      <c r="R552" s="5">
        <v>0.781564423257706</v>
      </c>
      <c r="S552" s="5">
        <v>1.36089893821232</v>
      </c>
      <c r="T552" s="5">
        <v>2.70131619663129</v>
      </c>
    </row>
    <row r="553" spans="1:20">
      <c r="A553" t="s">
        <v>1219</v>
      </c>
      <c r="L553" s="5">
        <v>0.0756925489768638</v>
      </c>
      <c r="M553" s="5">
        <v>0.0531997960416547</v>
      </c>
      <c r="N553" s="5">
        <v>0.1019107934061</v>
      </c>
      <c r="O553" s="5">
        <v>0.183545356457789</v>
      </c>
      <c r="P553" s="5">
        <v>0.234978012324127</v>
      </c>
      <c r="Q553" s="5">
        <v>0.373361169768869</v>
      </c>
      <c r="R553" s="5">
        <v>0.851817405123568</v>
      </c>
      <c r="S553" s="5">
        <v>0.816539362927394</v>
      </c>
      <c r="T553" s="5">
        <v>2.69104444502637</v>
      </c>
    </row>
    <row r="554" spans="1:20">
      <c r="A554" t="s">
        <v>1220</v>
      </c>
      <c r="N554" s="5">
        <v>0.048528949241</v>
      </c>
      <c r="O554" s="5">
        <v>0.0941258238245073</v>
      </c>
      <c r="P554" s="5">
        <v>0.177538942644896</v>
      </c>
      <c r="Q554" s="5">
        <v>0.231741415718608</v>
      </c>
      <c r="R554" s="5">
        <v>0.69374819592538</v>
      </c>
      <c r="S554" s="5">
        <v>1.43252519811823</v>
      </c>
      <c r="T554" s="5">
        <v>2.67820852547262</v>
      </c>
    </row>
    <row r="555" spans="1:20">
      <c r="A555" t="s">
        <v>1221</v>
      </c>
      <c r="K555" s="5">
        <v>0.0502649212675406</v>
      </c>
      <c r="L555" s="5">
        <v>0.0908310587722366</v>
      </c>
      <c r="M555" s="5">
        <v>0.101563246988613</v>
      </c>
      <c r="N555" s="5">
        <v>0.1698513223435</v>
      </c>
      <c r="O555" s="5">
        <v>0.249433433134944</v>
      </c>
      <c r="P555" s="5">
        <v>0.349856151682589</v>
      </c>
      <c r="Q555" s="5">
        <v>0.43773378524626</v>
      </c>
      <c r="R555" s="5">
        <v>0.518115741260727</v>
      </c>
      <c r="S555" s="5">
        <v>0.701937347077935</v>
      </c>
      <c r="T555" s="5">
        <v>2.66958700777435</v>
      </c>
    </row>
    <row r="556" spans="1:20">
      <c r="A556" t="s">
        <v>1222</v>
      </c>
      <c r="N556" s="5">
        <v>0.1407339527989</v>
      </c>
      <c r="O556" s="5">
        <v>0.150601318119212</v>
      </c>
      <c r="P556" s="5">
        <v>0.255864946752938</v>
      </c>
      <c r="Q556" s="5">
        <v>0.36692390822113</v>
      </c>
      <c r="R556" s="5">
        <v>0.649840082259216</v>
      </c>
      <c r="S556" s="5">
        <v>1.10304440255104</v>
      </c>
      <c r="T556" s="5">
        <v>2.66700861070244</v>
      </c>
    </row>
    <row r="557" spans="1:20">
      <c r="A557" t="s">
        <v>1223</v>
      </c>
      <c r="M557" s="5">
        <v>0.0822178666098299</v>
      </c>
      <c r="N557" s="5">
        <v>0.1795571121917</v>
      </c>
      <c r="O557" s="5">
        <v>0.244727141943719</v>
      </c>
      <c r="P557" s="5">
        <v>0.250643213145735</v>
      </c>
      <c r="Q557" s="5">
        <v>0.399110215959825</v>
      </c>
      <c r="R557" s="5">
        <v>0.597150345859821</v>
      </c>
      <c r="S557" s="5">
        <v>0.888165622833306</v>
      </c>
      <c r="T557" s="5">
        <v>2.64157151854394</v>
      </c>
    </row>
    <row r="558" spans="1:20">
      <c r="A558" t="s">
        <v>1224</v>
      </c>
      <c r="L558" s="5">
        <v>0.0958772287040275</v>
      </c>
      <c r="M558" s="5">
        <v>0.0967269018939176</v>
      </c>
      <c r="N558" s="5">
        <v>0.1067636883302</v>
      </c>
      <c r="O558" s="5">
        <v>0.25413972432617</v>
      </c>
      <c r="P558" s="5">
        <v>0.323747483646575</v>
      </c>
      <c r="Q558" s="5">
        <v>0.482794616080434</v>
      </c>
      <c r="R558" s="5">
        <v>0.605931968593053</v>
      </c>
      <c r="S558" s="5">
        <v>0.67328684311557</v>
      </c>
      <c r="T558" s="5">
        <v>2.63926845468995</v>
      </c>
    </row>
    <row r="559" spans="1:20">
      <c r="A559" t="s">
        <v>1225</v>
      </c>
      <c r="N559" s="5">
        <v>0.1310281629507</v>
      </c>
      <c r="O559" s="5">
        <v>0.258846015517395</v>
      </c>
      <c r="P559" s="5">
        <v>0.308082282824966</v>
      </c>
      <c r="Q559" s="5">
        <v>0.469920092984956</v>
      </c>
      <c r="R559" s="5">
        <v>0.56202385492689</v>
      </c>
      <c r="S559" s="5">
        <v>0.873840370852123</v>
      </c>
      <c r="T559" s="5">
        <v>2.60374078005703</v>
      </c>
    </row>
    <row r="560" spans="1:20">
      <c r="A560" t="s">
        <v>1226</v>
      </c>
      <c r="M560" s="5">
        <v>0.0628724862310464</v>
      </c>
      <c r="N560" s="5">
        <v>0.1116165832543</v>
      </c>
      <c r="O560" s="5">
        <v>0.183545356457789</v>
      </c>
      <c r="P560" s="5">
        <v>0.261086680360141</v>
      </c>
      <c r="Q560" s="5">
        <v>0.334737600482434</v>
      </c>
      <c r="R560" s="5">
        <v>0.518115741260727</v>
      </c>
      <c r="S560" s="5">
        <v>1.13169490651341</v>
      </c>
      <c r="T560" s="5">
        <v>2.60366935455985</v>
      </c>
    </row>
    <row r="561" spans="1:20">
      <c r="A561" t="s">
        <v>1227</v>
      </c>
      <c r="L561" s="5">
        <v>0.0807387189086547</v>
      </c>
      <c r="M561" s="5">
        <v>0.0918905567992217</v>
      </c>
      <c r="N561" s="5">
        <v>0.1649984274194</v>
      </c>
      <c r="O561" s="5">
        <v>0.183545356457789</v>
      </c>
      <c r="P561" s="5">
        <v>0.266308413967344</v>
      </c>
      <c r="Q561" s="5">
        <v>0.360486646673391</v>
      </c>
      <c r="R561" s="5">
        <v>0.456644382128098</v>
      </c>
      <c r="S561" s="5">
        <v>0.9741171347204</v>
      </c>
      <c r="T561" s="5">
        <v>2.5787296370743</v>
      </c>
    </row>
    <row r="562" spans="1:20">
      <c r="A562" t="s">
        <v>1228</v>
      </c>
      <c r="B562" s="5">
        <v>0.904443117927872</v>
      </c>
      <c r="C562" s="5">
        <v>0.107653446868247</v>
      </c>
      <c r="N562" s="5">
        <v>0.0776463187855999</v>
      </c>
      <c r="O562" s="5">
        <v>0.0988321150157327</v>
      </c>
      <c r="P562" s="5">
        <v>0.140986807394476</v>
      </c>
      <c r="Q562" s="5">
        <v>0.21886689262313</v>
      </c>
      <c r="R562" s="5">
        <v>0.368828154795772</v>
      </c>
      <c r="S562" s="5">
        <v>0.658961591134388</v>
      </c>
      <c r="T562" s="5">
        <v>2.57621844454522</v>
      </c>
    </row>
    <row r="563" spans="1:20">
      <c r="A563" t="s">
        <v>1229</v>
      </c>
      <c r="B563" s="5">
        <v>2.548885150524</v>
      </c>
      <c r="T563" s="5">
        <v>2.548885150524</v>
      </c>
    </row>
    <row r="564" spans="1:20">
      <c r="A564" t="s">
        <v>1230</v>
      </c>
      <c r="L564" s="5">
        <v>0.0504616993179092</v>
      </c>
      <c r="M564" s="5">
        <v>0.0918905567992217</v>
      </c>
      <c r="N564" s="5">
        <v>0.0922050035578999</v>
      </c>
      <c r="O564" s="5">
        <v>0.19295793884024</v>
      </c>
      <c r="P564" s="5">
        <v>0.281973614788952</v>
      </c>
      <c r="Q564" s="5">
        <v>0.341174862030173</v>
      </c>
      <c r="R564" s="5">
        <v>0.491770873061029</v>
      </c>
      <c r="S564" s="5">
        <v>1.00276763868276</v>
      </c>
      <c r="T564" s="5">
        <v>2.54520218707818</v>
      </c>
    </row>
    <row r="565" spans="1:20">
      <c r="A565" t="s">
        <v>1231</v>
      </c>
      <c r="B565" s="5"/>
      <c r="C565" s="5"/>
      <c r="D565" s="5"/>
      <c r="O565" s="5">
        <v>0.0753006590596058</v>
      </c>
      <c r="P565" s="5">
        <v>0.172317209037693</v>
      </c>
      <c r="Q565" s="5">
        <v>0.360486646673391</v>
      </c>
      <c r="R565" s="5">
        <v>0.720093064125078</v>
      </c>
      <c r="S565" s="5">
        <v>1.20332116641932</v>
      </c>
      <c r="T565" s="5">
        <v>2.53151874531509</v>
      </c>
    </row>
    <row r="566" spans="1:20">
      <c r="A566" t="s">
        <v>1232</v>
      </c>
      <c r="B566" s="5"/>
      <c r="M566" s="5">
        <v>0.0628724862310464</v>
      </c>
      <c r="N566" s="5">
        <v>0.1067636883302</v>
      </c>
      <c r="O566" s="5">
        <v>0.178839065266564</v>
      </c>
      <c r="P566" s="5">
        <v>0.193204143466504</v>
      </c>
      <c r="Q566" s="5">
        <v>0.354049385125652</v>
      </c>
      <c r="R566" s="5">
        <v>0.658621704992449</v>
      </c>
      <c r="S566" s="5">
        <v>0.9741171347204</v>
      </c>
      <c r="T566" s="5">
        <v>2.52846760813282</v>
      </c>
    </row>
    <row r="567" spans="1:20">
      <c r="A567" t="s">
        <v>1233</v>
      </c>
      <c r="L567" s="5">
        <v>0.0756925489768638</v>
      </c>
      <c r="M567" s="5"/>
      <c r="N567" s="5">
        <v>0.1261752680266</v>
      </c>
      <c r="O567" s="5">
        <v>0.287083762664747</v>
      </c>
      <c r="P567" s="5">
        <v>0.40729522136182</v>
      </c>
      <c r="Q567" s="5">
        <v>0.444171046793999</v>
      </c>
      <c r="R567" s="5">
        <v>0.509334118527494</v>
      </c>
      <c r="S567" s="5">
        <v>0.67328684311557</v>
      </c>
      <c r="T567" s="5">
        <v>2.52303880946709</v>
      </c>
    </row>
    <row r="568" spans="1:20">
      <c r="A568" t="s">
        <v>1234</v>
      </c>
      <c r="M568" s="5">
        <v>0.0967269018939176</v>
      </c>
      <c r="N568" s="5">
        <v>0.0970578984819999</v>
      </c>
      <c r="O568" s="5">
        <v>0.197664230031465</v>
      </c>
      <c r="P568" s="5">
        <v>0.214091077895316</v>
      </c>
      <c r="Q568" s="5">
        <v>0.263927723457304</v>
      </c>
      <c r="R568" s="5">
        <v>0.56202385492689</v>
      </c>
      <c r="S568" s="5">
        <v>1.07439389858868</v>
      </c>
      <c r="T568" s="5">
        <v>2.50588558527557</v>
      </c>
    </row>
    <row r="569" spans="1:20">
      <c r="A569" t="s">
        <v>1235</v>
      </c>
      <c r="N569" s="5">
        <v>0.1019107934061</v>
      </c>
      <c r="O569" s="5">
        <v>0.230608268370043</v>
      </c>
      <c r="P569" s="5">
        <v>0.276751881181749</v>
      </c>
      <c r="Q569" s="5">
        <v>0.276802246552782</v>
      </c>
      <c r="R569" s="5">
        <v>0.605931968593053</v>
      </c>
      <c r="S569" s="5">
        <v>1.00276763868276</v>
      </c>
      <c r="T569" s="5">
        <v>2.49477279678649</v>
      </c>
    </row>
    <row r="570" spans="1:20">
      <c r="A570" t="s">
        <v>1236</v>
      </c>
      <c r="B570" s="5"/>
      <c r="O570" s="5">
        <v>0.103538406206958</v>
      </c>
      <c r="P570" s="5">
        <v>0.187982409859301</v>
      </c>
      <c r="Q570" s="5">
        <v>0.379798431316608</v>
      </c>
      <c r="R570" s="5">
        <v>0.597150345859821</v>
      </c>
      <c r="S570" s="5">
        <v>1.20332116641932</v>
      </c>
      <c r="T570" s="5">
        <v>2.47179075966201</v>
      </c>
    </row>
    <row r="571" spans="1:20">
      <c r="A571" t="s">
        <v>1237</v>
      </c>
      <c r="K571" s="5">
        <v>0.0456953829704914</v>
      </c>
      <c r="M571" s="5">
        <v>0.0870542117045258</v>
      </c>
      <c r="N571" s="5">
        <v>0.0873521086337999</v>
      </c>
      <c r="O571" s="5">
        <v>0.164720191692888</v>
      </c>
      <c r="P571" s="5">
        <v>0.292417082003358</v>
      </c>
      <c r="Q571" s="5">
        <v>0.386235692864347</v>
      </c>
      <c r="R571" s="5">
        <v>0.614713591326286</v>
      </c>
      <c r="S571" s="5">
        <v>0.773563606983847</v>
      </c>
      <c r="T571" s="5">
        <v>2.45175186817954</v>
      </c>
    </row>
    <row r="572" spans="1:20">
      <c r="A572" t="s">
        <v>1238</v>
      </c>
      <c r="B572" s="5"/>
      <c r="M572" s="5">
        <v>0.0677088313257423</v>
      </c>
      <c r="N572" s="5">
        <v>0.0970578984819999</v>
      </c>
      <c r="O572" s="5">
        <v>0.141188735736761</v>
      </c>
      <c r="P572" s="5">
        <v>0.276751881181749</v>
      </c>
      <c r="Q572" s="5">
        <v>0.424859262150782</v>
      </c>
      <c r="R572" s="5">
        <v>0.526897363993959</v>
      </c>
      <c r="S572" s="5">
        <v>0.902490874814488</v>
      </c>
      <c r="T572" s="5">
        <v>2.43695484768548</v>
      </c>
    </row>
    <row r="573" spans="1:20">
      <c r="A573" t="s">
        <v>1239</v>
      </c>
      <c r="M573" s="5">
        <v>0.0628724862310464</v>
      </c>
      <c r="N573" s="5">
        <v>0.0970578984819999</v>
      </c>
      <c r="O573" s="5">
        <v>0.136482444545536</v>
      </c>
      <c r="P573" s="5">
        <v>0.135765073787273</v>
      </c>
      <c r="Q573" s="5">
        <v>0.386235692864347</v>
      </c>
      <c r="R573" s="5">
        <v>0.658621704992449</v>
      </c>
      <c r="S573" s="5">
        <v>0.931141378776853</v>
      </c>
      <c r="T573" s="5">
        <v>2.4081766796795</v>
      </c>
    </row>
    <row r="574" spans="1:20">
      <c r="A574" t="s">
        <v>1240</v>
      </c>
      <c r="O574" s="5">
        <v>0.0564754942947044</v>
      </c>
      <c r="P574" s="5">
        <v>0.104434672144056</v>
      </c>
      <c r="Q574" s="5">
        <v>0.244615938814086</v>
      </c>
      <c r="R574" s="5">
        <v>0.623495214059519</v>
      </c>
      <c r="S574" s="5">
        <v>1.37522419019351</v>
      </c>
      <c r="T574" s="5">
        <v>2.40424550950588</v>
      </c>
    </row>
    <row r="575" spans="1:20">
      <c r="A575" t="s">
        <v>1241</v>
      </c>
      <c r="M575" s="5">
        <v>0.120908627367397</v>
      </c>
      <c r="N575" s="5">
        <v>0.1844100071158</v>
      </c>
      <c r="O575" s="5">
        <v>0.338852965768226</v>
      </c>
      <c r="P575" s="5">
        <v>0.3707430861114</v>
      </c>
      <c r="Q575" s="5">
        <v>0.514980923819129</v>
      </c>
      <c r="R575" s="5">
        <v>0.342483286596074</v>
      </c>
      <c r="S575" s="5">
        <v>0.530034323303747</v>
      </c>
      <c r="T575" s="5">
        <v>2.40241322008177</v>
      </c>
    </row>
    <row r="576" spans="1:20">
      <c r="A576" t="s">
        <v>1242</v>
      </c>
      <c r="N576" s="5">
        <v>0.0873521086337999</v>
      </c>
      <c r="O576" s="5">
        <v>0.117657279780634</v>
      </c>
      <c r="P576" s="5">
        <v>0.151430274608882</v>
      </c>
      <c r="Q576" s="5">
        <v>0.251053200361826</v>
      </c>
      <c r="R576" s="5">
        <v>0.56202385492689</v>
      </c>
      <c r="S576" s="5">
        <v>1.2176464184005</v>
      </c>
      <c r="T576" s="5">
        <v>2.38716313671253</v>
      </c>
    </row>
    <row r="577" spans="1:20">
      <c r="A577" t="s">
        <v>1243</v>
      </c>
      <c r="M577" s="5">
        <v>0.0677088313257423</v>
      </c>
      <c r="N577" s="5">
        <v>0.0776463187855999</v>
      </c>
      <c r="O577" s="5">
        <v>0.164720191692888</v>
      </c>
      <c r="P577" s="5">
        <v>0.177538942644896</v>
      </c>
      <c r="Q577" s="5">
        <v>0.334737600482434</v>
      </c>
      <c r="R577" s="5">
        <v>0.588368723126588</v>
      </c>
      <c r="S577" s="5">
        <v>0.9741171347204</v>
      </c>
      <c r="T577" s="5">
        <v>2.38483774277855</v>
      </c>
    </row>
    <row r="578" spans="1:20">
      <c r="A578" t="s">
        <v>1244</v>
      </c>
      <c r="K578" s="5">
        <v>0.063973536158688</v>
      </c>
      <c r="L578" s="5">
        <v>0.0605540391814911</v>
      </c>
      <c r="M578" s="5">
        <v>0.0773815215151341</v>
      </c>
      <c r="N578" s="5">
        <v>0.0873521086337999</v>
      </c>
      <c r="O578" s="5">
        <v>0.13177615335431</v>
      </c>
      <c r="P578" s="5">
        <v>0.20364761068091</v>
      </c>
      <c r="Q578" s="5">
        <v>0.296114031195999</v>
      </c>
      <c r="R578" s="5">
        <v>0.456644382128098</v>
      </c>
      <c r="S578" s="5">
        <v>1.00276763868276</v>
      </c>
      <c r="T578" s="5">
        <v>2.38021102153119</v>
      </c>
    </row>
    <row r="579" spans="1:20">
      <c r="A579" t="s">
        <v>1245</v>
      </c>
      <c r="L579" s="5">
        <v>0.0857848888404457</v>
      </c>
      <c r="M579" s="5">
        <v>0.0967269018939176</v>
      </c>
      <c r="N579" s="5">
        <v>0.1067636883302</v>
      </c>
      <c r="O579" s="5">
        <v>0.145895026927986</v>
      </c>
      <c r="P579" s="5">
        <v>0.276751881181749</v>
      </c>
      <c r="Q579" s="5">
        <v>0.302551292743739</v>
      </c>
      <c r="R579" s="5">
        <v>0.632276836792751</v>
      </c>
      <c r="S579" s="5">
        <v>0.7305878510403</v>
      </c>
      <c r="T579" s="5">
        <v>2.37733836775109</v>
      </c>
    </row>
    <row r="580" spans="1:20">
      <c r="A580" t="s">
        <v>1246</v>
      </c>
      <c r="N580" s="5">
        <v>0.0873521086337999</v>
      </c>
      <c r="O580" s="5">
        <v>0.0847132414420566</v>
      </c>
      <c r="P580" s="5">
        <v>0.250643213145735</v>
      </c>
      <c r="Q580" s="5">
        <v>0.283239508100521</v>
      </c>
      <c r="R580" s="5">
        <v>0.649840082259216</v>
      </c>
      <c r="S580" s="5">
        <v>1.01709289066395</v>
      </c>
      <c r="T580" s="5">
        <v>2.37288104424528</v>
      </c>
    </row>
    <row r="581" spans="1:20">
      <c r="A581" t="s">
        <v>1247</v>
      </c>
      <c r="B581" s="5">
        <v>2.35703358005445</v>
      </c>
      <c r="T581" s="5">
        <v>2.35703358005445</v>
      </c>
    </row>
    <row r="582" spans="1:20">
      <c r="A582" t="s">
        <v>1248</v>
      </c>
      <c r="K582" s="5">
        <v>0.0456953829704914</v>
      </c>
      <c r="L582" s="5">
        <v>0.136246588158355</v>
      </c>
      <c r="M582" s="5">
        <v>0.130581317556789</v>
      </c>
      <c r="N582" s="5">
        <v>0.194115796964</v>
      </c>
      <c r="O582" s="5">
        <v>0.174132774075339</v>
      </c>
      <c r="P582" s="5">
        <v>0.302860549217763</v>
      </c>
      <c r="Q582" s="5">
        <v>0.411984739055304</v>
      </c>
      <c r="R582" s="5">
        <v>0.333701663862841</v>
      </c>
      <c r="S582" s="5">
        <v>0.615985835190841</v>
      </c>
      <c r="T582" s="5">
        <v>2.34530464705172</v>
      </c>
    </row>
    <row r="583" spans="1:20">
      <c r="A583" t="s">
        <v>1249</v>
      </c>
      <c r="N583" s="5">
        <v>0.0776463187855999</v>
      </c>
      <c r="O583" s="5">
        <v>0.103538406206958</v>
      </c>
      <c r="P583" s="5">
        <v>0.219312811502518</v>
      </c>
      <c r="Q583" s="5">
        <v>0.270364985005043</v>
      </c>
      <c r="R583" s="5">
        <v>0.439081136661633</v>
      </c>
      <c r="S583" s="5">
        <v>1.23197167038168</v>
      </c>
      <c r="T583" s="5">
        <v>2.34191532854343</v>
      </c>
    </row>
    <row r="584" spans="1:20">
      <c r="A584" t="s">
        <v>1250</v>
      </c>
      <c r="K584" s="5">
        <v>0.0548344595645897</v>
      </c>
      <c r="L584" s="5"/>
      <c r="M584" s="5">
        <v>0.0725451764204382</v>
      </c>
      <c r="N584" s="5">
        <v>0.145586847723</v>
      </c>
      <c r="O584" s="5">
        <v>0.122363570971859</v>
      </c>
      <c r="P584" s="5">
        <v>0.193204143466504</v>
      </c>
      <c r="Q584" s="5">
        <v>0.315425815839217</v>
      </c>
      <c r="R584" s="5">
        <v>0.56202385492689</v>
      </c>
      <c r="S584" s="5">
        <v>0.873840370852123</v>
      </c>
      <c r="T584" s="5">
        <v>2.33982423976462</v>
      </c>
    </row>
    <row r="585" spans="1:20">
      <c r="A585" t="s">
        <v>1251</v>
      </c>
      <c r="M585" s="5">
        <v>0.0773815215151341</v>
      </c>
      <c r="N585" s="5">
        <v>0.0776463187855999</v>
      </c>
      <c r="O585" s="5">
        <v>0.141188735736761</v>
      </c>
      <c r="P585" s="5">
        <v>0.234978012324127</v>
      </c>
      <c r="Q585" s="5">
        <v>0.231741415718608</v>
      </c>
      <c r="R585" s="5">
        <v>0.623495214059519</v>
      </c>
      <c r="S585" s="5">
        <v>0.945466630758035</v>
      </c>
      <c r="T585" s="5">
        <v>2.33189784889778</v>
      </c>
    </row>
    <row r="586" spans="1:20">
      <c r="A586" t="s">
        <v>1252</v>
      </c>
      <c r="B586" s="5">
        <v>2.32962621284452</v>
      </c>
      <c r="T586" s="5">
        <v>2.32962621284452</v>
      </c>
    </row>
    <row r="587" spans="1:20">
      <c r="A587" t="s">
        <v>1253</v>
      </c>
      <c r="K587" s="5">
        <v>0.0502649212675406</v>
      </c>
      <c r="L587" s="5">
        <v>0.0807387189086547</v>
      </c>
      <c r="M587" s="5">
        <v>0.0870542117045258</v>
      </c>
      <c r="N587" s="5">
        <v>0.1698513223435</v>
      </c>
      <c r="O587" s="5">
        <v>0.145895026927986</v>
      </c>
      <c r="P587" s="5">
        <v>0.234978012324127</v>
      </c>
      <c r="Q587" s="5">
        <v>0.334737600482434</v>
      </c>
      <c r="R587" s="5">
        <v>0.447862759394865</v>
      </c>
      <c r="S587" s="5">
        <v>0.7305878510403</v>
      </c>
      <c r="T587" s="5">
        <v>2.28197042439393</v>
      </c>
    </row>
    <row r="588" spans="1:20">
      <c r="A588" t="s">
        <v>1254</v>
      </c>
      <c r="J588" s="5">
        <v>0.04443132436804</v>
      </c>
      <c r="K588" s="5">
        <v>0.0594039978616389</v>
      </c>
      <c r="M588" s="5">
        <v>0.0870542117045258</v>
      </c>
      <c r="N588" s="5">
        <v>0.1601455324953</v>
      </c>
      <c r="O588" s="5">
        <v>0.296496345047198</v>
      </c>
      <c r="P588" s="5">
        <v>0.33419095086098</v>
      </c>
      <c r="Q588" s="5">
        <v>0.457045569889477</v>
      </c>
      <c r="R588" s="5">
        <v>0.386391400262237</v>
      </c>
      <c r="S588" s="5">
        <v>0.42975755943547</v>
      </c>
      <c r="T588" s="5">
        <v>2.25491689192487</v>
      </c>
    </row>
    <row r="589" spans="1:20">
      <c r="A589" t="s">
        <v>1255</v>
      </c>
      <c r="B589" s="5">
        <v>2.24740411121471</v>
      </c>
      <c r="T589" s="5">
        <v>2.24740411121471</v>
      </c>
    </row>
    <row r="590" spans="1:20">
      <c r="A590" t="s">
        <v>1256</v>
      </c>
      <c r="N590" s="5">
        <v>0.1116165832543</v>
      </c>
      <c r="O590" s="5">
        <v>0.150601318119212</v>
      </c>
      <c r="P590" s="5">
        <v>0.161873741823287</v>
      </c>
      <c r="Q590" s="5">
        <v>0.308988554291478</v>
      </c>
      <c r="R590" s="5">
        <v>0.526897363993959</v>
      </c>
      <c r="S590" s="5">
        <v>0.9741171347204</v>
      </c>
      <c r="T590" s="5">
        <v>2.23409469620264</v>
      </c>
    </row>
    <row r="591" spans="1:20">
      <c r="A591" t="s">
        <v>1257</v>
      </c>
      <c r="N591" s="5">
        <v>0.0776463187855999</v>
      </c>
      <c r="O591" s="5">
        <v>0.13177615335431</v>
      </c>
      <c r="P591" s="5">
        <v>0.182760676252099</v>
      </c>
      <c r="Q591" s="5">
        <v>0.36692390822113</v>
      </c>
      <c r="R591" s="5">
        <v>0.614713591326286</v>
      </c>
      <c r="S591" s="5">
        <v>0.845189866889759</v>
      </c>
      <c r="T591" s="5">
        <v>2.21901051482918</v>
      </c>
    </row>
    <row r="592" spans="1:20">
      <c r="A592" t="s">
        <v>1258</v>
      </c>
      <c r="N592" s="5">
        <v>0.048528949241</v>
      </c>
      <c r="O592" s="5">
        <v>0.0658880766771551</v>
      </c>
      <c r="P592" s="5">
        <v>0.109656405751259</v>
      </c>
      <c r="Q592" s="5">
        <v>0.334737600482434</v>
      </c>
      <c r="R592" s="5">
        <v>0.518115741260727</v>
      </c>
      <c r="S592" s="5">
        <v>1.13169490651341</v>
      </c>
      <c r="T592" s="5">
        <v>2.20862167992599</v>
      </c>
    </row>
    <row r="593" spans="1:20">
      <c r="A593" t="s">
        <v>1259</v>
      </c>
      <c r="B593" s="5">
        <v>2.19258937679484</v>
      </c>
      <c r="T593" s="5">
        <v>2.19258937679484</v>
      </c>
    </row>
    <row r="594" spans="1:20">
      <c r="A594" t="s">
        <v>1260</v>
      </c>
      <c r="N594" s="5">
        <v>0.0630876340133</v>
      </c>
      <c r="O594" s="5">
        <v>0.0611817854859297</v>
      </c>
      <c r="P594" s="5">
        <v>0.120099872965665</v>
      </c>
      <c r="Q594" s="5">
        <v>0.28967676964826</v>
      </c>
      <c r="R594" s="5">
        <v>0.482989250327796</v>
      </c>
      <c r="S594" s="5">
        <v>1.14602015849459</v>
      </c>
      <c r="T594" s="5">
        <v>2.16305547093554</v>
      </c>
    </row>
    <row r="595" spans="1:20">
      <c r="A595" t="s">
        <v>1261</v>
      </c>
      <c r="O595" s="5">
        <v>0.0564754942947044</v>
      </c>
      <c r="P595" s="5">
        <v>0.114878139358462</v>
      </c>
      <c r="Q595" s="5">
        <v>0.315425815839217</v>
      </c>
      <c r="R595" s="5">
        <v>0.570805477660123</v>
      </c>
      <c r="S595" s="5">
        <v>1.10304440255104</v>
      </c>
      <c r="T595" s="5">
        <v>2.16062932970355</v>
      </c>
    </row>
    <row r="596" spans="1:20">
      <c r="A596" t="s">
        <v>1262</v>
      </c>
      <c r="L596" s="5">
        <v>0.0807387189086547</v>
      </c>
      <c r="M596" s="5">
        <v>0.130581317556789</v>
      </c>
      <c r="N596" s="5">
        <v>0.1116165832543</v>
      </c>
      <c r="O596" s="5">
        <v>0.216489394796367</v>
      </c>
      <c r="P596" s="5">
        <v>0.245421479538532</v>
      </c>
      <c r="Q596" s="5">
        <v>0.321863077386956</v>
      </c>
      <c r="R596" s="5">
        <v>0.439081136661633</v>
      </c>
      <c r="S596" s="5">
        <v>0.601660583209659</v>
      </c>
      <c r="T596" s="5">
        <v>2.14745229131289</v>
      </c>
    </row>
    <row r="597" spans="1:20">
      <c r="A597" t="s">
        <v>1263</v>
      </c>
      <c r="K597" s="5">
        <v>0.0456953829704914</v>
      </c>
      <c r="L597" s="5"/>
      <c r="M597" s="5">
        <v>0.0870542117045258</v>
      </c>
      <c r="N597" s="5">
        <v>0.1261752680266</v>
      </c>
      <c r="O597" s="5">
        <v>0.155307609310437</v>
      </c>
      <c r="P597" s="5">
        <v>0.276751881181749</v>
      </c>
      <c r="Q597" s="5">
        <v>0.43773378524626</v>
      </c>
      <c r="R597" s="5">
        <v>0.439081136661633</v>
      </c>
      <c r="S597" s="5">
        <v>0.573010079247294</v>
      </c>
      <c r="T597" s="5">
        <v>2.14080935434899</v>
      </c>
    </row>
    <row r="598" spans="1:20">
      <c r="A598" t="s">
        <v>1264</v>
      </c>
      <c r="B598" s="5"/>
      <c r="M598" s="5">
        <v>0.0531997960416547</v>
      </c>
      <c r="N598" s="5">
        <v>0.0824992137096999</v>
      </c>
      <c r="O598" s="5">
        <v>0.169426482884113</v>
      </c>
      <c r="P598" s="5">
        <v>0.224534545109721</v>
      </c>
      <c r="Q598" s="5">
        <v>0.418422000603043</v>
      </c>
      <c r="R598" s="5">
        <v>0.474207627594563</v>
      </c>
      <c r="S598" s="5">
        <v>0.716262599059117</v>
      </c>
      <c r="T598" s="5">
        <v>2.13855226500191</v>
      </c>
    </row>
    <row r="599" spans="1:20">
      <c r="A599" t="s">
        <v>1265</v>
      </c>
      <c r="B599" s="5"/>
      <c r="N599" s="5">
        <v>0.0727934238614999</v>
      </c>
      <c r="O599" s="5">
        <v>0.108244697398183</v>
      </c>
      <c r="P599" s="5">
        <v>0.208869344288113</v>
      </c>
      <c r="Q599" s="5">
        <v>0.244615938814086</v>
      </c>
      <c r="R599" s="5">
        <v>0.482989250327796</v>
      </c>
      <c r="S599" s="5">
        <v>1.00276763868276</v>
      </c>
      <c r="T599" s="5">
        <v>2.12028029337244</v>
      </c>
    </row>
    <row r="600" spans="1:20">
      <c r="A600" t="s">
        <v>1266</v>
      </c>
      <c r="L600" s="5">
        <v>0.0605540391814911</v>
      </c>
      <c r="M600" s="5">
        <v>0.0773815215151341</v>
      </c>
      <c r="N600" s="5">
        <v>0.1310281629507</v>
      </c>
      <c r="O600" s="5">
        <v>0.117657279780634</v>
      </c>
      <c r="P600" s="5">
        <v>0.229756278716924</v>
      </c>
      <c r="Q600" s="5">
        <v>0.341174862030173</v>
      </c>
      <c r="R600" s="5">
        <v>0.439081136661633</v>
      </c>
      <c r="S600" s="5">
        <v>0.716262599059117</v>
      </c>
      <c r="T600" s="5">
        <v>2.11289587989581</v>
      </c>
    </row>
    <row r="601" spans="1:20">
      <c r="A601" t="s">
        <v>1267</v>
      </c>
      <c r="M601" s="5">
        <v>0.0483634509469588</v>
      </c>
      <c r="N601" s="5">
        <v>0.0824992137096999</v>
      </c>
      <c r="O601" s="5">
        <v>0.145895026927986</v>
      </c>
      <c r="P601" s="5">
        <v>0.214091077895316</v>
      </c>
      <c r="Q601" s="5">
        <v>0.321863077386956</v>
      </c>
      <c r="R601" s="5">
        <v>0.579587100393355</v>
      </c>
      <c r="S601" s="5">
        <v>0.716262599059117</v>
      </c>
      <c r="T601" s="5">
        <v>2.10856154631939</v>
      </c>
    </row>
    <row r="602" spans="1:20">
      <c r="A602" t="s">
        <v>1268</v>
      </c>
      <c r="B602" s="5"/>
      <c r="M602" s="5">
        <v>0.0725451764204382</v>
      </c>
      <c r="N602" s="5">
        <v>0.1164694781784</v>
      </c>
      <c r="O602" s="5">
        <v>0.117657279780634</v>
      </c>
      <c r="P602" s="5">
        <v>0.187982409859301</v>
      </c>
      <c r="Q602" s="5">
        <v>0.328300338934695</v>
      </c>
      <c r="R602" s="5">
        <v>0.482989250327796</v>
      </c>
      <c r="S602" s="5">
        <v>0.802214110946211</v>
      </c>
      <c r="T602" s="5">
        <v>2.10815804444748</v>
      </c>
    </row>
    <row r="603" spans="1:20">
      <c r="A603" t="s">
        <v>1269</v>
      </c>
      <c r="O603" s="5">
        <v>0.0564754942947044</v>
      </c>
      <c r="P603" s="5">
        <v>0.0783260041080423</v>
      </c>
      <c r="Q603" s="5">
        <v>0.231741415718608</v>
      </c>
      <c r="R603" s="5">
        <v>0.465426004861331</v>
      </c>
      <c r="S603" s="5">
        <v>1.27494742632523</v>
      </c>
      <c r="T603" s="5">
        <v>2.10691634530792</v>
      </c>
    </row>
    <row r="604" spans="1:20">
      <c r="A604" t="s">
        <v>1270</v>
      </c>
      <c r="M604" s="5">
        <v>0.0483634509469588</v>
      </c>
      <c r="N604" s="5">
        <v>0.1213223731025</v>
      </c>
      <c r="O604" s="5">
        <v>0.160013900501662</v>
      </c>
      <c r="P604" s="5">
        <v>0.276751881181749</v>
      </c>
      <c r="Q604" s="5">
        <v>0.328300338934695</v>
      </c>
      <c r="R604" s="5">
        <v>0.403954645728702</v>
      </c>
      <c r="S604" s="5">
        <v>0.759238355002665</v>
      </c>
      <c r="T604" s="5">
        <v>2.09794494539893</v>
      </c>
    </row>
    <row r="605" spans="1:20">
      <c r="A605" t="s">
        <v>1271</v>
      </c>
      <c r="N605" s="5">
        <v>0.0776463187855999</v>
      </c>
      <c r="O605" s="5">
        <v>0.103538406206958</v>
      </c>
      <c r="P605" s="5">
        <v>0.177538942644896</v>
      </c>
      <c r="Q605" s="5">
        <v>0.296114031195999</v>
      </c>
      <c r="R605" s="5">
        <v>0.412736268461935</v>
      </c>
      <c r="S605" s="5">
        <v>1.00276763868276</v>
      </c>
      <c r="T605" s="5">
        <v>2.07034160597815</v>
      </c>
    </row>
    <row r="606" spans="1:20">
      <c r="A606" t="s">
        <v>1272</v>
      </c>
      <c r="B606" s="5"/>
      <c r="C606" s="5"/>
      <c r="K606" s="5">
        <v>0.0502649212675406</v>
      </c>
      <c r="L606" s="5">
        <v>0.065600209113282</v>
      </c>
      <c r="M606" s="5">
        <v>0.106399592083309</v>
      </c>
      <c r="N606" s="5">
        <v>0.1552926375712</v>
      </c>
      <c r="O606" s="5">
        <v>0.19295793884024</v>
      </c>
      <c r="P606" s="5">
        <v>0.292417082003358</v>
      </c>
      <c r="Q606" s="5">
        <v>0.399110215959825</v>
      </c>
      <c r="R606" s="5">
        <v>0.351264909329306</v>
      </c>
      <c r="S606" s="5">
        <v>0.444082811416653</v>
      </c>
      <c r="T606" s="5">
        <v>2.05739031758471</v>
      </c>
    </row>
    <row r="607" spans="1:20">
      <c r="A607" t="s">
        <v>1273</v>
      </c>
      <c r="B607" s="5"/>
      <c r="C607" s="5"/>
      <c r="D607" s="5"/>
      <c r="E607" s="5"/>
      <c r="M607" s="5">
        <v>0.0822178666098299</v>
      </c>
      <c r="N607" s="5">
        <v>0.1552926375712</v>
      </c>
      <c r="O607" s="5">
        <v>0.141188735736761</v>
      </c>
      <c r="P607" s="5">
        <v>0.276751881181749</v>
      </c>
      <c r="Q607" s="5">
        <v>0.321863077386956</v>
      </c>
      <c r="R607" s="5">
        <v>0.447862759394865</v>
      </c>
      <c r="S607" s="5">
        <v>0.630311087172023</v>
      </c>
      <c r="T607" s="5">
        <v>2.05548804505338</v>
      </c>
    </row>
    <row r="608" spans="1:20">
      <c r="A608" t="s">
        <v>1274</v>
      </c>
      <c r="K608" s="5">
        <v>0.0776821510498354</v>
      </c>
      <c r="L608" s="5">
        <v>0.0555078692497001</v>
      </c>
      <c r="M608" s="5">
        <v>0.116072282272701</v>
      </c>
      <c r="N608" s="5">
        <v>0.1552926375712</v>
      </c>
      <c r="O608" s="5">
        <v>0.188251647649015</v>
      </c>
      <c r="P608" s="5">
        <v>0.308082282824966</v>
      </c>
      <c r="Q608" s="5">
        <v>0.328300338934695</v>
      </c>
      <c r="R608" s="5">
        <v>0.465426004861331</v>
      </c>
      <c r="S608" s="5">
        <v>0.358131299529559</v>
      </c>
      <c r="T608" s="5">
        <v>2.052746513943</v>
      </c>
    </row>
    <row r="609" spans="1:20">
      <c r="A609" t="s">
        <v>1275</v>
      </c>
      <c r="K609" s="5">
        <v>0.0502649212675406</v>
      </c>
      <c r="M609" s="5">
        <v>0.0677088313257423</v>
      </c>
      <c r="N609" s="5">
        <v>0.0970578984819999</v>
      </c>
      <c r="O609" s="5">
        <v>0.160013900501662</v>
      </c>
      <c r="P609" s="5">
        <v>0.229756278716924</v>
      </c>
      <c r="Q609" s="5">
        <v>0.36692390822113</v>
      </c>
      <c r="R609" s="5">
        <v>0.377609777529004</v>
      </c>
      <c r="S609" s="5">
        <v>0.687612095096753</v>
      </c>
      <c r="T609" s="5">
        <v>2.03694761114076</v>
      </c>
    </row>
    <row r="610" spans="1:20">
      <c r="A610" t="s">
        <v>1276</v>
      </c>
      <c r="N610" s="5">
        <v>0.1213223731025</v>
      </c>
      <c r="O610" s="5">
        <v>0.13177615335431</v>
      </c>
      <c r="P610" s="5">
        <v>0.198425877073707</v>
      </c>
      <c r="Q610" s="5">
        <v>0.315425815839217</v>
      </c>
      <c r="R610" s="5">
        <v>0.491770873061029</v>
      </c>
      <c r="S610" s="5">
        <v>0.773563606983847</v>
      </c>
      <c r="T610" s="5">
        <v>2.03228469941461</v>
      </c>
    </row>
    <row r="611" spans="1:20">
      <c r="A611" t="s">
        <v>1277</v>
      </c>
      <c r="K611" s="5">
        <v>0.0548344595645897</v>
      </c>
      <c r="L611" s="5">
        <v>0.0756925489768638</v>
      </c>
      <c r="M611" s="5">
        <v>0.0870542117045258</v>
      </c>
      <c r="N611" s="5">
        <v>0.1261752680266</v>
      </c>
      <c r="O611" s="5">
        <v>0.141188735736761</v>
      </c>
      <c r="P611" s="5">
        <v>0.198425877073707</v>
      </c>
      <c r="Q611" s="5">
        <v>0.296114031195999</v>
      </c>
      <c r="R611" s="5">
        <v>0.518115741260727</v>
      </c>
      <c r="S611" s="5">
        <v>0.530034323303747</v>
      </c>
      <c r="T611" s="5">
        <v>2.02763519684352</v>
      </c>
    </row>
    <row r="612" spans="1:20">
      <c r="A612" t="s">
        <v>1278</v>
      </c>
      <c r="B612" s="5"/>
      <c r="C612" s="5"/>
      <c r="N612" s="5">
        <v>0.0582347390892</v>
      </c>
      <c r="O612" s="5">
        <v>0.0658880766771551</v>
      </c>
      <c r="P612" s="5">
        <v>0.16709547543049</v>
      </c>
      <c r="Q612" s="5">
        <v>0.308988554291478</v>
      </c>
      <c r="R612" s="5">
        <v>0.684966573192147</v>
      </c>
      <c r="S612" s="5">
        <v>0.7305878510403</v>
      </c>
      <c r="T612" s="5">
        <v>2.01576126972077</v>
      </c>
    </row>
    <row r="613" spans="1:20">
      <c r="A613" t="s">
        <v>1279</v>
      </c>
      <c r="B613" s="5"/>
      <c r="N613" s="5">
        <v>0.0582347390892</v>
      </c>
      <c r="O613" s="5">
        <v>0.108244697398183</v>
      </c>
      <c r="P613" s="5">
        <v>0.156652008216085</v>
      </c>
      <c r="Q613" s="5">
        <v>0.205992369527652</v>
      </c>
      <c r="R613" s="5">
        <v>0.482989250327796</v>
      </c>
      <c r="S613" s="5">
        <v>1.00276763868276</v>
      </c>
      <c r="T613" s="5">
        <v>2.01488070324168</v>
      </c>
    </row>
    <row r="614" spans="1:20">
      <c r="A614" t="s">
        <v>1280</v>
      </c>
      <c r="B614" s="5"/>
      <c r="L614" s="5">
        <v>0.100923398635818</v>
      </c>
      <c r="M614" s="5">
        <v>0.0580361411363505</v>
      </c>
      <c r="N614" s="5">
        <v>0.1116165832543</v>
      </c>
      <c r="O614" s="5">
        <v>0.155307609310437</v>
      </c>
      <c r="P614" s="5">
        <v>0.229756278716924</v>
      </c>
      <c r="Q614" s="5">
        <v>0.212429631075391</v>
      </c>
      <c r="R614" s="5">
        <v>0.386391400262237</v>
      </c>
      <c r="S614" s="5">
        <v>0.744913103021482</v>
      </c>
      <c r="T614" s="5">
        <v>1.99937414541294</v>
      </c>
    </row>
    <row r="615" spans="1:20">
      <c r="A615" t="s">
        <v>1281</v>
      </c>
      <c r="M615" s="5">
        <v>0.0531997960416547</v>
      </c>
      <c r="N615" s="5">
        <v>0.0873521086337999</v>
      </c>
      <c r="O615" s="5">
        <v>0.103538406206958</v>
      </c>
      <c r="P615" s="5">
        <v>0.172317209037693</v>
      </c>
      <c r="Q615" s="5">
        <v>0.276802246552782</v>
      </c>
      <c r="R615" s="5">
        <v>0.544460609460425</v>
      </c>
      <c r="S615" s="5">
        <v>0.759238355002665</v>
      </c>
      <c r="T615" s="5">
        <v>1.99690873093598</v>
      </c>
    </row>
    <row r="616" spans="1:20">
      <c r="A616" t="s">
        <v>1282</v>
      </c>
      <c r="N616" s="5">
        <v>0.1019107934061</v>
      </c>
      <c r="O616" s="5">
        <v>0.145895026927986</v>
      </c>
      <c r="P616" s="5">
        <v>0.24019974593133</v>
      </c>
      <c r="Q616" s="5">
        <v>0.328300338934695</v>
      </c>
      <c r="R616" s="5">
        <v>0.368828154795772</v>
      </c>
      <c r="S616" s="5">
        <v>0.802214110946211</v>
      </c>
      <c r="T616" s="5">
        <v>1.98734817094209</v>
      </c>
    </row>
    <row r="617" spans="1:20">
      <c r="A617" t="s">
        <v>1283</v>
      </c>
      <c r="K617" s="5">
        <v>0.0502649212675406</v>
      </c>
      <c r="L617" s="5">
        <v>0.0555078692497001</v>
      </c>
      <c r="M617" s="5">
        <v>0.106399592083309</v>
      </c>
      <c r="N617" s="5">
        <v>0.1213223731025</v>
      </c>
      <c r="O617" s="5">
        <v>0.240020850752494</v>
      </c>
      <c r="P617" s="5">
        <v>0.281973614788952</v>
      </c>
      <c r="Q617" s="5">
        <v>0.276802246552782</v>
      </c>
      <c r="R617" s="5">
        <v>0.324920041129608</v>
      </c>
      <c r="S617" s="5">
        <v>0.515709071322565</v>
      </c>
      <c r="T617" s="5">
        <v>1.97292058024945</v>
      </c>
    </row>
    <row r="618" spans="1:20">
      <c r="A618" t="s">
        <v>1284</v>
      </c>
      <c r="O618" s="5">
        <v>0.0800069502508312</v>
      </c>
      <c r="P618" s="5">
        <v>0.140986807394476</v>
      </c>
      <c r="Q618" s="5">
        <v>0.283239508100521</v>
      </c>
      <c r="R618" s="5">
        <v>0.465426004861331</v>
      </c>
      <c r="S618" s="5">
        <v>0.988442386701582</v>
      </c>
      <c r="T618" s="5">
        <v>1.95810165730874</v>
      </c>
    </row>
    <row r="619" spans="1:20">
      <c r="A619" t="s">
        <v>1285</v>
      </c>
      <c r="B619" s="5"/>
      <c r="O619" s="5">
        <v>0.0847132414420566</v>
      </c>
      <c r="P619" s="5">
        <v>0.156652008216085</v>
      </c>
      <c r="Q619" s="5">
        <v>0.315425815839217</v>
      </c>
      <c r="R619" s="5">
        <v>0.439081136661633</v>
      </c>
      <c r="S619" s="5">
        <v>0.959791882739217</v>
      </c>
      <c r="T619" s="5">
        <v>1.95566408489821</v>
      </c>
    </row>
    <row r="620" spans="1:20">
      <c r="A620" t="s">
        <v>1286</v>
      </c>
      <c r="B620" s="5"/>
      <c r="K620" s="5">
        <v>0.0456953829704914</v>
      </c>
      <c r="L620" s="5">
        <v>0.0756925489768638</v>
      </c>
      <c r="M620" s="5">
        <v>0.0483634509469588</v>
      </c>
      <c r="N620" s="5">
        <v>0.0873521086337999</v>
      </c>
      <c r="O620" s="5">
        <v>0.108244697398183</v>
      </c>
      <c r="P620" s="5">
        <v>0.193204143466504</v>
      </c>
      <c r="Q620" s="5">
        <v>0.315425815839217</v>
      </c>
      <c r="R620" s="5">
        <v>0.342483286596074</v>
      </c>
      <c r="S620" s="5">
        <v>0.7305878510403</v>
      </c>
      <c r="T620" s="5">
        <v>1.94704928586839</v>
      </c>
    </row>
    <row r="621" spans="1:20">
      <c r="A621" t="s">
        <v>1287</v>
      </c>
      <c r="M621" s="5">
        <v>0.0483634509469588</v>
      </c>
      <c r="N621" s="5">
        <v>0.0630876340133</v>
      </c>
      <c r="O621" s="5">
        <v>0.112950988589409</v>
      </c>
      <c r="P621" s="5">
        <v>0.16709547543049</v>
      </c>
      <c r="Q621" s="5">
        <v>0.321863077386956</v>
      </c>
      <c r="R621" s="5">
        <v>0.588368723126588</v>
      </c>
      <c r="S621" s="5">
        <v>0.601660583209659</v>
      </c>
      <c r="T621" s="5">
        <v>1.90338993270336</v>
      </c>
    </row>
    <row r="622" spans="1:20">
      <c r="A622" t="s">
        <v>1288</v>
      </c>
      <c r="L622" s="5">
        <v>0.0555078692497001</v>
      </c>
      <c r="M622" s="5">
        <v>0.0822178666098299</v>
      </c>
      <c r="N622" s="5">
        <v>0.0873521086337999</v>
      </c>
      <c r="O622" s="5">
        <v>0.169426482884113</v>
      </c>
      <c r="P622" s="5">
        <v>0.193204143466504</v>
      </c>
      <c r="Q622" s="5">
        <v>0.225304154170869</v>
      </c>
      <c r="R622" s="5">
        <v>0.421517891195168</v>
      </c>
      <c r="S622" s="5">
        <v>0.658961591134388</v>
      </c>
      <c r="T622" s="5">
        <v>1.89349210734437</v>
      </c>
    </row>
    <row r="623" spans="1:20">
      <c r="A623" t="s">
        <v>1289</v>
      </c>
      <c r="L623" s="5">
        <v>0.0504616993179092</v>
      </c>
      <c r="M623" s="5">
        <v>0.0773815215151341</v>
      </c>
      <c r="N623" s="5">
        <v>0.0873521086337999</v>
      </c>
      <c r="O623" s="5">
        <v>0.169426482884113</v>
      </c>
      <c r="P623" s="5">
        <v>0.193204143466504</v>
      </c>
      <c r="Q623" s="5">
        <v>0.263927723457304</v>
      </c>
      <c r="R623" s="5">
        <v>0.439081136661633</v>
      </c>
      <c r="S623" s="5">
        <v>0.601660583209659</v>
      </c>
      <c r="T623" s="5">
        <v>1.88249539914606</v>
      </c>
    </row>
    <row r="624" spans="1:20">
      <c r="A624" t="s">
        <v>1290</v>
      </c>
      <c r="O624" s="5">
        <v>0.0894195326332819</v>
      </c>
      <c r="P624" s="5">
        <v>0.177538942644896</v>
      </c>
      <c r="Q624" s="5">
        <v>0.231741415718608</v>
      </c>
      <c r="R624" s="5">
        <v>0.447862759394865</v>
      </c>
      <c r="S624" s="5">
        <v>0.931141378776853</v>
      </c>
      <c r="T624" s="5">
        <v>1.8777040291685</v>
      </c>
    </row>
    <row r="625" spans="1:20">
      <c r="A625" t="s">
        <v>1291</v>
      </c>
      <c r="K625" s="5">
        <v>0.0456953829704914</v>
      </c>
      <c r="L625" s="5"/>
      <c r="M625" s="5">
        <v>0.0580361411363505</v>
      </c>
      <c r="N625" s="5">
        <v>0.0824992137096999</v>
      </c>
      <c r="O625" s="5">
        <v>0.150601318119212</v>
      </c>
      <c r="P625" s="5">
        <v>0.182760676252099</v>
      </c>
      <c r="Q625" s="5">
        <v>0.296114031195999</v>
      </c>
      <c r="R625" s="5">
        <v>0.509334118527494</v>
      </c>
      <c r="S625" s="5">
        <v>0.544359575284929</v>
      </c>
      <c r="T625" s="5">
        <v>1.86940045719627</v>
      </c>
    </row>
    <row r="626" spans="1:20">
      <c r="A626" t="s">
        <v>1292</v>
      </c>
      <c r="J626" s="5">
        <v>0.0488744568048439</v>
      </c>
      <c r="L626" s="5">
        <v>0.0504616993179092</v>
      </c>
      <c r="M626" s="5">
        <v>0.0773815215151341</v>
      </c>
      <c r="N626" s="5">
        <v>0.1164694781784</v>
      </c>
      <c r="O626" s="5">
        <v>0.13177615335431</v>
      </c>
      <c r="P626" s="5">
        <v>0.20364761068091</v>
      </c>
      <c r="Q626" s="5">
        <v>0.334737600482434</v>
      </c>
      <c r="R626" s="5">
        <v>0.360046532062539</v>
      </c>
      <c r="S626" s="5">
        <v>0.544359575284929</v>
      </c>
      <c r="T626" s="5">
        <v>1.86775462768141</v>
      </c>
    </row>
    <row r="627" spans="1:20">
      <c r="A627" t="s">
        <v>1293</v>
      </c>
      <c r="N627" s="5">
        <v>0.0630876340133</v>
      </c>
      <c r="O627" s="5">
        <v>0.103538406206958</v>
      </c>
      <c r="P627" s="5">
        <v>0.16709547543049</v>
      </c>
      <c r="Q627" s="5">
        <v>0.283239508100521</v>
      </c>
      <c r="R627" s="5">
        <v>0.439081136661633</v>
      </c>
      <c r="S627" s="5">
        <v>0.802214110946211</v>
      </c>
      <c r="T627" s="5">
        <v>1.85825627135911</v>
      </c>
    </row>
    <row r="628" spans="1:20">
      <c r="A628" t="s">
        <v>1294</v>
      </c>
      <c r="M628" s="5">
        <v>0.0870542117045258</v>
      </c>
      <c r="N628" s="5">
        <v>0.1407339527989</v>
      </c>
      <c r="O628" s="5">
        <v>0.127069862163085</v>
      </c>
      <c r="P628" s="5">
        <v>0.20364761068091</v>
      </c>
      <c r="Q628" s="5">
        <v>0.296114031195999</v>
      </c>
      <c r="R628" s="5">
        <v>0.465426004861331</v>
      </c>
      <c r="S628" s="5">
        <v>0.530034323303747</v>
      </c>
      <c r="T628" s="5">
        <v>1.8500799967085</v>
      </c>
    </row>
    <row r="629" spans="1:20">
      <c r="A629" t="s">
        <v>1295</v>
      </c>
      <c r="N629" s="5">
        <v>0.0630876340133</v>
      </c>
      <c r="O629" s="5">
        <v>0.150601318119212</v>
      </c>
      <c r="P629" s="5">
        <v>0.182760676252099</v>
      </c>
      <c r="Q629" s="5">
        <v>0.296114031195999</v>
      </c>
      <c r="R629" s="5">
        <v>0.570805477660123</v>
      </c>
      <c r="S629" s="5">
        <v>0.573010079247294</v>
      </c>
      <c r="T629" s="5">
        <v>1.83637921648803</v>
      </c>
    </row>
    <row r="630" spans="1:20">
      <c r="A630" t="s">
        <v>1296</v>
      </c>
      <c r="N630" s="5">
        <v>0.0824992137096999</v>
      </c>
      <c r="O630" s="5">
        <v>0.103538406206958</v>
      </c>
      <c r="P630" s="5">
        <v>0.151430274608882</v>
      </c>
      <c r="Q630" s="5">
        <v>0.283239508100521</v>
      </c>
      <c r="R630" s="5">
        <v>0.526897363993959</v>
      </c>
      <c r="S630" s="5">
        <v>0.687612095096753</v>
      </c>
      <c r="T630" s="5">
        <v>1.83521686171677</v>
      </c>
    </row>
    <row r="631" spans="1:20">
      <c r="A631" t="s">
        <v>1297</v>
      </c>
      <c r="L631" s="5">
        <v>0.0605540391814911</v>
      </c>
      <c r="M631" s="5">
        <v>0.0628724862310464</v>
      </c>
      <c r="N631" s="5">
        <v>0.0873521086337999</v>
      </c>
      <c r="O631" s="5">
        <v>0.112950988589409</v>
      </c>
      <c r="P631" s="5">
        <v>0.208869344288113</v>
      </c>
      <c r="Q631" s="5">
        <v>0.308988554291478</v>
      </c>
      <c r="R631" s="5">
        <v>0.403954645728702</v>
      </c>
      <c r="S631" s="5">
        <v>0.587335331228476</v>
      </c>
      <c r="T631" s="5">
        <v>1.83287749817252</v>
      </c>
    </row>
    <row r="632" spans="1:20">
      <c r="A632" t="s">
        <v>1298</v>
      </c>
      <c r="M632" s="5">
        <v>0.0628724862310464</v>
      </c>
      <c r="N632" s="5">
        <v>0.0776463187855999</v>
      </c>
      <c r="O632" s="5">
        <v>0.202370521222691</v>
      </c>
      <c r="P632" s="5">
        <v>0.266308413967344</v>
      </c>
      <c r="Q632" s="5">
        <v>0.360486646673391</v>
      </c>
      <c r="R632" s="5">
        <v>0.368828154795772</v>
      </c>
      <c r="S632" s="5">
        <v>0.4870585673602</v>
      </c>
      <c r="T632" s="5">
        <v>1.82557110903604</v>
      </c>
    </row>
    <row r="633" spans="1:20">
      <c r="A633" t="s">
        <v>1299</v>
      </c>
      <c r="M633" s="5">
        <v>0.0822178666098299</v>
      </c>
      <c r="N633" s="5">
        <v>0.1552926375712</v>
      </c>
      <c r="O633" s="5">
        <v>0.164720191692888</v>
      </c>
      <c r="P633" s="5">
        <v>0.198425877073707</v>
      </c>
      <c r="Q633" s="5">
        <v>0.328300338934695</v>
      </c>
      <c r="R633" s="5">
        <v>0.377609777529004</v>
      </c>
      <c r="S633" s="5">
        <v>0.515709071322565</v>
      </c>
      <c r="T633" s="5">
        <v>1.82227576073389</v>
      </c>
    </row>
    <row r="634" spans="1:20">
      <c r="A634" t="s">
        <v>1300</v>
      </c>
      <c r="K634" s="5">
        <v>0.0502649212675406</v>
      </c>
      <c r="L634" s="5">
        <v>0.0605540391814911</v>
      </c>
      <c r="M634" s="5">
        <v>0.0531997960416547</v>
      </c>
      <c r="N634" s="5">
        <v>0.0727934238614999</v>
      </c>
      <c r="O634" s="5">
        <v>0.188251647649015</v>
      </c>
      <c r="P634" s="5">
        <v>0.250643213145735</v>
      </c>
      <c r="Q634" s="5">
        <v>0.283239508100521</v>
      </c>
      <c r="R634" s="5">
        <v>0.360046532062539</v>
      </c>
      <c r="S634" s="5">
        <v>0.501383819341382</v>
      </c>
      <c r="T634" s="5">
        <v>1.82037690065138</v>
      </c>
    </row>
    <row r="635" spans="1:20">
      <c r="A635" t="s">
        <v>1301</v>
      </c>
      <c r="K635" s="5">
        <v>0.0456953829704914</v>
      </c>
      <c r="M635" s="5">
        <v>0.0967269018939176</v>
      </c>
      <c r="N635" s="5">
        <v>0.0727934238614999</v>
      </c>
      <c r="O635" s="5">
        <v>0.0894195326332819</v>
      </c>
      <c r="P635" s="5">
        <v>0.198425877073707</v>
      </c>
      <c r="Q635" s="5">
        <v>0.308988554291478</v>
      </c>
      <c r="R635" s="5">
        <v>0.377609777529004</v>
      </c>
      <c r="S635" s="5">
        <v>0.601660583209659</v>
      </c>
      <c r="T635" s="5">
        <v>1.79132003346304</v>
      </c>
    </row>
    <row r="636" spans="1:20">
      <c r="A636" t="s">
        <v>1302</v>
      </c>
      <c r="B636" s="5">
        <v>0.465925242568904</v>
      </c>
      <c r="C636" s="5">
        <v>0.0807400851511851</v>
      </c>
      <c r="D636" s="5">
        <v>0.0595452026737582</v>
      </c>
      <c r="L636" s="5">
        <v>0.0706463790450729</v>
      </c>
      <c r="M636" s="5">
        <v>0.0628724862310464</v>
      </c>
      <c r="N636" s="5">
        <v>0.0582347390892</v>
      </c>
      <c r="O636" s="5">
        <v>0.117657279780634</v>
      </c>
      <c r="P636" s="5">
        <v>0.172317209037693</v>
      </c>
      <c r="Q636" s="5">
        <v>0.128745230954782</v>
      </c>
      <c r="R636" s="5">
        <v>0.281011927463445</v>
      </c>
      <c r="S636" s="5">
        <v>0.286505039623647</v>
      </c>
      <c r="T636" s="5">
        <v>1.78420082161937</v>
      </c>
    </row>
    <row r="637" spans="1:20">
      <c r="A637" t="s">
        <v>1303</v>
      </c>
      <c r="B637" s="5">
        <v>1.78147886864581</v>
      </c>
      <c r="T637" s="5">
        <v>1.78147886864581</v>
      </c>
    </row>
    <row r="638" spans="1:20">
      <c r="A638" t="s">
        <v>1304</v>
      </c>
      <c r="M638" s="5">
        <v>0.0725451764204382</v>
      </c>
      <c r="N638" s="5">
        <v>0.0970578984819999</v>
      </c>
      <c r="O638" s="5">
        <v>0.117657279780634</v>
      </c>
      <c r="P638" s="5">
        <v>0.224534545109721</v>
      </c>
      <c r="Q638" s="5">
        <v>0.308988554291478</v>
      </c>
      <c r="R638" s="5">
        <v>0.39517302299547</v>
      </c>
      <c r="S638" s="5">
        <v>0.558684827266112</v>
      </c>
      <c r="T638" s="5">
        <v>1.77464130434585</v>
      </c>
    </row>
    <row r="639" spans="1:20">
      <c r="A639" t="s">
        <v>1305</v>
      </c>
      <c r="O639" s="5">
        <v>0.0564754942947044</v>
      </c>
      <c r="P639" s="5">
        <v>0.161873741823287</v>
      </c>
      <c r="Q639" s="5">
        <v>0.251053200361826</v>
      </c>
      <c r="R639" s="5">
        <v>0.482989250327796</v>
      </c>
      <c r="S639" s="5">
        <v>0.816539362927394</v>
      </c>
      <c r="T639" s="5">
        <v>1.76893104973501</v>
      </c>
    </row>
    <row r="640" spans="1:20">
      <c r="A640" t="s">
        <v>1306</v>
      </c>
      <c r="B640" s="5">
        <v>1.75407150143587</v>
      </c>
      <c r="C640" s="5"/>
      <c r="T640" s="5">
        <v>1.75407150143587</v>
      </c>
    </row>
    <row r="641" spans="1:20">
      <c r="A641" t="s">
        <v>1307</v>
      </c>
      <c r="M641" s="5">
        <v>0.0483634509469588</v>
      </c>
      <c r="N641" s="5">
        <v>0.0922050035578999</v>
      </c>
      <c r="O641" s="5">
        <v>0.150601318119212</v>
      </c>
      <c r="P641" s="5">
        <v>0.24019974593133</v>
      </c>
      <c r="Q641" s="5">
        <v>0.328300338934695</v>
      </c>
      <c r="R641" s="5">
        <v>0.333701663862841</v>
      </c>
      <c r="S641" s="5">
        <v>0.558684827266112</v>
      </c>
      <c r="T641" s="5">
        <v>1.75205634861905</v>
      </c>
    </row>
    <row r="642" spans="1:20">
      <c r="A642" t="s">
        <v>1308</v>
      </c>
      <c r="B642" s="5">
        <v>0.465925242568904</v>
      </c>
      <c r="L642" s="5">
        <v>0.0555078692497001</v>
      </c>
      <c r="M642" s="5">
        <v>0.0870542117045258</v>
      </c>
      <c r="N642" s="5">
        <v>0.1261752680266</v>
      </c>
      <c r="O642" s="5">
        <v>0.160013900501662</v>
      </c>
      <c r="P642" s="5">
        <v>0.120099872965665</v>
      </c>
      <c r="Q642" s="5">
        <v>0.205992369527652</v>
      </c>
      <c r="R642" s="5">
        <v>0.184414077397886</v>
      </c>
      <c r="S642" s="5">
        <v>0.343806047548376</v>
      </c>
      <c r="T642" s="5">
        <v>1.74898885949097</v>
      </c>
    </row>
    <row r="643" spans="1:20">
      <c r="A643" t="s">
        <v>1309</v>
      </c>
      <c r="N643" s="5">
        <v>0.0970578984819999</v>
      </c>
      <c r="O643" s="5">
        <v>0.145895026927986</v>
      </c>
      <c r="P643" s="5">
        <v>0.161873741823287</v>
      </c>
      <c r="Q643" s="5">
        <v>0.238178677266347</v>
      </c>
      <c r="R643" s="5">
        <v>0.456644382128098</v>
      </c>
      <c r="S643" s="5">
        <v>0.644636339153206</v>
      </c>
      <c r="T643" s="5">
        <v>1.74428606578092</v>
      </c>
    </row>
    <row r="644" spans="1:20">
      <c r="A644" t="s">
        <v>1310</v>
      </c>
      <c r="O644" s="5">
        <v>0.141188735736761</v>
      </c>
      <c r="P644" s="5">
        <v>0.172317209037693</v>
      </c>
      <c r="Q644" s="5">
        <v>0.315425815839217</v>
      </c>
      <c r="R644" s="5">
        <v>0.386391400262237</v>
      </c>
      <c r="S644" s="5">
        <v>0.701937347077935</v>
      </c>
      <c r="T644" s="5">
        <v>1.71726050795384</v>
      </c>
    </row>
    <row r="645" spans="1:20">
      <c r="A645" t="s">
        <v>1311</v>
      </c>
      <c r="M645" s="5">
        <v>0.0822178666098299</v>
      </c>
      <c r="N645" s="5">
        <v>0.0727934238614999</v>
      </c>
      <c r="O645" s="5">
        <v>0.155307609310437</v>
      </c>
      <c r="P645" s="5">
        <v>0.172317209037693</v>
      </c>
      <c r="Q645" s="5">
        <v>0.302551292743739</v>
      </c>
      <c r="R645" s="5">
        <v>0.39517302299547</v>
      </c>
      <c r="S645" s="5">
        <v>0.530034323303747</v>
      </c>
      <c r="T645" s="5">
        <v>1.71039474786242</v>
      </c>
    </row>
    <row r="646" spans="1:20">
      <c r="A646" t="s">
        <v>1312</v>
      </c>
      <c r="B646" s="5"/>
      <c r="J646" s="5">
        <v>0.0533175892416479</v>
      </c>
      <c r="K646" s="5">
        <v>0.0731126127527863</v>
      </c>
      <c r="L646" s="5">
        <v>0.0504616993179092</v>
      </c>
      <c r="M646" s="5">
        <v>0.140254007746181</v>
      </c>
      <c r="N646" s="5">
        <v>0.1116165832543</v>
      </c>
      <c r="O646" s="5">
        <v>0.164720191692888</v>
      </c>
      <c r="P646" s="5">
        <v>0.266308413967344</v>
      </c>
      <c r="Q646" s="5">
        <v>0.231741415718608</v>
      </c>
      <c r="R646" s="5">
        <v>0.272230304730212</v>
      </c>
      <c r="S646" s="5">
        <v>0.343806047548376</v>
      </c>
      <c r="T646" s="5">
        <v>1.70756886597025</v>
      </c>
    </row>
    <row r="647" spans="1:20">
      <c r="A647" t="s">
        <v>1313</v>
      </c>
      <c r="B647" s="5"/>
      <c r="M647" s="5">
        <v>0.0483634509469588</v>
      </c>
      <c r="N647" s="5">
        <v>0.0824992137096999</v>
      </c>
      <c r="O647" s="5">
        <v>0.169426482884113</v>
      </c>
      <c r="P647" s="5">
        <v>0.161873741823287</v>
      </c>
      <c r="Q647" s="5">
        <v>0.21886689262313</v>
      </c>
      <c r="R647" s="5">
        <v>0.447862759394865</v>
      </c>
      <c r="S647" s="5">
        <v>0.573010079247294</v>
      </c>
      <c r="T647" s="5">
        <v>1.70190262062935</v>
      </c>
    </row>
    <row r="648" spans="1:20">
      <c r="A648" t="s">
        <v>1314</v>
      </c>
      <c r="J648" s="5">
        <v>0.0666469865520599</v>
      </c>
      <c r="K648" s="5">
        <v>0.109668919129179</v>
      </c>
      <c r="L648" s="5">
        <v>0.161477437817309</v>
      </c>
      <c r="M648" s="5">
        <v>0.169272078314356</v>
      </c>
      <c r="N648" s="5">
        <v>0.1407339527989</v>
      </c>
      <c r="O648" s="5">
        <v>0.216489394796367</v>
      </c>
      <c r="P648" s="5">
        <v>0.16709547543049</v>
      </c>
      <c r="Q648" s="5">
        <v>0.167368800241217</v>
      </c>
      <c r="R648" s="5">
        <v>0.245885436530514</v>
      </c>
      <c r="S648" s="5">
        <v>0.229204031698918</v>
      </c>
      <c r="T648" s="5">
        <v>1.67384251330931</v>
      </c>
    </row>
    <row r="649" spans="1:20">
      <c r="A649" t="s">
        <v>1315</v>
      </c>
      <c r="N649" s="5">
        <v>0.0582347390892</v>
      </c>
      <c r="O649" s="5">
        <v>0.0564754942947044</v>
      </c>
      <c r="P649" s="5">
        <v>0.13054334018007</v>
      </c>
      <c r="Q649" s="5">
        <v>0.257490461909565</v>
      </c>
      <c r="R649" s="5">
        <v>0.491770873061029</v>
      </c>
      <c r="S649" s="5">
        <v>0.67328684311557</v>
      </c>
      <c r="T649" s="5">
        <v>1.66780175165014</v>
      </c>
    </row>
    <row r="650" spans="1:20">
      <c r="A650" t="s">
        <v>1316</v>
      </c>
      <c r="N650" s="5">
        <v>0.0582347390892</v>
      </c>
      <c r="O650" s="5">
        <v>0.108244697398183</v>
      </c>
      <c r="P650" s="5">
        <v>0.151430274608882</v>
      </c>
      <c r="Q650" s="5">
        <v>0.296114031195999</v>
      </c>
      <c r="R650" s="5">
        <v>0.447862759394865</v>
      </c>
      <c r="S650" s="5">
        <v>0.601660583209659</v>
      </c>
      <c r="T650" s="5">
        <v>1.66354708489679</v>
      </c>
    </row>
    <row r="651" spans="1:20">
      <c r="A651" t="s">
        <v>1317</v>
      </c>
      <c r="B651" s="5">
        <v>1.64444203259613</v>
      </c>
      <c r="T651" s="5">
        <v>1.64444203259613</v>
      </c>
    </row>
    <row r="652" spans="1:20">
      <c r="A652" t="s">
        <v>1318</v>
      </c>
      <c r="N652" s="5">
        <v>0.0582347390892</v>
      </c>
      <c r="O652" s="5">
        <v>0.0988321150157327</v>
      </c>
      <c r="P652" s="5">
        <v>0.20364761068091</v>
      </c>
      <c r="Q652" s="5">
        <v>0.296114031195999</v>
      </c>
      <c r="R652" s="5">
        <v>0.39517302299547</v>
      </c>
      <c r="S652" s="5">
        <v>0.587335331228476</v>
      </c>
      <c r="T652" s="5">
        <v>1.63933685020579</v>
      </c>
    </row>
    <row r="653" spans="1:20">
      <c r="A653" t="s">
        <v>1319</v>
      </c>
      <c r="N653" s="5">
        <v>0.0630876340133</v>
      </c>
      <c r="O653" s="5">
        <v>0.0658880766771551</v>
      </c>
      <c r="P653" s="5">
        <v>0.146208541001679</v>
      </c>
      <c r="Q653" s="5">
        <v>0.251053200361826</v>
      </c>
      <c r="R653" s="5">
        <v>0.316138418396376</v>
      </c>
      <c r="S653" s="5">
        <v>0.787888858965029</v>
      </c>
      <c r="T653" s="5">
        <v>1.63026472941537</v>
      </c>
    </row>
    <row r="654" spans="1:20">
      <c r="A654" t="s">
        <v>1320</v>
      </c>
      <c r="K654" s="5">
        <v>0.0548344595645897</v>
      </c>
      <c r="M654" s="5">
        <v>0.0580361411363505</v>
      </c>
      <c r="N654" s="5">
        <v>0.1261752680266</v>
      </c>
      <c r="O654" s="5">
        <v>0.136482444545536</v>
      </c>
      <c r="P654" s="5">
        <v>0.198425877073707</v>
      </c>
      <c r="Q654" s="5">
        <v>0.225304154170869</v>
      </c>
      <c r="R654" s="5">
        <v>0.254667059263747</v>
      </c>
      <c r="S654" s="5">
        <v>0.573010079247294</v>
      </c>
      <c r="T654" s="5">
        <v>1.62693548302869</v>
      </c>
    </row>
    <row r="655" spans="1:20">
      <c r="A655" t="s">
        <v>1321</v>
      </c>
      <c r="N655" s="5">
        <v>0.0630876340133</v>
      </c>
      <c r="O655" s="5">
        <v>0.0941258238245073</v>
      </c>
      <c r="P655" s="5">
        <v>0.198425877073707</v>
      </c>
      <c r="Q655" s="5">
        <v>0.283239508100521</v>
      </c>
      <c r="R655" s="5">
        <v>0.39517302299547</v>
      </c>
      <c r="S655" s="5">
        <v>0.573010079247294</v>
      </c>
      <c r="T655" s="5">
        <v>1.6070619452548</v>
      </c>
    </row>
    <row r="656" spans="1:20">
      <c r="A656" t="s">
        <v>1322</v>
      </c>
      <c r="O656" s="5">
        <v>0.0658880766771551</v>
      </c>
      <c r="P656" s="5">
        <v>0.135765073787273</v>
      </c>
      <c r="Q656" s="5">
        <v>0.244615938814086</v>
      </c>
      <c r="R656" s="5">
        <v>0.368828154795772</v>
      </c>
      <c r="S656" s="5">
        <v>0.787888858965029</v>
      </c>
      <c r="T656" s="5">
        <v>1.60298610303932</v>
      </c>
    </row>
    <row r="657" spans="1:20">
      <c r="A657" t="s">
        <v>1323</v>
      </c>
      <c r="M657" s="5">
        <v>0.0531997960416547</v>
      </c>
      <c r="N657" s="5">
        <v>0.0824992137096999</v>
      </c>
      <c r="O657" s="5">
        <v>0.117657279780634</v>
      </c>
      <c r="P657" s="5">
        <v>0.125321606572868</v>
      </c>
      <c r="Q657" s="5">
        <v>0.167368800241217</v>
      </c>
      <c r="R657" s="5">
        <v>0.439081136661633</v>
      </c>
      <c r="S657" s="5">
        <v>0.615985835190841</v>
      </c>
      <c r="T657" s="5">
        <v>1.60111366819855</v>
      </c>
    </row>
    <row r="658" spans="1:20">
      <c r="A658" t="s">
        <v>1324</v>
      </c>
      <c r="B658" s="5">
        <v>1.58962729817626</v>
      </c>
      <c r="T658" s="5">
        <v>1.58962729817626</v>
      </c>
    </row>
    <row r="659" spans="1:20">
      <c r="A659" t="s">
        <v>1325</v>
      </c>
      <c r="B659" s="5">
        <v>1.56221993096632</v>
      </c>
      <c r="T659" s="5">
        <v>1.56221993096632</v>
      </c>
    </row>
    <row r="660" spans="1:20">
      <c r="A660" t="s">
        <v>1326</v>
      </c>
      <c r="O660" s="5">
        <v>0.0847132414420566</v>
      </c>
      <c r="P660" s="5">
        <v>0.140986807394476</v>
      </c>
      <c r="Q660" s="5">
        <v>0.160931538693478</v>
      </c>
      <c r="R660" s="5">
        <v>0.447862759394865</v>
      </c>
      <c r="S660" s="5">
        <v>0.716262599059117</v>
      </c>
      <c r="T660" s="5">
        <v>1.55075694598399</v>
      </c>
    </row>
    <row r="661" spans="1:20">
      <c r="A661" t="s">
        <v>1327</v>
      </c>
      <c r="P661" s="5">
        <v>0.0992129385368535</v>
      </c>
      <c r="Q661" s="5">
        <v>0.128745230954782</v>
      </c>
      <c r="R661" s="5">
        <v>0.377609777529004</v>
      </c>
      <c r="S661" s="5">
        <v>0.931141378776853</v>
      </c>
      <c r="T661" s="5">
        <v>1.53670932579749</v>
      </c>
    </row>
    <row r="662" spans="1:20">
      <c r="A662" t="s">
        <v>1328</v>
      </c>
      <c r="B662" s="5">
        <v>1.53481256375639</v>
      </c>
      <c r="T662" s="5">
        <v>1.53481256375639</v>
      </c>
    </row>
    <row r="663" spans="1:20">
      <c r="A663" t="s">
        <v>1329</v>
      </c>
      <c r="J663" s="5">
        <v>0.124407708230512</v>
      </c>
      <c r="K663" s="5">
        <v>0.182781531881966</v>
      </c>
      <c r="L663" s="5">
        <v>0.191754457408055</v>
      </c>
      <c r="M663" s="5">
        <v>0.130581317556789</v>
      </c>
      <c r="N663" s="5">
        <v>0.1795571121917</v>
      </c>
      <c r="O663" s="5">
        <v>0.160013900501662</v>
      </c>
      <c r="P663" s="5">
        <v>0.146208541001679</v>
      </c>
      <c r="Q663" s="5">
        <v>0.102996184763826</v>
      </c>
      <c r="R663" s="5">
        <v>0.114161095532025</v>
      </c>
      <c r="S663" s="5">
        <v>0.200553527736553</v>
      </c>
      <c r="T663" s="5">
        <v>1.53301537680477</v>
      </c>
    </row>
    <row r="664" spans="1:20">
      <c r="A664" t="s">
        <v>1330</v>
      </c>
      <c r="B664" s="5"/>
      <c r="M664" s="5">
        <v>0.0918905567992217</v>
      </c>
      <c r="N664" s="5">
        <v>0.0727934238614999</v>
      </c>
      <c r="O664" s="5">
        <v>0.112950988589409</v>
      </c>
      <c r="P664" s="5">
        <v>0.172317209037693</v>
      </c>
      <c r="Q664" s="5">
        <v>0.231741415718608</v>
      </c>
      <c r="R664" s="5">
        <v>0.421517891195168</v>
      </c>
      <c r="S664" s="5">
        <v>0.42975755943547</v>
      </c>
      <c r="T664" s="5">
        <v>1.53296904463707</v>
      </c>
    </row>
    <row r="665" spans="1:20">
      <c r="A665" t="s">
        <v>1331</v>
      </c>
      <c r="B665" s="5">
        <v>1.28814625886697</v>
      </c>
      <c r="C665" s="5">
        <v>0.242220255453555</v>
      </c>
      <c r="T665" s="5">
        <v>1.53036651432052</v>
      </c>
    </row>
    <row r="666" spans="1:20">
      <c r="A666" t="s">
        <v>1332</v>
      </c>
      <c r="B666" s="5">
        <v>1.20592415723716</v>
      </c>
      <c r="C666" s="5">
        <v>0.107653446868247</v>
      </c>
      <c r="D666" s="5">
        <v>0.0942799042334505</v>
      </c>
      <c r="E666" s="5">
        <v>0.0671960305960806</v>
      </c>
      <c r="G666" s="5">
        <v>0.05043286990722</v>
      </c>
      <c r="T666" s="5">
        <v>1.52548640884216</v>
      </c>
    </row>
    <row r="667" spans="1:20">
      <c r="A667" t="s">
        <v>1333</v>
      </c>
      <c r="O667" s="5">
        <v>0.0658880766771551</v>
      </c>
      <c r="P667" s="5">
        <v>0.146208541001679</v>
      </c>
      <c r="Q667" s="5">
        <v>0.135182492502521</v>
      </c>
      <c r="R667" s="5">
        <v>0.342483286596074</v>
      </c>
      <c r="S667" s="5">
        <v>0.816539362927394</v>
      </c>
      <c r="T667" s="5">
        <v>1.50630175970482</v>
      </c>
    </row>
    <row r="668" spans="1:20">
      <c r="A668" t="s">
        <v>1334</v>
      </c>
      <c r="B668" s="5"/>
      <c r="N668" s="5">
        <v>0.0970578984819999</v>
      </c>
      <c r="O668" s="5">
        <v>0.122363570971859</v>
      </c>
      <c r="P668" s="5">
        <v>0.182760676252099</v>
      </c>
      <c r="Q668" s="5">
        <v>0.251053200361826</v>
      </c>
      <c r="R668" s="5">
        <v>0.4302995139284</v>
      </c>
      <c r="S668" s="5">
        <v>0.415432307454288</v>
      </c>
      <c r="T668" s="5">
        <v>1.49896716745047</v>
      </c>
    </row>
    <row r="669" spans="1:20">
      <c r="A669" t="s">
        <v>1335</v>
      </c>
      <c r="B669" s="5"/>
      <c r="Q669" s="5">
        <v>0.0901216616683477</v>
      </c>
      <c r="R669" s="5">
        <v>0.351264909329306</v>
      </c>
      <c r="S669" s="5">
        <v>1.04574339462631</v>
      </c>
      <c r="T669" s="5">
        <v>1.48712996562396</v>
      </c>
    </row>
    <row r="670" spans="1:20">
      <c r="A670" t="s">
        <v>1336</v>
      </c>
      <c r="B670" s="5"/>
      <c r="O670" s="5">
        <v>0.0753006590596058</v>
      </c>
      <c r="P670" s="5">
        <v>0.109656405751259</v>
      </c>
      <c r="Q670" s="5">
        <v>0.180243323336695</v>
      </c>
      <c r="R670" s="5">
        <v>0.360046532062539</v>
      </c>
      <c r="S670" s="5">
        <v>0.759238355002665</v>
      </c>
      <c r="T670" s="5">
        <v>1.48448527521276</v>
      </c>
    </row>
    <row r="671" spans="1:20">
      <c r="A671" t="s">
        <v>1337</v>
      </c>
      <c r="B671" s="5">
        <v>1.47999782933652</v>
      </c>
      <c r="T671" s="5">
        <v>1.47999782933652</v>
      </c>
    </row>
    <row r="672" spans="1:20">
      <c r="A672" t="s">
        <v>1338</v>
      </c>
      <c r="B672" s="5">
        <v>1.47999782933652</v>
      </c>
      <c r="T672" s="5">
        <v>1.47999782933652</v>
      </c>
    </row>
    <row r="673" spans="1:20">
      <c r="A673" t="s">
        <v>1339</v>
      </c>
      <c r="N673" s="5">
        <v>0.0679405289373999</v>
      </c>
      <c r="O673" s="5">
        <v>0.150601318119212</v>
      </c>
      <c r="P673" s="5">
        <v>0.156652008216085</v>
      </c>
      <c r="Q673" s="5">
        <v>0.141619754050261</v>
      </c>
      <c r="R673" s="5">
        <v>0.342483286596074</v>
      </c>
      <c r="S673" s="5">
        <v>0.615985835190841</v>
      </c>
      <c r="T673" s="5">
        <v>1.47528273110987</v>
      </c>
    </row>
    <row r="674" spans="1:20">
      <c r="A674" t="s">
        <v>1340</v>
      </c>
      <c r="N674" s="5">
        <v>0.048528949241</v>
      </c>
      <c r="O674" s="5">
        <v>0.112950988589409</v>
      </c>
      <c r="P674" s="5">
        <v>0.172317209037693</v>
      </c>
      <c r="Q674" s="5">
        <v>0.199555107979913</v>
      </c>
      <c r="R674" s="5">
        <v>0.360046532062539</v>
      </c>
      <c r="S674" s="5">
        <v>0.573010079247294</v>
      </c>
      <c r="T674" s="5">
        <v>1.46640886615785</v>
      </c>
    </row>
    <row r="675" spans="1:20">
      <c r="A675" t="s">
        <v>1341</v>
      </c>
      <c r="N675" s="5">
        <v>0.0582347390892</v>
      </c>
      <c r="O675" s="5">
        <v>0.0988321150157327</v>
      </c>
      <c r="P675" s="5">
        <v>0.146208541001679</v>
      </c>
      <c r="Q675" s="5">
        <v>0.212429631075391</v>
      </c>
      <c r="R675" s="5">
        <v>0.377609777529004</v>
      </c>
      <c r="S675" s="5">
        <v>0.573010079247294</v>
      </c>
      <c r="T675" s="5">
        <v>1.4663248829583</v>
      </c>
    </row>
    <row r="676" spans="1:20">
      <c r="A676" t="s">
        <v>1342</v>
      </c>
      <c r="L676" s="5">
        <v>0.0857848888404457</v>
      </c>
      <c r="M676" s="5">
        <v>0.0918905567992217</v>
      </c>
      <c r="N676" s="5">
        <v>0.1407339527989</v>
      </c>
      <c r="O676" s="5">
        <v>0.103538406206958</v>
      </c>
      <c r="P676" s="5">
        <v>0.172317209037693</v>
      </c>
      <c r="Q676" s="5">
        <v>0.186680584884434</v>
      </c>
      <c r="R676" s="5">
        <v>0.26344868199698</v>
      </c>
      <c r="S676" s="5">
        <v>0.415432307454288</v>
      </c>
      <c r="T676" s="5">
        <v>1.45982658801892</v>
      </c>
    </row>
    <row r="677" spans="1:20">
      <c r="A677" t="s">
        <v>1343</v>
      </c>
      <c r="B677" s="5">
        <v>1.45259046212658</v>
      </c>
      <c r="T677" s="5">
        <v>1.45259046212658</v>
      </c>
    </row>
    <row r="678" spans="1:20">
      <c r="A678" t="s">
        <v>1344</v>
      </c>
      <c r="B678" s="5">
        <v>1.45259046212658</v>
      </c>
      <c r="T678" s="5">
        <v>1.45259046212658</v>
      </c>
    </row>
    <row r="679" spans="1:20">
      <c r="A679" t="s">
        <v>1345</v>
      </c>
      <c r="B679" s="5"/>
      <c r="C679" s="5"/>
      <c r="N679" s="5">
        <v>0.0776463187855999</v>
      </c>
      <c r="O679" s="5">
        <v>0.0988321150157327</v>
      </c>
      <c r="P679" s="5">
        <v>0.187982409859301</v>
      </c>
      <c r="Q679" s="5">
        <v>0.28967676964826</v>
      </c>
      <c r="R679" s="5">
        <v>0.39517302299547</v>
      </c>
      <c r="S679" s="5">
        <v>0.401107055473106</v>
      </c>
      <c r="T679" s="5">
        <v>1.45041769177747</v>
      </c>
    </row>
    <row r="680" spans="1:20">
      <c r="A680" t="s">
        <v>1346</v>
      </c>
      <c r="L680" s="5">
        <v>0.0857848888404457</v>
      </c>
      <c r="M680" s="5">
        <v>0.0483634509469588</v>
      </c>
      <c r="N680" s="5">
        <v>0.0630876340133</v>
      </c>
      <c r="O680" s="5">
        <v>0.117657279780634</v>
      </c>
      <c r="P680" s="5">
        <v>0.156652008216085</v>
      </c>
      <c r="Q680" s="5">
        <v>0.244615938814086</v>
      </c>
      <c r="R680" s="5">
        <v>0.272230304730212</v>
      </c>
      <c r="S680" s="5">
        <v>0.458408063397835</v>
      </c>
      <c r="T680" s="5">
        <v>1.44679956873956</v>
      </c>
    </row>
    <row r="681" spans="1:20">
      <c r="A681" t="s">
        <v>1347</v>
      </c>
      <c r="N681" s="5">
        <v>0.0533818441651</v>
      </c>
      <c r="O681" s="5">
        <v>0.0564754942947044</v>
      </c>
      <c r="P681" s="5">
        <v>0.125321606572868</v>
      </c>
      <c r="Q681" s="5">
        <v>0.173806061788956</v>
      </c>
      <c r="R681" s="5">
        <v>0.39517302299547</v>
      </c>
      <c r="S681" s="5">
        <v>0.615985835190841</v>
      </c>
      <c r="T681" s="5">
        <v>1.42014386500794</v>
      </c>
    </row>
    <row r="682" spans="1:20">
      <c r="A682" t="s">
        <v>1348</v>
      </c>
      <c r="B682" s="5"/>
      <c r="N682" s="5">
        <v>0.0727934238614999</v>
      </c>
      <c r="O682" s="5">
        <v>0.0470629119122537</v>
      </c>
      <c r="P682" s="5">
        <v>0.0887694713224479</v>
      </c>
      <c r="Q682" s="5">
        <v>0.154494277145739</v>
      </c>
      <c r="R682" s="5">
        <v>0.368828154795772</v>
      </c>
      <c r="S682" s="5">
        <v>0.687612095096753</v>
      </c>
      <c r="T682" s="5">
        <v>1.41956033413447</v>
      </c>
    </row>
    <row r="683" spans="1:20">
      <c r="A683" t="s">
        <v>1349</v>
      </c>
      <c r="K683" s="5">
        <v>0.0594039978616389</v>
      </c>
      <c r="L683" s="5">
        <v>0.0756925489768638</v>
      </c>
      <c r="M683" s="5">
        <v>0.140254007746181</v>
      </c>
      <c r="N683" s="5">
        <v>0.1892629020399</v>
      </c>
      <c r="O683" s="5">
        <v>0.145895026927986</v>
      </c>
      <c r="P683" s="5">
        <v>0.182760676252099</v>
      </c>
      <c r="Q683" s="5">
        <v>0.186680584884434</v>
      </c>
      <c r="R683" s="5">
        <v>0.237103813797282</v>
      </c>
      <c r="S683" s="5">
        <v>0.200553527736553</v>
      </c>
      <c r="T683" s="5">
        <v>1.41760708622294</v>
      </c>
    </row>
    <row r="684" spans="1:20">
      <c r="A684" t="s">
        <v>1350</v>
      </c>
      <c r="O684" s="5">
        <v>0.0800069502508312</v>
      </c>
      <c r="P684" s="5">
        <v>0.0522173360720282</v>
      </c>
      <c r="Q684" s="5">
        <v>0.205992369527652</v>
      </c>
      <c r="R684" s="5">
        <v>0.289793550196678</v>
      </c>
      <c r="S684" s="5">
        <v>0.787888858965029</v>
      </c>
      <c r="T684" s="5">
        <v>1.41589906501222</v>
      </c>
    </row>
    <row r="685" spans="1:20">
      <c r="A685" t="s">
        <v>1351</v>
      </c>
      <c r="M685" s="5">
        <v>0.0483634509469588</v>
      </c>
      <c r="N685" s="5">
        <v>0.0630876340133</v>
      </c>
      <c r="O685" s="5">
        <v>0.127069862163085</v>
      </c>
      <c r="P685" s="5">
        <v>0.182760676252099</v>
      </c>
      <c r="Q685" s="5">
        <v>0.21886689262313</v>
      </c>
      <c r="R685" s="5">
        <v>0.316138418396376</v>
      </c>
      <c r="S685" s="5">
        <v>0.458408063397835</v>
      </c>
      <c r="T685" s="5">
        <v>1.41469499779278</v>
      </c>
    </row>
    <row r="686" spans="1:20">
      <c r="A686" t="s">
        <v>1352</v>
      </c>
      <c r="O686" s="5">
        <v>0.0847132414420566</v>
      </c>
      <c r="P686" s="5">
        <v>0.0939912049296507</v>
      </c>
      <c r="Q686" s="5">
        <v>0.154494277145739</v>
      </c>
      <c r="R686" s="5">
        <v>0.342483286596074</v>
      </c>
      <c r="S686" s="5">
        <v>0.7305878510403</v>
      </c>
      <c r="T686" s="5">
        <v>1.40626986115382</v>
      </c>
    </row>
    <row r="687" spans="1:20">
      <c r="A687" t="s">
        <v>1353</v>
      </c>
      <c r="N687" s="5">
        <v>0.0970578984819999</v>
      </c>
      <c r="O687" s="5">
        <v>0.164720191692888</v>
      </c>
      <c r="P687" s="5">
        <v>0.219312811502518</v>
      </c>
      <c r="Q687" s="5">
        <v>0.251053200361826</v>
      </c>
      <c r="R687" s="5">
        <v>0.184414077397886</v>
      </c>
      <c r="S687" s="5">
        <v>0.4870585673602</v>
      </c>
      <c r="T687" s="5">
        <v>1.40361674679732</v>
      </c>
    </row>
    <row r="688" spans="1:20">
      <c r="A688" t="s">
        <v>1354</v>
      </c>
      <c r="O688" s="5">
        <v>0.0753006590596058</v>
      </c>
      <c r="P688" s="5">
        <v>0.0626608032864338</v>
      </c>
      <c r="Q688" s="5">
        <v>0.231741415718608</v>
      </c>
      <c r="R688" s="5">
        <v>0.39517302299547</v>
      </c>
      <c r="S688" s="5">
        <v>0.630311087172023</v>
      </c>
      <c r="T688" s="5">
        <v>1.39518698823214</v>
      </c>
    </row>
    <row r="689" spans="1:20">
      <c r="A689" t="s">
        <v>1355</v>
      </c>
      <c r="B689" s="5"/>
      <c r="O689" s="5">
        <v>0.0564754942947044</v>
      </c>
      <c r="P689" s="5">
        <v>0.151430274608882</v>
      </c>
      <c r="Q689" s="5">
        <v>0.193117846432174</v>
      </c>
      <c r="R689" s="5">
        <v>0.377609777529004</v>
      </c>
      <c r="S689" s="5">
        <v>0.615985835190841</v>
      </c>
      <c r="T689" s="5">
        <v>1.39461922805561</v>
      </c>
    </row>
    <row r="690" spans="1:20">
      <c r="A690" t="s">
        <v>1356</v>
      </c>
      <c r="P690" s="5">
        <v>0.0522173360720282</v>
      </c>
      <c r="Q690" s="5">
        <v>0.160931538693478</v>
      </c>
      <c r="R690" s="5">
        <v>0.26344868199698</v>
      </c>
      <c r="S690" s="5">
        <v>0.91681612679567</v>
      </c>
      <c r="T690" s="5">
        <v>1.39341368355816</v>
      </c>
    </row>
    <row r="691" spans="1:20">
      <c r="A691" t="s">
        <v>1357</v>
      </c>
      <c r="N691" s="5">
        <v>0.0776463187855999</v>
      </c>
      <c r="O691" s="5">
        <v>0.112950988589409</v>
      </c>
      <c r="P691" s="5">
        <v>0.187982409859301</v>
      </c>
      <c r="Q691" s="5">
        <v>0.328300338934695</v>
      </c>
      <c r="R691" s="5">
        <v>0.324920041129608</v>
      </c>
      <c r="S691" s="5">
        <v>0.358131299529559</v>
      </c>
      <c r="T691" s="5">
        <v>1.38993139682817</v>
      </c>
    </row>
    <row r="692" spans="1:20">
      <c r="A692" t="s">
        <v>1358</v>
      </c>
      <c r="K692" s="5">
        <v>0.0456953829704914</v>
      </c>
      <c r="L692" s="5">
        <v>0.0605540391814911</v>
      </c>
      <c r="M692" s="5">
        <v>0.0677088313257423</v>
      </c>
      <c r="N692" s="5">
        <v>0.0679405289373999</v>
      </c>
      <c r="O692" s="5">
        <v>0.136482444545536</v>
      </c>
      <c r="P692" s="5">
        <v>0.156652008216085</v>
      </c>
      <c r="Q692" s="5">
        <v>0.186680584884434</v>
      </c>
      <c r="R692" s="5">
        <v>0.281011927463445</v>
      </c>
      <c r="S692" s="5">
        <v>0.386781803491923</v>
      </c>
      <c r="T692" s="5">
        <v>1.38950755101655</v>
      </c>
    </row>
    <row r="693" spans="1:20">
      <c r="A693" t="s">
        <v>1359</v>
      </c>
      <c r="O693" s="5">
        <v>0.0847132414420566</v>
      </c>
      <c r="P693" s="5">
        <v>0.114878139358462</v>
      </c>
      <c r="Q693" s="5">
        <v>0.212429631075391</v>
      </c>
      <c r="R693" s="5">
        <v>0.368828154795772</v>
      </c>
      <c r="S693" s="5">
        <v>0.601660583209659</v>
      </c>
      <c r="T693" s="5">
        <v>1.38250974988134</v>
      </c>
    </row>
    <row r="694" spans="1:20">
      <c r="A694" t="s">
        <v>1360</v>
      </c>
      <c r="K694" s="5">
        <v>0.0456953829704914</v>
      </c>
      <c r="N694" s="5">
        <v>0.1067636883302</v>
      </c>
      <c r="O694" s="5">
        <v>0.160013900501662</v>
      </c>
      <c r="P694" s="5">
        <v>0.182760676252099</v>
      </c>
      <c r="Q694" s="5">
        <v>0.244615938814086</v>
      </c>
      <c r="R694" s="5">
        <v>0.29857517292991</v>
      </c>
      <c r="S694" s="5">
        <v>0.343806047548376</v>
      </c>
      <c r="T694" s="5">
        <v>1.38223080734682</v>
      </c>
    </row>
    <row r="695" spans="1:20">
      <c r="A695" t="s">
        <v>1361</v>
      </c>
      <c r="L695" s="5">
        <v>0.0504616993179092</v>
      </c>
      <c r="N695" s="5">
        <v>0.0679405289373999</v>
      </c>
      <c r="O695" s="5">
        <v>0.145895026927986</v>
      </c>
      <c r="P695" s="5">
        <v>0.140986807394476</v>
      </c>
      <c r="Q695" s="5">
        <v>0.283239508100521</v>
      </c>
      <c r="R695" s="5">
        <v>0.219540568330816</v>
      </c>
      <c r="S695" s="5">
        <v>0.472733315379018</v>
      </c>
      <c r="T695" s="5">
        <v>1.38079745438813</v>
      </c>
    </row>
    <row r="696" spans="1:20">
      <c r="A696" t="s">
        <v>1362</v>
      </c>
      <c r="O696" s="5">
        <v>0.112950988589409</v>
      </c>
      <c r="P696" s="5">
        <v>0.156652008216085</v>
      </c>
      <c r="Q696" s="5">
        <v>0.231741415718608</v>
      </c>
      <c r="R696" s="5">
        <v>0.39517302299547</v>
      </c>
      <c r="S696" s="5">
        <v>0.472733315379018</v>
      </c>
      <c r="T696" s="5">
        <v>1.36925075089859</v>
      </c>
    </row>
    <row r="697" spans="1:20">
      <c r="A697" t="s">
        <v>1363</v>
      </c>
      <c r="L697" s="5">
        <v>0.065600209113282</v>
      </c>
      <c r="N697" s="5">
        <v>0.0533818441651</v>
      </c>
      <c r="O697" s="5">
        <v>0.117657279780634</v>
      </c>
      <c r="P697" s="5">
        <v>0.146208541001679</v>
      </c>
      <c r="Q697" s="5">
        <v>0.154494277145739</v>
      </c>
      <c r="R697" s="5">
        <v>0.281011927463445</v>
      </c>
      <c r="S697" s="5">
        <v>0.544359575284929</v>
      </c>
      <c r="T697" s="5">
        <v>1.36271365395481</v>
      </c>
    </row>
    <row r="698" spans="1:20">
      <c r="A698" t="s">
        <v>1364</v>
      </c>
      <c r="B698" s="5">
        <v>1.20592415723716</v>
      </c>
      <c r="C698" s="5">
        <v>0.107653446868247</v>
      </c>
      <c r="M698" s="5">
        <v>0.0483634509469588</v>
      </c>
      <c r="N698" s="5"/>
      <c r="O698" s="5"/>
      <c r="P698" s="5"/>
      <c r="Q698" s="5"/>
      <c r="R698" s="5"/>
      <c r="S698" s="5"/>
      <c r="T698" s="5">
        <v>1.36194105505237</v>
      </c>
    </row>
    <row r="699" spans="1:20">
      <c r="A699" t="s">
        <v>1365</v>
      </c>
      <c r="N699" s="5">
        <v>0.048528949241</v>
      </c>
      <c r="O699" s="5">
        <v>0.0564754942947044</v>
      </c>
      <c r="P699" s="5">
        <v>0.120099872965665</v>
      </c>
      <c r="Q699" s="5">
        <v>0.160931538693478</v>
      </c>
      <c r="R699" s="5">
        <v>0.412736268461935</v>
      </c>
      <c r="S699" s="5">
        <v>0.558684827266112</v>
      </c>
      <c r="T699" s="5">
        <v>1.35745695092289</v>
      </c>
    </row>
    <row r="700" spans="1:20">
      <c r="A700" t="s">
        <v>1366</v>
      </c>
      <c r="L700" s="5">
        <v>0.0504616993179092</v>
      </c>
      <c r="M700" s="5"/>
      <c r="N700" s="5">
        <v>0.0727934238614999</v>
      </c>
      <c r="O700" s="5">
        <v>0.0800069502508312</v>
      </c>
      <c r="P700" s="5">
        <v>0.16709547543049</v>
      </c>
      <c r="Q700" s="5">
        <v>0.199555107979913</v>
      </c>
      <c r="R700" s="5">
        <v>0.368828154795772</v>
      </c>
      <c r="S700" s="5">
        <v>0.415432307454288</v>
      </c>
      <c r="T700" s="5">
        <v>1.3541731190907</v>
      </c>
    </row>
    <row r="701" spans="1:20">
      <c r="A701" t="s">
        <v>1367</v>
      </c>
      <c r="N701" s="5">
        <v>0.0582347390892</v>
      </c>
      <c r="O701" s="5">
        <v>0.0894195326332819</v>
      </c>
      <c r="P701" s="5">
        <v>0.172317209037693</v>
      </c>
      <c r="Q701" s="5">
        <v>0.225304154170869</v>
      </c>
      <c r="R701" s="5">
        <v>0.377609777529004</v>
      </c>
      <c r="S701" s="5">
        <v>0.42975755943547</v>
      </c>
      <c r="T701" s="5">
        <v>1.35264297189552</v>
      </c>
    </row>
    <row r="702" spans="1:20">
      <c r="A702" t="s">
        <v>1368</v>
      </c>
      <c r="M702" s="5">
        <v>0.0483634509469588</v>
      </c>
      <c r="N702" s="5">
        <v>0.0727934238614999</v>
      </c>
      <c r="O702" s="5">
        <v>0.0705943678683805</v>
      </c>
      <c r="P702" s="5">
        <v>0.0783260041080423</v>
      </c>
      <c r="Q702" s="5">
        <v>0.251053200361826</v>
      </c>
      <c r="R702" s="5">
        <v>0.342483286596074</v>
      </c>
      <c r="S702" s="5">
        <v>0.4870585673602</v>
      </c>
      <c r="T702" s="5">
        <v>1.35067230110298</v>
      </c>
    </row>
    <row r="703" spans="1:20">
      <c r="A703" t="s">
        <v>1369</v>
      </c>
      <c r="N703" s="5">
        <v>0.1358810578748</v>
      </c>
      <c r="O703" s="5">
        <v>0.178839065266564</v>
      </c>
      <c r="P703" s="5">
        <v>0.16709547543049</v>
      </c>
      <c r="Q703" s="5">
        <v>0.244615938814086</v>
      </c>
      <c r="R703" s="5">
        <v>0.237103813797282</v>
      </c>
      <c r="S703" s="5">
        <v>0.386781803491923</v>
      </c>
      <c r="T703" s="5">
        <v>1.35031715467514</v>
      </c>
    </row>
    <row r="704" spans="1:20">
      <c r="A704" t="s">
        <v>1370</v>
      </c>
      <c r="B704" s="5">
        <v>1.34296099328684</v>
      </c>
      <c r="T704" s="5">
        <v>1.34296099328684</v>
      </c>
    </row>
    <row r="705" spans="1:20">
      <c r="A705" t="s">
        <v>1371</v>
      </c>
      <c r="B705" s="5">
        <v>1.34296099328684</v>
      </c>
      <c r="T705" s="5">
        <v>1.34296099328684</v>
      </c>
    </row>
    <row r="706" spans="1:20">
      <c r="A706" t="s">
        <v>1372</v>
      </c>
      <c r="N706" s="5">
        <v>0.0630876340133</v>
      </c>
      <c r="O706" s="5">
        <v>0.141188735736761</v>
      </c>
      <c r="P706" s="5">
        <v>0.146208541001679</v>
      </c>
      <c r="Q706" s="5">
        <v>0.21886689262313</v>
      </c>
      <c r="R706" s="5">
        <v>0.254667059263747</v>
      </c>
      <c r="S706" s="5">
        <v>0.515709071322565</v>
      </c>
      <c r="T706" s="5">
        <v>1.33972793396118</v>
      </c>
    </row>
    <row r="707" spans="1:20">
      <c r="A707" t="s">
        <v>1373</v>
      </c>
      <c r="P707" s="5">
        <v>0.0626608032864338</v>
      </c>
      <c r="Q707" s="5">
        <v>0.148057015598</v>
      </c>
      <c r="R707" s="5">
        <v>0.368828154795772</v>
      </c>
      <c r="S707" s="5">
        <v>0.759238355002665</v>
      </c>
      <c r="T707" s="5">
        <v>1.33878432868287</v>
      </c>
    </row>
    <row r="708" spans="1:20">
      <c r="A708" t="s">
        <v>1374</v>
      </c>
      <c r="N708" s="5">
        <v>0.0776463187855999</v>
      </c>
      <c r="O708" s="5">
        <v>0.103538406206958</v>
      </c>
      <c r="P708" s="5">
        <v>0.0992129385368535</v>
      </c>
      <c r="Q708" s="5">
        <v>0.257490461909565</v>
      </c>
      <c r="R708" s="5">
        <v>0.272230304730212</v>
      </c>
      <c r="S708" s="5">
        <v>0.515709071322565</v>
      </c>
      <c r="T708" s="5">
        <v>1.32582750149175</v>
      </c>
    </row>
    <row r="709" spans="1:20">
      <c r="A709" t="s">
        <v>1375</v>
      </c>
      <c r="B709" s="5"/>
      <c r="C709" s="5"/>
      <c r="N709" s="5">
        <v>0.0922050035578999</v>
      </c>
      <c r="O709" s="5">
        <v>0.112950988589409</v>
      </c>
      <c r="P709" s="5">
        <v>0.120099872965665</v>
      </c>
      <c r="Q709" s="5">
        <v>0.167368800241217</v>
      </c>
      <c r="R709" s="5">
        <v>0.342483286596074</v>
      </c>
      <c r="S709" s="5">
        <v>0.472733315379018</v>
      </c>
      <c r="T709" s="5">
        <v>1.30784126732928</v>
      </c>
    </row>
    <row r="710" spans="1:20">
      <c r="A710" t="s">
        <v>1376</v>
      </c>
      <c r="M710" s="5">
        <v>0.0531997960416547</v>
      </c>
      <c r="N710" s="5">
        <v>0.0727934238614999</v>
      </c>
      <c r="O710" s="5">
        <v>0.0941258238245073</v>
      </c>
      <c r="P710" s="5">
        <v>0.135765073787273</v>
      </c>
      <c r="Q710" s="5">
        <v>0.28967676964826</v>
      </c>
      <c r="R710" s="5">
        <v>0.272230304730212</v>
      </c>
      <c r="S710" s="5">
        <v>0.386781803491923</v>
      </c>
      <c r="T710" s="5">
        <v>1.30457299538533</v>
      </c>
    </row>
    <row r="711" spans="1:20">
      <c r="A711" t="s">
        <v>1377</v>
      </c>
      <c r="P711" s="5">
        <v>0.0731042705008395</v>
      </c>
      <c r="Q711" s="5">
        <v>0.186680584884434</v>
      </c>
      <c r="R711" s="5">
        <v>0.412736268461935</v>
      </c>
      <c r="S711" s="5">
        <v>0.615985835190841</v>
      </c>
      <c r="T711" s="5">
        <v>1.28850695903805</v>
      </c>
    </row>
    <row r="712" spans="1:20">
      <c r="A712" t="s">
        <v>1378</v>
      </c>
      <c r="N712" s="5">
        <v>0.048528949241</v>
      </c>
      <c r="O712" s="5"/>
      <c r="P712" s="5">
        <v>0.114878139358462</v>
      </c>
      <c r="Q712" s="5">
        <v>0.251053200361826</v>
      </c>
      <c r="R712" s="5">
        <v>0.237103813797282</v>
      </c>
      <c r="S712" s="5">
        <v>0.615985835190841</v>
      </c>
      <c r="T712" s="5">
        <v>1.26754993794941</v>
      </c>
    </row>
    <row r="713" spans="1:20">
      <c r="A713" t="s">
        <v>1379</v>
      </c>
      <c r="M713" s="5">
        <v>0.0483634509469588</v>
      </c>
      <c r="N713" s="5">
        <v>0.0630876340133</v>
      </c>
      <c r="O713" s="5">
        <v>0.122363570971859</v>
      </c>
      <c r="P713" s="5">
        <v>0.0939912049296507</v>
      </c>
      <c r="Q713" s="5">
        <v>0.238178677266347</v>
      </c>
      <c r="R713" s="5">
        <v>0.324920041129608</v>
      </c>
      <c r="S713" s="5">
        <v>0.372456551510741</v>
      </c>
      <c r="T713" s="5">
        <v>1.26336113076846</v>
      </c>
    </row>
    <row r="714" spans="1:20">
      <c r="A714" t="s">
        <v>1380</v>
      </c>
      <c r="B714" s="5">
        <v>1.26073889165703</v>
      </c>
      <c r="T714" s="5">
        <v>1.26073889165703</v>
      </c>
    </row>
    <row r="715" spans="1:20">
      <c r="A715" t="s">
        <v>1381</v>
      </c>
      <c r="K715" s="5">
        <v>0.0502649212675406</v>
      </c>
      <c r="L715" s="5">
        <v>0.0504616993179092</v>
      </c>
      <c r="M715" s="5">
        <v>0.0773815215151341</v>
      </c>
      <c r="N715" s="5">
        <v>0.1019107934061</v>
      </c>
      <c r="O715" s="5">
        <v>0.108244697398183</v>
      </c>
      <c r="P715" s="5">
        <v>0.13054334018007</v>
      </c>
      <c r="Q715" s="5">
        <v>0.160931538693478</v>
      </c>
      <c r="R715" s="5">
        <v>0.175632454664653</v>
      </c>
      <c r="S715" s="5">
        <v>0.401107055473106</v>
      </c>
      <c r="T715" s="5">
        <v>1.25647802191617</v>
      </c>
    </row>
    <row r="716" spans="1:20">
      <c r="A716" t="s">
        <v>1382</v>
      </c>
      <c r="N716" s="5">
        <v>0.0582347390892</v>
      </c>
      <c r="O716" s="5"/>
      <c r="P716" s="5">
        <v>0.0939912049296507</v>
      </c>
      <c r="Q716" s="5">
        <v>0.186680584884434</v>
      </c>
      <c r="R716" s="5">
        <v>0.272230304730212</v>
      </c>
      <c r="S716" s="5">
        <v>0.644636339153206</v>
      </c>
      <c r="T716" s="5">
        <v>1.2557731727867</v>
      </c>
    </row>
    <row r="717" spans="1:20">
      <c r="A717" t="s">
        <v>1383</v>
      </c>
      <c r="O717" s="5">
        <v>0.0894195326332819</v>
      </c>
      <c r="P717" s="5">
        <v>0.0992129385368535</v>
      </c>
      <c r="Q717" s="5">
        <v>0.186680584884434</v>
      </c>
      <c r="R717" s="5">
        <v>0.289793550196678</v>
      </c>
      <c r="S717" s="5">
        <v>0.587335331228476</v>
      </c>
      <c r="T717" s="5">
        <v>1.25244193747972</v>
      </c>
    </row>
    <row r="718" spans="1:20">
      <c r="A718" t="s">
        <v>1384</v>
      </c>
      <c r="M718" s="5">
        <v>0.0628724862310464</v>
      </c>
      <c r="N718" s="5">
        <v>0.0970578984819999</v>
      </c>
      <c r="O718" s="5">
        <v>0.0753006590596058</v>
      </c>
      <c r="P718" s="5">
        <v>0.156652008216085</v>
      </c>
      <c r="Q718" s="5">
        <v>0.225304154170869</v>
      </c>
      <c r="R718" s="5">
        <v>0.228322191064049</v>
      </c>
      <c r="S718" s="5">
        <v>0.401107055473106</v>
      </c>
      <c r="T718" s="5">
        <v>1.24661645269676</v>
      </c>
    </row>
    <row r="719" spans="1:20">
      <c r="A719" t="s">
        <v>1385</v>
      </c>
      <c r="N719" s="5">
        <v>0.0582347390892</v>
      </c>
      <c r="O719" s="5">
        <v>0.0658880766771551</v>
      </c>
      <c r="P719" s="5">
        <v>0.177538942644896</v>
      </c>
      <c r="Q719" s="5">
        <v>0.193117846432174</v>
      </c>
      <c r="R719" s="5">
        <v>0.289793550196678</v>
      </c>
      <c r="S719" s="5">
        <v>0.458408063397835</v>
      </c>
      <c r="T719" s="5">
        <v>1.24298121843794</v>
      </c>
    </row>
    <row r="720" spans="1:20">
      <c r="A720" t="s">
        <v>1386</v>
      </c>
      <c r="B720" s="5">
        <v>0.301481039309291</v>
      </c>
      <c r="K720" s="5">
        <v>0.0502649212675406</v>
      </c>
      <c r="L720" s="5">
        <v>0.0605540391814911</v>
      </c>
      <c r="M720" s="5">
        <v>0.0870542117045258</v>
      </c>
      <c r="N720" s="5">
        <v>0.0630876340133</v>
      </c>
      <c r="O720" s="5">
        <v>0.0988321150157327</v>
      </c>
      <c r="P720" s="5">
        <v>0.146208541001679</v>
      </c>
      <c r="Q720" s="5">
        <v>0.0965589232160868</v>
      </c>
      <c r="R720" s="5">
        <v>0.16685083193142</v>
      </c>
      <c r="S720" s="5">
        <v>0.171903023774188</v>
      </c>
      <c r="T720" s="5">
        <v>1.24279528041526</v>
      </c>
    </row>
    <row r="721" spans="1:20">
      <c r="A721" t="s">
        <v>1387</v>
      </c>
      <c r="B721" s="5"/>
      <c r="O721" s="5">
        <v>0.051769203103479</v>
      </c>
      <c r="P721" s="5">
        <v>0.0783260041080423</v>
      </c>
      <c r="Q721" s="5">
        <v>0.21886689262313</v>
      </c>
      <c r="R721" s="5">
        <v>0.360046532062539</v>
      </c>
      <c r="S721" s="5">
        <v>0.530034323303747</v>
      </c>
      <c r="T721" s="5">
        <v>1.23904295520094</v>
      </c>
    </row>
    <row r="722" spans="1:20">
      <c r="A722" t="s">
        <v>1388</v>
      </c>
      <c r="J722" s="5">
        <v>0.04443132436804</v>
      </c>
      <c r="L722" s="5">
        <v>0.0807387189086547</v>
      </c>
      <c r="M722" s="5">
        <v>0.0967269018939176</v>
      </c>
      <c r="N722" s="5">
        <v>0.1164694781784</v>
      </c>
      <c r="O722" s="5">
        <v>0.160013900501662</v>
      </c>
      <c r="P722" s="5">
        <v>0.151430274608882</v>
      </c>
      <c r="Q722" s="5">
        <v>0.193117846432174</v>
      </c>
      <c r="R722" s="5">
        <v>0.122942718265257</v>
      </c>
      <c r="S722" s="5">
        <v>0.272179787642465</v>
      </c>
      <c r="T722" s="5">
        <v>1.23805095079945</v>
      </c>
    </row>
    <row r="723" spans="1:20">
      <c r="A723" t="s">
        <v>1389</v>
      </c>
      <c r="B723" s="5">
        <v>1.2333315244471</v>
      </c>
      <c r="T723" s="5">
        <v>1.2333315244471</v>
      </c>
    </row>
    <row r="724" spans="1:20">
      <c r="A724" t="s">
        <v>1390</v>
      </c>
      <c r="B724" s="5">
        <v>1.2333315244471</v>
      </c>
      <c r="T724" s="5">
        <v>1.2333315244471</v>
      </c>
    </row>
    <row r="725" spans="1:20">
      <c r="A725" t="s">
        <v>1391</v>
      </c>
      <c r="B725" s="5">
        <v>1.2333315244471</v>
      </c>
      <c r="T725" s="5">
        <v>1.2333315244471</v>
      </c>
    </row>
    <row r="726" spans="1:20">
      <c r="A726" t="s">
        <v>1392</v>
      </c>
      <c r="L726" s="5">
        <v>0.0504616993179092</v>
      </c>
      <c r="M726" s="5">
        <v>0.0628724862310464</v>
      </c>
      <c r="N726" s="5">
        <v>0.0970578984819999</v>
      </c>
      <c r="O726" s="5">
        <v>0.0988321150157327</v>
      </c>
      <c r="P726" s="5">
        <v>0.104434672144056</v>
      </c>
      <c r="Q726" s="5">
        <v>0.180243323336695</v>
      </c>
      <c r="R726" s="5">
        <v>0.237103813797282</v>
      </c>
      <c r="S726" s="5">
        <v>0.401107055473106</v>
      </c>
      <c r="T726" s="5">
        <v>1.23211306379783</v>
      </c>
    </row>
    <row r="727" spans="1:20">
      <c r="A727" t="s">
        <v>1393</v>
      </c>
      <c r="O727" s="5">
        <v>0.0941258238245073</v>
      </c>
      <c r="P727" s="5">
        <v>0.0887694713224479</v>
      </c>
      <c r="Q727" s="5">
        <v>0.186680584884434</v>
      </c>
      <c r="R727" s="5">
        <v>0.342483286596074</v>
      </c>
      <c r="S727" s="5">
        <v>0.515709071322565</v>
      </c>
      <c r="T727" s="5">
        <v>1.22776823795003</v>
      </c>
    </row>
    <row r="728" spans="1:20">
      <c r="A728" t="s">
        <v>1394</v>
      </c>
      <c r="B728" s="5"/>
      <c r="N728" s="5">
        <v>0.048528949241</v>
      </c>
      <c r="O728" s="5">
        <v>0.0611817854859297</v>
      </c>
      <c r="P728" s="5">
        <v>0.0783260041080423</v>
      </c>
      <c r="Q728" s="5">
        <v>0.173806061788956</v>
      </c>
      <c r="R728" s="5">
        <v>0.377609777529004</v>
      </c>
      <c r="S728" s="5">
        <v>0.4870585673602</v>
      </c>
      <c r="T728" s="5">
        <v>1.22651114551313</v>
      </c>
    </row>
    <row r="729" spans="1:20">
      <c r="A729" t="s">
        <v>1395</v>
      </c>
      <c r="M729" s="5">
        <v>0.0531997960416547</v>
      </c>
      <c r="N729" s="5">
        <v>0.048528949241</v>
      </c>
      <c r="O729" s="5">
        <v>0.141188735736761</v>
      </c>
      <c r="P729" s="5">
        <v>0.16709547543049</v>
      </c>
      <c r="Q729" s="5">
        <v>0.199555107979913</v>
      </c>
      <c r="R729" s="5">
        <v>0.307356795663143</v>
      </c>
      <c r="S729" s="5">
        <v>0.300830291604829</v>
      </c>
      <c r="T729" s="5">
        <v>1.21775515169779</v>
      </c>
    </row>
    <row r="730" spans="1:20">
      <c r="A730" t="s">
        <v>1396</v>
      </c>
      <c r="Q730" s="5">
        <v>0.160931538693478</v>
      </c>
      <c r="R730" s="5">
        <v>0.324920041129608</v>
      </c>
      <c r="S730" s="5">
        <v>0.7305878510403</v>
      </c>
      <c r="T730" s="5">
        <v>1.21643943086339</v>
      </c>
    </row>
    <row r="731" spans="1:20">
      <c r="A731" t="s">
        <v>1397</v>
      </c>
      <c r="P731" s="5">
        <v>0.0887694713224479</v>
      </c>
      <c r="Q731" s="5">
        <v>0.199555107979913</v>
      </c>
      <c r="R731" s="5">
        <v>0.289793550196678</v>
      </c>
      <c r="S731" s="5">
        <v>0.630311087172023</v>
      </c>
      <c r="T731" s="5">
        <v>1.20842921667106</v>
      </c>
    </row>
    <row r="732" spans="1:20">
      <c r="A732" t="s">
        <v>1398</v>
      </c>
      <c r="N732" s="5">
        <v>0.0679405289373999</v>
      </c>
      <c r="O732" s="5">
        <v>0.0988321150157327</v>
      </c>
      <c r="P732" s="5">
        <v>0.140986807394476</v>
      </c>
      <c r="Q732" s="5">
        <v>0.199555107979913</v>
      </c>
      <c r="R732" s="5">
        <v>0.368828154795772</v>
      </c>
      <c r="S732" s="5">
        <v>0.329480795567194</v>
      </c>
      <c r="T732" s="5">
        <v>1.20562350969049</v>
      </c>
    </row>
    <row r="733" spans="1:20">
      <c r="A733" t="s">
        <v>1399</v>
      </c>
      <c r="B733" s="5">
        <v>1.12370205560736</v>
      </c>
      <c r="C733" s="5">
        <v>0.0807400851511851</v>
      </c>
      <c r="T733" s="5">
        <v>1.20444214075855</v>
      </c>
    </row>
    <row r="734" spans="1:20">
      <c r="A734" t="s">
        <v>1400</v>
      </c>
      <c r="O734" s="5">
        <v>0.112950988589409</v>
      </c>
      <c r="P734" s="5">
        <v>0.140986807394476</v>
      </c>
      <c r="Q734" s="5">
        <v>0.193117846432174</v>
      </c>
      <c r="R734" s="5">
        <v>0.281011927463445</v>
      </c>
      <c r="S734" s="5">
        <v>0.472733315379018</v>
      </c>
      <c r="T734" s="5">
        <v>1.20080088525852</v>
      </c>
    </row>
    <row r="735" spans="1:20">
      <c r="A735" t="s">
        <v>1401</v>
      </c>
      <c r="N735" s="5">
        <v>0.0533818441651</v>
      </c>
      <c r="O735" s="5">
        <v>0.0800069502508312</v>
      </c>
      <c r="P735" s="5">
        <v>0.104434672144056</v>
      </c>
      <c r="Q735" s="5">
        <v>0.205992369527652</v>
      </c>
      <c r="R735" s="5">
        <v>0.324920041129608</v>
      </c>
      <c r="S735" s="5">
        <v>0.42975755943547</v>
      </c>
      <c r="T735" s="5">
        <v>1.19849343665272</v>
      </c>
    </row>
    <row r="736" spans="1:20">
      <c r="A736" t="s">
        <v>1402</v>
      </c>
      <c r="N736" s="5">
        <v>0.1019107934061</v>
      </c>
      <c r="O736" s="5">
        <v>0.0941258238245073</v>
      </c>
      <c r="P736" s="5">
        <v>0.156652008216085</v>
      </c>
      <c r="Q736" s="5">
        <v>0.199555107979913</v>
      </c>
      <c r="R736" s="5">
        <v>0.245885436530514</v>
      </c>
      <c r="S736" s="5">
        <v>0.386781803491923</v>
      </c>
      <c r="T736" s="5">
        <v>1.18491097344904</v>
      </c>
    </row>
    <row r="737" spans="1:20">
      <c r="A737" t="s">
        <v>1403</v>
      </c>
      <c r="N737" s="5">
        <v>0.0776463187855999</v>
      </c>
      <c r="O737" s="5">
        <v>0.13177615335431</v>
      </c>
      <c r="P737" s="5">
        <v>0.16709547543049</v>
      </c>
      <c r="Q737" s="5">
        <v>0.205992369527652</v>
      </c>
      <c r="R737" s="5">
        <v>0.237103813797282</v>
      </c>
      <c r="S737" s="5">
        <v>0.358131299529559</v>
      </c>
      <c r="T737" s="5">
        <v>1.17774543042489</v>
      </c>
    </row>
    <row r="738" spans="1:20">
      <c r="A738" t="s">
        <v>1404</v>
      </c>
      <c r="M738" s="5">
        <v>0.0628724862310464</v>
      </c>
      <c r="N738" s="5"/>
      <c r="O738" s="5">
        <v>0.0753006590596058</v>
      </c>
      <c r="P738" s="5">
        <v>0.120099872965665</v>
      </c>
      <c r="Q738" s="5">
        <v>0.154494277145739</v>
      </c>
      <c r="R738" s="5">
        <v>0.26344868199698</v>
      </c>
      <c r="S738" s="5">
        <v>0.501383819341382</v>
      </c>
      <c r="T738" s="5">
        <v>1.17759979674042</v>
      </c>
    </row>
    <row r="739" spans="1:20">
      <c r="A739" t="s">
        <v>1405</v>
      </c>
      <c r="K739" s="5">
        <v>0.0594039978616389</v>
      </c>
      <c r="L739" s="5">
        <v>0.0756925489768638</v>
      </c>
      <c r="M739" s="5">
        <v>0.0773815215151341</v>
      </c>
      <c r="N739" s="5">
        <v>0.1067636883302</v>
      </c>
      <c r="O739" s="5">
        <v>0.141188735736761</v>
      </c>
      <c r="P739" s="5">
        <v>0.198425877073707</v>
      </c>
      <c r="Q739" s="5">
        <v>0.173806061788956</v>
      </c>
      <c r="R739" s="5">
        <v>0.158069209198188</v>
      </c>
      <c r="S739" s="5">
        <v>0.186228275755371</v>
      </c>
      <c r="T739" s="5">
        <v>1.17695991623682</v>
      </c>
    </row>
    <row r="740" spans="1:20">
      <c r="A740" t="s">
        <v>1406</v>
      </c>
      <c r="N740" s="5">
        <v>0.0582347390892</v>
      </c>
      <c r="O740" s="5">
        <v>0.0847132414420566</v>
      </c>
      <c r="P740" s="5">
        <v>0.114878139358462</v>
      </c>
      <c r="Q740" s="5">
        <v>0.128745230954782</v>
      </c>
      <c r="R740" s="5">
        <v>0.219540568330816</v>
      </c>
      <c r="S740" s="5">
        <v>0.558684827266112</v>
      </c>
      <c r="T740" s="5">
        <v>1.16479674644143</v>
      </c>
    </row>
    <row r="741" spans="1:20">
      <c r="A741" t="s">
        <v>1407</v>
      </c>
      <c r="M741" s="5">
        <v>0.0628724862310464</v>
      </c>
      <c r="N741" s="5">
        <v>0.0873521086337999</v>
      </c>
      <c r="O741" s="5">
        <v>0.0470629119122537</v>
      </c>
      <c r="P741" s="5">
        <v>0.125321606572868</v>
      </c>
      <c r="Q741" s="5">
        <v>0.199555107979913</v>
      </c>
      <c r="R741" s="5">
        <v>0.316138418396376</v>
      </c>
      <c r="S741" s="5">
        <v>0.315155543586012</v>
      </c>
      <c r="T741" s="5">
        <v>1.15345818331227</v>
      </c>
    </row>
    <row r="742" spans="1:20">
      <c r="A742" t="s">
        <v>1408</v>
      </c>
      <c r="B742" s="5">
        <v>1.15110942281729</v>
      </c>
      <c r="T742" s="5">
        <v>1.15110942281729</v>
      </c>
    </row>
    <row r="743" spans="1:20">
      <c r="A743" t="s">
        <v>1409</v>
      </c>
      <c r="O743" s="5">
        <v>0.0800069502508312</v>
      </c>
      <c r="P743" s="5">
        <v>0.109656405751259</v>
      </c>
      <c r="Q743" s="5">
        <v>0.212429631075391</v>
      </c>
      <c r="R743" s="5">
        <v>0.289793550196678</v>
      </c>
      <c r="S743" s="5">
        <v>0.458408063397835</v>
      </c>
      <c r="T743" s="5">
        <v>1.15029460067199</v>
      </c>
    </row>
    <row r="744" spans="1:20">
      <c r="A744" t="s">
        <v>1410</v>
      </c>
      <c r="N744" s="5">
        <v>0.0776463187855999</v>
      </c>
      <c r="O744" s="5">
        <v>0.122363570971859</v>
      </c>
      <c r="P744" s="5">
        <v>0.146208541001679</v>
      </c>
      <c r="Q744" s="5">
        <v>0.238178677266347</v>
      </c>
      <c r="R744" s="5">
        <v>0.26344868199698</v>
      </c>
      <c r="S744" s="5">
        <v>0.300830291604829</v>
      </c>
      <c r="T744" s="5">
        <v>1.14867608162729</v>
      </c>
    </row>
    <row r="745" spans="1:20">
      <c r="A745" t="s">
        <v>1411</v>
      </c>
      <c r="O745" s="5">
        <v>0.051769203103479</v>
      </c>
      <c r="P745" s="5">
        <v>0.114878139358462</v>
      </c>
      <c r="Q745" s="5">
        <v>0.173806061788956</v>
      </c>
      <c r="R745" s="5">
        <v>0.316138418396376</v>
      </c>
      <c r="S745" s="5">
        <v>0.4870585673602</v>
      </c>
      <c r="T745" s="5">
        <v>1.14365039000747</v>
      </c>
    </row>
    <row r="746" spans="1:20">
      <c r="A746" t="s">
        <v>1412</v>
      </c>
      <c r="M746" s="5">
        <v>0.0580361411363505</v>
      </c>
      <c r="N746" s="5">
        <v>0.0824992137096999</v>
      </c>
      <c r="O746" s="5">
        <v>0.0800069502508312</v>
      </c>
      <c r="P746" s="5">
        <v>0.20364761068091</v>
      </c>
      <c r="Q746" s="5">
        <v>0.205992369527652</v>
      </c>
      <c r="R746" s="5">
        <v>0.237103813797282</v>
      </c>
      <c r="S746" s="5">
        <v>0.272179787642465</v>
      </c>
      <c r="T746" s="5">
        <v>1.13946588674519</v>
      </c>
    </row>
    <row r="747" spans="1:20">
      <c r="A747" t="s">
        <v>1413</v>
      </c>
      <c r="B747" s="5"/>
      <c r="P747" s="5">
        <v>0.0939912049296507</v>
      </c>
      <c r="Q747" s="5">
        <v>0.102996184763826</v>
      </c>
      <c r="R747" s="5">
        <v>0.254667059263747</v>
      </c>
      <c r="S747" s="5">
        <v>0.687612095096753</v>
      </c>
      <c r="T747" s="5">
        <v>1.13926654405398</v>
      </c>
    </row>
    <row r="748" spans="1:20">
      <c r="A748" t="s">
        <v>1414</v>
      </c>
      <c r="O748" s="5">
        <v>0.0941258238245073</v>
      </c>
      <c r="P748" s="5">
        <v>0.0835477377152451</v>
      </c>
      <c r="Q748" s="5">
        <v>0.173806061788956</v>
      </c>
      <c r="R748" s="5">
        <v>0.29857517292991</v>
      </c>
      <c r="S748" s="5">
        <v>0.4870585673602</v>
      </c>
      <c r="T748" s="5">
        <v>1.13711336361882</v>
      </c>
    </row>
    <row r="749" spans="1:20">
      <c r="A749" t="s">
        <v>1415</v>
      </c>
      <c r="Q749" s="5">
        <v>0.0901216616683477</v>
      </c>
      <c r="R749" s="5">
        <v>0.272230304730212</v>
      </c>
      <c r="S749" s="5">
        <v>0.773563606983847</v>
      </c>
      <c r="T749" s="5">
        <v>1.13591557338241</v>
      </c>
    </row>
    <row r="750" spans="1:20">
      <c r="A750" t="s">
        <v>1416</v>
      </c>
      <c r="O750" s="5">
        <v>0.051769203103479</v>
      </c>
      <c r="P750" s="5">
        <v>0.104434672144056</v>
      </c>
      <c r="Q750" s="5">
        <v>0.180243323336695</v>
      </c>
      <c r="R750" s="5">
        <v>0.254667059263747</v>
      </c>
      <c r="S750" s="5">
        <v>0.544359575284929</v>
      </c>
      <c r="T750" s="5">
        <v>1.13547383313291</v>
      </c>
    </row>
    <row r="751" spans="1:20">
      <c r="A751" t="s">
        <v>1417</v>
      </c>
      <c r="N751" s="5">
        <v>0.1067636883302</v>
      </c>
      <c r="O751" s="5">
        <v>0.0988321150157327</v>
      </c>
      <c r="P751" s="5">
        <v>0.125321606572868</v>
      </c>
      <c r="Q751" s="5">
        <v>0.180243323336695</v>
      </c>
      <c r="R751" s="5">
        <v>0.245885436530514</v>
      </c>
      <c r="S751" s="5">
        <v>0.372456551510741</v>
      </c>
      <c r="T751" s="5">
        <v>1.12950272129675</v>
      </c>
    </row>
    <row r="752" spans="1:20">
      <c r="A752" t="s">
        <v>1418</v>
      </c>
      <c r="M752" s="5">
        <v>0.0483634509469588</v>
      </c>
      <c r="N752" s="5"/>
      <c r="O752" s="5">
        <v>0.0941258238245073</v>
      </c>
      <c r="P752" s="5">
        <v>0.114878139358462</v>
      </c>
      <c r="Q752" s="5">
        <v>0.154494277145739</v>
      </c>
      <c r="R752" s="5">
        <v>0.184414077397886</v>
      </c>
      <c r="S752" s="5">
        <v>0.515709071322565</v>
      </c>
      <c r="T752" s="5">
        <v>1.11198483999612</v>
      </c>
    </row>
    <row r="753" spans="1:20">
      <c r="A753" t="s">
        <v>1419</v>
      </c>
      <c r="O753" s="5">
        <v>0.0847132414420566</v>
      </c>
      <c r="P753" s="5">
        <v>0.109656405751259</v>
      </c>
      <c r="Q753" s="5">
        <v>0.212429631075391</v>
      </c>
      <c r="R753" s="5">
        <v>0.26344868199698</v>
      </c>
      <c r="S753" s="5">
        <v>0.42975755943547</v>
      </c>
      <c r="T753" s="5">
        <v>1.10000551970116</v>
      </c>
    </row>
    <row r="754" spans="1:20">
      <c r="A754" t="s">
        <v>1420</v>
      </c>
      <c r="B754" s="5">
        <v>1.09629468839742</v>
      </c>
      <c r="T754" s="5">
        <v>1.09629468839742</v>
      </c>
    </row>
    <row r="755" spans="1:20">
      <c r="A755" t="s">
        <v>1421</v>
      </c>
      <c r="B755" s="5">
        <v>1.09629468839742</v>
      </c>
      <c r="T755" s="5">
        <v>1.09629468839742</v>
      </c>
    </row>
    <row r="756" spans="1:20">
      <c r="A756" t="s">
        <v>1422</v>
      </c>
      <c r="N756" s="5">
        <v>0.0776463187855999</v>
      </c>
      <c r="O756" s="5">
        <v>0.0894195326332819</v>
      </c>
      <c r="P756" s="5">
        <v>0.120099872965665</v>
      </c>
      <c r="Q756" s="5">
        <v>0.205992369527652</v>
      </c>
      <c r="R756" s="5">
        <v>0.254667059263747</v>
      </c>
      <c r="S756" s="5">
        <v>0.343806047548376</v>
      </c>
      <c r="T756" s="5">
        <v>1.09163120072432</v>
      </c>
    </row>
    <row r="757" spans="1:20">
      <c r="A757" t="s">
        <v>1423</v>
      </c>
      <c r="N757" s="5">
        <v>0.0873521086337999</v>
      </c>
      <c r="O757" s="5">
        <v>0.13177615335431</v>
      </c>
      <c r="P757" s="5">
        <v>0.16709547543049</v>
      </c>
      <c r="Q757" s="5">
        <v>0.225304154170869</v>
      </c>
      <c r="R757" s="5">
        <v>0.201977322864351</v>
      </c>
      <c r="S757" s="5">
        <v>0.272179787642465</v>
      </c>
      <c r="T757" s="5">
        <v>1.08568500209629</v>
      </c>
    </row>
    <row r="758" spans="1:20">
      <c r="A758" t="s">
        <v>1424</v>
      </c>
      <c r="B758" s="5">
        <v>0.959257852347743</v>
      </c>
      <c r="C758" s="5">
        <v>0.121110127726778</v>
      </c>
      <c r="T758" s="5">
        <v>1.08036798007452</v>
      </c>
    </row>
    <row r="759" spans="1:20">
      <c r="A759" t="s">
        <v>1425</v>
      </c>
      <c r="O759" s="5">
        <v>0.108244697398183</v>
      </c>
      <c r="P759" s="5">
        <v>0.104434672144056</v>
      </c>
      <c r="Q759" s="5">
        <v>0.193117846432174</v>
      </c>
      <c r="R759" s="5">
        <v>0.342483286596074</v>
      </c>
      <c r="S759" s="5">
        <v>0.329480795567194</v>
      </c>
      <c r="T759" s="5">
        <v>1.07776129813768</v>
      </c>
    </row>
    <row r="760" spans="1:20">
      <c r="A760" t="s">
        <v>1426</v>
      </c>
      <c r="B760" s="5"/>
      <c r="O760" s="5">
        <v>0.0564754942947044</v>
      </c>
      <c r="P760" s="5">
        <v>0.0939912049296507</v>
      </c>
      <c r="Q760" s="5">
        <v>0.148057015598</v>
      </c>
      <c r="R760" s="5">
        <v>0.333701663862841</v>
      </c>
      <c r="S760" s="5">
        <v>0.444082811416653</v>
      </c>
      <c r="T760" s="5">
        <v>1.07630819010185</v>
      </c>
    </row>
    <row r="761" spans="1:20">
      <c r="A761" t="s">
        <v>1427</v>
      </c>
      <c r="N761" s="5">
        <v>0.0824992137096999</v>
      </c>
      <c r="O761" s="5">
        <v>0.117657279780634</v>
      </c>
      <c r="P761" s="5">
        <v>0.224534545109721</v>
      </c>
      <c r="Q761" s="5">
        <v>0.276802246552782</v>
      </c>
      <c r="R761" s="5">
        <v>0.16685083193142</v>
      </c>
      <c r="S761" s="5">
        <v>0.200553527736553</v>
      </c>
      <c r="T761" s="5">
        <v>1.06889764482081</v>
      </c>
    </row>
    <row r="762" spans="1:20">
      <c r="A762" t="s">
        <v>1428</v>
      </c>
      <c r="B762" s="5"/>
      <c r="O762" s="5">
        <v>0.0941258238245073</v>
      </c>
      <c r="P762" s="5">
        <v>0.114878139358462</v>
      </c>
      <c r="Q762" s="5">
        <v>0.244615938814086</v>
      </c>
      <c r="R762" s="5">
        <v>0.342483286596074</v>
      </c>
      <c r="S762" s="5">
        <v>0.272179787642465</v>
      </c>
      <c r="T762" s="5">
        <v>1.06828297623559</v>
      </c>
    </row>
    <row r="763" spans="1:20">
      <c r="A763" t="s">
        <v>1429</v>
      </c>
      <c r="O763" s="5">
        <v>0.108244697398183</v>
      </c>
      <c r="P763" s="5">
        <v>0.0939912049296507</v>
      </c>
      <c r="Q763" s="5">
        <v>0.102996184763826</v>
      </c>
      <c r="R763" s="5">
        <v>0.360046532062539</v>
      </c>
      <c r="S763" s="5">
        <v>0.401107055473106</v>
      </c>
      <c r="T763" s="5">
        <v>1.0663856746273</v>
      </c>
    </row>
    <row r="764" spans="1:20">
      <c r="A764" t="s">
        <v>1430</v>
      </c>
      <c r="M764" s="5">
        <v>0.0677088313257423</v>
      </c>
      <c r="N764" s="5">
        <v>0.1358810578748</v>
      </c>
      <c r="O764" s="5">
        <v>0.0847132414420566</v>
      </c>
      <c r="P764" s="5">
        <v>0.135765073787273</v>
      </c>
      <c r="Q764" s="5">
        <v>0.180243323336695</v>
      </c>
      <c r="R764" s="5">
        <v>0.158069209198188</v>
      </c>
      <c r="S764" s="5">
        <v>0.300830291604829</v>
      </c>
      <c r="T764" s="5">
        <v>1.06321102856958</v>
      </c>
    </row>
    <row r="765" spans="1:20">
      <c r="A765" t="s">
        <v>1431</v>
      </c>
      <c r="O765" s="5">
        <v>0.0658880766771551</v>
      </c>
      <c r="P765" s="5">
        <v>0.0887694713224479</v>
      </c>
      <c r="Q765" s="5">
        <v>0.225304154170869</v>
      </c>
      <c r="R765" s="5">
        <v>0.237103813797282</v>
      </c>
      <c r="S765" s="5">
        <v>0.444082811416653</v>
      </c>
      <c r="T765" s="5">
        <v>1.06114832738441</v>
      </c>
    </row>
    <row r="766" spans="1:20">
      <c r="A766" t="s">
        <v>1432</v>
      </c>
      <c r="N766" s="5">
        <v>0.0582347390892</v>
      </c>
      <c r="O766" s="5">
        <v>0.0611817854859297</v>
      </c>
      <c r="P766" s="5">
        <v>0.125321606572868</v>
      </c>
      <c r="Q766" s="5">
        <v>0.141619754050261</v>
      </c>
      <c r="R766" s="5">
        <v>0.272230304730212</v>
      </c>
      <c r="S766" s="5">
        <v>0.401107055473106</v>
      </c>
      <c r="T766" s="5">
        <v>1.05969524540158</v>
      </c>
    </row>
    <row r="767" spans="1:20">
      <c r="A767" t="s">
        <v>1433</v>
      </c>
      <c r="P767" s="5">
        <v>0.0678825368936366</v>
      </c>
      <c r="Q767" s="5">
        <v>0.205992369527652</v>
      </c>
      <c r="R767" s="5">
        <v>0.316138418396376</v>
      </c>
      <c r="S767" s="5">
        <v>0.458408063397835</v>
      </c>
      <c r="T767" s="5">
        <v>1.0484213882155</v>
      </c>
    </row>
    <row r="768" spans="1:20">
      <c r="A768" t="s">
        <v>1434</v>
      </c>
      <c r="N768" s="5">
        <v>0.0533818441651</v>
      </c>
      <c r="O768" s="5">
        <v>0.0753006590596058</v>
      </c>
      <c r="P768" s="5">
        <v>0.0939912049296507</v>
      </c>
      <c r="Q768" s="5">
        <v>0.128745230954782</v>
      </c>
      <c r="R768" s="5">
        <v>0.237103813797282</v>
      </c>
      <c r="S768" s="5">
        <v>0.458408063397835</v>
      </c>
      <c r="T768" s="5">
        <v>1.04693081630426</v>
      </c>
    </row>
    <row r="769" spans="1:20">
      <c r="A769" t="s">
        <v>1435</v>
      </c>
      <c r="B769" s="5">
        <v>1.04147995397755</v>
      </c>
      <c r="T769" s="5">
        <v>1.04147995397755</v>
      </c>
    </row>
    <row r="770" spans="1:20">
      <c r="A770" t="s">
        <v>1436</v>
      </c>
      <c r="P770" s="5">
        <v>0.0522173360720282</v>
      </c>
      <c r="Q770" s="5">
        <v>0.154494277145739</v>
      </c>
      <c r="R770" s="5">
        <v>0.386391400262237</v>
      </c>
      <c r="S770" s="5">
        <v>0.444082811416653</v>
      </c>
      <c r="T770" s="5">
        <v>1.03718582489666</v>
      </c>
    </row>
    <row r="771" spans="1:20">
      <c r="A771" t="s">
        <v>1437</v>
      </c>
      <c r="B771" s="5"/>
      <c r="O771" s="5">
        <v>0.0658880766771551</v>
      </c>
      <c r="P771" s="5">
        <v>0.0992129385368535</v>
      </c>
      <c r="Q771" s="5">
        <v>0.186680584884434</v>
      </c>
      <c r="R771" s="5">
        <v>0.254667059263747</v>
      </c>
      <c r="S771" s="5">
        <v>0.42975755943547</v>
      </c>
      <c r="T771" s="5">
        <v>1.03620621879766</v>
      </c>
    </row>
    <row r="772" spans="1:20">
      <c r="A772" t="s">
        <v>1438</v>
      </c>
      <c r="B772" s="5"/>
      <c r="K772" s="5">
        <v>0.0456953829704914</v>
      </c>
      <c r="M772" s="5">
        <v>0.0628724862310464</v>
      </c>
      <c r="N772" s="5">
        <v>0.0582347390892</v>
      </c>
      <c r="O772" s="5">
        <v>0.108244697398183</v>
      </c>
      <c r="P772" s="5">
        <v>0.161873741823287</v>
      </c>
      <c r="Q772" s="5">
        <v>0.231741415718608</v>
      </c>
      <c r="R772" s="5">
        <v>0.175632454664653</v>
      </c>
      <c r="S772" s="5">
        <v>0.186228275755371</v>
      </c>
      <c r="T772" s="5">
        <v>1.03052319365084</v>
      </c>
    </row>
    <row r="773" spans="1:20">
      <c r="A773" t="s">
        <v>1439</v>
      </c>
      <c r="O773" s="5">
        <v>0.0847132414420566</v>
      </c>
      <c r="P773" s="5">
        <v>0.104434672144056</v>
      </c>
      <c r="Q773" s="5">
        <v>0.160931538693478</v>
      </c>
      <c r="R773" s="5">
        <v>0.245885436530514</v>
      </c>
      <c r="S773" s="5">
        <v>0.42975755943547</v>
      </c>
      <c r="T773" s="5">
        <v>1.02572244824557</v>
      </c>
    </row>
    <row r="774" spans="1:20">
      <c r="A774" t="s">
        <v>1440</v>
      </c>
      <c r="N774" s="5">
        <v>0.0824992137096999</v>
      </c>
      <c r="O774" s="5">
        <v>0.136482444545536</v>
      </c>
      <c r="P774" s="5">
        <v>0.151430274608882</v>
      </c>
      <c r="Q774" s="5">
        <v>0.173806061788956</v>
      </c>
      <c r="R774" s="5">
        <v>0.175632454664653</v>
      </c>
      <c r="S774" s="5">
        <v>0.300830291604829</v>
      </c>
      <c r="T774" s="5">
        <v>1.02068074092256</v>
      </c>
    </row>
    <row r="775" spans="1:20">
      <c r="A775" t="s">
        <v>1441</v>
      </c>
      <c r="B775" s="5">
        <v>1.01407258676761</v>
      </c>
      <c r="T775" s="5">
        <v>1.01407258676761</v>
      </c>
    </row>
    <row r="776" spans="1:20">
      <c r="A776" t="s">
        <v>1442</v>
      </c>
      <c r="O776" s="5">
        <v>0.0705943678683805</v>
      </c>
      <c r="P776" s="5">
        <v>0.146208541001679</v>
      </c>
      <c r="Q776" s="5">
        <v>0.199555107979913</v>
      </c>
      <c r="R776" s="5">
        <v>0.193195700131118</v>
      </c>
      <c r="S776" s="5">
        <v>0.401107055473106</v>
      </c>
      <c r="T776" s="5">
        <v>1.0106607724542</v>
      </c>
    </row>
    <row r="777" spans="1:20">
      <c r="A777" t="s">
        <v>1443</v>
      </c>
      <c r="N777" s="5">
        <v>0.0922050035578999</v>
      </c>
      <c r="O777" s="5">
        <v>0.136482444545536</v>
      </c>
      <c r="P777" s="5">
        <v>0.16709547543049</v>
      </c>
      <c r="Q777" s="5">
        <v>0.186680584884434</v>
      </c>
      <c r="R777" s="5">
        <v>0.193195700131118</v>
      </c>
      <c r="S777" s="5">
        <v>0.229204031698918</v>
      </c>
      <c r="T777" s="5">
        <v>1.0048632402484</v>
      </c>
    </row>
    <row r="778" spans="1:20">
      <c r="A778" t="s">
        <v>1444</v>
      </c>
      <c r="O778" s="5">
        <v>0.0705943678683805</v>
      </c>
      <c r="P778" s="5">
        <v>0.0992129385368535</v>
      </c>
      <c r="Q778" s="5">
        <v>0.160931538693478</v>
      </c>
      <c r="R778" s="5">
        <v>0.254667059263747</v>
      </c>
      <c r="S778" s="5">
        <v>0.415432307454288</v>
      </c>
      <c r="T778" s="5">
        <v>1.00083821181675</v>
      </c>
    </row>
    <row r="779" spans="1:20">
      <c r="A779" t="s">
        <v>1445</v>
      </c>
      <c r="L779" s="5">
        <v>0.0504616993179092</v>
      </c>
      <c r="M779" s="5">
        <v>0.0628724862310464</v>
      </c>
      <c r="N779" s="5">
        <v>0.048528949241</v>
      </c>
      <c r="O779" s="5"/>
      <c r="P779" s="5">
        <v>0.135765073787273</v>
      </c>
      <c r="Q779" s="5">
        <v>0.199555107979913</v>
      </c>
      <c r="R779" s="5">
        <v>0.16685083193142</v>
      </c>
      <c r="S779" s="5">
        <v>0.329480795567194</v>
      </c>
      <c r="T779" s="5">
        <v>0.993514944055756</v>
      </c>
    </row>
    <row r="780" spans="1:20">
      <c r="A780" t="s">
        <v>1446</v>
      </c>
      <c r="P780" s="5">
        <v>0.0939912049296507</v>
      </c>
      <c r="Q780" s="5">
        <v>0.115870707859304</v>
      </c>
      <c r="R780" s="5">
        <v>0.281011927463445</v>
      </c>
      <c r="S780" s="5">
        <v>0.501383819341382</v>
      </c>
      <c r="T780" s="5">
        <v>0.992257659593782</v>
      </c>
    </row>
    <row r="781" spans="1:20">
      <c r="A781" t="s">
        <v>1447</v>
      </c>
      <c r="B781" s="5"/>
      <c r="N781" s="5">
        <v>0.048528949241</v>
      </c>
      <c r="O781" s="5">
        <v>0.0941258238245073</v>
      </c>
      <c r="P781" s="5">
        <v>0.109656405751259</v>
      </c>
      <c r="Q781" s="5">
        <v>0.173806061788956</v>
      </c>
      <c r="R781" s="5">
        <v>0.201977322864351</v>
      </c>
      <c r="S781" s="5">
        <v>0.358131299529559</v>
      </c>
      <c r="T781" s="5">
        <v>0.986225862999632</v>
      </c>
    </row>
    <row r="782" spans="1:20">
      <c r="A782" t="s">
        <v>1448</v>
      </c>
      <c r="B782" s="5"/>
      <c r="N782" s="5">
        <v>0.0679405289373999</v>
      </c>
      <c r="O782" s="5">
        <v>0.0753006590596058</v>
      </c>
      <c r="P782" s="5">
        <v>0.114878139358462</v>
      </c>
      <c r="Q782" s="5">
        <v>0.270364985005043</v>
      </c>
      <c r="R782" s="5">
        <v>0.228322191064049</v>
      </c>
      <c r="S782" s="5">
        <v>0.229204031698918</v>
      </c>
      <c r="T782" s="5">
        <v>0.986010535123478</v>
      </c>
    </row>
    <row r="783" spans="1:20">
      <c r="A783" t="s">
        <v>1449</v>
      </c>
      <c r="N783" s="5">
        <v>0.0582347390892</v>
      </c>
      <c r="O783" s="5">
        <v>0.0800069502508312</v>
      </c>
      <c r="P783" s="5">
        <v>0.182760676252099</v>
      </c>
      <c r="Q783" s="5">
        <v>0.148057015598</v>
      </c>
      <c r="R783" s="5">
        <v>0.184414077397886</v>
      </c>
      <c r="S783" s="5">
        <v>0.329480795567194</v>
      </c>
      <c r="T783" s="5">
        <v>0.98295425415521</v>
      </c>
    </row>
    <row r="784" spans="1:20">
      <c r="A784" t="s">
        <v>1450</v>
      </c>
      <c r="B784" s="5"/>
      <c r="C784" s="5"/>
      <c r="M784" s="5">
        <v>0.0773815215151341</v>
      </c>
      <c r="N784" s="5">
        <v>0.0727934238614999</v>
      </c>
      <c r="O784" s="5">
        <v>0.103538406206958</v>
      </c>
      <c r="P784" s="5">
        <v>0.0731042705008395</v>
      </c>
      <c r="Q784" s="5">
        <v>0.199555107979913</v>
      </c>
      <c r="R784" s="5">
        <v>0.210758945597584</v>
      </c>
      <c r="S784" s="5">
        <v>0.2435292836801</v>
      </c>
      <c r="T784" s="5">
        <v>0.980660959342029</v>
      </c>
    </row>
    <row r="785" spans="1:20">
      <c r="A785" t="s">
        <v>1451</v>
      </c>
      <c r="P785" s="5">
        <v>0.13054334018007</v>
      </c>
      <c r="Q785" s="5">
        <v>0.244615938814086</v>
      </c>
      <c r="R785" s="5">
        <v>0.254667059263747</v>
      </c>
      <c r="S785" s="5">
        <v>0.343806047548376</v>
      </c>
      <c r="T785" s="5">
        <v>0.973632385806279</v>
      </c>
    </row>
    <row r="786" spans="1:20">
      <c r="A786" t="s">
        <v>1452</v>
      </c>
      <c r="N786" s="5">
        <v>0.0582347390892</v>
      </c>
      <c r="O786" s="5">
        <v>0.0611817854859297</v>
      </c>
      <c r="P786" s="5">
        <v>0.0992129385368535</v>
      </c>
      <c r="Q786" s="5">
        <v>0.154494277145739</v>
      </c>
      <c r="R786" s="5">
        <v>0.26344868199698</v>
      </c>
      <c r="S786" s="5">
        <v>0.329480795567194</v>
      </c>
      <c r="T786" s="5">
        <v>0.966053217821896</v>
      </c>
    </row>
    <row r="787" spans="1:20">
      <c r="A787" t="s">
        <v>1453</v>
      </c>
      <c r="B787" s="5"/>
      <c r="C787" s="5">
        <v>0.0672834042926543</v>
      </c>
      <c r="D787" s="5">
        <v>0.332460714928483</v>
      </c>
      <c r="E787" s="5">
        <v>0.153590927076756</v>
      </c>
      <c r="F787" s="5">
        <v>0.0588888667426484</v>
      </c>
      <c r="K787" s="5">
        <v>0.0548344595645897</v>
      </c>
      <c r="L787" s="5">
        <v>0.0706463790450729</v>
      </c>
      <c r="M787" s="5">
        <v>0.0531997960416547</v>
      </c>
      <c r="P787" s="5">
        <v>0.0678825368936366</v>
      </c>
      <c r="R787" s="5">
        <v>0.105379472798792</v>
      </c>
      <c r="T787" s="5">
        <v>0.964166557384288</v>
      </c>
    </row>
    <row r="788" spans="1:20">
      <c r="A788" t="s">
        <v>1454</v>
      </c>
      <c r="B788" s="5"/>
      <c r="O788" s="5">
        <v>0.0988321150157327</v>
      </c>
      <c r="P788" s="5">
        <v>0.156652008216085</v>
      </c>
      <c r="Q788" s="5">
        <v>0.148057015598</v>
      </c>
      <c r="R788" s="5">
        <v>0.201977322864351</v>
      </c>
      <c r="S788" s="5">
        <v>0.358131299529559</v>
      </c>
      <c r="T788" s="5">
        <v>0.963649761223728</v>
      </c>
    </row>
    <row r="789" spans="1:20">
      <c r="A789" t="s">
        <v>1455</v>
      </c>
      <c r="B789" s="5"/>
      <c r="O789" s="5">
        <v>0.0564754942947044</v>
      </c>
      <c r="P789" s="5">
        <v>0.135765073787273</v>
      </c>
      <c r="Q789" s="5">
        <v>0.154494277145739</v>
      </c>
      <c r="R789" s="5">
        <v>0.184414077397886</v>
      </c>
      <c r="S789" s="5">
        <v>0.42975755943547</v>
      </c>
      <c r="T789" s="5">
        <v>0.960906482061072</v>
      </c>
    </row>
    <row r="790" spans="1:20">
      <c r="A790" t="s">
        <v>1456</v>
      </c>
      <c r="M790" s="5">
        <v>0.0580361411363505</v>
      </c>
      <c r="N790" s="5">
        <v>0.1116165832543</v>
      </c>
      <c r="O790" s="5">
        <v>0.0988321150157327</v>
      </c>
      <c r="P790" s="5">
        <v>0.0992129385368535</v>
      </c>
      <c r="Q790" s="5">
        <v>0.160931538693478</v>
      </c>
      <c r="R790" s="5">
        <v>0.245885436530514</v>
      </c>
      <c r="S790" s="5">
        <v>0.186228275755371</v>
      </c>
      <c r="T790" s="5">
        <v>0.9607430289226</v>
      </c>
    </row>
    <row r="791" spans="1:20">
      <c r="A791" t="s">
        <v>1457</v>
      </c>
      <c r="L791" s="5">
        <v>0.0908310587722366</v>
      </c>
      <c r="M791" s="5">
        <v>0.0628724862310464</v>
      </c>
      <c r="N791" s="5">
        <v>0.0533818441651</v>
      </c>
      <c r="O791" s="5">
        <v>0.0800069502508312</v>
      </c>
      <c r="P791" s="5">
        <v>0.140986807394476</v>
      </c>
      <c r="Q791" s="5">
        <v>0.141619754050261</v>
      </c>
      <c r="R791" s="5">
        <v>0.13172434099849</v>
      </c>
      <c r="S791" s="5">
        <v>0.257854535661282</v>
      </c>
      <c r="T791" s="5">
        <v>0.959277777523723</v>
      </c>
    </row>
    <row r="792" spans="1:20">
      <c r="A792" t="s">
        <v>1458</v>
      </c>
      <c r="B792" s="5">
        <v>0.959257852347743</v>
      </c>
      <c r="T792" s="5">
        <v>0.959257852347743</v>
      </c>
    </row>
    <row r="793" spans="1:20">
      <c r="A793" t="s">
        <v>1459</v>
      </c>
      <c r="B793" s="5"/>
      <c r="N793" s="5">
        <v>0.0824992137096999</v>
      </c>
      <c r="O793" s="5">
        <v>0.0470629119122537</v>
      </c>
      <c r="P793" s="5">
        <v>0.109656405751259</v>
      </c>
      <c r="Q793" s="5">
        <v>0.0965589232160868</v>
      </c>
      <c r="R793" s="5">
        <v>0.184414077397886</v>
      </c>
      <c r="S793" s="5">
        <v>0.42975755943547</v>
      </c>
      <c r="T793" s="5">
        <v>0.949949091422656</v>
      </c>
    </row>
    <row r="794" spans="1:20">
      <c r="A794" t="s">
        <v>1460</v>
      </c>
      <c r="N794" s="5">
        <v>0.0970578984819999</v>
      </c>
      <c r="O794" s="5">
        <v>0.112950988589409</v>
      </c>
      <c r="P794" s="5">
        <v>0.146208541001679</v>
      </c>
      <c r="Q794" s="5">
        <v>0.167368800241217</v>
      </c>
      <c r="R794" s="5">
        <v>0.281011927463445</v>
      </c>
      <c r="S794" s="5">
        <v>0.143252519811824</v>
      </c>
      <c r="T794" s="5">
        <v>0.947850675589574</v>
      </c>
    </row>
    <row r="795" spans="1:20">
      <c r="A795" t="s">
        <v>1461</v>
      </c>
      <c r="O795" s="5">
        <v>0.0658880766771551</v>
      </c>
      <c r="P795" s="5">
        <v>0.0992129385368535</v>
      </c>
      <c r="Q795" s="5">
        <v>0.154494277145739</v>
      </c>
      <c r="R795" s="5">
        <v>0.210758945597584</v>
      </c>
      <c r="S795" s="5">
        <v>0.415432307454288</v>
      </c>
      <c r="T795" s="5">
        <v>0.94578654541162</v>
      </c>
    </row>
    <row r="796" spans="1:20">
      <c r="A796" t="s">
        <v>1462</v>
      </c>
      <c r="P796" s="5">
        <v>0.0522173360720282</v>
      </c>
      <c r="Q796" s="5">
        <v>0.160931538693478</v>
      </c>
      <c r="R796" s="5">
        <v>0.272230304730212</v>
      </c>
      <c r="S796" s="5">
        <v>0.458408063397835</v>
      </c>
      <c r="T796" s="5">
        <v>0.943787242893553</v>
      </c>
    </row>
    <row r="797" spans="1:20">
      <c r="A797" t="s">
        <v>1463</v>
      </c>
      <c r="K797" s="5">
        <v>0.0731126127527863</v>
      </c>
      <c r="L797" s="5">
        <v>0.0857848888404457</v>
      </c>
      <c r="M797" s="5">
        <v>0.0725451764204382</v>
      </c>
      <c r="N797" s="5">
        <v>0.1116165832543</v>
      </c>
      <c r="O797" s="5">
        <v>0.0847132414420566</v>
      </c>
      <c r="P797" s="5">
        <v>0.0835477377152451</v>
      </c>
      <c r="Q797" s="5">
        <v>0.128745230954782</v>
      </c>
      <c r="R797" s="5">
        <v>0.13172434099849</v>
      </c>
      <c r="S797" s="5">
        <v>0.171903023774188</v>
      </c>
      <c r="T797" s="5">
        <v>0.943692836152732</v>
      </c>
    </row>
    <row r="798" spans="1:20">
      <c r="A798" t="s">
        <v>1464</v>
      </c>
      <c r="K798" s="5">
        <v>0.0456953829704914</v>
      </c>
      <c r="L798" s="5">
        <v>0.0807387189086547</v>
      </c>
      <c r="M798" s="5">
        <v>0.0531997960416547</v>
      </c>
      <c r="N798" s="5">
        <v>0.0970578984819999</v>
      </c>
      <c r="O798" s="5">
        <v>0.145895026927986</v>
      </c>
      <c r="P798" s="5">
        <v>0.0835477377152451</v>
      </c>
      <c r="Q798" s="5">
        <v>0.128745230954782</v>
      </c>
      <c r="R798" s="5">
        <v>0.149287586464955</v>
      </c>
      <c r="S798" s="5">
        <v>0.157577771793006</v>
      </c>
      <c r="T798" s="5">
        <v>0.941745150258775</v>
      </c>
    </row>
    <row r="799" spans="1:20">
      <c r="A799" t="s">
        <v>1465</v>
      </c>
      <c r="B799" s="5"/>
      <c r="O799" s="5">
        <v>0.0470629119122537</v>
      </c>
      <c r="P799" s="5">
        <v>0.104434672144056</v>
      </c>
      <c r="Q799" s="5">
        <v>0.102996184763826</v>
      </c>
      <c r="R799" s="5">
        <v>0.210758945597584</v>
      </c>
      <c r="S799" s="5">
        <v>0.472733315379018</v>
      </c>
      <c r="T799" s="5">
        <v>0.937986029796738</v>
      </c>
    </row>
    <row r="800" spans="1:20">
      <c r="A800" t="s">
        <v>1466</v>
      </c>
      <c r="B800" s="5"/>
      <c r="N800" s="5">
        <v>0.0582347390892</v>
      </c>
      <c r="P800" s="5">
        <v>0.0887694713224479</v>
      </c>
      <c r="Q800" s="5">
        <v>0.167368800241217</v>
      </c>
      <c r="R800" s="5">
        <v>0.193195700131118</v>
      </c>
      <c r="S800" s="5">
        <v>0.42975755943547</v>
      </c>
      <c r="T800" s="5">
        <v>0.937326270219453</v>
      </c>
    </row>
    <row r="801" spans="1:20">
      <c r="A801" t="s">
        <v>1467</v>
      </c>
      <c r="N801" s="5">
        <v>0.0679405289373999</v>
      </c>
      <c r="O801" s="5">
        <v>0.127069862163085</v>
      </c>
      <c r="P801" s="5">
        <v>0.109656405751259</v>
      </c>
      <c r="Q801" s="5">
        <v>0.180243323336695</v>
      </c>
      <c r="R801" s="5">
        <v>0.237103813797282</v>
      </c>
      <c r="S801" s="5">
        <v>0.214878779717735</v>
      </c>
      <c r="T801" s="5">
        <v>0.936892713703456</v>
      </c>
    </row>
    <row r="802" spans="1:20">
      <c r="A802" t="s">
        <v>1468</v>
      </c>
      <c r="M802" s="5">
        <v>0.0580361411363505</v>
      </c>
      <c r="N802" s="5">
        <v>0.0630876340133</v>
      </c>
      <c r="O802" s="5">
        <v>0.117657279780634</v>
      </c>
      <c r="P802" s="5">
        <v>0.0939912049296507</v>
      </c>
      <c r="Q802" s="5">
        <v>0.186680584884434</v>
      </c>
      <c r="R802" s="5">
        <v>0.184414077397886</v>
      </c>
      <c r="S802" s="5">
        <v>0.229204031698918</v>
      </c>
      <c r="T802" s="5">
        <v>0.933070953841173</v>
      </c>
    </row>
    <row r="803" spans="1:20">
      <c r="A803" t="s">
        <v>1469</v>
      </c>
      <c r="O803" s="5">
        <v>0.117657279780634</v>
      </c>
      <c r="P803" s="5">
        <v>0.177538942644896</v>
      </c>
      <c r="Q803" s="5">
        <v>0.180243323336695</v>
      </c>
      <c r="R803" s="5">
        <v>0.228322191064049</v>
      </c>
      <c r="S803" s="5">
        <v>0.229204031698918</v>
      </c>
      <c r="T803" s="5">
        <v>0.932965768525192</v>
      </c>
    </row>
    <row r="804" spans="1:20">
      <c r="A804" t="s">
        <v>1470</v>
      </c>
      <c r="O804" s="5">
        <v>0.0611817854859297</v>
      </c>
      <c r="P804" s="5">
        <v>0.0835477377152451</v>
      </c>
      <c r="Q804" s="5">
        <v>0.135182492502521</v>
      </c>
      <c r="R804" s="5">
        <v>0.237103813797282</v>
      </c>
      <c r="S804" s="5">
        <v>0.415432307454288</v>
      </c>
      <c r="T804" s="5">
        <v>0.932448136955266</v>
      </c>
    </row>
    <row r="805" spans="1:20">
      <c r="A805" t="s">
        <v>1471</v>
      </c>
      <c r="B805" s="5">
        <v>0.931850485137807</v>
      </c>
      <c r="T805" s="5">
        <v>0.931850485137807</v>
      </c>
    </row>
    <row r="806" spans="1:20">
      <c r="A806" t="s">
        <v>1472</v>
      </c>
      <c r="M806" s="5">
        <v>0.0580361411363505</v>
      </c>
      <c r="N806" s="5">
        <v>0.0630876340133</v>
      </c>
      <c r="O806" s="5">
        <v>0.108244697398183</v>
      </c>
      <c r="P806" s="5">
        <v>0.140986807394476</v>
      </c>
      <c r="Q806" s="5">
        <v>0.154494277145739</v>
      </c>
      <c r="R806" s="5">
        <v>0.13172434099849</v>
      </c>
      <c r="S806" s="5">
        <v>0.272179787642465</v>
      </c>
      <c r="T806" s="5">
        <v>0.928753685729004</v>
      </c>
    </row>
    <row r="807" spans="1:20">
      <c r="A807" t="s">
        <v>1473</v>
      </c>
      <c r="O807" s="5">
        <v>0.051769203103479</v>
      </c>
      <c r="P807" s="5">
        <v>0.0939912049296507</v>
      </c>
      <c r="Q807" s="5">
        <v>0.160931538693478</v>
      </c>
      <c r="R807" s="5">
        <v>0.245885436530514</v>
      </c>
      <c r="S807" s="5">
        <v>0.372456551510741</v>
      </c>
      <c r="T807" s="5">
        <v>0.925033934767863</v>
      </c>
    </row>
    <row r="808" spans="1:20">
      <c r="A808" t="s">
        <v>1474</v>
      </c>
      <c r="N808" s="5">
        <v>0.0873521086337999</v>
      </c>
      <c r="O808" s="5">
        <v>0.0753006590596058</v>
      </c>
      <c r="P808" s="5">
        <v>0.0731042705008395</v>
      </c>
      <c r="Q808" s="5">
        <v>0.148057015598</v>
      </c>
      <c r="R808" s="5">
        <v>0.210758945597584</v>
      </c>
      <c r="S808" s="5">
        <v>0.329480795567194</v>
      </c>
      <c r="T808" s="5">
        <v>0.924053794957023</v>
      </c>
    </row>
    <row r="809" spans="1:20">
      <c r="A809" t="s">
        <v>1475</v>
      </c>
      <c r="B809" s="5"/>
      <c r="O809" s="5">
        <v>0.0941258238245073</v>
      </c>
      <c r="P809" s="5">
        <v>0.109656405751259</v>
      </c>
      <c r="Q809" s="5">
        <v>0.212429631075391</v>
      </c>
      <c r="R809" s="5">
        <v>0.26344868199698</v>
      </c>
      <c r="S809" s="5">
        <v>0.2435292836801</v>
      </c>
      <c r="T809" s="5">
        <v>0.923189826328237</v>
      </c>
    </row>
    <row r="810" spans="1:20">
      <c r="A810" t="s">
        <v>1476</v>
      </c>
      <c r="B810" s="5"/>
      <c r="M810" s="5">
        <v>0.0483634509469588</v>
      </c>
      <c r="N810" s="5">
        <v>0.048528949241</v>
      </c>
      <c r="O810" s="5">
        <v>0.0894195326332819</v>
      </c>
      <c r="P810" s="5">
        <v>0.0835477377152451</v>
      </c>
      <c r="Q810" s="5">
        <v>0.122307969407043</v>
      </c>
      <c r="R810" s="5">
        <v>0.272230304730212</v>
      </c>
      <c r="S810" s="5">
        <v>0.2435292836801</v>
      </c>
      <c r="T810" s="5">
        <v>0.907927228353841</v>
      </c>
    </row>
    <row r="811" spans="1:20">
      <c r="A811" t="s">
        <v>1477</v>
      </c>
      <c r="O811" s="5">
        <v>0.0470629119122537</v>
      </c>
      <c r="P811" s="5">
        <v>0.0522173360720282</v>
      </c>
      <c r="Q811" s="5">
        <v>0.115870707859304</v>
      </c>
      <c r="R811" s="5">
        <v>0.175632454664653</v>
      </c>
      <c r="S811" s="5">
        <v>0.515709071322565</v>
      </c>
      <c r="T811" s="5">
        <v>0.906492481830804</v>
      </c>
    </row>
    <row r="812" spans="1:20">
      <c r="A812" t="s">
        <v>1478</v>
      </c>
      <c r="N812" s="5">
        <v>0.0679405289373999</v>
      </c>
      <c r="O812" s="5">
        <v>0.112950988589409</v>
      </c>
      <c r="P812" s="5">
        <v>0.109656405751259</v>
      </c>
      <c r="Q812" s="5">
        <v>0.154494277145739</v>
      </c>
      <c r="R812" s="5">
        <v>0.245885436530514</v>
      </c>
      <c r="S812" s="5">
        <v>0.214878779717735</v>
      </c>
      <c r="T812" s="5">
        <v>0.905806416672056</v>
      </c>
    </row>
    <row r="813" spans="1:20">
      <c r="A813" t="s">
        <v>1479</v>
      </c>
      <c r="B813" s="5">
        <v>0.904443117927872</v>
      </c>
      <c r="T813" s="5">
        <v>0.904443117927872</v>
      </c>
    </row>
    <row r="814" spans="1:20">
      <c r="A814" t="s">
        <v>1480</v>
      </c>
      <c r="B814" s="5">
        <v>0.904443117927872</v>
      </c>
      <c r="T814" s="5">
        <v>0.904443117927872</v>
      </c>
    </row>
    <row r="815" spans="1:20">
      <c r="A815" t="s">
        <v>1481</v>
      </c>
      <c r="N815" s="5">
        <v>0.048528949241</v>
      </c>
      <c r="O815" s="5">
        <v>0.0705943678683805</v>
      </c>
      <c r="P815" s="5">
        <v>0.0939912049296507</v>
      </c>
      <c r="Q815" s="5">
        <v>0.141619754050261</v>
      </c>
      <c r="R815" s="5">
        <v>0.219540568330816</v>
      </c>
      <c r="S815" s="5">
        <v>0.329480795567194</v>
      </c>
      <c r="T815" s="5">
        <v>0.903755639987302</v>
      </c>
    </row>
    <row r="816" spans="1:20">
      <c r="A816" t="s">
        <v>1482</v>
      </c>
      <c r="N816" s="5">
        <v>0.0727934238614999</v>
      </c>
      <c r="O816" s="5">
        <v>0.0658880766771551</v>
      </c>
      <c r="P816" s="5">
        <v>0.0835477377152451</v>
      </c>
      <c r="Q816" s="5">
        <v>0.160931538693478</v>
      </c>
      <c r="R816" s="5">
        <v>0.158069209198188</v>
      </c>
      <c r="S816" s="5">
        <v>0.358131299529559</v>
      </c>
      <c r="T816" s="5">
        <v>0.899361285675125</v>
      </c>
    </row>
    <row r="817" spans="1:20">
      <c r="A817" t="s">
        <v>1483</v>
      </c>
      <c r="O817" s="5">
        <v>0.0658880766771551</v>
      </c>
      <c r="P817" s="5">
        <v>0.104434672144056</v>
      </c>
      <c r="Q817" s="5">
        <v>0.154494277145739</v>
      </c>
      <c r="R817" s="5">
        <v>0.272230304730212</v>
      </c>
      <c r="S817" s="5">
        <v>0.300830291604829</v>
      </c>
      <c r="T817" s="5">
        <v>0.897877622301991</v>
      </c>
    </row>
    <row r="818" spans="1:20">
      <c r="A818" t="s">
        <v>1484</v>
      </c>
      <c r="P818" s="5">
        <v>0.0783260041080423</v>
      </c>
      <c r="Q818" s="5">
        <v>0.122307969407043</v>
      </c>
      <c r="R818" s="5">
        <v>0.228322191064049</v>
      </c>
      <c r="S818" s="5">
        <v>0.458408063397835</v>
      </c>
      <c r="T818" s="5">
        <v>0.887364227976969</v>
      </c>
    </row>
    <row r="819" spans="1:20">
      <c r="A819" t="s">
        <v>1485</v>
      </c>
      <c r="O819" s="5">
        <v>0.051769203103479</v>
      </c>
      <c r="P819" s="5">
        <v>0.0522173360720282</v>
      </c>
      <c r="Q819" s="5">
        <v>0.109433446311565</v>
      </c>
      <c r="R819" s="5">
        <v>0.210758945597584</v>
      </c>
      <c r="S819" s="5">
        <v>0.458408063397835</v>
      </c>
      <c r="T819" s="5">
        <v>0.882586994482491</v>
      </c>
    </row>
    <row r="820" spans="1:20">
      <c r="A820" t="s">
        <v>1486</v>
      </c>
      <c r="N820" s="5">
        <v>0.0533818441651</v>
      </c>
      <c r="O820" s="5">
        <v>0.0705943678683805</v>
      </c>
      <c r="P820" s="5">
        <v>0.104434672144056</v>
      </c>
      <c r="Q820" s="5">
        <v>0.128745230954782</v>
      </c>
      <c r="R820" s="5">
        <v>0.122942718265257</v>
      </c>
      <c r="S820" s="5">
        <v>0.401107055473106</v>
      </c>
      <c r="T820" s="5">
        <v>0.881205888870682</v>
      </c>
    </row>
    <row r="821" spans="1:20">
      <c r="A821" t="s">
        <v>1487</v>
      </c>
      <c r="B821" s="5">
        <v>0.877035750717936</v>
      </c>
      <c r="T821" s="5">
        <v>0.877035750717936</v>
      </c>
    </row>
    <row r="822" spans="1:20">
      <c r="A822" t="s">
        <v>1488</v>
      </c>
      <c r="B822" s="5">
        <v>0.877035750717936</v>
      </c>
      <c r="T822" s="5">
        <v>0.877035750717936</v>
      </c>
    </row>
    <row r="823" spans="1:20">
      <c r="A823" t="s">
        <v>1489</v>
      </c>
      <c r="N823" s="5">
        <v>0.048528949241</v>
      </c>
      <c r="O823" s="5">
        <v>0.0564754942947044</v>
      </c>
      <c r="P823" s="5">
        <v>0.0783260041080423</v>
      </c>
      <c r="Q823" s="5">
        <v>0.141619754050261</v>
      </c>
      <c r="R823" s="5">
        <v>0.237103813797282</v>
      </c>
      <c r="S823" s="5">
        <v>0.300830291604829</v>
      </c>
      <c r="T823" s="5">
        <v>0.862884307096119</v>
      </c>
    </row>
    <row r="824" spans="1:20">
      <c r="A824" t="s">
        <v>1490</v>
      </c>
      <c r="B824" s="5">
        <v>0.79481364908813</v>
      </c>
      <c r="C824" s="5">
        <v>0.0672834042926543</v>
      </c>
      <c r="T824" s="5">
        <v>0.862097053380784</v>
      </c>
    </row>
    <row r="825" spans="1:20">
      <c r="A825" t="s">
        <v>1491</v>
      </c>
      <c r="B825" s="5"/>
      <c r="Q825" s="5">
        <v>0.109433446311565</v>
      </c>
      <c r="R825" s="5">
        <v>0.26344868199698</v>
      </c>
      <c r="S825" s="5">
        <v>0.4870585673602</v>
      </c>
      <c r="T825" s="5">
        <v>0.859940695668745</v>
      </c>
    </row>
    <row r="826" spans="1:20">
      <c r="A826" t="s">
        <v>1492</v>
      </c>
      <c r="P826" s="5">
        <v>0.057439069679231</v>
      </c>
      <c r="Q826" s="5">
        <v>0.0836844001206085</v>
      </c>
      <c r="R826" s="5">
        <v>0.184414077397886</v>
      </c>
      <c r="S826" s="5">
        <v>0.530034323303747</v>
      </c>
      <c r="T826" s="5">
        <v>0.855571870501473</v>
      </c>
    </row>
    <row r="827" spans="1:20">
      <c r="A827" t="s">
        <v>1493</v>
      </c>
      <c r="B827" s="5">
        <v>0.849628383508001</v>
      </c>
      <c r="T827" s="5">
        <v>0.849628383508001</v>
      </c>
    </row>
    <row r="828" spans="1:20">
      <c r="A828" t="s">
        <v>1494</v>
      </c>
      <c r="B828" s="5">
        <v>0.849628383508001</v>
      </c>
      <c r="T828" s="5">
        <v>0.849628383508001</v>
      </c>
    </row>
    <row r="829" spans="1:20">
      <c r="A829" t="s">
        <v>1495</v>
      </c>
      <c r="B829" s="5">
        <v>0.849628383508001</v>
      </c>
      <c r="C829" s="5"/>
      <c r="D829" s="5"/>
      <c r="E829" s="5"/>
      <c r="F829" s="5"/>
      <c r="T829" s="5">
        <v>0.849628383508001</v>
      </c>
    </row>
    <row r="830" spans="1:20">
      <c r="A830" t="s">
        <v>1496</v>
      </c>
      <c r="O830" s="5">
        <v>0.0941258238245073</v>
      </c>
      <c r="P830" s="5">
        <v>0.104434672144056</v>
      </c>
      <c r="Q830" s="5">
        <v>0.167368800241217</v>
      </c>
      <c r="R830" s="5">
        <v>0.219540568330816</v>
      </c>
      <c r="S830" s="5">
        <v>0.257854535661282</v>
      </c>
      <c r="T830" s="5">
        <v>0.843324400201878</v>
      </c>
    </row>
    <row r="831" spans="1:20">
      <c r="A831" t="s">
        <v>1497</v>
      </c>
      <c r="P831" s="5">
        <v>0.0783260041080423</v>
      </c>
      <c r="Q831" s="5">
        <v>0.0836844001206085</v>
      </c>
      <c r="R831" s="5">
        <v>0.307356795663143</v>
      </c>
      <c r="S831" s="5">
        <v>0.372456551510741</v>
      </c>
      <c r="T831" s="5">
        <v>0.841823751402535</v>
      </c>
    </row>
    <row r="832" spans="1:20">
      <c r="A832" t="s">
        <v>1498</v>
      </c>
      <c r="B832" s="5">
        <v>0.328888406519226</v>
      </c>
      <c r="P832" s="5">
        <v>0.0731042705008395</v>
      </c>
      <c r="Q832" s="5">
        <v>0.0901216616683477</v>
      </c>
      <c r="R832" s="5">
        <v>0.158069209198188</v>
      </c>
      <c r="S832" s="5">
        <v>0.186228275755371</v>
      </c>
      <c r="T832" s="5">
        <v>0.836411823641972</v>
      </c>
    </row>
    <row r="833" spans="1:20">
      <c r="A833" t="s">
        <v>1499</v>
      </c>
      <c r="K833" s="5">
        <v>0.0548344595645897</v>
      </c>
      <c r="M833" s="5">
        <v>0.0677088313257423</v>
      </c>
      <c r="N833" s="5">
        <v>0.0533818441651</v>
      </c>
      <c r="O833" s="5">
        <v>0.0705943678683805</v>
      </c>
      <c r="P833" s="5">
        <v>0.125321606572868</v>
      </c>
      <c r="Q833" s="5">
        <v>0.0965589232160868</v>
      </c>
      <c r="R833" s="5">
        <v>0.16685083193142</v>
      </c>
      <c r="S833" s="5">
        <v>0.200553527736553</v>
      </c>
      <c r="T833" s="5">
        <v>0.83580439238074</v>
      </c>
    </row>
    <row r="834" spans="1:20">
      <c r="A834" t="s">
        <v>1500</v>
      </c>
      <c r="B834" s="5"/>
      <c r="P834" s="5">
        <v>0.0835477377152451</v>
      </c>
      <c r="Q834" s="5">
        <v>0.135182492502521</v>
      </c>
      <c r="R834" s="5">
        <v>0.16685083193142</v>
      </c>
      <c r="S834" s="5">
        <v>0.444082811416653</v>
      </c>
      <c r="T834" s="5">
        <v>0.829663873565839</v>
      </c>
    </row>
    <row r="835" spans="1:20">
      <c r="A835" t="s">
        <v>1501</v>
      </c>
      <c r="N835" s="5">
        <v>0.0679405289373999</v>
      </c>
      <c r="O835" s="5">
        <v>0.0753006590596058</v>
      </c>
      <c r="P835" s="5">
        <v>0.114878139358462</v>
      </c>
      <c r="Q835" s="5">
        <v>0.135182492502521</v>
      </c>
      <c r="R835" s="5">
        <v>0.219540568330816</v>
      </c>
      <c r="S835" s="5">
        <v>0.214878779717735</v>
      </c>
      <c r="T835" s="5">
        <v>0.82772116790654</v>
      </c>
    </row>
    <row r="836" spans="1:20">
      <c r="A836" t="s">
        <v>1502</v>
      </c>
      <c r="P836" s="5">
        <v>0.0626608032864338</v>
      </c>
      <c r="Q836" s="5">
        <v>0.148057015598</v>
      </c>
      <c r="R836" s="5">
        <v>0.228322191064049</v>
      </c>
      <c r="S836" s="5">
        <v>0.386781803491923</v>
      </c>
      <c r="T836" s="5">
        <v>0.825821813440406</v>
      </c>
    </row>
    <row r="837" spans="1:20">
      <c r="A837" t="s">
        <v>1503</v>
      </c>
      <c r="P837" s="5">
        <v>0.0731042705008395</v>
      </c>
      <c r="Q837" s="5">
        <v>0.0772471385728694</v>
      </c>
      <c r="R837" s="5">
        <v>0.272230304730212</v>
      </c>
      <c r="S837" s="5">
        <v>0.401107055473106</v>
      </c>
      <c r="T837" s="5">
        <v>0.823688769277027</v>
      </c>
    </row>
    <row r="838" spans="1:20">
      <c r="A838" t="s">
        <v>1504</v>
      </c>
      <c r="B838" s="5">
        <v>0.822221016298065</v>
      </c>
      <c r="C838" s="5"/>
      <c r="T838" s="5">
        <v>0.822221016298065</v>
      </c>
    </row>
    <row r="839" spans="1:20">
      <c r="A839" t="s">
        <v>1505</v>
      </c>
      <c r="B839" s="5">
        <v>0.822221016298065</v>
      </c>
      <c r="T839" s="5">
        <v>0.822221016298065</v>
      </c>
    </row>
    <row r="840" spans="1:20">
      <c r="A840" t="s">
        <v>1506</v>
      </c>
      <c r="M840" s="5">
        <v>0.0483634509469588</v>
      </c>
      <c r="O840" s="5">
        <v>0.0658880766771551</v>
      </c>
      <c r="P840" s="5">
        <v>0.0835477377152451</v>
      </c>
      <c r="Q840" s="5">
        <v>0.148057015598</v>
      </c>
      <c r="R840" s="5">
        <v>0.201977322864351</v>
      </c>
      <c r="S840" s="5">
        <v>0.272179787642465</v>
      </c>
      <c r="T840" s="5">
        <v>0.820013391444175</v>
      </c>
    </row>
    <row r="841" spans="1:20">
      <c r="A841" t="s">
        <v>1507</v>
      </c>
      <c r="O841" s="5">
        <v>0.0894195326332819</v>
      </c>
      <c r="P841" s="5">
        <v>0.0783260041080423</v>
      </c>
      <c r="Q841" s="5">
        <v>0.128745230954782</v>
      </c>
      <c r="R841" s="5">
        <v>0.219540568330816</v>
      </c>
      <c r="S841" s="5">
        <v>0.300830291604829</v>
      </c>
      <c r="T841" s="5">
        <v>0.816861627631751</v>
      </c>
    </row>
    <row r="842" spans="1:20">
      <c r="A842" t="s">
        <v>1508</v>
      </c>
      <c r="B842" s="5"/>
      <c r="O842" s="5">
        <v>0.0470629119122537</v>
      </c>
      <c r="P842" s="5">
        <v>0.0992129385368535</v>
      </c>
      <c r="Q842" s="5">
        <v>0.167368800241217</v>
      </c>
      <c r="R842" s="5">
        <v>0.140505963731722</v>
      </c>
      <c r="S842" s="5">
        <v>0.358131299529559</v>
      </c>
      <c r="T842" s="5">
        <v>0.812281913951605</v>
      </c>
    </row>
    <row r="843" spans="1:20">
      <c r="A843" t="s">
        <v>1509</v>
      </c>
      <c r="B843" s="5"/>
      <c r="M843" s="5">
        <v>0.0483634509469588</v>
      </c>
      <c r="O843" s="5">
        <v>0.0564754942947044</v>
      </c>
      <c r="P843" s="5">
        <v>0.0783260041080423</v>
      </c>
      <c r="Q843" s="5">
        <v>0.160931538693478</v>
      </c>
      <c r="R843" s="5">
        <v>0.219540568330816</v>
      </c>
      <c r="S843" s="5">
        <v>0.2435292836801</v>
      </c>
      <c r="T843" s="5">
        <v>0.8071663400541</v>
      </c>
    </row>
    <row r="844" spans="1:20">
      <c r="A844" t="s">
        <v>1510</v>
      </c>
      <c r="B844" s="5"/>
      <c r="J844" s="5">
        <v>0.0844195162992759</v>
      </c>
      <c r="K844" s="5">
        <v>0.0685430744557372</v>
      </c>
      <c r="L844" s="5">
        <v>0.0605540391814911</v>
      </c>
      <c r="M844" s="5">
        <v>0.0531997960416547</v>
      </c>
      <c r="N844" s="5">
        <v>0.0824992137096999</v>
      </c>
      <c r="O844" s="5">
        <v>0.0847132414420566</v>
      </c>
      <c r="P844" s="5">
        <v>0.0887694713224479</v>
      </c>
      <c r="Q844" s="5">
        <v>0.0836844001206085</v>
      </c>
      <c r="S844" s="5">
        <v>0.200553527736553</v>
      </c>
      <c r="T844" s="5">
        <v>0.806936280309525</v>
      </c>
    </row>
    <row r="845" spans="1:20">
      <c r="A845" t="s">
        <v>1511</v>
      </c>
      <c r="B845" s="5"/>
      <c r="D845" s="5">
        <v>0.0545831024509451</v>
      </c>
      <c r="L845" s="5">
        <v>0.0504616993179092</v>
      </c>
      <c r="M845" s="5">
        <v>0.0483634509469588</v>
      </c>
      <c r="O845" s="5">
        <v>0.0564754942947044</v>
      </c>
      <c r="P845" s="5">
        <v>0.13054334018007</v>
      </c>
      <c r="Q845" s="5">
        <v>0.109433446311565</v>
      </c>
      <c r="R845" s="5">
        <v>0.13172434099849</v>
      </c>
      <c r="S845" s="5">
        <v>0.214878779717735</v>
      </c>
      <c r="T845" s="5">
        <v>0.796463654218377</v>
      </c>
    </row>
    <row r="846" spans="1:20">
      <c r="A846" t="s">
        <v>1512</v>
      </c>
      <c r="P846" s="5">
        <v>0.0678825368936366</v>
      </c>
      <c r="Q846" s="5">
        <v>0.0965589232160868</v>
      </c>
      <c r="R846" s="5">
        <v>0.158069209198188</v>
      </c>
      <c r="S846" s="5">
        <v>0.472733315379018</v>
      </c>
      <c r="T846" s="5">
        <v>0.79524398468693</v>
      </c>
    </row>
    <row r="847" spans="1:20">
      <c r="A847" t="s">
        <v>1513</v>
      </c>
      <c r="B847" s="5">
        <v>0.79481364908813</v>
      </c>
      <c r="T847" s="5">
        <v>0.79481364908813</v>
      </c>
    </row>
    <row r="848" spans="1:20">
      <c r="A848" t="s">
        <v>1514</v>
      </c>
      <c r="B848" s="5">
        <v>0.79481364908813</v>
      </c>
      <c r="T848" s="5">
        <v>0.79481364908813</v>
      </c>
    </row>
    <row r="849" spans="1:20">
      <c r="A849" t="s">
        <v>1515</v>
      </c>
      <c r="K849" s="5">
        <v>0.0456953829704914</v>
      </c>
      <c r="M849" s="5">
        <v>0.0725451764204382</v>
      </c>
      <c r="N849" s="5">
        <v>0.0533818441651</v>
      </c>
      <c r="O849" s="5">
        <v>0.0658880766771551</v>
      </c>
      <c r="P849" s="5">
        <v>0.109656405751259</v>
      </c>
      <c r="Q849" s="5">
        <v>0.102996184763826</v>
      </c>
      <c r="R849" s="5">
        <v>0.140505963731722</v>
      </c>
      <c r="S849" s="5">
        <v>0.200553527736553</v>
      </c>
      <c r="T849" s="5">
        <v>0.791222562216545</v>
      </c>
    </row>
    <row r="850" spans="1:20">
      <c r="A850" t="s">
        <v>1516</v>
      </c>
      <c r="O850" s="5">
        <v>0.0564754942947044</v>
      </c>
      <c r="P850" s="5">
        <v>0.0835477377152451</v>
      </c>
      <c r="Q850" s="5">
        <v>0.135182492502521</v>
      </c>
      <c r="R850" s="5">
        <v>0.210758945597584</v>
      </c>
      <c r="S850" s="5">
        <v>0.300830291604829</v>
      </c>
      <c r="T850" s="5">
        <v>0.786794961714884</v>
      </c>
    </row>
    <row r="851" spans="1:20">
      <c r="A851" t="s">
        <v>1517</v>
      </c>
      <c r="N851" s="5">
        <v>0.0679405289373999</v>
      </c>
      <c r="O851" s="5">
        <v>0.0753006590596058</v>
      </c>
      <c r="P851" s="5">
        <v>0.109656405751259</v>
      </c>
      <c r="Q851" s="5">
        <v>0.154494277145739</v>
      </c>
      <c r="R851" s="5">
        <v>0.149287586464955</v>
      </c>
      <c r="S851" s="5">
        <v>0.229204031698918</v>
      </c>
      <c r="T851" s="5">
        <v>0.785883489057877</v>
      </c>
    </row>
    <row r="852" spans="1:20">
      <c r="A852" t="s">
        <v>1518</v>
      </c>
      <c r="M852" s="5">
        <v>0.0483634509469588</v>
      </c>
      <c r="N852" s="5">
        <v>0.0582347390892</v>
      </c>
      <c r="O852" s="5">
        <v>0.051769203103479</v>
      </c>
      <c r="P852" s="5">
        <v>0.135765073787273</v>
      </c>
      <c r="Q852" s="5">
        <v>0.141619754050261</v>
      </c>
      <c r="R852" s="5">
        <v>0.149287586464955</v>
      </c>
      <c r="S852" s="5">
        <v>0.200553527736553</v>
      </c>
      <c r="T852" s="5">
        <v>0.78559333517868</v>
      </c>
    </row>
    <row r="853" spans="1:20">
      <c r="A853" t="s">
        <v>1519</v>
      </c>
      <c r="O853" s="5">
        <v>0.0611817854859297</v>
      </c>
      <c r="P853" s="5">
        <v>0.114878139358462</v>
      </c>
      <c r="Q853" s="5">
        <v>0.135182492502521</v>
      </c>
      <c r="R853" s="5">
        <v>0.158069209198188</v>
      </c>
      <c r="S853" s="5">
        <v>0.315155543586012</v>
      </c>
      <c r="T853" s="5">
        <v>0.784467170131113</v>
      </c>
    </row>
    <row r="854" spans="1:20">
      <c r="A854" t="s">
        <v>1520</v>
      </c>
      <c r="N854" s="5">
        <v>0.048528949241</v>
      </c>
      <c r="O854" s="5"/>
      <c r="P854" s="5">
        <v>0.0887694713224479</v>
      </c>
      <c r="Q854" s="5">
        <v>0.0901216616683477</v>
      </c>
      <c r="R854" s="5">
        <v>0.16685083193142</v>
      </c>
      <c r="S854" s="5">
        <v>0.386781803491923</v>
      </c>
      <c r="T854" s="5">
        <v>0.781052717655139</v>
      </c>
    </row>
    <row r="855" spans="1:20">
      <c r="A855" t="s">
        <v>1521</v>
      </c>
      <c r="O855" s="5">
        <v>0.051769203103479</v>
      </c>
      <c r="P855" s="5">
        <v>0.0835477377152451</v>
      </c>
      <c r="Q855" s="5">
        <v>0.0901216616683477</v>
      </c>
      <c r="R855" s="5">
        <v>0.149287586464955</v>
      </c>
      <c r="S855" s="5">
        <v>0.401107055473106</v>
      </c>
      <c r="T855" s="5">
        <v>0.775833244425133</v>
      </c>
    </row>
    <row r="856" spans="1:20">
      <c r="A856" t="s">
        <v>1522</v>
      </c>
      <c r="O856" s="5">
        <v>0.0800069502508312</v>
      </c>
      <c r="P856" s="5">
        <v>0.104434672144056</v>
      </c>
      <c r="Q856" s="5">
        <v>0.154494277145739</v>
      </c>
      <c r="R856" s="5">
        <v>0.193195700131118</v>
      </c>
      <c r="S856" s="5">
        <v>0.2435292836801</v>
      </c>
      <c r="T856" s="5">
        <v>0.775660883351844</v>
      </c>
    </row>
    <row r="857" spans="1:20">
      <c r="A857" t="s">
        <v>1523</v>
      </c>
      <c r="M857" s="5">
        <v>0.0580361411363505</v>
      </c>
      <c r="O857" s="5">
        <v>0.0470629119122537</v>
      </c>
      <c r="P857" s="5">
        <v>0.125321606572868</v>
      </c>
      <c r="Q857" s="5">
        <v>0.128745230954782</v>
      </c>
      <c r="R857" s="5">
        <v>0.16685083193142</v>
      </c>
      <c r="S857" s="5">
        <v>0.2435292836801</v>
      </c>
      <c r="T857" s="5">
        <v>0.769546006187774</v>
      </c>
    </row>
    <row r="858" spans="1:20">
      <c r="A858" t="s">
        <v>1524</v>
      </c>
      <c r="B858" s="5"/>
      <c r="O858" s="5">
        <v>0.0800069502508312</v>
      </c>
      <c r="P858" s="5">
        <v>0.0887694713224479</v>
      </c>
      <c r="Q858" s="5">
        <v>0.199555107979913</v>
      </c>
      <c r="R858" s="5">
        <v>0.184414077397886</v>
      </c>
      <c r="S858" s="5">
        <v>0.214878779717735</v>
      </c>
      <c r="T858" s="5">
        <v>0.767624386668813</v>
      </c>
    </row>
    <row r="859" spans="1:20">
      <c r="A859" t="s">
        <v>1525</v>
      </c>
      <c r="B859" s="5">
        <v>0.767406281878194</v>
      </c>
      <c r="T859" s="5">
        <v>0.767406281878194</v>
      </c>
    </row>
    <row r="860" spans="1:20">
      <c r="A860" t="s">
        <v>1526</v>
      </c>
      <c r="O860" s="5">
        <v>0.0611817854859297</v>
      </c>
      <c r="P860" s="5">
        <v>0.057439069679231</v>
      </c>
      <c r="Q860" s="5">
        <v>0.102996184763826</v>
      </c>
      <c r="R860" s="5">
        <v>0.158069209198188</v>
      </c>
      <c r="S860" s="5">
        <v>0.386781803491923</v>
      </c>
      <c r="T860" s="5">
        <v>0.766468052619098</v>
      </c>
    </row>
    <row r="861" spans="1:20">
      <c r="A861" t="s">
        <v>1527</v>
      </c>
      <c r="C861" s="5">
        <v>0.100925106438981</v>
      </c>
      <c r="N861" s="5">
        <v>0.0582347390892</v>
      </c>
      <c r="O861" s="5">
        <v>0.0753006590596058</v>
      </c>
      <c r="P861" s="5">
        <v>0.0522173360720282</v>
      </c>
      <c r="Q861" s="5">
        <v>0.115870707859304</v>
      </c>
      <c r="R861" s="5">
        <v>0.13172434099849</v>
      </c>
      <c r="S861" s="5">
        <v>0.229204031698918</v>
      </c>
      <c r="T861" s="5">
        <v>0.763476921216527</v>
      </c>
    </row>
    <row r="862" spans="1:20">
      <c r="A862" t="s">
        <v>1528</v>
      </c>
      <c r="O862" s="5">
        <v>0.0753006590596058</v>
      </c>
      <c r="P862" s="5">
        <v>0.125321606572868</v>
      </c>
      <c r="Q862" s="5">
        <v>0.122307969407043</v>
      </c>
      <c r="R862" s="5">
        <v>0.16685083193142</v>
      </c>
      <c r="S862" s="5">
        <v>0.272179787642465</v>
      </c>
      <c r="T862" s="5">
        <v>0.761960854613402</v>
      </c>
    </row>
    <row r="863" spans="1:20">
      <c r="A863" t="s">
        <v>1529</v>
      </c>
      <c r="B863" s="5">
        <v>0.274073672099355</v>
      </c>
      <c r="Q863" s="5">
        <v>0.0836844001206085</v>
      </c>
      <c r="R863" s="5">
        <v>0.13172434099849</v>
      </c>
      <c r="S863" s="5">
        <v>0.272179787642465</v>
      </c>
      <c r="T863" s="5">
        <v>0.761662200860919</v>
      </c>
    </row>
    <row r="864" spans="1:20">
      <c r="A864" t="s">
        <v>1530</v>
      </c>
      <c r="Q864" s="5">
        <v>0.0836844001206085</v>
      </c>
      <c r="R864" s="5">
        <v>0.219540568330816</v>
      </c>
      <c r="S864" s="5">
        <v>0.458408063397835</v>
      </c>
      <c r="T864" s="5">
        <v>0.76163303184926</v>
      </c>
    </row>
    <row r="865" spans="1:20">
      <c r="A865" t="s">
        <v>1531</v>
      </c>
      <c r="N865" s="5">
        <v>0.0727934238614999</v>
      </c>
      <c r="O865" s="5">
        <v>0.0705943678683805</v>
      </c>
      <c r="P865" s="5">
        <v>0.0731042705008395</v>
      </c>
      <c r="Q865" s="5">
        <v>0.148057015598</v>
      </c>
      <c r="R865" s="5">
        <v>0.210758945597584</v>
      </c>
      <c r="S865" s="5">
        <v>0.186228275755371</v>
      </c>
      <c r="T865" s="5">
        <v>0.761536299181675</v>
      </c>
    </row>
    <row r="866" spans="1:20">
      <c r="A866" t="s">
        <v>1532</v>
      </c>
      <c r="B866" s="5">
        <v>0.657776813038452</v>
      </c>
      <c r="C866" s="5"/>
      <c r="H866" s="5">
        <v>0.0499583075215411</v>
      </c>
      <c r="M866" s="5">
        <v>0.0531997960416547</v>
      </c>
      <c r="T866" s="5">
        <v>0.760934916601648</v>
      </c>
    </row>
    <row r="867" spans="1:20">
      <c r="A867" t="s">
        <v>1533</v>
      </c>
      <c r="C867" s="5">
        <v>0.0807400851511851</v>
      </c>
      <c r="D867" s="5">
        <v>0.0942799042334505</v>
      </c>
      <c r="E867" s="5">
        <v>0.0911946129518237</v>
      </c>
      <c r="F867" s="5">
        <v>0.0588888667426484</v>
      </c>
      <c r="N867" s="5">
        <v>0.0582347390892</v>
      </c>
      <c r="O867" s="5"/>
      <c r="P867" s="5">
        <v>0.057439069679231</v>
      </c>
      <c r="Q867" s="5">
        <v>0.0708098770251303</v>
      </c>
      <c r="R867" s="5">
        <v>0.105379472798792</v>
      </c>
      <c r="S867" s="5">
        <v>0.143252519811824</v>
      </c>
      <c r="T867" s="5">
        <v>0.760219147483285</v>
      </c>
    </row>
    <row r="868" spans="1:20">
      <c r="A868" t="s">
        <v>1534</v>
      </c>
      <c r="O868" s="5">
        <v>0.051769203103479</v>
      </c>
      <c r="P868" s="5">
        <v>0.146208541001679</v>
      </c>
      <c r="Q868" s="5">
        <v>0.160931538693478</v>
      </c>
      <c r="R868" s="5">
        <v>0.193195700131118</v>
      </c>
      <c r="S868" s="5">
        <v>0.200553527736553</v>
      </c>
      <c r="T868" s="5">
        <v>0.752658510666307</v>
      </c>
    </row>
    <row r="869" spans="1:20">
      <c r="A869" t="s">
        <v>1535</v>
      </c>
      <c r="O869" s="5">
        <v>0.0988321150157327</v>
      </c>
      <c r="P869" s="5">
        <v>0.0731042705008395</v>
      </c>
      <c r="Q869" s="5">
        <v>0.0643726154773912</v>
      </c>
      <c r="R869" s="5">
        <v>0.254667059263747</v>
      </c>
      <c r="S869" s="5">
        <v>0.257854535661282</v>
      </c>
      <c r="T869" s="5">
        <v>0.748830595918993</v>
      </c>
    </row>
    <row r="870" spans="1:20">
      <c r="A870" t="s">
        <v>1536</v>
      </c>
      <c r="O870" s="5">
        <v>0.0564754942947044</v>
      </c>
      <c r="P870" s="5">
        <v>0.0992129385368535</v>
      </c>
      <c r="Q870" s="5">
        <v>0.109433446311565</v>
      </c>
      <c r="R870" s="5">
        <v>0.210758945597584</v>
      </c>
      <c r="S870" s="5">
        <v>0.272179787642465</v>
      </c>
      <c r="T870" s="5">
        <v>0.748060612383172</v>
      </c>
    </row>
    <row r="871" spans="1:20">
      <c r="A871" t="s">
        <v>1537</v>
      </c>
      <c r="P871" s="5">
        <v>0.0522173360720282</v>
      </c>
      <c r="Q871" s="5"/>
      <c r="R871" s="5">
        <v>0.175632454664653</v>
      </c>
      <c r="S871" s="5">
        <v>0.515709071322565</v>
      </c>
      <c r="T871" s="5">
        <v>0.743558862059246</v>
      </c>
    </row>
    <row r="872" spans="1:20">
      <c r="A872" t="s">
        <v>1538</v>
      </c>
      <c r="B872" s="5">
        <v>0.739998914668259</v>
      </c>
      <c r="T872" s="5">
        <v>0.739998914668259</v>
      </c>
    </row>
    <row r="873" spans="1:20">
      <c r="A873" t="s">
        <v>1539</v>
      </c>
      <c r="P873" s="5">
        <v>0.0522173360720282</v>
      </c>
      <c r="Q873" s="5">
        <v>0.148057015598</v>
      </c>
      <c r="R873" s="5">
        <v>0.193195700131118</v>
      </c>
      <c r="S873" s="5">
        <v>0.343806047548376</v>
      </c>
      <c r="T873" s="5">
        <v>0.737276099349522</v>
      </c>
    </row>
    <row r="874" spans="1:20">
      <c r="A874" t="s">
        <v>1540</v>
      </c>
      <c r="J874" s="5">
        <v>0.04443132436804</v>
      </c>
      <c r="K874" s="5">
        <v>0.0685430744557372</v>
      </c>
      <c r="M874" s="5">
        <v>0.0483634509469588</v>
      </c>
      <c r="O874" s="5">
        <v>0.0800069502508312</v>
      </c>
      <c r="P874" s="5">
        <v>0.0939912049296507</v>
      </c>
      <c r="Q874" s="5">
        <v>0.135182492502521</v>
      </c>
      <c r="R874" s="5">
        <v>0.122942718265257</v>
      </c>
      <c r="S874" s="5">
        <v>0.143252519811824</v>
      </c>
      <c r="T874" s="5">
        <v>0.73671373553082</v>
      </c>
    </row>
    <row r="875" spans="1:20">
      <c r="A875" t="s">
        <v>1541</v>
      </c>
      <c r="Q875" s="5">
        <v>0.115870707859304</v>
      </c>
      <c r="R875" s="5">
        <v>0.245885436530514</v>
      </c>
      <c r="S875" s="5">
        <v>0.372456551510741</v>
      </c>
      <c r="T875" s="5">
        <v>0.734212695900559</v>
      </c>
    </row>
    <row r="876" spans="1:20">
      <c r="A876" t="s">
        <v>1542</v>
      </c>
      <c r="O876" s="5">
        <v>0.051769203103479</v>
      </c>
      <c r="P876" s="5">
        <v>0.0522173360720282</v>
      </c>
      <c r="Q876" s="5">
        <v>0.148057015598</v>
      </c>
      <c r="R876" s="5">
        <v>0.228322191064049</v>
      </c>
      <c r="S876" s="5">
        <v>0.2435292836801</v>
      </c>
      <c r="T876" s="5">
        <v>0.723895029517656</v>
      </c>
    </row>
    <row r="877" spans="1:20">
      <c r="A877" t="s">
        <v>1543</v>
      </c>
      <c r="O877" s="5">
        <v>0.051769203103479</v>
      </c>
      <c r="P877" s="5">
        <v>0.114878139358462</v>
      </c>
      <c r="Q877" s="5">
        <v>0.0772471385728694</v>
      </c>
      <c r="R877" s="5">
        <v>0.13172434099849</v>
      </c>
      <c r="S877" s="5">
        <v>0.343806047548376</v>
      </c>
      <c r="T877" s="5">
        <v>0.719424869581677</v>
      </c>
    </row>
    <row r="878" spans="1:20">
      <c r="A878" t="s">
        <v>1544</v>
      </c>
      <c r="B878" s="5"/>
      <c r="N878" s="5">
        <v>0.048528949241</v>
      </c>
      <c r="O878" s="5">
        <v>0.0800069502508312</v>
      </c>
      <c r="P878" s="5">
        <v>0.0939912049296507</v>
      </c>
      <c r="Q878" s="5">
        <v>0.109433446311565</v>
      </c>
      <c r="R878" s="5">
        <v>0.114161095532025</v>
      </c>
      <c r="S878" s="5">
        <v>0.272179787642465</v>
      </c>
      <c r="T878" s="5">
        <v>0.718301433907537</v>
      </c>
    </row>
    <row r="879" spans="1:20">
      <c r="A879" t="s">
        <v>1545</v>
      </c>
      <c r="B879" s="5">
        <v>0.712591547458323</v>
      </c>
      <c r="T879" s="5">
        <v>0.712591547458323</v>
      </c>
    </row>
    <row r="880" spans="1:20">
      <c r="A880" t="s">
        <v>1546</v>
      </c>
      <c r="B880" s="5">
        <v>0.712591547458323</v>
      </c>
      <c r="T880" s="5">
        <v>0.712591547458323</v>
      </c>
    </row>
    <row r="881" spans="1:20">
      <c r="A881" t="s">
        <v>1547</v>
      </c>
      <c r="B881" s="5">
        <v>0.712591547458323</v>
      </c>
      <c r="T881" s="5">
        <v>0.712591547458323</v>
      </c>
    </row>
    <row r="882" spans="1:20">
      <c r="A882" t="s">
        <v>1548</v>
      </c>
      <c r="B882" s="5">
        <v>0.712591547458323</v>
      </c>
      <c r="T882" s="5">
        <v>0.712591547458323</v>
      </c>
    </row>
    <row r="883" spans="1:20">
      <c r="A883" t="s">
        <v>1549</v>
      </c>
      <c r="P883" s="5">
        <v>0.0522173360720282</v>
      </c>
      <c r="Q883" s="5">
        <v>0.0965589232160868</v>
      </c>
      <c r="R883" s="5">
        <v>0.175632454664653</v>
      </c>
      <c r="S883" s="5">
        <v>0.386781803491923</v>
      </c>
      <c r="T883" s="5">
        <v>0.711190517444691</v>
      </c>
    </row>
    <row r="884" spans="1:20">
      <c r="A884" t="s">
        <v>1550</v>
      </c>
      <c r="O884" s="5">
        <v>0.051769203103479</v>
      </c>
      <c r="P884" s="5">
        <v>0.0522173360720282</v>
      </c>
      <c r="Q884" s="5">
        <v>0.0965589232160868</v>
      </c>
      <c r="R884" s="5">
        <v>0.193195700131118</v>
      </c>
      <c r="S884" s="5">
        <v>0.315155543586012</v>
      </c>
      <c r="T884" s="5">
        <v>0.708896706108724</v>
      </c>
    </row>
    <row r="885" spans="1:20">
      <c r="A885" t="s">
        <v>1551</v>
      </c>
      <c r="P885" s="5">
        <v>0.114878139358462</v>
      </c>
      <c r="Q885" s="5">
        <v>0.180243323336695</v>
      </c>
      <c r="R885" s="5">
        <v>0.210758945597584</v>
      </c>
      <c r="S885" s="5">
        <v>0.200553527736553</v>
      </c>
      <c r="T885" s="5">
        <v>0.706433936029294</v>
      </c>
    </row>
    <row r="886" spans="1:20">
      <c r="A886" t="s">
        <v>1552</v>
      </c>
      <c r="P886" s="5">
        <v>0.109656405751259</v>
      </c>
      <c r="Q886" s="5">
        <v>0.0901216616683477</v>
      </c>
      <c r="R886" s="5">
        <v>0.201977322864351</v>
      </c>
      <c r="S886" s="5">
        <v>0.300830291604829</v>
      </c>
      <c r="T886" s="5">
        <v>0.702585681888787</v>
      </c>
    </row>
    <row r="887" spans="1:20">
      <c r="A887" t="s">
        <v>1553</v>
      </c>
      <c r="O887" s="5">
        <v>0.0658880766771551</v>
      </c>
      <c r="P887" s="5">
        <v>0.057439069679231</v>
      </c>
      <c r="Q887" s="5">
        <v>0.128745230954782</v>
      </c>
      <c r="R887" s="5">
        <v>0.219540568330816</v>
      </c>
      <c r="S887" s="5">
        <v>0.229204031698918</v>
      </c>
      <c r="T887" s="5">
        <v>0.700816977340902</v>
      </c>
    </row>
    <row r="888" spans="1:20">
      <c r="A888" t="s">
        <v>1554</v>
      </c>
      <c r="O888" s="5">
        <v>0.0564754942947044</v>
      </c>
      <c r="P888" s="5">
        <v>0.0678825368936366</v>
      </c>
      <c r="Q888" s="5">
        <v>0.135182492502521</v>
      </c>
      <c r="R888" s="5">
        <v>0.122942718265257</v>
      </c>
      <c r="S888" s="5">
        <v>0.315155543586012</v>
      </c>
      <c r="T888" s="5">
        <v>0.697638785542131</v>
      </c>
    </row>
    <row r="889" spans="1:20">
      <c r="A889" t="s">
        <v>1555</v>
      </c>
      <c r="O889" s="5">
        <v>0.0658880766771551</v>
      </c>
      <c r="P889" s="5">
        <v>0.120099872965665</v>
      </c>
      <c r="Q889" s="5">
        <v>0.109433446311565</v>
      </c>
      <c r="R889" s="5">
        <v>0.184414077397886</v>
      </c>
      <c r="S889" s="5">
        <v>0.214878779717735</v>
      </c>
      <c r="T889" s="5">
        <v>0.694714253070006</v>
      </c>
    </row>
    <row r="890" spans="1:20">
      <c r="A890" t="s">
        <v>1556</v>
      </c>
      <c r="Q890" s="5">
        <v>0.0836844001206085</v>
      </c>
      <c r="R890" s="5">
        <v>0.16685083193142</v>
      </c>
      <c r="S890" s="5">
        <v>0.444082811416653</v>
      </c>
      <c r="T890" s="5">
        <v>0.694618043468682</v>
      </c>
    </row>
    <row r="891" spans="1:20">
      <c r="A891" t="s">
        <v>1557</v>
      </c>
      <c r="O891" s="5">
        <v>0.0470629119122537</v>
      </c>
      <c r="P891" s="5">
        <v>0.0522173360720282</v>
      </c>
      <c r="Q891" s="5"/>
      <c r="R891" s="5">
        <v>0.193195700131118</v>
      </c>
      <c r="S891" s="5">
        <v>0.401107055473106</v>
      </c>
      <c r="T891" s="5">
        <v>0.693583003588506</v>
      </c>
    </row>
    <row r="892" spans="1:20">
      <c r="A892" t="s">
        <v>1558</v>
      </c>
      <c r="O892" s="5">
        <v>0.0894195326332819</v>
      </c>
      <c r="P892" s="5">
        <v>0.0731042705008395</v>
      </c>
      <c r="Q892" s="5">
        <v>0.122307969407043</v>
      </c>
      <c r="R892" s="5">
        <v>0.175632454664653</v>
      </c>
      <c r="S892" s="5">
        <v>0.229204031698918</v>
      </c>
      <c r="T892" s="5">
        <v>0.689668258904735</v>
      </c>
    </row>
    <row r="893" spans="1:20">
      <c r="A893" t="s">
        <v>1559</v>
      </c>
      <c r="P893" s="5">
        <v>0.0522173360720282</v>
      </c>
      <c r="Q893" s="5">
        <v>0.115870707859304</v>
      </c>
      <c r="R893" s="5">
        <v>0.175632454664653</v>
      </c>
      <c r="S893" s="5">
        <v>0.343806047548376</v>
      </c>
      <c r="T893" s="5">
        <v>0.687526546144361</v>
      </c>
    </row>
    <row r="894" spans="1:20">
      <c r="A894" t="s">
        <v>1560</v>
      </c>
      <c r="O894" s="5">
        <v>0.0658880766771551</v>
      </c>
      <c r="P894" s="5">
        <v>0.0835477377152451</v>
      </c>
      <c r="Q894" s="5">
        <v>0.109433446311565</v>
      </c>
      <c r="R894" s="5">
        <v>0.254667059263747</v>
      </c>
      <c r="S894" s="5">
        <v>0.171903023774188</v>
      </c>
      <c r="T894" s="5">
        <v>0.6854393437419</v>
      </c>
    </row>
    <row r="895" spans="1:20">
      <c r="A895" t="s">
        <v>1561</v>
      </c>
      <c r="B895" s="5">
        <v>0.685184180248388</v>
      </c>
      <c r="T895" s="5">
        <v>0.685184180248388</v>
      </c>
    </row>
    <row r="896" spans="1:20">
      <c r="A896" t="s">
        <v>1562</v>
      </c>
      <c r="B896" s="5">
        <v>0.685184180248388</v>
      </c>
      <c r="T896" s="5">
        <v>0.685184180248388</v>
      </c>
    </row>
    <row r="897" spans="1:20">
      <c r="A897" t="s">
        <v>1563</v>
      </c>
      <c r="P897" s="5">
        <v>0.0731042705008395</v>
      </c>
      <c r="Q897" s="5">
        <v>0.0772471385728694</v>
      </c>
      <c r="R897" s="5">
        <v>0.175632454664653</v>
      </c>
      <c r="S897" s="5">
        <v>0.358131299529559</v>
      </c>
      <c r="T897" s="5">
        <v>0.684115163267921</v>
      </c>
    </row>
    <row r="898" spans="1:20">
      <c r="A898" t="s">
        <v>1564</v>
      </c>
      <c r="O898" s="5">
        <v>0.0470629119122537</v>
      </c>
      <c r="P898" s="5"/>
      <c r="Q898" s="5">
        <v>0.0965589232160868</v>
      </c>
      <c r="R898" s="5">
        <v>0.16685083193142</v>
      </c>
      <c r="S898" s="5">
        <v>0.372456551510741</v>
      </c>
      <c r="T898" s="5">
        <v>0.682929218570502</v>
      </c>
    </row>
    <row r="899" spans="1:20">
      <c r="A899" t="s">
        <v>1565</v>
      </c>
      <c r="N899" s="5">
        <v>0.048528949241</v>
      </c>
      <c r="O899" s="5">
        <v>0.0894195326332819</v>
      </c>
      <c r="P899" s="5">
        <v>0.0835477377152451</v>
      </c>
      <c r="Q899" s="5">
        <v>0.102996184763826</v>
      </c>
      <c r="R899" s="5">
        <v>0.114161095532025</v>
      </c>
      <c r="S899" s="5">
        <v>0.2435292836801</v>
      </c>
      <c r="T899" s="5">
        <v>0.682182783565478</v>
      </c>
    </row>
    <row r="900" spans="1:20">
      <c r="A900" t="s">
        <v>1566</v>
      </c>
      <c r="O900" s="5">
        <v>0.0470629119122537</v>
      </c>
      <c r="P900" s="5">
        <v>0.0678825368936366</v>
      </c>
      <c r="Q900" s="5">
        <v>0.135182492502521</v>
      </c>
      <c r="R900" s="5">
        <v>0.201977322864351</v>
      </c>
      <c r="S900" s="5">
        <v>0.229204031698918</v>
      </c>
      <c r="T900" s="5">
        <v>0.68130929587168</v>
      </c>
    </row>
    <row r="901" spans="1:20">
      <c r="A901" t="s">
        <v>1567</v>
      </c>
      <c r="K901" s="5">
        <v>0.0456953829704914</v>
      </c>
      <c r="L901" s="5">
        <v>0.0605540391814911</v>
      </c>
      <c r="M901" s="5">
        <v>0.0531997960416547</v>
      </c>
      <c r="N901" s="5">
        <v>0.1019107934061</v>
      </c>
      <c r="O901" s="5">
        <v>0.0847132414420566</v>
      </c>
      <c r="P901" s="5">
        <v>0.120099872965665</v>
      </c>
      <c r="Q901" s="5">
        <v>0.109433446311565</v>
      </c>
      <c r="R901" s="5">
        <v>0.105379472798792</v>
      </c>
      <c r="T901" s="5">
        <v>0.680986045117816</v>
      </c>
    </row>
    <row r="902" spans="1:20">
      <c r="A902" t="s">
        <v>1568</v>
      </c>
      <c r="P902" s="5">
        <v>0.0835477377152451</v>
      </c>
      <c r="Q902" s="5">
        <v>0.0836844001206085</v>
      </c>
      <c r="R902" s="5">
        <v>0.193195700131118</v>
      </c>
      <c r="S902" s="5">
        <v>0.315155543586012</v>
      </c>
      <c r="T902" s="5">
        <v>0.675583381552984</v>
      </c>
    </row>
    <row r="903" spans="1:20">
      <c r="A903" t="s">
        <v>1569</v>
      </c>
      <c r="B903" s="5">
        <v>0.493332609778839</v>
      </c>
      <c r="C903" s="5">
        <v>0.181665191590167</v>
      </c>
      <c r="T903" s="5">
        <v>0.674997801369006</v>
      </c>
    </row>
    <row r="904" spans="1:20">
      <c r="A904" t="s">
        <v>1570</v>
      </c>
      <c r="B904" s="5"/>
      <c r="O904" s="5">
        <v>0.0847132414420566</v>
      </c>
      <c r="P904" s="5">
        <v>0.146208541001679</v>
      </c>
      <c r="Q904" s="5">
        <v>0.141619754050261</v>
      </c>
      <c r="R904" s="5">
        <v>0.158069209198188</v>
      </c>
      <c r="S904" s="5">
        <v>0.143252519811824</v>
      </c>
      <c r="T904" s="5">
        <v>0.673863265504009</v>
      </c>
    </row>
    <row r="905" spans="1:20">
      <c r="A905" t="s">
        <v>1571</v>
      </c>
      <c r="B905" s="5"/>
      <c r="M905" s="5">
        <v>0.0725451764204382</v>
      </c>
      <c r="O905" s="5">
        <v>0.122363570971859</v>
      </c>
      <c r="P905" s="5">
        <v>0.104434672144056</v>
      </c>
      <c r="Q905" s="5">
        <v>0.128745230954782</v>
      </c>
      <c r="S905" s="5">
        <v>0.2435292836801</v>
      </c>
      <c r="T905" s="5">
        <v>0.671617934171235</v>
      </c>
    </row>
    <row r="906" spans="1:20">
      <c r="A906" t="s">
        <v>1572</v>
      </c>
      <c r="B906" s="5"/>
      <c r="J906" s="5">
        <v>0.0622038541152559</v>
      </c>
      <c r="K906" s="5">
        <v>0.100529842535081</v>
      </c>
      <c r="L906" s="5">
        <v>0.0756925489768638</v>
      </c>
      <c r="M906" s="5">
        <v>0.0628724862310464</v>
      </c>
      <c r="N906" s="5">
        <v>0.0776463187855999</v>
      </c>
      <c r="O906" s="5">
        <v>0.0847132414420566</v>
      </c>
      <c r="P906" s="5">
        <v>0.13054334018007</v>
      </c>
      <c r="Q906" s="5">
        <v>0.0772471385728694</v>
      </c>
      <c r="T906" s="5">
        <v>0.671448770838843</v>
      </c>
    </row>
    <row r="907" spans="1:20">
      <c r="A907" t="s">
        <v>1573</v>
      </c>
      <c r="B907" s="5"/>
      <c r="J907" s="5">
        <v>0.0488744568048439</v>
      </c>
      <c r="L907" s="5">
        <v>0.0605540391814911</v>
      </c>
      <c r="M907" s="5">
        <v>0.0628724862310464</v>
      </c>
      <c r="N907" s="5">
        <v>0.0824992137096999</v>
      </c>
      <c r="O907" s="5">
        <v>0.0705943678683805</v>
      </c>
      <c r="P907" s="5">
        <v>0.104434672144056</v>
      </c>
      <c r="Q907" s="5">
        <v>0.135182492502521</v>
      </c>
      <c r="R907" s="5">
        <v>0.105379472798792</v>
      </c>
      <c r="T907" s="5">
        <v>0.670391201240831</v>
      </c>
    </row>
    <row r="908" spans="1:20">
      <c r="A908" t="s">
        <v>1574</v>
      </c>
      <c r="P908" s="5">
        <v>0.0783260041080423</v>
      </c>
      <c r="Q908" s="5">
        <v>0.148057015598</v>
      </c>
      <c r="R908" s="5">
        <v>0.184414077397886</v>
      </c>
      <c r="S908" s="5">
        <v>0.257854535661282</v>
      </c>
      <c r="T908" s="5">
        <v>0.66865163276521</v>
      </c>
    </row>
    <row r="909" spans="1:20">
      <c r="A909" t="s">
        <v>1575</v>
      </c>
      <c r="O909" s="5">
        <v>0.051769203103479</v>
      </c>
      <c r="P909" s="5">
        <v>0.0731042705008395</v>
      </c>
      <c r="Q909" s="5">
        <v>0.128745230954782</v>
      </c>
      <c r="R909" s="5">
        <v>0.114161095532025</v>
      </c>
      <c r="S909" s="5">
        <v>0.300830291604829</v>
      </c>
      <c r="T909" s="5">
        <v>0.668610091695955</v>
      </c>
    </row>
    <row r="910" spans="1:20">
      <c r="A910" t="s">
        <v>1576</v>
      </c>
      <c r="M910" s="5">
        <v>0.0628724862310464</v>
      </c>
      <c r="N910" s="5">
        <v>0.0727934238614999</v>
      </c>
      <c r="P910" s="5">
        <v>0.0731042705008395</v>
      </c>
      <c r="Q910" s="5">
        <v>0.115870707859304</v>
      </c>
      <c r="R910" s="5">
        <v>0.114161095532025</v>
      </c>
      <c r="S910" s="5">
        <v>0.229204031698918</v>
      </c>
      <c r="T910" s="5">
        <v>0.668006015683633</v>
      </c>
    </row>
    <row r="911" spans="1:20">
      <c r="A911" t="s">
        <v>1577</v>
      </c>
      <c r="Q911" s="5">
        <v>0.128745230954782</v>
      </c>
      <c r="R911" s="5">
        <v>0.193195700131118</v>
      </c>
      <c r="S911" s="5">
        <v>0.343806047548376</v>
      </c>
      <c r="T911" s="5">
        <v>0.665746978634276</v>
      </c>
    </row>
    <row r="912" spans="1:20">
      <c r="A912" t="s">
        <v>1578</v>
      </c>
      <c r="O912" s="5">
        <v>0.0470629119122537</v>
      </c>
      <c r="P912" s="5">
        <v>0.0731042705008395</v>
      </c>
      <c r="Q912" s="5">
        <v>0.141619754050261</v>
      </c>
      <c r="R912" s="5">
        <v>0.184414077397886</v>
      </c>
      <c r="S912" s="5">
        <v>0.214878779717735</v>
      </c>
      <c r="T912" s="5">
        <v>0.661079793578975</v>
      </c>
    </row>
    <row r="913" spans="1:20">
      <c r="A913" t="s">
        <v>1579</v>
      </c>
      <c r="P913" s="5">
        <v>0.0626608032864338</v>
      </c>
      <c r="Q913" s="5">
        <v>0.109433446311565</v>
      </c>
      <c r="R913" s="5">
        <v>0.158069209198188</v>
      </c>
      <c r="S913" s="5">
        <v>0.329480795567194</v>
      </c>
      <c r="T913" s="5">
        <v>0.659644254363381</v>
      </c>
    </row>
    <row r="914" spans="1:20">
      <c r="A914" t="s">
        <v>1580</v>
      </c>
      <c r="B914" s="5">
        <v>0.657776813038452</v>
      </c>
      <c r="T914" s="5">
        <v>0.657776813038452</v>
      </c>
    </row>
    <row r="915" spans="1:20">
      <c r="A915" t="s">
        <v>1581</v>
      </c>
      <c r="B915" s="5">
        <v>0.657776813038452</v>
      </c>
      <c r="T915" s="5">
        <v>0.657776813038452</v>
      </c>
    </row>
    <row r="916" spans="1:20">
      <c r="A916" t="s">
        <v>1582</v>
      </c>
      <c r="B916" s="5">
        <v>0.657776813038452</v>
      </c>
      <c r="T916" s="5">
        <v>0.657776813038452</v>
      </c>
    </row>
    <row r="917" spans="1:20">
      <c r="A917" t="s">
        <v>1583</v>
      </c>
      <c r="B917" s="5">
        <v>0.657776813038452</v>
      </c>
      <c r="T917" s="5">
        <v>0.657776813038452</v>
      </c>
    </row>
    <row r="918" spans="1:20">
      <c r="A918" t="s">
        <v>1584</v>
      </c>
      <c r="P918" s="5">
        <v>0.0887694713224479</v>
      </c>
      <c r="Q918" s="5">
        <v>0.173806061788956</v>
      </c>
      <c r="R918" s="5">
        <v>0.201977322864351</v>
      </c>
      <c r="S918" s="5">
        <v>0.186228275755371</v>
      </c>
      <c r="T918" s="5">
        <v>0.650781131731126</v>
      </c>
    </row>
    <row r="919" spans="1:20">
      <c r="A919" t="s">
        <v>1585</v>
      </c>
      <c r="B919" s="5"/>
      <c r="P919" s="5">
        <v>0.0678825368936366</v>
      </c>
      <c r="Q919" s="5">
        <v>0.154494277145739</v>
      </c>
      <c r="R919" s="5">
        <v>0.184414077397886</v>
      </c>
      <c r="S919" s="5">
        <v>0.2435292836801</v>
      </c>
      <c r="T919" s="5">
        <v>0.650320175117362</v>
      </c>
    </row>
    <row r="920" spans="1:20">
      <c r="A920" t="s">
        <v>1586</v>
      </c>
      <c r="P920" s="5">
        <v>0.0522173360720282</v>
      </c>
      <c r="Q920" s="5">
        <v>0.109433446311565</v>
      </c>
      <c r="R920" s="5">
        <v>0.201977322864351</v>
      </c>
      <c r="S920" s="5">
        <v>0.286505039623647</v>
      </c>
      <c r="T920" s="5">
        <v>0.650133144871591</v>
      </c>
    </row>
    <row r="921" spans="1:20">
      <c r="A921" t="s">
        <v>1587</v>
      </c>
      <c r="B921" s="5"/>
      <c r="P921" s="5">
        <v>0.057439069679231</v>
      </c>
      <c r="Q921" s="5">
        <v>0.0836844001206085</v>
      </c>
      <c r="R921" s="5">
        <v>0.193195700131118</v>
      </c>
      <c r="S921" s="5">
        <v>0.315155543586012</v>
      </c>
      <c r="T921" s="5">
        <v>0.64947471351697</v>
      </c>
    </row>
    <row r="922" spans="1:20">
      <c r="A922" t="s">
        <v>1588</v>
      </c>
      <c r="R922" s="5">
        <v>0.175632454664653</v>
      </c>
      <c r="S922" s="5">
        <v>0.472733315379018</v>
      </c>
      <c r="T922" s="5">
        <v>0.648365770043671</v>
      </c>
    </row>
    <row r="923" spans="1:20">
      <c r="A923" t="s">
        <v>1589</v>
      </c>
      <c r="K923" s="5">
        <v>0.0548344595645897</v>
      </c>
      <c r="L923" s="5">
        <v>0.065600209113282</v>
      </c>
      <c r="M923" s="5">
        <v>0.0628724862310464</v>
      </c>
      <c r="N923" s="5">
        <v>0.1067636883302</v>
      </c>
      <c r="O923" s="5">
        <v>0.13177615335431</v>
      </c>
      <c r="P923" s="5">
        <v>0.109656405751259</v>
      </c>
      <c r="Q923" s="5">
        <v>0.115870707859304</v>
      </c>
      <c r="R923" s="5"/>
      <c r="S923" s="5"/>
      <c r="T923" s="5">
        <v>0.647374110203991</v>
      </c>
    </row>
    <row r="924" spans="1:20">
      <c r="A924" t="s">
        <v>1590</v>
      </c>
      <c r="O924" s="5">
        <v>0.051769203103479</v>
      </c>
      <c r="P924" s="5">
        <v>0.057439069679231</v>
      </c>
      <c r="Q924" s="5">
        <v>0.122307969407043</v>
      </c>
      <c r="R924" s="5">
        <v>0.0965978500655592</v>
      </c>
      <c r="S924" s="5">
        <v>0.315155543586012</v>
      </c>
      <c r="T924" s="5">
        <v>0.643269635841324</v>
      </c>
    </row>
    <row r="925" spans="1:20">
      <c r="A925" t="s">
        <v>1591</v>
      </c>
      <c r="O925" s="5">
        <v>0.0753006590596058</v>
      </c>
      <c r="P925" s="5">
        <v>0.104434672144056</v>
      </c>
      <c r="Q925" s="5">
        <v>0.115870707859304</v>
      </c>
      <c r="R925" s="5">
        <v>0.0878162273323266</v>
      </c>
      <c r="S925" s="5">
        <v>0.257854535661282</v>
      </c>
      <c r="T925" s="5">
        <v>0.641276802056575</v>
      </c>
    </row>
    <row r="926" spans="1:20">
      <c r="A926" t="s">
        <v>1592</v>
      </c>
      <c r="L926" s="5">
        <v>0.0504616993179092</v>
      </c>
      <c r="N926" s="5">
        <v>0.0776463187855999</v>
      </c>
      <c r="O926" s="5">
        <v>0.0800069502508312</v>
      </c>
      <c r="P926" s="5"/>
      <c r="Q926" s="5">
        <v>0.115870707859304</v>
      </c>
      <c r="R926" s="5">
        <v>0.0965978500655592</v>
      </c>
      <c r="S926" s="5">
        <v>0.214878779717735</v>
      </c>
      <c r="T926" s="5">
        <v>0.635462305996938</v>
      </c>
    </row>
    <row r="927" spans="1:20">
      <c r="A927" t="s">
        <v>1593</v>
      </c>
      <c r="B927" s="5"/>
      <c r="C927" s="5"/>
      <c r="D927" s="5"/>
      <c r="E927" s="5"/>
      <c r="Q927" s="5">
        <v>0.0643726154773912</v>
      </c>
      <c r="R927" s="5">
        <v>0.210758945597584</v>
      </c>
      <c r="S927" s="5">
        <v>0.358131299529559</v>
      </c>
      <c r="T927" s="5">
        <v>0.633262860604534</v>
      </c>
    </row>
    <row r="928" spans="1:20">
      <c r="A928" t="s">
        <v>1594</v>
      </c>
      <c r="P928" s="5">
        <v>0.0678825368936366</v>
      </c>
      <c r="Q928" s="5">
        <v>0.109433446311565</v>
      </c>
      <c r="R928" s="5">
        <v>0.16685083193142</v>
      </c>
      <c r="S928" s="5">
        <v>0.286505039623647</v>
      </c>
      <c r="T928" s="5">
        <v>0.630671854760269</v>
      </c>
    </row>
    <row r="929" spans="1:20">
      <c r="A929" t="s">
        <v>1595</v>
      </c>
      <c r="N929" s="5">
        <v>0.0679405289373999</v>
      </c>
      <c r="O929" s="5">
        <v>0.0564754942947044</v>
      </c>
      <c r="P929" s="5">
        <v>0.0522173360720282</v>
      </c>
      <c r="Q929" s="5">
        <v>0.109433446311565</v>
      </c>
      <c r="R929" s="5">
        <v>0.140505963731722</v>
      </c>
      <c r="S929" s="5">
        <v>0.200553527736553</v>
      </c>
      <c r="T929" s="5">
        <v>0.627126297083973</v>
      </c>
    </row>
    <row r="930" spans="1:20">
      <c r="A930" t="s">
        <v>1596</v>
      </c>
      <c r="K930" s="5">
        <v>0.0594039978616389</v>
      </c>
      <c r="L930" s="5">
        <v>0.0555078692497001</v>
      </c>
      <c r="M930" s="5">
        <v>0.0870542117045258</v>
      </c>
      <c r="N930" s="5">
        <v>0.0727934238614999</v>
      </c>
      <c r="O930" s="5">
        <v>0.0894195326332819</v>
      </c>
      <c r="P930" s="5">
        <v>0.0835477377152451</v>
      </c>
      <c r="R930" s="5">
        <v>0.175632454664653</v>
      </c>
      <c r="S930" s="5"/>
      <c r="T930" s="5">
        <v>0.623359227690545</v>
      </c>
    </row>
    <row r="931" spans="1:20">
      <c r="A931" t="s">
        <v>1597</v>
      </c>
      <c r="O931" s="5">
        <v>0.0470629119122537</v>
      </c>
      <c r="P931" s="5">
        <v>0.0783260041080423</v>
      </c>
      <c r="Q931" s="5">
        <v>0.154494277145739</v>
      </c>
      <c r="R931" s="5">
        <v>0.0878162273323266</v>
      </c>
      <c r="S931" s="5">
        <v>0.2435292836801</v>
      </c>
      <c r="T931" s="5">
        <v>0.611228704178462</v>
      </c>
    </row>
    <row r="932" spans="1:20">
      <c r="A932" t="s">
        <v>1598</v>
      </c>
      <c r="B932" s="5"/>
      <c r="O932" s="5">
        <v>0.0705943678683805</v>
      </c>
      <c r="P932" s="5">
        <v>0.0939912049296507</v>
      </c>
      <c r="Q932" s="5">
        <v>0.0965589232160868</v>
      </c>
      <c r="R932" s="5">
        <v>0.0878162273323266</v>
      </c>
      <c r="S932" s="5">
        <v>0.257854535661282</v>
      </c>
      <c r="T932" s="5">
        <v>0.606815259007727</v>
      </c>
    </row>
    <row r="933" spans="1:20">
      <c r="A933" t="s">
        <v>1599</v>
      </c>
      <c r="P933" s="5">
        <v>0.104434672144056</v>
      </c>
      <c r="Q933" s="5">
        <v>0.128745230954782</v>
      </c>
      <c r="R933" s="5">
        <v>0.158069209198188</v>
      </c>
      <c r="S933" s="5">
        <v>0.214878779717735</v>
      </c>
      <c r="T933" s="5">
        <v>0.606127892014761</v>
      </c>
    </row>
    <row r="934" spans="1:20">
      <c r="A934" t="s">
        <v>1600</v>
      </c>
      <c r="O934" s="5">
        <v>0.0800069502508312</v>
      </c>
      <c r="P934" s="5">
        <v>0.0887694713224479</v>
      </c>
      <c r="Q934" s="5">
        <v>0.109433446311565</v>
      </c>
      <c r="R934" s="5">
        <v>0.140505963731722</v>
      </c>
      <c r="S934" s="5">
        <v>0.186228275755371</v>
      </c>
      <c r="T934" s="5">
        <v>0.604944107371937</v>
      </c>
    </row>
    <row r="935" spans="1:20">
      <c r="A935" t="s">
        <v>1601</v>
      </c>
      <c r="O935" s="5">
        <v>0.0611817854859297</v>
      </c>
      <c r="P935" s="5">
        <v>0.0731042705008395</v>
      </c>
      <c r="Q935" s="5">
        <v>0.0965589232160868</v>
      </c>
      <c r="R935" s="5">
        <v>0.158069209198188</v>
      </c>
      <c r="S935" s="5">
        <v>0.214878779717735</v>
      </c>
      <c r="T935" s="5">
        <v>0.603792968118779</v>
      </c>
    </row>
    <row r="936" spans="1:20">
      <c r="A936" t="s">
        <v>1602</v>
      </c>
      <c r="B936" s="5">
        <v>0.602962078618581</v>
      </c>
      <c r="T936" s="5">
        <v>0.602962078618581</v>
      </c>
    </row>
    <row r="937" spans="1:20">
      <c r="A937" t="s">
        <v>1603</v>
      </c>
      <c r="B937" s="5">
        <v>0.602962078618581</v>
      </c>
      <c r="T937" s="5">
        <v>0.602962078618581</v>
      </c>
    </row>
    <row r="938" spans="1:20">
      <c r="A938" t="s">
        <v>1604</v>
      </c>
      <c r="B938" s="5">
        <v>0.602962078618581</v>
      </c>
      <c r="T938" s="5">
        <v>0.602962078618581</v>
      </c>
    </row>
    <row r="939" spans="1:20">
      <c r="A939" t="s">
        <v>1605</v>
      </c>
      <c r="B939" s="5">
        <v>0.602962078618581</v>
      </c>
      <c r="T939" s="5">
        <v>0.602962078618581</v>
      </c>
    </row>
    <row r="940" spans="1:20">
      <c r="A940" t="s">
        <v>1606</v>
      </c>
      <c r="N940" s="5">
        <v>0.0727934238614999</v>
      </c>
      <c r="O940" s="5">
        <v>0.108244697398183</v>
      </c>
      <c r="P940" s="5">
        <v>0.0992129385368535</v>
      </c>
      <c r="Q940" s="5">
        <v>0.0772471385728694</v>
      </c>
      <c r="R940" s="5"/>
      <c r="S940" s="5">
        <v>0.2435292836801</v>
      </c>
      <c r="T940" s="5">
        <v>0.601027482049506</v>
      </c>
    </row>
    <row r="941" spans="1:20">
      <c r="A941" t="s">
        <v>1607</v>
      </c>
      <c r="P941" s="5">
        <v>0.0835477377152451</v>
      </c>
      <c r="Q941" s="5">
        <v>0.102996184763826</v>
      </c>
      <c r="R941" s="5">
        <v>0.122942718265257</v>
      </c>
      <c r="S941" s="5">
        <v>0.286505039623647</v>
      </c>
      <c r="T941" s="5">
        <v>0.595991680367975</v>
      </c>
    </row>
    <row r="942" spans="1:20">
      <c r="A942" t="s">
        <v>1608</v>
      </c>
      <c r="P942" s="5">
        <v>0.057439069679231</v>
      </c>
      <c r="Q942" s="5">
        <v>0.0836844001206085</v>
      </c>
      <c r="R942" s="5">
        <v>0.0965978500655592</v>
      </c>
      <c r="S942" s="5">
        <v>0.358131299529559</v>
      </c>
      <c r="T942" s="5">
        <v>0.595852619394958</v>
      </c>
    </row>
    <row r="943" spans="1:20">
      <c r="A943" t="s">
        <v>1609</v>
      </c>
      <c r="P943" s="5">
        <v>0.0783260041080423</v>
      </c>
      <c r="Q943" s="5">
        <v>0.109433446311565</v>
      </c>
      <c r="R943" s="5">
        <v>0.149287586464955</v>
      </c>
      <c r="S943" s="5">
        <v>0.257854535661282</v>
      </c>
      <c r="T943" s="5">
        <v>0.594901572545844</v>
      </c>
    </row>
    <row r="944" spans="1:20">
      <c r="A944" t="s">
        <v>1610</v>
      </c>
      <c r="N944" s="5">
        <v>0.0630876340133</v>
      </c>
      <c r="O944" s="5"/>
      <c r="P944" s="5">
        <v>0.0835477377152451</v>
      </c>
      <c r="Q944" s="5">
        <v>0.0836844001206085</v>
      </c>
      <c r="R944" s="5">
        <v>0.149287586464955</v>
      </c>
      <c r="S944" s="5">
        <v>0.214878779717735</v>
      </c>
      <c r="T944" s="5">
        <v>0.594486138031844</v>
      </c>
    </row>
    <row r="945" spans="1:20">
      <c r="A945" t="s">
        <v>1611</v>
      </c>
      <c r="Q945" s="5">
        <v>0.0901216616683477</v>
      </c>
      <c r="R945" s="5">
        <v>0.201977322864351</v>
      </c>
      <c r="S945" s="5">
        <v>0.300830291604829</v>
      </c>
      <c r="T945" s="5">
        <v>0.592929276137528</v>
      </c>
    </row>
    <row r="946" spans="1:20">
      <c r="A946" t="s">
        <v>1612</v>
      </c>
      <c r="P946" s="5">
        <v>0.057439069679231</v>
      </c>
      <c r="Q946" s="5">
        <v>0.0836844001206085</v>
      </c>
      <c r="R946" s="5">
        <v>0.193195700131118</v>
      </c>
      <c r="S946" s="5">
        <v>0.257854535661282</v>
      </c>
      <c r="T946" s="5">
        <v>0.59217370559224</v>
      </c>
    </row>
    <row r="947" spans="1:20">
      <c r="A947" t="s">
        <v>1613</v>
      </c>
      <c r="P947" s="5">
        <v>0.0992129385368535</v>
      </c>
      <c r="Q947" s="5">
        <v>0.102996184763826</v>
      </c>
      <c r="R947" s="5">
        <v>0.158069209198188</v>
      </c>
      <c r="S947" s="5">
        <v>0.229204031698918</v>
      </c>
      <c r="T947" s="5">
        <v>0.589482364197786</v>
      </c>
    </row>
    <row r="948" spans="1:20">
      <c r="A948" t="s">
        <v>1614</v>
      </c>
      <c r="P948" s="5">
        <v>0.0522173360720282</v>
      </c>
      <c r="Q948" s="5">
        <v>0.141619754050261</v>
      </c>
      <c r="R948" s="5">
        <v>0.122942718265257</v>
      </c>
      <c r="S948" s="5">
        <v>0.272179787642465</v>
      </c>
      <c r="T948" s="5">
        <v>0.588959596030011</v>
      </c>
    </row>
    <row r="949" spans="1:20">
      <c r="A949" t="s">
        <v>1615</v>
      </c>
      <c r="L949" s="5">
        <v>0.0605540391814911</v>
      </c>
      <c r="M949" s="5">
        <v>0.0725451764204382</v>
      </c>
      <c r="N949" s="5">
        <v>0.1261752680266</v>
      </c>
      <c r="O949" s="5">
        <v>0.108244697398183</v>
      </c>
      <c r="P949" s="5">
        <v>0.140986807394476</v>
      </c>
      <c r="Q949" s="5">
        <v>0.0772471385728694</v>
      </c>
      <c r="T949" s="5">
        <v>0.585753126994058</v>
      </c>
    </row>
    <row r="950" spans="1:20">
      <c r="A950" t="s">
        <v>1616</v>
      </c>
      <c r="B950" s="5">
        <v>0.465925242568904</v>
      </c>
      <c r="M950" s="5">
        <v>0.0580361411363505</v>
      </c>
      <c r="P950" s="5">
        <v>0.057439069679231</v>
      </c>
      <c r="Q950" s="5"/>
      <c r="R950" s="5"/>
      <c r="S950" s="5"/>
      <c r="T950" s="5">
        <v>0.581400453384485</v>
      </c>
    </row>
    <row r="951" spans="1:20">
      <c r="A951" t="s">
        <v>1617</v>
      </c>
      <c r="P951" s="5">
        <v>0.057439069679231</v>
      </c>
      <c r="Q951" s="5">
        <v>0.109433446311565</v>
      </c>
      <c r="R951" s="5">
        <v>0.122942718265257</v>
      </c>
      <c r="S951" s="5">
        <v>0.286505039623647</v>
      </c>
      <c r="T951" s="5">
        <v>0.5763202738797</v>
      </c>
    </row>
    <row r="952" spans="1:20">
      <c r="A952" t="s">
        <v>1618</v>
      </c>
      <c r="B952" s="5">
        <v>0.575554711408646</v>
      </c>
      <c r="T952" s="5">
        <v>0.575554711408646</v>
      </c>
    </row>
    <row r="953" spans="1:20">
      <c r="A953" t="s">
        <v>1619</v>
      </c>
      <c r="Q953" s="5">
        <v>0.115870707859304</v>
      </c>
      <c r="R953" s="5">
        <v>0.158069209198188</v>
      </c>
      <c r="S953" s="5">
        <v>0.300830291604829</v>
      </c>
      <c r="T953" s="5">
        <v>0.574770208662321</v>
      </c>
    </row>
    <row r="954" spans="1:20">
      <c r="A954" t="s">
        <v>1620</v>
      </c>
      <c r="Q954" s="5">
        <v>0.115870707859304</v>
      </c>
      <c r="R954" s="5">
        <v>0.158069209198188</v>
      </c>
      <c r="S954" s="5">
        <v>0.300830291604829</v>
      </c>
      <c r="T954" s="5">
        <v>0.574770208662321</v>
      </c>
    </row>
    <row r="955" spans="1:20">
      <c r="A955" t="s">
        <v>1621</v>
      </c>
      <c r="O955" s="5">
        <v>0.0753006590596058</v>
      </c>
      <c r="P955" s="5">
        <v>0.0522173360720282</v>
      </c>
      <c r="Q955" s="5">
        <v>0.0708098770251303</v>
      </c>
      <c r="R955" s="5">
        <v>0.175632454664653</v>
      </c>
      <c r="S955" s="5">
        <v>0.200553527736553</v>
      </c>
      <c r="T955" s="5">
        <v>0.57451385455797</v>
      </c>
    </row>
    <row r="956" spans="1:20">
      <c r="A956" t="s">
        <v>1622</v>
      </c>
      <c r="P956" s="5">
        <v>0.057439069679231</v>
      </c>
      <c r="Q956" s="5">
        <v>0.109433446311565</v>
      </c>
      <c r="R956" s="5">
        <v>0.149287586464955</v>
      </c>
      <c r="S956" s="5">
        <v>0.257854535661282</v>
      </c>
      <c r="T956" s="5">
        <v>0.574014638117033</v>
      </c>
    </row>
    <row r="957" spans="1:20">
      <c r="A957" t="s">
        <v>1623</v>
      </c>
      <c r="P957" s="5">
        <v>0.0783260041080423</v>
      </c>
      <c r="Q957" s="5">
        <v>0.0708098770251303</v>
      </c>
      <c r="R957" s="5">
        <v>0.140505963731722</v>
      </c>
      <c r="S957" s="5">
        <v>0.272179787642465</v>
      </c>
      <c r="T957" s="5">
        <v>0.56182163250736</v>
      </c>
    </row>
    <row r="958" spans="1:20">
      <c r="A958" t="s">
        <v>1624</v>
      </c>
      <c r="B958" s="5">
        <v>0.274073672099355</v>
      </c>
      <c r="C958" s="5">
        <v>0.168208510731636</v>
      </c>
      <c r="D958" s="5">
        <v>0.0595452026737582</v>
      </c>
      <c r="E958" s="5">
        <v>0.0575965976537834</v>
      </c>
      <c r="T958" s="5">
        <v>0.559423983158533</v>
      </c>
    </row>
    <row r="959" spans="1:20">
      <c r="A959" t="s">
        <v>1625</v>
      </c>
      <c r="K959" s="5">
        <v>0.0594039978616389</v>
      </c>
      <c r="L959" s="5">
        <v>0.0504616993179092</v>
      </c>
      <c r="M959" s="5">
        <v>0.0628724862310464</v>
      </c>
      <c r="N959" s="5">
        <v>0.0873521086337999</v>
      </c>
      <c r="O959" s="5">
        <v>0.117657279780634</v>
      </c>
      <c r="P959" s="5">
        <v>0.057439069679231</v>
      </c>
      <c r="Q959" s="5"/>
      <c r="R959" s="5">
        <v>0.122942718265257</v>
      </c>
      <c r="S959" s="5"/>
      <c r="T959" s="5">
        <v>0.558129359769516</v>
      </c>
    </row>
    <row r="960" spans="1:20">
      <c r="A960" t="s">
        <v>1626</v>
      </c>
      <c r="P960" s="5">
        <v>0.0783260041080423</v>
      </c>
      <c r="Q960" s="5">
        <v>0.160931538693478</v>
      </c>
      <c r="R960" s="5">
        <v>0.13172434099849</v>
      </c>
      <c r="S960" s="5">
        <v>0.186228275755371</v>
      </c>
      <c r="T960" s="5">
        <v>0.557210159555381</v>
      </c>
    </row>
    <row r="961" spans="1:20">
      <c r="A961" t="s">
        <v>1627</v>
      </c>
      <c r="P961" s="5">
        <v>0.0678825368936366</v>
      </c>
      <c r="Q961" s="5"/>
      <c r="R961" s="5">
        <v>0.0878162273323266</v>
      </c>
      <c r="S961" s="5">
        <v>0.401107055473106</v>
      </c>
      <c r="T961" s="5">
        <v>0.556805819699069</v>
      </c>
    </row>
    <row r="962" spans="1:20">
      <c r="A962" t="s">
        <v>1628</v>
      </c>
      <c r="O962" s="5">
        <v>0.0564754942947044</v>
      </c>
      <c r="P962" s="5"/>
      <c r="Q962" s="5">
        <v>0.0708098770251303</v>
      </c>
      <c r="R962" s="5">
        <v>0.114161095532025</v>
      </c>
      <c r="S962" s="5">
        <v>0.315155543586012</v>
      </c>
      <c r="T962" s="5">
        <v>0.556602010437872</v>
      </c>
    </row>
    <row r="963" spans="1:20">
      <c r="A963" t="s">
        <v>1629</v>
      </c>
      <c r="B963" s="5">
        <v>0.465925242568904</v>
      </c>
      <c r="R963" s="5">
        <v>0.0878162273323266</v>
      </c>
      <c r="S963" s="5"/>
      <c r="T963" s="5">
        <v>0.553741469901231</v>
      </c>
    </row>
    <row r="964" spans="1:20">
      <c r="A964" t="s">
        <v>1630</v>
      </c>
      <c r="O964" s="5">
        <v>0.0705943678683805</v>
      </c>
      <c r="P964" s="5">
        <v>0.057439069679231</v>
      </c>
      <c r="Q964" s="5">
        <v>0.0708098770251303</v>
      </c>
      <c r="R964" s="5">
        <v>0.210758945597584</v>
      </c>
      <c r="S964" s="5">
        <v>0.143252519811824</v>
      </c>
      <c r="T964" s="5">
        <v>0.55285477998215</v>
      </c>
    </row>
    <row r="965" spans="1:20">
      <c r="A965" t="s">
        <v>1631</v>
      </c>
      <c r="Q965" s="5">
        <v>0.115870707859304</v>
      </c>
      <c r="R965" s="5">
        <v>0.149287586464955</v>
      </c>
      <c r="S965" s="5">
        <v>0.286505039623647</v>
      </c>
      <c r="T965" s="5">
        <v>0.551663333947906</v>
      </c>
    </row>
    <row r="966" spans="1:20">
      <c r="A966" t="s">
        <v>1632</v>
      </c>
      <c r="B966" s="5"/>
      <c r="O966" s="5">
        <v>0.0470629119122537</v>
      </c>
      <c r="P966" s="5">
        <v>0.057439069679231</v>
      </c>
      <c r="Q966" s="5">
        <v>0.0836844001206085</v>
      </c>
      <c r="R966" s="5">
        <v>0.13172434099849</v>
      </c>
      <c r="S966" s="5">
        <v>0.229204031698918</v>
      </c>
      <c r="T966" s="5">
        <v>0.549114754409501</v>
      </c>
    </row>
    <row r="967" spans="1:20">
      <c r="A967" t="s">
        <v>1633</v>
      </c>
      <c r="B967" s="5"/>
      <c r="P967" s="5">
        <v>0.0783260041080423</v>
      </c>
      <c r="R967" s="5">
        <v>0.140505963731722</v>
      </c>
      <c r="S967" s="5">
        <v>0.329480795567194</v>
      </c>
      <c r="T967" s="5">
        <v>0.548312763406958</v>
      </c>
    </row>
    <row r="968" spans="1:20">
      <c r="A968" t="s">
        <v>1634</v>
      </c>
      <c r="B968" s="5"/>
      <c r="Q968" s="5">
        <v>0.0772471385728694</v>
      </c>
      <c r="R968" s="5">
        <v>0.184414077397886</v>
      </c>
      <c r="S968" s="5">
        <v>0.286505039623647</v>
      </c>
      <c r="T968" s="5">
        <v>0.548166255594402</v>
      </c>
    </row>
    <row r="969" spans="1:20">
      <c r="A969" t="s">
        <v>1635</v>
      </c>
      <c r="B969" s="5">
        <v>0.54814734419871</v>
      </c>
      <c r="T969" s="5">
        <v>0.54814734419871</v>
      </c>
    </row>
    <row r="970" spans="1:20">
      <c r="A970" t="s">
        <v>1636</v>
      </c>
      <c r="B970" s="5">
        <v>0.54814734419871</v>
      </c>
      <c r="T970" s="5">
        <v>0.54814734419871</v>
      </c>
    </row>
    <row r="971" spans="1:20">
      <c r="A971" t="s">
        <v>1637</v>
      </c>
      <c r="N971" s="5">
        <v>0.0582347390892</v>
      </c>
      <c r="O971" s="5">
        <v>0.0658880766771551</v>
      </c>
      <c r="P971" s="5">
        <v>0.140986807394476</v>
      </c>
      <c r="Q971" s="5">
        <v>0.128745230954782</v>
      </c>
      <c r="R971" s="5">
        <v>0.149287586464955</v>
      </c>
      <c r="S971" s="5"/>
      <c r="T971" s="5">
        <v>0.543142440580568</v>
      </c>
    </row>
    <row r="972" spans="1:20">
      <c r="A972" t="s">
        <v>1638</v>
      </c>
      <c r="M972" s="5">
        <v>0.0628724862310464</v>
      </c>
      <c r="O972" s="5">
        <v>0.0658880766771551</v>
      </c>
      <c r="P972" s="5">
        <v>0.057439069679231</v>
      </c>
      <c r="Q972" s="5">
        <v>0.0708098770251303</v>
      </c>
      <c r="R972" s="5">
        <v>0.114161095532025</v>
      </c>
      <c r="S972" s="5">
        <v>0.171903023774188</v>
      </c>
      <c r="T972" s="5">
        <v>0.543073628918776</v>
      </c>
    </row>
    <row r="973" spans="1:20">
      <c r="A973" t="s">
        <v>1639</v>
      </c>
      <c r="Q973" s="5">
        <v>0.109433446311565</v>
      </c>
      <c r="R973" s="5">
        <v>0.140505963731722</v>
      </c>
      <c r="S973" s="5">
        <v>0.286505039623647</v>
      </c>
      <c r="T973" s="5">
        <v>0.536444449666934</v>
      </c>
    </row>
    <row r="974" spans="1:20">
      <c r="A974" t="s">
        <v>1640</v>
      </c>
      <c r="R974" s="5">
        <v>0.149287586464955</v>
      </c>
      <c r="S974" s="5">
        <v>0.386781803491923</v>
      </c>
      <c r="T974" s="5">
        <v>0.536069389956878</v>
      </c>
    </row>
    <row r="975" spans="1:20">
      <c r="A975" t="s">
        <v>1641</v>
      </c>
      <c r="J975" s="5">
        <v>0.0755332514256679</v>
      </c>
      <c r="K975" s="5">
        <v>0.063973536158688</v>
      </c>
      <c r="L975" s="5">
        <v>0.0504616993179092</v>
      </c>
      <c r="M975" s="5">
        <v>0.0870542117045258</v>
      </c>
      <c r="N975" s="5">
        <v>0.1261752680266</v>
      </c>
      <c r="O975" s="5">
        <v>0.13177615335431</v>
      </c>
      <c r="P975" s="5"/>
      <c r="Q975" s="5"/>
      <c r="R975" s="5"/>
      <c r="S975" s="5"/>
      <c r="T975" s="5">
        <v>0.534974119987701</v>
      </c>
    </row>
    <row r="976" spans="1:20">
      <c r="A976" t="s">
        <v>1642</v>
      </c>
      <c r="P976" s="5">
        <v>0.0887694713224479</v>
      </c>
      <c r="Q976" s="5">
        <v>0.135182492502521</v>
      </c>
      <c r="R976" s="5">
        <v>0.122942718265257</v>
      </c>
      <c r="S976" s="5">
        <v>0.186228275755371</v>
      </c>
      <c r="T976" s="5">
        <v>0.533122957845597</v>
      </c>
    </row>
    <row r="977" spans="1:20">
      <c r="A977" t="s">
        <v>1643</v>
      </c>
      <c r="O977" s="5">
        <v>0.0470629119122537</v>
      </c>
      <c r="P977" s="5"/>
      <c r="Q977" s="5">
        <v>0.115870707859304</v>
      </c>
      <c r="R977" s="5">
        <v>0.140505963731722</v>
      </c>
      <c r="S977" s="5">
        <v>0.229204031698918</v>
      </c>
      <c r="T977" s="5">
        <v>0.532643615202198</v>
      </c>
    </row>
    <row r="978" spans="1:20">
      <c r="A978" t="s">
        <v>1644</v>
      </c>
      <c r="P978" s="5">
        <v>0.0992129385368535</v>
      </c>
      <c r="Q978" s="5">
        <v>0.102996184763826</v>
      </c>
      <c r="R978" s="5">
        <v>0.158069209198188</v>
      </c>
      <c r="S978" s="5">
        <v>0.171903023774188</v>
      </c>
      <c r="T978" s="5">
        <v>0.532181356273056</v>
      </c>
    </row>
    <row r="979" spans="1:20">
      <c r="A979" t="s">
        <v>1645</v>
      </c>
      <c r="N979" s="5">
        <v>0.0533818441651</v>
      </c>
      <c r="O979" s="5"/>
      <c r="P979" s="5"/>
      <c r="Q979" s="5">
        <v>0.0643726154773912</v>
      </c>
      <c r="R979" s="5">
        <v>0.184414077397886</v>
      </c>
      <c r="S979" s="5">
        <v>0.229204031698918</v>
      </c>
      <c r="T979" s="5">
        <v>0.531372568739295</v>
      </c>
    </row>
    <row r="980" spans="1:20">
      <c r="A980" t="s">
        <v>1646</v>
      </c>
      <c r="Q980" s="5">
        <v>0.115870707859304</v>
      </c>
      <c r="R980" s="5">
        <v>0.0965978500655592</v>
      </c>
      <c r="S980" s="5">
        <v>0.315155543586012</v>
      </c>
      <c r="T980" s="5">
        <v>0.527624101510875</v>
      </c>
    </row>
    <row r="981" spans="1:20">
      <c r="A981" t="s">
        <v>1647</v>
      </c>
      <c r="P981" s="5">
        <v>0.0678825368936366</v>
      </c>
      <c r="Q981" s="5">
        <v>0.102996184763826</v>
      </c>
      <c r="R981" s="5">
        <v>0.184414077397886</v>
      </c>
      <c r="S981" s="5">
        <v>0.171903023774188</v>
      </c>
      <c r="T981" s="5">
        <v>0.527195822829537</v>
      </c>
    </row>
    <row r="982" spans="1:20">
      <c r="A982" t="s">
        <v>1648</v>
      </c>
      <c r="P982" s="5">
        <v>0.057439069679231</v>
      </c>
      <c r="Q982" s="5">
        <v>0.0901216616683477</v>
      </c>
      <c r="R982" s="5">
        <v>0.193195700131118</v>
      </c>
      <c r="S982" s="5">
        <v>0.186228275755371</v>
      </c>
      <c r="T982" s="5">
        <v>0.526984707234068</v>
      </c>
    </row>
    <row r="983" spans="1:20">
      <c r="A983" t="s">
        <v>1649</v>
      </c>
      <c r="R983" s="5">
        <v>0.210758945597584</v>
      </c>
      <c r="S983" s="5">
        <v>0.315155543586012</v>
      </c>
      <c r="T983" s="5">
        <v>0.525914489183596</v>
      </c>
    </row>
    <row r="984" spans="1:20">
      <c r="A984" t="s">
        <v>1650</v>
      </c>
      <c r="O984" s="5">
        <v>0.051769203103479</v>
      </c>
      <c r="P984" s="5">
        <v>0.0678825368936366</v>
      </c>
      <c r="Q984" s="5">
        <v>0.109433446311565</v>
      </c>
      <c r="R984" s="5">
        <v>0.105379472798792</v>
      </c>
      <c r="S984" s="5">
        <v>0.186228275755371</v>
      </c>
      <c r="T984" s="5">
        <v>0.520692934862844</v>
      </c>
    </row>
    <row r="985" spans="1:20">
      <c r="A985" t="s">
        <v>1651</v>
      </c>
      <c r="P985" s="5">
        <v>0.057439069679231</v>
      </c>
      <c r="Q985" s="5">
        <v>0.0836844001206085</v>
      </c>
      <c r="R985" s="5">
        <v>0.105379472798792</v>
      </c>
      <c r="S985" s="5">
        <v>0.272179787642465</v>
      </c>
      <c r="T985" s="5">
        <v>0.518682730241096</v>
      </c>
    </row>
    <row r="986" spans="1:20">
      <c r="A986" t="s">
        <v>1652</v>
      </c>
      <c r="B986" s="5"/>
      <c r="N986" s="5">
        <v>0.0582347390892</v>
      </c>
      <c r="P986" s="5">
        <v>0.104434672144056</v>
      </c>
      <c r="Q986" s="5">
        <v>0.115870707859304</v>
      </c>
      <c r="R986" s="5">
        <v>0.0965978500655592</v>
      </c>
      <c r="S986" s="5">
        <v>0.143252519811824</v>
      </c>
      <c r="T986" s="5">
        <v>0.518390488969943</v>
      </c>
    </row>
    <row r="987" spans="1:20">
      <c r="A987" t="s">
        <v>1653</v>
      </c>
      <c r="B987" s="5"/>
      <c r="Q987" s="5">
        <v>0.0772471385728694</v>
      </c>
      <c r="R987" s="5">
        <v>0.13172434099849</v>
      </c>
      <c r="S987" s="5">
        <v>0.300830291604829</v>
      </c>
      <c r="T987" s="5">
        <v>0.509801771176188</v>
      </c>
    </row>
    <row r="988" spans="1:20">
      <c r="A988" t="s">
        <v>1654</v>
      </c>
      <c r="O988" s="5">
        <v>0.0847132414420566</v>
      </c>
      <c r="P988" s="5">
        <v>0.0626608032864338</v>
      </c>
      <c r="Q988" s="5">
        <v>0.0836844001206085</v>
      </c>
      <c r="R988" s="5">
        <v>0.13172434099849</v>
      </c>
      <c r="S988" s="5">
        <v>0.143252519811824</v>
      </c>
      <c r="T988" s="5">
        <v>0.506035305659413</v>
      </c>
    </row>
    <row r="989" spans="1:20">
      <c r="A989" t="s">
        <v>1655</v>
      </c>
      <c r="Q989" s="5">
        <v>0.0772471385728694</v>
      </c>
      <c r="R989" s="5">
        <v>0.0965978500655592</v>
      </c>
      <c r="S989" s="5">
        <v>0.329480795567194</v>
      </c>
      <c r="T989" s="5">
        <v>0.503325784205623</v>
      </c>
    </row>
    <row r="990" spans="1:20">
      <c r="A990" t="s">
        <v>1656</v>
      </c>
      <c r="Q990" s="5">
        <v>0.0836844001206085</v>
      </c>
      <c r="R990" s="5">
        <v>0.158069209198188</v>
      </c>
      <c r="S990" s="5">
        <v>0.257854535661282</v>
      </c>
      <c r="T990" s="5">
        <v>0.499608144980079</v>
      </c>
    </row>
    <row r="991" spans="1:20">
      <c r="A991" t="s">
        <v>1657</v>
      </c>
      <c r="P991" s="5">
        <v>0.0522173360720282</v>
      </c>
      <c r="Q991" s="5">
        <v>0.102996184763826</v>
      </c>
      <c r="R991" s="5">
        <v>0.158069209198188</v>
      </c>
      <c r="S991" s="5">
        <v>0.186228275755371</v>
      </c>
      <c r="T991" s="5">
        <v>0.499511005789413</v>
      </c>
    </row>
    <row r="992" spans="1:20">
      <c r="A992" t="s">
        <v>1658</v>
      </c>
      <c r="Q992" s="5">
        <v>0.0965589232160868</v>
      </c>
      <c r="R992" s="5">
        <v>0.140505963731722</v>
      </c>
      <c r="S992" s="5">
        <v>0.257854535661282</v>
      </c>
      <c r="T992" s="5">
        <v>0.494919422609091</v>
      </c>
    </row>
    <row r="993" spans="1:20">
      <c r="A993" t="s">
        <v>1659</v>
      </c>
      <c r="B993" s="5">
        <v>0.493332609778839</v>
      </c>
      <c r="T993" s="5">
        <v>0.493332609778839</v>
      </c>
    </row>
    <row r="994" spans="1:20">
      <c r="A994" t="s">
        <v>1660</v>
      </c>
      <c r="B994" s="5">
        <v>0.493332609778839</v>
      </c>
      <c r="T994" s="5">
        <v>0.493332609778839</v>
      </c>
    </row>
    <row r="995" spans="1:20">
      <c r="A995" t="s">
        <v>1661</v>
      </c>
      <c r="B995" s="5">
        <v>0.493332609778839</v>
      </c>
      <c r="T995" s="5">
        <v>0.493332609778839</v>
      </c>
    </row>
    <row r="996" spans="1:20">
      <c r="A996" t="s">
        <v>1662</v>
      </c>
      <c r="B996" s="5">
        <v>0.493332609778839</v>
      </c>
      <c r="T996" s="5">
        <v>0.493332609778839</v>
      </c>
    </row>
    <row r="997" spans="1:20">
      <c r="A997" t="s">
        <v>1663</v>
      </c>
      <c r="B997" s="5">
        <v>0.493332609778839</v>
      </c>
      <c r="T997" s="5">
        <v>0.493332609778839</v>
      </c>
    </row>
    <row r="998" spans="1:20">
      <c r="A998" t="s">
        <v>1664</v>
      </c>
      <c r="B998" s="5"/>
      <c r="O998" s="5">
        <v>0.0564754942947044</v>
      </c>
      <c r="P998" s="5">
        <v>0.0522173360720282</v>
      </c>
      <c r="Q998" s="5">
        <v>0.0772471385728694</v>
      </c>
      <c r="R998" s="5">
        <v>0.105379472798792</v>
      </c>
      <c r="S998" s="5">
        <v>0.200553527736553</v>
      </c>
      <c r="T998" s="5">
        <v>0.491872969474947</v>
      </c>
    </row>
    <row r="999" spans="1:20">
      <c r="A999" t="s">
        <v>1665</v>
      </c>
      <c r="P999" s="5">
        <v>0.0835477377152451</v>
      </c>
      <c r="Q999" s="5">
        <v>0.0836844001206085</v>
      </c>
      <c r="R999" s="5">
        <v>0.16685083193142</v>
      </c>
      <c r="S999" s="5">
        <v>0.157577771793006</v>
      </c>
      <c r="T999" s="5">
        <v>0.49166074156028</v>
      </c>
    </row>
    <row r="1000" spans="1:20">
      <c r="A1000" t="s">
        <v>1666</v>
      </c>
      <c r="Q1000" s="5">
        <v>0.0901216616683477</v>
      </c>
      <c r="R1000" s="5">
        <v>0.114161095532025</v>
      </c>
      <c r="S1000" s="5">
        <v>0.286505039623647</v>
      </c>
      <c r="T1000" s="5">
        <v>0.49078779682402</v>
      </c>
    </row>
    <row r="1001" spans="1:20">
      <c r="A1001" t="s">
        <v>1667</v>
      </c>
      <c r="N1001" s="5">
        <v>0.048528949241</v>
      </c>
      <c r="O1001" s="5"/>
      <c r="P1001" s="5">
        <v>0.0626608032864338</v>
      </c>
      <c r="Q1001" s="5">
        <v>0.0901216616683477</v>
      </c>
      <c r="R1001" s="5">
        <v>0.114161095532025</v>
      </c>
      <c r="S1001" s="5">
        <v>0.171903023774188</v>
      </c>
      <c r="T1001" s="5">
        <v>0.487375533501995</v>
      </c>
    </row>
    <row r="1002" spans="1:20">
      <c r="A1002" t="s">
        <v>1668</v>
      </c>
      <c r="P1002" s="5">
        <v>0.0522173360720282</v>
      </c>
      <c r="Q1002" s="5">
        <v>0.0901216616683477</v>
      </c>
      <c r="R1002" s="5">
        <v>0.114161095532025</v>
      </c>
      <c r="S1002" s="5">
        <v>0.229204031698918</v>
      </c>
      <c r="T1002" s="5">
        <v>0.485704124971319</v>
      </c>
    </row>
    <row r="1003" spans="1:20">
      <c r="A1003" t="s">
        <v>1669</v>
      </c>
      <c r="N1003" s="5">
        <v>0.0582347390892</v>
      </c>
      <c r="O1003" s="5">
        <v>0.0753006590596058</v>
      </c>
      <c r="P1003" s="5">
        <v>0.104434672144056</v>
      </c>
      <c r="Q1003" s="5">
        <v>0.0901216616683477</v>
      </c>
      <c r="R1003" s="5"/>
      <c r="S1003" s="5">
        <v>0.157577771793006</v>
      </c>
      <c r="T1003" s="5">
        <v>0.485669503754216</v>
      </c>
    </row>
    <row r="1004" spans="1:20">
      <c r="A1004" t="s">
        <v>1670</v>
      </c>
      <c r="P1004" s="5">
        <v>0.0626608032864338</v>
      </c>
      <c r="Q1004" s="5">
        <v>0.0836844001206085</v>
      </c>
      <c r="R1004" s="5">
        <v>0.16685083193142</v>
      </c>
      <c r="S1004" s="5">
        <v>0.171903023774188</v>
      </c>
      <c r="T1004" s="5">
        <v>0.48509905911265</v>
      </c>
    </row>
    <row r="1005" spans="1:20">
      <c r="A1005" t="s">
        <v>1671</v>
      </c>
      <c r="B1005" s="5"/>
      <c r="P1005" s="5">
        <v>0.0678825368936366</v>
      </c>
      <c r="Q1005" s="5">
        <v>0.0643726154773912</v>
      </c>
      <c r="R1005" s="5">
        <v>0.105379472798792</v>
      </c>
      <c r="S1005" s="5">
        <v>0.2435292836801</v>
      </c>
      <c r="T1005" s="5">
        <v>0.48116390884992</v>
      </c>
    </row>
    <row r="1006" spans="1:20">
      <c r="A1006" t="s">
        <v>1672</v>
      </c>
      <c r="B1006" s="5"/>
      <c r="Q1006" s="5">
        <v>0.102996184763826</v>
      </c>
      <c r="R1006" s="5">
        <v>0.105379472798792</v>
      </c>
      <c r="S1006" s="5">
        <v>0.272179787642465</v>
      </c>
      <c r="T1006" s="5">
        <v>0.480555445205083</v>
      </c>
    </row>
    <row r="1007" spans="1:20">
      <c r="A1007" t="s">
        <v>1673</v>
      </c>
      <c r="B1007" s="5"/>
      <c r="Q1007" s="5">
        <v>0.115870707859304</v>
      </c>
      <c r="R1007" s="5">
        <v>0.105379472798792</v>
      </c>
      <c r="S1007" s="5">
        <v>0.257854535661282</v>
      </c>
      <c r="T1007" s="5">
        <v>0.479104716319378</v>
      </c>
    </row>
    <row r="1008" spans="1:20">
      <c r="A1008" t="s">
        <v>1674</v>
      </c>
      <c r="B1008" s="5"/>
      <c r="O1008" s="5">
        <v>0.0658880766771551</v>
      </c>
      <c r="P1008" s="5">
        <v>0.0835477377152451</v>
      </c>
      <c r="Q1008" s="5">
        <v>0.0836844001206085</v>
      </c>
      <c r="S1008" s="5">
        <v>0.2435292836801</v>
      </c>
      <c r="T1008" s="5">
        <v>0.476649498193109</v>
      </c>
    </row>
    <row r="1009" spans="1:20">
      <c r="A1009" t="s">
        <v>1675</v>
      </c>
      <c r="B1009" s="5"/>
      <c r="P1009" s="5">
        <v>0.0835477377152451</v>
      </c>
      <c r="Q1009" s="5">
        <v>0.0965589232160868</v>
      </c>
      <c r="R1009" s="5">
        <v>0.13172434099849</v>
      </c>
      <c r="S1009" s="5">
        <v>0.157577771793006</v>
      </c>
      <c r="T1009" s="5">
        <v>0.469408773722828</v>
      </c>
    </row>
    <row r="1010" spans="1:20">
      <c r="A1010" t="s">
        <v>1676</v>
      </c>
      <c r="B1010" s="5">
        <v>0.465925242568904</v>
      </c>
      <c r="T1010" s="5">
        <v>0.465925242568904</v>
      </c>
    </row>
    <row r="1011" spans="1:20">
      <c r="A1011" t="s">
        <v>1677</v>
      </c>
      <c r="B1011" s="5">
        <v>0.465925242568904</v>
      </c>
      <c r="T1011" s="5">
        <v>0.465925242568904</v>
      </c>
    </row>
    <row r="1012" spans="1:20">
      <c r="A1012" t="s">
        <v>1678</v>
      </c>
      <c r="O1012" s="5">
        <v>0.0470629119122537</v>
      </c>
      <c r="P1012" s="5">
        <v>0.0731042705008395</v>
      </c>
      <c r="Q1012" s="5"/>
      <c r="R1012" s="5">
        <v>0.114161095532025</v>
      </c>
      <c r="S1012" s="5">
        <v>0.229204031698918</v>
      </c>
      <c r="T1012" s="5">
        <v>0.463532309644036</v>
      </c>
    </row>
    <row r="1013" spans="1:20">
      <c r="A1013" t="s">
        <v>1679</v>
      </c>
      <c r="P1013" s="5">
        <v>0.0783260041080423</v>
      </c>
      <c r="Q1013" s="5">
        <v>0.0772471385728694</v>
      </c>
      <c r="R1013" s="5">
        <v>0.105379472798792</v>
      </c>
      <c r="S1013" s="5">
        <v>0.200553527736553</v>
      </c>
      <c r="T1013" s="5">
        <v>0.461506143216257</v>
      </c>
    </row>
    <row r="1014" spans="1:20">
      <c r="A1014" t="s">
        <v>1680</v>
      </c>
      <c r="Q1014" s="5">
        <v>0.128745230954782</v>
      </c>
      <c r="R1014" s="5">
        <v>0.0878162273323266</v>
      </c>
      <c r="S1014" s="5">
        <v>0.2435292836801</v>
      </c>
      <c r="T1014" s="5">
        <v>0.460090741967209</v>
      </c>
    </row>
    <row r="1015" spans="1:20">
      <c r="A1015" t="s">
        <v>1681</v>
      </c>
      <c r="Q1015" s="5">
        <v>0.0643726154773912</v>
      </c>
      <c r="R1015" s="5">
        <v>0.193195700131118</v>
      </c>
      <c r="S1015" s="5">
        <v>0.200553527736553</v>
      </c>
      <c r="T1015" s="5">
        <v>0.458121843345062</v>
      </c>
    </row>
    <row r="1016" spans="1:20">
      <c r="A1016" t="s">
        <v>1682</v>
      </c>
      <c r="P1016" s="5">
        <v>0.0522173360720282</v>
      </c>
      <c r="Q1016" s="5">
        <v>0.148057015598</v>
      </c>
      <c r="R1016" s="5">
        <v>0.114161095532025</v>
      </c>
      <c r="S1016" s="5">
        <v>0.143252519811824</v>
      </c>
      <c r="T1016" s="5">
        <v>0.457687967013877</v>
      </c>
    </row>
    <row r="1017" spans="1:20">
      <c r="A1017" t="s">
        <v>1683</v>
      </c>
      <c r="N1017" s="5">
        <v>0.0727934238614999</v>
      </c>
      <c r="P1017" s="5">
        <v>0.120099872965665</v>
      </c>
      <c r="Q1017" s="5">
        <v>0.141619754050261</v>
      </c>
      <c r="R1017" s="5">
        <v>0.122942718265257</v>
      </c>
      <c r="S1017" s="5"/>
      <c r="T1017" s="5">
        <v>0.457455769142683</v>
      </c>
    </row>
    <row r="1018" spans="1:20">
      <c r="A1018" t="s">
        <v>1684</v>
      </c>
      <c r="N1018" s="5">
        <v>0.048528949241</v>
      </c>
      <c r="O1018" s="5">
        <v>0.0658880766771551</v>
      </c>
      <c r="Q1018" s="5">
        <v>0.173806061788956</v>
      </c>
      <c r="R1018" s="5">
        <v>0.16685083193142</v>
      </c>
      <c r="T1018" s="5">
        <v>0.455073919638531</v>
      </c>
    </row>
    <row r="1019" spans="1:20">
      <c r="A1019" t="s">
        <v>1685</v>
      </c>
      <c r="N1019" s="5">
        <v>0.0533818441651</v>
      </c>
      <c r="O1019" s="5">
        <v>0.0470629119122537</v>
      </c>
      <c r="P1019" s="5">
        <v>0.0522173360720282</v>
      </c>
      <c r="R1019" s="5">
        <v>0.114161095532025</v>
      </c>
      <c r="S1019" s="5">
        <v>0.186228275755371</v>
      </c>
      <c r="T1019" s="5">
        <v>0.453051463436778</v>
      </c>
    </row>
    <row r="1020" spans="1:20">
      <c r="A1020" t="s">
        <v>1686</v>
      </c>
      <c r="K1020" s="5">
        <v>0.0548344595645897</v>
      </c>
      <c r="M1020" s="5">
        <v>0.101563246988613</v>
      </c>
      <c r="N1020" s="5">
        <v>0.0873521086337999</v>
      </c>
      <c r="O1020" s="5">
        <v>0.103538406206958</v>
      </c>
      <c r="P1020" s="5">
        <v>0.104434672144056</v>
      </c>
      <c r="T1020" s="5">
        <v>0.451722893538017</v>
      </c>
    </row>
    <row r="1021" spans="1:20">
      <c r="A1021" t="s">
        <v>1687</v>
      </c>
      <c r="B1021" s="5">
        <v>0.383703140939097</v>
      </c>
      <c r="P1021" s="5">
        <v>0.0678825368936366</v>
      </c>
      <c r="Q1021" s="5"/>
      <c r="R1021" s="5"/>
      <c r="S1021" s="5"/>
      <c r="T1021" s="5">
        <v>0.451585677832734</v>
      </c>
    </row>
    <row r="1022" spans="1:20">
      <c r="A1022" t="s">
        <v>1688</v>
      </c>
      <c r="P1022" s="5">
        <v>0.0522173360720282</v>
      </c>
      <c r="Q1022" s="5">
        <v>0.0643726154773912</v>
      </c>
      <c r="R1022" s="5">
        <v>0.13172434099849</v>
      </c>
      <c r="S1022" s="5">
        <v>0.200553527736553</v>
      </c>
      <c r="T1022" s="5">
        <v>0.448867820284462</v>
      </c>
    </row>
    <row r="1023" spans="1:20">
      <c r="A1023" t="s">
        <v>1689</v>
      </c>
      <c r="P1023" s="5">
        <v>0.057439069679231</v>
      </c>
      <c r="Q1023" s="5">
        <v>0.102996184763826</v>
      </c>
      <c r="R1023" s="5"/>
      <c r="S1023" s="5">
        <v>0.286505039623647</v>
      </c>
      <c r="T1023" s="5">
        <v>0.446940294066704</v>
      </c>
    </row>
    <row r="1024" spans="1:20">
      <c r="A1024" t="s">
        <v>1690</v>
      </c>
      <c r="G1024" s="5">
        <v>0.10086573981444</v>
      </c>
      <c r="J1024" s="5">
        <v>0.0666469865520599</v>
      </c>
      <c r="K1024" s="5">
        <v>0.0456953829704914</v>
      </c>
      <c r="N1024" s="5">
        <v>0.0679405289373999</v>
      </c>
      <c r="O1024" s="5">
        <v>0.0847132414420566</v>
      </c>
      <c r="P1024" s="5">
        <v>0.0783260041080423</v>
      </c>
      <c r="Q1024" s="5"/>
      <c r="R1024" s="5"/>
      <c r="S1024" s="5"/>
      <c r="T1024" s="5">
        <v>0.44418788382449</v>
      </c>
    </row>
    <row r="1025" spans="1:20">
      <c r="A1025" t="s">
        <v>1691</v>
      </c>
      <c r="B1025" s="5"/>
      <c r="P1025" s="5">
        <v>0.0522173360720282</v>
      </c>
      <c r="Q1025" s="5">
        <v>0.0643726154773912</v>
      </c>
      <c r="R1025" s="5">
        <v>0.0965978500655592</v>
      </c>
      <c r="S1025" s="5">
        <v>0.229204031698918</v>
      </c>
      <c r="T1025" s="5">
        <v>0.442391833313897</v>
      </c>
    </row>
    <row r="1026" spans="1:20">
      <c r="A1026" t="s">
        <v>1692</v>
      </c>
      <c r="B1026" s="5"/>
      <c r="P1026" s="5">
        <v>0.0522173360720282</v>
      </c>
      <c r="Q1026" s="5">
        <v>0.109433446311565</v>
      </c>
      <c r="R1026" s="5">
        <v>0.122942718265257</v>
      </c>
      <c r="S1026" s="5">
        <v>0.157577771793006</v>
      </c>
      <c r="T1026" s="5">
        <v>0.442171272441856</v>
      </c>
    </row>
    <row r="1027" spans="1:20">
      <c r="A1027" t="s">
        <v>1693</v>
      </c>
      <c r="Q1027" s="5">
        <v>0.0901216616683477</v>
      </c>
      <c r="R1027" s="5">
        <v>0.149287586464955</v>
      </c>
      <c r="S1027" s="5">
        <v>0.200553527736553</v>
      </c>
      <c r="T1027" s="5">
        <v>0.439962775869856</v>
      </c>
    </row>
    <row r="1028" spans="1:20">
      <c r="A1028" t="s">
        <v>1694</v>
      </c>
      <c r="B1028" s="5">
        <v>0.438517875358968</v>
      </c>
      <c r="T1028" s="5">
        <v>0.438517875358968</v>
      </c>
    </row>
    <row r="1029" spans="1:20">
      <c r="A1029" t="s">
        <v>1695</v>
      </c>
      <c r="B1029" s="5">
        <v>0.438517875358968</v>
      </c>
      <c r="T1029" s="5">
        <v>0.438517875358968</v>
      </c>
    </row>
    <row r="1030" spans="1:20">
      <c r="A1030" t="s">
        <v>1696</v>
      </c>
      <c r="B1030" s="5">
        <v>0.438517875358968</v>
      </c>
      <c r="T1030" s="5">
        <v>0.438517875358968</v>
      </c>
    </row>
    <row r="1031" spans="1:20">
      <c r="A1031" t="s">
        <v>1697</v>
      </c>
      <c r="B1031" s="5">
        <v>0.438517875358968</v>
      </c>
      <c r="T1031" s="5">
        <v>0.438517875358968</v>
      </c>
    </row>
    <row r="1032" spans="1:20">
      <c r="A1032" t="s">
        <v>1698</v>
      </c>
      <c r="B1032" s="5">
        <v>0.438517875358968</v>
      </c>
      <c r="T1032" s="5">
        <v>0.438517875358968</v>
      </c>
    </row>
    <row r="1033" spans="1:20">
      <c r="A1033" t="s">
        <v>1699</v>
      </c>
      <c r="B1033" s="5">
        <v>0.438517875358968</v>
      </c>
      <c r="T1033" s="5">
        <v>0.438517875358968</v>
      </c>
    </row>
    <row r="1034" spans="1:20">
      <c r="A1034" t="s">
        <v>1700</v>
      </c>
      <c r="M1034" s="5">
        <v>0.0483634509469588</v>
      </c>
      <c r="N1034" s="5">
        <v>0.048528949241</v>
      </c>
      <c r="Q1034" s="5">
        <v>0.0836844001206085</v>
      </c>
      <c r="R1034" s="5">
        <v>0.114161095532025</v>
      </c>
      <c r="S1034" s="5">
        <v>0.143252519811824</v>
      </c>
      <c r="T1034" s="5">
        <v>0.437990415652416</v>
      </c>
    </row>
    <row r="1035" spans="1:20">
      <c r="A1035" t="s">
        <v>1701</v>
      </c>
      <c r="G1035" s="5">
        <v>0.0687720953280273</v>
      </c>
      <c r="J1035" s="5">
        <v>0.0488744568048439</v>
      </c>
      <c r="M1035" s="5">
        <v>0.0531997960416547</v>
      </c>
      <c r="O1035" s="5">
        <v>0.0800069502508312</v>
      </c>
      <c r="P1035" s="5">
        <v>0.0887694713224479</v>
      </c>
      <c r="Q1035" s="5">
        <v>0.0965589232160868</v>
      </c>
      <c r="R1035" s="5"/>
      <c r="S1035" s="5"/>
      <c r="T1035" s="5">
        <v>0.436181692963892</v>
      </c>
    </row>
    <row r="1036" spans="1:20">
      <c r="A1036" t="s">
        <v>1702</v>
      </c>
      <c r="O1036" s="5">
        <v>0.0611817854859297</v>
      </c>
      <c r="P1036" s="5"/>
      <c r="Q1036" s="5">
        <v>0.0708098770251303</v>
      </c>
      <c r="R1036" s="5">
        <v>0.13172434099849</v>
      </c>
      <c r="S1036" s="5">
        <v>0.171903023774188</v>
      </c>
      <c r="T1036" s="5">
        <v>0.435619027283738</v>
      </c>
    </row>
    <row r="1037" spans="1:20">
      <c r="A1037" t="s">
        <v>1703</v>
      </c>
      <c r="P1037" s="5">
        <v>0.0731042705008395</v>
      </c>
      <c r="R1037" s="5">
        <v>0.114161095532025</v>
      </c>
      <c r="S1037" s="5">
        <v>0.2435292836801</v>
      </c>
      <c r="T1037" s="5">
        <v>0.430794649712964</v>
      </c>
    </row>
    <row r="1038" spans="1:20">
      <c r="A1038" t="s">
        <v>1704</v>
      </c>
      <c r="N1038" s="5">
        <v>0.0630876340133</v>
      </c>
      <c r="O1038" s="5">
        <v>0.051769203103479</v>
      </c>
      <c r="P1038" s="5">
        <v>0.057439069679231</v>
      </c>
      <c r="Q1038" s="5">
        <v>0.135182492502521</v>
      </c>
      <c r="R1038" s="5">
        <v>0.122942718265257</v>
      </c>
      <c r="S1038" s="5"/>
      <c r="T1038" s="5">
        <v>0.430421117563788</v>
      </c>
    </row>
    <row r="1039" spans="1:20">
      <c r="A1039" t="s">
        <v>1705</v>
      </c>
      <c r="Q1039" s="5">
        <v>0.0708098770251303</v>
      </c>
      <c r="R1039" s="5">
        <v>0.158069209198188</v>
      </c>
      <c r="S1039" s="5">
        <v>0.200553527736553</v>
      </c>
      <c r="T1039" s="5">
        <v>0.429432613959871</v>
      </c>
    </row>
    <row r="1040" spans="1:20">
      <c r="A1040" t="s">
        <v>1706</v>
      </c>
      <c r="J1040" s="5">
        <v>0.04443132436804</v>
      </c>
      <c r="K1040" s="5">
        <v>0.0594039978616389</v>
      </c>
      <c r="L1040" s="5">
        <v>0.0605540391814911</v>
      </c>
      <c r="M1040" s="5">
        <v>0.0967269018939176</v>
      </c>
      <c r="N1040" s="5">
        <v>0.1019107934061</v>
      </c>
      <c r="O1040" s="5">
        <v>0.0658880766771551</v>
      </c>
      <c r="P1040" s="5"/>
      <c r="Q1040" s="5"/>
      <c r="T1040" s="5">
        <v>0.428915133388343</v>
      </c>
    </row>
    <row r="1041" spans="1:20">
      <c r="A1041" t="s">
        <v>1707</v>
      </c>
      <c r="R1041" s="5">
        <v>0.140505963731722</v>
      </c>
      <c r="S1041" s="5">
        <v>0.286505039623647</v>
      </c>
      <c r="T1041" s="5">
        <v>0.427011003355369</v>
      </c>
    </row>
    <row r="1042" spans="1:20">
      <c r="A1042" t="s">
        <v>1708</v>
      </c>
      <c r="P1042" s="5">
        <v>0.0783260041080423</v>
      </c>
      <c r="Q1042" s="5"/>
      <c r="R1042" s="5">
        <v>0.140505963731722</v>
      </c>
      <c r="S1042" s="5">
        <v>0.200553527736553</v>
      </c>
      <c r="T1042" s="5">
        <v>0.419385495576317</v>
      </c>
    </row>
    <row r="1043" spans="1:20">
      <c r="A1043" t="s">
        <v>1709</v>
      </c>
      <c r="Q1043" s="5">
        <v>0.135182492502521</v>
      </c>
      <c r="R1043" s="5">
        <v>0.140505963731722</v>
      </c>
      <c r="S1043" s="5">
        <v>0.143252519811824</v>
      </c>
      <c r="T1043" s="5">
        <v>0.418940976046067</v>
      </c>
    </row>
    <row r="1044" spans="1:20">
      <c r="A1044" t="s">
        <v>1710</v>
      </c>
      <c r="B1044" s="5"/>
      <c r="O1044" s="5">
        <v>0.0470629119122537</v>
      </c>
      <c r="Q1044" s="5">
        <v>0.0901216616683477</v>
      </c>
      <c r="R1044" s="5">
        <v>0.122942718265257</v>
      </c>
      <c r="S1044" s="5">
        <v>0.157577771793006</v>
      </c>
      <c r="T1044" s="5">
        <v>0.417705063638864</v>
      </c>
    </row>
    <row r="1045" spans="1:20">
      <c r="A1045" t="s">
        <v>1711</v>
      </c>
      <c r="B1045" s="5"/>
      <c r="N1045" s="5">
        <v>0.0630876340133</v>
      </c>
      <c r="P1045" s="5">
        <v>0.0731042705008395</v>
      </c>
      <c r="Q1045" s="5">
        <v>0.0965589232160868</v>
      </c>
      <c r="R1045" s="5">
        <v>0.184414077397886</v>
      </c>
      <c r="T1045" s="5">
        <v>0.417164905128112</v>
      </c>
    </row>
    <row r="1046" spans="1:20">
      <c r="A1046" t="s">
        <v>1712</v>
      </c>
      <c r="P1046" s="5">
        <v>0.0678825368936366</v>
      </c>
      <c r="Q1046" s="5">
        <v>0.0836844001206085</v>
      </c>
      <c r="R1046" s="5">
        <v>0.0878162273323266</v>
      </c>
      <c r="S1046" s="5">
        <v>0.171903023774188</v>
      </c>
      <c r="T1046" s="5">
        <v>0.41128618812076</v>
      </c>
    </row>
    <row r="1047" spans="1:20">
      <c r="A1047" t="s">
        <v>1713</v>
      </c>
      <c r="B1047" s="5">
        <v>0.411110508149033</v>
      </c>
      <c r="T1047" s="5">
        <v>0.411110508149033</v>
      </c>
    </row>
    <row r="1048" spans="1:20">
      <c r="A1048" t="s">
        <v>1714</v>
      </c>
      <c r="B1048" s="5">
        <v>0.411110508149033</v>
      </c>
      <c r="T1048" s="5">
        <v>0.411110508149033</v>
      </c>
    </row>
    <row r="1049" spans="1:20">
      <c r="A1049" t="s">
        <v>1715</v>
      </c>
      <c r="P1049" s="5">
        <v>0.0626608032864338</v>
      </c>
      <c r="Q1049" s="5">
        <v>0.0708098770251303</v>
      </c>
      <c r="R1049" s="5">
        <v>0.105379472798792</v>
      </c>
      <c r="S1049" s="5">
        <v>0.171903023774188</v>
      </c>
      <c r="T1049" s="5">
        <v>0.410753176884544</v>
      </c>
    </row>
    <row r="1050" spans="1:20">
      <c r="A1050" t="s">
        <v>1716</v>
      </c>
      <c r="P1050" s="5">
        <v>0.0678825368936366</v>
      </c>
      <c r="Q1050" s="5">
        <v>0.0708098770251303</v>
      </c>
      <c r="R1050" s="5">
        <v>0.114161095532025</v>
      </c>
      <c r="S1050" s="5">
        <v>0.157577771793006</v>
      </c>
      <c r="T1050" s="5">
        <v>0.410431281243798</v>
      </c>
    </row>
    <row r="1051" spans="1:20">
      <c r="A1051" t="s">
        <v>1717</v>
      </c>
      <c r="P1051" s="5">
        <v>0.0522173360720282</v>
      </c>
      <c r="Q1051" s="5"/>
      <c r="R1051" s="5">
        <v>0.114161095532025</v>
      </c>
      <c r="S1051" s="5">
        <v>0.2435292836801</v>
      </c>
      <c r="T1051" s="5">
        <v>0.409907715284153</v>
      </c>
    </row>
    <row r="1052" spans="1:20">
      <c r="A1052" t="s">
        <v>1718</v>
      </c>
      <c r="Q1052" s="5">
        <v>0.109433446311565</v>
      </c>
      <c r="R1052" s="5">
        <v>0.114161095532025</v>
      </c>
      <c r="S1052" s="5">
        <v>0.186228275755371</v>
      </c>
      <c r="T1052" s="5">
        <v>0.409822817598961</v>
      </c>
    </row>
    <row r="1053" spans="1:20">
      <c r="A1053" t="s">
        <v>1719</v>
      </c>
      <c r="J1053" s="5">
        <v>0.0710901189888639</v>
      </c>
      <c r="K1053" s="5">
        <v>0.0502649212675406</v>
      </c>
      <c r="M1053" s="5">
        <v>0.0483634509469588</v>
      </c>
      <c r="O1053" s="5">
        <v>0.0470629119122537</v>
      </c>
      <c r="P1053" s="5">
        <v>0.0939912049296507</v>
      </c>
      <c r="Q1053" s="5">
        <v>0.0965589232160868</v>
      </c>
      <c r="R1053" s="5"/>
      <c r="S1053" s="5"/>
      <c r="T1053" s="5">
        <v>0.407331531261354</v>
      </c>
    </row>
    <row r="1054" spans="1:20">
      <c r="A1054" t="s">
        <v>1720</v>
      </c>
      <c r="Q1054" s="5">
        <v>0.0708098770251303</v>
      </c>
      <c r="R1054" s="5">
        <v>0.105379472798792</v>
      </c>
      <c r="S1054" s="5">
        <v>0.229204031698918</v>
      </c>
      <c r="T1054" s="5">
        <v>0.40539338152284</v>
      </c>
    </row>
    <row r="1055" spans="1:20">
      <c r="A1055" t="s">
        <v>1721</v>
      </c>
      <c r="P1055" s="5">
        <v>0.0783260041080423</v>
      </c>
      <c r="R1055" s="5">
        <v>0.140505963731722</v>
      </c>
      <c r="S1055" s="5">
        <v>0.186228275755371</v>
      </c>
      <c r="T1055" s="5">
        <v>0.405060243595135</v>
      </c>
    </row>
    <row r="1056" spans="1:20">
      <c r="A1056" t="s">
        <v>1722</v>
      </c>
      <c r="Q1056" s="5">
        <v>0.128745230954782</v>
      </c>
      <c r="R1056" s="5">
        <v>0.13172434099849</v>
      </c>
      <c r="S1056" s="5">
        <v>0.143252519811824</v>
      </c>
      <c r="T1056" s="5">
        <v>0.403722091765096</v>
      </c>
    </row>
    <row r="1057" spans="1:20">
      <c r="A1057" t="s">
        <v>1723</v>
      </c>
      <c r="P1057" s="5">
        <v>0.057439069679231</v>
      </c>
      <c r="Q1057" s="5">
        <v>0.0708098770251303</v>
      </c>
      <c r="R1057" s="5">
        <v>0.114161095532025</v>
      </c>
      <c r="S1057" s="5">
        <v>0.157577771793006</v>
      </c>
      <c r="T1057" s="5">
        <v>0.399987814029392</v>
      </c>
    </row>
    <row r="1058" spans="1:20">
      <c r="A1058" t="s">
        <v>1724</v>
      </c>
      <c r="B1058" s="5"/>
      <c r="R1058" s="5">
        <v>0.0965978500655592</v>
      </c>
      <c r="S1058" s="5">
        <v>0.300830291604829</v>
      </c>
      <c r="T1058" s="5">
        <v>0.397428141670388</v>
      </c>
    </row>
    <row r="1059" spans="1:20">
      <c r="A1059" t="s">
        <v>1725</v>
      </c>
      <c r="B1059" s="5"/>
      <c r="R1059" s="5">
        <v>0.16685083193142</v>
      </c>
      <c r="S1059" s="5">
        <v>0.229204031698918</v>
      </c>
      <c r="T1059" s="5">
        <v>0.396054863630338</v>
      </c>
    </row>
    <row r="1060" spans="1:20">
      <c r="A1060" t="s">
        <v>1726</v>
      </c>
      <c r="B1060" s="5"/>
      <c r="Q1060" s="5">
        <v>0.0708098770251303</v>
      </c>
      <c r="R1060" s="5">
        <v>0.122942718265257</v>
      </c>
      <c r="S1060" s="5">
        <v>0.200553527736553</v>
      </c>
      <c r="T1060" s="5">
        <v>0.39430612302694</v>
      </c>
    </row>
    <row r="1061" spans="1:20">
      <c r="A1061" t="s">
        <v>1727</v>
      </c>
      <c r="B1061" s="5"/>
      <c r="O1061" s="5">
        <v>0.0705943678683805</v>
      </c>
      <c r="P1061" s="5">
        <v>0.0522173360720282</v>
      </c>
      <c r="Q1061" s="5">
        <v>0.109433446311565</v>
      </c>
      <c r="S1061" s="5">
        <v>0.157577771793006</v>
      </c>
      <c r="T1061" s="5">
        <v>0.38982292204498</v>
      </c>
    </row>
    <row r="1062" spans="1:20">
      <c r="A1062" t="s">
        <v>1728</v>
      </c>
      <c r="B1062" s="5"/>
      <c r="O1062" s="5">
        <v>0.051769203103479</v>
      </c>
      <c r="P1062" s="5">
        <v>0.109656405751259</v>
      </c>
      <c r="Q1062" s="5">
        <v>0.0708098770251303</v>
      </c>
      <c r="S1062" s="5">
        <v>0.157577771793006</v>
      </c>
      <c r="T1062" s="5">
        <v>0.389813257672874</v>
      </c>
    </row>
    <row r="1063" spans="1:20">
      <c r="A1063" t="s">
        <v>1729</v>
      </c>
      <c r="B1063" s="5"/>
      <c r="Q1063" s="5">
        <v>0.0772471385728694</v>
      </c>
      <c r="R1063" s="5">
        <v>0.122942718265257</v>
      </c>
      <c r="S1063" s="5">
        <v>0.186228275755371</v>
      </c>
      <c r="T1063" s="5">
        <v>0.386418132593497</v>
      </c>
    </row>
    <row r="1064" spans="1:20">
      <c r="A1064" t="s">
        <v>1730</v>
      </c>
      <c r="M1064" s="5">
        <v>0.0483634509469588</v>
      </c>
      <c r="Q1064" s="5">
        <v>0.135182492502521</v>
      </c>
      <c r="S1064" s="5">
        <v>0.200553527736553</v>
      </c>
      <c r="T1064" s="5">
        <v>0.384099471186033</v>
      </c>
    </row>
    <row r="1065" spans="1:20">
      <c r="A1065" t="s">
        <v>1731</v>
      </c>
      <c r="B1065" s="5">
        <v>0.383703140939097</v>
      </c>
      <c r="T1065" s="5">
        <v>0.383703140939097</v>
      </c>
    </row>
    <row r="1066" spans="1:20">
      <c r="A1066" t="s">
        <v>1732</v>
      </c>
      <c r="B1066" s="5">
        <v>0.383703140939097</v>
      </c>
      <c r="T1066" s="5">
        <v>0.383703140939097</v>
      </c>
    </row>
    <row r="1067" spans="1:20">
      <c r="A1067" t="s">
        <v>1733</v>
      </c>
      <c r="R1067" s="5">
        <v>0.0965978500655592</v>
      </c>
      <c r="S1067" s="5">
        <v>0.286505039623647</v>
      </c>
      <c r="T1067" s="5">
        <v>0.383102889689206</v>
      </c>
    </row>
    <row r="1068" spans="1:20">
      <c r="A1068" t="s">
        <v>1734</v>
      </c>
      <c r="M1068" s="5">
        <v>0.0773815215151341</v>
      </c>
      <c r="N1068" s="5">
        <v>0.0776463187855999</v>
      </c>
      <c r="O1068" s="5">
        <v>0.0753006590596058</v>
      </c>
      <c r="P1068" s="5">
        <v>0.0783260041080423</v>
      </c>
      <c r="Q1068" s="5">
        <v>0.0708098770251303</v>
      </c>
      <c r="R1068" s="5"/>
      <c r="T1068" s="5">
        <v>0.379464380493512</v>
      </c>
    </row>
    <row r="1069" spans="1:20">
      <c r="A1069" t="s">
        <v>1735</v>
      </c>
      <c r="R1069" s="5">
        <v>0.149287586464955</v>
      </c>
      <c r="S1069" s="5">
        <v>0.229204031698918</v>
      </c>
      <c r="T1069" s="5">
        <v>0.378491618163873</v>
      </c>
    </row>
    <row r="1070" spans="1:20">
      <c r="A1070" t="s">
        <v>1736</v>
      </c>
      <c r="O1070" s="5">
        <v>0.051769203103479</v>
      </c>
      <c r="P1070" s="5">
        <v>0.057439069679231</v>
      </c>
      <c r="R1070" s="5">
        <v>0.122942718265257</v>
      </c>
      <c r="S1070" s="5">
        <v>0.143252519811824</v>
      </c>
      <c r="T1070" s="5">
        <v>0.375403510859791</v>
      </c>
    </row>
    <row r="1071" spans="1:20">
      <c r="A1071" t="s">
        <v>1737</v>
      </c>
      <c r="O1071" s="5">
        <v>0.0658880766771551</v>
      </c>
      <c r="P1071" s="5">
        <v>0.0783260041080423</v>
      </c>
      <c r="Q1071" s="5">
        <v>0.0772471385728694</v>
      </c>
      <c r="R1071" s="5">
        <v>0.149287586464955</v>
      </c>
      <c r="T1071" s="5">
        <v>0.370748805823022</v>
      </c>
    </row>
    <row r="1072" spans="1:20">
      <c r="A1072" t="s">
        <v>1738</v>
      </c>
      <c r="Q1072" s="5">
        <v>0.0836844001206085</v>
      </c>
      <c r="R1072" s="5">
        <v>0.140505963731722</v>
      </c>
      <c r="S1072" s="5">
        <v>0.143252519811824</v>
      </c>
      <c r="T1072" s="5">
        <v>0.367442883664154</v>
      </c>
    </row>
    <row r="1073" spans="1:20">
      <c r="A1073" t="s">
        <v>1739</v>
      </c>
      <c r="R1073" s="5">
        <v>0.122942718265257</v>
      </c>
      <c r="S1073" s="5">
        <v>0.2435292836801</v>
      </c>
      <c r="T1073" s="5">
        <v>0.366472001945357</v>
      </c>
    </row>
    <row r="1074" spans="1:20">
      <c r="A1074" t="s">
        <v>1740</v>
      </c>
      <c r="Q1074" s="5">
        <v>0.0901216616683477</v>
      </c>
      <c r="R1074" s="5">
        <v>0.0878162273323266</v>
      </c>
      <c r="S1074" s="5">
        <v>0.186228275755371</v>
      </c>
      <c r="T1074" s="5">
        <v>0.364166164756045</v>
      </c>
    </row>
    <row r="1075" spans="1:20">
      <c r="A1075" t="s">
        <v>1741</v>
      </c>
      <c r="P1075" s="5">
        <v>0.0731042705008395</v>
      </c>
      <c r="R1075" s="5">
        <v>0.13172434099849</v>
      </c>
      <c r="S1075" s="5">
        <v>0.157577771793006</v>
      </c>
      <c r="T1075" s="5">
        <v>0.362406383292336</v>
      </c>
    </row>
    <row r="1076" spans="1:20">
      <c r="A1076" t="s">
        <v>1742</v>
      </c>
      <c r="Q1076" s="5">
        <v>0.0772471385728694</v>
      </c>
      <c r="R1076" s="5">
        <v>0.0965978500655592</v>
      </c>
      <c r="S1076" s="5">
        <v>0.186228275755371</v>
      </c>
      <c r="T1076" s="5">
        <v>0.3600732643938</v>
      </c>
    </row>
    <row r="1077" spans="1:20">
      <c r="A1077" t="s">
        <v>1743</v>
      </c>
      <c r="R1077" s="5">
        <v>0.114161095532025</v>
      </c>
      <c r="S1077" s="5">
        <v>0.2435292836801</v>
      </c>
      <c r="T1077" s="5">
        <v>0.357690379212125</v>
      </c>
    </row>
    <row r="1078" spans="1:20">
      <c r="A1078" t="s">
        <v>1744</v>
      </c>
      <c r="B1078" s="5">
        <v>0.356295773729162</v>
      </c>
      <c r="T1078" s="5">
        <v>0.356295773729162</v>
      </c>
    </row>
    <row r="1079" spans="1:20">
      <c r="A1079" t="s">
        <v>1745</v>
      </c>
      <c r="B1079" s="5">
        <v>0.356295773729162</v>
      </c>
      <c r="T1079" s="5">
        <v>0.356295773729162</v>
      </c>
    </row>
    <row r="1080" spans="1:20">
      <c r="A1080" t="s">
        <v>1746</v>
      </c>
      <c r="B1080" s="5">
        <v>0.356295773729162</v>
      </c>
      <c r="T1080" s="5">
        <v>0.356295773729162</v>
      </c>
    </row>
    <row r="1081" spans="1:20">
      <c r="A1081" t="s">
        <v>1747</v>
      </c>
      <c r="B1081" s="5">
        <v>0.356295773729162</v>
      </c>
      <c r="T1081" s="5">
        <v>0.356295773729162</v>
      </c>
    </row>
    <row r="1082" spans="1:20">
      <c r="A1082" t="s">
        <v>1748</v>
      </c>
      <c r="B1082" s="5">
        <v>0.356295773729162</v>
      </c>
      <c r="T1082" s="5">
        <v>0.356295773729162</v>
      </c>
    </row>
    <row r="1083" spans="1:20">
      <c r="A1083" t="s">
        <v>1749</v>
      </c>
      <c r="B1083" s="5">
        <v>0.356295773729162</v>
      </c>
      <c r="T1083" s="5">
        <v>0.356295773729162</v>
      </c>
    </row>
    <row r="1084" spans="1:20">
      <c r="A1084" t="s">
        <v>1750</v>
      </c>
      <c r="B1084" s="5"/>
      <c r="P1084" s="5">
        <v>0.057439069679231</v>
      </c>
      <c r="Q1084" s="5">
        <v>0.0836844001206085</v>
      </c>
      <c r="S1084" s="5">
        <v>0.214878779717735</v>
      </c>
      <c r="T1084" s="5">
        <v>0.356002249517575</v>
      </c>
    </row>
    <row r="1085" spans="1:20">
      <c r="A1085" t="s">
        <v>1751</v>
      </c>
      <c r="B1085" s="5"/>
      <c r="P1085" s="5">
        <v>0.057439069679231</v>
      </c>
      <c r="R1085" s="5">
        <v>0.122942718265257</v>
      </c>
      <c r="S1085" s="5">
        <v>0.171903023774188</v>
      </c>
      <c r="T1085" s="5">
        <v>0.352284811718676</v>
      </c>
    </row>
    <row r="1086" spans="1:20">
      <c r="A1086" t="s">
        <v>1752</v>
      </c>
      <c r="B1086" s="5"/>
      <c r="O1086" s="5">
        <v>0.0658880766771551</v>
      </c>
      <c r="P1086" s="5">
        <v>0.0887694713224479</v>
      </c>
      <c r="Q1086" s="5">
        <v>0.109433446311565</v>
      </c>
      <c r="R1086" s="5">
        <v>0.0878162273323266</v>
      </c>
      <c r="T1086" s="5">
        <v>0.351907221643495</v>
      </c>
    </row>
    <row r="1087" spans="1:20">
      <c r="A1087" t="s">
        <v>1753</v>
      </c>
      <c r="B1087" s="5"/>
      <c r="O1087" s="5">
        <v>0.0800069502508312</v>
      </c>
      <c r="P1087" s="5">
        <v>0.0626608032864338</v>
      </c>
      <c r="Q1087" s="5">
        <v>0.0643726154773912</v>
      </c>
      <c r="R1087" s="5">
        <v>0.140505963731722</v>
      </c>
      <c r="T1087" s="5">
        <v>0.347546332746378</v>
      </c>
    </row>
    <row r="1088" spans="1:20">
      <c r="A1088" t="s">
        <v>1754</v>
      </c>
      <c r="B1088" s="5"/>
      <c r="N1088" s="5">
        <v>0.0582347390892</v>
      </c>
      <c r="P1088" s="5">
        <v>0.057439069679231</v>
      </c>
      <c r="R1088" s="5">
        <v>0.0878162273323266</v>
      </c>
      <c r="S1088" s="5">
        <v>0.143252519811824</v>
      </c>
      <c r="T1088" s="5">
        <v>0.346742555912582</v>
      </c>
    </row>
    <row r="1089" spans="1:20">
      <c r="A1089" t="s">
        <v>1755</v>
      </c>
      <c r="B1089" s="5"/>
      <c r="F1089" s="5">
        <v>0.0543589539162908</v>
      </c>
      <c r="G1089" s="5">
        <v>0.0458480635520182</v>
      </c>
      <c r="H1089" s="5">
        <v>0.0953749507229421</v>
      </c>
      <c r="J1089" s="5">
        <v>0.04443132436804</v>
      </c>
      <c r="N1089" s="5">
        <v>0.048528949241</v>
      </c>
      <c r="P1089" s="5">
        <v>0.057439069679231</v>
      </c>
      <c r="T1089" s="5">
        <v>0.345981311479522</v>
      </c>
    </row>
    <row r="1090" spans="1:20">
      <c r="A1090" t="s">
        <v>1756</v>
      </c>
      <c r="B1090" s="5"/>
      <c r="N1090" s="5">
        <v>0.0582347390892</v>
      </c>
      <c r="O1090" s="5">
        <v>0.0658880766771551</v>
      </c>
      <c r="P1090" s="5">
        <v>0.0731042705008395</v>
      </c>
      <c r="S1090" s="5">
        <v>0.143252519811824</v>
      </c>
      <c r="T1090" s="5">
        <v>0.340479606079019</v>
      </c>
    </row>
    <row r="1091" spans="1:20">
      <c r="A1091" t="s">
        <v>1757</v>
      </c>
      <c r="O1091" s="5">
        <v>0.051769203103479</v>
      </c>
      <c r="P1091" s="5">
        <v>0.057439069679231</v>
      </c>
      <c r="Q1091" s="5"/>
      <c r="R1091" s="5">
        <v>0.0878162273323266</v>
      </c>
      <c r="S1091" s="5">
        <v>0.143252519811824</v>
      </c>
      <c r="T1091" s="5">
        <v>0.340277019926861</v>
      </c>
    </row>
    <row r="1092" spans="1:20">
      <c r="A1092" t="s">
        <v>1758</v>
      </c>
      <c r="C1092" s="5">
        <v>0.0672834042926543</v>
      </c>
      <c r="L1092" s="5">
        <v>0.065600209113282</v>
      </c>
      <c r="M1092" s="5">
        <v>0.0870542117045258</v>
      </c>
      <c r="O1092" s="5">
        <v>0.051769203103479</v>
      </c>
      <c r="P1092" s="5">
        <v>0.0678825368936366</v>
      </c>
      <c r="T1092" s="5">
        <v>0.339589565107578</v>
      </c>
    </row>
    <row r="1093" spans="1:20">
      <c r="A1093" t="s">
        <v>1759</v>
      </c>
      <c r="Q1093" s="5">
        <v>0.0643726154773912</v>
      </c>
      <c r="R1093" s="5">
        <v>0.114161095532025</v>
      </c>
      <c r="S1093" s="5">
        <v>0.157577771793006</v>
      </c>
      <c r="T1093" s="5">
        <v>0.336111482802422</v>
      </c>
    </row>
    <row r="1094" spans="1:20">
      <c r="A1094" t="s">
        <v>1760</v>
      </c>
      <c r="B1094" s="5"/>
      <c r="O1094" s="5">
        <v>0.051769203103479</v>
      </c>
      <c r="R1094" s="5">
        <v>0.140505963731722</v>
      </c>
      <c r="S1094" s="5">
        <v>0.143252519811824</v>
      </c>
      <c r="T1094" s="5">
        <v>0.335527686647025</v>
      </c>
    </row>
    <row r="1095" spans="1:20">
      <c r="A1095" t="s">
        <v>1761</v>
      </c>
      <c r="P1095" s="5">
        <v>0.0522173360720282</v>
      </c>
      <c r="Q1095" s="5"/>
      <c r="R1095" s="5">
        <v>0.0965978500655592</v>
      </c>
      <c r="S1095" s="5">
        <v>0.186228275755371</v>
      </c>
      <c r="T1095" s="5">
        <v>0.335043461892958</v>
      </c>
    </row>
    <row r="1096" spans="1:20">
      <c r="A1096" t="s">
        <v>1762</v>
      </c>
      <c r="P1096" s="5">
        <v>0.0522173360720282</v>
      </c>
      <c r="Q1096" s="5"/>
      <c r="R1096" s="5">
        <v>0.0965978500655592</v>
      </c>
      <c r="S1096" s="5">
        <v>0.186228275755371</v>
      </c>
      <c r="T1096" s="5">
        <v>0.335043461892958</v>
      </c>
    </row>
    <row r="1097" spans="1:20">
      <c r="A1097" t="s">
        <v>1763</v>
      </c>
      <c r="E1097" s="5">
        <v>0.0815951800095265</v>
      </c>
      <c r="F1097" s="5">
        <v>0.0770085180480787</v>
      </c>
      <c r="S1097" s="5">
        <v>0.171903023774188</v>
      </c>
      <c r="T1097" s="5">
        <v>0.330506721831793</v>
      </c>
    </row>
    <row r="1098" spans="1:20">
      <c r="A1098" t="s">
        <v>1764</v>
      </c>
      <c r="O1098" s="5">
        <v>0.0470629119122537</v>
      </c>
      <c r="R1098" s="5">
        <v>0.0965978500655592</v>
      </c>
      <c r="S1098" s="5">
        <v>0.186228275755371</v>
      </c>
      <c r="T1098" s="5">
        <v>0.329889037733184</v>
      </c>
    </row>
    <row r="1099" spans="1:20">
      <c r="A1099" t="s">
        <v>1765</v>
      </c>
      <c r="B1099" s="5">
        <v>0.328888406519226</v>
      </c>
      <c r="T1099" s="5">
        <v>0.328888406519226</v>
      </c>
    </row>
    <row r="1100" spans="1:20">
      <c r="A1100" t="s">
        <v>1766</v>
      </c>
      <c r="B1100" s="5">
        <v>0.328888406519226</v>
      </c>
      <c r="T1100" s="5">
        <v>0.328888406519226</v>
      </c>
    </row>
    <row r="1101" spans="1:20">
      <c r="A1101" t="s">
        <v>1767</v>
      </c>
      <c r="B1101" s="5">
        <v>0.328888406519226</v>
      </c>
      <c r="T1101" s="5">
        <v>0.328888406519226</v>
      </c>
    </row>
    <row r="1102" spans="1:20">
      <c r="A1102" t="s">
        <v>1768</v>
      </c>
      <c r="B1102" s="5">
        <v>0.328888406519226</v>
      </c>
      <c r="T1102" s="5">
        <v>0.328888406519226</v>
      </c>
    </row>
    <row r="1103" spans="1:20">
      <c r="A1103" t="s">
        <v>1769</v>
      </c>
      <c r="B1103" s="5">
        <v>0.328888406519226</v>
      </c>
      <c r="T1103" s="5">
        <v>0.328888406519226</v>
      </c>
    </row>
    <row r="1104" spans="1:20">
      <c r="A1104" t="s">
        <v>1770</v>
      </c>
      <c r="B1104" s="5">
        <v>0.328888406519226</v>
      </c>
      <c r="T1104" s="5">
        <v>0.328888406519226</v>
      </c>
    </row>
    <row r="1105" spans="1:20">
      <c r="A1105" t="s">
        <v>1771</v>
      </c>
      <c r="B1105" s="5">
        <v>0.328888406519226</v>
      </c>
      <c r="T1105" s="5">
        <v>0.328888406519226</v>
      </c>
    </row>
    <row r="1106" spans="1:20">
      <c r="A1106" t="s">
        <v>1772</v>
      </c>
      <c r="B1106" s="5">
        <v>0.328888406519226</v>
      </c>
      <c r="T1106" s="5">
        <v>0.328888406519226</v>
      </c>
    </row>
    <row r="1107" spans="1:20">
      <c r="A1107" t="s">
        <v>1773</v>
      </c>
      <c r="B1107" s="5">
        <v>0.328888406519226</v>
      </c>
      <c r="T1107" s="5">
        <v>0.328888406519226</v>
      </c>
    </row>
    <row r="1108" spans="1:20">
      <c r="A1108" t="s">
        <v>1774</v>
      </c>
      <c r="B1108" s="5"/>
      <c r="Q1108" s="5">
        <v>0.0708098770251303</v>
      </c>
      <c r="S1108" s="5">
        <v>0.257854535661282</v>
      </c>
      <c r="T1108" s="5">
        <v>0.328664412686412</v>
      </c>
    </row>
    <row r="1109" spans="1:20">
      <c r="A1109" t="s">
        <v>1775</v>
      </c>
      <c r="B1109" s="5"/>
      <c r="P1109" s="5">
        <v>0.0522173360720282</v>
      </c>
      <c r="R1109" s="5">
        <v>0.0878162273323266</v>
      </c>
      <c r="S1109" s="5">
        <v>0.186228275755371</v>
      </c>
      <c r="T1109" s="5">
        <v>0.326261839159726</v>
      </c>
    </row>
    <row r="1110" spans="1:20">
      <c r="A1110" t="s">
        <v>1776</v>
      </c>
      <c r="B1110" s="5"/>
      <c r="R1110" s="5">
        <v>0.0965978500655592</v>
      </c>
      <c r="S1110" s="5">
        <v>0.229204031698918</v>
      </c>
      <c r="T1110" s="5">
        <v>0.325801881764477</v>
      </c>
    </row>
    <row r="1111" spans="1:20">
      <c r="A1111" t="s">
        <v>1777</v>
      </c>
      <c r="B1111" s="5">
        <v>0.274073672099355</v>
      </c>
      <c r="L1111" s="5">
        <v>0.0504616993179092</v>
      </c>
      <c r="T1111" s="5">
        <v>0.324535371417264</v>
      </c>
    </row>
    <row r="1112" spans="1:20">
      <c r="A1112" t="s">
        <v>1778</v>
      </c>
      <c r="B1112" s="5"/>
      <c r="M1112" s="5">
        <v>0.0483634509469588</v>
      </c>
      <c r="O1112" s="5">
        <v>0.0564754942947044</v>
      </c>
      <c r="Q1112" s="5">
        <v>0.0965589232160868</v>
      </c>
      <c r="R1112" s="5">
        <v>0.122942718265257</v>
      </c>
      <c r="T1112" s="5">
        <v>0.324340586723007</v>
      </c>
    </row>
    <row r="1113" spans="1:20">
      <c r="A1113" t="s">
        <v>1779</v>
      </c>
      <c r="B1113" s="5"/>
      <c r="P1113" s="5">
        <v>0.0678825368936366</v>
      </c>
      <c r="Q1113" s="5">
        <v>0.0836844001206085</v>
      </c>
      <c r="R1113" s="5">
        <v>0.16685083193142</v>
      </c>
      <c r="T1113" s="5">
        <v>0.318417768945665</v>
      </c>
    </row>
    <row r="1114" spans="1:20">
      <c r="A1114" t="s">
        <v>1780</v>
      </c>
      <c r="B1114" s="5"/>
      <c r="O1114" s="5">
        <v>0.0611817854859297</v>
      </c>
      <c r="P1114" s="5">
        <v>0.0678825368936366</v>
      </c>
      <c r="Q1114" s="5">
        <v>0.0836844001206085</v>
      </c>
      <c r="R1114" s="5">
        <v>0.105379472798792</v>
      </c>
      <c r="T1114" s="5">
        <v>0.318128195298967</v>
      </c>
    </row>
    <row r="1115" spans="1:20">
      <c r="A1115" t="s">
        <v>1781</v>
      </c>
      <c r="B1115" s="5"/>
      <c r="L1115" s="5">
        <v>0.0555078692497001</v>
      </c>
      <c r="N1115" s="5">
        <v>0.048528949241</v>
      </c>
      <c r="O1115" s="5">
        <v>0.0705943678683805</v>
      </c>
      <c r="P1115" s="5">
        <v>0.057439069679231</v>
      </c>
      <c r="Q1115" s="5">
        <v>0.0836844001206085</v>
      </c>
      <c r="T1115" s="5">
        <v>0.31575465615892</v>
      </c>
    </row>
    <row r="1116" spans="1:20">
      <c r="A1116" t="s">
        <v>1782</v>
      </c>
      <c r="B1116" s="5"/>
      <c r="D1116" s="5">
        <v>0.0496210022281319</v>
      </c>
      <c r="J1116" s="5">
        <v>0.0488744568048439</v>
      </c>
      <c r="O1116" s="5">
        <v>0.0470629119122537</v>
      </c>
      <c r="P1116" s="5">
        <v>0.0783260041080423</v>
      </c>
      <c r="Q1116" s="5">
        <v>0.0901216616683477</v>
      </c>
      <c r="T1116" s="5">
        <v>0.31400603672162</v>
      </c>
    </row>
    <row r="1117" spans="1:20">
      <c r="A1117" t="s">
        <v>1783</v>
      </c>
      <c r="P1117" s="5">
        <v>0.0522173360720282</v>
      </c>
      <c r="R1117" s="5">
        <v>0.0878162273323266</v>
      </c>
      <c r="S1117" s="5">
        <v>0.171903023774188</v>
      </c>
      <c r="T1117" s="5">
        <v>0.311936587178543</v>
      </c>
    </row>
    <row r="1118" spans="1:20">
      <c r="A1118" t="s">
        <v>1784</v>
      </c>
      <c r="R1118" s="5">
        <v>0.0965978500655592</v>
      </c>
      <c r="S1118" s="5">
        <v>0.214878779717735</v>
      </c>
      <c r="T1118" s="5">
        <v>0.311476629783294</v>
      </c>
    </row>
    <row r="1119" spans="1:20">
      <c r="A1119" t="s">
        <v>1785</v>
      </c>
      <c r="J1119" s="5">
        <v>0.04443132436804</v>
      </c>
      <c r="K1119" s="5">
        <v>0.0456953829704914</v>
      </c>
      <c r="P1119" s="5">
        <v>0.0626608032864338</v>
      </c>
      <c r="S1119" s="5">
        <v>0.157577771793006</v>
      </c>
      <c r="T1119" s="5">
        <v>0.310365282417971</v>
      </c>
    </row>
    <row r="1120" spans="1:20">
      <c r="A1120" t="s">
        <v>1786</v>
      </c>
      <c r="R1120" s="5">
        <v>0.122942718265257</v>
      </c>
      <c r="S1120" s="5">
        <v>0.186228275755371</v>
      </c>
      <c r="T1120" s="5">
        <v>0.309170994020628</v>
      </c>
    </row>
    <row r="1121" spans="1:20">
      <c r="A1121" t="s">
        <v>1787</v>
      </c>
      <c r="O1121" s="5">
        <v>0.0470629119122537</v>
      </c>
      <c r="P1121" s="5">
        <v>0.0522173360720282</v>
      </c>
      <c r="Q1121" s="5">
        <v>0.0772471385728694</v>
      </c>
      <c r="R1121" s="5">
        <v>0.13172434099849</v>
      </c>
      <c r="S1121" s="5"/>
      <c r="T1121" s="5">
        <v>0.308251727555641</v>
      </c>
    </row>
    <row r="1122" spans="1:20">
      <c r="A1122" t="s">
        <v>1788</v>
      </c>
      <c r="P1122" s="5">
        <v>0.0678825368936366</v>
      </c>
      <c r="Q1122" s="5">
        <v>0.0901216616683477</v>
      </c>
      <c r="R1122" s="5">
        <v>0.149287586464955</v>
      </c>
      <c r="T1122" s="5">
        <v>0.307291785026939</v>
      </c>
    </row>
    <row r="1123" spans="1:20">
      <c r="A1123" t="s">
        <v>1789</v>
      </c>
      <c r="P1123" s="5">
        <v>0.0731042705008395</v>
      </c>
      <c r="S1123" s="5">
        <v>0.229204031698918</v>
      </c>
      <c r="T1123" s="5">
        <v>0.302308302199758</v>
      </c>
    </row>
    <row r="1124" spans="1:20">
      <c r="A1124" t="s">
        <v>1790</v>
      </c>
      <c r="B1124" s="5">
        <v>0.301481039309291</v>
      </c>
      <c r="T1124" s="5">
        <v>0.301481039309291</v>
      </c>
    </row>
    <row r="1125" spans="1:20">
      <c r="A1125" t="s">
        <v>1791</v>
      </c>
      <c r="B1125" s="5">
        <v>0.301481039309291</v>
      </c>
      <c r="T1125" s="5">
        <v>0.301481039309291</v>
      </c>
    </row>
    <row r="1126" spans="1:20">
      <c r="A1126" t="s">
        <v>1792</v>
      </c>
      <c r="B1126" s="5">
        <v>0.301481039309291</v>
      </c>
      <c r="T1126" s="5">
        <v>0.301481039309291</v>
      </c>
    </row>
    <row r="1127" spans="1:20">
      <c r="A1127" t="s">
        <v>1793</v>
      </c>
      <c r="B1127" s="5">
        <v>0.301481039309291</v>
      </c>
      <c r="T1127" s="5">
        <v>0.301481039309291</v>
      </c>
    </row>
    <row r="1128" spans="1:20">
      <c r="A1128" t="s">
        <v>1794</v>
      </c>
      <c r="B1128" s="5">
        <v>0.301481039309291</v>
      </c>
      <c r="T1128" s="5">
        <v>0.301481039309291</v>
      </c>
    </row>
    <row r="1129" spans="1:20">
      <c r="A1129" t="s">
        <v>1795</v>
      </c>
      <c r="B1129" s="5">
        <v>0.301481039309291</v>
      </c>
      <c r="T1129" s="5">
        <v>0.301481039309291</v>
      </c>
    </row>
    <row r="1130" spans="1:20">
      <c r="A1130" t="s">
        <v>1796</v>
      </c>
      <c r="B1130" s="5">
        <v>0.301481039309291</v>
      </c>
      <c r="T1130" s="5">
        <v>0.301481039309291</v>
      </c>
    </row>
    <row r="1131" spans="1:20">
      <c r="A1131" t="s">
        <v>1797</v>
      </c>
      <c r="B1131" s="5">
        <v>0.301481039309291</v>
      </c>
      <c r="T1131" s="5">
        <v>0.301481039309291</v>
      </c>
    </row>
    <row r="1132" spans="1:20">
      <c r="A1132" t="s">
        <v>1798</v>
      </c>
      <c r="B1132" s="5">
        <v>0.301481039309291</v>
      </c>
      <c r="T1132" s="5">
        <v>0.301481039309291</v>
      </c>
    </row>
    <row r="1133" spans="1:20">
      <c r="A1133" t="s">
        <v>1799</v>
      </c>
      <c r="R1133" s="5">
        <v>0.0965978500655592</v>
      </c>
      <c r="S1133" s="5">
        <v>0.200553527736553</v>
      </c>
      <c r="T1133" s="5">
        <v>0.297151377802112</v>
      </c>
    </row>
    <row r="1134" spans="1:20">
      <c r="A1134" t="s">
        <v>1800</v>
      </c>
      <c r="L1134" s="5">
        <v>0.0555078692497001</v>
      </c>
      <c r="N1134" s="5">
        <v>0.0922050035578999</v>
      </c>
      <c r="O1134" s="5">
        <v>0.0753006590596058</v>
      </c>
      <c r="P1134" s="5">
        <v>0.0678825368936366</v>
      </c>
      <c r="T1134" s="5">
        <v>0.290896068760842</v>
      </c>
    </row>
    <row r="1135" spans="1:20">
      <c r="A1135" t="s">
        <v>1801</v>
      </c>
      <c r="R1135" s="5">
        <v>0.13172434099849</v>
      </c>
      <c r="S1135" s="5">
        <v>0.157577771793006</v>
      </c>
      <c r="T1135" s="5">
        <v>0.289302112791496</v>
      </c>
    </row>
    <row r="1136" spans="1:20">
      <c r="A1136" t="s">
        <v>1802</v>
      </c>
      <c r="B1136" s="5"/>
      <c r="R1136" s="5">
        <v>0.0878162273323266</v>
      </c>
      <c r="S1136" s="5">
        <v>0.200553527736553</v>
      </c>
      <c r="T1136" s="5">
        <v>0.28836975506888</v>
      </c>
    </row>
    <row r="1137" spans="1:20">
      <c r="A1137" t="s">
        <v>1803</v>
      </c>
      <c r="B1137" s="5"/>
      <c r="C1137" s="5">
        <v>0.094196766009716</v>
      </c>
      <c r="N1137" s="5">
        <v>0.0533818441651</v>
      </c>
      <c r="R1137" s="5">
        <v>0.140505963731722</v>
      </c>
      <c r="T1137" s="5">
        <v>0.288084573906538</v>
      </c>
    </row>
    <row r="1138" spans="1:20">
      <c r="A1138" t="s">
        <v>1804</v>
      </c>
      <c r="B1138" s="5"/>
      <c r="G1138" s="5">
        <v>0.05043286990722</v>
      </c>
      <c r="H1138" s="5">
        <v>0.0590416361618213</v>
      </c>
      <c r="J1138" s="5">
        <v>0.0577607216784519</v>
      </c>
      <c r="K1138" s="5">
        <v>0.0548344595645897</v>
      </c>
      <c r="L1138" s="5">
        <v>0.065600209113282</v>
      </c>
      <c r="T1138" s="5">
        <v>0.287669896425365</v>
      </c>
    </row>
    <row r="1139" spans="1:20">
      <c r="A1139" t="s">
        <v>1805</v>
      </c>
      <c r="B1139" s="5"/>
      <c r="P1139" s="5">
        <v>0.0939912049296507</v>
      </c>
      <c r="Q1139" s="5">
        <v>0.0965589232160868</v>
      </c>
      <c r="R1139" s="5">
        <v>0.0965978500655592</v>
      </c>
      <c r="T1139" s="5">
        <v>0.287147978211297</v>
      </c>
    </row>
    <row r="1140" spans="1:20">
      <c r="A1140" t="s">
        <v>1806</v>
      </c>
      <c r="B1140" s="5"/>
      <c r="P1140" s="5">
        <v>0.057439069679231</v>
      </c>
      <c r="S1140" s="5">
        <v>0.229204031698918</v>
      </c>
      <c r="T1140" s="5">
        <v>0.286643101378149</v>
      </c>
    </row>
    <row r="1141" spans="1:20">
      <c r="A1141" t="s">
        <v>1807</v>
      </c>
      <c r="B1141" s="5"/>
      <c r="Q1141" s="5">
        <v>0.0708098770251303</v>
      </c>
      <c r="S1141" s="5">
        <v>0.214878779717735</v>
      </c>
      <c r="T1141" s="5">
        <v>0.285688656742865</v>
      </c>
    </row>
    <row r="1142" spans="1:20">
      <c r="A1142" t="s">
        <v>1808</v>
      </c>
      <c r="B1142" s="5"/>
      <c r="P1142" s="5">
        <v>0.0522173360720282</v>
      </c>
      <c r="S1142" s="5">
        <v>0.229204031698918</v>
      </c>
      <c r="T1142" s="5">
        <v>0.281421367770946</v>
      </c>
    </row>
    <row r="1143" spans="1:20">
      <c r="A1143" t="s">
        <v>1809</v>
      </c>
      <c r="B1143" s="5"/>
      <c r="R1143" s="5">
        <v>0.122942718265257</v>
      </c>
      <c r="S1143" s="5">
        <v>0.157577771793006</v>
      </c>
      <c r="T1143" s="5">
        <v>0.280520490058263</v>
      </c>
    </row>
    <row r="1144" spans="1:20">
      <c r="A1144" t="s">
        <v>1810</v>
      </c>
      <c r="O1144" s="5">
        <v>0.0470629119122537</v>
      </c>
      <c r="R1144" s="5">
        <v>0.0878162273323266</v>
      </c>
      <c r="S1144" s="5">
        <v>0.143252519811824</v>
      </c>
      <c r="T1144" s="5">
        <v>0.278131659056404</v>
      </c>
    </row>
    <row r="1145" spans="1:20">
      <c r="A1145" t="s">
        <v>1811</v>
      </c>
      <c r="R1145" s="5">
        <v>0.105379472798792</v>
      </c>
      <c r="S1145" s="5">
        <v>0.171903023774188</v>
      </c>
      <c r="T1145" s="5">
        <v>0.27728249657298</v>
      </c>
    </row>
    <row r="1146" spans="1:20">
      <c r="A1146" t="s">
        <v>1812</v>
      </c>
      <c r="R1146" s="5">
        <v>0.105379472798792</v>
      </c>
      <c r="S1146" s="5">
        <v>0.171903023774188</v>
      </c>
      <c r="T1146" s="5">
        <v>0.27728249657298</v>
      </c>
    </row>
    <row r="1147" spans="1:20">
      <c r="A1147" t="s">
        <v>1813</v>
      </c>
      <c r="P1147" s="5">
        <v>0.057439069679231</v>
      </c>
      <c r="Q1147" s="5">
        <v>0.0772471385728694</v>
      </c>
      <c r="R1147" s="5">
        <v>0.140505963731722</v>
      </c>
      <c r="S1147" s="5"/>
      <c r="T1147" s="5">
        <v>0.275192171983822</v>
      </c>
    </row>
    <row r="1148" spans="1:20">
      <c r="A1148" t="s">
        <v>1814</v>
      </c>
      <c r="P1148" s="5">
        <v>0.0522173360720282</v>
      </c>
      <c r="Q1148" s="5">
        <v>0.0643726154773912</v>
      </c>
      <c r="S1148" s="5">
        <v>0.157577771793006</v>
      </c>
      <c r="T1148" s="5">
        <v>0.274167723342425</v>
      </c>
    </row>
    <row r="1149" spans="1:20">
      <c r="A1149" t="s">
        <v>1815</v>
      </c>
      <c r="B1149" s="5">
        <v>0.274073672099355</v>
      </c>
      <c r="T1149" s="5">
        <v>0.274073672099355</v>
      </c>
    </row>
    <row r="1150" spans="1:20">
      <c r="A1150" t="s">
        <v>1816</v>
      </c>
      <c r="B1150" s="5">
        <v>0.274073672099355</v>
      </c>
      <c r="T1150" s="5">
        <v>0.274073672099355</v>
      </c>
    </row>
    <row r="1151" spans="1:20">
      <c r="A1151" t="s">
        <v>1817</v>
      </c>
      <c r="B1151" s="5">
        <v>0.274073672099355</v>
      </c>
      <c r="C1151" s="5"/>
      <c r="T1151" s="5">
        <v>0.274073672099355</v>
      </c>
    </row>
    <row r="1152" spans="1:20">
      <c r="A1152" t="s">
        <v>1818</v>
      </c>
      <c r="B1152" s="5">
        <v>0.274073672099355</v>
      </c>
      <c r="T1152" s="5">
        <v>0.274073672099355</v>
      </c>
    </row>
    <row r="1153" spans="1:20">
      <c r="A1153" t="s">
        <v>1819</v>
      </c>
      <c r="B1153" s="5">
        <v>0.274073672099355</v>
      </c>
      <c r="T1153" s="5">
        <v>0.274073672099355</v>
      </c>
    </row>
    <row r="1154" spans="1:20">
      <c r="A1154" t="s">
        <v>1820</v>
      </c>
      <c r="B1154" s="5">
        <v>0.274073672099355</v>
      </c>
      <c r="T1154" s="5">
        <v>0.274073672099355</v>
      </c>
    </row>
    <row r="1155" spans="1:20">
      <c r="A1155" t="s">
        <v>1821</v>
      </c>
      <c r="B1155" s="5">
        <v>0.274073672099355</v>
      </c>
      <c r="T1155" s="5">
        <v>0.274073672099355</v>
      </c>
    </row>
    <row r="1156" spans="1:20">
      <c r="A1156" t="s">
        <v>1822</v>
      </c>
      <c r="B1156" s="5">
        <v>0.274073672099355</v>
      </c>
      <c r="T1156" s="5">
        <v>0.274073672099355</v>
      </c>
    </row>
    <row r="1157" spans="1:20">
      <c r="A1157" t="s">
        <v>1823</v>
      </c>
      <c r="R1157" s="5">
        <v>0.0878162273323266</v>
      </c>
      <c r="S1157" s="5">
        <v>0.186228275755371</v>
      </c>
      <c r="T1157" s="5">
        <v>0.274044503087698</v>
      </c>
    </row>
    <row r="1158" spans="1:20">
      <c r="A1158" t="s">
        <v>1824</v>
      </c>
      <c r="K1158" s="5">
        <v>0.0456953829704914</v>
      </c>
      <c r="L1158" s="5">
        <v>0.0504616993179092</v>
      </c>
      <c r="M1158" s="5">
        <v>0.0773815215151341</v>
      </c>
      <c r="N1158" s="5">
        <v>0.0533818441651</v>
      </c>
      <c r="O1158" s="5">
        <v>0.0470629119122537</v>
      </c>
      <c r="T1158" s="5">
        <v>0.273983359880888</v>
      </c>
    </row>
    <row r="1159" spans="1:20">
      <c r="A1159" t="s">
        <v>1825</v>
      </c>
      <c r="P1159" s="5">
        <v>0.0678825368936366</v>
      </c>
      <c r="Q1159" s="5">
        <v>0.0643726154773912</v>
      </c>
      <c r="R1159" s="5">
        <v>0.140505963731722</v>
      </c>
      <c r="T1159" s="5">
        <v>0.27276111610275</v>
      </c>
    </row>
    <row r="1160" spans="1:20">
      <c r="A1160" t="s">
        <v>1826</v>
      </c>
      <c r="R1160" s="5">
        <v>0.114161095532025</v>
      </c>
      <c r="S1160" s="5">
        <v>0.157577771793006</v>
      </c>
      <c r="T1160" s="5">
        <v>0.271738867325031</v>
      </c>
    </row>
    <row r="1161" spans="1:20">
      <c r="A1161" t="s">
        <v>1827</v>
      </c>
      <c r="R1161" s="5">
        <v>0.0878162273323266</v>
      </c>
      <c r="S1161" s="5">
        <v>0.171903023774188</v>
      </c>
      <c r="T1161" s="5">
        <v>0.259719251106515</v>
      </c>
    </row>
    <row r="1162" spans="1:20">
      <c r="A1162" t="s">
        <v>1828</v>
      </c>
      <c r="C1162" s="5">
        <v>0.0740117447219197</v>
      </c>
      <c r="J1162" s="5">
        <v>0.0488744568048439</v>
      </c>
      <c r="O1162" s="5">
        <v>0.0470629119122537</v>
      </c>
      <c r="P1162" s="5"/>
      <c r="Q1162" s="5"/>
      <c r="R1162" s="5">
        <v>0.0878162273323266</v>
      </c>
      <c r="T1162" s="5">
        <v>0.257765340771344</v>
      </c>
    </row>
    <row r="1163" spans="1:20">
      <c r="A1163" t="s">
        <v>1829</v>
      </c>
      <c r="R1163" s="5">
        <v>0.114161095532025</v>
      </c>
      <c r="S1163" s="5">
        <v>0.143252519811824</v>
      </c>
      <c r="T1163" s="5">
        <v>0.257413615343849</v>
      </c>
    </row>
    <row r="1164" spans="1:20">
      <c r="A1164" t="s">
        <v>1830</v>
      </c>
      <c r="N1164" s="5">
        <v>0.048528949241</v>
      </c>
      <c r="O1164" s="5">
        <v>0.0800069502508312</v>
      </c>
      <c r="P1164" s="5">
        <v>0.057439069679231</v>
      </c>
      <c r="Q1164" s="5">
        <v>0.0643726154773912</v>
      </c>
      <c r="R1164" s="5"/>
      <c r="S1164" s="5"/>
      <c r="T1164" s="5">
        <v>0.250347584648453</v>
      </c>
    </row>
    <row r="1165" spans="1:20">
      <c r="A1165" t="s">
        <v>1831</v>
      </c>
      <c r="R1165" s="5">
        <v>0.105379472798792</v>
      </c>
      <c r="S1165" s="5">
        <v>0.143252519811824</v>
      </c>
      <c r="T1165" s="5">
        <v>0.248631992610616</v>
      </c>
    </row>
    <row r="1166" spans="1:20">
      <c r="A1166" t="s">
        <v>1832</v>
      </c>
      <c r="R1166" s="5">
        <v>0.0878162273323266</v>
      </c>
      <c r="S1166" s="5">
        <v>0.157577771793006</v>
      </c>
      <c r="T1166" s="5">
        <v>0.245393999125333</v>
      </c>
    </row>
    <row r="1167" spans="1:20">
      <c r="A1167" t="s">
        <v>1833</v>
      </c>
      <c r="P1167" s="5">
        <v>0.057439069679231</v>
      </c>
      <c r="Q1167" s="5">
        <v>0.0643726154773912</v>
      </c>
      <c r="R1167" s="5">
        <v>0.122942718265257</v>
      </c>
      <c r="S1167" s="5"/>
      <c r="T1167" s="5">
        <v>0.244754403421879</v>
      </c>
    </row>
    <row r="1168" spans="1:20">
      <c r="A1168" t="s">
        <v>1834</v>
      </c>
      <c r="Q1168" s="5">
        <v>0.0708098770251303</v>
      </c>
      <c r="S1168" s="5">
        <v>0.171903023774188</v>
      </c>
      <c r="T1168" s="5">
        <v>0.242712900799318</v>
      </c>
    </row>
    <row r="1169" spans="1:20">
      <c r="A1169" t="s">
        <v>1835</v>
      </c>
      <c r="C1169" s="5">
        <v>0.23549191502429</v>
      </c>
      <c r="T1169" s="5">
        <v>0.23549191502429</v>
      </c>
    </row>
    <row r="1170" spans="1:20">
      <c r="A1170" t="s">
        <v>1836</v>
      </c>
      <c r="Q1170" s="5">
        <v>0.0772471385728694</v>
      </c>
      <c r="R1170" s="5">
        <v>0.158069209198188</v>
      </c>
      <c r="T1170" s="5">
        <v>0.235316347771057</v>
      </c>
    </row>
    <row r="1171" spans="1:20">
      <c r="A1171" t="s">
        <v>1837</v>
      </c>
      <c r="O1171" s="5">
        <v>0.051769203103479</v>
      </c>
      <c r="P1171" s="5">
        <v>0.0731042705008395</v>
      </c>
      <c r="Q1171" s="5">
        <v>0.109433446311565</v>
      </c>
      <c r="R1171" s="5"/>
      <c r="T1171" s="5">
        <v>0.234306919915883</v>
      </c>
    </row>
    <row r="1172" spans="1:20">
      <c r="A1172" t="s">
        <v>1838</v>
      </c>
      <c r="P1172" s="5">
        <v>0.0626608032864338</v>
      </c>
      <c r="Q1172" s="5">
        <v>0.0643726154773912</v>
      </c>
      <c r="R1172" s="5">
        <v>0.105379472798792</v>
      </c>
      <c r="T1172" s="5">
        <v>0.232412891562617</v>
      </c>
    </row>
    <row r="1173" spans="1:20">
      <c r="A1173" t="s">
        <v>1839</v>
      </c>
      <c r="R1173" s="5">
        <v>0.0878162273323266</v>
      </c>
      <c r="S1173" s="5">
        <v>0.143252519811824</v>
      </c>
      <c r="T1173" s="5">
        <v>0.231068747144151</v>
      </c>
    </row>
    <row r="1174" spans="1:20">
      <c r="A1174" t="s">
        <v>1840</v>
      </c>
      <c r="R1174" s="5">
        <v>0.0878162273323266</v>
      </c>
      <c r="S1174" s="5">
        <v>0.143252519811824</v>
      </c>
      <c r="T1174" s="5">
        <v>0.231068747144151</v>
      </c>
    </row>
    <row r="1175" spans="1:20">
      <c r="A1175" t="s">
        <v>1841</v>
      </c>
      <c r="R1175" s="5">
        <v>0.0878162273323266</v>
      </c>
      <c r="S1175" s="5">
        <v>0.143252519811824</v>
      </c>
      <c r="T1175" s="5">
        <v>0.231068747144151</v>
      </c>
    </row>
    <row r="1176" spans="1:20">
      <c r="A1176" t="s">
        <v>1842</v>
      </c>
      <c r="S1176" s="5">
        <v>0.229204031698918</v>
      </c>
      <c r="T1176" s="5">
        <v>0.229204031698918</v>
      </c>
    </row>
    <row r="1177" spans="1:20">
      <c r="A1177" t="s">
        <v>1843</v>
      </c>
      <c r="S1177" s="5">
        <v>0.229204031698918</v>
      </c>
      <c r="T1177" s="5">
        <v>0.229204031698918</v>
      </c>
    </row>
    <row r="1178" spans="1:20">
      <c r="A1178" t="s">
        <v>1844</v>
      </c>
      <c r="S1178" s="5">
        <v>0.229204031698918</v>
      </c>
      <c r="T1178" s="5">
        <v>0.229204031698918</v>
      </c>
    </row>
    <row r="1179" spans="1:20">
      <c r="A1179" t="s">
        <v>1845</v>
      </c>
      <c r="K1179" s="5">
        <v>0.0456953829704914</v>
      </c>
      <c r="L1179" s="5">
        <v>0.0605540391814911</v>
      </c>
      <c r="N1179" s="5">
        <v>0.0533818441651</v>
      </c>
      <c r="Q1179" s="5">
        <v>0.0643726154773912</v>
      </c>
      <c r="T1179" s="5">
        <v>0.224003881794474</v>
      </c>
    </row>
    <row r="1180" spans="1:20">
      <c r="A1180" t="s">
        <v>1846</v>
      </c>
      <c r="P1180" s="5">
        <v>0.0626608032864338</v>
      </c>
      <c r="Q1180" s="5">
        <v>0.0643726154773912</v>
      </c>
      <c r="R1180" s="5">
        <v>0.0965978500655592</v>
      </c>
      <c r="S1180" s="5"/>
      <c r="T1180" s="5">
        <v>0.223631268829384</v>
      </c>
    </row>
    <row r="1181" spans="1:20">
      <c r="A1181" t="s">
        <v>1847</v>
      </c>
      <c r="J1181" s="5">
        <v>0.0488744568048439</v>
      </c>
      <c r="M1181" s="5">
        <v>0.0483634509469588</v>
      </c>
      <c r="N1181" s="5">
        <v>0.0630876340133</v>
      </c>
      <c r="O1181" s="5">
        <v>0.0564754942947044</v>
      </c>
      <c r="T1181" s="5">
        <v>0.216801036059807</v>
      </c>
    </row>
    <row r="1182" spans="1:20">
      <c r="A1182" t="s">
        <v>1848</v>
      </c>
      <c r="O1182" s="5">
        <v>0.0611817854859297</v>
      </c>
      <c r="P1182" s="5"/>
      <c r="Q1182" s="5">
        <v>0.0643726154773912</v>
      </c>
      <c r="R1182" s="5">
        <v>0.0878162273323266</v>
      </c>
      <c r="T1182" s="5">
        <v>0.213370628295648</v>
      </c>
    </row>
    <row r="1183" spans="1:20">
      <c r="A1183" t="s">
        <v>1849</v>
      </c>
      <c r="O1183" s="5">
        <v>0.0470629119122537</v>
      </c>
      <c r="Q1183" s="5">
        <v>0.0772471385728694</v>
      </c>
      <c r="R1183" s="5">
        <v>0.0878162273323266</v>
      </c>
      <c r="T1183" s="5">
        <v>0.21212627781745</v>
      </c>
    </row>
    <row r="1184" spans="1:20">
      <c r="A1184" t="s">
        <v>1850</v>
      </c>
      <c r="M1184" s="5">
        <v>0.0531997960416547</v>
      </c>
      <c r="O1184" s="5">
        <v>0.0705943678683805</v>
      </c>
      <c r="P1184" s="5"/>
      <c r="R1184" s="5">
        <v>0.0878162273323266</v>
      </c>
      <c r="T1184" s="5">
        <v>0.211610391242362</v>
      </c>
    </row>
    <row r="1185" spans="1:20">
      <c r="A1185" t="s">
        <v>1851</v>
      </c>
      <c r="Q1185" s="5">
        <v>0.0643726154773912</v>
      </c>
      <c r="R1185" s="5"/>
      <c r="S1185" s="5">
        <v>0.143252519811824</v>
      </c>
      <c r="T1185" s="5">
        <v>0.207625135289215</v>
      </c>
    </row>
    <row r="1186" spans="1:20">
      <c r="A1186" t="s">
        <v>1852</v>
      </c>
      <c r="N1186" s="5">
        <v>0.0824992137096999</v>
      </c>
      <c r="O1186" s="5">
        <v>0.0564754942947044</v>
      </c>
      <c r="P1186" s="5">
        <v>0.0626608032864338</v>
      </c>
      <c r="T1186" s="5">
        <v>0.201635511290838</v>
      </c>
    </row>
    <row r="1187" spans="1:20">
      <c r="A1187" t="s">
        <v>1853</v>
      </c>
      <c r="O1187" s="5">
        <v>0.0470629119122537</v>
      </c>
      <c r="P1187" s="5">
        <v>0.057439069679231</v>
      </c>
      <c r="Q1187" s="5">
        <v>0.0965589232160868</v>
      </c>
      <c r="T1187" s="5">
        <v>0.201060904807572</v>
      </c>
    </row>
    <row r="1188" spans="1:20">
      <c r="A1188" t="s">
        <v>1854</v>
      </c>
      <c r="S1188" s="5">
        <v>0.200553527736553</v>
      </c>
      <c r="T1188" s="5">
        <v>0.200553527736553</v>
      </c>
    </row>
    <row r="1189" spans="1:20">
      <c r="A1189" t="s">
        <v>1855</v>
      </c>
      <c r="S1189" s="5">
        <v>0.200553527736553</v>
      </c>
      <c r="T1189" s="5">
        <v>0.200553527736553</v>
      </c>
    </row>
    <row r="1190" spans="1:20">
      <c r="A1190" t="s">
        <v>1856</v>
      </c>
      <c r="S1190" s="5">
        <v>0.200553527736553</v>
      </c>
      <c r="T1190" s="5">
        <v>0.200553527736553</v>
      </c>
    </row>
    <row r="1191" spans="1:20">
      <c r="A1191" t="s">
        <v>1857</v>
      </c>
      <c r="O1191" s="5">
        <v>0.0564754942947044</v>
      </c>
      <c r="P1191" s="5">
        <v>0.0626608032864338</v>
      </c>
      <c r="Q1191" s="5">
        <v>0.0772471385728694</v>
      </c>
      <c r="T1191" s="5">
        <v>0.196383436154008</v>
      </c>
    </row>
    <row r="1192" spans="1:20">
      <c r="A1192" t="s">
        <v>1858</v>
      </c>
      <c r="N1192" s="5">
        <v>0.0679405289373999</v>
      </c>
      <c r="O1192" s="5">
        <v>0.0564754942947044</v>
      </c>
      <c r="Q1192" s="5">
        <v>0.0708098770251303</v>
      </c>
      <c r="R1192" s="5"/>
      <c r="T1192" s="5">
        <v>0.195225900257235</v>
      </c>
    </row>
    <row r="1193" spans="1:20">
      <c r="A1193" t="s">
        <v>1859</v>
      </c>
      <c r="P1193" s="5">
        <v>0.0626608032864338</v>
      </c>
      <c r="Q1193" s="5"/>
      <c r="R1193" s="5">
        <v>0.13172434099849</v>
      </c>
      <c r="T1193" s="5">
        <v>0.194385144284924</v>
      </c>
    </row>
    <row r="1194" spans="1:20">
      <c r="A1194" t="s">
        <v>1860</v>
      </c>
      <c r="Q1194" s="5">
        <v>0.0708098770251303</v>
      </c>
      <c r="R1194" s="5">
        <v>0.122942718265257</v>
      </c>
      <c r="T1194" s="5">
        <v>0.193752595290387</v>
      </c>
    </row>
    <row r="1195" spans="1:20">
      <c r="A1195" t="s">
        <v>1861</v>
      </c>
      <c r="S1195" s="5">
        <v>0.186228275755371</v>
      </c>
      <c r="T1195" s="5">
        <v>0.186228275755371</v>
      </c>
    </row>
    <row r="1196" spans="1:20">
      <c r="A1196" t="s">
        <v>1862</v>
      </c>
      <c r="S1196" s="5">
        <v>0.186228275755371</v>
      </c>
      <c r="T1196" s="5">
        <v>0.186228275755371</v>
      </c>
    </row>
    <row r="1197" spans="1:20">
      <c r="A1197" t="s">
        <v>1863</v>
      </c>
      <c r="S1197" s="5">
        <v>0.186228275755371</v>
      </c>
      <c r="T1197" s="5">
        <v>0.186228275755371</v>
      </c>
    </row>
    <row r="1198" spans="1:20">
      <c r="A1198" t="s">
        <v>1864</v>
      </c>
      <c r="S1198" s="5">
        <v>0.186228275755371</v>
      </c>
      <c r="T1198" s="5">
        <v>0.186228275755371</v>
      </c>
    </row>
    <row r="1199" spans="1:20">
      <c r="A1199" t="s">
        <v>1865</v>
      </c>
      <c r="S1199" s="5">
        <v>0.186228275755371</v>
      </c>
      <c r="T1199" s="5">
        <v>0.186228275755371</v>
      </c>
    </row>
    <row r="1200" spans="1:20">
      <c r="A1200" t="s">
        <v>1866</v>
      </c>
      <c r="Q1200" s="5">
        <v>0.0708098770251303</v>
      </c>
      <c r="R1200" s="5">
        <v>0.114161095532025</v>
      </c>
      <c r="T1200" s="5">
        <v>0.184970972557155</v>
      </c>
    </row>
    <row r="1201" spans="1:20">
      <c r="A1201" t="s">
        <v>1867</v>
      </c>
      <c r="Q1201" s="5">
        <v>0.0836844001206085</v>
      </c>
      <c r="R1201" s="5">
        <v>0.0965978500655592</v>
      </c>
      <c r="S1201" s="5"/>
      <c r="T1201" s="5">
        <v>0.180282250186168</v>
      </c>
    </row>
    <row r="1202" spans="1:20">
      <c r="A1202" t="s">
        <v>1868</v>
      </c>
      <c r="F1202" s="5">
        <v>0.0588888667426484</v>
      </c>
      <c r="G1202" s="5">
        <v>0.0458480635520182</v>
      </c>
      <c r="J1202" s="5">
        <v>0.0755332514256679</v>
      </c>
      <c r="T1202" s="5">
        <v>0.180270181720335</v>
      </c>
    </row>
    <row r="1203" spans="1:20">
      <c r="A1203" t="s">
        <v>1869</v>
      </c>
      <c r="P1203" s="5">
        <v>0.0835477377152451</v>
      </c>
      <c r="R1203" s="5">
        <v>0.0965978500655592</v>
      </c>
      <c r="S1203" s="5"/>
      <c r="T1203" s="5">
        <v>0.180145587780804</v>
      </c>
    </row>
    <row r="1204" spans="1:20">
      <c r="A1204" t="s">
        <v>1870</v>
      </c>
      <c r="E1204" s="5">
        <v>0.0479971647114862</v>
      </c>
      <c r="F1204" s="5">
        <v>0.0860683437007938</v>
      </c>
      <c r="K1204" s="5">
        <v>0.0456953829704914</v>
      </c>
      <c r="T1204" s="5">
        <v>0.179760891382771</v>
      </c>
    </row>
    <row r="1205" spans="1:20">
      <c r="A1205" t="s">
        <v>1871</v>
      </c>
      <c r="Q1205" s="5">
        <v>0.0708098770251303</v>
      </c>
      <c r="R1205" s="5">
        <v>0.105379472798792</v>
      </c>
      <c r="T1205" s="5">
        <v>0.176189349823922</v>
      </c>
    </row>
    <row r="1206" spans="1:20">
      <c r="A1206" t="s">
        <v>1872</v>
      </c>
      <c r="Q1206" s="5">
        <v>0.0708098770251303</v>
      </c>
      <c r="R1206" s="5">
        <v>0.105379472798792</v>
      </c>
      <c r="T1206" s="5">
        <v>0.176189349823922</v>
      </c>
    </row>
    <row r="1207" spans="1:20">
      <c r="A1207" t="s">
        <v>1873</v>
      </c>
      <c r="Q1207" s="5">
        <v>0.0772471385728694</v>
      </c>
      <c r="R1207" s="5">
        <v>0.0965978500655592</v>
      </c>
      <c r="T1207" s="5">
        <v>0.173844988638429</v>
      </c>
    </row>
    <row r="1208" spans="1:20">
      <c r="A1208" t="s">
        <v>1874</v>
      </c>
      <c r="P1208" s="5">
        <v>0.0678825368936366</v>
      </c>
      <c r="Q1208" s="5"/>
      <c r="R1208" s="5">
        <v>0.105379472798792</v>
      </c>
      <c r="T1208" s="5">
        <v>0.173262009692429</v>
      </c>
    </row>
    <row r="1209" spans="1:20">
      <c r="A1209" t="s">
        <v>1875</v>
      </c>
      <c r="S1209" s="5">
        <v>0.171903023774188</v>
      </c>
      <c r="T1209" s="5">
        <v>0.171903023774188</v>
      </c>
    </row>
    <row r="1210" spans="1:20">
      <c r="A1210" t="s">
        <v>1876</v>
      </c>
      <c r="S1210" s="5">
        <v>0.171903023774188</v>
      </c>
      <c r="T1210" s="5">
        <v>0.171903023774188</v>
      </c>
    </row>
    <row r="1211" spans="1:20">
      <c r="A1211" t="s">
        <v>1877</v>
      </c>
      <c r="S1211" s="5">
        <v>0.171903023774188</v>
      </c>
      <c r="T1211" s="5">
        <v>0.171903023774188</v>
      </c>
    </row>
    <row r="1212" spans="1:20">
      <c r="A1212" t="s">
        <v>1878</v>
      </c>
      <c r="S1212" s="5">
        <v>0.171903023774188</v>
      </c>
      <c r="T1212" s="5">
        <v>0.171903023774188</v>
      </c>
    </row>
    <row r="1213" spans="1:20">
      <c r="A1213" t="s">
        <v>1879</v>
      </c>
      <c r="N1213" s="5">
        <v>0.048528949241</v>
      </c>
      <c r="O1213" s="5">
        <v>0.051769203103479</v>
      </c>
      <c r="Q1213" s="5">
        <v>0.0643726154773912</v>
      </c>
      <c r="T1213" s="5">
        <v>0.16467076782187</v>
      </c>
    </row>
    <row r="1214" spans="1:20">
      <c r="A1214" t="s">
        <v>1880</v>
      </c>
      <c r="P1214" s="5">
        <v>0.0731042705008395</v>
      </c>
      <c r="Q1214" s="5">
        <v>0.0901216616683477</v>
      </c>
      <c r="T1214" s="5">
        <v>0.163225932169187</v>
      </c>
    </row>
    <row r="1215" spans="1:20">
      <c r="A1215" t="s">
        <v>1881</v>
      </c>
      <c r="Q1215" s="5">
        <v>0.0643726154773912</v>
      </c>
      <c r="R1215" s="5">
        <v>0.0965978500655592</v>
      </c>
      <c r="T1215" s="5">
        <v>0.16097046554295</v>
      </c>
    </row>
    <row r="1216" spans="1:20">
      <c r="A1216" t="s">
        <v>1882</v>
      </c>
      <c r="Q1216" s="5">
        <v>0.0708098770251303</v>
      </c>
      <c r="R1216" s="5">
        <v>0.0878162273323266</v>
      </c>
      <c r="T1216" s="5">
        <v>0.158626104357457</v>
      </c>
    </row>
    <row r="1217" spans="1:20">
      <c r="A1217" t="s">
        <v>1883</v>
      </c>
      <c r="P1217" s="5">
        <v>0.0678825368936366</v>
      </c>
      <c r="Q1217" s="5">
        <v>0.0901216616683477</v>
      </c>
      <c r="R1217" s="5"/>
      <c r="T1217" s="5">
        <v>0.158004198561984</v>
      </c>
    </row>
    <row r="1218" spans="1:20">
      <c r="A1218" t="s">
        <v>1884</v>
      </c>
      <c r="P1218" s="5">
        <v>0.0522173360720282</v>
      </c>
      <c r="Q1218" s="5"/>
      <c r="R1218" s="5">
        <v>0.105379472798792</v>
      </c>
      <c r="T1218" s="5">
        <v>0.15759680887082</v>
      </c>
    </row>
    <row r="1219" spans="1:20">
      <c r="A1219" t="s">
        <v>1885</v>
      </c>
      <c r="S1219" s="5">
        <v>0.157577771793006</v>
      </c>
      <c r="T1219" s="5">
        <v>0.157577771793006</v>
      </c>
    </row>
    <row r="1220" spans="1:20">
      <c r="A1220" t="s">
        <v>1886</v>
      </c>
      <c r="S1220" s="5">
        <v>0.157577771793006</v>
      </c>
      <c r="T1220" s="5">
        <v>0.157577771793006</v>
      </c>
    </row>
    <row r="1221" spans="1:20">
      <c r="A1221" t="s">
        <v>1887</v>
      </c>
      <c r="S1221" s="5">
        <v>0.157577771793006</v>
      </c>
      <c r="T1221" s="5">
        <v>0.157577771793006</v>
      </c>
    </row>
    <row r="1222" spans="1:20">
      <c r="A1222" t="s">
        <v>1888</v>
      </c>
      <c r="S1222" s="5">
        <v>0.157577771793006</v>
      </c>
      <c r="T1222" s="5">
        <v>0.157577771793006</v>
      </c>
    </row>
    <row r="1223" spans="1:20">
      <c r="A1223" t="s">
        <v>1889</v>
      </c>
      <c r="N1223" s="5">
        <v>0.048528949241</v>
      </c>
      <c r="O1223" s="5">
        <v>0.0564754942947044</v>
      </c>
      <c r="P1223" s="5">
        <v>0.0522173360720282</v>
      </c>
      <c r="T1223" s="5">
        <v>0.157221779607733</v>
      </c>
    </row>
    <row r="1224" spans="1:20">
      <c r="A1224" t="s">
        <v>1890</v>
      </c>
      <c r="P1224" s="5">
        <v>0.0835477377152451</v>
      </c>
      <c r="Q1224" s="5">
        <v>0.0708098770251303</v>
      </c>
      <c r="T1224" s="5">
        <v>0.154357614740375</v>
      </c>
    </row>
    <row r="1225" spans="1:20">
      <c r="A1225" t="s">
        <v>1891</v>
      </c>
      <c r="Q1225" s="5">
        <v>0.0643726154773912</v>
      </c>
      <c r="R1225" s="5">
        <v>0.0878162273323266</v>
      </c>
      <c r="T1225" s="5">
        <v>0.152188842809718</v>
      </c>
    </row>
    <row r="1226" spans="1:20">
      <c r="A1226" t="s">
        <v>1892</v>
      </c>
      <c r="Q1226" s="5">
        <v>0.0643726154773912</v>
      </c>
      <c r="R1226" s="5">
        <v>0.0878162273323266</v>
      </c>
      <c r="S1226" s="5"/>
      <c r="T1226" s="5">
        <v>0.152188842809718</v>
      </c>
    </row>
    <row r="1227" spans="1:20">
      <c r="A1227" t="s">
        <v>1893</v>
      </c>
      <c r="Q1227" s="5">
        <v>0.0643726154773912</v>
      </c>
      <c r="R1227" s="5">
        <v>0.0878162273323266</v>
      </c>
      <c r="S1227" s="5"/>
      <c r="T1227" s="5">
        <v>0.152188842809718</v>
      </c>
    </row>
    <row r="1228" spans="1:20">
      <c r="A1228" t="s">
        <v>1894</v>
      </c>
      <c r="Q1228" s="5">
        <v>0.0643726154773912</v>
      </c>
      <c r="R1228" s="5">
        <v>0.0878162273323266</v>
      </c>
      <c r="S1228" s="5"/>
      <c r="T1228" s="5">
        <v>0.152188842809718</v>
      </c>
    </row>
    <row r="1229" spans="1:20">
      <c r="A1229" t="s">
        <v>1895</v>
      </c>
      <c r="P1229" s="5">
        <v>0.0731042705008395</v>
      </c>
      <c r="Q1229" s="5">
        <v>0.0772471385728694</v>
      </c>
      <c r="T1229" s="5">
        <v>0.150351409073709</v>
      </c>
    </row>
    <row r="1230" spans="1:20">
      <c r="A1230" t="s">
        <v>1896</v>
      </c>
      <c r="H1230" s="5">
        <v>0.0499583075215411</v>
      </c>
      <c r="K1230" s="5">
        <v>0.0456953829704914</v>
      </c>
      <c r="N1230" s="5">
        <v>0.0533818441651</v>
      </c>
      <c r="T1230" s="5">
        <v>0.149035534657133</v>
      </c>
    </row>
    <row r="1231" spans="1:20">
      <c r="A1231" t="s">
        <v>1897</v>
      </c>
      <c r="N1231" s="5">
        <v>0.0873521086337999</v>
      </c>
      <c r="O1231" s="5">
        <v>0.0611817854859297</v>
      </c>
      <c r="T1231" s="5">
        <v>0.14853389411973</v>
      </c>
    </row>
    <row r="1232" spans="1:20">
      <c r="A1232" t="s">
        <v>1898</v>
      </c>
      <c r="G1232" s="5">
        <v>0.0458480635520182</v>
      </c>
      <c r="H1232" s="5">
        <v>0.0499583075215411</v>
      </c>
      <c r="L1232" s="5">
        <v>0.0504616993179092</v>
      </c>
      <c r="T1232" s="5">
        <v>0.146268070391469</v>
      </c>
    </row>
    <row r="1233" spans="1:20">
      <c r="A1233" t="s">
        <v>1899</v>
      </c>
      <c r="P1233" s="5">
        <v>0.0731042705008395</v>
      </c>
      <c r="Q1233" s="5">
        <v>0.0708098770251303</v>
      </c>
      <c r="T1233" s="5">
        <v>0.14391414752597</v>
      </c>
    </row>
    <row r="1234" spans="1:20">
      <c r="A1234" t="s">
        <v>1900</v>
      </c>
      <c r="S1234" s="5">
        <v>0.143252519811824</v>
      </c>
      <c r="T1234" s="5">
        <v>0.143252519811824</v>
      </c>
    </row>
    <row r="1235" spans="1:20">
      <c r="A1235" t="s">
        <v>1901</v>
      </c>
      <c r="S1235" s="5">
        <v>0.143252519811824</v>
      </c>
      <c r="T1235" s="5">
        <v>0.143252519811824</v>
      </c>
    </row>
    <row r="1236" spans="1:20">
      <c r="A1236" t="s">
        <v>1902</v>
      </c>
      <c r="S1236" s="5">
        <v>0.143252519811824</v>
      </c>
      <c r="T1236" s="5">
        <v>0.143252519811824</v>
      </c>
    </row>
    <row r="1237" spans="1:20">
      <c r="A1237" t="s">
        <v>1903</v>
      </c>
      <c r="S1237" s="5">
        <v>0.143252519811824</v>
      </c>
      <c r="T1237" s="5">
        <v>0.143252519811824</v>
      </c>
    </row>
    <row r="1238" spans="1:20">
      <c r="A1238" t="s">
        <v>1904</v>
      </c>
      <c r="S1238" s="5">
        <v>0.143252519811824</v>
      </c>
      <c r="T1238" s="5">
        <v>0.143252519811824</v>
      </c>
    </row>
    <row r="1239" spans="1:20">
      <c r="A1239" t="s">
        <v>1905</v>
      </c>
      <c r="S1239" s="5">
        <v>0.143252519811824</v>
      </c>
      <c r="T1239" s="5">
        <v>0.143252519811824</v>
      </c>
    </row>
    <row r="1240" spans="1:20">
      <c r="A1240" t="s">
        <v>1906</v>
      </c>
      <c r="S1240" s="5">
        <v>0.143252519811824</v>
      </c>
      <c r="T1240" s="5">
        <v>0.143252519811824</v>
      </c>
    </row>
    <row r="1241" spans="1:20">
      <c r="A1241" t="s">
        <v>1907</v>
      </c>
      <c r="P1241" s="5">
        <v>0.0522173360720282</v>
      </c>
      <c r="Q1241" s="5">
        <v>0.0901216616683477</v>
      </c>
      <c r="R1241" s="5"/>
      <c r="T1241" s="5">
        <v>0.142338997740376</v>
      </c>
    </row>
    <row r="1242" spans="1:20">
      <c r="A1242" t="s">
        <v>1908</v>
      </c>
      <c r="R1242" s="5">
        <v>0.140505963731722</v>
      </c>
      <c r="T1242" s="5">
        <v>0.140505963731722</v>
      </c>
    </row>
    <row r="1243" spans="1:20">
      <c r="A1243" t="s">
        <v>1909</v>
      </c>
      <c r="R1243" s="5">
        <v>0.140505963731722</v>
      </c>
      <c r="T1243" s="5">
        <v>0.140505963731722</v>
      </c>
    </row>
    <row r="1244" spans="1:20">
      <c r="A1244" t="s">
        <v>1910</v>
      </c>
      <c r="R1244" s="5">
        <v>0.140505963731722</v>
      </c>
      <c r="T1244" s="5">
        <v>0.140505963731722</v>
      </c>
    </row>
    <row r="1245" spans="1:20">
      <c r="A1245" t="s">
        <v>1911</v>
      </c>
      <c r="P1245" s="5">
        <v>0.0678825368936366</v>
      </c>
      <c r="Q1245" s="5">
        <v>0.0708098770251303</v>
      </c>
      <c r="T1245" s="5">
        <v>0.138692413918767</v>
      </c>
    </row>
    <row r="1246" spans="1:20">
      <c r="A1246" t="s">
        <v>1912</v>
      </c>
      <c r="N1246" s="5">
        <v>0.0582347390892</v>
      </c>
      <c r="O1246" s="5">
        <v>0.0753006590596058</v>
      </c>
      <c r="P1246" s="5"/>
      <c r="Q1246" s="5"/>
      <c r="T1246" s="5">
        <v>0.133535398148806</v>
      </c>
    </row>
    <row r="1247" spans="1:20">
      <c r="A1247" t="s">
        <v>1913</v>
      </c>
      <c r="R1247" s="5">
        <v>0.13172434099849</v>
      </c>
      <c r="T1247" s="5">
        <v>0.13172434099849</v>
      </c>
    </row>
    <row r="1248" spans="1:20">
      <c r="A1248" t="s">
        <v>1914</v>
      </c>
      <c r="R1248" s="5">
        <v>0.13172434099849</v>
      </c>
      <c r="T1248" s="5">
        <v>0.13172434099849</v>
      </c>
    </row>
    <row r="1249" spans="1:20">
      <c r="A1249" t="s">
        <v>1915</v>
      </c>
      <c r="P1249" s="5">
        <v>0.0522173360720282</v>
      </c>
      <c r="Q1249" s="5">
        <v>0.0772471385728694</v>
      </c>
      <c r="R1249" s="5"/>
      <c r="T1249" s="5">
        <v>0.129464474644898</v>
      </c>
    </row>
    <row r="1250" spans="1:20">
      <c r="A1250" t="s">
        <v>1916</v>
      </c>
      <c r="O1250" s="5">
        <v>0.051769203103479</v>
      </c>
      <c r="Q1250" s="5">
        <v>0.0772471385728694</v>
      </c>
      <c r="T1250" s="5">
        <v>0.129016341676348</v>
      </c>
    </row>
    <row r="1251" spans="1:20">
      <c r="A1251" t="s">
        <v>1917</v>
      </c>
      <c r="D1251" s="5">
        <v>0.0645073028965714</v>
      </c>
      <c r="F1251" s="5">
        <v>0.063418779569006</v>
      </c>
      <c r="T1251" s="5">
        <v>0.127926082465577</v>
      </c>
    </row>
    <row r="1252" spans="1:20">
      <c r="A1252" t="s">
        <v>1918</v>
      </c>
      <c r="F1252" s="5">
        <v>0.0588888667426484</v>
      </c>
      <c r="G1252" s="5">
        <v>0.0687720953280273</v>
      </c>
      <c r="T1252" s="5">
        <v>0.127660962070676</v>
      </c>
    </row>
    <row r="1253" spans="1:20">
      <c r="A1253" t="s">
        <v>1919</v>
      </c>
      <c r="P1253" s="5">
        <v>0.0626608032864338</v>
      </c>
      <c r="Q1253" s="5">
        <v>0.0643726154773912</v>
      </c>
      <c r="R1253" s="5"/>
      <c r="T1253" s="5">
        <v>0.127033418763825</v>
      </c>
    </row>
    <row r="1254" spans="1:20">
      <c r="A1254" t="s">
        <v>1920</v>
      </c>
      <c r="P1254" s="5">
        <v>0.0522173360720282</v>
      </c>
      <c r="Q1254" s="5">
        <v>0.0708098770251303</v>
      </c>
      <c r="T1254" s="5">
        <v>0.123027213097159</v>
      </c>
    </row>
    <row r="1255" spans="1:20">
      <c r="A1255" t="s">
        <v>1921</v>
      </c>
      <c r="R1255" s="5">
        <v>0.122942718265257</v>
      </c>
      <c r="T1255" s="5">
        <v>0.122942718265257</v>
      </c>
    </row>
    <row r="1256" spans="1:20">
      <c r="A1256" t="s">
        <v>1922</v>
      </c>
      <c r="R1256" s="5">
        <v>0.122942718265257</v>
      </c>
      <c r="T1256" s="5">
        <v>0.122942718265257</v>
      </c>
    </row>
    <row r="1257" spans="1:20">
      <c r="A1257" t="s">
        <v>1923</v>
      </c>
      <c r="C1257" s="5">
        <v>0.114381787297512</v>
      </c>
      <c r="T1257" s="5">
        <v>0.114381787297512</v>
      </c>
    </row>
    <row r="1258" spans="1:20">
      <c r="A1258" t="s">
        <v>1924</v>
      </c>
      <c r="R1258" s="5">
        <v>0.114161095532025</v>
      </c>
      <c r="T1258" s="5">
        <v>0.114161095532025</v>
      </c>
    </row>
    <row r="1259" spans="1:20">
      <c r="A1259" t="s">
        <v>1925</v>
      </c>
      <c r="R1259" s="5">
        <v>0.114161095532025</v>
      </c>
      <c r="T1259" s="5">
        <v>0.114161095532025</v>
      </c>
    </row>
    <row r="1260" spans="1:20">
      <c r="A1260" t="s">
        <v>1926</v>
      </c>
      <c r="R1260" s="5">
        <v>0.114161095532025</v>
      </c>
      <c r="T1260" s="5">
        <v>0.114161095532025</v>
      </c>
    </row>
    <row r="1261" spans="1:20">
      <c r="A1261" t="s">
        <v>1927</v>
      </c>
      <c r="O1261" s="5">
        <v>0.0470629119122537</v>
      </c>
      <c r="P1261" s="5">
        <v>0.0626608032864338</v>
      </c>
      <c r="T1261" s="5">
        <v>0.109723715198688</v>
      </c>
    </row>
    <row r="1262" spans="1:20">
      <c r="A1262" t="s">
        <v>1928</v>
      </c>
      <c r="Q1262" s="5">
        <v>0.109433446311565</v>
      </c>
      <c r="R1262" s="5"/>
      <c r="T1262" s="5">
        <v>0.109433446311565</v>
      </c>
    </row>
    <row r="1263" spans="1:20">
      <c r="A1263" t="s">
        <v>1929</v>
      </c>
      <c r="M1263" s="5">
        <v>0.0531997960416547</v>
      </c>
      <c r="N1263" s="5">
        <v>0.0533818441651</v>
      </c>
      <c r="T1263" s="5">
        <v>0.106581640206755</v>
      </c>
    </row>
    <row r="1264" spans="1:20">
      <c r="A1264" t="s">
        <v>1930</v>
      </c>
      <c r="N1264" s="5">
        <v>0.0533818441651</v>
      </c>
      <c r="O1264" s="5"/>
      <c r="P1264" s="5">
        <v>0.0522173360720282</v>
      </c>
      <c r="T1264" s="5">
        <v>0.105599180237128</v>
      </c>
    </row>
    <row r="1265" spans="1:20">
      <c r="A1265" t="s">
        <v>1931</v>
      </c>
      <c r="R1265" s="5">
        <v>0.105379472798792</v>
      </c>
      <c r="T1265" s="5">
        <v>0.105379472798792</v>
      </c>
    </row>
    <row r="1266" spans="1:20">
      <c r="A1266" t="s">
        <v>1932</v>
      </c>
      <c r="R1266" s="5">
        <v>0.105379472798792</v>
      </c>
      <c r="T1266" s="5">
        <v>0.105379472798792</v>
      </c>
    </row>
    <row r="1267" spans="1:20">
      <c r="A1267" t="s">
        <v>1933</v>
      </c>
      <c r="R1267" s="5">
        <v>0.105379472798792</v>
      </c>
      <c r="T1267" s="5">
        <v>0.105379472798792</v>
      </c>
    </row>
    <row r="1268" spans="1:20">
      <c r="A1268" t="s">
        <v>1934</v>
      </c>
      <c r="R1268" s="5">
        <v>0.105379472798792</v>
      </c>
      <c r="T1268" s="5">
        <v>0.105379472798792</v>
      </c>
    </row>
    <row r="1269" spans="1:20">
      <c r="A1269" t="s">
        <v>1935</v>
      </c>
      <c r="R1269" s="5">
        <v>0.105379472798792</v>
      </c>
      <c r="T1269" s="5">
        <v>0.105379472798792</v>
      </c>
    </row>
    <row r="1270" spans="1:20">
      <c r="A1270" t="s">
        <v>1936</v>
      </c>
      <c r="N1270" s="5">
        <v>0.0533818441651</v>
      </c>
      <c r="O1270" s="5">
        <v>0.051769203103479</v>
      </c>
      <c r="T1270" s="5">
        <v>0.105151047268579</v>
      </c>
    </row>
    <row r="1271" spans="1:20">
      <c r="A1271" t="s">
        <v>1937</v>
      </c>
      <c r="N1271" s="5">
        <v>0.0533818441651</v>
      </c>
      <c r="O1271" s="5">
        <v>0.051769203103479</v>
      </c>
      <c r="T1271" s="5">
        <v>0.105151047268579</v>
      </c>
    </row>
    <row r="1272" spans="1:20">
      <c r="A1272" t="s">
        <v>1938</v>
      </c>
      <c r="N1272" s="5">
        <v>0.048528949241</v>
      </c>
      <c r="O1272" s="5">
        <v>0.0564754942947044</v>
      </c>
      <c r="T1272" s="5">
        <v>0.105004443535704</v>
      </c>
    </row>
    <row r="1273" spans="1:20">
      <c r="A1273" t="s">
        <v>1939</v>
      </c>
      <c r="O1273" s="5">
        <v>0.0470629119122537</v>
      </c>
      <c r="P1273" s="5">
        <v>0.057439069679231</v>
      </c>
      <c r="T1273" s="5">
        <v>0.104501981591485</v>
      </c>
    </row>
    <row r="1274" spans="1:20">
      <c r="A1274" t="s">
        <v>1940</v>
      </c>
      <c r="M1274" s="5">
        <v>0.0531997960416547</v>
      </c>
      <c r="O1274" s="5">
        <v>0.0470629119122537</v>
      </c>
      <c r="T1274" s="5">
        <v>0.100262707953908</v>
      </c>
    </row>
    <row r="1275" spans="1:20">
      <c r="A1275" t="s">
        <v>1941</v>
      </c>
      <c r="E1275" s="5">
        <v>0.0527968811826348</v>
      </c>
      <c r="G1275" s="5">
        <v>0.0458480635520182</v>
      </c>
      <c r="T1275" s="5">
        <v>0.098644944734653</v>
      </c>
    </row>
    <row r="1276" spans="1:20">
      <c r="A1276" t="s">
        <v>1942</v>
      </c>
      <c r="R1276" s="5">
        <v>0.0965978500655592</v>
      </c>
      <c r="T1276" s="5">
        <v>0.0965978500655592</v>
      </c>
    </row>
    <row r="1277" spans="1:20">
      <c r="A1277" t="s">
        <v>1943</v>
      </c>
      <c r="R1277" s="5">
        <v>0.0965978500655592</v>
      </c>
      <c r="T1277" s="5">
        <v>0.0965978500655592</v>
      </c>
    </row>
    <row r="1278" spans="1:20">
      <c r="A1278" t="s">
        <v>1944</v>
      </c>
      <c r="R1278" s="5">
        <v>0.0965978500655592</v>
      </c>
      <c r="T1278" s="5">
        <v>0.0965978500655592</v>
      </c>
    </row>
    <row r="1279" spans="1:20">
      <c r="A1279" t="s">
        <v>1945</v>
      </c>
      <c r="R1279" s="5">
        <v>0.0965978500655592</v>
      </c>
      <c r="T1279" s="5">
        <v>0.0965978500655592</v>
      </c>
    </row>
    <row r="1280" spans="1:20">
      <c r="A1280" t="s">
        <v>1946</v>
      </c>
      <c r="R1280" s="5">
        <v>0.0965978500655592</v>
      </c>
      <c r="T1280" s="5">
        <v>0.0965978500655592</v>
      </c>
    </row>
    <row r="1281" spans="1:20">
      <c r="A1281" t="s">
        <v>1947</v>
      </c>
      <c r="J1281" s="5">
        <v>0.04443132436804</v>
      </c>
      <c r="O1281" s="5">
        <v>0.0470629119122537</v>
      </c>
      <c r="T1281" s="5">
        <v>0.0914942362802937</v>
      </c>
    </row>
    <row r="1282" spans="1:20">
      <c r="A1282" t="s">
        <v>1948</v>
      </c>
      <c r="Q1282" s="5">
        <v>0.0901216616683477</v>
      </c>
      <c r="R1282" s="5"/>
      <c r="T1282" s="5">
        <v>0.0901216616683477</v>
      </c>
    </row>
    <row r="1283" spans="1:20">
      <c r="A1283" t="s">
        <v>1949</v>
      </c>
      <c r="R1283" s="5">
        <v>0.0878162273323266</v>
      </c>
      <c r="T1283" s="5">
        <v>0.0878162273323266</v>
      </c>
    </row>
    <row r="1284" spans="1:20">
      <c r="A1284" t="s">
        <v>1950</v>
      </c>
      <c r="R1284" s="5">
        <v>0.0878162273323266</v>
      </c>
      <c r="T1284" s="5">
        <v>0.0878162273323266</v>
      </c>
    </row>
    <row r="1285" spans="1:20">
      <c r="A1285" t="s">
        <v>1951</v>
      </c>
      <c r="R1285" s="5">
        <v>0.0878162273323266</v>
      </c>
      <c r="T1285" s="5">
        <v>0.0878162273323266</v>
      </c>
    </row>
    <row r="1286" spans="1:20">
      <c r="A1286" t="s">
        <v>1952</v>
      </c>
      <c r="R1286" s="5">
        <v>0.0878162273323266</v>
      </c>
      <c r="T1286" s="5">
        <v>0.0878162273323266</v>
      </c>
    </row>
    <row r="1287" spans="1:20">
      <c r="A1287" t="s">
        <v>1953</v>
      </c>
      <c r="R1287" s="5">
        <v>0.0878162273323266</v>
      </c>
      <c r="T1287" s="5">
        <v>0.0878162273323266</v>
      </c>
    </row>
    <row r="1288" spans="1:20">
      <c r="A1288" t="s">
        <v>1954</v>
      </c>
      <c r="R1288" s="5">
        <v>0.0878162273323266</v>
      </c>
      <c r="T1288" s="5">
        <v>0.0878162273323266</v>
      </c>
    </row>
    <row r="1289" spans="1:20">
      <c r="A1289" t="s">
        <v>1955</v>
      </c>
      <c r="R1289" s="5">
        <v>0.0878162273323266</v>
      </c>
      <c r="T1289" s="5">
        <v>0.0878162273323266</v>
      </c>
    </row>
    <row r="1290" spans="1:20">
      <c r="A1290" t="s">
        <v>1956</v>
      </c>
      <c r="R1290" s="5">
        <v>0.0878162273323266</v>
      </c>
      <c r="T1290" s="5">
        <v>0.0878162273323266</v>
      </c>
    </row>
    <row r="1291" spans="1:20">
      <c r="A1291" t="s">
        <v>1957</v>
      </c>
      <c r="R1291" s="5">
        <v>0.0878162273323266</v>
      </c>
      <c r="T1291" s="5">
        <v>0.0878162273323266</v>
      </c>
    </row>
    <row r="1292" spans="1:20">
      <c r="A1292" t="s">
        <v>1958</v>
      </c>
      <c r="R1292" s="5">
        <v>0.0878162273323266</v>
      </c>
      <c r="T1292" s="5">
        <v>0.0878162273323266</v>
      </c>
    </row>
    <row r="1293" spans="1:20">
      <c r="A1293" t="s">
        <v>1959</v>
      </c>
      <c r="Q1293" s="5">
        <v>0.0836844001206085</v>
      </c>
      <c r="T1293" s="5">
        <v>0.0836844001206085</v>
      </c>
    </row>
    <row r="1294" spans="1:20">
      <c r="A1294" t="s">
        <v>1960</v>
      </c>
      <c r="F1294" s="5">
        <v>0.0815384308744363</v>
      </c>
      <c r="T1294" s="5">
        <v>0.0815384308744363</v>
      </c>
    </row>
    <row r="1295" spans="1:20">
      <c r="A1295" t="s">
        <v>1961</v>
      </c>
      <c r="P1295" s="5">
        <v>0.0783260041080423</v>
      </c>
      <c r="Q1295" s="5"/>
      <c r="T1295" s="5">
        <v>0.0783260041080423</v>
      </c>
    </row>
    <row r="1296" spans="1:20">
      <c r="A1296" t="s">
        <v>1962</v>
      </c>
      <c r="Q1296" s="5">
        <v>0.0772471385728694</v>
      </c>
      <c r="T1296" s="5">
        <v>0.0772471385728694</v>
      </c>
    </row>
    <row r="1297" spans="1:20">
      <c r="A1297" t="s">
        <v>1963</v>
      </c>
      <c r="Q1297" s="5">
        <v>0.0772471385728694</v>
      </c>
      <c r="T1297" s="5">
        <v>0.0772471385728694</v>
      </c>
    </row>
    <row r="1298" spans="1:20">
      <c r="A1298" t="s">
        <v>1964</v>
      </c>
      <c r="Q1298" s="5">
        <v>0.0772471385728694</v>
      </c>
      <c r="T1298" s="5">
        <v>0.0772471385728694</v>
      </c>
    </row>
    <row r="1299" spans="1:20">
      <c r="A1299" t="s">
        <v>1965</v>
      </c>
      <c r="Q1299" s="5">
        <v>0.0772471385728694</v>
      </c>
      <c r="T1299" s="5">
        <v>0.0772471385728694</v>
      </c>
    </row>
    <row r="1300" spans="1:20">
      <c r="A1300" t="s">
        <v>1966</v>
      </c>
      <c r="Q1300" s="5">
        <v>0.0772471385728694</v>
      </c>
      <c r="T1300" s="5">
        <v>0.0772471385728694</v>
      </c>
    </row>
    <row r="1301" spans="1:20">
      <c r="A1301" t="s">
        <v>1967</v>
      </c>
      <c r="Q1301" s="5">
        <v>0.0772471385728694</v>
      </c>
      <c r="T1301" s="5">
        <v>0.0772471385728694</v>
      </c>
    </row>
    <row r="1302" spans="1:20">
      <c r="A1302" t="s">
        <v>1968</v>
      </c>
      <c r="P1302" s="5">
        <v>0.0731042705008395</v>
      </c>
      <c r="T1302" s="5">
        <v>0.0731042705008395</v>
      </c>
    </row>
    <row r="1303" spans="1:20">
      <c r="A1303" t="s">
        <v>1969</v>
      </c>
      <c r="P1303" s="5">
        <v>0.0731042705008395</v>
      </c>
      <c r="T1303" s="5">
        <v>0.0731042705008395</v>
      </c>
    </row>
    <row r="1304" spans="1:20">
      <c r="A1304" t="s">
        <v>1970</v>
      </c>
      <c r="Q1304" s="5">
        <v>0.0708098770251303</v>
      </c>
      <c r="T1304" s="5">
        <v>0.0708098770251303</v>
      </c>
    </row>
    <row r="1305" spans="1:20">
      <c r="A1305" t="s">
        <v>1971</v>
      </c>
      <c r="Q1305" s="5">
        <v>0.0708098770251303</v>
      </c>
      <c r="T1305" s="5">
        <v>0.0708098770251303</v>
      </c>
    </row>
    <row r="1306" spans="1:20">
      <c r="A1306" t="s">
        <v>1972</v>
      </c>
      <c r="Q1306" s="5">
        <v>0.0708098770251303</v>
      </c>
      <c r="T1306" s="5">
        <v>0.0708098770251303</v>
      </c>
    </row>
    <row r="1307" spans="1:20">
      <c r="A1307" t="s">
        <v>1973</v>
      </c>
      <c r="L1307" s="5">
        <v>0.0706463790450729</v>
      </c>
      <c r="T1307" s="5">
        <v>0.0706463790450729</v>
      </c>
    </row>
    <row r="1308" spans="1:20">
      <c r="A1308" t="s">
        <v>1974</v>
      </c>
      <c r="C1308" s="5">
        <v>0.0672834042926543</v>
      </c>
      <c r="T1308" s="5">
        <v>0.0672834042926543</v>
      </c>
    </row>
    <row r="1309" spans="1:20">
      <c r="A1309" t="s">
        <v>1975</v>
      </c>
      <c r="Q1309" s="5">
        <v>0.0643726154773912</v>
      </c>
      <c r="T1309" s="5">
        <v>0.0643726154773912</v>
      </c>
    </row>
    <row r="1310" spans="1:20">
      <c r="A1310" t="s">
        <v>1976</v>
      </c>
      <c r="Q1310" s="5">
        <v>0.0643726154773912</v>
      </c>
      <c r="T1310" s="5">
        <v>0.0643726154773912</v>
      </c>
    </row>
    <row r="1311" spans="1:20">
      <c r="A1311" t="s">
        <v>1977</v>
      </c>
      <c r="Q1311" s="5">
        <v>0.0643726154773912</v>
      </c>
      <c r="T1311" s="5">
        <v>0.0643726154773912</v>
      </c>
    </row>
    <row r="1312" spans="1:20">
      <c r="A1312" t="s">
        <v>1978</v>
      </c>
      <c r="Q1312" s="5">
        <v>0.0643726154773912</v>
      </c>
      <c r="T1312" s="5">
        <v>0.0643726154773912</v>
      </c>
    </row>
    <row r="1313" spans="1:20">
      <c r="A1313" t="s">
        <v>1979</v>
      </c>
      <c r="Q1313" s="5">
        <v>0.0643726154773912</v>
      </c>
      <c r="T1313" s="5">
        <v>0.0643726154773912</v>
      </c>
    </row>
    <row r="1314" spans="1:20">
      <c r="A1314" t="s">
        <v>1980</v>
      </c>
      <c r="Q1314" s="5">
        <v>0.0643726154773912</v>
      </c>
      <c r="T1314" s="5">
        <v>0.0643726154773912</v>
      </c>
    </row>
    <row r="1315" spans="1:20">
      <c r="A1315" t="s">
        <v>1981</v>
      </c>
      <c r="Q1315" s="5">
        <v>0.0643726154773912</v>
      </c>
      <c r="T1315" s="5">
        <v>0.0643726154773912</v>
      </c>
    </row>
    <row r="1316" spans="1:20">
      <c r="A1316" t="s">
        <v>1982</v>
      </c>
      <c r="Q1316" s="5">
        <v>0.0643726154773912</v>
      </c>
      <c r="T1316" s="5">
        <v>0.0643726154773912</v>
      </c>
    </row>
    <row r="1317" spans="1:20">
      <c r="A1317" t="s">
        <v>1983</v>
      </c>
      <c r="P1317" s="5">
        <v>0.0626608032864338</v>
      </c>
      <c r="T1317" s="5">
        <v>0.0626608032864338</v>
      </c>
    </row>
    <row r="1318" spans="1:20">
      <c r="A1318" t="s">
        <v>1984</v>
      </c>
      <c r="O1318" s="5">
        <v>0.0611817854859297</v>
      </c>
      <c r="P1318" s="5"/>
      <c r="T1318" s="5">
        <v>0.0611817854859297</v>
      </c>
    </row>
    <row r="1319" spans="1:20">
      <c r="A1319" t="s">
        <v>1985</v>
      </c>
      <c r="K1319" s="5">
        <v>0.0594039978616389</v>
      </c>
      <c r="T1319" s="5">
        <v>0.0594039978616389</v>
      </c>
    </row>
    <row r="1320" spans="1:20">
      <c r="A1320" t="s">
        <v>1986</v>
      </c>
      <c r="F1320" s="5">
        <v>0.0588888667426484</v>
      </c>
      <c r="T1320" s="5">
        <v>0.0588888667426484</v>
      </c>
    </row>
    <row r="1321" spans="1:20">
      <c r="A1321" t="s">
        <v>1987</v>
      </c>
      <c r="P1321" s="5">
        <v>0.057439069679231</v>
      </c>
      <c r="T1321" s="5">
        <v>0.057439069679231</v>
      </c>
    </row>
    <row r="1322" spans="1:20">
      <c r="A1322" t="s">
        <v>1988</v>
      </c>
      <c r="P1322" s="5">
        <v>0.057439069679231</v>
      </c>
      <c r="T1322" s="5">
        <v>0.057439069679231</v>
      </c>
    </row>
    <row r="1323" spans="1:20">
      <c r="A1323" t="s">
        <v>1989</v>
      </c>
      <c r="P1323" s="5">
        <v>0.057439069679231</v>
      </c>
      <c r="T1323" s="5">
        <v>0.057439069679231</v>
      </c>
    </row>
    <row r="1324" spans="1:20">
      <c r="A1324" t="s">
        <v>1990</v>
      </c>
      <c r="P1324" s="5">
        <v>0.057439069679231</v>
      </c>
      <c r="T1324" s="5">
        <v>0.057439069679231</v>
      </c>
    </row>
    <row r="1325" spans="1:20">
      <c r="A1325" t="s">
        <v>1991</v>
      </c>
      <c r="P1325" s="5">
        <v>0.057439069679231</v>
      </c>
      <c r="T1325" s="5">
        <v>0.057439069679231</v>
      </c>
    </row>
    <row r="1326" spans="1:20">
      <c r="A1326" t="s">
        <v>1992</v>
      </c>
      <c r="K1326" s="5">
        <v>0.0548344595645897</v>
      </c>
      <c r="T1326" s="5">
        <v>0.0548344595645897</v>
      </c>
    </row>
    <row r="1327" spans="1:20">
      <c r="A1327" t="s">
        <v>1993</v>
      </c>
      <c r="N1327" s="5">
        <v>0.0533818441651</v>
      </c>
      <c r="T1327" s="5">
        <v>0.0533818441651</v>
      </c>
    </row>
    <row r="1328" spans="1:20">
      <c r="A1328" t="s">
        <v>1994</v>
      </c>
      <c r="N1328" s="5">
        <v>0.0533818441651</v>
      </c>
      <c r="T1328" s="5">
        <v>0.0533818441651</v>
      </c>
    </row>
    <row r="1329" spans="1:20">
      <c r="A1329" t="s">
        <v>1995</v>
      </c>
      <c r="M1329" s="5">
        <v>0.0531997960416547</v>
      </c>
      <c r="T1329" s="5">
        <v>0.0531997960416547</v>
      </c>
    </row>
    <row r="1330" spans="1:20">
      <c r="A1330" t="s">
        <v>1996</v>
      </c>
      <c r="P1330" s="5">
        <v>0.0522173360720282</v>
      </c>
      <c r="T1330" s="5">
        <v>0.0522173360720282</v>
      </c>
    </row>
    <row r="1331" spans="1:20">
      <c r="A1331" t="s">
        <v>1997</v>
      </c>
      <c r="P1331" s="5">
        <v>0.0522173360720282</v>
      </c>
      <c r="T1331" s="5">
        <v>0.0522173360720282</v>
      </c>
    </row>
    <row r="1332" spans="1:20">
      <c r="A1332" t="s">
        <v>1998</v>
      </c>
      <c r="P1332" s="5">
        <v>0.0522173360720282</v>
      </c>
      <c r="T1332" s="5">
        <v>0.0522173360720282</v>
      </c>
    </row>
    <row r="1333" spans="1:20">
      <c r="A1333" t="s">
        <v>1999</v>
      </c>
      <c r="K1333" s="5">
        <v>0.0502649212675406</v>
      </c>
      <c r="T1333" s="5">
        <v>0.0502649212675406</v>
      </c>
    </row>
    <row r="1334" spans="1:20">
      <c r="A1334" t="s">
        <v>2000</v>
      </c>
      <c r="H1334" s="5">
        <v>0.0499583075215411</v>
      </c>
      <c r="T1334" s="5">
        <v>0.0499583075215411</v>
      </c>
    </row>
    <row r="1335" spans="1:20">
      <c r="A1335" t="s">
        <v>2001</v>
      </c>
      <c r="N1335" s="5">
        <v>0.048528949241</v>
      </c>
      <c r="O1335" s="5"/>
      <c r="T1335" s="5">
        <v>0.048528949241</v>
      </c>
    </row>
    <row r="1336" spans="1:20">
      <c r="A1336" t="s">
        <v>2002</v>
      </c>
      <c r="N1336" s="5">
        <v>0.048528949241</v>
      </c>
      <c r="T1336" s="5">
        <v>0.048528949241</v>
      </c>
    </row>
    <row r="1337" spans="1:20">
      <c r="A1337" t="s">
        <v>2003</v>
      </c>
      <c r="M1337" s="5">
        <v>0.0483634509469588</v>
      </c>
      <c r="T1337" s="5">
        <v>0.0483634509469588</v>
      </c>
    </row>
    <row r="1338" spans="1:20">
      <c r="A1338" t="s">
        <v>2004</v>
      </c>
      <c r="O1338" s="5">
        <v>0.0470629119122537</v>
      </c>
      <c r="T1338" s="5">
        <v>0.0470629119122537</v>
      </c>
    </row>
    <row r="1339" spans="1:20">
      <c r="A1339" t="s">
        <v>2005</v>
      </c>
      <c r="O1339" s="5">
        <v>0.0470629119122537</v>
      </c>
      <c r="T1339" s="5">
        <v>0.0470629119122537</v>
      </c>
    </row>
    <row r="1340" spans="1:20">
      <c r="A1340" t="s">
        <v>2006</v>
      </c>
      <c r="G1340" s="5">
        <v>0.0458480635520182</v>
      </c>
      <c r="T1340" s="5">
        <v>0.0458480635520182</v>
      </c>
    </row>
    <row r="1341" spans="1:20">
      <c r="A1341" s="12" t="s">
        <v>2007</v>
      </c>
      <c r="B1341" s="13"/>
      <c r="C1341" s="13"/>
      <c r="D1341" s="13"/>
      <c r="E1341" s="13"/>
      <c r="F1341" s="13"/>
      <c r="G1341" s="13">
        <v>0.0458480635520182</v>
      </c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>
        <v>0.0458480635520182</v>
      </c>
    </row>
    <row r="1342" spans="1:20">
      <c r="A1342" s="14" t="s">
        <v>2008</v>
      </c>
      <c r="B1342" s="15"/>
      <c r="C1342" s="15"/>
      <c r="D1342" s="15"/>
      <c r="E1342" s="15"/>
      <c r="F1342" s="15">
        <v>0.0452991282635757</v>
      </c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>
        <v>0.0452991282635757</v>
      </c>
    </row>
  </sheetData>
  <autoFilter xmlns:etc="http://www.wps.cn/officeDocument/2017/etCustomData" ref="A1:T1342" etc:filterBottomFollowUsedRange="0">
    <sortState ref="A2:T1342">
      <sortCondition ref="I1" descending="1"/>
    </sortState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16" sqref="F3:F4 F9 F11 F16:F17"/>
    </sheetView>
  </sheetViews>
  <sheetFormatPr defaultColWidth="9.23076923076923" defaultRowHeight="16.8" outlineLevelCol="5"/>
  <cols>
    <col min="1" max="1" width="44.2307692307692" customWidth="1"/>
    <col min="2" max="2" width="9.23076923076923" style="1"/>
    <col min="5" max="5" width="85.0865384615385" customWidth="1"/>
    <col min="6" max="6" width="12.9230769230769" style="2"/>
  </cols>
  <sheetData>
    <row r="1" spans="1:6">
      <c r="A1" t="s">
        <v>544</v>
      </c>
      <c r="B1" s="1" t="s">
        <v>552</v>
      </c>
      <c r="E1" t="s">
        <v>668</v>
      </c>
      <c r="F1" s="2" t="s">
        <v>408</v>
      </c>
    </row>
    <row r="2" ht="17.55" spans="1:6">
      <c r="A2" t="s">
        <v>565</v>
      </c>
      <c r="B2" s="1">
        <v>0.96</v>
      </c>
      <c r="E2" t="s">
        <v>564</v>
      </c>
      <c r="F2" s="2">
        <v>156.770767886423</v>
      </c>
    </row>
    <row r="3" ht="17.55" spans="1:6">
      <c r="A3" t="s">
        <v>580</v>
      </c>
      <c r="B3" s="1">
        <v>9.23</v>
      </c>
      <c r="E3" s="3" t="s">
        <v>2009</v>
      </c>
      <c r="F3" s="2">
        <v>25.4759405608431</v>
      </c>
    </row>
    <row r="4" ht="17.55" spans="1:6">
      <c r="A4" t="s">
        <v>600</v>
      </c>
      <c r="B4" s="1">
        <v>0.19</v>
      </c>
      <c r="E4" s="3" t="s">
        <v>2010</v>
      </c>
      <c r="F4" s="2">
        <v>22.4067549968637</v>
      </c>
    </row>
    <row r="5" ht="17.55" spans="1:6">
      <c r="A5" t="s">
        <v>602</v>
      </c>
      <c r="B5" s="1">
        <v>0.82</v>
      </c>
      <c r="E5" s="3" t="s">
        <v>2011</v>
      </c>
      <c r="F5" s="2">
        <v>10.0917541951346</v>
      </c>
    </row>
    <row r="6" ht="17.55" spans="1:6">
      <c r="A6" t="s">
        <v>605</v>
      </c>
      <c r="B6" s="1">
        <v>0.34</v>
      </c>
      <c r="E6" s="3" t="s">
        <v>2012</v>
      </c>
      <c r="F6" s="2">
        <v>6.34241670561954</v>
      </c>
    </row>
    <row r="7" ht="17.55" spans="1:6">
      <c r="A7" t="s">
        <v>607</v>
      </c>
      <c r="B7" s="1">
        <v>1.22</v>
      </c>
      <c r="E7" s="3" t="s">
        <v>2013</v>
      </c>
      <c r="F7" s="2">
        <v>5.883314155883</v>
      </c>
    </row>
    <row r="8" ht="17.55" spans="1:6">
      <c r="A8" t="s">
        <v>610</v>
      </c>
      <c r="B8" s="1">
        <v>9.83</v>
      </c>
      <c r="E8" s="3" t="s">
        <v>2014</v>
      </c>
      <c r="F8" s="2">
        <v>5.09263754244786</v>
      </c>
    </row>
    <row r="9" ht="17.55" spans="1:6">
      <c r="A9" t="s">
        <v>621</v>
      </c>
      <c r="B9" s="1">
        <v>1.01</v>
      </c>
      <c r="E9" s="4" t="s">
        <v>2015</v>
      </c>
      <c r="F9" s="2">
        <v>2.79287384423059</v>
      </c>
    </row>
    <row r="10" ht="17.55" spans="1:6">
      <c r="A10" t="s">
        <v>627</v>
      </c>
      <c r="B10" s="1">
        <v>1.28</v>
      </c>
      <c r="E10" s="3" t="s">
        <v>2016</v>
      </c>
      <c r="F10" s="2">
        <v>2.7631171974884</v>
      </c>
    </row>
    <row r="11" ht="17.55" spans="1:6">
      <c r="A11" t="s">
        <v>633</v>
      </c>
      <c r="B11" s="1">
        <v>0.4</v>
      </c>
      <c r="E11" s="3" t="s">
        <v>2017</v>
      </c>
      <c r="F11" s="2">
        <v>2.74611339935001</v>
      </c>
    </row>
    <row r="12" ht="17.55" spans="1:6">
      <c r="A12" t="s">
        <v>635</v>
      </c>
      <c r="B12" s="1">
        <v>0.6</v>
      </c>
      <c r="E12" s="3" t="s">
        <v>2018</v>
      </c>
      <c r="F12" s="2">
        <v>2.32952034495945</v>
      </c>
    </row>
    <row r="13" ht="17.55" spans="1:6">
      <c r="A13" t="s">
        <v>639</v>
      </c>
      <c r="B13" s="1">
        <v>0.1</v>
      </c>
      <c r="E13" s="3" t="s">
        <v>2019</v>
      </c>
      <c r="F13" s="2">
        <v>1.97669153358786</v>
      </c>
    </row>
    <row r="14" ht="17.55" spans="1:6">
      <c r="A14" t="s">
        <v>646</v>
      </c>
      <c r="B14" s="1">
        <v>0</v>
      </c>
      <c r="E14" s="3" t="s">
        <v>2020</v>
      </c>
      <c r="F14" s="2">
        <v>1.78114785499637</v>
      </c>
    </row>
    <row r="15" ht="17.55" spans="1:6">
      <c r="A15" t="s">
        <v>649</v>
      </c>
      <c r="B15" s="1">
        <v>0.47</v>
      </c>
      <c r="E15" s="3" t="s">
        <v>2021</v>
      </c>
      <c r="F15" s="2">
        <v>1.5643494287319</v>
      </c>
    </row>
    <row r="16" ht="17.55" spans="1:6">
      <c r="A16" t="s">
        <v>652</v>
      </c>
      <c r="B16" s="1">
        <v>0.98</v>
      </c>
      <c r="E16" s="3" t="s">
        <v>2022</v>
      </c>
      <c r="F16" s="2">
        <v>1.3773076492096</v>
      </c>
    </row>
    <row r="17" ht="17.55" spans="1:6">
      <c r="A17" t="s">
        <v>653</v>
      </c>
      <c r="B17" s="1">
        <v>0.17</v>
      </c>
      <c r="E17" s="3" t="s">
        <v>2023</v>
      </c>
      <c r="F17" s="2">
        <v>1.33054720432903</v>
      </c>
    </row>
    <row r="18" ht="17.55" spans="1:6">
      <c r="A18" t="s">
        <v>654</v>
      </c>
      <c r="B18" s="1">
        <v>13.04</v>
      </c>
      <c r="E18" s="3"/>
    </row>
    <row r="19" ht="17.55" spans="1:6">
      <c r="A19" t="s">
        <v>59</v>
      </c>
      <c r="B19" s="1">
        <v>41</v>
      </c>
      <c r="E19" s="3"/>
    </row>
    <row r="20" ht="17.55" spans="1:6">
      <c r="E20" s="3"/>
    </row>
    <row r="21" ht="17.55" spans="1:6">
      <c r="E21" s="4"/>
    </row>
    <row r="22" ht="17.55" spans="1:6">
      <c r="E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人口出生率、死亡率与自然增长率</vt:lpstr>
      <vt:lpstr>城乡居民膳食结构</vt:lpstr>
      <vt:lpstr>城乡居民每人每日食物摄入量</vt:lpstr>
      <vt:lpstr>城乡居民每人每日营养素摄入量</vt:lpstr>
      <vt:lpstr>婴儿死亡率与预期寿命</vt:lpstr>
      <vt:lpstr>2023年调查地区居民社会医疗保障制度构成</vt:lpstr>
      <vt:lpstr>医院诊疗人次数</vt:lpstr>
      <vt:lpstr>政府卫生支出所占比重</vt:lpstr>
      <vt:lpstr>城乡居民医疗保健支出</vt:lpstr>
      <vt:lpstr>2020全国分年龄人口</vt:lpstr>
      <vt:lpstr>2023美国5年组死亡率</vt:lpstr>
      <vt:lpstr>2023美国分年龄死亡率</vt:lpstr>
      <vt:lpstr>2020全国分年龄死亡人口</vt:lpstr>
      <vt:lpstr>2020年5年组死亡率</vt:lpstr>
      <vt:lpstr>2021年年龄别、疾病别死亡率</vt:lpstr>
      <vt:lpstr>2023美国分年龄、疾病死亡率</vt:lpstr>
      <vt:lpstr>Sheet19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thranduillegolas</dc:creator>
  <cp:lastModifiedBy>zsy</cp:lastModifiedBy>
  <dcterms:created xsi:type="dcterms:W3CDTF">2026-01-05T09:00:02Z</dcterms:created>
  <dcterms:modified xsi:type="dcterms:W3CDTF">2026-01-06T08:55:34Z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661D883CB6CCE73D120D5B6980829451_41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