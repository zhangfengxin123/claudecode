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ovasepps.sharepoint.com/sites/NPS_SHA/Common/CAP review/2025/"/>
    </mc:Choice>
  </mc:AlternateContent>
  <xr:revisionPtr revIDLastSave="0" documentId="13_ncr:1_{6FE1086E-0B4B-4B21-BF74-48093BF90D05}" xr6:coauthVersionLast="47" xr6:coauthVersionMax="47" xr10:uidLastSave="{00000000-0000-0000-0000-000000000000}"/>
  <bookViews>
    <workbookView xWindow="-110" yWindow="-110" windowWidth="19420" windowHeight="10300" xr2:uid="{045BFB0B-C525-4A41-B826-E2B7023E4076}"/>
  </bookViews>
  <sheets>
    <sheet name="Sheet1" sheetId="1" r:id="rId1"/>
  </sheets>
  <externalReferences>
    <externalReference r:id="rId2"/>
    <externalReference r:id="rId3"/>
  </externalReferences>
  <definedNames>
    <definedName name="CAPTYPE">[1]AutoList!$C$2:$C$6</definedName>
    <definedName name="MMMMM">[1]AutoList!$G$2:$G$9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7" i="1" l="1"/>
  <c r="F57" i="1" s="1"/>
  <c r="D56" i="1"/>
  <c r="F56" i="1" s="1"/>
  <c r="E55" i="1"/>
  <c r="E58" i="1" s="1"/>
  <c r="D55" i="1"/>
  <c r="F55" i="1" s="1"/>
  <c r="F58" i="1" l="1"/>
  <c r="D5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Delphine VILLETTE</author>
  </authors>
  <commentList>
    <comment ref="J3" authorId="0" shapeId="0" xr:uid="{C8564EDB-D236-4019-A389-3272AB0D3A45}">
      <text>
        <r>
          <rPr>
            <b/>
            <sz val="9"/>
            <rFont val="Tahoma"/>
            <family val="2"/>
          </rPr>
          <t xml:space="preserve">Codes Techno :
</t>
        </r>
        <r>
          <rPr>
            <sz val="8"/>
            <rFont val="Tahoma"/>
            <family val="2"/>
          </rPr>
          <t>ED (Electrodialyse)
SSMB (Chromato)
IEX (Echange Ions)
MF/UF (Micro/Ultrafiltation)
NF (Nanofiltration)
OI (Osmose Inverse)
EVAPO (Evaporation)
CA (Charbon Actif)</t>
        </r>
      </text>
    </comment>
  </commentList>
</comments>
</file>

<file path=xl/sharedStrings.xml><?xml version="1.0" encoding="utf-8"?>
<sst xmlns="http://schemas.openxmlformats.org/spreadsheetml/2006/main" count="145" uniqueCount="90">
  <si>
    <t>CAP Nr</t>
  </si>
  <si>
    <t>Issuer</t>
  </si>
  <si>
    <t>Dpt</t>
  </si>
  <si>
    <t>Customer</t>
  </si>
  <si>
    <t>Supplier</t>
  </si>
  <si>
    <t>CAP TYPE</t>
  </si>
  <si>
    <t>Compt Nr</t>
  </si>
  <si>
    <t>Project Nr</t>
  </si>
  <si>
    <t>Techno*</t>
  </si>
  <si>
    <t>Description</t>
  </si>
  <si>
    <t>Process</t>
  </si>
  <si>
    <t>Step of Process</t>
  </si>
  <si>
    <t>7M</t>
  </si>
  <si>
    <t>Hours (€)</t>
  </si>
  <si>
    <t>Eqmt (€)</t>
  </si>
  <si>
    <t>TOTAL (€)</t>
  </si>
  <si>
    <t>YLI</t>
  </si>
  <si>
    <t>IER</t>
  </si>
  <si>
    <t xml:space="preserve">Eppen </t>
  </si>
  <si>
    <t>kaiyuan</t>
  </si>
  <si>
    <t>Claim</t>
  </si>
  <si>
    <t>SSMB</t>
  </si>
  <si>
    <t>Non-conformity of QC during the client visiting</t>
  </si>
  <si>
    <t>I&amp;R process</t>
  </si>
  <si>
    <t>QC</t>
  </si>
  <si>
    <t>Management  / Management</t>
  </si>
  <si>
    <t>SQ26</t>
  </si>
  <si>
    <t>IEX</t>
  </si>
  <si>
    <t>Rubber lining defect &amp; Nozzle loose issue</t>
  </si>
  <si>
    <t>Manpower / Main d'œuvre</t>
  </si>
  <si>
    <t>DWA</t>
  </si>
  <si>
    <t>S&amp;C</t>
  </si>
  <si>
    <t xml:space="preserve">HUAKANG </t>
  </si>
  <si>
    <t>Jacobi</t>
  </si>
  <si>
    <t>Internal communication issue led to resin late delivery to client-Huakang</t>
  </si>
  <si>
    <t>Delivery</t>
  </si>
  <si>
    <t>Method / Méthode</t>
  </si>
  <si>
    <t xml:space="preserve">MPE </t>
  </si>
  <si>
    <t>Taiyixin (DUOWEI)</t>
  </si>
  <si>
    <t>MF</t>
  </si>
  <si>
    <t>TAIYIXIN lawsuit due to miscommunication of MYU( former S&amp;C Director)</t>
  </si>
  <si>
    <t>After sales process</t>
  </si>
  <si>
    <t>breach of contract</t>
  </si>
  <si>
    <t>Lesaffre</t>
  </si>
  <si>
    <t>CORUN</t>
  </si>
  <si>
    <t>Breakage of Beta membrane</t>
  </si>
  <si>
    <t>purchasing</t>
  </si>
  <si>
    <t>Material / Matière</t>
  </si>
  <si>
    <t>Kaiyuan</t>
  </si>
  <si>
    <t>Supplier Dysfonctionning</t>
  </si>
  <si>
    <t>CH5200A column deformation issue at Eppen</t>
  </si>
  <si>
    <t>Yinmore</t>
  </si>
  <si>
    <t>Mitsubishi</t>
  </si>
  <si>
    <t>75.2401/2450</t>
  </si>
  <si>
    <t>Decolo</t>
  </si>
  <si>
    <t>Yinmore decolor resin issue</t>
  </si>
  <si>
    <t xml:space="preserve">delivery </t>
  </si>
  <si>
    <t>Abbott</t>
  </si>
  <si>
    <t>FDS</t>
  </si>
  <si>
    <t>Hastelloy box female thread issue</t>
  </si>
  <si>
    <t>MHA</t>
  </si>
  <si>
    <t>Endress+Hauser</t>
  </si>
  <si>
    <t>Internal Anomaly</t>
  </si>
  <si>
    <t>Electromagnetic flowmeter does not meet client requirement</t>
  </si>
  <si>
    <t>Meca design</t>
  </si>
  <si>
    <t>FMH</t>
  </si>
  <si>
    <t>Dongya Sugar</t>
  </si>
  <si>
    <t>19498 &amp; 19511</t>
  </si>
  <si>
    <t>Issue in following the internal process for contract review and ordering process</t>
  </si>
  <si>
    <t>Contract validation</t>
  </si>
  <si>
    <t>原因</t>
  </si>
  <si>
    <t xml:space="preserve">Method </t>
  </si>
  <si>
    <t>Management</t>
  </si>
  <si>
    <t>Material</t>
  </si>
  <si>
    <t>manpower</t>
  </si>
  <si>
    <t>PP</t>
  </si>
  <si>
    <t>SP</t>
  </si>
  <si>
    <t>NC</t>
  </si>
  <si>
    <t>DIR</t>
  </si>
  <si>
    <t>MMA</t>
  </si>
  <si>
    <t>ACH</t>
  </si>
  <si>
    <t>SC</t>
  </si>
  <si>
    <t>PPD</t>
  </si>
  <si>
    <t>VPS</t>
  </si>
  <si>
    <t>HR</t>
  </si>
  <si>
    <t>HOURS 2025(€)</t>
  </si>
  <si>
    <t xml:space="preserve"> EQUIPEMENT 2025 (€)</t>
  </si>
  <si>
    <t xml:space="preserve"> SUM 2025(€)</t>
  </si>
  <si>
    <t>TOTAL  (€)</t>
  </si>
  <si>
    <t>NQ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</si>
</sst>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\ _€_-;\-* #,##0\ _€_-;_-* &quot;-&quot;??\ _€_-;_-@_-"/>
  </numFmts>
  <fonts count="8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color theme="4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9"/>
      <name val="Tahoma"/>
      <family val="2"/>
    </font>
    <font>
      <sz val="8"/>
      <name val="Tahoma"/>
      <family val="2"/>
    </font>
    <font>
      <sz val="10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164" fontId="0" fillId="0" borderId="0" xfId="0" applyNumberFormat="1"/>
    <xf numFmtId="0" fontId="0" fillId="0" borderId="1" xfId="0" applyBorder="1"/>
    <xf numFmtId="0" fontId="4" fillId="0" borderId="1" xfId="0" applyFont="1" applyBorder="1" applyAlignment="1">
      <alignment horizontal="right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/>
    <xf numFmtId="0" fontId="0" fillId="2" borderId="1" xfId="0" applyFill="1" applyBorder="1" applyAlignment="1">
      <alignment horizontal="center" vertical="center" textRotation="90" wrapText="1"/>
    </xf>
    <xf numFmtId="0" fontId="0" fillId="2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/>
    </xf>
    <xf numFmtId="0" fontId="0" fillId="6" borderId="1" xfId="0" applyFill="1" applyBorder="1" applyAlignment="1">
      <alignment horizontal="left"/>
    </xf>
    <xf numFmtId="14" fontId="2" fillId="6" borderId="1" xfId="0" applyNumberFormat="1" applyFont="1" applyFill="1" applyBorder="1" applyAlignment="1">
      <alignment horizontal="left"/>
    </xf>
    <xf numFmtId="0" fontId="3" fillId="6" borderId="1" xfId="0" applyFont="1" applyFill="1" applyBorder="1"/>
    <xf numFmtId="0" fontId="0" fillId="6" borderId="1" xfId="0" applyFill="1" applyBorder="1"/>
    <xf numFmtId="164" fontId="0" fillId="6" borderId="1" xfId="0" applyNumberFormat="1" applyFill="1" applyBorder="1"/>
    <xf numFmtId="0" fontId="0" fillId="7" borderId="1" xfId="0" applyFill="1" applyBorder="1" applyAlignment="1">
      <alignment horizontal="center"/>
    </xf>
    <xf numFmtId="0" fontId="0" fillId="7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14" fontId="2" fillId="0" borderId="1" xfId="0" applyNumberFormat="1" applyFont="1" applyBorder="1" applyAlignment="1">
      <alignment horizontal="left"/>
    </xf>
    <xf numFmtId="0" fontId="3" fillId="0" borderId="1" xfId="0" applyFont="1" applyBorder="1"/>
    <xf numFmtId="0" fontId="0" fillId="9" borderId="1" xfId="0" applyFill="1" applyBorder="1" applyAlignment="1">
      <alignment horizontal="center"/>
    </xf>
    <xf numFmtId="0" fontId="0" fillId="9" borderId="1" xfId="0" applyFill="1" applyBorder="1" applyAlignment="1">
      <alignment horizontal="left"/>
    </xf>
    <xf numFmtId="14" fontId="2" fillId="9" borderId="1" xfId="0" applyNumberFormat="1" applyFont="1" applyFill="1" applyBorder="1" applyAlignment="1">
      <alignment horizontal="left"/>
    </xf>
    <xf numFmtId="0" fontId="3" fillId="9" borderId="1" xfId="0" applyFont="1" applyFill="1" applyBorder="1"/>
    <xf numFmtId="0" fontId="0" fillId="9" borderId="1" xfId="0" applyFill="1" applyBorder="1"/>
    <xf numFmtId="164" fontId="0" fillId="9" borderId="1" xfId="0" applyNumberFormat="1" applyFill="1" applyBorder="1"/>
    <xf numFmtId="0" fontId="0" fillId="0" borderId="2" xfId="0" applyBorder="1"/>
    <xf numFmtId="0" fontId="0" fillId="0" borderId="3" xfId="0" applyBorder="1"/>
    <xf numFmtId="0" fontId="1" fillId="2" borderId="5" xfId="0" applyFont="1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/>
    </xf>
    <xf numFmtId="164" fontId="1" fillId="6" borderId="6" xfId="0" applyNumberFormat="1" applyFont="1" applyFill="1" applyBorder="1"/>
    <xf numFmtId="0" fontId="1" fillId="7" borderId="5" xfId="0" applyFont="1" applyFill="1" applyBorder="1" applyAlignment="1">
      <alignment horizontal="center"/>
    </xf>
    <xf numFmtId="164" fontId="1" fillId="8" borderId="6" xfId="0" applyNumberFormat="1" applyFont="1" applyFill="1" applyBorder="1"/>
    <xf numFmtId="0" fontId="1" fillId="9" borderId="5" xfId="0" applyFont="1" applyFill="1" applyBorder="1" applyAlignment="1">
      <alignment horizontal="center"/>
    </xf>
    <xf numFmtId="164" fontId="1" fillId="9" borderId="6" xfId="0" applyNumberFormat="1" applyFont="1" applyFill="1" applyBorder="1"/>
    <xf numFmtId="0" fontId="1" fillId="6" borderId="7" xfId="0" applyFont="1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6" borderId="8" xfId="0" applyFill="1" applyBorder="1" applyAlignment="1">
      <alignment horizontal="left"/>
    </xf>
    <xf numFmtId="14" fontId="2" fillId="6" borderId="8" xfId="0" applyNumberFormat="1" applyFont="1" applyFill="1" applyBorder="1" applyAlignment="1">
      <alignment horizontal="left"/>
    </xf>
    <xf numFmtId="0" fontId="3" fillId="6" borderId="8" xfId="0" applyFont="1" applyFill="1" applyBorder="1"/>
    <xf numFmtId="0" fontId="0" fillId="6" borderId="8" xfId="0" applyFill="1" applyBorder="1"/>
    <xf numFmtId="164" fontId="0" fillId="6" borderId="8" xfId="0" applyNumberFormat="1" applyFill="1" applyBorder="1"/>
    <xf numFmtId="164" fontId="1" fillId="6" borderId="9" xfId="0" applyNumberFormat="1" applyFont="1" applyFill="1" applyBorder="1"/>
    <xf numFmtId="0" fontId="7" fillId="2" borderId="1" xfId="0" applyFont="1" applyFill="1" applyBorder="1" applyAlignment="1">
      <alignment horizontal="center" vertical="center" wrapText="1"/>
    </xf>
    <xf numFmtId="0" fontId="0" fillId="10" borderId="3" xfId="0" applyFill="1" applyBorder="1" applyAlignment="1">
      <alignment horizontal="center"/>
    </xf>
    <xf numFmtId="0" fontId="0" fillId="10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'[2]2025'!$D$31</c:f>
              <c:strCache>
                <c:ptCount val="1"/>
                <c:pt idx="0">
                  <c:v>PP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'[2]2025'!$C$32:$C$39</c:f>
              <c:strCache>
                <c:ptCount val="8"/>
                <c:pt idx="0">
                  <c:v>DIR</c:v>
                </c:pt>
                <c:pt idx="1">
                  <c:v>MMA</c:v>
                </c:pt>
                <c:pt idx="2">
                  <c:v>IER</c:v>
                </c:pt>
                <c:pt idx="3">
                  <c:v>ACH</c:v>
                </c:pt>
                <c:pt idx="4">
                  <c:v>SC</c:v>
                </c:pt>
                <c:pt idx="5">
                  <c:v>PPD</c:v>
                </c:pt>
                <c:pt idx="6">
                  <c:v>VPS</c:v>
                </c:pt>
                <c:pt idx="7">
                  <c:v>HR</c:v>
                </c:pt>
              </c:strCache>
            </c:strRef>
          </c:cat>
          <c:val>
            <c:numRef>
              <c:f>'[2]2025'!$D$32:$D$39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38-4C74-9E3D-C3BB0D28C877}"/>
            </c:ext>
          </c:extLst>
        </c:ser>
        <c:ser>
          <c:idx val="1"/>
          <c:order val="1"/>
          <c:tx>
            <c:strRef>
              <c:f>'[2]2025'!$E$31</c:f>
              <c:strCache>
                <c:ptCount val="1"/>
                <c:pt idx="0">
                  <c:v>SP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'[2]2025'!$C$32:$C$39</c:f>
              <c:strCache>
                <c:ptCount val="8"/>
                <c:pt idx="0">
                  <c:v>DIR</c:v>
                </c:pt>
                <c:pt idx="1">
                  <c:v>MMA</c:v>
                </c:pt>
                <c:pt idx="2">
                  <c:v>IER</c:v>
                </c:pt>
                <c:pt idx="3">
                  <c:v>ACH</c:v>
                </c:pt>
                <c:pt idx="4">
                  <c:v>SC</c:v>
                </c:pt>
                <c:pt idx="5">
                  <c:v>PPD</c:v>
                </c:pt>
                <c:pt idx="6">
                  <c:v>VPS</c:v>
                </c:pt>
                <c:pt idx="7">
                  <c:v>HR</c:v>
                </c:pt>
              </c:strCache>
            </c:strRef>
          </c:cat>
          <c:val>
            <c:numRef>
              <c:f>'[2]2025'!$E$32:$E$39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38-4C74-9E3D-C3BB0D28C877}"/>
            </c:ext>
          </c:extLst>
        </c:ser>
        <c:ser>
          <c:idx val="2"/>
          <c:order val="2"/>
          <c:tx>
            <c:strRef>
              <c:f>'[2]2025'!$F$31</c:f>
              <c:strCache>
                <c:ptCount val="1"/>
                <c:pt idx="0">
                  <c:v>NC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'[2]2025'!$C$32:$C$39</c:f>
              <c:strCache>
                <c:ptCount val="8"/>
                <c:pt idx="0">
                  <c:v>DIR</c:v>
                </c:pt>
                <c:pt idx="1">
                  <c:v>MMA</c:v>
                </c:pt>
                <c:pt idx="2">
                  <c:v>IER</c:v>
                </c:pt>
                <c:pt idx="3">
                  <c:v>ACH</c:v>
                </c:pt>
                <c:pt idx="4">
                  <c:v>SC</c:v>
                </c:pt>
                <c:pt idx="5">
                  <c:v>PPD</c:v>
                </c:pt>
                <c:pt idx="6">
                  <c:v>VPS</c:v>
                </c:pt>
                <c:pt idx="7">
                  <c:v>HR</c:v>
                </c:pt>
              </c:strCache>
            </c:strRef>
          </c:cat>
          <c:val>
            <c:numRef>
              <c:f>'[2]2025'!$F$32:$F$39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38-4C74-9E3D-C3BB0D28C8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302655"/>
        <c:axId val="131306495"/>
      </c:barChart>
      <c:catAx>
        <c:axId val="131302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306495"/>
        <c:crosses val="autoZero"/>
        <c:auto val="1"/>
        <c:lblAlgn val="ctr"/>
        <c:lblOffset val="100"/>
        <c:noMultiLvlLbl val="0"/>
      </c:catAx>
      <c:valAx>
        <c:axId val="13130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302655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CAP 2025</a:t>
            </a:r>
          </a:p>
        </c:rich>
      </c:tx>
      <c:layout>
        <c:manualLayout>
          <c:xMode val="edge"/>
          <c:yMode val="edge"/>
          <c:x val="0.14315966754155732"/>
          <c:y val="1.94552529182879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672932238610361"/>
          <c:y val="0.27991362283727905"/>
          <c:w val="0.81388888888888888"/>
          <c:h val="0.69224455406109253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FCAE-4B44-A634-B2E19323DAD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FCAE-4B44-A634-B2E19323DAD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FCAE-4B44-A634-B2E19323DADA}"/>
              </c:ext>
            </c:extLst>
          </c:dPt>
          <c:dLbls>
            <c:dLbl>
              <c:idx val="0"/>
              <c:layout>
                <c:manualLayout>
                  <c:x val="-5.8333333333333334E-2"/>
                  <c:y val="1.7343647022095805E-7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7BC37A9B-2DBE-4072-9DF3-254B139E939A}" type="CATEGORYNAME">
                      <a:rPr lang="en-US"/>
                      <a:pPr>
                        <a:defRPr/>
                      </a:pPr>
                      <a:t>[CATEGORY NAME]</a:t>
                    </a:fld>
                    <a:r>
                      <a:rPr lang="en-US" baseline="0"/>
                      <a:t>
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877777777777778"/>
                      <c:h val="0.2445370370370370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FCAE-4B44-A634-B2E19323DADA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A450D2F1-0919-4127-9FE2-5BA603A089EF}" type="CATEGORYNAME">
                      <a:rPr lang="en-US"/>
                      <a:pPr>
                        <a:defRPr>
                          <a:solidFill>
                            <a:schemeClr val="accent1"/>
                          </a:solidFill>
                        </a:defRPr>
                      </a:pPr>
                      <a:t>[CATEGORY NAME]</a:t>
                    </a:fld>
                    <a:r>
                      <a:rPr lang="en-US" baseline="0"/>
                      <a:t>
2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FCAE-4B44-A634-B2E19323DADA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1877CCC2-F5A8-4495-8F8C-EF00FA22B885}" type="CATEGORYNAME">
                      <a:rPr lang="en-US"/>
                      <a:pPr>
                        <a:defRPr>
                          <a:solidFill>
                            <a:schemeClr val="accent1"/>
                          </a:solidFill>
                        </a:defRPr>
                      </a:pPr>
                      <a:t>[CATEGORY NAME]</a:t>
                    </a:fld>
                    <a:r>
                      <a:rPr lang="en-US" baseline="0"/>
                      <a:t>
7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FCAE-4B44-A634-B2E19323DADA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'[2]2025'!$D$17:$D$19</c:f>
              <c:strCache>
                <c:ptCount val="3"/>
                <c:pt idx="0">
                  <c:v>Supplier Dysfonctionning</c:v>
                </c:pt>
                <c:pt idx="1">
                  <c:v>Internal Anomaly</c:v>
                </c:pt>
                <c:pt idx="2">
                  <c:v>Claim</c:v>
                </c:pt>
              </c:strCache>
            </c:strRef>
          </c:cat>
          <c:val>
            <c:numRef>
              <c:f>'[2]2025'!$E$17:$E$19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CAE-4B44-A634-B2E19323DADA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'[2]2025'!$E$22</c:f>
              <c:strCache>
                <c:ptCount val="1"/>
                <c:pt idx="0">
                  <c:v>Supplier Dysfonctionning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CD6-4A0F-BCB9-46140261F30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CD6-4A0F-BCB9-46140261F30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CD6-4A0F-BCB9-46140261F30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'[2]2025'!$D$23:$D$26</c:f>
              <c:strCache>
                <c:ptCount val="4"/>
                <c:pt idx="0">
                  <c:v>Method </c:v>
                </c:pt>
                <c:pt idx="1">
                  <c:v>Management</c:v>
                </c:pt>
                <c:pt idx="2">
                  <c:v>Material</c:v>
                </c:pt>
                <c:pt idx="3">
                  <c:v>manpower</c:v>
                </c:pt>
              </c:strCache>
            </c:strRef>
          </c:cat>
          <c:val>
            <c:numRef>
              <c:f>'[2]2025'!$E$23:$E$26</c:f>
              <c:numCache>
                <c:formatCode>General</c:formatCode>
                <c:ptCount val="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CD6-4A0F-BCB9-46140261F30A}"/>
            </c:ext>
          </c:extLst>
        </c:ser>
        <c:ser>
          <c:idx val="1"/>
          <c:order val="1"/>
          <c:tx>
            <c:strRef>
              <c:f>'[2]2025'!$F$22</c:f>
              <c:strCache>
                <c:ptCount val="1"/>
                <c:pt idx="0">
                  <c:v>Internal Anomaly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CD6-4A0F-BCB9-46140261F30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CD6-4A0F-BCB9-46140261F30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CD6-4A0F-BCB9-46140261F30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'[2]2025'!$D$23:$D$26</c:f>
              <c:strCache>
                <c:ptCount val="4"/>
                <c:pt idx="0">
                  <c:v>Method </c:v>
                </c:pt>
                <c:pt idx="1">
                  <c:v>Management</c:v>
                </c:pt>
                <c:pt idx="2">
                  <c:v>Material</c:v>
                </c:pt>
                <c:pt idx="3">
                  <c:v>manpower</c:v>
                </c:pt>
              </c:strCache>
            </c:strRef>
          </c:cat>
          <c:val>
            <c:numRef>
              <c:f>'[2]2025'!$F$23:$F$26</c:f>
              <c:numCache>
                <c:formatCode>General</c:formatCode>
                <c:ptCount val="4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CD6-4A0F-BCB9-46140261F30A}"/>
            </c:ext>
          </c:extLst>
        </c:ser>
        <c:ser>
          <c:idx val="2"/>
          <c:order val="2"/>
          <c:tx>
            <c:strRef>
              <c:f>'[2]2025'!$G$22</c:f>
              <c:strCache>
                <c:ptCount val="1"/>
                <c:pt idx="0">
                  <c:v>Claim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'[2]2025'!$D$23:$D$26</c:f>
              <c:strCache>
                <c:ptCount val="4"/>
                <c:pt idx="0">
                  <c:v>Method </c:v>
                </c:pt>
                <c:pt idx="1">
                  <c:v>Management</c:v>
                </c:pt>
                <c:pt idx="2">
                  <c:v>Material</c:v>
                </c:pt>
                <c:pt idx="3">
                  <c:v>manpower</c:v>
                </c:pt>
              </c:strCache>
            </c:strRef>
          </c:cat>
          <c:val>
            <c:numRef>
              <c:f>'[2]2025'!$G$23:$G$26</c:f>
              <c:numCache>
                <c:formatCode>General</c:formatCode>
                <c:ptCount val="4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CD6-4A0F-BCB9-46140261F30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31304575"/>
        <c:axId val="131300255"/>
        <c:axId val="0"/>
      </c:bar3DChart>
      <c:catAx>
        <c:axId val="131304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300255"/>
        <c:crosses val="autoZero"/>
        <c:auto val="1"/>
        <c:lblAlgn val="ctr"/>
        <c:lblOffset val="100"/>
        <c:noMultiLvlLbl val="0"/>
      </c:catAx>
      <c:valAx>
        <c:axId val="13130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304575"/>
        <c:crosses val="autoZero"/>
        <c:crossBetween val="between"/>
        <c:min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111125</xdr:colOff>
      <xdr:row>41</xdr:row>
      <xdr:rowOff>76200</xdr:rowOff>
    </xdr:from>
    <xdr:to>
      <xdr:col>6</xdr:col>
      <xdr:colOff>209550</xdr:colOff>
      <xdr:row>50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268A8C-255A-4DD3-B856-B81DD47F76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415925</xdr:colOff>
      <xdr:row>16</xdr:row>
      <xdr:rowOff>31750</xdr:rowOff>
    </xdr:from>
    <xdr:to>
      <xdr:col>16</xdr:col>
      <xdr:colOff>117475</xdr:colOff>
      <xdr:row>31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68F6367-1C92-4D3D-A373-FFC9CBAAB9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473075</xdr:colOff>
      <xdr:row>31</xdr:row>
      <xdr:rowOff>158750</xdr:rowOff>
    </xdr:from>
    <xdr:to>
      <xdr:col>16</xdr:col>
      <xdr:colOff>174625</xdr:colOff>
      <xdr:row>45</xdr:row>
      <xdr:rowOff>107950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E9160AD-A803-4DDF-B278-11B74CF78E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ovasepps.sharepoint.com/sites/NPS_DATA/AQHSE/1-Qualite/1-FICHES_CAP/1.%20CHRONO_CAP.xlsx" TargetMode="External"/><Relationship Id="rId1" Type="http://schemas.openxmlformats.org/officeDocument/2006/relationships/externalLinkPath" Target="/sites/NPS_DATA/AQHSE/1-Qualite/1-FICHES_CAP/1.%20CHRONO_CA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icia.li\Desktop\Quality%20CAP\CAP\CAP%20follow%20up%20plan\Book1.xlsx" TargetMode="External"/><Relationship Id="rId1" Type="http://schemas.openxmlformats.org/officeDocument/2006/relationships/externalLinkPath" Target="Quality%20CAP/CAP/CAP%20follow%20up%20plan/Book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XRO"/>
      <sheetName val="Feuil2"/>
      <sheetName val="XRO Cargill Boz"/>
      <sheetName val="Chrono CAP"/>
      <sheetName val="Analyses"/>
      <sheetName val="REC-NQ"/>
      <sheetName val="CXDX"/>
      <sheetName val="Auto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C2" t="str">
            <v>Claim</v>
          </cell>
          <cell r="G2" t="str">
            <v>Manpower / Main d'œuvre</v>
          </cell>
        </row>
        <row r="3">
          <cell r="C3" t="str">
            <v>Internal Anomaly</v>
          </cell>
          <cell r="G3" t="str">
            <v>Material / Matière</v>
          </cell>
        </row>
        <row r="4">
          <cell r="C4" t="str">
            <v>Supplier Dysfonctionning</v>
          </cell>
          <cell r="G4" t="str">
            <v>Method / Méthode</v>
          </cell>
        </row>
        <row r="5">
          <cell r="C5" t="str">
            <v>Prevent / improve</v>
          </cell>
          <cell r="G5" t="str">
            <v>Environment / Milieu</v>
          </cell>
        </row>
        <row r="6">
          <cell r="C6" t="str">
            <v>Safety</v>
          </cell>
          <cell r="G6" t="str">
            <v>Management/management</v>
          </cell>
        </row>
        <row r="7">
          <cell r="G7" t="str">
            <v>Equipment / Matériel</v>
          </cell>
        </row>
        <row r="8">
          <cell r="G8" t="str">
            <v>Management  / Management</v>
          </cell>
        </row>
        <row r="9">
          <cell r="G9" t="str">
            <v>Measure / Mesure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  <sheetName val="2411"/>
      <sheetName val="2024"/>
      <sheetName val="2025"/>
    </sheetNames>
    <sheetDataSet>
      <sheetData sheetId="0"/>
      <sheetData sheetId="1"/>
      <sheetData sheetId="2"/>
      <sheetData sheetId="3"/>
      <sheetData sheetId="4"/>
      <sheetData sheetId="5">
        <row r="17">
          <cell r="D17" t="str">
            <v>Supplier Dysfonctionning</v>
          </cell>
          <cell r="E17">
            <v>1</v>
          </cell>
        </row>
        <row r="18">
          <cell r="D18" t="str">
            <v>Internal Anomaly</v>
          </cell>
          <cell r="E18">
            <v>2</v>
          </cell>
        </row>
        <row r="19">
          <cell r="D19" t="str">
            <v>Claim</v>
          </cell>
          <cell r="E19">
            <v>7</v>
          </cell>
        </row>
        <row r="22">
          <cell r="E22" t="str">
            <v>Supplier Dysfonctionning</v>
          </cell>
          <cell r="F22" t="str">
            <v>Internal Anomaly</v>
          </cell>
          <cell r="G22" t="str">
            <v>Claim</v>
          </cell>
        </row>
        <row r="23">
          <cell r="D23" t="str">
            <v xml:space="preserve">Method </v>
          </cell>
          <cell r="E23">
            <v>1</v>
          </cell>
          <cell r="F23">
            <v>2</v>
          </cell>
          <cell r="G23">
            <v>2</v>
          </cell>
        </row>
        <row r="24">
          <cell r="D24" t="str">
            <v>Management</v>
          </cell>
          <cell r="E24">
            <v>0</v>
          </cell>
          <cell r="F24">
            <v>0</v>
          </cell>
          <cell r="G24">
            <v>1</v>
          </cell>
        </row>
        <row r="25">
          <cell r="D25" t="str">
            <v>Material</v>
          </cell>
          <cell r="E25">
            <v>0</v>
          </cell>
          <cell r="F25">
            <v>0</v>
          </cell>
          <cell r="G25">
            <v>2</v>
          </cell>
        </row>
        <row r="26">
          <cell r="D26" t="str">
            <v>manpower</v>
          </cell>
          <cell r="E26">
            <v>0</v>
          </cell>
          <cell r="F26">
            <v>0</v>
          </cell>
          <cell r="G26">
            <v>2</v>
          </cell>
        </row>
        <row r="31">
          <cell r="D31" t="str">
            <v>PP</v>
          </cell>
          <cell r="E31" t="str">
            <v>SP</v>
          </cell>
          <cell r="F31" t="str">
            <v>NC</v>
          </cell>
        </row>
        <row r="32">
          <cell r="C32" t="str">
            <v>DIR</v>
          </cell>
          <cell r="D32">
            <v>0</v>
          </cell>
          <cell r="E32">
            <v>0</v>
          </cell>
          <cell r="F32">
            <v>0</v>
          </cell>
        </row>
        <row r="33">
          <cell r="C33" t="str">
            <v>MMA</v>
          </cell>
          <cell r="D33">
            <v>0</v>
          </cell>
          <cell r="E33">
            <v>0</v>
          </cell>
          <cell r="F33">
            <v>0</v>
          </cell>
        </row>
        <row r="34">
          <cell r="C34" t="str">
            <v>IER</v>
          </cell>
          <cell r="D34">
            <v>0</v>
          </cell>
          <cell r="E34">
            <v>1</v>
          </cell>
          <cell r="F34">
            <v>0</v>
          </cell>
        </row>
        <row r="35">
          <cell r="C35" t="str">
            <v>ACH</v>
          </cell>
          <cell r="D35">
            <v>0</v>
          </cell>
          <cell r="E35">
            <v>0</v>
          </cell>
          <cell r="F35">
            <v>0</v>
          </cell>
        </row>
        <row r="36">
          <cell r="C36" t="str">
            <v>SC</v>
          </cell>
          <cell r="D36">
            <v>0</v>
          </cell>
          <cell r="E36">
            <v>0</v>
          </cell>
          <cell r="F36">
            <v>0</v>
          </cell>
        </row>
        <row r="37">
          <cell r="C37" t="str">
            <v>PPD</v>
          </cell>
          <cell r="D37">
            <v>0</v>
          </cell>
          <cell r="E37">
            <v>0</v>
          </cell>
          <cell r="F37">
            <v>0</v>
          </cell>
        </row>
        <row r="38">
          <cell r="C38" t="str">
            <v>VPS</v>
          </cell>
          <cell r="D38">
            <v>0</v>
          </cell>
          <cell r="E38">
            <v>1</v>
          </cell>
          <cell r="F38">
            <v>0</v>
          </cell>
        </row>
        <row r="39">
          <cell r="C39" t="str">
            <v>HR</v>
          </cell>
          <cell r="D39">
            <v>0</v>
          </cell>
          <cell r="E39">
            <v>0</v>
          </cell>
          <cell r="F39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9615B-DC6F-4D61-A9AD-7267AFD17EE5}">
  <dimension ref="B1:Q59"/>
  <sheetViews>
    <sheetView tabSelected="1" workbookViewId="0">
      <selection activeCell="M12" sqref="M12"/>
    </sheetView>
  </sheetViews>
  <sheetFormatPr defaultRowHeight="14.5" x14ac:dyDescent="0.35"/>
  <cols>
    <col min="4" max="4" width="10.81640625" customWidth="1"/>
    <col min="5" max="5" width="21.36328125" customWidth="1"/>
    <col min="6" max="6" width="17" customWidth="1"/>
    <col min="11" max="11" width="14.7265625" customWidth="1"/>
    <col min="12" max="12" width="13.6328125" customWidth="1"/>
    <col min="13" max="13" width="9.81640625" customWidth="1"/>
    <col min="14" max="14" width="29.08984375" customWidth="1"/>
    <col min="15" max="15" width="17.54296875" customWidth="1"/>
    <col min="16" max="16" width="12.81640625" customWidth="1"/>
    <col min="17" max="17" width="14.36328125" customWidth="1"/>
  </cols>
  <sheetData>
    <row r="1" spans="2:17" ht="15" thickBot="1" x14ac:dyDescent="0.4"/>
    <row r="2" spans="2:17" x14ac:dyDescent="0.35">
      <c r="B2" s="28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47" t="s">
        <v>89</v>
      </c>
      <c r="P2" s="47"/>
      <c r="Q2" s="48"/>
    </row>
    <row r="3" spans="2:17" ht="29" x14ac:dyDescent="0.35">
      <c r="B3" s="30" t="s">
        <v>0</v>
      </c>
      <c r="C3" s="6" t="s">
        <v>1</v>
      </c>
      <c r="D3" s="6" t="s">
        <v>2</v>
      </c>
      <c r="E3" s="7" t="s">
        <v>3</v>
      </c>
      <c r="F3" s="7" t="s">
        <v>4</v>
      </c>
      <c r="G3" s="46" t="s">
        <v>5</v>
      </c>
      <c r="H3" s="8" t="s">
        <v>6</v>
      </c>
      <c r="I3" s="8" t="s">
        <v>7</v>
      </c>
      <c r="J3" s="8" t="s">
        <v>8</v>
      </c>
      <c r="K3" s="8" t="s">
        <v>9</v>
      </c>
      <c r="L3" s="9" t="s">
        <v>10</v>
      </c>
      <c r="M3" s="9" t="s">
        <v>11</v>
      </c>
      <c r="N3" s="9" t="s">
        <v>12</v>
      </c>
      <c r="O3" s="10" t="s">
        <v>13</v>
      </c>
      <c r="P3" s="10" t="s">
        <v>14</v>
      </c>
      <c r="Q3" s="31" t="s">
        <v>15</v>
      </c>
    </row>
    <row r="4" spans="2:17" x14ac:dyDescent="0.35">
      <c r="B4" s="32">
        <v>25008</v>
      </c>
      <c r="C4" s="11" t="s">
        <v>16</v>
      </c>
      <c r="D4" s="11" t="s">
        <v>17</v>
      </c>
      <c r="E4" s="12" t="s">
        <v>18</v>
      </c>
      <c r="F4" s="12" t="s">
        <v>19</v>
      </c>
      <c r="G4" s="13" t="s">
        <v>20</v>
      </c>
      <c r="H4" s="11"/>
      <c r="I4" s="11">
        <v>18589</v>
      </c>
      <c r="J4" s="14" t="s">
        <v>21</v>
      </c>
      <c r="K4" s="12" t="s">
        <v>22</v>
      </c>
      <c r="L4" s="12" t="s">
        <v>23</v>
      </c>
      <c r="M4" s="15" t="s">
        <v>24</v>
      </c>
      <c r="N4" s="12" t="s">
        <v>25</v>
      </c>
      <c r="O4" s="16">
        <v>437.5</v>
      </c>
      <c r="P4" s="16">
        <v>0</v>
      </c>
      <c r="Q4" s="33">
        <v>437.5</v>
      </c>
    </row>
    <row r="5" spans="2:17" x14ac:dyDescent="0.35">
      <c r="B5" s="32">
        <v>25009</v>
      </c>
      <c r="C5" s="11" t="s">
        <v>16</v>
      </c>
      <c r="D5" s="11" t="s">
        <v>17</v>
      </c>
      <c r="E5" s="12" t="s">
        <v>26</v>
      </c>
      <c r="F5" s="12" t="s">
        <v>19</v>
      </c>
      <c r="G5" s="13" t="s">
        <v>20</v>
      </c>
      <c r="H5" s="11">
        <v>3236</v>
      </c>
      <c r="I5" s="11">
        <v>18637</v>
      </c>
      <c r="J5" s="14" t="s">
        <v>27</v>
      </c>
      <c r="K5" s="12" t="s">
        <v>28</v>
      </c>
      <c r="L5" s="12" t="s">
        <v>23</v>
      </c>
      <c r="M5" s="15" t="s">
        <v>24</v>
      </c>
      <c r="N5" s="12" t="s">
        <v>29</v>
      </c>
      <c r="O5" s="16">
        <v>2381.94</v>
      </c>
      <c r="P5" s="16"/>
      <c r="Q5" s="33">
        <v>2381.94</v>
      </c>
    </row>
    <row r="6" spans="2:17" x14ac:dyDescent="0.35">
      <c r="B6" s="32">
        <v>25011</v>
      </c>
      <c r="C6" s="11" t="s">
        <v>30</v>
      </c>
      <c r="D6" s="11" t="s">
        <v>31</v>
      </c>
      <c r="E6" s="12" t="s">
        <v>32</v>
      </c>
      <c r="F6" s="12" t="s">
        <v>33</v>
      </c>
      <c r="G6" s="13" t="s">
        <v>20</v>
      </c>
      <c r="H6" s="11">
        <v>3041</v>
      </c>
      <c r="I6" s="11"/>
      <c r="J6" s="14" t="s">
        <v>21</v>
      </c>
      <c r="K6" s="12" t="s">
        <v>34</v>
      </c>
      <c r="L6" s="12" t="s">
        <v>23</v>
      </c>
      <c r="M6" s="15" t="s">
        <v>35</v>
      </c>
      <c r="N6" s="12" t="s">
        <v>36</v>
      </c>
      <c r="O6" s="16">
        <v>784</v>
      </c>
      <c r="P6" s="16"/>
      <c r="Q6" s="33">
        <v>784</v>
      </c>
    </row>
    <row r="7" spans="2:17" x14ac:dyDescent="0.35">
      <c r="B7" s="32">
        <v>25014</v>
      </c>
      <c r="C7" s="11" t="s">
        <v>37</v>
      </c>
      <c r="D7" s="11" t="s">
        <v>31</v>
      </c>
      <c r="E7" s="12" t="s">
        <v>38</v>
      </c>
      <c r="F7" s="12"/>
      <c r="G7" s="13" t="s">
        <v>20</v>
      </c>
      <c r="H7" s="11"/>
      <c r="I7" s="15">
        <v>45.003799999999998</v>
      </c>
      <c r="J7" s="14" t="s">
        <v>39</v>
      </c>
      <c r="K7" s="12" t="s">
        <v>40</v>
      </c>
      <c r="L7" s="12" t="s">
        <v>41</v>
      </c>
      <c r="M7" s="15" t="s">
        <v>42</v>
      </c>
      <c r="N7" s="12" t="s">
        <v>29</v>
      </c>
      <c r="O7" s="16">
        <v>986</v>
      </c>
      <c r="P7" s="16">
        <v>37791</v>
      </c>
      <c r="Q7" s="33">
        <v>38777</v>
      </c>
    </row>
    <row r="8" spans="2:17" x14ac:dyDescent="0.35">
      <c r="B8" s="34">
        <v>25018</v>
      </c>
      <c r="C8" s="17" t="s">
        <v>37</v>
      </c>
      <c r="D8" s="17" t="s">
        <v>31</v>
      </c>
      <c r="E8" s="18" t="s">
        <v>43</v>
      </c>
      <c r="F8" s="19" t="s">
        <v>44</v>
      </c>
      <c r="G8" s="20" t="s">
        <v>20</v>
      </c>
      <c r="H8" s="4">
        <v>75.247399999999999</v>
      </c>
      <c r="I8" s="4">
        <v>18873</v>
      </c>
      <c r="J8" s="21" t="s">
        <v>39</v>
      </c>
      <c r="K8" s="19" t="s">
        <v>45</v>
      </c>
      <c r="L8" s="19" t="s">
        <v>41</v>
      </c>
      <c r="M8" s="2" t="s">
        <v>46</v>
      </c>
      <c r="N8" s="19" t="s">
        <v>47</v>
      </c>
      <c r="O8" s="5"/>
      <c r="P8" s="5"/>
      <c r="Q8" s="35">
        <v>0</v>
      </c>
    </row>
    <row r="9" spans="2:17" x14ac:dyDescent="0.35">
      <c r="B9" s="32">
        <v>25019</v>
      </c>
      <c r="C9" s="11" t="s">
        <v>16</v>
      </c>
      <c r="D9" s="11" t="s">
        <v>17</v>
      </c>
      <c r="E9" s="12" t="s">
        <v>18</v>
      </c>
      <c r="F9" s="12" t="s">
        <v>48</v>
      </c>
      <c r="G9" s="13" t="s">
        <v>49</v>
      </c>
      <c r="H9" s="11"/>
      <c r="I9" s="11">
        <v>18589</v>
      </c>
      <c r="J9" s="14" t="s">
        <v>21</v>
      </c>
      <c r="K9" s="12" t="s">
        <v>50</v>
      </c>
      <c r="L9" s="12" t="s">
        <v>23</v>
      </c>
      <c r="M9" s="15" t="s">
        <v>24</v>
      </c>
      <c r="N9" s="12" t="s">
        <v>36</v>
      </c>
      <c r="O9" s="16">
        <v>2589</v>
      </c>
      <c r="P9" s="16"/>
      <c r="Q9" s="33">
        <v>2589</v>
      </c>
    </row>
    <row r="10" spans="2:17" x14ac:dyDescent="0.35">
      <c r="B10" s="36">
        <v>25020</v>
      </c>
      <c r="C10" s="22" t="s">
        <v>37</v>
      </c>
      <c r="D10" s="22" t="s">
        <v>31</v>
      </c>
      <c r="E10" s="23" t="s">
        <v>51</v>
      </c>
      <c r="F10" s="23" t="s">
        <v>52</v>
      </c>
      <c r="G10" s="24" t="s">
        <v>20</v>
      </c>
      <c r="H10" s="22"/>
      <c r="I10" s="22" t="s">
        <v>53</v>
      </c>
      <c r="J10" s="25" t="s">
        <v>54</v>
      </c>
      <c r="K10" s="23" t="s">
        <v>55</v>
      </c>
      <c r="L10" s="23" t="s">
        <v>41</v>
      </c>
      <c r="M10" s="26" t="s">
        <v>56</v>
      </c>
      <c r="N10" s="23" t="s">
        <v>47</v>
      </c>
      <c r="O10" s="27">
        <v>0</v>
      </c>
      <c r="P10" s="16">
        <v>286529.67</v>
      </c>
      <c r="Q10" s="37">
        <v>286529.67</v>
      </c>
    </row>
    <row r="11" spans="2:17" x14ac:dyDescent="0.35">
      <c r="B11" s="32">
        <v>25027</v>
      </c>
      <c r="C11" s="11" t="s">
        <v>16</v>
      </c>
      <c r="D11" s="11" t="s">
        <v>17</v>
      </c>
      <c r="E11" s="12" t="s">
        <v>57</v>
      </c>
      <c r="F11" s="12" t="s">
        <v>58</v>
      </c>
      <c r="G11" s="13" t="s">
        <v>20</v>
      </c>
      <c r="H11" s="11"/>
      <c r="I11" s="11">
        <v>18780</v>
      </c>
      <c r="J11" s="14" t="s">
        <v>27</v>
      </c>
      <c r="K11" s="12" t="s">
        <v>59</v>
      </c>
      <c r="L11" s="12" t="s">
        <v>23</v>
      </c>
      <c r="M11" s="15" t="s">
        <v>24</v>
      </c>
      <c r="N11" s="12" t="s">
        <v>36</v>
      </c>
      <c r="O11" s="16">
        <v>493</v>
      </c>
      <c r="P11" s="16"/>
      <c r="Q11" s="33">
        <v>493</v>
      </c>
    </row>
    <row r="12" spans="2:17" x14ac:dyDescent="0.35">
      <c r="B12" s="32">
        <v>25030</v>
      </c>
      <c r="C12" s="11" t="s">
        <v>60</v>
      </c>
      <c r="D12" s="11" t="s">
        <v>17</v>
      </c>
      <c r="E12" s="12" t="s">
        <v>18</v>
      </c>
      <c r="F12" s="12" t="s">
        <v>61</v>
      </c>
      <c r="G12" s="13" t="s">
        <v>62</v>
      </c>
      <c r="H12" s="11"/>
      <c r="I12" s="11">
        <v>18589</v>
      </c>
      <c r="J12" s="14" t="s">
        <v>21</v>
      </c>
      <c r="K12" s="12" t="s">
        <v>63</v>
      </c>
      <c r="L12" s="12" t="s">
        <v>23</v>
      </c>
      <c r="M12" s="15" t="s">
        <v>64</v>
      </c>
      <c r="N12" s="12" t="s">
        <v>36</v>
      </c>
      <c r="O12" s="16">
        <v>1233</v>
      </c>
      <c r="P12" s="16"/>
      <c r="Q12" s="33">
        <v>1233</v>
      </c>
    </row>
    <row r="13" spans="2:17" ht="15" thickBot="1" x14ac:dyDescent="0.4">
      <c r="B13" s="38">
        <v>25031</v>
      </c>
      <c r="C13" s="39" t="s">
        <v>65</v>
      </c>
      <c r="D13" s="39" t="s">
        <v>31</v>
      </c>
      <c r="E13" s="40" t="s">
        <v>66</v>
      </c>
      <c r="F13" s="40"/>
      <c r="G13" s="41" t="s">
        <v>62</v>
      </c>
      <c r="H13" s="39"/>
      <c r="I13" s="42" t="s">
        <v>67</v>
      </c>
      <c r="J13" s="42"/>
      <c r="K13" s="40" t="s">
        <v>68</v>
      </c>
      <c r="L13" s="40" t="s">
        <v>41</v>
      </c>
      <c r="M13" s="43" t="s">
        <v>69</v>
      </c>
      <c r="N13" s="40" t="s">
        <v>36</v>
      </c>
      <c r="O13" s="44">
        <v>493</v>
      </c>
      <c r="P13" s="44"/>
      <c r="Q13" s="45">
        <v>493</v>
      </c>
    </row>
    <row r="18" spans="3:7" x14ac:dyDescent="0.35">
      <c r="D18" s="2" t="s">
        <v>49</v>
      </c>
      <c r="E18" s="2">
        <v>1</v>
      </c>
    </row>
    <row r="19" spans="3:7" x14ac:dyDescent="0.35">
      <c r="D19" s="2" t="s">
        <v>62</v>
      </c>
      <c r="E19" s="2">
        <v>2</v>
      </c>
    </row>
    <row r="20" spans="3:7" x14ac:dyDescent="0.35">
      <c r="D20" s="2" t="s">
        <v>20</v>
      </c>
      <c r="E20" s="2">
        <v>7</v>
      </c>
    </row>
    <row r="23" spans="3:7" x14ac:dyDescent="0.35">
      <c r="D23" s="2" t="s">
        <v>70</v>
      </c>
      <c r="E23" s="2" t="s">
        <v>49</v>
      </c>
      <c r="F23" s="2" t="s">
        <v>62</v>
      </c>
      <c r="G23" s="2" t="s">
        <v>20</v>
      </c>
    </row>
    <row r="24" spans="3:7" x14ac:dyDescent="0.35">
      <c r="D24" s="2" t="s">
        <v>71</v>
      </c>
      <c r="E24" s="3">
        <v>1</v>
      </c>
      <c r="F24" s="2">
        <v>2</v>
      </c>
      <c r="G24" s="2">
        <v>2</v>
      </c>
    </row>
    <row r="25" spans="3:7" x14ac:dyDescent="0.35">
      <c r="D25" s="2" t="s">
        <v>72</v>
      </c>
      <c r="E25" s="2">
        <v>0</v>
      </c>
      <c r="F25" s="2">
        <v>0</v>
      </c>
      <c r="G25" s="2">
        <v>1</v>
      </c>
    </row>
    <row r="26" spans="3:7" x14ac:dyDescent="0.35">
      <c r="D26" s="2" t="s">
        <v>73</v>
      </c>
      <c r="E26" s="2">
        <v>0</v>
      </c>
      <c r="F26" s="2">
        <v>0</v>
      </c>
      <c r="G26" s="2">
        <v>2</v>
      </c>
    </row>
    <row r="27" spans="3:7" x14ac:dyDescent="0.35">
      <c r="D27" s="2" t="s">
        <v>74</v>
      </c>
      <c r="E27" s="2">
        <v>0</v>
      </c>
      <c r="F27" s="2">
        <v>0</v>
      </c>
      <c r="G27" s="2">
        <v>2</v>
      </c>
    </row>
    <row r="32" spans="3:7" x14ac:dyDescent="0.35">
      <c r="C32" s="4"/>
      <c r="D32" s="4" t="s">
        <v>75</v>
      </c>
      <c r="E32" s="4" t="s">
        <v>76</v>
      </c>
      <c r="F32" s="4" t="s">
        <v>77</v>
      </c>
    </row>
    <row r="33" spans="3:6" x14ac:dyDescent="0.35">
      <c r="C33" s="4" t="s">
        <v>78</v>
      </c>
      <c r="D33" s="4">
        <v>0</v>
      </c>
      <c r="E33">
        <v>0</v>
      </c>
      <c r="F33" s="4">
        <v>0</v>
      </c>
    </row>
    <row r="34" spans="3:6" x14ac:dyDescent="0.35">
      <c r="C34" s="4" t="s">
        <v>79</v>
      </c>
      <c r="D34" s="4">
        <v>0</v>
      </c>
      <c r="E34" s="4">
        <v>0</v>
      </c>
      <c r="F34" s="4">
        <v>0</v>
      </c>
    </row>
    <row r="35" spans="3:6" x14ac:dyDescent="0.35">
      <c r="C35" s="4" t="s">
        <v>17</v>
      </c>
      <c r="D35" s="4">
        <v>0</v>
      </c>
      <c r="E35" s="4">
        <v>1</v>
      </c>
      <c r="F35" s="4">
        <v>0</v>
      </c>
    </row>
    <row r="36" spans="3:6" x14ac:dyDescent="0.35">
      <c r="C36" s="4" t="s">
        <v>80</v>
      </c>
      <c r="D36" s="4">
        <v>0</v>
      </c>
      <c r="E36" s="4">
        <v>0</v>
      </c>
      <c r="F36" s="4">
        <v>0</v>
      </c>
    </row>
    <row r="37" spans="3:6" x14ac:dyDescent="0.35">
      <c r="C37" s="4" t="s">
        <v>81</v>
      </c>
      <c r="D37" s="4">
        <v>0</v>
      </c>
      <c r="E37" s="4">
        <v>0</v>
      </c>
      <c r="F37" s="4">
        <v>0</v>
      </c>
    </row>
    <row r="38" spans="3:6" x14ac:dyDescent="0.35">
      <c r="C38" s="4" t="s">
        <v>82</v>
      </c>
      <c r="D38" s="4">
        <v>0</v>
      </c>
      <c r="E38" s="4">
        <v>0</v>
      </c>
      <c r="F38" s="4">
        <v>0</v>
      </c>
    </row>
    <row r="39" spans="3:6" x14ac:dyDescent="0.35">
      <c r="C39" s="4" t="s">
        <v>83</v>
      </c>
      <c r="D39" s="4">
        <v>0</v>
      </c>
      <c r="E39" s="4">
        <v>1</v>
      </c>
      <c r="F39" s="4">
        <v>0</v>
      </c>
    </row>
    <row r="40" spans="3:6" x14ac:dyDescent="0.35">
      <c r="C40" s="4" t="s">
        <v>84</v>
      </c>
      <c r="D40" s="4">
        <v>0</v>
      </c>
      <c r="E40" s="4">
        <v>0</v>
      </c>
      <c r="F40" s="4">
        <v>0</v>
      </c>
    </row>
    <row r="54" spans="3:6" x14ac:dyDescent="0.35">
      <c r="C54" s="2"/>
      <c r="D54" s="2" t="s">
        <v>85</v>
      </c>
      <c r="E54" s="2" t="s">
        <v>86</v>
      </c>
      <c r="F54" s="2" t="s">
        <v>87</v>
      </c>
    </row>
    <row r="55" spans="3:6" x14ac:dyDescent="0.35">
      <c r="C55" s="2" t="s">
        <v>20</v>
      </c>
      <c r="D55" s="5">
        <f>O4+O5+O6+O7+O11</f>
        <v>5082.4400000000005</v>
      </c>
      <c r="E55" s="5">
        <f>P7+P10</f>
        <v>324320.67</v>
      </c>
      <c r="F55" s="5">
        <f>D55+E55</f>
        <v>329403.11</v>
      </c>
    </row>
    <row r="56" spans="3:6" x14ac:dyDescent="0.35">
      <c r="C56" s="2" t="s">
        <v>62</v>
      </c>
      <c r="D56" s="5">
        <f>O12+O13</f>
        <v>1726</v>
      </c>
      <c r="E56" s="2">
        <v>0</v>
      </c>
      <c r="F56" s="5">
        <f>D56+E56</f>
        <v>1726</v>
      </c>
    </row>
    <row r="57" spans="3:6" x14ac:dyDescent="0.35">
      <c r="C57" s="2" t="s">
        <v>49</v>
      </c>
      <c r="D57" s="5">
        <f>O9</f>
        <v>2589</v>
      </c>
      <c r="E57" s="2">
        <v>0</v>
      </c>
      <c r="F57" s="5">
        <f>D57+E57</f>
        <v>2589</v>
      </c>
    </row>
    <row r="58" spans="3:6" x14ac:dyDescent="0.35">
      <c r="C58" s="2" t="s">
        <v>88</v>
      </c>
      <c r="D58" s="5">
        <f>D55+D56+D57</f>
        <v>9397.44</v>
      </c>
      <c r="E58" s="5">
        <f>E55+E56+E57</f>
        <v>324320.67</v>
      </c>
      <c r="F58" s="5">
        <f>F55+F56+F57</f>
        <v>333718.11</v>
      </c>
    </row>
    <row r="59" spans="3:6" x14ac:dyDescent="0.35">
      <c r="E59" s="1"/>
    </row>
  </sheetData>
  <mergeCells count="1">
    <mergeCell ref="O2:Q2"/>
  </mergeCells>
  <dataValidations count="3">
    <dataValidation type="list" allowBlank="1" showInputMessage="1" showErrorMessage="1" sqref="N4:N13" xr:uid="{32C08389-9885-4814-8631-1FB4400A4315}">
      <formula1>MMMMM</formula1>
    </dataValidation>
    <dataValidation allowBlank="1" showInputMessage="1" showErrorMessage="1" promptTitle="TECHNO CODES :" prompt=" ED (Electrodialyse)_x000a_ SSMB (Chromato)_x000a_ IEX (Echange Ions)_x000a_ MF/UF (Micro/Ultrafiltation)_x000a_ NF (Nanofiltration)_x000a_ OI (Osmose Inverse)_x000a_ EVAPO (Evaporation)_x000a_ CA (Charbon Actif)_x000a_" sqref="J4:J13" xr:uid="{168B8741-79D4-4C7C-B53D-3DB251DFE07B}"/>
    <dataValidation type="list" allowBlank="1" showInputMessage="1" showErrorMessage="1" sqref="G4:G13" xr:uid="{AA90EADC-7061-4961-8B08-2CF49447F45B}">
      <formula1>CAPTYPE</formula1>
    </dataValidation>
  </dataValidations>
  <pageMargins left="0.7" right="0.7" top="0.75" bottom="0.75" header="0.3" footer="0.3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8EF55945911C41B57C74669F2D17A6" ma:contentTypeVersion="16" ma:contentTypeDescription="Create a new document." ma:contentTypeScope="" ma:versionID="6884e807c6b608c89a9b32fc4b07c4ad">
  <xsd:schema xmlns:xsd="http://www.w3.org/2001/XMLSchema" xmlns:xs="http://www.w3.org/2001/XMLSchema" xmlns:p="http://schemas.microsoft.com/office/2006/metadata/properties" xmlns:ns2="f4cbad66-c414-4949-b8cc-0f35a964fb17" xmlns:ns3="a9f2bc00-18cd-4ba2-8dd9-d4a07ec7bc29" targetNamespace="http://schemas.microsoft.com/office/2006/metadata/properties" ma:root="true" ma:fieldsID="22e89012413b7517f9d4946040ef58e6" ns2:_="" ns3:_="">
    <xsd:import namespace="f4cbad66-c414-4949-b8cc-0f35a964fb17"/>
    <xsd:import namespace="a9f2bc00-18cd-4ba2-8dd9-d4a07ec7bc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cbad66-c414-4949-b8cc-0f35a964fb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c08caa3-1d29-49ca-9df7-f5a9f47e099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f2bc00-18cd-4ba2-8dd9-d4a07ec7bc2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c6436be-547b-4c4a-a264-babda9e1cbc8}" ma:internalName="TaxCatchAll" ma:showField="CatchAllData" ma:web="a9f2bc00-18cd-4ba2-8dd9-d4a07ec7bc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9f2bc00-18cd-4ba2-8dd9-d4a07ec7bc29" xsi:nil="true"/>
    <lcf76f155ced4ddcb4097134ff3c332f xmlns="f4cbad66-c414-4949-b8cc-0f35a964fb1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115E6FC-CD59-4088-BE81-B7405C64EE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cbad66-c414-4949-b8cc-0f35a964fb17"/>
    <ds:schemaRef ds:uri="a9f2bc00-18cd-4ba2-8dd9-d4a07ec7bc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95681C6-1ED6-4F9C-A183-04B0D6D134F6}">
  <ds:schemaRefs>
    <ds:schemaRef ds:uri="http://schemas.microsoft.com/office/2006/metadata/properties"/>
    <ds:schemaRef ds:uri="http://schemas.microsoft.com/office/infopath/2007/PartnerControls"/>
    <ds:schemaRef ds:uri="a9f2bc00-18cd-4ba2-8dd9-d4a07ec7bc29"/>
    <ds:schemaRef ds:uri="f4cbad66-c414-4949-b8cc-0f35a964fb17"/>
  </ds:schemaRefs>
</ds:datastoreItem>
</file>

<file path=customXml/itemProps3.xml><?xml version="1.0" encoding="utf-8"?>
<ds:datastoreItem xmlns:ds="http://schemas.openxmlformats.org/officeDocument/2006/customXml" ds:itemID="{CBAE1C96-403F-45C5-A009-51912977175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Li</dc:creator>
  <cp:lastModifiedBy>Alicia Li</cp:lastModifiedBy>
  <dcterms:created xsi:type="dcterms:W3CDTF">2025-12-29T04:37:25Z</dcterms:created>
  <dcterms:modified xsi:type="dcterms:W3CDTF">2025-12-29T05:11:04Z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0x010100708EF55945911C41B57C74669F2D17A6</vt:lpwstr>
  </property>
  <property fmtid="{D5CDD505-2E9C-101B-9397-08002B2CF9AE}" pid="3" name="MediaServiceImageTags">
    <vt:lpwstr/>
  </property>
</Properties>
</file>