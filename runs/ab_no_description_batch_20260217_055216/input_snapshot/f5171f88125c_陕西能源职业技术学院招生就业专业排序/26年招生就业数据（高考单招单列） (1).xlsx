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Sheet1" sheetId="1" r:id="rId1"/>
    <sheet name="Sheet2" sheetId="2" r:id="rId2"/>
    <sheet name="近三年高考单招录取及一志愿人数一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<sst xmlns="http://schemas.openxmlformats.org/spreadsheetml/2006/main" count="413" uniqueCount="126">
  <si>
    <t>学院</t>
  </si>
  <si>
    <t>录取专业</t>
  </si>
  <si>
    <t>2025年招生</t>
  </si>
  <si>
    <t>2025年就业</t>
  </si>
  <si>
    <t>2024年招生</t>
  </si>
  <si>
    <t>2024年就业</t>
  </si>
  <si>
    <t>2023年招生</t>
  </si>
  <si>
    <t>2023年就业</t>
  </si>
  <si>
    <t>2025单招录取数</t>
  </si>
  <si>
    <t>2025单招一志愿数</t>
  </si>
  <si>
    <t>2025高考录取数</t>
  </si>
  <si>
    <t>2025高考一志愿数</t>
  </si>
  <si>
    <t>2025总计</t>
  </si>
  <si>
    <t>初次就业率</t>
  </si>
  <si>
    <t>年底就业率</t>
  </si>
  <si>
    <t>2024单招录取数</t>
  </si>
  <si>
    <t>2024单招一志愿数</t>
  </si>
  <si>
    <t>2024高考录取数</t>
  </si>
  <si>
    <t>2024高考一志愿数</t>
  </si>
  <si>
    <t>2024总计</t>
  </si>
  <si>
    <t>2023单招录取数</t>
  </si>
  <si>
    <t>2023单招一志愿数</t>
  </si>
  <si>
    <t>2023高考录取数</t>
  </si>
  <si>
    <t>2023高考一志愿数</t>
  </si>
  <si>
    <t>2023总计</t>
  </si>
  <si>
    <t>今年三年单招平均</t>
  </si>
  <si>
    <t>近三年招生总数平均</t>
  </si>
  <si>
    <t>拟列计划</t>
  </si>
  <si>
    <t>拟列单招</t>
  </si>
  <si>
    <t>能源化工学院</t>
  </si>
  <si>
    <t>安全技术与管理</t>
  </si>
  <si>
    <t>煤化工技术</t>
  </si>
  <si>
    <t>煤矿智能开采技术</t>
  </si>
  <si>
    <t>煤炭清洁利用技术</t>
  </si>
  <si>
    <t>无</t>
  </si>
  <si>
    <t>煤田地质勘查</t>
  </si>
  <si>
    <t>通风技术与安全管理</t>
  </si>
  <si>
    <t>应用化工技术</t>
  </si>
  <si>
    <t>钻探工程技术</t>
  </si>
  <si>
    <t>智能机电学院</t>
  </si>
  <si>
    <t>工业机器人技术</t>
  </si>
  <si>
    <t>机电一体化技术</t>
  </si>
  <si>
    <t>机械制造及自动化</t>
  </si>
  <si>
    <t>智能控制技术</t>
  </si>
  <si>
    <t>智能医疗装备技术</t>
  </si>
  <si>
    <t>新型能源学院</t>
  </si>
  <si>
    <t>储能材料技术</t>
  </si>
  <si>
    <t>电气自动化技术</t>
  </si>
  <si>
    <t>氢能技术应用</t>
  </si>
  <si>
    <t>热能动力工程技术</t>
  </si>
  <si>
    <t>新能源汽车技术</t>
  </si>
  <si>
    <t>新能源装备技术</t>
  </si>
  <si>
    <t>信息商务学院</t>
  </si>
  <si>
    <t>大数据技术</t>
  </si>
  <si>
    <t>大数据与财务管理</t>
  </si>
  <si>
    <t>大数据与会计</t>
  </si>
  <si>
    <t>电子商务</t>
  </si>
  <si>
    <t>计算机网络技术</t>
  </si>
  <si>
    <t>数字媒体技术</t>
  </si>
  <si>
    <t>网络营销与直播电商</t>
  </si>
  <si>
    <t>物联网应用技术</t>
  </si>
  <si>
    <t>现代物流管理</t>
  </si>
  <si>
    <t>建筑测绘学院</t>
  </si>
  <si>
    <t>城市燃气工程技术</t>
  </si>
  <si>
    <t>工程测量技术</t>
  </si>
  <si>
    <t>工程造价</t>
  </si>
  <si>
    <t>供热通风与空调工程技术</t>
  </si>
  <si>
    <t>建筑工程技术</t>
  </si>
  <si>
    <t>建筑室内设计</t>
  </si>
  <si>
    <t>无人机测绘技术</t>
  </si>
  <si>
    <t>无人机应用技术</t>
  </si>
  <si>
    <t>医学康养学院</t>
  </si>
  <si>
    <t>康复治疗技术</t>
  </si>
  <si>
    <t>临床医学</t>
  </si>
  <si>
    <t>药品生产技术</t>
  </si>
  <si>
    <t>药学</t>
  </si>
  <si>
    <t>针灸推拿</t>
  </si>
  <si>
    <t>医学技术学院</t>
  </si>
  <si>
    <t>口腔医学技术</t>
  </si>
  <si>
    <t>医学检验技术</t>
  </si>
  <si>
    <t>医学美容技术</t>
  </si>
  <si>
    <t>医学影像技术</t>
  </si>
  <si>
    <t>医学护理学院</t>
  </si>
  <si>
    <t>助产</t>
  </si>
  <si>
    <t>护理</t>
  </si>
  <si>
    <t>医学营养</t>
  </si>
  <si>
    <t>智慧健康养老服务与管理</t>
  </si>
  <si>
    <t>人文教育学院</t>
  </si>
  <si>
    <t>婴幼儿托育服务与管理</t>
  </si>
  <si>
    <t>总计</t>
  </si>
  <si>
    <t>二级学院</t>
  </si>
  <si>
    <t>专业</t>
  </si>
  <si>
    <t>人数</t>
  </si>
  <si>
    <t>就业人数</t>
  </si>
  <si>
    <t>25就业率</t>
  </si>
  <si>
    <t>签约数</t>
  </si>
  <si>
    <t>24就业率</t>
  </si>
  <si>
    <t>23就业率</t>
  </si>
  <si>
    <t>22就业率</t>
  </si>
  <si>
    <t>21就业率</t>
  </si>
  <si>
    <t>工程地质勘查</t>
  </si>
  <si>
    <t>煤矿开采技术</t>
  </si>
  <si>
    <t>煤田地质与勘查技术</t>
  </si>
  <si>
    <t>矿井通风与安全</t>
  </si>
  <si>
    <t>机械制造与自动化</t>
  </si>
  <si>
    <r>
      <rPr>
        <b/>
        <sz val="10"/>
        <rFont val="宋体"/>
        <charset val="134"/>
      </rPr>
      <t>新型能源</t>
    </r>
    <r>
      <rPr>
        <b/>
        <sz val="10"/>
        <rFont val="Arial"/>
        <charset val="0"/>
      </rPr>
      <t xml:space="preserve">  </t>
    </r>
    <r>
      <rPr>
        <b/>
        <sz val="10"/>
        <rFont val="宋体"/>
        <charset val="134"/>
      </rPr>
      <t>学院</t>
    </r>
  </si>
  <si>
    <r>
      <rPr>
        <b/>
        <sz val="10"/>
        <rFont val="宋体"/>
        <charset val="134"/>
      </rPr>
      <t>信息商务</t>
    </r>
    <r>
      <rPr>
        <b/>
        <sz val="10"/>
        <rFont val="Arial"/>
        <charset val="0"/>
      </rPr>
      <t xml:space="preserve">  </t>
    </r>
    <r>
      <rPr>
        <b/>
        <sz val="10"/>
        <rFont val="宋体"/>
        <charset val="134"/>
      </rPr>
      <t>学院</t>
    </r>
  </si>
  <si>
    <t>财务管理</t>
  </si>
  <si>
    <t>会计</t>
  </si>
  <si>
    <t>物流管理</t>
  </si>
  <si>
    <t>药品经营与管理</t>
  </si>
  <si>
    <t>市场营销</t>
  </si>
  <si>
    <t>大数据技术与应用</t>
  </si>
  <si>
    <t>数字媒体应用技术</t>
  </si>
  <si>
    <r>
      <rPr>
        <b/>
        <sz val="10"/>
        <rFont val="宋体"/>
        <charset val="134"/>
      </rPr>
      <t>建筑测绘</t>
    </r>
    <r>
      <rPr>
        <b/>
        <sz val="10"/>
        <rFont val="Arial"/>
        <charset val="0"/>
      </rPr>
      <t xml:space="preserve"> </t>
    </r>
    <r>
      <rPr>
        <b/>
        <sz val="10"/>
        <rFont val="宋体"/>
        <charset val="134"/>
      </rPr>
      <t>学院</t>
    </r>
  </si>
  <si>
    <t>摄影测量与遥感技术</t>
  </si>
  <si>
    <t>建筑装饰工程技术</t>
  </si>
  <si>
    <t>幼儿发展与健康管理</t>
  </si>
  <si>
    <r>
      <rPr>
        <b/>
        <sz val="10"/>
        <rFont val="宋体"/>
        <charset val="134"/>
      </rPr>
      <t>医学护理</t>
    </r>
    <r>
      <rPr>
        <b/>
        <sz val="10"/>
        <rFont val="Arial"/>
        <charset val="0"/>
      </rPr>
      <t xml:space="preserve"> </t>
    </r>
    <r>
      <rPr>
        <b/>
        <sz val="10"/>
        <rFont val="宋体"/>
        <charset val="134"/>
      </rPr>
      <t>学院</t>
    </r>
  </si>
  <si>
    <t>近三年高考单招录取及一志愿人数一览</t>
  </si>
  <si>
    <t>2025高考单招录取数</t>
  </si>
  <si>
    <t>2025高考单招一志愿数</t>
  </si>
  <si>
    <t>2024高考单招录取数</t>
  </si>
  <si>
    <t>2024高考单招一志愿</t>
  </si>
  <si>
    <t>2023高考单招录取数</t>
  </si>
  <si>
    <t>2023高考单招一志愿数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</si>
</sst>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name val="Arial"/>
      <charset val="0"/>
    </font>
    <font>
      <b/>
      <sz val="10"/>
      <color rgb="FFFF0000"/>
      <name val="宋体"/>
      <charset val="134"/>
    </font>
    <font>
      <b/>
      <sz val="10"/>
      <color rgb="FFFF0000"/>
      <name val="Arial"/>
      <charset val="0"/>
    </font>
    <font>
      <sz val="10"/>
      <name val="宋体"/>
      <charset val="134"/>
    </font>
    <font>
      <sz val="12"/>
      <name val="宋体"/>
      <charset val="134"/>
    </font>
    <font>
      <sz val="10"/>
      <name val="宋体"/>
      <charset val="0"/>
    </font>
    <font>
      <sz val="9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 shrinkToFit="1"/>
    </xf>
    <xf numFmtId="10" fontId="5" fillId="5" borderId="1" xfId="0" applyNumberFormat="1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0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6" borderId="1" xfId="0" applyFont="1" applyFill="1" applyBorder="1" applyAlignment="1">
      <alignment horizontal="center" vertical="center" wrapText="1" shrinkToFit="1"/>
    </xf>
    <xf numFmtId="10" fontId="5" fillId="6" borderId="1" xfId="0" applyNumberFormat="1" applyFont="1" applyFill="1" applyBorder="1" applyAlignment="1">
      <alignment horizontal="center" vertical="center" wrapText="1" shrinkToFit="1"/>
    </xf>
    <xf numFmtId="0" fontId="5" fillId="7" borderId="1" xfId="0" applyFont="1" applyFill="1" applyBorder="1" applyAlignment="1">
      <alignment horizontal="center" vertical="center" wrapText="1" shrinkToFit="1"/>
    </xf>
    <xf numFmtId="10" fontId="5" fillId="7" borderId="1" xfId="0" applyNumberFormat="1" applyFont="1" applyFill="1" applyBorder="1" applyAlignment="1">
      <alignment horizontal="center" vertical="center" wrapText="1" shrinkToFit="1"/>
    </xf>
    <xf numFmtId="0" fontId="5" fillId="8" borderId="1" xfId="0" applyFont="1" applyFill="1" applyBorder="1" applyAlignment="1">
      <alignment horizontal="center" vertical="center" wrapText="1" shrinkToFit="1"/>
    </xf>
    <xf numFmtId="0" fontId="9" fillId="6" borderId="1" xfId="0" applyNumberFormat="1" applyFont="1" applyFill="1" applyBorder="1" applyAlignment="1">
      <alignment horizontal="center" vertical="center" wrapText="1" shrinkToFit="1"/>
    </xf>
    <xf numFmtId="0" fontId="5" fillId="6" borderId="1" xfId="0" applyNumberFormat="1" applyFont="1" applyFill="1" applyBorder="1" applyAlignment="1">
      <alignment horizontal="center" vertical="center" wrapText="1" shrinkToFit="1"/>
    </xf>
    <xf numFmtId="10" fontId="9" fillId="6" borderId="1" xfId="0" applyNumberFormat="1" applyFont="1" applyFill="1" applyBorder="1" applyAlignment="1">
      <alignment horizontal="center" vertical="center" wrapText="1" shrinkToFit="1"/>
    </xf>
    <xf numFmtId="0" fontId="9" fillId="7" borderId="1" xfId="0" applyNumberFormat="1" applyFont="1" applyFill="1" applyBorder="1" applyAlignment="1">
      <alignment horizontal="center" vertical="center" wrapText="1" shrinkToFit="1"/>
    </xf>
    <xf numFmtId="0" fontId="5" fillId="7" borderId="1" xfId="0" applyNumberFormat="1" applyFont="1" applyFill="1" applyBorder="1" applyAlignment="1">
      <alignment horizontal="center" vertical="center" wrapText="1" shrinkToFit="1"/>
    </xf>
    <xf numFmtId="10" fontId="9" fillId="7" borderId="1" xfId="0" applyNumberFormat="1" applyFont="1" applyFill="1" applyBorder="1" applyAlignment="1">
      <alignment horizontal="center" vertical="center" wrapText="1" shrinkToFit="1"/>
    </xf>
    <xf numFmtId="0" fontId="9" fillId="8" borderId="1" xfId="0" applyNumberFormat="1" applyFont="1" applyFill="1" applyBorder="1" applyAlignment="1">
      <alignment horizontal="center" vertical="center" wrapText="1" shrinkToFit="1"/>
    </xf>
    <xf numFmtId="0" fontId="5" fillId="8" borderId="1" xfId="0" applyNumberFormat="1" applyFont="1" applyFill="1" applyBorder="1" applyAlignment="1">
      <alignment horizontal="center" vertical="center" wrapText="1" shrinkToFit="1"/>
    </xf>
    <xf numFmtId="0" fontId="10" fillId="6" borderId="1" xfId="0" applyFont="1" applyFill="1" applyBorder="1" applyAlignment="1">
      <alignment horizontal="center" vertical="center" wrapText="1" shrinkToFit="1"/>
    </xf>
    <xf numFmtId="0" fontId="10" fillId="7" borderId="1" xfId="0" applyFont="1" applyFill="1" applyBorder="1" applyAlignment="1">
      <alignment horizontal="center" vertical="center" wrapText="1" shrinkToFit="1"/>
    </xf>
    <xf numFmtId="0" fontId="11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 shrinkToFit="1"/>
    </xf>
    <xf numFmtId="0" fontId="11" fillId="6" borderId="1" xfId="0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 wrapText="1" shrinkToFit="1"/>
    </xf>
    <xf numFmtId="10" fontId="9" fillId="8" borderId="1" xfId="0" applyNumberFormat="1" applyFont="1" applyFill="1" applyBorder="1" applyAlignment="1">
      <alignment horizontal="center" vertical="center" wrapText="1" shrinkToFit="1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3"/>
  <sheetViews>
    <sheetView topLeftCell="W22" workbookViewId="0">
      <selection activeCell="G3" sqref="G3:G52"/>
    </sheetView>
  </sheetViews>
  <sheetFormatPr defaultColWidth="9" defaultRowHeight="13.5"/>
  <cols>
    <col min="1" max="1" width="12.875" customWidth="1"/>
    <col min="2" max="2" width="23.375" customWidth="1"/>
    <col min="3" max="3" width="16.5" style="47" customWidth="1"/>
    <col min="4" max="4" width="18.75" style="47" customWidth="1"/>
    <col min="5" max="5" width="16.5" style="47" customWidth="1"/>
    <col min="6" max="6" width="18.75" style="48" customWidth="1"/>
    <col min="7" max="7" width="9.875" style="47" customWidth="1"/>
    <col min="8" max="9" width="11.5" style="47" customWidth="1"/>
    <col min="10" max="10" width="9.875" style="47" customWidth="1"/>
    <col min="11" max="11" width="18.75" style="47" customWidth="1"/>
    <col min="12" max="12" width="16.5" style="47" customWidth="1"/>
    <col min="13" max="13" width="18.75" style="47" customWidth="1"/>
    <col min="14" max="14" width="9.875" style="47" customWidth="1"/>
    <col min="15" max="16" width="11.5" style="47" customWidth="1"/>
    <col min="17" max="17" width="16.5" style="47" customWidth="1"/>
    <col min="18" max="18" width="18.75" style="47" customWidth="1"/>
    <col min="19" max="19" width="16.5" style="47" customWidth="1"/>
    <col min="20" max="20" width="18.75" style="47" customWidth="1"/>
    <col min="21" max="21" width="9.875" style="47" customWidth="1"/>
    <col min="22" max="24" width="17.125" style="49" customWidth="1"/>
    <col min="25" max="25" width="19.125" style="49" customWidth="1"/>
    <col min="26" max="26" width="8.375" customWidth="1"/>
    <col min="27" max="27" width="9" style="50"/>
    <col min="29" max="29" width="23.375" customWidth="1"/>
    <col min="30" max="30" width="21.5" customWidth="1"/>
    <col min="31" max="31" width="23.375" style="47" customWidth="1"/>
    <col min="32" max="32" width="17.25" style="47" customWidth="1"/>
    <col min="33" max="33" width="7.25" customWidth="1"/>
  </cols>
  <sheetData>
    <row r="1" spans="1:23">
      <c r="A1" s="5" t="s">
        <v>0</v>
      </c>
      <c r="B1" s="5" t="s">
        <v>1</v>
      </c>
      <c r="C1" s="51" t="s">
        <v>2</v>
      </c>
      <c r="D1" s="52"/>
      <c r="E1" s="52"/>
      <c r="F1" s="52"/>
      <c r="G1" s="53"/>
      <c r="H1" s="51" t="s">
        <v>3</v>
      </c>
      <c r="I1" s="53"/>
      <c r="J1" s="51" t="s">
        <v>4</v>
      </c>
      <c r="K1" s="52"/>
      <c r="L1" s="52"/>
      <c r="M1" s="52"/>
      <c r="N1" s="53"/>
      <c r="O1" s="51" t="s">
        <v>5</v>
      </c>
      <c r="P1" s="53"/>
      <c r="Q1" s="51" t="s">
        <v>6</v>
      </c>
      <c r="R1" s="52"/>
      <c r="S1" s="52"/>
      <c r="T1" s="52"/>
      <c r="U1" s="53"/>
      <c r="V1" s="51" t="s">
        <v>7</v>
      </c>
      <c r="W1" s="53"/>
    </row>
    <row r="2" spans="1:32">
      <c r="A2" s="54"/>
      <c r="B2" s="54"/>
      <c r="C2" s="53" t="s">
        <v>8</v>
      </c>
      <c r="D2" s="6" t="s">
        <v>9</v>
      </c>
      <c r="E2" s="5" t="s">
        <v>10</v>
      </c>
      <c r="F2" s="6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6" t="s">
        <v>16</v>
      </c>
      <c r="L2" s="5" t="s">
        <v>17</v>
      </c>
      <c r="M2" s="6" t="s">
        <v>18</v>
      </c>
      <c r="N2" s="5" t="s">
        <v>19</v>
      </c>
      <c r="O2" s="5" t="s">
        <v>13</v>
      </c>
      <c r="P2" s="5" t="s">
        <v>14</v>
      </c>
      <c r="Q2" s="5" t="s">
        <v>20</v>
      </c>
      <c r="R2" s="6" t="s">
        <v>21</v>
      </c>
      <c r="S2" s="5" t="s">
        <v>22</v>
      </c>
      <c r="T2" s="6" t="s">
        <v>23</v>
      </c>
      <c r="U2" s="5" t="s">
        <v>24</v>
      </c>
      <c r="V2" s="5" t="s">
        <v>13</v>
      </c>
      <c r="W2" s="5" t="s">
        <v>14</v>
      </c>
      <c r="X2" s="49" t="s">
        <v>25</v>
      </c>
      <c r="Y2" s="49" t="s">
        <v>26</v>
      </c>
      <c r="Z2" t="s">
        <v>27</v>
      </c>
      <c r="AA2" s="50" t="s">
        <v>28</v>
      </c>
      <c r="AB2" s="63"/>
      <c r="AC2" s="63"/>
      <c r="AD2" s="64"/>
      <c r="AE2" s="65"/>
      <c r="AF2" s="66"/>
    </row>
    <row r="3" spans="1:32">
      <c r="A3" s="25" t="s">
        <v>29</v>
      </c>
      <c r="B3" s="9" t="s">
        <v>30</v>
      </c>
      <c r="C3" s="9">
        <v>13</v>
      </c>
      <c r="D3" s="12">
        <v>10</v>
      </c>
      <c r="E3" s="9">
        <v>14</v>
      </c>
      <c r="F3" s="12">
        <v>3</v>
      </c>
      <c r="G3" s="9">
        <v>37</v>
      </c>
      <c r="H3" s="55">
        <v>0.9</v>
      </c>
      <c r="I3" s="55">
        <v>1</v>
      </c>
      <c r="J3" s="9">
        <v>50</v>
      </c>
      <c r="K3" s="9">
        <v>37</v>
      </c>
      <c r="L3" s="9">
        <v>22</v>
      </c>
      <c r="M3" s="9">
        <v>4</v>
      </c>
      <c r="N3" s="9">
        <v>72</v>
      </c>
      <c r="O3" s="55">
        <v>0.7</v>
      </c>
      <c r="P3" s="55">
        <v>1</v>
      </c>
      <c r="Q3" s="9">
        <v>31</v>
      </c>
      <c r="R3" s="9">
        <v>31</v>
      </c>
      <c r="S3" s="9">
        <v>10</v>
      </c>
      <c r="T3" s="9">
        <v>4</v>
      </c>
      <c r="U3" s="9">
        <v>41</v>
      </c>
      <c r="V3" s="55">
        <v>0.863636363636364</v>
      </c>
      <c r="W3" s="55">
        <v>0.931818181818182</v>
      </c>
      <c r="X3" s="49">
        <f t="shared" ref="X3:X10" si="0">AVERAGE(C3,J3,Q3)</f>
        <v>31.3333333333333</v>
      </c>
      <c r="Y3" s="49">
        <f t="shared" ref="Y3:Y10" si="1">AVERAGE(G3,N3,U3)</f>
        <v>50</v>
      </c>
      <c r="Z3">
        <v>40</v>
      </c>
      <c r="AA3" s="50">
        <f t="shared" ref="AA3:AA10" si="2">Z3*0.7</f>
        <v>28</v>
      </c>
      <c r="AB3" s="63"/>
      <c r="AC3" s="63"/>
      <c r="AD3" s="64"/>
      <c r="AE3" s="65"/>
      <c r="AF3" s="66"/>
    </row>
    <row r="4" spans="1:32">
      <c r="A4" s="25" t="s">
        <v>29</v>
      </c>
      <c r="B4" s="9" t="s">
        <v>31</v>
      </c>
      <c r="C4" s="9">
        <v>85</v>
      </c>
      <c r="D4" s="12">
        <v>77</v>
      </c>
      <c r="E4" s="9">
        <v>5</v>
      </c>
      <c r="F4" s="12">
        <v>5</v>
      </c>
      <c r="G4" s="9">
        <v>90</v>
      </c>
      <c r="H4" s="55">
        <v>0.923076923076923</v>
      </c>
      <c r="I4" s="55">
        <v>0.974358974358974</v>
      </c>
      <c r="J4" s="9">
        <v>127</v>
      </c>
      <c r="K4" s="9">
        <v>88</v>
      </c>
      <c r="L4" s="9">
        <v>20</v>
      </c>
      <c r="M4" s="9">
        <v>6</v>
      </c>
      <c r="N4" s="9">
        <v>147</v>
      </c>
      <c r="O4" s="55">
        <v>0.862068965517241</v>
      </c>
      <c r="P4" s="55">
        <v>1</v>
      </c>
      <c r="Q4" s="9">
        <v>63</v>
      </c>
      <c r="R4" s="9">
        <v>63</v>
      </c>
      <c r="S4" s="9">
        <v>15</v>
      </c>
      <c r="T4" s="9">
        <v>5</v>
      </c>
      <c r="U4" s="9">
        <v>78</v>
      </c>
      <c r="V4" s="55">
        <v>0.91869918699187</v>
      </c>
      <c r="W4" s="55">
        <v>0.943089430894309</v>
      </c>
      <c r="X4" s="49">
        <f t="shared" si="0"/>
        <v>91.6666666666667</v>
      </c>
      <c r="Y4" s="49">
        <f t="shared" si="1"/>
        <v>105</v>
      </c>
      <c r="Z4">
        <v>90</v>
      </c>
      <c r="AA4" s="50">
        <f t="shared" si="2"/>
        <v>63</v>
      </c>
      <c r="AB4" s="63"/>
      <c r="AC4" s="63"/>
      <c r="AD4" s="64"/>
      <c r="AE4" s="65"/>
      <c r="AF4" s="66"/>
    </row>
    <row r="5" spans="1:32">
      <c r="A5" s="25" t="s">
        <v>29</v>
      </c>
      <c r="B5" s="9" t="s">
        <v>32</v>
      </c>
      <c r="C5" s="9">
        <v>330</v>
      </c>
      <c r="D5" s="12">
        <v>274</v>
      </c>
      <c r="E5" s="9">
        <v>5</v>
      </c>
      <c r="F5" s="12">
        <v>34</v>
      </c>
      <c r="G5" s="9">
        <v>335</v>
      </c>
      <c r="H5" s="55">
        <v>0.934272300469484</v>
      </c>
      <c r="I5" s="55">
        <v>0.981220657276995</v>
      </c>
      <c r="J5" s="9">
        <v>273</v>
      </c>
      <c r="K5" s="9">
        <v>215</v>
      </c>
      <c r="L5" s="9">
        <v>21</v>
      </c>
      <c r="M5" s="9">
        <v>37</v>
      </c>
      <c r="N5" s="9">
        <v>304</v>
      </c>
      <c r="O5" s="55">
        <v>0.841269841269841</v>
      </c>
      <c r="P5" s="55">
        <v>0.96031746031746</v>
      </c>
      <c r="Q5" s="9">
        <v>259</v>
      </c>
      <c r="R5" s="9">
        <v>259</v>
      </c>
      <c r="S5" s="9">
        <v>39</v>
      </c>
      <c r="T5" s="9">
        <v>40</v>
      </c>
      <c r="U5" s="9">
        <v>318</v>
      </c>
      <c r="V5" s="55">
        <v>0.931174089068826</v>
      </c>
      <c r="W5" s="55">
        <v>0.97165991902834</v>
      </c>
      <c r="X5" s="49">
        <f t="shared" si="0"/>
        <v>287.333333333333</v>
      </c>
      <c r="Y5" s="49">
        <f t="shared" si="1"/>
        <v>319</v>
      </c>
      <c r="Z5">
        <v>315</v>
      </c>
      <c r="AA5" s="50">
        <f t="shared" si="2"/>
        <v>220.5</v>
      </c>
      <c r="AB5" s="63"/>
      <c r="AC5" s="63"/>
      <c r="AD5" s="64"/>
      <c r="AE5" s="65"/>
      <c r="AF5" s="66"/>
    </row>
    <row r="6" spans="1:32">
      <c r="A6" s="25" t="s">
        <v>29</v>
      </c>
      <c r="B6" s="9" t="s">
        <v>33</v>
      </c>
      <c r="C6" s="9">
        <v>8</v>
      </c>
      <c r="D6" s="12">
        <v>4</v>
      </c>
      <c r="E6" s="9">
        <v>17</v>
      </c>
      <c r="F6" s="12">
        <v>14</v>
      </c>
      <c r="G6" s="9">
        <v>25</v>
      </c>
      <c r="H6" s="55">
        <v>1</v>
      </c>
      <c r="I6" s="55">
        <v>1</v>
      </c>
      <c r="J6" s="9">
        <v>20</v>
      </c>
      <c r="K6" s="9">
        <v>5</v>
      </c>
      <c r="L6" s="9">
        <v>20</v>
      </c>
      <c r="M6" s="9">
        <v>16</v>
      </c>
      <c r="N6" s="9">
        <v>40</v>
      </c>
      <c r="O6" s="55" t="s">
        <v>34</v>
      </c>
      <c r="P6" s="55" t="s">
        <v>34</v>
      </c>
      <c r="Q6" s="9">
        <v>27</v>
      </c>
      <c r="R6" s="9">
        <v>27</v>
      </c>
      <c r="S6" s="9">
        <v>10</v>
      </c>
      <c r="T6" s="9">
        <v>2</v>
      </c>
      <c r="U6" s="9">
        <v>37</v>
      </c>
      <c r="V6" s="55" t="s">
        <v>34</v>
      </c>
      <c r="W6" s="55" t="s">
        <v>34</v>
      </c>
      <c r="X6" s="49">
        <f t="shared" si="0"/>
        <v>18.3333333333333</v>
      </c>
      <c r="Y6" s="49">
        <f t="shared" si="1"/>
        <v>34</v>
      </c>
      <c r="Z6">
        <v>40</v>
      </c>
      <c r="AA6" s="50">
        <f t="shared" si="2"/>
        <v>28</v>
      </c>
      <c r="AB6" s="63"/>
      <c r="AC6" s="63"/>
      <c r="AD6" s="64"/>
      <c r="AE6" s="65"/>
      <c r="AF6" s="66"/>
    </row>
    <row r="7" spans="1:32">
      <c r="A7" s="25" t="s">
        <v>29</v>
      </c>
      <c r="B7" s="9" t="s">
        <v>35</v>
      </c>
      <c r="C7" s="9">
        <v>71</v>
      </c>
      <c r="D7" s="12">
        <v>62</v>
      </c>
      <c r="E7" s="9">
        <v>16</v>
      </c>
      <c r="F7" s="12">
        <v>22</v>
      </c>
      <c r="G7" s="9">
        <v>87</v>
      </c>
      <c r="H7" s="55">
        <v>0.837837837837838</v>
      </c>
      <c r="I7" s="55">
        <v>0.959459459459459</v>
      </c>
      <c r="J7" s="9">
        <v>37</v>
      </c>
      <c r="K7" s="9">
        <v>31</v>
      </c>
      <c r="L7" s="9">
        <v>10</v>
      </c>
      <c r="M7" s="9">
        <v>15</v>
      </c>
      <c r="N7" s="9">
        <v>62</v>
      </c>
      <c r="O7" s="55">
        <v>0.869565217391304</v>
      </c>
      <c r="P7" s="55">
        <v>1</v>
      </c>
      <c r="Q7" s="9">
        <v>67</v>
      </c>
      <c r="R7" s="9">
        <v>67</v>
      </c>
      <c r="S7" s="9">
        <v>11</v>
      </c>
      <c r="T7" s="9">
        <v>8</v>
      </c>
      <c r="U7" s="9">
        <v>78</v>
      </c>
      <c r="V7" s="55">
        <v>0.847826086956522</v>
      </c>
      <c r="W7" s="55">
        <v>0.978260869565217</v>
      </c>
      <c r="X7" s="49">
        <f t="shared" si="0"/>
        <v>58.3333333333333</v>
      </c>
      <c r="Y7" s="49">
        <f t="shared" si="1"/>
        <v>75.6666666666667</v>
      </c>
      <c r="Z7">
        <v>90</v>
      </c>
      <c r="AA7" s="50">
        <f t="shared" si="2"/>
        <v>63</v>
      </c>
      <c r="AB7" s="63"/>
      <c r="AC7" s="63"/>
      <c r="AD7" s="64"/>
      <c r="AE7" s="65"/>
      <c r="AF7" s="66"/>
    </row>
    <row r="8" spans="1:32">
      <c r="A8" s="25" t="s">
        <v>29</v>
      </c>
      <c r="B8" s="9" t="s">
        <v>36</v>
      </c>
      <c r="C8" s="9">
        <v>18</v>
      </c>
      <c r="D8" s="12">
        <v>17</v>
      </c>
      <c r="E8" s="9">
        <v>15</v>
      </c>
      <c r="F8" s="12">
        <v>6</v>
      </c>
      <c r="G8" s="9">
        <v>33</v>
      </c>
      <c r="H8" s="55">
        <v>0.875</v>
      </c>
      <c r="I8" s="55">
        <v>0.958333333333333</v>
      </c>
      <c r="J8" s="9">
        <v>36</v>
      </c>
      <c r="K8" s="9">
        <v>29</v>
      </c>
      <c r="L8" s="9">
        <v>27</v>
      </c>
      <c r="M8" s="9">
        <v>6</v>
      </c>
      <c r="N8" s="9">
        <v>63</v>
      </c>
      <c r="O8" s="55">
        <v>0.853658536585366</v>
      </c>
      <c r="P8" s="55">
        <v>0.926829268292683</v>
      </c>
      <c r="Q8" s="9">
        <v>40</v>
      </c>
      <c r="R8" s="9">
        <v>40</v>
      </c>
      <c r="S8" s="9">
        <v>10</v>
      </c>
      <c r="T8" s="9">
        <v>4</v>
      </c>
      <c r="U8" s="9">
        <v>50</v>
      </c>
      <c r="V8" s="55">
        <v>0.838709677419355</v>
      </c>
      <c r="W8" s="55">
        <v>0.913978494623656</v>
      </c>
      <c r="X8" s="49">
        <f t="shared" si="0"/>
        <v>31.3333333333333</v>
      </c>
      <c r="Y8" s="49">
        <f t="shared" si="1"/>
        <v>48.6666666666667</v>
      </c>
      <c r="Z8">
        <v>45</v>
      </c>
      <c r="AA8" s="50">
        <f t="shared" si="2"/>
        <v>31.5</v>
      </c>
      <c r="AB8" s="63"/>
      <c r="AC8" s="63"/>
      <c r="AD8" s="64"/>
      <c r="AE8" s="65"/>
      <c r="AF8" s="66"/>
    </row>
    <row r="9" spans="1:32">
      <c r="A9" s="25" t="s">
        <v>29</v>
      </c>
      <c r="B9" s="9" t="s">
        <v>37</v>
      </c>
      <c r="C9" s="9">
        <v>190</v>
      </c>
      <c r="D9" s="12">
        <v>176</v>
      </c>
      <c r="E9" s="9">
        <v>5</v>
      </c>
      <c r="F9" s="12">
        <v>13</v>
      </c>
      <c r="G9" s="9">
        <v>195</v>
      </c>
      <c r="H9" s="55">
        <v>0.844262295081967</v>
      </c>
      <c r="I9" s="55">
        <v>0.942622950819672</v>
      </c>
      <c r="J9" s="9">
        <v>146</v>
      </c>
      <c r="K9" s="9">
        <v>131</v>
      </c>
      <c r="L9" s="9">
        <v>18</v>
      </c>
      <c r="M9" s="9">
        <v>15</v>
      </c>
      <c r="N9" s="9">
        <v>174</v>
      </c>
      <c r="O9" s="55">
        <v>0.841121495327103</v>
      </c>
      <c r="P9" s="55">
        <v>0.97196261682243</v>
      </c>
      <c r="Q9" s="9">
        <v>111</v>
      </c>
      <c r="R9" s="9">
        <v>111</v>
      </c>
      <c r="S9" s="9">
        <v>32</v>
      </c>
      <c r="T9" s="9">
        <v>16</v>
      </c>
      <c r="U9" s="9">
        <v>163</v>
      </c>
      <c r="V9" s="55">
        <v>0.884615384615385</v>
      </c>
      <c r="W9" s="55">
        <v>0.980769230769231</v>
      </c>
      <c r="X9" s="49">
        <f t="shared" si="0"/>
        <v>149</v>
      </c>
      <c r="Y9" s="49">
        <f t="shared" si="1"/>
        <v>177.333333333333</v>
      </c>
      <c r="Z9">
        <v>180</v>
      </c>
      <c r="AA9" s="50">
        <f t="shared" si="2"/>
        <v>126</v>
      </c>
      <c r="AB9" s="63"/>
      <c r="AC9" s="63"/>
      <c r="AD9" s="64"/>
      <c r="AE9" s="65"/>
      <c r="AF9" s="66"/>
    </row>
    <row r="10" spans="1:32">
      <c r="A10" s="25" t="s">
        <v>29</v>
      </c>
      <c r="B10" s="9" t="s">
        <v>38</v>
      </c>
      <c r="C10" s="9">
        <v>10</v>
      </c>
      <c r="D10" s="12">
        <v>10</v>
      </c>
      <c r="E10" s="9">
        <v>15</v>
      </c>
      <c r="F10" s="12">
        <v>8</v>
      </c>
      <c r="G10" s="9">
        <v>35</v>
      </c>
      <c r="H10" s="55">
        <v>1</v>
      </c>
      <c r="I10" s="55">
        <v>1</v>
      </c>
      <c r="J10" s="9">
        <v>17</v>
      </c>
      <c r="K10" s="9">
        <v>5</v>
      </c>
      <c r="L10" s="9">
        <v>23</v>
      </c>
      <c r="M10" s="9">
        <v>7</v>
      </c>
      <c r="N10" s="9">
        <v>40</v>
      </c>
      <c r="O10" s="55" t="s">
        <v>34</v>
      </c>
      <c r="P10" s="55" t="s">
        <v>34</v>
      </c>
      <c r="Q10" s="9">
        <v>15</v>
      </c>
      <c r="R10" s="9">
        <v>15</v>
      </c>
      <c r="S10" s="9">
        <v>15</v>
      </c>
      <c r="T10" s="9">
        <v>1</v>
      </c>
      <c r="U10" s="9">
        <v>30</v>
      </c>
      <c r="V10" s="55" t="s">
        <v>34</v>
      </c>
      <c r="W10" s="55" t="s">
        <v>34</v>
      </c>
      <c r="X10" s="49">
        <f t="shared" si="0"/>
        <v>14</v>
      </c>
      <c r="Y10" s="49">
        <f t="shared" si="1"/>
        <v>35</v>
      </c>
      <c r="Z10">
        <v>40</v>
      </c>
      <c r="AA10" s="50">
        <f t="shared" si="2"/>
        <v>28</v>
      </c>
      <c r="AB10" s="63"/>
      <c r="AC10" s="63"/>
      <c r="AD10" s="64"/>
      <c r="AE10" s="65"/>
      <c r="AF10" s="66"/>
    </row>
    <row r="11" spans="1:32">
      <c r="A11" s="25" t="s">
        <v>39</v>
      </c>
      <c r="B11" s="9" t="s">
        <v>40</v>
      </c>
      <c r="C11" s="9">
        <v>17</v>
      </c>
      <c r="D11" s="12">
        <v>14</v>
      </c>
      <c r="E11" s="9">
        <v>23</v>
      </c>
      <c r="F11" s="12">
        <v>15</v>
      </c>
      <c r="G11" s="9">
        <v>40</v>
      </c>
      <c r="H11" s="55">
        <v>0.8</v>
      </c>
      <c r="I11" s="55">
        <v>0.95</v>
      </c>
      <c r="J11" s="9">
        <v>22</v>
      </c>
      <c r="K11" s="9">
        <v>7</v>
      </c>
      <c r="L11" s="9">
        <v>20</v>
      </c>
      <c r="M11" s="9">
        <v>10</v>
      </c>
      <c r="N11" s="9">
        <v>42</v>
      </c>
      <c r="O11" s="55" t="s">
        <v>34</v>
      </c>
      <c r="P11" s="55" t="s">
        <v>34</v>
      </c>
      <c r="Q11" s="9">
        <v>9</v>
      </c>
      <c r="R11" s="9">
        <v>9</v>
      </c>
      <c r="S11" s="9">
        <v>15</v>
      </c>
      <c r="T11" s="9">
        <v>5</v>
      </c>
      <c r="U11" s="9">
        <v>34</v>
      </c>
      <c r="V11" s="55" t="s">
        <v>34</v>
      </c>
      <c r="W11" s="55" t="s">
        <v>34</v>
      </c>
      <c r="X11" s="49">
        <f t="shared" ref="X11:X38" si="3">AVERAGE(C11,J11,Q11)</f>
        <v>16</v>
      </c>
      <c r="Y11" s="49">
        <f t="shared" ref="Y11:Y37" si="4">AVERAGE(G11,N11,U11)</f>
        <v>38.6666666666667</v>
      </c>
      <c r="Z11">
        <v>40</v>
      </c>
      <c r="AA11" s="50">
        <f t="shared" ref="AA11:AA37" si="5">Z11*0.7</f>
        <v>28</v>
      </c>
      <c r="AB11" s="63"/>
      <c r="AC11" s="63"/>
      <c r="AD11" s="64"/>
      <c r="AE11" s="65"/>
      <c r="AF11" s="66"/>
    </row>
    <row r="12" spans="1:32">
      <c r="A12" s="25" t="s">
        <v>39</v>
      </c>
      <c r="B12" s="9" t="s">
        <v>41</v>
      </c>
      <c r="C12" s="9">
        <v>493</v>
      </c>
      <c r="D12" s="12">
        <v>796</v>
      </c>
      <c r="E12" s="9">
        <v>127</v>
      </c>
      <c r="F12" s="12">
        <v>150</v>
      </c>
      <c r="G12" s="9">
        <v>640</v>
      </c>
      <c r="H12" s="55">
        <v>0.834285714285714</v>
      </c>
      <c r="I12" s="55">
        <v>0.978571428571429</v>
      </c>
      <c r="J12" s="9">
        <v>480</v>
      </c>
      <c r="K12" s="9">
        <v>835</v>
      </c>
      <c r="L12" s="9">
        <v>110</v>
      </c>
      <c r="M12" s="9">
        <v>149</v>
      </c>
      <c r="N12" s="9">
        <v>620</v>
      </c>
      <c r="O12" s="55">
        <v>0.835311572700297</v>
      </c>
      <c r="P12" s="55">
        <v>0.954005934718101</v>
      </c>
      <c r="Q12" s="9">
        <v>782</v>
      </c>
      <c r="R12" s="9">
        <v>782</v>
      </c>
      <c r="S12" s="9">
        <v>82</v>
      </c>
      <c r="T12" s="9">
        <v>99</v>
      </c>
      <c r="U12" s="9">
        <v>884</v>
      </c>
      <c r="V12" s="55">
        <v>0.882572227399814</v>
      </c>
      <c r="W12" s="55">
        <v>0.950605778191985</v>
      </c>
      <c r="X12" s="49">
        <f t="shared" si="3"/>
        <v>585</v>
      </c>
      <c r="Y12" s="49">
        <f t="shared" si="4"/>
        <v>714.666666666667</v>
      </c>
      <c r="Z12">
        <v>720</v>
      </c>
      <c r="AA12" s="50">
        <f t="shared" si="5"/>
        <v>504</v>
      </c>
      <c r="AB12" s="63"/>
      <c r="AC12" s="63"/>
      <c r="AD12" s="64"/>
      <c r="AE12" s="65"/>
      <c r="AF12" s="66"/>
    </row>
    <row r="13" spans="1:32">
      <c r="A13" s="25" t="s">
        <v>39</v>
      </c>
      <c r="B13" s="9" t="s">
        <v>42</v>
      </c>
      <c r="C13" s="9">
        <v>102</v>
      </c>
      <c r="D13" s="12">
        <v>57</v>
      </c>
      <c r="E13" s="9">
        <v>29</v>
      </c>
      <c r="F13" s="12">
        <v>33</v>
      </c>
      <c r="G13" s="9">
        <v>131</v>
      </c>
      <c r="H13" s="55">
        <v>0.887096774193548</v>
      </c>
      <c r="I13" s="55">
        <v>0.983870967741935</v>
      </c>
      <c r="J13" s="9">
        <v>51</v>
      </c>
      <c r="K13" s="9">
        <v>28</v>
      </c>
      <c r="L13" s="9">
        <v>21</v>
      </c>
      <c r="M13" s="9">
        <v>37</v>
      </c>
      <c r="N13" s="9">
        <v>72</v>
      </c>
      <c r="O13" s="55">
        <v>0.728571428571429</v>
      </c>
      <c r="P13" s="55">
        <v>0.957142857142857</v>
      </c>
      <c r="Q13" s="9">
        <v>49</v>
      </c>
      <c r="R13" s="9">
        <v>49</v>
      </c>
      <c r="S13" s="9">
        <v>14</v>
      </c>
      <c r="T13" s="9">
        <v>20</v>
      </c>
      <c r="U13" s="9">
        <v>63</v>
      </c>
      <c r="V13" s="55">
        <v>0.81</v>
      </c>
      <c r="W13" s="55">
        <v>1</v>
      </c>
      <c r="X13" s="49">
        <f t="shared" si="3"/>
        <v>67.3333333333333</v>
      </c>
      <c r="Y13" s="49">
        <f t="shared" si="4"/>
        <v>88.6666666666667</v>
      </c>
      <c r="Z13">
        <v>90</v>
      </c>
      <c r="AA13" s="50">
        <f t="shared" si="5"/>
        <v>63</v>
      </c>
      <c r="AB13" s="63"/>
      <c r="AC13" s="63"/>
      <c r="AD13" s="64"/>
      <c r="AE13" s="65"/>
      <c r="AF13" s="66"/>
    </row>
    <row r="14" spans="1:32">
      <c r="A14" s="25" t="s">
        <v>39</v>
      </c>
      <c r="B14" s="9" t="s">
        <v>43</v>
      </c>
      <c r="C14" s="9">
        <v>28</v>
      </c>
      <c r="D14" s="12">
        <v>9</v>
      </c>
      <c r="E14" s="9">
        <v>8</v>
      </c>
      <c r="F14" s="12">
        <v>8</v>
      </c>
      <c r="G14" s="9">
        <v>36</v>
      </c>
      <c r="H14" s="55">
        <v>0.826086956521739</v>
      </c>
      <c r="I14" s="55">
        <v>1</v>
      </c>
      <c r="J14" s="9">
        <v>14</v>
      </c>
      <c r="K14" s="9">
        <v>11</v>
      </c>
      <c r="L14" s="9">
        <v>17</v>
      </c>
      <c r="M14" s="9">
        <v>6</v>
      </c>
      <c r="N14" s="9">
        <v>31</v>
      </c>
      <c r="O14" s="55" t="s">
        <v>34</v>
      </c>
      <c r="P14" s="55" t="s">
        <v>34</v>
      </c>
      <c r="Q14" s="9">
        <v>14</v>
      </c>
      <c r="R14" s="9">
        <v>14</v>
      </c>
      <c r="S14" s="9">
        <v>17</v>
      </c>
      <c r="T14" s="9">
        <v>8</v>
      </c>
      <c r="U14" s="9">
        <v>31</v>
      </c>
      <c r="V14" s="55" t="s">
        <v>34</v>
      </c>
      <c r="W14" s="55" t="s">
        <v>34</v>
      </c>
      <c r="X14" s="49">
        <f t="shared" si="3"/>
        <v>18.6666666666667</v>
      </c>
      <c r="Y14" s="49">
        <f t="shared" si="4"/>
        <v>32.6666666666667</v>
      </c>
      <c r="Z14">
        <v>40</v>
      </c>
      <c r="AA14" s="50">
        <f t="shared" si="5"/>
        <v>28</v>
      </c>
      <c r="AB14" s="63"/>
      <c r="AC14" s="63"/>
      <c r="AD14" s="64"/>
      <c r="AE14" s="65"/>
      <c r="AF14" s="66"/>
    </row>
    <row r="15" spans="1:32">
      <c r="A15" s="25" t="s">
        <v>39</v>
      </c>
      <c r="B15" s="9" t="s">
        <v>44</v>
      </c>
      <c r="C15" s="9">
        <v>52</v>
      </c>
      <c r="D15" s="12">
        <v>50</v>
      </c>
      <c r="E15" s="9">
        <v>24</v>
      </c>
      <c r="F15" s="12">
        <v>15</v>
      </c>
      <c r="G15" s="9">
        <v>86</v>
      </c>
      <c r="H15" s="55">
        <v>0.925</v>
      </c>
      <c r="I15" s="55">
        <v>0.95</v>
      </c>
      <c r="J15" s="9">
        <v>58</v>
      </c>
      <c r="K15" s="9">
        <v>62</v>
      </c>
      <c r="L15" s="9">
        <v>12</v>
      </c>
      <c r="M15" s="9">
        <v>9</v>
      </c>
      <c r="N15" s="9">
        <v>70</v>
      </c>
      <c r="O15" s="55">
        <v>0.923076923076923</v>
      </c>
      <c r="P15" s="55">
        <v>1</v>
      </c>
      <c r="Q15" s="9">
        <v>31</v>
      </c>
      <c r="R15" s="9">
        <v>31</v>
      </c>
      <c r="S15" s="9">
        <v>15</v>
      </c>
      <c r="T15" s="9">
        <v>12</v>
      </c>
      <c r="U15" s="9">
        <v>46</v>
      </c>
      <c r="V15" s="55">
        <v>0</v>
      </c>
      <c r="W15" s="55">
        <v>0</v>
      </c>
      <c r="X15" s="49">
        <f t="shared" si="3"/>
        <v>47</v>
      </c>
      <c r="Y15" s="49">
        <f t="shared" si="4"/>
        <v>67.3333333333333</v>
      </c>
      <c r="Z15">
        <v>45</v>
      </c>
      <c r="AA15" s="50">
        <f t="shared" si="5"/>
        <v>31.5</v>
      </c>
      <c r="AB15" s="63"/>
      <c r="AC15" s="63"/>
      <c r="AD15" s="64"/>
      <c r="AE15" s="63"/>
      <c r="AF15" s="66"/>
    </row>
    <row r="16" spans="1:32">
      <c r="A16" s="25" t="s">
        <v>45</v>
      </c>
      <c r="B16" s="9" t="s">
        <v>46</v>
      </c>
      <c r="C16" s="9">
        <v>2</v>
      </c>
      <c r="D16" s="12">
        <v>2</v>
      </c>
      <c r="E16" s="9">
        <v>18</v>
      </c>
      <c r="F16" s="12">
        <v>4</v>
      </c>
      <c r="G16" s="9">
        <v>40</v>
      </c>
      <c r="H16" s="55" t="s">
        <v>34</v>
      </c>
      <c r="I16" s="55" t="s">
        <v>34</v>
      </c>
      <c r="J16" s="9"/>
      <c r="K16" s="9">
        <v>0</v>
      </c>
      <c r="L16" s="9"/>
      <c r="M16" s="9">
        <v>0</v>
      </c>
      <c r="N16" s="9"/>
      <c r="O16" s="55" t="s">
        <v>34</v>
      </c>
      <c r="P16" s="55" t="s">
        <v>34</v>
      </c>
      <c r="Q16" s="9"/>
      <c r="R16" s="9">
        <v>0</v>
      </c>
      <c r="S16" s="9"/>
      <c r="T16" s="9">
        <v>0</v>
      </c>
      <c r="U16" s="9"/>
      <c r="V16" s="55" t="s">
        <v>34</v>
      </c>
      <c r="W16" s="55" t="s">
        <v>34</v>
      </c>
      <c r="X16" s="49">
        <f t="shared" si="3"/>
        <v>2</v>
      </c>
      <c r="Y16" s="49">
        <f t="shared" si="4"/>
        <v>40</v>
      </c>
      <c r="Z16">
        <v>40</v>
      </c>
      <c r="AA16" s="50">
        <f t="shared" si="5"/>
        <v>28</v>
      </c>
      <c r="AB16" s="64"/>
      <c r="AC16" s="64"/>
      <c r="AD16" s="64"/>
      <c r="AE16" s="63"/>
      <c r="AF16" s="64"/>
    </row>
    <row r="17" spans="1:32">
      <c r="A17" s="25" t="s">
        <v>45</v>
      </c>
      <c r="B17" s="9" t="s">
        <v>47</v>
      </c>
      <c r="C17" s="9">
        <v>309</v>
      </c>
      <c r="D17" s="12">
        <v>203</v>
      </c>
      <c r="E17" s="9">
        <v>62</v>
      </c>
      <c r="F17" s="12">
        <v>93</v>
      </c>
      <c r="G17" s="9">
        <v>371</v>
      </c>
      <c r="H17" s="55">
        <v>0.85427135678392</v>
      </c>
      <c r="I17" s="55">
        <v>0.964824120603015</v>
      </c>
      <c r="J17" s="9">
        <v>239</v>
      </c>
      <c r="K17" s="9">
        <v>159</v>
      </c>
      <c r="L17" s="9">
        <v>59</v>
      </c>
      <c r="M17" s="9">
        <v>98</v>
      </c>
      <c r="N17" s="9">
        <v>298</v>
      </c>
      <c r="O17" s="55">
        <v>0.839378238341969</v>
      </c>
      <c r="P17" s="55">
        <v>0.974093264248705</v>
      </c>
      <c r="Q17" s="9">
        <v>117</v>
      </c>
      <c r="R17" s="9">
        <v>117</v>
      </c>
      <c r="S17" s="9">
        <v>64</v>
      </c>
      <c r="T17" s="9">
        <v>89</v>
      </c>
      <c r="U17" s="9">
        <v>201</v>
      </c>
      <c r="V17" s="55">
        <v>0.878612716763006</v>
      </c>
      <c r="W17" s="55">
        <v>1.01156069364162</v>
      </c>
      <c r="X17" s="49">
        <f t="shared" si="3"/>
        <v>221.666666666667</v>
      </c>
      <c r="Y17" s="49">
        <f t="shared" si="4"/>
        <v>290</v>
      </c>
      <c r="Z17">
        <v>270</v>
      </c>
      <c r="AA17" s="50">
        <f t="shared" si="5"/>
        <v>189</v>
      </c>
      <c r="AB17" s="64"/>
      <c r="AC17" s="64"/>
      <c r="AD17" s="64"/>
      <c r="AE17" s="63"/>
      <c r="AF17" s="64"/>
    </row>
    <row r="18" spans="1:32">
      <c r="A18" s="25" t="s">
        <v>45</v>
      </c>
      <c r="B18" s="9" t="s">
        <v>48</v>
      </c>
      <c r="C18" s="9">
        <v>15</v>
      </c>
      <c r="D18" s="12">
        <v>15</v>
      </c>
      <c r="E18" s="9">
        <v>15</v>
      </c>
      <c r="F18" s="12">
        <v>5</v>
      </c>
      <c r="G18" s="9">
        <v>40</v>
      </c>
      <c r="H18" s="55" t="s">
        <v>34</v>
      </c>
      <c r="I18" s="55" t="s">
        <v>34</v>
      </c>
      <c r="J18" s="9"/>
      <c r="K18" s="9">
        <v>0</v>
      </c>
      <c r="L18" s="9"/>
      <c r="M18" s="9">
        <v>0</v>
      </c>
      <c r="N18" s="9"/>
      <c r="O18" s="55" t="s">
        <v>34</v>
      </c>
      <c r="P18" s="55" t="s">
        <v>34</v>
      </c>
      <c r="Q18" s="9"/>
      <c r="R18" s="9">
        <v>0</v>
      </c>
      <c r="S18" s="9"/>
      <c r="T18" s="9">
        <v>0</v>
      </c>
      <c r="U18" s="9"/>
      <c r="V18" s="55" t="s">
        <v>34</v>
      </c>
      <c r="W18" s="55" t="s">
        <v>34</v>
      </c>
      <c r="X18" s="49">
        <f t="shared" si="3"/>
        <v>15</v>
      </c>
      <c r="Y18" s="49">
        <f t="shared" si="4"/>
        <v>40</v>
      </c>
      <c r="Z18">
        <v>40</v>
      </c>
      <c r="AA18" s="50">
        <f t="shared" si="5"/>
        <v>28</v>
      </c>
      <c r="AB18" s="64"/>
      <c r="AC18" s="64"/>
      <c r="AD18" s="64"/>
      <c r="AE18" s="63"/>
      <c r="AF18" s="64"/>
    </row>
    <row r="19" spans="1:32">
      <c r="A19" s="25" t="s">
        <v>45</v>
      </c>
      <c r="B19" s="9" t="s">
        <v>49</v>
      </c>
      <c r="C19" s="9">
        <v>13</v>
      </c>
      <c r="D19" s="12">
        <v>13</v>
      </c>
      <c r="E19" s="9">
        <v>19</v>
      </c>
      <c r="F19" s="12">
        <v>16</v>
      </c>
      <c r="G19" s="9">
        <v>32</v>
      </c>
      <c r="H19" s="55">
        <v>0.91304347826087</v>
      </c>
      <c r="I19" s="55">
        <v>1</v>
      </c>
      <c r="J19" s="9">
        <v>15</v>
      </c>
      <c r="K19" s="9">
        <v>3</v>
      </c>
      <c r="L19" s="9">
        <v>21</v>
      </c>
      <c r="M19" s="9">
        <v>10</v>
      </c>
      <c r="N19" s="9">
        <v>36</v>
      </c>
      <c r="O19" s="55">
        <v>0.647058823529412</v>
      </c>
      <c r="P19" s="55">
        <v>0.941176470588235</v>
      </c>
      <c r="Q19" s="9"/>
      <c r="R19" s="9">
        <v>0</v>
      </c>
      <c r="S19" s="9"/>
      <c r="T19" s="9">
        <v>0</v>
      </c>
      <c r="U19" s="9"/>
      <c r="V19" s="55">
        <v>0.766666666666667</v>
      </c>
      <c r="W19" s="55">
        <v>1</v>
      </c>
      <c r="X19" s="49">
        <f t="shared" si="3"/>
        <v>14</v>
      </c>
      <c r="Y19" s="49">
        <f t="shared" si="4"/>
        <v>34</v>
      </c>
      <c r="Z19">
        <v>40</v>
      </c>
      <c r="AA19" s="50">
        <f t="shared" si="5"/>
        <v>28</v>
      </c>
      <c r="AB19" s="64"/>
      <c r="AC19" s="64"/>
      <c r="AD19" s="64"/>
      <c r="AE19" s="63"/>
      <c r="AF19" s="64"/>
    </row>
    <row r="20" spans="1:32">
      <c r="A20" s="25" t="s">
        <v>45</v>
      </c>
      <c r="B20" s="9" t="s">
        <v>50</v>
      </c>
      <c r="C20" s="9">
        <v>70</v>
      </c>
      <c r="D20" s="12">
        <v>61</v>
      </c>
      <c r="E20" s="9">
        <v>31</v>
      </c>
      <c r="F20" s="12">
        <v>33</v>
      </c>
      <c r="G20" s="9">
        <v>111</v>
      </c>
      <c r="H20" s="55">
        <v>0.84070796460177</v>
      </c>
      <c r="I20" s="55">
        <v>0.973451327433628</v>
      </c>
      <c r="J20" s="9">
        <v>91</v>
      </c>
      <c r="K20" s="9">
        <v>82</v>
      </c>
      <c r="L20" s="9">
        <v>14</v>
      </c>
      <c r="M20" s="9">
        <v>20</v>
      </c>
      <c r="N20" s="9">
        <v>105</v>
      </c>
      <c r="O20" s="55">
        <v>0.882352941176471</v>
      </c>
      <c r="P20" s="55">
        <v>0.949579831932773</v>
      </c>
      <c r="Q20" s="9">
        <v>80</v>
      </c>
      <c r="R20" s="9">
        <v>80</v>
      </c>
      <c r="S20" s="9">
        <v>25</v>
      </c>
      <c r="T20" s="9">
        <v>23</v>
      </c>
      <c r="U20" s="9">
        <v>105</v>
      </c>
      <c r="V20" s="55">
        <v>0.858695652173913</v>
      </c>
      <c r="W20" s="55">
        <v>0.978260869565217</v>
      </c>
      <c r="X20" s="49">
        <f t="shared" si="3"/>
        <v>80.3333333333333</v>
      </c>
      <c r="Y20" s="49">
        <f t="shared" si="4"/>
        <v>107</v>
      </c>
      <c r="Z20">
        <v>90</v>
      </c>
      <c r="AA20" s="50">
        <f t="shared" si="5"/>
        <v>63</v>
      </c>
      <c r="AC20" s="64"/>
      <c r="AD20" s="64"/>
      <c r="AE20" s="63"/>
      <c r="AF20" s="64"/>
    </row>
    <row r="21" spans="1:32">
      <c r="A21" s="25" t="s">
        <v>45</v>
      </c>
      <c r="B21" s="9" t="s">
        <v>51</v>
      </c>
      <c r="C21" s="9">
        <v>20</v>
      </c>
      <c r="D21" s="12">
        <v>10</v>
      </c>
      <c r="E21" s="9">
        <v>20</v>
      </c>
      <c r="F21" s="12">
        <v>9</v>
      </c>
      <c r="G21" s="9">
        <v>40</v>
      </c>
      <c r="H21" s="55" t="s">
        <v>34</v>
      </c>
      <c r="I21" s="55" t="s">
        <v>34</v>
      </c>
      <c r="J21" s="9">
        <v>16</v>
      </c>
      <c r="K21" s="9">
        <v>12</v>
      </c>
      <c r="L21" s="9">
        <v>22</v>
      </c>
      <c r="M21" s="9">
        <v>10</v>
      </c>
      <c r="N21" s="9">
        <v>38</v>
      </c>
      <c r="O21" s="55" t="s">
        <v>34</v>
      </c>
      <c r="P21" s="55" t="s">
        <v>34</v>
      </c>
      <c r="Q21" s="9">
        <v>30</v>
      </c>
      <c r="R21" s="9">
        <v>30</v>
      </c>
      <c r="S21" s="9">
        <v>11</v>
      </c>
      <c r="T21" s="9">
        <v>16</v>
      </c>
      <c r="U21" s="9">
        <v>41</v>
      </c>
      <c r="V21" s="55" t="s">
        <v>34</v>
      </c>
      <c r="W21" s="55" t="s">
        <v>34</v>
      </c>
      <c r="X21" s="49">
        <f t="shared" si="3"/>
        <v>22</v>
      </c>
      <c r="Y21" s="49">
        <f t="shared" si="4"/>
        <v>39.6666666666667</v>
      </c>
      <c r="Z21">
        <v>40</v>
      </c>
      <c r="AA21" s="50">
        <f t="shared" si="5"/>
        <v>28</v>
      </c>
      <c r="AC21" s="64"/>
      <c r="AD21" s="64"/>
      <c r="AE21" s="63"/>
      <c r="AF21" s="64"/>
    </row>
    <row r="22" spans="1:32">
      <c r="A22" s="25" t="s">
        <v>52</v>
      </c>
      <c r="B22" s="9" t="s">
        <v>53</v>
      </c>
      <c r="C22" s="9">
        <v>18</v>
      </c>
      <c r="D22" s="12">
        <v>18</v>
      </c>
      <c r="E22" s="9">
        <v>22</v>
      </c>
      <c r="F22" s="12">
        <v>12</v>
      </c>
      <c r="G22" s="9">
        <v>40</v>
      </c>
      <c r="H22" s="55">
        <v>0.90625</v>
      </c>
      <c r="I22" s="55">
        <v>0.90625</v>
      </c>
      <c r="J22" s="9">
        <v>14</v>
      </c>
      <c r="K22" s="9">
        <v>14</v>
      </c>
      <c r="L22" s="9">
        <v>16</v>
      </c>
      <c r="M22" s="9">
        <v>8</v>
      </c>
      <c r="N22" s="9">
        <v>40</v>
      </c>
      <c r="O22" s="55">
        <v>0.810810810810811</v>
      </c>
      <c r="P22" s="55">
        <v>0.918918918918919</v>
      </c>
      <c r="Q22" s="9">
        <v>16</v>
      </c>
      <c r="R22" s="9">
        <v>16</v>
      </c>
      <c r="S22" s="9">
        <v>15</v>
      </c>
      <c r="T22" s="9">
        <v>10</v>
      </c>
      <c r="U22" s="9">
        <v>31</v>
      </c>
      <c r="V22" s="55">
        <v>0.730769230769231</v>
      </c>
      <c r="W22" s="55">
        <v>1</v>
      </c>
      <c r="X22" s="49">
        <f t="shared" si="3"/>
        <v>16</v>
      </c>
      <c r="Y22" s="49">
        <f t="shared" si="4"/>
        <v>37</v>
      </c>
      <c r="Z22">
        <v>40</v>
      </c>
      <c r="AA22" s="50">
        <f t="shared" si="5"/>
        <v>28</v>
      </c>
      <c r="AC22" s="64"/>
      <c r="AD22" s="64"/>
      <c r="AE22" s="63"/>
      <c r="AF22" s="64"/>
    </row>
    <row r="23" spans="1:32">
      <c r="A23" s="25" t="s">
        <v>52</v>
      </c>
      <c r="B23" s="9" t="s">
        <v>54</v>
      </c>
      <c r="C23" s="9">
        <v>9</v>
      </c>
      <c r="D23" s="12">
        <v>9</v>
      </c>
      <c r="E23" s="9">
        <v>23</v>
      </c>
      <c r="F23" s="12">
        <v>20</v>
      </c>
      <c r="G23" s="9">
        <v>42</v>
      </c>
      <c r="H23" s="55">
        <v>0.882352941176471</v>
      </c>
      <c r="I23" s="55">
        <v>0.941176470588235</v>
      </c>
      <c r="J23" s="9">
        <v>21</v>
      </c>
      <c r="K23" s="9">
        <v>9</v>
      </c>
      <c r="L23" s="9">
        <v>14</v>
      </c>
      <c r="M23" s="9">
        <v>9</v>
      </c>
      <c r="N23" s="9">
        <v>35</v>
      </c>
      <c r="O23" s="55">
        <v>0.95</v>
      </c>
      <c r="P23" s="55">
        <v>1</v>
      </c>
      <c r="Q23" s="9">
        <v>28</v>
      </c>
      <c r="R23" s="9">
        <v>28</v>
      </c>
      <c r="S23" s="9">
        <v>22</v>
      </c>
      <c r="T23" s="9">
        <v>6</v>
      </c>
      <c r="U23" s="9">
        <v>50</v>
      </c>
      <c r="V23" s="55">
        <v>0.923076923076923</v>
      </c>
      <c r="W23" s="55">
        <v>0.980769230769231</v>
      </c>
      <c r="X23" s="49">
        <f t="shared" si="3"/>
        <v>19.3333333333333</v>
      </c>
      <c r="Y23" s="49">
        <f t="shared" si="4"/>
        <v>42.3333333333333</v>
      </c>
      <c r="Z23">
        <v>40</v>
      </c>
      <c r="AA23" s="50">
        <f t="shared" si="5"/>
        <v>28</v>
      </c>
      <c r="AC23" s="64"/>
      <c r="AD23" s="64"/>
      <c r="AE23" s="63"/>
      <c r="AF23" s="64"/>
    </row>
    <row r="24" spans="1:32">
      <c r="A24" s="25" t="s">
        <v>52</v>
      </c>
      <c r="B24" s="9" t="s">
        <v>55</v>
      </c>
      <c r="C24" s="9">
        <v>31</v>
      </c>
      <c r="D24" s="12">
        <v>30</v>
      </c>
      <c r="E24" s="9">
        <v>8</v>
      </c>
      <c r="F24" s="12">
        <v>21</v>
      </c>
      <c r="G24" s="9">
        <v>39</v>
      </c>
      <c r="H24" s="55">
        <v>0.928571428571429</v>
      </c>
      <c r="I24" s="55">
        <v>1</v>
      </c>
      <c r="J24" s="9">
        <v>25</v>
      </c>
      <c r="K24" s="9">
        <v>23</v>
      </c>
      <c r="L24" s="9">
        <v>22</v>
      </c>
      <c r="M24" s="9">
        <v>48</v>
      </c>
      <c r="N24" s="9">
        <v>57</v>
      </c>
      <c r="O24" s="55">
        <v>0.863636363636364</v>
      </c>
      <c r="P24" s="55">
        <v>0.954545454545455</v>
      </c>
      <c r="Q24" s="9">
        <v>25</v>
      </c>
      <c r="R24" s="9">
        <v>25</v>
      </c>
      <c r="S24" s="9">
        <v>22</v>
      </c>
      <c r="T24" s="9">
        <v>35</v>
      </c>
      <c r="U24" s="9">
        <v>47</v>
      </c>
      <c r="V24" s="55">
        <v>0.942857142857143</v>
      </c>
      <c r="W24" s="55">
        <v>0.952380952380952</v>
      </c>
      <c r="X24" s="49">
        <f t="shared" si="3"/>
        <v>27</v>
      </c>
      <c r="Y24" s="49">
        <f t="shared" si="4"/>
        <v>47.6666666666667</v>
      </c>
      <c r="Z24">
        <v>40</v>
      </c>
      <c r="AA24" s="50">
        <f t="shared" si="5"/>
        <v>28</v>
      </c>
      <c r="AC24" s="64"/>
      <c r="AD24" s="64"/>
      <c r="AE24" s="63"/>
      <c r="AF24" s="64"/>
    </row>
    <row r="25" spans="1:32">
      <c r="A25" s="25" t="s">
        <v>52</v>
      </c>
      <c r="B25" s="9" t="s">
        <v>56</v>
      </c>
      <c r="C25" s="9">
        <v>24</v>
      </c>
      <c r="D25" s="12">
        <v>24</v>
      </c>
      <c r="E25" s="9">
        <v>10</v>
      </c>
      <c r="F25" s="12">
        <v>4</v>
      </c>
      <c r="G25" s="9">
        <v>34</v>
      </c>
      <c r="H25" s="55">
        <v>0.91044776119403</v>
      </c>
      <c r="I25" s="55">
        <v>0.985074626865672</v>
      </c>
      <c r="J25" s="9">
        <v>34</v>
      </c>
      <c r="K25" s="9">
        <v>34</v>
      </c>
      <c r="L25" s="9">
        <v>11</v>
      </c>
      <c r="M25" s="9">
        <v>2</v>
      </c>
      <c r="N25" s="9">
        <v>50</v>
      </c>
      <c r="O25" s="55">
        <v>0.777777777777778</v>
      </c>
      <c r="P25" s="55">
        <v>1</v>
      </c>
      <c r="Q25" s="9">
        <v>29</v>
      </c>
      <c r="R25" s="9">
        <v>29</v>
      </c>
      <c r="S25" s="9">
        <v>18</v>
      </c>
      <c r="T25" s="9">
        <v>12</v>
      </c>
      <c r="U25" s="9">
        <v>62</v>
      </c>
      <c r="V25" s="55">
        <v>0.924731182795699</v>
      </c>
      <c r="W25" s="55">
        <v>0.956989247311828</v>
      </c>
      <c r="X25" s="49">
        <f t="shared" si="3"/>
        <v>29</v>
      </c>
      <c r="Y25" s="49">
        <f t="shared" si="4"/>
        <v>48.6666666666667</v>
      </c>
      <c r="Z25">
        <v>40</v>
      </c>
      <c r="AA25" s="50">
        <f t="shared" si="5"/>
        <v>28</v>
      </c>
      <c r="AC25" s="64"/>
      <c r="AD25" s="64"/>
      <c r="AE25" s="63"/>
      <c r="AF25" s="64"/>
    </row>
    <row r="26" spans="1:32">
      <c r="A26" s="25" t="s">
        <v>52</v>
      </c>
      <c r="B26" s="9" t="s">
        <v>57</v>
      </c>
      <c r="C26" s="9">
        <v>45</v>
      </c>
      <c r="D26" s="12">
        <v>44</v>
      </c>
      <c r="E26" s="9">
        <v>23</v>
      </c>
      <c r="F26" s="12">
        <v>11</v>
      </c>
      <c r="G26" s="9">
        <v>88</v>
      </c>
      <c r="H26" s="55">
        <v>0.859504132231405</v>
      </c>
      <c r="I26" s="55">
        <v>0.991735537190083</v>
      </c>
      <c r="J26" s="9">
        <v>19</v>
      </c>
      <c r="K26" s="9">
        <v>20</v>
      </c>
      <c r="L26" s="9">
        <v>18</v>
      </c>
      <c r="M26" s="9">
        <v>17</v>
      </c>
      <c r="N26" s="9">
        <v>67</v>
      </c>
      <c r="O26" s="55">
        <v>0.83739837398374</v>
      </c>
      <c r="P26" s="55">
        <v>0.943089430894309</v>
      </c>
      <c r="Q26" s="9">
        <v>40</v>
      </c>
      <c r="R26" s="9">
        <v>40</v>
      </c>
      <c r="S26" s="9">
        <v>34</v>
      </c>
      <c r="T26" s="9">
        <v>38</v>
      </c>
      <c r="U26" s="9">
        <v>74</v>
      </c>
      <c r="V26" s="55">
        <v>0.764705882352941</v>
      </c>
      <c r="W26" s="55">
        <v>0.970588235294118</v>
      </c>
      <c r="X26" s="49">
        <f t="shared" si="3"/>
        <v>34.6666666666667</v>
      </c>
      <c r="Y26" s="49">
        <f t="shared" si="4"/>
        <v>76.3333333333333</v>
      </c>
      <c r="Z26">
        <v>90</v>
      </c>
      <c r="AA26" s="50">
        <f t="shared" si="5"/>
        <v>63</v>
      </c>
      <c r="AC26" s="64"/>
      <c r="AD26" s="64"/>
      <c r="AE26" s="63"/>
      <c r="AF26" s="64"/>
    </row>
    <row r="27" spans="1:32">
      <c r="A27" s="25" t="s">
        <v>52</v>
      </c>
      <c r="B27" s="9" t="s">
        <v>58</v>
      </c>
      <c r="C27" s="9">
        <v>142</v>
      </c>
      <c r="D27" s="12">
        <v>138</v>
      </c>
      <c r="E27" s="9"/>
      <c r="F27" s="12">
        <v>0</v>
      </c>
      <c r="G27" s="9">
        <v>142</v>
      </c>
      <c r="H27" s="55">
        <v>0.796296296296296</v>
      </c>
      <c r="I27" s="55">
        <v>1</v>
      </c>
      <c r="J27" s="9">
        <v>58</v>
      </c>
      <c r="K27" s="9">
        <v>55</v>
      </c>
      <c r="L27" s="9">
        <v>10</v>
      </c>
      <c r="M27" s="9">
        <v>15</v>
      </c>
      <c r="N27" s="9">
        <v>68</v>
      </c>
      <c r="O27" s="55">
        <v>0.702127659574468</v>
      </c>
      <c r="P27" s="55">
        <v>0.872340425531915</v>
      </c>
      <c r="Q27" s="9">
        <v>33</v>
      </c>
      <c r="R27" s="9">
        <v>33</v>
      </c>
      <c r="S27" s="9">
        <v>22</v>
      </c>
      <c r="T27" s="9">
        <v>29</v>
      </c>
      <c r="U27" s="9">
        <v>55</v>
      </c>
      <c r="V27" s="55">
        <v>0.833333333333333</v>
      </c>
      <c r="W27" s="55">
        <v>1</v>
      </c>
      <c r="X27" s="49">
        <f t="shared" si="3"/>
        <v>77.6666666666667</v>
      </c>
      <c r="Y27" s="49">
        <f t="shared" si="4"/>
        <v>88.3333333333333</v>
      </c>
      <c r="Z27">
        <v>90</v>
      </c>
      <c r="AA27" s="50">
        <f t="shared" si="5"/>
        <v>63</v>
      </c>
      <c r="AC27" s="64"/>
      <c r="AD27" s="64"/>
      <c r="AE27" s="63"/>
      <c r="AF27" s="64"/>
    </row>
    <row r="28" spans="1:32">
      <c r="A28" s="25" t="s">
        <v>52</v>
      </c>
      <c r="B28" s="9" t="s">
        <v>59</v>
      </c>
      <c r="C28" s="9">
        <v>10</v>
      </c>
      <c r="D28" s="12">
        <v>10</v>
      </c>
      <c r="E28" s="9">
        <v>18</v>
      </c>
      <c r="F28" s="12">
        <v>5</v>
      </c>
      <c r="G28" s="9">
        <v>38</v>
      </c>
      <c r="H28" s="55" t="s">
        <v>34</v>
      </c>
      <c r="I28" s="55" t="s">
        <v>34</v>
      </c>
      <c r="J28" s="9">
        <v>17</v>
      </c>
      <c r="K28" s="9">
        <v>7</v>
      </c>
      <c r="L28" s="9">
        <v>20</v>
      </c>
      <c r="M28" s="9">
        <v>1</v>
      </c>
      <c r="N28" s="9">
        <v>37</v>
      </c>
      <c r="O28" s="55" t="s">
        <v>34</v>
      </c>
      <c r="P28" s="55" t="s">
        <v>34</v>
      </c>
      <c r="Q28" s="9">
        <v>13</v>
      </c>
      <c r="R28" s="9">
        <v>13</v>
      </c>
      <c r="S28" s="9">
        <v>20</v>
      </c>
      <c r="T28" s="9">
        <v>1</v>
      </c>
      <c r="U28" s="9">
        <v>33</v>
      </c>
      <c r="V28" s="55" t="s">
        <v>34</v>
      </c>
      <c r="W28" s="55" t="s">
        <v>34</v>
      </c>
      <c r="X28" s="49">
        <f t="shared" si="3"/>
        <v>13.3333333333333</v>
      </c>
      <c r="Y28" s="49">
        <f t="shared" si="4"/>
        <v>36</v>
      </c>
      <c r="Z28">
        <v>40</v>
      </c>
      <c r="AA28" s="50">
        <f t="shared" si="5"/>
        <v>28</v>
      </c>
      <c r="AC28" s="64"/>
      <c r="AD28" s="64"/>
      <c r="AE28" s="63"/>
      <c r="AF28" s="64"/>
    </row>
    <row r="29" spans="1:32">
      <c r="A29" s="25" t="s">
        <v>52</v>
      </c>
      <c r="B29" s="9" t="s">
        <v>60</v>
      </c>
      <c r="C29" s="9">
        <v>22</v>
      </c>
      <c r="D29" s="12">
        <v>21</v>
      </c>
      <c r="E29" s="9">
        <v>20</v>
      </c>
      <c r="F29" s="12">
        <v>8</v>
      </c>
      <c r="G29" s="9">
        <v>42</v>
      </c>
      <c r="H29" s="55">
        <v>0.810810810810811</v>
      </c>
      <c r="I29" s="55">
        <v>0.918918918918919</v>
      </c>
      <c r="J29" s="9">
        <v>19</v>
      </c>
      <c r="K29" s="9">
        <v>7</v>
      </c>
      <c r="L29" s="9">
        <v>16</v>
      </c>
      <c r="M29" s="9">
        <v>12</v>
      </c>
      <c r="N29" s="9">
        <v>45</v>
      </c>
      <c r="O29" s="55">
        <v>0.545454545454545</v>
      </c>
      <c r="P29" s="55">
        <v>0.954545454545455</v>
      </c>
      <c r="Q29" s="9">
        <v>19</v>
      </c>
      <c r="R29" s="9">
        <v>19</v>
      </c>
      <c r="S29" s="9">
        <v>25</v>
      </c>
      <c r="T29" s="9">
        <v>16</v>
      </c>
      <c r="U29" s="9">
        <v>54</v>
      </c>
      <c r="V29" s="55">
        <v>0.928571428571429</v>
      </c>
      <c r="W29" s="55">
        <v>1</v>
      </c>
      <c r="X29" s="49">
        <f t="shared" si="3"/>
        <v>20</v>
      </c>
      <c r="Y29" s="49">
        <f t="shared" si="4"/>
        <v>47</v>
      </c>
      <c r="Z29">
        <v>41</v>
      </c>
      <c r="AA29" s="50">
        <f t="shared" si="5"/>
        <v>28.7</v>
      </c>
      <c r="AC29" s="64"/>
      <c r="AD29" s="64"/>
      <c r="AE29" s="63"/>
      <c r="AF29" s="64"/>
    </row>
    <row r="30" spans="1:32">
      <c r="A30" s="25" t="s">
        <v>52</v>
      </c>
      <c r="B30" s="9" t="s">
        <v>61</v>
      </c>
      <c r="C30" s="9">
        <v>8</v>
      </c>
      <c r="D30" s="12">
        <v>8</v>
      </c>
      <c r="E30" s="9">
        <v>22</v>
      </c>
      <c r="F30" s="12">
        <v>11</v>
      </c>
      <c r="G30" s="9">
        <v>40</v>
      </c>
      <c r="H30" s="55">
        <v>0.928571428571429</v>
      </c>
      <c r="I30" s="55">
        <v>1</v>
      </c>
      <c r="J30" s="9">
        <v>18</v>
      </c>
      <c r="K30" s="9">
        <v>8</v>
      </c>
      <c r="L30" s="9">
        <v>22</v>
      </c>
      <c r="M30" s="9">
        <v>13</v>
      </c>
      <c r="N30" s="9">
        <v>40</v>
      </c>
      <c r="O30" s="55">
        <v>0.928571428571429</v>
      </c>
      <c r="P30" s="55">
        <v>0.964285714285714</v>
      </c>
      <c r="Q30" s="9">
        <v>29</v>
      </c>
      <c r="R30" s="9">
        <v>29</v>
      </c>
      <c r="S30" s="9">
        <v>10</v>
      </c>
      <c r="T30" s="9">
        <v>4</v>
      </c>
      <c r="U30" s="9">
        <v>49</v>
      </c>
      <c r="V30" s="55">
        <v>0.914285714285714</v>
      </c>
      <c r="W30" s="55">
        <v>0.914285714285714</v>
      </c>
      <c r="X30" s="49">
        <f t="shared" si="3"/>
        <v>18.3333333333333</v>
      </c>
      <c r="Y30" s="49">
        <f t="shared" si="4"/>
        <v>43</v>
      </c>
      <c r="Z30">
        <v>40</v>
      </c>
      <c r="AA30" s="50">
        <f t="shared" si="5"/>
        <v>28</v>
      </c>
      <c r="AC30" s="64"/>
      <c r="AD30" s="64"/>
      <c r="AE30" s="63"/>
      <c r="AF30" s="64"/>
    </row>
    <row r="31" spans="1:32">
      <c r="A31" s="25" t="s">
        <v>62</v>
      </c>
      <c r="B31" s="9" t="s">
        <v>63</v>
      </c>
      <c r="C31" s="9">
        <v>41</v>
      </c>
      <c r="D31" s="12">
        <v>41</v>
      </c>
      <c r="E31" s="9">
        <v>27</v>
      </c>
      <c r="F31" s="12">
        <v>5</v>
      </c>
      <c r="G31" s="9">
        <v>88</v>
      </c>
      <c r="H31" s="55">
        <v>0.886792452830189</v>
      </c>
      <c r="I31" s="55">
        <v>0.962264150943396</v>
      </c>
      <c r="J31" s="9">
        <v>39</v>
      </c>
      <c r="K31" s="9">
        <v>41</v>
      </c>
      <c r="L31" s="9">
        <v>2</v>
      </c>
      <c r="M31" s="9">
        <v>2</v>
      </c>
      <c r="N31" s="9">
        <v>41</v>
      </c>
      <c r="O31" s="55">
        <v>0.8</v>
      </c>
      <c r="P31" s="55">
        <v>0.971428571428571</v>
      </c>
      <c r="Q31" s="9">
        <v>50</v>
      </c>
      <c r="R31" s="9">
        <v>50</v>
      </c>
      <c r="S31" s="9">
        <v>10</v>
      </c>
      <c r="T31" s="9">
        <v>7</v>
      </c>
      <c r="U31" s="9">
        <v>70</v>
      </c>
      <c r="V31" s="55">
        <v>0.777777777777778</v>
      </c>
      <c r="W31" s="55">
        <v>0.888888888888889</v>
      </c>
      <c r="X31" s="49">
        <f t="shared" si="3"/>
        <v>43.3333333333333</v>
      </c>
      <c r="Y31" s="49">
        <f t="shared" si="4"/>
        <v>66.3333333333333</v>
      </c>
      <c r="Z31">
        <v>90</v>
      </c>
      <c r="AA31" s="50">
        <f t="shared" si="5"/>
        <v>63</v>
      </c>
      <c r="AC31" s="64"/>
      <c r="AD31" s="64"/>
      <c r="AE31" s="63"/>
      <c r="AF31" s="64"/>
    </row>
    <row r="32" spans="1:32">
      <c r="A32" s="25" t="s">
        <v>62</v>
      </c>
      <c r="B32" s="9" t="s">
        <v>64</v>
      </c>
      <c r="C32" s="9">
        <v>14</v>
      </c>
      <c r="D32" s="12">
        <v>14</v>
      </c>
      <c r="E32" s="9">
        <v>23</v>
      </c>
      <c r="F32" s="12">
        <v>14</v>
      </c>
      <c r="G32" s="9">
        <v>37</v>
      </c>
      <c r="H32" s="55">
        <v>0.8</v>
      </c>
      <c r="I32" s="55">
        <v>0.92</v>
      </c>
      <c r="J32" s="9">
        <v>12</v>
      </c>
      <c r="K32" s="9">
        <v>12</v>
      </c>
      <c r="L32" s="9">
        <v>25</v>
      </c>
      <c r="M32" s="9">
        <v>17</v>
      </c>
      <c r="N32" s="9">
        <v>37</v>
      </c>
      <c r="O32" s="55">
        <v>0.821428571428571</v>
      </c>
      <c r="P32" s="55">
        <v>0.982142857142857</v>
      </c>
      <c r="Q32" s="9">
        <v>30</v>
      </c>
      <c r="R32" s="9">
        <v>30</v>
      </c>
      <c r="S32" s="9">
        <v>22</v>
      </c>
      <c r="T32" s="9">
        <v>11</v>
      </c>
      <c r="U32" s="9">
        <v>52</v>
      </c>
      <c r="V32" s="55">
        <v>0.833333333333333</v>
      </c>
      <c r="W32" s="55">
        <v>0.972222222222222</v>
      </c>
      <c r="X32" s="49">
        <f t="shared" si="3"/>
        <v>18.6666666666667</v>
      </c>
      <c r="Y32" s="49">
        <f t="shared" si="4"/>
        <v>42</v>
      </c>
      <c r="Z32">
        <v>40</v>
      </c>
      <c r="AA32" s="50">
        <f t="shared" si="5"/>
        <v>28</v>
      </c>
      <c r="AC32" s="64"/>
      <c r="AD32" s="64"/>
      <c r="AE32" s="63"/>
      <c r="AF32" s="64"/>
    </row>
    <row r="33" spans="1:32">
      <c r="A33" s="25" t="s">
        <v>62</v>
      </c>
      <c r="B33" s="9" t="s">
        <v>65</v>
      </c>
      <c r="C33" s="9">
        <v>5</v>
      </c>
      <c r="D33" s="12">
        <v>5</v>
      </c>
      <c r="E33" s="9">
        <v>30</v>
      </c>
      <c r="F33" s="12">
        <v>10</v>
      </c>
      <c r="G33" s="9">
        <v>35</v>
      </c>
      <c r="H33" s="55">
        <v>0.828571428571429</v>
      </c>
      <c r="I33" s="55">
        <v>0.942857142857143</v>
      </c>
      <c r="J33" s="9">
        <v>20</v>
      </c>
      <c r="K33" s="9">
        <v>11</v>
      </c>
      <c r="L33" s="9">
        <v>13</v>
      </c>
      <c r="M33" s="9">
        <v>8</v>
      </c>
      <c r="N33" s="9">
        <v>33</v>
      </c>
      <c r="O33" s="55">
        <v>0.777777777777778</v>
      </c>
      <c r="P33" s="55">
        <v>0.955555555555556</v>
      </c>
      <c r="Q33" s="9">
        <v>28</v>
      </c>
      <c r="R33" s="9">
        <v>28</v>
      </c>
      <c r="S33" s="9">
        <v>26</v>
      </c>
      <c r="T33" s="9">
        <v>24</v>
      </c>
      <c r="U33" s="9">
        <v>54</v>
      </c>
      <c r="V33" s="55">
        <v>0.85981308411215</v>
      </c>
      <c r="W33" s="55">
        <v>0.94392523364486</v>
      </c>
      <c r="X33" s="49">
        <f t="shared" si="3"/>
        <v>17.6666666666667</v>
      </c>
      <c r="Y33" s="49">
        <f t="shared" si="4"/>
        <v>40.6666666666667</v>
      </c>
      <c r="Z33">
        <v>40</v>
      </c>
      <c r="AA33" s="50">
        <f t="shared" si="5"/>
        <v>28</v>
      </c>
      <c r="AC33" s="64"/>
      <c r="AD33" s="64"/>
      <c r="AE33" s="63"/>
      <c r="AF33" s="64"/>
    </row>
    <row r="34" spans="1:32">
      <c r="A34" s="25" t="s">
        <v>62</v>
      </c>
      <c r="B34" s="9" t="s">
        <v>66</v>
      </c>
      <c r="C34" s="9">
        <v>10</v>
      </c>
      <c r="D34" s="12">
        <v>10</v>
      </c>
      <c r="E34" s="9">
        <v>20</v>
      </c>
      <c r="F34" s="12">
        <v>4</v>
      </c>
      <c r="G34" s="9">
        <v>40</v>
      </c>
      <c r="H34" s="55">
        <v>0.866666666666667</v>
      </c>
      <c r="I34" s="55">
        <v>1</v>
      </c>
      <c r="J34" s="9">
        <v>17</v>
      </c>
      <c r="K34" s="9">
        <v>8</v>
      </c>
      <c r="L34" s="9">
        <v>18</v>
      </c>
      <c r="M34" s="9">
        <v>2</v>
      </c>
      <c r="N34" s="9">
        <v>35</v>
      </c>
      <c r="O34" s="55" t="e">
        <v>#DIV/0!</v>
      </c>
      <c r="P34" s="55" t="e">
        <v>#DIV/0!</v>
      </c>
      <c r="Q34" s="9"/>
      <c r="R34" s="9">
        <v>0</v>
      </c>
      <c r="S34" s="9"/>
      <c r="T34" s="9">
        <v>0</v>
      </c>
      <c r="U34" s="9"/>
      <c r="V34" s="55">
        <v>1</v>
      </c>
      <c r="W34" s="55">
        <v>1</v>
      </c>
      <c r="X34" s="49">
        <f t="shared" si="3"/>
        <v>13.5</v>
      </c>
      <c r="Y34" s="49">
        <f t="shared" si="4"/>
        <v>37.5</v>
      </c>
      <c r="Z34">
        <v>40</v>
      </c>
      <c r="AA34" s="50">
        <f t="shared" si="5"/>
        <v>28</v>
      </c>
      <c r="AC34" s="64"/>
      <c r="AD34" s="64"/>
      <c r="AE34" s="63"/>
      <c r="AF34" s="64"/>
    </row>
    <row r="35" spans="1:32">
      <c r="A35" s="25" t="s">
        <v>62</v>
      </c>
      <c r="B35" s="9" t="s">
        <v>67</v>
      </c>
      <c r="C35" s="9">
        <v>3</v>
      </c>
      <c r="D35" s="12">
        <v>3</v>
      </c>
      <c r="E35" s="9">
        <v>25</v>
      </c>
      <c r="F35" s="12">
        <v>10</v>
      </c>
      <c r="G35" s="9">
        <v>28</v>
      </c>
      <c r="H35" s="55">
        <v>0.819277108433735</v>
      </c>
      <c r="I35" s="55">
        <v>0.951807228915663</v>
      </c>
      <c r="J35" s="9">
        <v>13</v>
      </c>
      <c r="K35" s="9">
        <v>11</v>
      </c>
      <c r="L35" s="9">
        <v>16</v>
      </c>
      <c r="M35" s="9">
        <v>8</v>
      </c>
      <c r="N35" s="9">
        <v>44</v>
      </c>
      <c r="O35" s="55">
        <v>0.827586206896552</v>
      </c>
      <c r="P35" s="55">
        <v>0.954022988505747</v>
      </c>
      <c r="Q35" s="9">
        <v>33</v>
      </c>
      <c r="R35" s="9">
        <v>33</v>
      </c>
      <c r="S35" s="9">
        <v>24</v>
      </c>
      <c r="T35" s="9">
        <v>13</v>
      </c>
      <c r="U35" s="9">
        <v>57</v>
      </c>
      <c r="V35" s="55">
        <v>0.921875</v>
      </c>
      <c r="W35" s="55">
        <v>0.9765625</v>
      </c>
      <c r="X35" s="49">
        <f t="shared" si="3"/>
        <v>16.3333333333333</v>
      </c>
      <c r="Y35" s="49">
        <f t="shared" si="4"/>
        <v>43</v>
      </c>
      <c r="Z35">
        <v>40</v>
      </c>
      <c r="AA35" s="50">
        <f t="shared" si="5"/>
        <v>28</v>
      </c>
      <c r="AC35" s="64"/>
      <c r="AD35" s="64"/>
      <c r="AE35" s="63"/>
      <c r="AF35" s="64"/>
    </row>
    <row r="36" spans="1:32">
      <c r="A36" s="25" t="s">
        <v>62</v>
      </c>
      <c r="B36" s="9" t="s">
        <v>68</v>
      </c>
      <c r="C36" s="9">
        <v>17</v>
      </c>
      <c r="D36" s="12">
        <v>15</v>
      </c>
      <c r="E36" s="9">
        <v>22</v>
      </c>
      <c r="F36" s="12">
        <v>4</v>
      </c>
      <c r="G36" s="9">
        <v>39</v>
      </c>
      <c r="H36" s="55">
        <v>0.897435897435897</v>
      </c>
      <c r="I36" s="55">
        <v>1</v>
      </c>
      <c r="J36" s="9">
        <v>32</v>
      </c>
      <c r="K36" s="9">
        <v>30</v>
      </c>
      <c r="L36" s="9">
        <v>4</v>
      </c>
      <c r="M36" s="9">
        <v>1</v>
      </c>
      <c r="N36" s="9">
        <v>36</v>
      </c>
      <c r="O36" s="55">
        <v>0.923076923076923</v>
      </c>
      <c r="P36" s="55">
        <v>1</v>
      </c>
      <c r="Q36" s="9">
        <v>52</v>
      </c>
      <c r="R36" s="9">
        <v>52</v>
      </c>
      <c r="S36" s="9">
        <v>10</v>
      </c>
      <c r="T36" s="9">
        <v>5</v>
      </c>
      <c r="U36" s="9">
        <v>62</v>
      </c>
      <c r="V36" s="55">
        <v>1</v>
      </c>
      <c r="W36" s="55">
        <v>1</v>
      </c>
      <c r="X36" s="49">
        <f t="shared" si="3"/>
        <v>33.6666666666667</v>
      </c>
      <c r="Y36" s="49">
        <f t="shared" si="4"/>
        <v>45.6666666666667</v>
      </c>
      <c r="Z36">
        <v>40</v>
      </c>
      <c r="AA36" s="50">
        <f t="shared" si="5"/>
        <v>28</v>
      </c>
      <c r="AC36" s="64"/>
      <c r="AD36" s="64"/>
      <c r="AE36" s="63"/>
      <c r="AF36" s="64"/>
    </row>
    <row r="37" spans="1:32">
      <c r="A37" s="25" t="s">
        <v>62</v>
      </c>
      <c r="B37" s="9" t="s">
        <v>69</v>
      </c>
      <c r="C37" s="9">
        <v>24</v>
      </c>
      <c r="D37" s="12">
        <v>21</v>
      </c>
      <c r="E37" s="9">
        <v>49</v>
      </c>
      <c r="F37" s="12">
        <v>56</v>
      </c>
      <c r="G37" s="9">
        <v>83</v>
      </c>
      <c r="H37" s="55">
        <v>1</v>
      </c>
      <c r="I37" s="55">
        <v>1</v>
      </c>
      <c r="J37" s="9">
        <v>10</v>
      </c>
      <c r="K37" s="9">
        <v>8</v>
      </c>
      <c r="L37" s="9">
        <v>26</v>
      </c>
      <c r="M37" s="9">
        <v>23</v>
      </c>
      <c r="N37" s="9">
        <v>36</v>
      </c>
      <c r="O37" s="55" t="s">
        <v>34</v>
      </c>
      <c r="P37" s="55" t="s">
        <v>34</v>
      </c>
      <c r="Q37" s="9">
        <v>18</v>
      </c>
      <c r="R37" s="9">
        <v>18</v>
      </c>
      <c r="S37" s="9">
        <v>15</v>
      </c>
      <c r="T37" s="9">
        <v>16</v>
      </c>
      <c r="U37" s="9">
        <v>33</v>
      </c>
      <c r="V37" s="55" t="s">
        <v>34</v>
      </c>
      <c r="W37" s="55" t="s">
        <v>34</v>
      </c>
      <c r="X37" s="49">
        <f t="shared" si="3"/>
        <v>17.3333333333333</v>
      </c>
      <c r="Y37" s="49">
        <f t="shared" si="4"/>
        <v>50.6666666666667</v>
      </c>
      <c r="Z37">
        <v>45</v>
      </c>
      <c r="AA37" s="50">
        <f t="shared" si="5"/>
        <v>31.5</v>
      </c>
      <c r="AC37" s="64"/>
      <c r="AD37" s="64"/>
      <c r="AE37" s="63"/>
      <c r="AF37" s="64"/>
    </row>
    <row r="38" spans="1:32">
      <c r="A38" s="56" t="s">
        <v>62</v>
      </c>
      <c r="B38" s="9" t="s">
        <v>70</v>
      </c>
      <c r="C38" s="9"/>
      <c r="D38" s="12">
        <v>0</v>
      </c>
      <c r="E38" s="9"/>
      <c r="F38" s="12">
        <v>0</v>
      </c>
      <c r="G38" s="9"/>
      <c r="H38" s="55" t="s">
        <v>34</v>
      </c>
      <c r="I38" s="55" t="s">
        <v>34</v>
      </c>
      <c r="J38" s="9"/>
      <c r="K38" s="9">
        <v>0</v>
      </c>
      <c r="L38" s="9"/>
      <c r="M38" s="9">
        <v>0</v>
      </c>
      <c r="N38" s="9"/>
      <c r="O38" s="55" t="s">
        <v>34</v>
      </c>
      <c r="P38" s="55" t="s">
        <v>34</v>
      </c>
      <c r="Q38" s="9"/>
      <c r="R38" s="9">
        <v>0</v>
      </c>
      <c r="S38" s="9"/>
      <c r="T38" s="9">
        <v>0</v>
      </c>
      <c r="U38" s="9"/>
      <c r="V38" s="55" t="s">
        <v>34</v>
      </c>
      <c r="W38" s="55" t="s">
        <v>34</v>
      </c>
      <c r="Z38">
        <v>40</v>
      </c>
      <c r="AA38" s="50">
        <f t="shared" ref="AA38:AA52" si="6">Z38*0.7</f>
        <v>28</v>
      </c>
      <c r="AC38" s="64"/>
      <c r="AD38" s="64"/>
      <c r="AE38" s="63"/>
      <c r="AF38" s="64"/>
    </row>
    <row r="39" spans="1:32">
      <c r="A39" s="25" t="s">
        <v>71</v>
      </c>
      <c r="B39" s="9" t="s">
        <v>72</v>
      </c>
      <c r="C39" s="9">
        <v>414</v>
      </c>
      <c r="D39" s="12">
        <v>407</v>
      </c>
      <c r="E39" s="9">
        <v>6</v>
      </c>
      <c r="F39" s="12">
        <v>25</v>
      </c>
      <c r="G39" s="9">
        <v>420</v>
      </c>
      <c r="H39" s="55">
        <v>0.899038461538462</v>
      </c>
      <c r="I39" s="55">
        <v>0.966346153846154</v>
      </c>
      <c r="J39" s="9">
        <v>277</v>
      </c>
      <c r="K39" s="9">
        <v>250</v>
      </c>
      <c r="L39" s="9">
        <v>46</v>
      </c>
      <c r="M39" s="9">
        <v>28</v>
      </c>
      <c r="N39" s="9">
        <v>323</v>
      </c>
      <c r="O39" s="55">
        <v>0.883895131086142</v>
      </c>
      <c r="P39" s="55">
        <v>0.9812734082397</v>
      </c>
      <c r="Q39" s="9">
        <v>206</v>
      </c>
      <c r="R39" s="9">
        <v>206</v>
      </c>
      <c r="S39" s="9">
        <v>40</v>
      </c>
      <c r="T39" s="9">
        <v>33</v>
      </c>
      <c r="U39" s="9">
        <v>261</v>
      </c>
      <c r="V39" s="55">
        <v>0.767918088737201</v>
      </c>
      <c r="W39" s="55">
        <v>0.976109215017065</v>
      </c>
      <c r="X39" s="49">
        <f t="shared" ref="X39:X53" si="7">AVERAGE(C39,J39,Q39)</f>
        <v>299</v>
      </c>
      <c r="Y39" s="49">
        <f t="shared" ref="Y38:Y53" si="8">AVERAGE(G39,N39,U39)</f>
        <v>334.666666666667</v>
      </c>
      <c r="Z39">
        <v>315</v>
      </c>
      <c r="AA39" s="50">
        <f t="shared" si="6"/>
        <v>220.5</v>
      </c>
      <c r="AC39" s="64"/>
      <c r="AD39" s="64"/>
      <c r="AE39" s="63"/>
      <c r="AF39" s="64"/>
    </row>
    <row r="40" spans="1:32">
      <c r="A40" s="25" t="s">
        <v>71</v>
      </c>
      <c r="B40" s="9" t="s">
        <v>73</v>
      </c>
      <c r="C40" s="9"/>
      <c r="D40" s="12">
        <v>0</v>
      </c>
      <c r="E40" s="9">
        <v>64</v>
      </c>
      <c r="F40" s="12">
        <v>60</v>
      </c>
      <c r="G40" s="9">
        <v>64</v>
      </c>
      <c r="H40" s="55">
        <v>0.839080459770115</v>
      </c>
      <c r="I40" s="55">
        <v>0.96551724137931</v>
      </c>
      <c r="J40" s="9"/>
      <c r="K40" s="9">
        <v>0</v>
      </c>
      <c r="L40" s="9">
        <v>64</v>
      </c>
      <c r="M40" s="9">
        <v>64</v>
      </c>
      <c r="N40" s="9">
        <v>64</v>
      </c>
      <c r="O40" s="55">
        <v>0.786885245901639</v>
      </c>
      <c r="P40" s="55">
        <v>1</v>
      </c>
      <c r="Q40" s="9"/>
      <c r="R40" s="9">
        <v>0</v>
      </c>
      <c r="S40" s="9">
        <v>76</v>
      </c>
      <c r="T40" s="9">
        <v>74</v>
      </c>
      <c r="U40" s="9">
        <v>76</v>
      </c>
      <c r="V40" s="55">
        <v>0.67175572519084</v>
      </c>
      <c r="W40" s="55">
        <v>0.984732824427481</v>
      </c>
      <c r="Y40" s="49">
        <v>64</v>
      </c>
      <c r="Z40">
        <v>64</v>
      </c>
      <c r="AA40" s="50">
        <f t="shared" si="6"/>
        <v>44.8</v>
      </c>
      <c r="AC40" s="64"/>
      <c r="AD40" s="64"/>
      <c r="AE40" s="63"/>
      <c r="AF40" s="64"/>
    </row>
    <row r="41" spans="1:32">
      <c r="A41" s="25" t="s">
        <v>71</v>
      </c>
      <c r="B41" s="9" t="s">
        <v>74</v>
      </c>
      <c r="C41" s="9">
        <v>12</v>
      </c>
      <c r="D41" s="12">
        <v>10</v>
      </c>
      <c r="E41" s="9">
        <v>16</v>
      </c>
      <c r="F41" s="12">
        <v>6</v>
      </c>
      <c r="G41" s="9">
        <v>38</v>
      </c>
      <c r="H41" s="55">
        <v>0.878787878787879</v>
      </c>
      <c r="I41" s="55">
        <v>0.878787878787879</v>
      </c>
      <c r="J41" s="9">
        <v>16</v>
      </c>
      <c r="K41" s="9">
        <v>10</v>
      </c>
      <c r="L41" s="9">
        <v>10</v>
      </c>
      <c r="M41" s="9">
        <v>1</v>
      </c>
      <c r="N41" s="9">
        <v>36</v>
      </c>
      <c r="O41" s="55">
        <v>0.875</v>
      </c>
      <c r="P41" s="55">
        <v>1</v>
      </c>
      <c r="Q41" s="9"/>
      <c r="R41" s="9">
        <v>0</v>
      </c>
      <c r="S41" s="9"/>
      <c r="T41" s="9">
        <v>0</v>
      </c>
      <c r="U41" s="9"/>
      <c r="V41" s="55">
        <v>0.772727272727273</v>
      </c>
      <c r="W41" s="55">
        <v>1</v>
      </c>
      <c r="X41" s="49">
        <f t="shared" si="7"/>
        <v>14</v>
      </c>
      <c r="Y41" s="49">
        <f t="shared" si="8"/>
        <v>37</v>
      </c>
      <c r="Z41">
        <v>40</v>
      </c>
      <c r="AA41" s="50">
        <f t="shared" si="6"/>
        <v>28</v>
      </c>
      <c r="AC41" s="64"/>
      <c r="AD41" s="64"/>
      <c r="AE41" s="63"/>
      <c r="AF41" s="64"/>
    </row>
    <row r="42" spans="1:32">
      <c r="A42" s="25" t="s">
        <v>71</v>
      </c>
      <c r="B42" s="9" t="s">
        <v>75</v>
      </c>
      <c r="C42" s="9">
        <v>132</v>
      </c>
      <c r="D42" s="12">
        <v>128</v>
      </c>
      <c r="E42" s="9">
        <v>8</v>
      </c>
      <c r="F42" s="12">
        <v>16</v>
      </c>
      <c r="G42" s="9">
        <v>140</v>
      </c>
      <c r="H42" s="55">
        <v>0.849056603773585</v>
      </c>
      <c r="I42" s="55">
        <v>0.89622641509434</v>
      </c>
      <c r="J42" s="9">
        <v>129</v>
      </c>
      <c r="K42" s="9">
        <v>115</v>
      </c>
      <c r="L42" s="9">
        <v>20</v>
      </c>
      <c r="M42" s="9">
        <v>28</v>
      </c>
      <c r="N42" s="9">
        <v>154</v>
      </c>
      <c r="O42" s="55">
        <v>0.918918918918919</v>
      </c>
      <c r="P42" s="55">
        <v>0.981981981981982</v>
      </c>
      <c r="Q42" s="9">
        <v>99</v>
      </c>
      <c r="R42" s="9">
        <v>99</v>
      </c>
      <c r="S42" s="9">
        <v>17</v>
      </c>
      <c r="T42" s="9">
        <v>21</v>
      </c>
      <c r="U42" s="9">
        <v>116</v>
      </c>
      <c r="V42" s="55">
        <v>0.652173913043478</v>
      </c>
      <c r="W42" s="55">
        <v>0.967391304347826</v>
      </c>
      <c r="X42" s="49">
        <f t="shared" si="7"/>
        <v>120</v>
      </c>
      <c r="Y42" s="49">
        <f t="shared" si="8"/>
        <v>136.666666666667</v>
      </c>
      <c r="Z42">
        <v>135</v>
      </c>
      <c r="AA42" s="50">
        <f t="shared" si="6"/>
        <v>94.5</v>
      </c>
      <c r="AC42" s="64"/>
      <c r="AD42" s="64"/>
      <c r="AE42" s="63"/>
      <c r="AF42" s="64"/>
    </row>
    <row r="43" spans="1:32">
      <c r="A43" s="25" t="s">
        <v>71</v>
      </c>
      <c r="B43" s="9" t="s">
        <v>76</v>
      </c>
      <c r="C43" s="9"/>
      <c r="D43" s="12">
        <v>0</v>
      </c>
      <c r="E43" s="9">
        <v>142</v>
      </c>
      <c r="F43" s="12">
        <v>144</v>
      </c>
      <c r="G43" s="9">
        <v>142</v>
      </c>
      <c r="H43" s="55">
        <v>1</v>
      </c>
      <c r="I43" s="55">
        <v>1</v>
      </c>
      <c r="J43" s="9"/>
      <c r="K43" s="9">
        <v>0</v>
      </c>
      <c r="L43" s="9">
        <v>58</v>
      </c>
      <c r="M43" s="9">
        <v>57</v>
      </c>
      <c r="N43" s="9">
        <v>58</v>
      </c>
      <c r="O43" s="55">
        <v>0.925925925925926</v>
      </c>
      <c r="P43" s="55">
        <v>0.981481481481482</v>
      </c>
      <c r="Q43" s="9"/>
      <c r="R43" s="9">
        <v>0</v>
      </c>
      <c r="S43" s="9">
        <v>33</v>
      </c>
      <c r="T43" s="9">
        <v>21</v>
      </c>
      <c r="U43" s="9">
        <v>33</v>
      </c>
      <c r="V43" s="55">
        <v>0.775510204081633</v>
      </c>
      <c r="W43" s="55">
        <v>0.959183673469388</v>
      </c>
      <c r="Y43" s="49">
        <f t="shared" si="8"/>
        <v>77.6666666666667</v>
      </c>
      <c r="Z43">
        <v>90</v>
      </c>
      <c r="AA43" s="50">
        <f t="shared" si="6"/>
        <v>63</v>
      </c>
      <c r="AC43" s="64"/>
      <c r="AD43" s="64"/>
      <c r="AE43" s="63"/>
      <c r="AF43" s="64"/>
    </row>
    <row r="44" spans="1:32">
      <c r="A44" s="25" t="s">
        <v>77</v>
      </c>
      <c r="B44" s="9" t="s">
        <v>78</v>
      </c>
      <c r="C44" s="9">
        <v>186</v>
      </c>
      <c r="D44" s="12">
        <v>181</v>
      </c>
      <c r="E44" s="9">
        <v>52</v>
      </c>
      <c r="F44" s="12">
        <v>105</v>
      </c>
      <c r="G44" s="9">
        <v>238</v>
      </c>
      <c r="H44" s="55">
        <v>0.709677419354839</v>
      </c>
      <c r="I44" s="55">
        <v>0.985663082437276</v>
      </c>
      <c r="J44" s="9">
        <v>218</v>
      </c>
      <c r="K44" s="9">
        <v>187</v>
      </c>
      <c r="L44" s="9">
        <v>112</v>
      </c>
      <c r="M44" s="9">
        <v>181</v>
      </c>
      <c r="N44" s="9">
        <v>330</v>
      </c>
      <c r="O44" s="55">
        <v>0.72189349112426</v>
      </c>
      <c r="P44" s="55">
        <v>0.964497041420118</v>
      </c>
      <c r="Q44" s="9">
        <v>140</v>
      </c>
      <c r="R44" s="9">
        <v>140</v>
      </c>
      <c r="S44" s="9">
        <v>147</v>
      </c>
      <c r="T44" s="9">
        <v>206</v>
      </c>
      <c r="U44" s="9">
        <v>287</v>
      </c>
      <c r="V44" s="55">
        <v>0.712737127371274</v>
      </c>
      <c r="W44" s="55">
        <v>0.959349593495935</v>
      </c>
      <c r="X44" s="49">
        <f t="shared" si="7"/>
        <v>181.333333333333</v>
      </c>
      <c r="Y44" s="49">
        <f t="shared" si="8"/>
        <v>285</v>
      </c>
      <c r="Z44">
        <v>270</v>
      </c>
      <c r="AA44" s="50">
        <f t="shared" si="6"/>
        <v>189</v>
      </c>
      <c r="AC44" s="64"/>
      <c r="AD44" s="64"/>
      <c r="AE44" s="64"/>
      <c r="AF44" s="64"/>
    </row>
    <row r="45" spans="1:32">
      <c r="A45" s="25" t="s">
        <v>77</v>
      </c>
      <c r="B45" s="9" t="s">
        <v>79</v>
      </c>
      <c r="C45" s="9">
        <v>139</v>
      </c>
      <c r="D45" s="12">
        <v>119</v>
      </c>
      <c r="E45" s="9">
        <v>11</v>
      </c>
      <c r="F45" s="12">
        <v>8</v>
      </c>
      <c r="G45" s="9">
        <v>150</v>
      </c>
      <c r="H45" s="55">
        <v>0.710810810810811</v>
      </c>
      <c r="I45" s="55">
        <v>0.975675675675676</v>
      </c>
      <c r="J45" s="9">
        <v>189</v>
      </c>
      <c r="K45" s="9">
        <v>201</v>
      </c>
      <c r="L45" s="9">
        <v>11</v>
      </c>
      <c r="M45" s="9">
        <v>28</v>
      </c>
      <c r="N45" s="9">
        <v>200</v>
      </c>
      <c r="O45" s="55">
        <v>0.771812080536913</v>
      </c>
      <c r="P45" s="55">
        <v>0.966442953020134</v>
      </c>
      <c r="Q45" s="9">
        <v>208</v>
      </c>
      <c r="R45" s="9">
        <v>208</v>
      </c>
      <c r="S45" s="9">
        <v>68</v>
      </c>
      <c r="T45" s="9">
        <v>77</v>
      </c>
      <c r="U45" s="9">
        <v>276</v>
      </c>
      <c r="V45" s="55">
        <v>0.664652567975831</v>
      </c>
      <c r="W45" s="55">
        <v>0.924471299093656</v>
      </c>
      <c r="X45" s="49">
        <f t="shared" si="7"/>
        <v>178.666666666667</v>
      </c>
      <c r="Y45" s="49">
        <f t="shared" si="8"/>
        <v>208.666666666667</v>
      </c>
      <c r="Z45">
        <v>180</v>
      </c>
      <c r="AA45" s="50">
        <f t="shared" si="6"/>
        <v>126</v>
      </c>
      <c r="AC45" s="64"/>
      <c r="AD45" s="64"/>
      <c r="AE45" s="64"/>
      <c r="AF45" s="64"/>
    </row>
    <row r="46" spans="1:32">
      <c r="A46" s="25" t="s">
        <v>77</v>
      </c>
      <c r="B46" s="9" t="s">
        <v>80</v>
      </c>
      <c r="C46" s="9">
        <v>103</v>
      </c>
      <c r="D46" s="12">
        <v>100</v>
      </c>
      <c r="E46" s="9">
        <v>48</v>
      </c>
      <c r="F46" s="12">
        <v>56</v>
      </c>
      <c r="G46" s="9">
        <v>171</v>
      </c>
      <c r="H46" s="55">
        <v>0.8203125</v>
      </c>
      <c r="I46" s="55">
        <v>0.9765625</v>
      </c>
      <c r="J46" s="9">
        <v>148</v>
      </c>
      <c r="K46" s="9">
        <v>135</v>
      </c>
      <c r="L46" s="9">
        <v>17</v>
      </c>
      <c r="M46" s="9">
        <v>30</v>
      </c>
      <c r="N46" s="9">
        <v>165</v>
      </c>
      <c r="O46" s="55">
        <v>0.826086956521739</v>
      </c>
      <c r="P46" s="55">
        <v>0.937888198757764</v>
      </c>
      <c r="Q46" s="9">
        <v>109</v>
      </c>
      <c r="R46" s="9">
        <v>109</v>
      </c>
      <c r="S46" s="9">
        <v>23</v>
      </c>
      <c r="T46" s="9">
        <v>35</v>
      </c>
      <c r="U46" s="9">
        <v>132</v>
      </c>
      <c r="V46" s="55">
        <v>0.833333333333333</v>
      </c>
      <c r="W46" s="55">
        <v>0.975</v>
      </c>
      <c r="X46" s="49">
        <f t="shared" si="7"/>
        <v>120</v>
      </c>
      <c r="Y46" s="49">
        <f t="shared" si="8"/>
        <v>156</v>
      </c>
      <c r="Z46">
        <v>135</v>
      </c>
      <c r="AA46" s="50">
        <f t="shared" si="6"/>
        <v>94.5</v>
      </c>
      <c r="AC46" s="64"/>
      <c r="AD46" s="64"/>
      <c r="AE46" s="64"/>
      <c r="AF46" s="64"/>
    </row>
    <row r="47" spans="1:32">
      <c r="A47" s="25" t="s">
        <v>77</v>
      </c>
      <c r="B47" s="9" t="s">
        <v>81</v>
      </c>
      <c r="C47" s="9">
        <v>145</v>
      </c>
      <c r="D47" s="12">
        <v>188</v>
      </c>
      <c r="E47" s="9">
        <v>5</v>
      </c>
      <c r="F47" s="12">
        <v>19</v>
      </c>
      <c r="G47" s="9">
        <v>150</v>
      </c>
      <c r="H47" s="55">
        <v>0.611940298507463</v>
      </c>
      <c r="I47" s="55">
        <v>0.925373134328358</v>
      </c>
      <c r="J47" s="9">
        <v>185</v>
      </c>
      <c r="K47" s="9">
        <v>263</v>
      </c>
      <c r="L47" s="9">
        <v>15</v>
      </c>
      <c r="M47" s="9">
        <v>37</v>
      </c>
      <c r="N47" s="9">
        <v>200</v>
      </c>
      <c r="O47" s="55">
        <v>0.57919621749409</v>
      </c>
      <c r="P47" s="55">
        <v>0.945626477541371</v>
      </c>
      <c r="Q47" s="9">
        <v>248</v>
      </c>
      <c r="R47" s="9">
        <v>248</v>
      </c>
      <c r="S47" s="9">
        <v>75</v>
      </c>
      <c r="T47" s="9">
        <v>109</v>
      </c>
      <c r="U47" s="9">
        <v>323</v>
      </c>
      <c r="V47" s="55">
        <v>0.585774058577406</v>
      </c>
      <c r="W47" s="55">
        <v>0.937238493723849</v>
      </c>
      <c r="X47" s="49">
        <f t="shared" si="7"/>
        <v>192.666666666667</v>
      </c>
      <c r="Y47" s="49">
        <f t="shared" si="8"/>
        <v>224.333333333333</v>
      </c>
      <c r="Z47">
        <v>225</v>
      </c>
      <c r="AA47" s="50">
        <f t="shared" si="6"/>
        <v>157.5</v>
      </c>
      <c r="AC47" s="64"/>
      <c r="AD47" s="64"/>
      <c r="AE47" s="64"/>
      <c r="AF47" s="64"/>
    </row>
    <row r="48" s="46" customFormat="1" spans="1:30">
      <c r="A48" s="57" t="s">
        <v>82</v>
      </c>
      <c r="B48" s="9" t="s">
        <v>83</v>
      </c>
      <c r="C48" s="12"/>
      <c r="D48" s="12">
        <v>3</v>
      </c>
      <c r="E48" s="12"/>
      <c r="F48" s="12">
        <v>0</v>
      </c>
      <c r="G48" s="12"/>
      <c r="H48" s="55">
        <v>0.771739130434783</v>
      </c>
      <c r="I48" s="55">
        <v>0.956521739130435</v>
      </c>
      <c r="J48" s="12">
        <v>31</v>
      </c>
      <c r="K48" s="9">
        <v>11</v>
      </c>
      <c r="L48" s="12">
        <v>39</v>
      </c>
      <c r="M48" s="9">
        <v>0</v>
      </c>
      <c r="N48" s="12">
        <v>70</v>
      </c>
      <c r="O48" s="55">
        <v>0.829787234042553</v>
      </c>
      <c r="P48" s="55">
        <v>0.957446808510638</v>
      </c>
      <c r="Q48" s="12">
        <v>71</v>
      </c>
      <c r="R48" s="9">
        <v>71</v>
      </c>
      <c r="S48" s="12">
        <v>12</v>
      </c>
      <c r="T48" s="9">
        <v>8</v>
      </c>
      <c r="U48" s="12">
        <v>93</v>
      </c>
      <c r="V48" s="55">
        <v>0.858974358974359</v>
      </c>
      <c r="W48" s="55">
        <v>0.974358974358974</v>
      </c>
      <c r="X48" s="61">
        <f t="shared" si="7"/>
        <v>51</v>
      </c>
      <c r="Y48" s="61">
        <f t="shared" si="8"/>
        <v>81.5</v>
      </c>
      <c r="Z48" s="46">
        <v>40</v>
      </c>
      <c r="AA48" s="50">
        <f t="shared" si="6"/>
        <v>28</v>
      </c>
      <c r="AC48" s="64"/>
      <c r="AD48" s="64"/>
    </row>
    <row r="49" spans="1:27">
      <c r="A49" s="25" t="s">
        <v>82</v>
      </c>
      <c r="B49" s="9" t="s">
        <v>84</v>
      </c>
      <c r="C49" s="9">
        <v>419</v>
      </c>
      <c r="D49" s="12">
        <v>412</v>
      </c>
      <c r="E49" s="9">
        <v>143</v>
      </c>
      <c r="F49" s="12">
        <v>158</v>
      </c>
      <c r="G49" s="9">
        <v>582</v>
      </c>
      <c r="H49" s="55">
        <v>0.84331797235023</v>
      </c>
      <c r="I49" s="55">
        <v>0.956221198156682</v>
      </c>
      <c r="J49" s="9">
        <v>576</v>
      </c>
      <c r="K49" s="9">
        <v>681</v>
      </c>
      <c r="L49" s="9">
        <v>146</v>
      </c>
      <c r="M49" s="9">
        <v>192</v>
      </c>
      <c r="N49" s="9">
        <v>737</v>
      </c>
      <c r="O49" s="55">
        <v>0.811440677966102</v>
      </c>
      <c r="P49" s="55">
        <v>0.974576271186441</v>
      </c>
      <c r="Q49" s="9">
        <v>552</v>
      </c>
      <c r="R49" s="9">
        <v>552</v>
      </c>
      <c r="S49" s="9">
        <v>128</v>
      </c>
      <c r="T49" s="9">
        <v>199</v>
      </c>
      <c r="U49" s="9">
        <v>700</v>
      </c>
      <c r="V49" s="55">
        <v>0.794384057971015</v>
      </c>
      <c r="W49" s="55">
        <v>0.949275362318841</v>
      </c>
      <c r="X49" s="49">
        <f t="shared" si="7"/>
        <v>515.666666666667</v>
      </c>
      <c r="Y49" s="49">
        <f t="shared" si="8"/>
        <v>673</v>
      </c>
      <c r="Z49">
        <v>675</v>
      </c>
      <c r="AA49" s="50">
        <f t="shared" si="6"/>
        <v>472.5</v>
      </c>
    </row>
    <row r="50" spans="1:27">
      <c r="A50" s="25" t="s">
        <v>82</v>
      </c>
      <c r="B50" s="9" t="s">
        <v>85</v>
      </c>
      <c r="C50" s="9">
        <v>17</v>
      </c>
      <c r="D50" s="12">
        <v>17</v>
      </c>
      <c r="E50" s="9">
        <v>23</v>
      </c>
      <c r="F50" s="12">
        <v>9</v>
      </c>
      <c r="G50" s="9">
        <v>40</v>
      </c>
      <c r="H50" s="55">
        <v>0.904761904761905</v>
      </c>
      <c r="I50" s="55">
        <v>0.904761904761905</v>
      </c>
      <c r="J50" s="9">
        <v>31</v>
      </c>
      <c r="K50" s="9">
        <v>19</v>
      </c>
      <c r="L50" s="9">
        <v>9</v>
      </c>
      <c r="M50" s="9">
        <v>8</v>
      </c>
      <c r="N50" s="9">
        <v>40</v>
      </c>
      <c r="O50" s="55" t="s">
        <v>34</v>
      </c>
      <c r="P50" s="55" t="s">
        <v>34</v>
      </c>
      <c r="Q50" s="9">
        <v>24</v>
      </c>
      <c r="R50" s="9">
        <v>24</v>
      </c>
      <c r="S50" s="9">
        <v>15</v>
      </c>
      <c r="T50" s="9">
        <v>4</v>
      </c>
      <c r="U50" s="9">
        <v>49</v>
      </c>
      <c r="V50" s="55" t="s">
        <v>34</v>
      </c>
      <c r="W50" s="55" t="s">
        <v>34</v>
      </c>
      <c r="X50" s="49">
        <f t="shared" si="7"/>
        <v>24</v>
      </c>
      <c r="Y50" s="49">
        <f t="shared" si="8"/>
        <v>43</v>
      </c>
      <c r="Z50">
        <v>40</v>
      </c>
      <c r="AA50" s="50">
        <f t="shared" si="6"/>
        <v>28</v>
      </c>
    </row>
    <row r="51" spans="1:27">
      <c r="A51" s="25" t="s">
        <v>82</v>
      </c>
      <c r="B51" s="9" t="s">
        <v>86</v>
      </c>
      <c r="C51" s="9">
        <v>32</v>
      </c>
      <c r="D51" s="12">
        <v>30</v>
      </c>
      <c r="E51" s="9">
        <v>35</v>
      </c>
      <c r="F51" s="12">
        <v>42</v>
      </c>
      <c r="G51" s="9">
        <v>67</v>
      </c>
      <c r="H51" s="55">
        <v>0.5625</v>
      </c>
      <c r="I51" s="55">
        <v>1</v>
      </c>
      <c r="J51" s="9">
        <v>28</v>
      </c>
      <c r="K51" s="9">
        <v>20</v>
      </c>
      <c r="L51" s="9">
        <v>36</v>
      </c>
      <c r="M51" s="9">
        <v>29</v>
      </c>
      <c r="N51" s="9">
        <v>64</v>
      </c>
      <c r="O51" s="55" t="s">
        <v>34</v>
      </c>
      <c r="P51" s="55" t="s">
        <v>34</v>
      </c>
      <c r="Q51" s="9">
        <v>15</v>
      </c>
      <c r="R51" s="9">
        <v>15</v>
      </c>
      <c r="S51" s="9">
        <v>20</v>
      </c>
      <c r="T51" s="9">
        <v>2</v>
      </c>
      <c r="U51" s="9">
        <v>35</v>
      </c>
      <c r="V51" s="55" t="s">
        <v>34</v>
      </c>
      <c r="W51" s="55" t="s">
        <v>34</v>
      </c>
      <c r="X51" s="49">
        <f t="shared" si="7"/>
        <v>25</v>
      </c>
      <c r="Y51" s="49">
        <f t="shared" si="8"/>
        <v>55.3333333333333</v>
      </c>
      <c r="Z51">
        <v>40</v>
      </c>
      <c r="AA51" s="50">
        <f t="shared" si="6"/>
        <v>28</v>
      </c>
    </row>
    <row r="52" spans="1:27">
      <c r="A52" s="25" t="s">
        <v>87</v>
      </c>
      <c r="B52" s="9" t="s">
        <v>88</v>
      </c>
      <c r="C52" s="9">
        <v>6</v>
      </c>
      <c r="D52" s="12">
        <v>6</v>
      </c>
      <c r="E52" s="9">
        <v>23</v>
      </c>
      <c r="F52" s="12">
        <v>4</v>
      </c>
      <c r="G52" s="9">
        <v>39</v>
      </c>
      <c r="H52" s="55">
        <v>1</v>
      </c>
      <c r="I52" s="55">
        <v>1</v>
      </c>
      <c r="J52" s="9">
        <v>19</v>
      </c>
      <c r="K52" s="9">
        <v>5</v>
      </c>
      <c r="L52" s="9">
        <v>15</v>
      </c>
      <c r="M52" s="9">
        <v>5</v>
      </c>
      <c r="N52" s="9">
        <v>49</v>
      </c>
      <c r="O52" s="55">
        <v>0.870967741935484</v>
      </c>
      <c r="P52" s="55">
        <v>1</v>
      </c>
      <c r="Q52" s="9">
        <v>29</v>
      </c>
      <c r="R52" s="9">
        <v>29</v>
      </c>
      <c r="S52" s="9">
        <v>15</v>
      </c>
      <c r="T52" s="9">
        <v>1</v>
      </c>
      <c r="U52" s="9">
        <v>54</v>
      </c>
      <c r="V52" s="55">
        <v>0.935483870967742</v>
      </c>
      <c r="W52" s="55">
        <v>0.935483870967742</v>
      </c>
      <c r="X52" s="49">
        <f t="shared" si="7"/>
        <v>18</v>
      </c>
      <c r="Y52" s="49">
        <f t="shared" si="8"/>
        <v>47.3333333333333</v>
      </c>
      <c r="Z52">
        <v>40</v>
      </c>
      <c r="AA52" s="50">
        <f t="shared" si="6"/>
        <v>28</v>
      </c>
    </row>
    <row r="53" spans="1:25">
      <c r="A53" s="58" t="s">
        <v>89</v>
      </c>
      <c r="B53" s="59"/>
      <c r="C53" s="14">
        <v>3874</v>
      </c>
      <c r="D53" s="12">
        <f>SUM(D3:D52)</f>
        <v>3872</v>
      </c>
      <c r="E53" s="14">
        <v>1335</v>
      </c>
      <c r="F53" s="60">
        <f>SUM(F3:F52)</f>
        <v>1333</v>
      </c>
      <c r="G53" s="14">
        <v>5500</v>
      </c>
      <c r="H53" s="14"/>
      <c r="I53" s="14"/>
      <c r="J53" s="14">
        <f>SUM(J3:J52)</f>
        <v>3907</v>
      </c>
      <c r="K53" s="14">
        <f>SUM(K3:K52)</f>
        <v>3935</v>
      </c>
      <c r="L53" s="14">
        <f>SUM(L3:L52)</f>
        <v>1308</v>
      </c>
      <c r="M53" s="14">
        <f>SUM(M3:M52)</f>
        <v>1329</v>
      </c>
      <c r="N53" s="14">
        <v>5500</v>
      </c>
      <c r="O53" s="14"/>
      <c r="P53" s="14"/>
      <c r="Q53" s="14">
        <v>3881</v>
      </c>
      <c r="R53" s="14">
        <f>SUM(R3:R52)</f>
        <v>3869</v>
      </c>
      <c r="S53" s="14">
        <v>1369</v>
      </c>
      <c r="T53" s="14">
        <f>SUM(T3:T52)</f>
        <v>1369</v>
      </c>
      <c r="U53" s="14">
        <v>5450</v>
      </c>
      <c r="V53" s="62"/>
      <c r="W53" s="62"/>
      <c r="X53" s="49">
        <f t="shared" si="7"/>
        <v>3887.33333333333</v>
      </c>
      <c r="Y53" s="49">
        <f t="shared" si="8"/>
        <v>5483.33333333333</v>
      </c>
    </row>
  </sheetData>
  <mergeCells count="8">
    <mergeCell ref="C1:G1"/>
    <mergeCell ref="H1:I1"/>
    <mergeCell ref="J1:N1"/>
    <mergeCell ref="O1:P1"/>
    <mergeCell ref="Q1:U1"/>
    <mergeCell ref="V1:W1"/>
    <mergeCell ref="A1:A2"/>
    <mergeCell ref="B1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workbookViewId="0">
      <selection activeCell="K9" sqref="K9"/>
    </sheetView>
  </sheetViews>
  <sheetFormatPr defaultColWidth="9" defaultRowHeight="13.5"/>
  <cols>
    <col min="2" max="2" width="14.625" customWidth="1"/>
  </cols>
  <sheetData>
    <row r="1" spans="1:17">
      <c r="A1" s="15" t="s">
        <v>90</v>
      </c>
      <c r="B1" s="15" t="s">
        <v>91</v>
      </c>
      <c r="C1" s="15" t="s">
        <v>92</v>
      </c>
      <c r="D1" s="15" t="s">
        <v>93</v>
      </c>
      <c r="E1" s="16" t="s">
        <v>94</v>
      </c>
      <c r="F1" s="17" t="s">
        <v>92</v>
      </c>
      <c r="G1" s="17" t="s">
        <v>95</v>
      </c>
      <c r="H1" s="18" t="s">
        <v>96</v>
      </c>
      <c r="I1" s="26" t="s">
        <v>92</v>
      </c>
      <c r="J1" s="26" t="s">
        <v>95</v>
      </c>
      <c r="K1" s="27" t="s">
        <v>97</v>
      </c>
      <c r="L1" s="28" t="s">
        <v>92</v>
      </c>
      <c r="M1" s="28" t="s">
        <v>95</v>
      </c>
      <c r="N1" s="29" t="s">
        <v>98</v>
      </c>
      <c r="O1" s="30" t="s">
        <v>92</v>
      </c>
      <c r="P1" s="30" t="s">
        <v>95</v>
      </c>
      <c r="Q1" s="44" t="s">
        <v>99</v>
      </c>
    </row>
    <row r="2" spans="1:17">
      <c r="A2" s="15" t="s">
        <v>29</v>
      </c>
      <c r="B2" s="15" t="s">
        <v>30</v>
      </c>
      <c r="C2" s="19">
        <v>30</v>
      </c>
      <c r="D2" s="19">
        <v>30</v>
      </c>
      <c r="E2" s="20">
        <f t="shared" ref="E2:E61" si="0">D2/C2</f>
        <v>1</v>
      </c>
      <c r="F2" s="21">
        <v>10</v>
      </c>
      <c r="G2" s="21">
        <v>7</v>
      </c>
      <c r="H2" s="18">
        <f t="shared" ref="H2:H11" si="1">G2/F2</f>
        <v>0.7</v>
      </c>
      <c r="I2" s="31">
        <v>44</v>
      </c>
      <c r="J2" s="32">
        <v>38</v>
      </c>
      <c r="K2" s="33">
        <f t="shared" ref="K2:K6" si="2">J2/I2</f>
        <v>0.863636363636364</v>
      </c>
      <c r="L2" s="34">
        <v>55</v>
      </c>
      <c r="M2" s="35">
        <v>52</v>
      </c>
      <c r="N2" s="36">
        <f t="shared" ref="N2:N6" si="3">M2/L2</f>
        <v>0.945454545454545</v>
      </c>
      <c r="O2" s="37">
        <v>7</v>
      </c>
      <c r="P2" s="38">
        <v>7</v>
      </c>
      <c r="Q2" s="45">
        <f t="shared" ref="Q2:Q6" si="4">P2/O2*100%</f>
        <v>1</v>
      </c>
    </row>
    <row r="3" spans="1:17">
      <c r="A3" s="19"/>
      <c r="B3" s="15" t="s">
        <v>100</v>
      </c>
      <c r="C3" s="19">
        <v>28</v>
      </c>
      <c r="D3" s="19">
        <v>27</v>
      </c>
      <c r="E3" s="20">
        <f t="shared" si="0"/>
        <v>0.964285714285714</v>
      </c>
      <c r="F3" s="21">
        <v>14</v>
      </c>
      <c r="G3" s="21">
        <v>12</v>
      </c>
      <c r="H3" s="18">
        <f t="shared" si="1"/>
        <v>0.857142857142857</v>
      </c>
      <c r="I3" s="31">
        <v>13</v>
      </c>
      <c r="J3" s="32">
        <v>10</v>
      </c>
      <c r="K3" s="33">
        <f t="shared" si="2"/>
        <v>0.769230769230769</v>
      </c>
      <c r="L3" s="34">
        <v>18</v>
      </c>
      <c r="M3" s="35">
        <v>16</v>
      </c>
      <c r="N3" s="36">
        <f t="shared" si="3"/>
        <v>0.888888888888889</v>
      </c>
      <c r="O3" s="37">
        <v>20</v>
      </c>
      <c r="P3" s="38">
        <v>19</v>
      </c>
      <c r="Q3" s="45">
        <f t="shared" si="4"/>
        <v>0.95</v>
      </c>
    </row>
    <row r="4" spans="1:17">
      <c r="A4" s="19"/>
      <c r="B4" s="22" t="s">
        <v>32</v>
      </c>
      <c r="C4" s="23">
        <v>209</v>
      </c>
      <c r="D4" s="19">
        <v>205</v>
      </c>
      <c r="E4" s="24">
        <f t="shared" si="0"/>
        <v>0.980861244019139</v>
      </c>
      <c r="F4" s="21">
        <v>91</v>
      </c>
      <c r="G4" s="21">
        <v>79</v>
      </c>
      <c r="H4" s="18">
        <f t="shared" si="1"/>
        <v>0.868131868131868</v>
      </c>
      <c r="I4" s="32"/>
      <c r="J4" s="32"/>
      <c r="K4" s="27"/>
      <c r="L4" s="35"/>
      <c r="M4" s="35"/>
      <c r="N4" s="29"/>
      <c r="O4" s="38"/>
      <c r="P4" s="38"/>
      <c r="Q4" s="44"/>
    </row>
    <row r="5" spans="1:17">
      <c r="A5" s="19"/>
      <c r="B5" s="22" t="s">
        <v>101</v>
      </c>
      <c r="C5" s="23">
        <v>4</v>
      </c>
      <c r="D5" s="19">
        <v>4</v>
      </c>
      <c r="E5" s="24">
        <f t="shared" si="0"/>
        <v>1</v>
      </c>
      <c r="F5" s="21">
        <v>35</v>
      </c>
      <c r="G5" s="21">
        <v>27</v>
      </c>
      <c r="H5" s="18">
        <f t="shared" si="1"/>
        <v>0.771428571428571</v>
      </c>
      <c r="I5" s="32">
        <v>247</v>
      </c>
      <c r="J5" s="32">
        <v>230</v>
      </c>
      <c r="K5" s="27">
        <f t="shared" si="2"/>
        <v>0.931174089068826</v>
      </c>
      <c r="L5" s="35">
        <v>246</v>
      </c>
      <c r="M5" s="35">
        <v>244</v>
      </c>
      <c r="N5" s="29">
        <f t="shared" si="3"/>
        <v>0.991869918699187</v>
      </c>
      <c r="O5" s="38">
        <v>24</v>
      </c>
      <c r="P5" s="38">
        <v>23</v>
      </c>
      <c r="Q5" s="44">
        <f t="shared" si="4"/>
        <v>0.958333333333333</v>
      </c>
    </row>
    <row r="6" spans="1:17">
      <c r="A6" s="19"/>
      <c r="B6" s="22" t="s">
        <v>35</v>
      </c>
      <c r="C6" s="23">
        <v>74</v>
      </c>
      <c r="D6" s="19">
        <v>71</v>
      </c>
      <c r="E6" s="24">
        <f t="shared" si="0"/>
        <v>0.959459459459459</v>
      </c>
      <c r="F6" s="21">
        <v>23</v>
      </c>
      <c r="G6" s="21">
        <v>20</v>
      </c>
      <c r="H6" s="18">
        <f t="shared" si="1"/>
        <v>0.869565217391304</v>
      </c>
      <c r="I6" s="32">
        <v>46</v>
      </c>
      <c r="J6" s="32">
        <v>39</v>
      </c>
      <c r="K6" s="27">
        <f t="shared" si="2"/>
        <v>0.847826086956522</v>
      </c>
      <c r="L6" s="35">
        <v>35</v>
      </c>
      <c r="M6" s="35">
        <v>31</v>
      </c>
      <c r="N6" s="29">
        <f t="shared" si="3"/>
        <v>0.885714285714286</v>
      </c>
      <c r="O6" s="38">
        <v>25</v>
      </c>
      <c r="P6" s="38">
        <v>25</v>
      </c>
      <c r="Q6" s="44">
        <f t="shared" si="4"/>
        <v>1</v>
      </c>
    </row>
    <row r="7" ht="24" spans="1:8">
      <c r="A7" s="19"/>
      <c r="B7" s="22" t="s">
        <v>102</v>
      </c>
      <c r="C7" s="23">
        <v>0</v>
      </c>
      <c r="D7" s="19">
        <v>0</v>
      </c>
      <c r="E7" s="24" t="e">
        <f t="shared" si="0"/>
        <v>#DIV/0!</v>
      </c>
      <c r="F7" s="21">
        <v>4</v>
      </c>
      <c r="G7" s="21">
        <v>3</v>
      </c>
      <c r="H7" s="18">
        <f t="shared" si="1"/>
        <v>0.75</v>
      </c>
    </row>
    <row r="8" spans="1:17">
      <c r="A8" s="19"/>
      <c r="B8" s="15" t="s">
        <v>103</v>
      </c>
      <c r="C8" s="19">
        <v>2</v>
      </c>
      <c r="D8" s="19">
        <v>2</v>
      </c>
      <c r="E8" s="20">
        <f t="shared" si="0"/>
        <v>1</v>
      </c>
      <c r="F8" s="21">
        <v>16</v>
      </c>
      <c r="G8" s="21">
        <v>15</v>
      </c>
      <c r="H8" s="18">
        <f t="shared" si="1"/>
        <v>0.9375</v>
      </c>
      <c r="I8" s="31">
        <v>93</v>
      </c>
      <c r="J8" s="32">
        <v>78</v>
      </c>
      <c r="K8" s="33">
        <f t="shared" ref="K8:K11" si="5">J8/I8</f>
        <v>0.838709677419355</v>
      </c>
      <c r="L8" s="34">
        <v>83</v>
      </c>
      <c r="M8" s="35">
        <v>82</v>
      </c>
      <c r="N8" s="36">
        <f t="shared" ref="N8:N11" si="6">M8/L8</f>
        <v>0.987951807228916</v>
      </c>
      <c r="O8" s="37">
        <v>4</v>
      </c>
      <c r="P8" s="38">
        <v>4</v>
      </c>
      <c r="Q8" s="45">
        <f t="shared" ref="Q8:Q11" si="7">P8/O8*100%</f>
        <v>1</v>
      </c>
    </row>
    <row r="9" ht="24" spans="1:17">
      <c r="A9" s="19"/>
      <c r="B9" s="22" t="s">
        <v>36</v>
      </c>
      <c r="C9" s="23">
        <v>46</v>
      </c>
      <c r="D9" s="19">
        <v>44</v>
      </c>
      <c r="E9" s="24">
        <f t="shared" si="0"/>
        <v>0.956521739130435</v>
      </c>
      <c r="F9" s="21">
        <v>25</v>
      </c>
      <c r="G9" s="21">
        <v>20</v>
      </c>
      <c r="H9" s="18">
        <f t="shared" si="1"/>
        <v>0.8</v>
      </c>
      <c r="I9" s="31"/>
      <c r="J9" s="32"/>
      <c r="K9" s="33"/>
      <c r="L9" s="34"/>
      <c r="M9" s="35"/>
      <c r="N9" s="36"/>
      <c r="O9" s="37"/>
      <c r="P9" s="38"/>
      <c r="Q9" s="45"/>
    </row>
    <row r="10" spans="1:17">
      <c r="A10" s="19"/>
      <c r="B10" s="15" t="s">
        <v>37</v>
      </c>
      <c r="C10" s="19">
        <v>122</v>
      </c>
      <c r="D10" s="19">
        <v>115</v>
      </c>
      <c r="E10" s="20">
        <f t="shared" si="0"/>
        <v>0.942622950819672</v>
      </c>
      <c r="F10" s="21">
        <v>107</v>
      </c>
      <c r="G10" s="21">
        <v>90</v>
      </c>
      <c r="H10" s="18">
        <f t="shared" si="1"/>
        <v>0.841121495327103</v>
      </c>
      <c r="I10" s="32">
        <v>104</v>
      </c>
      <c r="J10" s="32">
        <v>92</v>
      </c>
      <c r="K10" s="27">
        <f t="shared" si="5"/>
        <v>0.884615384615385</v>
      </c>
      <c r="L10" s="35">
        <v>109</v>
      </c>
      <c r="M10" s="35">
        <v>104</v>
      </c>
      <c r="N10" s="29">
        <f t="shared" si="6"/>
        <v>0.954128440366973</v>
      </c>
      <c r="O10" s="38">
        <v>37</v>
      </c>
      <c r="P10" s="38">
        <v>32</v>
      </c>
      <c r="Q10" s="44">
        <f t="shared" si="7"/>
        <v>0.864864864864865</v>
      </c>
    </row>
    <row r="11" spans="1:17">
      <c r="A11" s="19"/>
      <c r="B11" s="22" t="s">
        <v>31</v>
      </c>
      <c r="C11" s="23">
        <v>39</v>
      </c>
      <c r="D11" s="19">
        <v>38</v>
      </c>
      <c r="E11" s="24">
        <f t="shared" si="0"/>
        <v>0.974358974358974</v>
      </c>
      <c r="F11" s="21">
        <v>29</v>
      </c>
      <c r="G11" s="21">
        <v>25</v>
      </c>
      <c r="H11" s="18">
        <f t="shared" si="1"/>
        <v>0.862068965517241</v>
      </c>
      <c r="I11" s="31">
        <v>123</v>
      </c>
      <c r="J11" s="32">
        <v>113</v>
      </c>
      <c r="K11" s="33">
        <f t="shared" si="5"/>
        <v>0.91869918699187</v>
      </c>
      <c r="L11" s="34">
        <v>124</v>
      </c>
      <c r="M11" s="35">
        <v>122</v>
      </c>
      <c r="N11" s="36">
        <f t="shared" si="6"/>
        <v>0.983870967741935</v>
      </c>
      <c r="O11" s="37">
        <v>20</v>
      </c>
      <c r="P11" s="38">
        <v>20</v>
      </c>
      <c r="Q11" s="45">
        <f t="shared" si="7"/>
        <v>1</v>
      </c>
    </row>
    <row r="12" spans="1:17">
      <c r="A12" s="19"/>
      <c r="B12" s="15" t="s">
        <v>38</v>
      </c>
      <c r="C12" s="19">
        <v>21</v>
      </c>
      <c r="D12" s="19">
        <v>21</v>
      </c>
      <c r="E12" s="20">
        <f t="shared" si="0"/>
        <v>1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7">
      <c r="A13" s="19"/>
      <c r="B13" s="15" t="s">
        <v>33</v>
      </c>
      <c r="C13" s="19">
        <v>18</v>
      </c>
      <c r="D13" s="19">
        <v>18</v>
      </c>
      <c r="E13" s="20">
        <f t="shared" si="0"/>
        <v>1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17">
      <c r="A14" s="15" t="s">
        <v>39</v>
      </c>
      <c r="B14" s="15" t="s">
        <v>41</v>
      </c>
      <c r="C14" s="19">
        <v>700</v>
      </c>
      <c r="D14" s="19">
        <v>685</v>
      </c>
      <c r="E14" s="20">
        <f t="shared" si="0"/>
        <v>0.978571428571429</v>
      </c>
      <c r="F14" s="21">
        <v>674</v>
      </c>
      <c r="G14" s="21">
        <v>563</v>
      </c>
      <c r="H14" s="18">
        <f t="shared" ref="H14:H45" si="8">G14/F14</f>
        <v>0.835311572700297</v>
      </c>
      <c r="I14" s="32">
        <v>1073</v>
      </c>
      <c r="J14" s="32">
        <v>947</v>
      </c>
      <c r="K14" s="27">
        <f>J14/I14</f>
        <v>0.882572227399814</v>
      </c>
      <c r="L14" s="35">
        <v>1356</v>
      </c>
      <c r="M14" s="35">
        <v>1291</v>
      </c>
      <c r="N14" s="29">
        <f>M14/L14</f>
        <v>0.952064896755162</v>
      </c>
      <c r="O14" s="38">
        <v>367</v>
      </c>
      <c r="P14" s="38">
        <v>359</v>
      </c>
      <c r="Q14" s="44">
        <f>P14/O14*100%</f>
        <v>0.978201634877384</v>
      </c>
    </row>
    <row r="15" spans="1:17">
      <c r="A15" s="19"/>
      <c r="B15" s="15" t="s">
        <v>43</v>
      </c>
      <c r="C15" s="19">
        <v>23</v>
      </c>
      <c r="D15" s="19">
        <v>23</v>
      </c>
      <c r="E15" s="20">
        <f t="shared" si="0"/>
        <v>1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ht="14.25" spans="1:17">
      <c r="A16" s="19"/>
      <c r="B16" s="15" t="s">
        <v>44</v>
      </c>
      <c r="C16" s="19">
        <v>40</v>
      </c>
      <c r="D16" s="19">
        <v>38</v>
      </c>
      <c r="E16" s="20">
        <f t="shared" si="0"/>
        <v>0.95</v>
      </c>
      <c r="F16" s="21">
        <v>26</v>
      </c>
      <c r="G16" s="21">
        <v>24</v>
      </c>
      <c r="H16" s="18">
        <f t="shared" si="8"/>
        <v>0.923076923076923</v>
      </c>
      <c r="I16" s="39"/>
      <c r="J16" s="39"/>
      <c r="K16" s="39"/>
      <c r="L16" s="40"/>
      <c r="M16" s="40"/>
      <c r="N16" s="40"/>
      <c r="O16" s="37"/>
      <c r="P16" s="38"/>
      <c r="Q16" s="45"/>
    </row>
    <row r="17" spans="1:17">
      <c r="A17" s="19"/>
      <c r="B17" s="15" t="s">
        <v>40</v>
      </c>
      <c r="C17" s="19">
        <v>20</v>
      </c>
      <c r="D17" s="19">
        <v>19</v>
      </c>
      <c r="E17" s="20">
        <f t="shared" si="0"/>
        <v>0.95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spans="1:17">
      <c r="A18" s="19"/>
      <c r="B18" s="15" t="s">
        <v>42</v>
      </c>
      <c r="C18" s="19">
        <v>62</v>
      </c>
      <c r="D18" s="19">
        <v>61</v>
      </c>
      <c r="E18" s="20">
        <f t="shared" si="0"/>
        <v>0.983870967741935</v>
      </c>
      <c r="F18" s="21">
        <v>4</v>
      </c>
      <c r="G18" s="21">
        <v>4</v>
      </c>
      <c r="H18" s="18">
        <f t="shared" si="8"/>
        <v>1</v>
      </c>
      <c r="I18" s="31">
        <v>100</v>
      </c>
      <c r="J18" s="32">
        <v>81</v>
      </c>
      <c r="K18" s="33">
        <f t="shared" ref="K18:K21" si="9">J18/I18</f>
        <v>0.81</v>
      </c>
      <c r="L18" s="34">
        <v>90</v>
      </c>
      <c r="M18" s="35">
        <v>79</v>
      </c>
      <c r="N18" s="36">
        <f t="shared" ref="N18:N21" si="10">M18/L18</f>
        <v>0.877777777777778</v>
      </c>
      <c r="O18" s="37">
        <v>38</v>
      </c>
      <c r="P18" s="38">
        <v>37</v>
      </c>
      <c r="Q18" s="45">
        <f t="shared" ref="Q18:Q23" si="11">P18/O18*100%</f>
        <v>0.973684210526316</v>
      </c>
    </row>
    <row r="19" spans="1:17">
      <c r="A19" s="19"/>
      <c r="B19" s="15" t="s">
        <v>104</v>
      </c>
      <c r="C19" s="19">
        <v>0</v>
      </c>
      <c r="D19" s="19">
        <v>0</v>
      </c>
      <c r="E19" s="20" t="e">
        <f t="shared" si="0"/>
        <v>#DIV/0!</v>
      </c>
      <c r="F19" s="21">
        <v>66</v>
      </c>
      <c r="G19" s="21">
        <v>47</v>
      </c>
      <c r="H19" s="18">
        <f t="shared" si="8"/>
        <v>0.712121212121212</v>
      </c>
      <c r="I19" s="31"/>
      <c r="J19" s="32"/>
      <c r="K19" s="33"/>
      <c r="L19" s="34"/>
      <c r="M19" s="35"/>
      <c r="N19" s="36"/>
      <c r="O19" s="37"/>
      <c r="P19" s="38"/>
      <c r="Q19" s="45"/>
    </row>
    <row r="20" spans="1:17">
      <c r="A20" s="15" t="s">
        <v>105</v>
      </c>
      <c r="B20" s="15" t="s">
        <v>47</v>
      </c>
      <c r="C20" s="19">
        <v>199</v>
      </c>
      <c r="D20" s="19">
        <v>192</v>
      </c>
      <c r="E20" s="20">
        <f t="shared" si="0"/>
        <v>0.964824120603015</v>
      </c>
      <c r="F20" s="21">
        <v>193</v>
      </c>
      <c r="G20" s="21">
        <v>162</v>
      </c>
      <c r="H20" s="18">
        <f t="shared" si="8"/>
        <v>0.839378238341969</v>
      </c>
      <c r="I20" s="31">
        <v>173</v>
      </c>
      <c r="J20" s="32">
        <v>152</v>
      </c>
      <c r="K20" s="33">
        <f t="shared" si="9"/>
        <v>0.878612716763006</v>
      </c>
      <c r="L20" s="34">
        <v>206</v>
      </c>
      <c r="M20" s="35">
        <v>184</v>
      </c>
      <c r="N20" s="36">
        <f t="shared" si="10"/>
        <v>0.893203883495146</v>
      </c>
      <c r="O20" s="37">
        <v>101</v>
      </c>
      <c r="P20" s="38">
        <v>91</v>
      </c>
      <c r="Q20" s="45">
        <f t="shared" si="11"/>
        <v>0.900990099009901</v>
      </c>
    </row>
    <row r="21" ht="14.25" spans="1:17">
      <c r="A21" s="19"/>
      <c r="B21" s="15" t="s">
        <v>50</v>
      </c>
      <c r="C21" s="19">
        <v>113</v>
      </c>
      <c r="D21" s="19">
        <v>110</v>
      </c>
      <c r="E21" s="20">
        <f t="shared" si="0"/>
        <v>0.973451327433628</v>
      </c>
      <c r="F21" s="21">
        <v>119</v>
      </c>
      <c r="G21" s="21">
        <v>105</v>
      </c>
      <c r="H21" s="18">
        <f t="shared" si="8"/>
        <v>0.882352941176471</v>
      </c>
      <c r="I21" s="31">
        <v>92</v>
      </c>
      <c r="J21" s="32">
        <v>79</v>
      </c>
      <c r="K21" s="33">
        <f t="shared" si="9"/>
        <v>0.858695652173913</v>
      </c>
      <c r="L21" s="41">
        <v>71</v>
      </c>
      <c r="M21" s="35">
        <v>56</v>
      </c>
      <c r="N21" s="36">
        <f t="shared" si="10"/>
        <v>0.788732394366197</v>
      </c>
      <c r="O21" s="42" t="s">
        <v>34</v>
      </c>
      <c r="P21" s="42" t="s">
        <v>34</v>
      </c>
      <c r="Q21" s="42" t="s">
        <v>34</v>
      </c>
    </row>
    <row r="22" spans="1:17">
      <c r="A22" s="19"/>
      <c r="B22" s="15" t="s">
        <v>49</v>
      </c>
      <c r="C22" s="19">
        <v>23</v>
      </c>
      <c r="D22" s="19">
        <v>23</v>
      </c>
      <c r="E22" s="20">
        <f t="shared" si="0"/>
        <v>1</v>
      </c>
      <c r="F22" s="21">
        <v>14</v>
      </c>
      <c r="G22" s="21">
        <v>9</v>
      </c>
      <c r="H22" s="18">
        <f t="shared" si="8"/>
        <v>0.642857142857143</v>
      </c>
      <c r="I22" s="31"/>
      <c r="J22" s="32"/>
      <c r="K22" s="33"/>
      <c r="L22" s="34"/>
      <c r="M22" s="35"/>
      <c r="N22" s="36"/>
      <c r="O22" s="37"/>
      <c r="P22" s="38"/>
      <c r="Q22" s="45"/>
    </row>
    <row r="23" spans="1:17">
      <c r="A23" s="15" t="s">
        <v>106</v>
      </c>
      <c r="B23" s="15" t="s">
        <v>57</v>
      </c>
      <c r="C23" s="19">
        <v>121</v>
      </c>
      <c r="D23" s="19">
        <v>120</v>
      </c>
      <c r="E23" s="20">
        <f t="shared" si="0"/>
        <v>0.991735537190083</v>
      </c>
      <c r="F23" s="21">
        <v>123</v>
      </c>
      <c r="G23" s="21">
        <v>103</v>
      </c>
      <c r="H23" s="18">
        <f t="shared" si="8"/>
        <v>0.83739837398374</v>
      </c>
      <c r="I23" s="31">
        <v>136</v>
      </c>
      <c r="J23" s="32">
        <v>104</v>
      </c>
      <c r="K23" s="33">
        <f>J23/I23</f>
        <v>0.764705882352941</v>
      </c>
      <c r="L23" s="34">
        <v>169</v>
      </c>
      <c r="M23" s="35">
        <v>138</v>
      </c>
      <c r="N23" s="36">
        <f>M23/L23</f>
        <v>0.816568047337278</v>
      </c>
      <c r="O23" s="37">
        <v>446</v>
      </c>
      <c r="P23" s="38">
        <v>383</v>
      </c>
      <c r="Q23" s="45">
        <f t="shared" si="11"/>
        <v>0.858744394618834</v>
      </c>
    </row>
    <row r="24" ht="14.25" spans="1:17">
      <c r="A24" s="19"/>
      <c r="B24" s="15" t="s">
        <v>53</v>
      </c>
      <c r="C24" s="19">
        <v>32</v>
      </c>
      <c r="D24" s="19">
        <v>29</v>
      </c>
      <c r="E24" s="20">
        <f t="shared" si="0"/>
        <v>0.90625</v>
      </c>
      <c r="F24" s="21">
        <v>35</v>
      </c>
      <c r="G24" s="21">
        <v>28</v>
      </c>
      <c r="H24" s="18">
        <f t="shared" si="8"/>
        <v>0.8</v>
      </c>
      <c r="I24" s="31"/>
      <c r="J24" s="32"/>
      <c r="K24" s="33"/>
      <c r="L24" s="41"/>
      <c r="M24" s="35"/>
      <c r="N24" s="36"/>
      <c r="O24" s="42"/>
      <c r="P24" s="42"/>
      <c r="Q24" s="42"/>
    </row>
    <row r="25" spans="1:17">
      <c r="A25" s="19"/>
      <c r="B25" s="15" t="s">
        <v>60</v>
      </c>
      <c r="C25" s="19">
        <v>37</v>
      </c>
      <c r="D25" s="19">
        <v>34</v>
      </c>
      <c r="E25" s="20">
        <f t="shared" si="0"/>
        <v>0.918918918918919</v>
      </c>
      <c r="F25" s="21">
        <v>22</v>
      </c>
      <c r="G25" s="21">
        <v>12</v>
      </c>
      <c r="H25" s="18">
        <f t="shared" si="8"/>
        <v>0.545454545454545</v>
      </c>
      <c r="I25" s="31">
        <v>14</v>
      </c>
      <c r="J25" s="32">
        <v>13</v>
      </c>
      <c r="K25" s="33">
        <f>J25/I25</f>
        <v>0.928571428571429</v>
      </c>
      <c r="L25" s="34">
        <v>22</v>
      </c>
      <c r="M25" s="35">
        <v>17</v>
      </c>
      <c r="N25" s="36">
        <f>M25/L25</f>
        <v>0.772727272727273</v>
      </c>
      <c r="O25" s="37">
        <v>5</v>
      </c>
      <c r="P25" s="38">
        <v>5</v>
      </c>
      <c r="Q25" s="45">
        <f>P25/O25*100%</f>
        <v>1</v>
      </c>
    </row>
    <row r="26" spans="1:17">
      <c r="A26" s="19"/>
      <c r="B26" s="15" t="s">
        <v>58</v>
      </c>
      <c r="C26" s="19">
        <v>54</v>
      </c>
      <c r="D26" s="19">
        <v>54</v>
      </c>
      <c r="E26" s="20">
        <f t="shared" si="0"/>
        <v>1</v>
      </c>
      <c r="F26" s="21">
        <v>45</v>
      </c>
      <c r="G26" s="21">
        <v>32</v>
      </c>
      <c r="H26" s="18">
        <f t="shared" si="8"/>
        <v>0.711111111111111</v>
      </c>
      <c r="I26" s="31"/>
      <c r="J26" s="32"/>
      <c r="K26" s="33"/>
      <c r="L26" s="34"/>
      <c r="M26" s="35"/>
      <c r="N26" s="36"/>
      <c r="O26" s="37"/>
      <c r="P26" s="38"/>
      <c r="Q26" s="45"/>
    </row>
    <row r="27" spans="1:17">
      <c r="A27" s="19"/>
      <c r="B27" s="15" t="s">
        <v>54</v>
      </c>
      <c r="C27" s="19">
        <v>33</v>
      </c>
      <c r="D27" s="19">
        <v>31</v>
      </c>
      <c r="E27" s="20">
        <f t="shared" si="0"/>
        <v>0.939393939393939</v>
      </c>
      <c r="F27" s="21">
        <v>16</v>
      </c>
      <c r="G27" s="21">
        <v>15</v>
      </c>
      <c r="H27" s="18">
        <f t="shared" si="8"/>
        <v>0.9375</v>
      </c>
      <c r="I27" s="31"/>
      <c r="J27" s="32"/>
      <c r="K27" s="33"/>
      <c r="L27" s="34"/>
      <c r="M27" s="35"/>
      <c r="N27" s="36"/>
      <c r="O27" s="37"/>
      <c r="P27" s="38"/>
      <c r="Q27" s="45"/>
    </row>
    <row r="28" spans="1:17">
      <c r="A28" s="19"/>
      <c r="B28" s="15" t="s">
        <v>55</v>
      </c>
      <c r="C28" s="19">
        <v>41</v>
      </c>
      <c r="D28" s="19">
        <v>41</v>
      </c>
      <c r="E28" s="20">
        <f t="shared" si="0"/>
        <v>1</v>
      </c>
      <c r="F28" s="21">
        <v>60</v>
      </c>
      <c r="G28" s="21">
        <v>51</v>
      </c>
      <c r="H28" s="18">
        <f t="shared" si="8"/>
        <v>0.85</v>
      </c>
      <c r="I28" s="31"/>
      <c r="J28" s="32"/>
      <c r="K28" s="33"/>
      <c r="L28" s="34"/>
      <c r="M28" s="35"/>
      <c r="N28" s="36"/>
      <c r="O28" s="37"/>
      <c r="P28" s="38"/>
      <c r="Q28" s="45"/>
    </row>
    <row r="29" spans="1:17">
      <c r="A29" s="19"/>
      <c r="B29" s="15" t="s">
        <v>61</v>
      </c>
      <c r="C29" s="19">
        <v>28</v>
      </c>
      <c r="D29" s="19">
        <v>28</v>
      </c>
      <c r="E29" s="20">
        <f t="shared" si="0"/>
        <v>1</v>
      </c>
      <c r="F29" s="21">
        <v>22</v>
      </c>
      <c r="G29" s="21">
        <v>20</v>
      </c>
      <c r="H29" s="18">
        <f t="shared" si="8"/>
        <v>0.909090909090909</v>
      </c>
      <c r="I29" s="31"/>
      <c r="J29" s="32"/>
      <c r="K29" s="33"/>
      <c r="L29" s="34"/>
      <c r="M29" s="35"/>
      <c r="N29" s="36"/>
      <c r="O29" s="37"/>
      <c r="P29" s="38"/>
      <c r="Q29" s="45"/>
    </row>
    <row r="30" spans="1:17">
      <c r="A30" s="19"/>
      <c r="B30" s="15" t="s">
        <v>107</v>
      </c>
      <c r="C30" s="19">
        <v>1</v>
      </c>
      <c r="D30" s="19">
        <v>1</v>
      </c>
      <c r="E30" s="20">
        <f t="shared" si="0"/>
        <v>1</v>
      </c>
      <c r="F30" s="21">
        <v>4</v>
      </c>
      <c r="G30" s="21">
        <v>4</v>
      </c>
      <c r="H30" s="18">
        <f t="shared" si="8"/>
        <v>1</v>
      </c>
      <c r="I30" s="31">
        <v>52</v>
      </c>
      <c r="J30" s="32">
        <v>48</v>
      </c>
      <c r="K30" s="33">
        <f t="shared" ref="K30:K45" si="12">J30/I30</f>
        <v>0.923076923076923</v>
      </c>
      <c r="L30" s="34">
        <v>29</v>
      </c>
      <c r="M30" s="35">
        <v>28</v>
      </c>
      <c r="N30" s="36">
        <f t="shared" ref="N30:N42" si="13">M30/L30</f>
        <v>0.96551724137931</v>
      </c>
      <c r="O30" s="37">
        <v>32</v>
      </c>
      <c r="P30" s="38">
        <v>23</v>
      </c>
      <c r="Q30" s="45">
        <f t="shared" ref="Q30:Q35" si="14">P30/O30*100%</f>
        <v>0.71875</v>
      </c>
    </row>
    <row r="31" spans="1:17">
      <c r="A31" s="19"/>
      <c r="B31" s="15" t="s">
        <v>108</v>
      </c>
      <c r="C31" s="19">
        <v>1</v>
      </c>
      <c r="D31" s="19">
        <v>1</v>
      </c>
      <c r="E31" s="20">
        <f t="shared" si="0"/>
        <v>1</v>
      </c>
      <c r="F31" s="21">
        <v>6</v>
      </c>
      <c r="G31" s="21">
        <v>6</v>
      </c>
      <c r="H31" s="18">
        <f t="shared" si="8"/>
        <v>1</v>
      </c>
      <c r="I31" s="31">
        <v>105</v>
      </c>
      <c r="J31" s="32">
        <v>99</v>
      </c>
      <c r="K31" s="33">
        <f t="shared" si="12"/>
        <v>0.942857142857143</v>
      </c>
      <c r="L31" s="34">
        <v>69</v>
      </c>
      <c r="M31" s="35">
        <v>66</v>
      </c>
      <c r="N31" s="36">
        <f t="shared" si="13"/>
        <v>0.956521739130435</v>
      </c>
      <c r="O31" s="37">
        <v>31</v>
      </c>
      <c r="P31" s="38">
        <v>27</v>
      </c>
      <c r="Q31" s="45">
        <f t="shared" si="14"/>
        <v>0.870967741935484</v>
      </c>
    </row>
    <row r="32" spans="1:17">
      <c r="A32" s="19"/>
      <c r="B32" s="15" t="s">
        <v>109</v>
      </c>
      <c r="C32" s="19">
        <v>0</v>
      </c>
      <c r="D32" s="19">
        <v>0</v>
      </c>
      <c r="E32" s="20" t="e">
        <f t="shared" si="0"/>
        <v>#DIV/0!</v>
      </c>
      <c r="F32" s="21">
        <v>6</v>
      </c>
      <c r="G32" s="21">
        <v>6</v>
      </c>
      <c r="H32" s="18">
        <f t="shared" si="8"/>
        <v>1</v>
      </c>
      <c r="I32" s="31">
        <v>35</v>
      </c>
      <c r="J32" s="32">
        <v>32</v>
      </c>
      <c r="K32" s="33">
        <f t="shared" si="12"/>
        <v>0.914285714285714</v>
      </c>
      <c r="L32" s="34">
        <v>13</v>
      </c>
      <c r="M32" s="35">
        <v>11</v>
      </c>
      <c r="N32" s="36">
        <f t="shared" si="13"/>
        <v>0.846153846153846</v>
      </c>
      <c r="O32" s="37">
        <v>8</v>
      </c>
      <c r="P32" s="38">
        <v>7</v>
      </c>
      <c r="Q32" s="45">
        <f t="shared" si="14"/>
        <v>0.875</v>
      </c>
    </row>
    <row r="33" spans="1:17">
      <c r="A33" s="19"/>
      <c r="B33" s="15" t="s">
        <v>110</v>
      </c>
      <c r="C33" s="19">
        <v>21</v>
      </c>
      <c r="D33" s="19">
        <v>21</v>
      </c>
      <c r="E33" s="20">
        <f t="shared" si="0"/>
        <v>1</v>
      </c>
      <c r="F33" s="21">
        <v>15</v>
      </c>
      <c r="G33" s="21">
        <v>15</v>
      </c>
      <c r="H33" s="18">
        <f t="shared" si="8"/>
        <v>1</v>
      </c>
      <c r="I33" s="31">
        <v>12</v>
      </c>
      <c r="J33" s="32">
        <v>10</v>
      </c>
      <c r="K33" s="33">
        <f t="shared" si="12"/>
        <v>0.833333333333333</v>
      </c>
      <c r="L33" s="34">
        <v>33</v>
      </c>
      <c r="M33" s="35">
        <v>31</v>
      </c>
      <c r="N33" s="36">
        <f t="shared" si="13"/>
        <v>0.939393939393939</v>
      </c>
      <c r="O33" s="37">
        <v>11</v>
      </c>
      <c r="P33" s="38">
        <v>11</v>
      </c>
      <c r="Q33" s="45">
        <f t="shared" si="14"/>
        <v>1</v>
      </c>
    </row>
    <row r="34" spans="1:17">
      <c r="A34" s="19"/>
      <c r="B34" s="15" t="s">
        <v>56</v>
      </c>
      <c r="C34" s="19">
        <v>67</v>
      </c>
      <c r="D34" s="19">
        <v>66</v>
      </c>
      <c r="E34" s="20">
        <f t="shared" si="0"/>
        <v>0.985074626865672</v>
      </c>
      <c r="F34" s="21">
        <v>45</v>
      </c>
      <c r="G34" s="21">
        <v>35</v>
      </c>
      <c r="H34" s="18">
        <f t="shared" si="8"/>
        <v>0.777777777777778</v>
      </c>
      <c r="I34" s="31">
        <v>93</v>
      </c>
      <c r="J34" s="32">
        <v>86</v>
      </c>
      <c r="K34" s="33">
        <f t="shared" si="12"/>
        <v>0.924731182795699</v>
      </c>
      <c r="L34" s="34">
        <v>60</v>
      </c>
      <c r="M34" s="35">
        <v>51</v>
      </c>
      <c r="N34" s="36">
        <f t="shared" si="13"/>
        <v>0.85</v>
      </c>
      <c r="O34" s="37">
        <v>24</v>
      </c>
      <c r="P34" s="38">
        <v>21</v>
      </c>
      <c r="Q34" s="45">
        <f t="shared" si="14"/>
        <v>0.875</v>
      </c>
    </row>
    <row r="35" spans="1:17">
      <c r="A35" s="19"/>
      <c r="B35" s="15" t="s">
        <v>111</v>
      </c>
      <c r="C35" s="19">
        <v>29</v>
      </c>
      <c r="D35" s="19">
        <v>29</v>
      </c>
      <c r="E35" s="20">
        <f t="shared" si="0"/>
        <v>1</v>
      </c>
      <c r="F35" s="21">
        <v>9</v>
      </c>
      <c r="G35" s="21">
        <v>9</v>
      </c>
      <c r="H35" s="18">
        <f t="shared" si="8"/>
        <v>1</v>
      </c>
      <c r="I35" s="31">
        <v>54</v>
      </c>
      <c r="J35" s="32">
        <v>50</v>
      </c>
      <c r="K35" s="33">
        <f t="shared" si="12"/>
        <v>0.925925925925926</v>
      </c>
      <c r="L35" s="34">
        <v>57</v>
      </c>
      <c r="M35" s="35">
        <v>52</v>
      </c>
      <c r="N35" s="36">
        <f t="shared" si="13"/>
        <v>0.912280701754386</v>
      </c>
      <c r="O35" s="37">
        <v>7</v>
      </c>
      <c r="P35" s="38">
        <v>7</v>
      </c>
      <c r="Q35" s="45">
        <f t="shared" si="14"/>
        <v>1</v>
      </c>
    </row>
    <row r="36" ht="14.25" spans="1:17">
      <c r="A36" s="19"/>
      <c r="B36" s="15" t="s">
        <v>112</v>
      </c>
      <c r="C36" s="19">
        <v>0</v>
      </c>
      <c r="D36" s="19">
        <v>0</v>
      </c>
      <c r="E36" s="20" t="e">
        <f t="shared" si="0"/>
        <v>#DIV/0!</v>
      </c>
      <c r="F36" s="21">
        <v>2</v>
      </c>
      <c r="G36" s="21">
        <v>2</v>
      </c>
      <c r="H36" s="18">
        <f t="shared" si="8"/>
        <v>1</v>
      </c>
      <c r="I36" s="31">
        <v>52</v>
      </c>
      <c r="J36" s="32">
        <v>38</v>
      </c>
      <c r="K36" s="33">
        <f t="shared" si="12"/>
        <v>0.730769230769231</v>
      </c>
      <c r="L36" s="41">
        <v>38</v>
      </c>
      <c r="M36" s="35">
        <v>30</v>
      </c>
      <c r="N36" s="36">
        <f t="shared" si="13"/>
        <v>0.789473684210526</v>
      </c>
      <c r="O36" s="42" t="s">
        <v>34</v>
      </c>
      <c r="P36" s="42" t="s">
        <v>34</v>
      </c>
      <c r="Q36" s="42" t="s">
        <v>34</v>
      </c>
    </row>
    <row r="37" spans="1:17">
      <c r="A37" s="19"/>
      <c r="B37" s="15" t="s">
        <v>113</v>
      </c>
      <c r="C37" s="19">
        <v>0</v>
      </c>
      <c r="D37" s="19">
        <v>0</v>
      </c>
      <c r="E37" s="20" t="e">
        <f t="shared" si="0"/>
        <v>#DIV/0!</v>
      </c>
      <c r="F37" s="21">
        <v>2</v>
      </c>
      <c r="G37" s="21">
        <v>1</v>
      </c>
      <c r="H37" s="18">
        <f t="shared" si="8"/>
        <v>0.5</v>
      </c>
      <c r="I37" s="31">
        <v>60</v>
      </c>
      <c r="J37" s="32">
        <v>50</v>
      </c>
      <c r="K37" s="33">
        <f t="shared" si="12"/>
        <v>0.833333333333333</v>
      </c>
      <c r="L37" s="34">
        <v>39</v>
      </c>
      <c r="M37" s="35">
        <v>25</v>
      </c>
      <c r="N37" s="36">
        <f t="shared" si="13"/>
        <v>0.641025641025641</v>
      </c>
      <c r="O37" s="37">
        <v>23</v>
      </c>
      <c r="P37" s="38">
        <v>21</v>
      </c>
      <c r="Q37" s="45">
        <f t="shared" ref="Q37:Q42" si="15">P37/O37*100%</f>
        <v>0.91304347826087</v>
      </c>
    </row>
    <row r="38" spans="1:17">
      <c r="A38" s="15" t="s">
        <v>114</v>
      </c>
      <c r="B38" s="15" t="s">
        <v>67</v>
      </c>
      <c r="C38" s="19">
        <v>83</v>
      </c>
      <c r="D38" s="19">
        <v>79</v>
      </c>
      <c r="E38" s="20">
        <f t="shared" si="0"/>
        <v>0.951807228915663</v>
      </c>
      <c r="F38" s="21">
        <v>87</v>
      </c>
      <c r="G38" s="21">
        <v>72</v>
      </c>
      <c r="H38" s="18">
        <f t="shared" si="8"/>
        <v>0.827586206896552</v>
      </c>
      <c r="I38" s="31">
        <v>128</v>
      </c>
      <c r="J38" s="32">
        <v>118</v>
      </c>
      <c r="K38" s="33">
        <f t="shared" si="12"/>
        <v>0.921875</v>
      </c>
      <c r="L38" s="34">
        <v>86</v>
      </c>
      <c r="M38" s="35">
        <v>80</v>
      </c>
      <c r="N38" s="36">
        <f t="shared" si="13"/>
        <v>0.930232558139535</v>
      </c>
      <c r="O38" s="37">
        <v>46</v>
      </c>
      <c r="P38" s="38">
        <v>40</v>
      </c>
      <c r="Q38" s="45">
        <f t="shared" si="15"/>
        <v>0.869565217391304</v>
      </c>
    </row>
    <row r="39" ht="14.25" spans="1:17">
      <c r="A39" s="19"/>
      <c r="B39" s="15" t="s">
        <v>65</v>
      </c>
      <c r="C39" s="19">
        <v>70</v>
      </c>
      <c r="D39" s="19">
        <v>66</v>
      </c>
      <c r="E39" s="20">
        <f t="shared" si="0"/>
        <v>0.942857142857143</v>
      </c>
      <c r="F39" s="21">
        <v>90</v>
      </c>
      <c r="G39" s="21">
        <v>70</v>
      </c>
      <c r="H39" s="18">
        <f t="shared" si="8"/>
        <v>0.777777777777778</v>
      </c>
      <c r="I39" s="31">
        <v>107</v>
      </c>
      <c r="J39" s="32">
        <v>92</v>
      </c>
      <c r="K39" s="33">
        <f t="shared" si="12"/>
        <v>0.85981308411215</v>
      </c>
      <c r="L39" s="41">
        <v>52</v>
      </c>
      <c r="M39" s="35">
        <v>48</v>
      </c>
      <c r="N39" s="36">
        <f t="shared" si="13"/>
        <v>0.923076923076923</v>
      </c>
      <c r="O39" s="42" t="s">
        <v>34</v>
      </c>
      <c r="P39" s="42" t="s">
        <v>34</v>
      </c>
      <c r="Q39" s="42" t="s">
        <v>34</v>
      </c>
    </row>
    <row r="40" spans="1:17">
      <c r="A40" s="19"/>
      <c r="B40" s="15" t="s">
        <v>64</v>
      </c>
      <c r="C40" s="19">
        <v>50</v>
      </c>
      <c r="D40" s="19">
        <v>46</v>
      </c>
      <c r="E40" s="20">
        <f t="shared" si="0"/>
        <v>0.92</v>
      </c>
      <c r="F40" s="21">
        <v>56</v>
      </c>
      <c r="G40" s="21">
        <v>46</v>
      </c>
      <c r="H40" s="18">
        <f t="shared" si="8"/>
        <v>0.821428571428571</v>
      </c>
      <c r="I40" s="31">
        <v>72</v>
      </c>
      <c r="J40" s="32">
        <v>60</v>
      </c>
      <c r="K40" s="33">
        <f t="shared" si="12"/>
        <v>0.833333333333333</v>
      </c>
      <c r="L40" s="34">
        <v>78</v>
      </c>
      <c r="M40" s="35">
        <v>71</v>
      </c>
      <c r="N40" s="36">
        <f t="shared" si="13"/>
        <v>0.91025641025641</v>
      </c>
      <c r="O40" s="37">
        <v>54</v>
      </c>
      <c r="P40" s="38">
        <v>49</v>
      </c>
      <c r="Q40" s="45">
        <f t="shared" si="15"/>
        <v>0.907407407407407</v>
      </c>
    </row>
    <row r="41" ht="24" spans="1:17">
      <c r="A41" s="19"/>
      <c r="B41" s="15" t="s">
        <v>115</v>
      </c>
      <c r="C41" s="19">
        <v>26</v>
      </c>
      <c r="D41" s="19">
        <v>26</v>
      </c>
      <c r="E41" s="20">
        <f t="shared" si="0"/>
        <v>1</v>
      </c>
      <c r="F41" s="21">
        <v>13</v>
      </c>
      <c r="G41" s="21">
        <v>7</v>
      </c>
      <c r="H41" s="18">
        <f t="shared" si="8"/>
        <v>0.538461538461538</v>
      </c>
      <c r="I41" s="31">
        <v>10</v>
      </c>
      <c r="J41" s="32">
        <v>6</v>
      </c>
      <c r="K41" s="33">
        <f t="shared" si="12"/>
        <v>0.6</v>
      </c>
      <c r="L41" s="34">
        <v>27</v>
      </c>
      <c r="M41" s="35">
        <v>27</v>
      </c>
      <c r="N41" s="36">
        <f t="shared" si="13"/>
        <v>1</v>
      </c>
      <c r="O41" s="37">
        <v>36</v>
      </c>
      <c r="P41" s="38">
        <v>29</v>
      </c>
      <c r="Q41" s="45">
        <f t="shared" si="15"/>
        <v>0.805555555555556</v>
      </c>
    </row>
    <row r="42" spans="1:17">
      <c r="A42" s="19"/>
      <c r="B42" s="15" t="s">
        <v>116</v>
      </c>
      <c r="C42" s="19">
        <v>22</v>
      </c>
      <c r="D42" s="19">
        <v>22</v>
      </c>
      <c r="E42" s="20">
        <f t="shared" si="0"/>
        <v>1</v>
      </c>
      <c r="F42" s="21">
        <v>17</v>
      </c>
      <c r="G42" s="21">
        <v>16</v>
      </c>
      <c r="H42" s="18">
        <f t="shared" si="8"/>
        <v>0.941176470588235</v>
      </c>
      <c r="I42" s="31">
        <v>21</v>
      </c>
      <c r="J42" s="32">
        <v>20</v>
      </c>
      <c r="K42" s="33">
        <f t="shared" si="12"/>
        <v>0.952380952380952</v>
      </c>
      <c r="L42" s="34">
        <v>29</v>
      </c>
      <c r="M42" s="35">
        <v>28</v>
      </c>
      <c r="N42" s="36">
        <f t="shared" si="13"/>
        <v>0.96551724137931</v>
      </c>
      <c r="O42" s="37">
        <v>31</v>
      </c>
      <c r="P42" s="38">
        <v>30</v>
      </c>
      <c r="Q42" s="45">
        <f t="shared" si="15"/>
        <v>0.967741935483871</v>
      </c>
    </row>
    <row r="43" ht="14.25" spans="1:17">
      <c r="A43" s="19"/>
      <c r="B43" s="15" t="s">
        <v>68</v>
      </c>
      <c r="C43" s="19">
        <v>78</v>
      </c>
      <c r="D43" s="19">
        <v>78</v>
      </c>
      <c r="E43" s="20">
        <f t="shared" si="0"/>
        <v>1</v>
      </c>
      <c r="F43" s="21">
        <v>39</v>
      </c>
      <c r="G43" s="21">
        <v>36</v>
      </c>
      <c r="H43" s="18">
        <f t="shared" si="8"/>
        <v>0.923076923076923</v>
      </c>
      <c r="I43" s="43">
        <v>10</v>
      </c>
      <c r="J43" s="32">
        <v>10</v>
      </c>
      <c r="K43" s="33">
        <f t="shared" si="12"/>
        <v>1</v>
      </c>
      <c r="L43" s="40" t="s">
        <v>34</v>
      </c>
      <c r="M43" s="40" t="s">
        <v>34</v>
      </c>
      <c r="N43" s="40" t="s">
        <v>34</v>
      </c>
      <c r="O43" s="42" t="s">
        <v>34</v>
      </c>
      <c r="P43" s="42" t="s">
        <v>34</v>
      </c>
      <c r="Q43" s="42" t="s">
        <v>34</v>
      </c>
    </row>
    <row r="44" ht="14.25" spans="1:17">
      <c r="A44" s="19"/>
      <c r="B44" s="15" t="s">
        <v>63</v>
      </c>
      <c r="C44" s="19">
        <v>53</v>
      </c>
      <c r="D44" s="19">
        <v>51</v>
      </c>
      <c r="E44" s="20">
        <f t="shared" si="0"/>
        <v>0.962264150943396</v>
      </c>
      <c r="F44" s="21">
        <v>35</v>
      </c>
      <c r="G44" s="21">
        <v>28</v>
      </c>
      <c r="H44" s="18">
        <f t="shared" si="8"/>
        <v>0.8</v>
      </c>
      <c r="I44" s="31">
        <v>9</v>
      </c>
      <c r="J44" s="32">
        <v>7</v>
      </c>
      <c r="K44" s="33">
        <f t="shared" si="12"/>
        <v>0.777777777777778</v>
      </c>
      <c r="L44" s="41">
        <v>11</v>
      </c>
      <c r="M44" s="35">
        <v>9</v>
      </c>
      <c r="N44" s="36">
        <f t="shared" ref="N44:N50" si="16">M44/L44</f>
        <v>0.818181818181818</v>
      </c>
      <c r="O44" s="42" t="s">
        <v>34</v>
      </c>
      <c r="P44" s="42" t="s">
        <v>34</v>
      </c>
      <c r="Q44" s="42" t="s">
        <v>34</v>
      </c>
    </row>
    <row r="45" ht="24" spans="1:17">
      <c r="A45" s="19"/>
      <c r="B45" s="15" t="s">
        <v>66</v>
      </c>
      <c r="C45" s="19">
        <v>15</v>
      </c>
      <c r="D45" s="19">
        <v>15</v>
      </c>
      <c r="E45" s="20">
        <f t="shared" si="0"/>
        <v>1</v>
      </c>
      <c r="F45" s="21">
        <v>0</v>
      </c>
      <c r="G45" s="21">
        <v>0</v>
      </c>
      <c r="H45" s="18" t="e">
        <f t="shared" si="8"/>
        <v>#DIV/0!</v>
      </c>
      <c r="I45" s="31">
        <v>2</v>
      </c>
      <c r="J45" s="32">
        <v>2</v>
      </c>
      <c r="K45" s="33">
        <f t="shared" si="12"/>
        <v>1</v>
      </c>
      <c r="L45" s="40" t="s">
        <v>34</v>
      </c>
      <c r="M45" s="35">
        <v>0</v>
      </c>
      <c r="N45" s="40" t="s">
        <v>34</v>
      </c>
      <c r="O45" s="37">
        <v>7</v>
      </c>
      <c r="P45" s="38">
        <v>6</v>
      </c>
      <c r="Q45" s="45">
        <f t="shared" ref="Q45:Q50" si="17">P45/O45*100%</f>
        <v>0.857142857142857</v>
      </c>
    </row>
    <row r="46" spans="1:17">
      <c r="A46" s="19"/>
      <c r="B46" s="15" t="s">
        <v>69</v>
      </c>
      <c r="C46" s="19">
        <v>16</v>
      </c>
      <c r="D46" s="19">
        <v>16</v>
      </c>
      <c r="E46" s="20">
        <f t="shared" si="0"/>
        <v>1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ht="24" spans="1:17">
      <c r="A47" s="15" t="s">
        <v>87</v>
      </c>
      <c r="B47" s="15" t="s">
        <v>88</v>
      </c>
      <c r="C47" s="19">
        <v>54</v>
      </c>
      <c r="D47" s="19">
        <v>54</v>
      </c>
      <c r="E47" s="20">
        <f t="shared" si="0"/>
        <v>1</v>
      </c>
      <c r="F47" s="21">
        <v>31</v>
      </c>
      <c r="G47" s="21">
        <v>27</v>
      </c>
      <c r="H47" s="18">
        <f t="shared" ref="H47:H50" si="18">G47/F47</f>
        <v>0.870967741935484</v>
      </c>
      <c r="I47" s="31"/>
      <c r="J47" s="32"/>
      <c r="K47" s="33"/>
      <c r="L47" s="41"/>
      <c r="M47" s="35"/>
      <c r="N47" s="36"/>
      <c r="O47" s="42"/>
      <c r="P47" s="42"/>
      <c r="Q47" s="42"/>
    </row>
    <row r="48" ht="24" spans="1:17">
      <c r="A48" s="19"/>
      <c r="B48" s="15" t="s">
        <v>117</v>
      </c>
      <c r="C48" s="19">
        <v>0</v>
      </c>
      <c r="D48" s="19">
        <v>0</v>
      </c>
      <c r="E48" s="20" t="e">
        <f t="shared" si="0"/>
        <v>#DIV/0!</v>
      </c>
      <c r="F48" s="21">
        <v>0</v>
      </c>
      <c r="G48" s="21">
        <v>0</v>
      </c>
      <c r="H48" s="18" t="e">
        <f t="shared" si="18"/>
        <v>#DIV/0!</v>
      </c>
      <c r="I48" s="31">
        <v>31</v>
      </c>
      <c r="J48" s="32">
        <v>29</v>
      </c>
      <c r="K48" s="33">
        <f t="shared" ref="K48:K50" si="19">J48/I48</f>
        <v>0.935483870967742</v>
      </c>
      <c r="L48" s="41">
        <v>19</v>
      </c>
      <c r="M48" s="35">
        <v>17</v>
      </c>
      <c r="N48" s="36">
        <f t="shared" si="16"/>
        <v>0.894736842105263</v>
      </c>
      <c r="O48" s="42" t="s">
        <v>34</v>
      </c>
      <c r="P48" s="42" t="s">
        <v>34</v>
      </c>
      <c r="Q48" s="42" t="s">
        <v>34</v>
      </c>
    </row>
    <row r="49" spans="1:17">
      <c r="A49" s="15" t="s">
        <v>118</v>
      </c>
      <c r="B49" s="15" t="s">
        <v>84</v>
      </c>
      <c r="C49" s="19">
        <v>868</v>
      </c>
      <c r="D49" s="19">
        <v>830</v>
      </c>
      <c r="E49" s="20">
        <f t="shared" si="0"/>
        <v>0.956221198156682</v>
      </c>
      <c r="F49" s="21">
        <v>944</v>
      </c>
      <c r="G49" s="21">
        <v>766</v>
      </c>
      <c r="H49" s="18">
        <f t="shared" si="18"/>
        <v>0.811440677966102</v>
      </c>
      <c r="I49" s="31">
        <v>1104</v>
      </c>
      <c r="J49" s="32">
        <v>877</v>
      </c>
      <c r="K49" s="33">
        <f t="shared" si="19"/>
        <v>0.794384057971015</v>
      </c>
      <c r="L49" s="34">
        <v>896</v>
      </c>
      <c r="M49" s="35">
        <v>693</v>
      </c>
      <c r="N49" s="36">
        <f t="shared" si="16"/>
        <v>0.7734375</v>
      </c>
      <c r="O49" s="37">
        <v>663</v>
      </c>
      <c r="P49" s="38">
        <v>631</v>
      </c>
      <c r="Q49" s="45">
        <f t="shared" si="17"/>
        <v>0.951734539969834</v>
      </c>
    </row>
    <row r="50" spans="1:17">
      <c r="A50" s="19"/>
      <c r="B50" s="15" t="s">
        <v>83</v>
      </c>
      <c r="C50" s="19">
        <v>92</v>
      </c>
      <c r="D50" s="19">
        <v>88</v>
      </c>
      <c r="E50" s="20">
        <f t="shared" si="0"/>
        <v>0.956521739130435</v>
      </c>
      <c r="F50" s="21">
        <v>94</v>
      </c>
      <c r="G50" s="21">
        <v>78</v>
      </c>
      <c r="H50" s="18">
        <f t="shared" si="18"/>
        <v>0.829787234042553</v>
      </c>
      <c r="I50" s="31">
        <v>78</v>
      </c>
      <c r="J50" s="32">
        <v>67</v>
      </c>
      <c r="K50" s="33">
        <f t="shared" si="19"/>
        <v>0.858974358974359</v>
      </c>
      <c r="L50" s="34">
        <v>158</v>
      </c>
      <c r="M50" s="35">
        <v>121</v>
      </c>
      <c r="N50" s="36">
        <f t="shared" si="16"/>
        <v>0.765822784810127</v>
      </c>
      <c r="O50" s="37">
        <v>172</v>
      </c>
      <c r="P50" s="38">
        <v>171</v>
      </c>
      <c r="Q50" s="45">
        <f t="shared" si="17"/>
        <v>0.994186046511628</v>
      </c>
    </row>
    <row r="51" ht="24" spans="1:17">
      <c r="A51" s="19"/>
      <c r="B51" s="15" t="s">
        <v>86</v>
      </c>
      <c r="C51" s="19">
        <v>16</v>
      </c>
      <c r="D51" s="19">
        <v>16</v>
      </c>
      <c r="E51" s="20">
        <f t="shared" si="0"/>
        <v>1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7">
      <c r="A52" s="19"/>
      <c r="B52" s="15" t="s">
        <v>85</v>
      </c>
      <c r="C52" s="19">
        <v>21</v>
      </c>
      <c r="D52" s="19">
        <v>19</v>
      </c>
      <c r="E52" s="20">
        <f t="shared" si="0"/>
        <v>0.904761904761905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spans="1:17">
      <c r="A53" s="15" t="s">
        <v>77</v>
      </c>
      <c r="B53" s="15" t="s">
        <v>81</v>
      </c>
      <c r="C53" s="19">
        <v>402</v>
      </c>
      <c r="D53" s="19">
        <v>372</v>
      </c>
      <c r="E53" s="20">
        <f t="shared" si="0"/>
        <v>0.925373134328358</v>
      </c>
      <c r="F53" s="21">
        <v>423</v>
      </c>
      <c r="G53" s="21">
        <v>245</v>
      </c>
      <c r="H53" s="18">
        <f t="shared" ref="H53:H61" si="20">G53/F53</f>
        <v>0.57919621749409</v>
      </c>
      <c r="I53" s="31">
        <v>478</v>
      </c>
      <c r="J53" s="32">
        <v>280</v>
      </c>
      <c r="K53" s="33">
        <f t="shared" ref="K53:K61" si="21">J53/I53</f>
        <v>0.585774058577406</v>
      </c>
      <c r="L53" s="34">
        <v>162</v>
      </c>
      <c r="M53" s="35">
        <v>142</v>
      </c>
      <c r="N53" s="36">
        <f t="shared" ref="N53:N61" si="22">M53/L53</f>
        <v>0.876543209876543</v>
      </c>
      <c r="O53" s="37">
        <v>148</v>
      </c>
      <c r="P53" s="38">
        <v>129</v>
      </c>
      <c r="Q53" s="45">
        <f t="shared" ref="Q53:Q59" si="23">P53/O53*100%</f>
        <v>0.871621621621622</v>
      </c>
    </row>
    <row r="54" spans="1:17">
      <c r="A54" s="19"/>
      <c r="B54" s="15" t="s">
        <v>78</v>
      </c>
      <c r="C54" s="19">
        <v>279</v>
      </c>
      <c r="D54" s="19">
        <v>275</v>
      </c>
      <c r="E54" s="20">
        <f t="shared" si="0"/>
        <v>0.985663082437276</v>
      </c>
      <c r="F54" s="21">
        <v>338</v>
      </c>
      <c r="G54" s="21">
        <v>244</v>
      </c>
      <c r="H54" s="18">
        <f t="shared" si="20"/>
        <v>0.72189349112426</v>
      </c>
      <c r="I54" s="31">
        <v>369</v>
      </c>
      <c r="J54" s="32">
        <v>263</v>
      </c>
      <c r="K54" s="33">
        <f t="shared" si="21"/>
        <v>0.712737127371274</v>
      </c>
      <c r="L54" s="34">
        <v>321</v>
      </c>
      <c r="M54" s="35">
        <v>267</v>
      </c>
      <c r="N54" s="36">
        <f t="shared" si="22"/>
        <v>0.831775700934579</v>
      </c>
      <c r="O54" s="37">
        <v>179</v>
      </c>
      <c r="P54" s="38">
        <v>163</v>
      </c>
      <c r="Q54" s="45">
        <f t="shared" si="23"/>
        <v>0.910614525139665</v>
      </c>
    </row>
    <row r="55" spans="1:17">
      <c r="A55" s="19"/>
      <c r="B55" s="15" t="s">
        <v>80</v>
      </c>
      <c r="C55" s="19">
        <v>128</v>
      </c>
      <c r="D55" s="19">
        <v>125</v>
      </c>
      <c r="E55" s="20">
        <f t="shared" si="0"/>
        <v>0.9765625</v>
      </c>
      <c r="F55" s="21">
        <v>161</v>
      </c>
      <c r="G55" s="21">
        <v>133</v>
      </c>
      <c r="H55" s="18">
        <f t="shared" si="20"/>
        <v>0.826086956521739</v>
      </c>
      <c r="I55" s="31">
        <v>120</v>
      </c>
      <c r="J55" s="32">
        <v>100</v>
      </c>
      <c r="K55" s="33">
        <f t="shared" si="21"/>
        <v>0.833333333333333</v>
      </c>
      <c r="L55" s="34">
        <v>72</v>
      </c>
      <c r="M55" s="35">
        <v>51</v>
      </c>
      <c r="N55" s="36">
        <f t="shared" si="22"/>
        <v>0.708333333333333</v>
      </c>
      <c r="O55" s="37">
        <v>39</v>
      </c>
      <c r="P55" s="38">
        <v>38</v>
      </c>
      <c r="Q55" s="45">
        <f t="shared" si="23"/>
        <v>0.974358974358974</v>
      </c>
    </row>
    <row r="56" spans="1:17">
      <c r="A56" s="15" t="s">
        <v>71</v>
      </c>
      <c r="B56" s="15" t="s">
        <v>73</v>
      </c>
      <c r="C56" s="19">
        <v>87</v>
      </c>
      <c r="D56" s="19">
        <v>84</v>
      </c>
      <c r="E56" s="20">
        <f t="shared" si="0"/>
        <v>0.96551724137931</v>
      </c>
      <c r="F56" s="21">
        <v>122</v>
      </c>
      <c r="G56" s="21">
        <v>96</v>
      </c>
      <c r="H56" s="18">
        <f t="shared" si="20"/>
        <v>0.786885245901639</v>
      </c>
      <c r="I56" s="31">
        <v>131</v>
      </c>
      <c r="J56" s="32">
        <v>88</v>
      </c>
      <c r="K56" s="33">
        <f t="shared" si="21"/>
        <v>0.67175572519084</v>
      </c>
      <c r="L56" s="34">
        <v>110</v>
      </c>
      <c r="M56" s="35">
        <v>80</v>
      </c>
      <c r="N56" s="36">
        <f t="shared" si="22"/>
        <v>0.727272727272727</v>
      </c>
      <c r="O56" s="37">
        <v>90</v>
      </c>
      <c r="P56" s="38">
        <v>85</v>
      </c>
      <c r="Q56" s="45">
        <f t="shared" si="23"/>
        <v>0.944444444444444</v>
      </c>
    </row>
    <row r="57" spans="1:17">
      <c r="A57" s="19"/>
      <c r="B57" s="15" t="s">
        <v>79</v>
      </c>
      <c r="C57" s="19">
        <v>370</v>
      </c>
      <c r="D57" s="19">
        <v>361</v>
      </c>
      <c r="E57" s="20">
        <f t="shared" si="0"/>
        <v>0.975675675675676</v>
      </c>
      <c r="F57" s="21">
        <v>298</v>
      </c>
      <c r="G57" s="21">
        <v>230</v>
      </c>
      <c r="H57" s="18">
        <f t="shared" si="20"/>
        <v>0.771812080536913</v>
      </c>
      <c r="I57" s="31">
        <v>331</v>
      </c>
      <c r="J57" s="32">
        <v>220</v>
      </c>
      <c r="K57" s="33">
        <f t="shared" si="21"/>
        <v>0.664652567975831</v>
      </c>
      <c r="L57" s="34">
        <v>386</v>
      </c>
      <c r="M57" s="35">
        <v>281</v>
      </c>
      <c r="N57" s="36">
        <f t="shared" si="22"/>
        <v>0.727979274611399</v>
      </c>
      <c r="O57" s="37">
        <v>321</v>
      </c>
      <c r="P57" s="38">
        <v>297</v>
      </c>
      <c r="Q57" s="45">
        <f t="shared" si="23"/>
        <v>0.925233644859813</v>
      </c>
    </row>
    <row r="58" spans="1:17">
      <c r="A58" s="19"/>
      <c r="B58" s="15" t="s">
        <v>76</v>
      </c>
      <c r="C58" s="19">
        <v>33</v>
      </c>
      <c r="D58" s="19">
        <v>33</v>
      </c>
      <c r="E58" s="20">
        <f t="shared" si="0"/>
        <v>1</v>
      </c>
      <c r="F58" s="21">
        <v>54</v>
      </c>
      <c r="G58" s="21">
        <v>50</v>
      </c>
      <c r="H58" s="18">
        <f t="shared" si="20"/>
        <v>0.925925925925926</v>
      </c>
      <c r="I58" s="31">
        <v>49</v>
      </c>
      <c r="J58" s="32">
        <v>38</v>
      </c>
      <c r="K58" s="33">
        <f t="shared" si="21"/>
        <v>0.775510204081633</v>
      </c>
      <c r="L58" s="34">
        <v>30</v>
      </c>
      <c r="M58" s="35">
        <v>25</v>
      </c>
      <c r="N58" s="36">
        <f t="shared" si="22"/>
        <v>0.833333333333333</v>
      </c>
      <c r="O58" s="37">
        <v>30</v>
      </c>
      <c r="P58" s="38">
        <v>29</v>
      </c>
      <c r="Q58" s="45">
        <f t="shared" si="23"/>
        <v>0.966666666666667</v>
      </c>
    </row>
    <row r="59" spans="1:17">
      <c r="A59" s="19"/>
      <c r="B59" s="15" t="s">
        <v>72</v>
      </c>
      <c r="C59" s="19">
        <v>208</v>
      </c>
      <c r="D59" s="19">
        <v>201</v>
      </c>
      <c r="E59" s="20">
        <f t="shared" si="0"/>
        <v>0.966346153846154</v>
      </c>
      <c r="F59" s="21">
        <v>267</v>
      </c>
      <c r="G59" s="21">
        <v>236</v>
      </c>
      <c r="H59" s="18">
        <f t="shared" si="20"/>
        <v>0.883895131086142</v>
      </c>
      <c r="I59" s="31">
        <v>293</v>
      </c>
      <c r="J59" s="32">
        <v>225</v>
      </c>
      <c r="K59" s="33">
        <f t="shared" si="21"/>
        <v>0.767918088737201</v>
      </c>
      <c r="L59" s="34">
        <v>326</v>
      </c>
      <c r="M59" s="35">
        <v>274</v>
      </c>
      <c r="N59" s="36">
        <f t="shared" si="22"/>
        <v>0.840490797546012</v>
      </c>
      <c r="O59" s="37">
        <v>174</v>
      </c>
      <c r="P59" s="38">
        <v>165</v>
      </c>
      <c r="Q59" s="45">
        <f t="shared" si="23"/>
        <v>0.948275862068966</v>
      </c>
    </row>
    <row r="60" ht="14.25" spans="1:17">
      <c r="A60" s="19"/>
      <c r="B60" s="15" t="s">
        <v>75</v>
      </c>
      <c r="C60" s="19">
        <v>106</v>
      </c>
      <c r="D60" s="19">
        <v>95</v>
      </c>
      <c r="E60" s="20">
        <f t="shared" si="0"/>
        <v>0.89622641509434</v>
      </c>
      <c r="F60" s="21">
        <v>111</v>
      </c>
      <c r="G60" s="21">
        <v>102</v>
      </c>
      <c r="H60" s="18">
        <f t="shared" si="20"/>
        <v>0.918918918918919</v>
      </c>
      <c r="I60" s="31">
        <v>184</v>
      </c>
      <c r="J60" s="32">
        <v>120</v>
      </c>
      <c r="K60" s="33">
        <f t="shared" si="21"/>
        <v>0.652173913043478</v>
      </c>
      <c r="L60" s="41">
        <v>55</v>
      </c>
      <c r="M60" s="35">
        <v>53</v>
      </c>
      <c r="N60" s="36">
        <f t="shared" si="22"/>
        <v>0.963636363636364</v>
      </c>
      <c r="O60" s="42" t="s">
        <v>34</v>
      </c>
      <c r="P60" s="42" t="s">
        <v>34</v>
      </c>
      <c r="Q60" s="42" t="s">
        <v>34</v>
      </c>
    </row>
    <row r="61" spans="1:17">
      <c r="A61" s="19"/>
      <c r="B61" s="15" t="s">
        <v>74</v>
      </c>
      <c r="C61" s="19">
        <v>33</v>
      </c>
      <c r="D61" s="19">
        <v>29</v>
      </c>
      <c r="E61" s="20">
        <f t="shared" si="0"/>
        <v>0.878787878787879</v>
      </c>
      <c r="F61" s="21">
        <v>24</v>
      </c>
      <c r="G61" s="21">
        <v>21</v>
      </c>
      <c r="H61" s="18">
        <f t="shared" si="20"/>
        <v>0.875</v>
      </c>
      <c r="I61" s="31">
        <v>22</v>
      </c>
      <c r="J61" s="32">
        <v>17</v>
      </c>
      <c r="K61" s="33">
        <f t="shared" si="21"/>
        <v>0.772727272727273</v>
      </c>
      <c r="L61" s="34">
        <v>77</v>
      </c>
      <c r="M61" s="35">
        <v>62</v>
      </c>
      <c r="N61" s="36">
        <f t="shared" si="22"/>
        <v>0.805194805194805</v>
      </c>
      <c r="O61" s="37">
        <v>72</v>
      </c>
      <c r="P61" s="38">
        <v>59</v>
      </c>
      <c r="Q61" s="45">
        <f>P61/O61*100%</f>
        <v>0.819444444444444</v>
      </c>
    </row>
  </sheetData>
  <mergeCells count="9">
    <mergeCell ref="A2:A13"/>
    <mergeCell ref="A14:A19"/>
    <mergeCell ref="A20:A22"/>
    <mergeCell ref="A23:A37"/>
    <mergeCell ref="A38:A46"/>
    <mergeCell ref="A47:A48"/>
    <mergeCell ref="A49:A52"/>
    <mergeCell ref="A53:A55"/>
    <mergeCell ref="A56:A6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workbookViewId="0">
      <selection activeCell="J26" sqref="J26"/>
    </sheetView>
  </sheetViews>
  <sheetFormatPr defaultColWidth="9" defaultRowHeight="22.5" outlineLevelCol="7"/>
  <cols>
    <col min="1" max="1" width="13.75" customWidth="1"/>
    <col min="2" max="2" width="23.375" customWidth="1"/>
    <col min="3" max="3" width="21" style="1" customWidth="1"/>
    <col min="4" max="4" width="23.25" style="1" customWidth="1"/>
    <col min="5" max="6" width="21" style="1" customWidth="1"/>
    <col min="7" max="7" width="21" customWidth="1"/>
    <col min="8" max="8" width="23.25" customWidth="1"/>
  </cols>
  <sheetData>
    <row r="1" spans="1:8">
      <c r="A1" s="2" t="s">
        <v>119</v>
      </c>
      <c r="B1" s="3"/>
      <c r="C1" s="3"/>
      <c r="D1" s="3"/>
      <c r="E1" s="3"/>
      <c r="F1" s="3"/>
      <c r="G1" s="3"/>
      <c r="H1" s="3"/>
    </row>
    <row r="2" ht="13.5" spans="1:8">
      <c r="A2" s="4" t="s">
        <v>0</v>
      </c>
      <c r="B2" s="4" t="s">
        <v>1</v>
      </c>
      <c r="C2" s="5" t="s">
        <v>120</v>
      </c>
      <c r="D2" s="6" t="s">
        <v>121</v>
      </c>
      <c r="E2" s="5" t="s">
        <v>122</v>
      </c>
      <c r="F2" s="5" t="s">
        <v>123</v>
      </c>
      <c r="G2" s="5" t="s">
        <v>124</v>
      </c>
      <c r="H2" s="6" t="s">
        <v>125</v>
      </c>
    </row>
    <row r="3" ht="13.5" spans="1:8">
      <c r="A3" s="7" t="s">
        <v>29</v>
      </c>
      <c r="B3" s="8" t="s">
        <v>30</v>
      </c>
      <c r="C3" s="9">
        <v>10</v>
      </c>
      <c r="D3" s="9">
        <v>2</v>
      </c>
      <c r="E3" s="9"/>
      <c r="F3" s="9"/>
      <c r="G3" s="9"/>
      <c r="H3" s="9"/>
    </row>
    <row r="4" ht="13.5" spans="1:8">
      <c r="A4" s="7" t="s">
        <v>29</v>
      </c>
      <c r="B4" s="8" t="s">
        <v>31</v>
      </c>
      <c r="C4" s="9"/>
      <c r="D4" s="9"/>
      <c r="E4" s="9"/>
      <c r="F4" s="9"/>
      <c r="G4" s="9"/>
      <c r="H4" s="9"/>
    </row>
    <row r="5" ht="13.5" spans="1:8">
      <c r="A5" s="7" t="s">
        <v>29</v>
      </c>
      <c r="B5" s="8" t="s">
        <v>32</v>
      </c>
      <c r="C5" s="9"/>
      <c r="D5" s="9"/>
      <c r="E5" s="9">
        <v>10</v>
      </c>
      <c r="F5" s="9">
        <v>17</v>
      </c>
      <c r="G5" s="9">
        <v>20</v>
      </c>
      <c r="H5" s="9">
        <v>28</v>
      </c>
    </row>
    <row r="6" ht="13.5" spans="1:8">
      <c r="A6" s="7" t="s">
        <v>29</v>
      </c>
      <c r="B6" s="8" t="s">
        <v>33</v>
      </c>
      <c r="C6" s="9"/>
      <c r="D6" s="9"/>
      <c r="E6" s="9"/>
      <c r="F6" s="9"/>
      <c r="G6" s="9"/>
      <c r="H6" s="9"/>
    </row>
    <row r="7" ht="13.5" spans="1:8">
      <c r="A7" s="7" t="s">
        <v>29</v>
      </c>
      <c r="B7" s="8" t="s">
        <v>35</v>
      </c>
      <c r="C7" s="9"/>
      <c r="D7" s="9"/>
      <c r="E7" s="9">
        <v>15</v>
      </c>
      <c r="F7" s="9">
        <v>10</v>
      </c>
      <c r="G7" s="9"/>
      <c r="H7" s="9"/>
    </row>
    <row r="8" ht="13.5" spans="1:8">
      <c r="A8" s="7" t="s">
        <v>29</v>
      </c>
      <c r="B8" s="8" t="s">
        <v>36</v>
      </c>
      <c r="C8" s="9"/>
      <c r="D8" s="9"/>
      <c r="E8" s="9"/>
      <c r="F8" s="9"/>
      <c r="G8" s="9"/>
      <c r="H8" s="9"/>
    </row>
    <row r="9" ht="13.5" spans="1:8">
      <c r="A9" s="7" t="s">
        <v>29</v>
      </c>
      <c r="B9" s="8" t="s">
        <v>37</v>
      </c>
      <c r="C9" s="9"/>
      <c r="D9" s="9"/>
      <c r="E9" s="9">
        <v>10</v>
      </c>
      <c r="F9" s="9">
        <v>11</v>
      </c>
      <c r="G9" s="9">
        <v>20</v>
      </c>
      <c r="H9" s="9">
        <v>12</v>
      </c>
    </row>
    <row r="10" ht="13.5" spans="1:8">
      <c r="A10" s="7" t="s">
        <v>29</v>
      </c>
      <c r="B10" s="8" t="s">
        <v>38</v>
      </c>
      <c r="C10" s="9">
        <v>10</v>
      </c>
      <c r="D10" s="9">
        <v>5</v>
      </c>
      <c r="E10" s="9"/>
      <c r="F10" s="9"/>
      <c r="G10" s="9"/>
      <c r="H10" s="9"/>
    </row>
    <row r="11" ht="13.5" spans="1:8">
      <c r="A11" s="7" t="s">
        <v>39</v>
      </c>
      <c r="B11" s="8" t="s">
        <v>40</v>
      </c>
      <c r="C11" s="9"/>
      <c r="D11" s="9"/>
      <c r="E11" s="9"/>
      <c r="F11" s="9"/>
      <c r="G11" s="9">
        <v>10</v>
      </c>
      <c r="H11" s="9"/>
    </row>
    <row r="12" ht="13.5" spans="1:8">
      <c r="A12" s="7" t="s">
        <v>39</v>
      </c>
      <c r="B12" s="8" t="s">
        <v>41</v>
      </c>
      <c r="C12" s="9">
        <v>20</v>
      </c>
      <c r="D12" s="9">
        <v>79</v>
      </c>
      <c r="E12" s="9">
        <v>30</v>
      </c>
      <c r="F12" s="9">
        <v>66</v>
      </c>
      <c r="G12" s="9">
        <v>20</v>
      </c>
      <c r="H12" s="9">
        <v>48</v>
      </c>
    </row>
    <row r="13" ht="13.5" spans="1:8">
      <c r="A13" s="7" t="s">
        <v>39</v>
      </c>
      <c r="B13" s="8" t="s">
        <v>42</v>
      </c>
      <c r="C13" s="9"/>
      <c r="D13" s="9"/>
      <c r="E13" s="9"/>
      <c r="F13" s="9"/>
      <c r="G13" s="9"/>
      <c r="H13" s="9"/>
    </row>
    <row r="14" ht="13.5" spans="1:8">
      <c r="A14" s="7" t="s">
        <v>39</v>
      </c>
      <c r="B14" s="8" t="s">
        <v>43</v>
      </c>
      <c r="C14" s="9"/>
      <c r="D14" s="9"/>
      <c r="E14" s="9"/>
      <c r="F14" s="9"/>
      <c r="G14" s="9"/>
      <c r="H14" s="9"/>
    </row>
    <row r="15" ht="13.5" spans="1:8">
      <c r="A15" s="7" t="s">
        <v>39</v>
      </c>
      <c r="B15" s="8" t="s">
        <v>44</v>
      </c>
      <c r="C15" s="9">
        <v>10</v>
      </c>
      <c r="D15" s="9">
        <v>5</v>
      </c>
      <c r="E15" s="9"/>
      <c r="F15" s="9"/>
      <c r="G15" s="9"/>
      <c r="H15" s="9"/>
    </row>
    <row r="16" ht="13.5" spans="1:8">
      <c r="A16" s="7" t="s">
        <v>45</v>
      </c>
      <c r="B16" s="8" t="s">
        <v>46</v>
      </c>
      <c r="C16" s="9">
        <v>20</v>
      </c>
      <c r="D16" s="9">
        <v>2</v>
      </c>
      <c r="E16" s="9"/>
      <c r="F16" s="9"/>
      <c r="G16" s="9"/>
      <c r="H16" s="9"/>
    </row>
    <row r="17" ht="13.5" spans="1:8">
      <c r="A17" s="7" t="s">
        <v>45</v>
      </c>
      <c r="B17" s="8" t="s">
        <v>47</v>
      </c>
      <c r="C17" s="9"/>
      <c r="D17" s="9"/>
      <c r="E17" s="9"/>
      <c r="F17" s="9"/>
      <c r="G17" s="9">
        <v>20</v>
      </c>
      <c r="H17" s="9">
        <v>19</v>
      </c>
    </row>
    <row r="18" ht="13.5" spans="1:8">
      <c r="A18" s="7" t="s">
        <v>45</v>
      </c>
      <c r="B18" s="8" t="s">
        <v>48</v>
      </c>
      <c r="C18" s="9">
        <v>10</v>
      </c>
      <c r="D18" s="9">
        <v>4</v>
      </c>
      <c r="E18" s="9"/>
      <c r="F18" s="9"/>
      <c r="G18" s="9"/>
      <c r="H18" s="9"/>
    </row>
    <row r="19" ht="13.5" spans="1:8">
      <c r="A19" s="7" t="s">
        <v>45</v>
      </c>
      <c r="B19" s="8" t="s">
        <v>49</v>
      </c>
      <c r="C19" s="9"/>
      <c r="D19" s="9"/>
      <c r="E19" s="9"/>
      <c r="F19" s="9"/>
      <c r="G19" s="9"/>
      <c r="H19" s="9"/>
    </row>
    <row r="20" ht="13.5" spans="1:8">
      <c r="A20" s="7" t="s">
        <v>45</v>
      </c>
      <c r="B20" s="8" t="s">
        <v>50</v>
      </c>
      <c r="C20" s="9">
        <v>10</v>
      </c>
      <c r="D20" s="9">
        <v>15</v>
      </c>
      <c r="E20" s="9"/>
      <c r="F20" s="9"/>
      <c r="G20" s="9"/>
      <c r="H20" s="9"/>
    </row>
    <row r="21" ht="13.5" spans="1:8">
      <c r="A21" s="7" t="s">
        <v>45</v>
      </c>
      <c r="B21" s="8" t="s">
        <v>51</v>
      </c>
      <c r="C21" s="9"/>
      <c r="D21" s="9"/>
      <c r="E21" s="9"/>
      <c r="F21" s="9"/>
      <c r="G21" s="9"/>
      <c r="H21" s="9"/>
    </row>
    <row r="22" ht="13.5" spans="1:8">
      <c r="A22" s="7" t="s">
        <v>52</v>
      </c>
      <c r="B22" s="8" t="s">
        <v>53</v>
      </c>
      <c r="C22" s="9"/>
      <c r="D22" s="9"/>
      <c r="E22" s="9">
        <v>10</v>
      </c>
      <c r="F22" s="9">
        <v>8</v>
      </c>
      <c r="G22" s="9"/>
      <c r="H22" s="9"/>
    </row>
    <row r="23" ht="13.5" spans="1:8">
      <c r="A23" s="7" t="s">
        <v>52</v>
      </c>
      <c r="B23" s="8" t="s">
        <v>54</v>
      </c>
      <c r="C23" s="9">
        <v>10</v>
      </c>
      <c r="D23" s="9">
        <v>6</v>
      </c>
      <c r="E23" s="9"/>
      <c r="F23" s="9"/>
      <c r="G23" s="9"/>
      <c r="H23" s="9"/>
    </row>
    <row r="24" ht="13.5" spans="1:8">
      <c r="A24" s="7" t="s">
        <v>52</v>
      </c>
      <c r="B24" s="8" t="s">
        <v>55</v>
      </c>
      <c r="C24" s="9"/>
      <c r="D24" s="9"/>
      <c r="E24" s="9">
        <v>10</v>
      </c>
      <c r="F24" s="9">
        <v>10</v>
      </c>
      <c r="G24" s="9"/>
      <c r="H24" s="9"/>
    </row>
    <row r="25" ht="13.5" spans="1:8">
      <c r="A25" s="7" t="s">
        <v>52</v>
      </c>
      <c r="B25" s="8" t="s">
        <v>56</v>
      </c>
      <c r="C25" s="9"/>
      <c r="D25" s="9"/>
      <c r="E25" s="9">
        <v>5</v>
      </c>
      <c r="F25" s="9">
        <v>2</v>
      </c>
      <c r="G25" s="9">
        <v>15</v>
      </c>
      <c r="H25" s="9">
        <v>8</v>
      </c>
    </row>
    <row r="26" ht="13.5" spans="1:8">
      <c r="A26" s="7" t="s">
        <v>52</v>
      </c>
      <c r="B26" s="8" t="s">
        <v>57</v>
      </c>
      <c r="C26" s="9">
        <v>20</v>
      </c>
      <c r="D26" s="9">
        <v>13</v>
      </c>
      <c r="E26" s="9">
        <v>30</v>
      </c>
      <c r="F26" s="9">
        <v>16</v>
      </c>
      <c r="G26" s="9"/>
      <c r="H26" s="9"/>
    </row>
    <row r="27" ht="13.5" spans="1:8">
      <c r="A27" s="7" t="s">
        <v>52</v>
      </c>
      <c r="B27" s="8" t="s">
        <v>58</v>
      </c>
      <c r="C27" s="9"/>
      <c r="D27" s="9"/>
      <c r="E27" s="9"/>
      <c r="F27" s="9"/>
      <c r="G27" s="9"/>
      <c r="H27" s="9"/>
    </row>
    <row r="28" ht="13.5" spans="1:8">
      <c r="A28" s="7" t="s">
        <v>52</v>
      </c>
      <c r="B28" s="8" t="s">
        <v>59</v>
      </c>
      <c r="C28" s="9">
        <v>10</v>
      </c>
      <c r="D28" s="9">
        <v>3</v>
      </c>
      <c r="E28" s="9"/>
      <c r="F28" s="9"/>
      <c r="G28" s="9"/>
      <c r="H28" s="9"/>
    </row>
    <row r="29" ht="13.5" spans="1:8">
      <c r="A29" s="7" t="s">
        <v>52</v>
      </c>
      <c r="B29" s="8" t="s">
        <v>60</v>
      </c>
      <c r="C29" s="9"/>
      <c r="D29" s="9"/>
      <c r="E29" s="9">
        <v>10</v>
      </c>
      <c r="F29" s="9">
        <v>1</v>
      </c>
      <c r="G29" s="9">
        <v>10</v>
      </c>
      <c r="H29" s="9">
        <v>10</v>
      </c>
    </row>
    <row r="30" ht="13.5" spans="1:8">
      <c r="A30" s="7" t="s">
        <v>52</v>
      </c>
      <c r="B30" s="8" t="s">
        <v>61</v>
      </c>
      <c r="C30" s="9">
        <v>10</v>
      </c>
      <c r="D30" s="9">
        <v>1</v>
      </c>
      <c r="E30" s="9"/>
      <c r="F30" s="9"/>
      <c r="G30" s="9">
        <v>10</v>
      </c>
      <c r="H30" s="9">
        <v>7</v>
      </c>
    </row>
    <row r="31" ht="13.5" spans="1:8">
      <c r="A31" s="7" t="s">
        <v>62</v>
      </c>
      <c r="B31" s="8" t="s">
        <v>63</v>
      </c>
      <c r="C31" s="9">
        <v>20</v>
      </c>
      <c r="D31" s="9">
        <v>9</v>
      </c>
      <c r="E31" s="9"/>
      <c r="F31" s="9"/>
      <c r="G31" s="9">
        <v>10</v>
      </c>
      <c r="H31" s="9">
        <v>3</v>
      </c>
    </row>
    <row r="32" ht="13.5" spans="1:8">
      <c r="A32" s="7" t="s">
        <v>62</v>
      </c>
      <c r="B32" s="8" t="s">
        <v>64</v>
      </c>
      <c r="C32" s="9"/>
      <c r="D32" s="9"/>
      <c r="E32" s="9"/>
      <c r="F32" s="9"/>
      <c r="G32" s="9"/>
      <c r="H32" s="9"/>
    </row>
    <row r="33" ht="13.5" spans="1:8">
      <c r="A33" s="7" t="s">
        <v>62</v>
      </c>
      <c r="B33" s="8" t="s">
        <v>65</v>
      </c>
      <c r="C33" s="9"/>
      <c r="D33" s="9"/>
      <c r="E33" s="9"/>
      <c r="F33" s="9"/>
      <c r="G33" s="9"/>
      <c r="H33" s="9"/>
    </row>
    <row r="34" ht="13.5" spans="1:8">
      <c r="A34" s="7" t="s">
        <v>62</v>
      </c>
      <c r="B34" s="8" t="s">
        <v>66</v>
      </c>
      <c r="C34" s="9">
        <v>10</v>
      </c>
      <c r="D34" s="9">
        <v>4</v>
      </c>
      <c r="E34" s="9"/>
      <c r="F34" s="9"/>
      <c r="G34" s="9"/>
      <c r="H34" s="9"/>
    </row>
    <row r="35" ht="13.5" spans="1:8">
      <c r="A35" s="7" t="s">
        <v>62</v>
      </c>
      <c r="B35" s="8" t="s">
        <v>67</v>
      </c>
      <c r="C35" s="9"/>
      <c r="D35" s="9"/>
      <c r="E35" s="9">
        <v>15</v>
      </c>
      <c r="F35" s="9">
        <v>4</v>
      </c>
      <c r="G35" s="9"/>
      <c r="H35" s="9"/>
    </row>
    <row r="36" ht="13.5" spans="1:8">
      <c r="A36" s="7" t="s">
        <v>62</v>
      </c>
      <c r="B36" s="8" t="s">
        <v>68</v>
      </c>
      <c r="C36" s="9"/>
      <c r="D36" s="9"/>
      <c r="E36" s="9"/>
      <c r="F36" s="9"/>
      <c r="G36" s="9"/>
      <c r="H36" s="9"/>
    </row>
    <row r="37" ht="13.5" spans="1:8">
      <c r="A37" s="7" t="s">
        <v>62</v>
      </c>
      <c r="B37" s="8" t="s">
        <v>69</v>
      </c>
      <c r="C37" s="9">
        <v>10</v>
      </c>
      <c r="D37" s="9">
        <v>9</v>
      </c>
      <c r="E37" s="9"/>
      <c r="F37" s="9"/>
      <c r="G37" s="9"/>
      <c r="H37" s="9"/>
    </row>
    <row r="38" ht="13.5" spans="1:8">
      <c r="A38" s="10" t="s">
        <v>62</v>
      </c>
      <c r="B38" s="8" t="s">
        <v>70</v>
      </c>
      <c r="C38" s="9"/>
      <c r="D38" s="9"/>
      <c r="E38" s="9"/>
      <c r="F38" s="9"/>
      <c r="G38" s="9"/>
      <c r="H38" s="9"/>
    </row>
    <row r="39" ht="13.5" spans="1:8">
      <c r="A39" s="7" t="s">
        <v>71</v>
      </c>
      <c r="B39" s="8" t="s">
        <v>72</v>
      </c>
      <c r="C39" s="9"/>
      <c r="D39" s="9"/>
      <c r="E39" s="9"/>
      <c r="F39" s="9"/>
      <c r="G39" s="9">
        <v>15</v>
      </c>
      <c r="H39" s="9">
        <v>9</v>
      </c>
    </row>
    <row r="40" ht="13.5" spans="1:8">
      <c r="A40" s="7" t="s">
        <v>71</v>
      </c>
      <c r="B40" s="8" t="s">
        <v>73</v>
      </c>
      <c r="C40" s="9"/>
      <c r="D40" s="9"/>
      <c r="E40" s="9"/>
      <c r="F40" s="9"/>
      <c r="G40" s="9"/>
      <c r="H40" s="9"/>
    </row>
    <row r="41" ht="13.5" spans="1:8">
      <c r="A41" s="7" t="s">
        <v>71</v>
      </c>
      <c r="B41" s="8" t="s">
        <v>74</v>
      </c>
      <c r="C41" s="9">
        <v>10</v>
      </c>
      <c r="D41" s="9">
        <v>9</v>
      </c>
      <c r="E41" s="9">
        <v>10</v>
      </c>
      <c r="F41" s="9">
        <v>4</v>
      </c>
      <c r="G41" s="9"/>
      <c r="H41" s="9"/>
    </row>
    <row r="42" ht="13.5" spans="1:8">
      <c r="A42" s="7" t="s">
        <v>71</v>
      </c>
      <c r="B42" s="8" t="s">
        <v>75</v>
      </c>
      <c r="C42" s="9"/>
      <c r="D42" s="9"/>
      <c r="E42" s="9">
        <v>5</v>
      </c>
      <c r="F42" s="9">
        <v>15</v>
      </c>
      <c r="G42" s="9"/>
      <c r="H42" s="9"/>
    </row>
    <row r="43" ht="13.5" spans="1:8">
      <c r="A43" s="7" t="s">
        <v>71</v>
      </c>
      <c r="B43" s="8" t="s">
        <v>76</v>
      </c>
      <c r="C43" s="9"/>
      <c r="D43" s="9"/>
      <c r="E43" s="9"/>
      <c r="F43" s="9"/>
      <c r="G43" s="9"/>
      <c r="H43" s="9"/>
    </row>
    <row r="44" ht="13.5" spans="1:8">
      <c r="A44" s="7" t="s">
        <v>77</v>
      </c>
      <c r="B44" s="8" t="s">
        <v>78</v>
      </c>
      <c r="C44" s="9"/>
      <c r="D44" s="9"/>
      <c r="E44" s="9"/>
      <c r="F44" s="9"/>
      <c r="G44" s="9"/>
      <c r="H44" s="9"/>
    </row>
    <row r="45" ht="13.5" spans="1:8">
      <c r="A45" s="7" t="s">
        <v>77</v>
      </c>
      <c r="B45" s="8" t="s">
        <v>79</v>
      </c>
      <c r="C45" s="9"/>
      <c r="D45" s="9"/>
      <c r="E45" s="9"/>
      <c r="F45" s="9"/>
      <c r="G45" s="9"/>
      <c r="H45" s="9"/>
    </row>
    <row r="46" ht="13.5" spans="1:8">
      <c r="A46" s="7" t="s">
        <v>77</v>
      </c>
      <c r="B46" s="8" t="s">
        <v>80</v>
      </c>
      <c r="C46" s="9">
        <v>20</v>
      </c>
      <c r="D46" s="9">
        <v>13</v>
      </c>
      <c r="E46" s="9"/>
      <c r="F46" s="9"/>
      <c r="G46" s="9"/>
      <c r="H46" s="9"/>
    </row>
    <row r="47" ht="13.5" spans="1:8">
      <c r="A47" s="7" t="s">
        <v>77</v>
      </c>
      <c r="B47" s="8" t="s">
        <v>81</v>
      </c>
      <c r="C47" s="9"/>
      <c r="D47" s="9"/>
      <c r="E47" s="9"/>
      <c r="F47" s="9"/>
      <c r="G47" s="9"/>
      <c r="H47" s="9"/>
    </row>
    <row r="48" ht="13.5" spans="1:8">
      <c r="A48" s="11" t="s">
        <v>82</v>
      </c>
      <c r="B48" s="8" t="s">
        <v>83</v>
      </c>
      <c r="C48" s="12"/>
      <c r="D48" s="9"/>
      <c r="E48" s="12"/>
      <c r="F48" s="9"/>
      <c r="G48" s="12">
        <v>10</v>
      </c>
      <c r="H48" s="9">
        <v>3</v>
      </c>
    </row>
    <row r="49" ht="13.5" spans="1:8">
      <c r="A49" s="7" t="s">
        <v>82</v>
      </c>
      <c r="B49" s="8" t="s">
        <v>84</v>
      </c>
      <c r="C49" s="9">
        <v>20</v>
      </c>
      <c r="D49" s="9">
        <v>55</v>
      </c>
      <c r="E49" s="9">
        <v>15</v>
      </c>
      <c r="F49" s="9">
        <v>28</v>
      </c>
      <c r="G49" s="9">
        <v>20</v>
      </c>
      <c r="H49" s="9">
        <v>43</v>
      </c>
    </row>
    <row r="50" ht="13.5" spans="1:8">
      <c r="A50" s="7" t="s">
        <v>82</v>
      </c>
      <c r="B50" s="8" t="s">
        <v>85</v>
      </c>
      <c r="C50" s="9"/>
      <c r="D50" s="9"/>
      <c r="E50" s="9"/>
      <c r="F50" s="9"/>
      <c r="G50" s="9">
        <v>10</v>
      </c>
      <c r="H50" s="9">
        <v>4</v>
      </c>
    </row>
    <row r="51" ht="13.5" spans="1:8">
      <c r="A51" s="7" t="s">
        <v>82</v>
      </c>
      <c r="B51" s="8" t="s">
        <v>86</v>
      </c>
      <c r="C51" s="9"/>
      <c r="D51" s="9"/>
      <c r="E51" s="9"/>
      <c r="F51" s="9"/>
      <c r="G51" s="9"/>
      <c r="H51" s="9"/>
    </row>
    <row r="52" ht="13.5" spans="1:8">
      <c r="A52" s="7" t="s">
        <v>87</v>
      </c>
      <c r="B52" s="8" t="s">
        <v>88</v>
      </c>
      <c r="C52" s="9">
        <v>10</v>
      </c>
      <c r="D52" s="9">
        <v>6</v>
      </c>
      <c r="E52" s="9">
        <v>15</v>
      </c>
      <c r="F52" s="9">
        <v>8</v>
      </c>
      <c r="G52" s="9">
        <v>10</v>
      </c>
      <c r="H52" s="9">
        <v>6</v>
      </c>
    </row>
    <row r="53" ht="13.5" spans="1:8">
      <c r="A53" s="13"/>
      <c r="B53" s="13"/>
      <c r="C53" s="14">
        <v>240</v>
      </c>
      <c r="D53" s="14">
        <f t="shared" ref="D53:F53" si="0">SUM(D3:D52)</f>
        <v>240</v>
      </c>
      <c r="E53" s="14">
        <f t="shared" si="0"/>
        <v>190</v>
      </c>
      <c r="F53" s="14">
        <f t="shared" si="0"/>
        <v>200</v>
      </c>
      <c r="G53" s="14">
        <v>200</v>
      </c>
      <c r="H53" s="14">
        <f>SUM(H5:H52)</f>
        <v>200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近三年高考单招录取及一志愿人数一览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孟子皿</dc:creator>
  <cp:lastModifiedBy>梦小路</cp:lastModifiedBy>
  <dcterms:created xsi:type="dcterms:W3CDTF">2026-01-28T07:07:00Z</dcterms:created>
  <dcterms:modified xsi:type="dcterms:W3CDTF">2026-01-29T07:32:24Z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0D8C7839955A477A9129AE735B8FAFF1_13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1</vt:i4>
  </property>
</Properties>
</file>