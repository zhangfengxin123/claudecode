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yanglianbo.1\Desktop\"/>
    </mc:Choice>
  </mc:AlternateContent>
  <xr:revisionPtr revIDLastSave="0" documentId="13_ncr:1_{2B36DAD7-143D-4FE2-85A5-70F260F35FA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茶饮" sheetId="3" r:id="rId1"/>
    <sheet name="正餐" sheetId="4" r:id="rId2"/>
    <sheet name="快餐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<sst xmlns="http://schemas.openxmlformats.org/spreadsheetml/2006/main" count="217" uniqueCount="119">
  <si>
    <t>末级节点名称</t>
  </si>
  <si>
    <t>商家名称</t>
  </si>
  <si>
    <t>实付客单价</t>
  </si>
  <si>
    <t>营业门店数</t>
  </si>
  <si>
    <t>茶饮业务组</t>
  </si>
  <si>
    <t>蜜雪冰城（京东店）</t>
  </si>
  <si>
    <t>瑞幸咖啡</t>
  </si>
  <si>
    <t>正餐业务组</t>
  </si>
  <si>
    <t>华莱士</t>
  </si>
  <si>
    <t>COTTI COFFEE库迪咖啡</t>
  </si>
  <si>
    <t>快餐业务部</t>
  </si>
  <si>
    <t>塔斯汀·中国汉堡</t>
  </si>
  <si>
    <t>绝味鸭脖（全国）</t>
  </si>
  <si>
    <t>沪上阿姨鲜果茶</t>
  </si>
  <si>
    <t>肯德基连锁</t>
  </si>
  <si>
    <t>古茗</t>
  </si>
  <si>
    <t>正新鸡排</t>
  </si>
  <si>
    <t>幸运咖</t>
  </si>
  <si>
    <t>霸王茶姬</t>
  </si>
  <si>
    <t>茶百道</t>
  </si>
  <si>
    <t>金拱门中国有限公司</t>
  </si>
  <si>
    <t>星巴克（中国）有限公司</t>
  </si>
  <si>
    <t>挪瓦咖啡</t>
  </si>
  <si>
    <t>紫燕百味鸡总店</t>
  </si>
  <si>
    <t>袁记云饺</t>
  </si>
  <si>
    <t>书亦烧仙草总部</t>
  </si>
  <si>
    <t>1点点</t>
  </si>
  <si>
    <t>必胜客连锁</t>
  </si>
  <si>
    <t>益禾堂</t>
  </si>
  <si>
    <t>甜啦啦鲜果茶</t>
  </si>
  <si>
    <t>三津汤包</t>
  </si>
  <si>
    <t>尊宝比萨品牌</t>
  </si>
  <si>
    <t>德克士品牌</t>
  </si>
  <si>
    <t>喜姐炸串</t>
  </si>
  <si>
    <t>夸父炸串</t>
  </si>
  <si>
    <t>CoCo都可</t>
  </si>
  <si>
    <t>享哆味</t>
  </si>
  <si>
    <t>爷爷不泡茶</t>
  </si>
  <si>
    <t>吉祥馄饨</t>
  </si>
  <si>
    <t>半天妖烤鱼</t>
  </si>
  <si>
    <t>海底捞下饭火锅菜</t>
  </si>
  <si>
    <t>周黑鸭</t>
  </si>
  <si>
    <t>汉堡王（中国）</t>
  </si>
  <si>
    <t>海底捞火锅外送</t>
  </si>
  <si>
    <t>大米先生</t>
  </si>
  <si>
    <t>海底捞拌饭</t>
  </si>
  <si>
    <t>许府牛</t>
  </si>
  <si>
    <t>乡村基品牌</t>
  </si>
  <si>
    <t>超意兴·把子肉</t>
  </si>
  <si>
    <t>小菜园新徽菜</t>
  </si>
  <si>
    <t>呷哺呷哺</t>
  </si>
  <si>
    <t>米村拌饭</t>
  </si>
  <si>
    <t>达美乐</t>
  </si>
  <si>
    <t>黄记煌</t>
  </si>
  <si>
    <t>安徽老乡鸡餐饮有限公司</t>
  </si>
  <si>
    <t>小肥羊牛羊肉火锅</t>
  </si>
  <si>
    <t>七鲜小厨</t>
  </si>
  <si>
    <t>七鲜咖啡</t>
  </si>
  <si>
    <t>海底捞汉堡炸鸡</t>
  </si>
  <si>
    <t>海底捞·茶水铺</t>
  </si>
  <si>
    <t>七鲜咖啡哈尔滨</t>
  </si>
  <si>
    <t>捞派小厨</t>
  </si>
  <si>
    <t>七鲜咖啡（宿迁店）</t>
  </si>
  <si>
    <t>实付客单价</t>
    <phoneticPr fontId="1" type="noConversion"/>
  </si>
  <si>
    <t>1月消耗金额</t>
    <phoneticPr fontId="1" type="noConversion"/>
  </si>
  <si>
    <t>1月cpc占比</t>
    <phoneticPr fontId="1" type="noConversion"/>
  </si>
  <si>
    <t>消耗金额月环比</t>
    <phoneticPr fontId="1" type="noConversion"/>
  </si>
  <si>
    <t>cpc消耗月环比</t>
    <phoneticPr fontId="1" type="noConversion"/>
  </si>
  <si>
    <t>完成订单量月环比</t>
    <phoneticPr fontId="1" type="noConversion"/>
  </si>
  <si>
    <t>实付GMV月环比</t>
    <phoneticPr fontId="1" type="noConversion"/>
  </si>
  <si>
    <t>?</t>
  </si>
  <si>
    <t>CPC广告带来近15天的订单实付GMV</t>
    <phoneticPr fontId="1" type="noConversion"/>
  </si>
  <si>
    <t>占近15天GMV</t>
    <phoneticPr fontId="1" type="noConversion"/>
  </si>
  <si>
    <t>1月实付GMV</t>
    <phoneticPr fontId="1" type="noConversion"/>
  </si>
  <si>
    <t>1月完成订单量</t>
    <phoneticPr fontId="1" type="noConversion"/>
  </si>
  <si>
    <t>营业门店数</t>
    <phoneticPr fontId="1" type="noConversion"/>
  </si>
  <si>
    <t>bd</t>
    <phoneticPr fontId="1" type="noConversion"/>
  </si>
  <si>
    <t>商家id</t>
    <phoneticPr fontId="1" type="noConversion"/>
  </si>
  <si>
    <t>杨学</t>
  </si>
  <si>
    <t>吴国滨</t>
  </si>
  <si>
    <t>洪若宁</t>
  </si>
  <si>
    <t>肖然</t>
  </si>
  <si>
    <t>赵晋莹</t>
  </si>
  <si>
    <t>冯飞飞</t>
  </si>
  <si>
    <t>李梦达</t>
  </si>
  <si>
    <t>江怀灿</t>
  </si>
  <si>
    <t>杨孟杰</t>
  </si>
  <si>
    <t>栾恒</t>
  </si>
  <si>
    <t>李金宇</t>
  </si>
  <si>
    <t>奚笑</t>
  </si>
  <si>
    <t>杨晨旭</t>
  </si>
  <si>
    <t>蒋泽坤</t>
  </si>
  <si>
    <t>廖泽栋</t>
  </si>
  <si>
    <t>杨成宝</t>
  </si>
  <si>
    <t>刘桑妮</t>
  </si>
  <si>
    <t>叶桃芳</t>
  </si>
  <si>
    <t>杨宝强</t>
  </si>
  <si>
    <t>陈子鉴</t>
  </si>
  <si>
    <t>徐文建</t>
  </si>
  <si>
    <t>苟慰斌</t>
  </si>
  <si>
    <t>李阔</t>
  </si>
  <si>
    <t>林夏旋</t>
  </si>
  <si>
    <t>郑雪芬</t>
  </si>
  <si>
    <t>刘娇</t>
  </si>
  <si>
    <t>王淇</t>
  </si>
  <si>
    <t>赵孟影</t>
  </si>
  <si>
    <t>孙炜东</t>
  </si>
  <si>
    <t>李娜</t>
  </si>
  <si>
    <t>张子骏</t>
  </si>
  <si>
    <t>兰喜婷</t>
  </si>
  <si>
    <t>郑毅</t>
  </si>
  <si>
    <t>李晓龙</t>
  </si>
  <si>
    <t>吴磊</t>
  </si>
  <si>
    <t>潘自强</t>
  </si>
  <si>
    <t>李停停</t>
  </si>
  <si>
    <t>邱强</t>
  </si>
  <si>
    <t>段林峰</t>
  </si>
  <si>
    <t>鲜博宇</t>
  </si>
  <si>
    <t>赵慧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</si>
</sst>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 "/>
    <numFmt numFmtId="177" formatCode="0.0%"/>
    <numFmt numFmtId="178" formatCode="#,##0_);[Red]\(#,##0\)"/>
    <numFmt numFmtId="179" formatCode="#,##0.0_ "/>
    <numFmt numFmtId="180" formatCode="#,##0.0_);[Red]\(#,##0.0\)"/>
    <numFmt numFmtId="181" formatCode="0.0_ "/>
    <numFmt numFmtId="182" formatCode="0_);[Red]\(0\)"/>
  </numFmts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strRef>
              <c:f>茶饮!$C$2:$C$20</c:f>
              <c:strCache>
                <c:ptCount val="19"/>
                <c:pt idx="0">
                  <c:v>蜜雪冰城（京东店）</c:v>
                </c:pt>
                <c:pt idx="1">
                  <c:v>瑞幸咖啡</c:v>
                </c:pt>
                <c:pt idx="2">
                  <c:v>COTTI COFFEE库迪咖啡</c:v>
                </c:pt>
                <c:pt idx="3">
                  <c:v>古茗</c:v>
                </c:pt>
                <c:pt idx="4">
                  <c:v>沪上阿姨鲜果茶</c:v>
                </c:pt>
                <c:pt idx="5">
                  <c:v>星巴克（中国）有限公司</c:v>
                </c:pt>
                <c:pt idx="6">
                  <c:v>茶百道</c:v>
                </c:pt>
                <c:pt idx="7">
                  <c:v>霸王茶姬</c:v>
                </c:pt>
                <c:pt idx="8">
                  <c:v>幸运咖</c:v>
                </c:pt>
                <c:pt idx="9">
                  <c:v>挪瓦咖啡</c:v>
                </c:pt>
                <c:pt idx="10">
                  <c:v>益禾堂</c:v>
                </c:pt>
                <c:pt idx="11">
                  <c:v>1点点</c:v>
                </c:pt>
                <c:pt idx="12">
                  <c:v>书亦烧仙草总部</c:v>
                </c:pt>
                <c:pt idx="13">
                  <c:v>CoCo都可</c:v>
                </c:pt>
                <c:pt idx="14">
                  <c:v>甜啦啦鲜果茶</c:v>
                </c:pt>
                <c:pt idx="15">
                  <c:v>爷爷不泡茶</c:v>
                </c:pt>
                <c:pt idx="16">
                  <c:v>七鲜咖啡</c:v>
                </c:pt>
                <c:pt idx="17">
                  <c:v>七鲜咖啡哈尔滨</c:v>
                </c:pt>
                <c:pt idx="18">
                  <c:v>七鲜咖啡（宿迁店）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茶饮!$M$2:$M$20</c:f>
              <c:numCache>
                <c:formatCode>#,##0_);[Red]\(#,##0\)</c:formatCode>
                <c:ptCount val="19"/>
                <c:pt idx="0">
                  <c:v>231659973</c:v>
                </c:pt>
                <c:pt idx="1">
                  <c:v>244757276</c:v>
                </c:pt>
                <c:pt idx="2">
                  <c:v>136861275</c:v>
                </c:pt>
                <c:pt idx="3">
                  <c:v>72257406</c:v>
                </c:pt>
                <c:pt idx="4">
                  <c:v>73328453</c:v>
                </c:pt>
                <c:pt idx="5">
                  <c:v>20765437</c:v>
                </c:pt>
                <c:pt idx="6">
                  <c:v>41553755</c:v>
                </c:pt>
                <c:pt idx="7">
                  <c:v>51507328</c:v>
                </c:pt>
                <c:pt idx="8">
                  <c:v>39832147</c:v>
                </c:pt>
                <c:pt idx="9">
                  <c:v>9014003</c:v>
                </c:pt>
                <c:pt idx="10">
                  <c:v>24943907</c:v>
                </c:pt>
                <c:pt idx="11">
                  <c:v>19978409</c:v>
                </c:pt>
                <c:pt idx="12">
                  <c:v>21052830</c:v>
                </c:pt>
                <c:pt idx="13">
                  <c:v>23463631</c:v>
                </c:pt>
                <c:pt idx="14">
                  <c:v>9579269</c:v>
                </c:pt>
                <c:pt idx="15">
                  <c:v>16120395</c:v>
                </c:pt>
                <c:pt idx="16">
                  <c:v>617869</c:v>
                </c:pt>
                <c:pt idx="17">
                  <c:v>57568</c:v>
                </c:pt>
                <c:pt idx="18">
                  <c:v>15306</c:v>
                </c:pt>
              </c:numCache>
            </c:numRef>
          </c:xVal>
          <c:yVal>
            <c:numRef>
              <c:f>茶饮!$N$2:$N$20</c:f>
              <c:numCache>
                <c:formatCode>0.0%</c:formatCode>
                <c:ptCount val="19"/>
                <c:pt idx="0">
                  <c:v>-7.7700000000000005E-2</c:v>
                </c:pt>
                <c:pt idx="1">
                  <c:v>-0.2278</c:v>
                </c:pt>
                <c:pt idx="2">
                  <c:v>0.46989999999999998</c:v>
                </c:pt>
                <c:pt idx="3">
                  <c:v>-0.1095</c:v>
                </c:pt>
                <c:pt idx="4">
                  <c:v>0.1608</c:v>
                </c:pt>
                <c:pt idx="5">
                  <c:v>-0.1328</c:v>
                </c:pt>
                <c:pt idx="6">
                  <c:v>-0.18870000000000001</c:v>
                </c:pt>
                <c:pt idx="7">
                  <c:v>-0.1212</c:v>
                </c:pt>
                <c:pt idx="8">
                  <c:v>3.49E-2</c:v>
                </c:pt>
                <c:pt idx="9">
                  <c:v>2.1999999999999999E-2</c:v>
                </c:pt>
                <c:pt idx="10">
                  <c:v>7.9299999999999995E-2</c:v>
                </c:pt>
                <c:pt idx="11">
                  <c:v>0.3589</c:v>
                </c:pt>
                <c:pt idx="12">
                  <c:v>0.59609999999999996</c:v>
                </c:pt>
                <c:pt idx="13">
                  <c:v>0.30430000000000001</c:v>
                </c:pt>
                <c:pt idx="14">
                  <c:v>0.53510000000000002</c:v>
                </c:pt>
                <c:pt idx="15">
                  <c:v>0.14779999999999999</c:v>
                </c:pt>
                <c:pt idx="16">
                  <c:v>9.5000000000000001E-2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bubbleSize>
            <c:numRef>
              <c:f>茶饮!$G$2:$G$20</c:f>
              <c:numCache>
                <c:formatCode>#,##0_ </c:formatCode>
                <c:ptCount val="19"/>
                <c:pt idx="0">
                  <c:v>1139696.2</c:v>
                </c:pt>
                <c:pt idx="1">
                  <c:v>2855786.15</c:v>
                </c:pt>
                <c:pt idx="2">
                  <c:v>1599379.23</c:v>
                </c:pt>
                <c:pt idx="3">
                  <c:v>18971.61</c:v>
                </c:pt>
                <c:pt idx="4">
                  <c:v>266765</c:v>
                </c:pt>
                <c:pt idx="5">
                  <c:v>3573.29</c:v>
                </c:pt>
                <c:pt idx="6">
                  <c:v>37337.649999999994</c:v>
                </c:pt>
                <c:pt idx="7">
                  <c:v>42137.599999999999</c:v>
                </c:pt>
                <c:pt idx="8">
                  <c:v>165869.22</c:v>
                </c:pt>
                <c:pt idx="9">
                  <c:v>350319.05000000005</c:v>
                </c:pt>
                <c:pt idx="10">
                  <c:v>1331064.8799999999</c:v>
                </c:pt>
                <c:pt idx="11">
                  <c:v>3439.9300000000003</c:v>
                </c:pt>
                <c:pt idx="12">
                  <c:v>70511.42</c:v>
                </c:pt>
                <c:pt idx="13">
                  <c:v>4110.99</c:v>
                </c:pt>
                <c:pt idx="14">
                  <c:v>11704.18</c:v>
                </c:pt>
                <c:pt idx="15">
                  <c:v>22645.99</c:v>
                </c:pt>
                <c:pt idx="16">
                  <c:v>34.69</c:v>
                </c:pt>
                <c:pt idx="17">
                  <c:v>1.18</c:v>
                </c:pt>
                <c:pt idx="18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DD8A-4C1C-ADF1-4228701CFEB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461956015"/>
        <c:axId val="1461950735"/>
      </c:bubbleChart>
      <c:valAx>
        <c:axId val="146195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实付</a:t>
                </a:r>
                <a:r>
                  <a:rPr lang="en-US"/>
                  <a:t>GMV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1950735"/>
        <c:crosses val="autoZero"/>
        <c:crossBetween val="midCat"/>
      </c:valAx>
      <c:valAx>
        <c:axId val="146195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GMV</a:t>
                </a:r>
                <a:r>
                  <a:rPr lang="zh-CN"/>
                  <a:t>增幅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61956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805807146149105E-2"/>
          <c:y val="7.6239046361888399E-2"/>
          <c:w val="0.89276327456302096"/>
          <c:h val="0.5855688513356365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茶饮!$N$1</c:f>
              <c:strCache>
                <c:ptCount val="1"/>
                <c:pt idx="0">
                  <c:v>实付GMV月环比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茶饮!$C$2:$C$20</c15:sqref>
                  </c15:fullRef>
                </c:ext>
              </c:extLst>
              <c:f>茶饮!$C$2:$C$18</c:f>
              <c:strCache>
                <c:ptCount val="17"/>
                <c:pt idx="0">
                  <c:v>蜜雪冰城（京东店）</c:v>
                </c:pt>
                <c:pt idx="1">
                  <c:v>瑞幸咖啡</c:v>
                </c:pt>
                <c:pt idx="2">
                  <c:v>COTTI COFFEE库迪咖啡</c:v>
                </c:pt>
                <c:pt idx="3">
                  <c:v>古茗</c:v>
                </c:pt>
                <c:pt idx="4">
                  <c:v>沪上阿姨鲜果茶</c:v>
                </c:pt>
                <c:pt idx="5">
                  <c:v>星巴克（中国）有限公司</c:v>
                </c:pt>
                <c:pt idx="6">
                  <c:v>茶百道</c:v>
                </c:pt>
                <c:pt idx="7">
                  <c:v>霸王茶姬</c:v>
                </c:pt>
                <c:pt idx="8">
                  <c:v>幸运咖</c:v>
                </c:pt>
                <c:pt idx="9">
                  <c:v>挪瓦咖啡</c:v>
                </c:pt>
                <c:pt idx="10">
                  <c:v>益禾堂</c:v>
                </c:pt>
                <c:pt idx="11">
                  <c:v>1点点</c:v>
                </c:pt>
                <c:pt idx="12">
                  <c:v>书亦烧仙草总部</c:v>
                </c:pt>
                <c:pt idx="13">
                  <c:v>CoCo都可</c:v>
                </c:pt>
                <c:pt idx="14">
                  <c:v>甜啦啦鲜果茶</c:v>
                </c:pt>
                <c:pt idx="15">
                  <c:v>爷爷不泡茶</c:v>
                </c:pt>
                <c:pt idx="16">
                  <c:v>七鲜咖啡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茶饮!$N$2:$N$20</c15:sqref>
                  </c15:fullRef>
                </c:ext>
              </c:extLst>
              <c:f>茶饮!$N$2:$N$18</c:f>
              <c:numCache>
                <c:formatCode>0.0%</c:formatCode>
                <c:ptCount val="17"/>
                <c:pt idx="0">
                  <c:v>-7.7700000000000005E-2</c:v>
                </c:pt>
                <c:pt idx="1">
                  <c:v>-0.2278</c:v>
                </c:pt>
                <c:pt idx="2">
                  <c:v>0.46989999999999998</c:v>
                </c:pt>
                <c:pt idx="3">
                  <c:v>-0.1095</c:v>
                </c:pt>
                <c:pt idx="4">
                  <c:v>0.1608</c:v>
                </c:pt>
                <c:pt idx="5">
                  <c:v>-0.1328</c:v>
                </c:pt>
                <c:pt idx="6">
                  <c:v>-0.18870000000000001</c:v>
                </c:pt>
                <c:pt idx="7">
                  <c:v>-0.1212</c:v>
                </c:pt>
                <c:pt idx="8">
                  <c:v>3.49E-2</c:v>
                </c:pt>
                <c:pt idx="9">
                  <c:v>2.1999999999999999E-2</c:v>
                </c:pt>
                <c:pt idx="10">
                  <c:v>7.9299999999999995E-2</c:v>
                </c:pt>
                <c:pt idx="11">
                  <c:v>0.3589</c:v>
                </c:pt>
                <c:pt idx="12">
                  <c:v>0.59609999999999996</c:v>
                </c:pt>
                <c:pt idx="13">
                  <c:v>0.30430000000000001</c:v>
                </c:pt>
                <c:pt idx="14">
                  <c:v>0.53510000000000002</c:v>
                </c:pt>
                <c:pt idx="15">
                  <c:v>0.14779999999999999</c:v>
                </c:pt>
                <c:pt idx="16">
                  <c:v>9.5000000000000001E-2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40-431C-AC62-B89530B38935}"/>
            </c:ext>
          </c:extLst>
        </c:ser>
        <c:ser>
          <c:idx val="0"/>
          <c:order val="1"/>
          <c:tx>
            <c:strRef>
              <c:f>茶饮!$H$1</c:f>
              <c:strCache>
                <c:ptCount val="1"/>
                <c:pt idx="0">
                  <c:v>消耗金额月环比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茶饮!$C$2:$C$20</c15:sqref>
                  </c15:fullRef>
                </c:ext>
              </c:extLst>
              <c:f>茶饮!$C$2:$C$18</c:f>
              <c:strCache>
                <c:ptCount val="17"/>
                <c:pt idx="0">
                  <c:v>蜜雪冰城（京东店）</c:v>
                </c:pt>
                <c:pt idx="1">
                  <c:v>瑞幸咖啡</c:v>
                </c:pt>
                <c:pt idx="2">
                  <c:v>COTTI COFFEE库迪咖啡</c:v>
                </c:pt>
                <c:pt idx="3">
                  <c:v>古茗</c:v>
                </c:pt>
                <c:pt idx="4">
                  <c:v>沪上阿姨鲜果茶</c:v>
                </c:pt>
                <c:pt idx="5">
                  <c:v>星巴克（中国）有限公司</c:v>
                </c:pt>
                <c:pt idx="6">
                  <c:v>茶百道</c:v>
                </c:pt>
                <c:pt idx="7">
                  <c:v>霸王茶姬</c:v>
                </c:pt>
                <c:pt idx="8">
                  <c:v>幸运咖</c:v>
                </c:pt>
                <c:pt idx="9">
                  <c:v>挪瓦咖啡</c:v>
                </c:pt>
                <c:pt idx="10">
                  <c:v>益禾堂</c:v>
                </c:pt>
                <c:pt idx="11">
                  <c:v>1点点</c:v>
                </c:pt>
                <c:pt idx="12">
                  <c:v>书亦烧仙草总部</c:v>
                </c:pt>
                <c:pt idx="13">
                  <c:v>CoCo都可</c:v>
                </c:pt>
                <c:pt idx="14">
                  <c:v>甜啦啦鲜果茶</c:v>
                </c:pt>
                <c:pt idx="15">
                  <c:v>爷爷不泡茶</c:v>
                </c:pt>
                <c:pt idx="16">
                  <c:v>七鲜咖啡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茶饮!$H$2:$H$20</c15:sqref>
                  </c15:fullRef>
                </c:ext>
              </c:extLst>
              <c:f>茶饮!$H$2:$H$18</c:f>
              <c:numCache>
                <c:formatCode>0.0%</c:formatCode>
                <c:ptCount val="17"/>
                <c:pt idx="0">
                  <c:v>-0.16019535231385107</c:v>
                </c:pt>
                <c:pt idx="1">
                  <c:v>-9.5283168221816331E-2</c:v>
                </c:pt>
                <c:pt idx="2">
                  <c:v>0.37791828752289996</c:v>
                </c:pt>
                <c:pt idx="3">
                  <c:v>-0.1007138692566944</c:v>
                </c:pt>
                <c:pt idx="4">
                  <c:v>-0.6856671959297469</c:v>
                </c:pt>
                <c:pt idx="5">
                  <c:v>0.15067721180660654</c:v>
                </c:pt>
                <c:pt idx="6">
                  <c:v>8.0336493627378422E-2</c:v>
                </c:pt>
                <c:pt idx="7">
                  <c:v>8.8460396925789581E-2</c:v>
                </c:pt>
                <c:pt idx="8">
                  <c:v>-0.44533367665045104</c:v>
                </c:pt>
                <c:pt idx="9">
                  <c:v>-0.24524758594159932</c:v>
                </c:pt>
                <c:pt idx="10">
                  <c:v>1.3912186944593097</c:v>
                </c:pt>
                <c:pt idx="11">
                  <c:v>0.51315459564079435</c:v>
                </c:pt>
                <c:pt idx="12">
                  <c:v>-0.85257474352839469</c:v>
                </c:pt>
                <c:pt idx="13">
                  <c:v>0.42949190497385098</c:v>
                </c:pt>
                <c:pt idx="14">
                  <c:v>-0.6003046161989567</c:v>
                </c:pt>
                <c:pt idx="15">
                  <c:v>2.5686239179528057E-3</c:v>
                </c:pt>
                <c:pt idx="16">
                  <c:v>0.56897331524197192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0-431C-AC62-B89530B38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4488927"/>
        <c:axId val="1176179679"/>
      </c:barChart>
      <c:catAx>
        <c:axId val="1074488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b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京东朗正体 1.0 苍穹" panose="02000800000000000000" pitchFamily="2" charset="-122"/>
                <a:ea typeface="京东朗正体 1.0 苍穹" panose="02000800000000000000" pitchFamily="2" charset="-122"/>
                <a:cs typeface="+mn-cs"/>
              </a:defRPr>
            </a:pPr>
            <a:endParaRPr lang="zh-CN"/>
          </a:p>
        </c:txPr>
        <c:crossAx val="1176179679"/>
        <c:crosses val="autoZero"/>
        <c:auto val="0"/>
        <c:lblAlgn val="ctr"/>
        <c:lblOffset val="0"/>
        <c:noMultiLvlLbl val="0"/>
      </c:catAx>
      <c:valAx>
        <c:axId val="1176179679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京东朗正体 1.0 苍穹" panose="02000800000000000000" pitchFamily="2" charset="-122"/>
                <a:ea typeface="京东朗正体 1.0 苍穹" panose="02000800000000000000" pitchFamily="2" charset="-122"/>
                <a:cs typeface="+mn-cs"/>
              </a:defRPr>
            </a:pPr>
            <a:endParaRPr lang="zh-CN"/>
          </a:p>
        </c:txPr>
        <c:crossAx val="107448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9449990129423"/>
          <c:y val="0.93769327825441495"/>
          <c:w val="0.29054998203934695"/>
          <c:h val="4.43892012415360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京东朗正体 1.0 苍穹" panose="02000800000000000000" pitchFamily="2" charset="-122"/>
              <a:ea typeface="京东朗正体 1.0 苍穹" panose="02000800000000000000" pitchFamily="2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971548</xdr:colOff>
      <xdr:row>21</xdr:row>
      <xdr:rowOff>46035</xdr:rowOff>
    </xdr:from>
    <xdr:to>
      <xdr:col>9</xdr:col>
      <xdr:colOff>752475</xdr:colOff>
      <xdr:row>49</xdr:row>
      <xdr:rowOff>85724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0CF896C-34AC-7C30-23D7-1FE4DD9D1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58515</xdr:colOff>
      <xdr:row>20</xdr:row>
      <xdr:rowOff>94074</xdr:rowOff>
    </xdr:from>
    <xdr:to>
      <xdr:col>16</xdr:col>
      <xdr:colOff>22177</xdr:colOff>
      <xdr:row>47</xdr:row>
      <xdr:rowOff>139700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BD20342-DEDE-5A10-1633-EA00E9F16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5BA5B-5BF8-4681-B48D-13E00BE0E7AB}">
  <dimension ref="A1:P20"/>
  <sheetViews>
    <sheetView tabSelected="1" topLeftCell="D1" zoomScale="85" zoomScaleNormal="85" workbookViewId="0">
      <selection activeCell="E1" sqref="E1:P1"/>
    </sheetView>
  </sheetViews>
  <sheetFormatPr defaultRowHeight="14" x14ac:dyDescent="0.3"/>
  <cols>
    <col min="1" max="1" width="13" bestFit="1" customWidth="1"/>
    <col min="2" max="2" width="13" style="3" customWidth="1"/>
    <col min="3" max="3" width="23.5" bestFit="1" customWidth="1"/>
    <col min="4" max="4" width="7.9140625" style="3" customWidth="1"/>
    <col min="5" max="5" width="11" style="1" bestFit="1" customWidth="1"/>
    <col min="6" max="6" width="11" bestFit="1" customWidth="1"/>
    <col min="7" max="7" width="12.08203125" style="1" bestFit="1" customWidth="1"/>
    <col min="8" max="8" width="15.08203125" style="2" bestFit="1" customWidth="1"/>
    <col min="9" max="9" width="11.08203125" style="2" customWidth="1"/>
    <col min="10" max="10" width="14.08203125" style="2" bestFit="1" customWidth="1"/>
    <col min="11" max="11" width="14.08203125" style="4" bestFit="1" customWidth="1"/>
    <col min="12" max="12" width="17.25" style="2" bestFit="1" customWidth="1"/>
    <col min="13" max="13" width="12.33203125" style="4" bestFit="1" customWidth="1"/>
    <col min="14" max="14" width="15.33203125" style="2" bestFit="1" customWidth="1"/>
    <col min="15" max="15" width="15" style="4" customWidth="1"/>
    <col min="16" max="16" width="13.5" style="2" bestFit="1" customWidth="1"/>
  </cols>
  <sheetData>
    <row r="1" spans="1:16" x14ac:dyDescent="0.3">
      <c r="A1" s="15" t="s">
        <v>0</v>
      </c>
      <c r="B1" s="15" t="s">
        <v>77</v>
      </c>
      <c r="C1" s="15" t="s">
        <v>1</v>
      </c>
      <c r="D1" s="15" t="s">
        <v>76</v>
      </c>
      <c r="E1" s="17" t="s">
        <v>75</v>
      </c>
      <c r="F1" s="15" t="s">
        <v>63</v>
      </c>
      <c r="G1" s="17" t="s">
        <v>64</v>
      </c>
      <c r="H1" s="19" t="s">
        <v>66</v>
      </c>
      <c r="I1" s="19" t="s">
        <v>65</v>
      </c>
      <c r="J1" s="19" t="s">
        <v>67</v>
      </c>
      <c r="K1" s="20" t="s">
        <v>74</v>
      </c>
      <c r="L1" s="19" t="s">
        <v>68</v>
      </c>
      <c r="M1" s="20" t="s">
        <v>73</v>
      </c>
      <c r="N1" s="19" t="s">
        <v>69</v>
      </c>
      <c r="O1" s="20" t="s">
        <v>71</v>
      </c>
      <c r="P1" s="19" t="s">
        <v>72</v>
      </c>
    </row>
    <row r="2" spans="1:16" x14ac:dyDescent="0.3">
      <c r="A2" s="9" t="s">
        <v>4</v>
      </c>
      <c r="B2" s="9">
        <v>7557962</v>
      </c>
      <c r="C2" s="9" t="s">
        <v>5</v>
      </c>
      <c r="D2" s="9" t="s">
        <v>78</v>
      </c>
      <c r="E2" s="11">
        <v>33172</v>
      </c>
      <c r="F2" s="9">
        <v>6.23</v>
      </c>
      <c r="G2" s="11">
        <v>1139696.2</v>
      </c>
      <c r="H2" s="13">
        <v>-0.16019535231385107</v>
      </c>
      <c r="I2" s="13">
        <v>0.94864435803155256</v>
      </c>
      <c r="J2" s="13">
        <v>-8.3867443561975188E-2</v>
      </c>
      <c r="K2" s="14">
        <v>34093632</v>
      </c>
      <c r="L2" s="13">
        <v>0.1588</v>
      </c>
      <c r="M2" s="14">
        <v>231659973</v>
      </c>
      <c r="N2" s="13">
        <v>-7.7700000000000005E-2</v>
      </c>
      <c r="O2" s="14">
        <v>8693171.8599999994</v>
      </c>
      <c r="P2" s="13">
        <v>7.505113418967721E-2</v>
      </c>
    </row>
    <row r="3" spans="1:16" x14ac:dyDescent="0.3">
      <c r="A3" s="9" t="s">
        <v>4</v>
      </c>
      <c r="B3" s="9">
        <v>3089681</v>
      </c>
      <c r="C3" s="9" t="s">
        <v>6</v>
      </c>
      <c r="D3" s="9" t="s">
        <v>79</v>
      </c>
      <c r="E3" s="11">
        <v>29175</v>
      </c>
      <c r="F3" s="9">
        <v>10.59</v>
      </c>
      <c r="G3" s="11">
        <v>2855786.15</v>
      </c>
      <c r="H3" s="13">
        <v>-9.5283168221816331E-2</v>
      </c>
      <c r="I3" s="13">
        <v>0.9789883776836722</v>
      </c>
      <c r="J3" s="13">
        <v>0.29414518178770782</v>
      </c>
      <c r="K3" s="14">
        <v>23189690</v>
      </c>
      <c r="L3" s="13">
        <v>-0.2462</v>
      </c>
      <c r="M3" s="14">
        <v>244757276</v>
      </c>
      <c r="N3" s="13">
        <v>-0.2278</v>
      </c>
      <c r="O3" s="14">
        <v>69955807.430000007</v>
      </c>
      <c r="P3" s="13">
        <v>0.57163413953013598</v>
      </c>
    </row>
    <row r="4" spans="1:16" x14ac:dyDescent="0.3">
      <c r="A4" s="9" t="s">
        <v>4</v>
      </c>
      <c r="B4" s="9">
        <v>5809167</v>
      </c>
      <c r="C4" s="9" t="s">
        <v>9</v>
      </c>
      <c r="D4" s="9" t="s">
        <v>80</v>
      </c>
      <c r="E4" s="11">
        <v>13730</v>
      </c>
      <c r="F4" s="9">
        <v>6.24</v>
      </c>
      <c r="G4" s="11">
        <v>1599379.23</v>
      </c>
      <c r="H4" s="13">
        <v>0.37791828752289996</v>
      </c>
      <c r="I4" s="13">
        <v>0.68003145195276793</v>
      </c>
      <c r="J4" s="13">
        <v>4.8357635686304166</v>
      </c>
      <c r="K4" s="14">
        <v>21734438</v>
      </c>
      <c r="L4" s="13">
        <v>0.4718</v>
      </c>
      <c r="M4" s="14">
        <v>136861275</v>
      </c>
      <c r="N4" s="13">
        <v>0.46989999999999998</v>
      </c>
      <c r="O4" s="14">
        <v>16255327.789999999</v>
      </c>
      <c r="P4" s="13">
        <v>0.23754459090053046</v>
      </c>
    </row>
    <row r="5" spans="1:16" x14ac:dyDescent="0.3">
      <c r="A5" s="9" t="s">
        <v>4</v>
      </c>
      <c r="B5" s="9">
        <v>6271552</v>
      </c>
      <c r="C5" s="9" t="s">
        <v>15</v>
      </c>
      <c r="D5" s="9" t="s">
        <v>81</v>
      </c>
      <c r="E5" s="11">
        <v>10793</v>
      </c>
      <c r="F5" s="9">
        <v>13.42</v>
      </c>
      <c r="G5" s="11">
        <v>18971.61</v>
      </c>
      <c r="H5" s="13">
        <v>-0.1007138692566944</v>
      </c>
      <c r="I5" s="13">
        <v>0.53497937180871835</v>
      </c>
      <c r="J5" s="13">
        <v>-4.5508791695545975E-2</v>
      </c>
      <c r="K5" s="14">
        <v>5375732</v>
      </c>
      <c r="L5" s="13">
        <v>-6.6299999999999998E-2</v>
      </c>
      <c r="M5" s="14">
        <v>72257406</v>
      </c>
      <c r="N5" s="13">
        <v>-0.1095</v>
      </c>
      <c r="O5" s="14">
        <v>85650.95</v>
      </c>
      <c r="P5" s="13">
        <v>2.3707175427803207E-3</v>
      </c>
    </row>
    <row r="6" spans="1:16" x14ac:dyDescent="0.3">
      <c r="A6" s="9" t="s">
        <v>4</v>
      </c>
      <c r="B6" s="9">
        <v>5392786</v>
      </c>
      <c r="C6" s="9" t="s">
        <v>13</v>
      </c>
      <c r="D6" s="9" t="s">
        <v>82</v>
      </c>
      <c r="E6" s="11">
        <v>8472</v>
      </c>
      <c r="F6" s="9">
        <v>10.25</v>
      </c>
      <c r="G6" s="11">
        <v>266765</v>
      </c>
      <c r="H6" s="13">
        <v>-0.6856671959297469</v>
      </c>
      <c r="I6" s="13">
        <v>0.49168260453957602</v>
      </c>
      <c r="J6" s="13">
        <v>0.13104418053010269</v>
      </c>
      <c r="K6" s="14">
        <v>7847352</v>
      </c>
      <c r="L6" s="13">
        <v>8.5500000000000007E-2</v>
      </c>
      <c r="M6" s="14">
        <v>73328453</v>
      </c>
      <c r="N6" s="13">
        <v>0.1608</v>
      </c>
      <c r="O6" s="14">
        <v>1026623.06</v>
      </c>
      <c r="P6" s="13">
        <v>2.8000674172138886E-2</v>
      </c>
    </row>
    <row r="7" spans="1:16" x14ac:dyDescent="0.3">
      <c r="A7" s="9" t="s">
        <v>4</v>
      </c>
      <c r="B7" s="9">
        <v>4281534</v>
      </c>
      <c r="C7" s="9" t="s">
        <v>21</v>
      </c>
      <c r="D7" s="9" t="s">
        <v>83</v>
      </c>
      <c r="E7" s="11">
        <v>7210</v>
      </c>
      <c r="F7" s="9">
        <v>45.59</v>
      </c>
      <c r="G7" s="11">
        <v>3573.29</v>
      </c>
      <c r="H7" s="13">
        <v>0.15067721180660654</v>
      </c>
      <c r="I7" s="13">
        <v>0</v>
      </c>
      <c r="J7" s="13">
        <v>0</v>
      </c>
      <c r="K7" s="14">
        <v>462823</v>
      </c>
      <c r="L7" s="13">
        <v>-0.13730000000000001</v>
      </c>
      <c r="M7" s="14">
        <v>20765437</v>
      </c>
      <c r="N7" s="13">
        <v>-0.1328</v>
      </c>
      <c r="O7" s="14">
        <v>0</v>
      </c>
      <c r="P7" s="13">
        <v>0</v>
      </c>
    </row>
    <row r="8" spans="1:16" x14ac:dyDescent="0.3">
      <c r="A8" s="9" t="s">
        <v>4</v>
      </c>
      <c r="B8" s="9">
        <v>5212163</v>
      </c>
      <c r="C8" s="9" t="s">
        <v>19</v>
      </c>
      <c r="D8" s="9" t="s">
        <v>84</v>
      </c>
      <c r="E8" s="11">
        <v>6599</v>
      </c>
      <c r="F8" s="9">
        <v>10.85</v>
      </c>
      <c r="G8" s="11">
        <v>37337.649999999994</v>
      </c>
      <c r="H8" s="13">
        <v>8.0336493627378422E-2</v>
      </c>
      <c r="I8" s="13">
        <v>0.85254026431765262</v>
      </c>
      <c r="J8" s="13">
        <v>0.40044074143814229</v>
      </c>
      <c r="K8" s="14">
        <v>4435187</v>
      </c>
      <c r="L8" s="13">
        <v>-0.26869999999999999</v>
      </c>
      <c r="M8" s="14">
        <v>41553755</v>
      </c>
      <c r="N8" s="13">
        <v>-0.18870000000000001</v>
      </c>
      <c r="O8" s="14">
        <v>199480.36</v>
      </c>
      <c r="P8" s="13">
        <v>9.6010750412327348E-3</v>
      </c>
    </row>
    <row r="9" spans="1:16" x14ac:dyDescent="0.3">
      <c r="A9" s="9" t="s">
        <v>4</v>
      </c>
      <c r="B9" s="9">
        <v>3560248</v>
      </c>
      <c r="C9" s="9" t="s">
        <v>18</v>
      </c>
      <c r="D9" s="9" t="s">
        <v>85</v>
      </c>
      <c r="E9" s="11">
        <v>6430</v>
      </c>
      <c r="F9" s="9">
        <v>24.77</v>
      </c>
      <c r="G9" s="11">
        <v>42137.599999999999</v>
      </c>
      <c r="H9" s="13">
        <v>8.8460396925789581E-2</v>
      </c>
      <c r="I9" s="13">
        <v>0.93830047273693817</v>
      </c>
      <c r="J9" s="13">
        <v>0.14814172727135463</v>
      </c>
      <c r="K9" s="14">
        <v>2002882</v>
      </c>
      <c r="L9" s="13">
        <v>-0.13159999999999999</v>
      </c>
      <c r="M9" s="14">
        <v>51507328</v>
      </c>
      <c r="N9" s="13">
        <v>-0.1212</v>
      </c>
      <c r="O9" s="14">
        <v>529760.77</v>
      </c>
      <c r="P9" s="13">
        <v>2.0570306811489039E-2</v>
      </c>
    </row>
    <row r="10" spans="1:16" x14ac:dyDescent="0.3">
      <c r="A10" s="9" t="s">
        <v>4</v>
      </c>
      <c r="B10" s="9">
        <v>7349488</v>
      </c>
      <c r="C10" s="9" t="s">
        <v>17</v>
      </c>
      <c r="D10" s="9" t="s">
        <v>86</v>
      </c>
      <c r="E10" s="11">
        <v>6368</v>
      </c>
      <c r="F10" s="9">
        <v>4.37</v>
      </c>
      <c r="G10" s="11">
        <v>165869.22</v>
      </c>
      <c r="H10" s="13">
        <v>-0.44533367665045104</v>
      </c>
      <c r="I10" s="13">
        <v>0.76332655329301002</v>
      </c>
      <c r="J10" s="13">
        <v>-0.36592262508407214</v>
      </c>
      <c r="K10" s="14">
        <v>9691509</v>
      </c>
      <c r="L10" s="13">
        <v>0.26910000000000001</v>
      </c>
      <c r="M10" s="14">
        <v>39832147</v>
      </c>
      <c r="N10" s="13">
        <v>3.49E-2</v>
      </c>
      <c r="O10" s="14">
        <v>674380.66</v>
      </c>
      <c r="P10" s="13">
        <v>3.3861125286568157E-2</v>
      </c>
    </row>
    <row r="11" spans="1:16" x14ac:dyDescent="0.3">
      <c r="A11" s="9" t="s">
        <v>4</v>
      </c>
      <c r="B11" s="9">
        <v>5827952</v>
      </c>
      <c r="C11" s="9" t="s">
        <v>22</v>
      </c>
      <c r="D11" s="9" t="s">
        <v>87</v>
      </c>
      <c r="E11" s="11">
        <v>5060</v>
      </c>
      <c r="F11" s="9">
        <v>8.57</v>
      </c>
      <c r="G11" s="11">
        <v>350319.05000000005</v>
      </c>
      <c r="H11" s="13">
        <v>-0.24524758594159932</v>
      </c>
      <c r="I11" s="13">
        <v>0.70978749228738758</v>
      </c>
      <c r="J11" s="13">
        <v>-0.26539348935794083</v>
      </c>
      <c r="K11" s="14">
        <v>976639</v>
      </c>
      <c r="L11" s="13">
        <v>-6.5600000000000006E-2</v>
      </c>
      <c r="M11" s="14">
        <v>9014003</v>
      </c>
      <c r="N11" s="13">
        <v>2.1999999999999999E-2</v>
      </c>
      <c r="O11" s="14">
        <v>1087868.56</v>
      </c>
      <c r="P11" s="13">
        <v>0.24137301929009788</v>
      </c>
    </row>
    <row r="12" spans="1:16" x14ac:dyDescent="0.3">
      <c r="A12" s="9" t="s">
        <v>4</v>
      </c>
      <c r="B12" s="9">
        <v>5951764</v>
      </c>
      <c r="C12" s="9" t="s">
        <v>28</v>
      </c>
      <c r="D12" s="9" t="s">
        <v>88</v>
      </c>
      <c r="E12" s="11">
        <v>4509</v>
      </c>
      <c r="F12" s="9">
        <v>6.17</v>
      </c>
      <c r="G12" s="11">
        <v>1331064.8799999999</v>
      </c>
      <c r="H12" s="13">
        <v>1.3912186944593097</v>
      </c>
      <c r="I12" s="13">
        <v>0.43743029265410416</v>
      </c>
      <c r="J12" s="13">
        <v>5.6667028115419772E-2</v>
      </c>
      <c r="K12" s="14">
        <v>4366958</v>
      </c>
      <c r="L12" s="13">
        <v>8.5800000000000001E-2</v>
      </c>
      <c r="M12" s="14">
        <v>24943907</v>
      </c>
      <c r="N12" s="13">
        <v>7.9299999999999995E-2</v>
      </c>
      <c r="O12" s="14">
        <v>4389204.5599999996</v>
      </c>
      <c r="P12" s="13">
        <v>0.35192598817819515</v>
      </c>
    </row>
    <row r="13" spans="1:16" x14ac:dyDescent="0.3">
      <c r="A13" s="9" t="s">
        <v>4</v>
      </c>
      <c r="B13" s="9">
        <v>31051635</v>
      </c>
      <c r="C13" s="9" t="s">
        <v>26</v>
      </c>
      <c r="D13" s="9" t="s">
        <v>89</v>
      </c>
      <c r="E13" s="11">
        <v>3678</v>
      </c>
      <c r="F13" s="9">
        <v>22.65</v>
      </c>
      <c r="G13" s="11">
        <v>3439.9300000000003</v>
      </c>
      <c r="H13" s="13">
        <v>0.51315459564079435</v>
      </c>
      <c r="I13" s="13">
        <v>0.3795949336178352</v>
      </c>
      <c r="J13" s="13">
        <v>0.69974746817318001</v>
      </c>
      <c r="K13" s="14">
        <v>894890</v>
      </c>
      <c r="L13" s="13">
        <v>0.38040000000000002</v>
      </c>
      <c r="M13" s="14">
        <v>19978409</v>
      </c>
      <c r="N13" s="13">
        <v>0.3589</v>
      </c>
      <c r="O13" s="14">
        <v>8953.15</v>
      </c>
      <c r="P13" s="13">
        <v>8.9628258186124829E-4</v>
      </c>
    </row>
    <row r="14" spans="1:16" x14ac:dyDescent="0.3">
      <c r="A14" s="9" t="s">
        <v>4</v>
      </c>
      <c r="B14" s="9">
        <v>6179069</v>
      </c>
      <c r="C14" s="9" t="s">
        <v>25</v>
      </c>
      <c r="D14" s="9" t="s">
        <v>90</v>
      </c>
      <c r="E14" s="11">
        <v>3659</v>
      </c>
      <c r="F14" s="9">
        <v>9.58</v>
      </c>
      <c r="G14" s="11">
        <v>70511.42</v>
      </c>
      <c r="H14" s="13">
        <v>-0.85257474352839469</v>
      </c>
      <c r="I14" s="13">
        <v>0.94603101171413095</v>
      </c>
      <c r="J14" s="13">
        <v>-0.85979696345810952</v>
      </c>
      <c r="K14" s="14">
        <v>2320709</v>
      </c>
      <c r="L14" s="13">
        <v>1.2729999999999999</v>
      </c>
      <c r="M14" s="14">
        <v>21052830</v>
      </c>
      <c r="N14" s="13">
        <v>0.59609999999999996</v>
      </c>
      <c r="O14" s="14">
        <v>560683.99</v>
      </c>
      <c r="P14" s="13">
        <v>5.326447703230397E-2</v>
      </c>
    </row>
    <row r="15" spans="1:16" x14ac:dyDescent="0.3">
      <c r="A15" s="9" t="s">
        <v>4</v>
      </c>
      <c r="B15" s="9">
        <v>6368859</v>
      </c>
      <c r="C15" s="9" t="s">
        <v>35</v>
      </c>
      <c r="D15" s="9" t="s">
        <v>87</v>
      </c>
      <c r="E15" s="11">
        <v>3071</v>
      </c>
      <c r="F15" s="9">
        <v>13.52</v>
      </c>
      <c r="G15" s="11">
        <v>4110.99</v>
      </c>
      <c r="H15" s="13">
        <v>0.42949190497385098</v>
      </c>
      <c r="I15" s="13">
        <v>0.16432538147745435</v>
      </c>
      <c r="J15" s="13">
        <v>-2.2698667592552485E-2</v>
      </c>
      <c r="K15" s="14">
        <v>1727168</v>
      </c>
      <c r="L15" s="13">
        <v>0.36830000000000002</v>
      </c>
      <c r="M15" s="14">
        <v>23463631</v>
      </c>
      <c r="N15" s="13">
        <v>0.30430000000000001</v>
      </c>
      <c r="O15" s="14">
        <v>4059.78</v>
      </c>
      <c r="P15" s="13">
        <v>3.4604874241331193E-4</v>
      </c>
    </row>
    <row r="16" spans="1:16" x14ac:dyDescent="0.3">
      <c r="A16" s="9" t="s">
        <v>4</v>
      </c>
      <c r="B16" s="9">
        <v>11879166</v>
      </c>
      <c r="C16" s="9" t="s">
        <v>29</v>
      </c>
      <c r="D16" s="9" t="s">
        <v>89</v>
      </c>
      <c r="E16" s="11">
        <v>2969</v>
      </c>
      <c r="F16" s="9">
        <v>6.42</v>
      </c>
      <c r="G16" s="11">
        <v>11704.18</v>
      </c>
      <c r="H16" s="13">
        <v>-0.6003046161989567</v>
      </c>
      <c r="I16" s="13">
        <v>0.81084364731232772</v>
      </c>
      <c r="J16" s="13">
        <v>0.39431417489421711</v>
      </c>
      <c r="K16" s="14">
        <v>1629937</v>
      </c>
      <c r="L16" s="13">
        <v>1.3233999999999999</v>
      </c>
      <c r="M16" s="14">
        <v>9579269</v>
      </c>
      <c r="N16" s="13">
        <v>0.53510000000000002</v>
      </c>
      <c r="O16" s="14">
        <v>53162.74</v>
      </c>
      <c r="P16" s="13">
        <v>1.1099540058850001E-2</v>
      </c>
    </row>
    <row r="17" spans="1:16" x14ac:dyDescent="0.3">
      <c r="A17" s="9" t="s">
        <v>4</v>
      </c>
      <c r="B17" s="9">
        <v>5690472</v>
      </c>
      <c r="C17" s="9" t="s">
        <v>37</v>
      </c>
      <c r="D17" s="9" t="s">
        <v>91</v>
      </c>
      <c r="E17" s="11">
        <v>2314</v>
      </c>
      <c r="F17" s="9">
        <v>10.49</v>
      </c>
      <c r="G17" s="11">
        <v>22645.99</v>
      </c>
      <c r="H17" s="13">
        <v>2.5686239179528057E-3</v>
      </c>
      <c r="I17" s="13">
        <v>0.95094672390122925</v>
      </c>
      <c r="J17" s="13">
        <v>4.3562347082816193E-2</v>
      </c>
      <c r="K17" s="14">
        <v>1519754</v>
      </c>
      <c r="L17" s="13">
        <v>0.13689999999999999</v>
      </c>
      <c r="M17" s="14">
        <v>16120395</v>
      </c>
      <c r="N17" s="13">
        <v>0.14779999999999999</v>
      </c>
      <c r="O17" s="14">
        <v>129992.46</v>
      </c>
      <c r="P17" s="13">
        <v>1.612770158547604E-2</v>
      </c>
    </row>
    <row r="18" spans="1:16" x14ac:dyDescent="0.3">
      <c r="A18" s="9" t="s">
        <v>4</v>
      </c>
      <c r="B18" s="9">
        <v>13175540</v>
      </c>
      <c r="C18" s="9" t="s">
        <v>57</v>
      </c>
      <c r="D18" s="9" t="s">
        <v>92</v>
      </c>
      <c r="E18" s="11">
        <v>22</v>
      </c>
      <c r="F18" s="9">
        <v>15.76</v>
      </c>
      <c r="G18" s="11">
        <v>34.69</v>
      </c>
      <c r="H18" s="13">
        <v>0.56897331524197192</v>
      </c>
      <c r="I18" s="13">
        <v>0</v>
      </c>
      <c r="J18" s="13">
        <v>0</v>
      </c>
      <c r="K18" s="14">
        <v>37256</v>
      </c>
      <c r="L18" s="13">
        <v>0.1736</v>
      </c>
      <c r="M18" s="14">
        <v>617869</v>
      </c>
      <c r="N18" s="13">
        <v>9.5000000000000001E-2</v>
      </c>
      <c r="O18" s="14">
        <v>0</v>
      </c>
      <c r="P18" s="13">
        <v>0</v>
      </c>
    </row>
    <row r="19" spans="1:16" x14ac:dyDescent="0.3">
      <c r="A19" s="9" t="s">
        <v>4</v>
      </c>
      <c r="B19" s="9">
        <v>7492124</v>
      </c>
      <c r="C19" s="9" t="s">
        <v>60</v>
      </c>
      <c r="D19" s="9" t="s">
        <v>92</v>
      </c>
      <c r="E19" s="11">
        <v>2</v>
      </c>
      <c r="F19" s="9">
        <v>17.98</v>
      </c>
      <c r="G19" s="11">
        <v>1.18</v>
      </c>
      <c r="H19" s="13" t="s">
        <v>70</v>
      </c>
      <c r="I19" s="13">
        <v>0</v>
      </c>
      <c r="J19" s="13">
        <v>0</v>
      </c>
      <c r="K19" s="14">
        <v>3455</v>
      </c>
      <c r="L19" s="13">
        <v>0</v>
      </c>
      <c r="M19" s="14">
        <v>57568</v>
      </c>
      <c r="N19" s="13">
        <v>0</v>
      </c>
      <c r="O19" s="14">
        <v>0</v>
      </c>
      <c r="P19" s="13">
        <v>0</v>
      </c>
    </row>
    <row r="20" spans="1:16" x14ac:dyDescent="0.3">
      <c r="A20" s="9" t="s">
        <v>4</v>
      </c>
      <c r="B20" s="9">
        <v>15048860</v>
      </c>
      <c r="C20" s="9" t="s">
        <v>62</v>
      </c>
      <c r="D20" s="9" t="s">
        <v>92</v>
      </c>
      <c r="E20" s="11">
        <v>1</v>
      </c>
      <c r="F20" s="9">
        <v>17.489999999999998</v>
      </c>
      <c r="G20" s="11">
        <v>0</v>
      </c>
      <c r="H20" s="13">
        <v>0</v>
      </c>
      <c r="I20" s="13">
        <v>0</v>
      </c>
      <c r="J20" s="13">
        <v>0</v>
      </c>
      <c r="K20" s="14">
        <v>970</v>
      </c>
      <c r="L20" s="13">
        <v>0</v>
      </c>
      <c r="M20" s="14">
        <v>15306</v>
      </c>
      <c r="N20" s="13">
        <v>0</v>
      </c>
      <c r="O20" s="14">
        <v>0</v>
      </c>
      <c r="P20" s="13">
        <v>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E4739-2287-474E-893E-DDA56AC66903}">
  <dimension ref="A1:P21"/>
  <sheetViews>
    <sheetView zoomScale="55" zoomScaleNormal="55" workbookViewId="0">
      <selection activeCell="S5" sqref="S5"/>
    </sheetView>
  </sheetViews>
  <sheetFormatPr defaultRowHeight="14" x14ac:dyDescent="0.3"/>
  <cols>
    <col min="1" max="1" width="12.33203125" bestFit="1" customWidth="1"/>
    <col min="2" max="2" width="12.33203125" style="3" customWidth="1"/>
    <col min="3" max="3" width="22.1640625" bestFit="1" customWidth="1"/>
    <col min="4" max="4" width="6.58203125" style="3" customWidth="1"/>
    <col min="5" max="5" width="10.4140625" style="5" bestFit="1" customWidth="1"/>
    <col min="6" max="6" width="10.4140625" style="1" bestFit="1" customWidth="1"/>
    <col min="7" max="7" width="11.4140625" style="8" bestFit="1" customWidth="1"/>
    <col min="8" max="8" width="14.33203125" style="2" customWidth="1"/>
    <col min="9" max="9" width="10.5" style="2" bestFit="1" customWidth="1"/>
    <col min="10" max="10" width="13.33203125" style="2" bestFit="1" customWidth="1"/>
    <col min="11" max="11" width="13.4140625" style="4" bestFit="1" customWidth="1"/>
    <col min="12" max="12" width="16.4140625" style="2" bestFit="1" customWidth="1"/>
    <col min="13" max="13" width="11.75" style="4" bestFit="1" customWidth="1"/>
    <col min="14" max="14" width="14.58203125" style="2" bestFit="1" customWidth="1"/>
    <col min="15" max="15" width="14.33203125" style="4" customWidth="1"/>
    <col min="16" max="16" width="12.83203125" style="2" bestFit="1" customWidth="1"/>
  </cols>
  <sheetData>
    <row r="1" spans="1:16" x14ac:dyDescent="0.3">
      <c r="A1" s="15" t="s">
        <v>0</v>
      </c>
      <c r="B1" s="15" t="s">
        <v>77</v>
      </c>
      <c r="C1" s="15" t="s">
        <v>1</v>
      </c>
      <c r="D1" s="15" t="s">
        <v>76</v>
      </c>
      <c r="E1" s="23" t="s">
        <v>2</v>
      </c>
      <c r="F1" s="17" t="s">
        <v>3</v>
      </c>
      <c r="G1" s="24" t="s">
        <v>64</v>
      </c>
      <c r="H1" s="19" t="s">
        <v>66</v>
      </c>
      <c r="I1" s="19" t="s">
        <v>65</v>
      </c>
      <c r="J1" s="19" t="s">
        <v>67</v>
      </c>
      <c r="K1" s="20" t="s">
        <v>74</v>
      </c>
      <c r="L1" s="19" t="s">
        <v>68</v>
      </c>
      <c r="M1" s="20" t="s">
        <v>73</v>
      </c>
      <c r="N1" s="19" t="s">
        <v>69</v>
      </c>
      <c r="O1" s="25" t="s">
        <v>71</v>
      </c>
      <c r="P1" s="19" t="s">
        <v>72</v>
      </c>
    </row>
    <row r="2" spans="1:16" x14ac:dyDescent="0.3">
      <c r="A2" s="9" t="s">
        <v>7</v>
      </c>
      <c r="B2" s="9">
        <v>4681070</v>
      </c>
      <c r="C2" s="9" t="s">
        <v>43</v>
      </c>
      <c r="D2" s="9" t="s">
        <v>93</v>
      </c>
      <c r="E2" s="21">
        <v>205.25</v>
      </c>
      <c r="F2" s="11">
        <v>1169</v>
      </c>
      <c r="G2" s="22">
        <v>299.35000000000002</v>
      </c>
      <c r="H2" s="13">
        <v>-0.10315177661933012</v>
      </c>
      <c r="I2" s="13">
        <v>0</v>
      </c>
      <c r="J2" s="13">
        <v>-1</v>
      </c>
      <c r="K2" s="14">
        <v>6535</v>
      </c>
      <c r="L2" s="13">
        <v>-0.4607</v>
      </c>
      <c r="M2" s="14">
        <v>1345836</v>
      </c>
      <c r="N2" s="13">
        <v>-0.31780000000000003</v>
      </c>
      <c r="O2" s="14">
        <v>0</v>
      </c>
      <c r="P2" s="13">
        <v>0</v>
      </c>
    </row>
    <row r="3" spans="1:16" x14ac:dyDescent="0.3">
      <c r="A3" s="9" t="s">
        <v>7</v>
      </c>
      <c r="B3" s="9">
        <v>2503970</v>
      </c>
      <c r="C3" s="9" t="s">
        <v>39</v>
      </c>
      <c r="D3" s="9" t="s">
        <v>94</v>
      </c>
      <c r="E3" s="21">
        <v>67.989999999999995</v>
      </c>
      <c r="F3" s="11">
        <v>73</v>
      </c>
      <c r="G3" s="22">
        <v>78.08</v>
      </c>
      <c r="H3" s="13">
        <v>-0.83787375415282395</v>
      </c>
      <c r="I3" s="13">
        <v>0</v>
      </c>
      <c r="J3" s="13">
        <v>0</v>
      </c>
      <c r="K3" s="14">
        <v>12468</v>
      </c>
      <c r="L3" s="13">
        <v>-0.82820000000000005</v>
      </c>
      <c r="M3" s="14">
        <v>648990</v>
      </c>
      <c r="N3" s="13">
        <v>-0.82379999999999998</v>
      </c>
      <c r="O3" s="14">
        <v>0</v>
      </c>
      <c r="P3" s="13">
        <v>8.6499999999999994E-2</v>
      </c>
    </row>
    <row r="4" spans="1:16" x14ac:dyDescent="0.3">
      <c r="A4" s="9" t="s">
        <v>7</v>
      </c>
      <c r="B4" s="9">
        <v>7401065</v>
      </c>
      <c r="C4" s="9" t="s">
        <v>54</v>
      </c>
      <c r="D4" s="9" t="s">
        <v>95</v>
      </c>
      <c r="E4" s="21">
        <v>40.409999999999997</v>
      </c>
      <c r="F4" s="11">
        <v>36</v>
      </c>
      <c r="G4" s="22">
        <v>25.34</v>
      </c>
      <c r="H4" s="13">
        <v>0.96281951975213009</v>
      </c>
      <c r="I4" s="13">
        <v>0</v>
      </c>
      <c r="J4" s="13">
        <v>0</v>
      </c>
      <c r="K4" s="14">
        <v>2641</v>
      </c>
      <c r="L4" s="13">
        <v>0.36199999999999999</v>
      </c>
      <c r="M4" s="14">
        <v>93251</v>
      </c>
      <c r="N4" s="13">
        <v>0.2001</v>
      </c>
      <c r="O4" s="14">
        <v>0</v>
      </c>
      <c r="P4" s="13">
        <v>3.0901999999999998</v>
      </c>
    </row>
    <row r="5" spans="1:16" x14ac:dyDescent="0.3">
      <c r="A5" s="9" t="s">
        <v>7</v>
      </c>
      <c r="B5" s="9">
        <v>3297749</v>
      </c>
      <c r="C5" s="9" t="s">
        <v>40</v>
      </c>
      <c r="D5" s="9" t="s">
        <v>93</v>
      </c>
      <c r="E5" s="21">
        <v>25.8</v>
      </c>
      <c r="F5" s="11">
        <v>1220</v>
      </c>
      <c r="G5" s="22">
        <v>1240967.08</v>
      </c>
      <c r="H5" s="13">
        <v>-8.336875248082376E-2</v>
      </c>
      <c r="I5" s="13">
        <v>0.99666610817750301</v>
      </c>
      <c r="J5" s="13">
        <v>7.308908703829281E-2</v>
      </c>
      <c r="K5" s="14">
        <v>817028</v>
      </c>
      <c r="L5" s="13">
        <v>-0.33600000000000002</v>
      </c>
      <c r="M5" s="14">
        <v>20901920</v>
      </c>
      <c r="N5" s="13">
        <v>-0.27239999999999998</v>
      </c>
      <c r="O5" s="14">
        <v>10074693.57</v>
      </c>
      <c r="P5" s="13">
        <v>0.44740000000000002</v>
      </c>
    </row>
    <row r="6" spans="1:16" x14ac:dyDescent="0.3">
      <c r="A6" s="9" t="s">
        <v>7</v>
      </c>
      <c r="B6" s="9">
        <v>4854680</v>
      </c>
      <c r="C6" s="9" t="s">
        <v>50</v>
      </c>
      <c r="D6" s="9" t="s">
        <v>95</v>
      </c>
      <c r="E6" s="21">
        <v>23.93</v>
      </c>
      <c r="F6" s="11">
        <v>721</v>
      </c>
      <c r="G6" s="22">
        <v>129391.42</v>
      </c>
      <c r="H6" s="13">
        <v>-6.0077045377825863E-2</v>
      </c>
      <c r="I6" s="13">
        <v>0.98058657985204889</v>
      </c>
      <c r="J6" s="13">
        <v>8.5205839935288576</v>
      </c>
      <c r="K6" s="14">
        <v>343748</v>
      </c>
      <c r="L6" s="13">
        <v>-0.34429999999999999</v>
      </c>
      <c r="M6" s="14">
        <v>7473234</v>
      </c>
      <c r="N6" s="13">
        <v>-0.29949999999999999</v>
      </c>
      <c r="O6" s="14">
        <v>1043521.76</v>
      </c>
      <c r="P6" s="13">
        <v>0.62629999999999997</v>
      </c>
    </row>
    <row r="7" spans="1:16" x14ac:dyDescent="0.3">
      <c r="A7" s="9" t="s">
        <v>7</v>
      </c>
      <c r="B7" s="9">
        <v>31173750</v>
      </c>
      <c r="C7" s="9" t="s">
        <v>45</v>
      </c>
      <c r="D7" s="9" t="s">
        <v>93</v>
      </c>
      <c r="E7" s="21">
        <v>22.44</v>
      </c>
      <c r="F7" s="11">
        <v>956</v>
      </c>
      <c r="G7" s="22">
        <v>729912.52</v>
      </c>
      <c r="H7" s="13">
        <v>0.2555614621798829</v>
      </c>
      <c r="I7" s="13">
        <v>0.99695766281690845</v>
      </c>
      <c r="J7" s="13">
        <v>0.25517189371588772</v>
      </c>
      <c r="K7" s="14">
        <v>624005</v>
      </c>
      <c r="L7" s="13">
        <v>0.36049999999999999</v>
      </c>
      <c r="M7" s="14">
        <v>13303444</v>
      </c>
      <c r="N7" s="13">
        <v>0.36320000000000002</v>
      </c>
      <c r="O7" s="14">
        <v>5067996.95</v>
      </c>
      <c r="P7" s="13">
        <v>0.78959999999999997</v>
      </c>
    </row>
    <row r="8" spans="1:16" x14ac:dyDescent="0.3">
      <c r="A8" s="9" t="s">
        <v>7</v>
      </c>
      <c r="B8" s="9">
        <v>3251395</v>
      </c>
      <c r="C8" s="9" t="s">
        <v>31</v>
      </c>
      <c r="D8" s="9" t="s">
        <v>96</v>
      </c>
      <c r="E8" s="21">
        <v>21.96</v>
      </c>
      <c r="F8" s="11">
        <v>2540</v>
      </c>
      <c r="G8" s="22">
        <v>30352.3</v>
      </c>
      <c r="H8" s="13">
        <v>0.38139118079288115</v>
      </c>
      <c r="I8" s="13">
        <v>0.78938235323188033</v>
      </c>
      <c r="J8" s="13">
        <v>0.62700510247735664</v>
      </c>
      <c r="K8" s="14">
        <v>896043</v>
      </c>
      <c r="L8" s="13">
        <v>-0.1081</v>
      </c>
      <c r="M8" s="14">
        <v>19509134</v>
      </c>
      <c r="N8" s="13">
        <v>-6.8099999999999994E-2</v>
      </c>
      <c r="O8" s="14">
        <v>185371.14</v>
      </c>
      <c r="P8" s="13">
        <v>-7.51E-2</v>
      </c>
    </row>
    <row r="9" spans="1:16" x14ac:dyDescent="0.3">
      <c r="A9" s="9" t="s">
        <v>7</v>
      </c>
      <c r="B9" s="9">
        <v>7122478</v>
      </c>
      <c r="C9" s="9" t="s">
        <v>48</v>
      </c>
      <c r="D9" s="9" t="s">
        <v>97</v>
      </c>
      <c r="E9" s="21">
        <v>21.39</v>
      </c>
      <c r="F9" s="11">
        <v>794</v>
      </c>
      <c r="G9" s="22">
        <v>4997.9699999999993</v>
      </c>
      <c r="H9" s="13">
        <v>-5.8209343342981328E-2</v>
      </c>
      <c r="I9" s="13">
        <v>0.63884136959605609</v>
      </c>
      <c r="J9" s="13">
        <v>4.8430101595182198E-2</v>
      </c>
      <c r="K9" s="14">
        <v>689226</v>
      </c>
      <c r="L9" s="13">
        <v>-0.1958</v>
      </c>
      <c r="M9" s="14">
        <v>12126281</v>
      </c>
      <c r="N9" s="13">
        <v>-0.1244</v>
      </c>
      <c r="O9" s="14">
        <v>45847.08</v>
      </c>
      <c r="P9" s="13">
        <v>1.4500000000000001E-2</v>
      </c>
    </row>
    <row r="10" spans="1:16" x14ac:dyDescent="0.3">
      <c r="A10" s="9" t="s">
        <v>7</v>
      </c>
      <c r="B10" s="9">
        <v>5435298</v>
      </c>
      <c r="C10" s="9" t="s">
        <v>34</v>
      </c>
      <c r="D10" s="9" t="s">
        <v>98</v>
      </c>
      <c r="E10" s="21">
        <v>20.67</v>
      </c>
      <c r="F10" s="11">
        <v>2253</v>
      </c>
      <c r="G10" s="22">
        <v>54060.670000000006</v>
      </c>
      <c r="H10" s="13">
        <v>-0.2176744060853352</v>
      </c>
      <c r="I10" s="13">
        <v>0.96601152002000712</v>
      </c>
      <c r="J10" s="13">
        <v>-0.2268331522677319</v>
      </c>
      <c r="K10" s="14">
        <v>341402</v>
      </c>
      <c r="L10" s="13">
        <v>0.14599999999999999</v>
      </c>
      <c r="M10" s="14">
        <v>6901284</v>
      </c>
      <c r="N10" s="13">
        <v>6.7599999999999993E-2</v>
      </c>
      <c r="O10" s="14">
        <v>333617.28000000003</v>
      </c>
      <c r="P10" s="13">
        <v>-0.159</v>
      </c>
    </row>
    <row r="11" spans="1:16" x14ac:dyDescent="0.3">
      <c r="A11" s="9" t="s">
        <v>7</v>
      </c>
      <c r="B11" s="9">
        <v>3299380</v>
      </c>
      <c r="C11" s="9" t="s">
        <v>47</v>
      </c>
      <c r="D11" s="9" t="s">
        <v>99</v>
      </c>
      <c r="E11" s="21">
        <v>18.7</v>
      </c>
      <c r="F11" s="11">
        <v>881</v>
      </c>
      <c r="G11" s="22">
        <v>404202.36</v>
      </c>
      <c r="H11" s="13">
        <v>-0.18065588903688709</v>
      </c>
      <c r="I11" s="13">
        <v>0.99171499147110376</v>
      </c>
      <c r="J11" s="13">
        <v>-0.17964627994310686</v>
      </c>
      <c r="K11" s="14">
        <v>1119854</v>
      </c>
      <c r="L11" s="13">
        <v>-0.39190000000000003</v>
      </c>
      <c r="M11" s="14">
        <v>19951157</v>
      </c>
      <c r="N11" s="13">
        <v>-0.29870000000000002</v>
      </c>
      <c r="O11" s="14">
        <v>5299004.1900000004</v>
      </c>
      <c r="P11" s="13">
        <v>0.30209999999999998</v>
      </c>
    </row>
    <row r="12" spans="1:16" x14ac:dyDescent="0.3">
      <c r="A12" s="9" t="s">
        <v>7</v>
      </c>
      <c r="B12" s="9">
        <v>5150409</v>
      </c>
      <c r="C12" s="9" t="s">
        <v>24</v>
      </c>
      <c r="D12" s="9" t="s">
        <v>95</v>
      </c>
      <c r="E12" s="21">
        <v>17.149999999999999</v>
      </c>
      <c r="F12" s="11">
        <v>3805</v>
      </c>
      <c r="G12" s="22">
        <v>1023235.3</v>
      </c>
      <c r="H12" s="13">
        <v>-0.46775760041362008</v>
      </c>
      <c r="I12" s="13">
        <v>0.98106896820311029</v>
      </c>
      <c r="J12" s="13">
        <v>-0.17702598073305134</v>
      </c>
      <c r="K12" s="14">
        <v>3012792</v>
      </c>
      <c r="L12" s="13">
        <v>-0.2238</v>
      </c>
      <c r="M12" s="14">
        <v>51680054</v>
      </c>
      <c r="N12" s="13">
        <v>-0.14680000000000001</v>
      </c>
      <c r="O12" s="14">
        <v>8999595.2200000007</v>
      </c>
      <c r="P12" s="13">
        <v>0</v>
      </c>
    </row>
    <row r="13" spans="1:16" x14ac:dyDescent="0.3">
      <c r="A13" s="9" t="s">
        <v>7</v>
      </c>
      <c r="B13" s="9">
        <v>3040236</v>
      </c>
      <c r="C13" s="9" t="s">
        <v>38</v>
      </c>
      <c r="D13" s="9" t="s">
        <v>95</v>
      </c>
      <c r="E13" s="21">
        <v>16.25</v>
      </c>
      <c r="F13" s="11">
        <v>1496</v>
      </c>
      <c r="G13" s="22">
        <v>743154.52</v>
      </c>
      <c r="H13" s="13">
        <v>0.36861486759931072</v>
      </c>
      <c r="I13" s="13">
        <v>0.99849463339064404</v>
      </c>
      <c r="J13" s="13">
        <v>0.37122653936729905</v>
      </c>
      <c r="K13" s="14">
        <v>332693</v>
      </c>
      <c r="L13" s="13">
        <v>-9.8500000000000004E-2</v>
      </c>
      <c r="M13" s="14">
        <v>5577674</v>
      </c>
      <c r="N13" s="13">
        <v>-9.01E-2</v>
      </c>
      <c r="O13" s="14">
        <v>2711438.81</v>
      </c>
      <c r="P13" s="13">
        <v>0.61950000000000005</v>
      </c>
    </row>
    <row r="14" spans="1:16" x14ac:dyDescent="0.3">
      <c r="A14" s="9" t="s">
        <v>7</v>
      </c>
      <c r="B14" s="9">
        <v>17996634</v>
      </c>
      <c r="C14" s="9" t="s">
        <v>46</v>
      </c>
      <c r="D14" s="9" t="s">
        <v>100</v>
      </c>
      <c r="E14" s="21">
        <v>13.17</v>
      </c>
      <c r="F14" s="11">
        <v>541</v>
      </c>
      <c r="G14" s="22">
        <v>3338.96</v>
      </c>
      <c r="H14" s="13">
        <v>144.04604691572558</v>
      </c>
      <c r="I14" s="13">
        <v>0.96256618827419305</v>
      </c>
      <c r="J14" s="13">
        <v>0</v>
      </c>
      <c r="K14" s="14">
        <v>55005</v>
      </c>
      <c r="L14" s="13">
        <v>15.135199999999999</v>
      </c>
      <c r="M14" s="14">
        <v>761888</v>
      </c>
      <c r="N14" s="13">
        <v>3.7606000000000002</v>
      </c>
      <c r="O14" s="14">
        <v>4965.53</v>
      </c>
      <c r="P14" s="13">
        <v>0.64139999999999997</v>
      </c>
    </row>
    <row r="15" spans="1:16" x14ac:dyDescent="0.3">
      <c r="A15" s="9" t="s">
        <v>7</v>
      </c>
      <c r="B15" s="9">
        <v>7575936</v>
      </c>
      <c r="C15" s="9" t="s">
        <v>8</v>
      </c>
      <c r="D15" s="9" t="s">
        <v>101</v>
      </c>
      <c r="E15" s="21">
        <v>10.62</v>
      </c>
      <c r="F15" s="11">
        <v>17947</v>
      </c>
      <c r="G15" s="22">
        <v>5690692.9800000004</v>
      </c>
      <c r="H15" s="13">
        <v>0.27561182588641703</v>
      </c>
      <c r="I15" s="13">
        <v>0.85228900892137038</v>
      </c>
      <c r="J15" s="13">
        <v>0.61029385638332367</v>
      </c>
      <c r="K15" s="14">
        <v>25431630</v>
      </c>
      <c r="L15" s="13">
        <v>0.45490000000000003</v>
      </c>
      <c r="M15" s="14">
        <v>251574688</v>
      </c>
      <c r="N15" s="13">
        <v>0.15240000000000001</v>
      </c>
      <c r="O15" s="14">
        <v>70867390.640000001</v>
      </c>
      <c r="P15" s="13">
        <v>0</v>
      </c>
    </row>
    <row r="16" spans="1:16" x14ac:dyDescent="0.3">
      <c r="A16" s="9" t="s">
        <v>7</v>
      </c>
      <c r="B16" s="9">
        <v>2622500</v>
      </c>
      <c r="C16" s="9" t="s">
        <v>30</v>
      </c>
      <c r="D16" s="9" t="s">
        <v>99</v>
      </c>
      <c r="E16" s="21">
        <v>10.11</v>
      </c>
      <c r="F16" s="11">
        <v>2494</v>
      </c>
      <c r="G16" s="22">
        <v>124075.14</v>
      </c>
      <c r="H16" s="13">
        <v>0.10294278046872099</v>
      </c>
      <c r="I16" s="13">
        <v>0.95693528937384242</v>
      </c>
      <c r="J16" s="13">
        <v>0.11611449030763965</v>
      </c>
      <c r="K16" s="14">
        <v>1139351</v>
      </c>
      <c r="L16" s="13">
        <v>-6.9900000000000004E-2</v>
      </c>
      <c r="M16" s="14">
        <v>11406674</v>
      </c>
      <c r="N16" s="13">
        <v>-3.6700000000000003E-2</v>
      </c>
      <c r="O16" s="14">
        <v>1282227.9099999999</v>
      </c>
      <c r="P16" s="13">
        <v>0</v>
      </c>
    </row>
    <row r="17" spans="1:16" x14ac:dyDescent="0.3">
      <c r="A17" s="9" t="s">
        <v>7</v>
      </c>
      <c r="B17" s="9">
        <v>7509558</v>
      </c>
      <c r="C17" s="9" t="s">
        <v>59</v>
      </c>
      <c r="D17" s="9" t="s">
        <v>93</v>
      </c>
      <c r="E17" s="21">
        <v>0</v>
      </c>
      <c r="F17" s="11">
        <v>0</v>
      </c>
      <c r="G17" s="22">
        <v>0</v>
      </c>
      <c r="H17" s="13">
        <v>0</v>
      </c>
      <c r="I17" s="13">
        <v>0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</row>
    <row r="18" spans="1:16" x14ac:dyDescent="0.3">
      <c r="A18" s="9" t="s">
        <v>7</v>
      </c>
      <c r="B18" s="9">
        <v>2342970</v>
      </c>
      <c r="C18" s="9" t="s">
        <v>49</v>
      </c>
      <c r="D18" s="9" t="s">
        <v>102</v>
      </c>
      <c r="E18" s="21">
        <v>0</v>
      </c>
      <c r="F18" s="11">
        <v>0</v>
      </c>
      <c r="G18" s="22">
        <v>-1.32</v>
      </c>
      <c r="H18" s="13">
        <v>-1.0100144146878081</v>
      </c>
      <c r="I18" s="13">
        <v>0</v>
      </c>
      <c r="J18" s="13">
        <v>0</v>
      </c>
      <c r="K18" s="14">
        <v>20</v>
      </c>
      <c r="L18" s="13">
        <v>-0.99890000000000001</v>
      </c>
      <c r="M18" s="14">
        <v>2453</v>
      </c>
      <c r="N18" s="13">
        <v>-0.99860000000000004</v>
      </c>
      <c r="O18" s="14">
        <v>0</v>
      </c>
      <c r="P18" s="13">
        <v>0</v>
      </c>
    </row>
    <row r="19" spans="1:16" x14ac:dyDescent="0.3">
      <c r="A19" s="9" t="s">
        <v>7</v>
      </c>
      <c r="B19" s="9">
        <v>6543262</v>
      </c>
      <c r="C19" s="9" t="s">
        <v>58</v>
      </c>
      <c r="D19" s="9" t="s">
        <v>93</v>
      </c>
      <c r="E19" s="21">
        <v>0</v>
      </c>
      <c r="F19" s="11">
        <v>0</v>
      </c>
      <c r="G19" s="22">
        <v>0</v>
      </c>
      <c r="H19" s="13">
        <v>0</v>
      </c>
      <c r="I19" s="13">
        <v>0</v>
      </c>
      <c r="J19" s="13">
        <v>0</v>
      </c>
      <c r="K19" s="14">
        <v>0</v>
      </c>
      <c r="L19" s="13">
        <v>0</v>
      </c>
      <c r="M19" s="14">
        <v>0</v>
      </c>
      <c r="N19" s="13">
        <v>0</v>
      </c>
      <c r="O19" s="14">
        <v>0</v>
      </c>
      <c r="P19" s="13">
        <v>0</v>
      </c>
    </row>
    <row r="20" spans="1:16" x14ac:dyDescent="0.3">
      <c r="A20" s="9" t="s">
        <v>7</v>
      </c>
      <c r="B20" s="9">
        <v>3541992</v>
      </c>
      <c r="C20" s="9" t="s">
        <v>61</v>
      </c>
      <c r="D20" s="9" t="s">
        <v>93</v>
      </c>
      <c r="E20" s="21">
        <v>0</v>
      </c>
      <c r="F20" s="11">
        <v>0</v>
      </c>
      <c r="G20" s="22">
        <v>0</v>
      </c>
      <c r="H20" s="13">
        <v>0</v>
      </c>
      <c r="I20" s="13">
        <v>0</v>
      </c>
      <c r="J20" s="13">
        <v>0</v>
      </c>
      <c r="K20" s="14">
        <v>0</v>
      </c>
      <c r="L20" s="13">
        <v>0</v>
      </c>
      <c r="M20" s="14">
        <v>0</v>
      </c>
      <c r="N20" s="13">
        <v>0</v>
      </c>
      <c r="O20" s="14">
        <v>0</v>
      </c>
      <c r="P20" s="13">
        <v>0</v>
      </c>
    </row>
    <row r="21" spans="1:16" x14ac:dyDescent="0.3">
      <c r="A21" s="9" t="s">
        <v>7</v>
      </c>
      <c r="B21" s="9">
        <v>10884842</v>
      </c>
      <c r="C21" s="9" t="s">
        <v>51</v>
      </c>
      <c r="D21" s="9" t="s">
        <v>103</v>
      </c>
      <c r="E21" s="21">
        <v>0</v>
      </c>
      <c r="F21" s="11">
        <v>0</v>
      </c>
      <c r="G21" s="22">
        <v>219.76</v>
      </c>
      <c r="H21" s="13">
        <v>-0.31275604340619817</v>
      </c>
      <c r="I21" s="13">
        <v>0</v>
      </c>
      <c r="J21" s="13">
        <v>0</v>
      </c>
      <c r="K21" s="14">
        <v>37379</v>
      </c>
      <c r="L21" s="13">
        <v>-0.4476</v>
      </c>
      <c r="M21" s="14">
        <v>1626763</v>
      </c>
      <c r="N21" s="13">
        <v>-0.44579999999999997</v>
      </c>
      <c r="O21" s="14">
        <v>0</v>
      </c>
      <c r="P21" s="13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67B7-BFC3-4C28-805B-37BB6F9E7E0A}">
  <dimension ref="A1:P18"/>
  <sheetViews>
    <sheetView zoomScale="55" zoomScaleNormal="55" workbookViewId="0">
      <selection activeCell="T5" sqref="T5"/>
    </sheetView>
  </sheetViews>
  <sheetFormatPr defaultRowHeight="14" x14ac:dyDescent="0.3"/>
  <cols>
    <col min="1" max="1" width="12.33203125" bestFit="1" customWidth="1"/>
    <col min="2" max="2" width="12.33203125" style="3" customWidth="1"/>
    <col min="3" max="3" width="18.25" bestFit="1" customWidth="1"/>
    <col min="4" max="4" width="10.33203125" style="3" customWidth="1"/>
    <col min="5" max="5" width="10.4140625" style="7" bestFit="1" customWidth="1"/>
    <col min="6" max="6" width="10.4140625" style="1" bestFit="1" customWidth="1"/>
    <col min="7" max="7" width="11.4140625" style="6" bestFit="1" customWidth="1"/>
    <col min="8" max="8" width="14.33203125" style="2" bestFit="1" customWidth="1"/>
    <col min="9" max="9" width="10.5" style="2" bestFit="1" customWidth="1"/>
    <col min="10" max="10" width="13.33203125" style="2" bestFit="1" customWidth="1"/>
    <col min="11" max="11" width="13.4140625" style="4" bestFit="1" customWidth="1"/>
    <col min="12" max="12" width="16.25" style="2" bestFit="1" customWidth="1"/>
    <col min="13" max="13" width="11.75" style="4" bestFit="1" customWidth="1"/>
    <col min="14" max="14" width="14.58203125" style="2" bestFit="1" customWidth="1"/>
    <col min="15" max="15" width="11.33203125" style="4" customWidth="1"/>
    <col min="16" max="16" width="12.75" style="2" bestFit="1" customWidth="1"/>
  </cols>
  <sheetData>
    <row r="1" spans="1:16" x14ac:dyDescent="0.3">
      <c r="A1" s="15" t="s">
        <v>0</v>
      </c>
      <c r="B1" s="15" t="s">
        <v>77</v>
      </c>
      <c r="C1" s="15" t="s">
        <v>1</v>
      </c>
      <c r="D1" s="15" t="s">
        <v>76</v>
      </c>
      <c r="E1" s="16" t="s">
        <v>2</v>
      </c>
      <c r="F1" s="17" t="s">
        <v>3</v>
      </c>
      <c r="G1" s="18" t="s">
        <v>64</v>
      </c>
      <c r="H1" s="19" t="s">
        <v>66</v>
      </c>
      <c r="I1" s="19" t="s">
        <v>65</v>
      </c>
      <c r="J1" s="19" t="s">
        <v>67</v>
      </c>
      <c r="K1" s="20" t="s">
        <v>74</v>
      </c>
      <c r="L1" s="19" t="s">
        <v>68</v>
      </c>
      <c r="M1" s="20" t="s">
        <v>73</v>
      </c>
      <c r="N1" s="19" t="s">
        <v>69</v>
      </c>
      <c r="O1" s="20" t="s">
        <v>71</v>
      </c>
      <c r="P1" s="19" t="s">
        <v>72</v>
      </c>
    </row>
    <row r="2" spans="1:16" x14ac:dyDescent="0.3">
      <c r="A2" s="9" t="s">
        <v>10</v>
      </c>
      <c r="B2" s="9">
        <v>6143696</v>
      </c>
      <c r="C2" s="9" t="s">
        <v>52</v>
      </c>
      <c r="D2" s="9" t="s">
        <v>104</v>
      </c>
      <c r="E2" s="10">
        <v>76.760000000000005</v>
      </c>
      <c r="F2" s="11">
        <v>902</v>
      </c>
      <c r="G2" s="12">
        <v>556.11</v>
      </c>
      <c r="H2" s="13">
        <v>0.52555345239074991</v>
      </c>
      <c r="I2" s="13">
        <v>0</v>
      </c>
      <c r="J2" s="13">
        <v>0</v>
      </c>
      <c r="K2" s="14">
        <v>35213</v>
      </c>
      <c r="L2" s="13">
        <v>-1.29E-2</v>
      </c>
      <c r="M2" s="14">
        <v>2609683</v>
      </c>
      <c r="N2" s="13">
        <v>3.3099999999999997E-2</v>
      </c>
      <c r="O2" s="14">
        <v>0</v>
      </c>
      <c r="P2" s="13">
        <v>0</v>
      </c>
    </row>
    <row r="3" spans="1:16" x14ac:dyDescent="0.3">
      <c r="A3" s="9" t="s">
        <v>10</v>
      </c>
      <c r="B3" s="9">
        <v>16431608</v>
      </c>
      <c r="C3" s="9" t="s">
        <v>27</v>
      </c>
      <c r="D3" s="9" t="s">
        <v>105</v>
      </c>
      <c r="E3" s="10">
        <v>49.39</v>
      </c>
      <c r="F3" s="11">
        <v>3925</v>
      </c>
      <c r="G3" s="12">
        <v>2964.1</v>
      </c>
      <c r="H3" s="13">
        <v>-0.18508234129711607</v>
      </c>
      <c r="I3" s="13">
        <v>0</v>
      </c>
      <c r="J3" s="13">
        <v>0</v>
      </c>
      <c r="K3" s="14">
        <v>367844</v>
      </c>
      <c r="L3" s="13">
        <v>-7.6200000000000004E-2</v>
      </c>
      <c r="M3" s="14">
        <v>17461176</v>
      </c>
      <c r="N3" s="13">
        <v>-4.1700000000000001E-2</v>
      </c>
      <c r="O3" s="14">
        <v>0</v>
      </c>
      <c r="P3" s="13">
        <v>0</v>
      </c>
    </row>
    <row r="4" spans="1:16" x14ac:dyDescent="0.3">
      <c r="A4" s="9" t="s">
        <v>10</v>
      </c>
      <c r="B4" s="9">
        <v>4226121</v>
      </c>
      <c r="C4" s="9" t="s">
        <v>41</v>
      </c>
      <c r="D4" s="9" t="s">
        <v>106</v>
      </c>
      <c r="E4" s="10">
        <v>37.22</v>
      </c>
      <c r="F4" s="11">
        <v>2160</v>
      </c>
      <c r="G4" s="12">
        <v>1689.54</v>
      </c>
      <c r="H4" s="13">
        <v>0.36461219116233623</v>
      </c>
      <c r="I4" s="13">
        <v>1.315150869467429E-2</v>
      </c>
      <c r="J4" s="13">
        <v>0</v>
      </c>
      <c r="K4" s="14">
        <v>70274</v>
      </c>
      <c r="L4" s="13">
        <v>2.8799999999999999E-2</v>
      </c>
      <c r="M4" s="14">
        <v>2411076</v>
      </c>
      <c r="N4" s="13">
        <v>1.47E-2</v>
      </c>
      <c r="O4" s="14">
        <v>130.69999999999999</v>
      </c>
      <c r="P4" s="13">
        <v>0</v>
      </c>
    </row>
    <row r="5" spans="1:16" x14ac:dyDescent="0.3">
      <c r="A5" s="9" t="s">
        <v>10</v>
      </c>
      <c r="B5" s="9">
        <v>10148040</v>
      </c>
      <c r="C5" s="9" t="s">
        <v>14</v>
      </c>
      <c r="D5" s="9" t="s">
        <v>107</v>
      </c>
      <c r="E5" s="10">
        <v>36.79</v>
      </c>
      <c r="F5" s="11">
        <v>11380</v>
      </c>
      <c r="G5" s="12">
        <v>12817.78</v>
      </c>
      <c r="H5" s="13">
        <v>2.1436854200440969</v>
      </c>
      <c r="I5" s="13">
        <v>0</v>
      </c>
      <c r="J5" s="13">
        <v>0</v>
      </c>
      <c r="K5" s="14">
        <v>2422810</v>
      </c>
      <c r="L5" s="13">
        <v>1.1809000000000001</v>
      </c>
      <c r="M5" s="14">
        <v>89075891</v>
      </c>
      <c r="N5" s="13">
        <v>1.1517999999999999</v>
      </c>
      <c r="O5" s="14">
        <v>0</v>
      </c>
      <c r="P5" s="13">
        <v>0</v>
      </c>
    </row>
    <row r="6" spans="1:16" x14ac:dyDescent="0.3">
      <c r="A6" s="9" t="s">
        <v>10</v>
      </c>
      <c r="B6" s="9">
        <v>5045035</v>
      </c>
      <c r="C6" s="9" t="s">
        <v>20</v>
      </c>
      <c r="D6" s="9" t="s">
        <v>108</v>
      </c>
      <c r="E6" s="10">
        <v>32.94</v>
      </c>
      <c r="F6" s="11">
        <v>7328</v>
      </c>
      <c r="G6" s="12">
        <v>33210.800000000003</v>
      </c>
      <c r="H6" s="13">
        <v>0.47599488369653808</v>
      </c>
      <c r="I6" s="13">
        <v>0</v>
      </c>
      <c r="J6" s="13">
        <v>0</v>
      </c>
      <c r="K6" s="14">
        <v>2088796</v>
      </c>
      <c r="L6" s="13">
        <v>0.92520000000000002</v>
      </c>
      <c r="M6" s="14">
        <v>66241203</v>
      </c>
      <c r="N6" s="13">
        <v>0.78839999999999999</v>
      </c>
      <c r="O6" s="14">
        <v>0</v>
      </c>
      <c r="P6" s="13">
        <v>0</v>
      </c>
    </row>
    <row r="7" spans="1:16" x14ac:dyDescent="0.3">
      <c r="A7" s="9" t="s">
        <v>10</v>
      </c>
      <c r="B7" s="9">
        <v>10213308</v>
      </c>
      <c r="C7" s="9" t="s">
        <v>55</v>
      </c>
      <c r="D7" s="9" t="s">
        <v>109</v>
      </c>
      <c r="E7" s="10">
        <v>28.96</v>
      </c>
      <c r="F7" s="11">
        <v>38</v>
      </c>
      <c r="G7" s="12">
        <v>1.22</v>
      </c>
      <c r="H7" s="13">
        <v>-0.88909090909090904</v>
      </c>
      <c r="I7" s="13">
        <v>0</v>
      </c>
      <c r="J7" s="13">
        <v>-1</v>
      </c>
      <c r="K7" s="14">
        <v>221</v>
      </c>
      <c r="L7" s="13">
        <v>6.7599999999999993E-2</v>
      </c>
      <c r="M7" s="14">
        <v>11502</v>
      </c>
      <c r="N7" s="13">
        <v>-3.1300000000000001E-2</v>
      </c>
      <c r="O7" s="14">
        <v>0</v>
      </c>
      <c r="P7" s="13">
        <v>0</v>
      </c>
    </row>
    <row r="8" spans="1:16" x14ac:dyDescent="0.3">
      <c r="A8" s="9" t="s">
        <v>10</v>
      </c>
      <c r="B8" s="9">
        <v>17153787</v>
      </c>
      <c r="C8" s="9" t="s">
        <v>53</v>
      </c>
      <c r="D8" s="9" t="s">
        <v>107</v>
      </c>
      <c r="E8" s="10">
        <v>28.43</v>
      </c>
      <c r="F8" s="11">
        <v>108</v>
      </c>
      <c r="G8" s="12">
        <v>40.64</v>
      </c>
      <c r="H8" s="13">
        <v>-0.24489037532515792</v>
      </c>
      <c r="I8" s="13">
        <v>0</v>
      </c>
      <c r="J8" s="13">
        <v>0</v>
      </c>
      <c r="K8" s="14">
        <v>7928</v>
      </c>
      <c r="L8" s="13">
        <v>-0.2039</v>
      </c>
      <c r="M8" s="14">
        <v>235395</v>
      </c>
      <c r="N8" s="13">
        <v>-0.21959999999999999</v>
      </c>
      <c r="O8" s="14">
        <v>0</v>
      </c>
      <c r="P8" s="13">
        <v>0</v>
      </c>
    </row>
    <row r="9" spans="1:16" x14ac:dyDescent="0.3">
      <c r="A9" s="9" t="s">
        <v>10</v>
      </c>
      <c r="B9" s="9">
        <v>2885718</v>
      </c>
      <c r="C9" s="9" t="s">
        <v>32</v>
      </c>
      <c r="D9" s="9" t="s">
        <v>110</v>
      </c>
      <c r="E9" s="10">
        <v>27.63</v>
      </c>
      <c r="F9" s="11">
        <v>2315</v>
      </c>
      <c r="G9" s="12">
        <v>590826.86</v>
      </c>
      <c r="H9" s="13">
        <v>0.4818015429748434</v>
      </c>
      <c r="I9" s="13">
        <v>0.98642939151412312</v>
      </c>
      <c r="J9" s="13">
        <v>0.51470062135815065</v>
      </c>
      <c r="K9" s="14">
        <v>966546</v>
      </c>
      <c r="L9" s="13">
        <v>-0.12970000000000001</v>
      </c>
      <c r="M9" s="14">
        <v>26769270</v>
      </c>
      <c r="N9" s="13">
        <v>-8.5000000000000006E-2</v>
      </c>
      <c r="O9" s="14">
        <v>9498695.9100000001</v>
      </c>
      <c r="P9" s="13">
        <v>0.88229999999999997</v>
      </c>
    </row>
    <row r="10" spans="1:16" x14ac:dyDescent="0.3">
      <c r="A10" s="9" t="s">
        <v>10</v>
      </c>
      <c r="B10" s="9">
        <v>3194456</v>
      </c>
      <c r="C10" s="9" t="s">
        <v>42</v>
      </c>
      <c r="D10" s="9" t="s">
        <v>111</v>
      </c>
      <c r="E10" s="10">
        <v>23.05</v>
      </c>
      <c r="F10" s="11">
        <v>1104</v>
      </c>
      <c r="G10" s="12">
        <v>148244.49</v>
      </c>
      <c r="H10" s="13">
        <v>-0.42592188560825422</v>
      </c>
      <c r="I10" s="13">
        <v>0.96611314187798836</v>
      </c>
      <c r="J10" s="13">
        <v>-0.42826563763148007</v>
      </c>
      <c r="K10" s="14">
        <v>474120</v>
      </c>
      <c r="L10" s="13">
        <v>-0.35060000000000002</v>
      </c>
      <c r="M10" s="14">
        <v>12109934</v>
      </c>
      <c r="N10" s="13">
        <v>-0.32700000000000001</v>
      </c>
      <c r="O10" s="14">
        <v>1820278.05</v>
      </c>
      <c r="P10" s="13">
        <v>-0.39040000000000002</v>
      </c>
    </row>
    <row r="11" spans="1:16" x14ac:dyDescent="0.3">
      <c r="A11" s="9" t="s">
        <v>10</v>
      </c>
      <c r="B11" s="9">
        <v>2325985</v>
      </c>
      <c r="C11" s="9" t="s">
        <v>36</v>
      </c>
      <c r="D11" s="9" t="s">
        <v>112</v>
      </c>
      <c r="E11" s="10">
        <v>20.67</v>
      </c>
      <c r="F11" s="11">
        <v>2864</v>
      </c>
      <c r="G11" s="12">
        <v>77676.490000000005</v>
      </c>
      <c r="H11" s="13">
        <v>-0.43497138176762007</v>
      </c>
      <c r="I11" s="13">
        <v>0.98075209114109041</v>
      </c>
      <c r="J11" s="13">
        <v>-0.4399570675836364</v>
      </c>
      <c r="K11" s="14">
        <v>319205</v>
      </c>
      <c r="L11" s="13">
        <v>6.1400000000000003E-2</v>
      </c>
      <c r="M11" s="14">
        <v>6641785</v>
      </c>
      <c r="N11" s="13">
        <v>8.5599999999999996E-2</v>
      </c>
      <c r="O11" s="14">
        <v>884571.17</v>
      </c>
      <c r="P11" s="13">
        <v>-9.8599999999999993E-2</v>
      </c>
    </row>
    <row r="12" spans="1:16" x14ac:dyDescent="0.3">
      <c r="A12" s="9" t="s">
        <v>10</v>
      </c>
      <c r="B12" s="9">
        <v>4210956</v>
      </c>
      <c r="C12" s="9" t="s">
        <v>33</v>
      </c>
      <c r="D12" s="9" t="s">
        <v>112</v>
      </c>
      <c r="E12" s="10">
        <v>20.12</v>
      </c>
      <c r="F12" s="11">
        <v>2226</v>
      </c>
      <c r="G12" s="12">
        <v>165334.88</v>
      </c>
      <c r="H12" s="13">
        <v>-0.18663929799100965</v>
      </c>
      <c r="I12" s="13">
        <v>0.36253378597426023</v>
      </c>
      <c r="J12" s="13">
        <v>9.379231889815437E-2</v>
      </c>
      <c r="K12" s="14">
        <v>716998</v>
      </c>
      <c r="L12" s="13">
        <v>-0.188</v>
      </c>
      <c r="M12" s="14">
        <v>13877409</v>
      </c>
      <c r="N12" s="13">
        <v>-8.0199999999999994E-2</v>
      </c>
      <c r="O12" s="14">
        <v>454861.45</v>
      </c>
      <c r="P12" s="13">
        <v>0.1696</v>
      </c>
    </row>
    <row r="13" spans="1:16" x14ac:dyDescent="0.3">
      <c r="A13" s="9" t="s">
        <v>10</v>
      </c>
      <c r="B13" s="9">
        <v>29916210</v>
      </c>
      <c r="C13" s="9" t="s">
        <v>56</v>
      </c>
      <c r="D13" s="9" t="s">
        <v>113</v>
      </c>
      <c r="E13" s="10">
        <v>20.07</v>
      </c>
      <c r="F13" s="11">
        <v>42</v>
      </c>
      <c r="G13" s="12">
        <v>869.1</v>
      </c>
      <c r="H13" s="13">
        <v>0.35920052547621267</v>
      </c>
      <c r="I13" s="13">
        <v>0</v>
      </c>
      <c r="J13" s="13">
        <v>0</v>
      </c>
      <c r="K13" s="14">
        <v>421183</v>
      </c>
      <c r="L13" s="13">
        <v>0.59040000000000004</v>
      </c>
      <c r="M13" s="14">
        <v>8575127</v>
      </c>
      <c r="N13" s="13">
        <v>0.3982</v>
      </c>
      <c r="O13" s="14">
        <v>0</v>
      </c>
      <c r="P13" s="13">
        <v>0</v>
      </c>
    </row>
    <row r="14" spans="1:16" x14ac:dyDescent="0.3">
      <c r="A14" s="9" t="s">
        <v>10</v>
      </c>
      <c r="B14" s="9">
        <v>4723930</v>
      </c>
      <c r="C14" s="9" t="s">
        <v>12</v>
      </c>
      <c r="D14" s="9" t="s">
        <v>114</v>
      </c>
      <c r="E14" s="10">
        <v>20.05</v>
      </c>
      <c r="F14" s="11">
        <v>9118</v>
      </c>
      <c r="G14" s="12">
        <v>228052.12</v>
      </c>
      <c r="H14" s="13">
        <v>0.62119889974188269</v>
      </c>
      <c r="I14" s="13">
        <v>0.9832132672127758</v>
      </c>
      <c r="J14" s="13">
        <v>0.63918907231994571</v>
      </c>
      <c r="K14" s="14">
        <v>1097848</v>
      </c>
      <c r="L14" s="13">
        <v>5.3999999999999999E-2</v>
      </c>
      <c r="M14" s="14">
        <v>23094471</v>
      </c>
      <c r="N14" s="13">
        <v>-6.2700000000000006E-2</v>
      </c>
      <c r="O14" s="14">
        <v>2185178.9500000002</v>
      </c>
      <c r="P14" s="13">
        <v>0.81659999999999999</v>
      </c>
    </row>
    <row r="15" spans="1:16" x14ac:dyDescent="0.3">
      <c r="A15" s="9" t="s">
        <v>10</v>
      </c>
      <c r="B15" s="9">
        <v>3265059</v>
      </c>
      <c r="C15" s="9" t="s">
        <v>44</v>
      </c>
      <c r="D15" s="9" t="s">
        <v>115</v>
      </c>
      <c r="E15" s="10">
        <v>19.059999999999999</v>
      </c>
      <c r="F15" s="11">
        <v>918</v>
      </c>
      <c r="G15" s="12">
        <v>183376.16999999998</v>
      </c>
      <c r="H15" s="13">
        <v>1.1399133194417882E-2</v>
      </c>
      <c r="I15" s="13">
        <v>0.96643369746461616</v>
      </c>
      <c r="J15" s="13">
        <v>3.0888571708949264E-2</v>
      </c>
      <c r="K15" s="14">
        <v>1226224</v>
      </c>
      <c r="L15" s="13">
        <v>-0.38669999999999999</v>
      </c>
      <c r="M15" s="14">
        <v>22734268</v>
      </c>
      <c r="N15" s="13">
        <v>-0.26440000000000002</v>
      </c>
      <c r="O15" s="14">
        <v>2276860.52</v>
      </c>
      <c r="P15" s="13">
        <v>0.2833</v>
      </c>
    </row>
    <row r="16" spans="1:16" x14ac:dyDescent="0.3">
      <c r="A16" s="9" t="s">
        <v>10</v>
      </c>
      <c r="B16" s="9">
        <v>4250115</v>
      </c>
      <c r="C16" s="9" t="s">
        <v>23</v>
      </c>
      <c r="D16" s="9" t="s">
        <v>116</v>
      </c>
      <c r="E16" s="10">
        <v>18.77</v>
      </c>
      <c r="F16" s="11">
        <v>4513</v>
      </c>
      <c r="G16" s="12">
        <v>931310.29</v>
      </c>
      <c r="H16" s="13">
        <v>0.49143766019605872</v>
      </c>
      <c r="I16" s="13">
        <v>0.98707120480758359</v>
      </c>
      <c r="J16" s="13">
        <v>0.50331211406645815</v>
      </c>
      <c r="K16" s="14">
        <v>1260366</v>
      </c>
      <c r="L16" s="13">
        <v>8.5000000000000006E-3</v>
      </c>
      <c r="M16" s="14">
        <v>23507007</v>
      </c>
      <c r="N16" s="13">
        <v>2.5100000000000001E-2</v>
      </c>
      <c r="O16" s="14">
        <v>5680453.6699999999</v>
      </c>
      <c r="P16" s="13">
        <v>0.44500000000000001</v>
      </c>
    </row>
    <row r="17" spans="1:16" x14ac:dyDescent="0.3">
      <c r="A17" s="9" t="s">
        <v>10</v>
      </c>
      <c r="B17" s="9">
        <v>5718408</v>
      </c>
      <c r="C17" s="9" t="s">
        <v>16</v>
      </c>
      <c r="D17" s="9" t="s">
        <v>117</v>
      </c>
      <c r="E17" s="10">
        <v>14.04</v>
      </c>
      <c r="F17" s="11">
        <v>7088</v>
      </c>
      <c r="G17" s="12">
        <v>113497.73</v>
      </c>
      <c r="H17" s="13">
        <v>-0.45485753028999426</v>
      </c>
      <c r="I17" s="13">
        <v>0.7381407540045074</v>
      </c>
      <c r="J17" s="13">
        <v>0.1346951468345278</v>
      </c>
      <c r="K17" s="14">
        <v>3181744</v>
      </c>
      <c r="L17" s="13">
        <v>-0.21640000000000001</v>
      </c>
      <c r="M17" s="14">
        <v>44915763</v>
      </c>
      <c r="N17" s="13">
        <v>-6.7000000000000004E-2</v>
      </c>
      <c r="O17" s="14">
        <v>493453.51</v>
      </c>
      <c r="P17" s="13">
        <v>0.16109999999999999</v>
      </c>
    </row>
    <row r="18" spans="1:16" x14ac:dyDescent="0.3">
      <c r="A18" s="9" t="s">
        <v>10</v>
      </c>
      <c r="B18" s="9">
        <v>5586864</v>
      </c>
      <c r="C18" s="9" t="s">
        <v>11</v>
      </c>
      <c r="D18" s="9" t="s">
        <v>118</v>
      </c>
      <c r="E18" s="10">
        <v>11.97</v>
      </c>
      <c r="F18" s="11">
        <v>10424</v>
      </c>
      <c r="G18" s="12">
        <v>4254335.78</v>
      </c>
      <c r="H18" s="13">
        <v>7.4416106112294045E-2</v>
      </c>
      <c r="I18" s="13">
        <v>0.80094823168847284</v>
      </c>
      <c r="J18" s="13">
        <v>-7.5221795357246879E-2</v>
      </c>
      <c r="K18" s="14">
        <v>41661001</v>
      </c>
      <c r="L18" s="13">
        <v>0.1072</v>
      </c>
      <c r="M18" s="14">
        <v>476890792</v>
      </c>
      <c r="N18" s="13">
        <v>-8.5000000000000006E-3</v>
      </c>
      <c r="O18" s="14">
        <v>64756242.600000001</v>
      </c>
      <c r="P18" s="13">
        <v>0.2185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茶饮</vt:lpstr>
      <vt:lpstr>正餐</vt:lpstr>
      <vt:lpstr>快餐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yanglianbo.1</cp:lastModifiedBy>
  <dcterms:created xsi:type="dcterms:W3CDTF">2026-01-30T12:07:04Z</dcterms:created>
  <dcterms:modified xsi:type="dcterms:W3CDTF">2026-02-01T15:27:01Z</dcterms:modified>
</cp:coreProperties>
</file>