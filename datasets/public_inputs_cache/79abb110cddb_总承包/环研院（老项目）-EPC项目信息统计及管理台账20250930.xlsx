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945" tabRatio="725" activeTab="3"/>
  </bookViews>
  <sheets>
    <sheet name="项目汇总表" sheetId="5" r:id="rId1"/>
    <sheet name="账面数据" sheetId="18" r:id="rId2"/>
    <sheet name="武隆污水（不上系统）" sheetId="10" r:id="rId3"/>
    <sheet name="攀枝花大渡口" sheetId="9" r:id="rId4"/>
    <sheet name="攀枝花小沙坝" sheetId="11" r:id="rId5"/>
    <sheet name="攀枝花炳草岗" sheetId="12" r:id="rId6"/>
    <sheet name="XX项目 (6)" sheetId="13" r:id="rId7"/>
    <sheet name="XX项目 (7)" sheetId="14" r:id="rId8"/>
    <sheet name="XX项目 (8)" sheetId="15" r:id="rId9"/>
    <sheet name="XX项目 (9)" sheetId="16" r:id="rId10"/>
    <sheet name="XX项目 (10)" sheetId="17" r:id="rId11"/>
  </sheets>
  <definedNames>
    <definedName name="_xlnm._FilterDatabase" localSheetId="1" hidden="1">账面数据!$A$1:$AP$179</definedName>
    <definedName name="_xlnm._FilterDatabase" localSheetId="2" hidden="1">'武隆污水（不上系统）'!$A$50:$K$73</definedName>
    <definedName name="_xlnm._FilterDatabase" localSheetId="3" hidden="1">攀枝花大渡口!$A$51:$AG$66</definedName>
    <definedName name="_xlnm._FilterDatabase" localSheetId="4" hidden="1">攀枝花小沙坝!$A$52:$AG$67</definedName>
    <definedName name="_xlnm._FilterDatabase" localSheetId="5" hidden="1">攀枝花炳草岗!$A$52:$AG$67</definedName>
    <definedName name="_xlnm._FilterDatabase" localSheetId="6" hidden="1">'XX项目 (6)'!$A$50:$AG$65</definedName>
    <definedName name="_xlnm._FilterDatabase" localSheetId="7" hidden="1">'XX项目 (7)'!$A$50:$AG$65</definedName>
    <definedName name="_xlnm._FilterDatabase" localSheetId="8" hidden="1">'XX项目 (8)'!$A$50:$AG$65</definedName>
    <definedName name="_xlnm._FilterDatabase" localSheetId="9" hidden="1">'XX项目 (9)'!$A$50:$AG$65</definedName>
    <definedName name="_xlnm._FilterDatabase" localSheetId="10" hidden="1">'XX项目 (10)'!$A$50:$AG$65</definedName>
    <definedName name="_xlnm.Print_Area" localSheetId="10">'XX项目 (10)'!$A$111:$H$124</definedName>
    <definedName name="_xlnm.Print_Area" localSheetId="6">'XX项目 (6)'!$A$111:$H$124</definedName>
    <definedName name="_xlnm.Print_Area" localSheetId="7">'XX项目 (7)'!$A$111:$H$124</definedName>
    <definedName name="_xlnm.Print_Area" localSheetId="8">'XX项目 (8)'!$A$111:$H$124</definedName>
    <definedName name="_xlnm.Print_Area" localSheetId="9">'XX项目 (9)'!$A$111:$H$124</definedName>
    <definedName name="_xlnm.Print_Area" localSheetId="5">攀枝花炳草岗!$A$113:$H$126</definedName>
    <definedName name="_xlnm.Print_Area" localSheetId="3">攀枝花大渡口!$A$112:$H$125</definedName>
    <definedName name="_xlnm.Print_Area" localSheetId="4">攀枝花小沙坝!$A$113:$H$126</definedName>
    <definedName name="_xlnm.Print_Area" localSheetId="2">'武隆污水（不上系统）'!$A$116:$H$129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O24" authorId="0">
      <text>
        <r>
          <rPr>
            <b/>
            <sz val="9"/>
            <rFont val="宋体"/>
            <charset val="134"/>
          </rPr>
          <t>admin:</t>
        </r>
        <r>
          <rPr>
            <sz val="9"/>
            <rFont val="宋体"/>
            <charset val="134"/>
          </rPr>
          <t xml:space="preserve">
已列账。</t>
        </r>
      </text>
    </comment>
  </commentList>
</comments>
</file>

<file path=xl/sharedStrings.xml><?xml version="1.0" encoding="utf-8"?>
<sst xmlns="http://schemas.openxmlformats.org/spreadsheetml/2006/main" count="3001" uniqueCount="491">
  <si>
    <t>表一：基础信息表</t>
  </si>
  <si>
    <t>共享系统部门名称</t>
  </si>
  <si>
    <t>项目名称</t>
  </si>
  <si>
    <t>主合同信息</t>
  </si>
  <si>
    <t>分包合同信息</t>
  </si>
  <si>
    <t>间接费用</t>
  </si>
  <si>
    <t>财务费用</t>
  </si>
  <si>
    <t>税金及附加</t>
  </si>
  <si>
    <t>预交增值税</t>
  </si>
  <si>
    <t>管理费比例</t>
  </si>
  <si>
    <t>合同签订单位</t>
  </si>
  <si>
    <t>项目管理单位</t>
  </si>
  <si>
    <t>合同开工日期</t>
  </si>
  <si>
    <t>预计竣工时间</t>
  </si>
  <si>
    <t>合同工期</t>
  </si>
  <si>
    <t>工程类型</t>
  </si>
  <si>
    <t>项目所在地（*省*市）</t>
  </si>
  <si>
    <t>项目状态</t>
  </si>
  <si>
    <t>预计新增业主验工计价</t>
  </si>
  <si>
    <t>预计新增分包验工计价</t>
  </si>
  <si>
    <t>预计新增施工成本</t>
  </si>
  <si>
    <t>预计新增施工收入</t>
  </si>
  <si>
    <t>预计新增收款</t>
  </si>
  <si>
    <t>预计新增付款</t>
  </si>
  <si>
    <t>预计新增两金</t>
  </si>
  <si>
    <t>预计新增应付账款</t>
  </si>
  <si>
    <t>1122应收账款</t>
  </si>
  <si>
    <t>1123预付款项</t>
  </si>
  <si>
    <t>1221其他应收款</t>
  </si>
  <si>
    <t>1221-04-03其他应收款-民工工资保证金</t>
  </si>
  <si>
    <t>1221-05其他应收款-预付款项转入</t>
  </si>
  <si>
    <t>1221-09其他应收款-应收押金</t>
  </si>
  <si>
    <t>1221-11其他应收款-应收押金</t>
  </si>
  <si>
    <t>1221-99其他应收款-其他</t>
  </si>
  <si>
    <t>1231坏账准备</t>
  </si>
  <si>
    <t>1484合同资产减值准备</t>
  </si>
  <si>
    <t>1483合同资产</t>
  </si>
  <si>
    <t>1531长期应收款</t>
  </si>
  <si>
    <t>2202应付账款</t>
  </si>
  <si>
    <t>2202-12应付账款-预付账款增值税</t>
  </si>
  <si>
    <t>2204合同负债</t>
  </si>
  <si>
    <t>2204-10合同负债-预收账款增值税</t>
  </si>
  <si>
    <t>2221-06应交税费-待转销项税额</t>
  </si>
  <si>
    <t>2241其他应付款</t>
  </si>
  <si>
    <t>2241-01其他应付款-保证金</t>
  </si>
  <si>
    <t>2241-05其他应付款-应付押金</t>
  </si>
  <si>
    <t>2241-99其他应付款-其他</t>
  </si>
  <si>
    <t>2701长期应付款</t>
  </si>
  <si>
    <t>2701-05长期应付款-应付质量保证金</t>
  </si>
  <si>
    <t>2701-99长期应付款-其他</t>
  </si>
  <si>
    <t>5601-01-01-01合同履约成本-工程施工-合同成本-直接人工费（期末数）</t>
  </si>
  <si>
    <t>5601-01-01-02合同履约成本-工程施工-合同成本-直接材料费（期末数）</t>
  </si>
  <si>
    <t>5601-01-01-04合同履约成本-工程施工-合同成本-劳务成本（期末数）</t>
  </si>
  <si>
    <t>5601-01-01-05合同履约成本-工程施工-合同成本-专业分包成本（期末数）</t>
  </si>
  <si>
    <t>5601-01-01-06合同履约成本-工程施工-合同成本-其他直接费用（期末数）</t>
  </si>
  <si>
    <t>5601-01-01-07合同履约成本-工程施工-合同成本-间接费用转入（期末数）</t>
  </si>
  <si>
    <t>5601-01-01-01合同履约成本-工程施工-合同成本-直接人工费（当年借方发生数）</t>
  </si>
  <si>
    <t>5601-01-01-02合同履约成本-工程施工-合同成本-直接材料费（当年借方发生数）</t>
  </si>
  <si>
    <t>5601-01-01-04合同履约成本-工程施工-合同成本-劳务成本（当年借方发生数）</t>
  </si>
  <si>
    <t>5601-01-01-05合同履约成本-工程施工-合同成本-专业分包成本（当年借方发生数）</t>
  </si>
  <si>
    <t>5601-01-01-06合同履约成本-工程施工-合同成本-其他直接费用（当年借方发生数）</t>
  </si>
  <si>
    <t>5601-01-01-07合同履约成本-工程施工-合同成本-间接费用转入（当年借方发生数）</t>
  </si>
  <si>
    <t>5601-02合同履约成本-劳务成本（当年借方发生数）</t>
  </si>
  <si>
    <t>5801-01合同结算-收入结转</t>
  </si>
  <si>
    <t>5801-02合同结算-价款结算</t>
  </si>
  <si>
    <t>6001主营业务收入（当年贷方发生数）</t>
  </si>
  <si>
    <t>6401主营业务成本（当年借方发生数）</t>
  </si>
  <si>
    <t>应为零</t>
  </si>
  <si>
    <t>应为零（正数为未验完，负数为超验）</t>
  </si>
  <si>
    <r>
      <rPr>
        <sz val="11"/>
        <color theme="1"/>
        <rFont val="宋体"/>
        <charset val="134"/>
        <scheme val="minor"/>
      </rPr>
      <t>应</t>
    </r>
    <r>
      <rPr>
        <sz val="11"/>
        <color rgb="FFFF0000"/>
        <rFont val="宋体"/>
        <charset val="134"/>
        <scheme val="minor"/>
      </rPr>
      <t>尽量小，超过1000万预警</t>
    </r>
  </si>
  <si>
    <r>
      <rPr>
        <sz val="11"/>
        <color theme="1"/>
        <rFont val="宋体"/>
        <charset val="134"/>
        <scheme val="minor"/>
      </rPr>
      <t>应</t>
    </r>
    <r>
      <rPr>
        <sz val="11"/>
        <color rgb="FFFF0000"/>
        <rFont val="宋体"/>
        <charset val="134"/>
        <scheme val="minor"/>
      </rPr>
      <t>尽量小</t>
    </r>
  </si>
  <si>
    <t>校验不平的备注原因</t>
  </si>
  <si>
    <t>计划完成的工作</t>
  </si>
  <si>
    <t>完成情况</t>
  </si>
  <si>
    <t>勘察设计合同额</t>
  </si>
  <si>
    <t>工程施工合同额</t>
  </si>
  <si>
    <t>设备采购合同额</t>
  </si>
  <si>
    <t>业主承担管理费合同额</t>
  </si>
  <si>
    <t>技术服务等合同额</t>
  </si>
  <si>
    <t>合同额合计</t>
  </si>
  <si>
    <t>合同额不含税合计</t>
  </si>
  <si>
    <t>工程施工预计总收入</t>
  </si>
  <si>
    <t>工程施工预计总成本</t>
  </si>
  <si>
    <t>累计验工计价</t>
  </si>
  <si>
    <t>累计验工计价税额</t>
  </si>
  <si>
    <t>工程施工验工计价</t>
  </si>
  <si>
    <t>累计确认收入</t>
  </si>
  <si>
    <t>工程施工确认收入</t>
  </si>
  <si>
    <t>累计开票</t>
  </si>
  <si>
    <t>累计施工开票</t>
  </si>
  <si>
    <t>累计开票税金</t>
  </si>
  <si>
    <t>累计收款</t>
  </si>
  <si>
    <t>合计</t>
  </si>
  <si>
    <t>不含税合计</t>
  </si>
  <si>
    <t>施工验工计价</t>
  </si>
  <si>
    <t>累计确认成本</t>
  </si>
  <si>
    <t>施工确认成本</t>
  </si>
  <si>
    <t>累计付款</t>
  </si>
  <si>
    <t>业主往来检验</t>
  </si>
  <si>
    <t>业主发票检验</t>
  </si>
  <si>
    <t>业主收入检验</t>
  </si>
  <si>
    <t>分包往来检验</t>
  </si>
  <si>
    <t>分包施工验工计价校验</t>
  </si>
  <si>
    <t>预缴税金检验</t>
  </si>
  <si>
    <t>两金指标</t>
  </si>
  <si>
    <t>验工进度校验</t>
  </si>
  <si>
    <t>未缴纳税金</t>
  </si>
  <si>
    <t>未办理外经证，8月底前预缴税金</t>
  </si>
  <si>
    <t>环研院杨琳休假，计划于9.1-9.15日之间预缴</t>
  </si>
  <si>
    <t>1、业主无验工计价，验工未列账；
2、施工多确认收入</t>
  </si>
  <si>
    <t>1、8月1月前补充预缴税金销售额和抵扣额</t>
  </si>
  <si>
    <t>已完成</t>
  </si>
  <si>
    <t>1、分包方未足额验工计价；
2、施工多确认收入</t>
  </si>
  <si>
    <t>1、8月1月前补充预缴税金销售额和抵扣额；
2、8月1日前应收账款-预收账款增值税调整至合同负债-预收账款增值税</t>
  </si>
  <si>
    <t>2022年东部环线枢纽铁路红线内公网覆盖项目设计施工总包联合</t>
  </si>
  <si>
    <t>2022年西工区老旧小区改造提质EPC项目（四标段）</t>
  </si>
  <si>
    <t>2022年西工区老旧小区改造提质项目（四标段)EPC工程总承包合同</t>
  </si>
  <si>
    <t>2023年中国电信贵州公司贵广高铁贵州段公网覆盖扩容改造工程设计施工服务总承包采购</t>
  </si>
  <si>
    <t>2024年渝湘高铁（重庆东至黔江段）红线内公网覆盖项目设计施工总包联合采购</t>
  </si>
  <si>
    <t>318大桥及相关工程EPC</t>
  </si>
  <si>
    <t>B208-B号项目(EPC工程总承包)</t>
  </si>
  <si>
    <t>B208-民航院-2022-001号项目(EPC工程总承包)</t>
  </si>
  <si>
    <t>B208-土建三院-2020-001号项目(EPC工程总承包)</t>
  </si>
  <si>
    <t>CRECG-民航院-2023-01</t>
  </si>
  <si>
    <t>G331线青河至富蕴至阿勒泰段公路建设项目（EPC模式）（四标段）</t>
  </si>
  <si>
    <t>G347无为市通江大道快速化改造工程及S330六芜路福渡段快速化改造工程</t>
  </si>
  <si>
    <t>S205利州区河西街道办事处（杨家岩）至下西街道办事处（（塔山湾）段改建工程（下穿广元铁路集装箱运输组货中心段）项目勘察设计施工一体化总承包（EPC）</t>
  </si>
  <si>
    <t>S205利州区河西街道办事处（杨家岩）至下西街道办事处（塔山湾）段改建工程（下穿广元铁路集装箱运输组货中心段）勘察设计施工一体化总承包（EPC）</t>
  </si>
  <si>
    <t>安宁工业园区大宗工业物资公铁联运物流园项目涉铁部分（铁路专用线部分）工程设计施工总承包</t>
  </si>
  <si>
    <t>成达万高铁遂宁市范围内三电及管线迁改EPC</t>
  </si>
  <si>
    <t>成达万铁路资阳段三电及地下、地面管线迁改项目</t>
  </si>
  <si>
    <t>成都市双流区滨河路下穿成昆铁路立交工程项目EPC总承包合同</t>
  </si>
  <si>
    <t>成都天府国际机场PRT项目部</t>
  </si>
  <si>
    <t>成昆复线冕宁站站前广场项目等6个项目集（EPC）</t>
  </si>
  <si>
    <t>成绵乐高铁峨九路立交道岔特大桥桥梁景观工程及峨九路下穿坡道侧壁改造工程EPC</t>
  </si>
  <si>
    <t>成渝铁路重庆站至江津站段改造工程高等级管线迁改</t>
  </si>
  <si>
    <t>成渝中线高铁成都段三电及管线迁改工程总包项目</t>
  </si>
  <si>
    <t>成渝中线铁路（含十陵南站）资阳段三电及管线迁改总包</t>
  </si>
  <si>
    <t>城东区养老示范基地市政管线下穿国家粮食和物资储备局青海局535处铁路专用防护涵工程（设计、采购、施工）EPC项目（待院签）</t>
  </si>
  <si>
    <t>城口县东部新区配套基础设施建设项目（一期）巴山大道、冲沟治理工程和城口高铁站前广场及配套设施项目打捆EPC总承包</t>
  </si>
  <si>
    <t>齿轨列车试验线建设项目工程总承包</t>
  </si>
  <si>
    <t>川藏铁路天府站至朝阳湖“三电”迁改项目总承包EPC</t>
  </si>
  <si>
    <t>川南城际铁路临港高铁站片区基础设施项目-嘉信路立交工程勘察设计施工</t>
  </si>
  <si>
    <t>达州城区智能交通系统项目</t>
  </si>
  <si>
    <t>达州市中心城区道路交通安全设施运维服务</t>
  </si>
  <si>
    <t>大理州集中建园贝特瑞片区工程设施建设项目（第1标段：三通一平工程）建设项目</t>
  </si>
  <si>
    <t>大理州集中建园材料新能源产业片区基础设施建设项目（一期）工程总承包合同</t>
  </si>
  <si>
    <t>大丽铁路公网通信覆盖工程EPC项目</t>
  </si>
  <si>
    <t>大沙坝油库铁路专用线扩能改造项目EPC</t>
  </si>
  <si>
    <t>岱阳大街下穿京沪铁路立交桥改建工程总承包（EPC）</t>
  </si>
  <si>
    <t>钒钛高新区物流园主干道北延线</t>
  </si>
  <si>
    <t>防东高铁（红线内）公网覆盖工程设计施工总承包项目</t>
  </si>
  <si>
    <t>非生产性工业用房及附属设施（中铁轨道交通高科技产业园1号地块）三期设计-施工总承包II标段</t>
  </si>
  <si>
    <t>非生产性工业用房及附属设施（中铁轨道交通高科技产业园1号地块）三期设计-施工总承包I标段</t>
  </si>
  <si>
    <t>非生产性工业用房及配套设施（中铁轨道交通高科技产业园3号地块）二期设计-施工总承包Ⅰ标段</t>
  </si>
  <si>
    <t>高速公路公安交通管理监控二期系统（后台、传输、指挥中心）运行维护项目</t>
  </si>
  <si>
    <t>广安市枣山片区与物流片区连接线工程勘察设计施工总承包项目</t>
  </si>
  <si>
    <t>广佛地铁佛山段出入口紧急维护项目工程总承包</t>
  </si>
  <si>
    <t>广佛地铁夏南车辆段出入段线增设声屏障工程设计采购施工总承包（EPC)</t>
  </si>
  <si>
    <t>广佛地铁专用视频监控系统升级改造及重点部位视频监控加装项目工程设计采购施工总承包（EPC)</t>
  </si>
  <si>
    <t>广西交投桂东多式联运示范工程（广西梧州新港铁路投资有限公司铁路专用线改扩建工程）EPC总承包</t>
  </si>
  <si>
    <t>贵阳南西联络线防护栅栏改扩建工程设计施工总承包项目</t>
  </si>
  <si>
    <t>贵阳铁路枢纽都拉营新建货运战场专用线战后工程总承包项目</t>
  </si>
  <si>
    <t>贵阳综合保税区口岸延伸监管区建设项目（一期）勘察设计施工总承包（EPC）</t>
  </si>
  <si>
    <t>贵州能源水城铁路专用线项目设计施工总承包</t>
  </si>
  <si>
    <t>贵州众一金彩黔织金煤炭运输铁路专用线</t>
  </si>
  <si>
    <t>国电安顺发电有限公司2020年铁路专用线改造EPC工程</t>
  </si>
  <si>
    <t>国能费县热源长输供热管网工程（下穿鲁南高铁新建保护套管）总承包</t>
  </si>
  <si>
    <t>海南省三亚市崖州区崖州路跨铁路桥工程EPC项目</t>
  </si>
  <si>
    <t>海南省三亚市亚洲区崖州路跨铁路桥工程EPC项目</t>
  </si>
  <si>
    <t>汉源县黄家沟山洪灾害治理工程等9个建设项目</t>
  </si>
  <si>
    <t>杭新景高速公路桐庐服务区“平急两用”改扩建项目设计采购施工（EPC）工程总承包</t>
  </si>
  <si>
    <t>贺州市平桂立交工程EPC</t>
  </si>
  <si>
    <t>湖雍铁路K6+190-+520段增设防护设施工程设计、施工总承包合同</t>
  </si>
  <si>
    <t>花溪水库至南郊、中曹水厂输水工程--管道下穿鑫中路工程设计施工总承包合同</t>
  </si>
  <si>
    <t>华电章丘发电有限公司铁路专用线厂内站信号设备升级改造项目</t>
  </si>
  <si>
    <t>黄桶至百色铁路”三电“及管线迁改设计施工总承包</t>
  </si>
  <si>
    <t>济莱高铁沿线车站综合配套建设项目工程总承包（EPC）</t>
  </si>
  <si>
    <t>江口供电局其他业务用房EPC项目</t>
  </si>
  <si>
    <t>江口供电局其他业务用房勘察设计采购施工总承包(EPC)</t>
  </si>
  <si>
    <t>江西美扬智慧农业发展有限公司南城县年产80万只乐平湖羊全产业链项目（一期）EPC工程</t>
  </si>
  <si>
    <t>金华至义乌铁路三、四线及引入相关工程（金东段）市政综合管线迁改工程设计施工总承包</t>
  </si>
  <si>
    <t>阆中火车站站前广场及地下空间EPC</t>
  </si>
  <si>
    <t>丽江城市综合轨道交通项目</t>
  </si>
  <si>
    <t>临海站停车场及配套工程（一期）EPC项目</t>
  </si>
  <si>
    <t>临沂市大山路下穿兖石铁路洪沟崖大桥防护工程</t>
  </si>
  <si>
    <t>临沂市通达南路取直项目铁路道口改造工程EPC总承包项目</t>
  </si>
  <si>
    <t>临沂市沂河路上跨华能临沂电厂铁路专用线立交桥工程道口改造项目总承包(EPC)</t>
  </si>
  <si>
    <t>临沂市沂州路污水管道下穿兖石铁路新建保护套管工程</t>
  </si>
  <si>
    <t>六盘水市德宏路二期工程二标段勘察设计施工总承包工程</t>
  </si>
  <si>
    <t>六盘水市钢城大道（南干线至水南互通段）道路工程—下穿沪昆铁路段工程勘察、设计、施工（EPC）总承包</t>
  </si>
  <si>
    <t>龙口市西热东进供热管网下穿大莱龙铁路进港线保护涵工程EPC</t>
  </si>
  <si>
    <t>泸定县木角沟流域弃渣综合利用段地质环境治理工程设计施工总承包项目</t>
  </si>
  <si>
    <t>泸州市公安局交通警察支队道路交通管理业务系统建设项目</t>
  </si>
  <si>
    <t>罗城仫佬族自治县棉花天坑生态旅游度假区森林小火车游乐设施项目设计采购施工总承包项目</t>
  </si>
  <si>
    <t>洛阳鑫赟通实业有限公司2023年西工区老旧小区改造提质项目EPC工程(五标)项目</t>
  </si>
  <si>
    <t>眉山市甘眉园区地下管廊管线建设项目三标段——甘眉东南片区排水管道更新改造工程</t>
  </si>
  <si>
    <t>蒙自北站铁路立交桥EPC</t>
  </si>
  <si>
    <t>蒙自市天马大道下穿草官支线立交工程DB(设计,施工)总承包项目</t>
  </si>
  <si>
    <t>绵阳至遂宁至内江铁路绵阳至遂宁段--绵阳段三电及管线迁改项目工程总承包标段</t>
  </si>
  <si>
    <t>绵阳至遂宁至内江铁路绵阳至遂宁段项目—遂宁段三电迁改项目设计施工总承包标段-1标段</t>
  </si>
  <si>
    <t>南充北站站前基础配套设施工程设计施工总承包</t>
  </si>
  <si>
    <t>南充机场油库铁路专用线工程EPC</t>
  </si>
  <si>
    <t>南崇高铁公网覆盖EPC项目</t>
  </si>
  <si>
    <t>内昆铁路昭通站扶贫铁路专用线工程项目勘察设计施工总承包</t>
  </si>
  <si>
    <t>宁波市轨道交通5号线一期工程通信系统公安视频监视子系统</t>
  </si>
  <si>
    <t>宁夏电力灵武公司铁路专用线升级改造工程项目公开招标</t>
  </si>
  <si>
    <t>攀枝花市炳草岗污水处理厂提标升级改造工程勘察设计-材料及设备采购-施工总承包</t>
  </si>
  <si>
    <t>攀枝花市大渡口污水处理厂提标升级改造工程项目勘察设计材料及设备采购施工总承包</t>
  </si>
  <si>
    <t>攀枝花小沙坝污水处理厂改扩建工程勘察-设计-采购-施工总承包合同</t>
  </si>
  <si>
    <t>盘江（普定）发电有限公司铁路专用线项目全标段勘察设计施工总承包（EPC）</t>
  </si>
  <si>
    <t>麒麟区整区屋顶分布式光伏试点项目EPC总承包</t>
  </si>
  <si>
    <t>取消省界广西岑梧项目</t>
  </si>
  <si>
    <t>取消省界广西岑兴项目</t>
  </si>
  <si>
    <t>取消省界广西全兴项目</t>
  </si>
  <si>
    <t>取消省界荷泽项目</t>
  </si>
  <si>
    <t>取消省界重庆垫忠项目</t>
  </si>
  <si>
    <t>如东经南通苏州至湖州城际铁路（南浔至长兴段)市政综合管线迁改工程总承包第01标段</t>
  </si>
  <si>
    <t>三家村片区道路及场平基础工程EPC总承包合同</t>
  </si>
  <si>
    <t>三明市沙县区金泉路东延伸段跨铁路立交工程、大洲古渡至府前西路道路连接线项目、金古路至庵下道路工程三处涉铁工程EPC项目</t>
  </si>
  <si>
    <t>山东菏泽发电厂铁路专用线改扩建工程EPC</t>
  </si>
  <si>
    <t>山东蓝泰热力有限公司热力管线下穿兖石线、铁牛庙岔线新建保护套管工程</t>
  </si>
  <si>
    <t>山东如通铁路货运有限公司铁路专用线工程</t>
  </si>
  <si>
    <t>山东如通铁路货运有限公司铁路专用线工程EPC项目总承包合同补充协议（三)</t>
  </si>
  <si>
    <t>陕西延长石油铁路专用线EPC</t>
  </si>
  <si>
    <t>陕西榆林神佳米高速公路取消省界收费站建设工程设计施工总承包</t>
  </si>
  <si>
    <t>陕西榆林榆神高速公路取消省界收费站建设工程设计施工总承包</t>
  </si>
  <si>
    <t>汕湛高速东段分布式光伏项目EPC总承包</t>
  </si>
  <si>
    <t>上海局徐州北下行编尾信号联锁设备更新EPC项目</t>
  </si>
  <si>
    <t>始阳水厂二期项目设计施工总承包</t>
  </si>
  <si>
    <t>朔黄重载铁路</t>
  </si>
  <si>
    <t>四川省党政专用通信地铁光缆勘察设计施工总承包（EPC)工程（一期）采购项目</t>
  </si>
  <si>
    <t>遂宁市安居区凯歌公社乡村振兴项目（一期)-设计施工总承包</t>
  </si>
  <si>
    <t>台泥龙祖山至黄练矿山道路下穿南广铁路地道工程EPC</t>
  </si>
  <si>
    <t>唐河路-安顺路打通涉铁迁改工程（李村河-太原路段）设计施工总承包</t>
  </si>
  <si>
    <t>天全县城乡供水一体化项目设计施工总承包</t>
  </si>
  <si>
    <t>天全县城厢片区排水管网改造及修复项目设计采购施工总承包</t>
  </si>
  <si>
    <t>天全县龙湾半岛及老码头湿地公园景观绿化打造项目设计施工采购总承包</t>
  </si>
  <si>
    <t>天全县龙湾湖生态环境修复治理工程设计施工总承包2标段</t>
  </si>
  <si>
    <t>通海大道（象山南路-园博园段）项目下穿青藏铁路箱涵工程设计（含勘察）、施工总承包</t>
  </si>
  <si>
    <t>巫山县高唐组团老旧小区交通出行提升工程一期中线（神女大道宁江路至复烤厂）项目EPC</t>
  </si>
  <si>
    <t>武隆污水处理厂二期扩建工程EPC</t>
  </si>
  <si>
    <t>西安至重庆高速铁路安康至重庆段广安段三电及管线迁改项目</t>
  </si>
  <si>
    <t>西藏拉萨市曲水县既有拉日铁路新增框架桥工程项目</t>
  </si>
  <si>
    <t>西工区老旧小区改造提质项目（六片区、八片区）EPC工程总承包</t>
  </si>
  <si>
    <t>西宁市城东区养老示范基地市政管线下穿青海储备管理局535铁路专用线防护涵工程</t>
  </si>
  <si>
    <t>西宁市综合保税区建前工程市政管线下穿宁大支线立交工程(设计、采购、施工)EPC项目</t>
  </si>
  <si>
    <t>西渝高铁达州段“三电”及地下管线迁改项目</t>
  </si>
  <si>
    <t>新（改）建铁路太子城至锡林浩特线（正蓝旗至省界段）三电及管线迁改工程总承包（EPC）</t>
  </si>
  <si>
    <t>新建包头至银川高铁包头至惠农段、新建银川至巴彦浩特支线</t>
  </si>
  <si>
    <t>新建广州至湛江高速铁路阳江市段“三电”及管线迁改项目设计施工总承包合同</t>
  </si>
  <si>
    <t>新建南宁至玉林铁路通信迁改项目</t>
  </si>
  <si>
    <t>新建天水至陇南铁路天水至成县（含）“三电”及管线迁改工程总承包</t>
  </si>
  <si>
    <t>新建铁路靖西天桂铝业铁路专用线工程总承包项目</t>
  </si>
  <si>
    <t>新建铁路重庆至万州高速铁路高等级“三电”及管线迁改工程设计施工总承包</t>
  </si>
  <si>
    <t>新建西安至重庆高速铁路安康至重庆段樊哙经开州至万州北连接线工程高等级“三电”及管线迁改</t>
  </si>
  <si>
    <t>新建徐民高速公路单县至曹县段500kV东三Ⅰ线、东三Ⅱ线、东三Ⅲ线迁改设计施工总承包工程</t>
  </si>
  <si>
    <t>新建宜昌至涪陵高速铁路恩施州境内“三电”及管线迁改工程设计施工总承包项目二标段</t>
  </si>
  <si>
    <t>新建漳汕铁路(福建段)“三电”及管线迁改工程总承包(EPC)</t>
  </si>
  <si>
    <t>新疆天足铁路电厂铁路专用线、铝厂铁路专用线工程总承包项目II标段</t>
  </si>
  <si>
    <t>新疆天足铁路电厂铁路专用线、铝厂铁路专用线工程总承包项目I标段</t>
  </si>
  <si>
    <t>新能源制造产业制造园区基础设施项目（二期）-新宜南快速路（G353新线交叉点）项目设计施工总承包</t>
  </si>
  <si>
    <t>新能源制造产业制造园区基础设施项目（二期）-新宜南快速路（高铁线路交叉点）项目设计施工总承包</t>
  </si>
  <si>
    <t>兴义高铁站前交通枢纽综合项目</t>
  </si>
  <si>
    <t>杏林杏滨片区排水管网改造工程（EPC）</t>
  </si>
  <si>
    <t>雅江县呷拉镇供水还建工程建设项目工程总承包</t>
  </si>
  <si>
    <t>阳光大道南延线片区综合开发项目</t>
  </si>
  <si>
    <t>荥经县五宪镇人居环境改善项目设计施工总承包/标段</t>
  </si>
  <si>
    <t>玉门公铁联运智能物流园铁路专用线通信、电力迁改EPC工程总承包</t>
  </si>
  <si>
    <t>玉门公铁联运智能物流园铁路专用线物流园站新能源环保大棚建设项目</t>
  </si>
  <si>
    <t>玉磨铁路磨憨站规划进站路（设计施工总承包）</t>
  </si>
  <si>
    <t>云南省蒙自北火车站城市道路下行式铁路立交桥工程EPC（设计、采购、施工）总承包合同</t>
  </si>
  <si>
    <t>枣庄市中心城区城乡供水一体化项目配套管线下穿京沪铁路、京沪高铁增设防护套管建设工程总承包(EPC)</t>
  </si>
  <si>
    <t>枣庄市中心城区城乡供水一体化项目中心水厂供水管道、电力及通信电缆下穿枣临铁路增设防护设施工程</t>
  </si>
  <si>
    <t>张家界西隧道预留总承包项目</t>
  </si>
  <si>
    <t>樟山片区城镇建设工程市政道路一期项目设计采购施工总承包</t>
  </si>
  <si>
    <t>长征机械厂901工程建设项目铁路专用线勘察、设计、采购、施工总承包项目</t>
  </si>
  <si>
    <t>郑万铁路云阳站综合交通枢纽EPC工程</t>
  </si>
  <si>
    <t>郑万铁路云阳站综合交通枢纽工程</t>
  </si>
  <si>
    <t>中国-马来西亚钦州产业园区友谊大道下穿铁路道路工程EPC项目</t>
  </si>
  <si>
    <t>中国铁塔股份有限公司陕西省分公司关于郑西高铁5G改造设计施工工程总承包服务项目</t>
  </si>
  <si>
    <t>中国铁塔股份有限公司四川省分公司2023年西成客专等7条高铁红线内公网覆盖5G改造（含补盲覆盖）工程设计施工总承包服务项目】【标段2】</t>
  </si>
  <si>
    <t>中国铁塔股份有限公司四川省分公司2023年西成客专等7条高铁红线内公网覆盖5G改造（含补盲覆盖）工程设计施工总承包服务项目标段1-2</t>
  </si>
  <si>
    <t>中国铁塔股份有限公司云南省分公司2021年保山市大柱山隧道室内分布系统工程设计施工材料总承包项目</t>
  </si>
  <si>
    <t>中国铁塔云南省分公司2022年滇藏铁路丽香段公网通信覆盖工程设计施工总承包服务</t>
  </si>
  <si>
    <t>中国移动贵州公司计划部2024年至2026年24个月沪昆东等高铁、城际高铁贵州段公网覆盖扩容改造工程设计施工总承包服务项目标段一</t>
  </si>
  <si>
    <t>中国移动通信集团贵州有限公司2023年度贵广高铁贵州段公网覆盖扩容工程设计施工总承包项目</t>
  </si>
  <si>
    <t>中能建崇左2×660MW电厂工程配套铁路专用线EPC总承包工程</t>
  </si>
  <si>
    <t>中铁二院工程集团有限责任公司新疆天足铁路专用线EPC项目部</t>
  </si>
  <si>
    <t>中铁轨道交通高科技产业园3号地块勘察设计施工总承包项目</t>
  </si>
  <si>
    <t>重庆市渝西水资源配置工程涉铁节点工程</t>
  </si>
  <si>
    <t>单位名称</t>
  </si>
  <si>
    <t>合同名称</t>
  </si>
  <si>
    <t>合同编号</t>
  </si>
  <si>
    <t>合同类型</t>
  </si>
  <si>
    <t>合同金额</t>
  </si>
  <si>
    <t>共享系统项目名称</t>
  </si>
  <si>
    <t>业主财务联系人及电话</t>
  </si>
  <si>
    <t>分包方财务联系人及电话</t>
  </si>
  <si>
    <t>项目部经理及电话</t>
  </si>
  <si>
    <t>工程进度款支付比例</t>
  </si>
  <si>
    <t>勘察设计费支付比例</t>
  </si>
  <si>
    <t>主管税务机构名称</t>
  </si>
  <si>
    <t>税务管理员及电话</t>
  </si>
  <si>
    <t>银行行号</t>
  </si>
  <si>
    <t>开户行</t>
  </si>
  <si>
    <t>银行账户名称</t>
  </si>
  <si>
    <t>银行账号</t>
  </si>
  <si>
    <t>银行地址</t>
  </si>
  <si>
    <t>银行联系人</t>
  </si>
  <si>
    <t>备注</t>
  </si>
  <si>
    <t>勘察设计</t>
  </si>
  <si>
    <t>工程施工</t>
  </si>
  <si>
    <t>设备采购</t>
  </si>
  <si>
    <t>业主承担管理费</t>
  </si>
  <si>
    <t>技术服务等</t>
  </si>
  <si>
    <t>重庆碧水源建设项目管理有限责任公司</t>
  </si>
  <si>
    <t>武隆污水处理厂二期扩建工程EPC（设计、施工、采购、调试、试运行等交钥匙工程）总承包合同</t>
  </si>
  <si>
    <t>2017-生环院(总包)-001</t>
  </si>
  <si>
    <t>总包合同</t>
  </si>
  <si>
    <t>中铁二院武隆污水厂项目部</t>
  </si>
  <si>
    <t>经计部</t>
  </si>
  <si>
    <t>生态环境院</t>
  </si>
  <si>
    <t>市政</t>
  </si>
  <si>
    <t>重庆市武隆区</t>
  </si>
  <si>
    <t>竣工未决算</t>
  </si>
  <si>
    <t>重庆对外建设（集团）有限公司</t>
  </si>
  <si>
    <t>武隆污水处理厂二.期扩建工程EPC总承包联合体协议书</t>
  </si>
  <si>
    <t>分包合同</t>
  </si>
  <si>
    <t>重庆两江交通规划勘察设计研究院有限公司</t>
  </si>
  <si>
    <t>技术服务合同书</t>
  </si>
  <si>
    <t>四川德维工程管理咨询有限公司</t>
  </si>
  <si>
    <t>工程造价咨询合同</t>
  </si>
  <si>
    <t>表二：汇总表</t>
  </si>
  <si>
    <t>累计收入或成本</t>
  </si>
  <si>
    <t>累计收款/付款</t>
  </si>
  <si>
    <t>银行账户余额</t>
  </si>
  <si>
    <t>服务费</t>
  </si>
  <si>
    <t xml:space="preserve">重庆碧水源建设项目管理有限责任公司 </t>
  </si>
  <si>
    <t>表三：业主基础明细表</t>
  </si>
  <si>
    <t>业主结算明细</t>
  </si>
  <si>
    <t>收入确认表</t>
  </si>
  <si>
    <t>开票明细表（可按开票时间汇总登记）</t>
  </si>
  <si>
    <t>收款明细</t>
  </si>
  <si>
    <t>业主名称</t>
  </si>
  <si>
    <t>验工时间</t>
  </si>
  <si>
    <t>验工计价</t>
  </si>
  <si>
    <t>结算内容</t>
  </si>
  <si>
    <t>列账金额</t>
  </si>
  <si>
    <t>税率</t>
  </si>
  <si>
    <t>不含税金额(注意与账上保持一致）</t>
  </si>
  <si>
    <t>税额(注意与账上保持一致）</t>
  </si>
  <si>
    <t>列账凭证时间</t>
  </si>
  <si>
    <t>预付款转回</t>
  </si>
  <si>
    <t>罚没等其他金额</t>
  </si>
  <si>
    <t>凭证时间</t>
  </si>
  <si>
    <t>收入类型</t>
  </si>
  <si>
    <t>确认金额</t>
  </si>
  <si>
    <t>开票内容</t>
  </si>
  <si>
    <t>开票时间</t>
  </si>
  <si>
    <t>发票号码</t>
  </si>
  <si>
    <t>发票代码</t>
  </si>
  <si>
    <t>发票金额</t>
  </si>
  <si>
    <t>不含税金额</t>
  </si>
  <si>
    <t>税额</t>
  </si>
  <si>
    <t>凭证日期</t>
  </si>
  <si>
    <t>收款账户类型</t>
  </si>
  <si>
    <t>收款账户名称</t>
  </si>
  <si>
    <t>收款账户银行账号</t>
  </si>
  <si>
    <t>收款金额</t>
  </si>
  <si>
    <t>收款性质</t>
  </si>
  <si>
    <t>收款备注</t>
  </si>
  <si>
    <t>专户</t>
  </si>
  <si>
    <t>表四：分包方基础明细表</t>
  </si>
  <si>
    <t>分包（采购）结算明细表</t>
  </si>
  <si>
    <t>分包（采购）发票明细表开票明细表（可按开票时间汇总登记）</t>
  </si>
  <si>
    <t>分包（采购）付款明细表</t>
  </si>
  <si>
    <t>金额</t>
  </si>
  <si>
    <t>付款账户类型</t>
  </si>
  <si>
    <t>付款账户名称</t>
  </si>
  <si>
    <t>付款账户银行账号</t>
  </si>
  <si>
    <t>付款金额</t>
  </si>
  <si>
    <t>付款性质</t>
  </si>
  <si>
    <t>付款备注</t>
  </si>
  <si>
    <t>表五：预缴税款情况统计表</t>
  </si>
  <si>
    <t>凭证号/时间</t>
  </si>
  <si>
    <t>销售额</t>
  </si>
  <si>
    <t>扣除金额</t>
  </si>
  <si>
    <t>增值税</t>
  </si>
  <si>
    <t>城市维护建设税</t>
  </si>
  <si>
    <t>教育费附加</t>
  </si>
  <si>
    <t>地方教育费附加</t>
  </si>
  <si>
    <t>印花税</t>
  </si>
  <si>
    <t>企业所得税</t>
  </si>
  <si>
    <t>个人所得税</t>
  </si>
  <si>
    <t>其他税金</t>
  </si>
  <si>
    <t>表六：间接费用、财务费用、附加费明细表</t>
  </si>
  <si>
    <t>费用类型</t>
  </si>
  <si>
    <t>以前年度累计</t>
  </si>
  <si>
    <t>2023年</t>
  </si>
  <si>
    <t>2024年</t>
  </si>
  <si>
    <t>2025年</t>
  </si>
  <si>
    <t>2026年</t>
  </si>
  <si>
    <t>2027年</t>
  </si>
  <si>
    <t>2028年</t>
  </si>
  <si>
    <t>其中：利息收入</t>
  </si>
  <si>
    <t xml:space="preserve">      手续费支出</t>
  </si>
  <si>
    <t>营业外收入</t>
  </si>
  <si>
    <t>营业外支出</t>
  </si>
  <si>
    <t>表七：往来类科目明细表</t>
  </si>
  <si>
    <t>应收账款</t>
  </si>
  <si>
    <t>合同负债</t>
  </si>
  <si>
    <t>合同资产</t>
  </si>
  <si>
    <t>长期应收款</t>
  </si>
  <si>
    <t>其他应收款</t>
  </si>
  <si>
    <t>应付账款</t>
  </si>
  <si>
    <t>预付账款</t>
  </si>
  <si>
    <t>长期应付款</t>
  </si>
  <si>
    <t>其他应付款</t>
  </si>
  <si>
    <t>待转销项税额</t>
  </si>
  <si>
    <t>专业分包成本</t>
  </si>
  <si>
    <t>直接材料费</t>
  </si>
  <si>
    <t>合同结算-收入结转</t>
  </si>
  <si>
    <t>合同结算-价款结算</t>
  </si>
  <si>
    <t>工程施工结转</t>
  </si>
  <si>
    <t>合同负债增值税</t>
  </si>
  <si>
    <t>应付账款-预付账款增值税</t>
  </si>
  <si>
    <t>表八：施工收入、成本计算表</t>
  </si>
  <si>
    <t>2024年合同工程施工收入、成本计算表</t>
  </si>
  <si>
    <t>金额：元</t>
  </si>
  <si>
    <t>序号</t>
  </si>
  <si>
    <t>名称</t>
  </si>
  <si>
    <t>期初数</t>
  </si>
  <si>
    <t>1季度</t>
  </si>
  <si>
    <t>2季度</t>
  </si>
  <si>
    <t>3季度</t>
  </si>
  <si>
    <t>4季度</t>
  </si>
  <si>
    <t>开累数</t>
  </si>
  <si>
    <t>工程施工预计合同毛利</t>
  </si>
  <si>
    <t>工程施工确认营业成本</t>
  </si>
  <si>
    <t>工程施工确认营业收入</t>
  </si>
  <si>
    <t>完工百分比</t>
  </si>
  <si>
    <t>确认营业毛利</t>
  </si>
  <si>
    <t>累计营业毛利</t>
  </si>
  <si>
    <t>制表人：</t>
  </si>
  <si>
    <t>项目部签字：</t>
  </si>
  <si>
    <t>表九：数据校验</t>
  </si>
  <si>
    <t>分包验工计价校验</t>
  </si>
  <si>
    <t>攀枝花市水务（集团）有限公司</t>
  </si>
  <si>
    <t>2019-生环院(总包)-001</t>
  </si>
  <si>
    <t>中铁二院攀枝花市大渡口污水处理厂提标升级改造工程EPC项目部</t>
  </si>
  <si>
    <t>四川省攀枝花市</t>
  </si>
  <si>
    <t>收尾</t>
  </si>
  <si>
    <t>四川锐信路桥工程有限公司</t>
  </si>
  <si>
    <t>攀枝花市大渡口污水处理厂提标升级改造工程勘察设计-材料及设备采购-施工总承包项目联合体补充协议</t>
  </si>
  <si>
    <t>2019-生环院(分包)(总包)-004</t>
  </si>
  <si>
    <t>冶金工业部华东勘察基础工程总公司成都分公司</t>
  </si>
  <si>
    <t>攀枝花市大渡口污水处理厂提标升级改造工程详勘</t>
  </si>
  <si>
    <t>2019-生环院(自揽外包)(总包)-009</t>
  </si>
  <si>
    <t>上海恒实环保能源（集团）有限公司</t>
  </si>
  <si>
    <t>攀枝花市大渡口污水处理厂提标升级改造工程设备采购及伴随服务合同</t>
  </si>
  <si>
    <t>2019-生环院(分包)(总包)-005</t>
  </si>
  <si>
    <t>12781149</t>
  </si>
  <si>
    <t>5100213130</t>
  </si>
  <si>
    <t>攀枝花小沙坝污水处理厂改扩建工程</t>
  </si>
  <si>
    <t xml:space="preserve">2019-生环院(总包)-002  </t>
  </si>
  <si>
    <t>中铁二院攀枝花小沙坝污水处理厂改扩建EPC项目部</t>
  </si>
  <si>
    <t>四川信纬建设集团有限公司</t>
  </si>
  <si>
    <t>攀枝花小沙坝污水处理厂改扩建工程勘察-设计-采购-施工总承包项目联合体补充协议</t>
  </si>
  <si>
    <t>2019-生环院(分包)(总包)-003</t>
  </si>
  <si>
    <t>攀枝花小沙坝污水处理厂改扩建工程项目设备采购及伴随服务合同</t>
  </si>
  <si>
    <t xml:space="preserve">2019-生环院(分包)(总包)-002  </t>
  </si>
  <si>
    <t>攀枝花市小沙坝污水处理厂改扩建工程--建设工程勘察合同</t>
  </si>
  <si>
    <t>成都城格城乡规划设计有限公司</t>
  </si>
  <si>
    <t>攀枝花市炳草岗污水处理厂提标升级改造工程项目勘察设计材料及设备采购施工总承包</t>
  </si>
  <si>
    <t>2019-生环院(总包)-003</t>
  </si>
  <si>
    <t>中铁二院攀枝花市炳草岗污水处理厂提标升级改造工程EPC项目部</t>
  </si>
  <si>
    <t>攀枝花市炳草岗污水处理厂提标升级改造工程勘察设计-材料及设备采购-施工总承包联合体补充协议</t>
  </si>
  <si>
    <t>2019-生环院(分包)(总包)-001</t>
  </si>
  <si>
    <t>攀枝花市炳草岗项目工程详勘</t>
  </si>
  <si>
    <t>2019-生环院(自揽外包)（承包）-008</t>
  </si>
  <si>
    <t>璟城设计顾问有限公司</t>
  </si>
  <si>
    <t>技术服务合同</t>
  </si>
  <si>
    <t>攀枝花炳草岗污水处理厂提标升级改造工程项目设备采购及伴随服务合同</t>
  </si>
  <si>
    <t>2024-生环院(分包)(总包)-001</t>
  </si>
  <si>
    <t>来源于“共享系统”列账单位名称</t>
  </si>
  <si>
    <t>来源于“合同收款系统”或共享系统项目档案</t>
  </si>
  <si>
    <t>来源于“合同收款系统”</t>
  </si>
  <si>
    <t>来源于“共享系统”系统管理-权限管理-人员管理</t>
  </si>
  <si>
    <t>主合同编号中的单位</t>
  </si>
  <si>
    <t>实际管理单位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</si>
</sst>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m/d;@"/>
    <numFmt numFmtId="178" formatCode="yyyy&quot;年&quot;m&quot;月&quot;d&quot;日&quot;;@"/>
  </numFmts>
  <fonts count="48">
    <font>
      <sz val="11"/>
      <color theme="1"/>
      <name val="宋体"/>
      <charset val="134"/>
      <scheme val="minor"/>
    </font>
    <font>
      <sz val="10"/>
      <name val="宋体"/>
      <charset val="134"/>
    </font>
    <font>
      <b/>
      <sz val="11"/>
      <color rgb="FFFF0000"/>
      <name val="宋体"/>
      <charset val="134"/>
      <scheme val="minor"/>
    </font>
    <font>
      <b/>
      <sz val="11"/>
      <color theme="1"/>
      <name val="宋体"/>
      <charset val="134"/>
      <scheme val="minor"/>
    </font>
    <font>
      <sz val="10"/>
      <color theme="1"/>
      <name val="宋体"/>
      <charset val="134"/>
    </font>
    <font>
      <b/>
      <sz val="16"/>
      <name val="黑体"/>
      <charset val="134"/>
    </font>
    <font>
      <b/>
      <sz val="11"/>
      <name val="宋体"/>
      <charset val="134"/>
    </font>
    <font>
      <b/>
      <sz val="11"/>
      <name val="宋体"/>
      <charset val="134"/>
      <scheme val="minor"/>
    </font>
    <font>
      <sz val="10"/>
      <color theme="1"/>
      <name val="宋体"/>
      <charset val="134"/>
      <scheme val="minor"/>
    </font>
    <font>
      <sz val="10"/>
      <color theme="1"/>
      <name val="Microsoft YaHei"/>
      <charset val="134"/>
    </font>
    <font>
      <sz val="11"/>
      <color rgb="FFFF0000"/>
      <name val="宋体"/>
      <charset val="134"/>
      <scheme val="minor"/>
    </font>
    <font>
      <sz val="10"/>
      <color rgb="FFFF0000"/>
      <name val="宋体"/>
      <charset val="134"/>
      <scheme val="minor"/>
    </font>
    <font>
      <sz val="9"/>
      <color theme="1"/>
      <name val="宋体"/>
      <charset val="134"/>
      <scheme val="minor"/>
    </font>
    <font>
      <sz val="9"/>
      <color rgb="FF000000"/>
      <name val="宋体"/>
      <charset val="134"/>
    </font>
    <font>
      <b/>
      <sz val="10"/>
      <color theme="1"/>
      <name val="宋体"/>
      <charset val="134"/>
      <scheme val="minor"/>
    </font>
    <font>
      <b/>
      <sz val="20"/>
      <name val="宋体"/>
      <charset val="134"/>
    </font>
    <font>
      <sz val="12"/>
      <name val="宋体"/>
      <charset val="134"/>
    </font>
    <font>
      <sz val="12"/>
      <color indexed="8"/>
      <name val="宋体"/>
      <charset val="134"/>
    </font>
    <font>
      <sz val="9.75"/>
      <name val="Segoe UI"/>
      <charset val="134"/>
    </font>
    <font>
      <sz val="11"/>
      <name val="宋体"/>
      <charset val="134"/>
      <scheme val="minor"/>
    </font>
    <font>
      <sz val="8"/>
      <color indexed="8"/>
      <name val="宋体"/>
      <charset val="134"/>
    </font>
    <font>
      <sz val="10"/>
      <name val="Arial"/>
      <charset val="0"/>
    </font>
    <font>
      <sz val="8"/>
      <name val="宋体"/>
      <charset val="134"/>
    </font>
    <font>
      <b/>
      <sz val="11"/>
      <color theme="1"/>
      <name val="宋体"/>
      <charset val="134"/>
    </font>
    <font>
      <sz val="11"/>
      <color theme="1"/>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b/>
      <sz val="9"/>
      <name val="宋体"/>
      <charset val="134"/>
    </font>
    <font>
      <sz val="9"/>
      <name val="宋体"/>
      <charset val="134"/>
    </font>
  </fonts>
  <fills count="40">
    <fill>
      <patternFill patternType="none"/>
    </fill>
    <fill>
      <patternFill patternType="gray125"/>
    </fill>
    <fill>
      <patternFill patternType="solid">
        <fgColor theme="4" tint="0.799981688894314"/>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0" tint="-0.149998474074526"/>
        <bgColor indexed="64"/>
      </patternFill>
    </fill>
    <fill>
      <patternFill patternType="solid">
        <fgColor theme="4" tint="0.799920651875362"/>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diagonalUp="1">
      <left style="thin">
        <color auto="1"/>
      </left>
      <right style="thin">
        <color auto="1"/>
      </right>
      <top style="thin">
        <color auto="1"/>
      </top>
      <bottom style="thin">
        <color auto="1"/>
      </bottom>
      <diagonal style="thin">
        <color auto="1"/>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12" borderId="10"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1" applyNumberFormat="0" applyFill="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3" fillId="0" borderId="0" applyNumberFormat="0" applyFill="0" applyBorder="0" applyAlignment="0" applyProtection="0">
      <alignment vertical="center"/>
    </xf>
    <xf numFmtId="0" fontId="34" fillId="13" borderId="13" applyNumberFormat="0" applyAlignment="0" applyProtection="0">
      <alignment vertical="center"/>
    </xf>
    <xf numFmtId="0" fontId="35" fillId="14" borderId="14" applyNumberFormat="0" applyAlignment="0" applyProtection="0">
      <alignment vertical="center"/>
    </xf>
    <xf numFmtId="0" fontId="36" fillId="14" borderId="13" applyNumberFormat="0" applyAlignment="0" applyProtection="0">
      <alignment vertical="center"/>
    </xf>
    <xf numFmtId="0" fontId="37" fillId="15" borderId="15" applyNumberFormat="0" applyAlignment="0" applyProtection="0">
      <alignment vertical="center"/>
    </xf>
    <xf numFmtId="0" fontId="38" fillId="0" borderId="16" applyNumberFormat="0" applyFill="0" applyAlignment="0" applyProtection="0">
      <alignment vertical="center"/>
    </xf>
    <xf numFmtId="0" fontId="39" fillId="0" borderId="17" applyNumberFormat="0" applyFill="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4" fillId="2" borderId="0" applyNumberFormat="0" applyBorder="0" applyAlignment="0" applyProtection="0">
      <alignment vertical="center"/>
    </xf>
    <xf numFmtId="0" fontId="44" fillId="20" borderId="0" applyNumberFormat="0" applyBorder="0" applyAlignment="0" applyProtection="0">
      <alignment vertical="center"/>
    </xf>
    <xf numFmtId="0" fontId="43" fillId="11" borderId="0" applyNumberFormat="0" applyBorder="0" applyAlignment="0" applyProtection="0">
      <alignment vertical="center"/>
    </xf>
    <xf numFmtId="0" fontId="43"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4" fillId="10"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3" fillId="39" borderId="0" applyNumberFormat="0" applyBorder="0" applyAlignment="0" applyProtection="0">
      <alignment vertical="center"/>
    </xf>
    <xf numFmtId="43" fontId="0" fillId="0" borderId="0" applyFont="0" applyFill="0" applyBorder="0" applyAlignment="0" applyProtection="0">
      <alignment vertical="center"/>
    </xf>
    <xf numFmtId="0" fontId="45" fillId="0" borderId="0"/>
    <xf numFmtId="0" fontId="16" fillId="0" borderId="0">
      <alignment vertical="center"/>
    </xf>
  </cellStyleXfs>
  <cellXfs count="245">
    <xf numFmtId="0" fontId="0" fillId="0" borderId="0" xfId="0">
      <alignment vertical="center"/>
    </xf>
    <xf numFmtId="0" fontId="0" fillId="0" borderId="0" xfId="0" applyFont="1" applyAlignment="1">
      <alignment horizontal="center" vertical="center" wrapText="1"/>
    </xf>
    <xf numFmtId="0" fontId="0" fillId="0" borderId="0" xfId="0" applyFont="1" applyFill="1" applyBorder="1" applyAlignment="1">
      <alignment horizontal="center" vertical="center"/>
    </xf>
    <xf numFmtId="43" fontId="0" fillId="0" borderId="0" xfId="0" applyNumberFormat="1" applyFont="1" applyAlignment="1">
      <alignment horizontal="center" vertical="center"/>
    </xf>
    <xf numFmtId="0" fontId="0" fillId="0" borderId="0" xfId="0" applyFill="1" applyAlignment="1">
      <alignment vertical="center"/>
    </xf>
    <xf numFmtId="0" fontId="0" fillId="0" borderId="0" xfId="0" applyFont="1" applyFill="1" applyAlignment="1">
      <alignment horizontal="center" vertical="center"/>
    </xf>
    <xf numFmtId="0" fontId="1" fillId="0" borderId="0" xfId="0" applyFont="1" applyFill="1" applyBorder="1" applyAlignment="1" applyProtection="1">
      <protection locked="0"/>
    </xf>
    <xf numFmtId="0" fontId="0" fillId="0" borderId="0" xfId="0" applyFont="1" applyAlignment="1">
      <alignment horizontal="center" vertical="center"/>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wrapText="1"/>
    </xf>
    <xf numFmtId="0" fontId="0" fillId="0" borderId="6" xfId="0" applyFont="1" applyBorder="1" applyAlignment="1">
      <alignment vertical="center"/>
    </xf>
    <xf numFmtId="0" fontId="0" fillId="0" borderId="6" xfId="0" applyFont="1" applyBorder="1" applyAlignment="1">
      <alignment horizontal="center" vertical="center"/>
    </xf>
    <xf numFmtId="43" fontId="0" fillId="0" borderId="6" xfId="0" applyNumberFormat="1" applyFont="1" applyBorder="1" applyAlignment="1">
      <alignment horizontal="center" vertical="center"/>
    </xf>
    <xf numFmtId="10" fontId="0" fillId="0" borderId="1" xfId="3" applyNumberFormat="1"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49" fontId="4" fillId="3" borderId="1" xfId="0" applyNumberFormat="1" applyFont="1" applyFill="1" applyBorder="1" applyAlignment="1" applyProtection="1">
      <alignment horizontal="center" vertical="center" wrapText="1"/>
      <protection locked="0"/>
    </xf>
    <xf numFmtId="9" fontId="0" fillId="0" borderId="1" xfId="0" applyNumberFormat="1" applyFont="1" applyBorder="1" applyAlignment="1">
      <alignment horizontal="center" vertical="center"/>
    </xf>
    <xf numFmtId="10" fontId="0" fillId="0" borderId="7" xfId="3" applyNumberFormat="1" applyFont="1" applyBorder="1" applyAlignment="1">
      <alignment horizontal="center" vertical="center"/>
    </xf>
    <xf numFmtId="0" fontId="0" fillId="0" borderId="7" xfId="0" applyFont="1" applyBorder="1" applyAlignment="1">
      <alignment horizontal="center" vertical="center" wrapText="1"/>
    </xf>
    <xf numFmtId="0" fontId="0" fillId="0" borderId="7" xfId="0" applyFont="1" applyBorder="1" applyAlignment="1">
      <alignment horizontal="center" vertical="center"/>
    </xf>
    <xf numFmtId="49" fontId="4" fillId="3" borderId="7" xfId="0" applyNumberFormat="1" applyFont="1" applyFill="1" applyBorder="1" applyAlignment="1" applyProtection="1">
      <alignment horizontal="center" vertical="center" wrapText="1"/>
      <protection locked="0"/>
    </xf>
    <xf numFmtId="10" fontId="0" fillId="0" borderId="5" xfId="3" applyNumberFormat="1" applyFont="1" applyBorder="1" applyAlignment="1">
      <alignment horizontal="center" vertical="center"/>
    </xf>
    <xf numFmtId="0" fontId="0" fillId="0" borderId="5" xfId="0" applyFont="1" applyBorder="1" applyAlignment="1">
      <alignment horizontal="center" vertical="center" wrapText="1"/>
    </xf>
    <xf numFmtId="0" fontId="0" fillId="0" borderId="5" xfId="0" applyFont="1" applyBorder="1" applyAlignment="1">
      <alignment horizontal="center" vertical="center"/>
    </xf>
    <xf numFmtId="49" fontId="4" fillId="3" borderId="5" xfId="0" applyNumberFormat="1" applyFont="1" applyFill="1" applyBorder="1" applyAlignment="1" applyProtection="1">
      <alignment horizontal="center" vertical="center" wrapText="1"/>
      <protection locked="0"/>
    </xf>
    <xf numFmtId="0" fontId="0" fillId="0" borderId="0" xfId="0" applyFont="1" applyAlignment="1">
      <alignment horizontal="left" vertical="center"/>
    </xf>
    <xf numFmtId="0" fontId="3" fillId="2" borderId="6" xfId="0" applyFont="1" applyFill="1" applyBorder="1" applyAlignment="1">
      <alignment horizontal="center" vertical="center"/>
    </xf>
    <xf numFmtId="0" fontId="0" fillId="0" borderId="6" xfId="0" applyFont="1" applyBorder="1" applyAlignment="1">
      <alignment horizontal="left" vertical="center"/>
    </xf>
    <xf numFmtId="176" fontId="0" fillId="0" borderId="6" xfId="0" applyNumberFormat="1" applyFont="1" applyFill="1" applyBorder="1" applyAlignment="1">
      <alignment horizontal="center" vertical="center"/>
    </xf>
    <xf numFmtId="43" fontId="0" fillId="0" borderId="6" xfId="0" applyNumberFormat="1" applyFont="1" applyFill="1" applyBorder="1" applyAlignment="1">
      <alignment horizontal="center" vertical="center"/>
    </xf>
    <xf numFmtId="43" fontId="0" fillId="0" borderId="1" xfId="0" applyNumberFormat="1" applyFont="1" applyBorder="1" applyAlignment="1">
      <alignment horizontal="center" vertical="center"/>
    </xf>
    <xf numFmtId="43" fontId="0" fillId="0" borderId="7" xfId="0" applyNumberFormat="1" applyFont="1" applyBorder="1" applyAlignment="1">
      <alignment horizontal="center" vertical="center"/>
    </xf>
    <xf numFmtId="43" fontId="0" fillId="0" borderId="5" xfId="0" applyNumberFormat="1" applyFont="1" applyBorder="1" applyAlignment="1">
      <alignment horizontal="center" vertical="center"/>
    </xf>
    <xf numFmtId="0" fontId="0" fillId="0" borderId="0" xfId="0" applyFont="1" applyFill="1" applyBorder="1" applyAlignment="1">
      <alignment horizontal="left" vertical="center"/>
    </xf>
    <xf numFmtId="176" fontId="0" fillId="0" borderId="0" xfId="0" applyNumberFormat="1" applyFont="1" applyFill="1" applyBorder="1" applyAlignment="1">
      <alignment horizontal="center" vertical="center"/>
    </xf>
    <xf numFmtId="43" fontId="0" fillId="0" borderId="0" xfId="0" applyNumberFormat="1" applyFont="1" applyFill="1" applyBorder="1" applyAlignment="1">
      <alignment horizontal="center" vertical="center"/>
    </xf>
    <xf numFmtId="43" fontId="2" fillId="0" borderId="0" xfId="0" applyNumberFormat="1" applyFont="1" applyAlignment="1">
      <alignment horizontal="left" vertical="center"/>
    </xf>
    <xf numFmtId="0" fontId="5" fillId="4" borderId="3"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177" fontId="7" fillId="6" borderId="6" xfId="0" applyNumberFormat="1"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0" fillId="0" borderId="6" xfId="0" applyFont="1" applyFill="1" applyBorder="1" applyAlignment="1">
      <alignment horizontal="center" vertical="center"/>
    </xf>
    <xf numFmtId="9" fontId="8" fillId="0" borderId="6" xfId="0" applyNumberFormat="1" applyFont="1" applyFill="1" applyBorder="1" applyAlignment="1">
      <alignment horizontal="center" vertical="center"/>
    </xf>
    <xf numFmtId="0" fontId="9" fillId="0" borderId="6" xfId="0" applyFont="1" applyFill="1" applyBorder="1" applyAlignment="1">
      <alignment horizontal="center" vertical="center" wrapText="1"/>
    </xf>
    <xf numFmtId="31" fontId="8" fillId="0" borderId="6" xfId="0" applyNumberFormat="1" applyFont="1" applyFill="1" applyBorder="1" applyAlignment="1">
      <alignment horizontal="center" vertical="center"/>
    </xf>
    <xf numFmtId="43" fontId="0" fillId="0" borderId="6" xfId="0" applyNumberFormat="1" applyFont="1" applyFill="1" applyBorder="1" applyAlignment="1">
      <alignment horizontal="center" vertical="center" wrapText="1"/>
    </xf>
    <xf numFmtId="9" fontId="0" fillId="0" borderId="6" xfId="0" applyNumberFormat="1" applyFont="1" applyFill="1" applyBorder="1" applyAlignment="1">
      <alignment horizontal="center" vertical="center"/>
    </xf>
    <xf numFmtId="0" fontId="0" fillId="0" borderId="6" xfId="0" applyFont="1" applyFill="1" applyBorder="1" applyAlignment="1">
      <alignment horizontal="left" vertical="center"/>
    </xf>
    <xf numFmtId="49" fontId="8" fillId="0" borderId="6" xfId="0" applyNumberFormat="1" applyFont="1" applyFill="1" applyBorder="1" applyAlignment="1">
      <alignment horizontal="center" vertical="center"/>
    </xf>
    <xf numFmtId="49" fontId="8" fillId="0" borderId="6" xfId="0" applyNumberFormat="1" applyFont="1" applyFill="1" applyBorder="1" applyAlignment="1">
      <alignment vertical="center" wrapText="1"/>
    </xf>
    <xf numFmtId="43" fontId="8" fillId="0" borderId="6" xfId="0" applyNumberFormat="1" applyFont="1" applyFill="1" applyBorder="1" applyAlignment="1">
      <alignment vertical="center"/>
    </xf>
    <xf numFmtId="31" fontId="0" fillId="0" borderId="6" xfId="0" applyNumberFormat="1" applyFont="1" applyFill="1" applyBorder="1" applyAlignment="1">
      <alignment horizontal="center" vertical="center"/>
    </xf>
    <xf numFmtId="0" fontId="10" fillId="0" borderId="6" xfId="0" applyFont="1" applyFill="1" applyBorder="1" applyAlignment="1">
      <alignment horizontal="center" vertical="center"/>
    </xf>
    <xf numFmtId="0" fontId="0" fillId="8" borderId="6" xfId="0" applyFont="1" applyFill="1" applyBorder="1" applyAlignment="1">
      <alignment horizontal="center" vertical="center"/>
    </xf>
    <xf numFmtId="43" fontId="0" fillId="8" borderId="6" xfId="0" applyNumberFormat="1" applyFont="1" applyFill="1" applyBorder="1" applyAlignment="1">
      <alignment horizontal="center" vertical="center"/>
    </xf>
    <xf numFmtId="0" fontId="10" fillId="8" borderId="6" xfId="0" applyFont="1" applyFill="1" applyBorder="1" applyAlignment="1">
      <alignment horizontal="center" vertical="center"/>
    </xf>
    <xf numFmtId="0" fontId="8" fillId="0" borderId="6" xfId="0" applyFont="1" applyFill="1" applyBorder="1" applyAlignment="1">
      <alignment vertical="center"/>
    </xf>
    <xf numFmtId="0" fontId="8" fillId="0" borderId="6" xfId="0" applyFont="1" applyFill="1" applyBorder="1" applyAlignment="1">
      <alignment horizontal="center" vertical="center"/>
    </xf>
    <xf numFmtId="43" fontId="8" fillId="0" borderId="6" xfId="1" applyFont="1" applyFill="1" applyBorder="1" applyAlignment="1">
      <alignment vertical="center"/>
    </xf>
    <xf numFmtId="0" fontId="10" fillId="0" borderId="6" xfId="0" applyFont="1" applyFill="1" applyBorder="1" applyAlignment="1">
      <alignment horizontal="left" vertical="center"/>
    </xf>
    <xf numFmtId="49" fontId="11" fillId="0" borderId="6" xfId="0" applyNumberFormat="1" applyFont="1" applyFill="1" applyBorder="1" applyAlignment="1">
      <alignment horizontal="center" vertical="center"/>
    </xf>
    <xf numFmtId="43" fontId="10" fillId="0" borderId="6" xfId="0" applyNumberFormat="1" applyFont="1" applyFill="1" applyBorder="1" applyAlignment="1">
      <alignment horizontal="center" vertical="center"/>
    </xf>
    <xf numFmtId="49" fontId="12" fillId="0" borderId="6" xfId="0" applyNumberFormat="1" applyFont="1" applyFill="1" applyBorder="1" applyAlignment="1">
      <alignment horizontal="center" vertical="center"/>
    </xf>
    <xf numFmtId="31" fontId="13" fillId="0" borderId="6" xfId="0" applyNumberFormat="1" applyFont="1" applyFill="1" applyBorder="1" applyAlignment="1">
      <alignment horizontal="center"/>
    </xf>
    <xf numFmtId="31" fontId="12" fillId="0" borderId="6"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4" fontId="3" fillId="2" borderId="6" xfId="0" applyNumberFormat="1" applyFont="1" applyFill="1" applyBorder="1" applyAlignment="1">
      <alignment horizontal="center" vertical="center"/>
    </xf>
    <xf numFmtId="0" fontId="14" fillId="2" borderId="6" xfId="0" applyFont="1" applyFill="1" applyBorder="1" applyAlignment="1">
      <alignment horizontal="center" vertical="center"/>
    </xf>
    <xf numFmtId="14" fontId="0" fillId="0" borderId="6" xfId="0" applyNumberFormat="1" applyFont="1" applyFill="1" applyBorder="1" applyAlignment="1">
      <alignment horizontal="center" vertical="center"/>
    </xf>
    <xf numFmtId="43" fontId="0" fillId="0" borderId="6" xfId="1" applyFont="1" applyBorder="1" applyAlignment="1">
      <alignment horizontal="center" vertical="center"/>
    </xf>
    <xf numFmtId="4" fontId="0" fillId="0" borderId="6" xfId="0" applyNumberFormat="1" applyFont="1" applyFill="1" applyBorder="1" applyAlignment="1">
      <alignment horizontal="center" vertical="center"/>
    </xf>
    <xf numFmtId="0" fontId="7" fillId="2" borderId="6" xfId="0" applyFont="1" applyFill="1" applyBorder="1" applyAlignment="1">
      <alignment horizontal="center" vertical="center" wrapText="1"/>
    </xf>
    <xf numFmtId="43" fontId="3" fillId="9" borderId="6" xfId="0" applyNumberFormat="1" applyFont="1" applyFill="1" applyBorder="1" applyAlignment="1">
      <alignment horizontal="center" vertical="center" wrapText="1"/>
    </xf>
    <xf numFmtId="4" fontId="0" fillId="0" borderId="6" xfId="0" applyNumberFormat="1" applyFont="1" applyFill="1" applyBorder="1" applyAlignment="1">
      <alignment horizontal="left" vertical="center" wrapText="1"/>
    </xf>
    <xf numFmtId="4" fontId="0" fillId="0" borderId="6" xfId="0" applyNumberFormat="1" applyFont="1" applyBorder="1" applyAlignment="1">
      <alignment horizontal="center" vertical="center"/>
    </xf>
    <xf numFmtId="0" fontId="15" fillId="0" borderId="0" xfId="0" applyFont="1" applyFill="1" applyBorder="1" applyAlignment="1" applyProtection="1">
      <alignment horizontal="center" vertical="center"/>
      <protection locked="0"/>
    </xf>
    <xf numFmtId="0" fontId="16" fillId="0" borderId="0" xfId="0" applyFont="1" applyFill="1" applyBorder="1" applyAlignment="1" applyProtection="1">
      <alignment horizontal="left" vertical="center" wrapText="1"/>
      <protection locked="0"/>
    </xf>
    <xf numFmtId="0" fontId="16" fillId="0" borderId="0" xfId="0" applyFont="1" applyFill="1" applyBorder="1" applyAlignment="1" applyProtection="1">
      <alignment horizontal="center" vertical="center"/>
      <protection locked="0"/>
    </xf>
    <xf numFmtId="4" fontId="17" fillId="0" borderId="6" xfId="0" applyNumberFormat="1" applyFont="1" applyFill="1" applyBorder="1" applyAlignment="1" applyProtection="1">
      <alignment horizontal="center" vertical="center"/>
      <protection locked="0"/>
    </xf>
    <xf numFmtId="43" fontId="1" fillId="0" borderId="0" xfId="0" applyNumberFormat="1" applyFont="1" applyFill="1" applyBorder="1" applyAlignment="1" applyProtection="1">
      <protection locked="0"/>
    </xf>
    <xf numFmtId="3" fontId="17" fillId="0" borderId="6" xfId="0" applyNumberFormat="1" applyFont="1" applyFill="1" applyBorder="1" applyAlignment="1" applyProtection="1">
      <alignment horizontal="center" vertical="center"/>
      <protection locked="0"/>
    </xf>
    <xf numFmtId="4" fontId="17" fillId="0" borderId="8" xfId="0" applyNumberFormat="1" applyFont="1" applyFill="1" applyBorder="1" applyAlignment="1" applyProtection="1">
      <alignment horizontal="center" vertical="center"/>
      <protection locked="0"/>
    </xf>
    <xf numFmtId="4" fontId="17" fillId="5" borderId="6" xfId="0" applyNumberFormat="1" applyFont="1" applyFill="1" applyBorder="1" applyAlignment="1" applyProtection="1">
      <alignment horizontal="center" vertical="center"/>
      <protection locked="0"/>
    </xf>
    <xf numFmtId="4" fontId="17" fillId="3" borderId="6" xfId="0" applyNumberFormat="1" applyFont="1" applyFill="1" applyBorder="1" applyAlignment="1" applyProtection="1">
      <alignment horizontal="center" vertical="center"/>
      <protection locked="0"/>
    </xf>
    <xf numFmtId="4" fontId="17" fillId="0" borderId="6" xfId="0" applyNumberFormat="1" applyFont="1" applyFill="1" applyBorder="1" applyAlignment="1" applyProtection="1">
      <alignment horizontal="center" vertical="center"/>
    </xf>
    <xf numFmtId="4" fontId="1" fillId="0" borderId="0" xfId="0" applyNumberFormat="1" applyFont="1" applyFill="1" applyBorder="1" applyAlignment="1" applyProtection="1">
      <protection locked="0"/>
    </xf>
    <xf numFmtId="10" fontId="17" fillId="0" borderId="6" xfId="0" applyNumberFormat="1" applyFont="1" applyFill="1" applyBorder="1" applyAlignment="1" applyProtection="1">
      <alignment horizontal="center" vertical="center"/>
    </xf>
    <xf numFmtId="43" fontId="0" fillId="0" borderId="6" xfId="0" applyNumberFormat="1" applyFont="1" applyBorder="1" applyAlignment="1">
      <alignment vertical="center" wrapText="1"/>
    </xf>
    <xf numFmtId="0" fontId="0" fillId="0" borderId="6" xfId="0" applyFont="1" applyBorder="1" applyAlignment="1">
      <alignment horizontal="center" vertical="center" wrapText="1"/>
    </xf>
    <xf numFmtId="0" fontId="2" fillId="0" borderId="0" xfId="0" applyFont="1" applyAlignment="1">
      <alignment horizontal="left" vertical="center" wrapText="1"/>
    </xf>
    <xf numFmtId="0" fontId="0" fillId="0" borderId="6" xfId="0" applyFont="1" applyBorder="1" applyAlignment="1">
      <alignment vertical="center" wrapText="1"/>
    </xf>
    <xf numFmtId="9" fontId="0" fillId="0" borderId="1" xfId="0" applyNumberFormat="1" applyFont="1" applyBorder="1" applyAlignment="1">
      <alignment horizontal="center" vertical="center" wrapText="1"/>
    </xf>
    <xf numFmtId="0" fontId="0" fillId="0" borderId="0" xfId="0" applyFont="1" applyAlignment="1">
      <alignment horizontal="left" vertical="center" wrapText="1"/>
    </xf>
    <xf numFmtId="0" fontId="0" fillId="0" borderId="6" xfId="0" applyFont="1" applyBorder="1" applyAlignment="1">
      <alignment horizontal="left" vertical="center" wrapText="1"/>
    </xf>
    <xf numFmtId="176" fontId="0" fillId="0" borderId="6" xfId="0" applyNumberFormat="1" applyFont="1" applyFill="1" applyBorder="1" applyAlignment="1">
      <alignment horizontal="center" vertical="center" wrapText="1"/>
    </xf>
    <xf numFmtId="0" fontId="0" fillId="0" borderId="6" xfId="0" applyFont="1" applyFill="1" applyBorder="1" applyAlignment="1">
      <alignment horizontal="left" vertical="center" wrapText="1"/>
    </xf>
    <xf numFmtId="0" fontId="0" fillId="0" borderId="0" xfId="0" applyFont="1" applyFill="1" applyBorder="1" applyAlignment="1">
      <alignment horizontal="center" vertical="center" wrapText="1"/>
    </xf>
    <xf numFmtId="43" fontId="2" fillId="0" borderId="0" xfId="0" applyNumberFormat="1" applyFont="1" applyAlignment="1">
      <alignment horizontal="left" vertical="center" wrapText="1"/>
    </xf>
    <xf numFmtId="43" fontId="0" fillId="0" borderId="0" xfId="0" applyNumberFormat="1" applyFont="1" applyAlignment="1">
      <alignment horizontal="center" vertical="center" wrapText="1"/>
    </xf>
    <xf numFmtId="43" fontId="0" fillId="0" borderId="0" xfId="0" applyNumberFormat="1" applyFill="1" applyAlignment="1">
      <alignment vertical="center"/>
    </xf>
    <xf numFmtId="0" fontId="0" fillId="0" borderId="6" xfId="0" applyFont="1" applyFill="1" applyBorder="1" applyAlignment="1">
      <alignment horizontal="center" vertical="center" wrapText="1"/>
    </xf>
    <xf numFmtId="0" fontId="0" fillId="0" borderId="6" xfId="0" applyFill="1" applyBorder="1" applyAlignment="1">
      <alignment vertical="center"/>
    </xf>
    <xf numFmtId="178" fontId="0" fillId="0" borderId="6" xfId="0" applyNumberFormat="1" applyFont="1" applyFill="1" applyBorder="1" applyAlignment="1">
      <alignment horizontal="center" vertical="center"/>
    </xf>
    <xf numFmtId="31" fontId="0" fillId="0" borderId="6" xfId="0" applyNumberFormat="1" applyFill="1" applyBorder="1" applyAlignment="1">
      <alignment horizontal="center" vertical="center"/>
    </xf>
    <xf numFmtId="43" fontId="0" fillId="0" borderId="6" xfId="0" applyNumberFormat="1" applyFill="1" applyBorder="1" applyAlignment="1">
      <alignment vertical="center"/>
    </xf>
    <xf numFmtId="178" fontId="18" fillId="0" borderId="6" xfId="0" applyNumberFormat="1" applyFont="1" applyBorder="1">
      <alignment vertical="center"/>
    </xf>
    <xf numFmtId="49" fontId="8" fillId="0" borderId="6" xfId="0" applyNumberFormat="1" applyFont="1" applyFill="1" applyBorder="1" applyAlignment="1">
      <alignment horizontal="center" vertical="center" wrapText="1"/>
    </xf>
    <xf numFmtId="43" fontId="8" fillId="0" borderId="6" xfId="0" applyNumberFormat="1" applyFont="1" applyFill="1" applyBorder="1" applyAlignment="1">
      <alignment vertical="center" wrapText="1"/>
    </xf>
    <xf numFmtId="0" fontId="10" fillId="0" borderId="6" xfId="0" applyFont="1" applyFill="1" applyBorder="1" applyAlignment="1">
      <alignment horizontal="center" vertical="center" wrapText="1"/>
    </xf>
    <xf numFmtId="0" fontId="0" fillId="8" borderId="6" xfId="0" applyFont="1" applyFill="1" applyBorder="1" applyAlignment="1">
      <alignment horizontal="center" vertical="center" wrapText="1"/>
    </xf>
    <xf numFmtId="43" fontId="0" fillId="8" borderId="6" xfId="0" applyNumberFormat="1" applyFont="1" applyFill="1" applyBorder="1" applyAlignment="1">
      <alignment horizontal="center" vertical="center" wrapText="1"/>
    </xf>
    <xf numFmtId="0" fontId="10" fillId="8" borderId="6" xfId="0" applyFont="1" applyFill="1" applyBorder="1" applyAlignment="1">
      <alignment horizontal="center" vertical="center" wrapText="1"/>
    </xf>
    <xf numFmtId="0" fontId="0" fillId="0" borderId="0" xfId="0" applyFill="1" applyAlignment="1">
      <alignment vertical="center" wrapText="1"/>
    </xf>
    <xf numFmtId="0" fontId="8" fillId="0" borderId="6" xfId="0" applyFont="1" applyFill="1" applyBorder="1" applyAlignment="1">
      <alignment vertical="center" wrapText="1"/>
    </xf>
    <xf numFmtId="0" fontId="8" fillId="0" borderId="6" xfId="0" applyFont="1" applyFill="1" applyBorder="1" applyAlignment="1">
      <alignment horizontal="center" vertical="center" wrapText="1"/>
    </xf>
    <xf numFmtId="0" fontId="0" fillId="0" borderId="0" xfId="0" applyFont="1" applyFill="1" applyAlignment="1">
      <alignment horizontal="center" vertical="center" wrapText="1"/>
    </xf>
    <xf numFmtId="43" fontId="8" fillId="0" borderId="6" xfId="1" applyFont="1" applyFill="1" applyBorder="1" applyAlignment="1">
      <alignment vertical="center" wrapText="1"/>
    </xf>
    <xf numFmtId="0" fontId="19" fillId="0" borderId="6" xfId="0" applyFont="1" applyFill="1" applyBorder="1" applyAlignment="1">
      <alignment horizontal="left" vertical="center"/>
    </xf>
    <xf numFmtId="0" fontId="8" fillId="0" borderId="6" xfId="0" applyFont="1" applyFill="1" applyBorder="1" applyAlignment="1">
      <alignment horizontal="left" vertical="center"/>
    </xf>
    <xf numFmtId="4" fontId="0" fillId="0" borderId="6" xfId="0" applyNumberFormat="1" applyFont="1" applyFill="1" applyBorder="1" applyAlignment="1">
      <alignment horizontal="right" vertical="center" wrapText="1"/>
    </xf>
    <xf numFmtId="4" fontId="0" fillId="0" borderId="6" xfId="0" applyNumberFormat="1" applyFont="1" applyFill="1" applyBorder="1" applyAlignment="1">
      <alignment horizontal="right" vertical="center"/>
    </xf>
    <xf numFmtId="43" fontId="10" fillId="0" borderId="6" xfId="0" applyNumberFormat="1" applyFont="1" applyFill="1" applyBorder="1" applyAlignment="1">
      <alignment horizontal="center" vertical="center" wrapText="1"/>
    </xf>
    <xf numFmtId="14" fontId="0" fillId="0" borderId="6" xfId="0" applyNumberFormat="1" applyFont="1" applyFill="1" applyBorder="1" applyAlignment="1">
      <alignment horizontal="center" vertical="center" wrapText="1"/>
    </xf>
    <xf numFmtId="43" fontId="0" fillId="0" borderId="6" xfId="1" applyFont="1" applyBorder="1" applyAlignment="1">
      <alignment horizontal="center" vertical="center" wrapText="1"/>
    </xf>
    <xf numFmtId="178" fontId="0" fillId="0" borderId="6" xfId="0" applyNumberFormat="1" applyFont="1" applyFill="1" applyBorder="1" applyAlignment="1">
      <alignment horizontal="center" vertical="center" wrapText="1"/>
    </xf>
    <xf numFmtId="4" fontId="0" fillId="0" borderId="6" xfId="0" applyNumberFormat="1" applyFont="1" applyFill="1" applyBorder="1" applyAlignment="1">
      <alignment horizontal="center" vertical="center" wrapText="1"/>
    </xf>
    <xf numFmtId="43" fontId="0" fillId="0" borderId="6" xfId="0" applyNumberFormat="1" applyFont="1" applyBorder="1" applyAlignment="1">
      <alignment horizontal="center" vertical="center" wrapText="1"/>
    </xf>
    <xf numFmtId="4" fontId="0" fillId="0" borderId="6" xfId="0" applyNumberFormat="1" applyFont="1" applyBorder="1" applyAlignment="1">
      <alignment horizontal="center" vertical="center" wrapText="1"/>
    </xf>
    <xf numFmtId="4" fontId="0" fillId="0" borderId="0" xfId="0" applyNumberFormat="1" applyFont="1" applyAlignment="1">
      <alignment horizontal="center" vertical="center"/>
    </xf>
    <xf numFmtId="0" fontId="0" fillId="0" borderId="0" xfId="0" applyAlignment="1">
      <alignment vertical="center" wrapText="1"/>
    </xf>
    <xf numFmtId="0" fontId="1" fillId="0" borderId="0" xfId="0" applyFont="1" applyFill="1" applyBorder="1" applyAlignment="1" applyProtection="1">
      <alignment wrapText="1"/>
      <protection locked="0"/>
    </xf>
    <xf numFmtId="4" fontId="17" fillId="0" borderId="6" xfId="0" applyNumberFormat="1" applyFont="1" applyFill="1" applyBorder="1" applyAlignment="1" applyProtection="1">
      <alignment horizontal="center" vertical="center" wrapText="1"/>
      <protection locked="0"/>
    </xf>
    <xf numFmtId="3" fontId="17" fillId="0" borderId="6" xfId="0" applyNumberFormat="1" applyFont="1" applyFill="1" applyBorder="1" applyAlignment="1" applyProtection="1">
      <alignment horizontal="center" vertical="center" wrapText="1"/>
      <protection locked="0"/>
    </xf>
    <xf numFmtId="4" fontId="17" fillId="0" borderId="8" xfId="0" applyNumberFormat="1" applyFont="1" applyFill="1" applyBorder="1" applyAlignment="1" applyProtection="1">
      <alignment horizontal="center" vertical="center" wrapText="1"/>
      <protection locked="0"/>
    </xf>
    <xf numFmtId="4" fontId="17" fillId="5" borderId="6" xfId="0" applyNumberFormat="1" applyFont="1" applyFill="1" applyBorder="1" applyAlignment="1" applyProtection="1">
      <alignment horizontal="center" vertical="center" wrapText="1"/>
      <protection locked="0"/>
    </xf>
    <xf numFmtId="4" fontId="17" fillId="0" borderId="6" xfId="0" applyNumberFormat="1" applyFont="1" applyFill="1" applyBorder="1" applyAlignment="1" applyProtection="1">
      <alignment horizontal="center" vertical="center" wrapText="1"/>
    </xf>
    <xf numFmtId="10" fontId="17" fillId="0" borderId="6" xfId="0" applyNumberFormat="1"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wrapText="1"/>
      <protection locked="0"/>
    </xf>
    <xf numFmtId="0" fontId="0" fillId="0" borderId="6" xfId="0" applyBorder="1" applyAlignment="1">
      <alignment vertical="center" wrapText="1"/>
    </xf>
    <xf numFmtId="9" fontId="0" fillId="0" borderId="7" xfId="0" applyNumberFormat="1" applyFont="1" applyBorder="1" applyAlignment="1">
      <alignment horizontal="center" vertical="center" wrapText="1"/>
    </xf>
    <xf numFmtId="178" fontId="20" fillId="0" borderId="9" xfId="0" applyNumberFormat="1" applyFont="1" applyFill="1" applyBorder="1" applyAlignment="1" applyProtection="1">
      <alignment horizontal="left" vertical="center" wrapText="1"/>
      <protection locked="0"/>
    </xf>
    <xf numFmtId="9" fontId="0" fillId="0" borderId="6" xfId="0" applyNumberFormat="1" applyFont="1" applyFill="1" applyBorder="1" applyAlignment="1">
      <alignment horizontal="center" vertical="center" wrapText="1"/>
    </xf>
    <xf numFmtId="178" fontId="21" fillId="0" borderId="0" xfId="0" applyNumberFormat="1" applyFont="1" applyFill="1" applyBorder="1" applyAlignment="1"/>
    <xf numFmtId="43" fontId="0" fillId="4" borderId="6" xfId="0" applyNumberFormat="1" applyFont="1" applyFill="1" applyBorder="1" applyAlignment="1">
      <alignment horizontal="center" vertical="center"/>
    </xf>
    <xf numFmtId="0" fontId="0" fillId="0" borderId="6" xfId="0" applyFill="1" applyBorder="1" applyAlignment="1">
      <alignment horizontal="center" vertical="center" wrapText="1"/>
    </xf>
    <xf numFmtId="43" fontId="19" fillId="0" borderId="6" xfId="0" applyNumberFormat="1" applyFont="1" applyFill="1" applyBorder="1" applyAlignment="1">
      <alignment horizontal="center" vertical="center"/>
    </xf>
    <xf numFmtId="0" fontId="0" fillId="0" borderId="0" xfId="0" applyAlignment="1">
      <alignment horizontal="center" vertical="center" wrapText="1"/>
    </xf>
    <xf numFmtId="0" fontId="1" fillId="0" borderId="0" xfId="0" applyFont="1" applyFill="1" applyBorder="1" applyAlignment="1" applyProtection="1">
      <alignment horizontal="center" wrapText="1"/>
      <protection locked="0"/>
    </xf>
    <xf numFmtId="0" fontId="0" fillId="0" borderId="6" xfId="0" applyBorder="1" applyAlignment="1">
      <alignment vertical="center"/>
    </xf>
    <xf numFmtId="0" fontId="0" fillId="0" borderId="1" xfId="0" applyBorder="1" applyAlignment="1">
      <alignment horizontal="center" vertical="center" wrapText="1"/>
    </xf>
    <xf numFmtId="0" fontId="0" fillId="0" borderId="1" xfId="0" applyBorder="1" applyAlignment="1">
      <alignment horizontal="center" vertical="center"/>
    </xf>
    <xf numFmtId="43" fontId="0" fillId="0" borderId="0" xfId="0" applyNumberFormat="1" applyFont="1" applyFill="1" applyBorder="1" applyAlignment="1">
      <alignment horizontal="center" vertical="center" wrapText="1"/>
    </xf>
    <xf numFmtId="178" fontId="22" fillId="0" borderId="9" xfId="0" applyNumberFormat="1" applyFont="1" applyFill="1" applyBorder="1" applyAlignment="1" applyProtection="1">
      <alignment horizontal="left" vertical="center" wrapText="1"/>
      <protection locked="0"/>
    </xf>
    <xf numFmtId="43" fontId="8" fillId="4" borderId="6" xfId="1" applyFont="1" applyFill="1" applyBorder="1" applyAlignment="1">
      <alignment vertical="center"/>
    </xf>
    <xf numFmtId="43" fontId="0" fillId="4" borderId="0" xfId="0" applyNumberFormat="1" applyFont="1" applyFill="1" applyAlignment="1">
      <alignment horizontal="right" vertical="center"/>
    </xf>
    <xf numFmtId="0" fontId="0" fillId="0" borderId="7" xfId="0" applyBorder="1" applyAlignment="1">
      <alignment horizontal="center" vertical="center" wrapText="1"/>
    </xf>
    <xf numFmtId="0" fontId="0" fillId="0" borderId="7" xfId="0" applyBorder="1" applyAlignment="1">
      <alignment horizontal="center" vertical="center"/>
    </xf>
    <xf numFmtId="0" fontId="0" fillId="0" borderId="6" xfId="0" applyBorder="1" applyAlignment="1">
      <alignment horizontal="left" vertical="center"/>
    </xf>
    <xf numFmtId="0" fontId="0" fillId="0" borderId="5" xfId="0" applyBorder="1" applyAlignment="1">
      <alignment horizontal="center" vertical="center" wrapText="1"/>
    </xf>
    <xf numFmtId="0" fontId="0" fillId="0" borderId="5" xfId="0" applyBorder="1" applyAlignment="1">
      <alignment horizontal="center" vertical="center"/>
    </xf>
    <xf numFmtId="43" fontId="0" fillId="0" borderId="1" xfId="0" applyNumberFormat="1" applyFont="1" applyBorder="1" applyAlignment="1">
      <alignment horizontal="center" vertical="center" wrapText="1"/>
    </xf>
    <xf numFmtId="43" fontId="0" fillId="0" borderId="0" xfId="0" applyNumberFormat="1" applyFont="1" applyFill="1" applyBorder="1" applyAlignment="1">
      <alignment horizontal="left" vertical="center"/>
    </xf>
    <xf numFmtId="0" fontId="1" fillId="0" borderId="6" xfId="0" applyFont="1" applyFill="1" applyBorder="1" applyAlignment="1"/>
    <xf numFmtId="178" fontId="21" fillId="0" borderId="6" xfId="0" applyNumberFormat="1" applyFont="1" applyFill="1" applyBorder="1" applyAlignment="1">
      <alignment horizontal="center"/>
    </xf>
    <xf numFmtId="178" fontId="21" fillId="0" borderId="6" xfId="0" applyNumberFormat="1" applyFont="1" applyFill="1" applyBorder="1" applyAlignment="1"/>
    <xf numFmtId="0" fontId="21" fillId="0" borderId="6" xfId="0" applyFont="1" applyFill="1" applyBorder="1" applyAlignment="1"/>
    <xf numFmtId="4" fontId="1" fillId="0" borderId="6" xfId="0" applyNumberFormat="1" applyFont="1" applyFill="1" applyBorder="1" applyAlignment="1"/>
    <xf numFmtId="43" fontId="0" fillId="0" borderId="6" xfId="0" applyNumberFormat="1" applyFont="1" applyFill="1" applyBorder="1" applyAlignment="1">
      <alignment horizontal="right" vertical="center"/>
    </xf>
    <xf numFmtId="0" fontId="0" fillId="0" borderId="6" xfId="0" applyFont="1" applyFill="1" applyBorder="1" applyAlignment="1">
      <alignment vertical="center"/>
    </xf>
    <xf numFmtId="43" fontId="0" fillId="0" borderId="6" xfId="0" applyNumberFormat="1" applyFont="1" applyFill="1" applyBorder="1" applyAlignment="1">
      <alignment vertical="center"/>
    </xf>
    <xf numFmtId="43" fontId="8" fillId="0" borderId="6" xfId="1" applyFont="1" applyFill="1" applyBorder="1" applyAlignment="1">
      <alignment horizontal="right" vertical="center"/>
    </xf>
    <xf numFmtId="0" fontId="19" fillId="0" borderId="6" xfId="0" applyFont="1" applyFill="1" applyBorder="1" applyAlignment="1">
      <alignment vertical="center"/>
    </xf>
    <xf numFmtId="0" fontId="0" fillId="0" borderId="6" xfId="0" applyFont="1" applyFill="1" applyBorder="1" applyAlignment="1">
      <alignment horizontal="right" vertical="center"/>
    </xf>
    <xf numFmtId="14" fontId="21" fillId="0" borderId="6" xfId="0" applyNumberFormat="1" applyFont="1" applyFill="1" applyBorder="1" applyAlignment="1"/>
    <xf numFmtId="43" fontId="0" fillId="0" borderId="6" xfId="1" applyFont="1" applyBorder="1" applyAlignment="1">
      <alignment vertical="center"/>
    </xf>
    <xf numFmtId="0" fontId="23" fillId="0" borderId="0" xfId="0" applyFont="1" applyFill="1" applyBorder="1" applyAlignment="1">
      <alignment wrapText="1"/>
    </xf>
    <xf numFmtId="0" fontId="24" fillId="0" borderId="0" xfId="0" applyFont="1" applyFill="1" applyBorder="1" applyAlignment="1"/>
    <xf numFmtId="0" fontId="23" fillId="0" borderId="0" xfId="0" applyFont="1" applyFill="1" applyBorder="1" applyAlignment="1"/>
    <xf numFmtId="0" fontId="23" fillId="0" borderId="0" xfId="0" applyFont="1" applyFill="1" applyBorder="1" applyAlignment="1">
      <alignment horizontal="left" vertical="center"/>
    </xf>
    <xf numFmtId="43" fontId="24" fillId="0" borderId="0" xfId="0" applyNumberFormat="1" applyFont="1" applyFill="1" applyBorder="1" applyAlignment="1">
      <alignment horizontal="center" vertical="center"/>
    </xf>
    <xf numFmtId="0" fontId="23" fillId="0" borderId="6" xfId="0" applyFont="1" applyFill="1" applyBorder="1" applyAlignment="1">
      <alignment horizontal="left" vertical="center" wrapText="1"/>
    </xf>
    <xf numFmtId="43" fontId="23" fillId="0" borderId="6" xfId="0" applyNumberFormat="1" applyFont="1" applyFill="1" applyBorder="1" applyAlignment="1">
      <alignment horizontal="center" vertical="center" wrapText="1"/>
    </xf>
    <xf numFmtId="43" fontId="25" fillId="0" borderId="6" xfId="0" applyNumberFormat="1" applyFont="1" applyFill="1" applyBorder="1" applyAlignment="1">
      <alignment horizontal="left" vertical="center"/>
    </xf>
    <xf numFmtId="43" fontId="24" fillId="0" borderId="4" xfId="0" applyNumberFormat="1" applyFont="1" applyFill="1" applyBorder="1" applyAlignment="1">
      <alignment horizontal="center" vertical="center"/>
    </xf>
    <xf numFmtId="43" fontId="24" fillId="0" borderId="6" xfId="0" applyNumberFormat="1" applyFont="1" applyFill="1" applyBorder="1" applyAlignment="1">
      <alignment horizontal="center" vertical="center"/>
    </xf>
    <xf numFmtId="0" fontId="24" fillId="0" borderId="6" xfId="0" applyFont="1" applyFill="1" applyBorder="1" applyAlignment="1"/>
    <xf numFmtId="0" fontId="23" fillId="0" borderId="6" xfId="0" applyFont="1" applyFill="1" applyBorder="1" applyAlignment="1">
      <alignment horizontal="left" vertical="center"/>
    </xf>
    <xf numFmtId="0" fontId="23" fillId="0" borderId="0" xfId="0" applyFont="1" applyFill="1" applyBorder="1" applyAlignment="1">
      <alignment horizontal="center" vertical="center"/>
    </xf>
    <xf numFmtId="43" fontId="23" fillId="0" borderId="0" xfId="0" applyNumberFormat="1" applyFont="1" applyFill="1" applyBorder="1" applyAlignment="1">
      <alignment horizontal="center" vertical="center"/>
    </xf>
    <xf numFmtId="0" fontId="12" fillId="0" borderId="0" xfId="0" applyFont="1" applyAlignment="1">
      <alignment horizontal="center" vertical="center" wrapText="1"/>
    </xf>
    <xf numFmtId="0" fontId="0" fillId="0" borderId="0" xfId="0" applyAlignment="1">
      <alignment horizontal="right" vertical="center"/>
    </xf>
    <xf numFmtId="0" fontId="0" fillId="0" borderId="0" xfId="0" applyFont="1" applyAlignment="1">
      <alignment horizontal="right" vertical="center"/>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6" xfId="0" applyFont="1" applyFill="1" applyBorder="1" applyAlignment="1">
      <alignment horizontal="right" vertical="center" wrapText="1"/>
    </xf>
    <xf numFmtId="0" fontId="2" fillId="6" borderId="6" xfId="0" applyFont="1" applyFill="1" applyBorder="1" applyAlignment="1">
      <alignment horizontal="right" vertical="center" wrapText="1"/>
    </xf>
    <xf numFmtId="0" fontId="3" fillId="10" borderId="1" xfId="0" applyFont="1" applyFill="1" applyBorder="1" applyAlignment="1">
      <alignment horizontal="center" vertical="center" wrapText="1"/>
    </xf>
    <xf numFmtId="43" fontId="23" fillId="11" borderId="6" xfId="0" applyNumberFormat="1" applyFont="1" applyFill="1" applyBorder="1" applyAlignment="1">
      <alignment horizontal="center" vertical="center" wrapText="1"/>
    </xf>
    <xf numFmtId="0" fontId="0" fillId="7" borderId="6" xfId="0" applyFont="1" applyFill="1" applyBorder="1" applyAlignment="1">
      <alignment horizontal="center" vertical="center"/>
    </xf>
    <xf numFmtId="0" fontId="0" fillId="7" borderId="6" xfId="0" applyFont="1" applyFill="1" applyBorder="1" applyAlignment="1">
      <alignment horizontal="center" vertical="center" wrapText="1"/>
    </xf>
    <xf numFmtId="0" fontId="0" fillId="5" borderId="0"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2" fillId="0" borderId="6" xfId="0" applyFont="1" applyBorder="1" applyAlignment="1">
      <alignment horizontal="left" vertical="center" wrapText="1"/>
    </xf>
    <xf numFmtId="43" fontId="12" fillId="0" borderId="6" xfId="0" applyNumberFormat="1" applyFont="1" applyBorder="1" applyAlignment="1">
      <alignment horizontal="center" vertical="center" wrapText="1"/>
    </xf>
    <xf numFmtId="43" fontId="12" fillId="8" borderId="6" xfId="0" applyNumberFormat="1" applyFont="1" applyFill="1" applyBorder="1" applyAlignment="1">
      <alignment horizontal="center" vertical="center" wrapText="1"/>
    </xf>
    <xf numFmtId="43" fontId="12" fillId="0" borderId="6" xfId="0" applyNumberFormat="1" applyFont="1" applyFill="1" applyBorder="1" applyAlignment="1">
      <alignment horizontal="center" vertical="center" wrapText="1"/>
    </xf>
    <xf numFmtId="43" fontId="12" fillId="0" borderId="2" xfId="0" applyNumberFormat="1" applyFont="1" applyBorder="1" applyAlignment="1">
      <alignment horizontal="center" vertical="center" wrapText="1"/>
    </xf>
    <xf numFmtId="43" fontId="12" fillId="0" borderId="6" xfId="0" applyNumberFormat="1" applyFont="1" applyBorder="1" applyAlignment="1">
      <alignment horizontal="right" vertical="center" wrapText="1"/>
    </xf>
    <xf numFmtId="0" fontId="12" fillId="0" borderId="6" xfId="3" applyNumberFormat="1" applyFont="1" applyBorder="1" applyAlignment="1">
      <alignment horizontal="right" vertical="center" wrapText="1"/>
    </xf>
    <xf numFmtId="10" fontId="12" fillId="0" borderId="6" xfId="3" applyNumberFormat="1" applyFont="1" applyBorder="1" applyAlignment="1">
      <alignment horizontal="center" vertical="center" wrapText="1"/>
    </xf>
    <xf numFmtId="0" fontId="12" fillId="0" borderId="6" xfId="0" applyFont="1" applyBorder="1" applyAlignment="1">
      <alignment horizontal="center" vertical="center" wrapText="1"/>
    </xf>
    <xf numFmtId="0" fontId="12" fillId="10" borderId="6" xfId="0" applyFont="1" applyFill="1" applyBorder="1" applyAlignment="1">
      <alignment horizontal="center" vertical="center" wrapText="1"/>
    </xf>
    <xf numFmtId="43" fontId="12" fillId="0" borderId="0" xfId="0" applyNumberFormat="1" applyFont="1" applyFill="1" applyBorder="1" applyAlignment="1">
      <alignment horizontal="center" vertical="center" wrapText="1"/>
    </xf>
    <xf numFmtId="10" fontId="12" fillId="0" borderId="0" xfId="3" applyNumberFormat="1" applyFont="1" applyAlignment="1">
      <alignment horizontal="center" vertical="center" wrapText="1"/>
    </xf>
    <xf numFmtId="0" fontId="12" fillId="0" borderId="0" xfId="0" applyFont="1" applyAlignment="1">
      <alignment horizontal="left" vertical="center" wrapText="1"/>
    </xf>
    <xf numFmtId="0" fontId="12" fillId="0" borderId="6" xfId="0" applyFont="1" applyBorder="1" applyAlignment="1">
      <alignment horizontal="right" vertical="center" wrapText="1"/>
    </xf>
    <xf numFmtId="10" fontId="12" fillId="0" borderId="6" xfId="3" applyNumberFormat="1" applyFont="1" applyBorder="1" applyAlignment="1">
      <alignment horizontal="righ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千位分隔 10" xfId="49"/>
    <cellStyle name="Normal" xfId="50"/>
    <cellStyle name="常规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B20"/>
  <sheetViews>
    <sheetView zoomScale="85" zoomScaleNormal="85" workbookViewId="0">
      <pane xSplit="2" ySplit="3" topLeftCell="CO4" activePane="bottomRight" state="frozen"/>
      <selection/>
      <selection pane="topRight"/>
      <selection pane="bottomLeft"/>
      <selection pane="bottomRight" activeCell="CV14" sqref="CV14"/>
    </sheetView>
  </sheetViews>
  <sheetFormatPr defaultColWidth="8.88333333333333" defaultRowHeight="24.95" customHeight="1"/>
  <cols>
    <col min="1" max="1" width="18.5" customWidth="1"/>
    <col min="2" max="2" width="25.1333333333333" customWidth="1"/>
    <col min="3" max="3" width="15.75" customWidth="1"/>
    <col min="4" max="4" width="17.5" customWidth="1"/>
    <col min="5" max="5" width="16.85" customWidth="1"/>
    <col min="6" max="7" width="11.3833333333333" customWidth="1"/>
    <col min="8" max="8" width="17.1333333333333" customWidth="1"/>
    <col min="9" max="9" width="16.75" customWidth="1"/>
    <col min="10" max="15" width="14.5" customWidth="1"/>
    <col min="16" max="21" width="15.75" customWidth="1"/>
    <col min="22" max="22" width="17.1333333333333" customWidth="1"/>
    <col min="23" max="24" width="15.75" customWidth="1"/>
    <col min="25" max="25" width="16.8833333333333" customWidth="1"/>
    <col min="26" max="26" width="17.5" customWidth="1"/>
    <col min="27" max="29" width="14.5" customWidth="1"/>
    <col min="30" max="33" width="15.75" customWidth="1"/>
    <col min="34" max="36" width="15.75" style="210" customWidth="1"/>
    <col min="37" max="37" width="13.8833333333333" style="210" customWidth="1"/>
    <col min="38" max="38" width="13.8833333333333" customWidth="1"/>
    <col min="39" max="40" width="12.3833333333333" customWidth="1"/>
    <col min="41" max="41" width="11.6333333333333" customWidth="1"/>
    <col min="42" max="42" width="12.8833333333333" customWidth="1"/>
    <col min="43" max="43" width="10.75" customWidth="1"/>
    <col min="44" max="44" width="12" customWidth="1"/>
    <col min="45" max="45" width="13.8833333333333" customWidth="1"/>
    <col min="46" max="46" width="14.5" customWidth="1"/>
    <col min="47" max="54" width="15.75" customWidth="1"/>
    <col min="55" max="55" width="12.8833333333333" customWidth="1"/>
    <col min="56" max="56" width="14.4416666666667"/>
    <col min="59" max="60" width="12.4416666666667"/>
    <col min="63" max="63" width="11.4416666666667"/>
    <col min="64" max="64" width="16.4416666666667"/>
    <col min="65" max="65" width="14.4416666666667"/>
    <col min="66" max="67" width="16.4416666666667"/>
    <col min="68" max="68" width="13.75" customWidth="1"/>
    <col min="69" max="69" width="11.6333333333333" customWidth="1"/>
    <col min="70" max="70" width="15.4416666666667" customWidth="1"/>
    <col min="71" max="71" width="12.4416666666667"/>
    <col min="73" max="73" width="16.6083333333333" customWidth="1"/>
    <col min="80" max="80" width="14.4416666666667"/>
    <col min="82" max="82" width="15.4416666666667"/>
    <col min="84" max="84" width="35.5" customWidth="1"/>
    <col min="92" max="93" width="15.4416666666667"/>
    <col min="96" max="96" width="17.4416666666667"/>
    <col min="97" max="97" width="13.4416666666667"/>
    <col min="98" max="100" width="15.4416666666667"/>
    <col min="101" max="101" width="12.4416666666667"/>
    <col min="102" max="102" width="15.4416666666667"/>
    <col min="104" max="104" width="31.1083333333333" customWidth="1"/>
    <col min="105" max="105" width="36.3333333333333" customWidth="1"/>
  </cols>
  <sheetData>
    <row r="1" s="7" customFormat="1" ht="21.95" customHeight="1" spans="1:106">
      <c r="A1" s="33"/>
      <c r="B1" s="33" t="s">
        <v>0</v>
      </c>
      <c r="AH1" s="211"/>
      <c r="AI1" s="211"/>
      <c r="AJ1" s="211"/>
      <c r="AK1" s="211"/>
    </row>
    <row r="2" s="1" customFormat="1" ht="30.95" customHeight="1" spans="1:106">
      <c r="A2" s="9" t="s">
        <v>1</v>
      </c>
      <c r="B2" s="9" t="s">
        <v>2</v>
      </c>
      <c r="C2" s="212" t="s">
        <v>3</v>
      </c>
      <c r="D2" s="213"/>
      <c r="E2" s="213"/>
      <c r="F2" s="213"/>
      <c r="G2" s="213"/>
      <c r="H2" s="213"/>
      <c r="I2" s="213"/>
      <c r="J2" s="213"/>
      <c r="K2" s="213"/>
      <c r="L2" s="213"/>
      <c r="M2" s="213"/>
      <c r="N2" s="213"/>
      <c r="O2" s="213"/>
      <c r="P2" s="213"/>
      <c r="Q2" s="214"/>
      <c r="R2" s="214"/>
      <c r="S2" s="214"/>
      <c r="T2" s="214"/>
      <c r="U2" s="215" t="s">
        <v>4</v>
      </c>
      <c r="V2" s="216"/>
      <c r="W2" s="216"/>
      <c r="X2" s="216"/>
      <c r="Y2" s="216"/>
      <c r="Z2" s="216"/>
      <c r="AA2" s="216"/>
      <c r="AB2" s="216"/>
      <c r="AC2" s="216"/>
      <c r="AD2" s="216"/>
      <c r="AE2" s="216"/>
      <c r="AF2" s="216"/>
      <c r="AG2" s="216"/>
      <c r="AH2" s="217" t="s">
        <v>5</v>
      </c>
      <c r="AI2" s="217" t="s">
        <v>6</v>
      </c>
      <c r="AJ2" s="217" t="s">
        <v>7</v>
      </c>
      <c r="AK2" s="218" t="s">
        <v>8</v>
      </c>
      <c r="AL2" s="9" t="s">
        <v>9</v>
      </c>
      <c r="AM2" s="9" t="s">
        <v>10</v>
      </c>
      <c r="AN2" s="9" t="s">
        <v>11</v>
      </c>
      <c r="AO2" s="9" t="s">
        <v>12</v>
      </c>
      <c r="AP2" s="9" t="s">
        <v>13</v>
      </c>
      <c r="AQ2" s="9" t="s">
        <v>14</v>
      </c>
      <c r="AR2" s="9" t="s">
        <v>15</v>
      </c>
      <c r="AS2" s="9" t="s">
        <v>16</v>
      </c>
      <c r="AT2" s="9" t="s">
        <v>17</v>
      </c>
      <c r="AU2" s="219" t="s">
        <v>18</v>
      </c>
      <c r="AV2" s="219" t="s">
        <v>19</v>
      </c>
      <c r="AW2" s="219" t="s">
        <v>20</v>
      </c>
      <c r="AX2" s="219" t="s">
        <v>21</v>
      </c>
      <c r="AY2" s="219" t="s">
        <v>22</v>
      </c>
      <c r="AZ2" s="219" t="s">
        <v>23</v>
      </c>
      <c r="BA2" s="219" t="s">
        <v>24</v>
      </c>
      <c r="BB2" s="219" t="s">
        <v>25</v>
      </c>
      <c r="BC2" s="220" t="s">
        <v>26</v>
      </c>
      <c r="BD2" s="220" t="s">
        <v>27</v>
      </c>
      <c r="BE2" s="220" t="s">
        <v>28</v>
      </c>
      <c r="BF2" s="220" t="s">
        <v>29</v>
      </c>
      <c r="BG2" s="220" t="s">
        <v>30</v>
      </c>
      <c r="BH2" s="220" t="s">
        <v>31</v>
      </c>
      <c r="BI2" s="220" t="s">
        <v>32</v>
      </c>
      <c r="BJ2" s="220" t="s">
        <v>33</v>
      </c>
      <c r="BK2" s="220" t="s">
        <v>34</v>
      </c>
      <c r="BL2" s="220" t="s">
        <v>35</v>
      </c>
      <c r="BM2" s="220" t="s">
        <v>36</v>
      </c>
      <c r="BN2" s="220" t="s">
        <v>37</v>
      </c>
      <c r="BO2" s="220" t="s">
        <v>38</v>
      </c>
      <c r="BP2" s="220" t="s">
        <v>39</v>
      </c>
      <c r="BQ2" s="220" t="s">
        <v>40</v>
      </c>
      <c r="BR2" s="220" t="s">
        <v>41</v>
      </c>
      <c r="BS2" s="220" t="s">
        <v>42</v>
      </c>
      <c r="BT2" s="220" t="s">
        <v>43</v>
      </c>
      <c r="BU2" s="220" t="s">
        <v>44</v>
      </c>
      <c r="BV2" s="220" t="s">
        <v>45</v>
      </c>
      <c r="BW2" s="220" t="s">
        <v>46</v>
      </c>
      <c r="BX2" s="220" t="s">
        <v>47</v>
      </c>
      <c r="BY2" s="220" t="s">
        <v>48</v>
      </c>
      <c r="BZ2" s="220" t="s">
        <v>49</v>
      </c>
      <c r="CA2" s="220" t="s">
        <v>50</v>
      </c>
      <c r="CB2" s="220" t="s">
        <v>51</v>
      </c>
      <c r="CC2" s="220" t="s">
        <v>52</v>
      </c>
      <c r="CD2" s="220" t="s">
        <v>53</v>
      </c>
      <c r="CE2" s="220" t="s">
        <v>54</v>
      </c>
      <c r="CF2" s="220" t="s">
        <v>55</v>
      </c>
      <c r="CG2" s="220" t="s">
        <v>56</v>
      </c>
      <c r="CH2" s="220" t="s">
        <v>57</v>
      </c>
      <c r="CI2" s="220" t="s">
        <v>58</v>
      </c>
      <c r="CJ2" s="220" t="s">
        <v>59</v>
      </c>
      <c r="CK2" s="220" t="s">
        <v>60</v>
      </c>
      <c r="CL2" s="220" t="s">
        <v>61</v>
      </c>
      <c r="CM2" s="220" t="s">
        <v>62</v>
      </c>
      <c r="CN2" s="220" t="s">
        <v>63</v>
      </c>
      <c r="CO2" s="220" t="s">
        <v>64</v>
      </c>
      <c r="CP2" s="220" t="s">
        <v>65</v>
      </c>
      <c r="CQ2" s="220" t="s">
        <v>66</v>
      </c>
      <c r="CR2" s="221" t="s">
        <v>67</v>
      </c>
      <c r="CS2" s="221" t="s">
        <v>67</v>
      </c>
      <c r="CT2" s="221" t="s">
        <v>67</v>
      </c>
      <c r="CU2" s="221" t="s">
        <v>67</v>
      </c>
      <c r="CV2" s="222" t="s">
        <v>68</v>
      </c>
      <c r="CW2" s="221" t="s">
        <v>67</v>
      </c>
      <c r="CX2" s="222" t="s">
        <v>69</v>
      </c>
      <c r="CY2" s="222" t="s">
        <v>70</v>
      </c>
      <c r="CZ2" s="223" t="s">
        <v>71</v>
      </c>
      <c r="DA2" s="223" t="s">
        <v>72</v>
      </c>
      <c r="DB2" s="116" t="s">
        <v>73</v>
      </c>
    </row>
    <row r="3" s="1" customFormat="1" ht="30.95" customHeight="1" spans="1:106">
      <c r="A3" s="14"/>
      <c r="B3" s="14"/>
      <c r="C3" s="224" t="s">
        <v>74</v>
      </c>
      <c r="D3" s="224" t="s">
        <v>75</v>
      </c>
      <c r="E3" s="224" t="s">
        <v>76</v>
      </c>
      <c r="F3" s="224" t="s">
        <v>77</v>
      </c>
      <c r="G3" s="224" t="s">
        <v>78</v>
      </c>
      <c r="H3" s="224" t="s">
        <v>79</v>
      </c>
      <c r="I3" s="224" t="s">
        <v>80</v>
      </c>
      <c r="J3" s="225" t="s">
        <v>81</v>
      </c>
      <c r="K3" s="225" t="s">
        <v>82</v>
      </c>
      <c r="L3" s="224" t="s">
        <v>83</v>
      </c>
      <c r="M3" s="225" t="s">
        <v>84</v>
      </c>
      <c r="N3" s="225" t="s">
        <v>85</v>
      </c>
      <c r="O3" s="224" t="s">
        <v>86</v>
      </c>
      <c r="P3" s="225" t="s">
        <v>87</v>
      </c>
      <c r="Q3" s="224" t="s">
        <v>88</v>
      </c>
      <c r="R3" s="225" t="s">
        <v>89</v>
      </c>
      <c r="S3" s="225" t="s">
        <v>90</v>
      </c>
      <c r="T3" s="224" t="s">
        <v>91</v>
      </c>
      <c r="U3" s="226" t="s">
        <v>74</v>
      </c>
      <c r="V3" s="226" t="s">
        <v>75</v>
      </c>
      <c r="W3" s="226" t="s">
        <v>76</v>
      </c>
      <c r="X3" s="226" t="s">
        <v>78</v>
      </c>
      <c r="Y3" s="226" t="s">
        <v>92</v>
      </c>
      <c r="Z3" s="226" t="s">
        <v>93</v>
      </c>
      <c r="AA3" s="226" t="s">
        <v>83</v>
      </c>
      <c r="AB3" s="227" t="s">
        <v>94</v>
      </c>
      <c r="AC3" s="226" t="s">
        <v>95</v>
      </c>
      <c r="AD3" s="227" t="s">
        <v>96</v>
      </c>
      <c r="AE3" s="226" t="s">
        <v>88</v>
      </c>
      <c r="AF3" s="227" t="s">
        <v>89</v>
      </c>
      <c r="AG3" s="215" t="s">
        <v>97</v>
      </c>
      <c r="AH3" s="217"/>
      <c r="AI3" s="217"/>
      <c r="AJ3" s="217"/>
      <c r="AK3" s="218"/>
      <c r="AL3" s="14"/>
      <c r="AM3" s="14"/>
      <c r="AN3" s="14"/>
      <c r="AO3" s="14"/>
      <c r="AP3" s="14"/>
      <c r="AQ3" s="14"/>
      <c r="AR3" s="14"/>
      <c r="AS3" s="14"/>
      <c r="AT3" s="14"/>
      <c r="AU3" s="228"/>
      <c r="AV3" s="228"/>
      <c r="AW3" s="228"/>
      <c r="AX3" s="228"/>
      <c r="AY3" s="228"/>
      <c r="AZ3" s="228"/>
      <c r="BA3" s="228"/>
      <c r="BB3" s="228"/>
      <c r="BC3" s="220"/>
      <c r="BD3" s="220"/>
      <c r="BE3" s="220"/>
      <c r="BF3" s="220"/>
      <c r="BG3" s="220"/>
      <c r="BH3" s="220"/>
      <c r="BI3" s="220"/>
      <c r="BJ3" s="220"/>
      <c r="BK3" s="220"/>
      <c r="BL3" s="220"/>
      <c r="BM3" s="220"/>
      <c r="BN3" s="220"/>
      <c r="BO3" s="220"/>
      <c r="BP3" s="220"/>
      <c r="BQ3" s="220"/>
      <c r="BR3" s="220"/>
      <c r="BS3" s="220"/>
      <c r="BT3" s="220"/>
      <c r="BU3" s="220"/>
      <c r="BV3" s="220"/>
      <c r="BW3" s="220"/>
      <c r="BX3" s="220"/>
      <c r="BY3" s="220"/>
      <c r="BZ3" s="220"/>
      <c r="CA3" s="220"/>
      <c r="CB3" s="220"/>
      <c r="CC3" s="220"/>
      <c r="CD3" s="220"/>
      <c r="CE3" s="220"/>
      <c r="CF3" s="220"/>
      <c r="CG3" s="220"/>
      <c r="CH3" s="220"/>
      <c r="CI3" s="220"/>
      <c r="CJ3" s="220"/>
      <c r="CK3" s="220"/>
      <c r="CL3" s="220"/>
      <c r="CM3" s="220"/>
      <c r="CN3" s="220"/>
      <c r="CO3" s="220"/>
      <c r="CP3" s="220"/>
      <c r="CQ3" s="220"/>
      <c r="CR3" s="229" t="s">
        <v>98</v>
      </c>
      <c r="CS3" s="229" t="s">
        <v>99</v>
      </c>
      <c r="CT3" s="229" t="s">
        <v>100</v>
      </c>
      <c r="CU3" s="229" t="s">
        <v>101</v>
      </c>
      <c r="CV3" s="229" t="s">
        <v>102</v>
      </c>
      <c r="CW3" s="229" t="s">
        <v>103</v>
      </c>
      <c r="CX3" s="229" t="s">
        <v>104</v>
      </c>
      <c r="CY3" s="229" t="s">
        <v>105</v>
      </c>
      <c r="CZ3" s="223"/>
      <c r="DA3" s="223"/>
      <c r="DB3" s="116"/>
    </row>
    <row r="4" s="209" customFormat="1" ht="33" customHeight="1" spans="1:106">
      <c r="A4" s="230" t="str">
        <f>'武隆污水（不上系统）'!L4</f>
        <v>中铁二院武隆污水厂项目部</v>
      </c>
      <c r="B4" s="230" t="str">
        <f>'武隆污水（不上系统）'!M4</f>
        <v>武隆污水处理厂二期扩建工程EPC</v>
      </c>
      <c r="C4" s="231">
        <f>'武隆污水（不上系统）'!E4</f>
        <v>2933770.39</v>
      </c>
      <c r="D4" s="231">
        <f>'武隆污水（不上系统）'!F4</f>
        <v>116656003.9</v>
      </c>
      <c r="E4" s="231">
        <f>'武隆污水（不上系统）'!G4</f>
        <v>0</v>
      </c>
      <c r="F4" s="231">
        <f>'武隆污水（不上系统）'!H4</f>
        <v>0</v>
      </c>
      <c r="G4" s="231">
        <f>'武隆污水（不上系统）'!I4</f>
        <v>0</v>
      </c>
      <c r="H4" s="232">
        <f>SUM(C4:G4)</f>
        <v>119589774.29</v>
      </c>
      <c r="I4" s="232">
        <f t="shared" ref="I4:I20" si="0">C4/1.06+D4/1.09+E4/1.13+F4/1.06+G4/1.06</f>
        <v>109791564.704085</v>
      </c>
      <c r="J4" s="231">
        <f>'武隆污水（不上系统）'!V11</f>
        <v>106220633.37</v>
      </c>
      <c r="K4" s="231">
        <f>'武隆污水（不上系统）'!W11</f>
        <v>103243215.74</v>
      </c>
      <c r="L4" s="231">
        <f>'武隆污水（不上系统）'!G11</f>
        <v>119589774.29</v>
      </c>
      <c r="M4" s="231">
        <f>'武隆污水（不上系统）'!H17</f>
        <v>10601433.01</v>
      </c>
      <c r="N4" s="231">
        <f>'武隆污水（不上系统）'!C11</f>
        <v>116656003.9</v>
      </c>
      <c r="O4" s="231">
        <f>'武隆污水（不上系统）'!S11</f>
        <v>108988341.28</v>
      </c>
      <c r="P4" s="231">
        <f>'武隆污水（不上系统）'!O11</f>
        <v>106220633.37</v>
      </c>
      <c r="Q4" s="231">
        <f>'武隆污水（不上系统）'!M11</f>
        <v>119589774.29</v>
      </c>
      <c r="R4" s="231">
        <f>'武隆污水（不上系统）'!I11</f>
        <v>116656003.9</v>
      </c>
      <c r="S4" s="231">
        <f>'武隆污水（不上系统）'!X17</f>
        <v>10601433.01</v>
      </c>
      <c r="T4" s="231">
        <f>'武隆污水（不上系统）'!T11</f>
        <v>119589774.29</v>
      </c>
      <c r="U4" s="233">
        <f>'武隆污水（不上系统）'!E5+'武隆污水（不上系统）'!E6</f>
        <v>2000000</v>
      </c>
      <c r="V4" s="233">
        <f>'武隆污水（不上系统）'!F5+'武隆污水（不上系统）'!F6</f>
        <v>113403798.09</v>
      </c>
      <c r="W4" s="233">
        <f>'武隆污水（不上系统）'!G5+'武隆污水（不上系统）'!G6</f>
        <v>0</v>
      </c>
      <c r="X4" s="233">
        <f>'武隆污水（不上系统）'!H5+'武隆污水（不上系统）'!H6</f>
        <v>0</v>
      </c>
      <c r="Y4" s="232">
        <f t="shared" ref="Y4:Y20" si="1">SUM(U4:X4)</f>
        <v>115403798.09</v>
      </c>
      <c r="Z4" s="232">
        <f t="shared" ref="Z4:Z20" si="2">U4/1.06+V4/1.09+W4/1.13+X4/1.06</f>
        <v>105926974.186775</v>
      </c>
      <c r="AA4" s="231">
        <f>'武隆污水（不上系统）'!G12+'武隆污水（不上系统）'!G13</f>
        <v>114953798.09</v>
      </c>
      <c r="AB4" s="231">
        <f>'武隆污水（不上系统）'!C12</f>
        <v>113403798.09</v>
      </c>
      <c r="AC4" s="231">
        <f>'武隆污水（不上系统）'!S12+'武隆污水（不上系统）'!S13</f>
        <v>104705479.9</v>
      </c>
      <c r="AD4" s="231">
        <f>'武隆污水（不上系统）'!O12</f>
        <v>103243215.74</v>
      </c>
      <c r="AE4" s="231">
        <f>'武隆污水（不上系统）'!M12+'武隆污水（不上系统）'!M13</f>
        <v>114953798.09</v>
      </c>
      <c r="AF4" s="234">
        <f>'武隆污水（不上系统）'!I12</f>
        <v>113403798.09</v>
      </c>
      <c r="AG4" s="234">
        <f>'武隆污水（不上系统）'!T12+'武隆污水（不上系统）'!T13</f>
        <v>114953798.09</v>
      </c>
      <c r="AH4" s="235">
        <f>'武隆污水（不上系统）'!I102</f>
        <v>460219.88</v>
      </c>
      <c r="AI4" s="235">
        <f>'武隆污水（不上系统）'!I103</f>
        <v>-31159.52</v>
      </c>
      <c r="AJ4" s="235">
        <f>'武隆污水（不上系统）'!E98+'武隆污水（不上系统）'!F98+'武隆污水（不上系统）'!G98+'武隆污水（不上系统）'!H98+'武隆污水（不上系统）'!J98+'武隆污水（不上系统）'!K98</f>
        <v>356700.42</v>
      </c>
      <c r="AK4" s="236">
        <f>'武隆污水（不上系统）'!D98</f>
        <v>35350.07</v>
      </c>
      <c r="AL4" s="237">
        <f>'武隆污水（不上系统）'!K4</f>
        <v>0.0278785977684257</v>
      </c>
      <c r="AM4" s="230" t="str">
        <f>'武隆污水（不上系统）'!N4</f>
        <v>经计部</v>
      </c>
      <c r="AN4" s="230" t="str">
        <f>'武隆污水（不上系统）'!O4</f>
        <v>生态环境院</v>
      </c>
      <c r="AO4" s="230">
        <f>'武隆污水（不上系统）'!S4</f>
        <v>0</v>
      </c>
      <c r="AP4" s="230">
        <f>'武隆污水（不上系统）'!T4</f>
        <v>0</v>
      </c>
      <c r="AQ4" s="230">
        <f>'武隆污水（不上系统）'!U4</f>
        <v>0</v>
      </c>
      <c r="AR4" s="230" t="str">
        <f>'武隆污水（不上系统）'!V4</f>
        <v>市政</v>
      </c>
      <c r="AS4" s="230" t="str">
        <f>'武隆污水（不上系统）'!W4</f>
        <v>重庆市武隆区</v>
      </c>
      <c r="AT4" s="230" t="str">
        <f>'武隆污水（不上系统）'!X4</f>
        <v>竣工未决算</v>
      </c>
      <c r="AU4" s="238"/>
      <c r="AV4" s="238">
        <f>'武隆污水（不上系统）'!E133</f>
        <v>0</v>
      </c>
      <c r="AW4" s="239">
        <f>AV4/1.09</f>
        <v>0</v>
      </c>
      <c r="AX4" s="239" t="e">
        <f>AW4/#REF!*#REF!</f>
        <v>#REF!</v>
      </c>
      <c r="AY4" s="238"/>
      <c r="AZ4" s="238"/>
      <c r="BA4" s="239" t="e">
        <f t="shared" ref="BA4:BA12" si="3">(AU4-AY4)+(AX4-AU4/1.09)</f>
        <v>#REF!</v>
      </c>
      <c r="BB4" s="239">
        <f t="shared" ref="BB4:BB12" si="4">AV4-AZ4</f>
        <v>0</v>
      </c>
      <c r="BC4" s="231">
        <f t="array" ref="BC4">INDEX(账面数据!$A$1:$BB$10000,MATCH($B4,账面数据!$A:$A,0),MATCH(BC$2,账面数据!$1:$1,0))</f>
        <v>0</v>
      </c>
      <c r="BD4" s="231">
        <f t="array" ref="BD4">INDEX(账面数据!$A$1:$BB$10000,MATCH($B4,账面数据!$A:$A,0),MATCH(BD$2,账面数据!$1:$1,0))</f>
        <v>0</v>
      </c>
      <c r="BE4" s="231">
        <f t="array" ref="BE4">INDEX(账面数据!$A$1:$BB$10000,MATCH($B4,账面数据!$A:$A,0),MATCH(BE$2,账面数据!$1:$1,0))</f>
        <v>0</v>
      </c>
      <c r="BF4" s="231">
        <f t="array" ref="BF4">INDEX(账面数据!$A$1:$BB$10000,MATCH($B4,账面数据!$A:$A,0),MATCH(BF$2,账面数据!$1:$1,0))</f>
        <v>0</v>
      </c>
      <c r="BG4" s="231">
        <f t="array" ref="BG4">INDEX(账面数据!$A$1:$BB$10000,MATCH($B4,账面数据!$A:$A,0),MATCH(BG$2,账面数据!$1:$1,0))</f>
        <v>0</v>
      </c>
      <c r="BH4" s="231">
        <f t="array" ref="BH4">INDEX(账面数据!$A$1:$BB$10000,MATCH($B4,账面数据!$A:$A,0),MATCH(BH$2,账面数据!$1:$1,0))</f>
        <v>0</v>
      </c>
      <c r="BI4" s="231">
        <f t="array" ref="BI4">INDEX(账面数据!$A$1:$BB$10000,MATCH($B4,账面数据!$A:$A,0),MATCH(BI$2,账面数据!$1:$1,0))</f>
        <v>0</v>
      </c>
      <c r="BJ4" s="231">
        <f t="array" ref="BJ4">INDEX(账面数据!$A$1:$BB$10000,MATCH($B4,账面数据!$A:$A,0),MATCH(BJ$2,账面数据!$1:$1,0))</f>
        <v>0</v>
      </c>
      <c r="BK4" s="231">
        <f t="array" ref="BK4">INDEX(账面数据!$A$1:$BB$10000,MATCH($B4,账面数据!$A:$A,0),MATCH(BK$2,账面数据!$1:$1,0))</f>
        <v>0</v>
      </c>
      <c r="BL4" s="231">
        <f t="array" ref="BL4">INDEX(账面数据!$A$1:$BB$10000,MATCH($B4,账面数据!$A:$A,0),MATCH(BL$2,账面数据!$1:$1,0))</f>
        <v>0</v>
      </c>
      <c r="BM4" s="231">
        <f t="array" ref="BM4">INDEX(账面数据!$A$1:$BB$10000,MATCH($B4,账面数据!$A:$A,0),MATCH(BM$2,账面数据!$1:$1,0))</f>
        <v>0</v>
      </c>
      <c r="BN4" s="231">
        <f t="array" ref="BN4">INDEX(账面数据!$A$1:$BB$10000,MATCH($B4,账面数据!$A:$A,0),MATCH(BN$2,账面数据!$1:$1,0))</f>
        <v>0</v>
      </c>
      <c r="BO4" s="231">
        <f t="array" ref="BO4">INDEX(账面数据!$A$1:$BB$10000,MATCH($B4,账面数据!$A:$A,0),MATCH(BO$2,账面数据!$1:$1,0))</f>
        <v>0</v>
      </c>
      <c r="BP4" s="231">
        <f t="array" ref="BP4">INDEX(账面数据!$A$1:$BB$10000,MATCH($B4,账面数据!$A:$A,0),MATCH(BP$2,账面数据!$1:$1,0))</f>
        <v>0</v>
      </c>
      <c r="BQ4" s="231">
        <f t="array" ref="BQ4">INDEX(账面数据!$A$1:$BB$10000,MATCH($B4,账面数据!$A:$A,0),MATCH(BQ$2,账面数据!$1:$1,0))</f>
        <v>0</v>
      </c>
      <c r="BR4" s="231">
        <f t="array" ref="BR4">INDEX(账面数据!$A$1:$BB$10000,MATCH($B4,账面数据!$A:$A,0),MATCH(BR$2,账面数据!$1:$1,0))</f>
        <v>0</v>
      </c>
      <c r="BS4" s="231">
        <f t="array" ref="BS4">INDEX(账面数据!$A$1:$BB$10000,MATCH($B4,账面数据!$A:$A,0),MATCH(BS$2,账面数据!$1:$1,0))</f>
        <v>0</v>
      </c>
      <c r="BT4" s="231">
        <f t="array" ref="BT4">INDEX(账面数据!$A$1:$BB$10000,MATCH($B4,账面数据!$A:$A,0),MATCH(BT$2,账面数据!$1:$1,0))</f>
        <v>0</v>
      </c>
      <c r="BU4" s="231">
        <f t="array" ref="BU4">INDEX(账面数据!$A$1:$BB$10000,MATCH($B4,账面数据!$A:$A,0),MATCH(BU$2,账面数据!$1:$1,0))</f>
        <v>0</v>
      </c>
      <c r="BV4" s="231">
        <f t="array" ref="BV4">INDEX(账面数据!$A$1:$BB$10000,MATCH($B4,账面数据!$A:$A,0),MATCH(BV$2,账面数据!$1:$1,0))</f>
        <v>0</v>
      </c>
      <c r="BW4" s="231">
        <f t="array" ref="BW4">INDEX(账面数据!$A$1:$BB$10000,MATCH($B4,账面数据!$A:$A,0),MATCH(BW$2,账面数据!$1:$1,0))</f>
        <v>0</v>
      </c>
      <c r="BX4" s="231">
        <f t="array" ref="BX4">INDEX(账面数据!$A$1:$BB$10000,MATCH($B4,账面数据!$A:$A,0),MATCH(BX$2,账面数据!$1:$1,0))</f>
        <v>0</v>
      </c>
      <c r="BY4" s="231">
        <f t="array" ref="BY4">INDEX(账面数据!$A$1:$BB$10000,MATCH($B4,账面数据!$A:$A,0),MATCH(BY$2,账面数据!$1:$1,0))</f>
        <v>0</v>
      </c>
      <c r="BZ4" s="231">
        <f t="array" ref="BZ4">INDEX(账面数据!$A$1:$BB$10000,MATCH($B4,账面数据!$A:$A,0),MATCH(BZ$2,账面数据!$1:$1,0))</f>
        <v>0</v>
      </c>
      <c r="CA4" s="231">
        <f t="array" ref="CA4">INDEX(账面数据!$A$1:$BB$10000,MATCH($B4,账面数据!$A:$A,0),MATCH(CA$2,账面数据!$1:$1,0))</f>
        <v>0</v>
      </c>
      <c r="CB4" s="231">
        <f t="array" ref="CB4">INDEX(账面数据!$A$1:$BB$10000,MATCH($B4,账面数据!$A:$A,0),MATCH(CB$2,账面数据!$1:$1,0))</f>
        <v>0</v>
      </c>
      <c r="CC4" s="231">
        <f t="array" ref="CC4">INDEX(账面数据!$A$1:$BB$10000,MATCH($B4,账面数据!$A:$A,0),MATCH(CC$2,账面数据!$1:$1,0))</f>
        <v>0</v>
      </c>
      <c r="CD4" s="231">
        <f t="array" ref="CD4">INDEX(账面数据!$A$1:$BB$10000,MATCH($B4,账面数据!$A:$A,0),MATCH(CD$2,账面数据!$1:$1,0))</f>
        <v>104894279.1</v>
      </c>
      <c r="CE4" s="231">
        <f t="array" ref="CE4">INDEX(账面数据!$A$1:$BB$10000,MATCH($B4,账面数据!$A:$A,0),MATCH(CE$2,账面数据!$1:$1,0))</f>
        <v>0</v>
      </c>
      <c r="CF4" s="231">
        <f t="array" ref="CF4">INDEX(账面数据!$A$1:$BB$10000,MATCH($B4,账面数据!$A:$A,0),MATCH(CF$2,账面数据!$1:$1,0))</f>
        <v>460219.88</v>
      </c>
      <c r="CG4" s="231">
        <f t="array" ref="CG4">INDEX(账面数据!$A$1:$BB$10000,MATCH($B4,账面数据!$A:$A,0),MATCH(CG$2,账面数据!$1:$1,0))</f>
        <v>0</v>
      </c>
      <c r="CH4" s="231">
        <f t="array" ref="CH4">INDEX(账面数据!$A$1:$BB$10000,MATCH($B4,账面数据!$A:$A,0),MATCH(CH$2,账面数据!$1:$1,0))</f>
        <v>0</v>
      </c>
      <c r="CI4" s="231">
        <f t="array" ref="CI4">INDEX(账面数据!$A$1:$BB$10000,MATCH($B4,账面数据!$A:$A,0),MATCH(CI$2,账面数据!$1:$1,0))</f>
        <v>0</v>
      </c>
      <c r="CJ4" s="231">
        <f t="array" ref="CJ4">INDEX(账面数据!$A$1:$BB$10000,MATCH($B4,账面数据!$A:$A,0),MATCH(CJ$2,账面数据!$1:$1,0))</f>
        <v>0</v>
      </c>
      <c r="CK4" s="231">
        <f t="array" ref="CK4">INDEX(账面数据!$A$1:$BB$10000,MATCH($B4,账面数据!$A:$A,0),MATCH(CK$2,账面数据!$1:$1,0))</f>
        <v>0</v>
      </c>
      <c r="CL4" s="231">
        <f t="array" ref="CL4">INDEX(账面数据!$A$1:$BB$10000,MATCH($B4,账面数据!$A:$A,0),MATCH(CL$2,账面数据!$1:$1,0))</f>
        <v>0</v>
      </c>
      <c r="CM4" s="231">
        <f t="array" ref="CM4">INDEX(账面数据!$A$1:$BB$10000,MATCH($B4,账面数据!$A:$A,0),MATCH(CM$2,账面数据!$1:$1,0))</f>
        <v>0</v>
      </c>
      <c r="CN4" s="231">
        <f t="array" ref="CN4">INDEX(账面数据!$A$1:$BB$10000,MATCH($B4,账面数据!$A:$A,0),MATCH(CN$2,账面数据!$1:$1,0))</f>
        <v>106220633.37</v>
      </c>
      <c r="CO4" s="231">
        <f t="array" ref="CO4">INDEX(账面数据!$A$1:$BB$10000,MATCH($B4,账面数据!$A:$A,0),MATCH(CO$2,账面数据!$1:$1,0))</f>
        <v>106220633.37</v>
      </c>
      <c r="CP4" s="231">
        <f t="array" ref="CP4">INDEX(账面数据!$A$1:$BB$10000,MATCH($B4,账面数据!$A:$A,0),MATCH(CP$2,账面数据!$1:$1,0))</f>
        <v>0</v>
      </c>
      <c r="CQ4" s="231">
        <f t="array" ref="CQ4">INDEX(账面数据!$A$1:$BB$10000,MATCH($B4,账面数据!$A:$A,0),MATCH(CQ$2,账面数据!$1:$1,0))</f>
        <v>0</v>
      </c>
      <c r="CR4" s="240">
        <f>L4-T4-BC4-BF4-BM4-BN4+BQ4-BR4</f>
        <v>0</v>
      </c>
      <c r="CS4" s="240">
        <f>M4-S4-BR4-BS4</f>
        <v>0</v>
      </c>
      <c r="CT4" s="240">
        <f>AD4/K4*J4-P4</f>
        <v>0</v>
      </c>
      <c r="CU4" s="240">
        <f>AA4-AG4-BO4+BP4-BX4-BU4+BD4</f>
        <v>0</v>
      </c>
      <c r="CV4" s="240">
        <f>N4*(1-AL4)-AB4</f>
        <v>0</v>
      </c>
      <c r="CW4" s="240">
        <f>(R4-AF4)/1.09*0.02-AK4</f>
        <v>24323.4311009175</v>
      </c>
      <c r="CX4" s="240">
        <f>BC4+(CN4-CO4)-BQ4</f>
        <v>0</v>
      </c>
      <c r="CY4" s="241">
        <f>L4/H4-AA4/Y4</f>
        <v>0.00389935173233258</v>
      </c>
      <c r="CZ4" s="209" t="s">
        <v>106</v>
      </c>
      <c r="DA4" s="209" t="s">
        <v>107</v>
      </c>
      <c r="DB4" s="209" t="s">
        <v>108</v>
      </c>
    </row>
    <row r="5" s="209" customFormat="1" ht="33" customHeight="1" spans="1:106">
      <c r="A5" s="230" t="str">
        <f>攀枝花大渡口!L4</f>
        <v>中铁二院攀枝花市大渡口污水处理厂提标升级改造工程EPC项目部</v>
      </c>
      <c r="B5" s="230" t="str">
        <f>攀枝花大渡口!M4</f>
        <v>攀枝花市大渡口污水处理厂提标升级改造工程项目勘察设计材料及设备采购施工总承包</v>
      </c>
      <c r="C5" s="231">
        <f>攀枝花大渡口!E4</f>
        <v>1520000</v>
      </c>
      <c r="D5" s="231">
        <f>攀枝花大渡口!F4</f>
        <v>13053600</v>
      </c>
      <c r="E5" s="231">
        <f>攀枝花大渡口!G4</f>
        <v>12326400</v>
      </c>
      <c r="F5" s="231">
        <f>攀枝花大渡口!H4</f>
        <v>0</v>
      </c>
      <c r="G5" s="231">
        <f>攀枝花大渡口!I4</f>
        <v>0</v>
      </c>
      <c r="H5" s="232">
        <f t="shared" ref="H5:H20" si="5">SUM(C5:G5)</f>
        <v>26900000</v>
      </c>
      <c r="I5" s="232">
        <f t="shared" si="0"/>
        <v>24318060.6647355</v>
      </c>
      <c r="J5" s="231">
        <f>攀枝花大渡口!V12</f>
        <v>11975779.8165138</v>
      </c>
      <c r="K5" s="231">
        <f>攀枝花大渡口!W12</f>
        <v>11712312.6605505</v>
      </c>
      <c r="L5" s="231">
        <f>攀枝花大渡口!G12</f>
        <v>21835735</v>
      </c>
      <c r="M5" s="231">
        <f>攀枝花大渡口!H18</f>
        <v>2148318.63</v>
      </c>
      <c r="N5" s="231">
        <f>攀枝花大渡口!C12</f>
        <v>8466630</v>
      </c>
      <c r="O5" s="231">
        <f>攀枝花大渡口!S12</f>
        <v>22432091.87</v>
      </c>
      <c r="P5" s="231">
        <f>攀枝花大渡口!O12</f>
        <v>10512225.96</v>
      </c>
      <c r="Q5" s="231">
        <f>攀枝花大渡口!M12</f>
        <v>21853450</v>
      </c>
      <c r="R5" s="231">
        <f>攀枝花大渡口!I12</f>
        <v>8788345</v>
      </c>
      <c r="S5" s="231">
        <f>攀枝花大渡口!X18</f>
        <v>2157644.7</v>
      </c>
      <c r="T5" s="231">
        <f>攀枝花大渡口!T12</f>
        <v>21853450</v>
      </c>
      <c r="U5" s="233">
        <f>攀枝花大渡口!E6</f>
        <v>220000</v>
      </c>
      <c r="V5" s="233">
        <f>攀枝花大渡口!F5+攀枝花大渡口!F7</f>
        <v>12766420.8</v>
      </c>
      <c r="W5" s="233">
        <f>攀枝花大渡口!G5+攀枝花大渡口!G7</f>
        <v>12055219.2</v>
      </c>
      <c r="X5" s="233">
        <f>攀枝花大渡口!H5+攀枝花大渡口!H7</f>
        <v>0</v>
      </c>
      <c r="Y5" s="232">
        <f t="shared" si="1"/>
        <v>25041640</v>
      </c>
      <c r="Z5" s="232">
        <f t="shared" si="2"/>
        <v>22588195.405583</v>
      </c>
      <c r="AA5" s="231">
        <f>攀枝花大渡口!G13+攀枝花大渡口!G14+攀枝花大渡口!G15</f>
        <v>20719065.39</v>
      </c>
      <c r="AB5" s="231">
        <f>攀枝花大渡口!C13</f>
        <v>10060410.06</v>
      </c>
      <c r="AC5" s="231">
        <f>攀枝花大渡口!S13+攀枝花大渡口!S14</f>
        <v>9437281.56</v>
      </c>
      <c r="AD5" s="231">
        <f>攀枝花大渡口!O13</f>
        <v>9229734.4</v>
      </c>
      <c r="AE5" s="231">
        <f>攀枝花大渡口!M13+攀枝花大渡口!M14</f>
        <v>9964771.5</v>
      </c>
      <c r="AF5" s="234">
        <f>攀枝花大渡口!I12</f>
        <v>8788345</v>
      </c>
      <c r="AG5" s="234">
        <f>攀枝花大渡口!T13+攀枝花大渡口!T14+攀枝花大渡口!T15</f>
        <v>20403426.83</v>
      </c>
      <c r="AH5" s="235">
        <f>攀枝花大渡口!I98</f>
        <v>57664.54</v>
      </c>
      <c r="AI5" s="235">
        <f>攀枝花大渡口!I99</f>
        <v>-10160.24</v>
      </c>
      <c r="AJ5" s="235">
        <f>攀枝花大渡口!E94+攀枝花大渡口!F94+攀枝花大渡口!G94+攀枝花大渡口!H94+攀枝花大渡口!J94+攀枝花大渡口!K94</f>
        <v>8070</v>
      </c>
      <c r="AK5" s="236">
        <f>攀枝花大渡口!D94</f>
        <v>0</v>
      </c>
      <c r="AL5" s="237">
        <f>攀枝花大渡口!K4</f>
        <v>0.0220000000000001</v>
      </c>
      <c r="AM5" s="230" t="str">
        <f>攀枝花大渡口!N4</f>
        <v>经计部</v>
      </c>
      <c r="AN5" s="230" t="str">
        <f>攀枝花大渡口!O4</f>
        <v>生态环境院</v>
      </c>
      <c r="AO5" s="230">
        <f>攀枝花大渡口!S4</f>
        <v>0</v>
      </c>
      <c r="AP5" s="230">
        <f>攀枝花大渡口!T4</f>
        <v>0</v>
      </c>
      <c r="AQ5" s="230">
        <f>攀枝花大渡口!U4</f>
        <v>0</v>
      </c>
      <c r="AR5" s="230" t="str">
        <f>攀枝花大渡口!V4</f>
        <v>市政</v>
      </c>
      <c r="AS5" s="230" t="str">
        <f>攀枝花大渡口!W4</f>
        <v>四川省攀枝花市</v>
      </c>
      <c r="AT5" s="230" t="str">
        <f>攀枝花大渡口!X4</f>
        <v>收尾</v>
      </c>
      <c r="AU5" s="238"/>
      <c r="AV5" s="238">
        <f>攀枝花大渡口!E129</f>
        <v>-1780045.92</v>
      </c>
      <c r="AW5" s="239">
        <f>AV5/1.09</f>
        <v>-1633069.65137615</v>
      </c>
      <c r="AX5" s="239" t="e">
        <f>AW5/#REF!*#REF!</f>
        <v>#REF!</v>
      </c>
      <c r="AY5" s="238"/>
      <c r="AZ5" s="238"/>
      <c r="BA5" s="239" t="e">
        <f t="shared" si="3"/>
        <v>#REF!</v>
      </c>
      <c r="BB5" s="239">
        <f t="shared" si="4"/>
        <v>-1780045.92</v>
      </c>
      <c r="BC5" s="231">
        <f t="array" ref="BC5">INDEX(账面数据!$A$1:$BB$10000,MATCH($B5,账面数据!$A:$A,0),MATCH(BC$2,账面数据!$1:$1,0))</f>
        <v>304000</v>
      </c>
      <c r="BD5" s="231">
        <f t="array" ref="BD5">INDEX(账面数据!$A$1:$BB$10000,MATCH($B5,账面数据!$A:$A,0),MATCH(BD$2,账面数据!$1:$1,0))</f>
        <v>314638</v>
      </c>
      <c r="BE5" s="231">
        <f t="array" ref="BE5">INDEX(账面数据!$A$1:$BB$10000,MATCH($B5,账面数据!$A:$A,0),MATCH(BE$2,账面数据!$1:$1,0))</f>
        <v>0</v>
      </c>
      <c r="BF5" s="231">
        <f t="array" ref="BF5">INDEX(账面数据!$A$1:$BB$10000,MATCH($B5,账面数据!$A:$A,0),MATCH(BF$2,账面数据!$1:$1,0))</f>
        <v>0</v>
      </c>
      <c r="BG5" s="231">
        <f t="array" ref="BG5">INDEX(账面数据!$A$1:$BB$10000,MATCH($B5,账面数据!$A:$A,0),MATCH(BG$2,账面数据!$1:$1,0))</f>
        <v>0</v>
      </c>
      <c r="BH5" s="231">
        <f t="array" ref="BH5">INDEX(账面数据!$A$1:$BB$10000,MATCH($B5,账面数据!$A:$A,0),MATCH(BH$2,账面数据!$1:$1,0))</f>
        <v>0</v>
      </c>
      <c r="BI5" s="231">
        <f t="array" ref="BI5">INDEX(账面数据!$A$1:$BB$10000,MATCH($B5,账面数据!$A:$A,0),MATCH(BI$2,账面数据!$1:$1,0))</f>
        <v>0</v>
      </c>
      <c r="BJ5" s="231">
        <f t="array" ref="BJ5">INDEX(账面数据!$A$1:$BB$10000,MATCH($B5,账面数据!$A:$A,0),MATCH(BJ$2,账面数据!$1:$1,0))</f>
        <v>0</v>
      </c>
      <c r="BK5" s="231">
        <f t="array" ref="BK5">INDEX(账面数据!$A$1:$BB$10000,MATCH($B5,账面数据!$A:$A,0),MATCH(BK$2,账面数据!$1:$1,0))</f>
        <v>0</v>
      </c>
      <c r="BL5" s="231">
        <f t="array" ref="BL5">INDEX(账面数据!$A$1:$BB$10000,MATCH($B5,账面数据!$A:$A,0),MATCH(BL$2,账面数据!$1:$1,0))</f>
        <v>0</v>
      </c>
      <c r="BM5" s="231">
        <f t="array" ref="BM5">INDEX(账面数据!$A$1:$BB$10000,MATCH($B5,账面数据!$A:$A,0),MATCH(BM$2,账面数据!$1:$1,0))</f>
        <v>0</v>
      </c>
      <c r="BN5" s="231">
        <f t="array" ref="BN5">INDEX(账面数据!$A$1:$BB$10000,MATCH($B5,账面数据!$A:$A,0),MATCH(BN$2,账面数据!$1:$1,0))</f>
        <v>0</v>
      </c>
      <c r="BO5" s="231">
        <f t="array" ref="BO5">INDEX(账面数据!$A$1:$BB$10000,MATCH($B5,账面数据!$A:$A,0),MATCH(BO$2,账面数据!$1:$1,0))</f>
        <v>656255.84</v>
      </c>
      <c r="BP5" s="231">
        <f t="array" ref="BP5">INDEX(账面数据!$A$1:$BB$10000,MATCH($B5,账面数据!$A:$A,0),MATCH(BP$2,账面数据!$1:$1,0))</f>
        <v>25979.28</v>
      </c>
      <c r="BQ5" s="231">
        <f t="array" ref="BQ5">INDEX(账面数据!$A$1:$BB$10000,MATCH($B5,账面数据!$A:$A,0),MATCH(BQ$2,账面数据!$1:$1,0))</f>
        <v>321715</v>
      </c>
      <c r="BR5" s="231">
        <f t="array" ref="BR5">INDEX(账面数据!$A$1:$BB$10000,MATCH($B5,账面数据!$A:$A,0),MATCH(BR$2,账面数据!$1:$1,0))</f>
        <v>0</v>
      </c>
      <c r="BS5" s="231">
        <f t="array" ref="BS5">INDEX(账面数据!$A$1:$BB$10000,MATCH($B5,账面数据!$A:$A,0),MATCH(BS$2,账面数据!$1:$1,0))</f>
        <v>-9326.07</v>
      </c>
      <c r="BT5" s="231">
        <f t="array" ref="BT5">INDEX(账面数据!$A$1:$BB$10000,MATCH($B5,账面数据!$A:$A,0),MATCH(BT$2,账面数据!$1:$1,0))</f>
        <v>0</v>
      </c>
      <c r="BU5" s="231">
        <f t="array" ref="BU5">INDEX(账面数据!$A$1:$BB$10000,MATCH($B5,账面数据!$A:$A,0),MATCH(BU$2,账面数据!$1:$1,0))</f>
        <v>0</v>
      </c>
      <c r="BV5" s="231">
        <f t="array" ref="BV5">INDEX(账面数据!$A$1:$BB$10000,MATCH($B5,账面数据!$A:$A,0),MATCH(BV$2,账面数据!$1:$1,0))</f>
        <v>0</v>
      </c>
      <c r="BW5" s="231">
        <f t="array" ref="BW5">INDEX(账面数据!$A$1:$BB$10000,MATCH($B5,账面数据!$A:$A,0),MATCH(BW$2,账面数据!$1:$1,0))</f>
        <v>0</v>
      </c>
      <c r="BX5" s="231">
        <f t="array" ref="BX5">INDEX(账面数据!$A$1:$BB$10000,MATCH($B5,账面数据!$A:$A,0),MATCH(BX$2,账面数据!$1:$1,0))</f>
        <v>0</v>
      </c>
      <c r="BY5" s="231">
        <f t="array" ref="BY5">INDEX(账面数据!$A$1:$BB$10000,MATCH($B5,账面数据!$A:$A,0),MATCH(BY$2,账面数据!$1:$1,0))</f>
        <v>0</v>
      </c>
      <c r="BZ5" s="231">
        <f t="array" ref="BZ5">INDEX(账面数据!$A$1:$BB$10000,MATCH($B5,账面数据!$A:$A,0),MATCH(BZ$2,账面数据!$1:$1,0))</f>
        <v>0</v>
      </c>
      <c r="CA5" s="231">
        <f t="array" ref="CA5">INDEX(账面数据!$A$1:$BB$10000,MATCH($B5,账面数据!$A:$A,0),MATCH(CA$2,账面数据!$1:$1,0))</f>
        <v>0</v>
      </c>
      <c r="CB5" s="231">
        <f t="array" ref="CB5">INDEX(账面数据!$A$1:$BB$10000,MATCH($B5,账面数据!$A:$A,0),MATCH(CB$2,账面数据!$1:$1,0))</f>
        <v>1215624.19</v>
      </c>
      <c r="CC5" s="231">
        <f t="array" ref="CC5">INDEX(账面数据!$A$1:$BB$10000,MATCH($B5,账面数据!$A:$A,0),MATCH(CC$2,账面数据!$1:$1,0))</f>
        <v>0</v>
      </c>
      <c r="CD5" s="231">
        <f t="array" ref="CD5">INDEX(账面数据!$A$1:$BB$10000,MATCH($B5,账面数据!$A:$A,0),MATCH(CD$2,账面数据!$1:$1,0))</f>
        <v>17459405.45</v>
      </c>
      <c r="CE5" s="231">
        <f t="array" ref="CE5">INDEX(账面数据!$A$1:$BB$10000,MATCH($B5,账面数据!$A:$A,0),MATCH(CE$2,账面数据!$1:$1,0))</f>
        <v>0</v>
      </c>
      <c r="CF5" s="231">
        <f t="array" ref="CF5">INDEX(账面数据!$A$1:$BB$10000,MATCH($B5,账面数据!$A:$A,0),MATCH(CF$2,账面数据!$1:$1,0))</f>
        <v>60283.69</v>
      </c>
      <c r="CG5" s="231">
        <f t="array" ref="CG5">INDEX(账面数据!$A$1:$BB$10000,MATCH($B5,账面数据!$A:$A,0),MATCH(CG$2,账面数据!$1:$1,0))</f>
        <v>0</v>
      </c>
      <c r="CH5" s="231">
        <f t="array" ref="CH5">INDEX(账面数据!$A$1:$BB$10000,MATCH($B5,账面数据!$A:$A,0),MATCH(CH$2,账面数据!$1:$1,0))</f>
        <v>0</v>
      </c>
      <c r="CI5" s="231">
        <f t="array" ref="CI5">INDEX(账面数据!$A$1:$BB$10000,MATCH($B5,账面数据!$A:$A,0),MATCH(CI$2,账面数据!$1:$1,0))</f>
        <v>0</v>
      </c>
      <c r="CJ5" s="231">
        <f t="array" ref="CJ5">INDEX(账面数据!$A$1:$BB$10000,MATCH($B5,账面数据!$A:$A,0),MATCH(CJ$2,账面数据!$1:$1,0))</f>
        <v>0</v>
      </c>
      <c r="CK5" s="231">
        <f t="array" ref="CK5">INDEX(账面数据!$A$1:$BB$10000,MATCH($B5,账面数据!$A:$A,0),MATCH(CK$2,账面数据!$1:$1,0))</f>
        <v>0</v>
      </c>
      <c r="CL5" s="231">
        <f t="array" ref="CL5">INDEX(账面数据!$A$1:$BB$10000,MATCH($B5,账面数据!$A:$A,0),MATCH(CL$2,账面数据!$1:$1,0))</f>
        <v>0</v>
      </c>
      <c r="CM5" s="231">
        <f t="array" ref="CM5">INDEX(账面数据!$A$1:$BB$10000,MATCH($B5,账面数据!$A:$A,0),MATCH(CM$2,账面数据!$1:$1,0))</f>
        <v>0</v>
      </c>
      <c r="CN5" s="231">
        <f t="array" ref="CN5">INDEX(账面数据!$A$1:$BB$10000,MATCH($B5,账面数据!$A:$A,0),MATCH(CN$2,账面数据!$1:$1,0))</f>
        <v>10512225.96</v>
      </c>
      <c r="CO5" s="231">
        <f t="array" ref="CO5">INDEX(账面数据!$A$1:$BB$10000,MATCH($B5,账面数据!$A:$A,0),MATCH(CO$2,账面数据!$1:$1,0))</f>
        <v>7767550.46</v>
      </c>
      <c r="CP5" s="231">
        <f t="array" ref="CP5">INDEX(账面数据!$A$1:$BB$10000,MATCH($B5,账面数据!$A:$A,0),MATCH(CP$2,账面数据!$1:$1,0))</f>
        <v>0</v>
      </c>
      <c r="CQ5" s="231">
        <f t="array" ref="CQ5">INDEX(账面数据!$A$1:$BB$10000,MATCH($B5,账面数据!$A:$A,0),MATCH(CQ$2,账面数据!$1:$1,0))</f>
        <v>0</v>
      </c>
      <c r="CR5" s="240">
        <f t="shared" ref="CR5:CR12" si="6">L5-T5-BC5-BF5-BM5-BN5+BQ5-BR5</f>
        <v>0</v>
      </c>
      <c r="CS5" s="240">
        <f t="shared" ref="CS5:CS12" si="7">M5-S5-BR5-BS5</f>
        <v>-2.9831426218152e-10</v>
      </c>
      <c r="CT5" s="240">
        <f>AD5/K5*J5-P5</f>
        <v>-1074869.72278122</v>
      </c>
      <c r="CU5" s="240">
        <f>AA5-AG5-BO5+BP5-BX5-BU5+BD5</f>
        <v>2.44472175836563e-9</v>
      </c>
      <c r="CV5" s="240">
        <f>N5*(1-AL5)-AB5</f>
        <v>-1780045.92</v>
      </c>
      <c r="CW5" s="240">
        <f t="shared" ref="CW5:CW12" si="8">(R5-AF5)/1.09*0.02-AK5</f>
        <v>0</v>
      </c>
      <c r="CX5" s="240">
        <f t="shared" ref="CX5:CX12" si="9">BC5+(CN5-CO5)-BQ5</f>
        <v>2726960.5</v>
      </c>
      <c r="CY5" s="241">
        <f t="shared" ref="CY5:CY12" si="10">L5/H5-AA5/Y5</f>
        <v>-0.0156471633421351</v>
      </c>
      <c r="CZ5" s="242" t="s">
        <v>109</v>
      </c>
      <c r="DA5" s="242" t="s">
        <v>110</v>
      </c>
      <c r="DB5" s="209" t="s">
        <v>111</v>
      </c>
    </row>
    <row r="6" s="209" customFormat="1" ht="33" customHeight="1" spans="1:106">
      <c r="A6" s="230" t="str">
        <f>攀枝花小沙坝!L4</f>
        <v>中铁二院攀枝花小沙坝污水处理厂改扩建EPC项目部</v>
      </c>
      <c r="B6" s="230" t="str">
        <f>攀枝花小沙坝!M4</f>
        <v>攀枝花小沙坝污水处理厂改扩建工程勘察-设计-采购-施工总承包合同</v>
      </c>
      <c r="C6" s="231">
        <f>攀枝花小沙坝!E4</f>
        <v>3326600</v>
      </c>
      <c r="D6" s="231">
        <f>攀枝花小沙坝!F4</f>
        <v>50118040</v>
      </c>
      <c r="E6" s="231">
        <f>攀枝花小沙坝!G4</f>
        <v>42060960</v>
      </c>
      <c r="F6" s="231">
        <f>攀枝花小沙坝!H4</f>
        <v>0</v>
      </c>
      <c r="G6" s="231">
        <f>攀枝花小沙坝!I4</f>
        <v>0</v>
      </c>
      <c r="H6" s="232">
        <f t="shared" si="5"/>
        <v>95505600</v>
      </c>
      <c r="I6" s="232">
        <f t="shared" si="0"/>
        <v>86340243.5933768</v>
      </c>
      <c r="J6" s="231">
        <f>攀枝花小沙坝!V13</f>
        <v>45979853.2110092</v>
      </c>
      <c r="K6" s="231">
        <f>攀枝花小沙坝!W13</f>
        <v>45060256.146789</v>
      </c>
      <c r="L6" s="231">
        <f>攀枝花小沙坝!G13</f>
        <v>81784714</v>
      </c>
      <c r="M6" s="231">
        <f>攀枝花小沙坝!H19</f>
        <v>8074712.73</v>
      </c>
      <c r="N6" s="231">
        <f>攀枝花小沙坝!C13</f>
        <v>35095447</v>
      </c>
      <c r="O6" s="231">
        <f>攀枝花小沙坝!S13</f>
        <v>77565026.31</v>
      </c>
      <c r="P6" s="231">
        <f>攀枝花小沙坝!O13</f>
        <v>36052682.85</v>
      </c>
      <c r="Q6" s="231">
        <f>攀枝花小沙坝!M13</f>
        <v>81119394</v>
      </c>
      <c r="R6" s="231">
        <f>攀枝花小沙坝!I13</f>
        <v>35095447</v>
      </c>
      <c r="S6" s="231">
        <f>攀枝花小沙坝!X19</f>
        <v>8037053.1</v>
      </c>
      <c r="T6" s="231">
        <f>攀枝花小沙坝!T13</f>
        <v>81119394</v>
      </c>
      <c r="U6" s="233">
        <f>攀枝花小沙坝!E6+攀枝花小沙坝!E8</f>
        <v>700000</v>
      </c>
      <c r="V6" s="233">
        <f>攀枝花小沙坝!F5</f>
        <v>49115679.2</v>
      </c>
      <c r="W6" s="233">
        <f>攀枝花小沙坝!G6+攀枝花小沙坝!G8</f>
        <v>41219740.8</v>
      </c>
      <c r="X6" s="233">
        <f>攀枝花小沙坝!H6+攀枝花小沙坝!H8</f>
        <v>0</v>
      </c>
      <c r="Y6" s="232">
        <f t="shared" si="1"/>
        <v>91035420</v>
      </c>
      <c r="Z6" s="232">
        <f t="shared" si="2"/>
        <v>82198280.2309433</v>
      </c>
      <c r="AA6" s="231">
        <f>攀枝花小沙坝!G14+攀枝花小沙坝!G15+攀枝花小沙坝!G16+攀枝花小沙坝!G17</f>
        <v>76850631.48</v>
      </c>
      <c r="AB6" s="231">
        <f>攀枝花小沙坝!C14</f>
        <v>34581733.41</v>
      </c>
      <c r="AC6" s="231">
        <f>攀枝花小沙坝!S14+攀枝花小沙坝!S15</f>
        <v>69061352.01</v>
      </c>
      <c r="AD6" s="231">
        <f>攀枝花小沙坝!O14</f>
        <v>31726360.92</v>
      </c>
      <c r="AE6" s="231">
        <f>攀枝花小沙坝!M14+攀枝花小沙坝!M15</f>
        <v>76888951.8</v>
      </c>
      <c r="AF6" s="234">
        <f>攀枝花小沙坝!I14</f>
        <v>34442714.6</v>
      </c>
      <c r="AG6" s="234">
        <f>攀枝花小沙坝!T14+攀枝花小沙坝!T15+攀枝花小沙坝!T16+攀枝花小沙坝!T17</f>
        <v>78018950.18</v>
      </c>
      <c r="AH6" s="243">
        <f>攀枝花小沙坝!I99</f>
        <v>396012.18</v>
      </c>
      <c r="AI6" s="243">
        <f>攀枝花小沙坝!I100</f>
        <v>-23435.28</v>
      </c>
      <c r="AJ6" s="243">
        <f>攀枝花小沙坝!E95+攀枝花小沙坝!F95+攀枝花小沙坝!G95+攀枝花小沙坝!H95+攀枝花小沙坝!J95+攀枝花小沙坝!K95</f>
        <v>30088.9</v>
      </c>
      <c r="AK6" s="236">
        <f>攀枝花小沙坝!D95</f>
        <v>11976.73</v>
      </c>
      <c r="AL6" s="237">
        <f>攀枝花小沙坝!K4</f>
        <v>0.0200000000000001</v>
      </c>
      <c r="AM6" s="230" t="str">
        <f>攀枝花小沙坝!N4</f>
        <v>经计部</v>
      </c>
      <c r="AN6" s="230" t="str">
        <f>攀枝花小沙坝!O4</f>
        <v>生态环境院</v>
      </c>
      <c r="AO6" s="230">
        <f>攀枝花小沙坝!S4</f>
        <v>0</v>
      </c>
      <c r="AP6" s="230">
        <f>攀枝花小沙坝!T4</f>
        <v>0</v>
      </c>
      <c r="AQ6" s="230">
        <f>攀枝花小沙坝!U4</f>
        <v>0</v>
      </c>
      <c r="AR6" s="230" t="str">
        <f>攀枝花小沙坝!V4</f>
        <v>市政</v>
      </c>
      <c r="AS6" s="230" t="str">
        <f>攀枝花小沙坝!W4</f>
        <v>四川省攀枝花市</v>
      </c>
      <c r="AT6" s="230" t="str">
        <f>攀枝花小沙坝!X4</f>
        <v>收尾</v>
      </c>
      <c r="AU6" s="238"/>
      <c r="AV6" s="238">
        <f>攀枝花小沙坝!E130</f>
        <v>-188195.350000009</v>
      </c>
      <c r="AW6" s="239">
        <f t="shared" ref="AW6:AW12" si="11">AV6/1.09</f>
        <v>-172656.284403678</v>
      </c>
      <c r="AX6" s="239" t="e">
        <f>AW6/#REF!*#REF!</f>
        <v>#REF!</v>
      </c>
      <c r="AY6" s="238"/>
      <c r="AZ6" s="238"/>
      <c r="BA6" s="239" t="e">
        <f t="shared" si="3"/>
        <v>#REF!</v>
      </c>
      <c r="BB6" s="239">
        <f t="shared" si="4"/>
        <v>-188195.350000009</v>
      </c>
      <c r="BC6" s="231">
        <f t="array" ref="BC6">INDEX(账面数据!$A$1:$BB$10000,MATCH($B6,账面数据!$A:$A,0),MATCH(BC$2,账面数据!$1:$1,0))</f>
        <v>665320</v>
      </c>
      <c r="BD6" s="231">
        <f t="array" ref="BD6">INDEX(账面数据!$A$1:$BB$10000,MATCH($B6,账面数据!$A:$A,0),MATCH(BD$2,账面数据!$1:$1,0))</f>
        <v>1307339.13</v>
      </c>
      <c r="BE6" s="231">
        <f t="array" ref="BE6">INDEX(账面数据!$A$1:$BB$10000,MATCH($B6,账面数据!$A:$A,0),MATCH(BE$2,账面数据!$1:$1,0))</f>
        <v>0</v>
      </c>
      <c r="BF6" s="231">
        <f t="array" ref="BF6">INDEX(账面数据!$A$1:$BB$10000,MATCH($B6,账面数据!$A:$A,0),MATCH(BF$2,账面数据!$1:$1,0))</f>
        <v>0</v>
      </c>
      <c r="BG6" s="231">
        <f t="array" ref="BG6">INDEX(账面数据!$A$1:$BB$10000,MATCH($B6,账面数据!$A:$A,0),MATCH(BG$2,账面数据!$1:$1,0))</f>
        <v>0</v>
      </c>
      <c r="BH6" s="231">
        <f t="array" ref="BH6">INDEX(账面数据!$A$1:$BB$10000,MATCH($B6,账面数据!$A:$A,0),MATCH(BH$2,账面数据!$1:$1,0))</f>
        <v>0</v>
      </c>
      <c r="BI6" s="231">
        <f t="array" ref="BI6">INDEX(账面数据!$A$1:$BB$10000,MATCH($B6,账面数据!$A:$A,0),MATCH(BI$2,账面数据!$1:$1,0))</f>
        <v>0</v>
      </c>
      <c r="BJ6" s="231">
        <f t="array" ref="BJ6">INDEX(账面数据!$A$1:$BB$10000,MATCH($B6,账面数据!$A:$A,0),MATCH(BJ$2,账面数据!$1:$1,0))</f>
        <v>0</v>
      </c>
      <c r="BK6" s="231">
        <f t="array" ref="BK6">INDEX(账面数据!$A$1:$BB$10000,MATCH($B6,账面数据!$A:$A,0),MATCH(BK$2,账面数据!$1:$1,0))</f>
        <v>0</v>
      </c>
      <c r="BL6" s="231">
        <f t="array" ref="BL6">INDEX(账面数据!$A$1:$BB$10000,MATCH($B6,账面数据!$A:$A,0),MATCH(BL$2,账面数据!$1:$1,0))</f>
        <v>0</v>
      </c>
      <c r="BM6" s="231">
        <f t="array" ref="BM6">INDEX(账面数据!$A$1:$BB$10000,MATCH($B6,账面数据!$A:$A,0),MATCH(BM$2,账面数据!$1:$1,0))</f>
        <v>0</v>
      </c>
      <c r="BN6" s="231">
        <f t="array" ref="BN6">INDEX(账面数据!$A$1:$BB$10000,MATCH($B6,账面数据!$A:$A,0),MATCH(BN$2,账面数据!$1:$1,0))</f>
        <v>0</v>
      </c>
      <c r="BO6" s="231">
        <f t="array" ref="BO6">INDEX(账面数据!$A$1:$BB$10000,MATCH($B6,账面数据!$A:$A,0),MATCH(BO$2,账面数据!$1:$1,0))</f>
        <v>139020.43</v>
      </c>
      <c r="BP6" s="231">
        <f t="array" ref="BP6">INDEX(账面数据!$A$1:$BB$10000,MATCH($B6,账面数据!$A:$A,0),MATCH(BP$2,账面数据!$1:$1,0))</f>
        <v>0</v>
      </c>
      <c r="BQ6" s="231">
        <f t="array" ref="BQ6">INDEX(账面数据!$A$1:$BB$10000,MATCH($B6,账面数据!$A:$A,0),MATCH(BQ$2,账面数据!$1:$1,0))</f>
        <v>0</v>
      </c>
      <c r="BR6" s="231">
        <f>INDEX(账面数据!$A$1:$BB$10000,MATCH($B6,账面数据!$A:$A,0),MATCH(BR$2,账面数据!$1:$1,0))</f>
        <v>0</v>
      </c>
      <c r="BS6" s="231">
        <f t="array" ref="BS6">INDEX(账面数据!$A$1:$BB$10000,MATCH($B6,账面数据!$A:$A,0),MATCH(BS$2,账面数据!$1:$1,0))</f>
        <v>37659.62</v>
      </c>
      <c r="BT6" s="231">
        <f t="array" ref="BT6">INDEX(账面数据!$A$1:$BB$10000,MATCH($B6,账面数据!$A:$A,0),MATCH(BT$2,账面数据!$1:$1,0))</f>
        <v>0</v>
      </c>
      <c r="BU6" s="231">
        <f t="array" ref="BU6">INDEX(账面数据!$A$1:$BB$10000,MATCH($B6,账面数据!$A:$A,0),MATCH(BU$2,账面数据!$1:$1,0))</f>
        <v>0</v>
      </c>
      <c r="BV6" s="231">
        <f t="array" ref="BV6">INDEX(账面数据!$A$1:$BB$10000,MATCH($B6,账面数据!$A:$A,0),MATCH(BV$2,账面数据!$1:$1,0))</f>
        <v>0</v>
      </c>
      <c r="BW6" s="231">
        <f t="array" ref="BW6">INDEX(账面数据!$A$1:$BB$10000,MATCH($B6,账面数据!$A:$A,0),MATCH(BW$2,账面数据!$1:$1,0))</f>
        <v>0</v>
      </c>
      <c r="BX6" s="231">
        <f t="array" ref="BX6">INDEX(账面数据!$A$1:$BB$10000,MATCH($B6,账面数据!$A:$A,0),MATCH(BX$2,账面数据!$1:$1,0))</f>
        <v>0</v>
      </c>
      <c r="BY6" s="231">
        <f t="array" ref="BY6">INDEX(账面数据!$A$1:$BB$10000,MATCH($B6,账面数据!$A:$A,0),MATCH(BY$2,账面数据!$1:$1,0))</f>
        <v>0</v>
      </c>
      <c r="BZ6" s="231">
        <f t="array" ref="BZ6">INDEX(账面数据!$A$1:$BB$10000,MATCH($B6,账面数据!$A:$A,0),MATCH(BZ$2,账面数据!$1:$1,0))</f>
        <v>0</v>
      </c>
      <c r="CA6" s="231">
        <f t="array" ref="CA6">INDEX(账面数据!$A$1:$BB$10000,MATCH($B6,账面数据!$A:$A,0),MATCH(CA$2,账面数据!$1:$1,0))</f>
        <v>0</v>
      </c>
      <c r="CB6" s="231">
        <f t="array" ref="CB6">INDEX(账面数据!$A$1:$BB$10000,MATCH($B6,账面数据!$A:$A,0),MATCH(CB$2,账面数据!$1:$1,0))</f>
        <v>8074168.16</v>
      </c>
      <c r="CC6" s="231">
        <f t="array" ref="CC6">INDEX(账面数据!$A$1:$BB$10000,MATCH($B6,账面数据!$A:$A,0),MATCH(CC$2,账面数据!$1:$1,0))</f>
        <v>0</v>
      </c>
      <c r="CD6" s="231">
        <f t="array" ref="CD6">INDEX(账面数据!$A$1:$BB$10000,MATCH($B6,账面数据!$A:$A,0),MATCH(CD$2,账面数据!$1:$1,0))</f>
        <v>62281272.23</v>
      </c>
      <c r="CE6" s="231">
        <f t="array" ref="CE6">INDEX(账面数据!$A$1:$BB$10000,MATCH($B6,账面数据!$A:$A,0),MATCH(CE$2,账面数据!$1:$1,0))</f>
        <v>0</v>
      </c>
      <c r="CF6" s="231">
        <f t="array" ref="CF6">INDEX(账面数据!$A$1:$BB$10000,MATCH($B6,账面数据!$A:$A,0),MATCH(CF$2,账面数据!$1:$1,0))</f>
        <v>396012.18</v>
      </c>
      <c r="CG6" s="231">
        <f t="array" ref="CG6">INDEX(账面数据!$A$1:$BB$10000,MATCH($B6,账面数据!$A:$A,0),MATCH(CG$2,账面数据!$1:$1,0))</f>
        <v>0</v>
      </c>
      <c r="CH6" s="231">
        <f t="array" ref="CH6">INDEX(账面数据!$A$1:$BB$10000,MATCH($B6,账面数据!$A:$A,0),MATCH(CH$2,账面数据!$1:$1,0))</f>
        <v>0</v>
      </c>
      <c r="CI6" s="231">
        <f t="array" ref="CI6">INDEX(账面数据!$A$1:$BB$10000,MATCH($B6,账面数据!$A:$A,0),MATCH(CI$2,账面数据!$1:$1,0))</f>
        <v>0</v>
      </c>
      <c r="CJ6" s="231">
        <f t="array" ref="CJ6">INDEX(账面数据!$A$1:$BB$10000,MATCH($B6,账面数据!$A:$A,0),MATCH(CJ$2,账面数据!$1:$1,0))</f>
        <v>0</v>
      </c>
      <c r="CK6" s="231">
        <f t="array" ref="CK6">INDEX(账面数据!$A$1:$BB$10000,MATCH($B6,账面数据!$A:$A,0),MATCH(CK$2,账面数据!$1:$1,0))</f>
        <v>0</v>
      </c>
      <c r="CL6" s="231">
        <f t="array" ref="CL6">INDEX(账面数据!$A$1:$BB$10000,MATCH($B6,账面数据!$A:$A,0),MATCH(CL$2,账面数据!$1:$1,0))</f>
        <v>0</v>
      </c>
      <c r="CM6" s="231">
        <f t="array" ref="CM6">INDEX(账面数据!$A$1:$BB$10000,MATCH($B6,账面数据!$A:$A,0),MATCH(CM$2,账面数据!$1:$1,0))</f>
        <v>0</v>
      </c>
      <c r="CN6" s="231">
        <f t="array" ref="CN6">INDEX(账面数据!$A$1:$BB$10000,MATCH($B6,账面数据!$A:$A,0),MATCH(CN$2,账面数据!$1:$1,0))</f>
        <v>36052682.85</v>
      </c>
      <c r="CO6" s="231">
        <f t="array" ref="CO6">INDEX(账面数据!$A$1:$BB$10000,MATCH($B6,账面数据!$A:$A,0),MATCH(CO$2,账面数据!$1:$1,0))</f>
        <v>32197657.8</v>
      </c>
      <c r="CP6" s="231">
        <f t="array" ref="CP6">INDEX(账面数据!$A$1:$BB$10000,MATCH($B6,账面数据!$A:$A,0),MATCH(CP$2,账面数据!$1:$1,0))</f>
        <v>0</v>
      </c>
      <c r="CQ6" s="231">
        <f t="array" ref="CQ6">INDEX(账面数据!$A$1:$BB$10000,MATCH($B6,账面数据!$A:$A,0),MATCH(CQ$2,账面数据!$1:$1,0))</f>
        <v>0</v>
      </c>
      <c r="CR6" s="240">
        <f t="shared" si="6"/>
        <v>0</v>
      </c>
      <c r="CS6" s="240">
        <f t="shared" si="7"/>
        <v>0.0100000036109122</v>
      </c>
      <c r="CT6" s="240">
        <f t="shared" ref="CT5:CT12" si="12">AD6/K6*J6-P6</f>
        <v>-3678845.17653061</v>
      </c>
      <c r="CU6" s="240">
        <f>AA6-AG6-BO6+BP6-BX6-BU6+BD6</f>
        <v>-3.02679836750031e-9</v>
      </c>
      <c r="CV6" s="240">
        <f>N6*(1-AL6)-AB6</f>
        <v>-188195.350000009</v>
      </c>
      <c r="CW6" s="240">
        <f t="shared" si="8"/>
        <v>0.0112844036430033</v>
      </c>
      <c r="CX6" s="240">
        <f t="shared" si="9"/>
        <v>4520345.05</v>
      </c>
      <c r="CY6" s="241">
        <f t="shared" si="10"/>
        <v>0.0121503739113629</v>
      </c>
      <c r="CZ6" s="242" t="s">
        <v>109</v>
      </c>
      <c r="DA6" s="242" t="s">
        <v>110</v>
      </c>
      <c r="DB6" s="209" t="s">
        <v>111</v>
      </c>
    </row>
    <row r="7" s="209" customFormat="1" ht="33" customHeight="1" spans="1:106">
      <c r="A7" s="230" t="str">
        <f>攀枝花炳草岗!L4</f>
        <v>中铁二院攀枝花市炳草岗污水处理厂提标升级改造工程EPC项目部</v>
      </c>
      <c r="B7" s="230" t="str">
        <f>攀枝花炳草岗!M4</f>
        <v>攀枝花市炳草岗污水处理厂提标升级改造工程勘察设计-材料及设备采购-施工总承包</v>
      </c>
      <c r="C7" s="231">
        <f>攀枝花炳草岗!E4</f>
        <v>3010000</v>
      </c>
      <c r="D7" s="231">
        <f>攀枝花炳草岗!F4</f>
        <v>34064400</v>
      </c>
      <c r="E7" s="231">
        <f>攀枝花炳草岗!G4</f>
        <v>26215600</v>
      </c>
      <c r="F7" s="231">
        <f>攀枝花炳草岗!H4</f>
        <v>0</v>
      </c>
      <c r="G7" s="231">
        <f>攀枝花炳草岗!I4</f>
        <v>0</v>
      </c>
      <c r="H7" s="232">
        <f t="shared" si="5"/>
        <v>63290000</v>
      </c>
      <c r="I7" s="232">
        <f t="shared" si="0"/>
        <v>57291011.7784746</v>
      </c>
      <c r="J7" s="231">
        <f>攀枝花炳草岗!V13</f>
        <v>31251743.1192661</v>
      </c>
      <c r="K7" s="231">
        <f>攀枝花炳草岗!W13</f>
        <v>30564204.7706422</v>
      </c>
      <c r="L7" s="231">
        <f>攀枝花炳草岗!G13</f>
        <v>53147954.9979646</v>
      </c>
      <c r="M7" s="231">
        <f>攀枝花炳草岗!H19</f>
        <v>4902419.74</v>
      </c>
      <c r="N7" s="231">
        <f>攀枝花炳草岗!C13</f>
        <v>31902290</v>
      </c>
      <c r="O7" s="231">
        <f>攀枝花炳草岗!S13</f>
        <v>50053853.46</v>
      </c>
      <c r="P7" s="231">
        <f>攀枝花炳草岗!O13</f>
        <v>31076474.17</v>
      </c>
      <c r="Q7" s="231">
        <f>攀枝花炳草岗!M13</f>
        <v>54545955</v>
      </c>
      <c r="R7" s="231">
        <f>攀枝花炳草岗!I13</f>
        <v>33902290</v>
      </c>
      <c r="S7" s="231">
        <f>攀枝花炳草岗!X19</f>
        <v>5033481.88</v>
      </c>
      <c r="T7" s="231">
        <f>攀枝花炳草岗!T13</f>
        <v>54545955</v>
      </c>
      <c r="U7" s="233">
        <f>攀枝花炳草岗!E6+攀枝花炳草岗!E7</f>
        <v>940000</v>
      </c>
      <c r="V7" s="233">
        <f>攀枝花炳草岗!F5+攀枝花炳草岗!F8</f>
        <v>33314983.2</v>
      </c>
      <c r="W7" s="233">
        <f>攀枝花炳草岗!G5+攀枝花炳草岗!G8</f>
        <v>24470146.8</v>
      </c>
      <c r="X7" s="233">
        <f>攀枝花炳草岗!H5+攀枝花炳草岗!H8</f>
        <v>0</v>
      </c>
      <c r="Y7" s="232">
        <f t="shared" si="1"/>
        <v>58725130</v>
      </c>
      <c r="Z7" s="232">
        <f t="shared" si="2"/>
        <v>53105994.391614</v>
      </c>
      <c r="AA7" s="231">
        <f>攀枝花炳草岗!G14+攀枝花炳草岗!G15+攀枝花炳草岗!G16+攀枝花炳草岗!G17</f>
        <v>51906919.9909735</v>
      </c>
      <c r="AB7" s="231">
        <f>攀枝花炳草岗!C14</f>
        <v>29945306</v>
      </c>
      <c r="AC7" s="231">
        <f>攀枝花炳草岗!S14+攀枝花炳草岗!S15</f>
        <v>27935021.95</v>
      </c>
      <c r="AD7" s="231">
        <f>攀枝花炳草岗!O14</f>
        <v>27472757.8</v>
      </c>
      <c r="AE7" s="231">
        <f>攀枝花炳草岗!M14+攀枝花炳草岗!M15</f>
        <v>30435306</v>
      </c>
      <c r="AF7" s="234">
        <f>攀枝花炳草岗!I14</f>
        <v>29945306</v>
      </c>
      <c r="AG7" s="234">
        <f>攀枝花炳草岗!T14+攀枝花炳草岗!T15+攀枝花炳草岗!T16++攀枝花炳草岗!T17</f>
        <v>51840919.99</v>
      </c>
      <c r="AH7" s="243">
        <f>攀枝花炳草岗!I99</f>
        <v>226992.11</v>
      </c>
      <c r="AI7" s="243">
        <f>攀枝花炳草岗!I100</f>
        <v>-18096.88</v>
      </c>
      <c r="AJ7" s="243">
        <f>攀枝花炳草岗!E95+攀枝花炳草岗!F95+攀枝花炳草岗!G95+攀枝花炳草岗!H95+攀枝花炳草岗!J95+攀枝花炳草岗!K95</f>
        <v>40390.33</v>
      </c>
      <c r="AK7" s="244">
        <f>攀枝花炳草岗!D95</f>
        <v>97821.92</v>
      </c>
      <c r="AL7" s="237">
        <f>攀枝花炳草岗!K4</f>
        <v>0.022</v>
      </c>
      <c r="AM7" s="230" t="str">
        <f>攀枝花炳草岗!N4</f>
        <v>生态环境院</v>
      </c>
      <c r="AN7" s="230" t="str">
        <f>攀枝花炳草岗!O4</f>
        <v>生态环境院</v>
      </c>
      <c r="AO7" s="230">
        <f>攀枝花炳草岗!S4</f>
        <v>0</v>
      </c>
      <c r="AP7" s="230">
        <f>攀枝花炳草岗!T4</f>
        <v>0</v>
      </c>
      <c r="AQ7" s="230">
        <f>攀枝花炳草岗!U4</f>
        <v>0</v>
      </c>
      <c r="AR7" s="230" t="str">
        <f>攀枝花炳草岗!V4</f>
        <v>市政</v>
      </c>
      <c r="AS7" s="230" t="str">
        <f>攀枝花炳草岗!W4</f>
        <v>四川省攀枝花市</v>
      </c>
      <c r="AT7" s="230" t="str">
        <f>攀枝花炳草岗!X4</f>
        <v>收尾</v>
      </c>
      <c r="AU7" s="238"/>
      <c r="AV7" s="238">
        <f>攀枝花炳草岗!E130</f>
        <v>1255133.62</v>
      </c>
      <c r="AW7" s="239">
        <f t="shared" si="11"/>
        <v>1151498.73394496</v>
      </c>
      <c r="AX7" s="239" t="e">
        <f>AW7/#REF!*#REF!</f>
        <v>#REF!</v>
      </c>
      <c r="AY7" s="238"/>
      <c r="AZ7" s="238"/>
      <c r="BA7" s="239" t="e">
        <f t="shared" si="3"/>
        <v>#REF!</v>
      </c>
      <c r="BB7" s="239">
        <f t="shared" si="4"/>
        <v>1255133.62</v>
      </c>
      <c r="BC7" s="231">
        <f t="array" ref="BC7">INDEX(账面数据!$A$1:$BB$10000,MATCH($B7,账面数据!$A:$A,0),MATCH(BC$2,账面数据!$1:$1,0))</f>
        <v>-1295271.41</v>
      </c>
      <c r="BD7" s="231">
        <f t="array" ref="BD7">INDEX(账面数据!$A$1:$BB$10000,MATCH($B7,账面数据!$A:$A,0),MATCH(BD$2,账面数据!$1:$1,0))</f>
        <v>0</v>
      </c>
      <c r="BE7" s="231">
        <f t="array" ref="BE7">INDEX(账面数据!$A$1:$BB$10000,MATCH($B7,账面数据!$A:$A,0),MATCH(BE$2,账面数据!$1:$1,0))</f>
        <v>0</v>
      </c>
      <c r="BF7" s="231">
        <f t="array" ref="BF7">INDEX(账面数据!$A$1:$BB$10000,MATCH($B7,账面数据!$A:$A,0),MATCH(BF$2,账面数据!$1:$1,0))</f>
        <v>0</v>
      </c>
      <c r="BG7" s="231">
        <f t="array" ref="BG7">INDEX(账面数据!$A$1:$BB$10000,MATCH($B7,账面数据!$A:$A,0),MATCH(BG$2,账面数据!$1:$1,0))</f>
        <v>0</v>
      </c>
      <c r="BH7" s="231">
        <f t="array" ref="BH7">INDEX(账面数据!$A$1:$BB$10000,MATCH($B7,账面数据!$A:$A,0),MATCH(BH$2,账面数据!$1:$1,0))</f>
        <v>0</v>
      </c>
      <c r="BI7" s="231">
        <f t="array" ref="BI7">INDEX(账面数据!$A$1:$BB$10000,MATCH($B7,账面数据!$A:$A,0),MATCH(BI$2,账面数据!$1:$1,0))</f>
        <v>0</v>
      </c>
      <c r="BJ7" s="231">
        <f t="array" ref="BJ7">INDEX(账面数据!$A$1:$BB$10000,MATCH($B7,账面数据!$A:$A,0),MATCH(BJ$2,账面数据!$1:$1,0))</f>
        <v>0</v>
      </c>
      <c r="BK7" s="231">
        <f t="array" ref="BK7">INDEX(账面数据!$A$1:$BB$10000,MATCH($B7,账面数据!$A:$A,0),MATCH(BK$2,账面数据!$1:$1,0))</f>
        <v>0</v>
      </c>
      <c r="BL7" s="231">
        <f t="array" ref="BL7">INDEX(账面数据!$A$1:$BB$10000,MATCH($B7,账面数据!$A:$A,0),MATCH(BL$2,账面数据!$1:$1,0))</f>
        <v>0</v>
      </c>
      <c r="BM7" s="231">
        <f t="array" ref="BM7">INDEX(账面数据!$A$1:$BB$10000,MATCH($B7,账面数据!$A:$A,0),MATCH(BM$2,账面数据!$1:$1,0))</f>
        <v>0</v>
      </c>
      <c r="BN7" s="231">
        <f t="array" ref="BN7">INDEX(账面数据!$A$1:$BB$10000,MATCH($B7,账面数据!$A:$A,0),MATCH(BN$2,账面数据!$1:$1,0))</f>
        <v>0</v>
      </c>
      <c r="BO7" s="231">
        <f t="array" ref="BO7">INDEX(账面数据!$A$1:$BB$10000,MATCH($B7,账面数据!$A:$A,0),MATCH(BO$2,账面数据!$1:$1,0))</f>
        <v>66000</v>
      </c>
      <c r="BP7" s="231">
        <f t="array" ref="BP7">INDEX(账面数据!$A$1:$BB$10000,MATCH($B7,账面数据!$A:$A,0),MATCH(BP$2,账面数据!$1:$1,0))</f>
        <v>0</v>
      </c>
      <c r="BQ7" s="231">
        <f t="array" ref="BQ7">INDEX(账面数据!$A$1:$BB$10000,MATCH($B7,账面数据!$A:$A,0),MATCH(BQ$2,账面数据!$1:$1,0))</f>
        <v>0</v>
      </c>
      <c r="BR7" s="231">
        <f>INDEX(账面数据!$A$1:$BB$10000,MATCH($B7,账面数据!$A:$A,0),MATCH(BR$2,账面数据!$1:$1,0))</f>
        <v>-102728.59</v>
      </c>
      <c r="BS7" s="231">
        <f t="array" ref="BS7">INDEX(账面数据!$A$1:$BB$10000,MATCH($B7,账面数据!$A:$A,0),MATCH(BS$2,账面数据!$1:$1,0))</f>
        <v>-28333.55</v>
      </c>
      <c r="BT7" s="231">
        <f t="array" ref="BT7">INDEX(账面数据!$A$1:$BB$10000,MATCH($B7,账面数据!$A:$A,0),MATCH(BT$2,账面数据!$1:$1,0))</f>
        <v>0</v>
      </c>
      <c r="BU7" s="231">
        <f t="array" ref="BU7">INDEX(账面数据!$A$1:$BB$10000,MATCH($B7,账面数据!$A:$A,0),MATCH(BU$2,账面数据!$1:$1,0))</f>
        <v>0</v>
      </c>
      <c r="BV7" s="231">
        <f t="array" ref="BV7">INDEX(账面数据!$A$1:$BB$10000,MATCH($B7,账面数据!$A:$A,0),MATCH(BV$2,账面数据!$1:$1,0))</f>
        <v>0</v>
      </c>
      <c r="BW7" s="231">
        <f t="array" ref="BW7">INDEX(账面数据!$A$1:$BB$10000,MATCH($B7,账面数据!$A:$A,0),MATCH(BW$2,账面数据!$1:$1,0))</f>
        <v>0</v>
      </c>
      <c r="BX7" s="231">
        <f t="array" ref="BX7">INDEX(账面数据!$A$1:$BB$10000,MATCH($B7,账面数据!$A:$A,0),MATCH(BX$2,账面数据!$1:$1,0))</f>
        <v>0</v>
      </c>
      <c r="BY7" s="231">
        <f t="array" ref="BY7">INDEX(账面数据!$A$1:$BB$10000,MATCH($B7,账面数据!$A:$A,0),MATCH(BY$2,账面数据!$1:$1,0))</f>
        <v>0</v>
      </c>
      <c r="BZ7" s="231">
        <f t="array" ref="BZ7">INDEX(账面数据!$A$1:$BB$10000,MATCH($B7,账面数据!$A:$A,0),MATCH(BZ$2,账面数据!$1:$1,0))</f>
        <v>0</v>
      </c>
      <c r="CA7" s="231">
        <f t="array" ref="CA7">INDEX(账面数据!$A$1:$BB$10000,MATCH($B7,账面数据!$A:$A,0),MATCH(CA$2,账面数据!$1:$1,0))</f>
        <v>0</v>
      </c>
      <c r="CB7" s="231">
        <f t="array" ref="CB7">INDEX(账面数据!$A$1:$BB$10000,MATCH($B7,账面数据!$A:$A,0),MATCH(CB$2,账面数据!$1:$1,0))</f>
        <v>3811260.3</v>
      </c>
      <c r="CC7" s="231">
        <f t="array" ref="CC7">INDEX(账面数据!$A$1:$BB$10000,MATCH($B7,账面数据!$A:$A,0),MATCH(CC$2,账面数据!$1:$1,0))</f>
        <v>0</v>
      </c>
      <c r="CD7" s="231">
        <f t="array" ref="CD7">INDEX(账面数据!$A$1:$BB$10000,MATCH($B7,账面数据!$A:$A,0),MATCH(CD$2,账面数据!$1:$1,0))</f>
        <v>43146228.81</v>
      </c>
      <c r="CE7" s="231">
        <f t="array" ref="CE7">INDEX(账面数据!$A$1:$BB$10000,MATCH($B7,账面数据!$A:$A,0),MATCH(CE$2,账面数据!$1:$1,0))</f>
        <v>0</v>
      </c>
      <c r="CF7" s="231">
        <f t="array" ref="CF7">INDEX(账面数据!$A$1:$BB$10000,MATCH($B7,账面数据!$A:$A,0),MATCH(CF$2,账面数据!$1:$1,0))</f>
        <v>226992.11</v>
      </c>
      <c r="CG7" s="231">
        <f t="array" ref="CG7">INDEX(账面数据!$A$1:$BB$10000,MATCH($B7,账面数据!$A:$A,0),MATCH(CG$2,账面数据!$1:$1,0))</f>
        <v>0</v>
      </c>
      <c r="CH7" s="231">
        <f t="array" ref="CH7">INDEX(账面数据!$A$1:$BB$10000,MATCH($B7,账面数据!$A:$A,0),MATCH(CH$2,账面数据!$1:$1,0))</f>
        <v>0</v>
      </c>
      <c r="CI7" s="231">
        <f t="array" ref="CI7">INDEX(账面数据!$A$1:$BB$10000,MATCH($B7,账面数据!$A:$A,0),MATCH(CI$2,账面数据!$1:$1,0))</f>
        <v>0</v>
      </c>
      <c r="CJ7" s="231">
        <f t="array" ref="CJ7">INDEX(账面数据!$A$1:$BB$10000,MATCH($B7,账面数据!$A:$A,0),MATCH(CJ$2,账面数据!$1:$1,0))</f>
        <v>0</v>
      </c>
      <c r="CK7" s="231">
        <f t="array" ref="CK7">INDEX(账面数据!$A$1:$BB$10000,MATCH($B7,账面数据!$A:$A,0),MATCH(CK$2,账面数据!$1:$1,0))</f>
        <v>0</v>
      </c>
      <c r="CL7" s="231">
        <f t="array" ref="CL7">INDEX(账面数据!$A$1:$BB$10000,MATCH($B7,账面数据!$A:$A,0),MATCH(CL$2,账面数据!$1:$1,0))</f>
        <v>0</v>
      </c>
      <c r="CM7" s="231">
        <f t="array" ref="CM7">INDEX(账面数据!$A$1:$BB$10000,MATCH($B7,账面数据!$A:$A,0),MATCH(CM$2,账面数据!$1:$1,0))</f>
        <v>0</v>
      </c>
      <c r="CN7" s="231">
        <f t="array" ref="CN7">INDEX(账面数据!$A$1:$BB$10000,MATCH($B7,账面数据!$A:$A,0),MATCH(CN$2,账面数据!$1:$1,0))</f>
        <v>31076474.17</v>
      </c>
      <c r="CO7" s="231">
        <f t="array" ref="CO7">INDEX(账面数据!$A$1:$BB$10000,MATCH($B7,账面数据!$A:$A,0),MATCH(CO$2,账面数据!$1:$1,0))</f>
        <v>29268155.97</v>
      </c>
      <c r="CP7" s="231">
        <f t="array" ref="CP7">INDEX(账面数据!$A$1:$BB$10000,MATCH($B7,账面数据!$A:$A,0),MATCH(CP$2,账面数据!$1:$1,0))</f>
        <v>0</v>
      </c>
      <c r="CQ7" s="231">
        <f t="array" ref="CQ7">INDEX(账面数据!$A$1:$BB$10000,MATCH($B7,账面数据!$A:$A,0),MATCH(CQ$2,账面数据!$1:$1,0))</f>
        <v>0</v>
      </c>
      <c r="CR7" s="240">
        <f t="shared" si="6"/>
        <v>-0.00203540184884332</v>
      </c>
      <c r="CS7" s="240">
        <f t="shared" si="7"/>
        <v>3.31056071445346e-10</v>
      </c>
      <c r="CT7" s="240">
        <f t="shared" si="12"/>
        <v>-2985719.77327199</v>
      </c>
      <c r="CU7" s="240">
        <f>AA7-AG7-BO7+BP7-BX7-BU7+BD7</f>
        <v>0.000973507761955261</v>
      </c>
      <c r="CV7" s="240">
        <f t="shared" ref="CV5:CV12" si="13">N7*(1-AL7)-AB7</f>
        <v>1255133.62</v>
      </c>
      <c r="CW7" s="240">
        <f t="shared" si="8"/>
        <v>-25216.7089908257</v>
      </c>
      <c r="CX7" s="240">
        <f t="shared" si="9"/>
        <v>513046.790000003</v>
      </c>
      <c r="CY7" s="241">
        <f t="shared" si="10"/>
        <v>-0.0441434080736893</v>
      </c>
      <c r="CZ7" s="242" t="s">
        <v>112</v>
      </c>
      <c r="DA7" s="242" t="s">
        <v>113</v>
      </c>
      <c r="DB7" s="209" t="s">
        <v>111</v>
      </c>
    </row>
    <row r="8" s="209" customFormat="1" ht="33" customHeight="1" spans="1:106">
      <c r="A8" s="230" t="str">
        <f>'XX项目 (6)'!L4</f>
        <v>来源于“共享系统”系统管理-权限管理-人员管理</v>
      </c>
      <c r="B8" s="230" t="str">
        <f>'XX项目 (6)'!M4</f>
        <v>来源于“共享系统”系统管理-权限管理-人员管理</v>
      </c>
      <c r="C8" s="231">
        <f>'XX项目 (6)'!E4</f>
        <v>0</v>
      </c>
      <c r="D8" s="231">
        <f>'XX项目 (6)'!F4</f>
        <v>0</v>
      </c>
      <c r="E8" s="231">
        <f>'XX项目 (6)'!G4</f>
        <v>0</v>
      </c>
      <c r="F8" s="231">
        <f>'XX项目 (6)'!H4</f>
        <v>0</v>
      </c>
      <c r="G8" s="231">
        <f>'XX项目 (6)'!I4</f>
        <v>0</v>
      </c>
      <c r="H8" s="232">
        <f t="shared" si="5"/>
        <v>0</v>
      </c>
      <c r="I8" s="232">
        <f t="shared" si="0"/>
        <v>0</v>
      </c>
      <c r="J8" s="231"/>
      <c r="K8" s="231"/>
      <c r="L8" s="231">
        <f>'XX项目 (6)'!G11</f>
        <v>0</v>
      </c>
      <c r="M8" s="231"/>
      <c r="N8" s="231"/>
      <c r="O8" s="231">
        <f>'XX项目 (6)'!S11</f>
        <v>0</v>
      </c>
      <c r="P8" s="231"/>
      <c r="Q8" s="231">
        <f>'XX项目 (6)'!M11</f>
        <v>0</v>
      </c>
      <c r="R8" s="231"/>
      <c r="S8" s="231"/>
      <c r="T8" s="231">
        <f>'XX项目 (6)'!T11</f>
        <v>0</v>
      </c>
      <c r="U8" s="233">
        <f>'XX项目 (6)'!E5+'XX项目 (6)'!E6</f>
        <v>0</v>
      </c>
      <c r="V8" s="233">
        <f>'XX项目 (6)'!F5+'XX项目 (6)'!F6</f>
        <v>0</v>
      </c>
      <c r="W8" s="233">
        <f>'XX项目 (6)'!G5+'XX项目 (6)'!G6</f>
        <v>0</v>
      </c>
      <c r="X8" s="233">
        <f>'XX项目 (6)'!H5+'XX项目 (6)'!H6</f>
        <v>0</v>
      </c>
      <c r="Y8" s="232">
        <f t="shared" si="1"/>
        <v>0</v>
      </c>
      <c r="Z8" s="232">
        <f t="shared" si="2"/>
        <v>0</v>
      </c>
      <c r="AA8" s="231">
        <f>'XX项目 (6)'!G12+'XX项目 (6)'!G13</f>
        <v>0</v>
      </c>
      <c r="AB8" s="231"/>
      <c r="AC8" s="231">
        <f>'XX项目 (6)'!S12+'XX项目 (6)'!S13</f>
        <v>0</v>
      </c>
      <c r="AD8" s="231"/>
      <c r="AE8" s="231">
        <f>'XX项目 (6)'!M12+'XX项目 (6)'!M13</f>
        <v>0</v>
      </c>
      <c r="AF8" s="234"/>
      <c r="AG8" s="234">
        <f>'XX项目 (6)'!T12+'XX项目 (6)'!T13</f>
        <v>0</v>
      </c>
      <c r="AH8" s="243">
        <f>'XX项目 (6)'!I97</f>
        <v>0</v>
      </c>
      <c r="AI8" s="243">
        <f>'XX项目 (6)'!I98</f>
        <v>0</v>
      </c>
      <c r="AJ8" s="243">
        <f>'XX项目 (6)'!E93+'XX项目 (6)'!F93+'XX项目 (6)'!G93+'XX项目 (6)'!H93+'XX项目 (6)'!J93+'XX项目 (6)'!K93</f>
        <v>0</v>
      </c>
      <c r="AK8" s="244"/>
      <c r="AL8" s="237" t="e">
        <f>'XX项目 (6)'!K4</f>
        <v>#DIV/0!</v>
      </c>
      <c r="AM8" s="230" t="str">
        <f>'XX项目 (6)'!N4</f>
        <v>主合同编号中的单位</v>
      </c>
      <c r="AN8" s="230" t="str">
        <f>'XX项目 (6)'!O4</f>
        <v>实际管理单位</v>
      </c>
      <c r="AO8" s="230">
        <f>'XX项目 (6)'!S4</f>
        <v>0</v>
      </c>
      <c r="AP8" s="230">
        <f>'XX项目 (6)'!T4</f>
        <v>0</v>
      </c>
      <c r="AQ8" s="230">
        <f>'XX项目 (6)'!U4</f>
        <v>0</v>
      </c>
      <c r="AR8" s="230">
        <f>'XX项目 (6)'!V4</f>
        <v>0</v>
      </c>
      <c r="AS8" s="230">
        <f>'XX项目 (6)'!W4</f>
        <v>0</v>
      </c>
      <c r="AT8" s="230">
        <f>'XX项目 (6)'!X4</f>
        <v>0</v>
      </c>
      <c r="AU8" s="238"/>
      <c r="AV8" s="238" t="e">
        <f>'XX项目 (6)'!E128</f>
        <v>#DIV/0!</v>
      </c>
      <c r="AW8" s="239" t="e">
        <f t="shared" si="11"/>
        <v>#DIV/0!</v>
      </c>
      <c r="AX8" s="239" t="e">
        <f>AW8/#REF!*#REF!</f>
        <v>#DIV/0!</v>
      </c>
      <c r="AY8" s="238"/>
      <c r="AZ8" s="238"/>
      <c r="BA8" s="239" t="e">
        <f t="shared" si="3"/>
        <v>#DIV/0!</v>
      </c>
      <c r="BB8" s="239" t="e">
        <f t="shared" si="4"/>
        <v>#DIV/0!</v>
      </c>
      <c r="BC8" s="231" t="e">
        <f t="array" ref="BC8">INDEX(账面数据!$A$1:$BB$10000,MATCH($B8,账面数据!$A:$A,0),MATCH(BC$2,账面数据!$1:$1,0))</f>
        <v>#N/A</v>
      </c>
      <c r="BD8" s="231" t="e">
        <f t="array" ref="BD8">INDEX(账面数据!$A$1:$BB$10000,MATCH($B8,账面数据!$A:$A,0),MATCH(BD$2,账面数据!$1:$1,0))</f>
        <v>#N/A</v>
      </c>
      <c r="BE8" s="231" t="e">
        <f t="array" ref="BE8">INDEX(账面数据!$A$1:$BB$10000,MATCH($B8,账面数据!$A:$A,0),MATCH(BE$2,账面数据!$1:$1,0))</f>
        <v>#N/A</v>
      </c>
      <c r="BF8" s="231" t="e">
        <f t="array" ref="BF8">INDEX(账面数据!$A$1:$BB$10000,MATCH($B8,账面数据!$A:$A,0),MATCH(BF$2,账面数据!$1:$1,0))</f>
        <v>#N/A</v>
      </c>
      <c r="BG8" s="231" t="e">
        <f t="array" ref="BG8">INDEX(账面数据!$A$1:$BB$10000,MATCH($B8,账面数据!$A:$A,0),MATCH(BG$2,账面数据!$1:$1,0))</f>
        <v>#N/A</v>
      </c>
      <c r="BH8" s="231" t="e">
        <f t="array" ref="BH8">INDEX(账面数据!$A$1:$BB$10000,MATCH($B8,账面数据!$A:$A,0),MATCH(BH$2,账面数据!$1:$1,0))</f>
        <v>#N/A</v>
      </c>
      <c r="BI8" s="231" t="e">
        <f t="array" ref="BI8">INDEX(账面数据!$A$1:$BB$10000,MATCH($B8,账面数据!$A:$A,0),MATCH(BI$2,账面数据!$1:$1,0))</f>
        <v>#N/A</v>
      </c>
      <c r="BJ8" s="231" t="e">
        <f t="array" ref="BJ8">INDEX(账面数据!$A$1:$BB$10000,MATCH($B8,账面数据!$A:$A,0),MATCH(BJ$2,账面数据!$1:$1,0))</f>
        <v>#N/A</v>
      </c>
      <c r="BK8" s="231" t="e">
        <f t="array" ref="BK8">INDEX(账面数据!$A$1:$BB$10000,MATCH($B8,账面数据!$A:$A,0),MATCH(BK$2,账面数据!$1:$1,0))</f>
        <v>#N/A</v>
      </c>
      <c r="BL8" s="231" t="e">
        <f t="array" ref="BL8">INDEX(账面数据!$A$1:$BB$10000,MATCH($B8,账面数据!$A:$A,0),MATCH(BL$2,账面数据!$1:$1,0))</f>
        <v>#N/A</v>
      </c>
      <c r="BM8" s="231" t="e">
        <f t="array" ref="BM8">INDEX(账面数据!$A$1:$BB$10000,MATCH($B8,账面数据!$A:$A,0),MATCH(BM$2,账面数据!$1:$1,0))</f>
        <v>#N/A</v>
      </c>
      <c r="BN8" s="231" t="e">
        <f t="array" ref="BN8">INDEX(账面数据!$A$1:$BB$10000,MATCH($B8,账面数据!$A:$A,0),MATCH(BN$2,账面数据!$1:$1,0))</f>
        <v>#N/A</v>
      </c>
      <c r="BO8" s="231" t="e">
        <f t="array" ref="BO8">INDEX(账面数据!$A$1:$BB$10000,MATCH($B8,账面数据!$A:$A,0),MATCH(BO$2,账面数据!$1:$1,0))</f>
        <v>#N/A</v>
      </c>
      <c r="BP8" s="231" t="e">
        <f t="array" ref="BP8">INDEX(账面数据!$A$1:$BB$10000,MATCH($B8,账面数据!$A:$A,0),MATCH(BP$2,账面数据!$1:$1,0))</f>
        <v>#N/A</v>
      </c>
      <c r="BQ8" s="231" t="e">
        <f t="array" ref="BQ8">INDEX(账面数据!$A$1:$BB$10000,MATCH($B8,账面数据!$A:$A,0),MATCH(BQ$2,账面数据!$1:$1,0))</f>
        <v>#N/A</v>
      </c>
      <c r="BR8" s="231" t="e">
        <f t="array" ref="BR8">INDEX(账面数据!$A$1:$BB$10000,MATCH($B8,账面数据!$A:$A,0),MATCH(BR$2,账面数据!$1:$1,0))</f>
        <v>#N/A</v>
      </c>
      <c r="BS8" s="231" t="e">
        <f t="array" ref="BS8">INDEX(账面数据!$A$1:$BB$10000,MATCH($B8,账面数据!$A:$A,0),MATCH(BS$2,账面数据!$1:$1,0))</f>
        <v>#N/A</v>
      </c>
      <c r="BT8" s="231" t="e">
        <f t="array" ref="BT8">INDEX(账面数据!$A$1:$BB$10000,MATCH($B8,账面数据!$A:$A,0),MATCH(BT$2,账面数据!$1:$1,0))</f>
        <v>#N/A</v>
      </c>
      <c r="BU8" s="231" t="e">
        <f t="array" ref="BU8">INDEX(账面数据!$A$1:$BB$10000,MATCH($B8,账面数据!$A:$A,0),MATCH(BU$2,账面数据!$1:$1,0))</f>
        <v>#N/A</v>
      </c>
      <c r="BV8" s="231" t="e">
        <f t="array" ref="BV8">INDEX(账面数据!$A$1:$BB$10000,MATCH($B8,账面数据!$A:$A,0),MATCH(BV$2,账面数据!$1:$1,0))</f>
        <v>#N/A</v>
      </c>
      <c r="BW8" s="231" t="e">
        <f t="array" ref="BW8">INDEX(账面数据!$A$1:$BB$10000,MATCH($B8,账面数据!$A:$A,0),MATCH(BW$2,账面数据!$1:$1,0))</f>
        <v>#N/A</v>
      </c>
      <c r="BX8" s="231" t="e">
        <f t="array" ref="BX8">INDEX(账面数据!$A$1:$BB$10000,MATCH($B8,账面数据!$A:$A,0),MATCH(BX$2,账面数据!$1:$1,0))</f>
        <v>#N/A</v>
      </c>
      <c r="BY8" s="231" t="e">
        <f t="array" ref="BY8">INDEX(账面数据!$A$1:$BB$10000,MATCH($B8,账面数据!$A:$A,0),MATCH(BY$2,账面数据!$1:$1,0))</f>
        <v>#N/A</v>
      </c>
      <c r="BZ8" s="231" t="e">
        <f t="array" ref="BZ8">INDEX(账面数据!$A$1:$BB$10000,MATCH($B8,账面数据!$A:$A,0),MATCH(BZ$2,账面数据!$1:$1,0))</f>
        <v>#N/A</v>
      </c>
      <c r="CA8" s="231" t="e">
        <f t="array" ref="CA8">INDEX(账面数据!$A$1:$BB$10000,MATCH($B8,账面数据!$A:$A,0),MATCH(CA$2,账面数据!$1:$1,0))</f>
        <v>#N/A</v>
      </c>
      <c r="CB8" s="231" t="e">
        <f t="array" ref="CB8">INDEX(账面数据!$A$1:$BB$10000,MATCH($B8,账面数据!$A:$A,0),MATCH(CB$2,账面数据!$1:$1,0))</f>
        <v>#N/A</v>
      </c>
      <c r="CC8" s="231" t="e">
        <f t="array" ref="CC8">INDEX(账面数据!$A$1:$BB$10000,MATCH($B8,账面数据!$A:$A,0),MATCH(CC$2,账面数据!$1:$1,0))</f>
        <v>#N/A</v>
      </c>
      <c r="CD8" s="231" t="e">
        <f t="array" ref="CD8">INDEX(账面数据!$A$1:$BB$10000,MATCH($B8,账面数据!$A:$A,0),MATCH(CD$2,账面数据!$1:$1,0))</f>
        <v>#N/A</v>
      </c>
      <c r="CE8" s="231" t="e">
        <f t="array" ref="CE8">INDEX(账面数据!$A$1:$BB$10000,MATCH($B8,账面数据!$A:$A,0),MATCH(CE$2,账面数据!$1:$1,0))</f>
        <v>#N/A</v>
      </c>
      <c r="CF8" s="231" t="e">
        <f t="array" ref="CF8">INDEX(账面数据!$A$1:$BB$10000,MATCH($B8,账面数据!$A:$A,0),MATCH(CF$2,账面数据!$1:$1,0))</f>
        <v>#N/A</v>
      </c>
      <c r="CG8" s="231" t="e">
        <f t="array" ref="CG8">INDEX(账面数据!$A$1:$BB$10000,MATCH($B8,账面数据!$A:$A,0),MATCH(CG$2,账面数据!$1:$1,0))</f>
        <v>#N/A</v>
      </c>
      <c r="CH8" s="231" t="e">
        <f t="array" ref="CH8">INDEX(账面数据!$A$1:$BB$10000,MATCH($B8,账面数据!$A:$A,0),MATCH(CH$2,账面数据!$1:$1,0))</f>
        <v>#N/A</v>
      </c>
      <c r="CI8" s="231" t="e">
        <f t="array" ref="CI8">INDEX(账面数据!$A$1:$BB$10000,MATCH($B8,账面数据!$A:$A,0),MATCH(CI$2,账面数据!$1:$1,0))</f>
        <v>#N/A</v>
      </c>
      <c r="CJ8" s="231" t="e">
        <f t="array" ref="CJ8">INDEX(账面数据!$A$1:$BB$10000,MATCH($B8,账面数据!$A:$A,0),MATCH(CJ$2,账面数据!$1:$1,0))</f>
        <v>#N/A</v>
      </c>
      <c r="CK8" s="231" t="e">
        <f t="array" ref="CK8">INDEX(账面数据!$A$1:$BB$10000,MATCH($B8,账面数据!$A:$A,0),MATCH(CK$2,账面数据!$1:$1,0))</f>
        <v>#N/A</v>
      </c>
      <c r="CL8" s="231" t="e">
        <f t="array" ref="CL8">INDEX(账面数据!$A$1:$BB$10000,MATCH($B8,账面数据!$A:$A,0),MATCH(CL$2,账面数据!$1:$1,0))</f>
        <v>#N/A</v>
      </c>
      <c r="CM8" s="231" t="e">
        <f t="array" ref="CM8">INDEX(账面数据!$A$1:$BB$10000,MATCH($B8,账面数据!$A:$A,0),MATCH(CM$2,账面数据!$1:$1,0))</f>
        <v>#N/A</v>
      </c>
      <c r="CN8" s="231" t="e">
        <f t="array" ref="CN8">INDEX(账面数据!$A$1:$BB$10000,MATCH($B8,账面数据!$A:$A,0),MATCH(CN$2,账面数据!$1:$1,0))</f>
        <v>#N/A</v>
      </c>
      <c r="CO8" s="231" t="e">
        <f t="array" ref="CO8">INDEX(账面数据!$A$1:$BB$10000,MATCH($B8,账面数据!$A:$A,0),MATCH(CO$2,账面数据!$1:$1,0))</f>
        <v>#N/A</v>
      </c>
      <c r="CP8" s="231" t="e">
        <f t="array" ref="CP8">INDEX(账面数据!$A$1:$BB$10000,MATCH($B8,账面数据!$A:$A,0),MATCH(CP$2,账面数据!$1:$1,0))</f>
        <v>#N/A</v>
      </c>
      <c r="CQ8" s="231" t="e">
        <f t="array" ref="CQ8">INDEX(账面数据!$A$1:$BB$10000,MATCH($B8,账面数据!$A:$A,0),MATCH(CQ$2,账面数据!$1:$1,0))</f>
        <v>#N/A</v>
      </c>
      <c r="CR8" s="240" t="e">
        <f t="shared" si="6"/>
        <v>#N/A</v>
      </c>
      <c r="CS8" s="240" t="e">
        <f t="shared" si="7"/>
        <v>#N/A</v>
      </c>
      <c r="CT8" s="240" t="e">
        <f t="shared" si="12"/>
        <v>#DIV/0!</v>
      </c>
      <c r="CU8" s="240" t="e">
        <f t="shared" ref="CU5:CU12" si="14">AA8-AG8-BO8+BP8-BX8-BU8+BD8</f>
        <v>#N/A</v>
      </c>
      <c r="CV8" s="240" t="e">
        <f t="shared" si="13"/>
        <v>#DIV/0!</v>
      </c>
      <c r="CW8" s="240">
        <f t="shared" si="8"/>
        <v>0</v>
      </c>
      <c r="CX8" s="240" t="e">
        <f t="shared" si="9"/>
        <v>#N/A</v>
      </c>
      <c r="CY8" s="241" t="e">
        <f t="shared" si="10"/>
        <v>#DIV/0!</v>
      </c>
    </row>
    <row r="9" s="209" customFormat="1" ht="33" customHeight="1" spans="1:106">
      <c r="A9" s="230" t="str">
        <f>'XX项目 (7)'!L4</f>
        <v>来源于“共享系统”系统管理-权限管理-人员管理</v>
      </c>
      <c r="B9" s="230" t="str">
        <f>'XX项目 (7)'!M4</f>
        <v>来源于“共享系统”系统管理-权限管理-人员管理</v>
      </c>
      <c r="C9" s="231">
        <f>'XX项目 (7)'!E4</f>
        <v>0</v>
      </c>
      <c r="D9" s="231">
        <f>'XX项目 (7)'!F4</f>
        <v>0</v>
      </c>
      <c r="E9" s="231">
        <f>'XX项目 (7)'!G4</f>
        <v>0</v>
      </c>
      <c r="F9" s="231">
        <f>'XX项目 (7)'!H4</f>
        <v>0</v>
      </c>
      <c r="G9" s="231">
        <f>'XX项目 (7)'!I4</f>
        <v>0</v>
      </c>
      <c r="H9" s="232">
        <f t="shared" si="5"/>
        <v>0</v>
      </c>
      <c r="I9" s="232">
        <f t="shared" si="0"/>
        <v>0</v>
      </c>
      <c r="J9" s="231"/>
      <c r="K9" s="231"/>
      <c r="L9" s="231">
        <f>'XX项目 (7)'!G11</f>
        <v>0</v>
      </c>
      <c r="M9" s="231"/>
      <c r="N9" s="231"/>
      <c r="O9" s="231">
        <f>'XX项目 (7)'!S11</f>
        <v>0</v>
      </c>
      <c r="P9" s="231"/>
      <c r="Q9" s="231">
        <f>'XX项目 (7)'!M11</f>
        <v>0</v>
      </c>
      <c r="R9" s="231"/>
      <c r="S9" s="231"/>
      <c r="T9" s="231">
        <f>'XX项目 (7)'!T11</f>
        <v>0</v>
      </c>
      <c r="U9" s="233">
        <f>'XX项目 (7)'!E5+'XX项目 (7)'!E6</f>
        <v>0</v>
      </c>
      <c r="V9" s="233">
        <f>'XX项目 (7)'!F5+'XX项目 (7)'!F6</f>
        <v>0</v>
      </c>
      <c r="W9" s="233">
        <f>'XX项目 (7)'!G5+'XX项目 (7)'!G6</f>
        <v>0</v>
      </c>
      <c r="X9" s="233">
        <f>'XX项目 (7)'!H5+'XX项目 (7)'!H6</f>
        <v>0</v>
      </c>
      <c r="Y9" s="232">
        <f t="shared" si="1"/>
        <v>0</v>
      </c>
      <c r="Z9" s="232">
        <f t="shared" si="2"/>
        <v>0</v>
      </c>
      <c r="AA9" s="231">
        <f>'XX项目 (7)'!G12+'XX项目 (7)'!G13</f>
        <v>0</v>
      </c>
      <c r="AB9" s="231"/>
      <c r="AC9" s="231">
        <f>'XX项目 (7)'!S12+'XX项目 (7)'!S13</f>
        <v>0</v>
      </c>
      <c r="AD9" s="231"/>
      <c r="AE9" s="231">
        <f>'XX项目 (7)'!M12+'XX项目 (7)'!M13</f>
        <v>0</v>
      </c>
      <c r="AF9" s="234"/>
      <c r="AG9" s="234">
        <f>'XX项目 (7)'!T12+'XX项目 (7)'!T13</f>
        <v>0</v>
      </c>
      <c r="AH9" s="243">
        <f>'XX项目 (7)'!I97</f>
        <v>0</v>
      </c>
      <c r="AI9" s="243">
        <f>'XX项目 (7)'!I98</f>
        <v>0</v>
      </c>
      <c r="AJ9" s="243">
        <f>'XX项目 (7)'!E93+'XX项目 (7)'!F93+'XX项目 (7)'!G93+'XX项目 (7)'!H93+'XX项目 (7)'!J93+'XX项目 (7)'!K93</f>
        <v>0</v>
      </c>
      <c r="AK9" s="244"/>
      <c r="AL9" s="237" t="e">
        <f>'XX项目 (7)'!K4</f>
        <v>#DIV/0!</v>
      </c>
      <c r="AM9" s="230" t="str">
        <f>'XX项目 (7)'!N4</f>
        <v>主合同编号中的单位</v>
      </c>
      <c r="AN9" s="230" t="str">
        <f>'XX项目 (7)'!O4</f>
        <v>实际管理单位</v>
      </c>
      <c r="AO9" s="230">
        <f>'XX项目 (7)'!S4</f>
        <v>0</v>
      </c>
      <c r="AP9" s="230">
        <f>'XX项目 (7)'!T4</f>
        <v>0</v>
      </c>
      <c r="AQ9" s="230">
        <f>'XX项目 (7)'!U4</f>
        <v>0</v>
      </c>
      <c r="AR9" s="230">
        <f>'XX项目 (7)'!V4</f>
        <v>0</v>
      </c>
      <c r="AS9" s="230">
        <f>'XX项目 (7)'!W4</f>
        <v>0</v>
      </c>
      <c r="AT9" s="230">
        <f>'XX项目 (7)'!X4</f>
        <v>0</v>
      </c>
      <c r="AU9" s="238"/>
      <c r="AV9" s="238" t="e">
        <f>'XX项目 (7)'!E128</f>
        <v>#DIV/0!</v>
      </c>
      <c r="AW9" s="239" t="e">
        <f t="shared" si="11"/>
        <v>#DIV/0!</v>
      </c>
      <c r="AX9" s="239" t="e">
        <f>AW9/#REF!*#REF!</f>
        <v>#DIV/0!</v>
      </c>
      <c r="AY9" s="238"/>
      <c r="AZ9" s="238"/>
      <c r="BA9" s="239" t="e">
        <f t="shared" si="3"/>
        <v>#DIV/0!</v>
      </c>
      <c r="BB9" s="239" t="e">
        <f t="shared" si="4"/>
        <v>#DIV/0!</v>
      </c>
      <c r="BC9" s="231" t="e">
        <f t="array" ref="BC9">INDEX(账面数据!$A$1:$BB$10000,MATCH($B9,账面数据!$A:$A,0),MATCH(BC$2,账面数据!$1:$1,0))</f>
        <v>#N/A</v>
      </c>
      <c r="BD9" s="231" t="e">
        <f t="array" ref="BD9">INDEX(账面数据!$A$1:$BB$10000,MATCH($B9,账面数据!$A:$A,0),MATCH(BD$2,账面数据!$1:$1,0))</f>
        <v>#N/A</v>
      </c>
      <c r="BE9" s="231" t="e">
        <f t="array" ref="BE9">INDEX(账面数据!$A$1:$BB$10000,MATCH($B9,账面数据!$A:$A,0),MATCH(BE$2,账面数据!$1:$1,0))</f>
        <v>#N/A</v>
      </c>
      <c r="BF9" s="231" t="e">
        <f t="array" ref="BF9">INDEX(账面数据!$A$1:$BB$10000,MATCH($B9,账面数据!$A:$A,0),MATCH(BF$2,账面数据!$1:$1,0))</f>
        <v>#N/A</v>
      </c>
      <c r="BG9" s="231" t="e">
        <f t="array" ref="BG9">INDEX(账面数据!$A$1:$BB$10000,MATCH($B9,账面数据!$A:$A,0),MATCH(BG$2,账面数据!$1:$1,0))</f>
        <v>#N/A</v>
      </c>
      <c r="BH9" s="231" t="e">
        <f t="array" ref="BH9">INDEX(账面数据!$A$1:$BB$10000,MATCH($B9,账面数据!$A:$A,0),MATCH(BH$2,账面数据!$1:$1,0))</f>
        <v>#N/A</v>
      </c>
      <c r="BI9" s="231" t="e">
        <f t="array" ref="BI9">INDEX(账面数据!$A$1:$BB$10000,MATCH($B9,账面数据!$A:$A,0),MATCH(BI$2,账面数据!$1:$1,0))</f>
        <v>#N/A</v>
      </c>
      <c r="BJ9" s="231" t="e">
        <f t="array" ref="BJ9">INDEX(账面数据!$A$1:$BB$10000,MATCH($B9,账面数据!$A:$A,0),MATCH(BJ$2,账面数据!$1:$1,0))</f>
        <v>#N/A</v>
      </c>
      <c r="BK9" s="231" t="e">
        <f t="array" ref="BK9">INDEX(账面数据!$A$1:$BB$10000,MATCH($B9,账面数据!$A:$A,0),MATCH(BK$2,账面数据!$1:$1,0))</f>
        <v>#N/A</v>
      </c>
      <c r="BL9" s="231" t="e">
        <f t="array" ref="BL9">INDEX(账面数据!$A$1:$BB$10000,MATCH($B9,账面数据!$A:$A,0),MATCH(BL$2,账面数据!$1:$1,0))</f>
        <v>#N/A</v>
      </c>
      <c r="BM9" s="231" t="e">
        <f t="array" ref="BM9">INDEX(账面数据!$A$1:$BB$10000,MATCH($B9,账面数据!$A:$A,0),MATCH(BM$2,账面数据!$1:$1,0))</f>
        <v>#N/A</v>
      </c>
      <c r="BN9" s="231" t="e">
        <f t="array" ref="BN9">INDEX(账面数据!$A$1:$BB$10000,MATCH($B9,账面数据!$A:$A,0),MATCH(BN$2,账面数据!$1:$1,0))</f>
        <v>#N/A</v>
      </c>
      <c r="BO9" s="231" t="e">
        <f t="array" ref="BO9">INDEX(账面数据!$A$1:$BB$10000,MATCH($B9,账面数据!$A:$A,0),MATCH(BO$2,账面数据!$1:$1,0))</f>
        <v>#N/A</v>
      </c>
      <c r="BP9" s="231" t="e">
        <f t="array" ref="BP9">INDEX(账面数据!$A$1:$BB$10000,MATCH($B9,账面数据!$A:$A,0),MATCH(BP$2,账面数据!$1:$1,0))</f>
        <v>#N/A</v>
      </c>
      <c r="BQ9" s="231" t="e">
        <f t="array" ref="BQ9">INDEX(账面数据!$A$1:$BB$10000,MATCH($B9,账面数据!$A:$A,0),MATCH(BQ$2,账面数据!$1:$1,0))</f>
        <v>#N/A</v>
      </c>
      <c r="BR9" s="231" t="e">
        <f t="array" ref="BR9">INDEX(账面数据!$A$1:$BB$10000,MATCH($B9,账面数据!$A:$A,0),MATCH(BR$2,账面数据!$1:$1,0))</f>
        <v>#N/A</v>
      </c>
      <c r="BS9" s="231" t="e">
        <f t="array" ref="BS9">INDEX(账面数据!$A$1:$BB$10000,MATCH($B9,账面数据!$A:$A,0),MATCH(BS$2,账面数据!$1:$1,0))</f>
        <v>#N/A</v>
      </c>
      <c r="BT9" s="231" t="e">
        <f t="array" ref="BT9">INDEX(账面数据!$A$1:$BB$10000,MATCH($B9,账面数据!$A:$A,0),MATCH(BT$2,账面数据!$1:$1,0))</f>
        <v>#N/A</v>
      </c>
      <c r="BU9" s="231" t="e">
        <f t="array" ref="BU9">INDEX(账面数据!$A$1:$BB$10000,MATCH($B9,账面数据!$A:$A,0),MATCH(BU$2,账面数据!$1:$1,0))</f>
        <v>#N/A</v>
      </c>
      <c r="BV9" s="231" t="e">
        <f t="array" ref="BV9">INDEX(账面数据!$A$1:$BB$10000,MATCH($B9,账面数据!$A:$A,0),MATCH(BV$2,账面数据!$1:$1,0))</f>
        <v>#N/A</v>
      </c>
      <c r="BW9" s="231" t="e">
        <f t="array" ref="BW9">INDEX(账面数据!$A$1:$BB$10000,MATCH($B9,账面数据!$A:$A,0),MATCH(BW$2,账面数据!$1:$1,0))</f>
        <v>#N/A</v>
      </c>
      <c r="BX9" s="231" t="e">
        <f t="array" ref="BX9">INDEX(账面数据!$A$1:$BB$10000,MATCH($B9,账面数据!$A:$A,0),MATCH(BX$2,账面数据!$1:$1,0))</f>
        <v>#N/A</v>
      </c>
      <c r="BY9" s="231" t="e">
        <f t="array" ref="BY9">INDEX(账面数据!$A$1:$BB$10000,MATCH($B9,账面数据!$A:$A,0),MATCH(BY$2,账面数据!$1:$1,0))</f>
        <v>#N/A</v>
      </c>
      <c r="BZ9" s="231" t="e">
        <f t="array" ref="BZ9">INDEX(账面数据!$A$1:$BB$10000,MATCH($B9,账面数据!$A:$A,0),MATCH(BZ$2,账面数据!$1:$1,0))</f>
        <v>#N/A</v>
      </c>
      <c r="CA9" s="231" t="e">
        <f t="array" ref="CA9">INDEX(账面数据!$A$1:$BB$10000,MATCH($B9,账面数据!$A:$A,0),MATCH(CA$2,账面数据!$1:$1,0))</f>
        <v>#N/A</v>
      </c>
      <c r="CB9" s="231" t="e">
        <f t="array" ref="CB9">INDEX(账面数据!$A$1:$BB$10000,MATCH($B9,账面数据!$A:$A,0),MATCH(CB$2,账面数据!$1:$1,0))</f>
        <v>#N/A</v>
      </c>
      <c r="CC9" s="231" t="e">
        <f t="array" ref="CC9">INDEX(账面数据!$A$1:$BB$10000,MATCH($B9,账面数据!$A:$A,0),MATCH(CC$2,账面数据!$1:$1,0))</f>
        <v>#N/A</v>
      </c>
      <c r="CD9" s="231" t="e">
        <f t="array" ref="CD9">INDEX(账面数据!$A$1:$BB$10000,MATCH($B9,账面数据!$A:$A,0),MATCH(CD$2,账面数据!$1:$1,0))</f>
        <v>#N/A</v>
      </c>
      <c r="CE9" s="231" t="e">
        <f t="array" ref="CE9">INDEX(账面数据!$A$1:$BB$10000,MATCH($B9,账面数据!$A:$A,0),MATCH(CE$2,账面数据!$1:$1,0))</f>
        <v>#N/A</v>
      </c>
      <c r="CF9" s="231" t="e">
        <f t="array" ref="CF9">INDEX(账面数据!$A$1:$BB$10000,MATCH($B9,账面数据!$A:$A,0),MATCH(CF$2,账面数据!$1:$1,0))</f>
        <v>#N/A</v>
      </c>
      <c r="CG9" s="231" t="e">
        <f t="array" ref="CG9">INDEX(账面数据!$A$1:$BB$10000,MATCH($B9,账面数据!$A:$A,0),MATCH(CG$2,账面数据!$1:$1,0))</f>
        <v>#N/A</v>
      </c>
      <c r="CH9" s="231" t="e">
        <f t="array" ref="CH9">INDEX(账面数据!$A$1:$BB$10000,MATCH($B9,账面数据!$A:$A,0),MATCH(CH$2,账面数据!$1:$1,0))</f>
        <v>#N/A</v>
      </c>
      <c r="CI9" s="231" t="e">
        <f t="array" ref="CI9">INDEX(账面数据!$A$1:$BB$10000,MATCH($B9,账面数据!$A:$A,0),MATCH(CI$2,账面数据!$1:$1,0))</f>
        <v>#N/A</v>
      </c>
      <c r="CJ9" s="231" t="e">
        <f t="array" ref="CJ9">INDEX(账面数据!$A$1:$BB$10000,MATCH($B9,账面数据!$A:$A,0),MATCH(CJ$2,账面数据!$1:$1,0))</f>
        <v>#N/A</v>
      </c>
      <c r="CK9" s="231" t="e">
        <f t="array" ref="CK9">INDEX(账面数据!$A$1:$BB$10000,MATCH($B9,账面数据!$A:$A,0),MATCH(CK$2,账面数据!$1:$1,0))</f>
        <v>#N/A</v>
      </c>
      <c r="CL9" s="231" t="e">
        <f t="array" ref="CL9">INDEX(账面数据!$A$1:$BB$10000,MATCH($B9,账面数据!$A:$A,0),MATCH(CL$2,账面数据!$1:$1,0))</f>
        <v>#N/A</v>
      </c>
      <c r="CM9" s="231" t="e">
        <f t="array" ref="CM9">INDEX(账面数据!$A$1:$BB$10000,MATCH($B9,账面数据!$A:$A,0),MATCH(CM$2,账面数据!$1:$1,0))</f>
        <v>#N/A</v>
      </c>
      <c r="CN9" s="231" t="e">
        <f t="array" ref="CN9">INDEX(账面数据!$A$1:$BB$10000,MATCH($B9,账面数据!$A:$A,0),MATCH(CN$2,账面数据!$1:$1,0))</f>
        <v>#N/A</v>
      </c>
      <c r="CO9" s="231" t="e">
        <f t="array" ref="CO9">INDEX(账面数据!$A$1:$BB$10000,MATCH($B9,账面数据!$A:$A,0),MATCH(CO$2,账面数据!$1:$1,0))</f>
        <v>#N/A</v>
      </c>
      <c r="CP9" s="231" t="e">
        <f t="array" ref="CP9">INDEX(账面数据!$A$1:$BB$10000,MATCH($B9,账面数据!$A:$A,0),MATCH(CP$2,账面数据!$1:$1,0))</f>
        <v>#N/A</v>
      </c>
      <c r="CQ9" s="231" t="e">
        <f t="array" ref="CQ9">INDEX(账面数据!$A$1:$BB$10000,MATCH($B9,账面数据!$A:$A,0),MATCH(CQ$2,账面数据!$1:$1,0))</f>
        <v>#N/A</v>
      </c>
      <c r="CR9" s="240" t="e">
        <f t="shared" si="6"/>
        <v>#N/A</v>
      </c>
      <c r="CS9" s="240" t="e">
        <f t="shared" si="7"/>
        <v>#N/A</v>
      </c>
      <c r="CT9" s="240" t="e">
        <f t="shared" si="12"/>
        <v>#DIV/0!</v>
      </c>
      <c r="CU9" s="240" t="e">
        <f t="shared" si="14"/>
        <v>#N/A</v>
      </c>
      <c r="CV9" s="240" t="e">
        <f t="shared" si="13"/>
        <v>#DIV/0!</v>
      </c>
      <c r="CW9" s="240">
        <f t="shared" si="8"/>
        <v>0</v>
      </c>
      <c r="CX9" s="240" t="e">
        <f t="shared" si="9"/>
        <v>#N/A</v>
      </c>
      <c r="CY9" s="241" t="e">
        <f t="shared" si="10"/>
        <v>#DIV/0!</v>
      </c>
    </row>
    <row r="10" s="209" customFormat="1" ht="33" customHeight="1" spans="1:106">
      <c r="A10" s="230" t="str">
        <f>'XX项目 (8)'!L4</f>
        <v>来源于“共享系统”系统管理-权限管理-人员管理</v>
      </c>
      <c r="B10" s="230" t="str">
        <f>'XX项目 (8)'!M4</f>
        <v>来源于“共享系统”系统管理-权限管理-人员管理</v>
      </c>
      <c r="C10" s="231">
        <f>'XX项目 (8)'!E4</f>
        <v>0</v>
      </c>
      <c r="D10" s="231">
        <f>'XX项目 (8)'!F4</f>
        <v>0</v>
      </c>
      <c r="E10" s="231">
        <f>'XX项目 (8)'!G4</f>
        <v>0</v>
      </c>
      <c r="F10" s="231">
        <f>'XX项目 (8)'!H4</f>
        <v>0</v>
      </c>
      <c r="G10" s="231">
        <f>'XX项目 (8)'!I4</f>
        <v>0</v>
      </c>
      <c r="H10" s="232">
        <f t="shared" si="5"/>
        <v>0</v>
      </c>
      <c r="I10" s="232">
        <f t="shared" si="0"/>
        <v>0</v>
      </c>
      <c r="J10" s="231"/>
      <c r="K10" s="231"/>
      <c r="L10" s="231">
        <f>'XX项目 (8)'!G11</f>
        <v>0</v>
      </c>
      <c r="M10" s="231"/>
      <c r="N10" s="231"/>
      <c r="O10" s="231">
        <f>'XX项目 (8)'!S11</f>
        <v>0</v>
      </c>
      <c r="P10" s="231"/>
      <c r="Q10" s="231">
        <f>'XX项目 (8)'!M11</f>
        <v>0</v>
      </c>
      <c r="R10" s="231"/>
      <c r="S10" s="231"/>
      <c r="T10" s="231">
        <f>'XX项目 (8)'!T11</f>
        <v>0</v>
      </c>
      <c r="U10" s="233">
        <f>'XX项目 (8)'!E5+'XX项目 (8)'!E6</f>
        <v>0</v>
      </c>
      <c r="V10" s="233">
        <f>'XX项目 (8)'!F5+'XX项目 (8)'!F6</f>
        <v>0</v>
      </c>
      <c r="W10" s="233">
        <f>'XX项目 (8)'!G5+'XX项目 (8)'!G6</f>
        <v>0</v>
      </c>
      <c r="X10" s="233">
        <f>'XX项目 (8)'!H5+'XX项目 (8)'!H6</f>
        <v>0</v>
      </c>
      <c r="Y10" s="232">
        <f t="shared" si="1"/>
        <v>0</v>
      </c>
      <c r="Z10" s="232">
        <f t="shared" si="2"/>
        <v>0</v>
      </c>
      <c r="AA10" s="231">
        <f>'XX项目 (8)'!G12+'XX项目 (8)'!G13</f>
        <v>0</v>
      </c>
      <c r="AB10" s="231"/>
      <c r="AC10" s="231">
        <f>'XX项目 (8)'!S12+'XX项目 (8)'!S13</f>
        <v>0</v>
      </c>
      <c r="AD10" s="231"/>
      <c r="AE10" s="231">
        <f>'XX项目 (8)'!M12+'XX项目 (8)'!M13</f>
        <v>0</v>
      </c>
      <c r="AF10" s="234"/>
      <c r="AG10" s="234">
        <f>'XX项目 (8)'!T12+'XX项目 (8)'!T13</f>
        <v>0</v>
      </c>
      <c r="AH10" s="243">
        <f>'XX项目 (8)'!I97</f>
        <v>0</v>
      </c>
      <c r="AI10" s="243">
        <f>'XX项目 (8)'!I98</f>
        <v>0</v>
      </c>
      <c r="AJ10" s="243">
        <f>'XX项目 (8)'!E93+'XX项目 (8)'!F93+'XX项目 (8)'!G93+'XX项目 (8)'!H93+'XX项目 (8)'!J93+'XX项目 (8)'!K93</f>
        <v>0</v>
      </c>
      <c r="AK10" s="244"/>
      <c r="AL10" s="237" t="e">
        <f>'XX项目 (8)'!K4</f>
        <v>#DIV/0!</v>
      </c>
      <c r="AM10" s="230" t="str">
        <f>'XX项目 (8)'!N4</f>
        <v>主合同编号中的单位</v>
      </c>
      <c r="AN10" s="230" t="str">
        <f>'XX项目 (8)'!O4</f>
        <v>实际管理单位</v>
      </c>
      <c r="AO10" s="230">
        <f>'XX项目 (8)'!S4</f>
        <v>0</v>
      </c>
      <c r="AP10" s="230">
        <f>'XX项目 (8)'!T4</f>
        <v>0</v>
      </c>
      <c r="AQ10" s="230">
        <f>'XX项目 (8)'!U4</f>
        <v>0</v>
      </c>
      <c r="AR10" s="230">
        <f>'XX项目 (8)'!V4</f>
        <v>0</v>
      </c>
      <c r="AS10" s="230">
        <f>'XX项目 (8)'!W4</f>
        <v>0</v>
      </c>
      <c r="AT10" s="230">
        <f>'XX项目 (8)'!X4</f>
        <v>0</v>
      </c>
      <c r="AU10" s="238"/>
      <c r="AV10" s="238" t="e">
        <f>'XX项目 (8)'!E128</f>
        <v>#DIV/0!</v>
      </c>
      <c r="AW10" s="239" t="e">
        <f t="shared" si="11"/>
        <v>#DIV/0!</v>
      </c>
      <c r="AX10" s="239" t="e">
        <f>AW10/#REF!*#REF!</f>
        <v>#DIV/0!</v>
      </c>
      <c r="AY10" s="238"/>
      <c r="AZ10" s="238"/>
      <c r="BA10" s="239" t="e">
        <f t="shared" si="3"/>
        <v>#DIV/0!</v>
      </c>
      <c r="BB10" s="239" t="e">
        <f t="shared" si="4"/>
        <v>#DIV/0!</v>
      </c>
      <c r="BC10" s="231" t="e">
        <f t="array" ref="BC10">INDEX(账面数据!$A$1:$BB$10000,MATCH($B10,账面数据!$A:$A,0),MATCH(BC$2,账面数据!$1:$1,0))</f>
        <v>#N/A</v>
      </c>
      <c r="BD10" s="231" t="e">
        <f t="array" ref="BD10">INDEX(账面数据!$A$1:$BB$10000,MATCH($B10,账面数据!$A:$A,0),MATCH(BD$2,账面数据!$1:$1,0))</f>
        <v>#N/A</v>
      </c>
      <c r="BE10" s="231" t="e">
        <f t="array" ref="BE10">INDEX(账面数据!$A$1:$BB$10000,MATCH($B10,账面数据!$A:$A,0),MATCH(BE$2,账面数据!$1:$1,0))</f>
        <v>#N/A</v>
      </c>
      <c r="BF10" s="231" t="e">
        <f t="array" ref="BF10">INDEX(账面数据!$A$1:$BB$10000,MATCH($B10,账面数据!$A:$A,0),MATCH(BF$2,账面数据!$1:$1,0))</f>
        <v>#N/A</v>
      </c>
      <c r="BG10" s="231" t="e">
        <f t="array" ref="BG10">INDEX(账面数据!$A$1:$BB$10000,MATCH($B10,账面数据!$A:$A,0),MATCH(BG$2,账面数据!$1:$1,0))</f>
        <v>#N/A</v>
      </c>
      <c r="BH10" s="231" t="e">
        <f t="array" ref="BH10">INDEX(账面数据!$A$1:$BB$10000,MATCH($B10,账面数据!$A:$A,0),MATCH(BH$2,账面数据!$1:$1,0))</f>
        <v>#N/A</v>
      </c>
      <c r="BI10" s="231" t="e">
        <f t="array" ref="BI10">INDEX(账面数据!$A$1:$BB$10000,MATCH($B10,账面数据!$A:$A,0),MATCH(BI$2,账面数据!$1:$1,0))</f>
        <v>#N/A</v>
      </c>
      <c r="BJ10" s="231" t="e">
        <f t="array" ref="BJ10">INDEX(账面数据!$A$1:$BB$10000,MATCH($B10,账面数据!$A:$A,0),MATCH(BJ$2,账面数据!$1:$1,0))</f>
        <v>#N/A</v>
      </c>
      <c r="BK10" s="231" t="e">
        <f t="array" ref="BK10">INDEX(账面数据!$A$1:$BB$10000,MATCH($B10,账面数据!$A:$A,0),MATCH(BK$2,账面数据!$1:$1,0))</f>
        <v>#N/A</v>
      </c>
      <c r="BL10" s="231" t="e">
        <f t="array" ref="BL10">INDEX(账面数据!$A$1:$BB$10000,MATCH($B10,账面数据!$A:$A,0),MATCH(BL$2,账面数据!$1:$1,0))</f>
        <v>#N/A</v>
      </c>
      <c r="BM10" s="231" t="e">
        <f t="array" ref="BM10">INDEX(账面数据!$A$1:$BB$10000,MATCH($B10,账面数据!$A:$A,0),MATCH(BM$2,账面数据!$1:$1,0))</f>
        <v>#N/A</v>
      </c>
      <c r="BN10" s="231" t="e">
        <f t="array" ref="BN10">INDEX(账面数据!$A$1:$BB$10000,MATCH($B10,账面数据!$A:$A,0),MATCH(BN$2,账面数据!$1:$1,0))</f>
        <v>#N/A</v>
      </c>
      <c r="BO10" s="231" t="e">
        <f t="array" ref="BO10">INDEX(账面数据!$A$1:$BB$10000,MATCH($B10,账面数据!$A:$A,0),MATCH(BO$2,账面数据!$1:$1,0))</f>
        <v>#N/A</v>
      </c>
      <c r="BP10" s="231" t="e">
        <f t="array" ref="BP10">INDEX(账面数据!$A$1:$BB$10000,MATCH($B10,账面数据!$A:$A,0),MATCH(BP$2,账面数据!$1:$1,0))</f>
        <v>#N/A</v>
      </c>
      <c r="BQ10" s="231" t="e">
        <f t="array" ref="BQ10">INDEX(账面数据!$A$1:$BB$10000,MATCH($B10,账面数据!$A:$A,0),MATCH(BQ$2,账面数据!$1:$1,0))</f>
        <v>#N/A</v>
      </c>
      <c r="BR10" s="231" t="e">
        <f t="array" ref="BR10">INDEX(账面数据!$A$1:$BB$10000,MATCH($B10,账面数据!$A:$A,0),MATCH(BR$2,账面数据!$1:$1,0))</f>
        <v>#N/A</v>
      </c>
      <c r="BS10" s="231" t="e">
        <f t="array" ref="BS10">INDEX(账面数据!$A$1:$BB$10000,MATCH($B10,账面数据!$A:$A,0),MATCH(BS$2,账面数据!$1:$1,0))</f>
        <v>#N/A</v>
      </c>
      <c r="BT10" s="231" t="e">
        <f t="array" ref="BT10">INDEX(账面数据!$A$1:$BB$10000,MATCH($B10,账面数据!$A:$A,0),MATCH(BT$2,账面数据!$1:$1,0))</f>
        <v>#N/A</v>
      </c>
      <c r="BU10" s="231" t="e">
        <f t="array" ref="BU10">INDEX(账面数据!$A$1:$BB$10000,MATCH($B10,账面数据!$A:$A,0),MATCH(BU$2,账面数据!$1:$1,0))</f>
        <v>#N/A</v>
      </c>
      <c r="BV10" s="231" t="e">
        <f t="array" ref="BV10">INDEX(账面数据!$A$1:$BB$10000,MATCH($B10,账面数据!$A:$A,0),MATCH(BV$2,账面数据!$1:$1,0))</f>
        <v>#N/A</v>
      </c>
      <c r="BW10" s="231" t="e">
        <f t="array" ref="BW10">INDEX(账面数据!$A$1:$BB$10000,MATCH($B10,账面数据!$A:$A,0),MATCH(BW$2,账面数据!$1:$1,0))</f>
        <v>#N/A</v>
      </c>
      <c r="BX10" s="231" t="e">
        <f t="array" ref="BX10">INDEX(账面数据!$A$1:$BB$10000,MATCH($B10,账面数据!$A:$A,0),MATCH(BX$2,账面数据!$1:$1,0))</f>
        <v>#N/A</v>
      </c>
      <c r="BY10" s="231" t="e">
        <f t="array" ref="BY10">INDEX(账面数据!$A$1:$BB$10000,MATCH($B10,账面数据!$A:$A,0),MATCH(BY$2,账面数据!$1:$1,0))</f>
        <v>#N/A</v>
      </c>
      <c r="BZ10" s="231" t="e">
        <f t="array" ref="BZ10">INDEX(账面数据!$A$1:$BB$10000,MATCH($B10,账面数据!$A:$A,0),MATCH(BZ$2,账面数据!$1:$1,0))</f>
        <v>#N/A</v>
      </c>
      <c r="CA10" s="231" t="e">
        <f t="array" ref="CA10">INDEX(账面数据!$A$1:$BB$10000,MATCH($B10,账面数据!$A:$A,0),MATCH(CA$2,账面数据!$1:$1,0))</f>
        <v>#N/A</v>
      </c>
      <c r="CB10" s="231" t="e">
        <f t="array" ref="CB10">INDEX(账面数据!$A$1:$BB$10000,MATCH($B10,账面数据!$A:$A,0),MATCH(CB$2,账面数据!$1:$1,0))</f>
        <v>#N/A</v>
      </c>
      <c r="CC10" s="231" t="e">
        <f t="array" ref="CC10">INDEX(账面数据!$A$1:$BB$10000,MATCH($B10,账面数据!$A:$A,0),MATCH(CC$2,账面数据!$1:$1,0))</f>
        <v>#N/A</v>
      </c>
      <c r="CD10" s="231" t="e">
        <f t="array" ref="CD10">INDEX(账面数据!$A$1:$BB$10000,MATCH($B10,账面数据!$A:$A,0),MATCH(CD$2,账面数据!$1:$1,0))</f>
        <v>#N/A</v>
      </c>
      <c r="CE10" s="231" t="e">
        <f t="array" ref="CE10">INDEX(账面数据!$A$1:$BB$10000,MATCH($B10,账面数据!$A:$A,0),MATCH(CE$2,账面数据!$1:$1,0))</f>
        <v>#N/A</v>
      </c>
      <c r="CF10" s="231" t="e">
        <f t="array" ref="CF10">INDEX(账面数据!$A$1:$BB$10000,MATCH($B10,账面数据!$A:$A,0),MATCH(CF$2,账面数据!$1:$1,0))</f>
        <v>#N/A</v>
      </c>
      <c r="CG10" s="231" t="e">
        <f t="array" ref="CG10">INDEX(账面数据!$A$1:$BB$10000,MATCH($B10,账面数据!$A:$A,0),MATCH(CG$2,账面数据!$1:$1,0))</f>
        <v>#N/A</v>
      </c>
      <c r="CH10" s="231" t="e">
        <f t="array" ref="CH10">INDEX(账面数据!$A$1:$BB$10000,MATCH($B10,账面数据!$A:$A,0),MATCH(CH$2,账面数据!$1:$1,0))</f>
        <v>#N/A</v>
      </c>
      <c r="CI10" s="231" t="e">
        <f t="array" ref="CI10">INDEX(账面数据!$A$1:$BB$10000,MATCH($B10,账面数据!$A:$A,0),MATCH(CI$2,账面数据!$1:$1,0))</f>
        <v>#N/A</v>
      </c>
      <c r="CJ10" s="231" t="e">
        <f t="array" ref="CJ10">INDEX(账面数据!$A$1:$BB$10000,MATCH($B10,账面数据!$A:$A,0),MATCH(CJ$2,账面数据!$1:$1,0))</f>
        <v>#N/A</v>
      </c>
      <c r="CK10" s="231" t="e">
        <f t="array" ref="CK10">INDEX(账面数据!$A$1:$BB$10000,MATCH($B10,账面数据!$A:$A,0),MATCH(CK$2,账面数据!$1:$1,0))</f>
        <v>#N/A</v>
      </c>
      <c r="CL10" s="231" t="e">
        <f t="array" ref="CL10">INDEX(账面数据!$A$1:$BB$10000,MATCH($B10,账面数据!$A:$A,0),MATCH(CL$2,账面数据!$1:$1,0))</f>
        <v>#N/A</v>
      </c>
      <c r="CM10" s="231" t="e">
        <f t="array" ref="CM10">INDEX(账面数据!$A$1:$BB$10000,MATCH($B10,账面数据!$A:$A,0),MATCH(CM$2,账面数据!$1:$1,0))</f>
        <v>#N/A</v>
      </c>
      <c r="CN10" s="231" t="e">
        <f t="array" ref="CN10">INDEX(账面数据!$A$1:$BB$10000,MATCH($B10,账面数据!$A:$A,0),MATCH(CN$2,账面数据!$1:$1,0))</f>
        <v>#N/A</v>
      </c>
      <c r="CO10" s="231" t="e">
        <f t="array" ref="CO10">INDEX(账面数据!$A$1:$BB$10000,MATCH($B10,账面数据!$A:$A,0),MATCH(CO$2,账面数据!$1:$1,0))</f>
        <v>#N/A</v>
      </c>
      <c r="CP10" s="231" t="e">
        <f t="array" ref="CP10">INDEX(账面数据!$A$1:$BB$10000,MATCH($B10,账面数据!$A:$A,0),MATCH(CP$2,账面数据!$1:$1,0))</f>
        <v>#N/A</v>
      </c>
      <c r="CQ10" s="231" t="e">
        <f t="array" ref="CQ10">INDEX(账面数据!$A$1:$BB$10000,MATCH($B10,账面数据!$A:$A,0),MATCH(CQ$2,账面数据!$1:$1,0))</f>
        <v>#N/A</v>
      </c>
      <c r="CR10" s="240" t="e">
        <f t="shared" si="6"/>
        <v>#N/A</v>
      </c>
      <c r="CS10" s="240" t="e">
        <f t="shared" si="7"/>
        <v>#N/A</v>
      </c>
      <c r="CT10" s="240" t="e">
        <f t="shared" si="12"/>
        <v>#DIV/0!</v>
      </c>
      <c r="CU10" s="240" t="e">
        <f t="shared" si="14"/>
        <v>#N/A</v>
      </c>
      <c r="CV10" s="240" t="e">
        <f t="shared" si="13"/>
        <v>#DIV/0!</v>
      </c>
      <c r="CW10" s="240">
        <f t="shared" si="8"/>
        <v>0</v>
      </c>
      <c r="CX10" s="240" t="e">
        <f t="shared" si="9"/>
        <v>#N/A</v>
      </c>
      <c r="CY10" s="241" t="e">
        <f t="shared" si="10"/>
        <v>#DIV/0!</v>
      </c>
    </row>
    <row r="11" s="209" customFormat="1" ht="33" customHeight="1" spans="1:106">
      <c r="A11" s="230" t="str">
        <f>'XX项目 (9)'!L4</f>
        <v>来源于“共享系统”系统管理-权限管理-人员管理</v>
      </c>
      <c r="B11" s="230" t="str">
        <f>'XX项目 (9)'!M4</f>
        <v>来源于“共享系统”系统管理-权限管理-人员管理</v>
      </c>
      <c r="C11" s="231">
        <f>'XX项目 (9)'!E4</f>
        <v>0</v>
      </c>
      <c r="D11" s="231">
        <f>'XX项目 (9)'!F4</f>
        <v>0</v>
      </c>
      <c r="E11" s="231">
        <f>'XX项目 (9)'!G4</f>
        <v>0</v>
      </c>
      <c r="F11" s="231">
        <f>'XX项目 (9)'!H4</f>
        <v>0</v>
      </c>
      <c r="G11" s="231">
        <f>'XX项目 (9)'!I4</f>
        <v>0</v>
      </c>
      <c r="H11" s="232">
        <f t="shared" si="5"/>
        <v>0</v>
      </c>
      <c r="I11" s="232">
        <f t="shared" si="0"/>
        <v>0</v>
      </c>
      <c r="J11" s="231"/>
      <c r="K11" s="231"/>
      <c r="L11" s="231">
        <f>'XX项目 (9)'!G11</f>
        <v>0</v>
      </c>
      <c r="M11" s="231"/>
      <c r="N11" s="231"/>
      <c r="O11" s="231">
        <f>'XX项目 (9)'!S11</f>
        <v>0</v>
      </c>
      <c r="P11" s="231"/>
      <c r="Q11" s="231">
        <f>'XX项目 (9)'!M11</f>
        <v>0</v>
      </c>
      <c r="R11" s="231"/>
      <c r="S11" s="231"/>
      <c r="T11" s="231">
        <f>'XX项目 (9)'!T11</f>
        <v>0</v>
      </c>
      <c r="U11" s="233">
        <f>'XX项目 (9)'!E5+'XX项目 (9)'!E6</f>
        <v>0</v>
      </c>
      <c r="V11" s="233">
        <f>'XX项目 (9)'!F5+'XX项目 (9)'!F6</f>
        <v>0</v>
      </c>
      <c r="W11" s="233">
        <f>'XX项目 (9)'!G5+'XX项目 (9)'!G6</f>
        <v>0</v>
      </c>
      <c r="X11" s="233">
        <f>'XX项目 (9)'!H5+'XX项目 (9)'!H6</f>
        <v>0</v>
      </c>
      <c r="Y11" s="232">
        <f t="shared" si="1"/>
        <v>0</v>
      </c>
      <c r="Z11" s="232">
        <f t="shared" si="2"/>
        <v>0</v>
      </c>
      <c r="AA11" s="231">
        <f>'XX项目 (9)'!G12+'XX项目 (9)'!G13</f>
        <v>0</v>
      </c>
      <c r="AB11" s="231"/>
      <c r="AC11" s="231">
        <f>'XX项目 (9)'!S12+'XX项目 (9)'!S13</f>
        <v>0</v>
      </c>
      <c r="AD11" s="231"/>
      <c r="AE11" s="231">
        <f>'XX项目 (9)'!M12+'XX项目 (9)'!M13</f>
        <v>0</v>
      </c>
      <c r="AF11" s="234"/>
      <c r="AG11" s="234">
        <f>'XX项目 (9)'!T12+'XX项目 (9)'!T13</f>
        <v>0</v>
      </c>
      <c r="AH11" s="243">
        <f>'XX项目 (9)'!I97</f>
        <v>0</v>
      </c>
      <c r="AI11" s="243">
        <f>'XX项目 (9)'!I98</f>
        <v>0</v>
      </c>
      <c r="AJ11" s="243">
        <f>'XX项目 (9)'!E93+'XX项目 (9)'!F93+'XX项目 (9)'!G93+'XX项目 (9)'!H93+'XX项目 (9)'!J93+'XX项目 (9)'!K93</f>
        <v>0</v>
      </c>
      <c r="AK11" s="244"/>
      <c r="AL11" s="237" t="e">
        <f>'XX项目 (9)'!K4</f>
        <v>#DIV/0!</v>
      </c>
      <c r="AM11" s="230" t="str">
        <f>'XX项目 (9)'!N4</f>
        <v>主合同编号中的单位</v>
      </c>
      <c r="AN11" s="230" t="str">
        <f>'XX项目 (9)'!O4</f>
        <v>实际管理单位</v>
      </c>
      <c r="AO11" s="230">
        <f>'XX项目 (9)'!S4</f>
        <v>0</v>
      </c>
      <c r="AP11" s="230">
        <f>'XX项目 (9)'!T4</f>
        <v>0</v>
      </c>
      <c r="AQ11" s="230">
        <f>'XX项目 (9)'!U4</f>
        <v>0</v>
      </c>
      <c r="AR11" s="230">
        <f>'XX项目 (9)'!V4</f>
        <v>0</v>
      </c>
      <c r="AS11" s="230">
        <f>'XX项目 (9)'!W4</f>
        <v>0</v>
      </c>
      <c r="AT11" s="230">
        <f>'XX项目 (9)'!X4</f>
        <v>0</v>
      </c>
      <c r="AU11" s="238"/>
      <c r="AV11" s="238" t="e">
        <f>'XX项目 (9)'!E128</f>
        <v>#DIV/0!</v>
      </c>
      <c r="AW11" s="239" t="e">
        <f t="shared" si="11"/>
        <v>#DIV/0!</v>
      </c>
      <c r="AX11" s="239" t="e">
        <f>AW11/#REF!*#REF!</f>
        <v>#DIV/0!</v>
      </c>
      <c r="AY11" s="238"/>
      <c r="AZ11" s="238"/>
      <c r="BA11" s="239" t="e">
        <f t="shared" si="3"/>
        <v>#DIV/0!</v>
      </c>
      <c r="BB11" s="239" t="e">
        <f t="shared" si="4"/>
        <v>#DIV/0!</v>
      </c>
      <c r="BC11" s="231" t="e">
        <f t="array" ref="BC11">INDEX(账面数据!$A$1:$BB$10000,MATCH($B11,账面数据!$A:$A,0),MATCH(BC$2,账面数据!$1:$1,0))</f>
        <v>#N/A</v>
      </c>
      <c r="BD11" s="231" t="e">
        <f t="array" ref="BD11">INDEX(账面数据!$A$1:$BB$10000,MATCH($B11,账面数据!$A:$A,0),MATCH(BD$2,账面数据!$1:$1,0))</f>
        <v>#N/A</v>
      </c>
      <c r="BE11" s="231" t="e">
        <f t="array" ref="BE11">INDEX(账面数据!$A$1:$BB$10000,MATCH($B11,账面数据!$A:$A,0),MATCH(BE$2,账面数据!$1:$1,0))</f>
        <v>#N/A</v>
      </c>
      <c r="BF11" s="231" t="e">
        <f t="array" ref="BF11">INDEX(账面数据!$A$1:$BB$10000,MATCH($B11,账面数据!$A:$A,0),MATCH(BF$2,账面数据!$1:$1,0))</f>
        <v>#N/A</v>
      </c>
      <c r="BG11" s="231" t="e">
        <f t="array" ref="BG11">INDEX(账面数据!$A$1:$BB$10000,MATCH($B11,账面数据!$A:$A,0),MATCH(BG$2,账面数据!$1:$1,0))</f>
        <v>#N/A</v>
      </c>
      <c r="BH11" s="231" t="e">
        <f t="array" ref="BH11">INDEX(账面数据!$A$1:$BB$10000,MATCH($B11,账面数据!$A:$A,0),MATCH(BH$2,账面数据!$1:$1,0))</f>
        <v>#N/A</v>
      </c>
      <c r="BI11" s="231" t="e">
        <f t="array" ref="BI11">INDEX(账面数据!$A$1:$BB$10000,MATCH($B11,账面数据!$A:$A,0),MATCH(BI$2,账面数据!$1:$1,0))</f>
        <v>#N/A</v>
      </c>
      <c r="BJ11" s="231" t="e">
        <f t="array" ref="BJ11">INDEX(账面数据!$A$1:$BB$10000,MATCH($B11,账面数据!$A:$A,0),MATCH(BJ$2,账面数据!$1:$1,0))</f>
        <v>#N/A</v>
      </c>
      <c r="BK11" s="231" t="e">
        <f t="array" ref="BK11">INDEX(账面数据!$A$1:$BB$10000,MATCH($B11,账面数据!$A:$A,0),MATCH(BK$2,账面数据!$1:$1,0))</f>
        <v>#N/A</v>
      </c>
      <c r="BL11" s="231" t="e">
        <f t="array" ref="BL11">INDEX(账面数据!$A$1:$BB$10000,MATCH($B11,账面数据!$A:$A,0),MATCH(BL$2,账面数据!$1:$1,0))</f>
        <v>#N/A</v>
      </c>
      <c r="BM11" s="231" t="e">
        <f t="array" ref="BM11">INDEX(账面数据!$A$1:$BB$10000,MATCH($B11,账面数据!$A:$A,0),MATCH(BM$2,账面数据!$1:$1,0))</f>
        <v>#N/A</v>
      </c>
      <c r="BN11" s="231" t="e">
        <f t="array" ref="BN11">INDEX(账面数据!$A$1:$BB$10000,MATCH($B11,账面数据!$A:$A,0),MATCH(BN$2,账面数据!$1:$1,0))</f>
        <v>#N/A</v>
      </c>
      <c r="BO11" s="231" t="e">
        <f t="array" ref="BO11">INDEX(账面数据!$A$1:$BB$10000,MATCH($B11,账面数据!$A:$A,0),MATCH(BO$2,账面数据!$1:$1,0))</f>
        <v>#N/A</v>
      </c>
      <c r="BP11" s="231" t="e">
        <f t="array" ref="BP11">INDEX(账面数据!$A$1:$BB$10000,MATCH($B11,账面数据!$A:$A,0),MATCH(BP$2,账面数据!$1:$1,0))</f>
        <v>#N/A</v>
      </c>
      <c r="BQ11" s="231" t="e">
        <f t="array" ref="BQ11">INDEX(账面数据!$A$1:$BB$10000,MATCH($B11,账面数据!$A:$A,0),MATCH(BQ$2,账面数据!$1:$1,0))</f>
        <v>#N/A</v>
      </c>
      <c r="BR11" s="231" t="e">
        <f t="array" ref="BR11">INDEX(账面数据!$A$1:$BB$10000,MATCH($B11,账面数据!$A:$A,0),MATCH(BR$2,账面数据!$1:$1,0))</f>
        <v>#N/A</v>
      </c>
      <c r="BS11" s="231" t="e">
        <f t="array" ref="BS11">INDEX(账面数据!$A$1:$BB$10000,MATCH($B11,账面数据!$A:$A,0),MATCH(BS$2,账面数据!$1:$1,0))</f>
        <v>#N/A</v>
      </c>
      <c r="BT11" s="231" t="e">
        <f t="array" ref="BT11">INDEX(账面数据!$A$1:$BB$10000,MATCH($B11,账面数据!$A:$A,0),MATCH(BT$2,账面数据!$1:$1,0))</f>
        <v>#N/A</v>
      </c>
      <c r="BU11" s="231" t="e">
        <f t="array" ref="BU11">INDEX(账面数据!$A$1:$BB$10000,MATCH($B11,账面数据!$A:$A,0),MATCH(BU$2,账面数据!$1:$1,0))</f>
        <v>#N/A</v>
      </c>
      <c r="BV11" s="231" t="e">
        <f t="array" ref="BV11">INDEX(账面数据!$A$1:$BB$10000,MATCH($B11,账面数据!$A:$A,0),MATCH(BV$2,账面数据!$1:$1,0))</f>
        <v>#N/A</v>
      </c>
      <c r="BW11" s="231" t="e">
        <f t="array" ref="BW11">INDEX(账面数据!$A$1:$BB$10000,MATCH($B11,账面数据!$A:$A,0),MATCH(BW$2,账面数据!$1:$1,0))</f>
        <v>#N/A</v>
      </c>
      <c r="BX11" s="231" t="e">
        <f t="array" ref="BX11">INDEX(账面数据!$A$1:$BB$10000,MATCH($B11,账面数据!$A:$A,0),MATCH(BX$2,账面数据!$1:$1,0))</f>
        <v>#N/A</v>
      </c>
      <c r="BY11" s="231" t="e">
        <f t="array" ref="BY11">INDEX(账面数据!$A$1:$BB$10000,MATCH($B11,账面数据!$A:$A,0),MATCH(BY$2,账面数据!$1:$1,0))</f>
        <v>#N/A</v>
      </c>
      <c r="BZ11" s="231" t="e">
        <f t="array" ref="BZ11">INDEX(账面数据!$A$1:$BB$10000,MATCH($B11,账面数据!$A:$A,0),MATCH(BZ$2,账面数据!$1:$1,0))</f>
        <v>#N/A</v>
      </c>
      <c r="CA11" s="231" t="e">
        <f t="array" ref="CA11">INDEX(账面数据!$A$1:$BB$10000,MATCH($B11,账面数据!$A:$A,0),MATCH(CA$2,账面数据!$1:$1,0))</f>
        <v>#N/A</v>
      </c>
      <c r="CB11" s="231" t="e">
        <f t="array" ref="CB11">INDEX(账面数据!$A$1:$BB$10000,MATCH($B11,账面数据!$A:$A,0),MATCH(CB$2,账面数据!$1:$1,0))</f>
        <v>#N/A</v>
      </c>
      <c r="CC11" s="231" t="e">
        <f t="array" ref="CC11">INDEX(账面数据!$A$1:$BB$10000,MATCH($B11,账面数据!$A:$A,0),MATCH(CC$2,账面数据!$1:$1,0))</f>
        <v>#N/A</v>
      </c>
      <c r="CD11" s="231" t="e">
        <f t="array" ref="CD11">INDEX(账面数据!$A$1:$BB$10000,MATCH($B11,账面数据!$A:$A,0),MATCH(CD$2,账面数据!$1:$1,0))</f>
        <v>#N/A</v>
      </c>
      <c r="CE11" s="231" t="e">
        <f t="array" ref="CE11">INDEX(账面数据!$A$1:$BB$10000,MATCH($B11,账面数据!$A:$A,0),MATCH(CE$2,账面数据!$1:$1,0))</f>
        <v>#N/A</v>
      </c>
      <c r="CF11" s="231" t="e">
        <f t="array" ref="CF11">INDEX(账面数据!$A$1:$BB$10000,MATCH($B11,账面数据!$A:$A,0),MATCH(CF$2,账面数据!$1:$1,0))</f>
        <v>#N/A</v>
      </c>
      <c r="CG11" s="231" t="e">
        <f t="array" ref="CG11">INDEX(账面数据!$A$1:$BB$10000,MATCH($B11,账面数据!$A:$A,0),MATCH(CG$2,账面数据!$1:$1,0))</f>
        <v>#N/A</v>
      </c>
      <c r="CH11" s="231" t="e">
        <f t="array" ref="CH11">INDEX(账面数据!$A$1:$BB$10000,MATCH($B11,账面数据!$A:$A,0),MATCH(CH$2,账面数据!$1:$1,0))</f>
        <v>#N/A</v>
      </c>
      <c r="CI11" s="231" t="e">
        <f t="array" ref="CI11">INDEX(账面数据!$A$1:$BB$10000,MATCH($B11,账面数据!$A:$A,0),MATCH(CI$2,账面数据!$1:$1,0))</f>
        <v>#N/A</v>
      </c>
      <c r="CJ11" s="231" t="e">
        <f t="array" ref="CJ11">INDEX(账面数据!$A$1:$BB$10000,MATCH($B11,账面数据!$A:$A,0),MATCH(CJ$2,账面数据!$1:$1,0))</f>
        <v>#N/A</v>
      </c>
      <c r="CK11" s="231" t="e">
        <f t="array" ref="CK11">INDEX(账面数据!$A$1:$BB$10000,MATCH($B11,账面数据!$A:$A,0),MATCH(CK$2,账面数据!$1:$1,0))</f>
        <v>#N/A</v>
      </c>
      <c r="CL11" s="231" t="e">
        <f t="array" ref="CL11">INDEX(账面数据!$A$1:$BB$10000,MATCH($B11,账面数据!$A:$A,0),MATCH(CL$2,账面数据!$1:$1,0))</f>
        <v>#N/A</v>
      </c>
      <c r="CM11" s="231" t="e">
        <f t="array" ref="CM11">INDEX(账面数据!$A$1:$BB$10000,MATCH($B11,账面数据!$A:$A,0),MATCH(CM$2,账面数据!$1:$1,0))</f>
        <v>#N/A</v>
      </c>
      <c r="CN11" s="231" t="e">
        <f t="array" ref="CN11">INDEX(账面数据!$A$1:$BB$10000,MATCH($B11,账面数据!$A:$A,0),MATCH(CN$2,账面数据!$1:$1,0))</f>
        <v>#N/A</v>
      </c>
      <c r="CO11" s="231" t="e">
        <f t="array" ref="CO11">INDEX(账面数据!$A$1:$BB$10000,MATCH($B11,账面数据!$A:$A,0),MATCH(CO$2,账面数据!$1:$1,0))</f>
        <v>#N/A</v>
      </c>
      <c r="CP11" s="231" t="e">
        <f t="array" ref="CP11">INDEX(账面数据!$A$1:$BB$10000,MATCH($B11,账面数据!$A:$A,0),MATCH(CP$2,账面数据!$1:$1,0))</f>
        <v>#N/A</v>
      </c>
      <c r="CQ11" s="231" t="e">
        <f t="array" ref="CQ11">INDEX(账面数据!$A$1:$BB$10000,MATCH($B11,账面数据!$A:$A,0),MATCH(CQ$2,账面数据!$1:$1,0))</f>
        <v>#N/A</v>
      </c>
      <c r="CR11" s="240" t="e">
        <f t="shared" si="6"/>
        <v>#N/A</v>
      </c>
      <c r="CS11" s="240" t="e">
        <f t="shared" si="7"/>
        <v>#N/A</v>
      </c>
      <c r="CT11" s="240" t="e">
        <f t="shared" si="12"/>
        <v>#DIV/0!</v>
      </c>
      <c r="CU11" s="240" t="e">
        <f t="shared" si="14"/>
        <v>#N/A</v>
      </c>
      <c r="CV11" s="240" t="e">
        <f t="shared" si="13"/>
        <v>#DIV/0!</v>
      </c>
      <c r="CW11" s="240">
        <f t="shared" si="8"/>
        <v>0</v>
      </c>
      <c r="CX11" s="240" t="e">
        <f t="shared" si="9"/>
        <v>#N/A</v>
      </c>
      <c r="CY11" s="241" t="e">
        <f t="shared" si="10"/>
        <v>#DIV/0!</v>
      </c>
    </row>
    <row r="12" s="209" customFormat="1" ht="33" customHeight="1" spans="1:106">
      <c r="A12" s="230" t="str">
        <f>'XX项目 (10)'!L4</f>
        <v>来源于“共享系统”系统管理-权限管理-人员管理</v>
      </c>
      <c r="B12" s="230" t="str">
        <f>'XX项目 (10)'!M4</f>
        <v>来源于“共享系统”系统管理-权限管理-人员管理</v>
      </c>
      <c r="C12" s="231">
        <f>'XX项目 (10)'!E4</f>
        <v>0</v>
      </c>
      <c r="D12" s="231">
        <f>'XX项目 (10)'!F4</f>
        <v>0</v>
      </c>
      <c r="E12" s="231">
        <f>'XX项目 (10)'!G4</f>
        <v>0</v>
      </c>
      <c r="F12" s="231">
        <f>'XX项目 (10)'!H4</f>
        <v>0</v>
      </c>
      <c r="G12" s="231">
        <f>'XX项目 (10)'!I4</f>
        <v>0</v>
      </c>
      <c r="H12" s="232">
        <f t="shared" si="5"/>
        <v>0</v>
      </c>
      <c r="I12" s="232">
        <f t="shared" si="0"/>
        <v>0</v>
      </c>
      <c r="J12" s="231"/>
      <c r="K12" s="231"/>
      <c r="L12" s="231">
        <f>'XX项目 (10)'!G11</f>
        <v>0</v>
      </c>
      <c r="M12" s="231"/>
      <c r="N12" s="231"/>
      <c r="O12" s="231">
        <f>'XX项目 (10)'!S11</f>
        <v>0</v>
      </c>
      <c r="P12" s="231"/>
      <c r="Q12" s="231">
        <f>'XX项目 (10)'!M11</f>
        <v>0</v>
      </c>
      <c r="R12" s="231"/>
      <c r="S12" s="231"/>
      <c r="T12" s="231">
        <f>'XX项目 (10)'!T11</f>
        <v>0</v>
      </c>
      <c r="U12" s="233">
        <f>'XX项目 (10)'!E5+'XX项目 (10)'!E6</f>
        <v>0</v>
      </c>
      <c r="V12" s="233">
        <f>'XX项目 (10)'!F5+'XX项目 (10)'!F6</f>
        <v>0</v>
      </c>
      <c r="W12" s="233">
        <f>'XX项目 (10)'!G5+'XX项目 (10)'!G6</f>
        <v>0</v>
      </c>
      <c r="X12" s="233">
        <f>'XX项目 (10)'!H5+'XX项目 (10)'!H6</f>
        <v>0</v>
      </c>
      <c r="Y12" s="232">
        <f t="shared" si="1"/>
        <v>0</v>
      </c>
      <c r="Z12" s="232">
        <f t="shared" si="2"/>
        <v>0</v>
      </c>
      <c r="AA12" s="231">
        <f>'XX项目 (10)'!G12+'XX项目 (10)'!G13</f>
        <v>0</v>
      </c>
      <c r="AB12" s="231"/>
      <c r="AC12" s="231">
        <f>'XX项目 (10)'!S12+'XX项目 (10)'!S13</f>
        <v>0</v>
      </c>
      <c r="AD12" s="231"/>
      <c r="AE12" s="231">
        <f>'XX项目 (10)'!M12+'XX项目 (10)'!M13</f>
        <v>0</v>
      </c>
      <c r="AF12" s="234"/>
      <c r="AG12" s="234">
        <f>'XX项目 (10)'!T12+'XX项目 (10)'!T13</f>
        <v>0</v>
      </c>
      <c r="AH12" s="243">
        <f>'XX项目 (10)'!I97</f>
        <v>0</v>
      </c>
      <c r="AI12" s="243">
        <f>'XX项目 (10)'!I98</f>
        <v>0</v>
      </c>
      <c r="AJ12" s="243">
        <f>'XX项目 (10)'!E93+'XX项目 (10)'!F93+'XX项目 (10)'!G93+'XX项目 (10)'!H93+'XX项目 (10)'!J93+'XX项目 (10)'!K93</f>
        <v>0</v>
      </c>
      <c r="AK12" s="244"/>
      <c r="AL12" s="237" t="e">
        <f>'XX项目 (10)'!K4</f>
        <v>#DIV/0!</v>
      </c>
      <c r="AM12" s="230" t="str">
        <f>'XX项目 (10)'!N4</f>
        <v>主合同编号中的单位</v>
      </c>
      <c r="AN12" s="230" t="str">
        <f>'XX项目 (10)'!O4</f>
        <v>实际管理单位</v>
      </c>
      <c r="AO12" s="230">
        <f>'XX项目 (10)'!S4</f>
        <v>0</v>
      </c>
      <c r="AP12" s="230">
        <f>'XX项目 (10)'!T4</f>
        <v>0</v>
      </c>
      <c r="AQ12" s="230">
        <f>'XX项目 (10)'!U4</f>
        <v>0</v>
      </c>
      <c r="AR12" s="230">
        <f>'XX项目 (10)'!V4</f>
        <v>0</v>
      </c>
      <c r="AS12" s="230">
        <f>'XX项目 (10)'!W4</f>
        <v>0</v>
      </c>
      <c r="AT12" s="230">
        <f>'XX项目 (10)'!X4</f>
        <v>0</v>
      </c>
      <c r="AU12" s="238"/>
      <c r="AV12" s="238" t="e">
        <f>'XX项目 (10)'!E128</f>
        <v>#DIV/0!</v>
      </c>
      <c r="AW12" s="239" t="e">
        <f t="shared" si="11"/>
        <v>#DIV/0!</v>
      </c>
      <c r="AX12" s="239" t="e">
        <f>AW12/#REF!*#REF!</f>
        <v>#DIV/0!</v>
      </c>
      <c r="AY12" s="238"/>
      <c r="AZ12" s="238"/>
      <c r="BA12" s="239" t="e">
        <f t="shared" si="3"/>
        <v>#DIV/0!</v>
      </c>
      <c r="BB12" s="239" t="e">
        <f t="shared" si="4"/>
        <v>#DIV/0!</v>
      </c>
      <c r="BC12" s="231" t="e">
        <f t="array" ref="BC12">INDEX(账面数据!$A$1:$BB$10000,MATCH($B12,账面数据!$A:$A,0),MATCH(BC$2,账面数据!$1:$1,0))</f>
        <v>#N/A</v>
      </c>
      <c r="BD12" s="231" t="e">
        <f t="array" ref="BD12">INDEX(账面数据!$A$1:$BB$10000,MATCH($B12,账面数据!$A:$A,0),MATCH(BD$2,账面数据!$1:$1,0))</f>
        <v>#N/A</v>
      </c>
      <c r="BE12" s="231" t="e">
        <f t="array" ref="BE12">INDEX(账面数据!$A$1:$BB$10000,MATCH($B12,账面数据!$A:$A,0),MATCH(BE$2,账面数据!$1:$1,0))</f>
        <v>#N/A</v>
      </c>
      <c r="BF12" s="231" t="e">
        <f t="array" ref="BF12">INDEX(账面数据!$A$1:$BB$10000,MATCH($B12,账面数据!$A:$A,0),MATCH(BF$2,账面数据!$1:$1,0))</f>
        <v>#N/A</v>
      </c>
      <c r="BG12" s="231" t="e">
        <f t="array" ref="BG12">INDEX(账面数据!$A$1:$BB$10000,MATCH($B12,账面数据!$A:$A,0),MATCH(BG$2,账面数据!$1:$1,0))</f>
        <v>#N/A</v>
      </c>
      <c r="BH12" s="231" t="e">
        <f t="array" ref="BH12">INDEX(账面数据!$A$1:$BB$10000,MATCH($B12,账面数据!$A:$A,0),MATCH(BH$2,账面数据!$1:$1,0))</f>
        <v>#N/A</v>
      </c>
      <c r="BI12" s="231" t="e">
        <f t="array" ref="BI12">INDEX(账面数据!$A$1:$BB$10000,MATCH($B12,账面数据!$A:$A,0),MATCH(BI$2,账面数据!$1:$1,0))</f>
        <v>#N/A</v>
      </c>
      <c r="BJ12" s="231" t="e">
        <f t="array" ref="BJ12">INDEX(账面数据!$A$1:$BB$10000,MATCH($B12,账面数据!$A:$A,0),MATCH(BJ$2,账面数据!$1:$1,0))</f>
        <v>#N/A</v>
      </c>
      <c r="BK12" s="231" t="e">
        <f t="array" ref="BK12">INDEX(账面数据!$A$1:$BB$10000,MATCH($B12,账面数据!$A:$A,0),MATCH(BK$2,账面数据!$1:$1,0))</f>
        <v>#N/A</v>
      </c>
      <c r="BL12" s="231" t="e">
        <f t="array" ref="BL12">INDEX(账面数据!$A$1:$BB$10000,MATCH($B12,账面数据!$A:$A,0),MATCH(BL$2,账面数据!$1:$1,0))</f>
        <v>#N/A</v>
      </c>
      <c r="BM12" s="231" t="e">
        <f t="array" ref="BM12">INDEX(账面数据!$A$1:$BB$10000,MATCH($B12,账面数据!$A:$A,0),MATCH(BM$2,账面数据!$1:$1,0))</f>
        <v>#N/A</v>
      </c>
      <c r="BN12" s="231" t="e">
        <f t="array" ref="BN12">INDEX(账面数据!$A$1:$BB$10000,MATCH($B12,账面数据!$A:$A,0),MATCH(BN$2,账面数据!$1:$1,0))</f>
        <v>#N/A</v>
      </c>
      <c r="BO12" s="231" t="e">
        <f t="array" ref="BO12">INDEX(账面数据!$A$1:$BB$10000,MATCH($B12,账面数据!$A:$A,0),MATCH(BO$2,账面数据!$1:$1,0))</f>
        <v>#N/A</v>
      </c>
      <c r="BP12" s="231" t="e">
        <f t="array" ref="BP12">INDEX(账面数据!$A$1:$BB$10000,MATCH($B12,账面数据!$A:$A,0),MATCH(BP$2,账面数据!$1:$1,0))</f>
        <v>#N/A</v>
      </c>
      <c r="BQ12" s="231" t="e">
        <f t="array" ref="BQ12">INDEX(账面数据!$A$1:$BB$10000,MATCH($B12,账面数据!$A:$A,0),MATCH(BQ$2,账面数据!$1:$1,0))</f>
        <v>#N/A</v>
      </c>
      <c r="BR12" s="231" t="e">
        <f t="array" ref="BR12">INDEX(账面数据!$A$1:$BB$10000,MATCH($B12,账面数据!$A:$A,0),MATCH(BR$2,账面数据!$1:$1,0))</f>
        <v>#N/A</v>
      </c>
      <c r="BS12" s="231" t="e">
        <f t="array" ref="BS12">INDEX(账面数据!$A$1:$BB$10000,MATCH($B12,账面数据!$A:$A,0),MATCH(BS$2,账面数据!$1:$1,0))</f>
        <v>#N/A</v>
      </c>
      <c r="BT12" s="231" t="e">
        <f t="array" ref="BT12">INDEX(账面数据!$A$1:$BB$10000,MATCH($B12,账面数据!$A:$A,0),MATCH(BT$2,账面数据!$1:$1,0))</f>
        <v>#N/A</v>
      </c>
      <c r="BU12" s="231" t="e">
        <f t="array" ref="BU12">INDEX(账面数据!$A$1:$BB$10000,MATCH($B12,账面数据!$A:$A,0),MATCH(BU$2,账面数据!$1:$1,0))</f>
        <v>#N/A</v>
      </c>
      <c r="BV12" s="231" t="e">
        <f t="array" ref="BV12">INDEX(账面数据!$A$1:$BB$10000,MATCH($B12,账面数据!$A:$A,0),MATCH(BV$2,账面数据!$1:$1,0))</f>
        <v>#N/A</v>
      </c>
      <c r="BW12" s="231" t="e">
        <f t="array" ref="BW12">INDEX(账面数据!$A$1:$BB$10000,MATCH($B12,账面数据!$A:$A,0),MATCH(BW$2,账面数据!$1:$1,0))</f>
        <v>#N/A</v>
      </c>
      <c r="BX12" s="231" t="e">
        <f t="array" ref="BX12">INDEX(账面数据!$A$1:$BB$10000,MATCH($B12,账面数据!$A:$A,0),MATCH(BX$2,账面数据!$1:$1,0))</f>
        <v>#N/A</v>
      </c>
      <c r="BY12" s="231" t="e">
        <f t="array" ref="BY12">INDEX(账面数据!$A$1:$BB$10000,MATCH($B12,账面数据!$A:$A,0),MATCH(BY$2,账面数据!$1:$1,0))</f>
        <v>#N/A</v>
      </c>
      <c r="BZ12" s="231" t="e">
        <f t="array" ref="BZ12">INDEX(账面数据!$A$1:$BB$10000,MATCH($B12,账面数据!$A:$A,0),MATCH(BZ$2,账面数据!$1:$1,0))</f>
        <v>#N/A</v>
      </c>
      <c r="CA12" s="231" t="e">
        <f t="array" ref="CA12">INDEX(账面数据!$A$1:$BB$10000,MATCH($B12,账面数据!$A:$A,0),MATCH(CA$2,账面数据!$1:$1,0))</f>
        <v>#N/A</v>
      </c>
      <c r="CB12" s="231" t="e">
        <f t="array" ref="CB12">INDEX(账面数据!$A$1:$BB$10000,MATCH($B12,账面数据!$A:$A,0),MATCH(CB$2,账面数据!$1:$1,0))</f>
        <v>#N/A</v>
      </c>
      <c r="CC12" s="231" t="e">
        <f t="array" ref="CC12">INDEX(账面数据!$A$1:$BB$10000,MATCH($B12,账面数据!$A:$A,0),MATCH(CC$2,账面数据!$1:$1,0))</f>
        <v>#N/A</v>
      </c>
      <c r="CD12" s="231" t="e">
        <f t="array" ref="CD12">INDEX(账面数据!$A$1:$BB$10000,MATCH($B12,账面数据!$A:$A,0),MATCH(CD$2,账面数据!$1:$1,0))</f>
        <v>#N/A</v>
      </c>
      <c r="CE12" s="231" t="e">
        <f t="array" ref="CE12">INDEX(账面数据!$A$1:$BB$10000,MATCH($B12,账面数据!$A:$A,0),MATCH(CE$2,账面数据!$1:$1,0))</f>
        <v>#N/A</v>
      </c>
      <c r="CF12" s="231" t="e">
        <f t="array" ref="CF12">INDEX(账面数据!$A$1:$BB$10000,MATCH($B12,账面数据!$A:$A,0),MATCH(CF$2,账面数据!$1:$1,0))</f>
        <v>#N/A</v>
      </c>
      <c r="CG12" s="231" t="e">
        <f t="array" ref="CG12">INDEX(账面数据!$A$1:$BB$10000,MATCH($B12,账面数据!$A:$A,0),MATCH(CG$2,账面数据!$1:$1,0))</f>
        <v>#N/A</v>
      </c>
      <c r="CH12" s="231" t="e">
        <f t="array" ref="CH12">INDEX(账面数据!$A$1:$BB$10000,MATCH($B12,账面数据!$A:$A,0),MATCH(CH$2,账面数据!$1:$1,0))</f>
        <v>#N/A</v>
      </c>
      <c r="CI12" s="231" t="e">
        <f t="array" ref="CI12">INDEX(账面数据!$A$1:$BB$10000,MATCH($B12,账面数据!$A:$A,0),MATCH(CI$2,账面数据!$1:$1,0))</f>
        <v>#N/A</v>
      </c>
      <c r="CJ12" s="231" t="e">
        <f t="array" ref="CJ12">INDEX(账面数据!$A$1:$BB$10000,MATCH($B12,账面数据!$A:$A,0),MATCH(CJ$2,账面数据!$1:$1,0))</f>
        <v>#N/A</v>
      </c>
      <c r="CK12" s="231" t="e">
        <f t="array" ref="CK12">INDEX(账面数据!$A$1:$BB$10000,MATCH($B12,账面数据!$A:$A,0),MATCH(CK$2,账面数据!$1:$1,0))</f>
        <v>#N/A</v>
      </c>
      <c r="CL12" s="231" t="e">
        <f t="array" ref="CL12">INDEX(账面数据!$A$1:$BB$10000,MATCH($B12,账面数据!$A:$A,0),MATCH(CL$2,账面数据!$1:$1,0))</f>
        <v>#N/A</v>
      </c>
      <c r="CM12" s="231" t="e">
        <f t="array" ref="CM12">INDEX(账面数据!$A$1:$BB$10000,MATCH($B12,账面数据!$A:$A,0),MATCH(CM$2,账面数据!$1:$1,0))</f>
        <v>#N/A</v>
      </c>
      <c r="CN12" s="231" t="e">
        <f t="array" ref="CN12">INDEX(账面数据!$A$1:$BB$10000,MATCH($B12,账面数据!$A:$A,0),MATCH(CN$2,账面数据!$1:$1,0))</f>
        <v>#N/A</v>
      </c>
      <c r="CO12" s="231" t="e">
        <f t="array" ref="CO12">INDEX(账面数据!$A$1:$BB$10000,MATCH($B12,账面数据!$A:$A,0),MATCH(CO$2,账面数据!$1:$1,0))</f>
        <v>#N/A</v>
      </c>
      <c r="CP12" s="231" t="e">
        <f t="array" ref="CP12">INDEX(账面数据!$A$1:$BB$10000,MATCH($B12,账面数据!$A:$A,0),MATCH(CP$2,账面数据!$1:$1,0))</f>
        <v>#N/A</v>
      </c>
      <c r="CQ12" s="231" t="e">
        <f t="array" ref="CQ12">INDEX(账面数据!$A$1:$BB$10000,MATCH($B12,账面数据!$A:$A,0),MATCH(CQ$2,账面数据!$1:$1,0))</f>
        <v>#N/A</v>
      </c>
      <c r="CR12" s="240" t="e">
        <f t="shared" si="6"/>
        <v>#N/A</v>
      </c>
      <c r="CS12" s="240" t="e">
        <f t="shared" si="7"/>
        <v>#N/A</v>
      </c>
      <c r="CT12" s="240" t="e">
        <f t="shared" si="12"/>
        <v>#DIV/0!</v>
      </c>
      <c r="CU12" s="240" t="e">
        <f t="shared" si="14"/>
        <v>#N/A</v>
      </c>
      <c r="CV12" s="240" t="e">
        <f t="shared" si="13"/>
        <v>#DIV/0!</v>
      </c>
      <c r="CW12" s="240">
        <f t="shared" si="8"/>
        <v>0</v>
      </c>
      <c r="CX12" s="240" t="e">
        <f t="shared" si="9"/>
        <v>#N/A</v>
      </c>
      <c r="CY12" s="241" t="e">
        <f t="shared" si="10"/>
        <v>#DIV/0!</v>
      </c>
    </row>
    <row r="13" s="209" customFormat="1" ht="33" customHeight="1" spans="1:106">
      <c r="A13" s="230"/>
      <c r="B13" s="230"/>
      <c r="C13" s="231"/>
      <c r="D13" s="231"/>
      <c r="E13" s="231"/>
      <c r="F13" s="231"/>
      <c r="G13" s="231"/>
      <c r="H13" s="232">
        <f t="shared" si="5"/>
        <v>0</v>
      </c>
      <c r="I13" s="232">
        <f t="shared" si="0"/>
        <v>0</v>
      </c>
      <c r="J13" s="231"/>
      <c r="K13" s="231"/>
      <c r="L13" s="231"/>
      <c r="M13" s="231"/>
      <c r="N13" s="231"/>
      <c r="O13" s="231"/>
      <c r="P13" s="231"/>
      <c r="Q13" s="231"/>
      <c r="R13" s="231"/>
      <c r="S13" s="231"/>
      <c r="T13" s="231"/>
      <c r="U13" s="233"/>
      <c r="V13" s="233"/>
      <c r="W13" s="233"/>
      <c r="X13" s="233"/>
      <c r="Y13" s="232">
        <f t="shared" si="1"/>
        <v>0</v>
      </c>
      <c r="Z13" s="232">
        <f t="shared" si="2"/>
        <v>0</v>
      </c>
      <c r="AA13" s="231"/>
      <c r="AB13" s="231"/>
      <c r="AC13" s="231"/>
      <c r="AD13" s="231"/>
      <c r="AE13" s="231"/>
      <c r="AF13" s="234"/>
      <c r="AG13" s="234"/>
      <c r="AH13" s="243"/>
      <c r="AI13" s="243"/>
      <c r="AJ13" s="243"/>
      <c r="AK13" s="244"/>
      <c r="AL13" s="237"/>
      <c r="AM13" s="230"/>
      <c r="AN13" s="230"/>
      <c r="AO13" s="230"/>
      <c r="AP13" s="230"/>
      <c r="AQ13" s="230"/>
      <c r="AR13" s="230"/>
      <c r="AS13" s="230"/>
      <c r="AT13" s="230"/>
      <c r="AU13" s="238"/>
      <c r="AV13" s="238"/>
      <c r="AW13" s="239"/>
      <c r="AX13" s="239"/>
      <c r="AY13" s="238"/>
      <c r="AZ13" s="238"/>
      <c r="BA13" s="239"/>
      <c r="BB13" s="239"/>
      <c r="BC13" s="238"/>
      <c r="BD13" s="238"/>
      <c r="BE13" s="238"/>
      <c r="BF13" s="238"/>
      <c r="BG13" s="238"/>
      <c r="BH13" s="238"/>
      <c r="BI13" s="238"/>
      <c r="BJ13" s="238"/>
      <c r="BK13" s="238"/>
      <c r="BL13" s="238"/>
      <c r="BM13" s="238"/>
      <c r="BN13" s="238"/>
      <c r="BO13" s="238"/>
      <c r="BP13" s="238"/>
      <c r="BQ13" s="238"/>
      <c r="BR13" s="238"/>
    </row>
    <row r="14" s="209" customFormat="1" ht="33" customHeight="1" spans="1:106">
      <c r="A14" s="230"/>
      <c r="B14" s="230"/>
      <c r="C14" s="231"/>
      <c r="D14" s="231"/>
      <c r="E14" s="231"/>
      <c r="F14" s="231"/>
      <c r="G14" s="231"/>
      <c r="H14" s="232">
        <f t="shared" si="5"/>
        <v>0</v>
      </c>
      <c r="I14" s="232">
        <f t="shared" si="0"/>
        <v>0</v>
      </c>
      <c r="J14" s="231"/>
      <c r="K14" s="231"/>
      <c r="L14" s="231"/>
      <c r="M14" s="231"/>
      <c r="N14" s="231"/>
      <c r="O14" s="231"/>
      <c r="P14" s="231"/>
      <c r="Q14" s="231"/>
      <c r="R14" s="231"/>
      <c r="S14" s="231"/>
      <c r="T14" s="231"/>
      <c r="U14" s="233"/>
      <c r="V14" s="233"/>
      <c r="W14" s="233"/>
      <c r="X14" s="233"/>
      <c r="Y14" s="232">
        <f t="shared" si="1"/>
        <v>0</v>
      </c>
      <c r="Z14" s="232">
        <f t="shared" si="2"/>
        <v>0</v>
      </c>
      <c r="AA14" s="231"/>
      <c r="AB14" s="231"/>
      <c r="AC14" s="231"/>
      <c r="AD14" s="231"/>
      <c r="AE14" s="231"/>
      <c r="AF14" s="234"/>
      <c r="AG14" s="234"/>
      <c r="AH14" s="243"/>
      <c r="AI14" s="243"/>
      <c r="AJ14" s="243"/>
      <c r="AK14" s="244"/>
      <c r="AL14" s="237"/>
      <c r="AM14" s="230"/>
      <c r="AN14" s="230"/>
      <c r="AO14" s="230"/>
      <c r="AP14" s="230"/>
      <c r="AQ14" s="230"/>
      <c r="AR14" s="230"/>
      <c r="AS14" s="230"/>
      <c r="AT14" s="230"/>
      <c r="AU14" s="238"/>
      <c r="AV14" s="238"/>
      <c r="AW14" s="239"/>
      <c r="AX14" s="239"/>
      <c r="AY14" s="238"/>
      <c r="AZ14" s="238"/>
      <c r="BA14" s="239"/>
      <c r="BB14" s="239"/>
      <c r="BC14" s="238"/>
      <c r="BD14" s="238"/>
      <c r="BE14" s="238"/>
      <c r="BF14" s="238"/>
      <c r="BG14" s="238"/>
      <c r="BH14" s="238"/>
      <c r="BI14" s="238"/>
      <c r="BJ14" s="238"/>
      <c r="BK14" s="238"/>
      <c r="BL14" s="238"/>
      <c r="BM14" s="238"/>
      <c r="BN14" s="238"/>
      <c r="BO14" s="238"/>
      <c r="BP14" s="238"/>
      <c r="BQ14" s="238"/>
      <c r="BR14" s="238"/>
    </row>
    <row r="15" s="209" customFormat="1" ht="33" customHeight="1" spans="1:106">
      <c r="A15" s="230"/>
      <c r="B15" s="230"/>
      <c r="C15" s="231"/>
      <c r="D15" s="231"/>
      <c r="E15" s="231"/>
      <c r="F15" s="231"/>
      <c r="G15" s="231"/>
      <c r="H15" s="232">
        <f t="shared" si="5"/>
        <v>0</v>
      </c>
      <c r="I15" s="232">
        <f t="shared" si="0"/>
        <v>0</v>
      </c>
      <c r="J15" s="231"/>
      <c r="K15" s="231"/>
      <c r="L15" s="231"/>
      <c r="M15" s="231"/>
      <c r="N15" s="231"/>
      <c r="O15" s="231"/>
      <c r="P15" s="231"/>
      <c r="Q15" s="231"/>
      <c r="R15" s="231"/>
      <c r="S15" s="231"/>
      <c r="T15" s="231"/>
      <c r="U15" s="233"/>
      <c r="V15" s="233"/>
      <c r="W15" s="233"/>
      <c r="X15" s="233"/>
      <c r="Y15" s="232">
        <f t="shared" si="1"/>
        <v>0</v>
      </c>
      <c r="Z15" s="232">
        <f t="shared" si="2"/>
        <v>0</v>
      </c>
      <c r="AA15" s="231"/>
      <c r="AB15" s="231"/>
      <c r="AC15" s="231"/>
      <c r="AD15" s="231"/>
      <c r="AE15" s="231"/>
      <c r="AF15" s="234"/>
      <c r="AG15" s="234"/>
      <c r="AH15" s="243"/>
      <c r="AI15" s="243"/>
      <c r="AJ15" s="243"/>
      <c r="AK15" s="244"/>
      <c r="AL15" s="237"/>
      <c r="AM15" s="230"/>
      <c r="AN15" s="230"/>
      <c r="AO15" s="230"/>
      <c r="AP15" s="230"/>
      <c r="AQ15" s="230"/>
      <c r="AR15" s="230"/>
      <c r="AS15" s="230"/>
      <c r="AT15" s="230"/>
      <c r="AU15" s="238"/>
      <c r="AV15" s="238"/>
      <c r="AW15" s="239"/>
      <c r="AX15" s="239"/>
      <c r="AY15" s="238"/>
      <c r="AZ15" s="238"/>
      <c r="BA15" s="239"/>
      <c r="BB15" s="239"/>
      <c r="BC15" s="238"/>
      <c r="BD15" s="238"/>
      <c r="BE15" s="238"/>
      <c r="BF15" s="238"/>
      <c r="BG15" s="238"/>
      <c r="BH15" s="238"/>
      <c r="BI15" s="238"/>
      <c r="BJ15" s="238"/>
      <c r="BK15" s="238"/>
      <c r="BL15" s="238"/>
      <c r="BM15" s="238"/>
      <c r="BN15" s="238"/>
      <c r="BO15" s="238"/>
      <c r="BP15" s="238"/>
      <c r="BQ15" s="238"/>
      <c r="BR15" s="238"/>
    </row>
    <row r="16" s="209" customFormat="1" ht="33" customHeight="1" spans="1:106">
      <c r="A16" s="230"/>
      <c r="B16" s="230"/>
      <c r="C16" s="231"/>
      <c r="D16" s="231"/>
      <c r="E16" s="231"/>
      <c r="F16" s="231"/>
      <c r="G16" s="231"/>
      <c r="H16" s="232">
        <f t="shared" si="5"/>
        <v>0</v>
      </c>
      <c r="I16" s="232">
        <f t="shared" si="0"/>
        <v>0</v>
      </c>
      <c r="J16" s="231"/>
      <c r="K16" s="231"/>
      <c r="L16" s="231"/>
      <c r="M16" s="231"/>
      <c r="N16" s="231"/>
      <c r="O16" s="231"/>
      <c r="P16" s="231"/>
      <c r="Q16" s="231"/>
      <c r="R16" s="231"/>
      <c r="S16" s="231"/>
      <c r="T16" s="231"/>
      <c r="U16" s="233"/>
      <c r="V16" s="233"/>
      <c r="W16" s="233"/>
      <c r="X16" s="233"/>
      <c r="Y16" s="232">
        <f t="shared" si="1"/>
        <v>0</v>
      </c>
      <c r="Z16" s="232">
        <f t="shared" si="2"/>
        <v>0</v>
      </c>
      <c r="AA16" s="231"/>
      <c r="AB16" s="231"/>
      <c r="AC16" s="231"/>
      <c r="AD16" s="231"/>
      <c r="AE16" s="231"/>
      <c r="AF16" s="234"/>
      <c r="AG16" s="234"/>
      <c r="AH16" s="243"/>
      <c r="AI16" s="243"/>
      <c r="AJ16" s="243"/>
      <c r="AK16" s="244"/>
      <c r="AL16" s="237"/>
      <c r="AM16" s="230"/>
      <c r="AN16" s="230"/>
      <c r="AO16" s="230"/>
      <c r="AP16" s="230"/>
      <c r="AQ16" s="230"/>
      <c r="AR16" s="230"/>
      <c r="AS16" s="230"/>
      <c r="AT16" s="230"/>
      <c r="AU16" s="238"/>
      <c r="AV16" s="238"/>
      <c r="AW16" s="239"/>
      <c r="AX16" s="239"/>
      <c r="AY16" s="238"/>
      <c r="AZ16" s="238"/>
      <c r="BA16" s="239"/>
      <c r="BB16" s="239"/>
      <c r="BC16" s="238"/>
      <c r="BD16" s="238"/>
      <c r="BE16" s="238"/>
      <c r="BF16" s="238"/>
      <c r="BG16" s="238"/>
      <c r="BH16" s="238"/>
      <c r="BI16" s="238"/>
      <c r="BJ16" s="238"/>
      <c r="BK16" s="238"/>
      <c r="BL16" s="238"/>
      <c r="BM16" s="238"/>
      <c r="BN16" s="238"/>
      <c r="BO16" s="238"/>
      <c r="BP16" s="238"/>
      <c r="BQ16" s="238"/>
      <c r="BR16" s="238"/>
    </row>
    <row r="17" s="209" customFormat="1" ht="33" customHeight="1" spans="1:70">
      <c r="A17" s="230"/>
      <c r="B17" s="230"/>
      <c r="C17" s="231"/>
      <c r="D17" s="231"/>
      <c r="E17" s="231"/>
      <c r="F17" s="231"/>
      <c r="G17" s="231"/>
      <c r="H17" s="232">
        <f t="shared" si="5"/>
        <v>0</v>
      </c>
      <c r="I17" s="232">
        <f t="shared" si="0"/>
        <v>0</v>
      </c>
      <c r="J17" s="231"/>
      <c r="K17" s="231"/>
      <c r="L17" s="231"/>
      <c r="M17" s="231"/>
      <c r="N17" s="231"/>
      <c r="O17" s="231"/>
      <c r="P17" s="231"/>
      <c r="Q17" s="231"/>
      <c r="R17" s="231"/>
      <c r="S17" s="231"/>
      <c r="T17" s="231"/>
      <c r="U17" s="233"/>
      <c r="V17" s="233"/>
      <c r="W17" s="233"/>
      <c r="X17" s="233"/>
      <c r="Y17" s="232">
        <f t="shared" si="1"/>
        <v>0</v>
      </c>
      <c r="Z17" s="232">
        <f t="shared" si="2"/>
        <v>0</v>
      </c>
      <c r="AA17" s="231"/>
      <c r="AB17" s="231"/>
      <c r="AC17" s="231"/>
      <c r="AD17" s="231"/>
      <c r="AE17" s="231"/>
      <c r="AF17" s="234"/>
      <c r="AG17" s="234"/>
      <c r="AH17" s="243"/>
      <c r="AI17" s="243"/>
      <c r="AJ17" s="243"/>
      <c r="AK17" s="244"/>
      <c r="AL17" s="237"/>
      <c r="AM17" s="230"/>
      <c r="AN17" s="230"/>
      <c r="AO17" s="230"/>
      <c r="AP17" s="230"/>
      <c r="AQ17" s="230"/>
      <c r="AR17" s="230"/>
      <c r="AS17" s="230"/>
      <c r="AT17" s="230"/>
      <c r="AU17" s="238"/>
      <c r="AV17" s="238"/>
      <c r="AW17" s="239"/>
      <c r="AX17" s="239"/>
      <c r="AY17" s="238"/>
      <c r="AZ17" s="238"/>
      <c r="BA17" s="239"/>
      <c r="BB17" s="239"/>
      <c r="BC17" s="238"/>
      <c r="BD17" s="238"/>
      <c r="BE17" s="238"/>
      <c r="BF17" s="238"/>
      <c r="BG17" s="238"/>
      <c r="BH17" s="238"/>
      <c r="BI17" s="238"/>
      <c r="BJ17" s="238"/>
      <c r="BK17" s="238"/>
      <c r="BL17" s="238"/>
      <c r="BM17" s="238"/>
      <c r="BN17" s="238"/>
      <c r="BO17" s="238"/>
      <c r="BP17" s="238"/>
      <c r="BQ17" s="238"/>
      <c r="BR17" s="238"/>
    </row>
    <row r="18" s="209" customFormat="1" ht="33" customHeight="1" spans="1:70">
      <c r="A18" s="230"/>
      <c r="B18" s="230"/>
      <c r="C18" s="231"/>
      <c r="D18" s="231"/>
      <c r="E18" s="231"/>
      <c r="F18" s="231"/>
      <c r="G18" s="231"/>
      <c r="H18" s="232">
        <f t="shared" si="5"/>
        <v>0</v>
      </c>
      <c r="I18" s="232">
        <f t="shared" si="0"/>
        <v>0</v>
      </c>
      <c r="J18" s="231"/>
      <c r="K18" s="231"/>
      <c r="L18" s="231"/>
      <c r="M18" s="231"/>
      <c r="N18" s="231"/>
      <c r="O18" s="231"/>
      <c r="P18" s="231"/>
      <c r="Q18" s="231"/>
      <c r="R18" s="231"/>
      <c r="S18" s="231"/>
      <c r="T18" s="231"/>
      <c r="U18" s="233"/>
      <c r="V18" s="233"/>
      <c r="W18" s="233"/>
      <c r="X18" s="233"/>
      <c r="Y18" s="232">
        <f t="shared" si="1"/>
        <v>0</v>
      </c>
      <c r="Z18" s="232">
        <f t="shared" si="2"/>
        <v>0</v>
      </c>
      <c r="AA18" s="231"/>
      <c r="AB18" s="231"/>
      <c r="AC18" s="231"/>
      <c r="AD18" s="231"/>
      <c r="AE18" s="231"/>
      <c r="AF18" s="234"/>
      <c r="AG18" s="234"/>
      <c r="AH18" s="243"/>
      <c r="AI18" s="243"/>
      <c r="AJ18" s="243"/>
      <c r="AK18" s="244"/>
      <c r="AL18" s="237"/>
      <c r="AM18" s="230"/>
      <c r="AN18" s="230"/>
      <c r="AO18" s="230"/>
      <c r="AP18" s="230"/>
      <c r="AQ18" s="230"/>
      <c r="AR18" s="230"/>
      <c r="AS18" s="230"/>
      <c r="AT18" s="230"/>
      <c r="AU18" s="238"/>
      <c r="AV18" s="238"/>
      <c r="AW18" s="239"/>
      <c r="AX18" s="239"/>
      <c r="AY18" s="238"/>
      <c r="AZ18" s="238"/>
      <c r="BA18" s="239"/>
      <c r="BB18" s="239"/>
      <c r="BC18" s="238"/>
      <c r="BD18" s="238"/>
      <c r="BE18" s="238"/>
      <c r="BF18" s="238"/>
      <c r="BG18" s="238"/>
      <c r="BH18" s="238"/>
      <c r="BI18" s="238"/>
      <c r="BJ18" s="238"/>
      <c r="BK18" s="238"/>
      <c r="BL18" s="238"/>
      <c r="BM18" s="238"/>
      <c r="BN18" s="238"/>
      <c r="BO18" s="238"/>
      <c r="BP18" s="238"/>
      <c r="BQ18" s="238"/>
      <c r="BR18" s="238"/>
    </row>
    <row r="19" s="209" customFormat="1" ht="33" customHeight="1" spans="1:70">
      <c r="A19" s="230"/>
      <c r="B19" s="230"/>
      <c r="C19" s="231"/>
      <c r="D19" s="231"/>
      <c r="E19" s="231"/>
      <c r="F19" s="231"/>
      <c r="G19" s="231"/>
      <c r="H19" s="232">
        <f t="shared" si="5"/>
        <v>0</v>
      </c>
      <c r="I19" s="232">
        <f t="shared" si="0"/>
        <v>0</v>
      </c>
      <c r="J19" s="231"/>
      <c r="K19" s="231"/>
      <c r="L19" s="231"/>
      <c r="M19" s="231"/>
      <c r="N19" s="231"/>
      <c r="O19" s="231"/>
      <c r="P19" s="231"/>
      <c r="Q19" s="231"/>
      <c r="R19" s="231"/>
      <c r="S19" s="231"/>
      <c r="T19" s="231"/>
      <c r="U19" s="233"/>
      <c r="V19" s="233"/>
      <c r="W19" s="233"/>
      <c r="X19" s="233"/>
      <c r="Y19" s="232">
        <f t="shared" si="1"/>
        <v>0</v>
      </c>
      <c r="Z19" s="232">
        <f t="shared" si="2"/>
        <v>0</v>
      </c>
      <c r="AA19" s="231"/>
      <c r="AB19" s="231"/>
      <c r="AC19" s="231"/>
      <c r="AD19" s="231"/>
      <c r="AE19" s="231"/>
      <c r="AF19" s="234"/>
      <c r="AG19" s="234"/>
      <c r="AH19" s="243"/>
      <c r="AI19" s="243"/>
      <c r="AJ19" s="243"/>
      <c r="AK19" s="244"/>
      <c r="AL19" s="237"/>
      <c r="AM19" s="230"/>
      <c r="AN19" s="230"/>
      <c r="AO19" s="230"/>
      <c r="AP19" s="230"/>
      <c r="AQ19" s="230"/>
      <c r="AR19" s="230"/>
      <c r="AS19" s="230"/>
      <c r="AT19" s="230"/>
      <c r="AU19" s="238"/>
      <c r="AV19" s="238"/>
      <c r="AW19" s="239"/>
      <c r="AX19" s="239"/>
      <c r="AY19" s="238"/>
      <c r="AZ19" s="238"/>
      <c r="BA19" s="239"/>
      <c r="BB19" s="239"/>
      <c r="BC19" s="238"/>
      <c r="BD19" s="238"/>
      <c r="BE19" s="238"/>
      <c r="BF19" s="238"/>
      <c r="BG19" s="238"/>
      <c r="BH19" s="238"/>
      <c r="BI19" s="238"/>
      <c r="BJ19" s="238"/>
      <c r="BK19" s="238"/>
      <c r="BL19" s="238"/>
      <c r="BM19" s="238"/>
      <c r="BN19" s="238"/>
      <c r="BO19" s="238"/>
      <c r="BP19" s="238"/>
      <c r="BQ19" s="238"/>
      <c r="BR19" s="238"/>
    </row>
    <row r="20" s="209" customFormat="1" ht="33" customHeight="1" spans="1:70">
      <c r="A20" s="230"/>
      <c r="B20" s="230"/>
      <c r="C20" s="231"/>
      <c r="D20" s="231"/>
      <c r="E20" s="231"/>
      <c r="F20" s="231"/>
      <c r="G20" s="231"/>
      <c r="H20" s="232">
        <f t="shared" si="5"/>
        <v>0</v>
      </c>
      <c r="I20" s="232">
        <f t="shared" si="0"/>
        <v>0</v>
      </c>
      <c r="J20" s="231"/>
      <c r="K20" s="231"/>
      <c r="L20" s="231"/>
      <c r="M20" s="231"/>
      <c r="N20" s="231"/>
      <c r="O20" s="231"/>
      <c r="P20" s="231"/>
      <c r="Q20" s="231"/>
      <c r="R20" s="231"/>
      <c r="S20" s="231"/>
      <c r="T20" s="231"/>
      <c r="U20" s="233"/>
      <c r="V20" s="233"/>
      <c r="W20" s="233"/>
      <c r="X20" s="233"/>
      <c r="Y20" s="232">
        <f t="shared" si="1"/>
        <v>0</v>
      </c>
      <c r="Z20" s="232">
        <f t="shared" si="2"/>
        <v>0</v>
      </c>
      <c r="AA20" s="231"/>
      <c r="AB20" s="231"/>
      <c r="AC20" s="231"/>
      <c r="AD20" s="231"/>
      <c r="AE20" s="231"/>
      <c r="AF20" s="234"/>
      <c r="AG20" s="234"/>
      <c r="AH20" s="243"/>
      <c r="AI20" s="243"/>
      <c r="AJ20" s="243"/>
      <c r="AK20" s="244"/>
      <c r="AL20" s="237"/>
      <c r="AM20" s="230"/>
      <c r="AN20" s="230"/>
      <c r="AO20" s="230"/>
      <c r="AP20" s="230"/>
      <c r="AQ20" s="230"/>
      <c r="AR20" s="230"/>
      <c r="AS20" s="230"/>
      <c r="AT20" s="230"/>
      <c r="AU20" s="238"/>
      <c r="AV20" s="238"/>
      <c r="AW20" s="239">
        <f>AU20/1.09</f>
        <v>0</v>
      </c>
      <c r="AX20" s="239" t="e">
        <f>AW20/#REF!*#REF!</f>
        <v>#REF!</v>
      </c>
      <c r="AY20" s="238"/>
      <c r="AZ20" s="238"/>
      <c r="BA20" s="239" t="e">
        <f>(AU20-AY20)+(AX20-AU20/1.09)</f>
        <v>#REF!</v>
      </c>
      <c r="BB20" s="239">
        <f>AV20-AZ20</f>
        <v>0</v>
      </c>
      <c r="BC20" s="238"/>
      <c r="BD20" s="238"/>
      <c r="BE20" s="238"/>
      <c r="BF20" s="238"/>
      <c r="BG20" s="238"/>
      <c r="BH20" s="238"/>
      <c r="BI20" s="238"/>
      <c r="BJ20" s="238"/>
      <c r="BK20" s="238"/>
      <c r="BL20" s="238"/>
      <c r="BM20" s="238"/>
      <c r="BN20" s="238"/>
      <c r="BO20" s="238"/>
      <c r="BP20" s="238"/>
      <c r="BQ20" s="238"/>
      <c r="BR20" s="238"/>
    </row>
  </sheetData>
  <mergeCells count="28">
    <mergeCell ref="C2:T2"/>
    <mergeCell ref="U2:AG2"/>
    <mergeCell ref="A2:A3"/>
    <mergeCell ref="B2:B3"/>
    <mergeCell ref="AH2:AH3"/>
    <mergeCell ref="AI2:AI3"/>
    <mergeCell ref="AJ2:AJ3"/>
    <mergeCell ref="AK2:AK3"/>
    <mergeCell ref="AL2:AL3"/>
    <mergeCell ref="AM2:AM3"/>
    <mergeCell ref="AN2:AN3"/>
    <mergeCell ref="AO2:AO3"/>
    <mergeCell ref="AP2:AP3"/>
    <mergeCell ref="AQ2:AQ3"/>
    <mergeCell ref="AR2:AR3"/>
    <mergeCell ref="AS2:AS3"/>
    <mergeCell ref="AT2:AT3"/>
    <mergeCell ref="AU2:AU3"/>
    <mergeCell ref="AV2:AV3"/>
    <mergeCell ref="AW2:AW3"/>
    <mergeCell ref="AX2:AX3"/>
    <mergeCell ref="AY2:AY3"/>
    <mergeCell ref="AZ2:AZ3"/>
    <mergeCell ref="BA2:BA3"/>
    <mergeCell ref="BB2:BB3"/>
    <mergeCell ref="CZ2:CZ3"/>
    <mergeCell ref="DA2:DA3"/>
    <mergeCell ref="DB2:DB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80"/>
  <sheetViews>
    <sheetView topLeftCell="L1" workbookViewId="0">
      <selection activeCell="Q180" sqref="Q180"/>
    </sheetView>
  </sheetViews>
  <sheetFormatPr defaultColWidth="9" defaultRowHeight="21" customHeight="1"/>
  <cols>
    <col min="1" max="1" width="47" style="198" customWidth="1"/>
    <col min="2" max="2" width="21.1333333333333" style="199" customWidth="1"/>
    <col min="3" max="3" width="20.3833333333333" style="199"/>
    <col min="4" max="4" width="18.8833333333333" style="199" customWidth="1"/>
    <col min="5" max="11" width="18.25" style="199" customWidth="1"/>
    <col min="12" max="13" width="20.3833333333333" style="199"/>
    <col min="14" max="14" width="22.8833333333333" style="199"/>
    <col min="15" max="15" width="37.6333333333333" style="199" customWidth="1"/>
    <col min="16" max="16" width="20.3833333333333" style="199"/>
    <col min="17" max="17" width="27.1333333333333" style="199" customWidth="1"/>
    <col min="18" max="21" width="21.6333333333333" style="199" customWidth="1"/>
    <col min="22" max="22" width="18.25" style="199" customWidth="1"/>
    <col min="23" max="23" width="17.3833333333333" style="199" customWidth="1"/>
    <col min="24" max="24" width="20.3833333333333" style="199"/>
    <col min="25" max="25" width="17.1333333333333" style="199" customWidth="1"/>
    <col min="26" max="37" width="21.8833333333333" style="199" customWidth="1"/>
    <col min="38" max="38" width="19.8833333333333" style="199" customWidth="1"/>
    <col min="39" max="40" width="20" style="199" customWidth="1"/>
    <col min="41" max="41" width="20.25" style="196" customWidth="1"/>
    <col min="42" max="42" width="18.6333333333333" style="196" customWidth="1"/>
    <col min="43" max="16384" width="9" style="196"/>
  </cols>
  <sheetData>
    <row r="1" s="195" customFormat="1" ht="60" customHeight="1" spans="1:42">
      <c r="A1" s="200" t="s">
        <v>2</v>
      </c>
      <c r="B1" s="201" t="s">
        <v>26</v>
      </c>
      <c r="C1" s="201" t="s">
        <v>27</v>
      </c>
      <c r="D1" s="201" t="s">
        <v>28</v>
      </c>
      <c r="E1" s="201" t="s">
        <v>29</v>
      </c>
      <c r="F1" s="201" t="s">
        <v>30</v>
      </c>
      <c r="G1" s="201" t="s">
        <v>31</v>
      </c>
      <c r="H1" s="201" t="s">
        <v>32</v>
      </c>
      <c r="I1" s="201" t="s">
        <v>33</v>
      </c>
      <c r="J1" s="201" t="s">
        <v>34</v>
      </c>
      <c r="K1" s="201" t="s">
        <v>35</v>
      </c>
      <c r="L1" s="201" t="s">
        <v>36</v>
      </c>
      <c r="M1" s="201" t="s">
        <v>37</v>
      </c>
      <c r="N1" s="201" t="s">
        <v>38</v>
      </c>
      <c r="O1" s="201" t="s">
        <v>39</v>
      </c>
      <c r="P1" s="201" t="s">
        <v>40</v>
      </c>
      <c r="Q1" s="201" t="s">
        <v>41</v>
      </c>
      <c r="R1" s="201" t="s">
        <v>42</v>
      </c>
      <c r="S1" s="201" t="s">
        <v>43</v>
      </c>
      <c r="T1" s="201" t="s">
        <v>44</v>
      </c>
      <c r="U1" s="201" t="s">
        <v>45</v>
      </c>
      <c r="V1" s="201" t="s">
        <v>46</v>
      </c>
      <c r="W1" s="201" t="s">
        <v>47</v>
      </c>
      <c r="X1" s="201" t="s">
        <v>48</v>
      </c>
      <c r="Y1" s="201" t="s">
        <v>49</v>
      </c>
      <c r="Z1" s="201" t="s">
        <v>50</v>
      </c>
      <c r="AA1" s="201" t="s">
        <v>51</v>
      </c>
      <c r="AB1" s="201" t="s">
        <v>52</v>
      </c>
      <c r="AC1" s="201" t="s">
        <v>53</v>
      </c>
      <c r="AD1" s="201" t="s">
        <v>54</v>
      </c>
      <c r="AE1" s="201" t="s">
        <v>55</v>
      </c>
      <c r="AF1" s="201" t="s">
        <v>56</v>
      </c>
      <c r="AG1" s="201" t="s">
        <v>57</v>
      </c>
      <c r="AH1" s="201" t="s">
        <v>58</v>
      </c>
      <c r="AI1" s="201" t="s">
        <v>59</v>
      </c>
      <c r="AJ1" s="201" t="s">
        <v>60</v>
      </c>
      <c r="AK1" s="201" t="s">
        <v>61</v>
      </c>
      <c r="AL1" s="201" t="s">
        <v>62</v>
      </c>
      <c r="AM1" s="201" t="s">
        <v>63</v>
      </c>
      <c r="AN1" s="201" t="s">
        <v>64</v>
      </c>
      <c r="AO1" s="201" t="s">
        <v>65</v>
      </c>
      <c r="AP1" s="201" t="s">
        <v>66</v>
      </c>
    </row>
    <row r="2" s="196" customFormat="1" hidden="1" customHeight="1" spans="1:42">
      <c r="A2" s="202" t="s">
        <v>114</v>
      </c>
      <c r="B2" s="203">
        <v>4673397.96</v>
      </c>
      <c r="C2" s="204"/>
      <c r="D2" s="204"/>
      <c r="E2" s="204"/>
      <c r="F2" s="204"/>
      <c r="G2" s="204"/>
      <c r="H2" s="204"/>
      <c r="I2" s="204"/>
      <c r="J2" s="204"/>
      <c r="K2" s="204"/>
      <c r="L2" s="204"/>
      <c r="M2" s="204"/>
      <c r="N2" s="204">
        <v>6473652.82</v>
      </c>
      <c r="O2" s="204"/>
      <c r="P2" s="204">
        <v>45988566.45</v>
      </c>
      <c r="Q2" s="204">
        <v>-4110384</v>
      </c>
      <c r="R2" s="204"/>
      <c r="S2" s="204"/>
      <c r="T2" s="204"/>
      <c r="U2" s="204"/>
      <c r="V2" s="204"/>
      <c r="W2" s="204"/>
      <c r="X2" s="204"/>
      <c r="Y2" s="204"/>
      <c r="Z2" s="204"/>
      <c r="AA2" s="204"/>
      <c r="AB2" s="204"/>
      <c r="AC2" s="204">
        <v>65003843.86</v>
      </c>
      <c r="AD2" s="204">
        <v>252289.31</v>
      </c>
      <c r="AE2" s="204">
        <v>157598.63</v>
      </c>
      <c r="AF2" s="204"/>
      <c r="AG2" s="204"/>
      <c r="AH2" s="204"/>
      <c r="AI2" s="204"/>
      <c r="AJ2" s="204"/>
      <c r="AK2" s="204"/>
      <c r="AL2" s="204"/>
      <c r="AM2" s="204">
        <v>68690666.49</v>
      </c>
      <c r="AN2" s="204">
        <v>27465636.74</v>
      </c>
      <c r="AO2" s="205"/>
      <c r="AP2" s="205"/>
    </row>
    <row r="3" s="196" customFormat="1" hidden="1" customHeight="1" spans="1:42">
      <c r="A3" s="202" t="s">
        <v>115</v>
      </c>
      <c r="B3" s="203">
        <v>-12000000</v>
      </c>
      <c r="C3" s="204"/>
      <c r="D3" s="204"/>
      <c r="E3" s="204"/>
      <c r="F3" s="204"/>
      <c r="G3" s="204"/>
      <c r="H3" s="204"/>
      <c r="I3" s="204"/>
      <c r="J3" s="204"/>
      <c r="K3" s="204"/>
      <c r="L3" s="204"/>
      <c r="M3" s="204"/>
      <c r="N3" s="204"/>
      <c r="O3" s="204"/>
      <c r="P3" s="204">
        <v>1001834.86</v>
      </c>
      <c r="Q3" s="204">
        <v>-1098165.14</v>
      </c>
      <c r="R3" s="204">
        <v>0</v>
      </c>
      <c r="S3" s="204"/>
      <c r="T3" s="204"/>
      <c r="U3" s="204"/>
      <c r="V3" s="204"/>
      <c r="W3" s="204"/>
      <c r="X3" s="204"/>
      <c r="Y3" s="204"/>
      <c r="Z3" s="204"/>
      <c r="AA3" s="204"/>
      <c r="AB3" s="204"/>
      <c r="AC3" s="204">
        <v>11835779.81</v>
      </c>
      <c r="AD3" s="204"/>
      <c r="AE3" s="204">
        <v>947</v>
      </c>
      <c r="AF3" s="204"/>
      <c r="AG3" s="204"/>
      <c r="AH3" s="204"/>
      <c r="AI3" s="204"/>
      <c r="AJ3" s="204"/>
      <c r="AK3" s="204"/>
      <c r="AL3" s="204"/>
      <c r="AM3" s="204">
        <v>12201834.85</v>
      </c>
      <c r="AN3" s="204"/>
      <c r="AO3" s="205"/>
      <c r="AP3" s="205"/>
    </row>
    <row r="4" s="196" customFormat="1" hidden="1" customHeight="1" spans="1:42">
      <c r="A4" s="202" t="s">
        <v>116</v>
      </c>
      <c r="B4" s="203"/>
      <c r="C4" s="204"/>
      <c r="D4" s="204"/>
      <c r="E4" s="204"/>
      <c r="F4" s="204"/>
      <c r="G4" s="204"/>
      <c r="H4" s="204"/>
      <c r="I4" s="204"/>
      <c r="J4" s="204"/>
      <c r="K4" s="204"/>
      <c r="L4" s="204"/>
      <c r="M4" s="204"/>
      <c r="N4" s="204"/>
      <c r="O4" s="204"/>
      <c r="P4" s="204">
        <v>-49541.28</v>
      </c>
      <c r="Q4" s="204">
        <v>-49541.28</v>
      </c>
      <c r="R4" s="204"/>
      <c r="S4" s="204"/>
      <c r="T4" s="204"/>
      <c r="U4" s="204"/>
      <c r="V4" s="204"/>
      <c r="W4" s="204"/>
      <c r="X4" s="204"/>
      <c r="Y4" s="204"/>
      <c r="Z4" s="204"/>
      <c r="AA4" s="204"/>
      <c r="AB4" s="204"/>
      <c r="AC4" s="204"/>
      <c r="AD4" s="204"/>
      <c r="AE4" s="204"/>
      <c r="AF4" s="204"/>
      <c r="AG4" s="204"/>
      <c r="AH4" s="204"/>
      <c r="AI4" s="204"/>
      <c r="AJ4" s="204"/>
      <c r="AK4" s="204"/>
      <c r="AL4" s="204"/>
      <c r="AM4" s="204"/>
      <c r="AN4" s="204"/>
      <c r="AO4" s="205"/>
      <c r="AP4" s="205"/>
    </row>
    <row r="5" s="196" customFormat="1" hidden="1" customHeight="1" spans="1:42">
      <c r="A5" s="202" t="s">
        <v>117</v>
      </c>
      <c r="B5" s="203">
        <v>2532770.92</v>
      </c>
      <c r="C5" s="204"/>
      <c r="D5" s="204"/>
      <c r="E5" s="204"/>
      <c r="F5" s="204"/>
      <c r="G5" s="204"/>
      <c r="H5" s="204"/>
      <c r="I5" s="204"/>
      <c r="J5" s="204"/>
      <c r="K5" s="204"/>
      <c r="L5" s="204"/>
      <c r="M5" s="204"/>
      <c r="N5" s="204"/>
      <c r="O5" s="204"/>
      <c r="P5" s="204">
        <v>64457.42</v>
      </c>
      <c r="Q5" s="204">
        <v>-6576.15</v>
      </c>
      <c r="R5" s="204">
        <v>0</v>
      </c>
      <c r="S5" s="204"/>
      <c r="T5" s="204"/>
      <c r="U5" s="204"/>
      <c r="V5" s="204"/>
      <c r="W5" s="204"/>
      <c r="X5" s="204"/>
      <c r="Y5" s="204"/>
      <c r="Z5" s="204"/>
      <c r="AA5" s="204">
        <v>3143639.75</v>
      </c>
      <c r="AB5" s="204"/>
      <c r="AC5" s="204">
        <v>5969487.2</v>
      </c>
      <c r="AD5" s="204"/>
      <c r="AE5" s="204">
        <v>8412</v>
      </c>
      <c r="AF5" s="204"/>
      <c r="AG5" s="204"/>
      <c r="AH5" s="204"/>
      <c r="AI5" s="204"/>
      <c r="AJ5" s="204"/>
      <c r="AK5" s="204"/>
      <c r="AL5" s="204"/>
      <c r="AM5" s="204">
        <v>6283670.74</v>
      </c>
      <c r="AN5" s="204">
        <v>12676352.25</v>
      </c>
      <c r="AO5" s="205"/>
      <c r="AP5" s="205"/>
    </row>
    <row r="6" s="196" customFormat="1" hidden="1" customHeight="1" spans="1:42">
      <c r="A6" s="202" t="s">
        <v>118</v>
      </c>
      <c r="B6" s="203">
        <v>0</v>
      </c>
      <c r="C6" s="204"/>
      <c r="D6" s="204"/>
      <c r="E6" s="204"/>
      <c r="F6" s="204"/>
      <c r="G6" s="204"/>
      <c r="H6" s="204"/>
      <c r="I6" s="204"/>
      <c r="J6" s="204"/>
      <c r="K6" s="204"/>
      <c r="L6" s="204"/>
      <c r="M6" s="204"/>
      <c r="N6" s="204">
        <v>7766050</v>
      </c>
      <c r="O6" s="204"/>
      <c r="P6" s="204">
        <v>17778789.61</v>
      </c>
      <c r="Q6" s="204">
        <v>-1711824.47</v>
      </c>
      <c r="R6" s="204">
        <v>102507.72</v>
      </c>
      <c r="S6" s="204"/>
      <c r="T6" s="204"/>
      <c r="U6" s="204"/>
      <c r="V6" s="204"/>
      <c r="W6" s="204"/>
      <c r="X6" s="204"/>
      <c r="Y6" s="204"/>
      <c r="Z6" s="204"/>
      <c r="AA6" s="204"/>
      <c r="AB6" s="204"/>
      <c r="AC6" s="204">
        <v>16299128.44</v>
      </c>
      <c r="AD6" s="204">
        <v>356066.04</v>
      </c>
      <c r="AE6" s="204">
        <v>323349.7</v>
      </c>
      <c r="AF6" s="204"/>
      <c r="AG6" s="204"/>
      <c r="AH6" s="204"/>
      <c r="AI6" s="204"/>
      <c r="AJ6" s="204"/>
      <c r="AK6" s="204"/>
      <c r="AL6" s="204"/>
      <c r="AM6" s="204">
        <v>16803225.19</v>
      </c>
      <c r="AN6" s="204"/>
      <c r="AO6" s="205"/>
      <c r="AP6" s="205"/>
    </row>
    <row r="7" s="196" customFormat="1" hidden="1" customHeight="1" spans="1:42">
      <c r="A7" s="202" t="s">
        <v>119</v>
      </c>
      <c r="B7" s="203"/>
      <c r="C7" s="204"/>
      <c r="D7" s="204"/>
      <c r="E7" s="204"/>
      <c r="F7" s="204"/>
      <c r="G7" s="204"/>
      <c r="H7" s="204"/>
      <c r="I7" s="204"/>
      <c r="J7" s="204"/>
      <c r="K7" s="204"/>
      <c r="L7" s="204"/>
      <c r="M7" s="204"/>
      <c r="N7" s="204"/>
      <c r="O7" s="204"/>
      <c r="P7" s="204">
        <v>632463.83</v>
      </c>
      <c r="Q7" s="204">
        <v>0</v>
      </c>
      <c r="R7" s="204"/>
      <c r="S7" s="204"/>
      <c r="T7" s="204"/>
      <c r="U7" s="204"/>
      <c r="V7" s="204"/>
      <c r="W7" s="204"/>
      <c r="X7" s="204"/>
      <c r="Y7" s="204"/>
      <c r="Z7" s="204"/>
      <c r="AA7" s="204"/>
      <c r="AB7" s="204"/>
      <c r="AC7" s="204"/>
      <c r="AD7" s="204"/>
      <c r="AE7" s="204"/>
      <c r="AF7" s="204"/>
      <c r="AG7" s="204"/>
      <c r="AH7" s="204"/>
      <c r="AI7" s="204"/>
      <c r="AJ7" s="204"/>
      <c r="AK7" s="204"/>
      <c r="AL7" s="204"/>
      <c r="AM7" s="204"/>
      <c r="AN7" s="204"/>
      <c r="AO7" s="205"/>
      <c r="AP7" s="205"/>
    </row>
    <row r="8" s="196" customFormat="1" hidden="1" customHeight="1" spans="1:42">
      <c r="A8" s="202" t="s">
        <v>120</v>
      </c>
      <c r="B8" s="203">
        <v>1422295.26</v>
      </c>
      <c r="C8" s="204"/>
      <c r="D8" s="204"/>
      <c r="E8" s="204"/>
      <c r="F8" s="204"/>
      <c r="G8" s="204"/>
      <c r="H8" s="204"/>
      <c r="I8" s="204"/>
      <c r="J8" s="204"/>
      <c r="K8" s="204"/>
      <c r="L8" s="204"/>
      <c r="M8" s="204"/>
      <c r="N8" s="204">
        <v>678049.72</v>
      </c>
      <c r="O8" s="204"/>
      <c r="P8" s="204"/>
      <c r="Q8" s="204">
        <v>0</v>
      </c>
      <c r="R8" s="204">
        <v>0</v>
      </c>
      <c r="S8" s="204"/>
      <c r="T8" s="204"/>
      <c r="U8" s="204"/>
      <c r="V8" s="204"/>
      <c r="W8" s="204">
        <v>673130.77</v>
      </c>
      <c r="X8" s="204"/>
      <c r="Y8" s="204"/>
      <c r="Z8" s="204"/>
      <c r="AA8" s="204"/>
      <c r="AB8" s="204"/>
      <c r="AC8" s="204">
        <v>20585038.87</v>
      </c>
      <c r="AD8" s="204"/>
      <c r="AE8" s="204">
        <v>347240.46</v>
      </c>
      <c r="AF8" s="204"/>
      <c r="AG8" s="204"/>
      <c r="AH8" s="204"/>
      <c r="AI8" s="204"/>
      <c r="AJ8" s="204"/>
      <c r="AK8" s="204"/>
      <c r="AL8" s="204"/>
      <c r="AM8" s="204">
        <v>22165296.85</v>
      </c>
      <c r="AN8" s="204">
        <v>22165296.85</v>
      </c>
      <c r="AO8" s="205"/>
      <c r="AP8" s="205"/>
    </row>
    <row r="9" s="196" customFormat="1" hidden="1" customHeight="1" spans="1:42">
      <c r="A9" s="202" t="s">
        <v>121</v>
      </c>
      <c r="B9" s="203">
        <v>8405313</v>
      </c>
      <c r="C9" s="204"/>
      <c r="D9" s="204"/>
      <c r="E9" s="204"/>
      <c r="F9" s="204"/>
      <c r="G9" s="204"/>
      <c r="H9" s="204"/>
      <c r="I9" s="204"/>
      <c r="J9" s="204"/>
      <c r="K9" s="204"/>
      <c r="L9" s="204"/>
      <c r="M9" s="204"/>
      <c r="N9" s="204">
        <v>8552520.32</v>
      </c>
      <c r="O9" s="204"/>
      <c r="P9" s="204"/>
      <c r="Q9" s="204">
        <v>0</v>
      </c>
      <c r="R9" s="204">
        <v>737304.37</v>
      </c>
      <c r="S9" s="204"/>
      <c r="T9" s="204"/>
      <c r="U9" s="204"/>
      <c r="V9" s="204"/>
      <c r="W9" s="204">
        <v>1425368.37</v>
      </c>
      <c r="X9" s="204"/>
      <c r="Y9" s="204"/>
      <c r="Z9" s="204"/>
      <c r="AA9" s="204"/>
      <c r="AB9" s="204"/>
      <c r="AC9" s="204">
        <v>42063612.8</v>
      </c>
      <c r="AD9" s="204"/>
      <c r="AE9" s="204"/>
      <c r="AF9" s="204"/>
      <c r="AG9" s="204"/>
      <c r="AH9" s="204"/>
      <c r="AI9" s="204"/>
      <c r="AJ9" s="204"/>
      <c r="AK9" s="204"/>
      <c r="AL9" s="204"/>
      <c r="AM9" s="204">
        <v>43589236.07</v>
      </c>
      <c r="AN9" s="204">
        <v>43589235.77</v>
      </c>
      <c r="AO9" s="205"/>
      <c r="AP9" s="205"/>
    </row>
    <row r="10" s="196" customFormat="1" hidden="1" customHeight="1" spans="1:42">
      <c r="A10" s="202" t="s">
        <v>122</v>
      </c>
      <c r="B10" s="203">
        <v>74736.28</v>
      </c>
      <c r="C10" s="204"/>
      <c r="D10" s="204"/>
      <c r="E10" s="204"/>
      <c r="F10" s="204"/>
      <c r="G10" s="204"/>
      <c r="H10" s="204"/>
      <c r="I10" s="204"/>
      <c r="J10" s="204"/>
      <c r="K10" s="204"/>
      <c r="L10" s="204"/>
      <c r="M10" s="204"/>
      <c r="N10" s="204">
        <v>1813597.88</v>
      </c>
      <c r="O10" s="204"/>
      <c r="P10" s="204"/>
      <c r="Q10" s="204">
        <v>0</v>
      </c>
      <c r="R10" s="204">
        <v>0.01</v>
      </c>
      <c r="S10" s="204"/>
      <c r="T10" s="204"/>
      <c r="U10" s="204"/>
      <c r="V10" s="204"/>
      <c r="W10" s="204"/>
      <c r="X10" s="204"/>
      <c r="Y10" s="204"/>
      <c r="Z10" s="204"/>
      <c r="AA10" s="204"/>
      <c r="AB10" s="204"/>
      <c r="AC10" s="204">
        <v>31521538.87</v>
      </c>
      <c r="AD10" s="204"/>
      <c r="AE10" s="204">
        <v>349428.56</v>
      </c>
      <c r="AF10" s="204"/>
      <c r="AG10" s="204"/>
      <c r="AH10" s="204"/>
      <c r="AI10" s="204"/>
      <c r="AJ10" s="204"/>
      <c r="AK10" s="204"/>
      <c r="AL10" s="204"/>
      <c r="AM10" s="204">
        <v>33031779.6</v>
      </c>
      <c r="AN10" s="204">
        <v>33031779.59</v>
      </c>
      <c r="AO10" s="205"/>
      <c r="AP10" s="205"/>
    </row>
    <row r="11" s="196" customFormat="1" hidden="1" customHeight="1" spans="1:42">
      <c r="A11" s="202" t="s">
        <v>123</v>
      </c>
      <c r="B11" s="203">
        <v>12144686.74</v>
      </c>
      <c r="C11" s="204">
        <v>0</v>
      </c>
      <c r="D11" s="204"/>
      <c r="E11" s="204"/>
      <c r="F11" s="204"/>
      <c r="G11" s="204"/>
      <c r="H11" s="204"/>
      <c r="I11" s="204"/>
      <c r="J11" s="204"/>
      <c r="K11" s="204"/>
      <c r="L11" s="204">
        <v>3036171.69</v>
      </c>
      <c r="M11" s="204">
        <v>0</v>
      </c>
      <c r="N11" s="204">
        <v>10204150.44</v>
      </c>
      <c r="O11" s="204"/>
      <c r="P11" s="204"/>
      <c r="Q11" s="204">
        <v>0</v>
      </c>
      <c r="R11" s="204">
        <v>1253465.39</v>
      </c>
      <c r="S11" s="204"/>
      <c r="T11" s="204"/>
      <c r="U11" s="204"/>
      <c r="V11" s="204"/>
      <c r="W11" s="204"/>
      <c r="X11" s="204"/>
      <c r="Y11" s="204"/>
      <c r="Z11" s="204"/>
      <c r="AA11" s="204">
        <v>16005603.5</v>
      </c>
      <c r="AB11" s="204"/>
      <c r="AC11" s="204">
        <v>63622545.51</v>
      </c>
      <c r="AD11" s="204"/>
      <c r="AE11" s="204">
        <v>24306.67</v>
      </c>
      <c r="AF11" s="204"/>
      <c r="AG11" s="204"/>
      <c r="AH11" s="204"/>
      <c r="AI11" s="204"/>
      <c r="AJ11" s="204"/>
      <c r="AK11" s="204"/>
      <c r="AL11" s="204"/>
      <c r="AM11" s="204">
        <v>82859220.69</v>
      </c>
      <c r="AN11" s="204">
        <v>92849287.09</v>
      </c>
      <c r="AO11" s="205"/>
      <c r="AP11" s="205"/>
    </row>
    <row r="12" s="196" customFormat="1" hidden="1" customHeight="1" spans="1:42">
      <c r="A12" s="202" t="s">
        <v>124</v>
      </c>
      <c r="B12" s="203">
        <v>21137830.53</v>
      </c>
      <c r="C12" s="204">
        <v>0</v>
      </c>
      <c r="D12" s="204"/>
      <c r="E12" s="204"/>
      <c r="F12" s="204"/>
      <c r="G12" s="204"/>
      <c r="H12" s="204"/>
      <c r="I12" s="204"/>
      <c r="J12" s="204"/>
      <c r="K12" s="204"/>
      <c r="L12" s="204">
        <v>21795131.05</v>
      </c>
      <c r="M12" s="204">
        <v>0</v>
      </c>
      <c r="N12" s="204">
        <v>23190681.12</v>
      </c>
      <c r="O12" s="204"/>
      <c r="P12" s="204">
        <v>-25000</v>
      </c>
      <c r="Q12" s="204">
        <v>0</v>
      </c>
      <c r="R12" s="204"/>
      <c r="S12" s="204"/>
      <c r="T12" s="204"/>
      <c r="U12" s="204"/>
      <c r="V12" s="204"/>
      <c r="W12" s="204">
        <v>21206662.51</v>
      </c>
      <c r="X12" s="204"/>
      <c r="Y12" s="204"/>
      <c r="Z12" s="204"/>
      <c r="AA12" s="204"/>
      <c r="AB12" s="204"/>
      <c r="AC12" s="204">
        <v>648521789.36</v>
      </c>
      <c r="AD12" s="204"/>
      <c r="AE12" s="204">
        <v>718592.4</v>
      </c>
      <c r="AF12" s="204"/>
      <c r="AG12" s="204"/>
      <c r="AH12" s="204"/>
      <c r="AI12" s="204"/>
      <c r="AJ12" s="204"/>
      <c r="AK12" s="204"/>
      <c r="AL12" s="204"/>
      <c r="AM12" s="204">
        <v>666517769.18</v>
      </c>
      <c r="AN12" s="204">
        <v>666517769.32</v>
      </c>
      <c r="AO12" s="205"/>
      <c r="AP12" s="205"/>
    </row>
    <row r="13" s="196" customFormat="1" hidden="1" customHeight="1" spans="1:42">
      <c r="A13" s="202" t="s">
        <v>125</v>
      </c>
      <c r="B13" s="203">
        <v>159880102.35</v>
      </c>
      <c r="C13" s="204"/>
      <c r="D13" s="204"/>
      <c r="E13" s="204"/>
      <c r="F13" s="204"/>
      <c r="G13" s="204"/>
      <c r="H13" s="204"/>
      <c r="I13" s="204"/>
      <c r="J13" s="204"/>
      <c r="K13" s="204"/>
      <c r="L13" s="204"/>
      <c r="M13" s="204">
        <v>72771174.25</v>
      </c>
      <c r="N13" s="204">
        <v>139753622.05</v>
      </c>
      <c r="O13" s="204"/>
      <c r="P13" s="204"/>
      <c r="Q13" s="204">
        <v>0</v>
      </c>
      <c r="R13" s="204">
        <v>26621722.49</v>
      </c>
      <c r="S13" s="204"/>
      <c r="T13" s="204"/>
      <c r="U13" s="204"/>
      <c r="V13" s="204"/>
      <c r="W13" s="204">
        <v>91774254.95</v>
      </c>
      <c r="X13" s="204"/>
      <c r="Y13" s="204"/>
      <c r="Z13" s="204"/>
      <c r="AA13" s="204"/>
      <c r="AB13" s="204">
        <v>213961</v>
      </c>
      <c r="AC13" s="204">
        <v>897266506.42</v>
      </c>
      <c r="AD13" s="204"/>
      <c r="AE13" s="204">
        <v>1696888.03</v>
      </c>
      <c r="AF13" s="204"/>
      <c r="AG13" s="204"/>
      <c r="AH13" s="204"/>
      <c r="AI13" s="204"/>
      <c r="AJ13" s="204"/>
      <c r="AK13" s="204"/>
      <c r="AL13" s="204"/>
      <c r="AM13" s="204">
        <v>919844961.6</v>
      </c>
      <c r="AN13" s="204">
        <v>917402338.16</v>
      </c>
      <c r="AO13" s="205"/>
      <c r="AP13" s="205"/>
    </row>
    <row r="14" s="196" customFormat="1" hidden="1" customHeight="1" spans="1:42">
      <c r="A14" s="202" t="s">
        <v>126</v>
      </c>
      <c r="B14" s="203">
        <v>16287624</v>
      </c>
      <c r="C14" s="204">
        <v>9681349</v>
      </c>
      <c r="D14" s="204"/>
      <c r="E14" s="204"/>
      <c r="F14" s="204"/>
      <c r="G14" s="204"/>
      <c r="H14" s="204"/>
      <c r="I14" s="204"/>
      <c r="J14" s="204"/>
      <c r="K14" s="204"/>
      <c r="L14" s="204"/>
      <c r="M14" s="204">
        <v>2689146</v>
      </c>
      <c r="N14" s="204">
        <v>31202633.11</v>
      </c>
      <c r="O14" s="204"/>
      <c r="P14" s="204">
        <v>0.69</v>
      </c>
      <c r="Q14" s="204">
        <v>0</v>
      </c>
      <c r="R14" s="204"/>
      <c r="S14" s="204"/>
      <c r="T14" s="204"/>
      <c r="U14" s="204"/>
      <c r="V14" s="204"/>
      <c r="W14" s="204"/>
      <c r="X14" s="204"/>
      <c r="Y14" s="204"/>
      <c r="Z14" s="204"/>
      <c r="AA14" s="204"/>
      <c r="AB14" s="204"/>
      <c r="AC14" s="204">
        <v>97786542.74</v>
      </c>
      <c r="AD14" s="204"/>
      <c r="AE14" s="204">
        <v>132192.89</v>
      </c>
      <c r="AF14" s="204"/>
      <c r="AG14" s="204"/>
      <c r="AH14" s="204"/>
      <c r="AI14" s="204"/>
      <c r="AJ14" s="204"/>
      <c r="AK14" s="204"/>
      <c r="AL14" s="204"/>
      <c r="AM14" s="204">
        <v>100810868.79</v>
      </c>
      <c r="AN14" s="204">
        <v>100810868.8</v>
      </c>
      <c r="AO14" s="205"/>
      <c r="AP14" s="205"/>
    </row>
    <row r="15" s="196" customFormat="1" hidden="1" customHeight="1" spans="1:42">
      <c r="A15" s="202" t="s">
        <v>127</v>
      </c>
      <c r="B15" s="203"/>
      <c r="C15" s="204"/>
      <c r="D15" s="204"/>
      <c r="E15" s="204"/>
      <c r="F15" s="204"/>
      <c r="G15" s="204"/>
      <c r="H15" s="204"/>
      <c r="I15" s="204"/>
      <c r="J15" s="204"/>
      <c r="K15" s="204"/>
      <c r="L15" s="204"/>
      <c r="M15" s="204"/>
      <c r="N15" s="204"/>
      <c r="O15" s="204"/>
      <c r="P15" s="204"/>
      <c r="Q15" s="204">
        <v>0</v>
      </c>
      <c r="R15" s="204"/>
      <c r="S15" s="204"/>
      <c r="T15" s="204"/>
      <c r="U15" s="204"/>
      <c r="V15" s="204"/>
      <c r="W15" s="204"/>
      <c r="X15" s="204"/>
      <c r="Y15" s="204"/>
      <c r="Z15" s="204"/>
      <c r="AA15" s="204"/>
      <c r="AB15" s="204"/>
      <c r="AC15" s="204"/>
      <c r="AD15" s="204"/>
      <c r="AE15" s="204">
        <v>3720.13</v>
      </c>
      <c r="AF15" s="204"/>
      <c r="AG15" s="204"/>
      <c r="AH15" s="204"/>
      <c r="AI15" s="204"/>
      <c r="AJ15" s="204"/>
      <c r="AK15" s="204"/>
      <c r="AL15" s="204"/>
      <c r="AM15" s="204"/>
      <c r="AN15" s="204"/>
      <c r="AO15" s="205"/>
      <c r="AP15" s="205"/>
    </row>
    <row r="16" s="196" customFormat="1" hidden="1" customHeight="1" spans="1:42">
      <c r="A16" s="202" t="s">
        <v>128</v>
      </c>
      <c r="B16" s="203">
        <v>16829786.22</v>
      </c>
      <c r="C16" s="204"/>
      <c r="D16" s="204"/>
      <c r="E16" s="204"/>
      <c r="F16" s="204"/>
      <c r="G16" s="204"/>
      <c r="H16" s="204"/>
      <c r="I16" s="204"/>
      <c r="J16" s="204"/>
      <c r="K16" s="204"/>
      <c r="L16" s="204"/>
      <c r="M16" s="204"/>
      <c r="N16" s="204">
        <v>6010934</v>
      </c>
      <c r="O16" s="204"/>
      <c r="P16" s="204">
        <v>55523276.48</v>
      </c>
      <c r="Q16" s="204">
        <v>-4476723.52</v>
      </c>
      <c r="R16" s="204">
        <v>9917541.74</v>
      </c>
      <c r="S16" s="204"/>
      <c r="T16" s="204"/>
      <c r="U16" s="204"/>
      <c r="V16" s="204"/>
      <c r="W16" s="204"/>
      <c r="X16" s="204"/>
      <c r="Y16" s="204"/>
      <c r="Z16" s="204"/>
      <c r="AA16" s="204"/>
      <c r="AB16" s="204"/>
      <c r="AC16" s="204">
        <v>161560443.12</v>
      </c>
      <c r="AD16" s="204"/>
      <c r="AE16" s="204"/>
      <c r="AF16" s="204"/>
      <c r="AG16" s="204"/>
      <c r="AH16" s="204"/>
      <c r="AI16" s="204"/>
      <c r="AJ16" s="204"/>
      <c r="AK16" s="204"/>
      <c r="AL16" s="204"/>
      <c r="AM16" s="204">
        <v>172789878.9</v>
      </c>
      <c r="AN16" s="204">
        <v>172789878.9</v>
      </c>
      <c r="AO16" s="205"/>
      <c r="AP16" s="205"/>
    </row>
    <row r="17" s="196" customFormat="1" hidden="1" customHeight="1" spans="1:42">
      <c r="A17" s="202" t="s">
        <v>129</v>
      </c>
      <c r="B17" s="203">
        <v>72516055.95</v>
      </c>
      <c r="C17" s="204">
        <v>0</v>
      </c>
      <c r="D17" s="204"/>
      <c r="E17" s="204"/>
      <c r="F17" s="204"/>
      <c r="G17" s="204"/>
      <c r="H17" s="204"/>
      <c r="I17" s="204"/>
      <c r="J17" s="204"/>
      <c r="K17" s="204"/>
      <c r="L17" s="204"/>
      <c r="M17" s="204">
        <v>6761405.24</v>
      </c>
      <c r="N17" s="204">
        <v>68925267.73</v>
      </c>
      <c r="O17" s="204"/>
      <c r="P17" s="204"/>
      <c r="Q17" s="204">
        <v>0</v>
      </c>
      <c r="R17" s="204">
        <v>6545845.44</v>
      </c>
      <c r="S17" s="204"/>
      <c r="T17" s="204"/>
      <c r="U17" s="204"/>
      <c r="V17" s="204"/>
      <c r="W17" s="204">
        <v>5224809.79</v>
      </c>
      <c r="X17" s="204"/>
      <c r="Y17" s="204"/>
      <c r="Z17" s="204"/>
      <c r="AA17" s="204"/>
      <c r="AB17" s="204">
        <v>431625.33</v>
      </c>
      <c r="AC17" s="204">
        <v>194364554.44</v>
      </c>
      <c r="AD17" s="204"/>
      <c r="AE17" s="204">
        <v>512269.54</v>
      </c>
      <c r="AF17" s="204"/>
      <c r="AG17" s="204"/>
      <c r="AH17" s="204"/>
      <c r="AI17" s="204"/>
      <c r="AJ17" s="204"/>
      <c r="AK17" s="204"/>
      <c r="AL17" s="204"/>
      <c r="AM17" s="204">
        <v>204608897.36</v>
      </c>
      <c r="AN17" s="204">
        <v>206770802.6</v>
      </c>
      <c r="AO17" s="205"/>
      <c r="AP17" s="205"/>
    </row>
    <row r="18" s="196" customFormat="1" hidden="1" customHeight="1" spans="1:42">
      <c r="A18" s="202" t="s">
        <v>130</v>
      </c>
      <c r="B18" s="203">
        <v>13549888.44</v>
      </c>
      <c r="C18" s="204">
        <v>3086596</v>
      </c>
      <c r="D18" s="204"/>
      <c r="E18" s="204"/>
      <c r="F18" s="204"/>
      <c r="G18" s="204"/>
      <c r="H18" s="204"/>
      <c r="I18" s="204"/>
      <c r="J18" s="204"/>
      <c r="K18" s="204"/>
      <c r="L18" s="204"/>
      <c r="M18" s="204">
        <v>5511504.33</v>
      </c>
      <c r="N18" s="204">
        <v>14293336.67</v>
      </c>
      <c r="O18" s="204"/>
      <c r="P18" s="204">
        <v>1730189.8</v>
      </c>
      <c r="Q18" s="204">
        <v>0</v>
      </c>
      <c r="R18" s="204">
        <v>2806051.32</v>
      </c>
      <c r="S18" s="204"/>
      <c r="T18" s="204"/>
      <c r="U18" s="204"/>
      <c r="V18" s="204"/>
      <c r="W18" s="204">
        <v>2727481.8</v>
      </c>
      <c r="X18" s="204"/>
      <c r="Y18" s="204"/>
      <c r="Z18" s="204"/>
      <c r="AA18" s="204"/>
      <c r="AB18" s="204"/>
      <c r="AC18" s="204">
        <v>162704627.53</v>
      </c>
      <c r="AD18" s="204"/>
      <c r="AE18" s="204">
        <v>2551.09</v>
      </c>
      <c r="AF18" s="204"/>
      <c r="AG18" s="204"/>
      <c r="AH18" s="204"/>
      <c r="AI18" s="204"/>
      <c r="AJ18" s="204"/>
      <c r="AK18" s="204"/>
      <c r="AL18" s="204"/>
      <c r="AM18" s="204">
        <v>167953163.91</v>
      </c>
      <c r="AN18" s="204">
        <v>168547533.02</v>
      </c>
      <c r="AO18" s="205"/>
      <c r="AP18" s="205"/>
    </row>
    <row r="19" s="196" customFormat="1" hidden="1" customHeight="1" spans="1:42">
      <c r="A19" s="202" t="s">
        <v>131</v>
      </c>
      <c r="B19" s="203">
        <v>7506154.8</v>
      </c>
      <c r="C19" s="204"/>
      <c r="D19" s="204"/>
      <c r="E19" s="204"/>
      <c r="F19" s="204"/>
      <c r="G19" s="204"/>
      <c r="H19" s="204"/>
      <c r="I19" s="204"/>
      <c r="J19" s="204"/>
      <c r="K19" s="204"/>
      <c r="L19" s="204"/>
      <c r="M19" s="204"/>
      <c r="N19" s="204">
        <v>6878062.43</v>
      </c>
      <c r="O19" s="204"/>
      <c r="P19" s="204"/>
      <c r="Q19" s="204">
        <v>0</v>
      </c>
      <c r="R19" s="204">
        <v>619774.26</v>
      </c>
      <c r="S19" s="204"/>
      <c r="T19" s="204"/>
      <c r="U19" s="204"/>
      <c r="V19" s="204"/>
      <c r="W19" s="204"/>
      <c r="X19" s="204"/>
      <c r="Y19" s="204"/>
      <c r="Z19" s="204">
        <v>36841.47</v>
      </c>
      <c r="AA19" s="204"/>
      <c r="AB19" s="204">
        <v>98965.77</v>
      </c>
      <c r="AC19" s="204">
        <v>21033830.08</v>
      </c>
      <c r="AD19" s="204"/>
      <c r="AE19" s="204">
        <v>79970.76</v>
      </c>
      <c r="AF19" s="204"/>
      <c r="AG19" s="204"/>
      <c r="AH19" s="204"/>
      <c r="AI19" s="204"/>
      <c r="AJ19" s="204"/>
      <c r="AK19" s="204"/>
      <c r="AL19" s="204"/>
      <c r="AM19" s="204">
        <v>22862858.79</v>
      </c>
      <c r="AN19" s="204">
        <v>22890381.71</v>
      </c>
      <c r="AO19" s="205"/>
      <c r="AP19" s="205"/>
    </row>
    <row r="20" s="196" customFormat="1" hidden="1" customHeight="1" spans="1:42">
      <c r="A20" s="202" t="s">
        <v>132</v>
      </c>
      <c r="B20" s="203"/>
      <c r="C20" s="204">
        <v>-85077</v>
      </c>
      <c r="D20" s="204"/>
      <c r="E20" s="204"/>
      <c r="F20" s="204"/>
      <c r="G20" s="204"/>
      <c r="H20" s="204"/>
      <c r="I20" s="204"/>
      <c r="J20" s="204"/>
      <c r="K20" s="204"/>
      <c r="L20" s="204"/>
      <c r="M20" s="204"/>
      <c r="N20" s="204">
        <v>4880868</v>
      </c>
      <c r="O20" s="204"/>
      <c r="P20" s="204"/>
      <c r="Q20" s="204">
        <v>0</v>
      </c>
      <c r="R20" s="204">
        <v>188200.15</v>
      </c>
      <c r="S20" s="204"/>
      <c r="T20" s="204"/>
      <c r="U20" s="204"/>
      <c r="V20" s="204"/>
      <c r="W20" s="204"/>
      <c r="X20" s="204"/>
      <c r="Y20" s="204"/>
      <c r="Z20" s="204">
        <v>48143.39</v>
      </c>
      <c r="AA20" s="204">
        <v>76639159.75</v>
      </c>
      <c r="AB20" s="204">
        <v>133104.12</v>
      </c>
      <c r="AC20" s="204">
        <v>427064.22</v>
      </c>
      <c r="AD20" s="204"/>
      <c r="AE20" s="204">
        <v>1789703.6</v>
      </c>
      <c r="AF20" s="204"/>
      <c r="AG20" s="204"/>
      <c r="AH20" s="204"/>
      <c r="AI20" s="204"/>
      <c r="AJ20" s="204"/>
      <c r="AK20" s="204"/>
      <c r="AL20" s="204"/>
      <c r="AM20" s="204"/>
      <c r="AN20" s="204"/>
      <c r="AO20" s="205"/>
      <c r="AP20" s="205"/>
    </row>
    <row r="21" s="196" customFormat="1" hidden="1" customHeight="1" spans="1:42">
      <c r="A21" s="202" t="s">
        <v>133</v>
      </c>
      <c r="B21" s="203">
        <v>77093170</v>
      </c>
      <c r="C21" s="204"/>
      <c r="D21" s="204"/>
      <c r="E21" s="204"/>
      <c r="F21" s="204"/>
      <c r="G21" s="204"/>
      <c r="H21" s="204"/>
      <c r="I21" s="204"/>
      <c r="J21" s="204"/>
      <c r="K21" s="204"/>
      <c r="L21" s="204"/>
      <c r="M21" s="204"/>
      <c r="N21" s="204">
        <v>76962831.77</v>
      </c>
      <c r="O21" s="204"/>
      <c r="P21" s="204"/>
      <c r="Q21" s="204">
        <v>0</v>
      </c>
      <c r="R21" s="204">
        <v>6472471.89</v>
      </c>
      <c r="S21" s="204"/>
      <c r="T21" s="204"/>
      <c r="U21" s="204"/>
      <c r="V21" s="204"/>
      <c r="W21" s="204"/>
      <c r="X21" s="204"/>
      <c r="Y21" s="204"/>
      <c r="Z21" s="204"/>
      <c r="AA21" s="204"/>
      <c r="AB21" s="204"/>
      <c r="AC21" s="204">
        <v>249512340.15</v>
      </c>
      <c r="AD21" s="204"/>
      <c r="AE21" s="204">
        <v>101742.2</v>
      </c>
      <c r="AF21" s="204"/>
      <c r="AG21" s="204"/>
      <c r="AH21" s="204"/>
      <c r="AI21" s="204"/>
      <c r="AJ21" s="204"/>
      <c r="AK21" s="204"/>
      <c r="AL21" s="204"/>
      <c r="AM21" s="204">
        <v>256307725.39</v>
      </c>
      <c r="AN21" s="204">
        <v>251271237.61</v>
      </c>
      <c r="AO21" s="205"/>
      <c r="AP21" s="205"/>
    </row>
    <row r="22" s="196" customFormat="1" hidden="1" customHeight="1" spans="1:42">
      <c r="A22" s="202" t="s">
        <v>134</v>
      </c>
      <c r="B22" s="203"/>
      <c r="C22" s="204"/>
      <c r="D22" s="204"/>
      <c r="E22" s="204"/>
      <c r="F22" s="204"/>
      <c r="G22" s="204"/>
      <c r="H22" s="204"/>
      <c r="I22" s="204"/>
      <c r="J22" s="204"/>
      <c r="K22" s="204"/>
      <c r="L22" s="204"/>
      <c r="M22" s="204"/>
      <c r="N22" s="204"/>
      <c r="O22" s="204"/>
      <c r="P22" s="204">
        <v>173000</v>
      </c>
      <c r="Q22" s="204">
        <v>0</v>
      </c>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5"/>
      <c r="AP22" s="205"/>
    </row>
    <row r="23" s="196" customFormat="1" hidden="1" customHeight="1" spans="1:42">
      <c r="A23" s="202" t="s">
        <v>135</v>
      </c>
      <c r="B23" s="203">
        <v>14921.55</v>
      </c>
      <c r="C23" s="204"/>
      <c r="D23" s="204"/>
      <c r="E23" s="204"/>
      <c r="F23" s="204"/>
      <c r="G23" s="204"/>
      <c r="H23" s="204"/>
      <c r="I23" s="204"/>
      <c r="J23" s="204"/>
      <c r="K23" s="204"/>
      <c r="L23" s="204"/>
      <c r="M23" s="204">
        <v>301963.2</v>
      </c>
      <c r="N23" s="204">
        <v>2292256.91</v>
      </c>
      <c r="O23" s="204"/>
      <c r="P23" s="204">
        <v>12984545.61</v>
      </c>
      <c r="Q23" s="204">
        <v>-1168609.1</v>
      </c>
      <c r="R23" s="204">
        <v>39854.28</v>
      </c>
      <c r="S23" s="204"/>
      <c r="T23" s="204"/>
      <c r="U23" s="204"/>
      <c r="V23" s="204"/>
      <c r="W23" s="204"/>
      <c r="X23" s="204"/>
      <c r="Y23" s="204"/>
      <c r="Z23" s="204"/>
      <c r="AA23" s="204"/>
      <c r="AB23" s="204"/>
      <c r="AC23" s="204">
        <v>15603192.66</v>
      </c>
      <c r="AD23" s="204"/>
      <c r="AE23" s="204">
        <v>64081.73</v>
      </c>
      <c r="AF23" s="204"/>
      <c r="AG23" s="204"/>
      <c r="AH23" s="204"/>
      <c r="AI23" s="204"/>
      <c r="AJ23" s="204"/>
      <c r="AK23" s="204"/>
      <c r="AL23" s="204"/>
      <c r="AM23" s="204">
        <v>16959992.02</v>
      </c>
      <c r="AN23" s="204">
        <v>9993497.12</v>
      </c>
      <c r="AO23" s="205"/>
      <c r="AP23" s="205"/>
    </row>
    <row r="24" s="196" customFormat="1" hidden="1" customHeight="1" spans="1:42">
      <c r="A24" s="202" t="s">
        <v>136</v>
      </c>
      <c r="B24" s="203">
        <v>10018100.6</v>
      </c>
      <c r="C24" s="204">
        <v>5830345.8</v>
      </c>
      <c r="D24" s="204"/>
      <c r="E24" s="204"/>
      <c r="F24" s="204"/>
      <c r="G24" s="204"/>
      <c r="H24" s="204"/>
      <c r="I24" s="204"/>
      <c r="J24" s="204"/>
      <c r="K24" s="204"/>
      <c r="L24" s="204"/>
      <c r="M24" s="204">
        <v>5388191.4</v>
      </c>
      <c r="N24" s="204">
        <v>38933197.53</v>
      </c>
      <c r="O24" s="204"/>
      <c r="P24" s="204">
        <v>6202495.6</v>
      </c>
      <c r="Q24" s="204">
        <v>0</v>
      </c>
      <c r="R24" s="204">
        <v>2965811.78</v>
      </c>
      <c r="S24" s="204"/>
      <c r="T24" s="204"/>
      <c r="U24" s="204"/>
      <c r="V24" s="204"/>
      <c r="W24" s="204">
        <v>5286576.67</v>
      </c>
      <c r="X24" s="204"/>
      <c r="Y24" s="204"/>
      <c r="Z24" s="204"/>
      <c r="AA24" s="204"/>
      <c r="AB24" s="204">
        <v>72028.46</v>
      </c>
      <c r="AC24" s="204">
        <v>161669011.57</v>
      </c>
      <c r="AD24" s="204"/>
      <c r="AE24" s="204">
        <v>260883.77</v>
      </c>
      <c r="AF24" s="204"/>
      <c r="AG24" s="204"/>
      <c r="AH24" s="204"/>
      <c r="AI24" s="204"/>
      <c r="AJ24" s="204"/>
      <c r="AK24" s="204"/>
      <c r="AL24" s="204"/>
      <c r="AM24" s="204">
        <v>167019593.89</v>
      </c>
      <c r="AN24" s="204">
        <v>164767321.1</v>
      </c>
      <c r="AO24" s="205"/>
      <c r="AP24" s="205"/>
    </row>
    <row r="25" s="196" customFormat="1" hidden="1" customHeight="1" spans="1:42">
      <c r="A25" s="202" t="s">
        <v>137</v>
      </c>
      <c r="B25" s="203">
        <v>92191183.41</v>
      </c>
      <c r="C25" s="204"/>
      <c r="D25" s="204"/>
      <c r="E25" s="204"/>
      <c r="F25" s="204"/>
      <c r="G25" s="204"/>
      <c r="H25" s="204"/>
      <c r="I25" s="204"/>
      <c r="J25" s="204"/>
      <c r="K25" s="204"/>
      <c r="L25" s="204"/>
      <c r="M25" s="204">
        <v>6827228.34</v>
      </c>
      <c r="N25" s="204">
        <v>91247708.94</v>
      </c>
      <c r="O25" s="204"/>
      <c r="P25" s="204">
        <v>2307470.2</v>
      </c>
      <c r="Q25" s="204">
        <v>0</v>
      </c>
      <c r="R25" s="204">
        <v>8340969.78</v>
      </c>
      <c r="S25" s="204"/>
      <c r="T25" s="204"/>
      <c r="U25" s="204"/>
      <c r="V25" s="204"/>
      <c r="W25" s="204">
        <v>6613877.45</v>
      </c>
      <c r="X25" s="204"/>
      <c r="Y25" s="204"/>
      <c r="Z25" s="204"/>
      <c r="AA25" s="204"/>
      <c r="AB25" s="204"/>
      <c r="AC25" s="204">
        <v>202259249.26</v>
      </c>
      <c r="AD25" s="204"/>
      <c r="AE25" s="204">
        <v>33663.37</v>
      </c>
      <c r="AF25" s="204"/>
      <c r="AG25" s="204"/>
      <c r="AH25" s="204"/>
      <c r="AI25" s="204"/>
      <c r="AJ25" s="204"/>
      <c r="AK25" s="204"/>
      <c r="AL25" s="204"/>
      <c r="AM25" s="204">
        <v>208514689.94</v>
      </c>
      <c r="AN25" s="204">
        <v>208783741.17</v>
      </c>
      <c r="AO25" s="205"/>
      <c r="AP25" s="205"/>
    </row>
    <row r="26" s="196" customFormat="1" hidden="1" customHeight="1" spans="1:42">
      <c r="A26" s="202" t="s">
        <v>138</v>
      </c>
      <c r="B26" s="203">
        <v>0</v>
      </c>
      <c r="C26" s="204"/>
      <c r="D26" s="204"/>
      <c r="E26" s="204"/>
      <c r="F26" s="204"/>
      <c r="G26" s="204"/>
      <c r="H26" s="204"/>
      <c r="I26" s="204"/>
      <c r="J26" s="204"/>
      <c r="K26" s="204"/>
      <c r="L26" s="204"/>
      <c r="M26" s="204"/>
      <c r="N26" s="204">
        <v>1906920.13</v>
      </c>
      <c r="O26" s="204"/>
      <c r="P26" s="204"/>
      <c r="Q26" s="204">
        <v>0</v>
      </c>
      <c r="R26" s="204">
        <v>0</v>
      </c>
      <c r="S26" s="204"/>
      <c r="T26" s="204"/>
      <c r="U26" s="204"/>
      <c r="V26" s="204"/>
      <c r="W26" s="204"/>
      <c r="X26" s="204"/>
      <c r="Y26" s="204"/>
      <c r="Z26" s="204"/>
      <c r="AA26" s="204"/>
      <c r="AB26" s="204"/>
      <c r="AC26" s="204">
        <v>1749468.01</v>
      </c>
      <c r="AD26" s="204"/>
      <c r="AE26" s="204"/>
      <c r="AF26" s="204"/>
      <c r="AG26" s="204"/>
      <c r="AH26" s="204"/>
      <c r="AI26" s="204"/>
      <c r="AJ26" s="204"/>
      <c r="AK26" s="204"/>
      <c r="AL26" s="204"/>
      <c r="AM26" s="204">
        <v>7889709.15</v>
      </c>
      <c r="AN26" s="204">
        <v>7413873.3</v>
      </c>
      <c r="AO26" s="205"/>
      <c r="AP26" s="205"/>
    </row>
    <row r="27" s="196" customFormat="1" hidden="1" customHeight="1" spans="1:42">
      <c r="A27" s="202" t="s">
        <v>139</v>
      </c>
      <c r="B27" s="203">
        <v>1500050</v>
      </c>
      <c r="C27" s="204"/>
      <c r="D27" s="204"/>
      <c r="E27" s="204"/>
      <c r="F27" s="204"/>
      <c r="G27" s="204"/>
      <c r="H27" s="204"/>
      <c r="I27" s="204"/>
      <c r="J27" s="204"/>
      <c r="K27" s="204"/>
      <c r="L27" s="204"/>
      <c r="M27" s="204"/>
      <c r="N27" s="204"/>
      <c r="O27" s="204"/>
      <c r="P27" s="204"/>
      <c r="Q27" s="204">
        <v>0</v>
      </c>
      <c r="R27" s="204">
        <v>0</v>
      </c>
      <c r="S27" s="204"/>
      <c r="T27" s="204"/>
      <c r="U27" s="204"/>
      <c r="V27" s="204"/>
      <c r="W27" s="204"/>
      <c r="X27" s="204"/>
      <c r="Y27" s="204"/>
      <c r="Z27" s="204"/>
      <c r="AA27" s="204"/>
      <c r="AB27" s="204">
        <v>749724.96</v>
      </c>
      <c r="AC27" s="204"/>
      <c r="AD27" s="204"/>
      <c r="AE27" s="204">
        <v>1447976.23</v>
      </c>
      <c r="AF27" s="204"/>
      <c r="AG27" s="204"/>
      <c r="AH27" s="204"/>
      <c r="AI27" s="204"/>
      <c r="AJ27" s="204"/>
      <c r="AK27" s="204"/>
      <c r="AL27" s="204">
        <v>1607594.72</v>
      </c>
      <c r="AM27" s="204"/>
      <c r="AN27" s="204"/>
      <c r="AO27" s="205"/>
      <c r="AP27" s="205"/>
    </row>
    <row r="28" s="196" customFormat="1" hidden="1" customHeight="1" spans="1:42">
      <c r="A28" s="202" t="s">
        <v>140</v>
      </c>
      <c r="B28" s="203"/>
      <c r="C28" s="204"/>
      <c r="D28" s="204"/>
      <c r="E28" s="204"/>
      <c r="F28" s="204"/>
      <c r="G28" s="204"/>
      <c r="H28" s="204"/>
      <c r="I28" s="204"/>
      <c r="J28" s="204"/>
      <c r="K28" s="204"/>
      <c r="L28" s="204"/>
      <c r="M28" s="204">
        <v>829800</v>
      </c>
      <c r="N28" s="204">
        <v>710350.17</v>
      </c>
      <c r="O28" s="204"/>
      <c r="P28" s="204"/>
      <c r="Q28" s="204">
        <v>0</v>
      </c>
      <c r="R28" s="204"/>
      <c r="S28" s="204"/>
      <c r="T28" s="204"/>
      <c r="U28" s="204"/>
      <c r="V28" s="204"/>
      <c r="W28" s="204"/>
      <c r="X28" s="204"/>
      <c r="Y28" s="204"/>
      <c r="Z28" s="204"/>
      <c r="AA28" s="204">
        <v>7676281.22</v>
      </c>
      <c r="AB28" s="204"/>
      <c r="AC28" s="204">
        <v>12990825.69</v>
      </c>
      <c r="AD28" s="204"/>
      <c r="AE28" s="204">
        <v>51663.07</v>
      </c>
      <c r="AF28" s="204"/>
      <c r="AG28" s="204"/>
      <c r="AH28" s="204"/>
      <c r="AI28" s="204"/>
      <c r="AJ28" s="204"/>
      <c r="AK28" s="204"/>
      <c r="AL28" s="204"/>
      <c r="AM28" s="204">
        <v>12990825.69</v>
      </c>
      <c r="AN28" s="204">
        <v>12990825.69</v>
      </c>
      <c r="AO28" s="205"/>
      <c r="AP28" s="205"/>
    </row>
    <row r="29" s="196" customFormat="1" hidden="1" customHeight="1" spans="1:42">
      <c r="A29" s="202" t="s">
        <v>141</v>
      </c>
      <c r="B29" s="203">
        <v>21292703.69</v>
      </c>
      <c r="C29" s="204">
        <v>4647254.52</v>
      </c>
      <c r="D29" s="204"/>
      <c r="E29" s="204"/>
      <c r="F29" s="204"/>
      <c r="G29" s="204"/>
      <c r="H29" s="204"/>
      <c r="I29" s="204"/>
      <c r="J29" s="204"/>
      <c r="K29" s="204"/>
      <c r="L29" s="204"/>
      <c r="M29" s="204">
        <v>3722241.83</v>
      </c>
      <c r="N29" s="204">
        <v>24508887.81</v>
      </c>
      <c r="O29" s="204"/>
      <c r="P29" s="204">
        <v>4943887.8</v>
      </c>
      <c r="Q29" s="204">
        <v>0</v>
      </c>
      <c r="R29" s="204">
        <v>2048940.5</v>
      </c>
      <c r="S29" s="204"/>
      <c r="T29" s="204"/>
      <c r="U29" s="204"/>
      <c r="V29" s="204"/>
      <c r="W29" s="204">
        <v>3498907.33</v>
      </c>
      <c r="X29" s="204"/>
      <c r="Y29" s="204"/>
      <c r="Z29" s="204"/>
      <c r="AA29" s="204"/>
      <c r="AB29" s="204">
        <v>187340.48</v>
      </c>
      <c r="AC29" s="204">
        <v>107000223.85</v>
      </c>
      <c r="AD29" s="204"/>
      <c r="AE29" s="204">
        <v>359462.23</v>
      </c>
      <c r="AF29" s="204"/>
      <c r="AG29" s="204"/>
      <c r="AH29" s="204"/>
      <c r="AI29" s="204"/>
      <c r="AJ29" s="204"/>
      <c r="AK29" s="204"/>
      <c r="AL29" s="204"/>
      <c r="AM29" s="204">
        <v>110355970.19</v>
      </c>
      <c r="AN29" s="204">
        <v>113830025.31</v>
      </c>
      <c r="AO29" s="205"/>
      <c r="AP29" s="205"/>
    </row>
    <row r="30" s="196" customFormat="1" hidden="1" customHeight="1" spans="1:42">
      <c r="A30" s="202" t="s">
        <v>142</v>
      </c>
      <c r="B30" s="203">
        <v>14453830</v>
      </c>
      <c r="C30" s="204"/>
      <c r="D30" s="204"/>
      <c r="E30" s="204"/>
      <c r="F30" s="204"/>
      <c r="G30" s="204"/>
      <c r="H30" s="204"/>
      <c r="I30" s="204"/>
      <c r="J30" s="204"/>
      <c r="K30" s="204"/>
      <c r="L30" s="204"/>
      <c r="M30" s="204"/>
      <c r="N30" s="204">
        <v>13174416.85</v>
      </c>
      <c r="O30" s="204"/>
      <c r="P30" s="204"/>
      <c r="Q30" s="204">
        <v>0</v>
      </c>
      <c r="R30" s="204">
        <v>1193435.51</v>
      </c>
      <c r="S30" s="204"/>
      <c r="T30" s="204"/>
      <c r="U30" s="204"/>
      <c r="V30" s="204"/>
      <c r="W30" s="204"/>
      <c r="X30" s="204"/>
      <c r="Y30" s="204"/>
      <c r="Z30" s="204"/>
      <c r="AA30" s="204"/>
      <c r="AB30" s="204"/>
      <c r="AC30" s="204">
        <v>62913776.92</v>
      </c>
      <c r="AD30" s="204"/>
      <c r="AE30" s="204">
        <v>15948.11</v>
      </c>
      <c r="AF30" s="204"/>
      <c r="AG30" s="204"/>
      <c r="AH30" s="204"/>
      <c r="AI30" s="204"/>
      <c r="AJ30" s="204"/>
      <c r="AK30" s="204"/>
      <c r="AL30" s="204"/>
      <c r="AM30" s="204">
        <v>65535184.29</v>
      </c>
      <c r="AN30" s="204">
        <v>66205348.62</v>
      </c>
      <c r="AO30" s="205"/>
      <c r="AP30" s="205"/>
    </row>
    <row r="31" s="196" customFormat="1" hidden="1" customHeight="1" spans="1:42">
      <c r="A31" s="202" t="s">
        <v>143</v>
      </c>
      <c r="B31" s="203"/>
      <c r="C31" s="204"/>
      <c r="D31" s="204"/>
      <c r="E31" s="204"/>
      <c r="F31" s="204"/>
      <c r="G31" s="204"/>
      <c r="H31" s="204"/>
      <c r="I31" s="204"/>
      <c r="J31" s="204"/>
      <c r="K31" s="204"/>
      <c r="L31" s="204"/>
      <c r="M31" s="204"/>
      <c r="N31" s="204"/>
      <c r="O31" s="204"/>
      <c r="P31" s="204"/>
      <c r="Q31" s="204">
        <v>0</v>
      </c>
      <c r="R31" s="204"/>
      <c r="S31" s="204"/>
      <c r="T31" s="204"/>
      <c r="U31" s="204"/>
      <c r="V31" s="204"/>
      <c r="W31" s="204"/>
      <c r="X31" s="204"/>
      <c r="Y31" s="204"/>
      <c r="Z31" s="204"/>
      <c r="AA31" s="204"/>
      <c r="AB31" s="204"/>
      <c r="AC31" s="204">
        <v>1019912.63</v>
      </c>
      <c r="AD31" s="204"/>
      <c r="AE31" s="204"/>
      <c r="AF31" s="204"/>
      <c r="AG31" s="204"/>
      <c r="AH31" s="204"/>
      <c r="AI31" s="204"/>
      <c r="AJ31" s="204"/>
      <c r="AK31" s="204"/>
      <c r="AL31" s="204"/>
      <c r="AM31" s="204"/>
      <c r="AN31" s="204"/>
      <c r="AO31" s="205"/>
      <c r="AP31" s="205"/>
    </row>
    <row r="32" s="196" customFormat="1" hidden="1" customHeight="1" spans="1:42">
      <c r="A32" s="202" t="s">
        <v>144</v>
      </c>
      <c r="B32" s="203"/>
      <c r="C32" s="204"/>
      <c r="D32" s="204"/>
      <c r="E32" s="204"/>
      <c r="F32" s="204"/>
      <c r="G32" s="204"/>
      <c r="H32" s="204"/>
      <c r="I32" s="204"/>
      <c r="J32" s="204"/>
      <c r="K32" s="204"/>
      <c r="L32" s="204"/>
      <c r="M32" s="204"/>
      <c r="N32" s="204"/>
      <c r="O32" s="204"/>
      <c r="P32" s="204"/>
      <c r="Q32" s="204">
        <v>0</v>
      </c>
      <c r="R32" s="204"/>
      <c r="S32" s="204"/>
      <c r="T32" s="204"/>
      <c r="U32" s="204"/>
      <c r="V32" s="204"/>
      <c r="W32" s="204"/>
      <c r="X32" s="204"/>
      <c r="Y32" s="204"/>
      <c r="Z32" s="204"/>
      <c r="AA32" s="204">
        <v>2247656.77</v>
      </c>
      <c r="AB32" s="204"/>
      <c r="AC32" s="204">
        <v>4874066.71</v>
      </c>
      <c r="AD32" s="204"/>
      <c r="AE32" s="204"/>
      <c r="AF32" s="204"/>
      <c r="AG32" s="204"/>
      <c r="AH32" s="204"/>
      <c r="AI32" s="204"/>
      <c r="AJ32" s="204"/>
      <c r="AK32" s="204"/>
      <c r="AL32" s="204">
        <v>2661941.55</v>
      </c>
      <c r="AM32" s="204"/>
      <c r="AN32" s="204"/>
      <c r="AO32" s="205"/>
      <c r="AP32" s="205"/>
    </row>
    <row r="33" s="196" customFormat="1" hidden="1" customHeight="1" spans="1:42">
      <c r="A33" s="202" t="s">
        <v>145</v>
      </c>
      <c r="B33" s="203">
        <v>141125368.3</v>
      </c>
      <c r="C33" s="204"/>
      <c r="D33" s="204"/>
      <c r="E33" s="204"/>
      <c r="F33" s="204"/>
      <c r="G33" s="204"/>
      <c r="H33" s="204"/>
      <c r="I33" s="204"/>
      <c r="J33" s="204"/>
      <c r="K33" s="204"/>
      <c r="L33" s="204"/>
      <c r="M33" s="204">
        <v>13699259.43</v>
      </c>
      <c r="N33" s="204">
        <v>124382444.51</v>
      </c>
      <c r="O33" s="204"/>
      <c r="P33" s="204">
        <v>14000000</v>
      </c>
      <c r="Q33" s="204">
        <v>0</v>
      </c>
      <c r="R33" s="204">
        <v>11627721.68</v>
      </c>
      <c r="S33" s="204"/>
      <c r="T33" s="204"/>
      <c r="U33" s="204"/>
      <c r="V33" s="204"/>
      <c r="W33" s="204">
        <v>13397200.8</v>
      </c>
      <c r="X33" s="204"/>
      <c r="Y33" s="204"/>
      <c r="Z33" s="204"/>
      <c r="AA33" s="204"/>
      <c r="AB33" s="204"/>
      <c r="AC33" s="204">
        <v>409700330.28</v>
      </c>
      <c r="AD33" s="204">
        <v>461037.73</v>
      </c>
      <c r="AE33" s="204">
        <v>1254355.94</v>
      </c>
      <c r="AF33" s="204"/>
      <c r="AG33" s="204"/>
      <c r="AH33" s="204"/>
      <c r="AI33" s="204"/>
      <c r="AJ33" s="204"/>
      <c r="AK33" s="204"/>
      <c r="AL33" s="204"/>
      <c r="AM33" s="204">
        <v>418766627.76</v>
      </c>
      <c r="AN33" s="204">
        <v>418937597.32</v>
      </c>
      <c r="AO33" s="205"/>
      <c r="AP33" s="205"/>
    </row>
    <row r="34" s="196" customFormat="1" hidden="1" customHeight="1" spans="1:42">
      <c r="A34" s="202" t="s">
        <v>146</v>
      </c>
      <c r="B34" s="203">
        <v>92386595.46</v>
      </c>
      <c r="C34" s="204"/>
      <c r="D34" s="204"/>
      <c r="E34" s="204"/>
      <c r="F34" s="204"/>
      <c r="G34" s="204"/>
      <c r="H34" s="204"/>
      <c r="I34" s="204"/>
      <c r="J34" s="204"/>
      <c r="K34" s="204"/>
      <c r="L34" s="204">
        <v>8675790.55</v>
      </c>
      <c r="M34" s="204">
        <v>0</v>
      </c>
      <c r="N34" s="204">
        <v>89233758.38</v>
      </c>
      <c r="O34" s="204"/>
      <c r="P34" s="204"/>
      <c r="Q34" s="204">
        <v>0</v>
      </c>
      <c r="R34" s="204">
        <v>10408820.91</v>
      </c>
      <c r="S34" s="204"/>
      <c r="T34" s="204"/>
      <c r="U34" s="204"/>
      <c r="V34" s="204"/>
      <c r="W34" s="204">
        <v>8420849.99</v>
      </c>
      <c r="X34" s="204"/>
      <c r="Y34" s="204"/>
      <c r="Z34" s="204"/>
      <c r="AA34" s="204"/>
      <c r="AB34" s="204"/>
      <c r="AC34" s="204">
        <v>257518348.78</v>
      </c>
      <c r="AD34" s="204">
        <v>331226.41</v>
      </c>
      <c r="AE34" s="204">
        <v>496905.66</v>
      </c>
      <c r="AF34" s="204"/>
      <c r="AG34" s="204"/>
      <c r="AH34" s="204"/>
      <c r="AI34" s="204"/>
      <c r="AJ34" s="204"/>
      <c r="AK34" s="204"/>
      <c r="AL34" s="204"/>
      <c r="AM34" s="204">
        <v>264121383.36</v>
      </c>
      <c r="AN34" s="204">
        <v>265314695.85</v>
      </c>
      <c r="AO34" s="205"/>
      <c r="AP34" s="205"/>
    </row>
    <row r="35" s="196" customFormat="1" hidden="1" customHeight="1" spans="1:42">
      <c r="A35" s="202" t="s">
        <v>147</v>
      </c>
      <c r="B35" s="203"/>
      <c r="C35" s="204"/>
      <c r="D35" s="204"/>
      <c r="E35" s="204"/>
      <c r="F35" s="204"/>
      <c r="G35" s="204"/>
      <c r="H35" s="204"/>
      <c r="I35" s="204"/>
      <c r="J35" s="204"/>
      <c r="K35" s="204"/>
      <c r="L35" s="204"/>
      <c r="M35" s="204"/>
      <c r="N35" s="204"/>
      <c r="O35" s="204"/>
      <c r="P35" s="204"/>
      <c r="Q35" s="204">
        <v>0</v>
      </c>
      <c r="R35" s="204"/>
      <c r="S35" s="204"/>
      <c r="T35" s="204"/>
      <c r="U35" s="204"/>
      <c r="V35" s="204"/>
      <c r="W35" s="204"/>
      <c r="X35" s="204"/>
      <c r="Y35" s="204"/>
      <c r="Z35" s="204"/>
      <c r="AA35" s="204">
        <v>300540.92</v>
      </c>
      <c r="AB35" s="204"/>
      <c r="AC35" s="204">
        <v>56708369.69</v>
      </c>
      <c r="AD35" s="204"/>
      <c r="AE35" s="204">
        <v>114984.04</v>
      </c>
      <c r="AF35" s="204"/>
      <c r="AG35" s="204"/>
      <c r="AH35" s="204"/>
      <c r="AI35" s="204"/>
      <c r="AJ35" s="204"/>
      <c r="AK35" s="204"/>
      <c r="AL35" s="204"/>
      <c r="AM35" s="204">
        <v>26821502.68</v>
      </c>
      <c r="AN35" s="204">
        <v>26912467.46</v>
      </c>
      <c r="AO35" s="205"/>
      <c r="AP35" s="205"/>
    </row>
    <row r="36" s="196" customFormat="1" hidden="1" customHeight="1" spans="1:42">
      <c r="A36" s="202" t="s">
        <v>148</v>
      </c>
      <c r="B36" s="203"/>
      <c r="C36" s="204"/>
      <c r="D36" s="204"/>
      <c r="E36" s="204"/>
      <c r="F36" s="204"/>
      <c r="G36" s="204"/>
      <c r="H36" s="204"/>
      <c r="I36" s="204"/>
      <c r="J36" s="204"/>
      <c r="K36" s="204"/>
      <c r="L36" s="204"/>
      <c r="M36" s="204"/>
      <c r="N36" s="204"/>
      <c r="O36" s="204"/>
      <c r="P36" s="204">
        <v>6728807.34</v>
      </c>
      <c r="Q36" s="204">
        <v>-951192.66</v>
      </c>
      <c r="R36" s="204"/>
      <c r="S36" s="204"/>
      <c r="T36" s="204"/>
      <c r="U36" s="204"/>
      <c r="V36" s="204"/>
      <c r="W36" s="204"/>
      <c r="X36" s="204"/>
      <c r="Y36" s="204"/>
      <c r="Z36" s="204"/>
      <c r="AA36" s="204"/>
      <c r="AB36" s="204"/>
      <c r="AC36" s="204"/>
      <c r="AD36" s="204"/>
      <c r="AE36" s="204">
        <v>23466.88</v>
      </c>
      <c r="AF36" s="204"/>
      <c r="AG36" s="204"/>
      <c r="AH36" s="204"/>
      <c r="AI36" s="204"/>
      <c r="AJ36" s="204"/>
      <c r="AK36" s="204"/>
      <c r="AL36" s="204"/>
      <c r="AM36" s="204"/>
      <c r="AN36" s="204"/>
      <c r="AO36" s="205"/>
      <c r="AP36" s="205"/>
    </row>
    <row r="37" s="196" customFormat="1" hidden="1" customHeight="1" spans="1:42">
      <c r="A37" s="202" t="s">
        <v>149</v>
      </c>
      <c r="B37" s="203"/>
      <c r="C37" s="204">
        <v>25000000</v>
      </c>
      <c r="D37" s="204"/>
      <c r="E37" s="204"/>
      <c r="F37" s="204"/>
      <c r="G37" s="204"/>
      <c r="H37" s="204"/>
      <c r="I37" s="204"/>
      <c r="J37" s="204"/>
      <c r="K37" s="204"/>
      <c r="L37" s="204"/>
      <c r="M37" s="204"/>
      <c r="N37" s="204"/>
      <c r="O37" s="204"/>
      <c r="P37" s="204">
        <v>67156679.1</v>
      </c>
      <c r="Q37" s="204">
        <v>0</v>
      </c>
      <c r="R37" s="204"/>
      <c r="S37" s="204"/>
      <c r="T37" s="204"/>
      <c r="U37" s="204"/>
      <c r="V37" s="204"/>
      <c r="W37" s="204"/>
      <c r="X37" s="204"/>
      <c r="Y37" s="204"/>
      <c r="Z37" s="204"/>
      <c r="AA37" s="204"/>
      <c r="AB37" s="204"/>
      <c r="AC37" s="204"/>
      <c r="AD37" s="204"/>
      <c r="AE37" s="204">
        <v>2516817.46</v>
      </c>
      <c r="AF37" s="204"/>
      <c r="AG37" s="204"/>
      <c r="AH37" s="204"/>
      <c r="AI37" s="204"/>
      <c r="AJ37" s="204"/>
      <c r="AK37" s="204"/>
      <c r="AL37" s="204"/>
      <c r="AM37" s="204"/>
      <c r="AN37" s="204"/>
      <c r="AO37" s="205"/>
      <c r="AP37" s="205"/>
    </row>
    <row r="38" s="196" customFormat="1" hidden="1" customHeight="1" spans="1:42">
      <c r="A38" s="202" t="s">
        <v>150</v>
      </c>
      <c r="B38" s="203">
        <v>15101120.33</v>
      </c>
      <c r="C38" s="204"/>
      <c r="D38" s="204"/>
      <c r="E38" s="204"/>
      <c r="F38" s="204"/>
      <c r="G38" s="204"/>
      <c r="H38" s="204"/>
      <c r="I38" s="204"/>
      <c r="J38" s="204"/>
      <c r="K38" s="204"/>
      <c r="L38" s="204">
        <v>1107107</v>
      </c>
      <c r="M38" s="204">
        <v>0</v>
      </c>
      <c r="N38" s="204">
        <v>14194505.51</v>
      </c>
      <c r="O38" s="204"/>
      <c r="P38" s="204"/>
      <c r="Q38" s="204">
        <v>0</v>
      </c>
      <c r="R38" s="204">
        <v>956716.21</v>
      </c>
      <c r="S38" s="204"/>
      <c r="T38" s="204"/>
      <c r="U38" s="204"/>
      <c r="V38" s="204"/>
      <c r="W38" s="204">
        <v>1667660.12</v>
      </c>
      <c r="X38" s="204"/>
      <c r="Y38" s="204"/>
      <c r="Z38" s="204"/>
      <c r="AA38" s="204"/>
      <c r="AB38" s="204"/>
      <c r="AC38" s="204">
        <v>49775459</v>
      </c>
      <c r="AD38" s="204"/>
      <c r="AE38" s="204">
        <v>97288.35</v>
      </c>
      <c r="AF38" s="204"/>
      <c r="AG38" s="204"/>
      <c r="AH38" s="204"/>
      <c r="AI38" s="204"/>
      <c r="AJ38" s="204"/>
      <c r="AK38" s="204"/>
      <c r="AL38" s="204"/>
      <c r="AM38" s="204">
        <v>51580786.54</v>
      </c>
      <c r="AN38" s="204">
        <v>51580786.52</v>
      </c>
      <c r="AO38" s="205"/>
      <c r="AP38" s="205"/>
    </row>
    <row r="39" s="196" customFormat="1" hidden="1" customHeight="1" spans="1:42">
      <c r="A39" s="202" t="s">
        <v>151</v>
      </c>
      <c r="B39" s="203">
        <v>398813.95</v>
      </c>
      <c r="C39" s="204"/>
      <c r="D39" s="204"/>
      <c r="E39" s="204"/>
      <c r="F39" s="204"/>
      <c r="G39" s="204"/>
      <c r="H39" s="204"/>
      <c r="I39" s="204"/>
      <c r="J39" s="204"/>
      <c r="K39" s="204"/>
      <c r="L39" s="204"/>
      <c r="M39" s="204"/>
      <c r="N39" s="204"/>
      <c r="O39" s="204"/>
      <c r="P39" s="204"/>
      <c r="Q39" s="204">
        <v>0</v>
      </c>
      <c r="R39" s="204">
        <v>32929.59</v>
      </c>
      <c r="S39" s="204"/>
      <c r="T39" s="204"/>
      <c r="U39" s="204"/>
      <c r="V39" s="204"/>
      <c r="W39" s="204"/>
      <c r="X39" s="204"/>
      <c r="Y39" s="204"/>
      <c r="Z39" s="204"/>
      <c r="AA39" s="204">
        <v>880927.72</v>
      </c>
      <c r="AB39" s="204"/>
      <c r="AC39" s="204">
        <v>1396515.06</v>
      </c>
      <c r="AD39" s="204"/>
      <c r="AE39" s="204">
        <v>5078.57</v>
      </c>
      <c r="AF39" s="204"/>
      <c r="AG39" s="204"/>
      <c r="AH39" s="204"/>
      <c r="AI39" s="204"/>
      <c r="AJ39" s="204"/>
      <c r="AK39" s="204"/>
      <c r="AL39" s="204"/>
      <c r="AM39" s="204">
        <v>1464828.54</v>
      </c>
      <c r="AN39" s="204">
        <v>1829421.79</v>
      </c>
      <c r="AO39" s="205"/>
      <c r="AP39" s="205"/>
    </row>
    <row r="40" s="196" customFormat="1" hidden="1" customHeight="1" spans="1:42">
      <c r="A40" s="202" t="s">
        <v>152</v>
      </c>
      <c r="B40" s="203">
        <v>5618759.49</v>
      </c>
      <c r="C40" s="204"/>
      <c r="D40" s="204"/>
      <c r="E40" s="204"/>
      <c r="F40" s="204"/>
      <c r="G40" s="204"/>
      <c r="H40" s="204"/>
      <c r="I40" s="204"/>
      <c r="J40" s="204"/>
      <c r="K40" s="204"/>
      <c r="L40" s="204">
        <v>1195419.1</v>
      </c>
      <c r="M40" s="204">
        <v>0</v>
      </c>
      <c r="N40" s="204">
        <v>9496125.32</v>
      </c>
      <c r="O40" s="204"/>
      <c r="P40" s="204"/>
      <c r="Q40" s="204">
        <v>0</v>
      </c>
      <c r="R40" s="204">
        <v>176449.82</v>
      </c>
      <c r="S40" s="204"/>
      <c r="T40" s="204"/>
      <c r="U40" s="204"/>
      <c r="V40" s="204"/>
      <c r="W40" s="204">
        <v>1322316.23</v>
      </c>
      <c r="X40" s="204"/>
      <c r="Y40" s="204"/>
      <c r="Z40" s="204"/>
      <c r="AA40" s="204"/>
      <c r="AB40" s="204">
        <v>483940.05</v>
      </c>
      <c r="AC40" s="204">
        <v>40437805.28</v>
      </c>
      <c r="AD40" s="204"/>
      <c r="AE40" s="204">
        <v>69299.03</v>
      </c>
      <c r="AF40" s="204"/>
      <c r="AG40" s="204"/>
      <c r="AH40" s="204"/>
      <c r="AI40" s="204"/>
      <c r="AJ40" s="204"/>
      <c r="AK40" s="204"/>
      <c r="AL40" s="204"/>
      <c r="AM40" s="204">
        <v>43248989.26</v>
      </c>
      <c r="AN40" s="204">
        <v>36556992.95</v>
      </c>
      <c r="AO40" s="205"/>
      <c r="AP40" s="205"/>
    </row>
    <row r="41" s="196" customFormat="1" hidden="1" customHeight="1" spans="1:42">
      <c r="A41" s="202" t="s">
        <v>153</v>
      </c>
      <c r="B41" s="203">
        <v>7380233.74</v>
      </c>
      <c r="C41" s="204"/>
      <c r="D41" s="204"/>
      <c r="E41" s="204"/>
      <c r="F41" s="204"/>
      <c r="G41" s="204"/>
      <c r="H41" s="204"/>
      <c r="I41" s="204"/>
      <c r="J41" s="204"/>
      <c r="K41" s="204"/>
      <c r="L41" s="204">
        <v>573145.77</v>
      </c>
      <c r="M41" s="204">
        <v>0</v>
      </c>
      <c r="N41" s="204">
        <v>8738640.14</v>
      </c>
      <c r="O41" s="204"/>
      <c r="P41" s="204"/>
      <c r="Q41" s="204">
        <v>0</v>
      </c>
      <c r="R41" s="204">
        <v>1101630.35</v>
      </c>
      <c r="S41" s="204"/>
      <c r="T41" s="204"/>
      <c r="U41" s="204"/>
      <c r="V41" s="204"/>
      <c r="W41" s="204">
        <v>3737288.62</v>
      </c>
      <c r="X41" s="204"/>
      <c r="Y41" s="204"/>
      <c r="Z41" s="204"/>
      <c r="AA41" s="204"/>
      <c r="AB41" s="204"/>
      <c r="AC41" s="204">
        <v>114290172.07</v>
      </c>
      <c r="AD41" s="204"/>
      <c r="AE41" s="204">
        <v>41694.48</v>
      </c>
      <c r="AF41" s="204"/>
      <c r="AG41" s="204"/>
      <c r="AH41" s="204"/>
      <c r="AI41" s="204"/>
      <c r="AJ41" s="204"/>
      <c r="AK41" s="204"/>
      <c r="AL41" s="204"/>
      <c r="AM41" s="204">
        <v>122235478.15</v>
      </c>
      <c r="AN41" s="204">
        <v>122235478.14</v>
      </c>
      <c r="AO41" s="205"/>
      <c r="AP41" s="205"/>
    </row>
    <row r="42" s="196" customFormat="1" hidden="1" customHeight="1" spans="1:42">
      <c r="A42" s="202" t="s">
        <v>154</v>
      </c>
      <c r="B42" s="203"/>
      <c r="C42" s="204"/>
      <c r="D42" s="204"/>
      <c r="E42" s="204"/>
      <c r="F42" s="204"/>
      <c r="G42" s="204"/>
      <c r="H42" s="204"/>
      <c r="I42" s="204"/>
      <c r="J42" s="204"/>
      <c r="K42" s="204"/>
      <c r="L42" s="204"/>
      <c r="M42" s="204"/>
      <c r="N42" s="204"/>
      <c r="O42" s="204"/>
      <c r="P42" s="204">
        <v>5107544.59</v>
      </c>
      <c r="Q42" s="204">
        <v>-459679.01</v>
      </c>
      <c r="R42" s="204"/>
      <c r="S42" s="204"/>
      <c r="T42" s="204"/>
      <c r="U42" s="204"/>
      <c r="V42" s="204"/>
      <c r="W42" s="204"/>
      <c r="X42" s="204"/>
      <c r="Y42" s="204"/>
      <c r="Z42" s="204"/>
      <c r="AA42" s="204"/>
      <c r="AB42" s="204"/>
      <c r="AC42" s="204"/>
      <c r="AD42" s="204"/>
      <c r="AE42" s="204">
        <v>924.53</v>
      </c>
      <c r="AF42" s="204"/>
      <c r="AG42" s="204"/>
      <c r="AH42" s="204"/>
      <c r="AI42" s="204"/>
      <c r="AJ42" s="204"/>
      <c r="AK42" s="204"/>
      <c r="AL42" s="204"/>
      <c r="AM42" s="204"/>
      <c r="AN42" s="204"/>
      <c r="AO42" s="205"/>
      <c r="AP42" s="205"/>
    </row>
    <row r="43" s="196" customFormat="1" hidden="1" customHeight="1" spans="1:42">
      <c r="A43" s="202" t="s">
        <v>155</v>
      </c>
      <c r="B43" s="203"/>
      <c r="C43" s="204"/>
      <c r="D43" s="204"/>
      <c r="E43" s="204"/>
      <c r="F43" s="204"/>
      <c r="G43" s="204"/>
      <c r="H43" s="204"/>
      <c r="I43" s="204"/>
      <c r="J43" s="204"/>
      <c r="K43" s="204"/>
      <c r="L43" s="204"/>
      <c r="M43" s="204"/>
      <c r="N43" s="204"/>
      <c r="O43" s="204"/>
      <c r="P43" s="204"/>
      <c r="Q43" s="204">
        <v>0</v>
      </c>
      <c r="R43" s="204"/>
      <c r="S43" s="204"/>
      <c r="T43" s="204"/>
      <c r="U43" s="204"/>
      <c r="V43" s="204"/>
      <c r="W43" s="204"/>
      <c r="X43" s="204"/>
      <c r="Y43" s="204"/>
      <c r="Z43" s="204"/>
      <c r="AA43" s="204"/>
      <c r="AB43" s="204"/>
      <c r="AC43" s="204"/>
      <c r="AD43" s="204">
        <v>44617.92</v>
      </c>
      <c r="AE43" s="204"/>
      <c r="AF43" s="204"/>
      <c r="AG43" s="204"/>
      <c r="AH43" s="204"/>
      <c r="AI43" s="204"/>
      <c r="AJ43" s="204"/>
      <c r="AK43" s="204"/>
      <c r="AL43" s="204">
        <v>2121698.11</v>
      </c>
      <c r="AM43" s="204"/>
      <c r="AN43" s="204"/>
      <c r="AO43" s="205"/>
      <c r="AP43" s="205"/>
    </row>
    <row r="44" s="196" customFormat="1" hidden="1" customHeight="1" spans="1:42">
      <c r="A44" s="202" t="s">
        <v>156</v>
      </c>
      <c r="B44" s="203"/>
      <c r="C44" s="204"/>
      <c r="D44" s="204"/>
      <c r="E44" s="204"/>
      <c r="F44" s="204"/>
      <c r="G44" s="204"/>
      <c r="H44" s="204"/>
      <c r="I44" s="204"/>
      <c r="J44" s="204"/>
      <c r="K44" s="204"/>
      <c r="L44" s="204"/>
      <c r="M44" s="204"/>
      <c r="N44" s="204"/>
      <c r="O44" s="204"/>
      <c r="P44" s="204">
        <v>9174311.93</v>
      </c>
      <c r="Q44" s="204">
        <v>-825688.07</v>
      </c>
      <c r="R44" s="204"/>
      <c r="S44" s="204"/>
      <c r="T44" s="204"/>
      <c r="U44" s="204"/>
      <c r="V44" s="204"/>
      <c r="W44" s="204"/>
      <c r="X44" s="204"/>
      <c r="Y44" s="204"/>
      <c r="Z44" s="204"/>
      <c r="AA44" s="204"/>
      <c r="AB44" s="204">
        <v>64046.9</v>
      </c>
      <c r="AC44" s="204">
        <v>173820640.69</v>
      </c>
      <c r="AD44" s="204"/>
      <c r="AE44" s="204">
        <v>8918683.8</v>
      </c>
      <c r="AF44" s="204"/>
      <c r="AG44" s="204"/>
      <c r="AH44" s="204"/>
      <c r="AI44" s="204"/>
      <c r="AJ44" s="204"/>
      <c r="AK44" s="204"/>
      <c r="AL44" s="204"/>
      <c r="AM44" s="204">
        <v>182926661.13</v>
      </c>
      <c r="AN44" s="204">
        <v>173752349.2</v>
      </c>
      <c r="AO44" s="205"/>
      <c r="AP44" s="205"/>
    </row>
    <row r="45" s="196" customFormat="1" hidden="1" customHeight="1" spans="1:42">
      <c r="A45" s="202" t="s">
        <v>157</v>
      </c>
      <c r="B45" s="203"/>
      <c r="C45" s="204"/>
      <c r="D45" s="204"/>
      <c r="E45" s="204"/>
      <c r="F45" s="204"/>
      <c r="G45" s="204"/>
      <c r="H45" s="204"/>
      <c r="I45" s="204"/>
      <c r="J45" s="204"/>
      <c r="K45" s="204"/>
      <c r="L45" s="204"/>
      <c r="M45" s="204"/>
      <c r="N45" s="204"/>
      <c r="O45" s="204"/>
      <c r="P45" s="204"/>
      <c r="Q45" s="204">
        <v>0</v>
      </c>
      <c r="R45" s="204"/>
      <c r="S45" s="204"/>
      <c r="T45" s="204"/>
      <c r="U45" s="204"/>
      <c r="V45" s="204"/>
      <c r="W45" s="204"/>
      <c r="X45" s="204"/>
      <c r="Y45" s="204"/>
      <c r="Z45" s="204"/>
      <c r="AA45" s="204">
        <v>296220.79</v>
      </c>
      <c r="AB45" s="204"/>
      <c r="AC45" s="204">
        <v>642201.84</v>
      </c>
      <c r="AD45" s="204"/>
      <c r="AE45" s="204">
        <v>46485.83</v>
      </c>
      <c r="AF45" s="204"/>
      <c r="AG45" s="204"/>
      <c r="AH45" s="204"/>
      <c r="AI45" s="204"/>
      <c r="AJ45" s="204"/>
      <c r="AK45" s="204"/>
      <c r="AL45" s="204"/>
      <c r="AM45" s="204">
        <v>1100254.31</v>
      </c>
      <c r="AN45" s="204">
        <v>1100254.31</v>
      </c>
      <c r="AO45" s="205"/>
      <c r="AP45" s="205"/>
    </row>
    <row r="46" s="196" customFormat="1" hidden="1" customHeight="1" spans="1:42">
      <c r="A46" s="202" t="s">
        <v>158</v>
      </c>
      <c r="B46" s="203">
        <v>-316375.19</v>
      </c>
      <c r="C46" s="204">
        <v>3159486.81</v>
      </c>
      <c r="D46" s="204"/>
      <c r="E46" s="204"/>
      <c r="F46" s="204"/>
      <c r="G46" s="204"/>
      <c r="H46" s="204"/>
      <c r="I46" s="204"/>
      <c r="J46" s="204"/>
      <c r="K46" s="204"/>
      <c r="L46" s="204"/>
      <c r="M46" s="204"/>
      <c r="N46" s="204">
        <v>3536817.24</v>
      </c>
      <c r="O46" s="204">
        <v>270330.28</v>
      </c>
      <c r="P46" s="204">
        <v>2872489.03</v>
      </c>
      <c r="Q46" s="204">
        <v>-286997.78</v>
      </c>
      <c r="R46" s="204"/>
      <c r="S46" s="204"/>
      <c r="T46" s="204"/>
      <c r="U46" s="204"/>
      <c r="V46" s="204"/>
      <c r="W46" s="204"/>
      <c r="X46" s="204"/>
      <c r="Y46" s="204"/>
      <c r="Z46" s="204"/>
      <c r="AA46" s="204">
        <v>3374341.24</v>
      </c>
      <c r="AB46" s="204"/>
      <c r="AC46" s="204">
        <v>1707750.57</v>
      </c>
      <c r="AD46" s="204"/>
      <c r="AE46" s="204">
        <v>165456.02</v>
      </c>
      <c r="AF46" s="204"/>
      <c r="AG46" s="204"/>
      <c r="AH46" s="204"/>
      <c r="AI46" s="204"/>
      <c r="AJ46" s="204"/>
      <c r="AK46" s="204"/>
      <c r="AL46" s="204"/>
      <c r="AM46" s="204">
        <v>2073837.37</v>
      </c>
      <c r="AN46" s="204">
        <v>2310529.13</v>
      </c>
      <c r="AO46" s="205"/>
      <c r="AP46" s="205"/>
    </row>
    <row r="47" s="196" customFormat="1" hidden="1" customHeight="1" spans="1:42">
      <c r="A47" s="202" t="s">
        <v>159</v>
      </c>
      <c r="B47" s="203">
        <v>5602602.01</v>
      </c>
      <c r="C47" s="204"/>
      <c r="D47" s="204"/>
      <c r="E47" s="204"/>
      <c r="F47" s="204"/>
      <c r="G47" s="204"/>
      <c r="H47" s="204"/>
      <c r="I47" s="204"/>
      <c r="J47" s="204"/>
      <c r="K47" s="204"/>
      <c r="L47" s="204"/>
      <c r="M47" s="204"/>
      <c r="N47" s="204">
        <v>35456.63</v>
      </c>
      <c r="O47" s="204"/>
      <c r="P47" s="204"/>
      <c r="Q47" s="204">
        <v>0</v>
      </c>
      <c r="R47" s="204"/>
      <c r="S47" s="204"/>
      <c r="T47" s="204"/>
      <c r="U47" s="204"/>
      <c r="V47" s="204"/>
      <c r="W47" s="204"/>
      <c r="X47" s="204"/>
      <c r="Y47" s="204"/>
      <c r="Z47" s="204"/>
      <c r="AA47" s="204">
        <v>51043916.06</v>
      </c>
      <c r="AB47" s="204"/>
      <c r="AC47" s="204"/>
      <c r="AD47" s="204"/>
      <c r="AE47" s="204">
        <v>470662.29</v>
      </c>
      <c r="AF47" s="204"/>
      <c r="AG47" s="204"/>
      <c r="AH47" s="204"/>
      <c r="AI47" s="204"/>
      <c r="AJ47" s="204"/>
      <c r="AK47" s="204"/>
      <c r="AL47" s="204"/>
      <c r="AM47" s="204"/>
      <c r="AN47" s="204"/>
      <c r="AO47" s="205"/>
      <c r="AP47" s="205"/>
    </row>
    <row r="48" s="196" customFormat="1" hidden="1" customHeight="1" spans="1:42">
      <c r="A48" s="202" t="s">
        <v>160</v>
      </c>
      <c r="B48" s="203">
        <v>5941617.2</v>
      </c>
      <c r="C48" s="204">
        <v>3822377.8</v>
      </c>
      <c r="D48" s="204"/>
      <c r="E48" s="204"/>
      <c r="F48" s="204"/>
      <c r="G48" s="204"/>
      <c r="H48" s="204"/>
      <c r="I48" s="204"/>
      <c r="J48" s="204"/>
      <c r="K48" s="204"/>
      <c r="L48" s="204"/>
      <c r="M48" s="204"/>
      <c r="N48" s="204">
        <v>7117800.1</v>
      </c>
      <c r="O48" s="204"/>
      <c r="P48" s="204">
        <v>3204390</v>
      </c>
      <c r="Q48" s="204">
        <v>0</v>
      </c>
      <c r="R48" s="204"/>
      <c r="S48" s="204"/>
      <c r="T48" s="204"/>
      <c r="U48" s="204"/>
      <c r="V48" s="204"/>
      <c r="W48" s="204"/>
      <c r="X48" s="204"/>
      <c r="Y48" s="204"/>
      <c r="Z48" s="204"/>
      <c r="AA48" s="204">
        <v>4595689.37</v>
      </c>
      <c r="AB48" s="204"/>
      <c r="AC48" s="204">
        <v>19097364.22</v>
      </c>
      <c r="AD48" s="204"/>
      <c r="AE48" s="204">
        <v>58623.67</v>
      </c>
      <c r="AF48" s="204"/>
      <c r="AG48" s="204"/>
      <c r="AH48" s="204"/>
      <c r="AI48" s="204"/>
      <c r="AJ48" s="204"/>
      <c r="AK48" s="204"/>
      <c r="AL48" s="204"/>
      <c r="AM48" s="204">
        <v>19205544.77</v>
      </c>
      <c r="AN48" s="204">
        <v>19329075.22</v>
      </c>
      <c r="AO48" s="205"/>
      <c r="AP48" s="205"/>
    </row>
    <row r="49" s="196" customFormat="1" hidden="1" customHeight="1" spans="1:42">
      <c r="A49" s="202" t="s">
        <v>161</v>
      </c>
      <c r="B49" s="203">
        <v>725544.15</v>
      </c>
      <c r="C49" s="204"/>
      <c r="D49" s="204"/>
      <c r="E49" s="204"/>
      <c r="F49" s="204"/>
      <c r="G49" s="204"/>
      <c r="H49" s="204"/>
      <c r="I49" s="204"/>
      <c r="J49" s="204"/>
      <c r="K49" s="204"/>
      <c r="L49" s="204"/>
      <c r="M49" s="204"/>
      <c r="N49" s="204">
        <v>731927.19</v>
      </c>
      <c r="O49" s="204"/>
      <c r="P49" s="204"/>
      <c r="Q49" s="204">
        <v>0</v>
      </c>
      <c r="R49" s="204">
        <v>59907.32</v>
      </c>
      <c r="S49" s="204"/>
      <c r="T49" s="204"/>
      <c r="U49" s="204"/>
      <c r="V49" s="204"/>
      <c r="W49" s="204"/>
      <c r="X49" s="204"/>
      <c r="Y49" s="204"/>
      <c r="Z49" s="204"/>
      <c r="AA49" s="204"/>
      <c r="AB49" s="204"/>
      <c r="AC49" s="204">
        <v>4408480.77</v>
      </c>
      <c r="AD49" s="204"/>
      <c r="AE49" s="204"/>
      <c r="AF49" s="204"/>
      <c r="AG49" s="204"/>
      <c r="AH49" s="204"/>
      <c r="AI49" s="204"/>
      <c r="AJ49" s="204"/>
      <c r="AK49" s="204"/>
      <c r="AL49" s="204"/>
      <c r="AM49" s="204">
        <v>4437578.9</v>
      </c>
      <c r="AN49" s="204">
        <v>4437578.9</v>
      </c>
      <c r="AO49" s="205"/>
      <c r="AP49" s="205"/>
    </row>
    <row r="50" s="196" customFormat="1" hidden="1" customHeight="1" spans="1:42">
      <c r="A50" s="202" t="s">
        <v>162</v>
      </c>
      <c r="B50" s="203"/>
      <c r="C50" s="204"/>
      <c r="D50" s="204"/>
      <c r="E50" s="204"/>
      <c r="F50" s="204"/>
      <c r="G50" s="204"/>
      <c r="H50" s="204"/>
      <c r="I50" s="204"/>
      <c r="J50" s="204"/>
      <c r="K50" s="204"/>
      <c r="L50" s="204"/>
      <c r="M50" s="204"/>
      <c r="N50" s="204"/>
      <c r="O50" s="204"/>
      <c r="P50" s="204"/>
      <c r="Q50" s="204">
        <v>0</v>
      </c>
      <c r="R50" s="204"/>
      <c r="S50" s="204"/>
      <c r="T50" s="204"/>
      <c r="U50" s="204"/>
      <c r="V50" s="204"/>
      <c r="W50" s="204"/>
      <c r="X50" s="204"/>
      <c r="Y50" s="204"/>
      <c r="Z50" s="204"/>
      <c r="AA50" s="204">
        <v>1261061.97</v>
      </c>
      <c r="AB50" s="204"/>
      <c r="AC50" s="204"/>
      <c r="AD50" s="204"/>
      <c r="AE50" s="204"/>
      <c r="AF50" s="204"/>
      <c r="AG50" s="204"/>
      <c r="AH50" s="204"/>
      <c r="AI50" s="204"/>
      <c r="AJ50" s="204"/>
      <c r="AK50" s="204"/>
      <c r="AL50" s="204"/>
      <c r="AM50" s="204"/>
      <c r="AN50" s="204"/>
      <c r="AO50" s="205"/>
      <c r="AP50" s="205"/>
    </row>
    <row r="51" s="196" customFormat="1" hidden="1" customHeight="1" spans="1:42">
      <c r="A51" s="202" t="s">
        <v>163</v>
      </c>
      <c r="B51" s="203">
        <v>44248176.2</v>
      </c>
      <c r="C51" s="204"/>
      <c r="D51" s="204"/>
      <c r="E51" s="204"/>
      <c r="F51" s="204"/>
      <c r="G51" s="204"/>
      <c r="H51" s="204"/>
      <c r="I51" s="204"/>
      <c r="J51" s="204"/>
      <c r="K51" s="204"/>
      <c r="L51" s="204"/>
      <c r="M51" s="204">
        <v>4394299.47</v>
      </c>
      <c r="N51" s="204">
        <v>51262366.84</v>
      </c>
      <c r="O51" s="204"/>
      <c r="P51" s="204"/>
      <c r="Q51" s="204">
        <v>0</v>
      </c>
      <c r="R51" s="204"/>
      <c r="S51" s="204"/>
      <c r="T51" s="204"/>
      <c r="U51" s="204"/>
      <c r="V51" s="204"/>
      <c r="W51" s="204"/>
      <c r="X51" s="204"/>
      <c r="Y51" s="204"/>
      <c r="Z51" s="204"/>
      <c r="AA51" s="204"/>
      <c r="AB51" s="204"/>
      <c r="AC51" s="204">
        <v>123958100.96</v>
      </c>
      <c r="AD51" s="204"/>
      <c r="AE51" s="204">
        <v>29259.55</v>
      </c>
      <c r="AF51" s="204"/>
      <c r="AG51" s="204"/>
      <c r="AH51" s="204"/>
      <c r="AI51" s="204"/>
      <c r="AJ51" s="204"/>
      <c r="AK51" s="204"/>
      <c r="AL51" s="204"/>
      <c r="AM51" s="204">
        <v>127791856.9</v>
      </c>
      <c r="AN51" s="204">
        <v>127791856.9</v>
      </c>
      <c r="AO51" s="205"/>
      <c r="AP51" s="205"/>
    </row>
    <row r="52" s="196" customFormat="1" hidden="1" customHeight="1" spans="1:42">
      <c r="A52" s="202" t="s">
        <v>164</v>
      </c>
      <c r="B52" s="203">
        <v>95173750</v>
      </c>
      <c r="C52" s="204">
        <v>47890227.8</v>
      </c>
      <c r="D52" s="204"/>
      <c r="E52" s="204"/>
      <c r="F52" s="204"/>
      <c r="G52" s="204"/>
      <c r="H52" s="204"/>
      <c r="I52" s="204"/>
      <c r="J52" s="204"/>
      <c r="K52" s="204"/>
      <c r="L52" s="204"/>
      <c r="M52" s="204">
        <v>23002447.5</v>
      </c>
      <c r="N52" s="204">
        <v>24965833.9</v>
      </c>
      <c r="O52" s="204"/>
      <c r="P52" s="204">
        <v>32165822.3</v>
      </c>
      <c r="Q52" s="204">
        <v>0</v>
      </c>
      <c r="R52" s="204">
        <v>0</v>
      </c>
      <c r="S52" s="204"/>
      <c r="T52" s="204"/>
      <c r="U52" s="204"/>
      <c r="V52" s="204"/>
      <c r="W52" s="204"/>
      <c r="X52" s="204"/>
      <c r="Y52" s="204"/>
      <c r="Z52" s="204"/>
      <c r="AA52" s="204"/>
      <c r="AB52" s="204"/>
      <c r="AC52" s="204">
        <v>64112493.58</v>
      </c>
      <c r="AD52" s="204"/>
      <c r="AE52" s="204">
        <v>72806.55</v>
      </c>
      <c r="AF52" s="204"/>
      <c r="AG52" s="204"/>
      <c r="AH52" s="204"/>
      <c r="AI52" s="204"/>
      <c r="AJ52" s="204"/>
      <c r="AK52" s="204"/>
      <c r="AL52" s="204"/>
      <c r="AM52" s="204">
        <v>66313573.31</v>
      </c>
      <c r="AN52" s="204">
        <v>211031628.44</v>
      </c>
      <c r="AO52" s="205"/>
      <c r="AP52" s="205"/>
    </row>
    <row r="53" s="196" customFormat="1" hidden="1" customHeight="1" spans="1:42">
      <c r="A53" s="202" t="s">
        <v>165</v>
      </c>
      <c r="B53" s="203"/>
      <c r="C53" s="204"/>
      <c r="D53" s="204"/>
      <c r="E53" s="204"/>
      <c r="F53" s="204"/>
      <c r="G53" s="204"/>
      <c r="H53" s="204"/>
      <c r="I53" s="204"/>
      <c r="J53" s="204"/>
      <c r="K53" s="204"/>
      <c r="L53" s="204"/>
      <c r="M53" s="204"/>
      <c r="N53" s="204"/>
      <c r="O53" s="204"/>
      <c r="P53" s="204"/>
      <c r="Q53" s="204">
        <v>0</v>
      </c>
      <c r="R53" s="204"/>
      <c r="S53" s="204"/>
      <c r="T53" s="204"/>
      <c r="U53" s="204"/>
      <c r="V53" s="204"/>
      <c r="W53" s="204"/>
      <c r="X53" s="204"/>
      <c r="Y53" s="204"/>
      <c r="Z53" s="204"/>
      <c r="AA53" s="204"/>
      <c r="AB53" s="204"/>
      <c r="AC53" s="204">
        <v>58282461.38</v>
      </c>
      <c r="AD53" s="204"/>
      <c r="AE53" s="204">
        <v>911883.02</v>
      </c>
      <c r="AF53" s="204"/>
      <c r="AG53" s="204"/>
      <c r="AH53" s="204"/>
      <c r="AI53" s="204"/>
      <c r="AJ53" s="204"/>
      <c r="AK53" s="204"/>
      <c r="AL53" s="204"/>
      <c r="AM53" s="204">
        <v>69153396.35</v>
      </c>
      <c r="AN53" s="204">
        <v>69153396.35</v>
      </c>
      <c r="AO53" s="205"/>
      <c r="AP53" s="205"/>
    </row>
    <row r="54" s="196" customFormat="1" hidden="1" customHeight="1" spans="1:42">
      <c r="A54" s="202" t="s">
        <v>166</v>
      </c>
      <c r="B54" s="203"/>
      <c r="C54" s="204"/>
      <c r="D54" s="204"/>
      <c r="E54" s="204"/>
      <c r="F54" s="204"/>
      <c r="G54" s="204"/>
      <c r="H54" s="204"/>
      <c r="I54" s="204"/>
      <c r="J54" s="204"/>
      <c r="K54" s="204"/>
      <c r="L54" s="204"/>
      <c r="M54" s="204"/>
      <c r="N54" s="204"/>
      <c r="O54" s="204"/>
      <c r="P54" s="204"/>
      <c r="Q54" s="204">
        <v>0</v>
      </c>
      <c r="R54" s="204"/>
      <c r="S54" s="204"/>
      <c r="T54" s="204"/>
      <c r="U54" s="204"/>
      <c r="V54" s="204"/>
      <c r="W54" s="204"/>
      <c r="X54" s="204"/>
      <c r="Y54" s="204"/>
      <c r="Z54" s="204"/>
      <c r="AA54" s="204"/>
      <c r="AB54" s="204"/>
      <c r="AC54" s="204">
        <v>15525453.17</v>
      </c>
      <c r="AD54" s="204"/>
      <c r="AE54" s="204">
        <v>297052.18</v>
      </c>
      <c r="AF54" s="204"/>
      <c r="AG54" s="204"/>
      <c r="AH54" s="204"/>
      <c r="AI54" s="204"/>
      <c r="AJ54" s="204"/>
      <c r="AK54" s="204"/>
      <c r="AL54" s="204"/>
      <c r="AM54" s="204">
        <v>15687077.07</v>
      </c>
      <c r="AN54" s="204">
        <v>15687077.07</v>
      </c>
      <c r="AO54" s="205"/>
      <c r="AP54" s="205"/>
    </row>
    <row r="55" s="196" customFormat="1" hidden="1" customHeight="1" spans="1:42">
      <c r="A55" s="202" t="s">
        <v>167</v>
      </c>
      <c r="B55" s="203">
        <v>229055</v>
      </c>
      <c r="C55" s="204"/>
      <c r="D55" s="204"/>
      <c r="E55" s="204"/>
      <c r="F55" s="204"/>
      <c r="G55" s="204"/>
      <c r="H55" s="204"/>
      <c r="I55" s="204"/>
      <c r="J55" s="204"/>
      <c r="K55" s="204"/>
      <c r="L55" s="204"/>
      <c r="M55" s="204"/>
      <c r="N55" s="204">
        <v>845624</v>
      </c>
      <c r="O55" s="204"/>
      <c r="P55" s="204">
        <v>-116.01</v>
      </c>
      <c r="Q55" s="204">
        <v>-116.01</v>
      </c>
      <c r="R55" s="204">
        <v>116.01</v>
      </c>
      <c r="S55" s="204"/>
      <c r="T55" s="204"/>
      <c r="U55" s="204"/>
      <c r="V55" s="204"/>
      <c r="W55" s="204"/>
      <c r="X55" s="204"/>
      <c r="Y55" s="204"/>
      <c r="Z55" s="204"/>
      <c r="AA55" s="204"/>
      <c r="AB55" s="204"/>
      <c r="AC55" s="204">
        <v>3879005.5</v>
      </c>
      <c r="AD55" s="204"/>
      <c r="AE55" s="204"/>
      <c r="AF55" s="204"/>
      <c r="AG55" s="204"/>
      <c r="AH55" s="204"/>
      <c r="AI55" s="204"/>
      <c r="AJ55" s="204"/>
      <c r="AK55" s="204"/>
      <c r="AL55" s="204"/>
      <c r="AM55" s="204">
        <v>4443922.94</v>
      </c>
      <c r="AN55" s="204">
        <v>4443922.94</v>
      </c>
      <c r="AO55" s="205"/>
      <c r="AP55" s="205"/>
    </row>
    <row r="56" s="196" customFormat="1" hidden="1" customHeight="1" spans="1:42">
      <c r="A56" s="202" t="s">
        <v>168</v>
      </c>
      <c r="B56" s="203">
        <v>38704.5</v>
      </c>
      <c r="C56" s="204"/>
      <c r="D56" s="204"/>
      <c r="E56" s="204"/>
      <c r="F56" s="204"/>
      <c r="G56" s="204"/>
      <c r="H56" s="204"/>
      <c r="I56" s="204"/>
      <c r="J56" s="204"/>
      <c r="K56" s="204"/>
      <c r="L56" s="204"/>
      <c r="M56" s="204"/>
      <c r="N56" s="204"/>
      <c r="O56" s="204"/>
      <c r="P56" s="204"/>
      <c r="Q56" s="204">
        <v>0</v>
      </c>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5"/>
      <c r="AP56" s="205"/>
    </row>
    <row r="57" s="196" customFormat="1" hidden="1" customHeight="1" spans="1:42">
      <c r="A57" s="202" t="s">
        <v>169</v>
      </c>
      <c r="B57" s="203"/>
      <c r="C57" s="204"/>
      <c r="D57" s="204"/>
      <c r="E57" s="204"/>
      <c r="F57" s="204"/>
      <c r="G57" s="204"/>
      <c r="H57" s="204"/>
      <c r="I57" s="204"/>
      <c r="J57" s="204"/>
      <c r="K57" s="204"/>
      <c r="L57" s="204"/>
      <c r="M57" s="204"/>
      <c r="N57" s="204"/>
      <c r="O57" s="204"/>
      <c r="P57" s="204"/>
      <c r="Q57" s="204">
        <v>0</v>
      </c>
      <c r="R57" s="204"/>
      <c r="S57" s="204"/>
      <c r="T57" s="204"/>
      <c r="U57" s="204"/>
      <c r="V57" s="204"/>
      <c r="W57" s="204"/>
      <c r="X57" s="204"/>
      <c r="Y57" s="204"/>
      <c r="Z57" s="204"/>
      <c r="AA57" s="204"/>
      <c r="AB57" s="204"/>
      <c r="AC57" s="204"/>
      <c r="AD57" s="204"/>
      <c r="AE57" s="204">
        <v>8874.51</v>
      </c>
      <c r="AF57" s="204"/>
      <c r="AG57" s="204"/>
      <c r="AH57" s="204"/>
      <c r="AI57" s="204"/>
      <c r="AJ57" s="204"/>
      <c r="AK57" s="204"/>
      <c r="AL57" s="204"/>
      <c r="AM57" s="204"/>
      <c r="AN57" s="204"/>
      <c r="AO57" s="205"/>
      <c r="AP57" s="205"/>
    </row>
    <row r="58" s="196" customFormat="1" hidden="1" customHeight="1" spans="1:42">
      <c r="A58" s="202" t="s">
        <v>170</v>
      </c>
      <c r="B58" s="203">
        <v>-18484915.07</v>
      </c>
      <c r="C58" s="204">
        <v>7307501.98</v>
      </c>
      <c r="D58" s="204"/>
      <c r="E58" s="204"/>
      <c r="F58" s="204"/>
      <c r="G58" s="204"/>
      <c r="H58" s="204"/>
      <c r="I58" s="204"/>
      <c r="J58" s="204"/>
      <c r="K58" s="204"/>
      <c r="L58" s="204">
        <v>1811403.84</v>
      </c>
      <c r="M58" s="204">
        <v>0</v>
      </c>
      <c r="N58" s="204">
        <v>34657303.11</v>
      </c>
      <c r="O58" s="204"/>
      <c r="P58" s="204">
        <v>-632785.47</v>
      </c>
      <c r="Q58" s="204">
        <v>-1526784.49</v>
      </c>
      <c r="R58" s="204"/>
      <c r="S58" s="204"/>
      <c r="T58" s="204"/>
      <c r="U58" s="204"/>
      <c r="V58" s="204"/>
      <c r="W58" s="204">
        <v>2925764.58</v>
      </c>
      <c r="X58" s="204"/>
      <c r="Y58" s="204"/>
      <c r="Z58" s="204"/>
      <c r="AA58" s="204"/>
      <c r="AB58" s="204"/>
      <c r="AC58" s="204">
        <v>89472922.79</v>
      </c>
      <c r="AD58" s="204"/>
      <c r="AE58" s="204">
        <v>81151.68</v>
      </c>
      <c r="AF58" s="204"/>
      <c r="AG58" s="204"/>
      <c r="AH58" s="204"/>
      <c r="AI58" s="204"/>
      <c r="AJ58" s="204"/>
      <c r="AK58" s="204"/>
      <c r="AL58" s="204"/>
      <c r="AM58" s="204">
        <v>92005175.34</v>
      </c>
      <c r="AN58" s="204">
        <v>55394612.9</v>
      </c>
      <c r="AO58" s="205"/>
      <c r="AP58" s="205"/>
    </row>
    <row r="59" s="196" customFormat="1" hidden="1" customHeight="1" spans="1:42">
      <c r="A59" s="202" t="s">
        <v>171</v>
      </c>
      <c r="B59" s="203">
        <v>1082041.54</v>
      </c>
      <c r="C59" s="204">
        <v>19228561.75</v>
      </c>
      <c r="D59" s="204"/>
      <c r="E59" s="204"/>
      <c r="F59" s="204"/>
      <c r="G59" s="204"/>
      <c r="H59" s="204"/>
      <c r="I59" s="204"/>
      <c r="J59" s="204"/>
      <c r="K59" s="204"/>
      <c r="L59" s="204"/>
      <c r="M59" s="204">
        <v>5821262.8</v>
      </c>
      <c r="N59" s="204">
        <v>9778636.39</v>
      </c>
      <c r="O59" s="204">
        <v>1587679.41</v>
      </c>
      <c r="P59" s="204">
        <v>13694779.57</v>
      </c>
      <c r="Q59" s="204">
        <v>-1232530.16</v>
      </c>
      <c r="R59" s="204"/>
      <c r="S59" s="204"/>
      <c r="T59" s="204"/>
      <c r="U59" s="204"/>
      <c r="V59" s="204"/>
      <c r="W59" s="204"/>
      <c r="X59" s="204"/>
      <c r="Y59" s="204"/>
      <c r="Z59" s="204"/>
      <c r="AA59" s="204"/>
      <c r="AB59" s="204"/>
      <c r="AC59" s="204">
        <v>50054782.74</v>
      </c>
      <c r="AD59" s="204"/>
      <c r="AE59" s="204">
        <v>20776.98</v>
      </c>
      <c r="AF59" s="204"/>
      <c r="AG59" s="204"/>
      <c r="AH59" s="204"/>
      <c r="AI59" s="204"/>
      <c r="AJ59" s="204"/>
      <c r="AK59" s="204"/>
      <c r="AL59" s="204"/>
      <c r="AM59" s="204">
        <v>61118328.71</v>
      </c>
      <c r="AN59" s="204">
        <v>61118328.71</v>
      </c>
      <c r="AO59" s="205"/>
      <c r="AP59" s="205"/>
    </row>
    <row r="60" s="196" customFormat="1" hidden="1" customHeight="1" spans="1:42">
      <c r="A60" s="202" t="s">
        <v>172</v>
      </c>
      <c r="B60" s="203"/>
      <c r="C60" s="204">
        <v>2783027</v>
      </c>
      <c r="D60" s="204"/>
      <c r="E60" s="204"/>
      <c r="F60" s="204"/>
      <c r="G60" s="204"/>
      <c r="H60" s="204"/>
      <c r="I60" s="204"/>
      <c r="J60" s="204"/>
      <c r="K60" s="204"/>
      <c r="L60" s="204"/>
      <c r="M60" s="204"/>
      <c r="N60" s="204"/>
      <c r="O60" s="204"/>
      <c r="P60" s="204"/>
      <c r="Q60" s="204">
        <v>0</v>
      </c>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5"/>
      <c r="AP60" s="205"/>
    </row>
    <row r="61" s="196" customFormat="1" hidden="1" customHeight="1" spans="1:42">
      <c r="A61" s="202" t="s">
        <v>173</v>
      </c>
      <c r="B61" s="203">
        <v>732136.32</v>
      </c>
      <c r="C61" s="204"/>
      <c r="D61" s="204"/>
      <c r="E61" s="204"/>
      <c r="F61" s="204"/>
      <c r="G61" s="204"/>
      <c r="H61" s="204"/>
      <c r="I61" s="204"/>
      <c r="J61" s="204"/>
      <c r="K61" s="204"/>
      <c r="L61" s="204">
        <v>921998.01</v>
      </c>
      <c r="M61" s="204">
        <v>0</v>
      </c>
      <c r="N61" s="204">
        <v>969517.67</v>
      </c>
      <c r="O61" s="204"/>
      <c r="P61" s="204"/>
      <c r="Q61" s="204">
        <v>0</v>
      </c>
      <c r="R61" s="204"/>
      <c r="S61" s="204"/>
      <c r="T61" s="204"/>
      <c r="U61" s="204"/>
      <c r="V61" s="204"/>
      <c r="W61" s="204">
        <v>684616.56</v>
      </c>
      <c r="X61" s="204"/>
      <c r="Y61" s="204"/>
      <c r="Z61" s="204"/>
      <c r="AA61" s="204"/>
      <c r="AB61" s="204"/>
      <c r="AC61" s="204">
        <v>33587869.06</v>
      </c>
      <c r="AD61" s="204"/>
      <c r="AE61" s="204"/>
      <c r="AF61" s="204"/>
      <c r="AG61" s="204"/>
      <c r="AH61" s="204"/>
      <c r="AI61" s="204"/>
      <c r="AJ61" s="204"/>
      <c r="AK61" s="204"/>
      <c r="AL61" s="204"/>
      <c r="AM61" s="204">
        <v>33587869.13</v>
      </c>
      <c r="AN61" s="204">
        <v>33587869.13</v>
      </c>
      <c r="AO61" s="205"/>
      <c r="AP61" s="205"/>
    </row>
    <row r="62" s="196" customFormat="1" hidden="1" customHeight="1" spans="1:42">
      <c r="A62" s="202" t="s">
        <v>174</v>
      </c>
      <c r="B62" s="203">
        <v>1558702.54</v>
      </c>
      <c r="C62" s="204"/>
      <c r="D62" s="204"/>
      <c r="E62" s="204"/>
      <c r="F62" s="204"/>
      <c r="G62" s="204"/>
      <c r="H62" s="204"/>
      <c r="I62" s="204"/>
      <c r="J62" s="204"/>
      <c r="K62" s="204"/>
      <c r="L62" s="204"/>
      <c r="M62" s="204"/>
      <c r="N62" s="204">
        <v>1558702.54</v>
      </c>
      <c r="O62" s="204"/>
      <c r="P62" s="204"/>
      <c r="Q62" s="204">
        <v>0</v>
      </c>
      <c r="R62" s="204"/>
      <c r="S62" s="204"/>
      <c r="T62" s="204"/>
      <c r="U62" s="204"/>
      <c r="V62" s="204"/>
      <c r="W62" s="204"/>
      <c r="X62" s="204"/>
      <c r="Y62" s="204"/>
      <c r="Z62" s="204"/>
      <c r="AA62" s="204"/>
      <c r="AB62" s="204"/>
      <c r="AC62" s="204">
        <v>6507822.02</v>
      </c>
      <c r="AD62" s="204"/>
      <c r="AE62" s="204"/>
      <c r="AF62" s="204"/>
      <c r="AG62" s="204"/>
      <c r="AH62" s="204"/>
      <c r="AI62" s="204"/>
      <c r="AJ62" s="204"/>
      <c r="AK62" s="204"/>
      <c r="AL62" s="204"/>
      <c r="AM62" s="204">
        <v>6507822.02</v>
      </c>
      <c r="AN62" s="204">
        <v>6507822.02</v>
      </c>
      <c r="AO62" s="205"/>
      <c r="AP62" s="205"/>
    </row>
    <row r="63" s="196" customFormat="1" hidden="1" customHeight="1" spans="1:42">
      <c r="A63" s="202" t="s">
        <v>175</v>
      </c>
      <c r="B63" s="203">
        <v>0</v>
      </c>
      <c r="C63" s="204"/>
      <c r="D63" s="204"/>
      <c r="E63" s="204"/>
      <c r="F63" s="204"/>
      <c r="G63" s="204"/>
      <c r="H63" s="204"/>
      <c r="I63" s="204"/>
      <c r="J63" s="204"/>
      <c r="K63" s="204"/>
      <c r="L63" s="204">
        <v>202818</v>
      </c>
      <c r="M63" s="204"/>
      <c r="N63" s="204">
        <v>6170600</v>
      </c>
      <c r="O63" s="204"/>
      <c r="P63" s="204"/>
      <c r="Q63" s="204">
        <v>0</v>
      </c>
      <c r="R63" s="204">
        <v>0</v>
      </c>
      <c r="S63" s="204"/>
      <c r="T63" s="204"/>
      <c r="U63" s="204"/>
      <c r="V63" s="204"/>
      <c r="W63" s="204"/>
      <c r="X63" s="204"/>
      <c r="Y63" s="204"/>
      <c r="Z63" s="204"/>
      <c r="AA63" s="204">
        <v>2860530.95</v>
      </c>
      <c r="AB63" s="204"/>
      <c r="AC63" s="204">
        <v>2695596.33</v>
      </c>
      <c r="AD63" s="204"/>
      <c r="AE63" s="204">
        <v>1960.4</v>
      </c>
      <c r="AF63" s="204"/>
      <c r="AG63" s="204"/>
      <c r="AH63" s="204"/>
      <c r="AI63" s="204"/>
      <c r="AJ63" s="204"/>
      <c r="AK63" s="204"/>
      <c r="AL63" s="204"/>
      <c r="AM63" s="204">
        <v>2695596.33</v>
      </c>
      <c r="AN63" s="204">
        <v>2695596.33</v>
      </c>
      <c r="AO63" s="205"/>
      <c r="AP63" s="205"/>
    </row>
    <row r="64" s="196" customFormat="1" hidden="1" customHeight="1" spans="1:42">
      <c r="A64" s="202" t="s">
        <v>176</v>
      </c>
      <c r="B64" s="203">
        <v>-17491985.8</v>
      </c>
      <c r="C64" s="204">
        <v>31984000</v>
      </c>
      <c r="D64" s="204"/>
      <c r="E64" s="204"/>
      <c r="F64" s="204"/>
      <c r="G64" s="204"/>
      <c r="H64" s="204"/>
      <c r="I64" s="204"/>
      <c r="J64" s="204"/>
      <c r="K64" s="204"/>
      <c r="L64" s="204"/>
      <c r="M64" s="204"/>
      <c r="N64" s="204"/>
      <c r="O64" s="204"/>
      <c r="P64" s="204">
        <v>33880000</v>
      </c>
      <c r="Q64" s="204">
        <v>0</v>
      </c>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5"/>
      <c r="AP64" s="205"/>
    </row>
    <row r="65" s="196" customFormat="1" hidden="1" customHeight="1" spans="1:42">
      <c r="A65" s="202" t="s">
        <v>177</v>
      </c>
      <c r="B65" s="203"/>
      <c r="C65" s="204"/>
      <c r="D65" s="204"/>
      <c r="E65" s="204"/>
      <c r="F65" s="204"/>
      <c r="G65" s="204"/>
      <c r="H65" s="204"/>
      <c r="I65" s="204"/>
      <c r="J65" s="204"/>
      <c r="K65" s="204"/>
      <c r="L65" s="204"/>
      <c r="M65" s="204"/>
      <c r="N65" s="204">
        <v>9584.08</v>
      </c>
      <c r="O65" s="204">
        <v>9584.08</v>
      </c>
      <c r="P65" s="204"/>
      <c r="Q65" s="204">
        <v>0</v>
      </c>
      <c r="R65" s="204"/>
      <c r="S65" s="204"/>
      <c r="T65" s="204"/>
      <c r="U65" s="204"/>
      <c r="V65" s="204"/>
      <c r="W65" s="204"/>
      <c r="X65" s="204"/>
      <c r="Y65" s="204"/>
      <c r="Z65" s="204"/>
      <c r="AA65" s="204"/>
      <c r="AB65" s="204"/>
      <c r="AC65" s="204">
        <v>629151899.92</v>
      </c>
      <c r="AD65" s="204"/>
      <c r="AE65" s="204">
        <v>4536866.13</v>
      </c>
      <c r="AF65" s="204"/>
      <c r="AG65" s="204"/>
      <c r="AH65" s="204"/>
      <c r="AI65" s="204"/>
      <c r="AJ65" s="204"/>
      <c r="AK65" s="204"/>
      <c r="AL65" s="204"/>
      <c r="AM65" s="204">
        <v>653165318.57</v>
      </c>
      <c r="AN65" s="204">
        <v>655410890.79</v>
      </c>
      <c r="AO65" s="205"/>
      <c r="AP65" s="205"/>
    </row>
    <row r="66" s="196" customFormat="1" hidden="1" customHeight="1" spans="1:42">
      <c r="A66" s="202" t="s">
        <v>178</v>
      </c>
      <c r="B66" s="203"/>
      <c r="C66" s="204"/>
      <c r="D66" s="204"/>
      <c r="E66" s="204"/>
      <c r="F66" s="204"/>
      <c r="G66" s="204"/>
      <c r="H66" s="204"/>
      <c r="I66" s="204"/>
      <c r="J66" s="204"/>
      <c r="K66" s="204"/>
      <c r="L66" s="204"/>
      <c r="M66" s="204"/>
      <c r="N66" s="204"/>
      <c r="O66" s="204"/>
      <c r="P66" s="204">
        <v>-44683.28</v>
      </c>
      <c r="Q66" s="204">
        <v>-44683.28</v>
      </c>
      <c r="R66" s="204">
        <v>44683.28</v>
      </c>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5"/>
      <c r="AP66" s="205"/>
    </row>
    <row r="67" s="196" customFormat="1" hidden="1" customHeight="1" spans="1:42">
      <c r="A67" s="202" t="s">
        <v>179</v>
      </c>
      <c r="B67" s="203">
        <v>647115.33</v>
      </c>
      <c r="C67" s="204"/>
      <c r="D67" s="204"/>
      <c r="E67" s="204"/>
      <c r="F67" s="204"/>
      <c r="G67" s="204"/>
      <c r="H67" s="204"/>
      <c r="I67" s="204"/>
      <c r="J67" s="204"/>
      <c r="K67" s="204"/>
      <c r="L67" s="204"/>
      <c r="M67" s="204"/>
      <c r="N67" s="204"/>
      <c r="O67" s="204"/>
      <c r="P67" s="204"/>
      <c r="Q67" s="204">
        <v>0</v>
      </c>
      <c r="R67" s="204">
        <v>51610.04</v>
      </c>
      <c r="S67" s="204"/>
      <c r="T67" s="204"/>
      <c r="U67" s="204"/>
      <c r="V67" s="204"/>
      <c r="W67" s="204"/>
      <c r="X67" s="204"/>
      <c r="Y67" s="204"/>
      <c r="Z67" s="204"/>
      <c r="AA67" s="204">
        <v>1961891.2</v>
      </c>
      <c r="AB67" s="204"/>
      <c r="AC67" s="204">
        <v>30436193.72</v>
      </c>
      <c r="AD67" s="204"/>
      <c r="AE67" s="204">
        <v>155780.18</v>
      </c>
      <c r="AF67" s="204"/>
      <c r="AG67" s="204"/>
      <c r="AH67" s="204"/>
      <c r="AI67" s="204"/>
      <c r="AJ67" s="204"/>
      <c r="AK67" s="204"/>
      <c r="AL67" s="204"/>
      <c r="AM67" s="204">
        <v>30691959.47</v>
      </c>
      <c r="AN67" s="204">
        <v>30304925.68</v>
      </c>
      <c r="AO67" s="205"/>
      <c r="AP67" s="205"/>
    </row>
    <row r="68" s="196" customFormat="1" hidden="1" customHeight="1" spans="1:42">
      <c r="A68" s="202" t="s">
        <v>180</v>
      </c>
      <c r="B68" s="203"/>
      <c r="C68" s="204"/>
      <c r="D68" s="204"/>
      <c r="E68" s="204"/>
      <c r="F68" s="204"/>
      <c r="G68" s="204"/>
      <c r="H68" s="204"/>
      <c r="I68" s="204"/>
      <c r="J68" s="204"/>
      <c r="K68" s="204"/>
      <c r="L68" s="204"/>
      <c r="M68" s="204"/>
      <c r="N68" s="204"/>
      <c r="O68" s="204"/>
      <c r="P68" s="204"/>
      <c r="Q68" s="204">
        <v>0</v>
      </c>
      <c r="R68" s="204"/>
      <c r="S68" s="204"/>
      <c r="T68" s="204"/>
      <c r="U68" s="204"/>
      <c r="V68" s="204"/>
      <c r="W68" s="204"/>
      <c r="X68" s="204"/>
      <c r="Y68" s="204"/>
      <c r="Z68" s="204"/>
      <c r="AA68" s="204"/>
      <c r="AB68" s="204"/>
      <c r="AC68" s="204"/>
      <c r="AD68" s="204"/>
      <c r="AE68" s="204">
        <v>94218.07</v>
      </c>
      <c r="AF68" s="204"/>
      <c r="AG68" s="204"/>
      <c r="AH68" s="204"/>
      <c r="AI68" s="204"/>
      <c r="AJ68" s="204"/>
      <c r="AK68" s="204"/>
      <c r="AL68" s="204"/>
      <c r="AM68" s="204"/>
      <c r="AN68" s="204"/>
      <c r="AO68" s="205"/>
      <c r="AP68" s="205"/>
    </row>
    <row r="69" s="196" customFormat="1" hidden="1" customHeight="1" spans="1:42">
      <c r="A69" s="202" t="s">
        <v>181</v>
      </c>
      <c r="B69" s="203">
        <v>20299541.95</v>
      </c>
      <c r="C69" s="204">
        <v>13814208.89</v>
      </c>
      <c r="D69" s="204"/>
      <c r="E69" s="204"/>
      <c r="F69" s="204"/>
      <c r="G69" s="204"/>
      <c r="H69" s="204"/>
      <c r="I69" s="204"/>
      <c r="J69" s="204"/>
      <c r="K69" s="204"/>
      <c r="L69" s="204"/>
      <c r="M69" s="204">
        <v>966847.84</v>
      </c>
      <c r="N69" s="204">
        <v>34291788.52</v>
      </c>
      <c r="O69" s="204">
        <v>1140622.75</v>
      </c>
      <c r="P69" s="204"/>
      <c r="Q69" s="204">
        <v>0</v>
      </c>
      <c r="R69" s="204">
        <v>1705842.66</v>
      </c>
      <c r="S69" s="204"/>
      <c r="T69" s="204"/>
      <c r="U69" s="204"/>
      <c r="V69" s="204"/>
      <c r="W69" s="204"/>
      <c r="X69" s="204"/>
      <c r="Y69" s="204"/>
      <c r="Z69" s="204"/>
      <c r="AA69" s="204"/>
      <c r="AB69" s="204"/>
      <c r="AC69" s="204">
        <v>59134424.73</v>
      </c>
      <c r="AD69" s="204"/>
      <c r="AE69" s="204">
        <v>63980.88</v>
      </c>
      <c r="AF69" s="204"/>
      <c r="AG69" s="204"/>
      <c r="AH69" s="204"/>
      <c r="AI69" s="204"/>
      <c r="AJ69" s="204"/>
      <c r="AK69" s="204"/>
      <c r="AL69" s="204"/>
      <c r="AM69" s="204">
        <v>59134424.73</v>
      </c>
      <c r="AN69" s="204">
        <v>59134424.73</v>
      </c>
      <c r="AO69" s="205"/>
      <c r="AP69" s="205"/>
    </row>
    <row r="70" s="196" customFormat="1" hidden="1" customHeight="1" spans="1:42">
      <c r="A70" s="202" t="s">
        <v>182</v>
      </c>
      <c r="B70" s="203">
        <v>17719200</v>
      </c>
      <c r="C70" s="204"/>
      <c r="D70" s="204"/>
      <c r="E70" s="204"/>
      <c r="F70" s="204"/>
      <c r="G70" s="204"/>
      <c r="H70" s="204"/>
      <c r="I70" s="204"/>
      <c r="J70" s="204"/>
      <c r="K70" s="204"/>
      <c r="L70" s="204"/>
      <c r="M70" s="204"/>
      <c r="N70" s="204"/>
      <c r="O70" s="204"/>
      <c r="P70" s="204"/>
      <c r="Q70" s="204">
        <v>0</v>
      </c>
      <c r="R70" s="204">
        <v>465393.8</v>
      </c>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5"/>
      <c r="AP70" s="205"/>
    </row>
    <row r="71" s="196" customFormat="1" hidden="1" customHeight="1" spans="1:42">
      <c r="A71" s="202" t="s">
        <v>183</v>
      </c>
      <c r="B71" s="203">
        <v>7559402.58</v>
      </c>
      <c r="C71" s="204">
        <v>1000000</v>
      </c>
      <c r="D71" s="204"/>
      <c r="E71" s="204"/>
      <c r="F71" s="204"/>
      <c r="G71" s="204"/>
      <c r="H71" s="204"/>
      <c r="I71" s="204"/>
      <c r="J71" s="204"/>
      <c r="K71" s="204"/>
      <c r="L71" s="204">
        <v>59991359</v>
      </c>
      <c r="M71" s="204">
        <v>0</v>
      </c>
      <c r="N71" s="204">
        <v>9699699</v>
      </c>
      <c r="O71" s="204"/>
      <c r="P71" s="204">
        <v>1000000</v>
      </c>
      <c r="Q71" s="204">
        <v>0</v>
      </c>
      <c r="R71" s="204">
        <v>7149724.02</v>
      </c>
      <c r="S71" s="204"/>
      <c r="T71" s="204"/>
      <c r="U71" s="204"/>
      <c r="V71" s="204"/>
      <c r="W71" s="204">
        <v>55039033</v>
      </c>
      <c r="X71" s="204"/>
      <c r="Y71" s="204"/>
      <c r="Z71" s="204">
        <v>96298.38</v>
      </c>
      <c r="AA71" s="204">
        <v>24601096.41</v>
      </c>
      <c r="AB71" s="204">
        <v>1260469.38</v>
      </c>
      <c r="AC71" s="204">
        <v>1732711813.8</v>
      </c>
      <c r="AD71" s="204"/>
      <c r="AE71" s="204">
        <v>3607376.62</v>
      </c>
      <c r="AF71" s="204"/>
      <c r="AG71" s="204"/>
      <c r="AH71" s="204"/>
      <c r="AI71" s="204"/>
      <c r="AJ71" s="204"/>
      <c r="AK71" s="204"/>
      <c r="AL71" s="204"/>
      <c r="AM71" s="204">
        <v>1819414691.52</v>
      </c>
      <c r="AN71" s="204">
        <v>1834598199.09</v>
      </c>
      <c r="AO71" s="205"/>
      <c r="AP71" s="205"/>
    </row>
    <row r="72" s="196" customFormat="1" hidden="1" customHeight="1" spans="1:42">
      <c r="A72" s="202" t="s">
        <v>184</v>
      </c>
      <c r="B72" s="203">
        <v>55977742.4</v>
      </c>
      <c r="C72" s="204"/>
      <c r="D72" s="204"/>
      <c r="E72" s="204"/>
      <c r="F72" s="204"/>
      <c r="G72" s="204"/>
      <c r="H72" s="204"/>
      <c r="I72" s="204"/>
      <c r="J72" s="204"/>
      <c r="K72" s="204"/>
      <c r="L72" s="204"/>
      <c r="M72" s="204"/>
      <c r="N72" s="204">
        <v>54298407.45</v>
      </c>
      <c r="O72" s="204"/>
      <c r="P72" s="204"/>
      <c r="Q72" s="204">
        <v>0</v>
      </c>
      <c r="R72" s="204">
        <v>3520484.28</v>
      </c>
      <c r="S72" s="204"/>
      <c r="T72" s="204"/>
      <c r="U72" s="204"/>
      <c r="V72" s="204"/>
      <c r="W72" s="204"/>
      <c r="X72" s="204"/>
      <c r="Y72" s="204"/>
      <c r="Z72" s="204"/>
      <c r="AA72" s="204"/>
      <c r="AB72" s="204"/>
      <c r="AC72" s="204">
        <v>232640020.19</v>
      </c>
      <c r="AD72" s="204"/>
      <c r="AE72" s="204">
        <v>189641.63</v>
      </c>
      <c r="AF72" s="204"/>
      <c r="AG72" s="204"/>
      <c r="AH72" s="204"/>
      <c r="AI72" s="204"/>
      <c r="AJ72" s="204"/>
      <c r="AK72" s="204"/>
      <c r="AL72" s="204"/>
      <c r="AM72" s="204">
        <v>239835071.56</v>
      </c>
      <c r="AN72" s="204">
        <v>239835071.56</v>
      </c>
      <c r="AO72" s="205"/>
      <c r="AP72" s="205"/>
    </row>
    <row r="73" s="196" customFormat="1" hidden="1" customHeight="1" spans="1:42">
      <c r="A73" s="202" t="s">
        <v>185</v>
      </c>
      <c r="B73" s="203">
        <v>2639425</v>
      </c>
      <c r="C73" s="204">
        <v>1792838.6</v>
      </c>
      <c r="D73" s="204"/>
      <c r="E73" s="204"/>
      <c r="F73" s="204"/>
      <c r="G73" s="204"/>
      <c r="H73" s="204"/>
      <c r="I73" s="204"/>
      <c r="J73" s="204"/>
      <c r="K73" s="204"/>
      <c r="L73" s="204"/>
      <c r="M73" s="204"/>
      <c r="N73" s="204"/>
      <c r="O73" s="204"/>
      <c r="P73" s="204">
        <v>2663833.1</v>
      </c>
      <c r="Q73" s="204">
        <v>0</v>
      </c>
      <c r="R73" s="204">
        <v>248708</v>
      </c>
      <c r="S73" s="204"/>
      <c r="T73" s="204"/>
      <c r="U73" s="204"/>
      <c r="V73" s="204"/>
      <c r="W73" s="204"/>
      <c r="X73" s="204"/>
      <c r="Y73" s="204"/>
      <c r="Z73" s="204"/>
      <c r="AA73" s="204"/>
      <c r="AB73" s="204"/>
      <c r="AC73" s="204">
        <v>4885090.29</v>
      </c>
      <c r="AD73" s="204"/>
      <c r="AE73" s="204">
        <v>1273640.67</v>
      </c>
      <c r="AF73" s="204"/>
      <c r="AG73" s="204"/>
      <c r="AH73" s="204"/>
      <c r="AI73" s="204"/>
      <c r="AJ73" s="204"/>
      <c r="AK73" s="204"/>
      <c r="AL73" s="204"/>
      <c r="AM73" s="204">
        <v>6699768.63</v>
      </c>
      <c r="AN73" s="204">
        <v>8156564.4</v>
      </c>
      <c r="AO73" s="205"/>
      <c r="AP73" s="205"/>
    </row>
    <row r="74" s="196" customFormat="1" hidden="1" customHeight="1" spans="1:42">
      <c r="A74" s="202" t="s">
        <v>186</v>
      </c>
      <c r="B74" s="203"/>
      <c r="C74" s="204"/>
      <c r="D74" s="204"/>
      <c r="E74" s="204"/>
      <c r="F74" s="204"/>
      <c r="G74" s="204"/>
      <c r="H74" s="204"/>
      <c r="I74" s="204"/>
      <c r="J74" s="204"/>
      <c r="K74" s="204"/>
      <c r="L74" s="204"/>
      <c r="M74" s="204"/>
      <c r="N74" s="204"/>
      <c r="O74" s="204"/>
      <c r="P74" s="204">
        <v>6121926.3</v>
      </c>
      <c r="Q74" s="204">
        <v>0</v>
      </c>
      <c r="R74" s="204"/>
      <c r="S74" s="204"/>
      <c r="T74" s="204"/>
      <c r="U74" s="204"/>
      <c r="V74" s="204"/>
      <c r="W74" s="204"/>
      <c r="X74" s="204"/>
      <c r="Y74" s="204"/>
      <c r="Z74" s="204"/>
      <c r="AA74" s="204"/>
      <c r="AB74" s="204"/>
      <c r="AC74" s="204"/>
      <c r="AD74" s="204"/>
      <c r="AE74" s="204">
        <v>18445.95</v>
      </c>
      <c r="AF74" s="204"/>
      <c r="AG74" s="204"/>
      <c r="AH74" s="204"/>
      <c r="AI74" s="204"/>
      <c r="AJ74" s="204"/>
      <c r="AK74" s="204"/>
      <c r="AL74" s="204"/>
      <c r="AM74" s="204"/>
      <c r="AN74" s="204"/>
      <c r="AO74" s="205"/>
      <c r="AP74" s="205"/>
    </row>
    <row r="75" s="196" customFormat="1" hidden="1" customHeight="1" spans="1:42">
      <c r="A75" s="202" t="s">
        <v>187</v>
      </c>
      <c r="B75" s="203">
        <v>0</v>
      </c>
      <c r="C75" s="204">
        <v>279653</v>
      </c>
      <c r="D75" s="204"/>
      <c r="E75" s="204"/>
      <c r="F75" s="204"/>
      <c r="G75" s="204"/>
      <c r="H75" s="204"/>
      <c r="I75" s="204"/>
      <c r="J75" s="204"/>
      <c r="K75" s="204"/>
      <c r="L75" s="204"/>
      <c r="M75" s="204"/>
      <c r="N75" s="204">
        <v>499616</v>
      </c>
      <c r="O75" s="204"/>
      <c r="P75" s="204">
        <v>628061</v>
      </c>
      <c r="Q75" s="204">
        <v>0</v>
      </c>
      <c r="R75" s="204">
        <v>-51858.23</v>
      </c>
      <c r="S75" s="204"/>
      <c r="T75" s="204"/>
      <c r="U75" s="204"/>
      <c r="V75" s="204"/>
      <c r="W75" s="204"/>
      <c r="X75" s="204"/>
      <c r="Y75" s="204"/>
      <c r="Z75" s="204"/>
      <c r="AA75" s="204"/>
      <c r="AB75" s="204"/>
      <c r="AC75" s="204">
        <v>13508273.39</v>
      </c>
      <c r="AD75" s="204"/>
      <c r="AE75" s="204">
        <v>486752.56</v>
      </c>
      <c r="AF75" s="204"/>
      <c r="AG75" s="204"/>
      <c r="AH75" s="204"/>
      <c r="AI75" s="204"/>
      <c r="AJ75" s="204"/>
      <c r="AK75" s="204"/>
      <c r="AL75" s="204"/>
      <c r="AM75" s="204">
        <v>17673900.03</v>
      </c>
      <c r="AN75" s="204">
        <v>17402347.7</v>
      </c>
      <c r="AO75" s="205"/>
      <c r="AP75" s="205"/>
    </row>
    <row r="76" s="196" customFormat="1" hidden="1" customHeight="1" spans="1:42">
      <c r="A76" s="202" t="s">
        <v>188</v>
      </c>
      <c r="B76" s="203">
        <v>333953</v>
      </c>
      <c r="C76" s="204"/>
      <c r="D76" s="204"/>
      <c r="E76" s="204"/>
      <c r="F76" s="204"/>
      <c r="G76" s="204"/>
      <c r="H76" s="204"/>
      <c r="I76" s="204"/>
      <c r="J76" s="204"/>
      <c r="K76" s="204"/>
      <c r="L76" s="204"/>
      <c r="M76" s="204"/>
      <c r="N76" s="204">
        <v>204000</v>
      </c>
      <c r="O76" s="204"/>
      <c r="P76" s="204"/>
      <c r="Q76" s="204">
        <v>0</v>
      </c>
      <c r="R76" s="204">
        <v>-4128.44</v>
      </c>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5"/>
      <c r="AP76" s="205"/>
    </row>
    <row r="77" s="196" customFormat="1" hidden="1" customHeight="1" spans="1:42">
      <c r="A77" s="202" t="s">
        <v>189</v>
      </c>
      <c r="B77" s="203">
        <v>14484861</v>
      </c>
      <c r="C77" s="204"/>
      <c r="D77" s="204"/>
      <c r="E77" s="204"/>
      <c r="F77" s="204"/>
      <c r="G77" s="204"/>
      <c r="H77" s="204"/>
      <c r="I77" s="204"/>
      <c r="J77" s="204"/>
      <c r="K77" s="204"/>
      <c r="L77" s="204"/>
      <c r="M77" s="204"/>
      <c r="N77" s="204">
        <v>12974469</v>
      </c>
      <c r="O77" s="204"/>
      <c r="P77" s="204"/>
      <c r="Q77" s="204">
        <v>0</v>
      </c>
      <c r="R77" s="204"/>
      <c r="S77" s="204"/>
      <c r="T77" s="204"/>
      <c r="U77" s="204"/>
      <c r="V77" s="204"/>
      <c r="W77" s="204"/>
      <c r="X77" s="204"/>
      <c r="Y77" s="204"/>
      <c r="Z77" s="204"/>
      <c r="AA77" s="204"/>
      <c r="AB77" s="204"/>
      <c r="AC77" s="204">
        <v>-6300864</v>
      </c>
      <c r="AD77" s="204"/>
      <c r="AE77" s="204">
        <v>1863.25</v>
      </c>
      <c r="AF77" s="204"/>
      <c r="AG77" s="204"/>
      <c r="AH77" s="204"/>
      <c r="AI77" s="204"/>
      <c r="AJ77" s="204"/>
      <c r="AK77" s="204"/>
      <c r="AL77" s="204"/>
      <c r="AM77" s="204">
        <v>-6702251.42</v>
      </c>
      <c r="AN77" s="204"/>
      <c r="AO77" s="205"/>
      <c r="AP77" s="205"/>
    </row>
    <row r="78" s="196" customFormat="1" hidden="1" customHeight="1" spans="1:42">
      <c r="A78" s="202" t="s">
        <v>190</v>
      </c>
      <c r="B78" s="203">
        <v>23243740.99</v>
      </c>
      <c r="C78" s="204"/>
      <c r="D78" s="204"/>
      <c r="E78" s="204"/>
      <c r="F78" s="204"/>
      <c r="G78" s="204"/>
      <c r="H78" s="204"/>
      <c r="I78" s="204"/>
      <c r="J78" s="204"/>
      <c r="K78" s="204"/>
      <c r="L78" s="204"/>
      <c r="M78" s="204"/>
      <c r="N78" s="204">
        <v>26063676.15</v>
      </c>
      <c r="O78" s="204"/>
      <c r="P78" s="204"/>
      <c r="Q78" s="204">
        <v>0</v>
      </c>
      <c r="R78" s="204">
        <v>1716501.88</v>
      </c>
      <c r="S78" s="204"/>
      <c r="T78" s="204"/>
      <c r="U78" s="204"/>
      <c r="V78" s="204"/>
      <c r="W78" s="204"/>
      <c r="X78" s="204"/>
      <c r="Y78" s="204"/>
      <c r="Z78" s="204">
        <v>10554.37</v>
      </c>
      <c r="AA78" s="204"/>
      <c r="AB78" s="204"/>
      <c r="AC78" s="204">
        <v>77048326.76</v>
      </c>
      <c r="AD78" s="204"/>
      <c r="AE78" s="204">
        <v>1951269.45</v>
      </c>
      <c r="AF78" s="204"/>
      <c r="AG78" s="204"/>
      <c r="AH78" s="204"/>
      <c r="AI78" s="204"/>
      <c r="AJ78" s="204"/>
      <c r="AK78" s="204"/>
      <c r="AL78" s="204"/>
      <c r="AM78" s="204">
        <v>79186358.43</v>
      </c>
      <c r="AN78" s="204">
        <v>77322055.1</v>
      </c>
      <c r="AO78" s="205"/>
      <c r="AP78" s="205"/>
    </row>
    <row r="79" s="196" customFormat="1" hidden="1" customHeight="1" spans="1:42">
      <c r="A79" s="202" t="s">
        <v>191</v>
      </c>
      <c r="B79" s="203">
        <v>392940</v>
      </c>
      <c r="C79" s="204"/>
      <c r="D79" s="204"/>
      <c r="E79" s="204"/>
      <c r="F79" s="204"/>
      <c r="G79" s="204"/>
      <c r="H79" s="204"/>
      <c r="I79" s="204"/>
      <c r="J79" s="204"/>
      <c r="K79" s="204"/>
      <c r="L79" s="204"/>
      <c r="M79" s="204"/>
      <c r="N79" s="204">
        <v>460000</v>
      </c>
      <c r="O79" s="204"/>
      <c r="P79" s="204"/>
      <c r="Q79" s="204">
        <v>0</v>
      </c>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5"/>
      <c r="AP79" s="205"/>
    </row>
    <row r="80" s="196" customFormat="1" hidden="1" customHeight="1" spans="1:42">
      <c r="A80" s="202" t="s">
        <v>192</v>
      </c>
      <c r="B80" s="203">
        <v>21982128.05</v>
      </c>
      <c r="C80" s="204"/>
      <c r="D80" s="204"/>
      <c r="E80" s="204"/>
      <c r="F80" s="204"/>
      <c r="G80" s="204"/>
      <c r="H80" s="204"/>
      <c r="I80" s="204"/>
      <c r="J80" s="204"/>
      <c r="K80" s="204"/>
      <c r="L80" s="204"/>
      <c r="M80" s="204"/>
      <c r="N80" s="204">
        <v>7810000</v>
      </c>
      <c r="O80" s="204"/>
      <c r="P80" s="204"/>
      <c r="Q80" s="204">
        <v>0</v>
      </c>
      <c r="R80" s="204">
        <v>1170175.72</v>
      </c>
      <c r="S80" s="204"/>
      <c r="T80" s="204"/>
      <c r="U80" s="204"/>
      <c r="V80" s="204"/>
      <c r="W80" s="204"/>
      <c r="X80" s="204"/>
      <c r="Y80" s="204"/>
      <c r="Z80" s="204"/>
      <c r="AA80" s="204"/>
      <c r="AB80" s="204"/>
      <c r="AC80" s="204">
        <v>44590585.08</v>
      </c>
      <c r="AD80" s="204"/>
      <c r="AE80" s="204">
        <v>103307.08</v>
      </c>
      <c r="AF80" s="204"/>
      <c r="AG80" s="204"/>
      <c r="AH80" s="204"/>
      <c r="AI80" s="204"/>
      <c r="AJ80" s="204"/>
      <c r="AK80" s="204"/>
      <c r="AL80" s="204"/>
      <c r="AM80" s="204">
        <v>46937457.98</v>
      </c>
      <c r="AN80" s="204">
        <v>59914301.66</v>
      </c>
      <c r="AO80" s="205"/>
      <c r="AP80" s="205"/>
    </row>
    <row r="81" s="196" customFormat="1" hidden="1" customHeight="1" spans="1:42">
      <c r="A81" s="202" t="s">
        <v>193</v>
      </c>
      <c r="B81" s="203"/>
      <c r="C81" s="204"/>
      <c r="D81" s="204"/>
      <c r="E81" s="204"/>
      <c r="F81" s="204"/>
      <c r="G81" s="204"/>
      <c r="H81" s="204"/>
      <c r="I81" s="204"/>
      <c r="J81" s="204"/>
      <c r="K81" s="204"/>
      <c r="L81" s="204"/>
      <c r="M81" s="204"/>
      <c r="N81" s="204"/>
      <c r="O81" s="204"/>
      <c r="P81" s="204"/>
      <c r="Q81" s="204">
        <v>0</v>
      </c>
      <c r="R81" s="204"/>
      <c r="S81" s="204"/>
      <c r="T81" s="204"/>
      <c r="U81" s="204"/>
      <c r="V81" s="204"/>
      <c r="W81" s="204"/>
      <c r="X81" s="204"/>
      <c r="Y81" s="204"/>
      <c r="Z81" s="204"/>
      <c r="AA81" s="204">
        <v>352123.9</v>
      </c>
      <c r="AB81" s="204"/>
      <c r="AC81" s="204"/>
      <c r="AD81" s="204"/>
      <c r="AE81" s="204"/>
      <c r="AF81" s="204"/>
      <c r="AG81" s="204"/>
      <c r="AH81" s="204"/>
      <c r="AI81" s="204"/>
      <c r="AJ81" s="204"/>
      <c r="AK81" s="204"/>
      <c r="AL81" s="204"/>
      <c r="AM81" s="204"/>
      <c r="AN81" s="204"/>
      <c r="AO81" s="205"/>
      <c r="AP81" s="205"/>
    </row>
    <row r="82" s="196" customFormat="1" hidden="1" customHeight="1" spans="1:42">
      <c r="A82" s="202" t="s">
        <v>194</v>
      </c>
      <c r="B82" s="203">
        <v>2143921.81</v>
      </c>
      <c r="C82" s="204"/>
      <c r="D82" s="204"/>
      <c r="E82" s="204"/>
      <c r="F82" s="204"/>
      <c r="G82" s="204"/>
      <c r="H82" s="204"/>
      <c r="I82" s="204"/>
      <c r="J82" s="204"/>
      <c r="K82" s="204"/>
      <c r="L82" s="204">
        <v>1105196.36</v>
      </c>
      <c r="M82" s="204">
        <v>0</v>
      </c>
      <c r="N82" s="204">
        <v>2914030.89</v>
      </c>
      <c r="O82" s="204"/>
      <c r="P82" s="204"/>
      <c r="Q82" s="204">
        <v>0</v>
      </c>
      <c r="R82" s="204">
        <v>268275.8</v>
      </c>
      <c r="S82" s="204"/>
      <c r="T82" s="204"/>
      <c r="U82" s="204"/>
      <c r="V82" s="204"/>
      <c r="W82" s="204">
        <v>305469.51</v>
      </c>
      <c r="X82" s="204"/>
      <c r="Y82" s="204"/>
      <c r="Z82" s="204"/>
      <c r="AA82" s="204">
        <v>2886460.07</v>
      </c>
      <c r="AB82" s="204"/>
      <c r="AC82" s="204">
        <v>21272294.06</v>
      </c>
      <c r="AD82" s="204"/>
      <c r="AE82" s="204"/>
      <c r="AF82" s="204"/>
      <c r="AG82" s="204"/>
      <c r="AH82" s="204"/>
      <c r="AI82" s="204"/>
      <c r="AJ82" s="204"/>
      <c r="AK82" s="204"/>
      <c r="AL82" s="204"/>
      <c r="AM82" s="204">
        <v>22043828.05</v>
      </c>
      <c r="AN82" s="204">
        <v>22043827.93</v>
      </c>
      <c r="AO82" s="205"/>
      <c r="AP82" s="205"/>
    </row>
    <row r="83" s="196" customFormat="1" hidden="1" customHeight="1" spans="1:42">
      <c r="A83" s="202" t="s">
        <v>195</v>
      </c>
      <c r="B83" s="203">
        <v>-14400000</v>
      </c>
      <c r="C83" s="204"/>
      <c r="D83" s="204"/>
      <c r="E83" s="204"/>
      <c r="F83" s="204"/>
      <c r="G83" s="204"/>
      <c r="H83" s="204"/>
      <c r="I83" s="204"/>
      <c r="J83" s="204"/>
      <c r="K83" s="204"/>
      <c r="L83" s="204"/>
      <c r="M83" s="204"/>
      <c r="N83" s="204"/>
      <c r="O83" s="204"/>
      <c r="P83" s="204">
        <v>-1188990.83</v>
      </c>
      <c r="Q83" s="204">
        <v>-1188990.83</v>
      </c>
      <c r="R83" s="204"/>
      <c r="S83" s="204"/>
      <c r="T83" s="204"/>
      <c r="U83" s="204"/>
      <c r="V83" s="204"/>
      <c r="W83" s="204"/>
      <c r="X83" s="204"/>
      <c r="Y83" s="204"/>
      <c r="Z83" s="204"/>
      <c r="AA83" s="204"/>
      <c r="AB83" s="204"/>
      <c r="AC83" s="204">
        <v>12814678.9</v>
      </c>
      <c r="AD83" s="204"/>
      <c r="AE83" s="204"/>
      <c r="AF83" s="204"/>
      <c r="AG83" s="204"/>
      <c r="AH83" s="204"/>
      <c r="AI83" s="204"/>
      <c r="AJ83" s="204"/>
      <c r="AK83" s="204"/>
      <c r="AL83" s="204"/>
      <c r="AM83" s="204">
        <v>13211009.17</v>
      </c>
      <c r="AN83" s="204"/>
      <c r="AO83" s="205"/>
      <c r="AP83" s="205"/>
    </row>
    <row r="84" s="196" customFormat="1" hidden="1" customHeight="1" spans="1:42">
      <c r="A84" s="202" t="s">
        <v>196</v>
      </c>
      <c r="B84" s="203">
        <v>-8072130</v>
      </c>
      <c r="C84" s="204">
        <v>15659932.2</v>
      </c>
      <c r="D84" s="204"/>
      <c r="E84" s="204"/>
      <c r="F84" s="204"/>
      <c r="G84" s="204"/>
      <c r="H84" s="204"/>
      <c r="I84" s="204"/>
      <c r="J84" s="204"/>
      <c r="K84" s="204"/>
      <c r="L84" s="204"/>
      <c r="M84" s="204">
        <v>163565.4</v>
      </c>
      <c r="N84" s="204"/>
      <c r="O84" s="204"/>
      <c r="P84" s="204">
        <v>6086116.94</v>
      </c>
      <c r="Q84" s="204">
        <v>-1986013.06</v>
      </c>
      <c r="R84" s="204">
        <v>0</v>
      </c>
      <c r="S84" s="204"/>
      <c r="T84" s="204"/>
      <c r="U84" s="204"/>
      <c r="V84" s="204"/>
      <c r="W84" s="204"/>
      <c r="X84" s="204"/>
      <c r="Y84" s="204"/>
      <c r="Z84" s="204"/>
      <c r="AA84" s="204"/>
      <c r="AB84" s="204"/>
      <c r="AC84" s="204"/>
      <c r="AD84" s="204"/>
      <c r="AE84" s="204"/>
      <c r="AF84" s="204"/>
      <c r="AG84" s="204"/>
      <c r="AH84" s="204"/>
      <c r="AI84" s="204"/>
      <c r="AJ84" s="204"/>
      <c r="AK84" s="204"/>
      <c r="AL84" s="204"/>
      <c r="AM84" s="204"/>
      <c r="AN84" s="204">
        <v>14961307.71</v>
      </c>
      <c r="AO84" s="205"/>
      <c r="AP84" s="205"/>
    </row>
    <row r="85" s="196" customFormat="1" hidden="1" customHeight="1" spans="1:42">
      <c r="A85" s="202" t="s">
        <v>197</v>
      </c>
      <c r="B85" s="203"/>
      <c r="C85" s="204"/>
      <c r="D85" s="204"/>
      <c r="E85" s="204"/>
      <c r="F85" s="204"/>
      <c r="G85" s="204"/>
      <c r="H85" s="204"/>
      <c r="I85" s="204"/>
      <c r="J85" s="204"/>
      <c r="K85" s="204"/>
      <c r="L85" s="204"/>
      <c r="M85" s="204">
        <v>0</v>
      </c>
      <c r="N85" s="204"/>
      <c r="O85" s="204"/>
      <c r="P85" s="204"/>
      <c r="Q85" s="204">
        <v>0</v>
      </c>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5"/>
      <c r="AP85" s="205"/>
    </row>
    <row r="86" s="196" customFormat="1" hidden="1" customHeight="1" spans="1:42">
      <c r="A86" s="202" t="s">
        <v>198</v>
      </c>
      <c r="B86" s="203">
        <v>10756979.05</v>
      </c>
      <c r="C86" s="204"/>
      <c r="D86" s="204"/>
      <c r="E86" s="204"/>
      <c r="F86" s="204"/>
      <c r="G86" s="204"/>
      <c r="H86" s="204"/>
      <c r="I86" s="204"/>
      <c r="J86" s="204"/>
      <c r="K86" s="204"/>
      <c r="L86" s="204"/>
      <c r="M86" s="204"/>
      <c r="N86" s="204"/>
      <c r="O86" s="204"/>
      <c r="P86" s="204"/>
      <c r="Q86" s="204">
        <v>0</v>
      </c>
      <c r="R86" s="204">
        <v>0</v>
      </c>
      <c r="S86" s="204"/>
      <c r="T86" s="204"/>
      <c r="U86" s="204"/>
      <c r="V86" s="204"/>
      <c r="W86" s="204"/>
      <c r="X86" s="204"/>
      <c r="Y86" s="204"/>
      <c r="Z86" s="204"/>
      <c r="AA86" s="204"/>
      <c r="AB86" s="204"/>
      <c r="AC86" s="204">
        <v>-7397990</v>
      </c>
      <c r="AD86" s="204"/>
      <c r="AE86" s="204"/>
      <c r="AF86" s="204"/>
      <c r="AG86" s="204"/>
      <c r="AH86" s="204"/>
      <c r="AI86" s="204"/>
      <c r="AJ86" s="204"/>
      <c r="AK86" s="204"/>
      <c r="AL86" s="204"/>
      <c r="AM86" s="204"/>
      <c r="AN86" s="204"/>
      <c r="AO86" s="205"/>
      <c r="AP86" s="205"/>
    </row>
    <row r="87" s="196" customFormat="1" hidden="1" customHeight="1" spans="1:42">
      <c r="A87" s="202" t="s">
        <v>199</v>
      </c>
      <c r="B87" s="203"/>
      <c r="C87" s="204">
        <v>15000000</v>
      </c>
      <c r="D87" s="204"/>
      <c r="E87" s="204"/>
      <c r="F87" s="204"/>
      <c r="G87" s="204"/>
      <c r="H87" s="204"/>
      <c r="I87" s="204"/>
      <c r="J87" s="204"/>
      <c r="K87" s="204"/>
      <c r="L87" s="204"/>
      <c r="M87" s="204"/>
      <c r="N87" s="204"/>
      <c r="O87" s="204"/>
      <c r="P87" s="204">
        <v>59270001.2</v>
      </c>
      <c r="Q87" s="204">
        <v>0</v>
      </c>
      <c r="R87" s="204"/>
      <c r="S87" s="204"/>
      <c r="T87" s="204"/>
      <c r="U87" s="204"/>
      <c r="V87" s="204"/>
      <c r="W87" s="204"/>
      <c r="X87" s="204"/>
      <c r="Y87" s="204"/>
      <c r="Z87" s="204"/>
      <c r="AA87" s="204"/>
      <c r="AB87" s="204">
        <v>173494.72</v>
      </c>
      <c r="AC87" s="204"/>
      <c r="AD87" s="204"/>
      <c r="AE87" s="204">
        <v>448228.8</v>
      </c>
      <c r="AF87" s="204"/>
      <c r="AG87" s="204"/>
      <c r="AH87" s="204"/>
      <c r="AI87" s="204"/>
      <c r="AJ87" s="204"/>
      <c r="AK87" s="204"/>
      <c r="AL87" s="204"/>
      <c r="AM87" s="204"/>
      <c r="AN87" s="204"/>
      <c r="AO87" s="205"/>
      <c r="AP87" s="205"/>
    </row>
    <row r="88" s="196" customFormat="1" hidden="1" customHeight="1" spans="1:42">
      <c r="A88" s="202" t="s">
        <v>200</v>
      </c>
      <c r="B88" s="203"/>
      <c r="C88" s="204">
        <v>9400000</v>
      </c>
      <c r="D88" s="204"/>
      <c r="E88" s="204"/>
      <c r="F88" s="204"/>
      <c r="G88" s="204"/>
      <c r="H88" s="204"/>
      <c r="I88" s="204"/>
      <c r="J88" s="204"/>
      <c r="K88" s="204"/>
      <c r="L88" s="204"/>
      <c r="M88" s="204"/>
      <c r="N88" s="204">
        <v>2379200.37</v>
      </c>
      <c r="O88" s="204">
        <v>2379200.37</v>
      </c>
      <c r="P88" s="204">
        <v>25040778.31</v>
      </c>
      <c r="Q88" s="204">
        <v>-2515121.69</v>
      </c>
      <c r="R88" s="204"/>
      <c r="S88" s="204"/>
      <c r="T88" s="204"/>
      <c r="U88" s="204"/>
      <c r="V88" s="204"/>
      <c r="W88" s="204"/>
      <c r="X88" s="204"/>
      <c r="Y88" s="204"/>
      <c r="Z88" s="204"/>
      <c r="AA88" s="204"/>
      <c r="AB88" s="204">
        <v>85471.1</v>
      </c>
      <c r="AC88" s="204"/>
      <c r="AD88" s="204"/>
      <c r="AE88" s="204">
        <v>95255.39</v>
      </c>
      <c r="AF88" s="204"/>
      <c r="AG88" s="204"/>
      <c r="AH88" s="204"/>
      <c r="AI88" s="204"/>
      <c r="AJ88" s="204"/>
      <c r="AK88" s="204"/>
      <c r="AL88" s="204"/>
      <c r="AM88" s="204"/>
      <c r="AN88" s="204"/>
      <c r="AO88" s="205"/>
      <c r="AP88" s="205"/>
    </row>
    <row r="89" s="196" customFormat="1" hidden="1" customHeight="1" spans="1:42">
      <c r="A89" s="202" t="s">
        <v>201</v>
      </c>
      <c r="B89" s="203">
        <v>12295589.44</v>
      </c>
      <c r="C89" s="204">
        <v>0</v>
      </c>
      <c r="D89" s="204"/>
      <c r="E89" s="204"/>
      <c r="F89" s="204"/>
      <c r="G89" s="204"/>
      <c r="H89" s="204"/>
      <c r="I89" s="204"/>
      <c r="J89" s="204"/>
      <c r="K89" s="204"/>
      <c r="L89" s="204"/>
      <c r="M89" s="204">
        <v>5343804.83</v>
      </c>
      <c r="N89" s="204">
        <v>29700719.25</v>
      </c>
      <c r="O89" s="204"/>
      <c r="P89" s="204"/>
      <c r="Q89" s="204">
        <v>0</v>
      </c>
      <c r="R89" s="204">
        <v>1800291.21</v>
      </c>
      <c r="S89" s="204"/>
      <c r="T89" s="204"/>
      <c r="U89" s="204"/>
      <c r="V89" s="204"/>
      <c r="W89" s="204">
        <v>2599692.75</v>
      </c>
      <c r="X89" s="204"/>
      <c r="Y89" s="204"/>
      <c r="Z89" s="204"/>
      <c r="AA89" s="204"/>
      <c r="AB89" s="204">
        <v>362362.79</v>
      </c>
      <c r="AC89" s="204">
        <v>71659411.92</v>
      </c>
      <c r="AD89" s="204"/>
      <c r="AE89" s="204">
        <v>729807.92</v>
      </c>
      <c r="AF89" s="204"/>
      <c r="AG89" s="204"/>
      <c r="AH89" s="204"/>
      <c r="AI89" s="204"/>
      <c r="AJ89" s="204"/>
      <c r="AK89" s="204"/>
      <c r="AL89" s="204"/>
      <c r="AM89" s="204">
        <v>73875682.39</v>
      </c>
      <c r="AN89" s="204">
        <v>73875682.82</v>
      </c>
      <c r="AO89" s="205"/>
      <c r="AP89" s="205"/>
    </row>
    <row r="90" s="196" customFormat="1" hidden="1" customHeight="1" spans="1:42">
      <c r="A90" s="202" t="s">
        <v>202</v>
      </c>
      <c r="B90" s="203"/>
      <c r="C90" s="204"/>
      <c r="D90" s="204"/>
      <c r="E90" s="204"/>
      <c r="F90" s="204"/>
      <c r="G90" s="204"/>
      <c r="H90" s="204"/>
      <c r="I90" s="204"/>
      <c r="J90" s="204"/>
      <c r="K90" s="204"/>
      <c r="L90" s="204"/>
      <c r="M90" s="204"/>
      <c r="N90" s="204"/>
      <c r="O90" s="204"/>
      <c r="P90" s="204"/>
      <c r="Q90" s="204">
        <v>0</v>
      </c>
      <c r="R90" s="204"/>
      <c r="S90" s="204"/>
      <c r="T90" s="204"/>
      <c r="U90" s="204"/>
      <c r="V90" s="204"/>
      <c r="W90" s="204"/>
      <c r="X90" s="204"/>
      <c r="Y90" s="204"/>
      <c r="Z90" s="204"/>
      <c r="AA90" s="204"/>
      <c r="AB90" s="204"/>
      <c r="AC90" s="204"/>
      <c r="AD90" s="204"/>
      <c r="AE90" s="204">
        <v>319.26</v>
      </c>
      <c r="AF90" s="204"/>
      <c r="AG90" s="204"/>
      <c r="AH90" s="204"/>
      <c r="AI90" s="204"/>
      <c r="AJ90" s="204"/>
      <c r="AK90" s="204"/>
      <c r="AL90" s="204"/>
      <c r="AM90" s="204"/>
      <c r="AN90" s="204"/>
      <c r="AO90" s="205"/>
      <c r="AP90" s="205"/>
    </row>
    <row r="91" s="196" customFormat="1" hidden="1" customHeight="1" spans="1:42">
      <c r="A91" s="202" t="s">
        <v>203</v>
      </c>
      <c r="B91" s="203">
        <v>1439450.2</v>
      </c>
      <c r="C91" s="204"/>
      <c r="D91" s="204"/>
      <c r="E91" s="204"/>
      <c r="F91" s="204"/>
      <c r="G91" s="204"/>
      <c r="H91" s="204"/>
      <c r="I91" s="204"/>
      <c r="J91" s="204"/>
      <c r="K91" s="204"/>
      <c r="L91" s="204"/>
      <c r="M91" s="204"/>
      <c r="N91" s="204">
        <v>20424.84</v>
      </c>
      <c r="O91" s="204"/>
      <c r="P91" s="204"/>
      <c r="Q91" s="204">
        <v>0</v>
      </c>
      <c r="R91" s="204"/>
      <c r="S91" s="204"/>
      <c r="T91" s="204"/>
      <c r="U91" s="204"/>
      <c r="V91" s="204"/>
      <c r="W91" s="204"/>
      <c r="X91" s="204"/>
      <c r="Y91" s="204"/>
      <c r="Z91" s="204"/>
      <c r="AA91" s="204">
        <v>1699766.84</v>
      </c>
      <c r="AB91" s="204"/>
      <c r="AC91" s="204">
        <v>2860306.02</v>
      </c>
      <c r="AD91" s="204"/>
      <c r="AE91" s="204">
        <v>60800.8</v>
      </c>
      <c r="AF91" s="204"/>
      <c r="AG91" s="204"/>
      <c r="AH91" s="204"/>
      <c r="AI91" s="204"/>
      <c r="AJ91" s="204"/>
      <c r="AK91" s="204"/>
      <c r="AL91" s="204"/>
      <c r="AM91" s="204">
        <v>3287708.07</v>
      </c>
      <c r="AN91" s="204">
        <v>5307755.89</v>
      </c>
      <c r="AO91" s="205"/>
      <c r="AP91" s="205"/>
    </row>
    <row r="92" s="196" customFormat="1" hidden="1" customHeight="1" spans="1:42">
      <c r="A92" s="202" t="s">
        <v>204</v>
      </c>
      <c r="B92" s="203">
        <v>107844775.72</v>
      </c>
      <c r="C92" s="204">
        <v>-851293.97</v>
      </c>
      <c r="D92" s="204"/>
      <c r="E92" s="204"/>
      <c r="F92" s="204"/>
      <c r="G92" s="204"/>
      <c r="H92" s="204"/>
      <c r="I92" s="204"/>
      <c r="J92" s="204"/>
      <c r="K92" s="204"/>
      <c r="L92" s="204"/>
      <c r="M92" s="204"/>
      <c r="N92" s="204">
        <v>83456344.5</v>
      </c>
      <c r="O92" s="204"/>
      <c r="P92" s="204">
        <v>18405485.37</v>
      </c>
      <c r="Q92" s="204">
        <v>0</v>
      </c>
      <c r="R92" s="204">
        <v>4555559.77</v>
      </c>
      <c r="S92" s="204"/>
      <c r="T92" s="204"/>
      <c r="U92" s="204"/>
      <c r="V92" s="204"/>
      <c r="W92" s="204"/>
      <c r="X92" s="204"/>
      <c r="Y92" s="204"/>
      <c r="Z92" s="204"/>
      <c r="AA92" s="204"/>
      <c r="AB92" s="204"/>
      <c r="AC92" s="204">
        <v>364230363.21</v>
      </c>
      <c r="AD92" s="204"/>
      <c r="AE92" s="204">
        <v>178253.03</v>
      </c>
      <c r="AF92" s="204"/>
      <c r="AG92" s="204"/>
      <c r="AH92" s="204"/>
      <c r="AI92" s="204"/>
      <c r="AJ92" s="204"/>
      <c r="AK92" s="204"/>
      <c r="AL92" s="204"/>
      <c r="AM92" s="204">
        <v>368112977.85</v>
      </c>
      <c r="AN92" s="204">
        <v>370622869.29</v>
      </c>
      <c r="AO92" s="205"/>
      <c r="AP92" s="205"/>
    </row>
    <row r="93" s="196" customFormat="1" hidden="1" customHeight="1" spans="1:42">
      <c r="A93" s="202" t="s">
        <v>205</v>
      </c>
      <c r="B93" s="203">
        <v>520414</v>
      </c>
      <c r="C93" s="204"/>
      <c r="D93" s="204"/>
      <c r="E93" s="204"/>
      <c r="F93" s="204"/>
      <c r="G93" s="204"/>
      <c r="H93" s="204"/>
      <c r="I93" s="204"/>
      <c r="J93" s="204"/>
      <c r="K93" s="204"/>
      <c r="L93" s="204"/>
      <c r="M93" s="204"/>
      <c r="N93" s="204">
        <v>831234.68</v>
      </c>
      <c r="O93" s="204"/>
      <c r="P93" s="204"/>
      <c r="Q93" s="204">
        <v>0</v>
      </c>
      <c r="R93" s="204"/>
      <c r="S93" s="204"/>
      <c r="T93" s="204"/>
      <c r="U93" s="204"/>
      <c r="V93" s="204"/>
      <c r="W93" s="204"/>
      <c r="X93" s="204"/>
      <c r="Y93" s="204"/>
      <c r="Z93" s="204"/>
      <c r="AA93" s="204">
        <v>21707009.05</v>
      </c>
      <c r="AB93" s="204"/>
      <c r="AC93" s="204"/>
      <c r="AD93" s="204"/>
      <c r="AE93" s="204">
        <v>447849.49</v>
      </c>
      <c r="AF93" s="204"/>
      <c r="AG93" s="204"/>
      <c r="AH93" s="204"/>
      <c r="AI93" s="204"/>
      <c r="AJ93" s="204"/>
      <c r="AK93" s="204"/>
      <c r="AL93" s="204"/>
      <c r="AM93" s="204"/>
      <c r="AN93" s="204"/>
      <c r="AO93" s="205"/>
      <c r="AP93" s="205"/>
    </row>
    <row r="94" s="196" customFormat="1" hidden="1" customHeight="1" spans="1:42">
      <c r="A94" s="202" t="s">
        <v>206</v>
      </c>
      <c r="B94" s="203">
        <v>-11455679</v>
      </c>
      <c r="C94" s="204"/>
      <c r="D94" s="204"/>
      <c r="E94" s="204"/>
      <c r="F94" s="204"/>
      <c r="G94" s="204"/>
      <c r="H94" s="204"/>
      <c r="I94" s="204"/>
      <c r="J94" s="204"/>
      <c r="K94" s="204"/>
      <c r="L94" s="204"/>
      <c r="M94" s="204"/>
      <c r="N94" s="204">
        <v>-2351293.85</v>
      </c>
      <c r="O94" s="204"/>
      <c r="P94" s="204">
        <v>1468473.75</v>
      </c>
      <c r="Q94" s="204">
        <v>-1163173.75</v>
      </c>
      <c r="R94" s="204"/>
      <c r="S94" s="204"/>
      <c r="T94" s="204"/>
      <c r="U94" s="204"/>
      <c r="V94" s="204"/>
      <c r="W94" s="204"/>
      <c r="X94" s="204"/>
      <c r="Y94" s="204"/>
      <c r="Z94" s="204"/>
      <c r="AA94" s="204">
        <v>3713628.33</v>
      </c>
      <c r="AB94" s="204"/>
      <c r="AC94" s="204">
        <v>11021132.81</v>
      </c>
      <c r="AD94" s="204">
        <v>179000.58</v>
      </c>
      <c r="AE94" s="204">
        <v>47327.76</v>
      </c>
      <c r="AF94" s="204"/>
      <c r="AG94" s="204"/>
      <c r="AH94" s="204"/>
      <c r="AI94" s="204"/>
      <c r="AJ94" s="204"/>
      <c r="AK94" s="204"/>
      <c r="AL94" s="204"/>
      <c r="AM94" s="204">
        <v>11246053.89</v>
      </c>
      <c r="AN94" s="204"/>
      <c r="AO94" s="205"/>
      <c r="AP94" s="205"/>
    </row>
    <row r="95" s="196" customFormat="1" customHeight="1" spans="1:42">
      <c r="A95" s="202" t="s">
        <v>207</v>
      </c>
      <c r="B95" s="203">
        <v>-1295271.41</v>
      </c>
      <c r="C95" s="204"/>
      <c r="D95" s="204"/>
      <c r="E95" s="204"/>
      <c r="F95" s="204"/>
      <c r="G95" s="204"/>
      <c r="H95" s="204"/>
      <c r="I95" s="204"/>
      <c r="J95" s="204"/>
      <c r="K95" s="204"/>
      <c r="L95" s="204"/>
      <c r="M95" s="204"/>
      <c r="N95" s="204">
        <v>66000</v>
      </c>
      <c r="O95" s="204"/>
      <c r="P95" s="204"/>
      <c r="Q95" s="204">
        <v>-102728.59</v>
      </c>
      <c r="R95" s="204">
        <v>-28333.55</v>
      </c>
      <c r="S95" s="204"/>
      <c r="T95" s="204"/>
      <c r="U95" s="204"/>
      <c r="V95" s="204"/>
      <c r="W95" s="204"/>
      <c r="X95" s="204"/>
      <c r="Y95" s="204"/>
      <c r="Z95" s="204"/>
      <c r="AA95" s="204">
        <v>3811260.3</v>
      </c>
      <c r="AB95" s="204"/>
      <c r="AC95" s="204">
        <v>43146228.81</v>
      </c>
      <c r="AD95" s="204"/>
      <c r="AE95" s="204">
        <v>226992.11</v>
      </c>
      <c r="AF95" s="204"/>
      <c r="AG95" s="204"/>
      <c r="AH95" s="204"/>
      <c r="AI95" s="204"/>
      <c r="AJ95" s="204"/>
      <c r="AK95" s="204"/>
      <c r="AL95" s="204"/>
      <c r="AM95" s="204">
        <v>31076474.17</v>
      </c>
      <c r="AN95" s="204">
        <v>29268155.97</v>
      </c>
      <c r="AO95" s="205"/>
      <c r="AP95" s="205"/>
    </row>
    <row r="96" s="196" customFormat="1" hidden="1" customHeight="1" spans="1:42">
      <c r="A96" s="202" t="s">
        <v>208</v>
      </c>
      <c r="B96" s="203">
        <v>304000</v>
      </c>
      <c r="C96" s="204">
        <v>314638</v>
      </c>
      <c r="D96" s="204"/>
      <c r="E96" s="204"/>
      <c r="F96" s="204"/>
      <c r="G96" s="204"/>
      <c r="H96" s="204"/>
      <c r="I96" s="204"/>
      <c r="J96" s="204"/>
      <c r="K96" s="204"/>
      <c r="L96" s="204"/>
      <c r="M96" s="204"/>
      <c r="N96" s="204">
        <v>656255.84</v>
      </c>
      <c r="O96" s="204">
        <v>25979.28</v>
      </c>
      <c r="P96" s="204">
        <v>321715</v>
      </c>
      <c r="Q96" s="204">
        <v>0</v>
      </c>
      <c r="R96" s="204">
        <v>-9326.07</v>
      </c>
      <c r="S96" s="204"/>
      <c r="T96" s="204"/>
      <c r="U96" s="204"/>
      <c r="V96" s="204"/>
      <c r="W96" s="204"/>
      <c r="X96" s="204"/>
      <c r="Y96" s="204"/>
      <c r="Z96" s="204"/>
      <c r="AA96" s="204">
        <v>1215624.19</v>
      </c>
      <c r="AB96" s="204"/>
      <c r="AC96" s="204">
        <v>17459405.45</v>
      </c>
      <c r="AD96" s="204"/>
      <c r="AE96" s="204">
        <v>60283.69</v>
      </c>
      <c r="AF96" s="204"/>
      <c r="AG96" s="204"/>
      <c r="AH96" s="204"/>
      <c r="AI96" s="204"/>
      <c r="AJ96" s="204"/>
      <c r="AK96" s="204"/>
      <c r="AL96" s="204"/>
      <c r="AM96" s="204">
        <v>10512225.96</v>
      </c>
      <c r="AN96" s="204">
        <v>7767550.46</v>
      </c>
      <c r="AO96" s="205"/>
      <c r="AP96" s="205"/>
    </row>
    <row r="97" s="196" customFormat="1" hidden="1" customHeight="1" spans="1:42">
      <c r="A97" s="202" t="s">
        <v>209</v>
      </c>
      <c r="B97" s="203">
        <v>665320</v>
      </c>
      <c r="C97" s="204">
        <v>1307339.13</v>
      </c>
      <c r="D97" s="204"/>
      <c r="E97" s="204"/>
      <c r="F97" s="204"/>
      <c r="G97" s="204"/>
      <c r="H97" s="204"/>
      <c r="I97" s="204"/>
      <c r="J97" s="204"/>
      <c r="K97" s="204"/>
      <c r="L97" s="204"/>
      <c r="M97" s="204"/>
      <c r="N97" s="204">
        <v>139020.43</v>
      </c>
      <c r="O97" s="204"/>
      <c r="P97" s="204"/>
      <c r="Q97" s="204">
        <v>0</v>
      </c>
      <c r="R97" s="204">
        <v>37659.62</v>
      </c>
      <c r="S97" s="204"/>
      <c r="T97" s="204"/>
      <c r="U97" s="204"/>
      <c r="V97" s="204"/>
      <c r="W97" s="204"/>
      <c r="X97" s="204"/>
      <c r="Y97" s="204"/>
      <c r="Z97" s="204"/>
      <c r="AA97" s="204">
        <v>8074168.16</v>
      </c>
      <c r="AB97" s="204"/>
      <c r="AC97" s="204">
        <v>62281272.23</v>
      </c>
      <c r="AD97" s="204"/>
      <c r="AE97" s="204">
        <v>396012.18</v>
      </c>
      <c r="AF97" s="204"/>
      <c r="AG97" s="204"/>
      <c r="AH97" s="204"/>
      <c r="AI97" s="204"/>
      <c r="AJ97" s="204"/>
      <c r="AK97" s="204"/>
      <c r="AL97" s="204"/>
      <c r="AM97" s="204">
        <v>36052682.85</v>
      </c>
      <c r="AN97" s="204">
        <v>32197657.8</v>
      </c>
      <c r="AO97" s="205"/>
      <c r="AP97" s="205"/>
    </row>
    <row r="98" s="196" customFormat="1" hidden="1" customHeight="1" spans="1:42">
      <c r="A98" s="202" t="s">
        <v>210</v>
      </c>
      <c r="B98" s="203">
        <v>35131949.1</v>
      </c>
      <c r="C98" s="204">
        <v>35548134.2</v>
      </c>
      <c r="D98" s="204"/>
      <c r="E98" s="204"/>
      <c r="F98" s="204"/>
      <c r="G98" s="204"/>
      <c r="H98" s="204"/>
      <c r="I98" s="204"/>
      <c r="J98" s="204"/>
      <c r="K98" s="204"/>
      <c r="L98" s="204"/>
      <c r="M98" s="204"/>
      <c r="N98" s="204">
        <v>79325132.1</v>
      </c>
      <c r="O98" s="204"/>
      <c r="P98" s="204"/>
      <c r="Q98" s="204">
        <v>0</v>
      </c>
      <c r="R98" s="204">
        <v>0</v>
      </c>
      <c r="S98" s="204"/>
      <c r="T98" s="204"/>
      <c r="U98" s="204"/>
      <c r="V98" s="204"/>
      <c r="W98" s="204"/>
      <c r="X98" s="204"/>
      <c r="Y98" s="204"/>
      <c r="Z98" s="204"/>
      <c r="AA98" s="204"/>
      <c r="AB98" s="204"/>
      <c r="AC98" s="204">
        <v>315835771.56</v>
      </c>
      <c r="AD98" s="204"/>
      <c r="AE98" s="204">
        <v>3760</v>
      </c>
      <c r="AF98" s="204"/>
      <c r="AG98" s="204"/>
      <c r="AH98" s="204"/>
      <c r="AI98" s="204"/>
      <c r="AJ98" s="204"/>
      <c r="AK98" s="204"/>
      <c r="AL98" s="204"/>
      <c r="AM98" s="204">
        <v>315835771.56</v>
      </c>
      <c r="AN98" s="204">
        <v>315835771.59</v>
      </c>
      <c r="AO98" s="205"/>
      <c r="AP98" s="205"/>
    </row>
    <row r="99" s="196" customFormat="1" hidden="1" customHeight="1" spans="1:42">
      <c r="A99" s="202" t="s">
        <v>211</v>
      </c>
      <c r="B99" s="203"/>
      <c r="C99" s="204"/>
      <c r="D99" s="204"/>
      <c r="E99" s="204"/>
      <c r="F99" s="204"/>
      <c r="G99" s="204"/>
      <c r="H99" s="204"/>
      <c r="I99" s="204"/>
      <c r="J99" s="204"/>
      <c r="K99" s="204"/>
      <c r="L99" s="204"/>
      <c r="M99" s="204"/>
      <c r="N99" s="204"/>
      <c r="O99" s="204"/>
      <c r="P99" s="204"/>
      <c r="Q99" s="204">
        <v>0</v>
      </c>
      <c r="R99" s="204"/>
      <c r="S99" s="204"/>
      <c r="T99" s="204"/>
      <c r="U99" s="204"/>
      <c r="V99" s="204"/>
      <c r="W99" s="204"/>
      <c r="X99" s="204"/>
      <c r="Y99" s="204"/>
      <c r="Z99" s="204"/>
      <c r="AA99" s="204"/>
      <c r="AB99" s="204"/>
      <c r="AC99" s="204"/>
      <c r="AD99" s="204"/>
      <c r="AE99" s="204">
        <v>51297.14</v>
      </c>
      <c r="AF99" s="204"/>
      <c r="AG99" s="204"/>
      <c r="AH99" s="204"/>
      <c r="AI99" s="204"/>
      <c r="AJ99" s="204"/>
      <c r="AK99" s="204"/>
      <c r="AL99" s="204"/>
      <c r="AM99" s="204"/>
      <c r="AN99" s="204"/>
      <c r="AO99" s="205"/>
      <c r="AP99" s="205"/>
    </row>
    <row r="100" s="196" customFormat="1" hidden="1" customHeight="1" spans="1:42">
      <c r="A100" s="202" t="s">
        <v>212</v>
      </c>
      <c r="B100" s="203"/>
      <c r="C100" s="204"/>
      <c r="D100" s="204"/>
      <c r="E100" s="204"/>
      <c r="F100" s="204"/>
      <c r="G100" s="204"/>
      <c r="H100" s="204"/>
      <c r="I100" s="204"/>
      <c r="J100" s="204"/>
      <c r="K100" s="204"/>
      <c r="L100" s="204"/>
      <c r="M100" s="204"/>
      <c r="N100" s="204"/>
      <c r="O100" s="204"/>
      <c r="P100" s="204"/>
      <c r="Q100" s="204">
        <v>0</v>
      </c>
      <c r="R100" s="204"/>
      <c r="S100" s="204"/>
      <c r="T100" s="204"/>
      <c r="U100" s="204"/>
      <c r="V100" s="204"/>
      <c r="W100" s="204"/>
      <c r="X100" s="204"/>
      <c r="Y100" s="204"/>
      <c r="Z100" s="204"/>
      <c r="AA100" s="204"/>
      <c r="AB100" s="204"/>
      <c r="AC100" s="204">
        <v>904174.09</v>
      </c>
      <c r="AD100" s="204"/>
      <c r="AE100" s="204"/>
      <c r="AF100" s="204"/>
      <c r="AG100" s="204"/>
      <c r="AH100" s="204"/>
      <c r="AI100" s="204"/>
      <c r="AJ100" s="204"/>
      <c r="AK100" s="204"/>
      <c r="AL100" s="204"/>
      <c r="AM100" s="204"/>
      <c r="AN100" s="204"/>
      <c r="AO100" s="205"/>
      <c r="AP100" s="205"/>
    </row>
    <row r="101" s="196" customFormat="1" hidden="1" customHeight="1" spans="1:42">
      <c r="A101" s="202" t="s">
        <v>213</v>
      </c>
      <c r="B101" s="203"/>
      <c r="C101" s="204"/>
      <c r="D101" s="204"/>
      <c r="E101" s="204"/>
      <c r="F101" s="204"/>
      <c r="G101" s="204"/>
      <c r="H101" s="204"/>
      <c r="I101" s="204"/>
      <c r="J101" s="204"/>
      <c r="K101" s="204"/>
      <c r="L101" s="204"/>
      <c r="M101" s="204"/>
      <c r="N101" s="204"/>
      <c r="O101" s="204"/>
      <c r="P101" s="204"/>
      <c r="Q101" s="204">
        <v>0</v>
      </c>
      <c r="R101" s="204"/>
      <c r="S101" s="204"/>
      <c r="T101" s="204"/>
      <c r="U101" s="204"/>
      <c r="V101" s="204"/>
      <c r="W101" s="204"/>
      <c r="X101" s="204"/>
      <c r="Y101" s="204"/>
      <c r="Z101" s="204"/>
      <c r="AA101" s="204"/>
      <c r="AB101" s="204"/>
      <c r="AC101" s="204">
        <v>1716290.06</v>
      </c>
      <c r="AD101" s="204"/>
      <c r="AE101" s="204">
        <v>1373.4</v>
      </c>
      <c r="AF101" s="204"/>
      <c r="AG101" s="204"/>
      <c r="AH101" s="204"/>
      <c r="AI101" s="204"/>
      <c r="AJ101" s="204"/>
      <c r="AK101" s="204"/>
      <c r="AL101" s="204"/>
      <c r="AM101" s="204"/>
      <c r="AN101" s="204"/>
      <c r="AO101" s="205"/>
      <c r="AP101" s="205"/>
    </row>
    <row r="102" s="196" customFormat="1" hidden="1" customHeight="1" spans="1:42">
      <c r="A102" s="202" t="s">
        <v>214</v>
      </c>
      <c r="B102" s="203"/>
      <c r="C102" s="204"/>
      <c r="D102" s="204"/>
      <c r="E102" s="204"/>
      <c r="F102" s="204"/>
      <c r="G102" s="204"/>
      <c r="H102" s="204"/>
      <c r="I102" s="204"/>
      <c r="J102" s="204"/>
      <c r="K102" s="204"/>
      <c r="L102" s="204"/>
      <c r="M102" s="204"/>
      <c r="N102" s="204"/>
      <c r="O102" s="204"/>
      <c r="P102" s="204"/>
      <c r="Q102" s="204">
        <v>0</v>
      </c>
      <c r="R102" s="204"/>
      <c r="S102" s="204"/>
      <c r="T102" s="204"/>
      <c r="U102" s="204"/>
      <c r="V102" s="204"/>
      <c r="W102" s="204"/>
      <c r="X102" s="204"/>
      <c r="Y102" s="204"/>
      <c r="Z102" s="204"/>
      <c r="AA102" s="204"/>
      <c r="AB102" s="204"/>
      <c r="AC102" s="204"/>
      <c r="AD102" s="204"/>
      <c r="AE102" s="204">
        <v>2954.6</v>
      </c>
      <c r="AF102" s="204"/>
      <c r="AG102" s="204"/>
      <c r="AH102" s="204"/>
      <c r="AI102" s="204"/>
      <c r="AJ102" s="204"/>
      <c r="AK102" s="204"/>
      <c r="AL102" s="204"/>
      <c r="AM102" s="204"/>
      <c r="AN102" s="204"/>
      <c r="AO102" s="205"/>
      <c r="AP102" s="205"/>
    </row>
    <row r="103" s="196" customFormat="1" hidden="1" customHeight="1" spans="1:42">
      <c r="A103" s="202" t="s">
        <v>215</v>
      </c>
      <c r="B103" s="203"/>
      <c r="C103" s="204"/>
      <c r="D103" s="204"/>
      <c r="E103" s="204"/>
      <c r="F103" s="204"/>
      <c r="G103" s="204"/>
      <c r="H103" s="204"/>
      <c r="I103" s="204"/>
      <c r="J103" s="204"/>
      <c r="K103" s="204"/>
      <c r="L103" s="204"/>
      <c r="M103" s="204"/>
      <c r="N103" s="204"/>
      <c r="O103" s="204"/>
      <c r="P103" s="204"/>
      <c r="Q103" s="204">
        <v>0</v>
      </c>
      <c r="R103" s="204"/>
      <c r="S103" s="204"/>
      <c r="T103" s="204"/>
      <c r="U103" s="204"/>
      <c r="V103" s="204"/>
      <c r="W103" s="204"/>
      <c r="X103" s="204"/>
      <c r="Y103" s="204"/>
      <c r="Z103" s="204"/>
      <c r="AA103" s="204"/>
      <c r="AB103" s="204"/>
      <c r="AC103" s="204"/>
      <c r="AD103" s="204"/>
      <c r="AE103" s="204">
        <v>2831.89</v>
      </c>
      <c r="AF103" s="204"/>
      <c r="AG103" s="204"/>
      <c r="AH103" s="204"/>
      <c r="AI103" s="204"/>
      <c r="AJ103" s="204"/>
      <c r="AK103" s="204"/>
      <c r="AL103" s="204"/>
      <c r="AM103" s="204"/>
      <c r="AN103" s="204"/>
      <c r="AO103" s="205"/>
      <c r="AP103" s="205"/>
    </row>
    <row r="104" s="196" customFormat="1" hidden="1" customHeight="1" spans="1:42">
      <c r="A104" s="202" t="s">
        <v>216</v>
      </c>
      <c r="B104" s="203"/>
      <c r="C104" s="204"/>
      <c r="D104" s="204"/>
      <c r="E104" s="204"/>
      <c r="F104" s="204"/>
      <c r="G104" s="204"/>
      <c r="H104" s="204"/>
      <c r="I104" s="204"/>
      <c r="J104" s="204"/>
      <c r="K104" s="204"/>
      <c r="L104" s="204"/>
      <c r="M104" s="204"/>
      <c r="N104" s="204"/>
      <c r="O104" s="204"/>
      <c r="P104" s="204"/>
      <c r="Q104" s="204">
        <v>0</v>
      </c>
      <c r="R104" s="204"/>
      <c r="S104" s="204"/>
      <c r="T104" s="204"/>
      <c r="U104" s="204"/>
      <c r="V104" s="204"/>
      <c r="W104" s="204"/>
      <c r="X104" s="204"/>
      <c r="Y104" s="204"/>
      <c r="Z104" s="204"/>
      <c r="AA104" s="204"/>
      <c r="AB104" s="204"/>
      <c r="AC104" s="204"/>
      <c r="AD104" s="204"/>
      <c r="AE104" s="204">
        <v>1128.98</v>
      </c>
      <c r="AF104" s="204"/>
      <c r="AG104" s="204"/>
      <c r="AH104" s="204"/>
      <c r="AI104" s="204"/>
      <c r="AJ104" s="204"/>
      <c r="AK104" s="204"/>
      <c r="AL104" s="204"/>
      <c r="AM104" s="204"/>
      <c r="AN104" s="204"/>
      <c r="AO104" s="205"/>
      <c r="AP104" s="205"/>
    </row>
    <row r="105" s="196" customFormat="1" hidden="1" customHeight="1" spans="1:42">
      <c r="A105" s="202" t="s">
        <v>217</v>
      </c>
      <c r="B105" s="203">
        <v>3376322.78</v>
      </c>
      <c r="C105" s="204">
        <v>3329268.53</v>
      </c>
      <c r="D105" s="204"/>
      <c r="E105" s="204"/>
      <c r="F105" s="204"/>
      <c r="G105" s="204"/>
      <c r="H105" s="204"/>
      <c r="I105" s="204"/>
      <c r="J105" s="204"/>
      <c r="K105" s="204"/>
      <c r="L105" s="204"/>
      <c r="M105" s="204"/>
      <c r="N105" s="204">
        <v>1547075.23</v>
      </c>
      <c r="O105" s="204">
        <v>535942.86</v>
      </c>
      <c r="P105" s="204">
        <v>2621087.22</v>
      </c>
      <c r="Q105" s="204">
        <v>-708181.31</v>
      </c>
      <c r="R105" s="204">
        <v>704516.2</v>
      </c>
      <c r="S105" s="204"/>
      <c r="T105" s="204"/>
      <c r="U105" s="204"/>
      <c r="V105" s="204"/>
      <c r="W105" s="204"/>
      <c r="X105" s="204"/>
      <c r="Y105" s="204"/>
      <c r="Z105" s="204"/>
      <c r="AA105" s="204"/>
      <c r="AB105" s="204"/>
      <c r="AC105" s="204">
        <v>26795770.41</v>
      </c>
      <c r="AD105" s="204"/>
      <c r="AE105" s="204">
        <v>36981.88</v>
      </c>
      <c r="AF105" s="204"/>
      <c r="AG105" s="204"/>
      <c r="AH105" s="204"/>
      <c r="AI105" s="204"/>
      <c r="AJ105" s="204"/>
      <c r="AK105" s="204"/>
      <c r="AL105" s="204"/>
      <c r="AM105" s="204">
        <v>26795770.41</v>
      </c>
      <c r="AN105" s="204">
        <v>32134277.29</v>
      </c>
      <c r="AO105" s="205"/>
      <c r="AP105" s="205"/>
    </row>
    <row r="106" s="196" customFormat="1" hidden="1" customHeight="1" spans="1:42">
      <c r="A106" s="202" t="s">
        <v>218</v>
      </c>
      <c r="B106" s="203">
        <v>173703.97</v>
      </c>
      <c r="C106" s="204"/>
      <c r="D106" s="204"/>
      <c r="E106" s="204"/>
      <c r="F106" s="204"/>
      <c r="G106" s="204"/>
      <c r="H106" s="204"/>
      <c r="I106" s="204"/>
      <c r="J106" s="204"/>
      <c r="K106" s="204"/>
      <c r="L106" s="204"/>
      <c r="M106" s="204"/>
      <c r="N106" s="204">
        <v>198706.71</v>
      </c>
      <c r="O106" s="204"/>
      <c r="P106" s="204"/>
      <c r="Q106" s="204">
        <v>0</v>
      </c>
      <c r="R106" s="204">
        <v>1131.52</v>
      </c>
      <c r="S106" s="204"/>
      <c r="T106" s="204"/>
      <c r="U106" s="204"/>
      <c r="V106" s="204"/>
      <c r="W106" s="204">
        <v>31789.69</v>
      </c>
      <c r="X106" s="204"/>
      <c r="Y106" s="204"/>
      <c r="Z106" s="204"/>
      <c r="AA106" s="204"/>
      <c r="AB106" s="204"/>
      <c r="AC106" s="204">
        <v>972161.84</v>
      </c>
      <c r="AD106" s="204"/>
      <c r="AE106" s="204"/>
      <c r="AF106" s="204"/>
      <c r="AG106" s="204"/>
      <c r="AH106" s="204"/>
      <c r="AI106" s="204"/>
      <c r="AJ106" s="204"/>
      <c r="AK106" s="204"/>
      <c r="AL106" s="204"/>
      <c r="AM106" s="204">
        <v>1038911.93</v>
      </c>
      <c r="AN106" s="204">
        <v>930003.64</v>
      </c>
      <c r="AO106" s="205"/>
      <c r="AP106" s="205"/>
    </row>
    <row r="107" s="196" customFormat="1" hidden="1" customHeight="1" spans="1:42">
      <c r="A107" s="202" t="s">
        <v>219</v>
      </c>
      <c r="B107" s="203">
        <v>10044365.59</v>
      </c>
      <c r="C107" s="204">
        <v>38441609.16</v>
      </c>
      <c r="D107" s="204"/>
      <c r="E107" s="204"/>
      <c r="F107" s="204"/>
      <c r="G107" s="204"/>
      <c r="H107" s="204"/>
      <c r="I107" s="204"/>
      <c r="J107" s="204"/>
      <c r="K107" s="204"/>
      <c r="L107" s="204"/>
      <c r="M107" s="204">
        <v>662264.89</v>
      </c>
      <c r="N107" s="204">
        <v>13517247.58</v>
      </c>
      <c r="O107" s="204"/>
      <c r="P107" s="204">
        <v>39055928</v>
      </c>
      <c r="Q107" s="204">
        <v>0</v>
      </c>
      <c r="R107" s="204">
        <v>487093.31</v>
      </c>
      <c r="S107" s="204"/>
      <c r="T107" s="204"/>
      <c r="U107" s="204"/>
      <c r="V107" s="204"/>
      <c r="W107" s="204">
        <v>651715.11</v>
      </c>
      <c r="X107" s="204"/>
      <c r="Y107" s="204"/>
      <c r="Z107" s="204"/>
      <c r="AA107" s="204"/>
      <c r="AB107" s="204"/>
      <c r="AC107" s="204">
        <v>19930125.6</v>
      </c>
      <c r="AD107" s="204"/>
      <c r="AE107" s="204">
        <v>527757.73</v>
      </c>
      <c r="AF107" s="204"/>
      <c r="AG107" s="204"/>
      <c r="AH107" s="204"/>
      <c r="AI107" s="204"/>
      <c r="AJ107" s="204"/>
      <c r="AK107" s="204"/>
      <c r="AL107" s="204"/>
      <c r="AM107" s="204">
        <v>20336862.86</v>
      </c>
      <c r="AN107" s="204">
        <v>20252748.98</v>
      </c>
      <c r="AO107" s="205"/>
      <c r="AP107" s="205"/>
    </row>
    <row r="108" s="196" customFormat="1" hidden="1" customHeight="1" spans="1:42">
      <c r="A108" s="202" t="s">
        <v>220</v>
      </c>
      <c r="B108" s="203"/>
      <c r="C108" s="204"/>
      <c r="D108" s="204"/>
      <c r="E108" s="204"/>
      <c r="F108" s="204"/>
      <c r="G108" s="204"/>
      <c r="H108" s="204"/>
      <c r="I108" s="204"/>
      <c r="J108" s="204"/>
      <c r="K108" s="204"/>
      <c r="L108" s="204"/>
      <c r="M108" s="204"/>
      <c r="N108" s="204"/>
      <c r="O108" s="204"/>
      <c r="P108" s="204"/>
      <c r="Q108" s="204">
        <v>0</v>
      </c>
      <c r="R108" s="204">
        <v>-789020.34</v>
      </c>
      <c r="S108" s="204"/>
      <c r="T108" s="204"/>
      <c r="U108" s="204"/>
      <c r="V108" s="204"/>
      <c r="W108" s="204"/>
      <c r="X108" s="204"/>
      <c r="Y108" s="204"/>
      <c r="Z108" s="204"/>
      <c r="AA108" s="204"/>
      <c r="AB108" s="204"/>
      <c r="AC108" s="204">
        <v>10168539.45</v>
      </c>
      <c r="AD108" s="204"/>
      <c r="AE108" s="204">
        <v>55789.09</v>
      </c>
      <c r="AF108" s="204"/>
      <c r="AG108" s="204"/>
      <c r="AH108" s="204"/>
      <c r="AI108" s="204"/>
      <c r="AJ108" s="204"/>
      <c r="AK108" s="204"/>
      <c r="AL108" s="204"/>
      <c r="AM108" s="204">
        <v>10483031.19</v>
      </c>
      <c r="AN108" s="204">
        <v>10483031.19</v>
      </c>
      <c r="AO108" s="205"/>
      <c r="AP108" s="205"/>
    </row>
    <row r="109" s="196" customFormat="1" hidden="1" customHeight="1" spans="1:42">
      <c r="A109" s="202" t="s">
        <v>221</v>
      </c>
      <c r="B109" s="203"/>
      <c r="C109" s="204">
        <v>0</v>
      </c>
      <c r="D109" s="204"/>
      <c r="E109" s="204"/>
      <c r="F109" s="204"/>
      <c r="G109" s="204"/>
      <c r="H109" s="204"/>
      <c r="I109" s="204"/>
      <c r="J109" s="204"/>
      <c r="K109" s="204"/>
      <c r="L109" s="204"/>
      <c r="M109" s="204"/>
      <c r="N109" s="204"/>
      <c r="O109" s="204"/>
      <c r="P109" s="204">
        <v>207341.65</v>
      </c>
      <c r="Q109" s="204">
        <v>-18660.75</v>
      </c>
      <c r="R109" s="204">
        <v>0</v>
      </c>
      <c r="S109" s="204"/>
      <c r="T109" s="204"/>
      <c r="U109" s="204"/>
      <c r="V109" s="204"/>
      <c r="W109" s="204"/>
      <c r="X109" s="204"/>
      <c r="Y109" s="204"/>
      <c r="Z109" s="204"/>
      <c r="AA109" s="204"/>
      <c r="AB109" s="204"/>
      <c r="AC109" s="204">
        <v>3817522.94</v>
      </c>
      <c r="AD109" s="204"/>
      <c r="AE109" s="204">
        <v>202711.85</v>
      </c>
      <c r="AF109" s="204"/>
      <c r="AG109" s="204"/>
      <c r="AH109" s="204"/>
      <c r="AI109" s="204"/>
      <c r="AJ109" s="204"/>
      <c r="AK109" s="204"/>
      <c r="AL109" s="204"/>
      <c r="AM109" s="204">
        <v>5140283.37</v>
      </c>
      <c r="AN109" s="204">
        <v>4112659.63</v>
      </c>
      <c r="AO109" s="205"/>
      <c r="AP109" s="205"/>
    </row>
    <row r="110" s="196" customFormat="1" hidden="1" customHeight="1" spans="1:42">
      <c r="A110" s="202" t="s">
        <v>222</v>
      </c>
      <c r="B110" s="203"/>
      <c r="C110" s="204"/>
      <c r="D110" s="204"/>
      <c r="E110" s="204"/>
      <c r="F110" s="204"/>
      <c r="G110" s="204"/>
      <c r="H110" s="204"/>
      <c r="I110" s="204"/>
      <c r="J110" s="204"/>
      <c r="K110" s="204"/>
      <c r="L110" s="204"/>
      <c r="M110" s="204"/>
      <c r="N110" s="204">
        <v>5541088.46</v>
      </c>
      <c r="O110" s="204"/>
      <c r="P110" s="204">
        <v>100000</v>
      </c>
      <c r="Q110" s="204">
        <v>0</v>
      </c>
      <c r="R110" s="204">
        <v>-12525706.34</v>
      </c>
      <c r="S110" s="204"/>
      <c r="T110" s="204"/>
      <c r="U110" s="204"/>
      <c r="V110" s="204"/>
      <c r="W110" s="204"/>
      <c r="X110" s="204"/>
      <c r="Y110" s="204"/>
      <c r="Z110" s="204">
        <v>63487.02</v>
      </c>
      <c r="AA110" s="204"/>
      <c r="AB110" s="204">
        <v>264655.1</v>
      </c>
      <c r="AC110" s="204">
        <v>286696983.93</v>
      </c>
      <c r="AD110" s="204"/>
      <c r="AE110" s="204">
        <v>8134586.13</v>
      </c>
      <c r="AF110" s="204"/>
      <c r="AG110" s="204"/>
      <c r="AH110" s="204"/>
      <c r="AI110" s="204"/>
      <c r="AJ110" s="204"/>
      <c r="AK110" s="204"/>
      <c r="AL110" s="204"/>
      <c r="AM110" s="204">
        <v>311823902.85</v>
      </c>
      <c r="AN110" s="204">
        <v>311823902.74</v>
      </c>
      <c r="AO110" s="205"/>
      <c r="AP110" s="205"/>
    </row>
    <row r="111" s="196" customFormat="1" hidden="1" customHeight="1" spans="1:42">
      <c r="A111" s="202" t="s">
        <v>223</v>
      </c>
      <c r="B111" s="203"/>
      <c r="C111" s="204"/>
      <c r="D111" s="204"/>
      <c r="E111" s="204"/>
      <c r="F111" s="204"/>
      <c r="G111" s="204"/>
      <c r="H111" s="204"/>
      <c r="I111" s="204"/>
      <c r="J111" s="204"/>
      <c r="K111" s="204"/>
      <c r="L111" s="204">
        <v>2104947.3</v>
      </c>
      <c r="M111" s="204">
        <v>0</v>
      </c>
      <c r="N111" s="204">
        <v>1989093.03</v>
      </c>
      <c r="O111" s="204"/>
      <c r="P111" s="204"/>
      <c r="Q111" s="204">
        <v>0</v>
      </c>
      <c r="R111" s="204">
        <v>173802.98</v>
      </c>
      <c r="S111" s="204"/>
      <c r="T111" s="204"/>
      <c r="U111" s="204"/>
      <c r="V111" s="204"/>
      <c r="W111" s="204"/>
      <c r="X111" s="204"/>
      <c r="Y111" s="204"/>
      <c r="Z111" s="204"/>
      <c r="AA111" s="204"/>
      <c r="AB111" s="204"/>
      <c r="AC111" s="204">
        <v>60828533.03</v>
      </c>
      <c r="AD111" s="204"/>
      <c r="AE111" s="204">
        <v>166869.95</v>
      </c>
      <c r="AF111" s="204"/>
      <c r="AG111" s="204"/>
      <c r="AH111" s="204"/>
      <c r="AI111" s="204"/>
      <c r="AJ111" s="204"/>
      <c r="AK111" s="204"/>
      <c r="AL111" s="204"/>
      <c r="AM111" s="204">
        <v>60995330.28</v>
      </c>
      <c r="AN111" s="204">
        <v>60995330.28</v>
      </c>
      <c r="AO111" s="205"/>
      <c r="AP111" s="205"/>
    </row>
    <row r="112" s="196" customFormat="1" hidden="1" customHeight="1" spans="1:42">
      <c r="A112" s="202" t="s">
        <v>224</v>
      </c>
      <c r="B112" s="203"/>
      <c r="C112" s="204"/>
      <c r="D112" s="204"/>
      <c r="E112" s="204"/>
      <c r="F112" s="204"/>
      <c r="G112" s="204"/>
      <c r="H112" s="204"/>
      <c r="I112" s="204"/>
      <c r="J112" s="204"/>
      <c r="K112" s="204"/>
      <c r="L112" s="204"/>
      <c r="M112" s="204"/>
      <c r="N112" s="204"/>
      <c r="O112" s="204"/>
      <c r="P112" s="204">
        <v>9884739.4</v>
      </c>
      <c r="Q112" s="204">
        <v>0</v>
      </c>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5"/>
      <c r="AP112" s="205"/>
    </row>
    <row r="113" s="196" customFormat="1" hidden="1" customHeight="1" spans="1:42">
      <c r="A113" s="202" t="s">
        <v>225</v>
      </c>
      <c r="B113" s="203">
        <v>88804.64</v>
      </c>
      <c r="C113" s="204"/>
      <c r="D113" s="204"/>
      <c r="E113" s="204"/>
      <c r="F113" s="204"/>
      <c r="G113" s="204"/>
      <c r="H113" s="204"/>
      <c r="I113" s="204"/>
      <c r="J113" s="204"/>
      <c r="K113" s="204"/>
      <c r="L113" s="204"/>
      <c r="M113" s="204"/>
      <c r="N113" s="204">
        <v>1786838.64</v>
      </c>
      <c r="O113" s="204"/>
      <c r="P113" s="204">
        <v>88804.2</v>
      </c>
      <c r="Q113" s="204">
        <v>0</v>
      </c>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5"/>
      <c r="AP113" s="205"/>
    </row>
    <row r="114" s="196" customFormat="1" hidden="1" customHeight="1" spans="1:42">
      <c r="A114" s="202" t="s">
        <v>226</v>
      </c>
      <c r="B114" s="203">
        <v>171158.96</v>
      </c>
      <c r="C114" s="204"/>
      <c r="D114" s="204"/>
      <c r="E114" s="204"/>
      <c r="F114" s="204"/>
      <c r="G114" s="204"/>
      <c r="H114" s="204"/>
      <c r="I114" s="204"/>
      <c r="J114" s="204"/>
      <c r="K114" s="204"/>
      <c r="L114" s="204"/>
      <c r="M114" s="204"/>
      <c r="N114" s="204">
        <v>2953166.9</v>
      </c>
      <c r="O114" s="204"/>
      <c r="P114" s="204">
        <v>171159</v>
      </c>
      <c r="Q114" s="204">
        <v>0</v>
      </c>
      <c r="R114" s="204"/>
      <c r="S114" s="204"/>
      <c r="T114" s="204"/>
      <c r="U114" s="204"/>
      <c r="V114" s="204"/>
      <c r="W114" s="204"/>
      <c r="X114" s="204"/>
      <c r="Y114" s="204"/>
      <c r="Z114" s="204"/>
      <c r="AA114" s="204"/>
      <c r="AB114" s="204"/>
      <c r="AC114" s="204"/>
      <c r="AD114" s="204"/>
      <c r="AE114" s="204">
        <v>4548.88</v>
      </c>
      <c r="AF114" s="204"/>
      <c r="AG114" s="204"/>
      <c r="AH114" s="204"/>
      <c r="AI114" s="204"/>
      <c r="AJ114" s="204"/>
      <c r="AK114" s="204"/>
      <c r="AL114" s="204"/>
      <c r="AM114" s="204"/>
      <c r="AN114" s="204"/>
      <c r="AO114" s="205"/>
      <c r="AP114" s="205"/>
    </row>
    <row r="115" s="196" customFormat="1" hidden="1" customHeight="1" spans="1:42">
      <c r="A115" s="202" t="s">
        <v>227</v>
      </c>
      <c r="B115" s="203">
        <v>-5384246.5</v>
      </c>
      <c r="C115" s="204">
        <v>17177032.06</v>
      </c>
      <c r="D115" s="204"/>
      <c r="E115" s="204"/>
      <c r="F115" s="204"/>
      <c r="G115" s="204"/>
      <c r="H115" s="204"/>
      <c r="I115" s="204"/>
      <c r="J115" s="204"/>
      <c r="K115" s="204"/>
      <c r="L115" s="204"/>
      <c r="M115" s="204"/>
      <c r="N115" s="204">
        <v>188223.11</v>
      </c>
      <c r="O115" s="204"/>
      <c r="P115" s="204">
        <v>15111648.97</v>
      </c>
      <c r="Q115" s="204">
        <v>-15776.83</v>
      </c>
      <c r="R115" s="204"/>
      <c r="S115" s="204"/>
      <c r="T115" s="204"/>
      <c r="U115" s="204"/>
      <c r="V115" s="204"/>
      <c r="W115" s="204"/>
      <c r="X115" s="204"/>
      <c r="Y115" s="204"/>
      <c r="Z115" s="204"/>
      <c r="AA115" s="204">
        <v>1010379.21</v>
      </c>
      <c r="AB115" s="204"/>
      <c r="AC115" s="204">
        <v>1658113.96</v>
      </c>
      <c r="AD115" s="204"/>
      <c r="AE115" s="204">
        <v>292801.16</v>
      </c>
      <c r="AF115" s="204"/>
      <c r="AG115" s="204"/>
      <c r="AH115" s="204"/>
      <c r="AI115" s="204"/>
      <c r="AJ115" s="204"/>
      <c r="AK115" s="204"/>
      <c r="AL115" s="204"/>
      <c r="AM115" s="204">
        <v>1839192.2</v>
      </c>
      <c r="AN115" s="204"/>
      <c r="AO115" s="205"/>
      <c r="AP115" s="205"/>
    </row>
    <row r="116" s="196" customFormat="1" hidden="1" customHeight="1" spans="1:42">
      <c r="A116" s="202" t="s">
        <v>228</v>
      </c>
      <c r="B116" s="203"/>
      <c r="C116" s="204"/>
      <c r="D116" s="204"/>
      <c r="E116" s="204"/>
      <c r="F116" s="204"/>
      <c r="G116" s="204"/>
      <c r="H116" s="204"/>
      <c r="I116" s="204"/>
      <c r="J116" s="204"/>
      <c r="K116" s="204"/>
      <c r="L116" s="204"/>
      <c r="M116" s="204"/>
      <c r="N116" s="204"/>
      <c r="O116" s="204"/>
      <c r="P116" s="204">
        <v>-472286.06</v>
      </c>
      <c r="Q116" s="204">
        <v>-472286.06</v>
      </c>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5"/>
      <c r="AP116" s="205"/>
    </row>
    <row r="117" s="196" customFormat="1" hidden="1" customHeight="1" spans="1:42">
      <c r="A117" s="202" t="s">
        <v>229</v>
      </c>
      <c r="B117" s="203">
        <v>-2970241.55</v>
      </c>
      <c r="C117" s="204"/>
      <c r="D117" s="204"/>
      <c r="E117" s="204"/>
      <c r="F117" s="204"/>
      <c r="G117" s="204"/>
      <c r="H117" s="204"/>
      <c r="I117" s="204"/>
      <c r="J117" s="204"/>
      <c r="K117" s="204"/>
      <c r="L117" s="204">
        <v>4257681.55</v>
      </c>
      <c r="M117" s="204">
        <v>0</v>
      </c>
      <c r="N117" s="204">
        <v>-4087374.29</v>
      </c>
      <c r="O117" s="204"/>
      <c r="P117" s="204">
        <v>1287440</v>
      </c>
      <c r="Q117" s="204">
        <v>0</v>
      </c>
      <c r="R117" s="204">
        <v>0.04</v>
      </c>
      <c r="S117" s="204"/>
      <c r="T117" s="204"/>
      <c r="U117" s="204"/>
      <c r="V117" s="204"/>
      <c r="W117" s="204">
        <v>4087374.29</v>
      </c>
      <c r="X117" s="204"/>
      <c r="Y117" s="204"/>
      <c r="Z117" s="204"/>
      <c r="AA117" s="204"/>
      <c r="AB117" s="204"/>
      <c r="AC117" s="204">
        <v>124996155.67</v>
      </c>
      <c r="AD117" s="204"/>
      <c r="AE117" s="204"/>
      <c r="AF117" s="204"/>
      <c r="AG117" s="204"/>
      <c r="AH117" s="204"/>
      <c r="AI117" s="204"/>
      <c r="AJ117" s="204"/>
      <c r="AK117" s="204"/>
      <c r="AL117" s="204"/>
      <c r="AM117" s="204">
        <v>130204328.82</v>
      </c>
      <c r="AN117" s="204">
        <v>130204328.8</v>
      </c>
      <c r="AO117" s="205"/>
      <c r="AP117" s="205"/>
    </row>
    <row r="118" s="196" customFormat="1" hidden="1" customHeight="1" spans="1:42">
      <c r="A118" s="202" t="s">
        <v>230</v>
      </c>
      <c r="B118" s="203"/>
      <c r="C118" s="204"/>
      <c r="D118" s="204"/>
      <c r="E118" s="204"/>
      <c r="F118" s="204"/>
      <c r="G118" s="204"/>
      <c r="H118" s="204"/>
      <c r="I118" s="204"/>
      <c r="J118" s="204"/>
      <c r="K118" s="204"/>
      <c r="L118" s="204"/>
      <c r="M118" s="204"/>
      <c r="N118" s="204"/>
      <c r="O118" s="204"/>
      <c r="P118" s="204"/>
      <c r="Q118" s="204">
        <v>0</v>
      </c>
      <c r="R118" s="204"/>
      <c r="S118" s="204"/>
      <c r="T118" s="204"/>
      <c r="U118" s="204"/>
      <c r="V118" s="204"/>
      <c r="W118" s="204">
        <v>708</v>
      </c>
      <c r="X118" s="204"/>
      <c r="Y118" s="204"/>
      <c r="Z118" s="204"/>
      <c r="AA118" s="204"/>
      <c r="AB118" s="204"/>
      <c r="AC118" s="204"/>
      <c r="AD118" s="204"/>
      <c r="AE118" s="204"/>
      <c r="AF118" s="204"/>
      <c r="AG118" s="204"/>
      <c r="AH118" s="204"/>
      <c r="AI118" s="204"/>
      <c r="AJ118" s="204"/>
      <c r="AK118" s="204"/>
      <c r="AL118" s="204"/>
      <c r="AM118" s="204"/>
      <c r="AN118" s="204"/>
      <c r="AO118" s="205"/>
      <c r="AP118" s="205"/>
    </row>
    <row r="119" s="196" customFormat="1" hidden="1" customHeight="1" spans="1:42">
      <c r="A119" s="202" t="s">
        <v>231</v>
      </c>
      <c r="B119" s="203"/>
      <c r="C119" s="204"/>
      <c r="D119" s="204"/>
      <c r="E119" s="204"/>
      <c r="F119" s="204"/>
      <c r="G119" s="204"/>
      <c r="H119" s="204"/>
      <c r="I119" s="204"/>
      <c r="J119" s="204"/>
      <c r="K119" s="204"/>
      <c r="L119" s="204">
        <v>212423.67</v>
      </c>
      <c r="M119" s="204">
        <v>0</v>
      </c>
      <c r="N119" s="204">
        <v>155069.28</v>
      </c>
      <c r="O119" s="204"/>
      <c r="P119" s="204"/>
      <c r="Q119" s="204">
        <v>0</v>
      </c>
      <c r="R119" s="204">
        <v>17539.57</v>
      </c>
      <c r="S119" s="204"/>
      <c r="T119" s="204"/>
      <c r="U119" s="204"/>
      <c r="V119" s="204"/>
      <c r="W119" s="204"/>
      <c r="X119" s="204"/>
      <c r="Y119" s="204"/>
      <c r="Z119" s="204"/>
      <c r="AA119" s="204">
        <v>1535992.35</v>
      </c>
      <c r="AB119" s="204"/>
      <c r="AC119" s="204">
        <v>3149820.75</v>
      </c>
      <c r="AD119" s="204"/>
      <c r="AE119" s="204">
        <v>16199.47</v>
      </c>
      <c r="AF119" s="204"/>
      <c r="AG119" s="204"/>
      <c r="AH119" s="204"/>
      <c r="AI119" s="204"/>
      <c r="AJ119" s="204"/>
      <c r="AK119" s="204"/>
      <c r="AL119" s="204"/>
      <c r="AM119" s="204">
        <v>6186503.67</v>
      </c>
      <c r="AN119" s="204">
        <v>6186503.67</v>
      </c>
      <c r="AO119" s="205"/>
      <c r="AP119" s="205"/>
    </row>
    <row r="120" s="196" customFormat="1" hidden="1" customHeight="1" spans="1:42">
      <c r="A120" s="202" t="s">
        <v>232</v>
      </c>
      <c r="B120" s="203">
        <v>48571298.6</v>
      </c>
      <c r="C120" s="204">
        <v>4967296</v>
      </c>
      <c r="D120" s="204"/>
      <c r="E120" s="204"/>
      <c r="F120" s="204"/>
      <c r="G120" s="204"/>
      <c r="H120" s="204"/>
      <c r="I120" s="204"/>
      <c r="J120" s="204"/>
      <c r="K120" s="204"/>
      <c r="L120" s="204">
        <v>260820</v>
      </c>
      <c r="M120" s="204">
        <v>0</v>
      </c>
      <c r="N120" s="204">
        <v>46309971.43</v>
      </c>
      <c r="O120" s="204"/>
      <c r="P120" s="204">
        <v>5364855.9</v>
      </c>
      <c r="Q120" s="204">
        <v>0</v>
      </c>
      <c r="R120" s="204">
        <v>3589040.21</v>
      </c>
      <c r="S120" s="204"/>
      <c r="T120" s="204"/>
      <c r="U120" s="204"/>
      <c r="V120" s="204"/>
      <c r="W120" s="204">
        <v>725930.61</v>
      </c>
      <c r="X120" s="204"/>
      <c r="Y120" s="204"/>
      <c r="Z120" s="204"/>
      <c r="AA120" s="204"/>
      <c r="AB120" s="204"/>
      <c r="AC120" s="204">
        <v>146798973.23</v>
      </c>
      <c r="AD120" s="204"/>
      <c r="AE120" s="204">
        <v>97177.6</v>
      </c>
      <c r="AF120" s="204"/>
      <c r="AG120" s="204"/>
      <c r="AH120" s="204"/>
      <c r="AI120" s="204"/>
      <c r="AJ120" s="204"/>
      <c r="AK120" s="204"/>
      <c r="AL120" s="204"/>
      <c r="AM120" s="204">
        <v>153333198.95</v>
      </c>
      <c r="AN120" s="204">
        <v>152654873.84</v>
      </c>
      <c r="AO120" s="205"/>
      <c r="AP120" s="205"/>
    </row>
    <row r="121" s="196" customFormat="1" hidden="1" customHeight="1" spans="1:42">
      <c r="A121" s="202" t="s">
        <v>233</v>
      </c>
      <c r="B121" s="203"/>
      <c r="C121" s="204"/>
      <c r="D121" s="204"/>
      <c r="E121" s="204"/>
      <c r="F121" s="204"/>
      <c r="G121" s="204"/>
      <c r="H121" s="204"/>
      <c r="I121" s="204"/>
      <c r="J121" s="204"/>
      <c r="K121" s="204"/>
      <c r="L121" s="204"/>
      <c r="M121" s="204"/>
      <c r="N121" s="204">
        <v>146000</v>
      </c>
      <c r="O121" s="204"/>
      <c r="P121" s="204"/>
      <c r="Q121" s="204">
        <v>0</v>
      </c>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5"/>
      <c r="AP121" s="205"/>
    </row>
    <row r="122" s="196" customFormat="1" hidden="1" customHeight="1" spans="1:42">
      <c r="A122" s="202" t="s">
        <v>234</v>
      </c>
      <c r="B122" s="203">
        <v>1741120.8</v>
      </c>
      <c r="C122" s="204"/>
      <c r="D122" s="204"/>
      <c r="E122" s="204"/>
      <c r="F122" s="204"/>
      <c r="G122" s="204"/>
      <c r="H122" s="204"/>
      <c r="I122" s="204"/>
      <c r="J122" s="204"/>
      <c r="K122" s="204"/>
      <c r="L122" s="204"/>
      <c r="M122" s="204"/>
      <c r="N122" s="204">
        <v>2041121</v>
      </c>
      <c r="O122" s="204"/>
      <c r="P122" s="204"/>
      <c r="Q122" s="204">
        <v>0</v>
      </c>
      <c r="R122" s="204">
        <v>143762.27</v>
      </c>
      <c r="S122" s="204"/>
      <c r="T122" s="204"/>
      <c r="U122" s="204"/>
      <c r="V122" s="204"/>
      <c r="W122" s="204"/>
      <c r="X122" s="204"/>
      <c r="Y122" s="204"/>
      <c r="Z122" s="204"/>
      <c r="AA122" s="204"/>
      <c r="AB122" s="204"/>
      <c r="AC122" s="204">
        <v>7727898.17</v>
      </c>
      <c r="AD122" s="204"/>
      <c r="AE122" s="204">
        <v>295564.24</v>
      </c>
      <c r="AF122" s="204"/>
      <c r="AG122" s="204"/>
      <c r="AH122" s="204"/>
      <c r="AI122" s="204"/>
      <c r="AJ122" s="204"/>
      <c r="AK122" s="204"/>
      <c r="AL122" s="204"/>
      <c r="AM122" s="204">
        <v>7856124.32</v>
      </c>
      <c r="AN122" s="204">
        <v>7727897.98</v>
      </c>
      <c r="AO122" s="205"/>
      <c r="AP122" s="205"/>
    </row>
    <row r="123" s="196" customFormat="1" hidden="1" customHeight="1" spans="1:42">
      <c r="A123" s="202" t="s">
        <v>235</v>
      </c>
      <c r="B123" s="203">
        <v>101483882.18</v>
      </c>
      <c r="C123" s="204">
        <v>24192000</v>
      </c>
      <c r="D123" s="204"/>
      <c r="E123" s="204"/>
      <c r="F123" s="204"/>
      <c r="G123" s="204"/>
      <c r="H123" s="204"/>
      <c r="I123" s="204"/>
      <c r="J123" s="204"/>
      <c r="K123" s="204"/>
      <c r="L123" s="204"/>
      <c r="M123" s="204">
        <v>17166989.15</v>
      </c>
      <c r="N123" s="204">
        <v>11421881.47</v>
      </c>
      <c r="O123" s="204"/>
      <c r="P123" s="204">
        <v>43462635.36</v>
      </c>
      <c r="Q123" s="204">
        <v>0</v>
      </c>
      <c r="R123" s="204">
        <v>6059211.3</v>
      </c>
      <c r="S123" s="204"/>
      <c r="T123" s="204"/>
      <c r="U123" s="204"/>
      <c r="V123" s="204"/>
      <c r="W123" s="204">
        <v>4500951.92</v>
      </c>
      <c r="X123" s="204"/>
      <c r="Y123" s="204"/>
      <c r="Z123" s="204"/>
      <c r="AA123" s="204"/>
      <c r="AB123" s="204"/>
      <c r="AC123" s="204">
        <v>137643789.27</v>
      </c>
      <c r="AD123" s="204"/>
      <c r="AE123" s="204">
        <v>83387.46</v>
      </c>
      <c r="AF123" s="204"/>
      <c r="AG123" s="204"/>
      <c r="AH123" s="204"/>
      <c r="AI123" s="204"/>
      <c r="AJ123" s="204"/>
      <c r="AK123" s="204"/>
      <c r="AL123" s="204"/>
      <c r="AM123" s="204">
        <v>143378947.17</v>
      </c>
      <c r="AN123" s="204">
        <v>220418149.55</v>
      </c>
      <c r="AO123" s="205"/>
      <c r="AP123" s="205"/>
    </row>
    <row r="124" s="196" customFormat="1" hidden="1" customHeight="1" spans="1:42">
      <c r="A124" s="202" t="s">
        <v>236</v>
      </c>
      <c r="B124" s="203">
        <v>1679941.15</v>
      </c>
      <c r="C124" s="204"/>
      <c r="D124" s="204"/>
      <c r="E124" s="204"/>
      <c r="F124" s="204"/>
      <c r="G124" s="204"/>
      <c r="H124" s="204"/>
      <c r="I124" s="204"/>
      <c r="J124" s="204"/>
      <c r="K124" s="204"/>
      <c r="L124" s="204">
        <v>2458953.27</v>
      </c>
      <c r="M124" s="204">
        <v>0</v>
      </c>
      <c r="N124" s="204">
        <v>4221476.82</v>
      </c>
      <c r="O124" s="204"/>
      <c r="P124" s="204"/>
      <c r="Q124" s="204">
        <v>0</v>
      </c>
      <c r="R124" s="204">
        <v>198090.62</v>
      </c>
      <c r="S124" s="204"/>
      <c r="T124" s="204"/>
      <c r="U124" s="204"/>
      <c r="V124" s="204"/>
      <c r="W124" s="204"/>
      <c r="X124" s="204"/>
      <c r="Y124" s="204"/>
      <c r="Z124" s="204"/>
      <c r="AA124" s="204"/>
      <c r="AB124" s="204"/>
      <c r="AC124" s="204">
        <v>11871920.93</v>
      </c>
      <c r="AD124" s="204"/>
      <c r="AE124" s="204">
        <v>990.1</v>
      </c>
      <c r="AF124" s="204"/>
      <c r="AG124" s="204"/>
      <c r="AH124" s="204"/>
      <c r="AI124" s="204"/>
      <c r="AJ124" s="204"/>
      <c r="AK124" s="204"/>
      <c r="AL124" s="204"/>
      <c r="AM124" s="204">
        <v>12496758.87</v>
      </c>
      <c r="AN124" s="204">
        <v>12841966.72</v>
      </c>
      <c r="AO124" s="205"/>
      <c r="AP124" s="205"/>
    </row>
    <row r="125" s="196" customFormat="1" hidden="1" customHeight="1" spans="1:42">
      <c r="A125" s="202" t="s">
        <v>237</v>
      </c>
      <c r="B125" s="203">
        <v>11621896.01</v>
      </c>
      <c r="C125" s="204"/>
      <c r="D125" s="204"/>
      <c r="E125" s="204"/>
      <c r="F125" s="204"/>
      <c r="G125" s="204"/>
      <c r="H125" s="204"/>
      <c r="I125" s="204"/>
      <c r="J125" s="204"/>
      <c r="K125" s="204"/>
      <c r="L125" s="204"/>
      <c r="M125" s="204"/>
      <c r="N125" s="204">
        <v>16063678.89</v>
      </c>
      <c r="O125" s="204"/>
      <c r="P125" s="204"/>
      <c r="Q125" s="204">
        <v>0</v>
      </c>
      <c r="R125" s="204">
        <v>559213.43</v>
      </c>
      <c r="S125" s="204"/>
      <c r="T125" s="204"/>
      <c r="U125" s="204"/>
      <c r="V125" s="204"/>
      <c r="W125" s="204"/>
      <c r="X125" s="204"/>
      <c r="Y125" s="204"/>
      <c r="Z125" s="204"/>
      <c r="AA125" s="204"/>
      <c r="AB125" s="204"/>
      <c r="AC125" s="204">
        <v>38858835.11</v>
      </c>
      <c r="AD125" s="204"/>
      <c r="AE125" s="204">
        <v>138791.68</v>
      </c>
      <c r="AF125" s="204"/>
      <c r="AG125" s="204"/>
      <c r="AH125" s="204"/>
      <c r="AI125" s="204"/>
      <c r="AJ125" s="204"/>
      <c r="AK125" s="204"/>
      <c r="AL125" s="204"/>
      <c r="AM125" s="204">
        <v>40448057.76</v>
      </c>
      <c r="AN125" s="204">
        <v>35872198.17</v>
      </c>
      <c r="AO125" s="205"/>
      <c r="AP125" s="205"/>
    </row>
    <row r="126" s="196" customFormat="1" hidden="1" customHeight="1" spans="1:42">
      <c r="A126" s="202" t="s">
        <v>238</v>
      </c>
      <c r="B126" s="203">
        <v>20429820.77</v>
      </c>
      <c r="C126" s="204"/>
      <c r="D126" s="204"/>
      <c r="E126" s="204"/>
      <c r="F126" s="204"/>
      <c r="G126" s="204"/>
      <c r="H126" s="204"/>
      <c r="I126" s="204"/>
      <c r="J126" s="204"/>
      <c r="K126" s="204"/>
      <c r="L126" s="204">
        <v>2269980.09</v>
      </c>
      <c r="M126" s="204">
        <v>0</v>
      </c>
      <c r="N126" s="204">
        <v>14515586.78</v>
      </c>
      <c r="O126" s="204"/>
      <c r="P126" s="204"/>
      <c r="Q126" s="204">
        <v>0</v>
      </c>
      <c r="R126" s="204">
        <v>1874295.48</v>
      </c>
      <c r="S126" s="204"/>
      <c r="T126" s="204"/>
      <c r="U126" s="204"/>
      <c r="V126" s="204"/>
      <c r="W126" s="204"/>
      <c r="X126" s="204"/>
      <c r="Y126" s="204"/>
      <c r="Z126" s="204"/>
      <c r="AA126" s="204"/>
      <c r="AB126" s="204"/>
      <c r="AC126" s="204">
        <v>66641617.22</v>
      </c>
      <c r="AD126" s="204"/>
      <c r="AE126" s="204">
        <v>132074.69</v>
      </c>
      <c r="AF126" s="204"/>
      <c r="AG126" s="204"/>
      <c r="AH126" s="204"/>
      <c r="AI126" s="204"/>
      <c r="AJ126" s="204"/>
      <c r="AK126" s="204"/>
      <c r="AL126" s="204"/>
      <c r="AM126" s="204">
        <v>69418351.27</v>
      </c>
      <c r="AN126" s="204">
        <v>76371927.39</v>
      </c>
      <c r="AO126" s="205"/>
      <c r="AP126" s="205"/>
    </row>
    <row r="127" s="196" customFormat="1" hidden="1" customHeight="1" spans="1:42">
      <c r="A127" s="202" t="s">
        <v>239</v>
      </c>
      <c r="B127" s="203">
        <v>-5635010.8</v>
      </c>
      <c r="C127" s="204"/>
      <c r="D127" s="204"/>
      <c r="E127" s="204"/>
      <c r="F127" s="204"/>
      <c r="G127" s="204"/>
      <c r="H127" s="204"/>
      <c r="I127" s="204"/>
      <c r="J127" s="204"/>
      <c r="K127" s="204"/>
      <c r="L127" s="204"/>
      <c r="M127" s="204"/>
      <c r="N127" s="204">
        <v>6415569.58</v>
      </c>
      <c r="O127" s="204"/>
      <c r="P127" s="204">
        <v>-567298.14</v>
      </c>
      <c r="Q127" s="204">
        <v>-567298.14</v>
      </c>
      <c r="R127" s="204"/>
      <c r="S127" s="204"/>
      <c r="T127" s="204"/>
      <c r="U127" s="204"/>
      <c r="V127" s="204"/>
      <c r="W127" s="204"/>
      <c r="X127" s="204"/>
      <c r="Y127" s="204"/>
      <c r="Z127" s="204"/>
      <c r="AA127" s="204"/>
      <c r="AB127" s="204"/>
      <c r="AC127" s="204">
        <v>45436445.73</v>
      </c>
      <c r="AD127" s="204"/>
      <c r="AE127" s="204">
        <v>14081.68</v>
      </c>
      <c r="AF127" s="204"/>
      <c r="AG127" s="204"/>
      <c r="AH127" s="204"/>
      <c r="AI127" s="204"/>
      <c r="AJ127" s="204"/>
      <c r="AK127" s="204"/>
      <c r="AL127" s="204"/>
      <c r="AM127" s="204">
        <v>47827837.62</v>
      </c>
      <c r="AN127" s="204">
        <v>36741693.58</v>
      </c>
      <c r="AO127" s="205"/>
      <c r="AP127" s="205"/>
    </row>
    <row r="128" s="196" customFormat="1" hidden="1" customHeight="1" spans="1:42">
      <c r="A128" s="202" t="s">
        <v>240</v>
      </c>
      <c r="B128" s="203">
        <v>0</v>
      </c>
      <c r="C128" s="204"/>
      <c r="D128" s="204"/>
      <c r="E128" s="204"/>
      <c r="F128" s="204"/>
      <c r="G128" s="204"/>
      <c r="H128" s="204"/>
      <c r="I128" s="204"/>
      <c r="J128" s="204"/>
      <c r="K128" s="204"/>
      <c r="L128" s="204"/>
      <c r="M128" s="204"/>
      <c r="N128" s="204"/>
      <c r="O128" s="204"/>
      <c r="P128" s="204">
        <v>2441297.31</v>
      </c>
      <c r="Q128" s="204">
        <v>-219716.76</v>
      </c>
      <c r="R128" s="204">
        <v>0</v>
      </c>
      <c r="S128" s="204"/>
      <c r="T128" s="204"/>
      <c r="U128" s="204"/>
      <c r="V128" s="204"/>
      <c r="W128" s="204"/>
      <c r="X128" s="204"/>
      <c r="Y128" s="204"/>
      <c r="Z128" s="204"/>
      <c r="AA128" s="204"/>
      <c r="AB128" s="204"/>
      <c r="AC128" s="204">
        <v>38459873.75</v>
      </c>
      <c r="AD128" s="204"/>
      <c r="AE128" s="204">
        <v>380710.7</v>
      </c>
      <c r="AF128" s="204"/>
      <c r="AG128" s="204"/>
      <c r="AH128" s="204"/>
      <c r="AI128" s="204"/>
      <c r="AJ128" s="204"/>
      <c r="AK128" s="204"/>
      <c r="AL128" s="204"/>
      <c r="AM128" s="204">
        <v>39649354.38</v>
      </c>
      <c r="AN128" s="204">
        <v>38292336.84</v>
      </c>
      <c r="AO128" s="205"/>
      <c r="AP128" s="205"/>
    </row>
    <row r="129" s="196" customFormat="1" hidden="1" customHeight="1" spans="1:42">
      <c r="A129" s="202" t="s">
        <v>241</v>
      </c>
      <c r="B129" s="203"/>
      <c r="C129" s="204"/>
      <c r="D129" s="204"/>
      <c r="E129" s="204"/>
      <c r="F129" s="204"/>
      <c r="G129" s="204"/>
      <c r="H129" s="204"/>
      <c r="I129" s="204"/>
      <c r="J129" s="204"/>
      <c r="K129" s="204"/>
      <c r="L129" s="204"/>
      <c r="M129" s="204"/>
      <c r="N129" s="204"/>
      <c r="O129" s="204"/>
      <c r="P129" s="204"/>
      <c r="Q129" s="204">
        <v>0</v>
      </c>
      <c r="R129" s="204"/>
      <c r="S129" s="204"/>
      <c r="T129" s="204"/>
      <c r="U129" s="204"/>
      <c r="V129" s="204"/>
      <c r="W129" s="204"/>
      <c r="X129" s="204"/>
      <c r="Y129" s="204"/>
      <c r="Z129" s="204"/>
      <c r="AA129" s="204"/>
      <c r="AB129" s="204"/>
      <c r="AC129" s="204">
        <v>104894279.1</v>
      </c>
      <c r="AD129" s="204"/>
      <c r="AE129" s="204">
        <v>460219.88</v>
      </c>
      <c r="AF129" s="204"/>
      <c r="AG129" s="204"/>
      <c r="AH129" s="204"/>
      <c r="AI129" s="204"/>
      <c r="AJ129" s="204"/>
      <c r="AK129" s="204"/>
      <c r="AL129" s="204"/>
      <c r="AM129" s="204">
        <v>106220633.37</v>
      </c>
      <c r="AN129" s="204">
        <v>106220633.37</v>
      </c>
      <c r="AO129" s="205"/>
      <c r="AP129" s="205"/>
    </row>
    <row r="130" s="196" customFormat="1" hidden="1" customHeight="1" spans="1:42">
      <c r="A130" s="202" t="s">
        <v>242</v>
      </c>
      <c r="B130" s="203">
        <v>16110961.43</v>
      </c>
      <c r="C130" s="204">
        <v>93347481.51</v>
      </c>
      <c r="D130" s="204"/>
      <c r="E130" s="204"/>
      <c r="F130" s="204"/>
      <c r="G130" s="204"/>
      <c r="H130" s="204"/>
      <c r="I130" s="204"/>
      <c r="J130" s="204"/>
      <c r="K130" s="204"/>
      <c r="L130" s="204"/>
      <c r="M130" s="204">
        <v>6810107.39</v>
      </c>
      <c r="N130" s="204">
        <v>18071329.17</v>
      </c>
      <c r="O130" s="204"/>
      <c r="P130" s="204">
        <v>99102115.29</v>
      </c>
      <c r="Q130" s="204">
        <v>0</v>
      </c>
      <c r="R130" s="204">
        <v>1436969.57</v>
      </c>
      <c r="S130" s="204"/>
      <c r="T130" s="204"/>
      <c r="U130" s="204"/>
      <c r="V130" s="204"/>
      <c r="W130" s="204">
        <v>6458010.84</v>
      </c>
      <c r="X130" s="204"/>
      <c r="Y130" s="204"/>
      <c r="Z130" s="204"/>
      <c r="AA130" s="204"/>
      <c r="AB130" s="204"/>
      <c r="AC130" s="204">
        <v>197492686.24</v>
      </c>
      <c r="AD130" s="204"/>
      <c r="AE130" s="204">
        <v>1746667.78</v>
      </c>
      <c r="AF130" s="204"/>
      <c r="AG130" s="204"/>
      <c r="AH130" s="204"/>
      <c r="AI130" s="204"/>
      <c r="AJ130" s="204"/>
      <c r="AK130" s="204"/>
      <c r="AL130" s="204"/>
      <c r="AM130" s="204">
        <v>208343930.4</v>
      </c>
      <c r="AN130" s="204">
        <v>208260164.82</v>
      </c>
      <c r="AO130" s="205"/>
      <c r="AP130" s="205"/>
    </row>
    <row r="131" s="196" customFormat="1" hidden="1" customHeight="1" spans="1:42">
      <c r="A131" s="202" t="s">
        <v>243</v>
      </c>
      <c r="B131" s="203">
        <v>0</v>
      </c>
      <c r="C131" s="204"/>
      <c r="D131" s="204"/>
      <c r="E131" s="204"/>
      <c r="F131" s="204"/>
      <c r="G131" s="204"/>
      <c r="H131" s="204"/>
      <c r="I131" s="204"/>
      <c r="J131" s="204"/>
      <c r="K131" s="204"/>
      <c r="L131" s="204"/>
      <c r="M131" s="204"/>
      <c r="N131" s="204"/>
      <c r="O131" s="204"/>
      <c r="P131" s="204"/>
      <c r="Q131" s="204">
        <v>0</v>
      </c>
      <c r="R131" s="204"/>
      <c r="S131" s="204"/>
      <c r="T131" s="204"/>
      <c r="U131" s="204"/>
      <c r="V131" s="204"/>
      <c r="W131" s="204"/>
      <c r="X131" s="204"/>
      <c r="Y131" s="204"/>
      <c r="Z131" s="204"/>
      <c r="AA131" s="204"/>
      <c r="AB131" s="204"/>
      <c r="AC131" s="204"/>
      <c r="AD131" s="204"/>
      <c r="AE131" s="204">
        <v>19669.74</v>
      </c>
      <c r="AF131" s="204"/>
      <c r="AG131" s="204"/>
      <c r="AH131" s="204"/>
      <c r="AI131" s="204"/>
      <c r="AJ131" s="204"/>
      <c r="AK131" s="204"/>
      <c r="AL131" s="204">
        <v>1884631.81</v>
      </c>
      <c r="AM131" s="204"/>
      <c r="AN131" s="204"/>
      <c r="AO131" s="205"/>
      <c r="AP131" s="205"/>
    </row>
    <row r="132" s="196" customFormat="1" hidden="1" customHeight="1" spans="1:42">
      <c r="A132" s="202" t="s">
        <v>244</v>
      </c>
      <c r="B132" s="203"/>
      <c r="C132" s="204"/>
      <c r="D132" s="204"/>
      <c r="E132" s="204"/>
      <c r="F132" s="204"/>
      <c r="G132" s="204"/>
      <c r="H132" s="204"/>
      <c r="I132" s="204"/>
      <c r="J132" s="204"/>
      <c r="K132" s="204"/>
      <c r="L132" s="204"/>
      <c r="M132" s="204"/>
      <c r="N132" s="204"/>
      <c r="O132" s="204"/>
      <c r="P132" s="204">
        <v>5579816.51</v>
      </c>
      <c r="Q132" s="204">
        <v>-520183.49</v>
      </c>
      <c r="R132" s="204"/>
      <c r="S132" s="204"/>
      <c r="T132" s="204"/>
      <c r="U132" s="204"/>
      <c r="V132" s="204"/>
      <c r="W132" s="204"/>
      <c r="X132" s="204"/>
      <c r="Y132" s="204"/>
      <c r="Z132" s="204"/>
      <c r="AA132" s="204"/>
      <c r="AB132" s="204"/>
      <c r="AC132" s="204">
        <v>4716513.76</v>
      </c>
      <c r="AD132" s="204">
        <v>30000</v>
      </c>
      <c r="AE132" s="204">
        <v>37228</v>
      </c>
      <c r="AF132" s="204"/>
      <c r="AG132" s="204"/>
      <c r="AH132" s="204"/>
      <c r="AI132" s="204"/>
      <c r="AJ132" s="204"/>
      <c r="AK132" s="204"/>
      <c r="AL132" s="204"/>
      <c r="AM132" s="204">
        <v>4862385.32</v>
      </c>
      <c r="AN132" s="204"/>
      <c r="AO132" s="205"/>
      <c r="AP132" s="205"/>
    </row>
    <row r="133" s="196" customFormat="1" hidden="1" customHeight="1" spans="1:42">
      <c r="A133" s="202" t="s">
        <v>245</v>
      </c>
      <c r="B133" s="203"/>
      <c r="C133" s="204"/>
      <c r="D133" s="204"/>
      <c r="E133" s="204"/>
      <c r="F133" s="204"/>
      <c r="G133" s="204"/>
      <c r="H133" s="204"/>
      <c r="I133" s="204"/>
      <c r="J133" s="204"/>
      <c r="K133" s="204"/>
      <c r="L133" s="204"/>
      <c r="M133" s="204"/>
      <c r="N133" s="204"/>
      <c r="O133" s="204"/>
      <c r="P133" s="204"/>
      <c r="Q133" s="204">
        <v>0</v>
      </c>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v>1606064.23</v>
      </c>
      <c r="AN133" s="204"/>
      <c r="AO133" s="205"/>
      <c r="AP133" s="205"/>
    </row>
    <row r="134" s="196" customFormat="1" hidden="1" customHeight="1" spans="1:42">
      <c r="A134" s="202" t="s">
        <v>246</v>
      </c>
      <c r="B134" s="203">
        <v>-657424.24</v>
      </c>
      <c r="C134" s="204"/>
      <c r="D134" s="204"/>
      <c r="E134" s="204"/>
      <c r="F134" s="204"/>
      <c r="G134" s="204"/>
      <c r="H134" s="204"/>
      <c r="I134" s="204"/>
      <c r="J134" s="204"/>
      <c r="K134" s="204"/>
      <c r="L134" s="204"/>
      <c r="M134" s="204"/>
      <c r="N134" s="204">
        <v>817262.86</v>
      </c>
      <c r="O134" s="204"/>
      <c r="P134" s="204">
        <v>-59745.8</v>
      </c>
      <c r="Q134" s="204">
        <v>-59745.8</v>
      </c>
      <c r="R134" s="204"/>
      <c r="S134" s="204"/>
      <c r="T134" s="204"/>
      <c r="U134" s="204"/>
      <c r="V134" s="204"/>
      <c r="W134" s="204"/>
      <c r="X134" s="204"/>
      <c r="Y134" s="204"/>
      <c r="Z134" s="204"/>
      <c r="AA134" s="204"/>
      <c r="AB134" s="204"/>
      <c r="AC134" s="204">
        <v>8098263.3</v>
      </c>
      <c r="AD134" s="204"/>
      <c r="AE134" s="204">
        <v>2796.75</v>
      </c>
      <c r="AF134" s="204"/>
      <c r="AG134" s="204"/>
      <c r="AH134" s="204"/>
      <c r="AI134" s="204"/>
      <c r="AJ134" s="204"/>
      <c r="AK134" s="204"/>
      <c r="AL134" s="204"/>
      <c r="AM134" s="204">
        <v>2703993.36</v>
      </c>
      <c r="AN134" s="204">
        <v>1595963.4</v>
      </c>
      <c r="AO134" s="205"/>
      <c r="AP134" s="205"/>
    </row>
    <row r="135" s="196" customFormat="1" hidden="1" customHeight="1" spans="1:42">
      <c r="A135" s="202" t="s">
        <v>247</v>
      </c>
      <c r="B135" s="203">
        <v>88881259.19</v>
      </c>
      <c r="C135" s="204"/>
      <c r="D135" s="204"/>
      <c r="E135" s="204"/>
      <c r="F135" s="204"/>
      <c r="G135" s="204"/>
      <c r="H135" s="204"/>
      <c r="I135" s="204"/>
      <c r="J135" s="204"/>
      <c r="K135" s="204"/>
      <c r="L135" s="204"/>
      <c r="M135" s="204">
        <v>12336960.81</v>
      </c>
      <c r="N135" s="204">
        <v>108451533.1</v>
      </c>
      <c r="O135" s="204"/>
      <c r="P135" s="204"/>
      <c r="Q135" s="204">
        <v>0</v>
      </c>
      <c r="R135" s="204">
        <v>8357467.73</v>
      </c>
      <c r="S135" s="204"/>
      <c r="T135" s="204"/>
      <c r="U135" s="204"/>
      <c r="V135" s="204"/>
      <c r="W135" s="204">
        <v>14182686.9</v>
      </c>
      <c r="X135" s="204"/>
      <c r="Y135" s="204"/>
      <c r="Z135" s="204"/>
      <c r="AA135" s="204"/>
      <c r="AB135" s="204">
        <v>655181.17</v>
      </c>
      <c r="AC135" s="204">
        <v>433721340.37</v>
      </c>
      <c r="AD135" s="204"/>
      <c r="AE135" s="204">
        <v>956232.26</v>
      </c>
      <c r="AF135" s="204"/>
      <c r="AG135" s="204"/>
      <c r="AH135" s="204"/>
      <c r="AI135" s="204"/>
      <c r="AJ135" s="204"/>
      <c r="AK135" s="204"/>
      <c r="AL135" s="204"/>
      <c r="AM135" s="204">
        <v>466367032.63</v>
      </c>
      <c r="AN135" s="204">
        <v>459107431.19</v>
      </c>
      <c r="AO135" s="205"/>
      <c r="AP135" s="205"/>
    </row>
    <row r="136" s="196" customFormat="1" hidden="1" customHeight="1" spans="1:42">
      <c r="A136" s="202" t="s">
        <v>248</v>
      </c>
      <c r="B136" s="203">
        <v>6234490</v>
      </c>
      <c r="C136" s="204"/>
      <c r="D136" s="204"/>
      <c r="E136" s="204"/>
      <c r="F136" s="204"/>
      <c r="G136" s="204"/>
      <c r="H136" s="204"/>
      <c r="I136" s="204"/>
      <c r="J136" s="204"/>
      <c r="K136" s="204"/>
      <c r="L136" s="204"/>
      <c r="M136" s="204">
        <v>930810</v>
      </c>
      <c r="N136" s="204">
        <v>5274590</v>
      </c>
      <c r="O136" s="204"/>
      <c r="P136" s="204"/>
      <c r="Q136" s="204">
        <v>0</v>
      </c>
      <c r="R136" s="204"/>
      <c r="S136" s="204"/>
      <c r="T136" s="204"/>
      <c r="U136" s="204"/>
      <c r="V136" s="204"/>
      <c r="W136" s="204">
        <v>930810</v>
      </c>
      <c r="X136" s="204"/>
      <c r="Y136" s="204"/>
      <c r="Z136" s="204"/>
      <c r="AA136" s="204"/>
      <c r="AB136" s="204"/>
      <c r="AC136" s="204">
        <v>28465137.61</v>
      </c>
      <c r="AD136" s="204"/>
      <c r="AE136" s="204">
        <v>5059.32</v>
      </c>
      <c r="AF136" s="204"/>
      <c r="AG136" s="204"/>
      <c r="AH136" s="204"/>
      <c r="AI136" s="204"/>
      <c r="AJ136" s="204"/>
      <c r="AK136" s="204"/>
      <c r="AL136" s="204"/>
      <c r="AM136" s="204">
        <v>28465137.61</v>
      </c>
      <c r="AN136" s="204">
        <v>30208256.89</v>
      </c>
      <c r="AO136" s="205"/>
      <c r="AP136" s="205"/>
    </row>
    <row r="137" s="196" customFormat="1" hidden="1" customHeight="1" spans="1:42">
      <c r="A137" s="202" t="s">
        <v>249</v>
      </c>
      <c r="B137" s="203">
        <v>4663540.63</v>
      </c>
      <c r="C137" s="204">
        <v>6475000</v>
      </c>
      <c r="D137" s="204"/>
      <c r="E137" s="204"/>
      <c r="F137" s="204"/>
      <c r="G137" s="204"/>
      <c r="H137" s="204"/>
      <c r="I137" s="204"/>
      <c r="J137" s="204"/>
      <c r="K137" s="204"/>
      <c r="L137" s="204"/>
      <c r="M137" s="204">
        <v>2733283.37</v>
      </c>
      <c r="N137" s="204">
        <v>17312149.59</v>
      </c>
      <c r="O137" s="204"/>
      <c r="P137" s="204"/>
      <c r="Q137" s="204">
        <v>0</v>
      </c>
      <c r="R137" s="204">
        <v>0.02</v>
      </c>
      <c r="S137" s="204"/>
      <c r="T137" s="204"/>
      <c r="U137" s="204"/>
      <c r="V137" s="204"/>
      <c r="W137" s="204"/>
      <c r="X137" s="204"/>
      <c r="Y137" s="204"/>
      <c r="Z137" s="204"/>
      <c r="AA137" s="204"/>
      <c r="AB137" s="204"/>
      <c r="AC137" s="204">
        <v>81614982.89</v>
      </c>
      <c r="AD137" s="204"/>
      <c r="AE137" s="204">
        <v>701498.63</v>
      </c>
      <c r="AF137" s="204"/>
      <c r="AG137" s="204"/>
      <c r="AH137" s="204"/>
      <c r="AI137" s="204"/>
      <c r="AJ137" s="204"/>
      <c r="AK137" s="204"/>
      <c r="AL137" s="204"/>
      <c r="AM137" s="204">
        <v>83820785.73</v>
      </c>
      <c r="AN137" s="204">
        <v>83586647.48</v>
      </c>
      <c r="AO137" s="205"/>
      <c r="AP137" s="205"/>
    </row>
    <row r="138" s="196" customFormat="1" hidden="1" customHeight="1" spans="1:42">
      <c r="A138" s="202" t="s">
        <v>250</v>
      </c>
      <c r="B138" s="203">
        <v>2197641.46</v>
      </c>
      <c r="C138" s="204"/>
      <c r="D138" s="204"/>
      <c r="E138" s="204"/>
      <c r="F138" s="204"/>
      <c r="G138" s="204"/>
      <c r="H138" s="204"/>
      <c r="I138" s="204"/>
      <c r="J138" s="204"/>
      <c r="K138" s="204"/>
      <c r="L138" s="204"/>
      <c r="M138" s="204"/>
      <c r="N138" s="204">
        <v>69113653.37</v>
      </c>
      <c r="O138" s="204"/>
      <c r="P138" s="204"/>
      <c r="Q138" s="204">
        <v>0</v>
      </c>
      <c r="R138" s="204">
        <v>181456.73</v>
      </c>
      <c r="S138" s="204"/>
      <c r="T138" s="204"/>
      <c r="U138" s="204"/>
      <c r="V138" s="204"/>
      <c r="W138" s="204"/>
      <c r="X138" s="204"/>
      <c r="Y138" s="204"/>
      <c r="Z138" s="204"/>
      <c r="AA138" s="204"/>
      <c r="AB138" s="204"/>
      <c r="AC138" s="204">
        <v>372649042.81</v>
      </c>
      <c r="AD138" s="204"/>
      <c r="AE138" s="204">
        <v>5007006.16</v>
      </c>
      <c r="AF138" s="204"/>
      <c r="AG138" s="204"/>
      <c r="AH138" s="204"/>
      <c r="AI138" s="204"/>
      <c r="AJ138" s="204"/>
      <c r="AK138" s="204"/>
      <c r="AL138" s="204"/>
      <c r="AM138" s="204">
        <v>396298228.92</v>
      </c>
      <c r="AN138" s="204">
        <v>354411450.85</v>
      </c>
      <c r="AO138" s="205"/>
      <c r="AP138" s="205"/>
    </row>
    <row r="139" s="196" customFormat="1" hidden="1" customHeight="1" spans="1:42">
      <c r="A139" s="202" t="s">
        <v>251</v>
      </c>
      <c r="B139" s="203">
        <v>2595102.2</v>
      </c>
      <c r="C139" s="204"/>
      <c r="D139" s="204"/>
      <c r="E139" s="204"/>
      <c r="F139" s="204"/>
      <c r="G139" s="204"/>
      <c r="H139" s="204"/>
      <c r="I139" s="204"/>
      <c r="J139" s="204"/>
      <c r="K139" s="204"/>
      <c r="L139" s="204">
        <v>778530.66</v>
      </c>
      <c r="M139" s="204">
        <v>0</v>
      </c>
      <c r="N139" s="204"/>
      <c r="O139" s="204"/>
      <c r="P139" s="204">
        <v>2595102.2</v>
      </c>
      <c r="Q139" s="204">
        <v>0</v>
      </c>
      <c r="R139" s="204">
        <v>0</v>
      </c>
      <c r="S139" s="204"/>
      <c r="T139" s="204"/>
      <c r="U139" s="204"/>
      <c r="V139" s="204"/>
      <c r="W139" s="204">
        <v>739604.13</v>
      </c>
      <c r="X139" s="204"/>
      <c r="Y139" s="204"/>
      <c r="Z139" s="204"/>
      <c r="AA139" s="204"/>
      <c r="AB139" s="204"/>
      <c r="AC139" s="204">
        <v>22617863.22</v>
      </c>
      <c r="AD139" s="204"/>
      <c r="AE139" s="204">
        <v>1830.72</v>
      </c>
      <c r="AF139" s="204"/>
      <c r="AG139" s="204"/>
      <c r="AH139" s="204"/>
      <c r="AI139" s="204"/>
      <c r="AJ139" s="204"/>
      <c r="AK139" s="204"/>
      <c r="AL139" s="204"/>
      <c r="AM139" s="204">
        <v>23451152.92</v>
      </c>
      <c r="AN139" s="204">
        <v>23451152.92</v>
      </c>
      <c r="AO139" s="205"/>
      <c r="AP139" s="205"/>
    </row>
    <row r="140" s="196" customFormat="1" hidden="1" customHeight="1" spans="1:42">
      <c r="A140" s="202" t="s">
        <v>252</v>
      </c>
      <c r="B140" s="203">
        <v>5268002.93</v>
      </c>
      <c r="C140" s="204"/>
      <c r="D140" s="204"/>
      <c r="E140" s="204"/>
      <c r="F140" s="204"/>
      <c r="G140" s="204"/>
      <c r="H140" s="204"/>
      <c r="I140" s="204"/>
      <c r="J140" s="204"/>
      <c r="K140" s="204"/>
      <c r="L140" s="204"/>
      <c r="M140" s="204">
        <v>243758.22</v>
      </c>
      <c r="N140" s="204">
        <v>10356980.92</v>
      </c>
      <c r="O140" s="204"/>
      <c r="P140" s="204">
        <v>-832169.73</v>
      </c>
      <c r="Q140" s="204">
        <v>-832169.73</v>
      </c>
      <c r="R140" s="204">
        <v>0</v>
      </c>
      <c r="S140" s="204"/>
      <c r="T140" s="204"/>
      <c r="U140" s="204"/>
      <c r="V140" s="204"/>
      <c r="W140" s="204"/>
      <c r="X140" s="204"/>
      <c r="Y140" s="204"/>
      <c r="Z140" s="204"/>
      <c r="AA140" s="204"/>
      <c r="AB140" s="204"/>
      <c r="AC140" s="204">
        <v>31429340.3</v>
      </c>
      <c r="AD140" s="204"/>
      <c r="AE140" s="204">
        <v>40460.62</v>
      </c>
      <c r="AF140" s="204"/>
      <c r="AG140" s="204"/>
      <c r="AH140" s="204"/>
      <c r="AI140" s="204"/>
      <c r="AJ140" s="204"/>
      <c r="AK140" s="204"/>
      <c r="AL140" s="204"/>
      <c r="AM140" s="204">
        <v>33104042.86</v>
      </c>
      <c r="AN140" s="204">
        <v>27203972.75</v>
      </c>
      <c r="AO140" s="205"/>
      <c r="AP140" s="205"/>
    </row>
    <row r="141" s="196" customFormat="1" hidden="1" customHeight="1" spans="1:42">
      <c r="A141" s="202" t="s">
        <v>253</v>
      </c>
      <c r="B141" s="203"/>
      <c r="C141" s="204"/>
      <c r="D141" s="204"/>
      <c r="E141" s="204"/>
      <c r="F141" s="204"/>
      <c r="G141" s="204"/>
      <c r="H141" s="204"/>
      <c r="I141" s="204"/>
      <c r="J141" s="204"/>
      <c r="K141" s="204"/>
      <c r="L141" s="204"/>
      <c r="M141" s="204"/>
      <c r="N141" s="204"/>
      <c r="O141" s="204"/>
      <c r="P141" s="204">
        <v>3000000</v>
      </c>
      <c r="Q141" s="204">
        <v>0</v>
      </c>
      <c r="R141" s="204"/>
      <c r="S141" s="204"/>
      <c r="T141" s="204"/>
      <c r="U141" s="204"/>
      <c r="V141" s="204"/>
      <c r="W141" s="204"/>
      <c r="X141" s="204"/>
      <c r="Y141" s="204"/>
      <c r="Z141" s="204"/>
      <c r="AA141" s="204"/>
      <c r="AB141" s="204"/>
      <c r="AC141" s="204"/>
      <c r="AD141" s="204"/>
      <c r="AE141" s="204">
        <v>514101.2</v>
      </c>
      <c r="AF141" s="204"/>
      <c r="AG141" s="204"/>
      <c r="AH141" s="204"/>
      <c r="AI141" s="204"/>
      <c r="AJ141" s="204"/>
      <c r="AK141" s="204"/>
      <c r="AL141" s="204"/>
      <c r="AM141" s="204"/>
      <c r="AN141" s="204"/>
      <c r="AO141" s="205"/>
      <c r="AP141" s="205"/>
    </row>
    <row r="142" s="196" customFormat="1" hidden="1" customHeight="1" spans="1:42">
      <c r="A142" s="202" t="s">
        <v>254</v>
      </c>
      <c r="B142" s="203"/>
      <c r="C142" s="204"/>
      <c r="D142" s="204"/>
      <c r="E142" s="204"/>
      <c r="F142" s="204"/>
      <c r="G142" s="204"/>
      <c r="H142" s="204"/>
      <c r="I142" s="204"/>
      <c r="J142" s="204"/>
      <c r="K142" s="204"/>
      <c r="L142" s="204"/>
      <c r="M142" s="204"/>
      <c r="N142" s="204"/>
      <c r="O142" s="204"/>
      <c r="P142" s="204"/>
      <c r="Q142" s="204">
        <v>0</v>
      </c>
      <c r="R142" s="204"/>
      <c r="S142" s="204"/>
      <c r="T142" s="204"/>
      <c r="U142" s="204"/>
      <c r="V142" s="204"/>
      <c r="W142" s="204"/>
      <c r="X142" s="204"/>
      <c r="Y142" s="204"/>
      <c r="Z142" s="204"/>
      <c r="AA142" s="204"/>
      <c r="AB142" s="204"/>
      <c r="AC142" s="204"/>
      <c r="AD142" s="204"/>
      <c r="AE142" s="204">
        <v>4400</v>
      </c>
      <c r="AF142" s="204"/>
      <c r="AG142" s="204"/>
      <c r="AH142" s="204"/>
      <c r="AI142" s="204"/>
      <c r="AJ142" s="204"/>
      <c r="AK142" s="204"/>
      <c r="AL142" s="204"/>
      <c r="AM142" s="204"/>
      <c r="AN142" s="204"/>
      <c r="AO142" s="205"/>
      <c r="AP142" s="205"/>
    </row>
    <row r="143" s="196" customFormat="1" hidden="1" customHeight="1" spans="1:42">
      <c r="A143" s="202" t="s">
        <v>255</v>
      </c>
      <c r="B143" s="203">
        <v>3880436.2</v>
      </c>
      <c r="C143" s="204">
        <v>10760359.75</v>
      </c>
      <c r="D143" s="204"/>
      <c r="E143" s="204"/>
      <c r="F143" s="204"/>
      <c r="G143" s="204"/>
      <c r="H143" s="204"/>
      <c r="I143" s="204"/>
      <c r="J143" s="204"/>
      <c r="K143" s="204"/>
      <c r="L143" s="204"/>
      <c r="M143" s="204">
        <v>354610.94</v>
      </c>
      <c r="N143" s="204">
        <v>6983435.35</v>
      </c>
      <c r="O143" s="204"/>
      <c r="P143" s="204">
        <v>10228507.25</v>
      </c>
      <c r="Q143" s="204">
        <v>0</v>
      </c>
      <c r="R143" s="204">
        <v>975993.4</v>
      </c>
      <c r="S143" s="204"/>
      <c r="T143" s="204"/>
      <c r="U143" s="204"/>
      <c r="V143" s="204"/>
      <c r="W143" s="204">
        <v>318963.21</v>
      </c>
      <c r="X143" s="204"/>
      <c r="Y143" s="204"/>
      <c r="Z143" s="204"/>
      <c r="AA143" s="204"/>
      <c r="AB143" s="204"/>
      <c r="AC143" s="204">
        <v>9754226.47</v>
      </c>
      <c r="AD143" s="204"/>
      <c r="AE143" s="204">
        <v>62637.47</v>
      </c>
      <c r="AF143" s="204"/>
      <c r="AG143" s="204"/>
      <c r="AH143" s="204"/>
      <c r="AI143" s="204"/>
      <c r="AJ143" s="204"/>
      <c r="AK143" s="204"/>
      <c r="AL143" s="204"/>
      <c r="AM143" s="204">
        <v>10488415.56</v>
      </c>
      <c r="AN143" s="204">
        <v>10844371.15</v>
      </c>
      <c r="AO143" s="205"/>
      <c r="AP143" s="205"/>
    </row>
    <row r="144" s="196" customFormat="1" hidden="1" customHeight="1" spans="1:42">
      <c r="A144" s="202" t="s">
        <v>256</v>
      </c>
      <c r="B144" s="203">
        <v>508800</v>
      </c>
      <c r="C144" s="204">
        <v>6685000</v>
      </c>
      <c r="D144" s="204"/>
      <c r="E144" s="204"/>
      <c r="F144" s="204"/>
      <c r="G144" s="204"/>
      <c r="H144" s="204"/>
      <c r="I144" s="204"/>
      <c r="J144" s="204"/>
      <c r="K144" s="204"/>
      <c r="L144" s="204">
        <v>235200</v>
      </c>
      <c r="M144" s="204">
        <v>0</v>
      </c>
      <c r="N144" s="204">
        <v>6759400</v>
      </c>
      <c r="O144" s="204"/>
      <c r="P144" s="204"/>
      <c r="Q144" s="204">
        <v>0</v>
      </c>
      <c r="R144" s="204"/>
      <c r="S144" s="204"/>
      <c r="T144" s="204"/>
      <c r="U144" s="204"/>
      <c r="V144" s="204"/>
      <c r="W144" s="204">
        <v>669600</v>
      </c>
      <c r="X144" s="204"/>
      <c r="Y144" s="204"/>
      <c r="Z144" s="204"/>
      <c r="AA144" s="204"/>
      <c r="AB144" s="204"/>
      <c r="AC144" s="204">
        <v>20477064.22</v>
      </c>
      <c r="AD144" s="204"/>
      <c r="AE144" s="204"/>
      <c r="AF144" s="204"/>
      <c r="AG144" s="204"/>
      <c r="AH144" s="204"/>
      <c r="AI144" s="204"/>
      <c r="AJ144" s="204"/>
      <c r="AK144" s="204"/>
      <c r="AL144" s="204"/>
      <c r="AM144" s="204">
        <v>21500917.43</v>
      </c>
      <c r="AN144" s="204">
        <v>21500917.43</v>
      </c>
      <c r="AO144" s="205"/>
      <c r="AP144" s="205"/>
    </row>
    <row r="145" s="196" customFormat="1" hidden="1" customHeight="1" spans="1:42">
      <c r="A145" s="202" t="s">
        <v>257</v>
      </c>
      <c r="B145" s="203"/>
      <c r="C145" s="204"/>
      <c r="D145" s="204"/>
      <c r="E145" s="204"/>
      <c r="F145" s="204"/>
      <c r="G145" s="204"/>
      <c r="H145" s="204"/>
      <c r="I145" s="204"/>
      <c r="J145" s="204"/>
      <c r="K145" s="204"/>
      <c r="L145" s="204"/>
      <c r="M145" s="204"/>
      <c r="N145" s="204"/>
      <c r="O145" s="204"/>
      <c r="P145" s="204">
        <v>128965763.1</v>
      </c>
      <c r="Q145" s="204">
        <v>0</v>
      </c>
      <c r="R145" s="204"/>
      <c r="S145" s="204"/>
      <c r="T145" s="204"/>
      <c r="U145" s="204"/>
      <c r="V145" s="204"/>
      <c r="W145" s="204"/>
      <c r="X145" s="204"/>
      <c r="Y145" s="204"/>
      <c r="Z145" s="204"/>
      <c r="AA145" s="204"/>
      <c r="AB145" s="204"/>
      <c r="AC145" s="204"/>
      <c r="AD145" s="204"/>
      <c r="AE145" s="204">
        <v>267843.98</v>
      </c>
      <c r="AF145" s="204"/>
      <c r="AG145" s="204"/>
      <c r="AH145" s="204"/>
      <c r="AI145" s="204"/>
      <c r="AJ145" s="204"/>
      <c r="AK145" s="204"/>
      <c r="AL145" s="204"/>
      <c r="AM145" s="204"/>
      <c r="AN145" s="204"/>
      <c r="AO145" s="205"/>
      <c r="AP145" s="205"/>
    </row>
    <row r="146" s="196" customFormat="1" hidden="1" customHeight="1" spans="1:42">
      <c r="A146" s="202" t="s">
        <v>258</v>
      </c>
      <c r="B146" s="203">
        <v>-3180600</v>
      </c>
      <c r="C146" s="204">
        <v>21680375.39</v>
      </c>
      <c r="D146" s="204"/>
      <c r="E146" s="204"/>
      <c r="F146" s="204"/>
      <c r="G146" s="204"/>
      <c r="H146" s="204"/>
      <c r="I146" s="204"/>
      <c r="J146" s="204"/>
      <c r="K146" s="204"/>
      <c r="L146" s="204"/>
      <c r="M146" s="204"/>
      <c r="N146" s="204"/>
      <c r="O146" s="204"/>
      <c r="P146" s="204">
        <v>23064229.14</v>
      </c>
      <c r="Q146" s="204">
        <v>0</v>
      </c>
      <c r="R146" s="204"/>
      <c r="S146" s="204"/>
      <c r="T146" s="204"/>
      <c r="U146" s="204"/>
      <c r="V146" s="204"/>
      <c r="W146" s="204"/>
      <c r="X146" s="204"/>
      <c r="Y146" s="204"/>
      <c r="Z146" s="204"/>
      <c r="AA146" s="204"/>
      <c r="AB146" s="204"/>
      <c r="AC146" s="204"/>
      <c r="AD146" s="204"/>
      <c r="AE146" s="204">
        <v>369841.78</v>
      </c>
      <c r="AF146" s="204"/>
      <c r="AG146" s="204"/>
      <c r="AH146" s="204"/>
      <c r="AI146" s="204"/>
      <c r="AJ146" s="204"/>
      <c r="AK146" s="204"/>
      <c r="AL146" s="204"/>
      <c r="AM146" s="204"/>
      <c r="AN146" s="204"/>
      <c r="AO146" s="205"/>
      <c r="AP146" s="205"/>
    </row>
    <row r="147" s="196" customFormat="1" hidden="1" customHeight="1" spans="1:42">
      <c r="A147" s="202" t="s">
        <v>259</v>
      </c>
      <c r="B147" s="203">
        <v>1371588.86</v>
      </c>
      <c r="C147" s="204">
        <v>3710877.02</v>
      </c>
      <c r="D147" s="204"/>
      <c r="E147" s="204"/>
      <c r="F147" s="204"/>
      <c r="G147" s="204"/>
      <c r="H147" s="204"/>
      <c r="I147" s="204"/>
      <c r="J147" s="204"/>
      <c r="K147" s="204"/>
      <c r="L147" s="204"/>
      <c r="M147" s="204">
        <v>4419920.19</v>
      </c>
      <c r="N147" s="204">
        <v>7342273.15</v>
      </c>
      <c r="O147" s="204">
        <v>306402.75</v>
      </c>
      <c r="P147" s="204">
        <v>2710916.61</v>
      </c>
      <c r="Q147" s="204">
        <v>-243982.44</v>
      </c>
      <c r="R147" s="204"/>
      <c r="S147" s="204"/>
      <c r="T147" s="204"/>
      <c r="U147" s="204"/>
      <c r="V147" s="204"/>
      <c r="W147" s="204">
        <v>4268716.28</v>
      </c>
      <c r="X147" s="204"/>
      <c r="Y147" s="204"/>
      <c r="Z147" s="204"/>
      <c r="AA147" s="204"/>
      <c r="AB147" s="204"/>
      <c r="AC147" s="204">
        <v>130541782.26</v>
      </c>
      <c r="AD147" s="204"/>
      <c r="AE147" s="204">
        <v>260657.46</v>
      </c>
      <c r="AF147" s="204"/>
      <c r="AG147" s="204"/>
      <c r="AH147" s="204"/>
      <c r="AI147" s="204"/>
      <c r="AJ147" s="204"/>
      <c r="AK147" s="204"/>
      <c r="AL147" s="204"/>
      <c r="AM147" s="204">
        <v>130541990.93</v>
      </c>
      <c r="AN147" s="204">
        <v>135165755.05</v>
      </c>
      <c r="AO147" s="205"/>
      <c r="AP147" s="205"/>
    </row>
    <row r="148" s="196" customFormat="1" hidden="1" customHeight="1" spans="1:42">
      <c r="A148" s="202" t="s">
        <v>260</v>
      </c>
      <c r="B148" s="203">
        <v>3166794.4</v>
      </c>
      <c r="C148" s="204">
        <v>2064900.16</v>
      </c>
      <c r="D148" s="204"/>
      <c r="E148" s="204"/>
      <c r="F148" s="204"/>
      <c r="G148" s="204"/>
      <c r="H148" s="204"/>
      <c r="I148" s="204"/>
      <c r="J148" s="204"/>
      <c r="K148" s="204"/>
      <c r="L148" s="204"/>
      <c r="M148" s="204">
        <v>5126058.6</v>
      </c>
      <c r="N148" s="204">
        <v>6194004.47</v>
      </c>
      <c r="O148" s="204">
        <v>170496.37</v>
      </c>
      <c r="P148" s="204">
        <v>155281.7</v>
      </c>
      <c r="Q148" s="204">
        <v>-13975.3</v>
      </c>
      <c r="R148" s="204"/>
      <c r="S148" s="204"/>
      <c r="T148" s="204"/>
      <c r="U148" s="204"/>
      <c r="V148" s="204"/>
      <c r="W148" s="204">
        <v>4746922.48</v>
      </c>
      <c r="X148" s="204"/>
      <c r="Y148" s="204"/>
      <c r="Z148" s="204"/>
      <c r="AA148" s="204"/>
      <c r="AB148" s="204"/>
      <c r="AC148" s="204">
        <v>145165824.92</v>
      </c>
      <c r="AD148" s="204"/>
      <c r="AE148" s="204">
        <v>161646.97</v>
      </c>
      <c r="AF148" s="204"/>
      <c r="AG148" s="204"/>
      <c r="AH148" s="204"/>
      <c r="AI148" s="204"/>
      <c r="AJ148" s="204"/>
      <c r="AK148" s="204"/>
      <c r="AL148" s="204"/>
      <c r="AM148" s="204">
        <v>145166033.38</v>
      </c>
      <c r="AN148" s="204">
        <v>156760201.83</v>
      </c>
      <c r="AO148" s="205"/>
      <c r="AP148" s="205"/>
    </row>
    <row r="149" s="196" customFormat="1" hidden="1" customHeight="1" spans="1:42">
      <c r="A149" s="202" t="s">
        <v>261</v>
      </c>
      <c r="B149" s="203">
        <v>10028346.89</v>
      </c>
      <c r="C149" s="204"/>
      <c r="D149" s="204"/>
      <c r="E149" s="204"/>
      <c r="F149" s="204"/>
      <c r="G149" s="204"/>
      <c r="H149" s="204"/>
      <c r="I149" s="204"/>
      <c r="J149" s="204"/>
      <c r="K149" s="204"/>
      <c r="L149" s="204">
        <v>669949.11</v>
      </c>
      <c r="M149" s="204">
        <v>0</v>
      </c>
      <c r="N149" s="204">
        <v>10415536.56</v>
      </c>
      <c r="O149" s="204"/>
      <c r="P149" s="204"/>
      <c r="Q149" s="204">
        <v>0</v>
      </c>
      <c r="R149" s="204">
        <v>745198.03</v>
      </c>
      <c r="S149" s="204"/>
      <c r="T149" s="204"/>
      <c r="U149" s="204"/>
      <c r="V149" s="204"/>
      <c r="W149" s="204">
        <v>614185.44</v>
      </c>
      <c r="X149" s="204"/>
      <c r="Y149" s="204"/>
      <c r="Z149" s="204"/>
      <c r="AA149" s="204"/>
      <c r="AB149" s="204">
        <v>168330.85</v>
      </c>
      <c r="AC149" s="204">
        <v>39694575.23</v>
      </c>
      <c r="AD149" s="204"/>
      <c r="AE149" s="204">
        <v>20065.12</v>
      </c>
      <c r="AF149" s="204"/>
      <c r="AG149" s="204"/>
      <c r="AH149" s="204"/>
      <c r="AI149" s="204"/>
      <c r="AJ149" s="204"/>
      <c r="AK149" s="204"/>
      <c r="AL149" s="204"/>
      <c r="AM149" s="204">
        <v>41783763.4</v>
      </c>
      <c r="AN149" s="204">
        <v>41399885.32</v>
      </c>
      <c r="AO149" s="205"/>
      <c r="AP149" s="205"/>
    </row>
    <row r="150" s="196" customFormat="1" hidden="1" customHeight="1" spans="1:42">
      <c r="A150" s="202" t="s">
        <v>262</v>
      </c>
      <c r="B150" s="203">
        <v>26902834.07</v>
      </c>
      <c r="C150" s="204"/>
      <c r="D150" s="204"/>
      <c r="E150" s="204"/>
      <c r="F150" s="204"/>
      <c r="G150" s="204"/>
      <c r="H150" s="204"/>
      <c r="I150" s="204"/>
      <c r="J150" s="204"/>
      <c r="K150" s="204"/>
      <c r="L150" s="204">
        <v>1550583.93</v>
      </c>
      <c r="M150" s="204">
        <v>0</v>
      </c>
      <c r="N150" s="204">
        <v>23318558.57</v>
      </c>
      <c r="O150" s="204"/>
      <c r="P150" s="204"/>
      <c r="Q150" s="204">
        <v>0</v>
      </c>
      <c r="R150" s="204">
        <v>2157237.19</v>
      </c>
      <c r="S150" s="204"/>
      <c r="T150" s="204"/>
      <c r="U150" s="204"/>
      <c r="V150" s="204"/>
      <c r="W150" s="204">
        <v>1287695.43</v>
      </c>
      <c r="X150" s="204"/>
      <c r="Y150" s="204"/>
      <c r="Z150" s="204"/>
      <c r="AA150" s="204"/>
      <c r="AB150" s="204">
        <v>171157.14</v>
      </c>
      <c r="AC150" s="204">
        <v>93910154.13</v>
      </c>
      <c r="AD150" s="204"/>
      <c r="AE150" s="204">
        <v>142674.59</v>
      </c>
      <c r="AF150" s="204"/>
      <c r="AG150" s="204"/>
      <c r="AH150" s="204"/>
      <c r="AI150" s="204"/>
      <c r="AJ150" s="204"/>
      <c r="AK150" s="204"/>
      <c r="AL150" s="204"/>
      <c r="AM150" s="204">
        <v>98852793.82</v>
      </c>
      <c r="AN150" s="204">
        <v>101949559.63</v>
      </c>
      <c r="AO150" s="205"/>
      <c r="AP150" s="205"/>
    </row>
    <row r="151" s="196" customFormat="1" hidden="1" customHeight="1" spans="1:42">
      <c r="A151" s="202" t="s">
        <v>263</v>
      </c>
      <c r="B151" s="203">
        <v>17819173.76</v>
      </c>
      <c r="C151" s="204"/>
      <c r="D151" s="204"/>
      <c r="E151" s="204"/>
      <c r="F151" s="204"/>
      <c r="G151" s="204"/>
      <c r="H151" s="204"/>
      <c r="I151" s="204"/>
      <c r="J151" s="204"/>
      <c r="K151" s="204"/>
      <c r="L151" s="204"/>
      <c r="M151" s="204">
        <v>18477073.23</v>
      </c>
      <c r="N151" s="204">
        <v>18481350.89</v>
      </c>
      <c r="O151" s="204"/>
      <c r="P151" s="204">
        <v>-2325137.61</v>
      </c>
      <c r="Q151" s="204">
        <v>-2325137.61</v>
      </c>
      <c r="R151" s="204">
        <v>4911402.31</v>
      </c>
      <c r="S151" s="204"/>
      <c r="T151" s="204"/>
      <c r="U151" s="204"/>
      <c r="V151" s="204"/>
      <c r="W151" s="204"/>
      <c r="X151" s="204"/>
      <c r="Y151" s="204"/>
      <c r="Z151" s="204"/>
      <c r="AA151" s="204"/>
      <c r="AB151" s="204">
        <v>49282.45</v>
      </c>
      <c r="AC151" s="204">
        <v>42232432.01</v>
      </c>
      <c r="AD151" s="204">
        <v>6415.1</v>
      </c>
      <c r="AE151" s="204">
        <v>133474.11</v>
      </c>
      <c r="AF151" s="204"/>
      <c r="AG151" s="204"/>
      <c r="AH151" s="204"/>
      <c r="AI151" s="204"/>
      <c r="AJ151" s="204"/>
      <c r="AK151" s="204"/>
      <c r="AL151" s="204"/>
      <c r="AM151" s="204">
        <v>43992116.68</v>
      </c>
      <c r="AN151" s="204">
        <v>80901411.91</v>
      </c>
      <c r="AO151" s="205"/>
      <c r="AP151" s="205"/>
    </row>
    <row r="152" s="196" customFormat="1" hidden="1" customHeight="1" spans="1:42">
      <c r="A152" s="202" t="s">
        <v>264</v>
      </c>
      <c r="B152" s="203">
        <v>-52157761.89</v>
      </c>
      <c r="C152" s="204"/>
      <c r="D152" s="204"/>
      <c r="E152" s="204"/>
      <c r="F152" s="204"/>
      <c r="G152" s="204"/>
      <c r="H152" s="204"/>
      <c r="I152" s="204"/>
      <c r="J152" s="204"/>
      <c r="K152" s="204"/>
      <c r="L152" s="204"/>
      <c r="M152" s="204"/>
      <c r="N152" s="204">
        <v>270</v>
      </c>
      <c r="O152" s="204"/>
      <c r="P152" s="204"/>
      <c r="Q152" s="204">
        <v>0</v>
      </c>
      <c r="R152" s="204">
        <v>14347722.23</v>
      </c>
      <c r="S152" s="204"/>
      <c r="T152" s="204"/>
      <c r="U152" s="204"/>
      <c r="V152" s="204"/>
      <c r="W152" s="204"/>
      <c r="X152" s="204"/>
      <c r="Y152" s="204"/>
      <c r="Z152" s="204"/>
      <c r="AA152" s="204"/>
      <c r="AB152" s="204"/>
      <c r="AC152" s="204"/>
      <c r="AD152" s="204"/>
      <c r="AE152" s="204">
        <v>2341108</v>
      </c>
      <c r="AF152" s="204"/>
      <c r="AG152" s="204"/>
      <c r="AH152" s="204"/>
      <c r="AI152" s="204"/>
      <c r="AJ152" s="204"/>
      <c r="AK152" s="204"/>
      <c r="AL152" s="204"/>
      <c r="AM152" s="204"/>
      <c r="AN152" s="204"/>
      <c r="AO152" s="205"/>
      <c r="AP152" s="205"/>
    </row>
    <row r="153" s="196" customFormat="1" hidden="1" customHeight="1" spans="1:42">
      <c r="A153" s="202" t="s">
        <v>265</v>
      </c>
      <c r="B153" s="203">
        <v>878939.66</v>
      </c>
      <c r="C153" s="204"/>
      <c r="D153" s="204"/>
      <c r="E153" s="204"/>
      <c r="F153" s="204"/>
      <c r="G153" s="204"/>
      <c r="H153" s="204"/>
      <c r="I153" s="204"/>
      <c r="J153" s="204"/>
      <c r="K153" s="204"/>
      <c r="L153" s="204">
        <v>3121060.34</v>
      </c>
      <c r="M153" s="204">
        <v>0</v>
      </c>
      <c r="N153" s="204">
        <v>-2776170.34</v>
      </c>
      <c r="O153" s="204"/>
      <c r="P153" s="204"/>
      <c r="Q153" s="204">
        <v>0</v>
      </c>
      <c r="R153" s="204">
        <v>330275.25</v>
      </c>
      <c r="S153" s="204"/>
      <c r="T153" s="204"/>
      <c r="U153" s="204"/>
      <c r="V153" s="204"/>
      <c r="W153" s="204">
        <v>2776170.34</v>
      </c>
      <c r="X153" s="204"/>
      <c r="Y153" s="204"/>
      <c r="Z153" s="204"/>
      <c r="AA153" s="204"/>
      <c r="AB153" s="204"/>
      <c r="AC153" s="204">
        <v>50938905.33</v>
      </c>
      <c r="AD153" s="204"/>
      <c r="AE153" s="204">
        <v>71939.88</v>
      </c>
      <c r="AF153" s="204"/>
      <c r="AG153" s="204"/>
      <c r="AH153" s="204"/>
      <c r="AI153" s="204"/>
      <c r="AJ153" s="204"/>
      <c r="AK153" s="204"/>
      <c r="AL153" s="204"/>
      <c r="AM153" s="204">
        <v>53418782.87</v>
      </c>
      <c r="AN153" s="204">
        <v>57267162.21</v>
      </c>
      <c r="AO153" s="205"/>
      <c r="AP153" s="205"/>
    </row>
    <row r="154" s="196" customFormat="1" hidden="1" customHeight="1" spans="1:42">
      <c r="A154" s="202" t="s">
        <v>266</v>
      </c>
      <c r="B154" s="203">
        <v>61510078.5</v>
      </c>
      <c r="C154" s="204"/>
      <c r="D154" s="204"/>
      <c r="E154" s="204"/>
      <c r="F154" s="204"/>
      <c r="G154" s="204"/>
      <c r="H154" s="204"/>
      <c r="I154" s="204"/>
      <c r="J154" s="204"/>
      <c r="K154" s="204"/>
      <c r="L154" s="204"/>
      <c r="M154" s="204">
        <v>11913131</v>
      </c>
      <c r="N154" s="204">
        <v>6776021.98</v>
      </c>
      <c r="O154" s="204"/>
      <c r="P154" s="204"/>
      <c r="Q154" s="204">
        <v>0</v>
      </c>
      <c r="R154" s="204">
        <v>4754082.21</v>
      </c>
      <c r="S154" s="204"/>
      <c r="T154" s="204"/>
      <c r="U154" s="204"/>
      <c r="V154" s="204"/>
      <c r="W154" s="204">
        <v>9877544.08</v>
      </c>
      <c r="X154" s="204"/>
      <c r="Y154" s="204"/>
      <c r="Z154" s="204"/>
      <c r="AA154" s="204"/>
      <c r="AB154" s="204">
        <v>352824.89</v>
      </c>
      <c r="AC154" s="204">
        <v>303793191.71</v>
      </c>
      <c r="AD154" s="204"/>
      <c r="AE154" s="204">
        <v>2363434.89</v>
      </c>
      <c r="AF154" s="204"/>
      <c r="AG154" s="204"/>
      <c r="AH154" s="204"/>
      <c r="AI154" s="204"/>
      <c r="AJ154" s="204"/>
      <c r="AK154" s="204"/>
      <c r="AL154" s="204">
        <v>301886.79</v>
      </c>
      <c r="AM154" s="204">
        <v>322601277.03</v>
      </c>
      <c r="AN154" s="204">
        <v>364316041.85</v>
      </c>
      <c r="AO154" s="205"/>
      <c r="AP154" s="205"/>
    </row>
    <row r="155" s="196" customFormat="1" hidden="1" customHeight="1" spans="1:42">
      <c r="A155" s="202" t="s">
        <v>267</v>
      </c>
      <c r="B155" s="203"/>
      <c r="C155" s="204">
        <v>38800000</v>
      </c>
      <c r="D155" s="204"/>
      <c r="E155" s="204"/>
      <c r="F155" s="204"/>
      <c r="G155" s="204"/>
      <c r="H155" s="204"/>
      <c r="I155" s="204"/>
      <c r="J155" s="204"/>
      <c r="K155" s="204"/>
      <c r="L155" s="204"/>
      <c r="M155" s="204"/>
      <c r="N155" s="204"/>
      <c r="O155" s="204"/>
      <c r="P155" s="204">
        <v>57875140</v>
      </c>
      <c r="Q155" s="204">
        <v>0</v>
      </c>
      <c r="R155" s="204"/>
      <c r="S155" s="204"/>
      <c r="T155" s="204"/>
      <c r="U155" s="204"/>
      <c r="V155" s="204"/>
      <c r="W155" s="204"/>
      <c r="X155" s="204"/>
      <c r="Y155" s="204"/>
      <c r="Z155" s="204"/>
      <c r="AA155" s="204"/>
      <c r="AB155" s="204"/>
      <c r="AC155" s="204"/>
      <c r="AD155" s="204"/>
      <c r="AE155" s="204">
        <v>735.76</v>
      </c>
      <c r="AF155" s="204"/>
      <c r="AG155" s="204"/>
      <c r="AH155" s="204"/>
      <c r="AI155" s="204"/>
      <c r="AJ155" s="204"/>
      <c r="AK155" s="204"/>
      <c r="AL155" s="204"/>
      <c r="AM155" s="204"/>
      <c r="AN155" s="204"/>
      <c r="AO155" s="205"/>
      <c r="AP155" s="205"/>
    </row>
    <row r="156" s="196" customFormat="1" hidden="1" customHeight="1" spans="1:42">
      <c r="A156" s="202" t="s">
        <v>268</v>
      </c>
      <c r="B156" s="203">
        <v>-19600000</v>
      </c>
      <c r="C156" s="204"/>
      <c r="D156" s="204"/>
      <c r="E156" s="204"/>
      <c r="F156" s="204"/>
      <c r="G156" s="204"/>
      <c r="H156" s="204"/>
      <c r="I156" s="204"/>
      <c r="J156" s="204"/>
      <c r="K156" s="204"/>
      <c r="L156" s="204"/>
      <c r="M156" s="204"/>
      <c r="N156" s="204"/>
      <c r="O156" s="204"/>
      <c r="P156" s="204">
        <v>-1618348.62</v>
      </c>
      <c r="Q156" s="204">
        <v>-1618348.62</v>
      </c>
      <c r="R156" s="204"/>
      <c r="S156" s="204"/>
      <c r="T156" s="204"/>
      <c r="U156" s="204"/>
      <c r="V156" s="204"/>
      <c r="W156" s="204"/>
      <c r="X156" s="204"/>
      <c r="Y156" s="204"/>
      <c r="Z156" s="204"/>
      <c r="AA156" s="204"/>
      <c r="AB156" s="204"/>
      <c r="AC156" s="204">
        <v>17431192.66</v>
      </c>
      <c r="AD156" s="204"/>
      <c r="AE156" s="204"/>
      <c r="AF156" s="204"/>
      <c r="AG156" s="204"/>
      <c r="AH156" s="204"/>
      <c r="AI156" s="204"/>
      <c r="AJ156" s="204"/>
      <c r="AK156" s="204"/>
      <c r="AL156" s="204"/>
      <c r="AM156" s="204">
        <v>17970301.71</v>
      </c>
      <c r="AN156" s="204"/>
      <c r="AO156" s="205"/>
      <c r="AP156" s="205"/>
    </row>
    <row r="157" s="196" customFormat="1" hidden="1" customHeight="1" spans="1:42">
      <c r="A157" s="202" t="s">
        <v>269</v>
      </c>
      <c r="B157" s="203">
        <v>-24500000</v>
      </c>
      <c r="C157" s="204"/>
      <c r="D157" s="204"/>
      <c r="E157" s="204"/>
      <c r="F157" s="204"/>
      <c r="G157" s="204"/>
      <c r="H157" s="204"/>
      <c r="I157" s="204"/>
      <c r="J157" s="204"/>
      <c r="K157" s="204"/>
      <c r="L157" s="204"/>
      <c r="M157" s="204"/>
      <c r="N157" s="204"/>
      <c r="O157" s="204"/>
      <c r="P157" s="204">
        <v>-2022935.78</v>
      </c>
      <c r="Q157" s="204">
        <v>-2022935.78</v>
      </c>
      <c r="R157" s="204"/>
      <c r="S157" s="204"/>
      <c r="T157" s="204"/>
      <c r="U157" s="204"/>
      <c r="V157" s="204"/>
      <c r="W157" s="204"/>
      <c r="X157" s="204"/>
      <c r="Y157" s="204"/>
      <c r="Z157" s="204"/>
      <c r="AA157" s="204"/>
      <c r="AB157" s="204"/>
      <c r="AC157" s="204">
        <v>21802752.29</v>
      </c>
      <c r="AD157" s="204"/>
      <c r="AE157" s="204">
        <v>5402.77</v>
      </c>
      <c r="AF157" s="204"/>
      <c r="AG157" s="204"/>
      <c r="AH157" s="204"/>
      <c r="AI157" s="204"/>
      <c r="AJ157" s="204"/>
      <c r="AK157" s="204"/>
      <c r="AL157" s="204"/>
      <c r="AM157" s="204">
        <v>22443804.51</v>
      </c>
      <c r="AN157" s="204"/>
      <c r="AO157" s="205"/>
      <c r="AP157" s="205"/>
    </row>
    <row r="158" s="196" customFormat="1" hidden="1" customHeight="1" spans="1:42">
      <c r="A158" s="202" t="s">
        <v>270</v>
      </c>
      <c r="B158" s="203">
        <v>1558997.07</v>
      </c>
      <c r="C158" s="204">
        <v>2259027.63</v>
      </c>
      <c r="D158" s="204"/>
      <c r="E158" s="204"/>
      <c r="F158" s="204"/>
      <c r="G158" s="204"/>
      <c r="H158" s="204"/>
      <c r="I158" s="204"/>
      <c r="J158" s="204"/>
      <c r="K158" s="204"/>
      <c r="L158" s="204">
        <v>977520.08</v>
      </c>
      <c r="M158" s="204">
        <v>0</v>
      </c>
      <c r="N158" s="204">
        <v>12544827.74</v>
      </c>
      <c r="O158" s="204">
        <v>19702.36</v>
      </c>
      <c r="P158" s="204">
        <v>2762202.91</v>
      </c>
      <c r="Q158" s="204">
        <v>-20311.71</v>
      </c>
      <c r="R158" s="204"/>
      <c r="S158" s="204"/>
      <c r="T158" s="204"/>
      <c r="U158" s="204"/>
      <c r="V158" s="204"/>
      <c r="W158" s="204">
        <v>1295028.25</v>
      </c>
      <c r="X158" s="204"/>
      <c r="Y158" s="204"/>
      <c r="Z158" s="204"/>
      <c r="AA158" s="204"/>
      <c r="AB158" s="204"/>
      <c r="AC158" s="204">
        <v>39603310.49</v>
      </c>
      <c r="AD158" s="204"/>
      <c r="AE158" s="204">
        <v>421950.83</v>
      </c>
      <c r="AF158" s="204"/>
      <c r="AG158" s="204"/>
      <c r="AH158" s="204"/>
      <c r="AI158" s="204"/>
      <c r="AJ158" s="204"/>
      <c r="AK158" s="204"/>
      <c r="AL158" s="204"/>
      <c r="AM158" s="204">
        <v>40828155.14</v>
      </c>
      <c r="AN158" s="204">
        <v>29893580.3</v>
      </c>
      <c r="AO158" s="205"/>
      <c r="AP158" s="205"/>
    </row>
    <row r="159" s="196" customFormat="1" hidden="1" customHeight="1" spans="1:42">
      <c r="A159" s="202" t="s">
        <v>271</v>
      </c>
      <c r="B159" s="203"/>
      <c r="C159" s="204"/>
      <c r="D159" s="204"/>
      <c r="E159" s="204"/>
      <c r="F159" s="204"/>
      <c r="G159" s="204"/>
      <c r="H159" s="204"/>
      <c r="I159" s="204"/>
      <c r="J159" s="204"/>
      <c r="K159" s="204"/>
      <c r="L159" s="204"/>
      <c r="M159" s="204">
        <v>0</v>
      </c>
      <c r="N159" s="204"/>
      <c r="O159" s="204"/>
      <c r="P159" s="204"/>
      <c r="Q159" s="204">
        <v>0</v>
      </c>
      <c r="R159" s="204">
        <v>0</v>
      </c>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5"/>
      <c r="AP159" s="205"/>
    </row>
    <row r="160" s="196" customFormat="1" hidden="1" customHeight="1" spans="1:42">
      <c r="A160" s="202" t="s">
        <v>272</v>
      </c>
      <c r="B160" s="203"/>
      <c r="C160" s="204">
        <v>0</v>
      </c>
      <c r="D160" s="204"/>
      <c r="E160" s="204"/>
      <c r="F160" s="204"/>
      <c r="G160" s="204"/>
      <c r="H160" s="204"/>
      <c r="I160" s="204"/>
      <c r="J160" s="204"/>
      <c r="K160" s="204"/>
      <c r="L160" s="204"/>
      <c r="M160" s="204"/>
      <c r="N160" s="204"/>
      <c r="O160" s="204"/>
      <c r="P160" s="204">
        <v>184165.13</v>
      </c>
      <c r="Q160" s="204">
        <v>-16574.87</v>
      </c>
      <c r="R160" s="204"/>
      <c r="S160" s="204"/>
      <c r="T160" s="204"/>
      <c r="U160" s="204"/>
      <c r="V160" s="204"/>
      <c r="W160" s="204"/>
      <c r="X160" s="204"/>
      <c r="Y160" s="204"/>
      <c r="Z160" s="204"/>
      <c r="AA160" s="204"/>
      <c r="AB160" s="204"/>
      <c r="AC160" s="204">
        <v>6224991.13</v>
      </c>
      <c r="AD160" s="204"/>
      <c r="AE160" s="204">
        <v>517647.16</v>
      </c>
      <c r="AF160" s="204"/>
      <c r="AG160" s="204"/>
      <c r="AH160" s="204"/>
      <c r="AI160" s="204"/>
      <c r="AJ160" s="204"/>
      <c r="AK160" s="204"/>
      <c r="AL160" s="204"/>
      <c r="AM160" s="204">
        <v>8516116.67</v>
      </c>
      <c r="AN160" s="204">
        <v>8471798.17</v>
      </c>
      <c r="AO160" s="205"/>
      <c r="AP160" s="205"/>
    </row>
    <row r="161" s="196" customFormat="1" hidden="1" customHeight="1" spans="1:42">
      <c r="A161" s="202" t="s">
        <v>273</v>
      </c>
      <c r="B161" s="203"/>
      <c r="C161" s="204">
        <v>2193568</v>
      </c>
      <c r="D161" s="204"/>
      <c r="E161" s="204"/>
      <c r="F161" s="204"/>
      <c r="G161" s="204"/>
      <c r="H161" s="204"/>
      <c r="I161" s="204"/>
      <c r="J161" s="204"/>
      <c r="K161" s="204"/>
      <c r="L161" s="204"/>
      <c r="M161" s="204"/>
      <c r="N161" s="204"/>
      <c r="O161" s="204"/>
      <c r="P161" s="204">
        <v>2500605.86</v>
      </c>
      <c r="Q161" s="204">
        <v>-219394.14</v>
      </c>
      <c r="R161" s="204">
        <v>0</v>
      </c>
      <c r="S161" s="204"/>
      <c r="T161" s="204"/>
      <c r="U161" s="204"/>
      <c r="V161" s="204"/>
      <c r="W161" s="204"/>
      <c r="X161" s="204"/>
      <c r="Y161" s="204"/>
      <c r="Z161" s="204"/>
      <c r="AA161" s="204"/>
      <c r="AB161" s="204"/>
      <c r="AC161" s="204"/>
      <c r="AD161" s="204"/>
      <c r="AE161" s="204">
        <v>126171.43</v>
      </c>
      <c r="AF161" s="204"/>
      <c r="AG161" s="204"/>
      <c r="AH161" s="204"/>
      <c r="AI161" s="204"/>
      <c r="AJ161" s="204"/>
      <c r="AK161" s="204"/>
      <c r="AL161" s="204"/>
      <c r="AM161" s="204"/>
      <c r="AN161" s="204"/>
      <c r="AO161" s="205"/>
      <c r="AP161" s="205"/>
    </row>
    <row r="162" s="196" customFormat="1" hidden="1" customHeight="1" spans="1:42">
      <c r="A162" s="202" t="s">
        <v>274</v>
      </c>
      <c r="B162" s="203">
        <v>1420910</v>
      </c>
      <c r="C162" s="204"/>
      <c r="D162" s="204"/>
      <c r="E162" s="204"/>
      <c r="F162" s="204"/>
      <c r="G162" s="204"/>
      <c r="H162" s="204"/>
      <c r="I162" s="204"/>
      <c r="J162" s="204"/>
      <c r="K162" s="204"/>
      <c r="L162" s="204">
        <v>1800285</v>
      </c>
      <c r="M162" s="204">
        <v>0</v>
      </c>
      <c r="N162" s="204">
        <v>3135252</v>
      </c>
      <c r="O162" s="204"/>
      <c r="P162" s="204">
        <v>4673.71</v>
      </c>
      <c r="Q162" s="204">
        <v>0</v>
      </c>
      <c r="R162" s="204">
        <v>265970.23</v>
      </c>
      <c r="S162" s="204"/>
      <c r="T162" s="204"/>
      <c r="U162" s="204"/>
      <c r="V162" s="204"/>
      <c r="W162" s="204"/>
      <c r="X162" s="204"/>
      <c r="Y162" s="204"/>
      <c r="Z162" s="204"/>
      <c r="AA162" s="204"/>
      <c r="AB162" s="204"/>
      <c r="AC162" s="204">
        <v>2876377.98</v>
      </c>
      <c r="AD162" s="204"/>
      <c r="AE162" s="204">
        <v>4207.04</v>
      </c>
      <c r="AF162" s="204"/>
      <c r="AG162" s="204"/>
      <c r="AH162" s="204"/>
      <c r="AI162" s="204"/>
      <c r="AJ162" s="204"/>
      <c r="AK162" s="204"/>
      <c r="AL162" s="204"/>
      <c r="AM162" s="204">
        <v>1839251.56</v>
      </c>
      <c r="AN162" s="204">
        <v>2955224.77</v>
      </c>
      <c r="AO162" s="205"/>
      <c r="AP162" s="205"/>
    </row>
    <row r="163" s="196" customFormat="1" hidden="1" customHeight="1" spans="1:42">
      <c r="A163" s="202" t="s">
        <v>275</v>
      </c>
      <c r="B163" s="203">
        <v>9768506.67</v>
      </c>
      <c r="C163" s="204"/>
      <c r="D163" s="204"/>
      <c r="E163" s="204"/>
      <c r="F163" s="204"/>
      <c r="G163" s="204"/>
      <c r="H163" s="204"/>
      <c r="I163" s="204"/>
      <c r="J163" s="204"/>
      <c r="K163" s="204"/>
      <c r="L163" s="204"/>
      <c r="M163" s="204"/>
      <c r="N163" s="204">
        <v>9456643.46</v>
      </c>
      <c r="O163" s="204"/>
      <c r="P163" s="204"/>
      <c r="Q163" s="204">
        <v>0</v>
      </c>
      <c r="R163" s="204">
        <v>190639.63</v>
      </c>
      <c r="S163" s="204"/>
      <c r="T163" s="204"/>
      <c r="U163" s="204"/>
      <c r="V163" s="204"/>
      <c r="W163" s="204"/>
      <c r="X163" s="204"/>
      <c r="Y163" s="204"/>
      <c r="Z163" s="204"/>
      <c r="AA163" s="204"/>
      <c r="AB163" s="204"/>
      <c r="AC163" s="204">
        <v>16147281.37</v>
      </c>
      <c r="AD163" s="204"/>
      <c r="AE163" s="204">
        <v>75403.31</v>
      </c>
      <c r="AF163" s="204"/>
      <c r="AG163" s="204"/>
      <c r="AH163" s="204"/>
      <c r="AI163" s="204"/>
      <c r="AJ163" s="204"/>
      <c r="AK163" s="204"/>
      <c r="AL163" s="204"/>
      <c r="AM163" s="204">
        <v>16646681.81</v>
      </c>
      <c r="AN163" s="204">
        <v>16646681.81</v>
      </c>
      <c r="AO163" s="205"/>
      <c r="AP163" s="205"/>
    </row>
    <row r="164" s="196" customFormat="1" hidden="1" customHeight="1" spans="1:42">
      <c r="A164" s="202" t="s">
        <v>276</v>
      </c>
      <c r="B164" s="203"/>
      <c r="C164" s="204"/>
      <c r="D164" s="204"/>
      <c r="E164" s="204"/>
      <c r="F164" s="204"/>
      <c r="G164" s="204"/>
      <c r="H164" s="204"/>
      <c r="I164" s="204"/>
      <c r="J164" s="204"/>
      <c r="K164" s="204"/>
      <c r="L164" s="204">
        <v>1999999.96</v>
      </c>
      <c r="M164" s="204">
        <v>0</v>
      </c>
      <c r="N164" s="204"/>
      <c r="O164" s="204"/>
      <c r="P164" s="204"/>
      <c r="Q164" s="204">
        <v>0</v>
      </c>
      <c r="R164" s="204"/>
      <c r="S164" s="204"/>
      <c r="T164" s="204"/>
      <c r="U164" s="204"/>
      <c r="V164" s="204"/>
      <c r="W164" s="204"/>
      <c r="X164" s="204"/>
      <c r="Y164" s="204"/>
      <c r="Z164" s="204"/>
      <c r="AA164" s="204"/>
      <c r="AB164" s="204"/>
      <c r="AC164" s="204">
        <v>-0.03</v>
      </c>
      <c r="AD164" s="204"/>
      <c r="AE164" s="204">
        <v>345993.72</v>
      </c>
      <c r="AF164" s="204"/>
      <c r="AG164" s="204"/>
      <c r="AH164" s="204"/>
      <c r="AI164" s="204"/>
      <c r="AJ164" s="204"/>
      <c r="AK164" s="204"/>
      <c r="AL164" s="204"/>
      <c r="AM164" s="204"/>
      <c r="AN164" s="204"/>
      <c r="AO164" s="205"/>
      <c r="AP164" s="205"/>
    </row>
    <row r="165" s="196" customFormat="1" hidden="1" customHeight="1" spans="1:42">
      <c r="A165" s="202" t="s">
        <v>277</v>
      </c>
      <c r="B165" s="203">
        <v>24092064.96</v>
      </c>
      <c r="C165" s="204"/>
      <c r="D165" s="204"/>
      <c r="E165" s="204"/>
      <c r="F165" s="204"/>
      <c r="G165" s="204"/>
      <c r="H165" s="204"/>
      <c r="I165" s="204"/>
      <c r="J165" s="204"/>
      <c r="K165" s="204"/>
      <c r="L165" s="204"/>
      <c r="M165" s="204"/>
      <c r="N165" s="204">
        <v>26087657.24</v>
      </c>
      <c r="O165" s="204"/>
      <c r="P165" s="204">
        <v>0</v>
      </c>
      <c r="Q165" s="204">
        <v>522559.66</v>
      </c>
      <c r="R165" s="204">
        <v>1290645.63</v>
      </c>
      <c r="S165" s="204"/>
      <c r="T165" s="204"/>
      <c r="U165" s="204"/>
      <c r="V165" s="204"/>
      <c r="W165" s="204"/>
      <c r="X165" s="204"/>
      <c r="Y165" s="204"/>
      <c r="Z165" s="204"/>
      <c r="AA165" s="204"/>
      <c r="AB165" s="204"/>
      <c r="AC165" s="204">
        <v>99352511.03</v>
      </c>
      <c r="AD165" s="204"/>
      <c r="AE165" s="204">
        <v>1448810.2</v>
      </c>
      <c r="AF165" s="204"/>
      <c r="AG165" s="204"/>
      <c r="AH165" s="204"/>
      <c r="AI165" s="204"/>
      <c r="AJ165" s="204"/>
      <c r="AK165" s="204"/>
      <c r="AL165" s="204"/>
      <c r="AM165" s="204">
        <v>299269757</v>
      </c>
      <c r="AN165" s="204">
        <v>301530969.97</v>
      </c>
      <c r="AO165" s="205"/>
      <c r="AP165" s="205"/>
    </row>
    <row r="166" s="196" customFormat="1" hidden="1" customHeight="1" spans="1:42">
      <c r="A166" s="202" t="s">
        <v>278</v>
      </c>
      <c r="B166" s="203"/>
      <c r="C166" s="204"/>
      <c r="D166" s="204"/>
      <c r="E166" s="204"/>
      <c r="F166" s="204"/>
      <c r="G166" s="204"/>
      <c r="H166" s="204"/>
      <c r="I166" s="204"/>
      <c r="J166" s="204"/>
      <c r="K166" s="204"/>
      <c r="L166" s="204"/>
      <c r="M166" s="204"/>
      <c r="N166" s="204"/>
      <c r="O166" s="204"/>
      <c r="P166" s="204"/>
      <c r="Q166" s="204">
        <v>0</v>
      </c>
      <c r="R166" s="204"/>
      <c r="S166" s="204"/>
      <c r="T166" s="204"/>
      <c r="U166" s="204"/>
      <c r="V166" s="204"/>
      <c r="W166" s="204"/>
      <c r="X166" s="204"/>
      <c r="Y166" s="204"/>
      <c r="Z166" s="204"/>
      <c r="AA166" s="204"/>
      <c r="AB166" s="204"/>
      <c r="AC166" s="204"/>
      <c r="AD166" s="204"/>
      <c r="AE166" s="204">
        <v>200</v>
      </c>
      <c r="AF166" s="204"/>
      <c r="AG166" s="204"/>
      <c r="AH166" s="204"/>
      <c r="AI166" s="204"/>
      <c r="AJ166" s="204"/>
      <c r="AK166" s="204"/>
      <c r="AL166" s="204"/>
      <c r="AM166" s="204"/>
      <c r="AN166" s="204"/>
      <c r="AO166" s="205"/>
      <c r="AP166" s="205"/>
    </row>
    <row r="167" s="196" customFormat="1" hidden="1" customHeight="1" spans="1:42">
      <c r="A167" s="202" t="s">
        <v>279</v>
      </c>
      <c r="B167" s="203"/>
      <c r="C167" s="204"/>
      <c r="D167" s="204"/>
      <c r="E167" s="204"/>
      <c r="F167" s="204"/>
      <c r="G167" s="204"/>
      <c r="H167" s="204"/>
      <c r="I167" s="204"/>
      <c r="J167" s="204"/>
      <c r="K167" s="204"/>
      <c r="L167" s="204"/>
      <c r="M167" s="204"/>
      <c r="N167" s="204"/>
      <c r="O167" s="204"/>
      <c r="P167" s="204"/>
      <c r="Q167" s="204">
        <v>0</v>
      </c>
      <c r="R167" s="204"/>
      <c r="S167" s="204"/>
      <c r="T167" s="204"/>
      <c r="U167" s="204"/>
      <c r="V167" s="204"/>
      <c r="W167" s="204"/>
      <c r="X167" s="204"/>
      <c r="Y167" s="204"/>
      <c r="Z167" s="204"/>
      <c r="AA167" s="204"/>
      <c r="AB167" s="204"/>
      <c r="AC167" s="204"/>
      <c r="AD167" s="204"/>
      <c r="AE167" s="204">
        <v>250948.45</v>
      </c>
      <c r="AF167" s="204"/>
      <c r="AG167" s="204"/>
      <c r="AH167" s="204"/>
      <c r="AI167" s="204"/>
      <c r="AJ167" s="204"/>
      <c r="AK167" s="204"/>
      <c r="AL167" s="204"/>
      <c r="AM167" s="204"/>
      <c r="AN167" s="204"/>
      <c r="AO167" s="205"/>
      <c r="AP167" s="205"/>
    </row>
    <row r="168" s="196" customFormat="1" hidden="1" customHeight="1" spans="1:42">
      <c r="A168" s="202" t="s">
        <v>280</v>
      </c>
      <c r="B168" s="203">
        <v>81562.27</v>
      </c>
      <c r="C168" s="204"/>
      <c r="D168" s="204"/>
      <c r="E168" s="204"/>
      <c r="F168" s="204"/>
      <c r="G168" s="204"/>
      <c r="H168" s="204"/>
      <c r="I168" s="204"/>
      <c r="J168" s="204"/>
      <c r="K168" s="204"/>
      <c r="L168" s="204"/>
      <c r="M168" s="204"/>
      <c r="N168" s="204"/>
      <c r="O168" s="204"/>
      <c r="P168" s="204">
        <v>3699003.96</v>
      </c>
      <c r="Q168" s="204">
        <v>-332910.35</v>
      </c>
      <c r="R168" s="204"/>
      <c r="S168" s="204"/>
      <c r="T168" s="204"/>
      <c r="U168" s="204"/>
      <c r="V168" s="204"/>
      <c r="W168" s="204"/>
      <c r="X168" s="204"/>
      <c r="Y168" s="204"/>
      <c r="Z168" s="204"/>
      <c r="AA168" s="204"/>
      <c r="AB168" s="204"/>
      <c r="AC168" s="204">
        <v>1870712.85</v>
      </c>
      <c r="AD168" s="204"/>
      <c r="AE168" s="204">
        <v>5203</v>
      </c>
      <c r="AF168" s="204"/>
      <c r="AG168" s="204"/>
      <c r="AH168" s="204"/>
      <c r="AI168" s="204"/>
      <c r="AJ168" s="204"/>
      <c r="AK168" s="204"/>
      <c r="AL168" s="204"/>
      <c r="AM168" s="204">
        <v>1969171.42</v>
      </c>
      <c r="AN168" s="204"/>
      <c r="AO168" s="205"/>
      <c r="AP168" s="205"/>
    </row>
    <row r="169" s="196" customFormat="1" hidden="1" customHeight="1" spans="1:42">
      <c r="A169" s="202" t="s">
        <v>281</v>
      </c>
      <c r="B169" s="203">
        <v>0</v>
      </c>
      <c r="C169" s="204"/>
      <c r="D169" s="204"/>
      <c r="E169" s="204"/>
      <c r="F169" s="204"/>
      <c r="G169" s="204"/>
      <c r="H169" s="204"/>
      <c r="I169" s="204"/>
      <c r="J169" s="204"/>
      <c r="K169" s="204"/>
      <c r="L169" s="204"/>
      <c r="M169" s="204"/>
      <c r="N169" s="204"/>
      <c r="O169" s="204"/>
      <c r="P169" s="204">
        <v>4321949.77</v>
      </c>
      <c r="Q169" s="204">
        <v>-388975.48</v>
      </c>
      <c r="R169" s="204"/>
      <c r="S169" s="204"/>
      <c r="T169" s="204"/>
      <c r="U169" s="204"/>
      <c r="V169" s="204"/>
      <c r="W169" s="204"/>
      <c r="X169" s="204"/>
      <c r="Y169" s="204"/>
      <c r="Z169" s="204"/>
      <c r="AA169" s="204"/>
      <c r="AB169" s="204"/>
      <c r="AC169" s="204">
        <v>3229511.95</v>
      </c>
      <c r="AD169" s="204"/>
      <c r="AE169" s="204"/>
      <c r="AF169" s="204"/>
      <c r="AG169" s="204"/>
      <c r="AH169" s="204"/>
      <c r="AI169" s="204"/>
      <c r="AJ169" s="204"/>
      <c r="AK169" s="204"/>
      <c r="AL169" s="204"/>
      <c r="AM169" s="204">
        <v>3396104.16</v>
      </c>
      <c r="AN169" s="204"/>
      <c r="AO169" s="205"/>
      <c r="AP169" s="205"/>
    </row>
    <row r="170" s="196" customFormat="1" hidden="1" customHeight="1" spans="1:42">
      <c r="A170" s="202" t="s">
        <v>282</v>
      </c>
      <c r="B170" s="203">
        <v>10220.46</v>
      </c>
      <c r="C170" s="204"/>
      <c r="D170" s="204"/>
      <c r="E170" s="204"/>
      <c r="F170" s="204"/>
      <c r="G170" s="204"/>
      <c r="H170" s="204"/>
      <c r="I170" s="204"/>
      <c r="J170" s="204"/>
      <c r="K170" s="204"/>
      <c r="L170" s="204"/>
      <c r="M170" s="204"/>
      <c r="N170" s="204">
        <v>131191.94</v>
      </c>
      <c r="O170" s="204"/>
      <c r="P170" s="204">
        <v>10686862.19</v>
      </c>
      <c r="Q170" s="204">
        <v>-1752517.24</v>
      </c>
      <c r="R170" s="204">
        <v>0</v>
      </c>
      <c r="S170" s="204"/>
      <c r="T170" s="204"/>
      <c r="U170" s="204"/>
      <c r="V170" s="204"/>
      <c r="W170" s="204"/>
      <c r="X170" s="204"/>
      <c r="Y170" s="204"/>
      <c r="Z170" s="204"/>
      <c r="AA170" s="204"/>
      <c r="AB170" s="204"/>
      <c r="AC170" s="204">
        <v>10240679.16</v>
      </c>
      <c r="AD170" s="204"/>
      <c r="AE170" s="204">
        <v>26973</v>
      </c>
      <c r="AF170" s="204"/>
      <c r="AG170" s="204"/>
      <c r="AH170" s="204"/>
      <c r="AI170" s="204"/>
      <c r="AJ170" s="204"/>
      <c r="AK170" s="204"/>
      <c r="AL170" s="204"/>
      <c r="AM170" s="204">
        <v>10767299.63</v>
      </c>
      <c r="AN170" s="204"/>
      <c r="AO170" s="205"/>
      <c r="AP170" s="205"/>
    </row>
    <row r="171" s="196" customFormat="1" hidden="1" customHeight="1" spans="1:42">
      <c r="A171" s="202" t="s">
        <v>283</v>
      </c>
      <c r="B171" s="203"/>
      <c r="C171" s="204"/>
      <c r="D171" s="204"/>
      <c r="E171" s="204"/>
      <c r="F171" s="204"/>
      <c r="G171" s="204"/>
      <c r="H171" s="204"/>
      <c r="I171" s="204"/>
      <c r="J171" s="204"/>
      <c r="K171" s="204"/>
      <c r="L171" s="204"/>
      <c r="M171" s="204"/>
      <c r="N171" s="204"/>
      <c r="O171" s="204"/>
      <c r="P171" s="204"/>
      <c r="Q171" s="204">
        <v>0</v>
      </c>
      <c r="R171" s="204"/>
      <c r="S171" s="204"/>
      <c r="T171" s="204"/>
      <c r="U171" s="204"/>
      <c r="V171" s="204"/>
      <c r="W171" s="204"/>
      <c r="X171" s="204"/>
      <c r="Y171" s="204"/>
      <c r="Z171" s="204"/>
      <c r="AA171" s="204">
        <v>2373644.56</v>
      </c>
      <c r="AB171" s="204"/>
      <c r="AC171" s="204">
        <v>2691900.47</v>
      </c>
      <c r="AD171" s="204"/>
      <c r="AE171" s="204"/>
      <c r="AF171" s="204"/>
      <c r="AG171" s="204"/>
      <c r="AH171" s="204"/>
      <c r="AI171" s="204"/>
      <c r="AJ171" s="204"/>
      <c r="AK171" s="204"/>
      <c r="AL171" s="204"/>
      <c r="AM171" s="204">
        <v>2921233.69</v>
      </c>
      <c r="AN171" s="204">
        <v>2921233.69</v>
      </c>
      <c r="AO171" s="205"/>
      <c r="AP171" s="205"/>
    </row>
    <row r="172" s="196" customFormat="1" hidden="1" customHeight="1" spans="1:42">
      <c r="A172" s="202" t="s">
        <v>284</v>
      </c>
      <c r="B172" s="203">
        <v>3918162.61</v>
      </c>
      <c r="C172" s="204"/>
      <c r="D172" s="204"/>
      <c r="E172" s="204"/>
      <c r="F172" s="204"/>
      <c r="G172" s="204"/>
      <c r="H172" s="204"/>
      <c r="I172" s="204"/>
      <c r="J172" s="204"/>
      <c r="K172" s="204"/>
      <c r="L172" s="204"/>
      <c r="M172" s="204"/>
      <c r="N172" s="204"/>
      <c r="O172" s="204"/>
      <c r="P172" s="204"/>
      <c r="Q172" s="204">
        <v>0</v>
      </c>
      <c r="R172" s="204">
        <v>0.01</v>
      </c>
      <c r="S172" s="204"/>
      <c r="T172" s="204"/>
      <c r="U172" s="204"/>
      <c r="V172" s="204"/>
      <c r="W172" s="204"/>
      <c r="X172" s="204"/>
      <c r="Y172" s="204"/>
      <c r="Z172" s="204"/>
      <c r="AA172" s="204">
        <v>6933348.36</v>
      </c>
      <c r="AB172" s="204"/>
      <c r="AC172" s="204">
        <v>18248416.15</v>
      </c>
      <c r="AD172" s="204"/>
      <c r="AE172" s="204">
        <v>25962</v>
      </c>
      <c r="AF172" s="204"/>
      <c r="AG172" s="204"/>
      <c r="AH172" s="204"/>
      <c r="AI172" s="204"/>
      <c r="AJ172" s="204"/>
      <c r="AK172" s="204"/>
      <c r="AL172" s="204"/>
      <c r="AM172" s="204">
        <v>19208859.11</v>
      </c>
      <c r="AN172" s="204">
        <v>21897584.36</v>
      </c>
      <c r="AO172" s="205"/>
      <c r="AP172" s="205"/>
    </row>
    <row r="173" s="196" customFormat="1" hidden="1" customHeight="1" spans="1:42">
      <c r="A173" s="202" t="s">
        <v>285</v>
      </c>
      <c r="B173" s="203">
        <v>265712.23</v>
      </c>
      <c r="C173" s="204"/>
      <c r="D173" s="204"/>
      <c r="E173" s="204"/>
      <c r="F173" s="204"/>
      <c r="G173" s="204"/>
      <c r="H173" s="204"/>
      <c r="I173" s="204"/>
      <c r="J173" s="204"/>
      <c r="K173" s="204"/>
      <c r="L173" s="204"/>
      <c r="M173" s="204"/>
      <c r="N173" s="204"/>
      <c r="O173" s="204"/>
      <c r="P173" s="204">
        <v>17630611.06</v>
      </c>
      <c r="Q173" s="204">
        <v>-1891292.51</v>
      </c>
      <c r="R173" s="204">
        <v>0</v>
      </c>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5"/>
      <c r="AP173" s="205"/>
    </row>
    <row r="174" s="196" customFormat="1" hidden="1" customHeight="1" spans="1:42">
      <c r="A174" s="202" t="s">
        <v>286</v>
      </c>
      <c r="B174" s="203">
        <v>2000000</v>
      </c>
      <c r="C174" s="204"/>
      <c r="D174" s="204"/>
      <c r="E174" s="204"/>
      <c r="F174" s="204"/>
      <c r="G174" s="204"/>
      <c r="H174" s="204"/>
      <c r="I174" s="204"/>
      <c r="J174" s="204"/>
      <c r="K174" s="204"/>
      <c r="L174" s="204"/>
      <c r="M174" s="204"/>
      <c r="N174" s="204">
        <v>2000000</v>
      </c>
      <c r="O174" s="204"/>
      <c r="P174" s="204"/>
      <c r="Q174" s="204">
        <v>0</v>
      </c>
      <c r="R174" s="204"/>
      <c r="S174" s="204"/>
      <c r="T174" s="204"/>
      <c r="U174" s="204"/>
      <c r="V174" s="204"/>
      <c r="W174" s="204"/>
      <c r="X174" s="204"/>
      <c r="Y174" s="204"/>
      <c r="Z174" s="204"/>
      <c r="AA174" s="204">
        <v>2438266.75</v>
      </c>
      <c r="AB174" s="204"/>
      <c r="AC174" s="204">
        <v>18235421.7</v>
      </c>
      <c r="AD174" s="204"/>
      <c r="AE174" s="204">
        <v>166993.7</v>
      </c>
      <c r="AF174" s="204"/>
      <c r="AG174" s="204"/>
      <c r="AH174" s="204"/>
      <c r="AI174" s="204"/>
      <c r="AJ174" s="204"/>
      <c r="AK174" s="204"/>
      <c r="AL174" s="204"/>
      <c r="AM174" s="204">
        <v>19195180.73</v>
      </c>
      <c r="AN174" s="204">
        <v>19195181.16</v>
      </c>
      <c r="AO174" s="205"/>
      <c r="AP174" s="205"/>
    </row>
    <row r="175" s="196" customFormat="1" hidden="1" customHeight="1" spans="1:42">
      <c r="A175" s="202" t="s">
        <v>287</v>
      </c>
      <c r="B175" s="203">
        <v>20729998</v>
      </c>
      <c r="C175" s="204">
        <v>1126678.61</v>
      </c>
      <c r="D175" s="204"/>
      <c r="E175" s="204"/>
      <c r="F175" s="204"/>
      <c r="G175" s="204"/>
      <c r="H175" s="204"/>
      <c r="I175" s="204"/>
      <c r="J175" s="204"/>
      <c r="K175" s="204"/>
      <c r="L175" s="204"/>
      <c r="M175" s="204"/>
      <c r="N175" s="204">
        <v>15460987.04</v>
      </c>
      <c r="O175" s="204"/>
      <c r="P175" s="204">
        <v>-79381.97</v>
      </c>
      <c r="Q175" s="204">
        <v>-79381.57</v>
      </c>
      <c r="R175" s="204">
        <v>-785626.76</v>
      </c>
      <c r="S175" s="204"/>
      <c r="T175" s="204"/>
      <c r="U175" s="204"/>
      <c r="V175" s="204"/>
      <c r="W175" s="204"/>
      <c r="X175" s="204"/>
      <c r="Y175" s="204"/>
      <c r="Z175" s="204"/>
      <c r="AA175" s="204"/>
      <c r="AB175" s="204">
        <v>248186.57</v>
      </c>
      <c r="AC175" s="204">
        <v>156883791.9</v>
      </c>
      <c r="AD175" s="204"/>
      <c r="AE175" s="204">
        <v>958829.78</v>
      </c>
      <c r="AF175" s="204"/>
      <c r="AG175" s="204"/>
      <c r="AH175" s="204"/>
      <c r="AI175" s="204"/>
      <c r="AJ175" s="204"/>
      <c r="AK175" s="204"/>
      <c r="AL175" s="204">
        <v>369481.13</v>
      </c>
      <c r="AM175" s="204">
        <v>158208524.58</v>
      </c>
      <c r="AN175" s="204">
        <v>159822009.18</v>
      </c>
      <c r="AO175" s="205"/>
      <c r="AP175" s="205"/>
    </row>
    <row r="176" s="196" customFormat="1" hidden="1" customHeight="1" spans="1:42">
      <c r="A176" s="202" t="s">
        <v>288</v>
      </c>
      <c r="B176" s="203"/>
      <c r="C176" s="204">
        <v>2000000</v>
      </c>
      <c r="D176" s="204"/>
      <c r="E176" s="204"/>
      <c r="F176" s="204"/>
      <c r="G176" s="204"/>
      <c r="H176" s="204"/>
      <c r="I176" s="204"/>
      <c r="J176" s="204"/>
      <c r="K176" s="204"/>
      <c r="L176" s="204"/>
      <c r="M176" s="204"/>
      <c r="N176" s="204"/>
      <c r="O176" s="204"/>
      <c r="P176" s="204"/>
      <c r="Q176" s="204">
        <v>0</v>
      </c>
      <c r="R176" s="204"/>
      <c r="S176" s="204"/>
      <c r="T176" s="204"/>
      <c r="U176" s="204"/>
      <c r="V176" s="204"/>
      <c r="W176" s="204">
        <v>657200</v>
      </c>
      <c r="X176" s="204"/>
      <c r="Y176" s="204"/>
      <c r="Z176" s="204">
        <v>51423.26</v>
      </c>
      <c r="AA176" s="204"/>
      <c r="AB176" s="204">
        <v>92405.74</v>
      </c>
      <c r="AC176" s="204">
        <v>166946385.93</v>
      </c>
      <c r="AD176" s="204"/>
      <c r="AE176" s="204">
        <v>9429026.61</v>
      </c>
      <c r="AF176" s="204"/>
      <c r="AG176" s="204"/>
      <c r="AH176" s="204"/>
      <c r="AI176" s="204"/>
      <c r="AJ176" s="204"/>
      <c r="AK176" s="204"/>
      <c r="AL176" s="204"/>
      <c r="AM176" s="204"/>
      <c r="AN176" s="204"/>
      <c r="AO176" s="205"/>
      <c r="AP176" s="205"/>
    </row>
    <row r="177" s="196" customFormat="1" hidden="1" customHeight="1" spans="1:42">
      <c r="A177" s="202" t="s">
        <v>289</v>
      </c>
      <c r="B177" s="203">
        <v>-1175791.7</v>
      </c>
      <c r="C177" s="204"/>
      <c r="D177" s="204"/>
      <c r="E177" s="204"/>
      <c r="F177" s="204"/>
      <c r="G177" s="204"/>
      <c r="H177" s="204"/>
      <c r="I177" s="204"/>
      <c r="J177" s="204"/>
      <c r="K177" s="204"/>
      <c r="L177" s="204">
        <v>5272504.47</v>
      </c>
      <c r="M177" s="204">
        <v>0</v>
      </c>
      <c r="N177" s="204">
        <v>-3009774.39</v>
      </c>
      <c r="O177" s="204"/>
      <c r="P177" s="204"/>
      <c r="Q177" s="204">
        <v>0</v>
      </c>
      <c r="R177" s="204">
        <v>104258.38</v>
      </c>
      <c r="S177" s="204"/>
      <c r="T177" s="204"/>
      <c r="U177" s="204"/>
      <c r="V177" s="204"/>
      <c r="W177" s="204">
        <v>4984629.91</v>
      </c>
      <c r="X177" s="204"/>
      <c r="Y177" s="204"/>
      <c r="Z177" s="204">
        <v>35136.84</v>
      </c>
      <c r="AA177" s="204"/>
      <c r="AB177" s="204">
        <v>412007.74</v>
      </c>
      <c r="AC177" s="204">
        <v>152435216</v>
      </c>
      <c r="AD177" s="204"/>
      <c r="AE177" s="204">
        <v>1071755.64</v>
      </c>
      <c r="AF177" s="204"/>
      <c r="AG177" s="204"/>
      <c r="AH177" s="204"/>
      <c r="AI177" s="204"/>
      <c r="AJ177" s="204"/>
      <c r="AK177" s="204"/>
      <c r="AL177" s="204"/>
      <c r="AM177" s="204">
        <v>162732644.18</v>
      </c>
      <c r="AN177" s="204">
        <v>161238693.38</v>
      </c>
      <c r="AO177" s="205"/>
      <c r="AP177" s="205"/>
    </row>
    <row r="178" s="196" customFormat="1" hidden="1" customHeight="1" spans="1:42">
      <c r="A178" s="202" t="s">
        <v>290</v>
      </c>
      <c r="B178" s="203">
        <v>21743359.57</v>
      </c>
      <c r="C178" s="204">
        <v>11480000</v>
      </c>
      <c r="D178" s="204"/>
      <c r="E178" s="204">
        <v>1081081.63</v>
      </c>
      <c r="F178" s="204"/>
      <c r="G178" s="204"/>
      <c r="H178" s="204"/>
      <c r="I178" s="204"/>
      <c r="J178" s="204"/>
      <c r="K178" s="204"/>
      <c r="L178" s="204">
        <v>423719.51</v>
      </c>
      <c r="M178" s="204">
        <v>3666964.3</v>
      </c>
      <c r="N178" s="204">
        <v>21143291.27</v>
      </c>
      <c r="O178" s="204"/>
      <c r="P178" s="204">
        <v>12103220</v>
      </c>
      <c r="Q178" s="204">
        <v>0</v>
      </c>
      <c r="R178" s="204">
        <v>0.01</v>
      </c>
      <c r="S178" s="204"/>
      <c r="T178" s="204"/>
      <c r="U178" s="204"/>
      <c r="V178" s="204"/>
      <c r="W178" s="204">
        <v>2655121.81</v>
      </c>
      <c r="X178" s="204"/>
      <c r="Y178" s="204"/>
      <c r="Z178" s="204"/>
      <c r="AA178" s="204"/>
      <c r="AB178" s="204"/>
      <c r="AC178" s="204">
        <v>121071557.72</v>
      </c>
      <c r="AD178" s="204"/>
      <c r="AE178" s="204">
        <v>78186.74</v>
      </c>
      <c r="AF178" s="204"/>
      <c r="AG178" s="204"/>
      <c r="AH178" s="204"/>
      <c r="AI178" s="204"/>
      <c r="AJ178" s="204"/>
      <c r="AK178" s="204"/>
      <c r="AL178" s="204"/>
      <c r="AM178" s="204">
        <v>121071557.72</v>
      </c>
      <c r="AN178" s="204">
        <v>124761996.12</v>
      </c>
      <c r="AO178" s="205"/>
      <c r="AP178" s="205"/>
    </row>
    <row r="179" s="196" customFormat="1" hidden="1" customHeight="1" spans="1:42">
      <c r="A179" s="206"/>
      <c r="B179" s="204"/>
      <c r="C179" s="204"/>
      <c r="D179" s="204"/>
      <c r="E179" s="204"/>
      <c r="F179" s="204"/>
      <c r="G179" s="204"/>
      <c r="H179" s="204"/>
      <c r="I179" s="204"/>
      <c r="J179" s="204"/>
      <c r="K179" s="204"/>
      <c r="L179" s="204"/>
      <c r="M179" s="204"/>
      <c r="N179" s="204"/>
      <c r="O179" s="204"/>
      <c r="P179" s="204"/>
      <c r="Q179" s="204">
        <v>0</v>
      </c>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5"/>
      <c r="AP179" s="205"/>
    </row>
    <row r="180" s="197" customFormat="1" customHeight="1" spans="1:42">
      <c r="A180" s="207"/>
      <c r="B180" s="208"/>
      <c r="C180" s="208"/>
      <c r="D180" s="208"/>
      <c r="E180" s="208"/>
      <c r="F180" s="208"/>
      <c r="G180" s="208"/>
      <c r="H180" s="208"/>
      <c r="I180" s="208"/>
      <c r="J180" s="208"/>
      <c r="K180" s="208"/>
      <c r="L180" s="208"/>
      <c r="M180" s="208"/>
      <c r="N180" s="208"/>
      <c r="O180" s="208"/>
      <c r="P180" s="208"/>
      <c r="Q180" s="208"/>
      <c r="R180" s="208"/>
      <c r="S180" s="208"/>
      <c r="T180" s="208"/>
      <c r="U180" s="208"/>
      <c r="V180" s="208"/>
      <c r="W180" s="208"/>
      <c r="X180" s="208"/>
      <c r="Y180" s="208"/>
      <c r="Z180" s="208"/>
      <c r="AA180" s="208"/>
      <c r="AB180" s="208"/>
      <c r="AC180" s="208"/>
      <c r="AD180" s="208"/>
      <c r="AE180" s="208"/>
      <c r="AF180" s="208"/>
      <c r="AG180" s="208"/>
      <c r="AH180" s="208"/>
      <c r="AI180" s="208"/>
      <c r="AJ180" s="208"/>
      <c r="AK180" s="208"/>
      <c r="AL180" s="208"/>
      <c r="AM180" s="208"/>
      <c r="AN180" s="208"/>
    </row>
  </sheetData>
  <autoFilter xmlns:etc="http://www.wps.cn/officeDocument/2017/etCustomData" ref="A1:AP179" etc:filterBottomFollowUsedRange="0">
    <filterColumn colId="0">
      <customFilters>
        <customFilter operator="equal" val="攀枝花市炳草岗污水处理厂提标升级改造工程勘察设计-材料及设备采购-施工总承包"/>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37"/>
  <sheetViews>
    <sheetView zoomScale="110" zoomScaleNormal="110" topLeftCell="C41" workbookViewId="0">
      <selection activeCell="H75" sqref="H75"/>
    </sheetView>
  </sheetViews>
  <sheetFormatPr defaultColWidth="14.25" defaultRowHeight="21.95" customHeight="1"/>
  <cols>
    <col min="1" max="1" width="36.25" style="7" customWidth="1"/>
    <col min="2" max="2" width="62.3833333333333" style="7" customWidth="1"/>
    <col min="3" max="3" width="23.75" style="7" customWidth="1"/>
    <col min="4" max="4" width="17.1333333333333" style="7" customWidth="1"/>
    <col min="5" max="5" width="20.25" style="7" customWidth="1"/>
    <col min="6" max="6" width="17.6333333333333" style="7" customWidth="1"/>
    <col min="7" max="7" width="20.3833333333333" style="7" customWidth="1"/>
    <col min="8" max="8" width="20.6333333333333" style="7" customWidth="1"/>
    <col min="9" max="9" width="20.5" style="7" customWidth="1"/>
    <col min="10" max="10" width="18.3833333333333" style="7" customWidth="1"/>
    <col min="11" max="11" width="18.5" style="7" customWidth="1"/>
    <col min="12" max="12" width="40" style="7" customWidth="1"/>
    <col min="13" max="13" width="22.75" style="7" customWidth="1"/>
    <col min="14" max="14" width="21" style="7" customWidth="1"/>
    <col min="15" max="15" width="19" style="7" customWidth="1"/>
    <col min="16" max="16" width="27" style="7" customWidth="1"/>
    <col min="17" max="17" width="20.75" style="7" customWidth="1"/>
    <col min="18" max="18" width="17.25" style="7" customWidth="1"/>
    <col min="19" max="19" width="17.75" style="7" customWidth="1"/>
    <col min="20" max="20" width="23.8833333333333" style="7" customWidth="1"/>
    <col min="21" max="21" width="17.25" style="7" customWidth="1"/>
    <col min="22" max="22" width="31.8833333333333" style="7" customWidth="1"/>
    <col min="23" max="23" width="19.8833333333333" style="7" customWidth="1"/>
    <col min="24" max="24" width="16.8833333333333" style="7" customWidth="1"/>
    <col min="25" max="25" width="14.25" style="7" customWidth="1"/>
    <col min="26" max="26" width="19.25" style="1" customWidth="1"/>
    <col min="27" max="27" width="23.5" style="1" customWidth="1"/>
    <col min="28" max="30" width="14.25" style="1" customWidth="1"/>
    <col min="31" max="31" width="17.25" style="1" customWidth="1"/>
    <col min="32" max="36" width="14.25" style="1" customWidth="1"/>
    <col min="37" max="16381" width="14.25" style="7" customWidth="1"/>
    <col min="16382" max="16384" width="14.25" style="7"/>
  </cols>
  <sheetData>
    <row r="1" customHeight="1" spans="1:36 16382:16384">
      <c r="A1" s="8" t="s">
        <v>0</v>
      </c>
    </row>
    <row r="2" customHeight="1" spans="1:36 16382:16384">
      <c r="A2" s="9" t="s">
        <v>291</v>
      </c>
      <c r="B2" s="9" t="s">
        <v>292</v>
      </c>
      <c r="C2" s="9" t="s">
        <v>293</v>
      </c>
      <c r="D2" s="10" t="s">
        <v>294</v>
      </c>
      <c r="E2" s="11" t="s">
        <v>295</v>
      </c>
      <c r="F2" s="12"/>
      <c r="G2" s="12"/>
      <c r="H2" s="12"/>
      <c r="I2" s="12"/>
      <c r="J2" s="13"/>
      <c r="K2" s="9" t="s">
        <v>9</v>
      </c>
      <c r="L2" s="9" t="s">
        <v>1</v>
      </c>
      <c r="M2" s="9" t="s">
        <v>296</v>
      </c>
      <c r="N2" s="9" t="s">
        <v>10</v>
      </c>
      <c r="O2" s="9" t="s">
        <v>11</v>
      </c>
      <c r="P2" s="9" t="s">
        <v>297</v>
      </c>
      <c r="Q2" s="9" t="s">
        <v>298</v>
      </c>
      <c r="R2" s="9" t="s">
        <v>299</v>
      </c>
      <c r="S2" s="9" t="s">
        <v>12</v>
      </c>
      <c r="T2" s="9" t="s">
        <v>13</v>
      </c>
      <c r="U2" s="9" t="s">
        <v>14</v>
      </c>
      <c r="V2" s="9" t="s">
        <v>15</v>
      </c>
      <c r="W2" s="9" t="s">
        <v>16</v>
      </c>
      <c r="X2" s="9" t="s">
        <v>17</v>
      </c>
      <c r="Y2" s="9" t="s">
        <v>300</v>
      </c>
      <c r="Z2" s="9" t="s">
        <v>301</v>
      </c>
      <c r="AA2" s="9" t="s">
        <v>302</v>
      </c>
      <c r="AB2" s="9" t="s">
        <v>303</v>
      </c>
      <c r="AC2" s="9" t="s">
        <v>304</v>
      </c>
      <c r="AD2" s="9" t="s">
        <v>305</v>
      </c>
      <c r="AE2" s="9" t="s">
        <v>304</v>
      </c>
      <c r="AF2" s="9" t="s">
        <v>306</v>
      </c>
      <c r="AG2" s="9" t="s">
        <v>307</v>
      </c>
      <c r="AH2" s="9" t="s">
        <v>308</v>
      </c>
      <c r="AI2" s="9" t="s">
        <v>309</v>
      </c>
      <c r="AJ2" s="9" t="s">
        <v>310</v>
      </c>
    </row>
    <row r="3" customHeight="1" spans="1:36 16382:16384">
      <c r="A3" s="14"/>
      <c r="B3" s="14"/>
      <c r="C3" s="14"/>
      <c r="D3" s="15"/>
      <c r="E3" s="16" t="s">
        <v>311</v>
      </c>
      <c r="F3" s="16" t="s">
        <v>312</v>
      </c>
      <c r="G3" s="16" t="s">
        <v>313</v>
      </c>
      <c r="H3" s="16" t="s">
        <v>314</v>
      </c>
      <c r="I3" s="16" t="s">
        <v>315</v>
      </c>
      <c r="J3" s="16" t="s">
        <v>92</v>
      </c>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Height="1" spans="1:36 16382:16384">
      <c r="A4" s="17" t="s">
        <v>316</v>
      </c>
      <c r="B4" s="168" t="s">
        <v>317</v>
      </c>
      <c r="C4" s="17" t="s">
        <v>318</v>
      </c>
      <c r="D4" s="18" t="s">
        <v>319</v>
      </c>
      <c r="E4" s="19">
        <v>2933770.39</v>
      </c>
      <c r="F4" s="19">
        <v>116656003.9</v>
      </c>
      <c r="G4" s="19"/>
      <c r="H4" s="19"/>
      <c r="I4" s="19"/>
      <c r="J4" s="19">
        <f t="shared" ref="J4:J6" si="0">SUM(E4:I4)</f>
        <v>119589774.29</v>
      </c>
      <c r="K4" s="20">
        <f>(F4-F5-F6)/F4</f>
        <v>0.0278785977684257</v>
      </c>
      <c r="L4" s="21" t="s">
        <v>320</v>
      </c>
      <c r="M4" s="21" t="s">
        <v>241</v>
      </c>
      <c r="N4" s="169" t="s">
        <v>321</v>
      </c>
      <c r="O4" s="170" t="s">
        <v>322</v>
      </c>
      <c r="P4" s="22"/>
      <c r="Q4" s="22"/>
      <c r="R4" s="22"/>
      <c r="S4" s="22"/>
      <c r="T4" s="22"/>
      <c r="U4" s="22"/>
      <c r="V4" s="22" t="s">
        <v>323</v>
      </c>
      <c r="W4" s="170" t="s">
        <v>324</v>
      </c>
      <c r="X4" s="23" t="s">
        <v>325</v>
      </c>
      <c r="Y4" s="24">
        <v>1</v>
      </c>
      <c r="Z4" s="111">
        <v>1</v>
      </c>
      <c r="AA4" s="21"/>
      <c r="AB4" s="21"/>
      <c r="AC4" s="110"/>
      <c r="AD4" s="110"/>
      <c r="AE4" s="110"/>
      <c r="AF4" s="110"/>
      <c r="AG4" s="110"/>
      <c r="AH4" s="110"/>
      <c r="AI4" s="110"/>
      <c r="AJ4" s="21"/>
    </row>
    <row r="5" customHeight="1" spans="1:36 16382:16384">
      <c r="A5" s="168" t="s">
        <v>326</v>
      </c>
      <c r="B5" s="168" t="s">
        <v>327</v>
      </c>
      <c r="C5" s="168" t="s">
        <v>318</v>
      </c>
      <c r="D5" s="18" t="s">
        <v>328</v>
      </c>
      <c r="E5" s="19"/>
      <c r="F5" s="19">
        <v>113403798.09</v>
      </c>
      <c r="G5" s="19"/>
      <c r="H5" s="19"/>
      <c r="I5" s="19"/>
      <c r="J5" s="19">
        <f t="shared" si="0"/>
        <v>113403798.09</v>
      </c>
      <c r="K5" s="25"/>
      <c r="L5" s="26"/>
      <c r="M5" s="26"/>
      <c r="N5" s="175"/>
      <c r="O5" s="176"/>
      <c r="P5" s="27"/>
      <c r="Q5" s="27"/>
      <c r="R5" s="27"/>
      <c r="S5" s="27"/>
      <c r="T5" s="27"/>
      <c r="U5" s="27"/>
      <c r="V5" s="27"/>
      <c r="W5" s="27"/>
      <c r="X5" s="28"/>
      <c r="Y5" s="27"/>
      <c r="Z5" s="26"/>
      <c r="AA5" s="26"/>
      <c r="AB5" s="26"/>
      <c r="AC5" s="110"/>
      <c r="AD5" s="110"/>
      <c r="AE5" s="110"/>
      <c r="AF5" s="110"/>
      <c r="AG5" s="110"/>
      <c r="AH5" s="110"/>
      <c r="AI5" s="110"/>
      <c r="AJ5" s="26"/>
    </row>
    <row r="6" customHeight="1" spans="1:36 16382:16384">
      <c r="A6" s="168" t="s">
        <v>329</v>
      </c>
      <c r="B6" s="168" t="s">
        <v>330</v>
      </c>
      <c r="C6" s="17"/>
      <c r="D6" s="18" t="s">
        <v>328</v>
      </c>
      <c r="E6" s="19">
        <v>2000000</v>
      </c>
      <c r="F6" s="19"/>
      <c r="G6" s="19"/>
      <c r="H6" s="19"/>
      <c r="I6" s="19"/>
      <c r="J6" s="19">
        <f t="shared" si="0"/>
        <v>2000000</v>
      </c>
      <c r="K6" s="25"/>
      <c r="L6" s="26"/>
      <c r="M6" s="26"/>
      <c r="N6" s="175"/>
      <c r="O6" s="176"/>
      <c r="P6" s="27"/>
      <c r="Q6" s="31"/>
      <c r="R6" s="31"/>
      <c r="S6" s="31"/>
      <c r="T6" s="31"/>
      <c r="U6" s="31"/>
      <c r="V6" s="31"/>
      <c r="W6" s="31"/>
      <c r="X6" s="32"/>
      <c r="Y6" s="31"/>
      <c r="Z6" s="30"/>
      <c r="AA6" s="30"/>
      <c r="AB6" s="30"/>
      <c r="AC6" s="110"/>
      <c r="AD6" s="110"/>
      <c r="AE6" s="110"/>
      <c r="AF6" s="110"/>
      <c r="AG6" s="110"/>
      <c r="AH6" s="110"/>
      <c r="AI6" s="110"/>
      <c r="AJ6" s="30"/>
    </row>
    <row r="7" customHeight="1" spans="1:36 16382:16384">
      <c r="A7" s="168" t="s">
        <v>331</v>
      </c>
      <c r="B7" s="177" t="s">
        <v>332</v>
      </c>
      <c r="C7" s="18"/>
      <c r="D7" s="18" t="s">
        <v>328</v>
      </c>
      <c r="E7" s="19">
        <v>200000</v>
      </c>
      <c r="F7" s="18"/>
      <c r="G7" s="18"/>
      <c r="H7" s="18"/>
      <c r="I7" s="18"/>
      <c r="J7" s="19">
        <f>E7</f>
        <v>200000</v>
      </c>
      <c r="K7" s="29"/>
      <c r="L7" s="30"/>
      <c r="M7" s="30"/>
      <c r="N7" s="178"/>
      <c r="O7" s="179"/>
      <c r="P7" s="31"/>
      <c r="Q7" s="18"/>
      <c r="R7" s="18"/>
      <c r="S7" s="18"/>
      <c r="T7" s="18"/>
      <c r="U7" s="18"/>
      <c r="V7" s="18"/>
      <c r="W7" s="18"/>
      <c r="X7" s="18"/>
      <c r="Y7" s="18"/>
      <c r="Z7" s="108"/>
      <c r="AA7" s="108"/>
      <c r="AB7" s="108"/>
      <c r="AC7" s="108"/>
      <c r="AD7" s="108"/>
      <c r="AE7" s="108"/>
      <c r="AF7" s="108"/>
      <c r="AG7" s="108"/>
      <c r="AH7" s="108"/>
      <c r="AI7" s="108"/>
      <c r="AJ7" s="108"/>
    </row>
    <row r="8" customHeight="1" spans="1:36 16382:16384">
      <c r="A8" s="8" t="s">
        <v>333</v>
      </c>
    </row>
    <row r="9" customHeight="1" spans="1:36 16382:16384">
      <c r="A9" s="16" t="s">
        <v>291</v>
      </c>
      <c r="B9" s="34" t="s">
        <v>83</v>
      </c>
      <c r="C9" s="34"/>
      <c r="D9" s="34"/>
      <c r="E9" s="34"/>
      <c r="F9" s="34"/>
      <c r="G9" s="34"/>
      <c r="H9" s="34" t="s">
        <v>88</v>
      </c>
      <c r="I9" s="34"/>
      <c r="J9" s="34"/>
      <c r="K9" s="34"/>
      <c r="L9" s="34"/>
      <c r="M9" s="34"/>
      <c r="N9" s="34" t="s">
        <v>334</v>
      </c>
      <c r="O9" s="34"/>
      <c r="P9" s="34"/>
      <c r="Q9" s="34"/>
      <c r="R9" s="34"/>
      <c r="S9" s="34"/>
      <c r="T9" s="9" t="s">
        <v>335</v>
      </c>
      <c r="U9" s="9" t="s">
        <v>336</v>
      </c>
      <c r="V9" s="9" t="s">
        <v>81</v>
      </c>
      <c r="W9" s="9" t="s">
        <v>82</v>
      </c>
    </row>
    <row r="10" s="1" customFormat="1" customHeight="1" spans="1:36 16382:16384">
      <c r="A10" s="16"/>
      <c r="B10" s="16" t="s">
        <v>311</v>
      </c>
      <c r="C10" s="16" t="s">
        <v>312</v>
      </c>
      <c r="D10" s="16" t="s">
        <v>313</v>
      </c>
      <c r="E10" s="16" t="s">
        <v>314</v>
      </c>
      <c r="F10" s="16" t="s">
        <v>337</v>
      </c>
      <c r="G10" s="16" t="s">
        <v>92</v>
      </c>
      <c r="H10" s="16" t="s">
        <v>311</v>
      </c>
      <c r="I10" s="16" t="s">
        <v>312</v>
      </c>
      <c r="J10" s="16" t="s">
        <v>313</v>
      </c>
      <c r="K10" s="16" t="s">
        <v>314</v>
      </c>
      <c r="L10" s="16" t="s">
        <v>337</v>
      </c>
      <c r="M10" s="16" t="s">
        <v>92</v>
      </c>
      <c r="N10" s="16" t="s">
        <v>311</v>
      </c>
      <c r="O10" s="16" t="s">
        <v>312</v>
      </c>
      <c r="P10" s="16" t="s">
        <v>313</v>
      </c>
      <c r="Q10" s="16" t="s">
        <v>314</v>
      </c>
      <c r="R10" s="16" t="s">
        <v>337</v>
      </c>
      <c r="S10" s="16" t="s">
        <v>92</v>
      </c>
      <c r="T10" s="14"/>
      <c r="U10" s="14"/>
      <c r="V10" s="14"/>
      <c r="W10" s="14"/>
    </row>
    <row r="11" customHeight="1" spans="1:36 16382:16384">
      <c r="A11" s="17" t="s">
        <v>338</v>
      </c>
      <c r="B11" s="36">
        <f>SUMIFS($E$20:$E$46,$D$20:$D$46,$B$10,$A$20:$A$46,$A$11)</f>
        <v>2933770.39</v>
      </c>
      <c r="C11" s="36">
        <f>SUMIFS($E$20:$E$46,$D$20:$D$46,C10,$A$20:$A$46,A11)</f>
        <v>116656003.9</v>
      </c>
      <c r="D11" s="36">
        <f>SUMIFS($E$20:$E$46,$D$20:$D$46,D10,$A$20:$A$46,A11)</f>
        <v>0</v>
      </c>
      <c r="E11" s="36">
        <f>SUMIFS($E$20:$E$46,$D$20:$D$46,E10,$A$20:$A$46,A11)</f>
        <v>0</v>
      </c>
      <c r="F11" s="36">
        <f>SUMIFS($E$20:$E$46,$D$20:$D$46,F10,$A$20:$A$46,A11)</f>
        <v>0</v>
      </c>
      <c r="G11" s="36">
        <f>SUM(B11:F11)</f>
        <v>119589774.29</v>
      </c>
      <c r="H11" s="36">
        <f>SUMIFS($V$20:$V$46,$R$20:$R$46,$H$10,$P$20:$P$46,$A$11)</f>
        <v>2933770.39</v>
      </c>
      <c r="I11" s="36">
        <f>SUMIFS($V$20:$V$46,$R$20:$R$46,I10,$P$20:$P$46,$A$11)</f>
        <v>116656003.9</v>
      </c>
      <c r="J11" s="36">
        <f>SUMIFS($V$20:$V$46,$R$20:$R$46,$J$10,$P$20:$P$46,$A$11)</f>
        <v>0</v>
      </c>
      <c r="K11" s="36">
        <f>SUMIFS($V$20:$V$46,$R$20:$R$46,$K$10,$P$20:$P$46,$A$11)</f>
        <v>0</v>
      </c>
      <c r="L11" s="36">
        <f>SUMIFS($V$20:$V$46,$R$20:$R$46,$L$10,$P$20:$P$46,$A$11)</f>
        <v>0</v>
      </c>
      <c r="M11" s="36">
        <f t="shared" ref="M11:M14" si="1">SUM(H11:L11)</f>
        <v>119589774.29</v>
      </c>
      <c r="N11" s="36">
        <f>SUMIFS($O$20:$O$45,$N$20:$N$45,N10,$L$20:$L$45,A11)</f>
        <v>2767707.91</v>
      </c>
      <c r="O11" s="36">
        <f>SUMIFS($O$20:$O$45,$N$20:$N$45,O10,$L$20:$L$45,A11)</f>
        <v>106220633.37</v>
      </c>
      <c r="P11" s="36">
        <f>SUMIFS($O$20:$O$45,$N$20:$N$45,P10,$L$20:$L$45,A11)</f>
        <v>0</v>
      </c>
      <c r="Q11" s="36">
        <f>SUMIFS($O$20:$O$45,$N$20:$N$45,Q10,$L$20:$L$45,A11)</f>
        <v>0</v>
      </c>
      <c r="R11" s="36">
        <f>SUMIFS($O$20:$O$45,$N$20:$N$45,R10,$L$20:$L$45,A11)</f>
        <v>0</v>
      </c>
      <c r="S11" s="37">
        <f t="shared" ref="S11:S14" si="2">SUM(N11:R11)</f>
        <v>108988341.28</v>
      </c>
      <c r="T11" s="37">
        <f>SUMIF($Z$20:$Z$46,A11,$AE$20:$AE$46)</f>
        <v>119589774.29</v>
      </c>
      <c r="U11" s="22"/>
      <c r="V11" s="180">
        <f>106220633.37</f>
        <v>106220633.37</v>
      </c>
      <c r="W11" s="38">
        <v>103243215.74</v>
      </c>
    </row>
    <row r="12" customHeight="1" spans="1:36 16382:16384">
      <c r="A12" s="168" t="s">
        <v>326</v>
      </c>
      <c r="B12" s="36">
        <f>SUMIFS($E$51:$E$76,$D$51:$D$76,B10,$A$51:$A$76,A12)</f>
        <v>0</v>
      </c>
      <c r="C12" s="36">
        <f>SUMIFS($E$51:$E$76,$D$51:$D$76,C10,$A$51:$A$76,A12)</f>
        <v>113403798.09</v>
      </c>
      <c r="D12" s="36">
        <f>SUMIFS($E$51:$E$76,$D$51:$D$76,D10,$A$51:$A$76,A12)</f>
        <v>0</v>
      </c>
      <c r="E12" s="36">
        <f>SUMIFS($E$51:$E$76,$D$51:$D$76,E10,$A$51:$A$76,A12)</f>
        <v>0</v>
      </c>
      <c r="F12" s="36">
        <f>SUMIFS($E$51:$E$76,$D$51:$D$76,F10,$A$51:$A$76,A12)</f>
        <v>0</v>
      </c>
      <c r="G12" s="36">
        <f t="shared" ref="G11:G14" si="3">SUM(B12:F12)</f>
        <v>113403798.09</v>
      </c>
      <c r="H12" s="36">
        <f>SUMIFS($R$51:$R$76,$N$51:$N$76,H10,$L$51:$L$76,A12)</f>
        <v>0</v>
      </c>
      <c r="I12" s="36">
        <f>SUMIFS($R$51:$R$76,$N$51:$N$76,I10,$L$51:$L$76,A12)</f>
        <v>113403798.09</v>
      </c>
      <c r="J12" s="36">
        <f>SUMIFS($R$51:$R$76,$N$51:$N$76,J10,$L$51:$L$76,A12)</f>
        <v>0</v>
      </c>
      <c r="K12" s="36">
        <f>SUMIFS($R$51:$R$76,$N$51:$N$76,K10,$L$51:$L$76,A12)</f>
        <v>0</v>
      </c>
      <c r="L12" s="36">
        <f>SUMIFS($R$51:$R$76,$N$51:$N$76,L10,$L$51:$L$76,A12)</f>
        <v>0</v>
      </c>
      <c r="M12" s="36">
        <f t="shared" si="1"/>
        <v>113403798.09</v>
      </c>
      <c r="N12" s="36">
        <f>SUMIFS($G$51:$G$76,$D$51:$D$76,N10,$A$51:$A$76,A12)</f>
        <v>0</v>
      </c>
      <c r="O12" s="36">
        <f>SUMIFS($G$51:$G$76,$D$51:$D$76,$O$10,$A$51:$A$76,A12)</f>
        <v>103243215.74</v>
      </c>
      <c r="P12" s="36">
        <f t="shared" ref="P12:P14" si="4">SUMIFS($G$51:$G$76,$D$51:$D$76,$P$10,$A$51:$A$76,A12)</f>
        <v>0</v>
      </c>
      <c r="Q12" s="36">
        <f t="shared" ref="Q12:Q14" si="5">SUMIFS($G$51:$G$76,$D$51:$D$76,$Q$10,$A$51:$A$76,A12)</f>
        <v>0</v>
      </c>
      <c r="R12" s="36">
        <f t="shared" ref="R12:R14" si="6">SUMIFS($G$51:$G$76,$D$51:$D$76,$R$10,$A$51:$A$76,A12)</f>
        <v>0</v>
      </c>
      <c r="S12" s="37">
        <f t="shared" si="2"/>
        <v>103243215.74</v>
      </c>
      <c r="T12" s="37">
        <f>SUMIF($V$51:$V$75,A12,$AA$51:$AA$76)</f>
        <v>113403798.09</v>
      </c>
      <c r="U12" s="27"/>
      <c r="V12" s="39"/>
      <c r="W12" s="39"/>
    </row>
    <row r="13" customHeight="1" spans="1:36 16382:16384">
      <c r="A13" s="35" t="s">
        <v>329</v>
      </c>
      <c r="B13" s="36">
        <f>SUMIFS($E$51:$E$76,$D$51:$D$76,B10,$A$51:$A$76,A13)</f>
        <v>1550000</v>
      </c>
      <c r="C13" s="36">
        <f>SUMIFS($E$51:$E$76,$D$51:$D$76,C10,$A$51:$A$76,A13)</f>
        <v>0</v>
      </c>
      <c r="D13" s="36">
        <f>SUMIFS($E$51:$E$76,$D$51:$D$76,D10,$A$51:$A$76,A13)</f>
        <v>0</v>
      </c>
      <c r="E13" s="36">
        <f>SUMIFS($E$51:$E$76,$D$51:$D$76,E10,$A$51:$A$76,A13)</f>
        <v>0</v>
      </c>
      <c r="F13" s="36">
        <f>SUMIFS($E$51:$E$76,$D$51:$D$76,F10,$A$51:$A$76,A13)</f>
        <v>0</v>
      </c>
      <c r="G13" s="36">
        <f t="shared" si="3"/>
        <v>1550000</v>
      </c>
      <c r="H13" s="36">
        <f>SUMIFS($R$51:$R$76,$N$51:$N$76,H10,$L$51:$L$76,A13)</f>
        <v>1550000</v>
      </c>
      <c r="I13" s="36">
        <f>SUMIFS($R$51:$R$76,$N$51:$N$76,I10,$L$51:$L$76,A13)</f>
        <v>0</v>
      </c>
      <c r="J13" s="36">
        <f>SUMIFS($R$51:$R$76,$N$51:$N$76,J10,$L$51:$L$76,A13)</f>
        <v>0</v>
      </c>
      <c r="K13" s="36">
        <f>SUMIFS($R$51:$R$76,$N$51:$N$76,K10,$L$51:$L$76,A13)</f>
        <v>0</v>
      </c>
      <c r="L13" s="36">
        <f>SUMIFS($R$51:$R$76,$N$51:$N$76,L10,$L$51:$L$76,A13)</f>
        <v>0</v>
      </c>
      <c r="M13" s="36">
        <f t="shared" si="1"/>
        <v>1550000</v>
      </c>
      <c r="N13" s="36">
        <f>SUMIFS($G$51:$G$76,$D$51:$D$76,$N$10,$A$51:$A$76,A13)</f>
        <v>1462264.16</v>
      </c>
      <c r="O13" s="36">
        <f t="shared" ref="O12:O14" si="7">SUMIFS($G$51:$G$76,$D$51:$D$76,$O$10,$A$51:$A$76,A13)</f>
        <v>0</v>
      </c>
      <c r="P13" s="36">
        <f t="shared" si="4"/>
        <v>0</v>
      </c>
      <c r="Q13" s="36">
        <f t="shared" si="5"/>
        <v>0</v>
      </c>
      <c r="R13" s="36">
        <f t="shared" si="6"/>
        <v>0</v>
      </c>
      <c r="S13" s="37">
        <f t="shared" si="2"/>
        <v>1462264.16</v>
      </c>
      <c r="T13" s="37">
        <f>SUMIF($V$51:$V$75,A13,$AA$51:$AA$76)</f>
        <v>1550000</v>
      </c>
      <c r="U13" s="31"/>
      <c r="V13" s="40"/>
      <c r="W13" s="40"/>
    </row>
    <row r="14" s="2" customFormat="1" customHeight="1" spans="1:36 16382:16384">
      <c r="A14" s="35" t="s">
        <v>331</v>
      </c>
      <c r="B14" s="36">
        <f>SUMIFS($E$51:$E$76,$D$51:$D$76,B11,$A$51:$A$76,A14)</f>
        <v>0</v>
      </c>
      <c r="C14" s="36">
        <f>SUMIFS($E$51:$E$76,$D$51:$D$76,C11,$A$51:$A$76,A14)</f>
        <v>0</v>
      </c>
      <c r="D14" s="36">
        <f>SUMIFS($E$51:$E$76,$D$51:$D$76,D11,$A$51:$A$76,A14)</f>
        <v>0</v>
      </c>
      <c r="E14" s="36">
        <f>SUMIFS($E$51:$E$76,$D$51:$D$76,E11,$A$51:$A$76,A14)</f>
        <v>0</v>
      </c>
      <c r="F14" s="36">
        <f>SUMIFS($E$51:$E$76,$D$51:$D$76,F11,$A$51:$A$76,A14)</f>
        <v>0</v>
      </c>
      <c r="G14" s="36">
        <f t="shared" si="3"/>
        <v>0</v>
      </c>
      <c r="H14" s="36">
        <f>SUMIFS($R$51:$R$76,$N$51:$N$76,H10,$L$51:$L$76,A14)</f>
        <v>0</v>
      </c>
      <c r="I14" s="36">
        <f>SUMIFS($R$51:$R$76,$N$51:$N$76,I10,$L$51:$L$76,A14)</f>
        <v>200000</v>
      </c>
      <c r="J14" s="36">
        <f>SUMIFS($R$51:$R$76,$N$51:$N$76,J11,$L$51:$L$76,A14)</f>
        <v>0</v>
      </c>
      <c r="K14" s="36">
        <f>SUMIFS($R$51:$R$76,$N$51:$N$76,K11,$L$51:$L$76,A14)</f>
        <v>0</v>
      </c>
      <c r="L14" s="36">
        <f>SUMIFS($R$51:$R$76,$N$51:$N$76,L11,$L$51:$L$76,A14)</f>
        <v>0</v>
      </c>
      <c r="M14" s="36">
        <f t="shared" si="1"/>
        <v>200000</v>
      </c>
      <c r="N14" s="36">
        <f>SUMIFS($G$51:$G$76,$D$51:$D$76,$N$10,$A$51:$A$76,A14)</f>
        <v>188679.25</v>
      </c>
      <c r="O14" s="36">
        <f t="shared" si="7"/>
        <v>0</v>
      </c>
      <c r="P14" s="36">
        <f t="shared" si="4"/>
        <v>0</v>
      </c>
      <c r="Q14" s="36">
        <f t="shared" si="5"/>
        <v>0</v>
      </c>
      <c r="R14" s="36">
        <f t="shared" si="6"/>
        <v>0</v>
      </c>
      <c r="S14" s="37">
        <f t="shared" si="2"/>
        <v>188679.25</v>
      </c>
      <c r="T14" s="37">
        <f>SUMIF($V$51:$V$76,A14,$AA$51:$AA$76)</f>
        <v>200000</v>
      </c>
      <c r="U14" s="31"/>
      <c r="V14" s="40"/>
      <c r="W14" s="40"/>
      <c r="X14" s="7"/>
      <c r="Y14" s="7"/>
      <c r="Z14" s="1"/>
      <c r="AA14" s="1"/>
      <c r="AB14" s="1"/>
      <c r="AC14" s="1"/>
      <c r="AD14" s="1"/>
      <c r="AE14" s="1"/>
      <c r="AF14" s="1"/>
      <c r="AG14" s="1"/>
      <c r="AH14" s="1"/>
      <c r="AI14" s="1"/>
      <c r="AJ14" s="1"/>
      <c r="XFB14" s="7"/>
      <c r="XFC14" s="7"/>
      <c r="XFD14" s="7"/>
    </row>
    <row r="15" s="2" customFormat="1" customHeight="1" spans="1:36 16382:16384">
      <c r="A15" s="41"/>
      <c r="B15" s="42"/>
      <c r="C15" s="42"/>
      <c r="D15" s="42"/>
      <c r="E15" s="42"/>
      <c r="F15" s="42"/>
      <c r="G15" s="181">
        <f>G12+G13-C48</f>
        <v>-200000</v>
      </c>
      <c r="H15" s="42"/>
      <c r="I15" s="42"/>
      <c r="J15" s="42"/>
      <c r="K15" s="42"/>
      <c r="L15" s="42"/>
      <c r="M15" s="43">
        <f>M12+M13-R48</f>
        <v>-200000</v>
      </c>
      <c r="N15" s="42"/>
      <c r="O15" s="42"/>
      <c r="P15" s="42"/>
      <c r="Q15" s="42"/>
      <c r="R15" s="42"/>
      <c r="S15" s="43">
        <f>S12+S13-G48</f>
        <v>-188679.25</v>
      </c>
      <c r="T15" s="43">
        <f>T12+T13-AA48</f>
        <v>-200000</v>
      </c>
      <c r="V15" s="43"/>
      <c r="W15" s="43"/>
      <c r="Z15" s="116"/>
      <c r="AA15" s="116"/>
      <c r="AB15" s="116"/>
      <c r="AC15" s="116"/>
      <c r="AD15" s="116"/>
      <c r="AE15" s="116"/>
      <c r="AF15" s="116"/>
      <c r="AG15" s="116"/>
      <c r="AH15" s="116"/>
      <c r="AI15" s="116"/>
      <c r="AJ15" s="116"/>
    </row>
    <row r="17" s="3" customFormat="1" customHeight="1" spans="1:36">
      <c r="A17" s="44" t="s">
        <v>339</v>
      </c>
      <c r="C17" s="3">
        <f>SUM(C20:C44)</f>
        <v>119589774.29</v>
      </c>
      <c r="E17" s="3">
        <f>SUM(E20:E45)</f>
        <v>119589774.29</v>
      </c>
      <c r="G17" s="3">
        <f>SUM(G20:G45)</f>
        <v>108988341.28</v>
      </c>
      <c r="H17" s="3">
        <f>SUM(H20:H45)</f>
        <v>10601433.01</v>
      </c>
      <c r="O17" s="3">
        <f>SUM(O20:O45)</f>
        <v>108988341.28</v>
      </c>
      <c r="V17" s="3">
        <f>SUM(V20:V45)</f>
        <v>119589774.29</v>
      </c>
      <c r="W17" s="3">
        <f t="shared" ref="V17:X17" si="8">SUM(W20:W45)</f>
        <v>108988341.28</v>
      </c>
      <c r="X17" s="3">
        <f t="shared" si="8"/>
        <v>10601433.01</v>
      </c>
      <c r="Z17" s="118"/>
      <c r="AA17" s="118"/>
      <c r="AB17" s="118"/>
      <c r="AC17" s="118"/>
      <c r="AD17" s="118"/>
      <c r="AE17" s="118">
        <f>SUM(AE20:AE45)</f>
        <v>119589774.29</v>
      </c>
      <c r="AF17" s="118"/>
      <c r="AG17" s="118"/>
      <c r="AH17" s="118"/>
      <c r="AI17" s="118"/>
      <c r="AJ17" s="118"/>
    </row>
    <row r="18" s="4" customFormat="1" customHeight="1" spans="1:36">
      <c r="A18" s="45" t="s">
        <v>340</v>
      </c>
      <c r="B18" s="45"/>
      <c r="C18" s="45"/>
      <c r="D18" s="45"/>
      <c r="E18" s="45"/>
      <c r="F18" s="45"/>
      <c r="G18" s="45"/>
      <c r="H18" s="45"/>
      <c r="I18" s="45"/>
      <c r="J18" s="45"/>
      <c r="K18" s="45"/>
      <c r="L18" s="46" t="s">
        <v>341</v>
      </c>
      <c r="M18" s="47"/>
      <c r="N18" s="47"/>
      <c r="O18" s="48"/>
      <c r="P18" s="49" t="s">
        <v>342</v>
      </c>
      <c r="Q18" s="50"/>
      <c r="R18" s="50"/>
      <c r="S18" s="50"/>
      <c r="T18" s="50"/>
      <c r="U18" s="50"/>
      <c r="V18" s="50"/>
      <c r="W18" s="50"/>
      <c r="X18" s="50"/>
      <c r="Y18" s="51"/>
      <c r="Z18" s="52" t="s">
        <v>343</v>
      </c>
      <c r="AA18" s="53"/>
      <c r="AB18" s="53"/>
      <c r="AC18" s="53"/>
      <c r="AD18" s="53"/>
      <c r="AE18" s="53"/>
      <c r="AF18" s="53"/>
      <c r="AG18" s="54"/>
      <c r="AH18" s="132"/>
      <c r="AI18" s="132"/>
      <c r="AJ18" s="132"/>
    </row>
    <row r="19" s="4" customFormat="1" ht="47.1" customHeight="1" spans="1:36">
      <c r="A19" s="55" t="s">
        <v>344</v>
      </c>
      <c r="B19" s="55" t="s">
        <v>345</v>
      </c>
      <c r="C19" s="55" t="s">
        <v>346</v>
      </c>
      <c r="D19" s="55" t="s">
        <v>347</v>
      </c>
      <c r="E19" s="55" t="s">
        <v>348</v>
      </c>
      <c r="F19" s="55" t="s">
        <v>349</v>
      </c>
      <c r="G19" s="55" t="s">
        <v>350</v>
      </c>
      <c r="H19" s="55" t="s">
        <v>351</v>
      </c>
      <c r="I19" s="55" t="s">
        <v>352</v>
      </c>
      <c r="J19" s="55" t="s">
        <v>353</v>
      </c>
      <c r="K19" s="55" t="s">
        <v>354</v>
      </c>
      <c r="L19" s="56" t="s">
        <v>344</v>
      </c>
      <c r="M19" s="56" t="s">
        <v>355</v>
      </c>
      <c r="N19" s="56" t="s">
        <v>356</v>
      </c>
      <c r="O19" s="56" t="s">
        <v>357</v>
      </c>
      <c r="P19" s="57" t="s">
        <v>344</v>
      </c>
      <c r="Q19" s="57" t="s">
        <v>355</v>
      </c>
      <c r="R19" s="58" t="s">
        <v>358</v>
      </c>
      <c r="S19" s="57" t="s">
        <v>359</v>
      </c>
      <c r="T19" s="57" t="s">
        <v>360</v>
      </c>
      <c r="U19" s="57" t="s">
        <v>361</v>
      </c>
      <c r="V19" s="57" t="s">
        <v>362</v>
      </c>
      <c r="W19" s="57" t="s">
        <v>363</v>
      </c>
      <c r="X19" s="57" t="s">
        <v>364</v>
      </c>
      <c r="Y19" s="59" t="s">
        <v>349</v>
      </c>
      <c r="Z19" s="60" t="s">
        <v>291</v>
      </c>
      <c r="AA19" s="60" t="s">
        <v>365</v>
      </c>
      <c r="AB19" s="60" t="s">
        <v>366</v>
      </c>
      <c r="AC19" s="60" t="s">
        <v>367</v>
      </c>
      <c r="AD19" s="60" t="s">
        <v>368</v>
      </c>
      <c r="AE19" s="60" t="s">
        <v>369</v>
      </c>
      <c r="AF19" s="60" t="s">
        <v>370</v>
      </c>
      <c r="AG19" s="60" t="s">
        <v>371</v>
      </c>
      <c r="AH19" s="132"/>
      <c r="AI19" s="132"/>
      <c r="AJ19" s="132"/>
    </row>
    <row r="20" s="5" customFormat="1" customHeight="1" spans="1:36">
      <c r="A20" s="17" t="s">
        <v>338</v>
      </c>
      <c r="B20" s="61"/>
      <c r="C20" s="182">
        <v>11090000</v>
      </c>
      <c r="D20" s="61" t="s">
        <v>312</v>
      </c>
      <c r="E20" s="182">
        <v>11090000</v>
      </c>
      <c r="F20" s="62">
        <v>0.11</v>
      </c>
      <c r="G20" s="37">
        <f>ROUND(E20/(1+F20),2)</f>
        <v>9990990.99</v>
      </c>
      <c r="H20" s="37">
        <f>C20-G20</f>
        <v>1099009.01</v>
      </c>
      <c r="I20" s="183">
        <v>43089</v>
      </c>
      <c r="J20" s="61"/>
      <c r="K20" s="61"/>
      <c r="L20" s="63" t="s">
        <v>338</v>
      </c>
      <c r="M20" s="184">
        <v>43089</v>
      </c>
      <c r="N20" s="61" t="s">
        <v>312</v>
      </c>
      <c r="O20" s="65">
        <v>9990990.99</v>
      </c>
      <c r="P20" s="63" t="s">
        <v>338</v>
      </c>
      <c r="Q20" s="184">
        <v>43089</v>
      </c>
      <c r="R20" s="61" t="s">
        <v>312</v>
      </c>
      <c r="S20" s="61"/>
      <c r="T20" s="61"/>
      <c r="U20" s="61"/>
      <c r="V20" s="37">
        <v>11090000</v>
      </c>
      <c r="W20" s="37">
        <f>ROUND(V20/(1+Y20),2)</f>
        <v>9990990.99</v>
      </c>
      <c r="X20" s="37">
        <f>V20-W20</f>
        <v>1099009.01</v>
      </c>
      <c r="Y20" s="62">
        <v>0.11</v>
      </c>
      <c r="Z20" s="115" t="s">
        <v>338</v>
      </c>
      <c r="AA20" s="184">
        <v>44742</v>
      </c>
      <c r="AB20" s="126" t="s">
        <v>372</v>
      </c>
      <c r="AC20" s="69" t="s">
        <v>320</v>
      </c>
      <c r="AD20" s="69"/>
      <c r="AE20" s="127">
        <v>116656004.5</v>
      </c>
      <c r="AF20" s="120"/>
      <c r="AG20" s="127"/>
      <c r="AH20" s="135"/>
      <c r="AI20" s="135"/>
      <c r="AJ20" s="135"/>
    </row>
    <row r="21" s="5" customFormat="1" customHeight="1" spans="1:36">
      <c r="A21" s="17" t="s">
        <v>338</v>
      </c>
      <c r="B21" s="61"/>
      <c r="C21" s="182">
        <v>1500000</v>
      </c>
      <c r="D21" s="61" t="s">
        <v>312</v>
      </c>
      <c r="E21" s="182">
        <v>1500000</v>
      </c>
      <c r="F21" s="62">
        <v>0.11</v>
      </c>
      <c r="G21" s="37">
        <f t="shared" ref="G21:G40" si="9">ROUND(E21/(1+F21),2)</f>
        <v>1351351.35</v>
      </c>
      <c r="H21" s="37">
        <f t="shared" ref="H21:H40" si="10">C21-G21</f>
        <v>148648.65</v>
      </c>
      <c r="I21" s="183">
        <v>43089</v>
      </c>
      <c r="J21" s="61"/>
      <c r="K21" s="61"/>
      <c r="L21" s="63" t="s">
        <v>338</v>
      </c>
      <c r="M21" s="184">
        <v>43089</v>
      </c>
      <c r="N21" s="61" t="s">
        <v>312</v>
      </c>
      <c r="O21" s="37">
        <v>1351351.35</v>
      </c>
      <c r="P21" s="63" t="s">
        <v>338</v>
      </c>
      <c r="Q21" s="184">
        <v>43089</v>
      </c>
      <c r="R21" s="61" t="s">
        <v>312</v>
      </c>
      <c r="S21" s="61"/>
      <c r="T21" s="61"/>
      <c r="U21" s="61"/>
      <c r="V21" s="37">
        <v>1500000</v>
      </c>
      <c r="W21" s="37">
        <f t="shared" ref="W21:W40" si="11">ROUND(V21/(1+Y21),2)</f>
        <v>1351351.35</v>
      </c>
      <c r="X21" s="37">
        <f t="shared" ref="X21:X40" si="12">V21-W21</f>
        <v>148648.65</v>
      </c>
      <c r="Y21" s="62">
        <v>0.11</v>
      </c>
      <c r="Z21" s="115" t="s">
        <v>338</v>
      </c>
      <c r="AA21" s="184">
        <v>44742</v>
      </c>
      <c r="AB21" s="126" t="s">
        <v>372</v>
      </c>
      <c r="AC21" s="69" t="s">
        <v>320</v>
      </c>
      <c r="AD21" s="69"/>
      <c r="AE21" s="127">
        <v>1911951.58</v>
      </c>
      <c r="AF21" s="120"/>
      <c r="AG21" s="127"/>
      <c r="AH21" s="135"/>
      <c r="AI21" s="135"/>
      <c r="AJ21" s="135"/>
    </row>
    <row r="22" s="5" customFormat="1" customHeight="1" spans="1:36">
      <c r="A22" s="17" t="s">
        <v>338</v>
      </c>
      <c r="B22" s="61"/>
      <c r="C22" s="182">
        <v>19240000</v>
      </c>
      <c r="D22" s="61" t="s">
        <v>312</v>
      </c>
      <c r="E22" s="182">
        <v>19240000</v>
      </c>
      <c r="F22" s="62">
        <v>0.11</v>
      </c>
      <c r="G22" s="37">
        <f t="shared" si="9"/>
        <v>17333333.33</v>
      </c>
      <c r="H22" s="37">
        <f t="shared" si="10"/>
        <v>1906666.67</v>
      </c>
      <c r="I22" s="183">
        <v>43139</v>
      </c>
      <c r="J22" s="61"/>
      <c r="K22" s="61"/>
      <c r="L22" s="63" t="s">
        <v>338</v>
      </c>
      <c r="M22" s="184">
        <v>43139</v>
      </c>
      <c r="N22" s="61" t="s">
        <v>312</v>
      </c>
      <c r="O22" s="37">
        <v>17333333.33</v>
      </c>
      <c r="P22" s="63" t="s">
        <v>338</v>
      </c>
      <c r="Q22" s="184">
        <v>43139</v>
      </c>
      <c r="R22" s="61" t="s">
        <v>312</v>
      </c>
      <c r="S22" s="61"/>
      <c r="T22" s="61"/>
      <c r="U22" s="61"/>
      <c r="V22" s="37">
        <v>19240000</v>
      </c>
      <c r="W22" s="37">
        <f t="shared" si="11"/>
        <v>17333333.33</v>
      </c>
      <c r="X22" s="37">
        <f t="shared" si="12"/>
        <v>1906666.67</v>
      </c>
      <c r="Y22" s="62">
        <v>0.11</v>
      </c>
      <c r="Z22" s="115" t="s">
        <v>338</v>
      </c>
      <c r="AA22" s="184">
        <v>44742</v>
      </c>
      <c r="AB22" s="126" t="s">
        <v>372</v>
      </c>
      <c r="AC22" s="69" t="s">
        <v>320</v>
      </c>
      <c r="AD22" s="69"/>
      <c r="AE22" s="127">
        <v>1021818.21</v>
      </c>
      <c r="AF22" s="120"/>
      <c r="AG22" s="127"/>
      <c r="AH22" s="135"/>
      <c r="AI22" s="135"/>
      <c r="AJ22" s="135"/>
    </row>
    <row r="23" s="5" customFormat="1" customHeight="1" spans="1:36">
      <c r="A23" s="17" t="s">
        <v>338</v>
      </c>
      <c r="B23" s="61"/>
      <c r="C23" s="182">
        <v>1950000</v>
      </c>
      <c r="D23" s="61" t="s">
        <v>311</v>
      </c>
      <c r="E23" s="182">
        <v>1950000</v>
      </c>
      <c r="F23" s="62">
        <v>0.06</v>
      </c>
      <c r="G23" s="37">
        <f t="shared" si="9"/>
        <v>1839622.64</v>
      </c>
      <c r="H23" s="37">
        <f t="shared" si="10"/>
        <v>110377.36</v>
      </c>
      <c r="I23" s="183">
        <v>43139</v>
      </c>
      <c r="J23" s="61"/>
      <c r="K23" s="61"/>
      <c r="L23" s="63" t="s">
        <v>338</v>
      </c>
      <c r="M23" s="184">
        <v>43139</v>
      </c>
      <c r="N23" s="61" t="s">
        <v>311</v>
      </c>
      <c r="O23" s="37">
        <v>1839622.64</v>
      </c>
      <c r="P23" s="63" t="s">
        <v>338</v>
      </c>
      <c r="Q23" s="184">
        <v>43139</v>
      </c>
      <c r="R23" s="61" t="s">
        <v>311</v>
      </c>
      <c r="S23" s="61"/>
      <c r="T23" s="61"/>
      <c r="U23" s="61"/>
      <c r="V23" s="37">
        <v>1950000</v>
      </c>
      <c r="W23" s="37">
        <f t="shared" si="11"/>
        <v>1839622.64</v>
      </c>
      <c r="X23" s="37">
        <f t="shared" si="12"/>
        <v>110377.36</v>
      </c>
      <c r="Y23" s="62">
        <v>0.06</v>
      </c>
      <c r="Z23" s="115"/>
      <c r="AA23" s="120"/>
      <c r="AB23" s="126"/>
      <c r="AC23" s="69"/>
      <c r="AD23" s="69"/>
      <c r="AE23" s="127"/>
      <c r="AF23" s="120"/>
      <c r="AG23" s="127"/>
      <c r="AH23" s="135"/>
      <c r="AI23" s="135"/>
      <c r="AJ23" s="135"/>
    </row>
    <row r="24" s="5" customFormat="1" customHeight="1" spans="1:36">
      <c r="A24" s="17" t="s">
        <v>338</v>
      </c>
      <c r="B24" s="61"/>
      <c r="C24" s="182">
        <v>13500000</v>
      </c>
      <c r="D24" s="61" t="s">
        <v>312</v>
      </c>
      <c r="E24" s="182">
        <v>13500000</v>
      </c>
      <c r="F24" s="62">
        <v>0.1</v>
      </c>
      <c r="G24" s="37">
        <f t="shared" si="9"/>
        <v>12272727.27</v>
      </c>
      <c r="H24" s="37">
        <f t="shared" si="10"/>
        <v>1227272.73</v>
      </c>
      <c r="I24" s="183">
        <v>43300</v>
      </c>
      <c r="J24" s="61"/>
      <c r="K24" s="61"/>
      <c r="L24" s="63" t="s">
        <v>338</v>
      </c>
      <c r="M24" s="184">
        <v>43300</v>
      </c>
      <c r="N24" s="61" t="s">
        <v>312</v>
      </c>
      <c r="O24" s="37">
        <v>12272727.27</v>
      </c>
      <c r="P24" s="63" t="s">
        <v>338</v>
      </c>
      <c r="Q24" s="184">
        <v>43300</v>
      </c>
      <c r="R24" s="61" t="s">
        <v>312</v>
      </c>
      <c r="S24" s="61"/>
      <c r="T24" s="61"/>
      <c r="U24" s="61"/>
      <c r="V24" s="37">
        <v>13500000</v>
      </c>
      <c r="W24" s="37">
        <f t="shared" si="11"/>
        <v>12272727.27</v>
      </c>
      <c r="X24" s="37">
        <f t="shared" si="12"/>
        <v>1227272.73</v>
      </c>
      <c r="Y24" s="62">
        <v>0.1</v>
      </c>
      <c r="Z24" s="115"/>
      <c r="AA24" s="120"/>
      <c r="AB24" s="126"/>
      <c r="AC24" s="69"/>
      <c r="AD24" s="69"/>
      <c r="AE24" s="127"/>
      <c r="AF24" s="120"/>
      <c r="AG24" s="127"/>
      <c r="AH24" s="135"/>
      <c r="AI24" s="135"/>
      <c r="AJ24" s="135"/>
    </row>
    <row r="25" s="5" customFormat="1" customHeight="1" spans="1:36">
      <c r="A25" s="17" t="s">
        <v>338</v>
      </c>
      <c r="B25" s="61"/>
      <c r="C25" s="182">
        <v>7500000</v>
      </c>
      <c r="D25" s="61" t="s">
        <v>312</v>
      </c>
      <c r="E25" s="182">
        <v>7500000</v>
      </c>
      <c r="F25" s="62">
        <v>0.1</v>
      </c>
      <c r="G25" s="37">
        <f t="shared" si="9"/>
        <v>6818181.82</v>
      </c>
      <c r="H25" s="37">
        <f t="shared" si="10"/>
        <v>681818.18</v>
      </c>
      <c r="I25" s="183">
        <v>43395</v>
      </c>
      <c r="J25" s="61"/>
      <c r="K25" s="61"/>
      <c r="L25" s="63" t="s">
        <v>338</v>
      </c>
      <c r="M25" s="184">
        <v>43395</v>
      </c>
      <c r="N25" s="61" t="s">
        <v>312</v>
      </c>
      <c r="O25" s="37">
        <v>6818181.82</v>
      </c>
      <c r="P25" s="63" t="s">
        <v>338</v>
      </c>
      <c r="Q25" s="184">
        <v>43395</v>
      </c>
      <c r="R25" s="61" t="s">
        <v>312</v>
      </c>
      <c r="S25" s="61"/>
      <c r="T25" s="61"/>
      <c r="U25" s="61"/>
      <c r="V25" s="37">
        <v>7500000</v>
      </c>
      <c r="W25" s="37">
        <f t="shared" si="11"/>
        <v>6818181.82</v>
      </c>
      <c r="X25" s="37">
        <f t="shared" si="12"/>
        <v>681818.18</v>
      </c>
      <c r="Y25" s="62">
        <v>0.1</v>
      </c>
      <c r="Z25" s="115"/>
      <c r="AA25" s="120"/>
      <c r="AB25" s="126"/>
      <c r="AC25" s="69"/>
      <c r="AD25" s="69"/>
      <c r="AE25" s="127"/>
      <c r="AF25" s="120"/>
      <c r="AG25" s="127"/>
      <c r="AH25" s="135"/>
      <c r="AI25" s="135"/>
      <c r="AJ25" s="135"/>
    </row>
    <row r="26" s="5" customFormat="1" customHeight="1" spans="1:36">
      <c r="A26" s="17" t="s">
        <v>338</v>
      </c>
      <c r="B26" s="61"/>
      <c r="C26" s="182">
        <v>6000000</v>
      </c>
      <c r="D26" s="61" t="s">
        <v>312</v>
      </c>
      <c r="E26" s="182">
        <v>6000000</v>
      </c>
      <c r="F26" s="62">
        <v>0.1</v>
      </c>
      <c r="G26" s="37">
        <f t="shared" si="9"/>
        <v>5454545.45</v>
      </c>
      <c r="H26" s="37">
        <f t="shared" si="10"/>
        <v>545454.55</v>
      </c>
      <c r="I26" s="183">
        <v>43444</v>
      </c>
      <c r="J26" s="61"/>
      <c r="K26" s="61"/>
      <c r="L26" s="63" t="s">
        <v>338</v>
      </c>
      <c r="M26" s="184">
        <v>43444</v>
      </c>
      <c r="N26" s="61" t="s">
        <v>312</v>
      </c>
      <c r="O26" s="37">
        <v>5454545.45</v>
      </c>
      <c r="P26" s="63" t="s">
        <v>338</v>
      </c>
      <c r="Q26" s="184">
        <v>43444</v>
      </c>
      <c r="R26" s="61" t="s">
        <v>312</v>
      </c>
      <c r="S26" s="61"/>
      <c r="T26" s="61"/>
      <c r="U26" s="61"/>
      <c r="V26" s="37">
        <v>6000000</v>
      </c>
      <c r="W26" s="37">
        <f t="shared" si="11"/>
        <v>5454545.45</v>
      </c>
      <c r="X26" s="37">
        <f t="shared" si="12"/>
        <v>545454.55</v>
      </c>
      <c r="Y26" s="62">
        <v>0.1</v>
      </c>
      <c r="Z26" s="115"/>
      <c r="AA26" s="120"/>
      <c r="AB26" s="126"/>
      <c r="AC26" s="69"/>
      <c r="AD26" s="69"/>
      <c r="AE26" s="127"/>
      <c r="AF26" s="120"/>
      <c r="AG26" s="127"/>
      <c r="AH26" s="135"/>
      <c r="AI26" s="135"/>
      <c r="AJ26" s="135"/>
    </row>
    <row r="27" s="5" customFormat="1" customHeight="1" spans="1:36">
      <c r="A27" s="17" t="s">
        <v>338</v>
      </c>
      <c r="B27" s="61"/>
      <c r="C27" s="182">
        <v>325000</v>
      </c>
      <c r="D27" s="61" t="s">
        <v>311</v>
      </c>
      <c r="E27" s="182">
        <v>325000</v>
      </c>
      <c r="F27" s="62">
        <v>0.06</v>
      </c>
      <c r="G27" s="37">
        <f t="shared" si="9"/>
        <v>306603.77</v>
      </c>
      <c r="H27" s="37">
        <f t="shared" si="10"/>
        <v>18396.23</v>
      </c>
      <c r="I27" s="183">
        <v>43486</v>
      </c>
      <c r="J27" s="61"/>
      <c r="K27" s="61"/>
      <c r="L27" s="63" t="s">
        <v>338</v>
      </c>
      <c r="M27" s="184">
        <v>43486</v>
      </c>
      <c r="N27" s="61" t="s">
        <v>311</v>
      </c>
      <c r="O27" s="37">
        <v>306603.77</v>
      </c>
      <c r="P27" s="63" t="s">
        <v>338</v>
      </c>
      <c r="Q27" s="184">
        <v>43486</v>
      </c>
      <c r="R27" s="61" t="s">
        <v>311</v>
      </c>
      <c r="S27" s="61"/>
      <c r="T27" s="61"/>
      <c r="U27" s="61"/>
      <c r="V27" s="37">
        <v>325000</v>
      </c>
      <c r="W27" s="37">
        <f t="shared" si="11"/>
        <v>306603.77</v>
      </c>
      <c r="X27" s="37">
        <f t="shared" si="12"/>
        <v>18396.23</v>
      </c>
      <c r="Y27" s="62">
        <v>0.06</v>
      </c>
      <c r="Z27" s="115"/>
      <c r="AA27" s="120"/>
      <c r="AB27" s="126"/>
      <c r="AC27" s="69"/>
      <c r="AD27" s="69"/>
      <c r="AE27" s="127"/>
      <c r="AF27" s="120"/>
      <c r="AG27" s="127"/>
      <c r="AH27" s="135"/>
      <c r="AI27" s="135"/>
      <c r="AJ27" s="135"/>
    </row>
    <row r="28" s="5" customFormat="1" customHeight="1" spans="1:36">
      <c r="A28" s="17" t="s">
        <v>338</v>
      </c>
      <c r="B28" s="61"/>
      <c r="C28" s="182">
        <v>6000000</v>
      </c>
      <c r="D28" s="61" t="s">
        <v>312</v>
      </c>
      <c r="E28" s="182">
        <v>6000000</v>
      </c>
      <c r="F28" s="62">
        <v>0.1</v>
      </c>
      <c r="G28" s="37">
        <f t="shared" si="9"/>
        <v>5454545.45</v>
      </c>
      <c r="H28" s="37">
        <f t="shared" si="10"/>
        <v>545454.55</v>
      </c>
      <c r="I28" s="183">
        <v>43488</v>
      </c>
      <c r="J28" s="61"/>
      <c r="K28" s="61"/>
      <c r="L28" s="63" t="s">
        <v>338</v>
      </c>
      <c r="M28" s="184">
        <v>43488</v>
      </c>
      <c r="N28" s="61" t="s">
        <v>312</v>
      </c>
      <c r="O28" s="37">
        <v>5454545.45</v>
      </c>
      <c r="P28" s="63" t="s">
        <v>338</v>
      </c>
      <c r="Q28" s="184">
        <v>43488</v>
      </c>
      <c r="R28" s="61" t="s">
        <v>312</v>
      </c>
      <c r="S28" s="61"/>
      <c r="T28" s="61"/>
      <c r="U28" s="61"/>
      <c r="V28" s="37">
        <v>6000000</v>
      </c>
      <c r="W28" s="37">
        <f t="shared" si="11"/>
        <v>5454545.45</v>
      </c>
      <c r="X28" s="37">
        <f t="shared" si="12"/>
        <v>545454.55</v>
      </c>
      <c r="Y28" s="62">
        <v>0.1</v>
      </c>
      <c r="Z28" s="115"/>
      <c r="AA28" s="120"/>
      <c r="AB28" s="126"/>
      <c r="AC28" s="69"/>
      <c r="AD28" s="69"/>
      <c r="AE28" s="127"/>
      <c r="AF28" s="120"/>
      <c r="AG28" s="127"/>
      <c r="AH28" s="135"/>
      <c r="AI28" s="135"/>
      <c r="AJ28" s="135"/>
    </row>
    <row r="29" s="5" customFormat="1" customHeight="1" spans="1:36">
      <c r="A29" s="17" t="s">
        <v>338</v>
      </c>
      <c r="B29" s="61"/>
      <c r="C29" s="182">
        <v>220000</v>
      </c>
      <c r="D29" s="61" t="s">
        <v>312</v>
      </c>
      <c r="E29" s="182">
        <v>220000</v>
      </c>
      <c r="F29" s="62">
        <v>0.1</v>
      </c>
      <c r="G29" s="37">
        <f t="shared" si="9"/>
        <v>200000</v>
      </c>
      <c r="H29" s="37">
        <f t="shared" si="10"/>
        <v>20000</v>
      </c>
      <c r="I29" s="183">
        <v>43522</v>
      </c>
      <c r="J29" s="61"/>
      <c r="K29" s="61"/>
      <c r="L29" s="63" t="s">
        <v>338</v>
      </c>
      <c r="M29" s="184">
        <v>43522</v>
      </c>
      <c r="N29" s="61" t="s">
        <v>312</v>
      </c>
      <c r="O29" s="37">
        <v>200000</v>
      </c>
      <c r="P29" s="63" t="s">
        <v>338</v>
      </c>
      <c r="Q29" s="184">
        <v>43522</v>
      </c>
      <c r="R29" s="61" t="s">
        <v>312</v>
      </c>
      <c r="S29" s="61"/>
      <c r="T29" s="61"/>
      <c r="U29" s="61"/>
      <c r="V29" s="37">
        <v>220000</v>
      </c>
      <c r="W29" s="37">
        <f t="shared" si="11"/>
        <v>200000</v>
      </c>
      <c r="X29" s="37">
        <f t="shared" si="12"/>
        <v>20000</v>
      </c>
      <c r="Y29" s="62">
        <v>0.1</v>
      </c>
      <c r="Z29" s="115"/>
      <c r="AA29" s="120"/>
      <c r="AB29" s="126"/>
      <c r="AC29" s="69"/>
      <c r="AD29" s="69"/>
      <c r="AE29" s="127"/>
      <c r="AF29" s="120"/>
      <c r="AG29" s="127"/>
      <c r="AH29" s="135"/>
      <c r="AI29" s="135"/>
      <c r="AJ29" s="135"/>
    </row>
    <row r="30" s="5" customFormat="1" customHeight="1" spans="1:36">
      <c r="A30" s="17" t="s">
        <v>338</v>
      </c>
      <c r="B30" s="61"/>
      <c r="C30" s="182">
        <v>7940000</v>
      </c>
      <c r="D30" s="61" t="s">
        <v>312</v>
      </c>
      <c r="E30" s="182">
        <v>7940000</v>
      </c>
      <c r="F30" s="62">
        <v>0.09</v>
      </c>
      <c r="G30" s="37">
        <f t="shared" si="9"/>
        <v>7284403.67</v>
      </c>
      <c r="H30" s="37">
        <f t="shared" si="10"/>
        <v>655596.33</v>
      </c>
      <c r="I30" s="183">
        <v>43619</v>
      </c>
      <c r="J30" s="61"/>
      <c r="K30" s="61"/>
      <c r="L30" s="63" t="s">
        <v>338</v>
      </c>
      <c r="M30" s="184">
        <v>43619</v>
      </c>
      <c r="N30" s="61" t="s">
        <v>312</v>
      </c>
      <c r="O30" s="37">
        <v>7284403.67</v>
      </c>
      <c r="P30" s="63" t="s">
        <v>338</v>
      </c>
      <c r="Q30" s="184">
        <v>43619</v>
      </c>
      <c r="R30" s="61" t="s">
        <v>312</v>
      </c>
      <c r="S30" s="61"/>
      <c r="T30" s="61"/>
      <c r="U30" s="61"/>
      <c r="V30" s="37">
        <v>7940000</v>
      </c>
      <c r="W30" s="37">
        <f t="shared" si="11"/>
        <v>7284403.67</v>
      </c>
      <c r="X30" s="37">
        <f t="shared" si="12"/>
        <v>655596.33</v>
      </c>
      <c r="Y30" s="66">
        <v>0.09</v>
      </c>
      <c r="Z30" s="115"/>
      <c r="AA30" s="120"/>
      <c r="AB30" s="126"/>
      <c r="AC30" s="69"/>
      <c r="AD30" s="69"/>
      <c r="AE30" s="127"/>
      <c r="AF30" s="120"/>
      <c r="AG30" s="127"/>
      <c r="AH30" s="135"/>
      <c r="AI30" s="135"/>
      <c r="AJ30" s="135"/>
    </row>
    <row r="31" s="5" customFormat="1" customHeight="1" spans="1:36">
      <c r="A31" s="17" t="s">
        <v>338</v>
      </c>
      <c r="B31" s="61"/>
      <c r="C31" s="182">
        <v>2790560</v>
      </c>
      <c r="D31" s="61" t="s">
        <v>312</v>
      </c>
      <c r="E31" s="182">
        <v>2790560</v>
      </c>
      <c r="F31" s="62">
        <v>0.09</v>
      </c>
      <c r="G31" s="37">
        <f t="shared" si="9"/>
        <v>2560146.79</v>
      </c>
      <c r="H31" s="37">
        <f t="shared" si="10"/>
        <v>230413.21</v>
      </c>
      <c r="I31" s="183">
        <v>43647</v>
      </c>
      <c r="J31" s="61"/>
      <c r="K31" s="61"/>
      <c r="L31" s="63" t="s">
        <v>338</v>
      </c>
      <c r="M31" s="184">
        <v>43647</v>
      </c>
      <c r="N31" s="61" t="s">
        <v>312</v>
      </c>
      <c r="O31" s="37">
        <v>2560146.79</v>
      </c>
      <c r="P31" s="63" t="s">
        <v>338</v>
      </c>
      <c r="Q31" s="184">
        <v>43647</v>
      </c>
      <c r="R31" s="61" t="s">
        <v>312</v>
      </c>
      <c r="S31" s="61"/>
      <c r="T31" s="61"/>
      <c r="U31" s="61"/>
      <c r="V31" s="37">
        <v>2790560</v>
      </c>
      <c r="W31" s="37">
        <f t="shared" si="11"/>
        <v>2560146.79</v>
      </c>
      <c r="X31" s="37">
        <f t="shared" si="12"/>
        <v>230413.21</v>
      </c>
      <c r="Y31" s="66">
        <v>0.09</v>
      </c>
      <c r="Z31" s="115"/>
      <c r="AA31" s="120"/>
      <c r="AB31" s="126"/>
      <c r="AC31" s="69"/>
      <c r="AD31" s="69"/>
      <c r="AE31" s="127"/>
      <c r="AF31" s="120"/>
      <c r="AG31" s="127"/>
      <c r="AH31" s="135"/>
      <c r="AI31" s="135"/>
      <c r="AJ31" s="135"/>
    </row>
    <row r="32" s="5" customFormat="1" customHeight="1" spans="1:36">
      <c r="A32" s="17" t="s">
        <v>338</v>
      </c>
      <c r="B32" s="61"/>
      <c r="C32" s="182">
        <v>9720000</v>
      </c>
      <c r="D32" s="61" t="s">
        <v>312</v>
      </c>
      <c r="E32" s="182">
        <v>9720000</v>
      </c>
      <c r="F32" s="62">
        <v>0.09</v>
      </c>
      <c r="G32" s="37">
        <f t="shared" si="9"/>
        <v>8917431.19</v>
      </c>
      <c r="H32" s="37">
        <f t="shared" si="10"/>
        <v>802568.810000001</v>
      </c>
      <c r="I32" s="183">
        <v>43738</v>
      </c>
      <c r="J32" s="61"/>
      <c r="K32" s="61"/>
      <c r="L32" s="63" t="s">
        <v>338</v>
      </c>
      <c r="M32" s="184">
        <v>43738</v>
      </c>
      <c r="N32" s="61" t="s">
        <v>312</v>
      </c>
      <c r="O32" s="37">
        <v>8917431.19</v>
      </c>
      <c r="P32" s="63" t="s">
        <v>338</v>
      </c>
      <c r="Q32" s="184">
        <v>43738</v>
      </c>
      <c r="R32" s="61" t="s">
        <v>312</v>
      </c>
      <c r="S32" s="61"/>
      <c r="T32" s="61"/>
      <c r="U32" s="61"/>
      <c r="V32" s="37">
        <v>9720000</v>
      </c>
      <c r="W32" s="37">
        <f t="shared" si="11"/>
        <v>8917431.19</v>
      </c>
      <c r="X32" s="37">
        <f t="shared" si="12"/>
        <v>802568.810000001</v>
      </c>
      <c r="Y32" s="66">
        <v>0.09</v>
      </c>
      <c r="Z32" s="120"/>
      <c r="AA32" s="120"/>
      <c r="AB32" s="126"/>
      <c r="AC32" s="69"/>
      <c r="AD32" s="69"/>
      <c r="AE32" s="127"/>
      <c r="AF32" s="120"/>
      <c r="AG32" s="127"/>
      <c r="AH32" s="135"/>
      <c r="AI32" s="135"/>
      <c r="AJ32" s="135"/>
    </row>
    <row r="33" s="5" customFormat="1" customHeight="1" spans="1:36">
      <c r="A33" s="17" t="s">
        <v>338</v>
      </c>
      <c r="B33" s="61"/>
      <c r="C33" s="182">
        <v>697640</v>
      </c>
      <c r="D33" s="61" t="s">
        <v>312</v>
      </c>
      <c r="E33" s="182">
        <v>697640</v>
      </c>
      <c r="F33" s="62">
        <v>0.09</v>
      </c>
      <c r="G33" s="37">
        <f t="shared" si="9"/>
        <v>640036.7</v>
      </c>
      <c r="H33" s="37">
        <f t="shared" si="10"/>
        <v>57603.3</v>
      </c>
      <c r="I33" s="183">
        <v>43796</v>
      </c>
      <c r="J33" s="61"/>
      <c r="K33" s="61"/>
      <c r="L33" s="63" t="s">
        <v>338</v>
      </c>
      <c r="M33" s="184">
        <v>43796</v>
      </c>
      <c r="N33" s="61" t="s">
        <v>312</v>
      </c>
      <c r="O33" s="37">
        <v>640036.7</v>
      </c>
      <c r="P33" s="63" t="s">
        <v>338</v>
      </c>
      <c r="Q33" s="184">
        <v>43796</v>
      </c>
      <c r="R33" s="61" t="s">
        <v>312</v>
      </c>
      <c r="S33" s="61"/>
      <c r="T33" s="61"/>
      <c r="U33" s="61"/>
      <c r="V33" s="37">
        <v>697640</v>
      </c>
      <c r="W33" s="37">
        <f t="shared" si="11"/>
        <v>640036.7</v>
      </c>
      <c r="X33" s="37">
        <f t="shared" si="12"/>
        <v>57603.3</v>
      </c>
      <c r="Y33" s="66">
        <v>0.09</v>
      </c>
      <c r="Z33" s="120"/>
      <c r="AA33" s="120"/>
      <c r="AB33" s="126"/>
      <c r="AC33" s="69"/>
      <c r="AD33" s="69"/>
      <c r="AE33" s="127"/>
      <c r="AF33" s="120"/>
      <c r="AG33" s="127"/>
      <c r="AH33" s="135"/>
      <c r="AI33" s="135"/>
      <c r="AJ33" s="135"/>
    </row>
    <row r="34" s="5" customFormat="1" customHeight="1" spans="1:36">
      <c r="A34" s="17" t="s">
        <v>338</v>
      </c>
      <c r="B34" s="61"/>
      <c r="C34" s="182">
        <v>3420000</v>
      </c>
      <c r="D34" s="61" t="s">
        <v>312</v>
      </c>
      <c r="E34" s="182">
        <v>3420000</v>
      </c>
      <c r="F34" s="62">
        <v>0.09</v>
      </c>
      <c r="G34" s="37">
        <f t="shared" si="9"/>
        <v>3137614.68</v>
      </c>
      <c r="H34" s="37">
        <f t="shared" si="10"/>
        <v>282385.32</v>
      </c>
      <c r="I34" s="183">
        <v>43921</v>
      </c>
      <c r="J34" s="61"/>
      <c r="K34" s="61"/>
      <c r="L34" s="63" t="s">
        <v>338</v>
      </c>
      <c r="M34" s="184">
        <v>43921</v>
      </c>
      <c r="N34" s="61" t="s">
        <v>312</v>
      </c>
      <c r="O34" s="37">
        <v>3137614.68</v>
      </c>
      <c r="P34" s="63" t="s">
        <v>338</v>
      </c>
      <c r="Q34" s="184">
        <v>43921</v>
      </c>
      <c r="R34" s="61" t="s">
        <v>312</v>
      </c>
      <c r="S34" s="61"/>
      <c r="T34" s="61"/>
      <c r="U34" s="61"/>
      <c r="V34" s="37">
        <v>3420000</v>
      </c>
      <c r="W34" s="37">
        <f t="shared" si="11"/>
        <v>3137614.68</v>
      </c>
      <c r="X34" s="37">
        <f t="shared" si="12"/>
        <v>282385.32</v>
      </c>
      <c r="Y34" s="66">
        <v>0.09</v>
      </c>
      <c r="Z34" s="120"/>
      <c r="AA34" s="120"/>
      <c r="AB34" s="126"/>
      <c r="AC34" s="69"/>
      <c r="AD34" s="69"/>
      <c r="AE34" s="127"/>
      <c r="AF34" s="120"/>
      <c r="AG34" s="127"/>
      <c r="AH34" s="135"/>
      <c r="AI34" s="135"/>
      <c r="AJ34" s="135"/>
    </row>
    <row r="35" s="5" customFormat="1" customHeight="1" spans="1:36">
      <c r="A35" s="17" t="s">
        <v>338</v>
      </c>
      <c r="B35" s="61"/>
      <c r="C35" s="182">
        <v>1300000</v>
      </c>
      <c r="D35" s="61" t="s">
        <v>312</v>
      </c>
      <c r="E35" s="182">
        <v>1300000</v>
      </c>
      <c r="F35" s="62">
        <v>0.09</v>
      </c>
      <c r="G35" s="37">
        <f t="shared" si="9"/>
        <v>1192660.55</v>
      </c>
      <c r="H35" s="37">
        <f t="shared" si="10"/>
        <v>107339.45</v>
      </c>
      <c r="I35" s="183">
        <v>44029</v>
      </c>
      <c r="J35" s="61"/>
      <c r="K35" s="61"/>
      <c r="L35" s="63" t="s">
        <v>338</v>
      </c>
      <c r="M35" s="184">
        <v>44029</v>
      </c>
      <c r="N35" s="61" t="s">
        <v>312</v>
      </c>
      <c r="O35" s="37">
        <v>1192660.55</v>
      </c>
      <c r="P35" s="63" t="s">
        <v>338</v>
      </c>
      <c r="Q35" s="184">
        <v>44029</v>
      </c>
      <c r="R35" s="61" t="s">
        <v>312</v>
      </c>
      <c r="S35" s="61"/>
      <c r="T35" s="61"/>
      <c r="U35" s="61"/>
      <c r="V35" s="37">
        <v>1300000</v>
      </c>
      <c r="W35" s="37">
        <f t="shared" si="11"/>
        <v>1192660.55</v>
      </c>
      <c r="X35" s="37">
        <f t="shared" si="12"/>
        <v>107339.45</v>
      </c>
      <c r="Y35" s="66">
        <v>0.09</v>
      </c>
      <c r="Z35" s="120"/>
      <c r="AA35" s="120"/>
      <c r="AB35" s="126"/>
      <c r="AC35" s="69"/>
      <c r="AD35" s="69"/>
      <c r="AE35" s="127"/>
      <c r="AF35" s="120"/>
      <c r="AG35" s="127"/>
      <c r="AH35" s="135"/>
      <c r="AI35" s="135"/>
      <c r="AJ35" s="135"/>
    </row>
    <row r="36" s="5" customFormat="1" customHeight="1" spans="1:36">
      <c r="A36" s="17" t="s">
        <v>338</v>
      </c>
      <c r="B36" s="61"/>
      <c r="C36" s="182">
        <v>9140000</v>
      </c>
      <c r="D36" s="61" t="s">
        <v>312</v>
      </c>
      <c r="E36" s="182">
        <v>9140000</v>
      </c>
      <c r="F36" s="62">
        <v>0.09</v>
      </c>
      <c r="G36" s="37">
        <f t="shared" si="9"/>
        <v>8385321.1</v>
      </c>
      <c r="H36" s="37">
        <f t="shared" si="10"/>
        <v>754678.9</v>
      </c>
      <c r="I36" s="183">
        <v>44286</v>
      </c>
      <c r="J36" s="61"/>
      <c r="K36" s="61"/>
      <c r="L36" s="63" t="s">
        <v>338</v>
      </c>
      <c r="M36" s="184">
        <v>44196</v>
      </c>
      <c r="N36" s="61" t="s">
        <v>312</v>
      </c>
      <c r="O36" s="37">
        <v>7816677.35</v>
      </c>
      <c r="P36" s="63" t="s">
        <v>338</v>
      </c>
      <c r="Q36" s="184">
        <v>44286</v>
      </c>
      <c r="R36" s="61" t="s">
        <v>312</v>
      </c>
      <c r="S36" s="61"/>
      <c r="T36" s="61"/>
      <c r="U36" s="61"/>
      <c r="V36" s="37">
        <v>9140000</v>
      </c>
      <c r="W36" s="37">
        <f t="shared" si="11"/>
        <v>8385321.1</v>
      </c>
      <c r="X36" s="37">
        <f t="shared" si="12"/>
        <v>754678.9</v>
      </c>
      <c r="Y36" s="66">
        <v>0.09</v>
      </c>
      <c r="Z36" s="120"/>
      <c r="AA36" s="120"/>
      <c r="AB36" s="126"/>
      <c r="AC36" s="69"/>
      <c r="AD36" s="69"/>
      <c r="AE36" s="127"/>
      <c r="AF36" s="120"/>
      <c r="AG36" s="127"/>
      <c r="AH36" s="135"/>
      <c r="AI36" s="135"/>
      <c r="AJ36" s="135"/>
    </row>
    <row r="37" s="5" customFormat="1" customHeight="1" spans="1:36">
      <c r="A37" s="17" t="s">
        <v>338</v>
      </c>
      <c r="B37" s="61"/>
      <c r="C37" s="182">
        <v>6455045.31</v>
      </c>
      <c r="D37" s="61" t="s">
        <v>312</v>
      </c>
      <c r="E37" s="182">
        <v>6455045.31</v>
      </c>
      <c r="F37" s="62">
        <v>0.09</v>
      </c>
      <c r="G37" s="37">
        <f t="shared" si="9"/>
        <v>5922059.92</v>
      </c>
      <c r="H37" s="37">
        <f t="shared" si="10"/>
        <v>532985.39</v>
      </c>
      <c r="I37" s="183">
        <v>44552</v>
      </c>
      <c r="J37" s="61"/>
      <c r="K37" s="61"/>
      <c r="L37" s="63" t="s">
        <v>338</v>
      </c>
      <c r="M37" s="184">
        <v>44196</v>
      </c>
      <c r="N37" s="61" t="s">
        <v>312</v>
      </c>
      <c r="O37" s="37">
        <v>-4330275.23</v>
      </c>
      <c r="P37" s="63" t="s">
        <v>338</v>
      </c>
      <c r="Q37" s="184">
        <v>44552</v>
      </c>
      <c r="R37" s="61" t="s">
        <v>312</v>
      </c>
      <c r="S37" s="61"/>
      <c r="T37" s="61"/>
      <c r="U37" s="61"/>
      <c r="V37" s="37">
        <v>6455045.31</v>
      </c>
      <c r="W37" s="37">
        <f t="shared" si="11"/>
        <v>5922059.92</v>
      </c>
      <c r="X37" s="37">
        <f t="shared" si="12"/>
        <v>532985.39</v>
      </c>
      <c r="Y37" s="66">
        <v>0.09</v>
      </c>
      <c r="Z37" s="120"/>
      <c r="AA37" s="120"/>
      <c r="AB37" s="126"/>
      <c r="AC37" s="69"/>
      <c r="AD37" s="69"/>
      <c r="AE37" s="127"/>
      <c r="AF37" s="120"/>
      <c r="AG37" s="127"/>
      <c r="AH37" s="135"/>
      <c r="AI37" s="135"/>
      <c r="AJ37" s="135"/>
    </row>
    <row r="38" s="5" customFormat="1" customHeight="1" spans="1:36">
      <c r="A38" s="17" t="s">
        <v>338</v>
      </c>
      <c r="B38" s="61"/>
      <c r="C38" s="182">
        <v>109716.31</v>
      </c>
      <c r="D38" s="61" t="s">
        <v>311</v>
      </c>
      <c r="E38" s="182">
        <v>109716.31</v>
      </c>
      <c r="F38" s="62">
        <v>0.06</v>
      </c>
      <c r="G38" s="37">
        <f t="shared" si="9"/>
        <v>103505.95</v>
      </c>
      <c r="H38" s="37">
        <f t="shared" si="10"/>
        <v>6210.36</v>
      </c>
      <c r="I38" s="183">
        <v>44561</v>
      </c>
      <c r="J38" s="61"/>
      <c r="K38" s="61"/>
      <c r="L38" s="63" t="s">
        <v>338</v>
      </c>
      <c r="M38" s="184">
        <v>44286</v>
      </c>
      <c r="N38" s="61" t="s">
        <v>312</v>
      </c>
      <c r="O38" s="37">
        <v>8385321.1</v>
      </c>
      <c r="P38" s="63" t="s">
        <v>338</v>
      </c>
      <c r="Q38" s="184">
        <v>44561</v>
      </c>
      <c r="R38" s="61" t="s">
        <v>311</v>
      </c>
      <c r="S38" s="61"/>
      <c r="T38" s="61"/>
      <c r="U38" s="61"/>
      <c r="V38" s="37">
        <v>109716.31</v>
      </c>
      <c r="W38" s="37">
        <f t="shared" si="11"/>
        <v>103505.95</v>
      </c>
      <c r="X38" s="37">
        <f t="shared" si="12"/>
        <v>6210.36</v>
      </c>
      <c r="Y38" s="62">
        <v>0.06</v>
      </c>
      <c r="Z38" s="120"/>
      <c r="AA38" s="120"/>
      <c r="AB38" s="126"/>
      <c r="AC38" s="69"/>
      <c r="AD38" s="69"/>
      <c r="AE38" s="127"/>
      <c r="AF38" s="120"/>
      <c r="AG38" s="127"/>
      <c r="AH38" s="135"/>
      <c r="AI38" s="135"/>
      <c r="AJ38" s="135"/>
    </row>
    <row r="39" s="5" customFormat="1" customHeight="1" spans="1:36">
      <c r="A39" s="17" t="s">
        <v>338</v>
      </c>
      <c r="B39" s="61"/>
      <c r="C39" s="185">
        <v>549054.08</v>
      </c>
      <c r="D39" s="61" t="s">
        <v>311</v>
      </c>
      <c r="E39" s="185">
        <v>549054.08</v>
      </c>
      <c r="F39" s="62">
        <v>0.06</v>
      </c>
      <c r="G39" s="37">
        <f t="shared" si="9"/>
        <v>517975.55</v>
      </c>
      <c r="H39" s="37">
        <f t="shared" si="10"/>
        <v>31078.53</v>
      </c>
      <c r="I39" s="183">
        <v>44798</v>
      </c>
      <c r="J39" s="61"/>
      <c r="K39" s="61"/>
      <c r="L39" s="63" t="s">
        <v>338</v>
      </c>
      <c r="M39" s="184">
        <v>44561</v>
      </c>
      <c r="N39" s="61" t="s">
        <v>312</v>
      </c>
      <c r="O39" s="37">
        <v>5922059.92</v>
      </c>
      <c r="P39" s="63" t="s">
        <v>338</v>
      </c>
      <c r="Q39" s="184">
        <v>44725</v>
      </c>
      <c r="R39" s="61" t="s">
        <v>312</v>
      </c>
      <c r="S39" s="61"/>
      <c r="T39" s="61"/>
      <c r="U39" s="61"/>
      <c r="V39" s="37">
        <v>10142758.59</v>
      </c>
      <c r="W39" s="37">
        <f t="shared" si="11"/>
        <v>9305283.11</v>
      </c>
      <c r="X39" s="37">
        <f t="shared" si="12"/>
        <v>837475.48</v>
      </c>
      <c r="Y39" s="66">
        <v>0.09</v>
      </c>
      <c r="Z39" s="120"/>
      <c r="AA39" s="120"/>
      <c r="AB39" s="126"/>
      <c r="AC39" s="69"/>
      <c r="AD39" s="69"/>
      <c r="AE39" s="127"/>
      <c r="AF39" s="120"/>
      <c r="AG39" s="127"/>
      <c r="AH39" s="135"/>
      <c r="AI39" s="135"/>
      <c r="AJ39" s="135"/>
    </row>
    <row r="40" s="5" customFormat="1" customHeight="1" spans="1:36">
      <c r="A40" s="17" t="s">
        <v>338</v>
      </c>
      <c r="B40" s="61"/>
      <c r="C40" s="186">
        <v>10142758.59</v>
      </c>
      <c r="D40" s="61" t="s">
        <v>312</v>
      </c>
      <c r="E40" s="37">
        <v>10142758.59</v>
      </c>
      <c r="F40" s="62">
        <v>0.09</v>
      </c>
      <c r="G40" s="37">
        <f t="shared" si="9"/>
        <v>9305283.11</v>
      </c>
      <c r="H40" s="37">
        <f t="shared" si="10"/>
        <v>837475.48</v>
      </c>
      <c r="I40" s="122">
        <v>45190</v>
      </c>
      <c r="J40" s="61"/>
      <c r="K40" s="61"/>
      <c r="L40" s="63" t="s">
        <v>338</v>
      </c>
      <c r="M40" s="184">
        <v>44561</v>
      </c>
      <c r="N40" s="61" t="s">
        <v>312</v>
      </c>
      <c r="O40" s="37">
        <v>-2709143.75</v>
      </c>
      <c r="P40" s="63" t="s">
        <v>338</v>
      </c>
      <c r="Q40" s="184">
        <v>44798</v>
      </c>
      <c r="R40" s="61" t="s">
        <v>311</v>
      </c>
      <c r="S40" s="61"/>
      <c r="T40" s="61"/>
      <c r="U40" s="61"/>
      <c r="V40" s="37">
        <v>549054.08</v>
      </c>
      <c r="W40" s="37">
        <f t="shared" si="11"/>
        <v>517975.55</v>
      </c>
      <c r="X40" s="37">
        <f t="shared" si="12"/>
        <v>31078.53</v>
      </c>
      <c r="Y40" s="62">
        <v>0.06</v>
      </c>
      <c r="Z40" s="120"/>
      <c r="AA40" s="120"/>
      <c r="AB40" s="126"/>
      <c r="AC40" s="69"/>
      <c r="AD40" s="69"/>
      <c r="AE40" s="127"/>
      <c r="AF40" s="120"/>
      <c r="AG40" s="127"/>
      <c r="AH40" s="135"/>
      <c r="AI40" s="135"/>
      <c r="AJ40" s="135"/>
    </row>
    <row r="41" s="5" customFormat="1" customHeight="1" spans="1:36">
      <c r="A41" s="61"/>
      <c r="B41" s="61"/>
      <c r="C41" s="182"/>
      <c r="D41" s="61"/>
      <c r="E41" s="37"/>
      <c r="F41" s="62"/>
      <c r="G41" s="37"/>
      <c r="H41" s="37"/>
      <c r="I41" s="61"/>
      <c r="J41" s="61"/>
      <c r="K41" s="61"/>
      <c r="L41" s="63" t="s">
        <v>338</v>
      </c>
      <c r="M41" s="184">
        <v>44561</v>
      </c>
      <c r="N41" s="61" t="s">
        <v>311</v>
      </c>
      <c r="O41" s="37">
        <v>103505.95</v>
      </c>
      <c r="P41" s="61"/>
      <c r="Q41" s="61"/>
      <c r="R41" s="61"/>
      <c r="S41" s="61"/>
      <c r="T41" s="61"/>
      <c r="U41" s="61"/>
      <c r="V41" s="37"/>
      <c r="W41" s="37"/>
      <c r="X41" s="37"/>
      <c r="Y41" s="61"/>
      <c r="Z41" s="120"/>
      <c r="AA41" s="120"/>
      <c r="AB41" s="126"/>
      <c r="AC41" s="69"/>
      <c r="AD41" s="69"/>
      <c r="AE41" s="127"/>
      <c r="AF41" s="120"/>
      <c r="AG41" s="127"/>
      <c r="AH41" s="135"/>
      <c r="AI41" s="135"/>
      <c r="AJ41" s="135"/>
    </row>
    <row r="42" s="5" customFormat="1" customHeight="1" spans="1:36">
      <c r="A42" s="61"/>
      <c r="B42" s="61"/>
      <c r="C42" s="182"/>
      <c r="D42" s="61"/>
      <c r="E42" s="37"/>
      <c r="F42" s="62"/>
      <c r="G42" s="37"/>
      <c r="H42" s="37"/>
      <c r="I42" s="61"/>
      <c r="J42" s="61"/>
      <c r="K42" s="61"/>
      <c r="L42" s="63" t="s">
        <v>338</v>
      </c>
      <c r="M42" s="184">
        <v>44798</v>
      </c>
      <c r="N42" s="61" t="s">
        <v>311</v>
      </c>
      <c r="O42" s="37">
        <v>517975.55</v>
      </c>
      <c r="P42" s="61"/>
      <c r="Q42" s="61"/>
      <c r="R42" s="61"/>
      <c r="S42" s="61"/>
      <c r="T42" s="61"/>
      <c r="U42" s="61"/>
      <c r="V42" s="37"/>
      <c r="W42" s="37"/>
      <c r="X42" s="37"/>
      <c r="Y42" s="61"/>
      <c r="Z42" s="120"/>
      <c r="AA42" s="120"/>
      <c r="AB42" s="128"/>
      <c r="AC42" s="128"/>
      <c r="AD42" s="128"/>
      <c r="AE42" s="128"/>
      <c r="AF42" s="120"/>
      <c r="AG42" s="128"/>
      <c r="AH42" s="135"/>
      <c r="AI42" s="135"/>
      <c r="AJ42" s="135"/>
    </row>
    <row r="43" s="5" customFormat="1" customHeight="1" spans="1:36">
      <c r="A43" s="61"/>
      <c r="B43" s="61"/>
      <c r="C43" s="185"/>
      <c r="D43" s="61"/>
      <c r="E43" s="37"/>
      <c r="F43" s="62"/>
      <c r="G43" s="37"/>
      <c r="H43" s="37"/>
      <c r="I43" s="61"/>
      <c r="J43" s="61"/>
      <c r="K43" s="61"/>
      <c r="L43" s="63" t="s">
        <v>338</v>
      </c>
      <c r="M43" s="184">
        <v>44926</v>
      </c>
      <c r="N43" s="61" t="s">
        <v>312</v>
      </c>
      <c r="O43" s="37">
        <v>8528024.74</v>
      </c>
      <c r="P43" s="61"/>
      <c r="Q43" s="61"/>
      <c r="R43" s="61"/>
      <c r="S43" s="61"/>
      <c r="T43" s="61"/>
      <c r="U43" s="61"/>
      <c r="V43" s="37"/>
      <c r="W43" s="37"/>
      <c r="X43" s="37"/>
      <c r="Y43" s="61"/>
      <c r="Z43" s="120"/>
      <c r="AA43" s="120"/>
      <c r="AB43" s="128"/>
      <c r="AC43" s="128"/>
      <c r="AD43" s="128"/>
      <c r="AE43" s="128"/>
      <c r="AF43" s="120"/>
      <c r="AG43" s="128"/>
      <c r="AH43" s="135"/>
      <c r="AI43" s="135"/>
      <c r="AJ43" s="135"/>
    </row>
    <row r="44" s="5" customFormat="1" customHeight="1" spans="1:36">
      <c r="A44" s="61"/>
      <c r="B44" s="61"/>
      <c r="C44" s="185"/>
      <c r="D44" s="61"/>
      <c r="E44" s="37"/>
      <c r="F44" s="62"/>
      <c r="G44" s="37"/>
      <c r="H44" s="37"/>
      <c r="I44" s="61"/>
      <c r="J44" s="61"/>
      <c r="K44" s="61"/>
      <c r="L44" s="61"/>
      <c r="M44" s="61"/>
      <c r="N44" s="61"/>
      <c r="O44" s="37"/>
      <c r="P44" s="61"/>
      <c r="Q44" s="61"/>
      <c r="R44" s="61"/>
      <c r="S44" s="61"/>
      <c r="T44" s="61"/>
      <c r="U44" s="61"/>
      <c r="V44" s="37"/>
      <c r="W44" s="37"/>
      <c r="X44" s="37"/>
      <c r="Y44" s="61"/>
      <c r="Z44" s="120"/>
      <c r="AA44" s="120"/>
      <c r="AB44" s="128"/>
      <c r="AC44" s="128"/>
      <c r="AD44" s="128"/>
      <c r="AE44" s="128"/>
      <c r="AF44" s="120"/>
      <c r="AG44" s="128"/>
      <c r="AH44" s="135"/>
      <c r="AI44" s="135"/>
      <c r="AJ44" s="135"/>
    </row>
    <row r="45" s="5" customFormat="1" customHeight="1" spans="1:36">
      <c r="A45" s="61"/>
      <c r="B45" s="61"/>
      <c r="D45" s="61"/>
      <c r="E45" s="37"/>
      <c r="F45" s="62"/>
      <c r="G45" s="37"/>
      <c r="H45" s="37"/>
      <c r="I45" s="61"/>
      <c r="J45" s="61"/>
      <c r="K45" s="61"/>
      <c r="L45" s="61"/>
      <c r="M45" s="61"/>
      <c r="N45" s="61"/>
      <c r="O45" s="37"/>
      <c r="P45" s="61"/>
      <c r="Q45" s="61"/>
      <c r="R45" s="61"/>
      <c r="S45" s="61"/>
      <c r="T45" s="61"/>
      <c r="U45" s="61"/>
      <c r="V45" s="37"/>
      <c r="W45" s="37"/>
      <c r="X45" s="37"/>
      <c r="Y45" s="61"/>
      <c r="Z45" s="120"/>
      <c r="AA45" s="120"/>
      <c r="AB45" s="128"/>
      <c r="AC45" s="128"/>
      <c r="AD45" s="128"/>
      <c r="AE45" s="128"/>
      <c r="AF45" s="120"/>
      <c r="AG45" s="128"/>
      <c r="AH45" s="135"/>
      <c r="AI45" s="135"/>
      <c r="AJ45" s="135"/>
    </row>
    <row r="46" s="5" customFormat="1" customHeight="1" spans="1:36">
      <c r="A46" s="73"/>
      <c r="B46" s="73"/>
      <c r="C46" s="74"/>
      <c r="D46" s="73"/>
      <c r="E46" s="74"/>
      <c r="F46" s="73"/>
      <c r="G46" s="74"/>
      <c r="H46" s="74"/>
      <c r="I46" s="73"/>
      <c r="J46" s="73"/>
      <c r="K46" s="73"/>
      <c r="L46" s="73"/>
      <c r="M46" s="73"/>
      <c r="N46" s="73"/>
      <c r="O46" s="74"/>
      <c r="P46" s="73"/>
      <c r="Q46" s="73"/>
      <c r="R46" s="73"/>
      <c r="S46" s="73"/>
      <c r="T46" s="73"/>
      <c r="U46" s="73"/>
      <c r="V46" s="74"/>
      <c r="W46" s="74"/>
      <c r="X46" s="74"/>
      <c r="Y46" s="73"/>
      <c r="Z46" s="129"/>
      <c r="AA46" s="129"/>
      <c r="AB46" s="131"/>
      <c r="AC46" s="131"/>
      <c r="AD46" s="131"/>
      <c r="AE46" s="131"/>
      <c r="AF46" s="131"/>
      <c r="AG46" s="131"/>
      <c r="AH46" s="135"/>
      <c r="AI46" s="135"/>
      <c r="AJ46" s="135"/>
    </row>
    <row r="48" s="3" customFormat="1" customHeight="1" spans="1:36">
      <c r="A48" s="44" t="s">
        <v>373</v>
      </c>
      <c r="C48" s="3">
        <f t="shared" ref="C48:H48" si="13">SUM(C51:C75)</f>
        <v>115153798.09</v>
      </c>
      <c r="E48" s="3">
        <f t="shared" si="13"/>
        <v>115153798.09</v>
      </c>
      <c r="G48" s="3">
        <f t="shared" si="13"/>
        <v>104894159.15</v>
      </c>
      <c r="H48" s="3">
        <f t="shared" si="13"/>
        <v>10259638.94</v>
      </c>
      <c r="J48" s="3">
        <f>SUM(J51:J75)</f>
        <v>0</v>
      </c>
      <c r="K48" s="3">
        <f>SUM(K51:K75)</f>
        <v>0</v>
      </c>
      <c r="R48" s="3">
        <f t="shared" ref="R48:T48" si="14">SUM(R51:R75)</f>
        <v>115153798.09</v>
      </c>
      <c r="S48" s="3">
        <f t="shared" si="14"/>
        <v>104894159.16</v>
      </c>
      <c r="T48" s="3">
        <f t="shared" si="14"/>
        <v>10259638.93</v>
      </c>
      <c r="Z48" s="118"/>
      <c r="AA48" s="118">
        <f>SUM(AA51:AA75)</f>
        <v>115153798.09</v>
      </c>
      <c r="AB48" s="118"/>
      <c r="AC48" s="118"/>
      <c r="AD48" s="118"/>
      <c r="AE48" s="118"/>
      <c r="AF48" s="118"/>
      <c r="AG48" s="118"/>
      <c r="AH48" s="118"/>
      <c r="AI48" s="118"/>
      <c r="AJ48" s="118"/>
    </row>
    <row r="49" s="4" customFormat="1" customHeight="1" spans="1:36">
      <c r="A49" s="45" t="s">
        <v>374</v>
      </c>
      <c r="B49" s="45"/>
      <c r="C49" s="45"/>
      <c r="D49" s="45"/>
      <c r="E49" s="45"/>
      <c r="F49" s="45"/>
      <c r="G49" s="45"/>
      <c r="H49" s="45"/>
      <c r="I49" s="45"/>
      <c r="J49" s="45"/>
      <c r="K49" s="45"/>
      <c r="L49" s="49" t="s">
        <v>375</v>
      </c>
      <c r="M49" s="50"/>
      <c r="N49" s="50"/>
      <c r="O49" s="50"/>
      <c r="P49" s="50"/>
      <c r="Q49" s="50"/>
      <c r="R49" s="50"/>
      <c r="S49" s="50"/>
      <c r="T49" s="50"/>
      <c r="U49" s="51"/>
      <c r="V49" s="52" t="s">
        <v>376</v>
      </c>
      <c r="W49" s="53"/>
      <c r="X49" s="53"/>
      <c r="Y49" s="53"/>
      <c r="Z49" s="53"/>
      <c r="AA49" s="53"/>
      <c r="AB49" s="53"/>
      <c r="AC49" s="54"/>
      <c r="AD49" s="132"/>
      <c r="AE49" s="132"/>
      <c r="AF49" s="132"/>
      <c r="AG49" s="132"/>
      <c r="AH49" s="132"/>
      <c r="AI49" s="132"/>
      <c r="AJ49" s="132"/>
    </row>
    <row r="50" s="4" customFormat="1" customHeight="1" spans="1:36">
      <c r="A50" s="55" t="s">
        <v>291</v>
      </c>
      <c r="B50" s="55" t="s">
        <v>345</v>
      </c>
      <c r="C50" s="55" t="s">
        <v>346</v>
      </c>
      <c r="D50" s="55" t="s">
        <v>347</v>
      </c>
      <c r="E50" s="55" t="s">
        <v>377</v>
      </c>
      <c r="F50" s="55" t="s">
        <v>349</v>
      </c>
      <c r="G50" s="55" t="s">
        <v>350</v>
      </c>
      <c r="H50" s="55" t="s">
        <v>351</v>
      </c>
      <c r="I50" s="55" t="s">
        <v>352</v>
      </c>
      <c r="J50" s="55" t="s">
        <v>353</v>
      </c>
      <c r="K50" s="55" t="s">
        <v>354</v>
      </c>
      <c r="L50" s="57" t="s">
        <v>291</v>
      </c>
      <c r="M50" s="57" t="s">
        <v>355</v>
      </c>
      <c r="N50" s="58" t="s">
        <v>358</v>
      </c>
      <c r="O50" s="57" t="s">
        <v>359</v>
      </c>
      <c r="P50" s="57" t="s">
        <v>360</v>
      </c>
      <c r="Q50" s="57" t="s">
        <v>361</v>
      </c>
      <c r="R50" s="57" t="s">
        <v>362</v>
      </c>
      <c r="S50" s="57" t="s">
        <v>363</v>
      </c>
      <c r="T50" s="57" t="s">
        <v>364</v>
      </c>
      <c r="U50" s="59" t="s">
        <v>349</v>
      </c>
      <c r="V50" s="60" t="s">
        <v>291</v>
      </c>
      <c r="W50" s="60" t="s">
        <v>365</v>
      </c>
      <c r="X50" s="60" t="s">
        <v>378</v>
      </c>
      <c r="Y50" s="60" t="s">
        <v>379</v>
      </c>
      <c r="Z50" s="60" t="s">
        <v>380</v>
      </c>
      <c r="AA50" s="60" t="s">
        <v>381</v>
      </c>
      <c r="AB50" s="60" t="s">
        <v>382</v>
      </c>
      <c r="AC50" s="60" t="s">
        <v>383</v>
      </c>
      <c r="AD50" s="132"/>
      <c r="AE50" s="132"/>
      <c r="AF50" s="132"/>
      <c r="AG50" s="132"/>
      <c r="AH50" s="132"/>
      <c r="AI50" s="132"/>
      <c r="AJ50" s="132"/>
    </row>
    <row r="51" s="5" customFormat="1" customHeight="1" spans="1:36">
      <c r="A51" s="182" t="s">
        <v>326</v>
      </c>
      <c r="B51" s="61"/>
      <c r="C51" s="37">
        <v>1500000</v>
      </c>
      <c r="D51" s="61" t="s">
        <v>312</v>
      </c>
      <c r="E51" s="187">
        <v>1500000</v>
      </c>
      <c r="F51" s="62">
        <v>0.11</v>
      </c>
      <c r="G51" s="37">
        <f>ROUND(E51/(1+F51),2)</f>
        <v>1351351.35</v>
      </c>
      <c r="H51" s="37">
        <f>C51-G51</f>
        <v>148648.65</v>
      </c>
      <c r="I51" s="184">
        <v>43118</v>
      </c>
      <c r="J51" s="61"/>
      <c r="K51" s="61"/>
      <c r="L51" s="188" t="s">
        <v>326</v>
      </c>
      <c r="M51" s="184">
        <v>43118</v>
      </c>
      <c r="N51" s="61" t="s">
        <v>312</v>
      </c>
      <c r="O51" s="68"/>
      <c r="P51" s="61"/>
      <c r="Q51" s="61"/>
      <c r="R51" s="37">
        <v>1500000</v>
      </c>
      <c r="S51" s="37">
        <f>ROUND(R51/(1+U51),2)</f>
        <v>1351351.35</v>
      </c>
      <c r="T51" s="37">
        <f>R51-S51</f>
        <v>148648.65</v>
      </c>
      <c r="U51" s="62">
        <v>0.11</v>
      </c>
      <c r="V51" s="189" t="s">
        <v>326</v>
      </c>
      <c r="W51" s="162">
        <v>44818</v>
      </c>
      <c r="X51" s="68"/>
      <c r="Y51" s="69"/>
      <c r="Z51" s="120"/>
      <c r="AA51" s="37">
        <v>113403798.09</v>
      </c>
      <c r="AB51" s="134" t="s">
        <v>312</v>
      </c>
      <c r="AC51" s="120"/>
      <c r="AD51" s="135"/>
      <c r="AE51" s="135"/>
      <c r="AF51" s="135"/>
      <c r="AG51" s="135"/>
      <c r="AH51" s="135"/>
      <c r="AI51" s="135"/>
      <c r="AJ51" s="135"/>
    </row>
    <row r="52" s="5" customFormat="1" customHeight="1" spans="1:36">
      <c r="A52" s="185" t="s">
        <v>329</v>
      </c>
      <c r="B52" s="61"/>
      <c r="C52" s="78">
        <v>950000</v>
      </c>
      <c r="D52" s="61" t="s">
        <v>311</v>
      </c>
      <c r="E52" s="190">
        <v>950000</v>
      </c>
      <c r="F52" s="62">
        <v>0.06</v>
      </c>
      <c r="G52" s="37">
        <f t="shared" ref="G52:G73" si="15">ROUND(E52/(1+F52),2)</f>
        <v>896226.42</v>
      </c>
      <c r="H52" s="37">
        <f t="shared" ref="H52:H73" si="16">C52-G52</f>
        <v>53773.58</v>
      </c>
      <c r="I52" s="184">
        <v>43179</v>
      </c>
      <c r="J52" s="61"/>
      <c r="K52" s="61"/>
      <c r="L52" s="188" t="s">
        <v>329</v>
      </c>
      <c r="M52" s="184">
        <v>43179</v>
      </c>
      <c r="N52" s="61" t="s">
        <v>311</v>
      </c>
      <c r="O52" s="83"/>
      <c r="P52" s="61"/>
      <c r="Q52" s="61"/>
      <c r="R52" s="37">
        <v>950000</v>
      </c>
      <c r="S52" s="37">
        <f t="shared" ref="S52:S73" si="17">ROUND(R52/(1+U52),2)</f>
        <v>896226.42</v>
      </c>
      <c r="T52" s="37">
        <f t="shared" ref="T52:T73" si="18">R52-S52</f>
        <v>53773.58</v>
      </c>
      <c r="U52" s="62">
        <v>0.06</v>
      </c>
      <c r="V52" s="17" t="s">
        <v>329</v>
      </c>
      <c r="W52" s="162">
        <v>44818</v>
      </c>
      <c r="X52" s="68"/>
      <c r="Y52" s="69"/>
      <c r="Z52" s="120"/>
      <c r="AA52" s="37">
        <v>1550000</v>
      </c>
      <c r="AB52" s="134" t="s">
        <v>311</v>
      </c>
      <c r="AC52" s="120"/>
      <c r="AD52" s="135"/>
      <c r="AE52" s="135"/>
      <c r="AF52" s="135"/>
      <c r="AG52" s="135"/>
      <c r="AH52" s="135"/>
      <c r="AI52" s="135"/>
      <c r="AJ52" s="135"/>
    </row>
    <row r="53" s="5" customFormat="1" customHeight="1" spans="1:36">
      <c r="A53" s="185" t="s">
        <v>326</v>
      </c>
      <c r="B53" s="61"/>
      <c r="C53" s="78">
        <v>10812750</v>
      </c>
      <c r="D53" s="61" t="s">
        <v>312</v>
      </c>
      <c r="E53" s="190">
        <v>10812750</v>
      </c>
      <c r="F53" s="62">
        <v>0.11</v>
      </c>
      <c r="G53" s="37">
        <f t="shared" si="15"/>
        <v>9741216.22</v>
      </c>
      <c r="H53" s="37">
        <f t="shared" si="16"/>
        <v>1071533.78</v>
      </c>
      <c r="I53" s="184">
        <v>43179</v>
      </c>
      <c r="J53" s="61"/>
      <c r="K53" s="61"/>
      <c r="L53" s="188" t="s">
        <v>326</v>
      </c>
      <c r="M53" s="184">
        <v>43179</v>
      </c>
      <c r="N53" s="61" t="s">
        <v>312</v>
      </c>
      <c r="O53" s="83"/>
      <c r="P53" s="61"/>
      <c r="Q53" s="61"/>
      <c r="R53" s="37">
        <v>10812750</v>
      </c>
      <c r="S53" s="37">
        <f t="shared" si="17"/>
        <v>9741216.22</v>
      </c>
      <c r="T53" s="37">
        <f t="shared" si="18"/>
        <v>1071533.78</v>
      </c>
      <c r="U53" s="62">
        <v>0.11</v>
      </c>
      <c r="V53" s="17" t="s">
        <v>331</v>
      </c>
      <c r="W53" s="162">
        <v>44818</v>
      </c>
      <c r="X53" s="68"/>
      <c r="Y53" s="69"/>
      <c r="Z53" s="120"/>
      <c r="AA53" s="37">
        <v>200000</v>
      </c>
      <c r="AB53" s="134" t="s">
        <v>311</v>
      </c>
      <c r="AC53" s="128"/>
      <c r="AD53" s="135"/>
      <c r="AE53" s="135"/>
      <c r="AF53" s="135"/>
      <c r="AG53" s="135"/>
      <c r="AH53" s="135"/>
      <c r="AI53" s="135"/>
      <c r="AJ53" s="135"/>
    </row>
    <row r="54" s="5" customFormat="1" customHeight="1" spans="1:36">
      <c r="A54" s="185" t="s">
        <v>326</v>
      </c>
      <c r="B54" s="61"/>
      <c r="C54" s="78">
        <v>14285700</v>
      </c>
      <c r="D54" s="61" t="s">
        <v>312</v>
      </c>
      <c r="E54" s="190">
        <v>14285700</v>
      </c>
      <c r="F54" s="62">
        <v>0.11</v>
      </c>
      <c r="G54" s="37">
        <f t="shared" si="15"/>
        <v>12870000</v>
      </c>
      <c r="H54" s="37">
        <f t="shared" si="16"/>
        <v>1415700</v>
      </c>
      <c r="I54" s="184">
        <v>43179</v>
      </c>
      <c r="J54" s="61"/>
      <c r="K54" s="61"/>
      <c r="L54" s="188" t="s">
        <v>326</v>
      </c>
      <c r="M54" s="184">
        <v>43179</v>
      </c>
      <c r="N54" s="61" t="s">
        <v>312</v>
      </c>
      <c r="O54" s="84"/>
      <c r="P54" s="61"/>
      <c r="Q54" s="61"/>
      <c r="R54" s="37">
        <v>14285700</v>
      </c>
      <c r="S54" s="37">
        <f t="shared" si="17"/>
        <v>12870000</v>
      </c>
      <c r="T54" s="37">
        <f t="shared" si="18"/>
        <v>1415700</v>
      </c>
      <c r="U54" s="62">
        <v>0.11</v>
      </c>
      <c r="V54" s="37"/>
      <c r="W54" s="37"/>
      <c r="X54" s="68"/>
      <c r="Y54" s="61"/>
      <c r="Z54" s="120"/>
      <c r="AA54" s="65"/>
      <c r="AB54" s="134"/>
      <c r="AC54" s="128"/>
      <c r="AD54" s="135"/>
      <c r="AE54" s="135"/>
      <c r="AF54" s="135"/>
      <c r="AG54" s="135"/>
      <c r="AH54" s="135"/>
      <c r="AI54" s="135"/>
      <c r="AJ54" s="135"/>
    </row>
    <row r="55" s="5" customFormat="1" customHeight="1" spans="1:36">
      <c r="A55" s="185" t="s">
        <v>326</v>
      </c>
      <c r="B55" s="61"/>
      <c r="C55" s="78">
        <v>4954300</v>
      </c>
      <c r="D55" s="61" t="s">
        <v>312</v>
      </c>
      <c r="E55" s="190">
        <v>4954300</v>
      </c>
      <c r="F55" s="62">
        <v>0.11</v>
      </c>
      <c r="G55" s="37">
        <f t="shared" si="15"/>
        <v>4463333.33</v>
      </c>
      <c r="H55" s="37">
        <f t="shared" si="16"/>
        <v>490966.67</v>
      </c>
      <c r="I55" s="184">
        <v>43208</v>
      </c>
      <c r="J55" s="61"/>
      <c r="K55" s="61"/>
      <c r="L55" s="191" t="s">
        <v>326</v>
      </c>
      <c r="M55" s="184">
        <v>43208</v>
      </c>
      <c r="N55" s="61" t="s">
        <v>312</v>
      </c>
      <c r="O55" s="80"/>
      <c r="P55" s="72"/>
      <c r="Q55" s="72"/>
      <c r="R55" s="165">
        <v>4954300</v>
      </c>
      <c r="S55" s="37">
        <f t="shared" si="17"/>
        <v>4463333.33</v>
      </c>
      <c r="T55" s="37">
        <f t="shared" si="18"/>
        <v>490966.67</v>
      </c>
      <c r="U55" s="62">
        <v>0.11</v>
      </c>
      <c r="V55" s="37"/>
      <c r="W55" s="37"/>
      <c r="X55" s="68"/>
      <c r="Y55" s="61"/>
      <c r="Z55" s="120"/>
      <c r="AA55" s="65"/>
      <c r="AB55" s="134"/>
      <c r="AC55" s="128"/>
      <c r="AD55" s="135"/>
      <c r="AE55" s="135"/>
      <c r="AF55" s="135"/>
      <c r="AG55" s="135"/>
      <c r="AH55" s="135"/>
      <c r="AI55" s="135"/>
      <c r="AJ55" s="135"/>
    </row>
    <row r="56" s="5" customFormat="1" customHeight="1" spans="1:36">
      <c r="A56" s="185" t="s">
        <v>326</v>
      </c>
      <c r="B56" s="61"/>
      <c r="C56" s="78">
        <v>13240840</v>
      </c>
      <c r="D56" s="61" t="s">
        <v>312</v>
      </c>
      <c r="E56" s="190">
        <v>13240840</v>
      </c>
      <c r="F56" s="62">
        <v>0.1</v>
      </c>
      <c r="G56" s="37">
        <f t="shared" si="15"/>
        <v>12037127.27</v>
      </c>
      <c r="H56" s="37">
        <f t="shared" si="16"/>
        <v>1203712.73</v>
      </c>
      <c r="I56" s="184">
        <v>43343</v>
      </c>
      <c r="J56" s="61"/>
      <c r="K56" s="61"/>
      <c r="L56" s="188" t="s">
        <v>326</v>
      </c>
      <c r="M56" s="184">
        <v>43343</v>
      </c>
      <c r="N56" s="61" t="s">
        <v>312</v>
      </c>
      <c r="O56" s="68"/>
      <c r="P56" s="61"/>
      <c r="Q56" s="61"/>
      <c r="R56" s="37">
        <v>13240840</v>
      </c>
      <c r="S56" s="37">
        <f t="shared" si="17"/>
        <v>12037127.27</v>
      </c>
      <c r="T56" s="37">
        <f t="shared" si="18"/>
        <v>1203712.73</v>
      </c>
      <c r="U56" s="62">
        <v>0.1</v>
      </c>
      <c r="V56" s="37"/>
      <c r="W56" s="37"/>
      <c r="X56" s="68"/>
      <c r="Y56" s="61"/>
      <c r="Z56" s="120"/>
      <c r="AA56" s="65"/>
      <c r="AB56" s="134"/>
      <c r="AC56" s="128"/>
      <c r="AD56" s="135"/>
      <c r="AE56" s="135"/>
      <c r="AF56" s="135"/>
      <c r="AG56" s="135"/>
      <c r="AH56" s="135"/>
      <c r="AI56" s="135"/>
      <c r="AJ56" s="135"/>
    </row>
    <row r="57" s="5" customFormat="1" customHeight="1" spans="1:36">
      <c r="A57" s="185" t="s">
        <v>326</v>
      </c>
      <c r="B57" s="61"/>
      <c r="C57" s="37">
        <v>7275000</v>
      </c>
      <c r="D57" s="61" t="s">
        <v>312</v>
      </c>
      <c r="E57" s="190">
        <v>7275000</v>
      </c>
      <c r="F57" s="62">
        <v>0.1</v>
      </c>
      <c r="G57" s="37">
        <f t="shared" si="15"/>
        <v>6613636.36</v>
      </c>
      <c r="H57" s="37">
        <f t="shared" si="16"/>
        <v>661363.64</v>
      </c>
      <c r="I57" s="184">
        <v>43432</v>
      </c>
      <c r="J57" s="61"/>
      <c r="K57" s="61"/>
      <c r="L57" s="188" t="s">
        <v>326</v>
      </c>
      <c r="M57" s="184">
        <v>43432</v>
      </c>
      <c r="N57" s="61" t="s">
        <v>312</v>
      </c>
      <c r="O57" s="68"/>
      <c r="P57" s="61"/>
      <c r="Q57" s="61"/>
      <c r="R57" s="37">
        <v>7275000</v>
      </c>
      <c r="S57" s="37">
        <f t="shared" si="17"/>
        <v>6613636.36</v>
      </c>
      <c r="T57" s="37">
        <f t="shared" si="18"/>
        <v>661363.64</v>
      </c>
      <c r="U57" s="62">
        <v>0.1</v>
      </c>
      <c r="V57" s="37"/>
      <c r="W57" s="37"/>
      <c r="X57" s="68"/>
      <c r="Y57" s="61"/>
      <c r="Z57" s="120"/>
      <c r="AA57" s="65"/>
      <c r="AB57" s="134"/>
      <c r="AC57" s="128"/>
      <c r="AD57" s="135"/>
      <c r="AE57" s="135"/>
      <c r="AF57" s="135"/>
      <c r="AG57" s="135"/>
      <c r="AH57" s="135"/>
      <c r="AI57" s="135"/>
      <c r="AJ57" s="135"/>
    </row>
    <row r="58" s="5" customFormat="1" customHeight="1" spans="1:36">
      <c r="A58" s="185" t="s">
        <v>326</v>
      </c>
      <c r="B58" s="61"/>
      <c r="C58" s="78">
        <v>5820000</v>
      </c>
      <c r="D58" s="61" t="s">
        <v>312</v>
      </c>
      <c r="E58" s="190">
        <v>5820000</v>
      </c>
      <c r="F58" s="62">
        <v>0.1</v>
      </c>
      <c r="G58" s="37">
        <f t="shared" si="15"/>
        <v>5290909.09</v>
      </c>
      <c r="H58" s="37">
        <f t="shared" si="16"/>
        <v>529090.91</v>
      </c>
      <c r="I58" s="184">
        <v>43460</v>
      </c>
      <c r="J58" s="61"/>
      <c r="K58" s="61"/>
      <c r="L58" s="188" t="s">
        <v>326</v>
      </c>
      <c r="M58" s="184">
        <v>43460</v>
      </c>
      <c r="N58" s="61" t="s">
        <v>312</v>
      </c>
      <c r="O58" s="61"/>
      <c r="P58" s="61"/>
      <c r="Q58" s="61"/>
      <c r="R58" s="37">
        <v>5820000</v>
      </c>
      <c r="S58" s="37">
        <f t="shared" si="17"/>
        <v>5290909.09</v>
      </c>
      <c r="T58" s="37">
        <f t="shared" si="18"/>
        <v>529090.91</v>
      </c>
      <c r="U58" s="62">
        <v>0.1</v>
      </c>
      <c r="V58" s="37"/>
      <c r="W58" s="37"/>
      <c r="X58" s="68"/>
      <c r="Y58" s="61"/>
      <c r="Z58" s="120"/>
      <c r="AA58" s="65"/>
      <c r="AB58" s="134"/>
      <c r="AC58" s="128"/>
      <c r="AD58" s="135"/>
      <c r="AE58" s="135"/>
      <c r="AF58" s="135"/>
      <c r="AG58" s="135"/>
      <c r="AH58" s="135"/>
      <c r="AI58" s="135"/>
      <c r="AJ58" s="135"/>
    </row>
    <row r="59" s="5" customFormat="1" customHeight="1" spans="1:36">
      <c r="A59" s="185" t="s">
        <v>326</v>
      </c>
      <c r="B59" s="61"/>
      <c r="C59" s="78">
        <v>6000000</v>
      </c>
      <c r="D59" s="61" t="s">
        <v>312</v>
      </c>
      <c r="E59" s="192">
        <v>6000000</v>
      </c>
      <c r="F59" s="62">
        <v>0.1</v>
      </c>
      <c r="G59" s="37">
        <f t="shared" si="15"/>
        <v>5454545.45</v>
      </c>
      <c r="H59" s="37">
        <f t="shared" si="16"/>
        <v>545454.55</v>
      </c>
      <c r="I59" s="184">
        <v>43488</v>
      </c>
      <c r="J59" s="61"/>
      <c r="K59" s="61"/>
      <c r="L59" s="188" t="s">
        <v>326</v>
      </c>
      <c r="M59" s="184">
        <v>43488</v>
      </c>
      <c r="N59" s="61" t="s">
        <v>312</v>
      </c>
      <c r="O59" s="61"/>
      <c r="P59" s="61"/>
      <c r="Q59" s="61"/>
      <c r="R59" s="37">
        <v>6000000</v>
      </c>
      <c r="S59" s="37">
        <f t="shared" si="17"/>
        <v>5454545.45</v>
      </c>
      <c r="T59" s="37">
        <f t="shared" si="18"/>
        <v>545454.55</v>
      </c>
      <c r="U59" s="62">
        <v>0.1</v>
      </c>
      <c r="V59" s="37"/>
      <c r="W59" s="37"/>
      <c r="X59" s="68"/>
      <c r="Y59" s="61"/>
      <c r="Z59" s="120"/>
      <c r="AA59" s="65"/>
      <c r="AB59" s="134"/>
      <c r="AC59" s="128"/>
      <c r="AD59" s="135"/>
      <c r="AE59" s="135"/>
      <c r="AF59" s="135"/>
      <c r="AG59" s="135"/>
      <c r="AH59" s="135"/>
      <c r="AI59" s="135"/>
      <c r="AJ59" s="135"/>
    </row>
    <row r="60" s="5" customFormat="1" customHeight="1" spans="1:36">
      <c r="A60" s="185" t="s">
        <v>326</v>
      </c>
      <c r="B60" s="61"/>
      <c r="C60" s="78">
        <v>33400</v>
      </c>
      <c r="D60" s="61" t="s">
        <v>312</v>
      </c>
      <c r="E60" s="192">
        <v>33400</v>
      </c>
      <c r="F60" s="62">
        <v>0.1</v>
      </c>
      <c r="G60" s="37">
        <f t="shared" si="15"/>
        <v>30363.64</v>
      </c>
      <c r="H60" s="37">
        <f t="shared" si="16"/>
        <v>3036.36</v>
      </c>
      <c r="I60" s="184">
        <v>43522</v>
      </c>
      <c r="J60" s="61"/>
      <c r="K60" s="61"/>
      <c r="L60" s="188" t="s">
        <v>326</v>
      </c>
      <c r="M60" s="184">
        <v>43522</v>
      </c>
      <c r="N60" s="61" t="s">
        <v>312</v>
      </c>
      <c r="O60" s="61"/>
      <c r="P60" s="61"/>
      <c r="Q60" s="61"/>
      <c r="R60" s="37">
        <v>33400</v>
      </c>
      <c r="S60" s="37">
        <f t="shared" si="17"/>
        <v>30363.64</v>
      </c>
      <c r="T60" s="37">
        <f t="shared" si="18"/>
        <v>3036.36</v>
      </c>
      <c r="U60" s="62">
        <v>0.1</v>
      </c>
      <c r="V60" s="37"/>
      <c r="W60" s="37"/>
      <c r="X60" s="68"/>
      <c r="Y60" s="61"/>
      <c r="Z60" s="120"/>
      <c r="AA60" s="65"/>
      <c r="AB60" s="134"/>
      <c r="AC60" s="128"/>
      <c r="AD60" s="135"/>
      <c r="AE60" s="135"/>
      <c r="AF60" s="135"/>
      <c r="AG60" s="135"/>
      <c r="AH60" s="135"/>
      <c r="AI60" s="135"/>
      <c r="AJ60" s="135"/>
    </row>
    <row r="61" s="5" customFormat="1" customHeight="1" spans="1:36">
      <c r="A61" s="185" t="s">
        <v>331</v>
      </c>
      <c r="B61" s="61"/>
      <c r="C61" s="78">
        <v>200000</v>
      </c>
      <c r="D61" s="61" t="s">
        <v>311</v>
      </c>
      <c r="E61" s="192">
        <v>200000</v>
      </c>
      <c r="F61" s="62">
        <v>0.06</v>
      </c>
      <c r="G61" s="37">
        <f t="shared" si="15"/>
        <v>188679.25</v>
      </c>
      <c r="H61" s="37">
        <f t="shared" si="16"/>
        <v>11320.75</v>
      </c>
      <c r="I61" s="184">
        <v>43553</v>
      </c>
      <c r="J61" s="61"/>
      <c r="K61" s="61"/>
      <c r="L61" s="188" t="s">
        <v>331</v>
      </c>
      <c r="M61" s="184">
        <v>43553</v>
      </c>
      <c r="N61" s="61" t="s">
        <v>312</v>
      </c>
      <c r="O61" s="61"/>
      <c r="P61" s="61"/>
      <c r="Q61" s="61"/>
      <c r="R61" s="37">
        <v>200000</v>
      </c>
      <c r="S61" s="37">
        <f t="shared" si="17"/>
        <v>188679.25</v>
      </c>
      <c r="T61" s="37">
        <f t="shared" si="18"/>
        <v>11320.75</v>
      </c>
      <c r="U61" s="62">
        <v>0.06</v>
      </c>
      <c r="V61" s="37"/>
      <c r="W61" s="37"/>
      <c r="X61" s="68"/>
      <c r="Y61" s="61"/>
      <c r="Z61" s="120"/>
      <c r="AA61" s="65"/>
      <c r="AB61" s="134"/>
      <c r="AC61" s="128"/>
      <c r="AD61" s="135"/>
      <c r="AE61" s="135"/>
      <c r="AF61" s="135"/>
      <c r="AG61" s="135"/>
      <c r="AH61" s="135"/>
      <c r="AI61" s="135"/>
      <c r="AJ61" s="135"/>
    </row>
    <row r="62" s="5" customFormat="1" customHeight="1" spans="1:36">
      <c r="A62" s="182" t="s">
        <v>326</v>
      </c>
      <c r="B62" s="61"/>
      <c r="C62" s="78">
        <v>650000</v>
      </c>
      <c r="D62" s="61" t="s">
        <v>312</v>
      </c>
      <c r="E62" s="192">
        <v>650000</v>
      </c>
      <c r="F62" s="62">
        <v>0.1</v>
      </c>
      <c r="G62" s="37">
        <f t="shared" si="15"/>
        <v>590909.09</v>
      </c>
      <c r="H62" s="37">
        <f t="shared" si="16"/>
        <v>59090.91</v>
      </c>
      <c r="I62" s="184">
        <v>43553</v>
      </c>
      <c r="J62" s="61"/>
      <c r="K62" s="61"/>
      <c r="L62" s="188" t="s">
        <v>326</v>
      </c>
      <c r="M62" s="184">
        <v>43553</v>
      </c>
      <c r="N62" s="61" t="s">
        <v>312</v>
      </c>
      <c r="O62" s="61"/>
      <c r="P62" s="61"/>
      <c r="Q62" s="61"/>
      <c r="R62" s="37">
        <v>650000</v>
      </c>
      <c r="S62" s="37">
        <f t="shared" si="17"/>
        <v>590909.09</v>
      </c>
      <c r="T62" s="37">
        <f t="shared" si="18"/>
        <v>59090.91</v>
      </c>
      <c r="U62" s="62">
        <v>0.1</v>
      </c>
      <c r="V62" s="37"/>
      <c r="W62" s="37"/>
      <c r="X62" s="68"/>
      <c r="Y62" s="61"/>
      <c r="Z62" s="120"/>
      <c r="AA62" s="65"/>
      <c r="AB62" s="134"/>
      <c r="AC62" s="128"/>
      <c r="AD62" s="135"/>
      <c r="AE62" s="135"/>
      <c r="AF62" s="135"/>
      <c r="AG62" s="135"/>
      <c r="AH62" s="135"/>
      <c r="AI62" s="135"/>
      <c r="AJ62" s="135"/>
    </row>
    <row r="63" s="5" customFormat="1" customHeight="1" spans="1:36">
      <c r="A63" s="182" t="s">
        <v>326</v>
      </c>
      <c r="B63" s="61"/>
      <c r="C63" s="37">
        <v>7940000</v>
      </c>
      <c r="D63" s="61" t="s">
        <v>312</v>
      </c>
      <c r="E63" s="192">
        <v>7940000</v>
      </c>
      <c r="F63" s="62">
        <v>0.09</v>
      </c>
      <c r="G63" s="37">
        <f t="shared" si="15"/>
        <v>7284403.67</v>
      </c>
      <c r="H63" s="37">
        <f t="shared" si="16"/>
        <v>655596.33</v>
      </c>
      <c r="I63" s="184">
        <v>43619</v>
      </c>
      <c r="J63" s="61"/>
      <c r="K63" s="61"/>
      <c r="L63" s="188" t="s">
        <v>326</v>
      </c>
      <c r="M63" s="184">
        <v>43619</v>
      </c>
      <c r="N63" s="61" t="s">
        <v>312</v>
      </c>
      <c r="O63" s="61"/>
      <c r="P63" s="61"/>
      <c r="Q63" s="61"/>
      <c r="R63" s="37">
        <v>7940000</v>
      </c>
      <c r="S63" s="37">
        <f t="shared" si="17"/>
        <v>7284403.67</v>
      </c>
      <c r="T63" s="37">
        <f t="shared" si="18"/>
        <v>655596.33</v>
      </c>
      <c r="U63" s="62">
        <v>0.09</v>
      </c>
      <c r="V63" s="37"/>
      <c r="W63" s="37"/>
      <c r="X63" s="68"/>
      <c r="Y63" s="61"/>
      <c r="Z63" s="120"/>
      <c r="AA63" s="65"/>
      <c r="AB63" s="134"/>
      <c r="AC63" s="128"/>
      <c r="AD63" s="135"/>
      <c r="AE63" s="135"/>
      <c r="AF63" s="135"/>
      <c r="AG63" s="135"/>
      <c r="AH63" s="135"/>
      <c r="AI63" s="135"/>
      <c r="AJ63" s="135"/>
    </row>
    <row r="64" s="5" customFormat="1" customHeight="1" spans="1:36">
      <c r="A64" s="185" t="s">
        <v>326</v>
      </c>
      <c r="B64" s="61"/>
      <c r="C64" s="78">
        <v>2706843.2</v>
      </c>
      <c r="D64" s="61" t="s">
        <v>312</v>
      </c>
      <c r="E64" s="192">
        <v>2706843.2</v>
      </c>
      <c r="F64" s="62">
        <v>0.09</v>
      </c>
      <c r="G64" s="37">
        <f t="shared" si="15"/>
        <v>2483342.39</v>
      </c>
      <c r="H64" s="37">
        <f t="shared" si="16"/>
        <v>223500.81</v>
      </c>
      <c r="I64" s="184">
        <v>43690</v>
      </c>
      <c r="J64" s="61"/>
      <c r="K64" s="61"/>
      <c r="L64" s="188" t="s">
        <v>326</v>
      </c>
      <c r="M64" s="184">
        <v>43690</v>
      </c>
      <c r="N64" s="61" t="s">
        <v>312</v>
      </c>
      <c r="O64" s="61"/>
      <c r="P64" s="61"/>
      <c r="Q64" s="61"/>
      <c r="R64" s="37">
        <v>2706843.2</v>
      </c>
      <c r="S64" s="37">
        <f t="shared" si="17"/>
        <v>2483342.39</v>
      </c>
      <c r="T64" s="37">
        <f t="shared" si="18"/>
        <v>223500.81</v>
      </c>
      <c r="U64" s="62">
        <v>0.09</v>
      </c>
      <c r="V64" s="37"/>
      <c r="W64" s="37"/>
      <c r="X64" s="68"/>
      <c r="Y64" s="61"/>
      <c r="Z64" s="120"/>
      <c r="AA64" s="65"/>
      <c r="AB64" s="134"/>
      <c r="AC64" s="127"/>
      <c r="AD64" s="135"/>
      <c r="AE64" s="135"/>
      <c r="AF64" s="135"/>
      <c r="AG64" s="135"/>
      <c r="AH64" s="135"/>
      <c r="AI64" s="135"/>
      <c r="AJ64" s="135"/>
    </row>
    <row r="65" s="5" customFormat="1" customHeight="1" spans="1:36">
      <c r="A65" s="185" t="s">
        <v>326</v>
      </c>
      <c r="B65" s="61"/>
      <c r="C65" s="78">
        <v>9622800</v>
      </c>
      <c r="D65" s="61" t="s">
        <v>312</v>
      </c>
      <c r="E65" s="192">
        <v>9622800</v>
      </c>
      <c r="F65" s="62">
        <v>0.09</v>
      </c>
      <c r="G65" s="37">
        <f t="shared" si="15"/>
        <v>8828256.88</v>
      </c>
      <c r="H65" s="37">
        <f t="shared" si="16"/>
        <v>794543.119999999</v>
      </c>
      <c r="I65" s="184">
        <v>43738</v>
      </c>
      <c r="J65" s="61"/>
      <c r="K65" s="61"/>
      <c r="L65" s="188" t="s">
        <v>326</v>
      </c>
      <c r="M65" s="184">
        <v>43738</v>
      </c>
      <c r="N65" s="61" t="s">
        <v>312</v>
      </c>
      <c r="O65" s="61"/>
      <c r="P65" s="61"/>
      <c r="Q65" s="61"/>
      <c r="R65" s="37">
        <v>9622800</v>
      </c>
      <c r="S65" s="37">
        <f t="shared" si="17"/>
        <v>8828256.88</v>
      </c>
      <c r="T65" s="37">
        <f t="shared" si="18"/>
        <v>794543.119999999</v>
      </c>
      <c r="U65" s="62">
        <v>0.09</v>
      </c>
      <c r="V65" s="37"/>
      <c r="W65" s="37"/>
      <c r="X65" s="68"/>
      <c r="Y65" s="61"/>
      <c r="Z65" s="120"/>
      <c r="AA65" s="65"/>
      <c r="AB65" s="134"/>
      <c r="AC65" s="128"/>
      <c r="AD65" s="135"/>
      <c r="AE65" s="135"/>
      <c r="AF65" s="135"/>
      <c r="AG65" s="135"/>
      <c r="AH65" s="135"/>
      <c r="AI65" s="135"/>
      <c r="AJ65" s="135"/>
    </row>
    <row r="66" s="5" customFormat="1" customHeight="1" spans="1:36">
      <c r="A66" s="185" t="s">
        <v>329</v>
      </c>
      <c r="B66" s="61"/>
      <c r="C66" s="78">
        <v>600000</v>
      </c>
      <c r="D66" s="61" t="s">
        <v>311</v>
      </c>
      <c r="E66" s="192">
        <v>600000</v>
      </c>
      <c r="F66" s="62">
        <v>0.06</v>
      </c>
      <c r="G66" s="37">
        <f t="shared" si="15"/>
        <v>566037.74</v>
      </c>
      <c r="H66" s="37">
        <f t="shared" si="16"/>
        <v>33962.26</v>
      </c>
      <c r="I66" s="184">
        <v>43766</v>
      </c>
      <c r="J66" s="61"/>
      <c r="K66" s="61"/>
      <c r="L66" s="188" t="s">
        <v>329</v>
      </c>
      <c r="M66" s="184">
        <v>43766</v>
      </c>
      <c r="N66" s="61" t="s">
        <v>311</v>
      </c>
      <c r="O66" s="61"/>
      <c r="P66" s="61"/>
      <c r="Q66" s="61"/>
      <c r="R66" s="37">
        <v>600000</v>
      </c>
      <c r="S66" s="37">
        <f t="shared" si="17"/>
        <v>566037.74</v>
      </c>
      <c r="T66" s="37">
        <f t="shared" si="18"/>
        <v>33962.26</v>
      </c>
      <c r="U66" s="62">
        <v>0.06</v>
      </c>
      <c r="V66" s="37"/>
      <c r="W66" s="37"/>
      <c r="X66" s="68"/>
      <c r="Y66" s="72"/>
      <c r="Z66" s="128"/>
      <c r="AA66" s="141"/>
      <c r="AB66" s="128"/>
      <c r="AC66" s="128"/>
      <c r="AD66" s="135"/>
      <c r="AE66" s="135"/>
      <c r="AF66" s="135"/>
      <c r="AG66" s="135"/>
      <c r="AH66" s="135"/>
      <c r="AI66" s="135"/>
      <c r="AJ66" s="135"/>
    </row>
    <row r="67" s="5" customFormat="1" customHeight="1" spans="1:36">
      <c r="A67" s="185" t="s">
        <v>326</v>
      </c>
      <c r="B67" s="61"/>
      <c r="C67" s="78">
        <v>676710.8</v>
      </c>
      <c r="D67" s="61" t="s">
        <v>312</v>
      </c>
      <c r="E67" s="192">
        <v>676710.8</v>
      </c>
      <c r="F67" s="62">
        <v>0.09</v>
      </c>
      <c r="G67" s="37">
        <f t="shared" si="15"/>
        <v>620835.6</v>
      </c>
      <c r="H67" s="37">
        <f t="shared" si="16"/>
        <v>55875.2000000001</v>
      </c>
      <c r="I67" s="184">
        <v>43850</v>
      </c>
      <c r="J67" s="61"/>
      <c r="K67" s="61"/>
      <c r="L67" s="188" t="s">
        <v>326</v>
      </c>
      <c r="M67" s="184">
        <v>43850</v>
      </c>
      <c r="N67" s="61" t="s">
        <v>312</v>
      </c>
      <c r="O67" s="61"/>
      <c r="P67" s="61"/>
      <c r="Q67" s="61"/>
      <c r="R67" s="37">
        <v>676710.8</v>
      </c>
      <c r="S67" s="37">
        <f t="shared" si="17"/>
        <v>620835.6</v>
      </c>
      <c r="T67" s="37">
        <f t="shared" si="18"/>
        <v>55875.2000000001</v>
      </c>
      <c r="U67" s="62">
        <v>0.09</v>
      </c>
      <c r="V67" s="37"/>
      <c r="W67" s="37"/>
      <c r="X67" s="68"/>
      <c r="Y67" s="72"/>
      <c r="Z67" s="128"/>
      <c r="AA67" s="141"/>
      <c r="AB67" s="128"/>
      <c r="AC67" s="128"/>
      <c r="AD67" s="135"/>
      <c r="AE67" s="135"/>
      <c r="AF67" s="135"/>
      <c r="AG67" s="135"/>
      <c r="AH67" s="135"/>
      <c r="AI67" s="135"/>
      <c r="AJ67" s="135"/>
    </row>
    <row r="68" s="5" customFormat="1" customHeight="1" spans="1:36">
      <c r="A68" s="185" t="s">
        <v>326</v>
      </c>
      <c r="B68" s="61"/>
      <c r="C68" s="78">
        <v>3317400</v>
      </c>
      <c r="D68" s="61" t="s">
        <v>312</v>
      </c>
      <c r="E68" s="192">
        <v>3317400</v>
      </c>
      <c r="F68" s="62">
        <v>0.09</v>
      </c>
      <c r="G68" s="37">
        <f t="shared" si="15"/>
        <v>3043486.24</v>
      </c>
      <c r="H68" s="37">
        <f t="shared" si="16"/>
        <v>273913.76</v>
      </c>
      <c r="I68" s="184">
        <v>43852</v>
      </c>
      <c r="J68" s="61"/>
      <c r="K68" s="61"/>
      <c r="L68" s="188" t="s">
        <v>326</v>
      </c>
      <c r="M68" s="184">
        <v>43852</v>
      </c>
      <c r="N68" s="61" t="s">
        <v>312</v>
      </c>
      <c r="O68" s="61"/>
      <c r="P68" s="61"/>
      <c r="Q68" s="61"/>
      <c r="R68" s="37">
        <v>3317400</v>
      </c>
      <c r="S68" s="37">
        <f t="shared" si="17"/>
        <v>3043486.24</v>
      </c>
      <c r="T68" s="37">
        <f t="shared" si="18"/>
        <v>273913.76</v>
      </c>
      <c r="U68" s="62">
        <v>0.09</v>
      </c>
      <c r="V68" s="37"/>
      <c r="W68" s="37"/>
      <c r="X68" s="68"/>
      <c r="Y68" s="72"/>
      <c r="Z68" s="128"/>
      <c r="AA68" s="141"/>
      <c r="AB68" s="128"/>
      <c r="AC68" s="128"/>
      <c r="AD68" s="135"/>
      <c r="AE68" s="135"/>
      <c r="AF68" s="135"/>
      <c r="AG68" s="135"/>
      <c r="AH68" s="135"/>
      <c r="AI68" s="135"/>
      <c r="AJ68" s="135"/>
    </row>
    <row r="69" s="5" customFormat="1" customHeight="1" spans="1:36">
      <c r="A69" s="185" t="s">
        <v>326</v>
      </c>
      <c r="B69" s="61"/>
      <c r="C69" s="37">
        <v>1261000</v>
      </c>
      <c r="D69" s="61" t="s">
        <v>312</v>
      </c>
      <c r="E69" s="192">
        <v>1261000</v>
      </c>
      <c r="F69" s="62">
        <v>0.09</v>
      </c>
      <c r="G69" s="37">
        <f t="shared" si="15"/>
        <v>1156880.73</v>
      </c>
      <c r="H69" s="37">
        <f t="shared" si="16"/>
        <v>104119.27</v>
      </c>
      <c r="I69" s="184">
        <v>44098</v>
      </c>
      <c r="J69" s="61"/>
      <c r="K69" s="61"/>
      <c r="L69" s="188" t="s">
        <v>326</v>
      </c>
      <c r="M69" s="184">
        <v>44098</v>
      </c>
      <c r="N69" s="61" t="s">
        <v>312</v>
      </c>
      <c r="O69" s="61"/>
      <c r="P69" s="61"/>
      <c r="Q69" s="61"/>
      <c r="R69" s="37">
        <v>1261000</v>
      </c>
      <c r="S69" s="37">
        <f t="shared" si="17"/>
        <v>1156880.73</v>
      </c>
      <c r="T69" s="37">
        <f t="shared" si="18"/>
        <v>104119.27</v>
      </c>
      <c r="U69" s="62">
        <v>0.09</v>
      </c>
      <c r="V69" s="37"/>
      <c r="W69" s="37"/>
      <c r="X69" s="68"/>
      <c r="Y69" s="72"/>
      <c r="Z69" s="128"/>
      <c r="AA69" s="141"/>
      <c r="AB69" s="128"/>
      <c r="AC69" s="128"/>
      <c r="AD69" s="135"/>
      <c r="AE69" s="135"/>
      <c r="AF69" s="135"/>
      <c r="AG69" s="135"/>
      <c r="AH69" s="135"/>
      <c r="AI69" s="135"/>
      <c r="AJ69" s="135"/>
    </row>
    <row r="70" s="5" customFormat="1" customHeight="1" spans="1:36">
      <c r="A70" s="185" t="s">
        <v>326</v>
      </c>
      <c r="B70" s="61"/>
      <c r="C70" s="78">
        <v>8865800</v>
      </c>
      <c r="D70" s="61" t="s">
        <v>312</v>
      </c>
      <c r="E70" s="192">
        <v>8865800</v>
      </c>
      <c r="F70" s="62">
        <v>0.09</v>
      </c>
      <c r="G70" s="37">
        <f t="shared" si="15"/>
        <v>8133761.47</v>
      </c>
      <c r="H70" s="37">
        <f t="shared" si="16"/>
        <v>732038.53</v>
      </c>
      <c r="I70" s="184">
        <v>44284</v>
      </c>
      <c r="J70" s="61"/>
      <c r="K70" s="61"/>
      <c r="L70" s="188" t="s">
        <v>326</v>
      </c>
      <c r="M70" s="184">
        <v>44284</v>
      </c>
      <c r="N70" s="61" t="s">
        <v>312</v>
      </c>
      <c r="O70" s="61"/>
      <c r="P70" s="61"/>
      <c r="Q70" s="61"/>
      <c r="R70" s="37">
        <v>8865800</v>
      </c>
      <c r="S70" s="37">
        <f t="shared" si="17"/>
        <v>8133761.47</v>
      </c>
      <c r="T70" s="37">
        <f t="shared" si="18"/>
        <v>732038.53</v>
      </c>
      <c r="U70" s="62">
        <v>0.09</v>
      </c>
      <c r="V70" s="37"/>
      <c r="W70" s="37"/>
      <c r="X70" s="68"/>
      <c r="Y70" s="72"/>
      <c r="Z70" s="128"/>
      <c r="AA70" s="141"/>
      <c r="AB70" s="128"/>
      <c r="AC70" s="128"/>
      <c r="AD70" s="135"/>
      <c r="AE70" s="135"/>
      <c r="AF70" s="135"/>
      <c r="AG70" s="135"/>
      <c r="AH70" s="135"/>
      <c r="AI70" s="135"/>
      <c r="AJ70" s="135"/>
    </row>
    <row r="71" s="5" customFormat="1" customHeight="1" spans="1:36">
      <c r="A71" s="185" t="s">
        <v>326</v>
      </c>
      <c r="B71" s="61"/>
      <c r="C71" s="78">
        <v>6261393.95</v>
      </c>
      <c r="D71" s="61" t="s">
        <v>312</v>
      </c>
      <c r="E71" s="192">
        <v>6261393.95</v>
      </c>
      <c r="F71" s="62">
        <v>0.09</v>
      </c>
      <c r="G71" s="37">
        <f t="shared" si="15"/>
        <v>5744398.12</v>
      </c>
      <c r="H71" s="37">
        <f t="shared" si="16"/>
        <v>516995.83</v>
      </c>
      <c r="I71" s="184">
        <v>44552</v>
      </c>
      <c r="J71" s="61"/>
      <c r="K71" s="61"/>
      <c r="L71" s="188" t="s">
        <v>326</v>
      </c>
      <c r="M71" s="184">
        <v>44782</v>
      </c>
      <c r="N71" s="61" t="s">
        <v>312</v>
      </c>
      <c r="O71" s="61"/>
      <c r="P71" s="61"/>
      <c r="Q71" s="61"/>
      <c r="R71" s="37">
        <v>7765836.34</v>
      </c>
      <c r="S71" s="37">
        <f t="shared" si="17"/>
        <v>7124620.5</v>
      </c>
      <c r="T71" s="37">
        <f t="shared" si="18"/>
        <v>641215.84</v>
      </c>
      <c r="U71" s="62">
        <v>0.09</v>
      </c>
      <c r="V71" s="37"/>
      <c r="W71" s="37"/>
      <c r="X71" s="68"/>
      <c r="Y71" s="72"/>
      <c r="Z71" s="128"/>
      <c r="AA71" s="141"/>
      <c r="AB71" s="128"/>
      <c r="AC71" s="128"/>
      <c r="AD71" s="135"/>
      <c r="AE71" s="135"/>
      <c r="AF71" s="135"/>
      <c r="AG71" s="135"/>
      <c r="AH71" s="135"/>
      <c r="AI71" s="135"/>
      <c r="AJ71" s="135"/>
    </row>
    <row r="72" s="5" customFormat="1" customHeight="1" spans="1:36">
      <c r="A72" s="185" t="s">
        <v>326</v>
      </c>
      <c r="B72" s="61"/>
      <c r="C72" s="78">
        <v>8378336.34</v>
      </c>
      <c r="D72" s="61" t="s">
        <v>312</v>
      </c>
      <c r="E72" s="192">
        <v>8378336.34</v>
      </c>
      <c r="F72" s="62">
        <v>0.09</v>
      </c>
      <c r="G72" s="37">
        <f t="shared" si="15"/>
        <v>7686547.1</v>
      </c>
      <c r="H72" s="37">
        <f t="shared" si="16"/>
        <v>691789.24</v>
      </c>
      <c r="I72" s="184">
        <v>44926</v>
      </c>
      <c r="J72" s="61"/>
      <c r="K72" s="61"/>
      <c r="L72" s="188" t="s">
        <v>326</v>
      </c>
      <c r="M72" s="184">
        <v>44552</v>
      </c>
      <c r="N72" s="61" t="s">
        <v>312</v>
      </c>
      <c r="O72" s="61"/>
      <c r="P72" s="61"/>
      <c r="Q72" s="61"/>
      <c r="R72" s="37">
        <v>6261393.95</v>
      </c>
      <c r="S72" s="37">
        <f t="shared" si="17"/>
        <v>5744398.12</v>
      </c>
      <c r="T72" s="37">
        <f t="shared" si="18"/>
        <v>516995.83</v>
      </c>
      <c r="U72" s="62">
        <v>0.09</v>
      </c>
      <c r="V72" s="37"/>
      <c r="W72" s="37">
        <v>0</v>
      </c>
      <c r="X72" s="68"/>
      <c r="Y72" s="72"/>
      <c r="Z72" s="128"/>
      <c r="AA72" s="141"/>
      <c r="AB72" s="128"/>
      <c r="AC72" s="128"/>
      <c r="AD72" s="135"/>
      <c r="AE72" s="135"/>
      <c r="AF72" s="135"/>
      <c r="AG72" s="135"/>
      <c r="AH72" s="135"/>
      <c r="AI72" s="135"/>
      <c r="AJ72" s="135"/>
    </row>
    <row r="73" s="5" customFormat="1" customHeight="1" spans="1:36">
      <c r="A73" s="185" t="s">
        <v>326</v>
      </c>
      <c r="B73" s="61"/>
      <c r="C73" s="192">
        <v>-198476.2</v>
      </c>
      <c r="D73" s="61" t="s">
        <v>312</v>
      </c>
      <c r="E73" s="140">
        <v>-198476.2</v>
      </c>
      <c r="F73" s="62">
        <v>0.09</v>
      </c>
      <c r="G73" s="37">
        <f t="shared" si="15"/>
        <v>-182088.26</v>
      </c>
      <c r="H73" s="37">
        <f t="shared" si="16"/>
        <v>-16387.94</v>
      </c>
      <c r="I73" s="184">
        <v>45288</v>
      </c>
      <c r="J73" s="61"/>
      <c r="K73" s="61"/>
      <c r="L73" s="188" t="s">
        <v>326</v>
      </c>
      <c r="M73" s="184">
        <v>45222</v>
      </c>
      <c r="N73" s="77" t="s">
        <v>312</v>
      </c>
      <c r="O73" s="61"/>
      <c r="P73" s="61"/>
      <c r="Q73" s="61"/>
      <c r="R73" s="37">
        <v>414023.8</v>
      </c>
      <c r="S73" s="37">
        <f t="shared" si="17"/>
        <v>379838.35</v>
      </c>
      <c r="T73" s="37">
        <f t="shared" si="18"/>
        <v>34185.45</v>
      </c>
      <c r="U73" s="62">
        <v>0.09</v>
      </c>
      <c r="V73" s="37"/>
      <c r="W73" s="37"/>
      <c r="X73" s="68"/>
      <c r="Y73" s="72"/>
      <c r="Z73" s="128"/>
      <c r="AA73" s="141"/>
      <c r="AB73" s="128"/>
      <c r="AC73" s="128"/>
      <c r="AD73" s="135"/>
      <c r="AE73" s="135"/>
      <c r="AF73" s="135"/>
      <c r="AG73" s="135"/>
      <c r="AH73" s="135"/>
      <c r="AI73" s="135"/>
      <c r="AJ73" s="135"/>
    </row>
    <row r="74" s="5" customFormat="1" customHeight="1" spans="1:36">
      <c r="A74" s="185"/>
      <c r="B74" s="61"/>
      <c r="C74" s="61"/>
      <c r="D74" s="61"/>
      <c r="E74" s="61"/>
      <c r="F74" s="61"/>
      <c r="G74" s="37"/>
      <c r="H74" s="37"/>
      <c r="I74" s="193"/>
      <c r="J74" s="61"/>
      <c r="K74" s="61"/>
      <c r="L74" s="188"/>
      <c r="M74" s="61"/>
      <c r="N74" s="77"/>
      <c r="O74" s="61"/>
      <c r="P74" s="61"/>
      <c r="Q74" s="61"/>
      <c r="R74" s="37"/>
      <c r="S74" s="37"/>
      <c r="T74" s="37"/>
      <c r="U74" s="61"/>
      <c r="V74" s="37"/>
      <c r="W74" s="37"/>
      <c r="X74" s="68"/>
      <c r="Y74" s="72"/>
      <c r="Z74" s="128"/>
      <c r="AA74" s="141"/>
      <c r="AB74" s="128"/>
      <c r="AC74" s="128"/>
      <c r="AD74" s="135"/>
      <c r="AE74" s="135"/>
      <c r="AF74" s="135"/>
      <c r="AG74" s="135"/>
      <c r="AH74" s="135"/>
      <c r="AI74" s="135"/>
      <c r="AJ74" s="135"/>
    </row>
    <row r="75" s="5" customFormat="1" customHeight="1" spans="1:36">
      <c r="A75" s="185"/>
      <c r="B75" s="61"/>
      <c r="C75" s="61"/>
      <c r="D75" s="61"/>
      <c r="E75" s="61"/>
      <c r="F75" s="61"/>
      <c r="G75" s="37"/>
      <c r="H75" s="37"/>
      <c r="I75" s="61"/>
      <c r="J75" s="61"/>
      <c r="K75" s="61"/>
      <c r="L75" s="61"/>
      <c r="M75" s="61"/>
      <c r="N75" s="77"/>
      <c r="O75" s="61"/>
      <c r="P75" s="61"/>
      <c r="Q75" s="61"/>
      <c r="R75" s="37"/>
      <c r="S75" s="37"/>
      <c r="T75" s="37"/>
      <c r="U75" s="61"/>
      <c r="V75" s="37"/>
      <c r="W75" s="37"/>
      <c r="X75" s="68"/>
      <c r="Y75" s="72"/>
      <c r="Z75" s="128"/>
      <c r="AA75" s="141"/>
      <c r="AB75" s="128"/>
      <c r="AC75" s="128"/>
      <c r="AD75" s="135"/>
      <c r="AE75" s="135"/>
      <c r="AF75" s="135"/>
      <c r="AG75" s="135"/>
      <c r="AH75" s="135"/>
      <c r="AI75" s="135"/>
      <c r="AJ75" s="135"/>
    </row>
    <row r="76" s="5" customFormat="1" customHeight="1" spans="1:36">
      <c r="A76" s="73"/>
      <c r="B76" s="73"/>
      <c r="C76" s="73"/>
      <c r="D76" s="73"/>
      <c r="E76" s="73"/>
      <c r="F76" s="73"/>
      <c r="G76" s="74"/>
      <c r="H76" s="74"/>
      <c r="I76" s="73"/>
      <c r="J76" s="73"/>
      <c r="K76" s="73"/>
      <c r="L76" s="73"/>
      <c r="M76" s="73"/>
      <c r="N76" s="73"/>
      <c r="O76" s="73"/>
      <c r="P76" s="73"/>
      <c r="Q76" s="73"/>
      <c r="R76" s="74"/>
      <c r="S76" s="74"/>
      <c r="T76" s="74"/>
      <c r="U76" s="73"/>
      <c r="V76" s="73"/>
      <c r="W76" s="73"/>
      <c r="X76" s="73"/>
      <c r="Y76" s="73"/>
      <c r="Z76" s="129"/>
      <c r="AA76" s="130"/>
      <c r="AB76" s="131"/>
      <c r="AC76" s="131"/>
      <c r="AD76" s="131"/>
      <c r="AE76" s="131"/>
      <c r="AF76" s="131"/>
      <c r="AG76" s="131"/>
      <c r="AH76" s="135"/>
      <c r="AI76" s="135"/>
      <c r="AJ76" s="135"/>
    </row>
    <row r="78" customHeight="1" spans="1:36">
      <c r="A78" s="8" t="s">
        <v>384</v>
      </c>
    </row>
    <row r="79" ht="29.1" customHeight="1" spans="1:36">
      <c r="A79" s="34" t="s">
        <v>385</v>
      </c>
      <c r="B79" s="34" t="s">
        <v>386</v>
      </c>
      <c r="C79" s="34" t="s">
        <v>387</v>
      </c>
      <c r="D79" s="86" t="s">
        <v>388</v>
      </c>
      <c r="E79" s="87" t="s">
        <v>389</v>
      </c>
      <c r="F79" s="87" t="s">
        <v>390</v>
      </c>
      <c r="G79" s="87" t="s">
        <v>391</v>
      </c>
      <c r="H79" s="34" t="s">
        <v>392</v>
      </c>
      <c r="I79" s="34" t="s">
        <v>393</v>
      </c>
      <c r="J79" s="34" t="s">
        <v>394</v>
      </c>
      <c r="K79" s="34" t="s">
        <v>395</v>
      </c>
      <c r="L79" s="34" t="s">
        <v>92</v>
      </c>
      <c r="M79" s="34" t="s">
        <v>310</v>
      </c>
    </row>
    <row r="80" ht="29.1" customHeight="1" spans="1:36">
      <c r="A80" s="88"/>
      <c r="B80" s="194">
        <v>11090000</v>
      </c>
      <c r="C80" s="194"/>
      <c r="D80" s="90">
        <v>199819.82</v>
      </c>
      <c r="E80" s="90">
        <v>13987.39</v>
      </c>
      <c r="F80" s="90">
        <v>5994.59</v>
      </c>
      <c r="G80" s="90">
        <v>3996.4</v>
      </c>
      <c r="H80" s="61">
        <v>39573.8</v>
      </c>
      <c r="I80" s="90">
        <v>19981.98</v>
      </c>
      <c r="J80" s="89">
        <v>320677.61</v>
      </c>
      <c r="K80" s="89"/>
      <c r="L80" s="89">
        <f>SUM(D80:K80)</f>
        <v>604031.59</v>
      </c>
      <c r="M80" s="89"/>
    </row>
    <row r="81" ht="29.1" customHeight="1" spans="1:13">
      <c r="A81" s="88"/>
      <c r="B81" s="194">
        <v>19240000</v>
      </c>
      <c r="C81" s="194">
        <v>19240000</v>
      </c>
      <c r="D81" s="90"/>
      <c r="E81" s="90"/>
      <c r="F81" s="90"/>
      <c r="G81" s="90"/>
      <c r="H81" s="61"/>
      <c r="I81" s="90">
        <v>34666.67</v>
      </c>
      <c r="J81" s="89"/>
      <c r="K81" s="89"/>
      <c r="L81" s="89">
        <f t="shared" ref="L80:L97" si="19">SUM(D81:K81)</f>
        <v>34666.67</v>
      </c>
      <c r="M81" s="89"/>
    </row>
    <row r="82" ht="29.1" customHeight="1" spans="1:13">
      <c r="A82" s="88"/>
      <c r="B82" s="194">
        <v>-10812750</v>
      </c>
      <c r="C82" s="194"/>
      <c r="D82" s="90">
        <v>-194824.32</v>
      </c>
      <c r="E82" s="90">
        <v>-13637.7</v>
      </c>
      <c r="F82" s="90">
        <v>-13637.7</v>
      </c>
      <c r="G82" s="90">
        <v>-3896.49</v>
      </c>
      <c r="H82" s="61"/>
      <c r="I82" s="90"/>
      <c r="J82" s="89"/>
      <c r="K82" s="89"/>
      <c r="L82" s="89">
        <f t="shared" si="19"/>
        <v>-225996.21</v>
      </c>
      <c r="M82" s="89"/>
    </row>
    <row r="83" ht="29.1" customHeight="1" spans="1:13">
      <c r="A83" s="88"/>
      <c r="B83" s="194">
        <v>13500000</v>
      </c>
      <c r="C83" s="194">
        <v>13240840</v>
      </c>
      <c r="D83" s="90">
        <v>4712</v>
      </c>
      <c r="E83" s="90">
        <v>329.84</v>
      </c>
      <c r="F83" s="90">
        <v>141.36</v>
      </c>
      <c r="G83" s="90">
        <v>94.24</v>
      </c>
      <c r="H83" s="61"/>
      <c r="I83" s="90">
        <v>24545.45</v>
      </c>
      <c r="J83" s="89"/>
      <c r="K83" s="89"/>
      <c r="L83" s="89">
        <f t="shared" si="19"/>
        <v>29822.89</v>
      </c>
      <c r="M83" s="89"/>
    </row>
    <row r="84" ht="29.1" customHeight="1" spans="1:13">
      <c r="A84" s="88"/>
      <c r="B84" s="194">
        <v>7500000</v>
      </c>
      <c r="C84" s="194">
        <v>7275000</v>
      </c>
      <c r="D84" s="90">
        <v>4090.91</v>
      </c>
      <c r="E84" s="90">
        <v>286.36</v>
      </c>
      <c r="F84" s="90">
        <v>122.73</v>
      </c>
      <c r="G84" s="90">
        <v>81.82</v>
      </c>
      <c r="H84" s="61"/>
      <c r="I84" s="90">
        <v>13636.36</v>
      </c>
      <c r="J84" s="89"/>
      <c r="K84" s="89"/>
      <c r="L84" s="89">
        <f t="shared" si="19"/>
        <v>18218.18</v>
      </c>
      <c r="M84" s="89"/>
    </row>
    <row r="85" ht="29.1" customHeight="1" spans="1:13">
      <c r="A85" s="88"/>
      <c r="B85" s="194">
        <v>6000000</v>
      </c>
      <c r="C85" s="194">
        <v>5820000</v>
      </c>
      <c r="D85" s="90">
        <v>3272.73</v>
      </c>
      <c r="E85" s="90">
        <v>229.09</v>
      </c>
      <c r="F85" s="90">
        <v>98.18</v>
      </c>
      <c r="G85" s="90">
        <v>65.45</v>
      </c>
      <c r="H85" s="61"/>
      <c r="I85" s="90">
        <v>10909.09</v>
      </c>
      <c r="J85" s="89"/>
      <c r="K85" s="89"/>
      <c r="L85" s="89">
        <f t="shared" si="19"/>
        <v>14574.54</v>
      </c>
      <c r="M85" s="89"/>
    </row>
    <row r="86" ht="29.1" customHeight="1" spans="1:13">
      <c r="A86" s="88"/>
      <c r="B86" s="194"/>
      <c r="C86" s="194"/>
      <c r="D86" s="90"/>
      <c r="E86" s="90"/>
      <c r="F86" s="90"/>
      <c r="G86" s="90"/>
      <c r="H86" s="61"/>
      <c r="I86" s="90">
        <v>10909.09</v>
      </c>
      <c r="J86" s="89"/>
      <c r="K86" s="89"/>
      <c r="L86" s="89">
        <f t="shared" si="19"/>
        <v>10909.09</v>
      </c>
      <c r="M86" s="89"/>
    </row>
    <row r="87" ht="29.1" customHeight="1" spans="1:13">
      <c r="A87" s="88"/>
      <c r="B87" s="194">
        <v>220000</v>
      </c>
      <c r="C87" s="194">
        <v>33400</v>
      </c>
      <c r="D87" s="90">
        <v>3392.73</v>
      </c>
      <c r="E87" s="90">
        <v>237.49</v>
      </c>
      <c r="F87" s="90">
        <v>101.78</v>
      </c>
      <c r="G87" s="90">
        <v>67.85</v>
      </c>
      <c r="H87" s="61"/>
      <c r="I87" s="90">
        <v>400</v>
      </c>
      <c r="J87" s="89"/>
      <c r="K87" s="89"/>
      <c r="L87" s="89">
        <f t="shared" si="19"/>
        <v>4199.85</v>
      </c>
      <c r="M87" s="89"/>
    </row>
    <row r="88" ht="29.1" customHeight="1" spans="1:13">
      <c r="A88" s="88"/>
      <c r="B88" s="194"/>
      <c r="C88" s="194"/>
      <c r="D88" s="90"/>
      <c r="E88" s="90"/>
      <c r="F88" s="90"/>
      <c r="G88" s="90"/>
      <c r="H88" s="61"/>
      <c r="I88" s="90">
        <v>14568.81</v>
      </c>
      <c r="J88" s="89"/>
      <c r="K88" s="89"/>
      <c r="L88" s="89">
        <f t="shared" si="19"/>
        <v>14568.81</v>
      </c>
      <c r="M88" s="89"/>
    </row>
    <row r="89" ht="29.1" customHeight="1" spans="1:13">
      <c r="A89" s="88"/>
      <c r="B89" s="194">
        <v>2790560</v>
      </c>
      <c r="C89" s="194">
        <v>2706843.2</v>
      </c>
      <c r="D89" s="90">
        <v>1536.09</v>
      </c>
      <c r="E89" s="90">
        <v>107.53</v>
      </c>
      <c r="F89" s="90">
        <v>46.08</v>
      </c>
      <c r="G89" s="90">
        <v>30.72</v>
      </c>
      <c r="H89" s="61"/>
      <c r="I89" s="90">
        <v>5120.29</v>
      </c>
      <c r="J89" s="89"/>
      <c r="K89" s="89"/>
      <c r="L89" s="89">
        <f t="shared" si="19"/>
        <v>6840.71</v>
      </c>
      <c r="M89" s="89"/>
    </row>
    <row r="90" ht="29.1" customHeight="1" spans="1:13">
      <c r="A90" s="88"/>
      <c r="B90" s="194">
        <v>9720000</v>
      </c>
      <c r="C90" s="194">
        <v>9622800</v>
      </c>
      <c r="D90" s="90">
        <v>1783.49</v>
      </c>
      <c r="E90" s="90">
        <v>124.84</v>
      </c>
      <c r="F90" s="90">
        <v>53.5</v>
      </c>
      <c r="G90" s="90">
        <v>35.67</v>
      </c>
      <c r="H90" s="61"/>
      <c r="I90" s="90">
        <v>17834.86</v>
      </c>
      <c r="J90" s="89"/>
      <c r="K90" s="89"/>
      <c r="L90" s="89">
        <f t="shared" si="19"/>
        <v>19832.36</v>
      </c>
      <c r="M90" s="89"/>
    </row>
    <row r="91" ht="29.1" customHeight="1" spans="1:13">
      <c r="A91" s="88"/>
      <c r="B91" s="194">
        <v>697640</v>
      </c>
      <c r="C91" s="194">
        <v>676710.8</v>
      </c>
      <c r="D91" s="90">
        <v>384.02</v>
      </c>
      <c r="E91" s="90">
        <v>26.88</v>
      </c>
      <c r="F91" s="90">
        <v>11.52</v>
      </c>
      <c r="G91" s="90">
        <v>7.68</v>
      </c>
      <c r="H91" s="61"/>
      <c r="I91" s="90">
        <v>1280.07</v>
      </c>
      <c r="J91" s="89"/>
      <c r="K91" s="89"/>
      <c r="L91" s="89">
        <f t="shared" si="19"/>
        <v>1710.17</v>
      </c>
      <c r="M91" s="89"/>
    </row>
    <row r="92" ht="29.1" customHeight="1" spans="1:13">
      <c r="A92" s="88"/>
      <c r="B92" s="194">
        <v>3420000</v>
      </c>
      <c r="C92" s="194">
        <v>3317400</v>
      </c>
      <c r="D92" s="61">
        <v>1882.57</v>
      </c>
      <c r="E92" s="61">
        <v>131.78</v>
      </c>
      <c r="F92" s="61">
        <v>56.48</v>
      </c>
      <c r="G92" s="61">
        <v>37.65</v>
      </c>
      <c r="H92" s="61"/>
      <c r="I92" s="61">
        <v>6275.23</v>
      </c>
      <c r="J92" s="89"/>
      <c r="K92" s="89"/>
      <c r="L92" s="89">
        <f t="shared" si="19"/>
        <v>8383.71</v>
      </c>
      <c r="M92" s="89"/>
    </row>
    <row r="93" ht="29.1" customHeight="1" spans="1:13">
      <c r="A93" s="61"/>
      <c r="B93" s="188">
        <v>1300000</v>
      </c>
      <c r="C93" s="188">
        <v>1261000</v>
      </c>
      <c r="D93" s="61">
        <v>715.6</v>
      </c>
      <c r="E93" s="61">
        <v>50.09</v>
      </c>
      <c r="F93" s="61">
        <v>21.47</v>
      </c>
      <c r="G93" s="61">
        <v>14.31</v>
      </c>
      <c r="H93" s="61"/>
      <c r="I93" s="61">
        <v>2385.32</v>
      </c>
      <c r="J93" s="61"/>
      <c r="K93" s="61"/>
      <c r="L93" s="89">
        <f t="shared" si="19"/>
        <v>3186.79</v>
      </c>
      <c r="M93" s="61"/>
    </row>
    <row r="94" ht="29.1" customHeight="1" spans="1:13">
      <c r="A94" s="61"/>
      <c r="B94" s="188">
        <v>9140000</v>
      </c>
      <c r="C94" s="188">
        <v>8865800</v>
      </c>
      <c r="D94" s="61">
        <v>5031.19</v>
      </c>
      <c r="E94" s="61">
        <v>352.18</v>
      </c>
      <c r="F94" s="61">
        <v>150.94</v>
      </c>
      <c r="G94" s="61">
        <v>100.62</v>
      </c>
      <c r="H94" s="61"/>
      <c r="I94" s="61">
        <v>16770.64</v>
      </c>
      <c r="J94" s="61"/>
      <c r="K94" s="61"/>
      <c r="L94" s="89">
        <f t="shared" si="19"/>
        <v>22405.57</v>
      </c>
      <c r="M94" s="61"/>
    </row>
    <row r="95" ht="29.1" customHeight="1" spans="1:13">
      <c r="A95" s="61"/>
      <c r="B95" s="188">
        <v>6455045.31</v>
      </c>
      <c r="C95" s="188">
        <v>6261393.95</v>
      </c>
      <c r="D95" s="61">
        <v>3553.24</v>
      </c>
      <c r="E95" s="61">
        <v>248.73</v>
      </c>
      <c r="F95" s="61">
        <v>106.6</v>
      </c>
      <c r="G95" s="61">
        <v>71.06</v>
      </c>
      <c r="H95" s="61"/>
      <c r="I95" s="61"/>
      <c r="J95" s="61"/>
      <c r="K95" s="61"/>
      <c r="L95" s="89">
        <f t="shared" si="19"/>
        <v>3979.63</v>
      </c>
      <c r="M95" s="61"/>
    </row>
    <row r="96" ht="29.1" customHeight="1" spans="1:13">
      <c r="A96" s="61"/>
      <c r="B96" s="188"/>
      <c r="C96" s="188"/>
      <c r="D96" s="61"/>
      <c r="E96" s="61"/>
      <c r="F96" s="61"/>
      <c r="G96" s="61"/>
      <c r="H96" s="61"/>
      <c r="I96" s="61"/>
      <c r="J96" s="61"/>
      <c r="K96" s="61"/>
      <c r="L96" s="89">
        <f t="shared" si="19"/>
        <v>0</v>
      </c>
      <c r="M96" s="61"/>
    </row>
    <row r="97" ht="29.1" customHeight="1" spans="1:37">
      <c r="A97" s="61"/>
      <c r="B97" s="188"/>
      <c r="C97" s="188"/>
      <c r="D97" s="61"/>
      <c r="E97" s="61"/>
      <c r="F97" s="61"/>
      <c r="G97" s="61"/>
      <c r="H97" s="61"/>
      <c r="I97" s="61"/>
      <c r="J97" s="61"/>
      <c r="K97" s="61"/>
      <c r="L97" s="89">
        <f t="shared" si="19"/>
        <v>0</v>
      </c>
      <c r="M97" s="61"/>
    </row>
    <row r="98" ht="29.1" customHeight="1" spans="1:37">
      <c r="A98" s="61" t="s">
        <v>92</v>
      </c>
      <c r="B98" s="188">
        <f t="shared" ref="B98:K98" si="20">SUM(B80:B97)</f>
        <v>80260495.31</v>
      </c>
      <c r="C98" s="188">
        <f t="shared" si="20"/>
        <v>78321187.95</v>
      </c>
      <c r="D98" s="61">
        <f t="shared" si="20"/>
        <v>35350.07</v>
      </c>
      <c r="E98" s="61">
        <f t="shared" si="20"/>
        <v>2474.5</v>
      </c>
      <c r="F98" s="61">
        <f t="shared" si="20"/>
        <v>-6732.47</v>
      </c>
      <c r="G98" s="61">
        <f t="shared" si="20"/>
        <v>706.98</v>
      </c>
      <c r="H98" s="61">
        <f t="shared" si="20"/>
        <v>39573.8</v>
      </c>
      <c r="I98" s="61">
        <f t="shared" si="20"/>
        <v>179283.86</v>
      </c>
      <c r="J98" s="61">
        <f t="shared" si="20"/>
        <v>320677.61</v>
      </c>
      <c r="K98" s="61">
        <f t="shared" si="20"/>
        <v>0</v>
      </c>
      <c r="L98" s="61">
        <f>SUM(L80:L92)</f>
        <v>541762.36</v>
      </c>
      <c r="M98" s="61">
        <f>SUM(M80:M92)</f>
        <v>0</v>
      </c>
    </row>
    <row r="100" customHeight="1" spans="1:37">
      <c r="A100" s="8" t="s">
        <v>396</v>
      </c>
    </row>
    <row r="101" customHeight="1" spans="1:37">
      <c r="A101" s="91" t="s">
        <v>397</v>
      </c>
      <c r="B101" s="34" t="s">
        <v>398</v>
      </c>
      <c r="C101" s="34" t="s">
        <v>399</v>
      </c>
      <c r="D101" s="34" t="s">
        <v>400</v>
      </c>
      <c r="E101" s="34" t="s">
        <v>401</v>
      </c>
      <c r="F101" s="34" t="s">
        <v>402</v>
      </c>
      <c r="G101" s="34" t="s">
        <v>403</v>
      </c>
      <c r="H101" s="34" t="s">
        <v>404</v>
      </c>
      <c r="I101" s="34" t="s">
        <v>92</v>
      </c>
    </row>
    <row r="102" customHeight="1" spans="1:37">
      <c r="A102" s="90" t="s">
        <v>5</v>
      </c>
      <c r="B102" s="19">
        <v>460219.88</v>
      </c>
      <c r="C102" s="19"/>
      <c r="D102" s="19"/>
      <c r="E102" s="19"/>
      <c r="F102" s="19"/>
      <c r="G102" s="19"/>
      <c r="H102" s="19"/>
      <c r="I102" s="19">
        <f t="shared" ref="I102:I107" si="21">SUM(B102:H102)</f>
        <v>460219.88</v>
      </c>
    </row>
    <row r="103" customHeight="1" spans="1:37">
      <c r="A103" s="61" t="s">
        <v>6</v>
      </c>
      <c r="B103" s="19">
        <f>B105-B104</f>
        <v>-14843.77</v>
      </c>
      <c r="C103" s="19">
        <f>C105-C104</f>
        <v>-10095.13</v>
      </c>
      <c r="D103" s="19">
        <f>D105-D104</f>
        <v>-6220.62</v>
      </c>
      <c r="E103" s="19"/>
      <c r="F103" s="19"/>
      <c r="G103" s="19"/>
      <c r="H103" s="19"/>
      <c r="I103" s="19">
        <f t="shared" si="21"/>
        <v>-31159.52</v>
      </c>
    </row>
    <row r="104" customHeight="1" spans="1:37">
      <c r="A104" s="61" t="s">
        <v>405</v>
      </c>
      <c r="B104" s="19">
        <v>20989.54</v>
      </c>
      <c r="C104" s="19">
        <v>11895.13</v>
      </c>
      <c r="D104" s="19">
        <v>8020.62</v>
      </c>
      <c r="E104" s="19"/>
      <c r="F104" s="19"/>
      <c r="G104" s="19"/>
      <c r="H104" s="19"/>
      <c r="I104" s="19">
        <f t="shared" si="21"/>
        <v>40905.29</v>
      </c>
    </row>
    <row r="105" customHeight="1" spans="1:37">
      <c r="A105" s="61" t="s">
        <v>406</v>
      </c>
      <c r="B105" s="19">
        <v>6145.77</v>
      </c>
      <c r="C105" s="19">
        <v>1800</v>
      </c>
      <c r="D105" s="19">
        <v>1800</v>
      </c>
      <c r="E105" s="19"/>
      <c r="F105" s="19"/>
      <c r="G105" s="19"/>
      <c r="H105" s="19"/>
      <c r="I105" s="19">
        <f t="shared" si="21"/>
        <v>9745.77</v>
      </c>
    </row>
    <row r="106" customHeight="1" spans="1:37">
      <c r="A106" s="18" t="s">
        <v>407</v>
      </c>
      <c r="B106" s="19"/>
      <c r="C106" s="19"/>
      <c r="D106" s="19"/>
      <c r="E106" s="19"/>
      <c r="F106" s="19"/>
      <c r="G106" s="19"/>
      <c r="H106" s="19"/>
      <c r="I106" s="19">
        <f t="shared" si="21"/>
        <v>0</v>
      </c>
    </row>
    <row r="107" customHeight="1" spans="1:37">
      <c r="A107" s="18" t="s">
        <v>408</v>
      </c>
      <c r="B107" s="19"/>
      <c r="C107" s="19"/>
      <c r="D107" s="19"/>
      <c r="E107" s="19"/>
      <c r="F107" s="19"/>
      <c r="G107" s="19"/>
      <c r="H107" s="19"/>
      <c r="I107" s="19">
        <f t="shared" si="21"/>
        <v>0</v>
      </c>
    </row>
    <row r="110" ht="29.1" customHeight="1" spans="1:37">
      <c r="A110" s="8" t="s">
        <v>409</v>
      </c>
    </row>
    <row r="111" customHeight="1" spans="1:37">
      <c r="A111" s="91" t="s">
        <v>2</v>
      </c>
      <c r="B111" s="34" t="s">
        <v>410</v>
      </c>
      <c r="C111" s="34" t="s">
        <v>411</v>
      </c>
      <c r="D111" s="34" t="s">
        <v>412</v>
      </c>
      <c r="E111" s="34" t="s">
        <v>413</v>
      </c>
      <c r="F111" s="34" t="s">
        <v>414</v>
      </c>
      <c r="G111" s="34" t="s">
        <v>415</v>
      </c>
      <c r="H111" s="34" t="s">
        <v>416</v>
      </c>
      <c r="I111" s="34" t="s">
        <v>417</v>
      </c>
      <c r="J111" s="34" t="s">
        <v>418</v>
      </c>
      <c r="K111" s="34" t="s">
        <v>419</v>
      </c>
      <c r="L111" s="34" t="s">
        <v>420</v>
      </c>
      <c r="M111" s="34" t="s">
        <v>421</v>
      </c>
      <c r="N111" s="34" t="s">
        <v>422</v>
      </c>
      <c r="O111" s="34" t="s">
        <v>423</v>
      </c>
      <c r="P111" s="92" t="s">
        <v>424</v>
      </c>
      <c r="Q111" s="92" t="s">
        <v>425</v>
      </c>
      <c r="R111" s="92" t="s">
        <v>426</v>
      </c>
      <c r="Z111" s="7"/>
      <c r="AK111" s="1"/>
    </row>
    <row r="112" customHeight="1" spans="1:37">
      <c r="A112" s="93" t="str">
        <f>M4</f>
        <v>武隆污水处理厂二期扩建工程EPC</v>
      </c>
      <c r="B112" s="94"/>
      <c r="C112" s="94"/>
      <c r="D112" s="94"/>
      <c r="E112" s="94"/>
      <c r="F112" s="18"/>
      <c r="G112" s="94"/>
      <c r="H112" s="94"/>
      <c r="I112" s="94"/>
      <c r="J112" s="94"/>
      <c r="K112" s="94"/>
      <c r="L112" s="94">
        <v>104894279.1</v>
      </c>
      <c r="M112" s="94"/>
      <c r="N112" s="94">
        <v>106220633.37</v>
      </c>
      <c r="O112" s="94">
        <v>106220633.37</v>
      </c>
      <c r="P112" s="94">
        <v>105354498.98</v>
      </c>
      <c r="Q112" s="18"/>
      <c r="R112" s="18"/>
      <c r="Z112" s="7"/>
      <c r="AK112" s="1"/>
    </row>
    <row r="114" hidden="1" customHeight="1"/>
    <row r="115" customFormat="1" customHeight="1" spans="1:36">
      <c r="A115" s="8" t="s">
        <v>427</v>
      </c>
      <c r="B115" s="7"/>
      <c r="C115" s="7"/>
      <c r="D115" s="7"/>
      <c r="E115" s="7"/>
      <c r="F115" s="7"/>
      <c r="G115" s="7"/>
      <c r="H115" s="7"/>
      <c r="Z115" s="149"/>
      <c r="AA115" s="149"/>
      <c r="AB115" s="149"/>
      <c r="AC115" s="149"/>
      <c r="AD115" s="149"/>
      <c r="AE115" s="149"/>
      <c r="AF115" s="149"/>
      <c r="AG115" s="149"/>
      <c r="AH115" s="149"/>
      <c r="AI115" s="149"/>
      <c r="AJ115" s="149"/>
    </row>
    <row r="116" s="6" customFormat="1" ht="27" customHeight="1" spans="1:36">
      <c r="A116" s="95" t="s">
        <v>428</v>
      </c>
      <c r="B116" s="95"/>
      <c r="C116" s="95"/>
      <c r="D116" s="95"/>
      <c r="E116" s="95"/>
      <c r="F116" s="95"/>
      <c r="G116" s="95"/>
      <c r="H116" s="95"/>
      <c r="Z116" s="150"/>
      <c r="AA116" s="150"/>
      <c r="AB116" s="150"/>
      <c r="AC116" s="150"/>
      <c r="AD116" s="150"/>
      <c r="AE116" s="150"/>
      <c r="AF116" s="150"/>
      <c r="AG116" s="150"/>
      <c r="AH116" s="150"/>
      <c r="AI116" s="150"/>
      <c r="AJ116" s="150"/>
    </row>
    <row r="117" s="6" customFormat="1" ht="31.5" customHeight="1" spans="1:36">
      <c r="A117" s="95"/>
      <c r="B117" s="95"/>
      <c r="C117" s="95"/>
      <c r="D117" s="95"/>
      <c r="E117" s="95"/>
      <c r="F117" s="95"/>
      <c r="G117" s="95"/>
      <c r="H117" s="95"/>
      <c r="Z117" s="150"/>
      <c r="AA117" s="150"/>
      <c r="AB117" s="150"/>
      <c r="AC117" s="150"/>
      <c r="AD117" s="150"/>
      <c r="AE117" s="150"/>
      <c r="AF117" s="150"/>
      <c r="AG117" s="150"/>
      <c r="AH117" s="150"/>
      <c r="AI117" s="150"/>
      <c r="AJ117" s="150"/>
    </row>
    <row r="118" s="6" customFormat="1" ht="45" customHeight="1" spans="1:36">
      <c r="A118" s="96" t="str">
        <f>L4</f>
        <v>中铁二院武隆污水厂项目部</v>
      </c>
      <c r="B118" s="96"/>
      <c r="C118" s="96"/>
      <c r="H118" s="97" t="s">
        <v>429</v>
      </c>
      <c r="Z118" s="150"/>
      <c r="AA118" s="150"/>
      <c r="AB118" s="150"/>
      <c r="AC118" s="150"/>
      <c r="AD118" s="150"/>
      <c r="AE118" s="150"/>
      <c r="AF118" s="150"/>
      <c r="AG118" s="150"/>
      <c r="AH118" s="150"/>
      <c r="AI118" s="150"/>
      <c r="AJ118" s="150"/>
    </row>
    <row r="119" s="6" customFormat="1" ht="24" customHeight="1" spans="1:36">
      <c r="A119" s="98" t="s">
        <v>430</v>
      </c>
      <c r="B119" s="98" t="s">
        <v>431</v>
      </c>
      <c r="C119" s="98" t="s">
        <v>432</v>
      </c>
      <c r="D119" s="98" t="s">
        <v>433</v>
      </c>
      <c r="E119" s="98" t="s">
        <v>434</v>
      </c>
      <c r="F119" s="98" t="s">
        <v>435</v>
      </c>
      <c r="G119" s="98" t="s">
        <v>436</v>
      </c>
      <c r="H119" s="98" t="s">
        <v>437</v>
      </c>
      <c r="K119" s="99"/>
      <c r="Z119" s="150"/>
      <c r="AA119" s="150"/>
      <c r="AB119" s="150"/>
      <c r="AC119" s="150"/>
      <c r="AD119" s="150"/>
      <c r="AE119" s="150"/>
      <c r="AF119" s="150"/>
      <c r="AG119" s="150"/>
      <c r="AH119" s="150"/>
      <c r="AI119" s="150"/>
      <c r="AJ119" s="150"/>
    </row>
    <row r="120" s="6" customFormat="1" ht="24" customHeight="1" spans="1:36">
      <c r="A120" s="100">
        <v>1</v>
      </c>
      <c r="B120" s="98" t="s">
        <v>81</v>
      </c>
      <c r="C120" s="101"/>
      <c r="D120" s="101"/>
      <c r="E120" s="101"/>
      <c r="F120" s="101"/>
      <c r="G120" s="101"/>
      <c r="H120" s="102">
        <f>V11</f>
        <v>106220633.37</v>
      </c>
      <c r="K120" s="99"/>
      <c r="Z120" s="150"/>
      <c r="AA120" s="150"/>
      <c r="AB120" s="150"/>
      <c r="AC120" s="150"/>
      <c r="AD120" s="150"/>
      <c r="AE120" s="150"/>
      <c r="AF120" s="150"/>
      <c r="AG120" s="150"/>
      <c r="AH120" s="150"/>
      <c r="AI120" s="150"/>
      <c r="AJ120" s="150"/>
    </row>
    <row r="121" s="6" customFormat="1" ht="24" customHeight="1" spans="1:36">
      <c r="A121" s="100">
        <v>2</v>
      </c>
      <c r="B121" s="98" t="s">
        <v>82</v>
      </c>
      <c r="C121" s="101"/>
      <c r="D121" s="101"/>
      <c r="E121" s="101"/>
      <c r="F121" s="101"/>
      <c r="G121" s="101"/>
      <c r="H121" s="102">
        <f>W11</f>
        <v>103243215.74</v>
      </c>
      <c r="K121" s="99"/>
      <c r="Z121" s="150"/>
      <c r="AA121" s="150"/>
      <c r="AB121" s="150"/>
      <c r="AC121" s="150"/>
      <c r="AD121" s="150"/>
      <c r="AE121" s="150"/>
      <c r="AF121" s="150"/>
      <c r="AG121" s="150"/>
      <c r="AH121" s="150"/>
      <c r="AI121" s="150"/>
      <c r="AJ121" s="150"/>
    </row>
    <row r="122" s="6" customFormat="1" ht="24" customHeight="1" spans="1:36">
      <c r="A122" s="100">
        <v>3</v>
      </c>
      <c r="B122" s="98" t="s">
        <v>438</v>
      </c>
      <c r="C122" s="101"/>
      <c r="D122" s="101"/>
      <c r="E122" s="101"/>
      <c r="F122" s="101"/>
      <c r="G122" s="101"/>
      <c r="H122" s="103">
        <f>H120-H121</f>
        <v>2977417.63000001</v>
      </c>
      <c r="Z122" s="150"/>
      <c r="AA122" s="150"/>
      <c r="AB122" s="150"/>
      <c r="AC122" s="150"/>
      <c r="AD122" s="150"/>
      <c r="AE122" s="150"/>
      <c r="AF122" s="150"/>
      <c r="AG122" s="150"/>
      <c r="AH122" s="150"/>
      <c r="AI122" s="150"/>
      <c r="AJ122" s="150"/>
    </row>
    <row r="123" s="6" customFormat="1" ht="24" customHeight="1" spans="1:36">
      <c r="A123" s="100">
        <v>4</v>
      </c>
      <c r="B123" s="98" t="s">
        <v>439</v>
      </c>
      <c r="C123" s="102"/>
      <c r="D123" s="102">
        <v>0</v>
      </c>
      <c r="E123" s="102"/>
      <c r="F123" s="102"/>
      <c r="G123" s="102"/>
      <c r="H123" s="104">
        <f>C123+D123+E123+F123+G123</f>
        <v>0</v>
      </c>
      <c r="K123" s="105"/>
      <c r="Z123" s="150"/>
      <c r="AA123" s="150"/>
      <c r="AB123" s="150"/>
      <c r="AC123" s="150"/>
      <c r="AD123" s="150"/>
      <c r="AE123" s="150"/>
      <c r="AF123" s="150"/>
      <c r="AG123" s="150"/>
      <c r="AH123" s="150"/>
      <c r="AI123" s="150"/>
      <c r="AJ123" s="150"/>
    </row>
    <row r="124" s="6" customFormat="1" ht="24" customHeight="1" spans="1:36">
      <c r="A124" s="100">
        <v>5</v>
      </c>
      <c r="B124" s="98" t="s">
        <v>440</v>
      </c>
      <c r="C124" s="102"/>
      <c r="D124" s="104">
        <v>0</v>
      </c>
      <c r="E124" s="104"/>
      <c r="F124" s="104"/>
      <c r="G124" s="104"/>
      <c r="H124" s="104">
        <f>C124+D124+E124+F124+G124</f>
        <v>0</v>
      </c>
      <c r="Z124" s="150"/>
      <c r="AA124" s="150"/>
      <c r="AB124" s="150"/>
      <c r="AC124" s="150"/>
      <c r="AD124" s="150"/>
      <c r="AE124" s="150"/>
      <c r="AF124" s="150"/>
      <c r="AG124" s="150"/>
      <c r="AH124" s="150"/>
      <c r="AI124" s="150"/>
      <c r="AJ124" s="150"/>
    </row>
    <row r="125" s="6" customFormat="1" ht="24" customHeight="1" spans="1:36">
      <c r="A125" s="100">
        <v>6</v>
      </c>
      <c r="B125" s="104" t="s">
        <v>441</v>
      </c>
      <c r="C125" s="106">
        <f>ROUND(C123/H121,10)</f>
        <v>0</v>
      </c>
      <c r="D125" s="106">
        <f>ROUND((C123+D123)/H121,10)</f>
        <v>0</v>
      </c>
      <c r="E125" s="106">
        <f>ROUND((C123+D123+E123)/H121,10)</f>
        <v>0</v>
      </c>
      <c r="F125" s="106">
        <f>ROUND((C123+D123+E123+F123)/H121,10)</f>
        <v>0</v>
      </c>
      <c r="G125" s="106">
        <f>ROUND((C123+D123+E123+F123+G123)/H121,10)</f>
        <v>0</v>
      </c>
      <c r="H125" s="104"/>
      <c r="Z125" s="150"/>
      <c r="AA125" s="150"/>
      <c r="AB125" s="150"/>
      <c r="AC125" s="150"/>
      <c r="AD125" s="150"/>
      <c r="AE125" s="150"/>
      <c r="AF125" s="150"/>
      <c r="AG125" s="150"/>
      <c r="AH125" s="150"/>
      <c r="AI125" s="150"/>
      <c r="AJ125" s="150"/>
    </row>
    <row r="126" s="6" customFormat="1" ht="24" customHeight="1" spans="1:36">
      <c r="A126" s="100">
        <v>7</v>
      </c>
      <c r="B126" s="104" t="s">
        <v>442</v>
      </c>
      <c r="C126" s="104">
        <f t="shared" ref="C126:G126" si="22">C124-C123</f>
        <v>0</v>
      </c>
      <c r="D126" s="104">
        <f t="shared" si="22"/>
        <v>0</v>
      </c>
      <c r="E126" s="104">
        <f t="shared" si="22"/>
        <v>0</v>
      </c>
      <c r="F126" s="104">
        <f t="shared" si="22"/>
        <v>0</v>
      </c>
      <c r="G126" s="104">
        <f t="shared" si="22"/>
        <v>0</v>
      </c>
      <c r="H126" s="104"/>
      <c r="Z126" s="150"/>
      <c r="AA126" s="150"/>
      <c r="AB126" s="150"/>
      <c r="AC126" s="150"/>
      <c r="AD126" s="150"/>
      <c r="AE126" s="150"/>
      <c r="AF126" s="150"/>
      <c r="AG126" s="150"/>
      <c r="AH126" s="150"/>
      <c r="AI126" s="150"/>
      <c r="AJ126" s="150"/>
    </row>
    <row r="127" s="6" customFormat="1" ht="24" customHeight="1" spans="1:36">
      <c r="A127" s="100">
        <v>8</v>
      </c>
      <c r="B127" s="104" t="s">
        <v>443</v>
      </c>
      <c r="C127" s="104">
        <f>C124-C123</f>
        <v>0</v>
      </c>
      <c r="D127" s="104">
        <f>C126+D126</f>
        <v>0</v>
      </c>
      <c r="E127" s="104">
        <f>C126+D126+E126</f>
        <v>0</v>
      </c>
      <c r="F127" s="104">
        <f>C126+D126+E126+F126</f>
        <v>0</v>
      </c>
      <c r="G127" s="104">
        <f>C126+D126+E126+F126+G126</f>
        <v>0</v>
      </c>
      <c r="H127" s="104"/>
      <c r="Z127" s="150"/>
      <c r="AA127" s="150"/>
      <c r="AB127" s="150"/>
      <c r="AC127" s="150"/>
      <c r="AD127" s="150"/>
      <c r="AE127" s="150"/>
      <c r="AF127" s="150"/>
      <c r="AG127" s="150"/>
      <c r="AH127" s="150"/>
      <c r="AI127" s="150"/>
      <c r="AJ127" s="150"/>
    </row>
    <row r="128" s="6" customFormat="1" ht="25.7" customHeight="1" spans="1:36">
      <c r="Z128" s="150"/>
      <c r="AA128" s="150"/>
      <c r="AB128" s="150"/>
      <c r="AC128" s="150"/>
      <c r="AD128" s="150"/>
      <c r="AE128" s="150"/>
      <c r="AF128" s="150"/>
      <c r="AG128" s="150"/>
      <c r="AH128" s="150"/>
      <c r="AI128" s="150"/>
      <c r="AJ128" s="150"/>
    </row>
    <row r="129" s="6" customFormat="1" ht="25.7" customHeight="1" spans="1:36">
      <c r="B129" s="97" t="s">
        <v>444</v>
      </c>
      <c r="C129" s="97"/>
      <c r="D129" s="97"/>
      <c r="E129" s="97"/>
      <c r="F129" s="97"/>
      <c r="G129" s="97" t="s">
        <v>445</v>
      </c>
      <c r="H129" s="97"/>
      <c r="Z129" s="150"/>
      <c r="AA129" s="150"/>
      <c r="AB129" s="150"/>
      <c r="AC129" s="150"/>
      <c r="AD129" s="150"/>
      <c r="AE129" s="150"/>
      <c r="AF129" s="150"/>
      <c r="AG129" s="150"/>
      <c r="AH129" s="150"/>
      <c r="AI129" s="150"/>
      <c r="AJ129" s="150"/>
    </row>
    <row r="131" customHeight="1" spans="1:36">
      <c r="A131" s="8" t="s">
        <v>446</v>
      </c>
    </row>
    <row r="132" customHeight="1" spans="1:36">
      <c r="A132" s="9" t="s">
        <v>98</v>
      </c>
      <c r="B132" s="9" t="s">
        <v>99</v>
      </c>
      <c r="C132" s="9" t="s">
        <v>100</v>
      </c>
      <c r="D132" s="9" t="s">
        <v>101</v>
      </c>
      <c r="E132" s="9" t="s">
        <v>447</v>
      </c>
      <c r="F132" s="9" t="s">
        <v>103</v>
      </c>
      <c r="G132" s="9" t="s">
        <v>104</v>
      </c>
    </row>
    <row r="133" ht="30" customHeight="1" spans="1:36">
      <c r="A133" s="107">
        <f>G11-T11-B112+C112-E112-F112-Q112-D112</f>
        <v>0</v>
      </c>
      <c r="B133" s="107">
        <f>H17-X17-K112+Q112</f>
        <v>0</v>
      </c>
      <c r="C133" s="107">
        <f>SUMIFS($G$51:$G$76,$D$51:$D$76,C10)/H121*H120-O11</f>
        <v>0</v>
      </c>
      <c r="D133" s="107">
        <f>G12+G13-T12-T13-G112+H112-I112-J112+R112</f>
        <v>0</v>
      </c>
      <c r="E133" s="107">
        <f>C11*(1-K4)-C12-C13</f>
        <v>0</v>
      </c>
      <c r="F133" s="107">
        <f>(SUMIFS($V$20:$V$46,$R$20:$R$46,C10)-SUMIFS($R$51:$R$76,$N$51:$N$76,C10))/1.09*0.02-D98</f>
        <v>20653.7063302753</v>
      </c>
      <c r="G133" s="107">
        <f>B112-C112+N112-O112</f>
        <v>0</v>
      </c>
    </row>
    <row r="134" ht="32.1" customHeight="1" spans="1:36">
      <c r="A134" s="18" t="s">
        <v>67</v>
      </c>
      <c r="B134" s="18" t="s">
        <v>67</v>
      </c>
      <c r="C134" s="18" t="s">
        <v>67</v>
      </c>
      <c r="D134" s="18" t="s">
        <v>67</v>
      </c>
      <c r="E134" s="108" t="s">
        <v>68</v>
      </c>
      <c r="F134" s="18" t="s">
        <v>67</v>
      </c>
      <c r="G134" s="108" t="s">
        <v>69</v>
      </c>
    </row>
    <row r="137" customHeight="1" spans="1:36">
      <c r="A137" s="1"/>
    </row>
  </sheetData>
  <autoFilter xmlns:etc="http://www.wps.cn/officeDocument/2017/etCustomData" ref="A50:K73" etc:filterBottomFollowUsedRange="0">
    <extLst/>
  </autoFilter>
  <mergeCells count="70">
    <mergeCell ref="E2:J2"/>
    <mergeCell ref="B9:G9"/>
    <mergeCell ref="H9:M9"/>
    <mergeCell ref="N9:S9"/>
    <mergeCell ref="A18:K18"/>
    <mergeCell ref="L18:O18"/>
    <mergeCell ref="P18:Y18"/>
    <mergeCell ref="Z18:AG18"/>
    <mergeCell ref="A49:K49"/>
    <mergeCell ref="L49:U49"/>
    <mergeCell ref="V49:AC49"/>
    <mergeCell ref="A118:C118"/>
    <mergeCell ref="A2:A3"/>
    <mergeCell ref="A9:A10"/>
    <mergeCell ref="B2:B3"/>
    <mergeCell ref="C2:C3"/>
    <mergeCell ref="D2:D3"/>
    <mergeCell ref="K2:K3"/>
    <mergeCell ref="K4:K7"/>
    <mergeCell ref="L2:L3"/>
    <mergeCell ref="L4:L7"/>
    <mergeCell ref="M2:M3"/>
    <mergeCell ref="M4:M7"/>
    <mergeCell ref="N2:N3"/>
    <mergeCell ref="N4:N7"/>
    <mergeCell ref="O2:O3"/>
    <mergeCell ref="O4:O7"/>
    <mergeCell ref="P2:P3"/>
    <mergeCell ref="P4:P7"/>
    <mergeCell ref="Q2:Q3"/>
    <mergeCell ref="Q4:Q6"/>
    <mergeCell ref="R2:R3"/>
    <mergeCell ref="R4:R6"/>
    <mergeCell ref="S2:S3"/>
    <mergeCell ref="S4:S6"/>
    <mergeCell ref="T2:T3"/>
    <mergeCell ref="T4:T6"/>
    <mergeCell ref="T9:T10"/>
    <mergeCell ref="U2:U3"/>
    <mergeCell ref="U4:U6"/>
    <mergeCell ref="U9:U10"/>
    <mergeCell ref="U11:U13"/>
    <mergeCell ref="V2:V3"/>
    <mergeCell ref="V4:V6"/>
    <mergeCell ref="V9:V10"/>
    <mergeCell ref="V11:V13"/>
    <mergeCell ref="W2:W3"/>
    <mergeCell ref="W4:W6"/>
    <mergeCell ref="W9:W10"/>
    <mergeCell ref="W11:W13"/>
    <mergeCell ref="X2:X3"/>
    <mergeCell ref="X4:X6"/>
    <mergeCell ref="Y2:Y3"/>
    <mergeCell ref="Y4:Y6"/>
    <mergeCell ref="Z2:Z3"/>
    <mergeCell ref="Z4:Z6"/>
    <mergeCell ref="AA2:AA3"/>
    <mergeCell ref="AA4:AA6"/>
    <mergeCell ref="AB2:AB3"/>
    <mergeCell ref="AB4:AB6"/>
    <mergeCell ref="AC2:AC3"/>
    <mergeCell ref="AD2:AD3"/>
    <mergeCell ref="AE2:AE3"/>
    <mergeCell ref="AF2:AF3"/>
    <mergeCell ref="AG2:AG3"/>
    <mergeCell ref="AH2:AH3"/>
    <mergeCell ref="AI2:AI3"/>
    <mergeCell ref="AJ2:AJ3"/>
    <mergeCell ref="AJ4:AJ6"/>
    <mergeCell ref="A116:H117"/>
  </mergeCells>
  <dataValidations count="9">
    <dataValidation type="list" allowBlank="1" showInputMessage="1" showErrorMessage="1" sqref="Y38 Y40 F20:F29 Y20:Y29">
      <formula1>"6%,9%,13%,11%,10%"</formula1>
    </dataValidation>
    <dataValidation type="list" allowBlank="1" showInputMessage="1" showErrorMessage="1" sqref="N46 R46 R76 A41:A45 D51:D75 N51:N76 AB51:AB65">
      <formula1>"勘察设计,工程施工,设备采购,服务费,其他"</formula1>
    </dataValidation>
    <dataValidation type="list" allowBlank="1" showInputMessage="1" showErrorMessage="1" sqref="D20:D45">
      <formula1>"勘察设计,工程施工,设备采购,业主承担管理费,服务费"</formula1>
    </dataValidation>
    <dataValidation type="list" allowBlank="1" showInputMessage="1" showErrorMessage="1" sqref="F30:F45">
      <formula1>"6%,9%,13%"</formula1>
    </dataValidation>
    <dataValidation type="list" allowBlank="1" showInputMessage="1" showErrorMessage="1" sqref="F51:F73 U51:U73">
      <formula1>"6%,9%,13%,10%,11%"</formula1>
    </dataValidation>
    <dataValidation type="list" allowBlank="1" showInputMessage="1" showErrorMessage="1" sqref="N20:N45 R20:R45 AF20:AF45">
      <formula1>"勘察设计,工程施工,设备采购,业主承担管理费,服务费,其他"</formula1>
    </dataValidation>
    <dataValidation type="list" allowBlank="1" showInputMessage="1" showErrorMessage="1" sqref="V4:V6">
      <formula1>"铁路,公路,市政,房建,地铁、轻轨,其他基建"</formula1>
    </dataValidation>
    <dataValidation type="list" allowBlank="1" showInputMessage="1" showErrorMessage="1" sqref="X4:X5">
      <formula1>"竣工未决算,在建,收尾,竣工已决算,停缓建"</formula1>
    </dataValidation>
    <dataValidation type="list" allowBlank="1" showInputMessage="1" showErrorMessage="1" sqref="X51:X75 AB20:AB41">
      <formula1>"专户,集团户"</formula1>
    </dataValidation>
  </dataValidations>
  <pageMargins left="0.75" right="0.75" top="1" bottom="1" header="0.5" footer="0.5"/>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39"/>
  <sheetViews>
    <sheetView tabSelected="1" topLeftCell="A7" workbookViewId="0">
      <selection activeCell="G29" sqref="G29"/>
    </sheetView>
  </sheetViews>
  <sheetFormatPr defaultColWidth="14.25" defaultRowHeight="21.95" customHeight="1"/>
  <cols>
    <col min="1" max="1" width="48.6333333333333" style="7" customWidth="1"/>
    <col min="2" max="2" width="45.8" style="7" customWidth="1"/>
    <col min="3" max="3" width="33.6333333333333" style="7" customWidth="1"/>
    <col min="4" max="4" width="17.1333333333333" style="7" customWidth="1"/>
    <col min="5" max="5" width="20.25" style="7" customWidth="1"/>
    <col min="6" max="6" width="17.6333333333333" style="7" customWidth="1"/>
    <col min="7" max="7" width="20.3833333333333" style="7" customWidth="1"/>
    <col min="8" max="8" width="20.6333333333333" style="7" customWidth="1"/>
    <col min="9" max="9" width="20.5" style="7" customWidth="1"/>
    <col min="10" max="10" width="18.3833333333333" style="7" customWidth="1"/>
    <col min="11" max="11" width="18.5" style="7" customWidth="1"/>
    <col min="12" max="12" width="54.25" style="7" customWidth="1"/>
    <col min="13" max="13" width="22.75" style="7" customWidth="1"/>
    <col min="14" max="14" width="21" style="7" customWidth="1"/>
    <col min="15" max="15" width="19" style="7" customWidth="1"/>
    <col min="16" max="16" width="27" style="7" customWidth="1"/>
    <col min="17" max="17" width="20.75" style="7" customWidth="1"/>
    <col min="18" max="18" width="17.25" style="7" customWidth="1"/>
    <col min="19" max="19" width="17.75" style="7" customWidth="1"/>
    <col min="20" max="20" width="23.8833333333333" style="7" customWidth="1"/>
    <col min="21" max="21" width="17.25" style="7" customWidth="1"/>
    <col min="22" max="22" width="20.75" style="1" customWidth="1"/>
    <col min="23" max="23" width="19.8833333333333" style="1" customWidth="1"/>
    <col min="24" max="24" width="16.8833333333333" style="1" customWidth="1"/>
    <col min="25" max="25" width="14.25" style="1" customWidth="1"/>
    <col min="26" max="26" width="19.25" style="1" customWidth="1"/>
    <col min="27" max="27" width="23.5" style="1" customWidth="1"/>
    <col min="28" max="30" width="14.25" style="1" customWidth="1"/>
    <col min="31" max="31" width="17.25" style="1" customWidth="1"/>
    <col min="32" max="33" width="14.25" style="1" customWidth="1"/>
    <col min="34" max="34" width="17.1333333333333" style="7" customWidth="1"/>
    <col min="35" max="16381" width="14.25" style="7" customWidth="1"/>
    <col min="16382" max="16384" width="14.25" style="7"/>
  </cols>
  <sheetData>
    <row r="1" customHeight="1" spans="1:36">
      <c r="A1" s="8" t="s">
        <v>0</v>
      </c>
    </row>
    <row r="2" customHeight="1" spans="1:36">
      <c r="A2" s="9" t="s">
        <v>291</v>
      </c>
      <c r="B2" s="9" t="s">
        <v>292</v>
      </c>
      <c r="C2" s="9" t="s">
        <v>293</v>
      </c>
      <c r="D2" s="10" t="s">
        <v>294</v>
      </c>
      <c r="E2" s="11" t="s">
        <v>295</v>
      </c>
      <c r="F2" s="12"/>
      <c r="G2" s="12"/>
      <c r="H2" s="12"/>
      <c r="I2" s="12"/>
      <c r="J2" s="13"/>
      <c r="K2" s="9" t="s">
        <v>9</v>
      </c>
      <c r="L2" s="9" t="s">
        <v>1</v>
      </c>
      <c r="M2" s="9" t="s">
        <v>296</v>
      </c>
      <c r="N2" s="9" t="s">
        <v>10</v>
      </c>
      <c r="O2" s="9" t="s">
        <v>11</v>
      </c>
      <c r="P2" s="9" t="s">
        <v>297</v>
      </c>
      <c r="Q2" s="9" t="s">
        <v>298</v>
      </c>
      <c r="R2" s="9" t="s">
        <v>299</v>
      </c>
      <c r="S2" s="9" t="s">
        <v>12</v>
      </c>
      <c r="T2" s="9" t="s">
        <v>13</v>
      </c>
      <c r="U2" s="9" t="s">
        <v>14</v>
      </c>
      <c r="V2" s="9" t="s">
        <v>15</v>
      </c>
      <c r="W2" s="9" t="s">
        <v>16</v>
      </c>
      <c r="X2" s="9" t="s">
        <v>17</v>
      </c>
      <c r="Y2" s="9" t="s">
        <v>300</v>
      </c>
      <c r="Z2" s="9" t="s">
        <v>301</v>
      </c>
      <c r="AA2" s="9" t="s">
        <v>302</v>
      </c>
      <c r="AB2" s="9" t="s">
        <v>303</v>
      </c>
      <c r="AC2" s="9" t="s">
        <v>304</v>
      </c>
      <c r="AD2" s="9" t="s">
        <v>305</v>
      </c>
      <c r="AE2" s="9" t="s">
        <v>304</v>
      </c>
      <c r="AF2" s="9" t="s">
        <v>306</v>
      </c>
      <c r="AG2" s="9" t="s">
        <v>307</v>
      </c>
      <c r="AH2" s="9" t="s">
        <v>308</v>
      </c>
      <c r="AI2" s="9" t="s">
        <v>309</v>
      </c>
      <c r="AJ2" s="9" t="s">
        <v>310</v>
      </c>
    </row>
    <row r="3" customHeight="1" spans="1:36">
      <c r="A3" s="14"/>
      <c r="B3" s="14"/>
      <c r="C3" s="14"/>
      <c r="D3" s="15"/>
      <c r="E3" s="16" t="s">
        <v>311</v>
      </c>
      <c r="F3" s="16" t="s">
        <v>312</v>
      </c>
      <c r="G3" s="16" t="s">
        <v>313</v>
      </c>
      <c r="H3" s="16" t="s">
        <v>314</v>
      </c>
      <c r="I3" s="16" t="s">
        <v>315</v>
      </c>
      <c r="J3" s="16" t="s">
        <v>92</v>
      </c>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Height="1" spans="1:36">
      <c r="A4" s="17" t="s">
        <v>448</v>
      </c>
      <c r="B4" s="17" t="s">
        <v>208</v>
      </c>
      <c r="C4" s="168" t="s">
        <v>449</v>
      </c>
      <c r="D4" s="18" t="s">
        <v>319</v>
      </c>
      <c r="E4" s="19">
        <v>1520000</v>
      </c>
      <c r="F4" s="19">
        <f>26900000-G4-E4</f>
        <v>13053600</v>
      </c>
      <c r="G4" s="19">
        <v>12326400</v>
      </c>
      <c r="H4" s="19"/>
      <c r="I4" s="19"/>
      <c r="J4" s="19">
        <f t="shared" ref="J4:J7" si="0">SUM(E4:I4)</f>
        <v>26900000</v>
      </c>
      <c r="K4" s="20">
        <f>(F4-F5)/F4</f>
        <v>0.0220000000000001</v>
      </c>
      <c r="L4" s="169" t="s">
        <v>450</v>
      </c>
      <c r="M4" s="21" t="s">
        <v>208</v>
      </c>
      <c r="N4" s="169" t="s">
        <v>321</v>
      </c>
      <c r="O4" s="170" t="s">
        <v>322</v>
      </c>
      <c r="P4" s="22"/>
      <c r="Q4" s="22"/>
      <c r="R4" s="22"/>
      <c r="S4" s="22"/>
      <c r="T4" s="22"/>
      <c r="U4" s="22"/>
      <c r="V4" s="21" t="s">
        <v>323</v>
      </c>
      <c r="W4" s="169" t="s">
        <v>451</v>
      </c>
      <c r="X4" s="23" t="s">
        <v>452</v>
      </c>
      <c r="Y4" s="111">
        <v>0.9</v>
      </c>
      <c r="Z4" s="111">
        <v>0.8</v>
      </c>
      <c r="AA4" s="21"/>
      <c r="AB4" s="21"/>
      <c r="AC4" s="110"/>
      <c r="AD4" s="110"/>
      <c r="AE4" s="110"/>
      <c r="AF4" s="110"/>
      <c r="AG4" s="110"/>
      <c r="AH4" s="17"/>
      <c r="AI4" s="17"/>
      <c r="AJ4" s="22"/>
    </row>
    <row r="5" customHeight="1" spans="1:36">
      <c r="A5" s="168" t="s">
        <v>453</v>
      </c>
      <c r="B5" s="168" t="s">
        <v>454</v>
      </c>
      <c r="C5" s="168" t="s">
        <v>455</v>
      </c>
      <c r="D5" s="18" t="s">
        <v>328</v>
      </c>
      <c r="E5" s="19"/>
      <c r="F5" s="19">
        <f>13053600*0.978</f>
        <v>12766420.8</v>
      </c>
      <c r="G5" s="19"/>
      <c r="H5" s="19"/>
      <c r="I5" s="19"/>
      <c r="J5" s="19">
        <f t="shared" si="0"/>
        <v>12766420.8</v>
      </c>
      <c r="K5" s="25"/>
      <c r="L5" s="26"/>
      <c r="M5" s="26"/>
      <c r="N5" s="26"/>
      <c r="O5" s="27"/>
      <c r="P5" s="27"/>
      <c r="Q5" s="27"/>
      <c r="R5" s="27"/>
      <c r="S5" s="27"/>
      <c r="T5" s="27"/>
      <c r="U5" s="27"/>
      <c r="V5" s="26"/>
      <c r="W5" s="26"/>
      <c r="X5" s="28"/>
      <c r="Y5" s="26"/>
      <c r="Z5" s="26"/>
      <c r="AA5" s="26"/>
      <c r="AB5" s="26"/>
      <c r="AC5" s="110"/>
      <c r="AD5" s="110"/>
      <c r="AE5" s="110"/>
      <c r="AF5" s="110"/>
      <c r="AG5" s="110"/>
      <c r="AH5" s="17"/>
      <c r="AI5" s="17"/>
      <c r="AJ5" s="27"/>
    </row>
    <row r="6" customHeight="1" spans="1:36">
      <c r="A6" s="168" t="s">
        <v>456</v>
      </c>
      <c r="B6" s="168" t="s">
        <v>457</v>
      </c>
      <c r="C6" s="168" t="s">
        <v>458</v>
      </c>
      <c r="D6" s="18" t="s">
        <v>328</v>
      </c>
      <c r="E6" s="19">
        <v>220000</v>
      </c>
      <c r="F6" s="19"/>
      <c r="G6" s="19"/>
      <c r="H6" s="19"/>
      <c r="I6" s="19"/>
      <c r="J6" s="19">
        <f t="shared" si="0"/>
        <v>220000</v>
      </c>
      <c r="K6" s="25"/>
      <c r="L6" s="26"/>
      <c r="M6" s="26"/>
      <c r="N6" s="26"/>
      <c r="O6" s="27"/>
      <c r="P6" s="27"/>
      <c r="Q6" s="27"/>
      <c r="R6" s="27"/>
      <c r="S6" s="27"/>
      <c r="T6" s="27"/>
      <c r="U6" s="27"/>
      <c r="V6" s="26"/>
      <c r="W6" s="26"/>
      <c r="X6" s="28"/>
      <c r="Y6" s="26"/>
      <c r="Z6" s="26"/>
      <c r="AA6" s="26"/>
      <c r="AB6" s="26"/>
      <c r="AC6" s="110"/>
      <c r="AD6" s="110"/>
      <c r="AE6" s="110"/>
      <c r="AF6" s="110"/>
      <c r="AG6" s="110"/>
      <c r="AH6" s="17"/>
      <c r="AI6" s="17"/>
      <c r="AJ6" s="27"/>
    </row>
    <row r="7" customHeight="1" spans="1:36">
      <c r="A7" s="168" t="s">
        <v>459</v>
      </c>
      <c r="B7" s="168" t="s">
        <v>460</v>
      </c>
      <c r="C7" s="168" t="s">
        <v>461</v>
      </c>
      <c r="D7" s="18" t="s">
        <v>328</v>
      </c>
      <c r="E7" s="19"/>
      <c r="F7" s="19"/>
      <c r="G7" s="19">
        <f>12326400*0.978</f>
        <v>12055219.2</v>
      </c>
      <c r="H7" s="19"/>
      <c r="I7" s="19"/>
      <c r="J7" s="19">
        <f t="shared" si="0"/>
        <v>12055219.2</v>
      </c>
      <c r="K7" s="29"/>
      <c r="L7" s="30"/>
      <c r="M7" s="30"/>
      <c r="N7" s="30"/>
      <c r="O7" s="31"/>
      <c r="P7" s="31"/>
      <c r="Q7" s="31"/>
      <c r="R7" s="31"/>
      <c r="S7" s="31"/>
      <c r="T7" s="31"/>
      <c r="U7" s="31"/>
      <c r="V7" s="30"/>
      <c r="W7" s="30"/>
      <c r="X7" s="32"/>
      <c r="Y7" s="30"/>
      <c r="Z7" s="30"/>
      <c r="AA7" s="30"/>
      <c r="AB7" s="30"/>
      <c r="AC7" s="110"/>
      <c r="AD7" s="110"/>
      <c r="AE7" s="110"/>
      <c r="AF7" s="110"/>
      <c r="AG7" s="110"/>
      <c r="AH7" s="17"/>
      <c r="AI7" s="17"/>
      <c r="AJ7" s="31"/>
    </row>
    <row r="8" customHeight="1" spans="1:36">
      <c r="A8" s="33"/>
    </row>
    <row r="9" customHeight="1" spans="1:36">
      <c r="A9" s="8" t="s">
        <v>333</v>
      </c>
    </row>
    <row r="10" customHeight="1" spans="1:36">
      <c r="A10" s="16" t="s">
        <v>291</v>
      </c>
      <c r="B10" s="34" t="s">
        <v>83</v>
      </c>
      <c r="C10" s="34"/>
      <c r="D10" s="34"/>
      <c r="E10" s="34"/>
      <c r="F10" s="34"/>
      <c r="G10" s="34"/>
      <c r="H10" s="34" t="s">
        <v>88</v>
      </c>
      <c r="I10" s="34"/>
      <c r="J10" s="34"/>
      <c r="K10" s="34"/>
      <c r="L10" s="34"/>
      <c r="M10" s="34"/>
      <c r="N10" s="34" t="s">
        <v>334</v>
      </c>
      <c r="O10" s="34"/>
      <c r="P10" s="34"/>
      <c r="Q10" s="34"/>
      <c r="R10" s="34"/>
      <c r="S10" s="34"/>
      <c r="T10" s="9" t="s">
        <v>335</v>
      </c>
      <c r="U10" s="9" t="s">
        <v>336</v>
      </c>
      <c r="V10" s="9" t="s">
        <v>81</v>
      </c>
      <c r="W10" s="9" t="s">
        <v>82</v>
      </c>
    </row>
    <row r="11" s="1" customFormat="1" customHeight="1" spans="1:36">
      <c r="A11" s="16"/>
      <c r="B11" s="16" t="s">
        <v>311</v>
      </c>
      <c r="C11" s="16" t="s">
        <v>312</v>
      </c>
      <c r="D11" s="16" t="s">
        <v>313</v>
      </c>
      <c r="E11" s="16" t="s">
        <v>314</v>
      </c>
      <c r="F11" s="16" t="s">
        <v>337</v>
      </c>
      <c r="G11" s="16" t="s">
        <v>92</v>
      </c>
      <c r="H11" s="16" t="s">
        <v>311</v>
      </c>
      <c r="I11" s="16" t="s">
        <v>312</v>
      </c>
      <c r="J11" s="16" t="s">
        <v>313</v>
      </c>
      <c r="K11" s="16" t="s">
        <v>314</v>
      </c>
      <c r="L11" s="16" t="s">
        <v>337</v>
      </c>
      <c r="M11" s="16" t="s">
        <v>92</v>
      </c>
      <c r="N11" s="16" t="s">
        <v>311</v>
      </c>
      <c r="O11" s="16" t="s">
        <v>312</v>
      </c>
      <c r="P11" s="16" t="s">
        <v>313</v>
      </c>
      <c r="Q11" s="16" t="s">
        <v>314</v>
      </c>
      <c r="R11" s="16" t="s">
        <v>337</v>
      </c>
      <c r="S11" s="16" t="s">
        <v>92</v>
      </c>
      <c r="T11" s="14"/>
      <c r="U11" s="14"/>
      <c r="V11" s="14"/>
      <c r="W11" s="14"/>
    </row>
    <row r="12" customHeight="1" spans="1:36">
      <c r="A12" s="35" t="s">
        <v>448</v>
      </c>
      <c r="B12" s="36">
        <f>SUMIFS($E$21:$E$47,$D$21:$D$47,$B$11,$A$21:$A$47,$A$12)</f>
        <v>1520000</v>
      </c>
      <c r="C12" s="36">
        <f>SUMIFS($E$21:$E$47,$D$21:$D$47,C11,$A$21:$A$47,A12)</f>
        <v>8466630</v>
      </c>
      <c r="D12" s="36">
        <f>SUMIFS($E$21:$E$47,$D$21:$D$47,D11,$A$21:$A$47,A12)</f>
        <v>11849105</v>
      </c>
      <c r="E12" s="36">
        <f>SUMIFS($E$21:$E$47,$D$21:$D$47,E11,$A$21:$A$47,A12)</f>
        <v>0</v>
      </c>
      <c r="F12" s="36">
        <f>SUMIFS($E$21:$E$47,$D$21:$D$47,F11,$A$21:$A$47,A12)</f>
        <v>0</v>
      </c>
      <c r="G12" s="36">
        <f t="shared" ref="G12:G15" si="1">SUM(B12:F12)</f>
        <v>21835735</v>
      </c>
      <c r="H12" s="36">
        <f>SUMIFS($V$21:$V$47,$R$21:$R$47,$H$11,$P$21:$P$47,$A$12)</f>
        <v>1216000</v>
      </c>
      <c r="I12" s="36">
        <f>SUMIFS($V$21:$V$47,$R$21:$R$47,I11,$P$21:$P$47,$A$12)</f>
        <v>8788345</v>
      </c>
      <c r="J12" s="36">
        <f>SUMIFS($V$21:$V$47,$R$21:$R$47,$J$11,$P$21:$P$47,$A$12)</f>
        <v>11849105</v>
      </c>
      <c r="K12" s="36">
        <f>SUMIFS($V$21:$V$47,$R$21:$R$47,$K$11,$P$21:$P$47,$A$12)</f>
        <v>0</v>
      </c>
      <c r="L12" s="36">
        <f>SUMIFS($V$21:$V$47,$R$21:$R$47,$L$11,$P$21:$P$47,$A$12)</f>
        <v>0</v>
      </c>
      <c r="M12" s="36">
        <f t="shared" ref="M12:M15" si="2">SUM(H12:L12)</f>
        <v>21853450</v>
      </c>
      <c r="N12" s="36">
        <f>SUMIFS($O$21:$O$46,$N$21:$N$46,N11,$L$21:$L$46,A12)</f>
        <v>1433932.26</v>
      </c>
      <c r="O12" s="36">
        <f>SUMIFS($O$21:$O$46,$N$21:$N$46,O11,$L$21:$L$46,A12)</f>
        <v>10512225.96</v>
      </c>
      <c r="P12" s="36">
        <f>SUMIFS($O$21:$O$46,$N$21:$N$46,P11,$L$21:$L$46,A12)</f>
        <v>10485933.65</v>
      </c>
      <c r="Q12" s="36">
        <f>SUMIFS($O$21:$O$46,$N$21:$N$46,Q11,$L$21:$L$46,A12)</f>
        <v>0</v>
      </c>
      <c r="R12" s="36">
        <f>SUMIFS($O$21:$O$46,$N$21:$N$46,R11,$L$21:$L$46,A12)</f>
        <v>0</v>
      </c>
      <c r="S12" s="37">
        <f t="shared" ref="S12:S15" si="3">SUM(N12:R12)</f>
        <v>22432091.87</v>
      </c>
      <c r="T12" s="37">
        <f>SUMIF($Z$21:$Z$47,A12,$AE$21:$AE$47)</f>
        <v>21853450</v>
      </c>
      <c r="U12" s="18"/>
      <c r="V12" s="146">
        <f>F4/1.09</f>
        <v>11975779.8165138</v>
      </c>
      <c r="W12" s="146">
        <f>(F5+F7)/1.09</f>
        <v>11712312.6605505</v>
      </c>
      <c r="X12" s="1">
        <v>11975779.8165138</v>
      </c>
      <c r="Y12" s="1">
        <v>11712312.6605505</v>
      </c>
    </row>
    <row r="13" customHeight="1" spans="1:36">
      <c r="A13" s="35" t="s">
        <v>453</v>
      </c>
      <c r="B13" s="36">
        <f>SUMIFS($E$52:$E$77,$D$52:$D$77,B11,$A$52:$A$77,A13)</f>
        <v>0</v>
      </c>
      <c r="C13" s="36">
        <f>SUMIFS($E$52:$E$77,$D$52:$D$77,C11,$A$52:$A$77,A13)</f>
        <v>10060410.06</v>
      </c>
      <c r="D13" s="36">
        <f>SUMIFS($E$52:$E$77,$D$52:$D$77,D11,$A$52:$A$77,A13)</f>
        <v>0</v>
      </c>
      <c r="E13" s="36">
        <f>SUMIFS($E$52:$E$77,$D$52:$D$77,E11,$A$52:$A$77,A13)</f>
        <v>0</v>
      </c>
      <c r="F13" s="36">
        <f>SUMIFS($E$52:$E$77,$D$52:$D$77,F11,$A$52:$A$77,A13)</f>
        <v>0</v>
      </c>
      <c r="G13" s="36">
        <f t="shared" si="1"/>
        <v>10060410.06</v>
      </c>
      <c r="H13" s="36">
        <f>SUMIFS($R$52:$R$77,$N$52:$N$77,H11,$L$52:$L$77,A13)</f>
        <v>0</v>
      </c>
      <c r="I13" s="36">
        <f>SUMIFS($R$52:$R$77,$N$52:$N$77,I11,$L$52:$L$77,A13)</f>
        <v>9744771.5</v>
      </c>
      <c r="J13" s="36">
        <f>SUMIFS($R$52:$R$77,$N$52:$N$77,J11,$L$52:$L$77,A13)</f>
        <v>0</v>
      </c>
      <c r="K13" s="36">
        <f>SUMIFS($R$52:$R$77,$N$52:$N$77,K11,$L$52:$L$77,A13)</f>
        <v>0</v>
      </c>
      <c r="L13" s="36">
        <f>SUMIFS($R$52:$R$77,$N$52:$N$77,L11,$L$52:$L$77,A13)</f>
        <v>0</v>
      </c>
      <c r="M13" s="36">
        <f t="shared" si="2"/>
        <v>9744771.5</v>
      </c>
      <c r="N13" s="36">
        <f>SUMIFS($G$52:$G$77,$D$52:$D$77,N11,$A$52:$A$77,A13)</f>
        <v>0</v>
      </c>
      <c r="O13" s="36">
        <f>SUMIFS($G$52:$G$77,$D$52:$D$77,$O$11,$A$52:$A$77,A13)</f>
        <v>9229734.4</v>
      </c>
      <c r="P13" s="36">
        <f>SUMIFS($G$52:$G$77,$D$52:$D$77,$P$11,$A$52:$A$77,A13)</f>
        <v>0</v>
      </c>
      <c r="Q13" s="36">
        <f>SUMIFS($G$52:$G$77,$D$52:$D$77,$Q$11,$A$52:$A$77,A13)</f>
        <v>0</v>
      </c>
      <c r="R13" s="36">
        <f>SUMIFS($G$52:$G$77,$D$52:$D$77,$R$11,$A$52:$A$77,A13)</f>
        <v>0</v>
      </c>
      <c r="S13" s="37">
        <f t="shared" si="3"/>
        <v>9229734.4</v>
      </c>
      <c r="T13" s="37">
        <f>SUMIF($V$52:$V$77,A13,$AA$52:$AA$77)</f>
        <v>9744771.5</v>
      </c>
      <c r="U13" s="18"/>
      <c r="V13" s="146"/>
      <c r="W13" s="146"/>
    </row>
    <row r="14" customHeight="1" spans="1:36">
      <c r="A14" s="35" t="s">
        <v>456</v>
      </c>
      <c r="B14" s="36">
        <f>SUMIFS($E$52:$E$77,$D$52:$D$77,B11,$A$52:$A$77,A14)</f>
        <v>220000</v>
      </c>
      <c r="C14" s="36">
        <f>SUMIFS($E$52:$E$77,$D$52:$D$77,C11,$A$52:$A$77,A14)</f>
        <v>0</v>
      </c>
      <c r="D14" s="36">
        <f>SUMIFS($E$52:$E$77,$D$52:$D$77,D11,$A$52:$A$77,A14)</f>
        <v>0</v>
      </c>
      <c r="E14" s="36">
        <f>SUMIFS($E$52:$E$77,$D$52:$D$77,E11,$A$52:$A$77,A14)</f>
        <v>0</v>
      </c>
      <c r="F14" s="36">
        <f>SUMIFS($E$52:$E$77,$D$52:$D$77,F11,$A$52:$A$77,A14)</f>
        <v>0</v>
      </c>
      <c r="G14" s="36">
        <f t="shared" si="1"/>
        <v>220000</v>
      </c>
      <c r="H14" s="36">
        <f>SUMIFS($R$52:$R$77,$N$52:$N$77,H11,$L$52:$L$77,A14)</f>
        <v>220000</v>
      </c>
      <c r="I14" s="36">
        <f>SUMIFS($R$52:$R$77,$N$52:$N$77,I11,$L$52:$L$77,A14)</f>
        <v>0</v>
      </c>
      <c r="J14" s="36">
        <f>SUMIFS($R$52:$R$77,$N$52:$N$77,J11,$L$52:$L$77,A14)</f>
        <v>0</v>
      </c>
      <c r="K14" s="36">
        <f>SUMIFS($R$52:$R$77,$N$52:$N$77,K11,$L$52:$L$77,A14)</f>
        <v>0</v>
      </c>
      <c r="L14" s="36">
        <f>SUMIFS($R$52:$R$77,$N$52:$N$77,L11,$L$52:$L$77,A14)</f>
        <v>0</v>
      </c>
      <c r="M14" s="36">
        <f t="shared" si="2"/>
        <v>220000</v>
      </c>
      <c r="N14" s="36">
        <f>SUMIFS($G$52:$G$77,$D$52:$D$77,$N$11,$A$52:$A$77,A14)</f>
        <v>207547.16</v>
      </c>
      <c r="O14" s="36">
        <f>SUMIFS($G$52:$G$77,$D$52:$D$77,$O$11,$A$52:$A$77,A14)</f>
        <v>0</v>
      </c>
      <c r="P14" s="36">
        <f>SUMIFS($G$52:$G$77,$D$52:$D$77,$P$11,$A$52:$A$77,A14)</f>
        <v>0</v>
      </c>
      <c r="Q14" s="36">
        <f>SUMIFS($G$52:$G$77,$D$52:$D$77,$Q$11,$A$52:$A$77,A14)</f>
        <v>0</v>
      </c>
      <c r="R14" s="36">
        <f>SUMIFS($G$52:$G$77,$D$52:$D$77,$R$11,$A$52:$A$77,A14)</f>
        <v>0</v>
      </c>
      <c r="S14" s="37">
        <f t="shared" si="3"/>
        <v>207547.16</v>
      </c>
      <c r="T14" s="37">
        <f>SUMIF($V$52:$V$77,A14,$AA$52:$AA$77)</f>
        <v>220000</v>
      </c>
      <c r="U14" s="18"/>
      <c r="V14" s="146"/>
      <c r="W14" s="146"/>
      <c r="AG14" s="1">
        <v>21853450</v>
      </c>
    </row>
    <row r="15" s="2" customFormat="1" customHeight="1" spans="1:36">
      <c r="A15" s="67" t="s">
        <v>459</v>
      </c>
      <c r="B15" s="36">
        <f>SUMIFS($E$52:$E$77,$D$52:$D$77,B12,$A$52:$A$77,A15)</f>
        <v>0</v>
      </c>
      <c r="C15" s="36">
        <f>SUMIFS($E$52:$E$77,$D$52:$D$77,C12,$A$52:$A$77,A15)</f>
        <v>0</v>
      </c>
      <c r="D15" s="36">
        <f>SUMIFS($E$52:$E$77,$D$52:$D$77,D11,$A$52:$A$77,A15)</f>
        <v>10438655.33</v>
      </c>
      <c r="E15" s="36">
        <f>SUMIFS($E$52:$E$77,$D$52:$D$77,E12,$A$52:$A$77,A15)</f>
        <v>0</v>
      </c>
      <c r="F15" s="36">
        <f>SUMIFS($E$52:$E$77,$D$52:$D$77,F12,$A$52:$A$77,A15)</f>
        <v>0</v>
      </c>
      <c r="G15" s="36">
        <f t="shared" si="1"/>
        <v>10438655.33</v>
      </c>
      <c r="H15" s="36">
        <f>SUMIFS($R$52:$R$77,$N$52:$N$77,H11,$L$52:$L$77,A15)</f>
        <v>0</v>
      </c>
      <c r="I15" s="36">
        <f>SUMIFS($R$52:$R$77,$N$52:$N$77,I12,$L$52:$L$77,A15)</f>
        <v>0</v>
      </c>
      <c r="J15" s="36">
        <f>SUMIFS($R$52:$R$77,$N$52:$N$77,J11,$L$52:$L$77,A15)</f>
        <v>10438655.33</v>
      </c>
      <c r="K15" s="36">
        <f>SUMIFS($R$52:$R$77,$N$52:$N$77,K12,$L$52:$L$77,A15)</f>
        <v>0</v>
      </c>
      <c r="L15" s="36">
        <f>SUMIFS($R$52:$R$77,$N$52:$N$77,L12,$L$52:$L$77,A15)</f>
        <v>0</v>
      </c>
      <c r="M15" s="36">
        <f t="shared" si="2"/>
        <v>10438655.33</v>
      </c>
      <c r="N15" s="36">
        <f>SUMIFS($G$52:$G$77,$D$52:$D$77,$N$11,$A$52:$A$77,A15)</f>
        <v>0</v>
      </c>
      <c r="O15" s="36">
        <f>SUMIFS($G$52:$G$77,$D$52:$D$77,$O$11,$A$52:$A$77,A15)</f>
        <v>0</v>
      </c>
      <c r="P15" s="36">
        <f>SUMIFS($G$52:$G$77,$D$52:$D$77,$P$11,$A$52:$A$77,A15)</f>
        <v>9237748.08</v>
      </c>
      <c r="Q15" s="36">
        <f>SUMIFS($G$52:$G$77,$D$52:$D$77,$Q$11,$A$52:$A$77,A15)</f>
        <v>0</v>
      </c>
      <c r="R15" s="36">
        <f>SUMIFS($G$52:$G$77,$D$52:$D$77,$R$11,$A$52:$A$77,A15)</f>
        <v>0</v>
      </c>
      <c r="S15" s="37">
        <f t="shared" si="3"/>
        <v>9237748.08</v>
      </c>
      <c r="T15" s="37">
        <f>SUMIF($V$52:$V$77,A15,$AA$52:$AA$77)</f>
        <v>10438655.33</v>
      </c>
      <c r="U15" s="61"/>
      <c r="V15" s="65"/>
      <c r="W15" s="65"/>
      <c r="X15" s="116"/>
      <c r="Y15" s="116"/>
      <c r="Z15" s="116"/>
      <c r="AA15" s="116"/>
      <c r="AB15" s="116"/>
      <c r="AC15" s="116"/>
      <c r="AD15" s="116"/>
      <c r="AE15" s="116"/>
      <c r="AF15" s="116"/>
      <c r="AG15" s="116"/>
    </row>
    <row r="16" s="2" customFormat="1" customHeight="1" spans="1:36">
      <c r="A16" s="41"/>
      <c r="B16" s="42"/>
      <c r="C16" s="42"/>
      <c r="D16" s="42"/>
      <c r="E16" s="42"/>
      <c r="F16" s="42"/>
      <c r="G16" s="43">
        <f>G13+G14-C49</f>
        <v>-10438655.33</v>
      </c>
      <c r="H16" s="42"/>
      <c r="I16" s="42"/>
      <c r="J16" s="42"/>
      <c r="K16" s="42"/>
      <c r="L16" s="42"/>
      <c r="M16" s="43">
        <f>M13+M14-R49</f>
        <v>-10438655.33</v>
      </c>
      <c r="N16" s="42"/>
      <c r="O16" s="42"/>
      <c r="P16" s="42"/>
      <c r="Q16" s="42"/>
      <c r="R16" s="42"/>
      <c r="S16" s="43">
        <f>S13+S14-G49</f>
        <v>-9237748.08</v>
      </c>
      <c r="T16" s="43">
        <f>T13+T14-AA49</f>
        <v>-10438655.33</v>
      </c>
      <c r="V16" s="171"/>
      <c r="W16" s="171"/>
      <c r="X16" s="116"/>
      <c r="Y16" s="116"/>
      <c r="Z16" s="116"/>
      <c r="AA16" s="116"/>
      <c r="AB16" s="116"/>
      <c r="AC16" s="116"/>
      <c r="AD16" s="116"/>
      <c r="AE16" s="116"/>
      <c r="AF16" s="116"/>
      <c r="AG16" s="116"/>
    </row>
    <row r="18" s="3" customFormat="1" customHeight="1" spans="1:35">
      <c r="A18" s="44" t="s">
        <v>339</v>
      </c>
      <c r="C18" s="3">
        <f t="shared" ref="C18:H18" si="4">SUM(C21:C46)</f>
        <v>21835735</v>
      </c>
      <c r="E18" s="3">
        <f t="shared" si="4"/>
        <v>21835735</v>
      </c>
      <c r="G18" s="3">
        <f t="shared" si="4"/>
        <v>19687416.37</v>
      </c>
      <c r="H18" s="3">
        <f t="shared" si="4"/>
        <v>2148318.63</v>
      </c>
      <c r="O18" s="3">
        <f>SUM(O21:O46)</f>
        <v>22432091.87</v>
      </c>
      <c r="V18" s="118">
        <f t="shared" ref="V18:X18" si="5">SUM(V21:V46)</f>
        <v>21853450</v>
      </c>
      <c r="W18" s="118">
        <f t="shared" si="5"/>
        <v>19695805.3</v>
      </c>
      <c r="X18" s="118">
        <f t="shared" si="5"/>
        <v>2157644.7</v>
      </c>
      <c r="Y18" s="118"/>
      <c r="Z18" s="118"/>
      <c r="AA18" s="118"/>
      <c r="AB18" s="118"/>
      <c r="AC18" s="118"/>
      <c r="AD18" s="118"/>
      <c r="AE18" s="118">
        <f>SUM(AE21:AE46)</f>
        <v>21853450</v>
      </c>
      <c r="AF18" s="118"/>
      <c r="AG18" s="118"/>
      <c r="AH18" s="3">
        <v>21531735</v>
      </c>
      <c r="AI18" s="3">
        <f>AE18-AH18</f>
        <v>321715</v>
      </c>
    </row>
    <row r="19" s="4" customFormat="1" customHeight="1" spans="1:35">
      <c r="A19" s="45" t="s">
        <v>340</v>
      </c>
      <c r="B19" s="45"/>
      <c r="C19" s="45"/>
      <c r="D19" s="45"/>
      <c r="E19" s="45"/>
      <c r="F19" s="45"/>
      <c r="G19" s="45"/>
      <c r="H19" s="45"/>
      <c r="I19" s="45"/>
      <c r="J19" s="45"/>
      <c r="K19" s="45"/>
      <c r="L19" s="46" t="s">
        <v>341</v>
      </c>
      <c r="M19" s="47"/>
      <c r="N19" s="47"/>
      <c r="O19" s="48"/>
      <c r="P19" s="49" t="s">
        <v>342</v>
      </c>
      <c r="Q19" s="50"/>
      <c r="R19" s="50"/>
      <c r="S19" s="50"/>
      <c r="T19" s="50"/>
      <c r="U19" s="50"/>
      <c r="V19" s="50"/>
      <c r="W19" s="50"/>
      <c r="X19" s="50"/>
      <c r="Y19" s="51"/>
      <c r="Z19" s="52" t="s">
        <v>343</v>
      </c>
      <c r="AA19" s="53"/>
      <c r="AB19" s="53"/>
      <c r="AC19" s="53"/>
      <c r="AD19" s="53"/>
      <c r="AE19" s="53"/>
      <c r="AF19" s="53"/>
      <c r="AG19" s="54"/>
    </row>
    <row r="20" s="4" customFormat="1" ht="47.1" customHeight="1" spans="1:35">
      <c r="A20" s="55" t="s">
        <v>344</v>
      </c>
      <c r="B20" s="55" t="s">
        <v>345</v>
      </c>
      <c r="C20" s="55" t="s">
        <v>346</v>
      </c>
      <c r="D20" s="55" t="s">
        <v>347</v>
      </c>
      <c r="E20" s="55" t="s">
        <v>348</v>
      </c>
      <c r="F20" s="55" t="s">
        <v>349</v>
      </c>
      <c r="G20" s="55" t="s">
        <v>350</v>
      </c>
      <c r="H20" s="55" t="s">
        <v>351</v>
      </c>
      <c r="I20" s="55" t="s">
        <v>352</v>
      </c>
      <c r="J20" s="55" t="s">
        <v>353</v>
      </c>
      <c r="K20" s="55" t="s">
        <v>354</v>
      </c>
      <c r="L20" s="56" t="s">
        <v>344</v>
      </c>
      <c r="M20" s="56" t="s">
        <v>355</v>
      </c>
      <c r="N20" s="56" t="s">
        <v>356</v>
      </c>
      <c r="O20" s="56" t="s">
        <v>357</v>
      </c>
      <c r="P20" s="57" t="s">
        <v>344</v>
      </c>
      <c r="Q20" s="57" t="s">
        <v>355</v>
      </c>
      <c r="R20" s="58" t="s">
        <v>358</v>
      </c>
      <c r="S20" s="57" t="s">
        <v>359</v>
      </c>
      <c r="T20" s="57" t="s">
        <v>360</v>
      </c>
      <c r="U20" s="57" t="s">
        <v>361</v>
      </c>
      <c r="V20" s="57" t="s">
        <v>362</v>
      </c>
      <c r="W20" s="57" t="s">
        <v>363</v>
      </c>
      <c r="X20" s="57" t="s">
        <v>364</v>
      </c>
      <c r="Y20" s="59" t="s">
        <v>349</v>
      </c>
      <c r="Z20" s="60" t="s">
        <v>291</v>
      </c>
      <c r="AA20" s="60" t="s">
        <v>365</v>
      </c>
      <c r="AB20" s="60" t="s">
        <v>366</v>
      </c>
      <c r="AC20" s="60" t="s">
        <v>367</v>
      </c>
      <c r="AD20" s="60" t="s">
        <v>368</v>
      </c>
      <c r="AE20" s="60" t="s">
        <v>369</v>
      </c>
      <c r="AF20" s="60" t="s">
        <v>370</v>
      </c>
      <c r="AG20" s="60" t="s">
        <v>371</v>
      </c>
    </row>
    <row r="21" s="5" customFormat="1" customHeight="1" spans="1:35">
      <c r="A21" s="61" t="s">
        <v>448</v>
      </c>
      <c r="B21" s="61"/>
      <c r="C21" s="37">
        <v>1520000</v>
      </c>
      <c r="D21" s="61" t="s">
        <v>311</v>
      </c>
      <c r="E21" s="37">
        <v>1520000</v>
      </c>
      <c r="F21" s="62">
        <v>0.06</v>
      </c>
      <c r="G21" s="37">
        <v>1433932.26</v>
      </c>
      <c r="H21" s="37">
        <v>86067.74</v>
      </c>
      <c r="I21" s="61"/>
      <c r="J21" s="61"/>
      <c r="K21" s="61"/>
      <c r="L21" s="63" t="s">
        <v>448</v>
      </c>
      <c r="M21" s="71">
        <v>43893</v>
      </c>
      <c r="N21" s="121" t="s">
        <v>311</v>
      </c>
      <c r="O21" s="65">
        <v>1147169.81</v>
      </c>
      <c r="P21" s="63" t="s">
        <v>448</v>
      </c>
      <c r="Q21" s="123">
        <v>43664</v>
      </c>
      <c r="R21" s="61" t="s">
        <v>311</v>
      </c>
      <c r="S21" s="61"/>
      <c r="T21" s="61"/>
      <c r="U21" s="61"/>
      <c r="V21" s="65">
        <v>1216000</v>
      </c>
      <c r="W21" s="65">
        <f>ROUND(V21/(1+Y21),2)</f>
        <v>1147169.81</v>
      </c>
      <c r="X21" s="65">
        <f>V21-W21</f>
        <v>68830.1899999999</v>
      </c>
      <c r="Y21" s="161">
        <v>0.06</v>
      </c>
      <c r="Z21" s="120" t="s">
        <v>448</v>
      </c>
      <c r="AA21" s="162">
        <v>44681</v>
      </c>
      <c r="AB21" s="126" t="s">
        <v>372</v>
      </c>
      <c r="AC21" s="158" t="s">
        <v>450</v>
      </c>
      <c r="AD21" s="69"/>
      <c r="AE21" s="127">
        <v>208000</v>
      </c>
      <c r="AF21" s="120" t="s">
        <v>311</v>
      </c>
      <c r="AG21" s="127"/>
    </row>
    <row r="22" s="5" customFormat="1" customHeight="1" spans="1:35">
      <c r="A22" s="61" t="s">
        <v>448</v>
      </c>
      <c r="B22" s="61"/>
      <c r="C22" s="37">
        <v>8466630</v>
      </c>
      <c r="D22" s="61" t="s">
        <v>312</v>
      </c>
      <c r="E22" s="37">
        <v>8466630</v>
      </c>
      <c r="F22" s="62">
        <v>0.09</v>
      </c>
      <c r="G22" s="37">
        <f>ROUND(E22/(1+F22),2)</f>
        <v>7767550.46</v>
      </c>
      <c r="H22" s="37">
        <f>C22-G22</f>
        <v>699079.54</v>
      </c>
      <c r="I22" s="61"/>
      <c r="J22" s="61"/>
      <c r="K22" s="61"/>
      <c r="L22" s="63" t="s">
        <v>448</v>
      </c>
      <c r="M22" s="71">
        <v>44561</v>
      </c>
      <c r="N22" s="121" t="s">
        <v>312</v>
      </c>
      <c r="O22" s="37">
        <v>9853643.53</v>
      </c>
      <c r="P22" s="63" t="s">
        <v>448</v>
      </c>
      <c r="Q22" s="123">
        <v>43819</v>
      </c>
      <c r="R22" s="61" t="s">
        <v>312</v>
      </c>
      <c r="S22" s="61"/>
      <c r="T22" s="61"/>
      <c r="U22" s="61"/>
      <c r="V22" s="65">
        <v>8466630</v>
      </c>
      <c r="W22" s="65">
        <f>ROUND(V22/(1+Y22),2)</f>
        <v>7767550.46</v>
      </c>
      <c r="X22" s="65">
        <f>V22-W22</f>
        <v>699079.54</v>
      </c>
      <c r="Y22" s="161">
        <v>0.09</v>
      </c>
      <c r="Z22" s="120" t="s">
        <v>448</v>
      </c>
      <c r="AA22" s="162">
        <v>44681</v>
      </c>
      <c r="AB22" s="126" t="s">
        <v>372</v>
      </c>
      <c r="AC22" s="158" t="s">
        <v>450</v>
      </c>
      <c r="AD22" s="69"/>
      <c r="AE22" s="127">
        <v>1008000</v>
      </c>
      <c r="AF22" s="120" t="s">
        <v>311</v>
      </c>
      <c r="AG22" s="127"/>
    </row>
    <row r="23" s="5" customFormat="1" customHeight="1" spans="1:35">
      <c r="A23" s="61" t="s">
        <v>448</v>
      </c>
      <c r="B23" s="61"/>
      <c r="C23" s="37">
        <v>9549012.06</v>
      </c>
      <c r="D23" s="61" t="s">
        <v>313</v>
      </c>
      <c r="E23" s="37">
        <v>9549012.06</v>
      </c>
      <c r="F23" s="62">
        <v>0.13</v>
      </c>
      <c r="G23" s="37">
        <v>8185840.71</v>
      </c>
      <c r="H23" s="37">
        <v>1363171.35</v>
      </c>
      <c r="I23" s="61"/>
      <c r="J23" s="61"/>
      <c r="K23" s="61"/>
      <c r="L23" s="63" t="s">
        <v>448</v>
      </c>
      <c r="M23" s="71">
        <v>44173</v>
      </c>
      <c r="N23" s="121" t="s">
        <v>313</v>
      </c>
      <c r="O23" s="37">
        <v>8185840.71</v>
      </c>
      <c r="P23" s="63" t="s">
        <v>448</v>
      </c>
      <c r="Q23" s="123">
        <v>43832</v>
      </c>
      <c r="R23" s="61" t="s">
        <v>313</v>
      </c>
      <c r="S23" s="61"/>
      <c r="T23" s="61"/>
      <c r="U23" s="61"/>
      <c r="V23" s="65">
        <v>11849105</v>
      </c>
      <c r="W23" s="65">
        <v>10485933.65</v>
      </c>
      <c r="X23" s="65">
        <v>1363171.35</v>
      </c>
      <c r="Y23" s="161">
        <v>0.13</v>
      </c>
      <c r="Z23" s="120" t="s">
        <v>448</v>
      </c>
      <c r="AA23" s="162">
        <v>44681</v>
      </c>
      <c r="AB23" s="126" t="s">
        <v>372</v>
      </c>
      <c r="AC23" s="158" t="s">
        <v>450</v>
      </c>
      <c r="AD23" s="69"/>
      <c r="AE23" s="127">
        <v>20637450</v>
      </c>
      <c r="AF23" s="120" t="s">
        <v>312</v>
      </c>
      <c r="AG23" s="127"/>
      <c r="AH23" s="5">
        <f>AE23</f>
        <v>20637450</v>
      </c>
    </row>
    <row r="24" s="5" customFormat="1" customHeight="1" spans="1:35">
      <c r="A24" s="61" t="s">
        <v>448</v>
      </c>
      <c r="B24" s="61"/>
      <c r="C24" s="37">
        <v>2300092.94</v>
      </c>
      <c r="D24" s="61" t="s">
        <v>313</v>
      </c>
      <c r="E24" s="37">
        <v>2300092.94</v>
      </c>
      <c r="F24" s="62">
        <v>0.13</v>
      </c>
      <c r="G24" s="37">
        <v>2300092.94</v>
      </c>
      <c r="H24" s="37"/>
      <c r="I24" s="61"/>
      <c r="J24" s="61"/>
      <c r="K24" s="61"/>
      <c r="L24" s="63" t="s">
        <v>448</v>
      </c>
      <c r="M24" s="71">
        <v>44173</v>
      </c>
      <c r="N24" s="67" t="s">
        <v>311</v>
      </c>
      <c r="O24" s="124">
        <v>286762.45</v>
      </c>
      <c r="P24" s="63" t="s">
        <v>448</v>
      </c>
      <c r="Q24" s="123">
        <v>44003</v>
      </c>
      <c r="R24" s="61" t="s">
        <v>312</v>
      </c>
      <c r="S24" s="61">
        <v>44578</v>
      </c>
      <c r="T24" s="61" t="s">
        <v>462</v>
      </c>
      <c r="U24" s="61" t="s">
        <v>463</v>
      </c>
      <c r="V24" s="65">
        <v>321715</v>
      </c>
      <c r="W24" s="65">
        <v>295151.38</v>
      </c>
      <c r="X24" s="65">
        <v>26563.62</v>
      </c>
      <c r="Y24" s="161"/>
      <c r="Z24" s="115"/>
      <c r="AA24" s="120"/>
      <c r="AB24" s="126"/>
      <c r="AC24" s="69"/>
      <c r="AD24" s="69"/>
      <c r="AE24" s="127"/>
      <c r="AF24" s="120"/>
      <c r="AG24" s="127"/>
    </row>
    <row r="25" s="5" customFormat="1" customHeight="1" spans="1:35">
      <c r="A25" s="61"/>
      <c r="B25" s="61"/>
      <c r="C25" s="37"/>
      <c r="D25" s="61"/>
      <c r="E25" s="37"/>
      <c r="F25" s="62"/>
      <c r="G25" s="37"/>
      <c r="H25" s="37"/>
      <c r="I25" s="61"/>
      <c r="J25" s="61"/>
      <c r="K25" s="61"/>
      <c r="L25" s="63" t="s">
        <v>448</v>
      </c>
      <c r="M25" s="71">
        <v>45657</v>
      </c>
      <c r="N25" s="67" t="s">
        <v>313</v>
      </c>
      <c r="O25" s="37">
        <v>2300092.94</v>
      </c>
      <c r="P25" s="63"/>
      <c r="Q25" s="61"/>
      <c r="R25" s="61"/>
      <c r="S25" s="61"/>
      <c r="T25" s="61"/>
      <c r="U25" s="61"/>
      <c r="V25" s="65"/>
      <c r="W25" s="65"/>
      <c r="X25" s="65"/>
      <c r="Y25" s="161"/>
      <c r="Z25" s="115"/>
      <c r="AA25" s="120"/>
      <c r="AB25" s="126"/>
      <c r="AC25" s="69"/>
      <c r="AD25" s="69"/>
      <c r="AE25" s="127"/>
      <c r="AF25" s="120"/>
      <c r="AG25" s="127"/>
    </row>
    <row r="26" s="5" customFormat="1" customHeight="1" spans="1:35">
      <c r="A26" s="61"/>
      <c r="B26" s="61"/>
      <c r="C26" s="37"/>
      <c r="D26" s="61"/>
      <c r="E26" s="37"/>
      <c r="F26" s="62"/>
      <c r="G26" s="37"/>
      <c r="H26" s="37"/>
      <c r="I26" s="61"/>
      <c r="J26" s="61"/>
      <c r="K26" s="61"/>
      <c r="L26" s="63" t="s">
        <v>448</v>
      </c>
      <c r="M26" s="71">
        <v>45657</v>
      </c>
      <c r="N26" s="67" t="s">
        <v>312</v>
      </c>
      <c r="O26" s="37">
        <v>658582.43</v>
      </c>
      <c r="P26" s="63"/>
      <c r="Q26" s="61"/>
      <c r="R26" s="61"/>
      <c r="S26" s="61"/>
      <c r="T26" s="61"/>
      <c r="U26" s="61"/>
      <c r="V26" s="65"/>
      <c r="W26" s="65"/>
      <c r="X26" s="65"/>
      <c r="Y26" s="161"/>
      <c r="Z26" s="115"/>
      <c r="AA26" s="120"/>
      <c r="AB26" s="126"/>
      <c r="AC26" s="69"/>
      <c r="AD26" s="69"/>
      <c r="AE26" s="127"/>
      <c r="AF26" s="120"/>
      <c r="AG26" s="127"/>
    </row>
    <row r="27" s="5" customFormat="1" customHeight="1" spans="1:35">
      <c r="A27" s="61"/>
      <c r="B27" s="61"/>
      <c r="C27" s="37"/>
      <c r="D27" s="61"/>
      <c r="E27" s="37"/>
      <c r="F27" s="62"/>
      <c r="G27" s="37"/>
      <c r="H27" s="37"/>
      <c r="I27" s="61"/>
      <c r="J27" s="61"/>
      <c r="K27" s="61"/>
      <c r="L27" s="63"/>
      <c r="M27" s="61"/>
      <c r="N27" s="61"/>
      <c r="O27" s="37"/>
      <c r="P27" s="63"/>
      <c r="Q27" s="61"/>
      <c r="R27" s="61"/>
      <c r="S27" s="61"/>
      <c r="T27" s="61"/>
      <c r="U27" s="61"/>
      <c r="V27" s="65"/>
      <c r="W27" s="65"/>
      <c r="X27" s="65"/>
      <c r="Y27" s="161"/>
      <c r="Z27" s="115"/>
      <c r="AA27" s="120"/>
      <c r="AB27" s="126"/>
      <c r="AC27" s="69"/>
      <c r="AD27" s="69"/>
      <c r="AE27" s="127"/>
      <c r="AF27" s="120"/>
      <c r="AG27" s="127"/>
    </row>
    <row r="28" s="5" customFormat="1" customHeight="1" spans="1:35">
      <c r="A28" s="61"/>
      <c r="B28" s="61"/>
      <c r="C28" s="37"/>
      <c r="D28" s="61"/>
      <c r="E28" s="37"/>
      <c r="F28" s="62"/>
      <c r="G28" s="37"/>
      <c r="H28" s="37"/>
      <c r="I28" s="61"/>
      <c r="J28" s="61"/>
      <c r="K28" s="61"/>
      <c r="L28" s="63"/>
      <c r="M28" s="61"/>
      <c r="N28" s="61"/>
      <c r="O28" s="37"/>
      <c r="P28" s="63"/>
      <c r="Q28" s="61"/>
      <c r="R28" s="61"/>
      <c r="S28" s="61"/>
      <c r="T28" s="61"/>
      <c r="U28" s="61"/>
      <c r="V28" s="65"/>
      <c r="W28" s="65"/>
      <c r="X28" s="65"/>
      <c r="Y28" s="161"/>
      <c r="Z28" s="115"/>
      <c r="AA28" s="120"/>
      <c r="AB28" s="126"/>
      <c r="AC28" s="69"/>
      <c r="AD28" s="69"/>
      <c r="AE28" s="127"/>
      <c r="AF28" s="120"/>
      <c r="AG28" s="127"/>
    </row>
    <row r="29" s="5" customFormat="1" customHeight="1" spans="1:35">
      <c r="A29" s="61"/>
      <c r="B29" s="61"/>
      <c r="C29" s="37"/>
      <c r="D29" s="61"/>
      <c r="E29" s="37"/>
      <c r="F29" s="62"/>
      <c r="G29" s="37"/>
      <c r="H29" s="37"/>
      <c r="I29" s="61"/>
      <c r="J29" s="61"/>
      <c r="K29" s="61"/>
      <c r="L29" s="63"/>
      <c r="M29" s="61"/>
      <c r="N29" s="61"/>
      <c r="O29" s="37"/>
      <c r="P29" s="63"/>
      <c r="Q29" s="61"/>
      <c r="R29" s="61"/>
      <c r="S29" s="61"/>
      <c r="T29" s="61"/>
      <c r="U29" s="61"/>
      <c r="V29" s="65"/>
      <c r="W29" s="65"/>
      <c r="X29" s="65"/>
      <c r="Y29" s="161"/>
      <c r="Z29" s="115"/>
      <c r="AA29" s="120"/>
      <c r="AB29" s="126"/>
      <c r="AC29" s="69"/>
      <c r="AD29" s="69"/>
      <c r="AE29" s="127"/>
      <c r="AF29" s="120"/>
      <c r="AG29" s="127"/>
    </row>
    <row r="30" s="5" customFormat="1" customHeight="1" spans="1:35">
      <c r="A30" s="61"/>
      <c r="B30" s="61"/>
      <c r="C30" s="37"/>
      <c r="D30" s="61"/>
      <c r="E30" s="37"/>
      <c r="F30" s="62"/>
      <c r="G30" s="37"/>
      <c r="H30" s="37"/>
      <c r="I30" s="61"/>
      <c r="J30" s="61"/>
      <c r="K30" s="61"/>
      <c r="L30" s="63"/>
      <c r="M30" s="61"/>
      <c r="N30" s="61"/>
      <c r="O30" s="37"/>
      <c r="P30" s="63"/>
      <c r="Q30" s="61"/>
      <c r="R30" s="61"/>
      <c r="S30" s="61"/>
      <c r="T30" s="61"/>
      <c r="U30" s="61"/>
      <c r="V30" s="65"/>
      <c r="W30" s="65"/>
      <c r="X30" s="65"/>
      <c r="Y30" s="161"/>
      <c r="Z30" s="115"/>
      <c r="AA30" s="120"/>
      <c r="AB30" s="126"/>
      <c r="AC30" s="69"/>
      <c r="AD30" s="69"/>
      <c r="AE30" s="127"/>
      <c r="AF30" s="120"/>
      <c r="AG30" s="127"/>
    </row>
    <row r="31" s="5" customFormat="1" customHeight="1" spans="1:35">
      <c r="A31" s="61"/>
      <c r="B31" s="61"/>
      <c r="C31" s="37"/>
      <c r="D31" s="61"/>
      <c r="E31" s="37"/>
      <c r="F31" s="62"/>
      <c r="G31" s="37"/>
      <c r="H31" s="37"/>
      <c r="I31" s="61"/>
      <c r="J31" s="61"/>
      <c r="K31" s="61"/>
      <c r="L31" s="63"/>
      <c r="M31" s="61"/>
      <c r="N31" s="61"/>
      <c r="O31" s="37"/>
      <c r="P31" s="63"/>
      <c r="Q31" s="61"/>
      <c r="R31" s="61"/>
      <c r="S31" s="61"/>
      <c r="T31" s="61"/>
      <c r="U31" s="61"/>
      <c r="V31" s="65"/>
      <c r="W31" s="65"/>
      <c r="X31" s="65"/>
      <c r="Y31" s="161"/>
      <c r="Z31" s="115"/>
      <c r="AA31" s="120"/>
      <c r="AB31" s="126"/>
      <c r="AC31" s="69"/>
      <c r="AD31" s="69"/>
      <c r="AE31" s="127"/>
      <c r="AF31" s="120"/>
      <c r="AG31" s="127"/>
    </row>
    <row r="32" s="5" customFormat="1" customHeight="1" spans="1:35">
      <c r="A32" s="61"/>
      <c r="B32" s="61"/>
      <c r="C32" s="37"/>
      <c r="D32" s="61"/>
      <c r="E32" s="37"/>
      <c r="F32" s="62"/>
      <c r="G32" s="37"/>
      <c r="H32" s="37"/>
      <c r="I32" s="61"/>
      <c r="J32" s="61"/>
      <c r="K32" s="61"/>
      <c r="L32" s="61"/>
      <c r="M32" s="61"/>
      <c r="N32" s="61"/>
      <c r="O32" s="37"/>
      <c r="P32" s="63"/>
      <c r="Q32" s="61"/>
      <c r="R32" s="61"/>
      <c r="S32" s="61"/>
      <c r="T32" s="61"/>
      <c r="U32" s="61"/>
      <c r="V32" s="65"/>
      <c r="W32" s="65"/>
      <c r="X32" s="65"/>
      <c r="Y32" s="161"/>
      <c r="Z32" s="115"/>
      <c r="AA32" s="120"/>
      <c r="AB32" s="126"/>
      <c r="AC32" s="69"/>
      <c r="AD32" s="69"/>
      <c r="AE32" s="127"/>
      <c r="AF32" s="120"/>
      <c r="AG32" s="127"/>
    </row>
    <row r="33" s="5" customFormat="1" customHeight="1" spans="1:33">
      <c r="A33" s="61"/>
      <c r="B33" s="61"/>
      <c r="C33" s="37"/>
      <c r="D33" s="61"/>
      <c r="E33" s="37"/>
      <c r="F33" s="62"/>
      <c r="G33" s="37"/>
      <c r="H33" s="37"/>
      <c r="I33" s="61"/>
      <c r="J33" s="61"/>
      <c r="K33" s="61"/>
      <c r="L33" s="61"/>
      <c r="M33" s="61"/>
      <c r="N33" s="61"/>
      <c r="O33" s="37"/>
      <c r="P33" s="63"/>
      <c r="Q33" s="61"/>
      <c r="R33" s="61"/>
      <c r="S33" s="61"/>
      <c r="T33" s="61"/>
      <c r="U33" s="61"/>
      <c r="V33" s="65"/>
      <c r="W33" s="65"/>
      <c r="X33" s="65"/>
      <c r="Y33" s="161"/>
      <c r="Z33" s="120"/>
      <c r="AA33" s="120"/>
      <c r="AB33" s="126"/>
      <c r="AC33" s="69"/>
      <c r="AD33" s="69"/>
      <c r="AE33" s="127"/>
      <c r="AF33" s="120"/>
      <c r="AG33" s="127"/>
    </row>
    <row r="34" s="5" customFormat="1" customHeight="1" spans="1:33">
      <c r="A34" s="61"/>
      <c r="B34" s="61"/>
      <c r="C34" s="37"/>
      <c r="D34" s="61"/>
      <c r="E34" s="37"/>
      <c r="F34" s="62"/>
      <c r="G34" s="37"/>
      <c r="H34" s="37"/>
      <c r="I34" s="61"/>
      <c r="J34" s="61"/>
      <c r="K34" s="61"/>
      <c r="L34" s="61"/>
      <c r="M34" s="61"/>
      <c r="N34" s="61"/>
      <c r="O34" s="37"/>
      <c r="P34" s="63"/>
      <c r="Q34" s="61"/>
      <c r="R34" s="61"/>
      <c r="S34" s="61"/>
      <c r="T34" s="61"/>
      <c r="U34" s="61"/>
      <c r="V34" s="65"/>
      <c r="W34" s="65"/>
      <c r="X34" s="65"/>
      <c r="Y34" s="161"/>
      <c r="Z34" s="120"/>
      <c r="AA34" s="120"/>
      <c r="AB34" s="126"/>
      <c r="AC34" s="69"/>
      <c r="AD34" s="69"/>
      <c r="AE34" s="127"/>
      <c r="AF34" s="120"/>
      <c r="AG34" s="127"/>
    </row>
    <row r="35" s="5" customFormat="1" customHeight="1" spans="1:33">
      <c r="A35" s="61"/>
      <c r="B35" s="61"/>
      <c r="C35" s="37"/>
      <c r="D35" s="61"/>
      <c r="E35" s="37"/>
      <c r="F35" s="62"/>
      <c r="G35" s="37"/>
      <c r="H35" s="37"/>
      <c r="I35" s="61"/>
      <c r="J35" s="61"/>
      <c r="K35" s="61"/>
      <c r="L35" s="61"/>
      <c r="M35" s="61"/>
      <c r="N35" s="61"/>
      <c r="O35" s="37"/>
      <c r="P35" s="63"/>
      <c r="Q35" s="61"/>
      <c r="R35" s="61"/>
      <c r="S35" s="61"/>
      <c r="T35" s="61"/>
      <c r="U35" s="61"/>
      <c r="V35" s="65"/>
      <c r="W35" s="65"/>
      <c r="X35" s="65"/>
      <c r="Y35" s="161"/>
      <c r="Z35" s="120"/>
      <c r="AA35" s="120"/>
      <c r="AB35" s="126"/>
      <c r="AC35" s="69"/>
      <c r="AD35" s="69"/>
      <c r="AE35" s="127"/>
      <c r="AF35" s="120"/>
      <c r="AG35" s="127"/>
    </row>
    <row r="36" s="5" customFormat="1" customHeight="1" spans="1:33">
      <c r="A36" s="61"/>
      <c r="B36" s="61"/>
      <c r="C36" s="37"/>
      <c r="D36" s="61"/>
      <c r="E36" s="37"/>
      <c r="F36" s="62"/>
      <c r="G36" s="37"/>
      <c r="H36" s="37"/>
      <c r="I36" s="61"/>
      <c r="J36" s="61"/>
      <c r="K36" s="61"/>
      <c r="L36" s="61"/>
      <c r="M36" s="61"/>
      <c r="N36" s="61"/>
      <c r="O36" s="37"/>
      <c r="P36" s="63"/>
      <c r="Q36" s="61"/>
      <c r="R36" s="61"/>
      <c r="S36" s="61"/>
      <c r="T36" s="61"/>
      <c r="U36" s="61"/>
      <c r="V36" s="65"/>
      <c r="W36" s="65"/>
      <c r="X36" s="65"/>
      <c r="Y36" s="161"/>
      <c r="Z36" s="120"/>
      <c r="AA36" s="120"/>
      <c r="AB36" s="126"/>
      <c r="AC36" s="69"/>
      <c r="AD36" s="69"/>
      <c r="AE36" s="127"/>
      <c r="AF36" s="120"/>
      <c r="AG36" s="127"/>
    </row>
    <row r="37" s="5" customFormat="1" customHeight="1" spans="1:33">
      <c r="A37" s="61"/>
      <c r="B37" s="61"/>
      <c r="C37" s="37"/>
      <c r="D37" s="61"/>
      <c r="E37" s="37"/>
      <c r="F37" s="62"/>
      <c r="G37" s="37"/>
      <c r="H37" s="37"/>
      <c r="I37" s="61"/>
      <c r="J37" s="61"/>
      <c r="K37" s="61"/>
      <c r="L37" s="61"/>
      <c r="M37" s="61"/>
      <c r="N37" s="61"/>
      <c r="O37" s="37"/>
      <c r="P37" s="63"/>
      <c r="Q37" s="61"/>
      <c r="R37" s="61"/>
      <c r="S37" s="61"/>
      <c r="T37" s="61"/>
      <c r="U37" s="61"/>
      <c r="V37" s="65"/>
      <c r="W37" s="65"/>
      <c r="X37" s="65"/>
      <c r="Y37" s="161"/>
      <c r="Z37" s="120"/>
      <c r="AA37" s="120"/>
      <c r="AB37" s="126"/>
      <c r="AC37" s="69"/>
      <c r="AD37" s="69"/>
      <c r="AE37" s="127"/>
      <c r="AF37" s="120"/>
      <c r="AG37" s="127"/>
    </row>
    <row r="38" s="5" customFormat="1" customHeight="1" spans="1:33">
      <c r="A38" s="61"/>
      <c r="B38" s="61"/>
      <c r="C38" s="37"/>
      <c r="D38" s="61"/>
      <c r="E38" s="37"/>
      <c r="F38" s="62"/>
      <c r="G38" s="37"/>
      <c r="H38" s="37"/>
      <c r="I38" s="61"/>
      <c r="J38" s="61"/>
      <c r="K38" s="61"/>
      <c r="L38" s="61"/>
      <c r="M38" s="61"/>
      <c r="N38" s="61"/>
      <c r="O38" s="37"/>
      <c r="P38" s="63"/>
      <c r="Q38" s="61"/>
      <c r="R38" s="61"/>
      <c r="S38" s="61"/>
      <c r="T38" s="61"/>
      <c r="U38" s="61"/>
      <c r="V38" s="65"/>
      <c r="W38" s="65"/>
      <c r="X38" s="65"/>
      <c r="Y38" s="161"/>
      <c r="Z38" s="120"/>
      <c r="AA38" s="120"/>
      <c r="AB38" s="126"/>
      <c r="AC38" s="69"/>
      <c r="AD38" s="69"/>
      <c r="AE38" s="127"/>
      <c r="AF38" s="120"/>
      <c r="AG38" s="127"/>
    </row>
    <row r="39" s="5" customFormat="1" customHeight="1" spans="1:33">
      <c r="A39" s="61"/>
      <c r="B39" s="61"/>
      <c r="C39" s="37"/>
      <c r="D39" s="61"/>
      <c r="E39" s="37"/>
      <c r="F39" s="62"/>
      <c r="G39" s="37"/>
      <c r="H39" s="37"/>
      <c r="I39" s="61"/>
      <c r="J39" s="61"/>
      <c r="K39" s="61"/>
      <c r="L39" s="61"/>
      <c r="M39" s="61"/>
      <c r="N39" s="61"/>
      <c r="O39" s="37"/>
      <c r="P39" s="61"/>
      <c r="Q39" s="61"/>
      <c r="R39" s="61"/>
      <c r="S39" s="61"/>
      <c r="T39" s="61"/>
      <c r="U39" s="61"/>
      <c r="V39" s="65"/>
      <c r="W39" s="65"/>
      <c r="X39" s="65"/>
      <c r="Y39" s="120"/>
      <c r="Z39" s="120"/>
      <c r="AA39" s="120"/>
      <c r="AB39" s="126"/>
      <c r="AC39" s="69"/>
      <c r="AD39" s="69"/>
      <c r="AE39" s="127"/>
      <c r="AF39" s="120"/>
      <c r="AG39" s="127"/>
    </row>
    <row r="40" s="5" customFormat="1" customHeight="1" spans="1:33">
      <c r="A40" s="61"/>
      <c r="B40" s="61"/>
      <c r="C40" s="37"/>
      <c r="D40" s="61"/>
      <c r="E40" s="37"/>
      <c r="F40" s="62"/>
      <c r="G40" s="37"/>
      <c r="H40" s="37"/>
      <c r="I40" s="61"/>
      <c r="J40" s="61"/>
      <c r="K40" s="61"/>
      <c r="L40" s="61"/>
      <c r="M40" s="61"/>
      <c r="N40" s="61"/>
      <c r="O40" s="37"/>
      <c r="P40" s="61"/>
      <c r="Q40" s="61"/>
      <c r="R40" s="61"/>
      <c r="S40" s="61"/>
      <c r="T40" s="61"/>
      <c r="U40" s="61"/>
      <c r="V40" s="65"/>
      <c r="W40" s="65"/>
      <c r="X40" s="65"/>
      <c r="Y40" s="120"/>
      <c r="Z40" s="120"/>
      <c r="AA40" s="120"/>
      <c r="AB40" s="126"/>
      <c r="AC40" s="69"/>
      <c r="AD40" s="69"/>
      <c r="AE40" s="127"/>
      <c r="AF40" s="120"/>
      <c r="AG40" s="127"/>
    </row>
    <row r="41" s="5" customFormat="1" customHeight="1" spans="1:33">
      <c r="A41" s="61"/>
      <c r="B41" s="61"/>
      <c r="C41" s="37"/>
      <c r="D41" s="61"/>
      <c r="E41" s="37"/>
      <c r="F41" s="62"/>
      <c r="G41" s="37"/>
      <c r="H41" s="37"/>
      <c r="I41" s="61"/>
      <c r="J41" s="61"/>
      <c r="K41" s="61"/>
      <c r="L41" s="61"/>
      <c r="M41" s="61"/>
      <c r="N41" s="61"/>
      <c r="O41" s="37"/>
      <c r="P41" s="61"/>
      <c r="Q41" s="61"/>
      <c r="R41" s="61"/>
      <c r="S41" s="61"/>
      <c r="T41" s="61"/>
      <c r="U41" s="61"/>
      <c r="V41" s="65"/>
      <c r="W41" s="65"/>
      <c r="X41" s="65"/>
      <c r="Y41" s="120"/>
      <c r="Z41" s="120"/>
      <c r="AA41" s="120"/>
      <c r="AB41" s="126"/>
      <c r="AC41" s="69"/>
      <c r="AD41" s="69"/>
      <c r="AE41" s="127"/>
      <c r="AF41" s="120"/>
      <c r="AG41" s="127"/>
    </row>
    <row r="42" s="5" customFormat="1" customHeight="1" spans="1:33">
      <c r="A42" s="61"/>
      <c r="B42" s="61"/>
      <c r="C42" s="37"/>
      <c r="D42" s="61"/>
      <c r="E42" s="37"/>
      <c r="F42" s="62"/>
      <c r="G42" s="37"/>
      <c r="H42" s="37"/>
      <c r="I42" s="61"/>
      <c r="J42" s="61"/>
      <c r="K42" s="61"/>
      <c r="L42" s="61"/>
      <c r="M42" s="61"/>
      <c r="N42" s="61"/>
      <c r="O42" s="37"/>
      <c r="P42" s="61"/>
      <c r="Q42" s="61"/>
      <c r="R42" s="61"/>
      <c r="S42" s="61"/>
      <c r="T42" s="61"/>
      <c r="U42" s="61"/>
      <c r="V42" s="65"/>
      <c r="W42" s="65"/>
      <c r="X42" s="65"/>
      <c r="Y42" s="120"/>
      <c r="Z42" s="120"/>
      <c r="AA42" s="120"/>
      <c r="AB42" s="126"/>
      <c r="AC42" s="69"/>
      <c r="AD42" s="69"/>
      <c r="AE42" s="127"/>
      <c r="AF42" s="120"/>
      <c r="AG42" s="127"/>
    </row>
    <row r="43" s="5" customFormat="1" customHeight="1" spans="1:33">
      <c r="A43" s="61"/>
      <c r="B43" s="61"/>
      <c r="C43" s="37"/>
      <c r="D43" s="61"/>
      <c r="E43" s="37"/>
      <c r="F43" s="62"/>
      <c r="G43" s="37"/>
      <c r="H43" s="37"/>
      <c r="I43" s="61"/>
      <c r="J43" s="61"/>
      <c r="K43" s="61"/>
      <c r="L43" s="61"/>
      <c r="M43" s="61"/>
      <c r="N43" s="61"/>
      <c r="O43" s="37"/>
      <c r="P43" s="61"/>
      <c r="Q43" s="61"/>
      <c r="R43" s="61"/>
      <c r="S43" s="61"/>
      <c r="T43" s="61"/>
      <c r="U43" s="61"/>
      <c r="V43" s="65"/>
      <c r="W43" s="65"/>
      <c r="X43" s="65"/>
      <c r="Y43" s="120"/>
      <c r="Z43" s="120"/>
      <c r="AA43" s="120"/>
      <c r="AB43" s="128"/>
      <c r="AC43" s="128"/>
      <c r="AD43" s="128"/>
      <c r="AE43" s="128"/>
      <c r="AF43" s="120"/>
      <c r="AG43" s="128"/>
    </row>
    <row r="44" s="5" customFormat="1" customHeight="1" spans="1:33">
      <c r="A44" s="61"/>
      <c r="B44" s="61"/>
      <c r="C44" s="37"/>
      <c r="D44" s="61"/>
      <c r="E44" s="37"/>
      <c r="F44" s="62"/>
      <c r="G44" s="37"/>
      <c r="H44" s="37"/>
      <c r="I44" s="61"/>
      <c r="J44" s="61"/>
      <c r="K44" s="61"/>
      <c r="L44" s="61"/>
      <c r="M44" s="61"/>
      <c r="N44" s="61"/>
      <c r="O44" s="37"/>
      <c r="P44" s="61"/>
      <c r="Q44" s="61"/>
      <c r="R44" s="61"/>
      <c r="S44" s="61"/>
      <c r="T44" s="61"/>
      <c r="U44" s="61"/>
      <c r="V44" s="65"/>
      <c r="W44" s="65"/>
      <c r="X44" s="65"/>
      <c r="Y44" s="120"/>
      <c r="Z44" s="120"/>
      <c r="AA44" s="120"/>
      <c r="AB44" s="128"/>
      <c r="AC44" s="128"/>
      <c r="AD44" s="128"/>
      <c r="AE44" s="128"/>
      <c r="AF44" s="120"/>
      <c r="AG44" s="128"/>
    </row>
    <row r="45" s="5" customFormat="1" customHeight="1" spans="1:33">
      <c r="A45" s="61"/>
      <c r="B45" s="61"/>
      <c r="C45" s="37"/>
      <c r="D45" s="61"/>
      <c r="E45" s="37"/>
      <c r="F45" s="62"/>
      <c r="G45" s="37"/>
      <c r="H45" s="37"/>
      <c r="I45" s="61"/>
      <c r="J45" s="61"/>
      <c r="K45" s="61"/>
      <c r="L45" s="61"/>
      <c r="M45" s="61"/>
      <c r="N45" s="61"/>
      <c r="O45" s="37"/>
      <c r="P45" s="61"/>
      <c r="Q45" s="61"/>
      <c r="R45" s="61"/>
      <c r="S45" s="61"/>
      <c r="T45" s="61"/>
      <c r="U45" s="61"/>
      <c r="V45" s="65"/>
      <c r="W45" s="65"/>
      <c r="X45" s="65"/>
      <c r="Y45" s="120"/>
      <c r="Z45" s="120"/>
      <c r="AA45" s="120"/>
      <c r="AB45" s="128"/>
      <c r="AC45" s="128"/>
      <c r="AD45" s="128"/>
      <c r="AE45" s="128"/>
      <c r="AF45" s="120"/>
      <c r="AG45" s="128"/>
    </row>
    <row r="46" s="5" customFormat="1" customHeight="1" spans="1:33">
      <c r="A46" s="61"/>
      <c r="B46" s="61"/>
      <c r="C46" s="37"/>
      <c r="D46" s="61"/>
      <c r="E46" s="37"/>
      <c r="F46" s="62"/>
      <c r="G46" s="37"/>
      <c r="H46" s="37"/>
      <c r="I46" s="61"/>
      <c r="J46" s="61"/>
      <c r="K46" s="61"/>
      <c r="L46" s="61"/>
      <c r="M46" s="61"/>
      <c r="N46" s="61"/>
      <c r="O46" s="37"/>
      <c r="P46" s="61"/>
      <c r="Q46" s="61"/>
      <c r="R46" s="61"/>
      <c r="S46" s="61"/>
      <c r="T46" s="61"/>
      <c r="U46" s="61"/>
      <c r="V46" s="65"/>
      <c r="W46" s="65"/>
      <c r="X46" s="65"/>
      <c r="Y46" s="120"/>
      <c r="Z46" s="120"/>
      <c r="AA46" s="120"/>
      <c r="AB46" s="128"/>
      <c r="AC46" s="128"/>
      <c r="AD46" s="128"/>
      <c r="AE46" s="128"/>
      <c r="AF46" s="120"/>
      <c r="AG46" s="128"/>
    </row>
    <row r="47" s="5" customFormat="1" customHeight="1" spans="1:33">
      <c r="A47" s="73"/>
      <c r="B47" s="73"/>
      <c r="C47" s="74"/>
      <c r="D47" s="73"/>
      <c r="E47" s="74"/>
      <c r="F47" s="73"/>
      <c r="G47" s="74"/>
      <c r="H47" s="74"/>
      <c r="I47" s="73"/>
      <c r="J47" s="73"/>
      <c r="K47" s="73"/>
      <c r="L47" s="73"/>
      <c r="M47" s="73"/>
      <c r="N47" s="73"/>
      <c r="O47" s="74"/>
      <c r="P47" s="73"/>
      <c r="Q47" s="73"/>
      <c r="R47" s="73"/>
      <c r="S47" s="73"/>
      <c r="T47" s="73"/>
      <c r="U47" s="73"/>
      <c r="V47" s="130"/>
      <c r="W47" s="130"/>
      <c r="X47" s="130"/>
      <c r="Y47" s="129"/>
      <c r="Z47" s="129"/>
      <c r="AA47" s="129"/>
      <c r="AB47" s="131"/>
      <c r="AC47" s="131"/>
      <c r="AD47" s="131"/>
      <c r="AE47" s="131"/>
      <c r="AF47" s="131"/>
      <c r="AG47" s="131"/>
    </row>
    <row r="49" s="3" customFormat="1" customHeight="1" spans="1:34">
      <c r="A49" s="44" t="s">
        <v>373</v>
      </c>
      <c r="C49" s="3">
        <f>SUM(C52:C76)</f>
        <v>20719065.39</v>
      </c>
      <c r="E49" s="3">
        <f>SUM(E52:E76)</f>
        <v>20719065.39</v>
      </c>
      <c r="G49" s="3">
        <f>SUM(G52:G76)</f>
        <v>18675029.64</v>
      </c>
      <c r="H49" s="3">
        <f>SUM(H52:H76)</f>
        <v>2044035.75</v>
      </c>
      <c r="J49" s="3">
        <f>SUM(J52:J76)</f>
        <v>0</v>
      </c>
      <c r="K49" s="3">
        <f>SUM(K52:K76)</f>
        <v>0</v>
      </c>
      <c r="R49" s="3">
        <f t="shared" ref="R49:T49" si="6">SUM(R52:R76)</f>
        <v>20403426.83</v>
      </c>
      <c r="S49" s="3">
        <f t="shared" si="6"/>
        <v>18385452.58</v>
      </c>
      <c r="T49" s="3">
        <f t="shared" si="6"/>
        <v>2017974.25</v>
      </c>
      <c r="V49" s="118"/>
      <c r="W49" s="118"/>
      <c r="X49" s="118"/>
      <c r="Y49" s="118"/>
      <c r="Z49" s="118"/>
      <c r="AA49" s="118">
        <f>SUM(AA52:AA76)</f>
        <v>20403426.83</v>
      </c>
      <c r="AB49" s="118"/>
      <c r="AC49" s="118"/>
      <c r="AD49" s="118"/>
      <c r="AE49" s="118">
        <v>20403426.83</v>
      </c>
      <c r="AF49" s="118"/>
      <c r="AG49" s="118"/>
    </row>
    <row r="50" s="4" customFormat="1" customHeight="1" spans="1:34">
      <c r="A50" s="45" t="s">
        <v>374</v>
      </c>
      <c r="B50" s="45"/>
      <c r="C50" s="45"/>
      <c r="D50" s="45"/>
      <c r="E50" s="45"/>
      <c r="F50" s="45"/>
      <c r="G50" s="45"/>
      <c r="H50" s="45"/>
      <c r="I50" s="45"/>
      <c r="J50" s="45"/>
      <c r="K50" s="45"/>
      <c r="L50" s="49" t="s">
        <v>375</v>
      </c>
      <c r="M50" s="50"/>
      <c r="N50" s="50"/>
      <c r="O50" s="50"/>
      <c r="P50" s="50"/>
      <c r="Q50" s="50"/>
      <c r="R50" s="50"/>
      <c r="S50" s="50"/>
      <c r="T50" s="50"/>
      <c r="U50" s="51"/>
      <c r="V50" s="52" t="s">
        <v>376</v>
      </c>
      <c r="W50" s="53"/>
      <c r="X50" s="53"/>
      <c r="Y50" s="53"/>
      <c r="Z50" s="53"/>
      <c r="AA50" s="53"/>
      <c r="AB50" s="53"/>
      <c r="AC50" s="54"/>
      <c r="AD50" s="132"/>
      <c r="AE50" s="132"/>
      <c r="AF50" s="132"/>
      <c r="AG50" s="132"/>
    </row>
    <row r="51" s="4" customFormat="1" customHeight="1" spans="1:34">
      <c r="A51" s="55" t="s">
        <v>291</v>
      </c>
      <c r="B51" s="55" t="s">
        <v>345</v>
      </c>
      <c r="C51" s="55" t="s">
        <v>346</v>
      </c>
      <c r="D51" s="55" t="s">
        <v>347</v>
      </c>
      <c r="E51" s="55" t="s">
        <v>377</v>
      </c>
      <c r="F51" s="55" t="s">
        <v>349</v>
      </c>
      <c r="G51" s="55" t="s">
        <v>350</v>
      </c>
      <c r="H51" s="55" t="s">
        <v>351</v>
      </c>
      <c r="I51" s="55" t="s">
        <v>352</v>
      </c>
      <c r="J51" s="55" t="s">
        <v>353</v>
      </c>
      <c r="K51" s="55" t="s">
        <v>354</v>
      </c>
      <c r="L51" s="57" t="s">
        <v>291</v>
      </c>
      <c r="M51" s="57" t="s">
        <v>355</v>
      </c>
      <c r="N51" s="58" t="s">
        <v>358</v>
      </c>
      <c r="O51" s="57" t="s">
        <v>359</v>
      </c>
      <c r="P51" s="57" t="s">
        <v>360</v>
      </c>
      <c r="Q51" s="57" t="s">
        <v>361</v>
      </c>
      <c r="R51" s="57" t="s">
        <v>362</v>
      </c>
      <c r="S51" s="57" t="s">
        <v>363</v>
      </c>
      <c r="T51" s="57" t="s">
        <v>364</v>
      </c>
      <c r="U51" s="59" t="s">
        <v>349</v>
      </c>
      <c r="V51" s="60" t="s">
        <v>291</v>
      </c>
      <c r="W51" s="60" t="s">
        <v>365</v>
      </c>
      <c r="X51" s="60" t="s">
        <v>378</v>
      </c>
      <c r="Y51" s="60" t="s">
        <v>379</v>
      </c>
      <c r="Z51" s="60" t="s">
        <v>380</v>
      </c>
      <c r="AA51" s="60" t="s">
        <v>381</v>
      </c>
      <c r="AB51" s="60" t="s">
        <v>382</v>
      </c>
      <c r="AC51" s="60" t="s">
        <v>383</v>
      </c>
      <c r="AD51" s="132"/>
      <c r="AE51" s="132"/>
      <c r="AF51" s="132"/>
      <c r="AG51" s="132"/>
    </row>
    <row r="52" s="5" customFormat="1" customHeight="1" spans="1:34">
      <c r="A52" s="76" t="s">
        <v>456</v>
      </c>
      <c r="B52" s="61"/>
      <c r="C52" s="163">
        <v>220000</v>
      </c>
      <c r="D52" s="61" t="s">
        <v>311</v>
      </c>
      <c r="E52" s="37">
        <v>220000</v>
      </c>
      <c r="F52" s="62">
        <v>0.06</v>
      </c>
      <c r="G52" s="37">
        <v>207547.16</v>
      </c>
      <c r="H52" s="37">
        <v>12452.84</v>
      </c>
      <c r="I52" s="122">
        <v>43894</v>
      </c>
      <c r="J52" s="61"/>
      <c r="K52" s="61"/>
      <c r="L52" s="67" t="s">
        <v>456</v>
      </c>
      <c r="M52" s="172">
        <v>43668</v>
      </c>
      <c r="N52" s="77" t="s">
        <v>311</v>
      </c>
      <c r="O52" s="68"/>
      <c r="P52" s="61"/>
      <c r="Q52" s="61"/>
      <c r="R52" s="37">
        <v>220000</v>
      </c>
      <c r="S52" s="37">
        <v>207547.16</v>
      </c>
      <c r="T52" s="37">
        <v>12452.84</v>
      </c>
      <c r="U52" s="66">
        <v>0.06</v>
      </c>
      <c r="V52" s="115" t="s">
        <v>453</v>
      </c>
      <c r="W52" s="162">
        <v>44712</v>
      </c>
      <c r="X52" s="126" t="s">
        <v>372</v>
      </c>
      <c r="Y52" s="158" t="s">
        <v>450</v>
      </c>
      <c r="Z52" s="120"/>
      <c r="AA52" s="65">
        <v>9744771.5</v>
      </c>
      <c r="AB52" s="134" t="s">
        <v>312</v>
      </c>
      <c r="AC52" s="120"/>
      <c r="AD52" s="135"/>
      <c r="AE52" s="135"/>
      <c r="AF52" s="135"/>
      <c r="AG52" s="135"/>
    </row>
    <row r="53" s="5" customFormat="1" customHeight="1" spans="1:34">
      <c r="A53" s="76" t="s">
        <v>453</v>
      </c>
      <c r="B53" s="61"/>
      <c r="C53" s="173">
        <v>9430133.5</v>
      </c>
      <c r="D53" s="61" t="s">
        <v>312</v>
      </c>
      <c r="E53" s="78">
        <v>9430133.5</v>
      </c>
      <c r="F53" s="62">
        <v>0.09</v>
      </c>
      <c r="G53" s="37">
        <v>8651499.02</v>
      </c>
      <c r="H53" s="37">
        <v>778634.48</v>
      </c>
      <c r="I53" s="122">
        <v>44173</v>
      </c>
      <c r="J53" s="61"/>
      <c r="K53" s="61"/>
      <c r="L53" s="137" t="s">
        <v>453</v>
      </c>
      <c r="M53" s="172">
        <v>43894</v>
      </c>
      <c r="N53" s="77" t="s">
        <v>312</v>
      </c>
      <c r="O53" s="80"/>
      <c r="P53" s="72"/>
      <c r="Q53" s="72"/>
      <c r="R53" s="165">
        <v>9744771.5</v>
      </c>
      <c r="S53" s="37">
        <f>ROUND(R53/(1+U53),2)</f>
        <v>8940157.34</v>
      </c>
      <c r="T53" s="37">
        <f>R53-S53</f>
        <v>804614.16</v>
      </c>
      <c r="U53" s="66">
        <v>0.09</v>
      </c>
      <c r="V53" s="115" t="s">
        <v>459</v>
      </c>
      <c r="W53" s="162">
        <v>44712</v>
      </c>
      <c r="X53" s="126" t="s">
        <v>372</v>
      </c>
      <c r="Y53" s="158" t="s">
        <v>450</v>
      </c>
      <c r="Z53" s="120"/>
      <c r="AA53" s="65">
        <v>10438655.33</v>
      </c>
      <c r="AB53" s="134" t="s">
        <v>313</v>
      </c>
      <c r="AC53" s="120"/>
      <c r="AD53" s="135"/>
      <c r="AE53" s="135"/>
      <c r="AF53" s="135"/>
      <c r="AG53" s="135"/>
      <c r="AH53" s="5">
        <f>AA53+AA52</f>
        <v>20183426.83</v>
      </c>
    </row>
    <row r="54" s="5" customFormat="1" customHeight="1" spans="1:34">
      <c r="A54" s="76" t="s">
        <v>459</v>
      </c>
      <c r="B54" s="61"/>
      <c r="C54" s="173">
        <v>9223031.14</v>
      </c>
      <c r="D54" s="61" t="s">
        <v>313</v>
      </c>
      <c r="E54" s="78">
        <v>9223031.14</v>
      </c>
      <c r="F54" s="62">
        <v>0.13</v>
      </c>
      <c r="G54" s="37">
        <v>8022123.89</v>
      </c>
      <c r="H54" s="37">
        <v>1200907.25</v>
      </c>
      <c r="I54" s="122">
        <v>44196</v>
      </c>
      <c r="J54" s="61"/>
      <c r="K54" s="61"/>
      <c r="L54" s="67" t="s">
        <v>459</v>
      </c>
      <c r="M54" s="172">
        <v>43894</v>
      </c>
      <c r="N54" s="77" t="s">
        <v>313</v>
      </c>
      <c r="O54" s="82"/>
      <c r="P54" s="61"/>
      <c r="Q54" s="61"/>
      <c r="R54" s="37">
        <v>10438655.33</v>
      </c>
      <c r="S54" s="37">
        <f>ROUND(R54/(1+U54),2)</f>
        <v>9237748.08</v>
      </c>
      <c r="T54" s="37">
        <f>R54-S54</f>
        <v>1200907.25</v>
      </c>
      <c r="U54" s="66">
        <v>0.13</v>
      </c>
      <c r="V54" s="115" t="s">
        <v>456</v>
      </c>
      <c r="W54" s="162">
        <v>44712</v>
      </c>
      <c r="X54" s="126" t="s">
        <v>372</v>
      </c>
      <c r="Y54" s="158" t="s">
        <v>450</v>
      </c>
      <c r="Z54" s="120"/>
      <c r="AA54" s="65">
        <v>220000</v>
      </c>
      <c r="AB54" s="134" t="s">
        <v>311</v>
      </c>
      <c r="AC54" s="128"/>
      <c r="AD54" s="135"/>
      <c r="AE54" s="135"/>
      <c r="AF54" s="135"/>
      <c r="AG54" s="135"/>
      <c r="AH54" s="5">
        <f>AH23-AH53</f>
        <v>454023.170000002</v>
      </c>
    </row>
    <row r="55" s="5" customFormat="1" customHeight="1" spans="1:34">
      <c r="A55" s="76" t="s">
        <v>459</v>
      </c>
      <c r="B55" s="61"/>
      <c r="C55" s="173">
        <v>1215624.19</v>
      </c>
      <c r="D55" s="61" t="s">
        <v>313</v>
      </c>
      <c r="E55" s="78">
        <v>1215624.19</v>
      </c>
      <c r="F55" s="62">
        <v>0.13</v>
      </c>
      <c r="G55" s="37">
        <v>1215624.19</v>
      </c>
      <c r="H55" s="37"/>
      <c r="I55" s="122">
        <v>45616</v>
      </c>
      <c r="J55" s="61"/>
      <c r="K55" s="61"/>
      <c r="L55" s="67"/>
      <c r="M55" s="61"/>
      <c r="N55" s="77"/>
      <c r="O55" s="83"/>
      <c r="P55" s="61"/>
      <c r="Q55" s="61"/>
      <c r="R55" s="37"/>
      <c r="S55" s="37"/>
      <c r="T55" s="37"/>
      <c r="U55" s="66"/>
      <c r="V55" s="115"/>
      <c r="W55" s="120"/>
      <c r="X55" s="126"/>
      <c r="Y55" s="120"/>
      <c r="Z55" s="120"/>
      <c r="AA55" s="65"/>
      <c r="AB55" s="134"/>
      <c r="AC55" s="128"/>
      <c r="AD55" s="135"/>
      <c r="AE55" s="135"/>
      <c r="AF55" s="135"/>
      <c r="AG55" s="135"/>
      <c r="AH55" s="5">
        <f>AH54/AH23</f>
        <v>0.0219999646274129</v>
      </c>
    </row>
    <row r="56" s="5" customFormat="1" customHeight="1" spans="1:34">
      <c r="A56" s="76" t="s">
        <v>453</v>
      </c>
      <c r="B56" s="61"/>
      <c r="C56" s="173">
        <v>314638</v>
      </c>
      <c r="D56" s="61" t="s">
        <v>312</v>
      </c>
      <c r="E56" s="78">
        <v>314638</v>
      </c>
      <c r="F56" s="62">
        <v>0.09</v>
      </c>
      <c r="G56" s="37">
        <f>ROUND(E56/(1+F56),2)</f>
        <v>288658.72</v>
      </c>
      <c r="H56" s="37">
        <f>E56-G56</f>
        <v>25979.28</v>
      </c>
      <c r="I56" s="122">
        <v>45616</v>
      </c>
      <c r="J56" s="61"/>
      <c r="K56" s="61"/>
      <c r="L56" s="67"/>
      <c r="M56" s="61"/>
      <c r="N56" s="77"/>
      <c r="O56" s="83"/>
      <c r="P56" s="61"/>
      <c r="Q56" s="61"/>
      <c r="R56" s="37"/>
      <c r="S56" s="37"/>
      <c r="T56" s="37"/>
      <c r="U56" s="66"/>
      <c r="V56" s="115"/>
      <c r="W56" s="120"/>
      <c r="X56" s="126"/>
      <c r="Y56" s="120"/>
      <c r="Z56" s="120"/>
      <c r="AA56" s="65"/>
      <c r="AB56" s="134"/>
      <c r="AC56" s="128"/>
      <c r="AD56" s="135"/>
      <c r="AE56" s="135"/>
      <c r="AF56" s="135"/>
      <c r="AG56" s="135"/>
    </row>
    <row r="57" s="5" customFormat="1" customHeight="1" spans="1:34">
      <c r="A57" s="76" t="s">
        <v>453</v>
      </c>
      <c r="B57" s="61"/>
      <c r="C57" s="173">
        <v>2125900</v>
      </c>
      <c r="D57" s="61" t="s">
        <v>312</v>
      </c>
      <c r="E57" s="78">
        <v>2125900</v>
      </c>
      <c r="F57" s="62">
        <v>0.09</v>
      </c>
      <c r="G57" s="37">
        <f>ROUND(E57/(1+F57),2)</f>
        <v>1950366.97</v>
      </c>
      <c r="H57" s="37">
        <f>E57-G57</f>
        <v>175533.03</v>
      </c>
      <c r="I57" s="122">
        <v>45616</v>
      </c>
      <c r="J57" s="61"/>
      <c r="K57" s="61"/>
      <c r="L57" s="67"/>
      <c r="M57" s="61"/>
      <c r="N57" s="77"/>
      <c r="O57" s="84"/>
      <c r="P57" s="61"/>
      <c r="Q57" s="61"/>
      <c r="R57" s="37"/>
      <c r="S57" s="37"/>
      <c r="T57" s="37"/>
      <c r="U57" s="66"/>
      <c r="V57" s="115"/>
      <c r="W57" s="120"/>
      <c r="X57" s="126"/>
      <c r="Y57" s="120"/>
      <c r="Z57" s="120"/>
      <c r="AA57" s="65"/>
      <c r="AB57" s="134"/>
      <c r="AC57" s="128"/>
      <c r="AD57" s="135"/>
      <c r="AE57" s="135"/>
      <c r="AF57" s="135"/>
      <c r="AG57" s="135"/>
    </row>
    <row r="58" s="5" customFormat="1" customHeight="1" spans="1:34">
      <c r="A58" s="76" t="s">
        <v>453</v>
      </c>
      <c r="B58" s="61"/>
      <c r="C58" s="174">
        <v>-1810261.44</v>
      </c>
      <c r="D58" s="61" t="s">
        <v>312</v>
      </c>
      <c r="E58" s="78">
        <v>-1810261.44</v>
      </c>
      <c r="F58" s="62">
        <v>0.09</v>
      </c>
      <c r="G58" s="37">
        <f>ROUND(E58/(1+F58),2)</f>
        <v>-1660790.31</v>
      </c>
      <c r="H58" s="37">
        <f>E58-G58</f>
        <v>-149471.13</v>
      </c>
      <c r="I58" s="122">
        <v>45635</v>
      </c>
      <c r="J58" s="61"/>
      <c r="K58" s="61"/>
      <c r="L58" s="79"/>
      <c r="M58" s="72"/>
      <c r="N58" s="77"/>
      <c r="O58" s="80"/>
      <c r="P58" s="72"/>
      <c r="Q58" s="72"/>
      <c r="R58" s="81"/>
      <c r="S58" s="81"/>
      <c r="T58" s="81"/>
      <c r="U58" s="85"/>
      <c r="V58" s="115"/>
      <c r="W58" s="120"/>
      <c r="X58" s="126"/>
      <c r="Y58" s="120"/>
      <c r="Z58" s="120"/>
      <c r="AA58" s="65"/>
      <c r="AB58" s="134"/>
      <c r="AC58" s="128"/>
      <c r="AD58" s="135"/>
      <c r="AE58" s="135"/>
      <c r="AF58" s="135"/>
      <c r="AG58" s="135"/>
    </row>
    <row r="59" s="5" customFormat="1" customHeight="1" spans="1:34">
      <c r="A59" s="76"/>
      <c r="B59" s="61"/>
      <c r="C59" s="78"/>
      <c r="D59" s="61"/>
      <c r="E59" s="78"/>
      <c r="F59" s="62"/>
      <c r="G59" s="37"/>
      <c r="H59" s="37"/>
      <c r="I59" s="61"/>
      <c r="J59" s="61"/>
      <c r="K59" s="61"/>
      <c r="L59" s="67"/>
      <c r="M59" s="61"/>
      <c r="N59" s="77"/>
      <c r="O59" s="68"/>
      <c r="P59" s="61"/>
      <c r="Q59" s="61"/>
      <c r="R59" s="37"/>
      <c r="S59" s="37"/>
      <c r="T59" s="37"/>
      <c r="U59" s="66"/>
      <c r="V59" s="115"/>
      <c r="W59" s="120"/>
      <c r="X59" s="126"/>
      <c r="Y59" s="120"/>
      <c r="Z59" s="120"/>
      <c r="AA59" s="65"/>
      <c r="AB59" s="134"/>
      <c r="AC59" s="128"/>
      <c r="AD59" s="135"/>
      <c r="AE59" s="135"/>
      <c r="AF59" s="135"/>
      <c r="AG59" s="135"/>
    </row>
    <row r="60" s="5" customFormat="1" customHeight="1" spans="1:34">
      <c r="A60" s="61"/>
      <c r="B60" s="61"/>
      <c r="C60" s="61"/>
      <c r="D60" s="61"/>
      <c r="E60" s="61"/>
      <c r="F60" s="61"/>
      <c r="G60" s="37"/>
      <c r="H60" s="37"/>
      <c r="I60" s="61"/>
      <c r="J60" s="61"/>
      <c r="K60" s="61"/>
      <c r="L60" s="67"/>
      <c r="M60" s="61"/>
      <c r="N60" s="77"/>
      <c r="O60" s="68"/>
      <c r="P60" s="61"/>
      <c r="Q60" s="61"/>
      <c r="R60" s="37"/>
      <c r="S60" s="37"/>
      <c r="T60" s="37"/>
      <c r="U60" s="66"/>
      <c r="V60" s="115"/>
      <c r="W60" s="120"/>
      <c r="X60" s="126"/>
      <c r="Y60" s="120"/>
      <c r="Z60" s="120"/>
      <c r="AA60" s="65"/>
      <c r="AB60" s="134"/>
      <c r="AC60" s="128"/>
      <c r="AD60" s="135"/>
      <c r="AE60" s="135"/>
      <c r="AF60" s="135"/>
      <c r="AG60" s="135"/>
    </row>
    <row r="61" s="5" customFormat="1" customHeight="1" spans="1:34">
      <c r="A61" s="61"/>
      <c r="B61" s="61"/>
      <c r="C61" s="78"/>
      <c r="D61" s="61"/>
      <c r="E61" s="61"/>
      <c r="F61" s="61"/>
      <c r="G61" s="37"/>
      <c r="H61" s="37"/>
      <c r="I61" s="61"/>
      <c r="J61" s="61"/>
      <c r="K61" s="61"/>
      <c r="L61" s="61"/>
      <c r="M61" s="61"/>
      <c r="N61" s="77"/>
      <c r="O61" s="61"/>
      <c r="P61" s="61"/>
      <c r="Q61" s="61"/>
      <c r="R61" s="37"/>
      <c r="S61" s="37"/>
      <c r="T61" s="37"/>
      <c r="U61" s="66"/>
      <c r="V61" s="115"/>
      <c r="W61" s="120"/>
      <c r="X61" s="126"/>
      <c r="Y61" s="120"/>
      <c r="Z61" s="120"/>
      <c r="AA61" s="65"/>
      <c r="AB61" s="134"/>
      <c r="AC61" s="128"/>
      <c r="AD61" s="135"/>
      <c r="AE61" s="135"/>
      <c r="AF61" s="135"/>
      <c r="AG61" s="135"/>
    </row>
    <row r="62" s="5" customFormat="1" customHeight="1" spans="1:34">
      <c r="A62" s="61"/>
      <c r="B62" s="61"/>
      <c r="C62" s="61"/>
      <c r="D62" s="61"/>
      <c r="E62" s="90"/>
      <c r="F62" s="61"/>
      <c r="G62" s="37"/>
      <c r="H62" s="37"/>
      <c r="I62" s="61"/>
      <c r="J62" s="61"/>
      <c r="K62" s="61"/>
      <c r="L62" s="61"/>
      <c r="M62" s="61"/>
      <c r="N62" s="77"/>
      <c r="O62" s="61"/>
      <c r="P62" s="61"/>
      <c r="Q62" s="61"/>
      <c r="R62" s="37"/>
      <c r="S62" s="37"/>
      <c r="T62" s="37"/>
      <c r="U62" s="66"/>
      <c r="V62" s="115"/>
      <c r="W62" s="120"/>
      <c r="X62" s="126"/>
      <c r="Y62" s="120"/>
      <c r="Z62" s="120"/>
      <c r="AA62" s="65"/>
      <c r="AB62" s="134"/>
      <c r="AC62" s="128"/>
      <c r="AD62" s="135"/>
      <c r="AE62" s="135"/>
      <c r="AF62" s="135"/>
      <c r="AG62" s="135"/>
    </row>
    <row r="63" s="5" customFormat="1" customHeight="1" spans="1:34">
      <c r="A63" s="61"/>
      <c r="B63" s="61"/>
      <c r="C63" s="61"/>
      <c r="D63" s="61"/>
      <c r="E63" s="90"/>
      <c r="F63" s="61"/>
      <c r="G63" s="37"/>
      <c r="H63" s="37"/>
      <c r="I63" s="61"/>
      <c r="J63" s="61"/>
      <c r="K63" s="61"/>
      <c r="L63" s="61"/>
      <c r="M63" s="61"/>
      <c r="N63" s="77"/>
      <c r="O63" s="61"/>
      <c r="P63" s="61"/>
      <c r="Q63" s="61"/>
      <c r="R63" s="37"/>
      <c r="S63" s="37"/>
      <c r="T63" s="37"/>
      <c r="U63" s="66"/>
      <c r="V63" s="115"/>
      <c r="W63" s="120"/>
      <c r="X63" s="126"/>
      <c r="Y63" s="120"/>
      <c r="Z63" s="120"/>
      <c r="AA63" s="65"/>
      <c r="AB63" s="134"/>
      <c r="AC63" s="128"/>
      <c r="AD63" s="135"/>
      <c r="AE63" s="135"/>
      <c r="AF63" s="135"/>
      <c r="AG63" s="135"/>
    </row>
    <row r="64" s="5" customFormat="1" customHeight="1" spans="1:34">
      <c r="A64" s="61"/>
      <c r="B64" s="61"/>
      <c r="C64" s="61"/>
      <c r="D64" s="61"/>
      <c r="E64" s="61"/>
      <c r="F64" s="61"/>
      <c r="G64" s="37"/>
      <c r="H64" s="37"/>
      <c r="I64" s="61"/>
      <c r="J64" s="61"/>
      <c r="K64" s="61"/>
      <c r="L64" s="61"/>
      <c r="M64" s="61"/>
      <c r="N64" s="77"/>
      <c r="O64" s="61"/>
      <c r="P64" s="61"/>
      <c r="Q64" s="61"/>
      <c r="R64" s="37"/>
      <c r="S64" s="37"/>
      <c r="T64" s="37"/>
      <c r="U64" s="61"/>
      <c r="V64" s="115"/>
      <c r="W64" s="120"/>
      <c r="X64" s="126"/>
      <c r="Y64" s="120"/>
      <c r="Z64" s="120"/>
      <c r="AA64" s="65"/>
      <c r="AB64" s="134"/>
      <c r="AC64" s="128"/>
      <c r="AD64" s="135"/>
      <c r="AE64" s="135"/>
      <c r="AF64" s="135"/>
      <c r="AG64" s="135"/>
    </row>
    <row r="65" s="5" customFormat="1" customHeight="1" spans="1:33">
      <c r="A65" s="61"/>
      <c r="B65" s="61"/>
      <c r="C65" s="61"/>
      <c r="D65" s="61"/>
      <c r="E65" s="61"/>
      <c r="F65" s="61"/>
      <c r="G65" s="37"/>
      <c r="H65" s="37"/>
      <c r="I65" s="61"/>
      <c r="J65" s="61"/>
      <c r="K65" s="61"/>
      <c r="L65" s="61"/>
      <c r="M65" s="61"/>
      <c r="N65" s="77"/>
      <c r="O65" s="61"/>
      <c r="P65" s="61"/>
      <c r="Q65" s="61"/>
      <c r="R65" s="37"/>
      <c r="S65" s="37"/>
      <c r="T65" s="37"/>
      <c r="U65" s="61"/>
      <c r="V65" s="115"/>
      <c r="W65" s="120"/>
      <c r="X65" s="126"/>
      <c r="Y65" s="120"/>
      <c r="Z65" s="120"/>
      <c r="AA65" s="65"/>
      <c r="AB65" s="134"/>
      <c r="AC65" s="127"/>
      <c r="AD65" s="135"/>
      <c r="AE65" s="135"/>
      <c r="AF65" s="135"/>
      <c r="AG65" s="135"/>
    </row>
    <row r="66" s="5" customFormat="1" customHeight="1" spans="1:33">
      <c r="A66" s="61"/>
      <c r="B66" s="61"/>
      <c r="C66" s="61"/>
      <c r="D66" s="61"/>
      <c r="E66" s="61"/>
      <c r="F66" s="61"/>
      <c r="G66" s="37"/>
      <c r="H66" s="37"/>
      <c r="I66" s="61"/>
      <c r="J66" s="61"/>
      <c r="K66" s="61"/>
      <c r="L66" s="61"/>
      <c r="M66" s="61"/>
      <c r="N66" s="77"/>
      <c r="O66" s="61"/>
      <c r="P66" s="61"/>
      <c r="Q66" s="61"/>
      <c r="R66" s="37"/>
      <c r="S66" s="37"/>
      <c r="T66" s="37"/>
      <c r="U66" s="61"/>
      <c r="V66" s="115"/>
      <c r="W66" s="120"/>
      <c r="X66" s="126"/>
      <c r="Y66" s="120"/>
      <c r="Z66" s="120"/>
      <c r="AA66" s="65"/>
      <c r="AB66" s="134"/>
      <c r="AC66" s="128"/>
      <c r="AD66" s="135"/>
      <c r="AE66" s="135"/>
      <c r="AF66" s="135"/>
      <c r="AG66" s="135"/>
    </row>
    <row r="67" s="5" customFormat="1" customHeight="1" spans="1:33">
      <c r="A67" s="61"/>
      <c r="B67" s="61"/>
      <c r="C67" s="61"/>
      <c r="D67" s="61"/>
      <c r="E67" s="61"/>
      <c r="F67" s="61"/>
      <c r="G67" s="37"/>
      <c r="H67" s="37"/>
      <c r="I67" s="61"/>
      <c r="J67" s="61"/>
      <c r="K67" s="61"/>
      <c r="L67" s="61"/>
      <c r="M67" s="61"/>
      <c r="N67" s="77"/>
      <c r="O67" s="61"/>
      <c r="P67" s="61"/>
      <c r="Q67" s="61"/>
      <c r="R67" s="37"/>
      <c r="S67" s="37"/>
      <c r="T67" s="37"/>
      <c r="U67" s="61"/>
      <c r="V67" s="120"/>
      <c r="W67" s="120"/>
      <c r="X67" s="126"/>
      <c r="Y67" s="128"/>
      <c r="Z67" s="128"/>
      <c r="AA67" s="141"/>
      <c r="AB67" s="128"/>
      <c r="AC67" s="128"/>
      <c r="AD67" s="135"/>
      <c r="AE67" s="135"/>
      <c r="AF67" s="135"/>
      <c r="AG67" s="135"/>
    </row>
    <row r="68" s="5" customFormat="1" customHeight="1" spans="1:33">
      <c r="A68" s="61"/>
      <c r="B68" s="61"/>
      <c r="C68" s="61"/>
      <c r="D68" s="61"/>
      <c r="E68" s="61"/>
      <c r="F68" s="61"/>
      <c r="G68" s="37"/>
      <c r="H68" s="37"/>
      <c r="I68" s="61"/>
      <c r="J68" s="61"/>
      <c r="K68" s="61"/>
      <c r="L68" s="61"/>
      <c r="M68" s="61"/>
      <c r="N68" s="77"/>
      <c r="O68" s="61"/>
      <c r="P68" s="61"/>
      <c r="Q68" s="61"/>
      <c r="R68" s="37"/>
      <c r="S68" s="37"/>
      <c r="T68" s="37"/>
      <c r="U68" s="61"/>
      <c r="V68" s="120"/>
      <c r="W68" s="120"/>
      <c r="X68" s="126"/>
      <c r="Y68" s="128"/>
      <c r="Z68" s="128"/>
      <c r="AA68" s="141"/>
      <c r="AB68" s="128"/>
      <c r="AC68" s="128"/>
      <c r="AD68" s="135"/>
      <c r="AE68" s="135"/>
      <c r="AF68" s="135"/>
      <c r="AG68" s="135"/>
    </row>
    <row r="69" s="5" customFormat="1" customHeight="1" spans="1:33">
      <c r="A69" s="61"/>
      <c r="B69" s="61"/>
      <c r="C69" s="61"/>
      <c r="D69" s="61"/>
      <c r="E69" s="61"/>
      <c r="F69" s="61"/>
      <c r="G69" s="37"/>
      <c r="H69" s="37"/>
      <c r="I69" s="61"/>
      <c r="J69" s="61"/>
      <c r="K69" s="61"/>
      <c r="L69" s="61"/>
      <c r="M69" s="61"/>
      <c r="N69" s="77"/>
      <c r="O69" s="61"/>
      <c r="P69" s="61"/>
      <c r="Q69" s="61"/>
      <c r="R69" s="37"/>
      <c r="S69" s="37"/>
      <c r="T69" s="37"/>
      <c r="U69" s="61"/>
      <c r="V69" s="120"/>
      <c r="W69" s="120"/>
      <c r="X69" s="126"/>
      <c r="Y69" s="128"/>
      <c r="Z69" s="128"/>
      <c r="AA69" s="141"/>
      <c r="AB69" s="128"/>
      <c r="AC69" s="128"/>
      <c r="AD69" s="135"/>
      <c r="AE69" s="135"/>
      <c r="AF69" s="135"/>
      <c r="AG69" s="135"/>
    </row>
    <row r="70" s="5" customFormat="1" customHeight="1" spans="1:33">
      <c r="A70" s="61"/>
      <c r="B70" s="61"/>
      <c r="C70" s="61"/>
      <c r="D70" s="61"/>
      <c r="E70" s="61"/>
      <c r="F70" s="61"/>
      <c r="G70" s="37"/>
      <c r="H70" s="37"/>
      <c r="I70" s="61"/>
      <c r="J70" s="61"/>
      <c r="K70" s="61"/>
      <c r="L70" s="61"/>
      <c r="M70" s="61"/>
      <c r="N70" s="77"/>
      <c r="O70" s="61"/>
      <c r="P70" s="61"/>
      <c r="Q70" s="61"/>
      <c r="R70" s="37"/>
      <c r="S70" s="37"/>
      <c r="T70" s="37"/>
      <c r="U70" s="61"/>
      <c r="V70" s="120"/>
      <c r="W70" s="120"/>
      <c r="X70" s="126"/>
      <c r="Y70" s="128"/>
      <c r="Z70" s="128"/>
      <c r="AA70" s="141"/>
      <c r="AB70" s="128"/>
      <c r="AC70" s="128"/>
      <c r="AD70" s="135"/>
      <c r="AE70" s="135"/>
      <c r="AF70" s="135"/>
      <c r="AG70" s="135"/>
    </row>
    <row r="71" s="5" customFormat="1" customHeight="1" spans="1:33">
      <c r="A71" s="61"/>
      <c r="B71" s="61"/>
      <c r="C71" s="61"/>
      <c r="D71" s="61"/>
      <c r="E71" s="61"/>
      <c r="F71" s="61"/>
      <c r="G71" s="37"/>
      <c r="H71" s="37"/>
      <c r="I71" s="61"/>
      <c r="J71" s="61"/>
      <c r="K71" s="61"/>
      <c r="L71" s="61"/>
      <c r="M71" s="61"/>
      <c r="N71" s="77"/>
      <c r="O71" s="61"/>
      <c r="P71" s="61"/>
      <c r="Q71" s="61"/>
      <c r="R71" s="37"/>
      <c r="S71" s="37"/>
      <c r="T71" s="37"/>
      <c r="U71" s="61"/>
      <c r="V71" s="120"/>
      <c r="W71" s="120"/>
      <c r="X71" s="126"/>
      <c r="Y71" s="128"/>
      <c r="Z71" s="128"/>
      <c r="AA71" s="141"/>
      <c r="AB71" s="128"/>
      <c r="AC71" s="128"/>
      <c r="AD71" s="135"/>
      <c r="AE71" s="135"/>
      <c r="AF71" s="135"/>
      <c r="AG71" s="135"/>
    </row>
    <row r="72" s="5" customFormat="1" customHeight="1" spans="1:33">
      <c r="A72" s="61"/>
      <c r="B72" s="61"/>
      <c r="C72" s="61"/>
      <c r="D72" s="61"/>
      <c r="E72" s="61"/>
      <c r="F72" s="61"/>
      <c r="G72" s="37"/>
      <c r="H72" s="37"/>
      <c r="I72" s="61"/>
      <c r="J72" s="61"/>
      <c r="K72" s="61"/>
      <c r="L72" s="61"/>
      <c r="M72" s="61"/>
      <c r="N72" s="77"/>
      <c r="O72" s="61"/>
      <c r="P72" s="61"/>
      <c r="Q72" s="61"/>
      <c r="R72" s="37"/>
      <c r="S72" s="37"/>
      <c r="T72" s="37"/>
      <c r="U72" s="61"/>
      <c r="V72" s="120"/>
      <c r="W72" s="120"/>
      <c r="X72" s="126"/>
      <c r="Y72" s="128"/>
      <c r="Z72" s="128"/>
      <c r="AA72" s="141"/>
      <c r="AB72" s="128"/>
      <c r="AC72" s="128"/>
      <c r="AD72" s="135"/>
      <c r="AE72" s="135"/>
      <c r="AF72" s="135"/>
      <c r="AG72" s="135"/>
    </row>
    <row r="73" s="5" customFormat="1" customHeight="1" spans="1:33">
      <c r="A73" s="61"/>
      <c r="B73" s="61"/>
      <c r="C73" s="61"/>
      <c r="D73" s="61"/>
      <c r="E73" s="61"/>
      <c r="F73" s="61"/>
      <c r="G73" s="37"/>
      <c r="H73" s="37"/>
      <c r="I73" s="61"/>
      <c r="J73" s="61"/>
      <c r="K73" s="61"/>
      <c r="L73" s="61"/>
      <c r="M73" s="61"/>
      <c r="N73" s="77"/>
      <c r="O73" s="61"/>
      <c r="P73" s="61"/>
      <c r="Q73" s="61"/>
      <c r="R73" s="37"/>
      <c r="S73" s="37"/>
      <c r="T73" s="37"/>
      <c r="U73" s="61"/>
      <c r="V73" s="120"/>
      <c r="W73" s="120"/>
      <c r="X73" s="126"/>
      <c r="Y73" s="128"/>
      <c r="Z73" s="128"/>
      <c r="AA73" s="141"/>
      <c r="AB73" s="128"/>
      <c r="AC73" s="128"/>
      <c r="AD73" s="135"/>
      <c r="AE73" s="135"/>
      <c r="AF73" s="135"/>
      <c r="AG73" s="135"/>
    </row>
    <row r="74" s="5" customFormat="1" customHeight="1" spans="1:33">
      <c r="A74" s="61"/>
      <c r="B74" s="61"/>
      <c r="C74" s="61"/>
      <c r="D74" s="61"/>
      <c r="E74" s="61"/>
      <c r="F74" s="61"/>
      <c r="G74" s="37"/>
      <c r="H74" s="37"/>
      <c r="I74" s="61"/>
      <c r="J74" s="61"/>
      <c r="K74" s="61"/>
      <c r="L74" s="61"/>
      <c r="M74" s="61"/>
      <c r="N74" s="77"/>
      <c r="O74" s="61"/>
      <c r="P74" s="61"/>
      <c r="Q74" s="61"/>
      <c r="R74" s="37"/>
      <c r="S74" s="37"/>
      <c r="T74" s="37"/>
      <c r="U74" s="61"/>
      <c r="V74" s="120"/>
      <c r="W74" s="120"/>
      <c r="X74" s="126"/>
      <c r="Y74" s="128"/>
      <c r="Z74" s="128"/>
      <c r="AA74" s="141"/>
      <c r="AB74" s="128"/>
      <c r="AC74" s="128"/>
      <c r="AD74" s="135"/>
      <c r="AE74" s="135"/>
      <c r="AF74" s="135"/>
      <c r="AG74" s="135"/>
    </row>
    <row r="75" s="5" customFormat="1" customHeight="1" spans="1:33">
      <c r="A75" s="61"/>
      <c r="B75" s="61"/>
      <c r="C75" s="61"/>
      <c r="D75" s="61"/>
      <c r="E75" s="61"/>
      <c r="F75" s="61"/>
      <c r="G75" s="37"/>
      <c r="H75" s="37"/>
      <c r="I75" s="61"/>
      <c r="J75" s="61"/>
      <c r="K75" s="61"/>
      <c r="L75" s="61"/>
      <c r="M75" s="61"/>
      <c r="N75" s="77"/>
      <c r="O75" s="61"/>
      <c r="P75" s="61"/>
      <c r="Q75" s="61"/>
      <c r="R75" s="37"/>
      <c r="S75" s="37"/>
      <c r="T75" s="37"/>
      <c r="U75" s="61"/>
      <c r="V75" s="120"/>
      <c r="W75" s="120"/>
      <c r="X75" s="126"/>
      <c r="Y75" s="128"/>
      <c r="Z75" s="128"/>
      <c r="AA75" s="141"/>
      <c r="AB75" s="128"/>
      <c r="AC75" s="128"/>
      <c r="AD75" s="135"/>
      <c r="AE75" s="135"/>
      <c r="AF75" s="135"/>
      <c r="AG75" s="135"/>
    </row>
    <row r="76" s="5" customFormat="1" customHeight="1" spans="1:33">
      <c r="A76" s="61"/>
      <c r="B76" s="61"/>
      <c r="C76" s="61"/>
      <c r="D76" s="61"/>
      <c r="E76" s="61"/>
      <c r="F76" s="61"/>
      <c r="G76" s="37"/>
      <c r="H76" s="37"/>
      <c r="I76" s="61"/>
      <c r="J76" s="61"/>
      <c r="K76" s="61"/>
      <c r="L76" s="61"/>
      <c r="M76" s="61"/>
      <c r="N76" s="77"/>
      <c r="O76" s="61"/>
      <c r="P76" s="61"/>
      <c r="Q76" s="61"/>
      <c r="R76" s="37"/>
      <c r="S76" s="37"/>
      <c r="T76" s="37"/>
      <c r="U76" s="61"/>
      <c r="V76" s="120"/>
      <c r="W76" s="120"/>
      <c r="X76" s="126"/>
      <c r="Y76" s="128"/>
      <c r="Z76" s="128"/>
      <c r="AA76" s="141"/>
      <c r="AB76" s="128"/>
      <c r="AC76" s="128"/>
      <c r="AD76" s="135"/>
      <c r="AE76" s="135"/>
      <c r="AF76" s="135"/>
      <c r="AG76" s="135"/>
    </row>
    <row r="77" s="5" customFormat="1" customHeight="1" spans="1:33">
      <c r="A77" s="73"/>
      <c r="B77" s="73"/>
      <c r="C77" s="73"/>
      <c r="D77" s="73"/>
      <c r="E77" s="73"/>
      <c r="F77" s="73"/>
      <c r="G77" s="74"/>
      <c r="H77" s="74"/>
      <c r="I77" s="73"/>
      <c r="J77" s="73"/>
      <c r="K77" s="73"/>
      <c r="L77" s="73"/>
      <c r="M77" s="73"/>
      <c r="N77" s="73"/>
      <c r="O77" s="73"/>
      <c r="P77" s="73"/>
      <c r="Q77" s="73"/>
      <c r="R77" s="74"/>
      <c r="S77" s="74"/>
      <c r="T77" s="74"/>
      <c r="U77" s="73"/>
      <c r="V77" s="129"/>
      <c r="W77" s="129"/>
      <c r="X77" s="129"/>
      <c r="Y77" s="129"/>
      <c r="Z77" s="129"/>
      <c r="AA77" s="130"/>
      <c r="AB77" s="131"/>
      <c r="AC77" s="131"/>
      <c r="AD77" s="131"/>
      <c r="AE77" s="131"/>
      <c r="AF77" s="131"/>
      <c r="AG77" s="131"/>
    </row>
    <row r="79" customHeight="1" spans="1:33">
      <c r="A79" s="8" t="s">
        <v>384</v>
      </c>
    </row>
    <row r="80" ht="29.1" customHeight="1" spans="1:33">
      <c r="A80" s="34" t="s">
        <v>385</v>
      </c>
      <c r="B80" s="34" t="s">
        <v>386</v>
      </c>
      <c r="C80" s="34" t="s">
        <v>387</v>
      </c>
      <c r="D80" s="86" t="s">
        <v>388</v>
      </c>
      <c r="E80" s="87" t="s">
        <v>389</v>
      </c>
      <c r="F80" s="87" t="s">
        <v>390</v>
      </c>
      <c r="G80" s="87" t="s">
        <v>391</v>
      </c>
      <c r="H80" s="34" t="s">
        <v>392</v>
      </c>
      <c r="I80" s="34" t="s">
        <v>393</v>
      </c>
      <c r="J80" s="34" t="s">
        <v>394</v>
      </c>
      <c r="K80" s="34" t="s">
        <v>395</v>
      </c>
      <c r="L80" s="34" t="s">
        <v>92</v>
      </c>
      <c r="M80" s="34" t="s">
        <v>310</v>
      </c>
    </row>
    <row r="81" ht="29.1" customHeight="1" spans="1:13">
      <c r="A81" s="88"/>
      <c r="B81" s="89">
        <v>26900000</v>
      </c>
      <c r="C81" s="89">
        <v>26900000</v>
      </c>
      <c r="D81" s="90"/>
      <c r="E81" s="90"/>
      <c r="F81" s="90"/>
      <c r="G81" s="90"/>
      <c r="H81" s="61">
        <v>8070</v>
      </c>
      <c r="I81" s="90"/>
      <c r="J81" s="89"/>
      <c r="K81" s="89"/>
      <c r="L81" s="89">
        <f t="shared" ref="L81:L93" si="7">SUM(D81:K81)</f>
        <v>8070</v>
      </c>
      <c r="M81" s="89"/>
    </row>
    <row r="82" ht="29.1" customHeight="1" spans="1:13">
      <c r="A82" s="88"/>
      <c r="B82" s="89"/>
      <c r="C82" s="89"/>
      <c r="D82" s="90"/>
      <c r="E82" s="90"/>
      <c r="F82" s="90"/>
      <c r="G82" s="90"/>
      <c r="H82" s="61"/>
      <c r="I82" s="90"/>
      <c r="J82" s="89"/>
      <c r="K82" s="89"/>
      <c r="L82" s="89">
        <f t="shared" si="7"/>
        <v>0</v>
      </c>
      <c r="M82" s="89"/>
    </row>
    <row r="83" ht="29.1" customHeight="1" spans="1:13">
      <c r="A83" s="88"/>
      <c r="B83" s="89"/>
      <c r="C83" s="89"/>
      <c r="D83" s="90"/>
      <c r="E83" s="90"/>
      <c r="F83" s="90"/>
      <c r="G83" s="90"/>
      <c r="H83" s="61"/>
      <c r="I83" s="90"/>
      <c r="J83" s="89"/>
      <c r="K83" s="89"/>
      <c r="L83" s="89">
        <f t="shared" si="7"/>
        <v>0</v>
      </c>
      <c r="M83" s="89"/>
    </row>
    <row r="84" ht="29.1" customHeight="1" spans="1:13">
      <c r="A84" s="88"/>
      <c r="B84" s="89"/>
      <c r="C84" s="89"/>
      <c r="D84" s="90"/>
      <c r="E84" s="90"/>
      <c r="F84" s="90"/>
      <c r="G84" s="90"/>
      <c r="H84" s="61"/>
      <c r="I84" s="90"/>
      <c r="J84" s="89"/>
      <c r="K84" s="89"/>
      <c r="L84" s="89">
        <f t="shared" si="7"/>
        <v>0</v>
      </c>
      <c r="M84" s="89"/>
    </row>
    <row r="85" ht="29.1" customHeight="1" spans="1:13">
      <c r="A85" s="88"/>
      <c r="B85" s="89"/>
      <c r="C85" s="89"/>
      <c r="D85" s="90"/>
      <c r="E85" s="90"/>
      <c r="F85" s="90"/>
      <c r="G85" s="90"/>
      <c r="H85" s="61"/>
      <c r="I85" s="90"/>
      <c r="J85" s="89"/>
      <c r="K85" s="89"/>
      <c r="L85" s="89">
        <f t="shared" si="7"/>
        <v>0</v>
      </c>
      <c r="M85" s="89"/>
    </row>
    <row r="86" ht="29.1" customHeight="1" spans="1:13">
      <c r="A86" s="88"/>
      <c r="B86" s="89"/>
      <c r="C86" s="89"/>
      <c r="D86" s="90"/>
      <c r="E86" s="90"/>
      <c r="F86" s="90"/>
      <c r="G86" s="90"/>
      <c r="H86" s="61"/>
      <c r="I86" s="90"/>
      <c r="J86" s="89"/>
      <c r="K86" s="89"/>
      <c r="L86" s="89">
        <f t="shared" si="7"/>
        <v>0</v>
      </c>
      <c r="M86" s="89"/>
    </row>
    <row r="87" ht="29.1" customHeight="1" spans="1:13">
      <c r="A87" s="88"/>
      <c r="B87" s="89"/>
      <c r="C87" s="89"/>
      <c r="D87" s="90"/>
      <c r="E87" s="90"/>
      <c r="F87" s="90"/>
      <c r="G87" s="90"/>
      <c r="H87" s="61"/>
      <c r="I87" s="90"/>
      <c r="J87" s="89"/>
      <c r="K87" s="89"/>
      <c r="L87" s="89">
        <f t="shared" si="7"/>
        <v>0</v>
      </c>
      <c r="M87" s="89"/>
    </row>
    <row r="88" ht="29.1" customHeight="1" spans="1:13">
      <c r="A88" s="88"/>
      <c r="B88" s="89"/>
      <c r="C88" s="89"/>
      <c r="D88" s="90"/>
      <c r="E88" s="90"/>
      <c r="F88" s="90"/>
      <c r="G88" s="90"/>
      <c r="H88" s="61"/>
      <c r="I88" s="90"/>
      <c r="J88" s="89"/>
      <c r="K88" s="89"/>
      <c r="L88" s="89">
        <f t="shared" si="7"/>
        <v>0</v>
      </c>
      <c r="M88" s="89"/>
    </row>
    <row r="89" ht="29.1" customHeight="1" spans="1:13">
      <c r="A89" s="88"/>
      <c r="B89" s="89"/>
      <c r="C89" s="89"/>
      <c r="D89" s="90"/>
      <c r="E89" s="90"/>
      <c r="F89" s="90"/>
      <c r="G89" s="90"/>
      <c r="H89" s="61"/>
      <c r="I89" s="90"/>
      <c r="J89" s="89"/>
      <c r="K89" s="89"/>
      <c r="L89" s="89">
        <f t="shared" si="7"/>
        <v>0</v>
      </c>
      <c r="M89" s="89"/>
    </row>
    <row r="90" ht="29.1" customHeight="1" spans="1:13">
      <c r="A90" s="88"/>
      <c r="B90" s="89"/>
      <c r="C90" s="89"/>
      <c r="D90" s="90"/>
      <c r="E90" s="90"/>
      <c r="F90" s="90"/>
      <c r="G90" s="90"/>
      <c r="H90" s="61"/>
      <c r="I90" s="90"/>
      <c r="J90" s="89"/>
      <c r="K90" s="89"/>
      <c r="L90" s="89">
        <f t="shared" si="7"/>
        <v>0</v>
      </c>
      <c r="M90" s="89"/>
    </row>
    <row r="91" ht="29.1" customHeight="1" spans="1:13">
      <c r="A91" s="88"/>
      <c r="B91" s="89"/>
      <c r="C91" s="89"/>
      <c r="D91" s="90"/>
      <c r="E91" s="90"/>
      <c r="F91" s="90"/>
      <c r="G91" s="90"/>
      <c r="H91" s="61"/>
      <c r="I91" s="90"/>
      <c r="J91" s="89"/>
      <c r="K91" s="89"/>
      <c r="L91" s="89">
        <f t="shared" si="7"/>
        <v>0</v>
      </c>
      <c r="M91" s="89"/>
    </row>
    <row r="92" ht="29.1" customHeight="1" spans="1:13">
      <c r="A92" s="88"/>
      <c r="B92" s="89"/>
      <c r="C92" s="89"/>
      <c r="D92" s="90"/>
      <c r="E92" s="90"/>
      <c r="F92" s="90"/>
      <c r="G92" s="90"/>
      <c r="H92" s="61"/>
      <c r="I92" s="90"/>
      <c r="J92" s="89"/>
      <c r="K92" s="89"/>
      <c r="L92" s="89">
        <f t="shared" si="7"/>
        <v>0</v>
      </c>
      <c r="M92" s="89"/>
    </row>
    <row r="93" ht="29.1" customHeight="1" spans="1:13">
      <c r="A93" s="88"/>
      <c r="B93" s="89"/>
      <c r="C93" s="89"/>
      <c r="D93" s="61"/>
      <c r="E93" s="61"/>
      <c r="F93" s="61"/>
      <c r="G93" s="61"/>
      <c r="H93" s="61"/>
      <c r="I93" s="61"/>
      <c r="J93" s="89"/>
      <c r="K93" s="89"/>
      <c r="L93" s="89">
        <f t="shared" si="7"/>
        <v>0</v>
      </c>
      <c r="M93" s="89"/>
    </row>
    <row r="94" ht="29.1" customHeight="1" spans="1:13">
      <c r="A94" s="61" t="s">
        <v>92</v>
      </c>
      <c r="B94" s="61">
        <f t="shared" ref="B94:M94" si="8">SUM(B81:B93)</f>
        <v>26900000</v>
      </c>
      <c r="C94" s="61">
        <f t="shared" si="8"/>
        <v>26900000</v>
      </c>
      <c r="D94" s="61">
        <f t="shared" si="8"/>
        <v>0</v>
      </c>
      <c r="E94" s="61">
        <f t="shared" si="8"/>
        <v>0</v>
      </c>
      <c r="F94" s="61">
        <f t="shared" si="8"/>
        <v>0</v>
      </c>
      <c r="G94" s="61">
        <f t="shared" si="8"/>
        <v>0</v>
      </c>
      <c r="H94" s="61">
        <f t="shared" si="8"/>
        <v>8070</v>
      </c>
      <c r="I94" s="61">
        <f t="shared" si="8"/>
        <v>0</v>
      </c>
      <c r="J94" s="61">
        <f t="shared" si="8"/>
        <v>0</v>
      </c>
      <c r="K94" s="61">
        <f t="shared" si="8"/>
        <v>0</v>
      </c>
      <c r="L94" s="61">
        <f t="shared" si="8"/>
        <v>8070</v>
      </c>
      <c r="M94" s="61">
        <f t="shared" si="8"/>
        <v>0</v>
      </c>
    </row>
    <row r="96" customHeight="1" spans="1:13">
      <c r="A96" s="8" t="s">
        <v>396</v>
      </c>
    </row>
    <row r="97" customHeight="1" spans="1:34">
      <c r="A97" s="91" t="s">
        <v>397</v>
      </c>
      <c r="B97" s="34" t="s">
        <v>398</v>
      </c>
      <c r="C97" s="34" t="s">
        <v>399</v>
      </c>
      <c r="D97" s="34" t="s">
        <v>400</v>
      </c>
      <c r="E97" s="34" t="s">
        <v>401</v>
      </c>
      <c r="F97" s="34" t="s">
        <v>402</v>
      </c>
      <c r="G97" s="34" t="s">
        <v>403</v>
      </c>
      <c r="H97" s="34" t="s">
        <v>404</v>
      </c>
      <c r="I97" s="34" t="s">
        <v>92</v>
      </c>
    </row>
    <row r="98" customHeight="1" spans="1:34">
      <c r="A98" s="90" t="s">
        <v>5</v>
      </c>
      <c r="B98" s="19">
        <v>57664.54</v>
      </c>
      <c r="C98" s="19"/>
      <c r="D98" s="19"/>
      <c r="E98" s="19"/>
      <c r="F98" s="19"/>
      <c r="G98" s="19"/>
      <c r="H98" s="19"/>
      <c r="I98" s="19">
        <f t="shared" ref="I98:I103" si="9">SUM(B98:H98)</f>
        <v>57664.54</v>
      </c>
    </row>
    <row r="99" customHeight="1" spans="1:34">
      <c r="A99" s="61" t="s">
        <v>6</v>
      </c>
      <c r="B99" s="19">
        <f>B101-B100</f>
        <v>-8662.33</v>
      </c>
      <c r="C99" s="19">
        <f>C101-C100</f>
        <v>-1130.73</v>
      </c>
      <c r="D99" s="19">
        <f>D101-D100</f>
        <v>-367.18</v>
      </c>
      <c r="E99" s="19"/>
      <c r="F99" s="19"/>
      <c r="G99" s="19"/>
      <c r="H99" s="19"/>
      <c r="I99" s="19">
        <f t="shared" si="9"/>
        <v>-10160.24</v>
      </c>
    </row>
    <row r="100" customHeight="1" spans="1:34">
      <c r="A100" s="61" t="s">
        <v>405</v>
      </c>
      <c r="B100" s="19">
        <v>11385.57</v>
      </c>
      <c r="C100" s="19">
        <v>1490.73</v>
      </c>
      <c r="D100" s="19">
        <v>1146.19</v>
      </c>
      <c r="E100" s="19"/>
      <c r="F100" s="19"/>
      <c r="G100" s="19"/>
      <c r="H100" s="19"/>
      <c r="I100" s="19">
        <f t="shared" si="9"/>
        <v>14022.49</v>
      </c>
    </row>
    <row r="101" customHeight="1" spans="1:34">
      <c r="A101" s="61" t="s">
        <v>406</v>
      </c>
      <c r="B101" s="19">
        <v>2723.24</v>
      </c>
      <c r="C101" s="19">
        <v>360</v>
      </c>
      <c r="D101" s="19">
        <v>779.01</v>
      </c>
      <c r="E101" s="19"/>
      <c r="F101" s="19"/>
      <c r="G101" s="19"/>
      <c r="H101" s="19"/>
      <c r="I101" s="19">
        <f t="shared" si="9"/>
        <v>3862.25</v>
      </c>
    </row>
    <row r="102" customHeight="1" spans="1:34">
      <c r="A102" s="18" t="s">
        <v>407</v>
      </c>
      <c r="B102" s="19"/>
      <c r="C102" s="19"/>
      <c r="D102" s="19"/>
      <c r="E102" s="19"/>
      <c r="F102" s="19"/>
      <c r="G102" s="19"/>
      <c r="H102" s="19"/>
      <c r="I102" s="19">
        <f t="shared" si="9"/>
        <v>0</v>
      </c>
    </row>
    <row r="103" customHeight="1" spans="1:34">
      <c r="A103" s="18" t="s">
        <v>408</v>
      </c>
      <c r="B103" s="19"/>
      <c r="C103" s="19"/>
      <c r="D103" s="19"/>
      <c r="E103" s="19"/>
      <c r="F103" s="19"/>
      <c r="G103" s="19"/>
      <c r="H103" s="19"/>
      <c r="I103" s="19">
        <f t="shared" si="9"/>
        <v>0</v>
      </c>
    </row>
    <row r="106" ht="29.1" customHeight="1" spans="1:34">
      <c r="A106" s="8" t="s">
        <v>409</v>
      </c>
    </row>
    <row r="107" customHeight="1" spans="1:34">
      <c r="A107" s="91" t="s">
        <v>2</v>
      </c>
      <c r="B107" s="34" t="s">
        <v>410</v>
      </c>
      <c r="C107" s="34" t="s">
        <v>411</v>
      </c>
      <c r="D107" s="34" t="s">
        <v>412</v>
      </c>
      <c r="E107" s="34" t="s">
        <v>413</v>
      </c>
      <c r="F107" s="34" t="s">
        <v>414</v>
      </c>
      <c r="G107" s="34" t="s">
        <v>415</v>
      </c>
      <c r="H107" s="34" t="s">
        <v>416</v>
      </c>
      <c r="I107" s="34" t="s">
        <v>417</v>
      </c>
      <c r="J107" s="34" t="s">
        <v>418</v>
      </c>
      <c r="K107" s="34" t="s">
        <v>419</v>
      </c>
      <c r="L107" s="34" t="s">
        <v>420</v>
      </c>
      <c r="M107" s="34" t="s">
        <v>421</v>
      </c>
      <c r="N107" s="34" t="s">
        <v>422</v>
      </c>
      <c r="O107" s="34" t="s">
        <v>423</v>
      </c>
      <c r="P107" s="92" t="s">
        <v>424</v>
      </c>
      <c r="Q107" s="92" t="s">
        <v>425</v>
      </c>
      <c r="R107" s="92" t="s">
        <v>426</v>
      </c>
      <c r="V107" s="7"/>
      <c r="AH107" s="1"/>
    </row>
    <row r="108" customHeight="1" spans="1:34">
      <c r="A108" s="93" t="str">
        <f>M4</f>
        <v>攀枝花市大渡口污水处理厂提标升级改造工程项目勘察设计材料及设备采购施工总承包</v>
      </c>
      <c r="B108" s="94">
        <v>304000</v>
      </c>
      <c r="C108" s="94">
        <v>321715</v>
      </c>
      <c r="D108" s="94"/>
      <c r="E108" s="94"/>
      <c r="F108" s="18"/>
      <c r="G108" s="94">
        <v>656255.84</v>
      </c>
      <c r="H108" s="94">
        <v>314638</v>
      </c>
      <c r="I108" s="94"/>
      <c r="J108" s="94"/>
      <c r="K108" s="94">
        <v>-9326.07</v>
      </c>
      <c r="L108" s="94">
        <v>17459405.45</v>
      </c>
      <c r="M108" s="94">
        <v>1215624.19</v>
      </c>
      <c r="N108" s="94">
        <v>10512225.96</v>
      </c>
      <c r="O108" s="147">
        <v>7767550.46</v>
      </c>
      <c r="P108" s="147">
        <v>18732694.18</v>
      </c>
      <c r="Q108" s="18"/>
      <c r="R108" s="94">
        <v>25979.28</v>
      </c>
      <c r="V108" s="7"/>
      <c r="AH108" s="1"/>
    </row>
    <row r="109" customHeight="1" spans="1:34">
      <c r="M109" s="148"/>
    </row>
    <row r="110" hidden="1" customHeight="1"/>
    <row r="111" customFormat="1" customHeight="1" spans="1:34">
      <c r="A111" s="8" t="s">
        <v>427</v>
      </c>
      <c r="B111" s="7"/>
      <c r="C111" s="7"/>
      <c r="D111" s="7"/>
      <c r="E111" s="7"/>
      <c r="F111" s="7"/>
      <c r="G111" s="7"/>
      <c r="H111" s="7"/>
      <c r="V111" s="149"/>
      <c r="W111" s="149"/>
      <c r="X111" s="149"/>
      <c r="Y111" s="149"/>
      <c r="Z111" s="149"/>
      <c r="AA111" s="149"/>
      <c r="AB111" s="149"/>
      <c r="AC111" s="149"/>
      <c r="AD111" s="149"/>
      <c r="AE111" s="149"/>
      <c r="AF111" s="149"/>
      <c r="AG111" s="149"/>
    </row>
    <row r="112" s="6" customFormat="1" ht="27" customHeight="1" spans="1:34">
      <c r="A112" s="95" t="s">
        <v>428</v>
      </c>
      <c r="B112" s="95"/>
      <c r="C112" s="95"/>
      <c r="D112" s="95"/>
      <c r="E112" s="95"/>
      <c r="F112" s="95"/>
      <c r="G112" s="95"/>
      <c r="H112" s="95"/>
      <c r="V112" s="150"/>
      <c r="W112" s="150"/>
      <c r="X112" s="150"/>
      <c r="Y112" s="150"/>
      <c r="Z112" s="150"/>
      <c r="AA112" s="150"/>
      <c r="AB112" s="150"/>
      <c r="AC112" s="150"/>
      <c r="AD112" s="150"/>
      <c r="AE112" s="150"/>
      <c r="AF112" s="150"/>
      <c r="AG112" s="150"/>
    </row>
    <row r="113" s="6" customFormat="1" ht="31.5" customHeight="1" spans="1:33">
      <c r="A113" s="95"/>
      <c r="B113" s="95"/>
      <c r="C113" s="95"/>
      <c r="D113" s="95"/>
      <c r="E113" s="95"/>
      <c r="F113" s="95"/>
      <c r="G113" s="95"/>
      <c r="H113" s="95"/>
      <c r="V113" s="150"/>
      <c r="W113" s="150"/>
      <c r="X113" s="150"/>
      <c r="Y113" s="150"/>
      <c r="Z113" s="150"/>
      <c r="AA113" s="150"/>
      <c r="AB113" s="150"/>
      <c r="AC113" s="150"/>
      <c r="AD113" s="150"/>
      <c r="AE113" s="150"/>
      <c r="AF113" s="150"/>
      <c r="AG113" s="150"/>
    </row>
    <row r="114" s="6" customFormat="1" ht="45" customHeight="1" spans="1:33">
      <c r="A114" s="96" t="str">
        <f>L4</f>
        <v>中铁二院攀枝花市大渡口污水处理厂提标升级改造工程EPC项目部</v>
      </c>
      <c r="B114" s="96"/>
      <c r="C114" s="96"/>
      <c r="H114" s="97" t="s">
        <v>429</v>
      </c>
      <c r="V114" s="150"/>
      <c r="W114" s="150"/>
      <c r="X114" s="150"/>
      <c r="Y114" s="150"/>
      <c r="Z114" s="150"/>
      <c r="AA114" s="150"/>
      <c r="AB114" s="150"/>
      <c r="AC114" s="150"/>
      <c r="AD114" s="150"/>
      <c r="AE114" s="150"/>
      <c r="AF114" s="150"/>
      <c r="AG114" s="150"/>
    </row>
    <row r="115" s="6" customFormat="1" ht="24" customHeight="1" spans="1:33">
      <c r="A115" s="98" t="s">
        <v>430</v>
      </c>
      <c r="B115" s="98" t="s">
        <v>431</v>
      </c>
      <c r="C115" s="98" t="s">
        <v>432</v>
      </c>
      <c r="D115" s="98" t="s">
        <v>433</v>
      </c>
      <c r="E115" s="98" t="s">
        <v>434</v>
      </c>
      <c r="F115" s="98" t="s">
        <v>435</v>
      </c>
      <c r="G115" s="98" t="s">
        <v>436</v>
      </c>
      <c r="H115" s="98" t="s">
        <v>437</v>
      </c>
      <c r="K115" s="99"/>
      <c r="V115" s="150"/>
      <c r="W115" s="150"/>
      <c r="X115" s="150"/>
      <c r="Y115" s="150"/>
      <c r="Z115" s="150"/>
      <c r="AA115" s="150"/>
      <c r="AB115" s="150"/>
      <c r="AC115" s="150"/>
      <c r="AD115" s="150"/>
      <c r="AE115" s="150"/>
      <c r="AF115" s="150"/>
      <c r="AG115" s="150"/>
    </row>
    <row r="116" s="6" customFormat="1" ht="24" customHeight="1" spans="1:33">
      <c r="A116" s="100">
        <v>1</v>
      </c>
      <c r="B116" s="98" t="s">
        <v>81</v>
      </c>
      <c r="C116" s="101"/>
      <c r="D116" s="101"/>
      <c r="E116" s="101"/>
      <c r="F116" s="101"/>
      <c r="G116" s="101"/>
      <c r="H116" s="102">
        <f>V12</f>
        <v>11975779.8165138</v>
      </c>
      <c r="K116" s="99"/>
      <c r="V116" s="150"/>
      <c r="W116" s="150"/>
      <c r="X116" s="150"/>
      <c r="Y116" s="150"/>
      <c r="Z116" s="150"/>
      <c r="AA116" s="150"/>
      <c r="AB116" s="150"/>
      <c r="AC116" s="150"/>
      <c r="AD116" s="150"/>
      <c r="AE116" s="150"/>
      <c r="AF116" s="150"/>
      <c r="AG116" s="150"/>
    </row>
    <row r="117" s="6" customFormat="1" ht="24" customHeight="1" spans="1:33">
      <c r="A117" s="100">
        <v>2</v>
      </c>
      <c r="B117" s="98" t="s">
        <v>82</v>
      </c>
      <c r="C117" s="101"/>
      <c r="D117" s="101"/>
      <c r="E117" s="101"/>
      <c r="F117" s="101"/>
      <c r="G117" s="101"/>
      <c r="H117" s="102">
        <f>W12</f>
        <v>11712312.6605505</v>
      </c>
      <c r="K117" s="99"/>
      <c r="V117" s="150"/>
      <c r="W117" s="150"/>
      <c r="X117" s="150"/>
      <c r="Y117" s="150"/>
      <c r="Z117" s="150"/>
      <c r="AA117" s="150"/>
      <c r="AB117" s="150"/>
      <c r="AC117" s="150"/>
      <c r="AD117" s="150"/>
      <c r="AE117" s="150"/>
      <c r="AF117" s="150"/>
      <c r="AG117" s="150"/>
    </row>
    <row r="118" s="6" customFormat="1" ht="24" customHeight="1" spans="1:33">
      <c r="A118" s="100">
        <v>3</v>
      </c>
      <c r="B118" s="98" t="s">
        <v>438</v>
      </c>
      <c r="C118" s="101"/>
      <c r="D118" s="101"/>
      <c r="E118" s="101"/>
      <c r="F118" s="101"/>
      <c r="G118" s="101"/>
      <c r="H118" s="103">
        <f>H116-H117</f>
        <v>263467.155963261</v>
      </c>
      <c r="V118" s="150"/>
      <c r="W118" s="150"/>
      <c r="X118" s="150"/>
      <c r="Y118" s="150"/>
      <c r="Z118" s="150"/>
      <c r="AA118" s="150"/>
      <c r="AB118" s="150"/>
      <c r="AC118" s="150"/>
      <c r="AD118" s="150"/>
      <c r="AE118" s="150"/>
      <c r="AF118" s="150"/>
      <c r="AG118" s="150"/>
    </row>
    <row r="119" s="6" customFormat="1" ht="24" customHeight="1" spans="1:33">
      <c r="A119" s="100">
        <v>4</v>
      </c>
      <c r="B119" s="98" t="s">
        <v>439</v>
      </c>
      <c r="C119" s="102"/>
      <c r="D119" s="102">
        <v>0</v>
      </c>
      <c r="E119" s="102"/>
      <c r="F119" s="102"/>
      <c r="G119" s="102"/>
      <c r="H119" s="104">
        <f>C119+D119+E119+F119+G119</f>
        <v>0</v>
      </c>
      <c r="K119" s="105"/>
      <c r="V119" s="150"/>
      <c r="W119" s="150"/>
      <c r="X119" s="150"/>
      <c r="Y119" s="150"/>
      <c r="Z119" s="150"/>
      <c r="AA119" s="150"/>
      <c r="AB119" s="150"/>
      <c r="AC119" s="150"/>
      <c r="AD119" s="150"/>
      <c r="AE119" s="150"/>
      <c r="AF119" s="150"/>
      <c r="AG119" s="150"/>
    </row>
    <row r="120" s="6" customFormat="1" ht="24" customHeight="1" spans="1:33">
      <c r="A120" s="100">
        <v>5</v>
      </c>
      <c r="B120" s="98" t="s">
        <v>440</v>
      </c>
      <c r="C120" s="102"/>
      <c r="D120" s="104">
        <v>0</v>
      </c>
      <c r="E120" s="104"/>
      <c r="F120" s="104"/>
      <c r="G120" s="104"/>
      <c r="H120" s="104">
        <f>C120+D120+E120+F120+G120</f>
        <v>0</v>
      </c>
      <c r="V120" s="150"/>
      <c r="W120" s="150"/>
      <c r="X120" s="150"/>
      <c r="Y120" s="150"/>
      <c r="Z120" s="150"/>
      <c r="AA120" s="150"/>
      <c r="AB120" s="150"/>
      <c r="AC120" s="150"/>
      <c r="AD120" s="150"/>
      <c r="AE120" s="150"/>
      <c r="AF120" s="150"/>
      <c r="AG120" s="150"/>
    </row>
    <row r="121" s="6" customFormat="1" ht="24" customHeight="1" spans="1:33">
      <c r="A121" s="100">
        <v>6</v>
      </c>
      <c r="B121" s="104" t="s">
        <v>441</v>
      </c>
      <c r="C121" s="106">
        <f>ROUND(C119/H117,10)</f>
        <v>0</v>
      </c>
      <c r="D121" s="106">
        <f>ROUND((C119+D119)/H117,10)</f>
        <v>0</v>
      </c>
      <c r="E121" s="106">
        <f>ROUND((C119+D119+E119)/H117,10)</f>
        <v>0</v>
      </c>
      <c r="F121" s="106">
        <f>ROUND((C119+D119+E119+F119)/H117,10)</f>
        <v>0</v>
      </c>
      <c r="G121" s="106">
        <f>ROUND((C119+D119+E119+F119+G119)/H117,10)</f>
        <v>0</v>
      </c>
      <c r="H121" s="104"/>
      <c r="V121" s="150"/>
      <c r="W121" s="150"/>
      <c r="X121" s="150"/>
      <c r="Y121" s="150"/>
      <c r="Z121" s="150"/>
      <c r="AA121" s="150"/>
      <c r="AB121" s="150"/>
      <c r="AC121" s="150"/>
      <c r="AD121" s="150"/>
      <c r="AE121" s="150"/>
      <c r="AF121" s="150"/>
      <c r="AG121" s="150"/>
    </row>
    <row r="122" s="6" customFormat="1" ht="24" customHeight="1" spans="1:33">
      <c r="A122" s="100">
        <v>7</v>
      </c>
      <c r="B122" s="104" t="s">
        <v>442</v>
      </c>
      <c r="C122" s="104">
        <f t="shared" ref="C122:G122" si="10">C120-C119</f>
        <v>0</v>
      </c>
      <c r="D122" s="104">
        <f t="shared" si="10"/>
        <v>0</v>
      </c>
      <c r="E122" s="104">
        <f t="shared" si="10"/>
        <v>0</v>
      </c>
      <c r="F122" s="104">
        <f t="shared" si="10"/>
        <v>0</v>
      </c>
      <c r="G122" s="104">
        <f t="shared" si="10"/>
        <v>0</v>
      </c>
      <c r="H122" s="104"/>
      <c r="V122" s="150"/>
      <c r="W122" s="150"/>
      <c r="X122" s="150"/>
      <c r="Y122" s="150"/>
      <c r="Z122" s="150"/>
      <c r="AA122" s="150"/>
      <c r="AB122" s="150"/>
      <c r="AC122" s="150"/>
      <c r="AD122" s="150"/>
      <c r="AE122" s="150"/>
      <c r="AF122" s="150"/>
      <c r="AG122" s="150"/>
    </row>
    <row r="123" s="6" customFormat="1" ht="24" customHeight="1" spans="1:33">
      <c r="A123" s="100">
        <v>8</v>
      </c>
      <c r="B123" s="104" t="s">
        <v>443</v>
      </c>
      <c r="C123" s="104">
        <f>C120-C119</f>
        <v>0</v>
      </c>
      <c r="D123" s="104">
        <f>C122+D122</f>
        <v>0</v>
      </c>
      <c r="E123" s="104">
        <f>C122+D122+E122</f>
        <v>0</v>
      </c>
      <c r="F123" s="104">
        <f>C122+D122+E122+F122</f>
        <v>0</v>
      </c>
      <c r="G123" s="104">
        <f>C122+D122+E122+F122+G122</f>
        <v>0</v>
      </c>
      <c r="H123" s="104"/>
      <c r="V123" s="150"/>
      <c r="W123" s="150"/>
      <c r="X123" s="150"/>
      <c r="Y123" s="150"/>
      <c r="Z123" s="150"/>
      <c r="AA123" s="150"/>
      <c r="AB123" s="150"/>
      <c r="AC123" s="150"/>
      <c r="AD123" s="150"/>
      <c r="AE123" s="150"/>
      <c r="AF123" s="150"/>
      <c r="AG123" s="150"/>
    </row>
    <row r="124" s="6" customFormat="1" ht="25.7" customHeight="1" spans="1:33">
      <c r="V124" s="150"/>
      <c r="W124" s="150"/>
      <c r="X124" s="150"/>
      <c r="Y124" s="150"/>
      <c r="Z124" s="150"/>
      <c r="AA124" s="150"/>
      <c r="AB124" s="150"/>
      <c r="AC124" s="150"/>
      <c r="AD124" s="150"/>
      <c r="AE124" s="150"/>
      <c r="AF124" s="150"/>
      <c r="AG124" s="150"/>
    </row>
    <row r="125" s="6" customFormat="1" ht="25.7" customHeight="1" spans="1:33">
      <c r="B125" s="97" t="s">
        <v>444</v>
      </c>
      <c r="C125" s="97"/>
      <c r="D125" s="97"/>
      <c r="E125" s="97"/>
      <c r="F125" s="97"/>
      <c r="G125" s="97" t="s">
        <v>445</v>
      </c>
      <c r="H125" s="97"/>
      <c r="V125" s="150"/>
      <c r="W125" s="150"/>
      <c r="X125" s="150"/>
      <c r="Y125" s="150"/>
      <c r="Z125" s="150"/>
      <c r="AA125" s="150"/>
      <c r="AB125" s="150"/>
      <c r="AC125" s="150"/>
      <c r="AD125" s="150"/>
      <c r="AE125" s="150"/>
      <c r="AF125" s="150"/>
      <c r="AG125" s="150"/>
    </row>
    <row r="127" customHeight="1" spans="1:33">
      <c r="A127" s="8" t="s">
        <v>446</v>
      </c>
    </row>
    <row r="128" customHeight="1" spans="1:33">
      <c r="A128" s="9" t="s">
        <v>98</v>
      </c>
      <c r="B128" s="9" t="s">
        <v>99</v>
      </c>
      <c r="C128" s="9" t="s">
        <v>100</v>
      </c>
      <c r="D128" s="9" t="s">
        <v>101</v>
      </c>
      <c r="E128" s="9" t="s">
        <v>447</v>
      </c>
      <c r="F128" s="9" t="s">
        <v>103</v>
      </c>
      <c r="G128" s="9" t="s">
        <v>104</v>
      </c>
    </row>
    <row r="129" ht="30" customHeight="1" spans="1:12">
      <c r="A129" s="107">
        <f>G12-T12-B108+C108-E108-F108-Q108-D108</f>
        <v>0</v>
      </c>
      <c r="B129" s="107">
        <f>H18-X18-K108+Q108</f>
        <v>-2.9831426218152e-10</v>
      </c>
      <c r="C129" s="107">
        <f>SUMIFS($G$52:$G$77,$D$52:$D$77,C11)/H117*H116-O12</f>
        <v>-1074869.72278122</v>
      </c>
      <c r="D129" s="107">
        <f>G13+G14-T13-T14-G108+H108-I108-J108+R108+G15-T15</f>
        <v>0</v>
      </c>
      <c r="E129" s="107">
        <f>C12*(1-K4)-C13-C14</f>
        <v>-1780045.92</v>
      </c>
      <c r="F129" s="107">
        <f>(SUMIFS($V$21:$V$47,$R$21:$R$47,C11)-SUMIFS($R$52:$R$77,$N$52:$N$77,C11))/1.09*0.02-D94</f>
        <v>-17549.1100917431</v>
      </c>
      <c r="G129" s="107">
        <f>B108-C108+N108-O108</f>
        <v>2726960.5</v>
      </c>
    </row>
    <row r="130" ht="32.1" customHeight="1" spans="1:12">
      <c r="A130" s="18" t="s">
        <v>67</v>
      </c>
      <c r="B130" s="18" t="s">
        <v>67</v>
      </c>
      <c r="C130" s="18" t="s">
        <v>67</v>
      </c>
      <c r="D130" s="18" t="s">
        <v>67</v>
      </c>
      <c r="E130" s="108" t="s">
        <v>68</v>
      </c>
      <c r="F130" s="18" t="s">
        <v>67</v>
      </c>
      <c r="G130" s="108" t="s">
        <v>69</v>
      </c>
    </row>
    <row r="131" customHeight="1" spans="1:12">
      <c r="C131" s="7">
        <f>G53/W12*V12</f>
        <v>8846113.51738238</v>
      </c>
    </row>
    <row r="132" customHeight="1" spans="1:12">
      <c r="C132" s="7">
        <f>C131-O22</f>
        <v>-1007530.01261762</v>
      </c>
    </row>
    <row r="133" customHeight="1" spans="1:12">
      <c r="A133" s="1"/>
      <c r="C133" s="7">
        <f>C129-C132</f>
        <v>-67339.7101636007</v>
      </c>
    </row>
    <row r="135" customHeight="1" spans="1:12">
      <c r="E135" s="3">
        <v>17237.55</v>
      </c>
      <c r="F135" s="3"/>
      <c r="L135" s="148"/>
    </row>
    <row r="136" customHeight="1" spans="1:12">
      <c r="E136" s="3">
        <v>26563.62</v>
      </c>
      <c r="F136" s="3"/>
    </row>
    <row r="137" customHeight="1" spans="1:12">
      <c r="E137" s="3"/>
      <c r="F137" s="3"/>
    </row>
    <row r="138" customHeight="1" spans="1:12">
      <c r="E138" s="3">
        <f>E135-E136</f>
        <v>-9326.07</v>
      </c>
      <c r="F138" s="3"/>
    </row>
    <row r="139" customHeight="1" spans="1:12">
      <c r="E139" s="3"/>
      <c r="F139" s="3"/>
    </row>
  </sheetData>
  <autoFilter xmlns:etc="http://www.wps.cn/officeDocument/2017/etCustomData" ref="A51:AG66" etc:filterBottomFollowUsedRange="0">
    <extLst/>
  </autoFilter>
  <mergeCells count="70">
    <mergeCell ref="E2:J2"/>
    <mergeCell ref="B10:G10"/>
    <mergeCell ref="H10:M10"/>
    <mergeCell ref="N10:S10"/>
    <mergeCell ref="A19:K19"/>
    <mergeCell ref="L19:O19"/>
    <mergeCell ref="P19:Y19"/>
    <mergeCell ref="Z19:AG19"/>
    <mergeCell ref="A50:K50"/>
    <mergeCell ref="L50:U50"/>
    <mergeCell ref="V50:AC50"/>
    <mergeCell ref="A114:C114"/>
    <mergeCell ref="A2:A3"/>
    <mergeCell ref="A10:A11"/>
    <mergeCell ref="B2:B3"/>
    <mergeCell ref="C2:C3"/>
    <mergeCell ref="D2:D3"/>
    <mergeCell ref="K2:K3"/>
    <mergeCell ref="K4:K7"/>
    <mergeCell ref="L2:L3"/>
    <mergeCell ref="L4:L7"/>
    <mergeCell ref="M2:M3"/>
    <mergeCell ref="M4:M7"/>
    <mergeCell ref="N2:N3"/>
    <mergeCell ref="N4:N7"/>
    <mergeCell ref="O2:O3"/>
    <mergeCell ref="O4:O7"/>
    <mergeCell ref="P2:P3"/>
    <mergeCell ref="P4:P7"/>
    <mergeCell ref="Q2:Q3"/>
    <mergeCell ref="Q4:Q7"/>
    <mergeCell ref="R2:R3"/>
    <mergeCell ref="R4:R7"/>
    <mergeCell ref="S2:S3"/>
    <mergeCell ref="S4:S7"/>
    <mergeCell ref="T2:T3"/>
    <mergeCell ref="T4:T7"/>
    <mergeCell ref="T10:T11"/>
    <mergeCell ref="U2:U3"/>
    <mergeCell ref="U4:U7"/>
    <mergeCell ref="U10:U11"/>
    <mergeCell ref="U12:U14"/>
    <mergeCell ref="V2:V3"/>
    <mergeCell ref="V4:V7"/>
    <mergeCell ref="V10:V11"/>
    <mergeCell ref="V12:V14"/>
    <mergeCell ref="W2:W3"/>
    <mergeCell ref="W4:W7"/>
    <mergeCell ref="W10:W11"/>
    <mergeCell ref="W12:W14"/>
    <mergeCell ref="X2:X3"/>
    <mergeCell ref="X4:X7"/>
    <mergeCell ref="Y2:Y3"/>
    <mergeCell ref="Y4:Y7"/>
    <mergeCell ref="Z2:Z3"/>
    <mergeCell ref="Z4:Z7"/>
    <mergeCell ref="AA2:AA3"/>
    <mergeCell ref="AA4:AA7"/>
    <mergeCell ref="AB2:AB3"/>
    <mergeCell ref="AB4:AB7"/>
    <mergeCell ref="AC2:AC3"/>
    <mergeCell ref="AD2:AD3"/>
    <mergeCell ref="AE2:AE3"/>
    <mergeCell ref="AF2:AF3"/>
    <mergeCell ref="AG2:AG3"/>
    <mergeCell ref="AH2:AH3"/>
    <mergeCell ref="AI2:AI3"/>
    <mergeCell ref="AJ2:AJ3"/>
    <mergeCell ref="AJ4:AJ7"/>
    <mergeCell ref="A112:H113"/>
  </mergeCells>
  <dataValidations count="7">
    <dataValidation type="list" allowBlank="1" showInputMessage="1" showErrorMessage="1" sqref="N47 R47 R77 A21:A46 A60:A76 D52:D76 N52:N77 AB52:AB66">
      <formula1>"勘察设计,工程施工,设备采购,服务费,其他"</formula1>
    </dataValidation>
    <dataValidation type="list" allowBlank="1" showInputMessage="1" showErrorMessage="1" sqref="D21:D46">
      <formula1>"勘察设计,工程施工,设备采购,业主承担管理费,服务费"</formula1>
    </dataValidation>
    <dataValidation type="list" allowBlank="1" showInputMessage="1" showErrorMessage="1" sqref="F21:F46 F52:F59">
      <formula1>"6%,9%,13%"</formula1>
    </dataValidation>
    <dataValidation type="list" allowBlank="1" showInputMessage="1" showErrorMessage="1" sqref="N24:N46 R21:R46 AF21:AF46">
      <formula1>"勘察设计,工程施工,设备采购,业主承担管理费,服务费,其他"</formula1>
    </dataValidation>
    <dataValidation type="list" allowBlank="1" showInputMessage="1" showErrorMessage="1" sqref="V4:V7">
      <formula1>"铁路,公路,市政,房建,地铁、轻轨,其他基建"</formula1>
    </dataValidation>
    <dataValidation type="list" allowBlank="1" showInputMessage="1" showErrorMessage="1" sqref="X4:X6">
      <formula1>"竣工未决算,在建,收尾,竣工已决算,停缓建"</formula1>
    </dataValidation>
    <dataValidation type="list" allowBlank="1" showInputMessage="1" showErrorMessage="1" sqref="X52:X76 AB21:AB42">
      <formula1>"专户,集团户"</formula1>
    </dataValidation>
  </dataValidations>
  <pageMargins left="0.75" right="0.75" top="1" bottom="1" header="0.5" footer="0.5"/>
  <pageSetup paperSize="9"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38"/>
  <sheetViews>
    <sheetView zoomScale="90" zoomScaleNormal="90" topLeftCell="S1" workbookViewId="0">
      <selection activeCell="O28" sqref="O28"/>
    </sheetView>
  </sheetViews>
  <sheetFormatPr defaultColWidth="14.25" defaultRowHeight="21.95" customHeight="1"/>
  <cols>
    <col min="1" max="1" width="36.25" style="1" customWidth="1"/>
    <col min="2" max="2" width="30.1333333333333" style="1" customWidth="1"/>
    <col min="3" max="3" width="26.5" style="7" customWidth="1"/>
    <col min="4" max="4" width="17.1333333333333" style="7" customWidth="1"/>
    <col min="5" max="5" width="20.25" style="7" customWidth="1"/>
    <col min="6" max="6" width="17.6333333333333" style="7" customWidth="1"/>
    <col min="7" max="7" width="20.3833333333333" style="7" customWidth="1"/>
    <col min="8" max="8" width="20.6333333333333" style="7" customWidth="1"/>
    <col min="9" max="9" width="20.5" style="7" customWidth="1"/>
    <col min="10" max="10" width="18.3833333333333" style="7" customWidth="1"/>
    <col min="11" max="11" width="18.5" style="7" customWidth="1"/>
    <col min="12" max="12" width="44.1333333333333" style="7" customWidth="1"/>
    <col min="13" max="13" width="22.75" style="7" customWidth="1"/>
    <col min="14" max="14" width="21" style="7" customWidth="1"/>
    <col min="15" max="15" width="19" style="7" customWidth="1"/>
    <col min="16" max="16" width="27" style="7" customWidth="1"/>
    <col min="17" max="17" width="20.75" style="7" customWidth="1"/>
    <col min="18" max="18" width="17.25" style="7" customWidth="1"/>
    <col min="19" max="19" width="17.75" style="7" customWidth="1"/>
    <col min="20" max="20" width="23.8833333333333" style="7" customWidth="1"/>
    <col min="21" max="21" width="17.25" style="7" customWidth="1"/>
    <col min="22" max="22" width="20.75" style="1" customWidth="1"/>
    <col min="23" max="23" width="19.8833333333333" style="1" customWidth="1"/>
    <col min="24" max="24" width="16.8833333333333" style="1" customWidth="1"/>
    <col min="25" max="25" width="14.25" style="1" customWidth="1"/>
    <col min="26" max="26" width="19.25" style="1" customWidth="1"/>
    <col min="27" max="27" width="23.5" style="1" customWidth="1"/>
    <col min="28" max="30" width="14.25" style="1" customWidth="1"/>
    <col min="31" max="31" width="17.25" style="1" customWidth="1"/>
    <col min="32" max="33" width="14.25" style="1" customWidth="1"/>
    <col min="34" max="34" width="17.525" style="7" customWidth="1"/>
    <col min="35" max="16381" width="14.25" style="7" customWidth="1"/>
    <col min="16382" max="16384" width="14.25" style="7"/>
  </cols>
  <sheetData>
    <row r="1" customHeight="1" spans="1:36">
      <c r="A1" s="109" t="s">
        <v>0</v>
      </c>
    </row>
    <row r="2" customHeight="1" spans="1:36">
      <c r="A2" s="9" t="s">
        <v>291</v>
      </c>
      <c r="B2" s="9" t="s">
        <v>292</v>
      </c>
      <c r="C2" s="9" t="s">
        <v>293</v>
      </c>
      <c r="D2" s="10" t="s">
        <v>294</v>
      </c>
      <c r="E2" s="11" t="s">
        <v>295</v>
      </c>
      <c r="F2" s="12"/>
      <c r="G2" s="12"/>
      <c r="H2" s="12"/>
      <c r="I2" s="12"/>
      <c r="J2" s="13"/>
      <c r="K2" s="9" t="s">
        <v>9</v>
      </c>
      <c r="L2" s="9" t="s">
        <v>1</v>
      </c>
      <c r="M2" s="9" t="s">
        <v>296</v>
      </c>
      <c r="N2" s="9" t="s">
        <v>10</v>
      </c>
      <c r="O2" s="9" t="s">
        <v>11</v>
      </c>
      <c r="P2" s="9" t="s">
        <v>297</v>
      </c>
      <c r="Q2" s="9" t="s">
        <v>298</v>
      </c>
      <c r="R2" s="9" t="s">
        <v>299</v>
      </c>
      <c r="S2" s="9" t="s">
        <v>12</v>
      </c>
      <c r="T2" s="9" t="s">
        <v>13</v>
      </c>
      <c r="U2" s="9" t="s">
        <v>14</v>
      </c>
      <c r="V2" s="9" t="s">
        <v>15</v>
      </c>
      <c r="W2" s="9" t="s">
        <v>16</v>
      </c>
      <c r="X2" s="9" t="s">
        <v>17</v>
      </c>
      <c r="Y2" s="9" t="s">
        <v>300</v>
      </c>
      <c r="Z2" s="9" t="s">
        <v>301</v>
      </c>
      <c r="AA2" s="9" t="s">
        <v>302</v>
      </c>
      <c r="AB2" s="9" t="s">
        <v>303</v>
      </c>
      <c r="AC2" s="9" t="s">
        <v>304</v>
      </c>
      <c r="AD2" s="9" t="s">
        <v>305</v>
      </c>
      <c r="AE2" s="9" t="s">
        <v>304</v>
      </c>
      <c r="AF2" s="9" t="s">
        <v>306</v>
      </c>
      <c r="AG2" s="9" t="s">
        <v>307</v>
      </c>
      <c r="AH2" s="9" t="s">
        <v>308</v>
      </c>
      <c r="AI2" s="9" t="s">
        <v>309</v>
      </c>
      <c r="AJ2" s="9" t="s">
        <v>310</v>
      </c>
    </row>
    <row r="3" customHeight="1" spans="1:36">
      <c r="A3" s="14"/>
      <c r="B3" s="14"/>
      <c r="C3" s="14"/>
      <c r="D3" s="15"/>
      <c r="E3" s="16" t="s">
        <v>311</v>
      </c>
      <c r="F3" s="16" t="s">
        <v>312</v>
      </c>
      <c r="G3" s="16" t="s">
        <v>313</v>
      </c>
      <c r="H3" s="16" t="s">
        <v>314</v>
      </c>
      <c r="I3" s="16" t="s">
        <v>315</v>
      </c>
      <c r="J3" s="16" t="s">
        <v>92</v>
      </c>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ht="35.25" customHeight="1" spans="1:36">
      <c r="A4" s="110" t="s">
        <v>448</v>
      </c>
      <c r="B4" s="110" t="s">
        <v>464</v>
      </c>
      <c r="C4" s="17" t="s">
        <v>465</v>
      </c>
      <c r="D4" s="18" t="s">
        <v>319</v>
      </c>
      <c r="E4" s="19">
        <v>3326600</v>
      </c>
      <c r="F4" s="19">
        <f>92179000-G4</f>
        <v>50118040</v>
      </c>
      <c r="G4" s="19">
        <v>42060960</v>
      </c>
      <c r="H4" s="19"/>
      <c r="I4" s="19"/>
      <c r="J4" s="19">
        <f>SUM(E4:I4)</f>
        <v>95505600</v>
      </c>
      <c r="K4" s="20">
        <f>(F4-F5)/F4</f>
        <v>0.0200000000000001</v>
      </c>
      <c r="L4" s="21" t="s">
        <v>466</v>
      </c>
      <c r="M4" s="21" t="s">
        <v>209</v>
      </c>
      <c r="N4" s="21" t="s">
        <v>321</v>
      </c>
      <c r="O4" s="22" t="s">
        <v>322</v>
      </c>
      <c r="P4" s="22"/>
      <c r="Q4" s="22"/>
      <c r="R4" s="22"/>
      <c r="S4" s="22"/>
      <c r="T4" s="22"/>
      <c r="U4" s="22"/>
      <c r="V4" s="21" t="s">
        <v>323</v>
      </c>
      <c r="W4" s="21" t="s">
        <v>451</v>
      </c>
      <c r="X4" s="23" t="s">
        <v>452</v>
      </c>
      <c r="Y4" s="111">
        <v>0.9</v>
      </c>
      <c r="Z4" s="111">
        <v>0.8</v>
      </c>
      <c r="AA4" s="21"/>
      <c r="AB4" s="21"/>
      <c r="AC4" s="110"/>
      <c r="AD4" s="110"/>
      <c r="AE4" s="110"/>
      <c r="AF4" s="110"/>
      <c r="AG4" s="110"/>
      <c r="AH4" s="17"/>
      <c r="AI4" s="17"/>
      <c r="AJ4" s="22"/>
    </row>
    <row r="5" ht="35.25" customHeight="1" spans="1:36">
      <c r="A5" s="158" t="s">
        <v>467</v>
      </c>
      <c r="B5" s="158" t="s">
        <v>468</v>
      </c>
      <c r="C5" s="17" t="s">
        <v>469</v>
      </c>
      <c r="D5" s="18" t="s">
        <v>328</v>
      </c>
      <c r="E5" s="19"/>
      <c r="F5" s="19">
        <f>50118040*0.98</f>
        <v>49115679.2</v>
      </c>
      <c r="G5" s="19"/>
      <c r="H5" s="19"/>
      <c r="I5" s="19"/>
      <c r="J5" s="19">
        <f>SUM(E5:I5)</f>
        <v>49115679.2</v>
      </c>
      <c r="K5" s="25"/>
      <c r="L5" s="26"/>
      <c r="M5" s="26"/>
      <c r="N5" s="26"/>
      <c r="O5" s="27"/>
      <c r="P5" s="27"/>
      <c r="Q5" s="27"/>
      <c r="R5" s="27"/>
      <c r="S5" s="27"/>
      <c r="T5" s="27"/>
      <c r="U5" s="27"/>
      <c r="V5" s="26"/>
      <c r="W5" s="26"/>
      <c r="X5" s="28"/>
      <c r="Y5" s="159"/>
      <c r="Z5" s="26"/>
      <c r="AA5" s="26"/>
      <c r="AB5" s="26"/>
      <c r="AC5" s="110"/>
      <c r="AD5" s="110"/>
      <c r="AE5" s="110"/>
      <c r="AF5" s="110"/>
      <c r="AG5" s="110"/>
      <c r="AH5" s="17"/>
      <c r="AI5" s="17"/>
      <c r="AJ5" s="27"/>
    </row>
    <row r="6" ht="35.25" customHeight="1" spans="1:36">
      <c r="A6" s="110" t="s">
        <v>459</v>
      </c>
      <c r="B6" s="110" t="s">
        <v>470</v>
      </c>
      <c r="C6" s="17" t="s">
        <v>471</v>
      </c>
      <c r="D6" s="18" t="s">
        <v>328</v>
      </c>
      <c r="E6" s="19"/>
      <c r="F6" s="19"/>
      <c r="G6" s="19">
        <f>(42060960)*0.98</f>
        <v>41219740.8</v>
      </c>
      <c r="H6" s="19"/>
      <c r="I6" s="19"/>
      <c r="J6" s="19">
        <f>SUM(E6:I6)</f>
        <v>41219740.8</v>
      </c>
      <c r="K6" s="25"/>
      <c r="L6" s="26"/>
      <c r="M6" s="26"/>
      <c r="N6" s="26"/>
      <c r="O6" s="27"/>
      <c r="P6" s="27"/>
      <c r="Q6" s="27"/>
      <c r="R6" s="27"/>
      <c r="S6" s="27"/>
      <c r="T6" s="27"/>
      <c r="U6" s="27"/>
      <c r="V6" s="26"/>
      <c r="W6" s="26"/>
      <c r="X6" s="28"/>
      <c r="Y6" s="26"/>
      <c r="Z6" s="26"/>
      <c r="AA6" s="26"/>
      <c r="AB6" s="26"/>
      <c r="AC6" s="110"/>
      <c r="AD6" s="110"/>
      <c r="AE6" s="110"/>
      <c r="AF6" s="110"/>
      <c r="AG6" s="110"/>
      <c r="AH6" s="17"/>
      <c r="AI6" s="17"/>
      <c r="AJ6" s="27"/>
    </row>
    <row r="7" ht="35.25" customHeight="1" spans="1:36">
      <c r="A7" s="158" t="s">
        <v>456</v>
      </c>
      <c r="B7" s="158" t="s">
        <v>472</v>
      </c>
      <c r="C7" s="17"/>
      <c r="D7" s="18" t="s">
        <v>328</v>
      </c>
      <c r="E7" s="19">
        <v>500000</v>
      </c>
      <c r="F7" s="19"/>
      <c r="G7" s="19"/>
      <c r="H7" s="19"/>
      <c r="I7" s="19"/>
      <c r="J7" s="19">
        <f>SUM(E7:I7)</f>
        <v>500000</v>
      </c>
      <c r="K7" s="25"/>
      <c r="L7" s="26"/>
      <c r="M7" s="26"/>
      <c r="N7" s="26"/>
      <c r="O7" s="27"/>
      <c r="P7" s="27"/>
      <c r="Q7" s="27"/>
      <c r="R7" s="27"/>
      <c r="S7" s="27"/>
      <c r="T7" s="27"/>
      <c r="U7" s="27"/>
      <c r="V7" s="26"/>
      <c r="W7" s="26"/>
      <c r="X7" s="28"/>
      <c r="Y7" s="26"/>
      <c r="Z7" s="26"/>
      <c r="AA7" s="26"/>
      <c r="AB7" s="26"/>
      <c r="AC7" s="110"/>
      <c r="AD7" s="110"/>
      <c r="AE7" s="110"/>
      <c r="AF7" s="110"/>
      <c r="AG7" s="110"/>
      <c r="AH7" s="17"/>
      <c r="AI7" s="17"/>
      <c r="AJ7" s="27"/>
    </row>
    <row r="8" ht="35.25" customHeight="1" spans="1:36">
      <c r="A8" s="158" t="s">
        <v>473</v>
      </c>
      <c r="B8" s="158" t="s">
        <v>472</v>
      </c>
      <c r="C8" s="17"/>
      <c r="D8" s="18" t="s">
        <v>328</v>
      </c>
      <c r="E8" s="19">
        <v>700000</v>
      </c>
      <c r="F8" s="19"/>
      <c r="G8" s="19"/>
      <c r="H8" s="19"/>
      <c r="I8" s="19"/>
      <c r="J8" s="19">
        <f>SUM(E8:I8)</f>
        <v>700000</v>
      </c>
      <c r="K8" s="29"/>
      <c r="L8" s="30"/>
      <c r="M8" s="30"/>
      <c r="N8" s="30"/>
      <c r="O8" s="31"/>
      <c r="P8" s="31"/>
      <c r="Q8" s="31"/>
      <c r="R8" s="31"/>
      <c r="S8" s="31"/>
      <c r="T8" s="31"/>
      <c r="U8" s="31"/>
      <c r="V8" s="30"/>
      <c r="W8" s="30"/>
      <c r="X8" s="32"/>
      <c r="Y8" s="30"/>
      <c r="Z8" s="30"/>
      <c r="AA8" s="30"/>
      <c r="AB8" s="30"/>
      <c r="AC8" s="110"/>
      <c r="AD8" s="110"/>
      <c r="AE8" s="110"/>
      <c r="AF8" s="110"/>
      <c r="AG8" s="110"/>
      <c r="AH8" s="17"/>
      <c r="AI8" s="17"/>
      <c r="AJ8" s="31"/>
    </row>
    <row r="9" customHeight="1" spans="1:36">
      <c r="A9" s="112"/>
      <c r="F9" s="7">
        <f>ROUND(F4/1.09,2)</f>
        <v>45979853.21</v>
      </c>
      <c r="G9" s="7">
        <f>ROUND(G4/1.13,2)</f>
        <v>37222088.5</v>
      </c>
    </row>
    <row r="10" customHeight="1" spans="1:36">
      <c r="A10" s="109" t="s">
        <v>333</v>
      </c>
      <c r="F10" s="7">
        <f>ROUND(F5/1.09,2)</f>
        <v>45060256.15</v>
      </c>
    </row>
    <row r="11" customHeight="1" spans="1:36">
      <c r="A11" s="16" t="s">
        <v>291</v>
      </c>
      <c r="B11" s="34" t="s">
        <v>83</v>
      </c>
      <c r="C11" s="34"/>
      <c r="D11" s="34"/>
      <c r="E11" s="34"/>
      <c r="F11" s="34"/>
      <c r="G11" s="34"/>
      <c r="H11" s="34" t="s">
        <v>88</v>
      </c>
      <c r="I11" s="34"/>
      <c r="J11" s="34"/>
      <c r="K11" s="34"/>
      <c r="L11" s="34"/>
      <c r="M11" s="34"/>
      <c r="N11" s="34" t="s">
        <v>334</v>
      </c>
      <c r="O11" s="34"/>
      <c r="P11" s="34"/>
      <c r="Q11" s="34"/>
      <c r="R11" s="34"/>
      <c r="S11" s="34"/>
      <c r="T11" s="9" t="s">
        <v>335</v>
      </c>
      <c r="U11" s="9" t="s">
        <v>336</v>
      </c>
      <c r="V11" s="9" t="s">
        <v>81</v>
      </c>
      <c r="W11" s="9" t="s">
        <v>82</v>
      </c>
    </row>
    <row r="12" s="1" customFormat="1" customHeight="1" spans="1:36">
      <c r="A12" s="16"/>
      <c r="B12" s="16" t="s">
        <v>311</v>
      </c>
      <c r="C12" s="16" t="s">
        <v>312</v>
      </c>
      <c r="D12" s="16" t="s">
        <v>313</v>
      </c>
      <c r="E12" s="16" t="s">
        <v>314</v>
      </c>
      <c r="F12" s="16" t="s">
        <v>337</v>
      </c>
      <c r="G12" s="16" t="s">
        <v>92</v>
      </c>
      <c r="H12" s="16" t="s">
        <v>311</v>
      </c>
      <c r="I12" s="16" t="s">
        <v>312</v>
      </c>
      <c r="J12" s="16" t="s">
        <v>313</v>
      </c>
      <c r="K12" s="16" t="s">
        <v>314</v>
      </c>
      <c r="L12" s="16" t="s">
        <v>337</v>
      </c>
      <c r="M12" s="16" t="s">
        <v>92</v>
      </c>
      <c r="N12" s="16" t="s">
        <v>311</v>
      </c>
      <c r="O12" s="16" t="s">
        <v>312</v>
      </c>
      <c r="P12" s="16" t="s">
        <v>313</v>
      </c>
      <c r="Q12" s="16" t="s">
        <v>314</v>
      </c>
      <c r="R12" s="16" t="s">
        <v>337</v>
      </c>
      <c r="S12" s="16" t="s">
        <v>92</v>
      </c>
      <c r="T12" s="14"/>
      <c r="U12" s="14"/>
      <c r="V12" s="14"/>
      <c r="W12" s="14"/>
    </row>
    <row r="13" customHeight="1" spans="1:36">
      <c r="A13" s="113" t="s">
        <v>448</v>
      </c>
      <c r="B13" s="114">
        <f>SUMIFS($E$22:$E$48,$D$22:$D$48,$B$12,$A$22:$A$48,$A$13)</f>
        <v>3326600</v>
      </c>
      <c r="C13" s="36">
        <f>SUMIFS($E$22:$E$48,$D$22:$D$48,C12,$A$22:$A$48,A13)</f>
        <v>35095447</v>
      </c>
      <c r="D13" s="36">
        <f>SUMIFS($E$22:$E$48,$D$22:$D$48,D12,$A$22:$A$48,A13)</f>
        <v>43362667</v>
      </c>
      <c r="E13" s="36">
        <f>SUMIFS($E$22:$E$48,$D$22:$D$48,E12,$A$22:$A$48,A13)</f>
        <v>0</v>
      </c>
      <c r="F13" s="36">
        <f>SUMIFS($E$22:$E$48,$D$22:$D$48,F12,$A$22:$A$48,A13)</f>
        <v>0</v>
      </c>
      <c r="G13" s="36">
        <f t="shared" ref="G13:G17" si="0">SUM(B13:F13)</f>
        <v>81784714</v>
      </c>
      <c r="H13" s="36">
        <f>SUMIFS($V$22:$V$48,$R$22:$R$48,$H$12,$P$22:$P$48,$A$13)</f>
        <v>2661280</v>
      </c>
      <c r="I13" s="36">
        <f>SUMIFS($V$22:$V$48,$R$22:$R$48,I12,$P$22:$P$48,$A$13)</f>
        <v>35095447</v>
      </c>
      <c r="J13" s="36">
        <f>SUMIFS($V$22:$V$48,$R$22:$R$48,$J$12,$P$22:$P$48,$A$13)</f>
        <v>43362667</v>
      </c>
      <c r="K13" s="36">
        <f>SUMIFS($V$22:$V$48,$R$22:$R$48,$K$12,$P$22:$P$48,$A$13)</f>
        <v>0</v>
      </c>
      <c r="L13" s="36">
        <f>SUMIFS($V$22:$V$48,$R$22:$R$48,$L$12,$P$22:$P$48,$A$13)</f>
        <v>0</v>
      </c>
      <c r="M13" s="36">
        <f t="shared" ref="M13:M17" si="1">SUM(H13:L13)</f>
        <v>81119394</v>
      </c>
      <c r="N13" s="36">
        <f>SUMIFS($O$22:$O$47,$N$22:$N$47,N12,$L$22:$L$47,A13)</f>
        <v>3138301.88</v>
      </c>
      <c r="O13" s="36">
        <f>SUMIFS($O$22:$O$47,$N$22:$N$47,O12,$L$22:$L$47,A13)</f>
        <v>36052682.85</v>
      </c>
      <c r="P13" s="36">
        <f>SUMIFS($O$22:$O$47,$N$22:$N$47,P12,$L$22:$L$47,A13)</f>
        <v>38374041.58</v>
      </c>
      <c r="Q13" s="36">
        <f>SUMIFS($O$22:$O$47,$N$22:$N$47,Q12,$L$22:$L$47,A13)</f>
        <v>0</v>
      </c>
      <c r="R13" s="36">
        <f>SUMIFS($O$22:$O$47,$N$22:$N$47,R12,$L$22:$L$47,A13)</f>
        <v>0</v>
      </c>
      <c r="S13" s="37">
        <f>SUM(N13:R13)</f>
        <v>77565026.31</v>
      </c>
      <c r="T13" s="37">
        <f>SUMIF($Z$22:$Z$48,A13,$AE$22:$AE$48)</f>
        <v>81119394</v>
      </c>
      <c r="U13" s="18"/>
      <c r="V13" s="146">
        <f>F4/1.09</f>
        <v>45979853.2110092</v>
      </c>
      <c r="W13" s="146">
        <f>(F6+F8+F5+F7)/1.09</f>
        <v>45060256.146789</v>
      </c>
      <c r="X13" s="1">
        <v>45979853.2110092</v>
      </c>
      <c r="Y13" s="1">
        <v>45060256.146789</v>
      </c>
    </row>
    <row r="14" customHeight="1" spans="1:36">
      <c r="A14" s="113" t="s">
        <v>467</v>
      </c>
      <c r="B14" s="114">
        <f>SUMIFS($E$53:$E$78,$D$53:$D$78,B12,$A$53:$A$78,A14)</f>
        <v>0</v>
      </c>
      <c r="C14" s="36">
        <f>SUMIFS($E$53:$E$78,$D$53:$D$78,C12,$A$53:$A$78,A14)</f>
        <v>34581733.41</v>
      </c>
      <c r="D14" s="36">
        <f>SUMIFS($E$53:$E$78,$D$53:$D$78,D12,$A$53:$A$78,A14)</f>
        <v>0</v>
      </c>
      <c r="E14" s="36">
        <f>SUMIFS($E$53:$E$78,$D$53:$D$78,E12,$A$53:$A$78,A14)</f>
        <v>0</v>
      </c>
      <c r="F14" s="36">
        <f>SUMIFS($E$53:$E$78,$D$53:$D$78,F12,$A$53:$A$78,A14)</f>
        <v>0</v>
      </c>
      <c r="G14" s="36">
        <f t="shared" si="0"/>
        <v>34581733.41</v>
      </c>
      <c r="H14" s="36">
        <f>SUMIFS($R$53:$R$78,$N$53:$N$78,H12,$L$53:$L$78,A14)</f>
        <v>0</v>
      </c>
      <c r="I14" s="36">
        <f>SUMIFS($R$53:$R$78,$N$53:$N$78,I12,$L$53:$L$78,A14)</f>
        <v>34442714.6</v>
      </c>
      <c r="J14" s="36">
        <f>SUMIFS($R$53:$R$78,$N$53:$N$78,J12,$L$53:$L$78,A14)</f>
        <v>0</v>
      </c>
      <c r="K14" s="36">
        <f>SUMIFS($R$53:$R$78,$N$53:$N$78,K12,$L$53:$L$78,A14)</f>
        <v>0</v>
      </c>
      <c r="L14" s="36">
        <f>SUMIFS($R$53:$R$78,$N$53:$N$78,L12,$L$53:$L$78,A14)</f>
        <v>0</v>
      </c>
      <c r="M14" s="36">
        <f t="shared" si="1"/>
        <v>34442714.6</v>
      </c>
      <c r="N14" s="36">
        <f>SUMIFS($G$53:$G$78,$D$53:$D$78,N12,$A$53:$A$78,A14)</f>
        <v>0</v>
      </c>
      <c r="O14" s="36">
        <f>SUMIFS($G$53:$G$78,$D$53:$D$78,$O$12,$A$53:$A$78,A14)</f>
        <v>31726360.92</v>
      </c>
      <c r="P14" s="36">
        <f>SUMIFS($G$53:$G$78,$D$53:$D$78,$P$12,$A$53:$A$78,A14)</f>
        <v>0</v>
      </c>
      <c r="Q14" s="36">
        <f>SUMIFS($G$53:$G$78,$D$53:$D$78,$Q$12,$A$53:$A$78,A14)</f>
        <v>0</v>
      </c>
      <c r="R14" s="36">
        <f>SUMIFS($G$53:$G$78,$D$53:$D$78,$R$12,$A$53:$A$78,A14)</f>
        <v>0</v>
      </c>
      <c r="S14" s="37">
        <f>SUM(N14:R14)</f>
        <v>31726360.92</v>
      </c>
      <c r="T14" s="37">
        <f>SUMIF($V$53:$V$78,A14,$AA$53:$AA$78)</f>
        <v>34442712.98</v>
      </c>
      <c r="U14" s="18"/>
      <c r="V14" s="146"/>
      <c r="W14" s="146"/>
    </row>
    <row r="15" customHeight="1" spans="1:36">
      <c r="A15" s="113" t="s">
        <v>459</v>
      </c>
      <c r="B15" s="114">
        <f>SUMIFS($E$53:$E$78,$D$53:$D$78,B12,$A$53:$A$78,A15)</f>
        <v>0</v>
      </c>
      <c r="C15" s="36">
        <f>SUMIFS($E$53:$E$78,$D$53:$D$78,C12,$A$53:$A$78,A15)</f>
        <v>0</v>
      </c>
      <c r="D15" s="36">
        <f>SUMIFS($E$53:$E$78,$D$53:$D$78,D12,$A$53:$A$78,A15)</f>
        <v>41138898.07</v>
      </c>
      <c r="E15" s="36">
        <f>SUMIFS($E$53:$E$78,$D$53:$D$78,E12,$A$53:$A$78,A15)</f>
        <v>0</v>
      </c>
      <c r="F15" s="36">
        <f>SUMIFS($E$53:$E$78,$D$53:$D$78,F12,$A$53:$A$78,A15)</f>
        <v>0</v>
      </c>
      <c r="G15" s="36">
        <f t="shared" si="0"/>
        <v>41138898.07</v>
      </c>
      <c r="H15" s="36">
        <f>SUMIFS($R$53:$R$78,$N$53:$N$78,H12,$L$53:$L$78,A15)</f>
        <v>0</v>
      </c>
      <c r="I15" s="36">
        <f>SUMIFS($R$53:$R$78,$N$53:$N$78,I12,$L$53:$L$78,A15)</f>
        <v>0</v>
      </c>
      <c r="J15" s="36">
        <f>SUMIFS($R$53:$R$78,$N$53:$N$78,J12,$L$53:$L$78,A15)</f>
        <v>42446237.2</v>
      </c>
      <c r="K15" s="36">
        <f>SUMIFS($R$53:$R$78,$N$53:$N$78,K12,$L$53:$L$78,A15)</f>
        <v>0</v>
      </c>
      <c r="L15" s="36">
        <f>SUMIFS($R$53:$R$78,$N$53:$N$78,L12,$L$53:$L$78,A15)</f>
        <v>0</v>
      </c>
      <c r="M15" s="36">
        <f t="shared" si="1"/>
        <v>42446237.2</v>
      </c>
      <c r="N15" s="36">
        <f>SUMIFS($G$53:$G$78,$D$53:$D$78,$N$12,$A$53:$A$78,A15)</f>
        <v>0</v>
      </c>
      <c r="O15" s="36">
        <f>SUMIFS($G$53:$G$78,$D$53:$D$78,$O$12,$A$53:$A$78,A15)</f>
        <v>0</v>
      </c>
      <c r="P15" s="36">
        <f>SUMIFS($G$53:$G$78,$D$53:$D$78,$P$12,$A$53:$A$78,A15)</f>
        <v>37334991.09</v>
      </c>
      <c r="Q15" s="36">
        <f>SUMIFS($G$53:$G$78,$D$53:$D$78,$Q$12,$A$53:$A$78,A15)</f>
        <v>0</v>
      </c>
      <c r="R15" s="36">
        <f>SUMIFS($G$53:$G$78,$D$53:$D$78,$R$12,$A$53:$A$78,A15)</f>
        <v>0</v>
      </c>
      <c r="S15" s="37">
        <f>SUM(N15:R15)</f>
        <v>37334991.09</v>
      </c>
      <c r="T15" s="37">
        <f>SUMIF($V$53:$V$78,A15,$AA$53:$AA$78)</f>
        <v>42446237.2</v>
      </c>
      <c r="U15" s="18"/>
      <c r="V15" s="146"/>
      <c r="W15" s="146"/>
    </row>
    <row r="16" s="2" customFormat="1" customHeight="1" spans="1:36">
      <c r="A16" s="115" t="s">
        <v>456</v>
      </c>
      <c r="B16" s="114">
        <f>SUMIFS($E$53:$E$78,$D$53:$D$78,B12,$A$53:$A$78,A16)</f>
        <v>500000</v>
      </c>
      <c r="C16" s="36">
        <f>SUMIFS($E$53:$E$78,$D$53:$D$78,C12,$A$53:$A$78,A16)</f>
        <v>0</v>
      </c>
      <c r="D16" s="36">
        <f>SUMIFS($E$53:$E$78,$D$53:$D$78,D13,$A$53:$A$78,A16)</f>
        <v>0</v>
      </c>
      <c r="E16" s="36">
        <f>SUMIFS($E$53:$E$78,$D$53:$D$78,E13,$A$53:$A$78,A16)</f>
        <v>0</v>
      </c>
      <c r="F16" s="36">
        <f>SUMIFS($E$53:$E$78,$D$53:$D$78,F13,$A$53:$A$78,A16)</f>
        <v>0</v>
      </c>
      <c r="G16" s="36">
        <f t="shared" si="0"/>
        <v>500000</v>
      </c>
      <c r="H16" s="36">
        <f>SUMIFS($R$53:$R$78,$N$53:$N$78,H13,$L$53:$L$78,A16)</f>
        <v>0</v>
      </c>
      <c r="I16" s="36">
        <f>SUMIFS($R$53:$R$78,$N$53:$N$78,I13,$L$53:$L$78,A16)</f>
        <v>0</v>
      </c>
      <c r="J16" s="36">
        <f>SUMIFS($R$53:$R$78,$N$53:$N$78,J13,$L$53:$L$78,A16)</f>
        <v>0</v>
      </c>
      <c r="K16" s="36">
        <f>SUMIFS($R$53:$R$78,$N$53:$N$78,K13,$L$53:$L$78,A16)</f>
        <v>0</v>
      </c>
      <c r="L16" s="36">
        <f>SUMIFS($R$53:$R$78,$N$53:$N$78,L13,$L$53:$L$78,A16)</f>
        <v>0</v>
      </c>
      <c r="M16" s="36">
        <f t="shared" si="1"/>
        <v>0</v>
      </c>
      <c r="N16" s="36">
        <f>SUMIFS($G$53:$G$78,$D$53:$D$78,$N$12,$A$53:$A$78,A16)</f>
        <v>471698.11</v>
      </c>
      <c r="O16" s="36">
        <f>SUMIFS($G$53:$G$78,$D$53:$D$78,$O$12,$A$53:$A$78,A16)</f>
        <v>0</v>
      </c>
      <c r="P16" s="36">
        <f>SUMIFS($G$53:$G$78,$D$53:$D$78,$P$12,$A$53:$A$78,A16)</f>
        <v>0</v>
      </c>
      <c r="Q16" s="36">
        <f>SUMIFS($G$53:$G$78,$D$53:$D$78,$Q$12,$A$53:$A$78,A16)</f>
        <v>0</v>
      </c>
      <c r="R16" s="36">
        <f>SUMIFS($G$53:$G$78,$D$53:$D$78,$R$12,$A$53:$A$78,A16)</f>
        <v>0</v>
      </c>
      <c r="S16" s="37">
        <f>SUM(N16:R16)</f>
        <v>471698.11</v>
      </c>
      <c r="T16" s="37">
        <f>SUMIF($V$53:$V$78,A16,$AA$53:$AA$78)</f>
        <v>500000</v>
      </c>
      <c r="U16" s="61"/>
      <c r="V16" s="65"/>
      <c r="W16" s="65"/>
      <c r="X16" s="116"/>
      <c r="Y16" s="116"/>
      <c r="Z16" s="116"/>
      <c r="AA16" s="116"/>
      <c r="AB16" s="116"/>
      <c r="AC16" s="116"/>
      <c r="AD16" s="116"/>
      <c r="AE16" s="116"/>
      <c r="AF16" s="116"/>
      <c r="AG16" s="116"/>
    </row>
    <row r="17" s="2" customFormat="1" customHeight="1" spans="1:34">
      <c r="A17" s="115" t="s">
        <v>473</v>
      </c>
      <c r="B17" s="114">
        <f>SUMIFS($E$53:$E$78,$D$53:$D$78,B12,$A$53:$A$78,A17)</f>
        <v>630000</v>
      </c>
      <c r="C17" s="36">
        <f>SUMIFS($E$53:$E$78,$D$53:$D$78,C14,$A$53:$A$78,A17)</f>
        <v>0</v>
      </c>
      <c r="D17" s="36">
        <f>SUMIFS($E$53:$E$78,$D$53:$D$78,D12,$A$53:$A$78,A17)</f>
        <v>0</v>
      </c>
      <c r="E17" s="36">
        <f>SUMIFS($E$53:$E$78,$D$53:$D$78,E14,$A$53:$A$78,A17)</f>
        <v>0</v>
      </c>
      <c r="F17" s="36">
        <f>SUMIFS($E$53:$E$78,$D$53:$D$78,F14,$A$53:$A$78,A17)</f>
        <v>0</v>
      </c>
      <c r="G17" s="36">
        <f t="shared" si="0"/>
        <v>630000</v>
      </c>
      <c r="H17" s="36">
        <f>SUMIFS($R$53:$R$78,$N$53:$N$78,H14,$L$53:$L$78,A17)</f>
        <v>0</v>
      </c>
      <c r="I17" s="36">
        <f>SUMIFS($R$53:$R$78,$N$53:$N$78,I14,$L$53:$L$78,A17)</f>
        <v>0</v>
      </c>
      <c r="J17" s="36">
        <f>SUMIFS($R$53:$R$78,$N$53:$N$78,J14,$L$53:$L$78,A17)</f>
        <v>0</v>
      </c>
      <c r="K17" s="36">
        <f>SUMIFS($R$53:$R$78,$N$53:$N$78,K14,$L$53:$L$78,A17)</f>
        <v>0</v>
      </c>
      <c r="L17" s="36">
        <f>SUMIFS($R$53:$R$78,$N$53:$N$78,L14,$L$53:$L$78,A17)</f>
        <v>0</v>
      </c>
      <c r="M17" s="36">
        <f t="shared" si="1"/>
        <v>0</v>
      </c>
      <c r="N17" s="36">
        <f>SUMIFS($G$53:$G$78,$D$53:$D$78,$N$12,$A$53:$A$78,A17)</f>
        <v>594339.62</v>
      </c>
      <c r="O17" s="36">
        <f>SUMIFS($G$53:$G$78,$D$53:$D$78,$O$12,$A$53:$A$78,A17)</f>
        <v>0</v>
      </c>
      <c r="P17" s="36">
        <f>SUMIFS($G$53:$G$78,$D$53:$D$78,$P$12,$A$53:$A$78,A17)</f>
        <v>0</v>
      </c>
      <c r="Q17" s="36">
        <f>SUMIFS($G$53:$G$78,$D$53:$D$78,$Q$12,$A$53:$A$78,A17)</f>
        <v>0</v>
      </c>
      <c r="R17" s="36">
        <f>SUMIFS($G$53:$G$78,$D$53:$D$78,$R$12,$A$53:$A$78,A17)</f>
        <v>0</v>
      </c>
      <c r="S17" s="37">
        <f>SUM(N17:R17)</f>
        <v>594339.62</v>
      </c>
      <c r="T17" s="37">
        <f>SUMIF($V$53:$V$78,A17,$AA$53:$AA$78)</f>
        <v>630000</v>
      </c>
      <c r="U17" s="61"/>
      <c r="V17" s="65"/>
      <c r="W17" s="65"/>
      <c r="X17" s="116"/>
      <c r="Y17" s="116"/>
      <c r="Z17" s="116"/>
      <c r="AA17" s="116"/>
      <c r="AB17" s="116"/>
      <c r="AC17" s="116"/>
      <c r="AD17" s="116"/>
      <c r="AE17" s="116"/>
      <c r="AF17" s="116"/>
      <c r="AG17" s="116"/>
    </row>
    <row r="19" s="3" customFormat="1" customHeight="1" spans="1:34">
      <c r="A19" s="117" t="s">
        <v>339</v>
      </c>
      <c r="B19" s="118"/>
      <c r="C19" s="3">
        <f t="shared" ref="C19:H19" si="2">SUM(C22:C47)</f>
        <v>81784714</v>
      </c>
      <c r="E19" s="3">
        <f t="shared" si="2"/>
        <v>81784714</v>
      </c>
      <c r="G19" s="3">
        <f t="shared" si="2"/>
        <v>73710001.27</v>
      </c>
      <c r="H19" s="3">
        <f t="shared" si="2"/>
        <v>8074712.73</v>
      </c>
      <c r="O19" s="3">
        <f>SUM(O22:O47)</f>
        <v>77565026.31</v>
      </c>
      <c r="V19" s="118">
        <f t="shared" ref="V19:X19" si="3">SUM(V22:V47)</f>
        <v>81119394</v>
      </c>
      <c r="W19" s="118">
        <f t="shared" si="3"/>
        <v>73082340.9</v>
      </c>
      <c r="X19" s="118">
        <f t="shared" si="3"/>
        <v>8037053.1</v>
      </c>
      <c r="Y19" s="118"/>
      <c r="Z19" s="118"/>
      <c r="AA19" s="118"/>
      <c r="AB19" s="118"/>
      <c r="AC19" s="118"/>
      <c r="AD19" s="118"/>
      <c r="AE19" s="118">
        <f>SUM(AE22:AE47)</f>
        <v>81119394</v>
      </c>
      <c r="AF19" s="118"/>
      <c r="AG19" s="118"/>
      <c r="AH19" s="3">
        <v>81119394</v>
      </c>
    </row>
    <row r="20" s="4" customFormat="1" customHeight="1" spans="1:34">
      <c r="A20" s="45" t="s">
        <v>340</v>
      </c>
      <c r="B20" s="45"/>
      <c r="C20" s="45"/>
      <c r="D20" s="45"/>
      <c r="E20" s="45"/>
      <c r="F20" s="45"/>
      <c r="G20" s="45"/>
      <c r="H20" s="45"/>
      <c r="I20" s="45"/>
      <c r="J20" s="45"/>
      <c r="K20" s="45"/>
      <c r="L20" s="46" t="s">
        <v>341</v>
      </c>
      <c r="M20" s="47"/>
      <c r="N20" s="47"/>
      <c r="O20" s="48"/>
      <c r="P20" s="49" t="s">
        <v>342</v>
      </c>
      <c r="Q20" s="50"/>
      <c r="R20" s="50"/>
      <c r="S20" s="50"/>
      <c r="T20" s="50"/>
      <c r="U20" s="50"/>
      <c r="V20" s="50"/>
      <c r="W20" s="50"/>
      <c r="X20" s="50"/>
      <c r="Y20" s="51"/>
      <c r="Z20" s="52" t="s">
        <v>343</v>
      </c>
      <c r="AA20" s="53"/>
      <c r="AB20" s="53"/>
      <c r="AC20" s="53"/>
      <c r="AD20" s="53"/>
      <c r="AE20" s="53"/>
      <c r="AF20" s="53"/>
      <c r="AG20" s="54"/>
    </row>
    <row r="21" s="4" customFormat="1" ht="47.1" customHeight="1" spans="1:34">
      <c r="A21" s="55" t="s">
        <v>344</v>
      </c>
      <c r="B21" s="55" t="s">
        <v>345</v>
      </c>
      <c r="C21" s="55" t="s">
        <v>346</v>
      </c>
      <c r="D21" s="55" t="s">
        <v>347</v>
      </c>
      <c r="E21" s="55" t="s">
        <v>348</v>
      </c>
      <c r="F21" s="55" t="s">
        <v>349</v>
      </c>
      <c r="G21" s="55" t="s">
        <v>350</v>
      </c>
      <c r="H21" s="55" t="s">
        <v>351</v>
      </c>
      <c r="I21" s="55" t="s">
        <v>352</v>
      </c>
      <c r="J21" s="55" t="s">
        <v>353</v>
      </c>
      <c r="K21" s="55" t="s">
        <v>354</v>
      </c>
      <c r="L21" s="56" t="s">
        <v>344</v>
      </c>
      <c r="M21" s="56" t="s">
        <v>355</v>
      </c>
      <c r="N21" s="56" t="s">
        <v>356</v>
      </c>
      <c r="O21" s="56" t="s">
        <v>357</v>
      </c>
      <c r="P21" s="57" t="s">
        <v>344</v>
      </c>
      <c r="Q21" s="57" t="s">
        <v>355</v>
      </c>
      <c r="R21" s="58" t="s">
        <v>358</v>
      </c>
      <c r="S21" s="57" t="s">
        <v>359</v>
      </c>
      <c r="T21" s="57" t="s">
        <v>360</v>
      </c>
      <c r="U21" s="57" t="s">
        <v>361</v>
      </c>
      <c r="V21" s="57" t="s">
        <v>362</v>
      </c>
      <c r="W21" s="57" t="s">
        <v>363</v>
      </c>
      <c r="X21" s="57" t="s">
        <v>364</v>
      </c>
      <c r="Y21" s="59" t="s">
        <v>349</v>
      </c>
      <c r="Z21" s="60" t="s">
        <v>291</v>
      </c>
      <c r="AA21" s="60" t="s">
        <v>365</v>
      </c>
      <c r="AB21" s="60" t="s">
        <v>366</v>
      </c>
      <c r="AC21" s="60" t="s">
        <v>367</v>
      </c>
      <c r="AD21" s="60" t="s">
        <v>368</v>
      </c>
      <c r="AE21" s="60" t="s">
        <v>369</v>
      </c>
      <c r="AF21" s="60" t="s">
        <v>370</v>
      </c>
      <c r="AG21" s="60" t="s">
        <v>371</v>
      </c>
    </row>
    <row r="22" s="5" customFormat="1" customHeight="1" spans="1:34">
      <c r="A22" s="120" t="s">
        <v>448</v>
      </c>
      <c r="B22" s="120"/>
      <c r="C22" s="37">
        <v>3326600</v>
      </c>
      <c r="D22" s="61" t="s">
        <v>311</v>
      </c>
      <c r="E22" s="37">
        <v>3326600</v>
      </c>
      <c r="F22" s="62">
        <v>0.06</v>
      </c>
      <c r="G22" s="37">
        <f>E22-H22</f>
        <v>3138301.88</v>
      </c>
      <c r="H22" s="37">
        <v>188298.12</v>
      </c>
      <c r="I22" s="123">
        <v>43664</v>
      </c>
      <c r="J22" s="61"/>
      <c r="K22" s="61"/>
      <c r="L22" s="63" t="s">
        <v>448</v>
      </c>
      <c r="M22" s="122">
        <v>43762</v>
      </c>
      <c r="N22" s="121" t="s">
        <v>311</v>
      </c>
      <c r="O22" s="65">
        <v>2510641.5</v>
      </c>
      <c r="P22" s="63" t="s">
        <v>448</v>
      </c>
      <c r="Q22" s="160">
        <v>43762</v>
      </c>
      <c r="R22" s="61" t="s">
        <v>311</v>
      </c>
      <c r="S22" s="61"/>
      <c r="T22" s="61"/>
      <c r="U22" s="61"/>
      <c r="V22" s="65">
        <v>2661280</v>
      </c>
      <c r="W22" s="65">
        <f>ROUND(V22/(1+Y22),2)</f>
        <v>2510641.51</v>
      </c>
      <c r="X22" s="65">
        <f>V22-W22</f>
        <v>150638.49</v>
      </c>
      <c r="Y22" s="161">
        <v>0.06</v>
      </c>
      <c r="Z22" s="115" t="s">
        <v>448</v>
      </c>
      <c r="AA22" s="162">
        <v>44347</v>
      </c>
      <c r="AB22" s="126" t="s">
        <v>372</v>
      </c>
      <c r="AC22" s="69" t="s">
        <v>466</v>
      </c>
      <c r="AD22" s="69"/>
      <c r="AE22" s="127">
        <v>690320</v>
      </c>
      <c r="AF22" s="120" t="s">
        <v>311</v>
      </c>
      <c r="AG22" s="127"/>
    </row>
    <row r="23" s="5" customFormat="1" customHeight="1" spans="1:34">
      <c r="A23" s="120" t="s">
        <v>448</v>
      </c>
      <c r="B23" s="120"/>
      <c r="C23" s="37">
        <v>35095447</v>
      </c>
      <c r="D23" s="61" t="s">
        <v>312</v>
      </c>
      <c r="E23" s="37">
        <v>35095447</v>
      </c>
      <c r="F23" s="62">
        <v>0.09</v>
      </c>
      <c r="G23" s="37">
        <f>ROUND(E23/(1+F23),2)</f>
        <v>32197657.8</v>
      </c>
      <c r="H23" s="37">
        <f>C23-G23</f>
        <v>2897789.2</v>
      </c>
      <c r="I23" s="123">
        <v>43819</v>
      </c>
      <c r="J23" s="61"/>
      <c r="K23" s="61"/>
      <c r="L23" s="63" t="s">
        <v>448</v>
      </c>
      <c r="M23" s="122">
        <v>44173</v>
      </c>
      <c r="N23" s="121" t="s">
        <v>312</v>
      </c>
      <c r="O23" s="37">
        <v>32197657.8</v>
      </c>
      <c r="P23" s="63" t="s">
        <v>448</v>
      </c>
      <c r="Q23" s="160">
        <v>43851</v>
      </c>
      <c r="R23" s="61" t="s">
        <v>312</v>
      </c>
      <c r="S23" s="61"/>
      <c r="T23" s="61"/>
      <c r="U23" s="61"/>
      <c r="V23" s="65">
        <v>35095447</v>
      </c>
      <c r="W23" s="65">
        <f>ROUND(V23/(1+Y23),2)</f>
        <v>32197657.8</v>
      </c>
      <c r="X23" s="65">
        <f>V23-W23</f>
        <v>2897789.2</v>
      </c>
      <c r="Y23" s="161">
        <v>0.09</v>
      </c>
      <c r="Z23" s="115" t="s">
        <v>448</v>
      </c>
      <c r="AA23" s="162">
        <v>44347</v>
      </c>
      <c r="AB23" s="126" t="s">
        <v>372</v>
      </c>
      <c r="AC23" s="69" t="s">
        <v>466</v>
      </c>
      <c r="AD23" s="69"/>
      <c r="AE23" s="127">
        <v>1970960</v>
      </c>
      <c r="AF23" s="120" t="s">
        <v>311</v>
      </c>
      <c r="AG23" s="127"/>
    </row>
    <row r="24" s="5" customFormat="1" customHeight="1" spans="1:34">
      <c r="A24" s="120" t="s">
        <v>448</v>
      </c>
      <c r="B24" s="120"/>
      <c r="C24" s="37">
        <v>35078951.58</v>
      </c>
      <c r="D24" s="61" t="s">
        <v>313</v>
      </c>
      <c r="E24" s="37">
        <v>35078951.58</v>
      </c>
      <c r="F24" s="62">
        <v>0.13</v>
      </c>
      <c r="G24" s="37">
        <v>30090326.17</v>
      </c>
      <c r="H24" s="37">
        <v>4988625.41</v>
      </c>
      <c r="I24" s="123">
        <v>43832</v>
      </c>
      <c r="J24" s="61"/>
      <c r="K24" s="61"/>
      <c r="L24" s="63" t="s">
        <v>448</v>
      </c>
      <c r="M24" s="122">
        <v>44561</v>
      </c>
      <c r="N24" s="121" t="s">
        <v>313</v>
      </c>
      <c r="O24" s="37">
        <v>30090326.16</v>
      </c>
      <c r="P24" s="63" t="s">
        <v>448</v>
      </c>
      <c r="Q24" s="160">
        <v>43798</v>
      </c>
      <c r="R24" s="61" t="s">
        <v>313</v>
      </c>
      <c r="S24" s="61"/>
      <c r="T24" s="61"/>
      <c r="U24" s="61"/>
      <c r="V24" s="65">
        <v>43362667</v>
      </c>
      <c r="W24" s="65">
        <f>ROUND(V24/(1+Y24),2)</f>
        <v>38374041.59</v>
      </c>
      <c r="X24" s="65">
        <f>V24-W24</f>
        <v>4988625.41</v>
      </c>
      <c r="Y24" s="161">
        <v>0.13</v>
      </c>
      <c r="Z24" s="115" t="s">
        <v>448</v>
      </c>
      <c r="AA24" s="162">
        <v>44347</v>
      </c>
      <c r="AB24" s="126" t="s">
        <v>372</v>
      </c>
      <c r="AC24" s="69" t="s">
        <v>466</v>
      </c>
      <c r="AD24" s="69"/>
      <c r="AE24" s="127">
        <v>78458114</v>
      </c>
      <c r="AF24" s="120" t="s">
        <v>312</v>
      </c>
      <c r="AG24" s="127"/>
    </row>
    <row r="25" s="5" customFormat="1" customHeight="1" spans="1:34">
      <c r="A25" s="120" t="s">
        <v>448</v>
      </c>
      <c r="B25" s="120"/>
      <c r="C25" s="37">
        <v>8283715.42</v>
      </c>
      <c r="D25" s="61" t="s">
        <v>313</v>
      </c>
      <c r="E25" s="37">
        <v>8283715.42</v>
      </c>
      <c r="F25" s="62">
        <v>0.13</v>
      </c>
      <c r="G25" s="37">
        <v>8283715.42</v>
      </c>
      <c r="H25" s="37"/>
      <c r="I25" s="123">
        <v>44003</v>
      </c>
      <c r="J25" s="61"/>
      <c r="K25" s="61"/>
      <c r="L25" s="63" t="s">
        <v>448</v>
      </c>
      <c r="M25" s="122">
        <v>44173</v>
      </c>
      <c r="N25" s="67" t="s">
        <v>311</v>
      </c>
      <c r="O25" s="37">
        <v>627660.38</v>
      </c>
      <c r="P25" s="63"/>
      <c r="Q25" s="61"/>
      <c r="R25" s="61"/>
      <c r="S25" s="61"/>
      <c r="T25" s="61"/>
      <c r="U25" s="61"/>
      <c r="V25" s="65"/>
      <c r="W25" s="65"/>
      <c r="X25" s="65"/>
      <c r="Y25" s="161"/>
      <c r="Z25" s="115"/>
      <c r="AA25" s="120"/>
      <c r="AB25" s="126"/>
      <c r="AC25" s="69"/>
      <c r="AD25" s="69"/>
      <c r="AE25" s="127"/>
      <c r="AF25" s="120"/>
      <c r="AG25" s="127"/>
    </row>
    <row r="26" s="5" customFormat="1" customHeight="1" spans="1:34">
      <c r="A26" s="120"/>
      <c r="B26" s="120"/>
      <c r="C26" s="37"/>
      <c r="D26" s="61"/>
      <c r="E26" s="37"/>
      <c r="F26" s="62"/>
      <c r="G26" s="37"/>
      <c r="H26" s="37"/>
      <c r="I26" s="61"/>
      <c r="J26" s="61"/>
      <c r="K26" s="61"/>
      <c r="L26" s="63" t="s">
        <v>448</v>
      </c>
      <c r="M26" s="122">
        <v>44173</v>
      </c>
      <c r="N26" s="67" t="s">
        <v>312</v>
      </c>
      <c r="O26" s="163">
        <v>3710093.01</v>
      </c>
      <c r="P26" s="63"/>
      <c r="Q26" s="61"/>
      <c r="R26" s="61"/>
      <c r="S26" s="61"/>
      <c r="T26" s="61"/>
      <c r="U26" s="61"/>
      <c r="V26" s="65"/>
      <c r="W26" s="65"/>
      <c r="X26" s="65"/>
      <c r="Y26" s="161"/>
      <c r="Z26" s="115"/>
      <c r="AA26" s="120"/>
      <c r="AB26" s="126"/>
      <c r="AC26" s="69"/>
      <c r="AD26" s="69"/>
      <c r="AE26" s="127"/>
      <c r="AF26" s="120"/>
      <c r="AG26" s="127"/>
    </row>
    <row r="27" s="5" customFormat="1" customHeight="1" spans="1:34">
      <c r="A27" s="120"/>
      <c r="B27" s="120"/>
      <c r="C27" s="37"/>
      <c r="D27" s="61"/>
      <c r="E27" s="37"/>
      <c r="F27" s="62"/>
      <c r="G27" s="37"/>
      <c r="H27" s="37"/>
      <c r="I27" s="61"/>
      <c r="J27" s="61"/>
      <c r="K27" s="61"/>
      <c r="L27" s="63" t="s">
        <v>448</v>
      </c>
      <c r="M27" s="122">
        <v>45657</v>
      </c>
      <c r="N27" s="67" t="s">
        <v>313</v>
      </c>
      <c r="O27" s="37">
        <v>8283715.42</v>
      </c>
      <c r="P27" s="63"/>
      <c r="Q27" s="61"/>
      <c r="R27" s="61"/>
      <c r="S27" s="61"/>
      <c r="T27" s="61"/>
      <c r="U27" s="61"/>
      <c r="V27" s="65"/>
      <c r="W27" s="65"/>
      <c r="X27" s="65"/>
      <c r="Y27" s="161"/>
      <c r="Z27" s="115"/>
      <c r="AA27" s="120"/>
      <c r="AB27" s="126"/>
      <c r="AC27" s="69"/>
      <c r="AD27" s="69"/>
      <c r="AE27" s="127"/>
      <c r="AF27" s="120"/>
      <c r="AG27" s="127"/>
    </row>
    <row r="28" s="5" customFormat="1" customHeight="1" spans="1:34">
      <c r="A28" s="120"/>
      <c r="B28" s="120"/>
      <c r="C28" s="37"/>
      <c r="D28" s="61"/>
      <c r="E28" s="37"/>
      <c r="F28" s="62"/>
      <c r="G28" s="37"/>
      <c r="H28" s="37"/>
      <c r="I28" s="61"/>
      <c r="J28" s="61"/>
      <c r="K28" s="61"/>
      <c r="L28" s="63" t="s">
        <v>448</v>
      </c>
      <c r="M28" s="122">
        <v>45657</v>
      </c>
      <c r="N28" s="67" t="s">
        <v>312</v>
      </c>
      <c r="O28" s="37">
        <v>144932.04</v>
      </c>
      <c r="P28" s="63"/>
      <c r="Q28" s="61"/>
      <c r="R28" s="61"/>
      <c r="S28" s="61"/>
      <c r="T28" s="61"/>
      <c r="U28" s="61"/>
      <c r="V28" s="65"/>
      <c r="W28" s="65"/>
      <c r="X28" s="65"/>
      <c r="Y28" s="161"/>
      <c r="Z28" s="115"/>
      <c r="AA28" s="120"/>
      <c r="AB28" s="126"/>
      <c r="AC28" s="69"/>
      <c r="AD28" s="69"/>
      <c r="AE28" s="127"/>
      <c r="AF28" s="120"/>
      <c r="AG28" s="127"/>
    </row>
    <row r="29" s="5" customFormat="1" customHeight="1" spans="1:34">
      <c r="A29" s="120"/>
      <c r="B29" s="120"/>
      <c r="C29" s="37"/>
      <c r="D29" s="61"/>
      <c r="E29" s="37"/>
      <c r="F29" s="62"/>
      <c r="G29" s="37"/>
      <c r="H29" s="37"/>
      <c r="I29" s="61"/>
      <c r="J29" s="61"/>
      <c r="K29" s="61"/>
      <c r="L29" s="63"/>
      <c r="M29" s="61"/>
      <c r="N29" s="61"/>
      <c r="O29" s="37"/>
      <c r="P29" s="63"/>
      <c r="Q29" s="61"/>
      <c r="R29" s="61"/>
      <c r="S29" s="61"/>
      <c r="T29" s="61"/>
      <c r="U29" s="61"/>
      <c r="V29" s="65"/>
      <c r="W29" s="65"/>
      <c r="X29" s="65"/>
      <c r="Y29" s="161"/>
      <c r="Z29" s="115"/>
      <c r="AA29" s="120"/>
      <c r="AB29" s="126"/>
      <c r="AC29" s="69"/>
      <c r="AD29" s="69"/>
      <c r="AE29" s="127"/>
      <c r="AF29" s="120"/>
      <c r="AG29" s="127"/>
    </row>
    <row r="30" s="5" customFormat="1" customHeight="1" spans="1:34">
      <c r="A30" s="120"/>
      <c r="B30" s="120"/>
      <c r="C30" s="37"/>
      <c r="D30" s="61"/>
      <c r="E30" s="37"/>
      <c r="F30" s="62"/>
      <c r="G30" s="37"/>
      <c r="H30" s="37"/>
      <c r="I30" s="61"/>
      <c r="J30" s="61"/>
      <c r="K30" s="61"/>
      <c r="L30" s="63"/>
      <c r="M30" s="61"/>
      <c r="N30" s="61"/>
      <c r="O30" s="37"/>
      <c r="P30" s="63"/>
      <c r="Q30" s="61"/>
      <c r="R30" s="61"/>
      <c r="S30" s="61"/>
      <c r="T30" s="61"/>
      <c r="U30" s="61"/>
      <c r="V30" s="65"/>
      <c r="W30" s="65"/>
      <c r="X30" s="65"/>
      <c r="Y30" s="161"/>
      <c r="Z30" s="115"/>
      <c r="AA30" s="120"/>
      <c r="AB30" s="126"/>
      <c r="AC30" s="69"/>
      <c r="AD30" s="69"/>
      <c r="AE30" s="127"/>
      <c r="AF30" s="120"/>
      <c r="AG30" s="127"/>
    </row>
    <row r="31" s="5" customFormat="1" customHeight="1" spans="1:34">
      <c r="A31" s="120"/>
      <c r="B31" s="120"/>
      <c r="C31" s="37"/>
      <c r="D31" s="61"/>
      <c r="E31" s="37"/>
      <c r="F31" s="62"/>
      <c r="G31" s="37"/>
      <c r="H31" s="37"/>
      <c r="I31" s="61"/>
      <c r="J31" s="61"/>
      <c r="K31" s="61"/>
      <c r="L31" s="63"/>
      <c r="M31" s="61"/>
      <c r="N31" s="61"/>
      <c r="O31" s="37"/>
      <c r="P31" s="63"/>
      <c r="Q31" s="61"/>
      <c r="R31" s="61"/>
      <c r="S31" s="61"/>
      <c r="T31" s="61"/>
      <c r="U31" s="61"/>
      <c r="V31" s="65"/>
      <c r="W31" s="65"/>
      <c r="X31" s="65"/>
      <c r="Y31" s="161"/>
      <c r="Z31" s="115"/>
      <c r="AA31" s="120"/>
      <c r="AB31" s="126"/>
      <c r="AC31" s="69"/>
      <c r="AD31" s="69"/>
      <c r="AE31" s="127"/>
      <c r="AF31" s="120"/>
      <c r="AG31" s="127"/>
    </row>
    <row r="32" s="5" customFormat="1" customHeight="1" spans="1:34">
      <c r="A32" s="120"/>
      <c r="B32" s="120"/>
      <c r="C32" s="37"/>
      <c r="D32" s="61"/>
      <c r="E32" s="37"/>
      <c r="F32" s="62"/>
      <c r="G32" s="37"/>
      <c r="H32" s="37"/>
      <c r="I32" s="61"/>
      <c r="J32" s="61"/>
      <c r="K32" s="61"/>
      <c r="L32" s="63"/>
      <c r="M32" s="61"/>
      <c r="N32" s="61"/>
      <c r="O32" s="37"/>
      <c r="P32" s="63"/>
      <c r="Q32" s="61"/>
      <c r="R32" s="61"/>
      <c r="S32" s="61"/>
      <c r="T32" s="61"/>
      <c r="U32" s="61"/>
      <c r="V32" s="65"/>
      <c r="W32" s="65"/>
      <c r="X32" s="65"/>
      <c r="Y32" s="161"/>
      <c r="Z32" s="115"/>
      <c r="AA32" s="120"/>
      <c r="AB32" s="126"/>
      <c r="AC32" s="69"/>
      <c r="AD32" s="69"/>
      <c r="AE32" s="127"/>
      <c r="AF32" s="120"/>
      <c r="AG32" s="127"/>
    </row>
    <row r="33" s="5" customFormat="1" customHeight="1" spans="1:33">
      <c r="A33" s="120"/>
      <c r="B33" s="120"/>
      <c r="C33" s="37"/>
      <c r="D33" s="61"/>
      <c r="E33" s="37"/>
      <c r="F33" s="62"/>
      <c r="G33" s="37"/>
      <c r="H33" s="37"/>
      <c r="I33" s="61"/>
      <c r="J33" s="61"/>
      <c r="K33" s="61"/>
      <c r="L33" s="61"/>
      <c r="M33" s="61"/>
      <c r="N33" s="61"/>
      <c r="O33" s="37"/>
      <c r="P33" s="63"/>
      <c r="Q33" s="61"/>
      <c r="R33" s="61"/>
      <c r="S33" s="61"/>
      <c r="T33" s="61"/>
      <c r="U33" s="61"/>
      <c r="V33" s="65"/>
      <c r="W33" s="65"/>
      <c r="X33" s="65"/>
      <c r="Y33" s="161"/>
      <c r="Z33" s="115"/>
      <c r="AA33" s="120"/>
      <c r="AB33" s="126"/>
      <c r="AC33" s="69"/>
      <c r="AD33" s="69"/>
      <c r="AE33" s="127"/>
      <c r="AF33" s="120"/>
      <c r="AG33" s="127"/>
    </row>
    <row r="34" s="5" customFormat="1" customHeight="1" spans="1:33">
      <c r="A34" s="120"/>
      <c r="B34" s="120"/>
      <c r="C34" s="37"/>
      <c r="D34" s="61"/>
      <c r="E34" s="37"/>
      <c r="F34" s="62"/>
      <c r="G34" s="37"/>
      <c r="H34" s="37"/>
      <c r="I34" s="61"/>
      <c r="J34" s="61"/>
      <c r="K34" s="61"/>
      <c r="L34" s="61"/>
      <c r="M34" s="61"/>
      <c r="N34" s="61"/>
      <c r="O34" s="37"/>
      <c r="P34" s="63"/>
      <c r="Q34" s="61"/>
      <c r="R34" s="61"/>
      <c r="S34" s="61"/>
      <c r="T34" s="61"/>
      <c r="U34" s="61"/>
      <c r="V34" s="65"/>
      <c r="W34" s="65"/>
      <c r="X34" s="65"/>
      <c r="Y34" s="161"/>
      <c r="Z34" s="120"/>
      <c r="AA34" s="120"/>
      <c r="AB34" s="126"/>
      <c r="AC34" s="69"/>
      <c r="AD34" s="69"/>
      <c r="AE34" s="127"/>
      <c r="AF34" s="120"/>
      <c r="AG34" s="127"/>
    </row>
    <row r="35" s="5" customFormat="1" customHeight="1" spans="1:33">
      <c r="A35" s="120"/>
      <c r="B35" s="120"/>
      <c r="C35" s="37"/>
      <c r="D35" s="61"/>
      <c r="E35" s="37"/>
      <c r="F35" s="62"/>
      <c r="G35" s="37"/>
      <c r="H35" s="37"/>
      <c r="I35" s="61"/>
      <c r="J35" s="61"/>
      <c r="K35" s="61"/>
      <c r="L35" s="61"/>
      <c r="M35" s="61"/>
      <c r="N35" s="61"/>
      <c r="O35" s="37"/>
      <c r="P35" s="63"/>
      <c r="Q35" s="61"/>
      <c r="R35" s="61"/>
      <c r="S35" s="61"/>
      <c r="T35" s="61"/>
      <c r="U35" s="61"/>
      <c r="V35" s="65"/>
      <c r="W35" s="65"/>
      <c r="X35" s="65"/>
      <c r="Y35" s="161"/>
      <c r="Z35" s="120"/>
      <c r="AA35" s="120"/>
      <c r="AB35" s="126"/>
      <c r="AC35" s="69"/>
      <c r="AD35" s="69"/>
      <c r="AE35" s="127"/>
      <c r="AF35" s="120"/>
      <c r="AG35" s="127"/>
    </row>
    <row r="36" s="5" customFormat="1" customHeight="1" spans="1:33">
      <c r="A36" s="120"/>
      <c r="B36" s="120"/>
      <c r="C36" s="37"/>
      <c r="D36" s="61"/>
      <c r="E36" s="37"/>
      <c r="F36" s="62"/>
      <c r="G36" s="37"/>
      <c r="H36" s="37"/>
      <c r="I36" s="61"/>
      <c r="J36" s="61"/>
      <c r="K36" s="61"/>
      <c r="L36" s="61"/>
      <c r="M36" s="61"/>
      <c r="N36" s="61"/>
      <c r="O36" s="37"/>
      <c r="P36" s="63"/>
      <c r="Q36" s="61"/>
      <c r="R36" s="61"/>
      <c r="S36" s="61"/>
      <c r="T36" s="61"/>
      <c r="U36" s="61"/>
      <c r="V36" s="65"/>
      <c r="W36" s="65"/>
      <c r="X36" s="65"/>
      <c r="Y36" s="161"/>
      <c r="Z36" s="120"/>
      <c r="AA36" s="120"/>
      <c r="AB36" s="126"/>
      <c r="AC36" s="69"/>
      <c r="AD36" s="69"/>
      <c r="AE36" s="127"/>
      <c r="AF36" s="120"/>
      <c r="AG36" s="127"/>
    </row>
    <row r="37" s="5" customFormat="1" customHeight="1" spans="1:33">
      <c r="A37" s="120"/>
      <c r="B37" s="120"/>
      <c r="C37" s="37"/>
      <c r="D37" s="61"/>
      <c r="E37" s="37"/>
      <c r="F37" s="62"/>
      <c r="G37" s="37"/>
      <c r="H37" s="37"/>
      <c r="I37" s="61"/>
      <c r="J37" s="61"/>
      <c r="K37" s="61"/>
      <c r="L37" s="61"/>
      <c r="M37" s="61"/>
      <c r="N37" s="61"/>
      <c r="O37" s="37"/>
      <c r="P37" s="63"/>
      <c r="Q37" s="61"/>
      <c r="R37" s="61"/>
      <c r="S37" s="61"/>
      <c r="T37" s="61"/>
      <c r="U37" s="61"/>
      <c r="V37" s="65"/>
      <c r="W37" s="65"/>
      <c r="X37" s="65"/>
      <c r="Y37" s="161"/>
      <c r="Z37" s="120"/>
      <c r="AA37" s="120"/>
      <c r="AB37" s="126"/>
      <c r="AC37" s="69"/>
      <c r="AD37" s="69"/>
      <c r="AE37" s="127"/>
      <c r="AF37" s="120"/>
      <c r="AG37" s="127"/>
    </row>
    <row r="38" s="5" customFormat="1" customHeight="1" spans="1:33">
      <c r="A38" s="120"/>
      <c r="B38" s="120"/>
      <c r="C38" s="37"/>
      <c r="D38" s="61"/>
      <c r="E38" s="37"/>
      <c r="F38" s="62"/>
      <c r="G38" s="37"/>
      <c r="H38" s="37"/>
      <c r="I38" s="61"/>
      <c r="J38" s="61"/>
      <c r="K38" s="61"/>
      <c r="L38" s="61"/>
      <c r="M38" s="61"/>
      <c r="N38" s="61"/>
      <c r="O38" s="37"/>
      <c r="P38" s="63"/>
      <c r="Q38" s="61"/>
      <c r="R38" s="61"/>
      <c r="S38" s="61"/>
      <c r="T38" s="61"/>
      <c r="U38" s="61"/>
      <c r="V38" s="65"/>
      <c r="W38" s="65"/>
      <c r="X38" s="65"/>
      <c r="Y38" s="161"/>
      <c r="Z38" s="120"/>
      <c r="AA38" s="120"/>
      <c r="AB38" s="126"/>
      <c r="AC38" s="69"/>
      <c r="AD38" s="69"/>
      <c r="AE38" s="127"/>
      <c r="AF38" s="120"/>
      <c r="AG38" s="127"/>
    </row>
    <row r="39" s="5" customFormat="1" customHeight="1" spans="1:33">
      <c r="A39" s="120"/>
      <c r="B39" s="120"/>
      <c r="C39" s="37"/>
      <c r="D39" s="61"/>
      <c r="E39" s="37"/>
      <c r="F39" s="62"/>
      <c r="G39" s="37"/>
      <c r="H39" s="37"/>
      <c r="I39" s="61"/>
      <c r="J39" s="61"/>
      <c r="K39" s="61"/>
      <c r="L39" s="61"/>
      <c r="M39" s="61"/>
      <c r="N39" s="61"/>
      <c r="O39" s="37"/>
      <c r="P39" s="63"/>
      <c r="Q39" s="61"/>
      <c r="R39" s="61"/>
      <c r="S39" s="61"/>
      <c r="T39" s="61"/>
      <c r="U39" s="61"/>
      <c r="V39" s="65"/>
      <c r="W39" s="65"/>
      <c r="X39" s="65"/>
      <c r="Y39" s="161"/>
      <c r="Z39" s="120"/>
      <c r="AA39" s="120"/>
      <c r="AB39" s="126"/>
      <c r="AC39" s="69"/>
      <c r="AD39" s="69"/>
      <c r="AE39" s="127"/>
      <c r="AF39" s="120"/>
      <c r="AG39" s="127"/>
    </row>
    <row r="40" s="5" customFormat="1" customHeight="1" spans="1:33">
      <c r="A40" s="120"/>
      <c r="B40" s="120"/>
      <c r="C40" s="37"/>
      <c r="D40" s="61"/>
      <c r="E40" s="37"/>
      <c r="F40" s="62"/>
      <c r="G40" s="37"/>
      <c r="H40" s="37"/>
      <c r="I40" s="61"/>
      <c r="J40" s="61"/>
      <c r="K40" s="61"/>
      <c r="L40" s="61"/>
      <c r="M40" s="61"/>
      <c r="N40" s="61"/>
      <c r="O40" s="37"/>
      <c r="P40" s="61"/>
      <c r="Q40" s="61"/>
      <c r="R40" s="61"/>
      <c r="S40" s="61"/>
      <c r="T40" s="61"/>
      <c r="U40" s="61"/>
      <c r="V40" s="65"/>
      <c r="W40" s="65"/>
      <c r="X40" s="65"/>
      <c r="Y40" s="120"/>
      <c r="Z40" s="120"/>
      <c r="AA40" s="120"/>
      <c r="AB40" s="126"/>
      <c r="AC40" s="69"/>
      <c r="AD40" s="69"/>
      <c r="AE40" s="127"/>
      <c r="AF40" s="120"/>
      <c r="AG40" s="127"/>
    </row>
    <row r="41" s="5" customFormat="1" customHeight="1" spans="1:33">
      <c r="A41" s="120"/>
      <c r="B41" s="120"/>
      <c r="C41" s="37"/>
      <c r="D41" s="61"/>
      <c r="E41" s="37"/>
      <c r="F41" s="62"/>
      <c r="G41" s="37"/>
      <c r="H41" s="37"/>
      <c r="I41" s="61"/>
      <c r="J41" s="61"/>
      <c r="K41" s="61"/>
      <c r="L41" s="61"/>
      <c r="M41" s="61"/>
      <c r="N41" s="61"/>
      <c r="O41" s="37"/>
      <c r="P41" s="61"/>
      <c r="Q41" s="61"/>
      <c r="R41" s="61"/>
      <c r="S41" s="61"/>
      <c r="T41" s="61"/>
      <c r="U41" s="61"/>
      <c r="V41" s="65"/>
      <c r="W41" s="65"/>
      <c r="X41" s="65"/>
      <c r="Y41" s="120"/>
      <c r="Z41" s="120"/>
      <c r="AA41" s="120"/>
      <c r="AB41" s="126"/>
      <c r="AC41" s="69"/>
      <c r="AD41" s="69"/>
      <c r="AE41" s="127"/>
      <c r="AF41" s="120"/>
      <c r="AG41" s="127"/>
    </row>
    <row r="42" s="5" customFormat="1" customHeight="1" spans="1:33">
      <c r="A42" s="120"/>
      <c r="B42" s="120"/>
      <c r="C42" s="37"/>
      <c r="D42" s="61"/>
      <c r="E42" s="37"/>
      <c r="F42" s="62"/>
      <c r="G42" s="37"/>
      <c r="H42" s="37"/>
      <c r="I42" s="61"/>
      <c r="J42" s="61"/>
      <c r="K42" s="61"/>
      <c r="L42" s="61"/>
      <c r="M42" s="61"/>
      <c r="N42" s="61"/>
      <c r="O42" s="37"/>
      <c r="P42" s="61"/>
      <c r="Q42" s="61"/>
      <c r="R42" s="61"/>
      <c r="S42" s="61"/>
      <c r="T42" s="61"/>
      <c r="U42" s="61"/>
      <c r="V42" s="65"/>
      <c r="W42" s="65"/>
      <c r="X42" s="65"/>
      <c r="Y42" s="120"/>
      <c r="Z42" s="120"/>
      <c r="AA42" s="120"/>
      <c r="AB42" s="126"/>
      <c r="AC42" s="69"/>
      <c r="AD42" s="69"/>
      <c r="AE42" s="127"/>
      <c r="AF42" s="120"/>
      <c r="AG42" s="127"/>
    </row>
    <row r="43" s="5" customFormat="1" customHeight="1" spans="1:33">
      <c r="A43" s="120"/>
      <c r="B43" s="120"/>
      <c r="C43" s="37"/>
      <c r="D43" s="61"/>
      <c r="E43" s="37"/>
      <c r="F43" s="62"/>
      <c r="G43" s="37"/>
      <c r="H43" s="37"/>
      <c r="I43" s="61"/>
      <c r="J43" s="61"/>
      <c r="K43" s="61"/>
      <c r="L43" s="61"/>
      <c r="M43" s="61"/>
      <c r="N43" s="61"/>
      <c r="O43" s="37"/>
      <c r="P43" s="61"/>
      <c r="Q43" s="61"/>
      <c r="R43" s="61"/>
      <c r="S43" s="61"/>
      <c r="T43" s="61"/>
      <c r="U43" s="61"/>
      <c r="V43" s="65"/>
      <c r="W43" s="65"/>
      <c r="X43" s="65"/>
      <c r="Y43" s="120"/>
      <c r="Z43" s="120"/>
      <c r="AA43" s="120"/>
      <c r="AB43" s="126"/>
      <c r="AC43" s="69"/>
      <c r="AD43" s="69"/>
      <c r="AE43" s="127"/>
      <c r="AF43" s="120"/>
      <c r="AG43" s="127"/>
    </row>
    <row r="44" s="5" customFormat="1" customHeight="1" spans="1:33">
      <c r="A44" s="120"/>
      <c r="B44" s="120"/>
      <c r="C44" s="37"/>
      <c r="D44" s="61"/>
      <c r="E44" s="37"/>
      <c r="F44" s="62"/>
      <c r="G44" s="37"/>
      <c r="H44" s="37"/>
      <c r="I44" s="61"/>
      <c r="J44" s="61"/>
      <c r="K44" s="61"/>
      <c r="L44" s="61"/>
      <c r="M44" s="61"/>
      <c r="N44" s="61"/>
      <c r="O44" s="37"/>
      <c r="P44" s="61"/>
      <c r="Q44" s="61"/>
      <c r="R44" s="61"/>
      <c r="S44" s="61"/>
      <c r="T44" s="61"/>
      <c r="U44" s="61"/>
      <c r="V44" s="65"/>
      <c r="W44" s="65"/>
      <c r="X44" s="65"/>
      <c r="Y44" s="120"/>
      <c r="Z44" s="120"/>
      <c r="AA44" s="120"/>
      <c r="AB44" s="128"/>
      <c r="AC44" s="128"/>
      <c r="AD44" s="128"/>
      <c r="AE44" s="128"/>
      <c r="AF44" s="120"/>
      <c r="AG44" s="128"/>
    </row>
    <row r="45" s="5" customFormat="1" customHeight="1" spans="1:33">
      <c r="A45" s="120"/>
      <c r="B45" s="120"/>
      <c r="C45" s="37"/>
      <c r="D45" s="61"/>
      <c r="E45" s="37"/>
      <c r="F45" s="62"/>
      <c r="G45" s="37"/>
      <c r="H45" s="37"/>
      <c r="I45" s="61"/>
      <c r="J45" s="61"/>
      <c r="K45" s="61"/>
      <c r="L45" s="61"/>
      <c r="M45" s="61"/>
      <c r="N45" s="61"/>
      <c r="O45" s="37"/>
      <c r="P45" s="61"/>
      <c r="Q45" s="61"/>
      <c r="R45" s="61"/>
      <c r="S45" s="61"/>
      <c r="T45" s="61"/>
      <c r="U45" s="61"/>
      <c r="V45" s="65"/>
      <c r="W45" s="65"/>
      <c r="X45" s="65"/>
      <c r="Y45" s="120"/>
      <c r="Z45" s="120"/>
      <c r="AA45" s="120"/>
      <c r="AB45" s="128"/>
      <c r="AC45" s="128"/>
      <c r="AD45" s="128"/>
      <c r="AE45" s="128"/>
      <c r="AF45" s="120"/>
      <c r="AG45" s="128"/>
    </row>
    <row r="46" s="5" customFormat="1" customHeight="1" spans="1:33">
      <c r="A46" s="120"/>
      <c r="B46" s="120"/>
      <c r="C46" s="37"/>
      <c r="D46" s="61"/>
      <c r="E46" s="37"/>
      <c r="F46" s="62"/>
      <c r="G46" s="37"/>
      <c r="H46" s="37"/>
      <c r="I46" s="61"/>
      <c r="J46" s="61"/>
      <c r="K46" s="61"/>
      <c r="L46" s="61"/>
      <c r="M46" s="61"/>
      <c r="N46" s="61"/>
      <c r="O46" s="37"/>
      <c r="P46" s="61"/>
      <c r="Q46" s="61"/>
      <c r="R46" s="61"/>
      <c r="S46" s="61"/>
      <c r="T46" s="61"/>
      <c r="U46" s="61"/>
      <c r="V46" s="65"/>
      <c r="W46" s="65"/>
      <c r="X46" s="65"/>
      <c r="Y46" s="120"/>
      <c r="Z46" s="120"/>
      <c r="AA46" s="120"/>
      <c r="AB46" s="128"/>
      <c r="AC46" s="128"/>
      <c r="AD46" s="128"/>
      <c r="AE46" s="128"/>
      <c r="AF46" s="120"/>
      <c r="AG46" s="128"/>
    </row>
    <row r="47" s="5" customFormat="1" customHeight="1" spans="1:33">
      <c r="A47" s="120"/>
      <c r="B47" s="120"/>
      <c r="C47" s="37"/>
      <c r="D47" s="61"/>
      <c r="E47" s="37"/>
      <c r="F47" s="62"/>
      <c r="G47" s="37"/>
      <c r="H47" s="37"/>
      <c r="I47" s="61"/>
      <c r="J47" s="61"/>
      <c r="K47" s="61"/>
      <c r="L47" s="61"/>
      <c r="M47" s="61"/>
      <c r="N47" s="61"/>
      <c r="O47" s="37"/>
      <c r="P47" s="61"/>
      <c r="Q47" s="61"/>
      <c r="R47" s="61"/>
      <c r="S47" s="61"/>
      <c r="T47" s="61"/>
      <c r="U47" s="61"/>
      <c r="V47" s="65"/>
      <c r="W47" s="65"/>
      <c r="X47" s="65"/>
      <c r="Y47" s="120"/>
      <c r="Z47" s="120"/>
      <c r="AA47" s="120"/>
      <c r="AB47" s="128"/>
      <c r="AC47" s="128"/>
      <c r="AD47" s="128"/>
      <c r="AE47" s="128"/>
      <c r="AF47" s="120"/>
      <c r="AG47" s="128"/>
    </row>
    <row r="48" s="5" customFormat="1" customHeight="1" spans="1:33">
      <c r="A48" s="129"/>
      <c r="B48" s="129"/>
      <c r="C48" s="74"/>
      <c r="D48" s="73"/>
      <c r="E48" s="74"/>
      <c r="F48" s="73"/>
      <c r="G48" s="74"/>
      <c r="H48" s="74"/>
      <c r="I48" s="73"/>
      <c r="J48" s="73"/>
      <c r="K48" s="73"/>
      <c r="L48" s="73"/>
      <c r="M48" s="73"/>
      <c r="N48" s="73"/>
      <c r="O48" s="74"/>
      <c r="P48" s="73"/>
      <c r="Q48" s="73"/>
      <c r="R48" s="73"/>
      <c r="S48" s="73"/>
      <c r="T48" s="73"/>
      <c r="U48" s="73"/>
      <c r="V48" s="130"/>
      <c r="W48" s="130"/>
      <c r="X48" s="130"/>
      <c r="Y48" s="129"/>
      <c r="Z48" s="129"/>
      <c r="AA48" s="129"/>
      <c r="AB48" s="131"/>
      <c r="AC48" s="131"/>
      <c r="AD48" s="131"/>
      <c r="AE48" s="131"/>
      <c r="AF48" s="131"/>
      <c r="AG48" s="131"/>
    </row>
    <row r="50" s="3" customFormat="1" customHeight="1" spans="1:34">
      <c r="A50" s="117" t="s">
        <v>373</v>
      </c>
      <c r="B50" s="118"/>
      <c r="C50" s="3">
        <f t="shared" ref="C50:H50" si="4">SUM(C53:C77)</f>
        <v>76850631.48</v>
      </c>
      <c r="E50" s="3">
        <f t="shared" si="4"/>
        <v>76850631.48</v>
      </c>
      <c r="G50" s="3">
        <f t="shared" si="4"/>
        <v>70127389.74</v>
      </c>
      <c r="H50" s="3">
        <f t="shared" si="4"/>
        <v>6723241.74</v>
      </c>
      <c r="J50" s="3">
        <f>SUM(J53:J77)</f>
        <v>0</v>
      </c>
      <c r="K50" s="3">
        <f>SUM(K53:K77)</f>
        <v>0</v>
      </c>
      <c r="R50" s="3">
        <f t="shared" ref="R50:T50" si="5">SUM(R53:R77)</f>
        <v>78018951.8</v>
      </c>
      <c r="S50" s="3">
        <f t="shared" si="5"/>
        <v>70227900.23</v>
      </c>
      <c r="T50" s="3">
        <f t="shared" si="5"/>
        <v>7791051.57</v>
      </c>
      <c r="V50" s="118"/>
      <c r="W50" s="118"/>
      <c r="X50" s="118"/>
      <c r="Y50" s="118"/>
      <c r="Z50" s="118"/>
      <c r="AA50" s="118">
        <f>SUM(AA53:AA77)</f>
        <v>78018950.18</v>
      </c>
      <c r="AB50" s="118"/>
      <c r="AC50" s="118"/>
      <c r="AD50" s="118"/>
      <c r="AE50" s="118"/>
      <c r="AF50" s="118"/>
      <c r="AG50" s="118"/>
      <c r="AH50" s="3">
        <v>78018950.18</v>
      </c>
    </row>
    <row r="51" s="4" customFormat="1" customHeight="1" spans="1:34">
      <c r="A51" s="45" t="s">
        <v>374</v>
      </c>
      <c r="B51" s="45"/>
      <c r="C51" s="45"/>
      <c r="D51" s="45"/>
      <c r="E51" s="45"/>
      <c r="F51" s="45"/>
      <c r="G51" s="45"/>
      <c r="H51" s="45"/>
      <c r="I51" s="45"/>
      <c r="J51" s="45"/>
      <c r="K51" s="45"/>
      <c r="L51" s="49" t="s">
        <v>375</v>
      </c>
      <c r="M51" s="50"/>
      <c r="N51" s="50"/>
      <c r="O51" s="50"/>
      <c r="P51" s="50"/>
      <c r="Q51" s="50"/>
      <c r="R51" s="50"/>
      <c r="S51" s="50"/>
      <c r="T51" s="50"/>
      <c r="U51" s="51"/>
      <c r="V51" s="52" t="s">
        <v>376</v>
      </c>
      <c r="W51" s="53"/>
      <c r="X51" s="53"/>
      <c r="Y51" s="53"/>
      <c r="Z51" s="53"/>
      <c r="AA51" s="53"/>
      <c r="AB51" s="53"/>
      <c r="AC51" s="54"/>
      <c r="AD51" s="132"/>
      <c r="AE51" s="132"/>
      <c r="AF51" s="132"/>
      <c r="AG51" s="132"/>
    </row>
    <row r="52" s="4" customFormat="1" customHeight="1" spans="1:34">
      <c r="A52" s="55" t="s">
        <v>291</v>
      </c>
      <c r="B52" s="55" t="s">
        <v>345</v>
      </c>
      <c r="C52" s="55" t="s">
        <v>346</v>
      </c>
      <c r="D52" s="55" t="s">
        <v>347</v>
      </c>
      <c r="E52" s="55" t="s">
        <v>377</v>
      </c>
      <c r="F52" s="55" t="s">
        <v>349</v>
      </c>
      <c r="G52" s="55" t="s">
        <v>350</v>
      </c>
      <c r="H52" s="55" t="s">
        <v>351</v>
      </c>
      <c r="I52" s="55" t="s">
        <v>352</v>
      </c>
      <c r="J52" s="55" t="s">
        <v>353</v>
      </c>
      <c r="K52" s="55" t="s">
        <v>354</v>
      </c>
      <c r="L52" s="57" t="s">
        <v>291</v>
      </c>
      <c r="M52" s="57" t="s">
        <v>355</v>
      </c>
      <c r="N52" s="58" t="s">
        <v>358</v>
      </c>
      <c r="O52" s="57" t="s">
        <v>359</v>
      </c>
      <c r="P52" s="57" t="s">
        <v>360</v>
      </c>
      <c r="Q52" s="57" t="s">
        <v>361</v>
      </c>
      <c r="R52" s="57" t="s">
        <v>362</v>
      </c>
      <c r="S52" s="57" t="s">
        <v>363</v>
      </c>
      <c r="T52" s="57" t="s">
        <v>364</v>
      </c>
      <c r="U52" s="59" t="s">
        <v>349</v>
      </c>
      <c r="V52" s="60" t="s">
        <v>291</v>
      </c>
      <c r="W52" s="60" t="s">
        <v>365</v>
      </c>
      <c r="X52" s="60" t="s">
        <v>378</v>
      </c>
      <c r="Y52" s="60" t="s">
        <v>379</v>
      </c>
      <c r="Z52" s="60" t="s">
        <v>380</v>
      </c>
      <c r="AA52" s="60" t="s">
        <v>381</v>
      </c>
      <c r="AB52" s="60" t="s">
        <v>382</v>
      </c>
      <c r="AC52" s="60" t="s">
        <v>383</v>
      </c>
      <c r="AD52" s="132"/>
      <c r="AE52" s="132"/>
      <c r="AF52" s="132"/>
      <c r="AG52" s="132"/>
    </row>
    <row r="53" s="5" customFormat="1" customHeight="1" spans="1:34">
      <c r="A53" s="164" t="s">
        <v>473</v>
      </c>
      <c r="B53" s="120"/>
      <c r="C53" s="37">
        <v>630000</v>
      </c>
      <c r="D53" s="61" t="s">
        <v>311</v>
      </c>
      <c r="E53" s="37">
        <v>630000</v>
      </c>
      <c r="F53" s="62">
        <v>0.06</v>
      </c>
      <c r="G53" s="37">
        <f>ROUND(E53/(1+F53),2)</f>
        <v>594339.62</v>
      </c>
      <c r="H53" s="37">
        <f>C53-G53</f>
        <v>35660.38</v>
      </c>
      <c r="I53" s="123">
        <v>43726</v>
      </c>
      <c r="J53" s="61"/>
      <c r="K53" s="61"/>
      <c r="L53" s="67" t="s">
        <v>473</v>
      </c>
      <c r="M53" s="160">
        <v>43815</v>
      </c>
      <c r="N53" s="77" t="s">
        <v>311</v>
      </c>
      <c r="O53" s="68"/>
      <c r="P53" s="61"/>
      <c r="Q53" s="61"/>
      <c r="R53" s="37">
        <v>630000</v>
      </c>
      <c r="S53" s="37">
        <f>ROUND(R53/(1+U53),2)</f>
        <v>594339.62</v>
      </c>
      <c r="T53" s="37">
        <f>R53-S53</f>
        <v>35660.38</v>
      </c>
      <c r="U53" s="66">
        <v>0.06</v>
      </c>
      <c r="V53" s="115" t="s">
        <v>467</v>
      </c>
      <c r="W53" s="162">
        <v>44500</v>
      </c>
      <c r="X53" s="126" t="s">
        <v>372</v>
      </c>
      <c r="Y53" s="69" t="s">
        <v>466</v>
      </c>
      <c r="Z53" s="120"/>
      <c r="AA53" s="65">
        <v>34442712.98</v>
      </c>
      <c r="AB53" s="134" t="s">
        <v>312</v>
      </c>
      <c r="AC53" s="120"/>
      <c r="AD53" s="135"/>
      <c r="AE53" s="135"/>
      <c r="AF53" s="135"/>
      <c r="AG53" s="135"/>
      <c r="AH53" s="5">
        <f>AA53+AA54</f>
        <v>76888950.18</v>
      </c>
    </row>
    <row r="54" s="5" customFormat="1" customHeight="1" spans="1:34">
      <c r="A54" s="164" t="s">
        <v>456</v>
      </c>
      <c r="B54" s="120"/>
      <c r="C54" s="78">
        <v>500000</v>
      </c>
      <c r="D54" s="61" t="s">
        <v>311</v>
      </c>
      <c r="E54" s="78">
        <v>500000</v>
      </c>
      <c r="F54" s="62">
        <v>0.06</v>
      </c>
      <c r="G54" s="37">
        <f>ROUND(E54/(1+F54),2)</f>
        <v>471698.11</v>
      </c>
      <c r="H54" s="37">
        <f>C54-G54</f>
        <v>28301.89</v>
      </c>
      <c r="I54" s="123">
        <v>43850</v>
      </c>
      <c r="J54" s="61"/>
      <c r="K54" s="61"/>
      <c r="L54" s="137" t="s">
        <v>456</v>
      </c>
      <c r="M54" s="160">
        <v>43815</v>
      </c>
      <c r="N54" s="77" t="s">
        <v>311</v>
      </c>
      <c r="O54" s="80"/>
      <c r="P54" s="72"/>
      <c r="Q54" s="72"/>
      <c r="R54" s="165">
        <v>500000</v>
      </c>
      <c r="S54" s="37">
        <f>ROUND(R54/(1+U54),2)</f>
        <v>471698.11</v>
      </c>
      <c r="T54" s="37">
        <f>R54-S54</f>
        <v>28301.89</v>
      </c>
      <c r="U54" s="66">
        <v>0.06</v>
      </c>
      <c r="V54" s="135" t="s">
        <v>459</v>
      </c>
      <c r="W54" s="162">
        <v>44500</v>
      </c>
      <c r="X54" s="126" t="s">
        <v>372</v>
      </c>
      <c r="Y54" s="69" t="s">
        <v>466</v>
      </c>
      <c r="Z54" s="120"/>
      <c r="AA54" s="120">
        <v>42446237.2</v>
      </c>
      <c r="AB54" s="134" t="s">
        <v>313</v>
      </c>
      <c r="AC54" s="120"/>
      <c r="AD54" s="135"/>
      <c r="AE54" s="135"/>
      <c r="AF54" s="135"/>
      <c r="AG54" s="135"/>
    </row>
    <row r="55" s="5" customFormat="1" customHeight="1" spans="1:34">
      <c r="A55" s="164" t="s">
        <v>467</v>
      </c>
      <c r="B55" s="120"/>
      <c r="C55" s="78">
        <v>34442714.6</v>
      </c>
      <c r="D55" s="61" t="s">
        <v>312</v>
      </c>
      <c r="E55" s="78">
        <v>34442714.6</v>
      </c>
      <c r="F55" s="62">
        <v>0.09</v>
      </c>
      <c r="G55" s="37">
        <f>ROUND(E55/(1+F55),2)</f>
        <v>31598820.73</v>
      </c>
      <c r="H55" s="37">
        <f>C55-G55</f>
        <v>2843893.87</v>
      </c>
      <c r="I55" s="123">
        <v>43892</v>
      </c>
      <c r="J55" s="61"/>
      <c r="K55" s="61"/>
      <c r="L55" s="67" t="s">
        <v>467</v>
      </c>
      <c r="M55" s="160">
        <v>44465</v>
      </c>
      <c r="N55" s="77" t="s">
        <v>312</v>
      </c>
      <c r="O55" s="82"/>
      <c r="P55" s="61"/>
      <c r="Q55" s="61"/>
      <c r="R55" s="37">
        <v>34442714.6</v>
      </c>
      <c r="S55" s="37">
        <f>ROUND(R55/(1+U55),2)</f>
        <v>31598820.73</v>
      </c>
      <c r="T55" s="37">
        <f>R55-S55</f>
        <v>2843893.87</v>
      </c>
      <c r="U55" s="66">
        <v>0.09</v>
      </c>
      <c r="V55" s="115" t="s">
        <v>456</v>
      </c>
      <c r="W55" s="162">
        <v>44500</v>
      </c>
      <c r="X55" s="126" t="s">
        <v>372</v>
      </c>
      <c r="Y55" s="69" t="s">
        <v>466</v>
      </c>
      <c r="Z55" s="120"/>
      <c r="AA55" s="65">
        <v>500000</v>
      </c>
      <c r="AB55" s="134" t="s">
        <v>311</v>
      </c>
      <c r="AC55" s="128"/>
      <c r="AD55" s="135"/>
      <c r="AE55" s="135"/>
      <c r="AF55" s="135"/>
      <c r="AG55" s="135"/>
      <c r="AH55" s="5">
        <f>AE19-AA50</f>
        <v>3100443.81999999</v>
      </c>
    </row>
    <row r="56" s="5" customFormat="1" customHeight="1" spans="1:34">
      <c r="A56" s="164" t="s">
        <v>459</v>
      </c>
      <c r="B56" s="120"/>
      <c r="C56" s="78">
        <v>33064729.91</v>
      </c>
      <c r="D56" s="61" t="s">
        <v>313</v>
      </c>
      <c r="E56" s="78">
        <v>33064729.91</v>
      </c>
      <c r="F56" s="62">
        <v>0.13</v>
      </c>
      <c r="G56" s="37">
        <f>ROUND(E56/(1+F56),2)</f>
        <v>29260822.93</v>
      </c>
      <c r="H56" s="37">
        <f>C56-G56</f>
        <v>3803906.98</v>
      </c>
      <c r="I56" s="123">
        <v>44064</v>
      </c>
      <c r="J56" s="61"/>
      <c r="K56" s="61"/>
      <c r="L56" s="67" t="s">
        <v>459</v>
      </c>
      <c r="M56" s="160">
        <v>43815</v>
      </c>
      <c r="N56" s="77" t="s">
        <v>313</v>
      </c>
      <c r="O56" s="83"/>
      <c r="P56" s="61"/>
      <c r="Q56" s="61"/>
      <c r="R56" s="37">
        <v>42446237.2</v>
      </c>
      <c r="S56" s="37">
        <f>ROUND(R56/(1+U56),2)</f>
        <v>37563041.77</v>
      </c>
      <c r="T56" s="37">
        <f>R56-S56</f>
        <v>4883195.43</v>
      </c>
      <c r="U56" s="66">
        <v>0.13</v>
      </c>
      <c r="V56" s="115" t="s">
        <v>473</v>
      </c>
      <c r="W56" s="162">
        <v>44500</v>
      </c>
      <c r="X56" s="126" t="s">
        <v>372</v>
      </c>
      <c r="Y56" s="69" t="s">
        <v>466</v>
      </c>
      <c r="Z56" s="120"/>
      <c r="AA56" s="65">
        <v>630000</v>
      </c>
      <c r="AB56" s="134" t="s">
        <v>311</v>
      </c>
      <c r="AC56" s="128"/>
      <c r="AD56" s="135"/>
      <c r="AE56" s="135"/>
      <c r="AF56" s="135"/>
      <c r="AG56" s="135"/>
    </row>
    <row r="57" s="5" customFormat="1" customHeight="1" spans="1:34">
      <c r="A57" s="164" t="s">
        <v>459</v>
      </c>
      <c r="B57" s="120"/>
      <c r="C57" s="78">
        <v>8074168.16</v>
      </c>
      <c r="D57" s="61" t="s">
        <v>313</v>
      </c>
      <c r="E57" s="78">
        <v>8074168.16</v>
      </c>
      <c r="F57" s="62">
        <v>0.13</v>
      </c>
      <c r="G57" s="37">
        <v>8074168.16</v>
      </c>
      <c r="H57" s="37"/>
      <c r="I57" s="123">
        <v>44127</v>
      </c>
      <c r="J57" s="61"/>
      <c r="K57" s="61"/>
      <c r="L57" s="67"/>
      <c r="M57" s="61"/>
      <c r="N57" s="77"/>
      <c r="O57" s="83"/>
      <c r="P57" s="61"/>
      <c r="Q57" s="61"/>
      <c r="R57" s="37"/>
      <c r="S57" s="37"/>
      <c r="T57" s="37"/>
      <c r="U57" s="66"/>
      <c r="V57" s="115"/>
      <c r="W57" s="120"/>
      <c r="X57" s="126"/>
      <c r="Y57" s="120"/>
      <c r="Z57" s="120"/>
      <c r="AA57" s="65"/>
      <c r="AB57" s="134"/>
      <c r="AC57" s="128"/>
      <c r="AD57" s="135"/>
      <c r="AE57" s="135"/>
      <c r="AF57" s="135"/>
      <c r="AG57" s="135"/>
    </row>
    <row r="58" s="5" customFormat="1" customHeight="1" spans="1:34">
      <c r="A58" s="134" t="s">
        <v>467</v>
      </c>
      <c r="B58" s="120"/>
      <c r="C58" s="78">
        <v>4397500</v>
      </c>
      <c r="D58" s="61" t="s">
        <v>312</v>
      </c>
      <c r="E58" s="78">
        <v>4397500</v>
      </c>
      <c r="F58" s="62">
        <v>0.09</v>
      </c>
      <c r="G58" s="37">
        <f>ROUND(E58/(1+F58),2)</f>
        <v>4034403.67</v>
      </c>
      <c r="H58" s="37">
        <f>C58-G58</f>
        <v>363096.33</v>
      </c>
      <c r="I58" s="123">
        <v>44166</v>
      </c>
      <c r="J58" s="61"/>
      <c r="K58" s="61"/>
      <c r="L58" s="67"/>
      <c r="M58" s="61"/>
      <c r="N58" s="77"/>
      <c r="O58" s="84"/>
      <c r="P58" s="61"/>
      <c r="Q58" s="61"/>
      <c r="R58" s="37"/>
      <c r="S58" s="37"/>
      <c r="T58" s="37"/>
      <c r="U58" s="66"/>
      <c r="V58" s="115"/>
      <c r="W58" s="120"/>
      <c r="X58" s="126"/>
      <c r="Y58" s="120"/>
      <c r="Z58" s="120"/>
      <c r="AA58" s="65"/>
      <c r="AB58" s="134"/>
      <c r="AC58" s="128"/>
      <c r="AD58" s="135"/>
      <c r="AE58" s="135"/>
      <c r="AF58" s="135"/>
      <c r="AG58" s="135"/>
    </row>
    <row r="59" s="5" customFormat="1" customHeight="1" spans="1:34">
      <c r="A59" s="134" t="s">
        <v>467</v>
      </c>
      <c r="B59" s="120"/>
      <c r="C59" s="78">
        <v>-4258481.19</v>
      </c>
      <c r="D59" s="61" t="s">
        <v>312</v>
      </c>
      <c r="E59" s="78">
        <v>-4258481.19</v>
      </c>
      <c r="F59" s="62">
        <v>0.09</v>
      </c>
      <c r="G59" s="37">
        <f>ROUND(E59/(1+F59),2)</f>
        <v>-3906863.48</v>
      </c>
      <c r="H59" s="37">
        <f>C59-G59</f>
        <v>-351617.71</v>
      </c>
      <c r="I59" s="123">
        <v>44432</v>
      </c>
      <c r="J59" s="61"/>
      <c r="K59" s="61"/>
      <c r="L59" s="79"/>
      <c r="M59" s="72"/>
      <c r="N59" s="77"/>
      <c r="O59" s="80"/>
      <c r="P59" s="72"/>
      <c r="Q59" s="72"/>
      <c r="R59" s="81"/>
      <c r="S59" s="81"/>
      <c r="T59" s="81"/>
      <c r="U59" s="85"/>
      <c r="V59" s="115"/>
      <c r="W59" s="120"/>
      <c r="X59" s="126"/>
      <c r="Y59" s="120"/>
      <c r="Z59" s="120"/>
      <c r="AA59" s="65"/>
      <c r="AB59" s="134"/>
      <c r="AC59" s="128"/>
      <c r="AD59" s="135"/>
      <c r="AE59" s="135"/>
      <c r="AF59" s="135"/>
      <c r="AG59" s="135"/>
    </row>
    <row r="60" s="5" customFormat="1" customHeight="1" spans="1:34">
      <c r="A60" s="134" t="s">
        <v>467</v>
      </c>
      <c r="B60" s="120"/>
      <c r="C60" s="78"/>
      <c r="D60" s="61"/>
      <c r="E60" s="78"/>
      <c r="F60" s="62"/>
      <c r="G60" s="37"/>
      <c r="H60" s="37"/>
      <c r="I60" s="61"/>
      <c r="J60" s="61"/>
      <c r="K60" s="61"/>
      <c r="L60" s="67"/>
      <c r="M60" s="61"/>
      <c r="N60" s="77"/>
      <c r="O60" s="68"/>
      <c r="P60" s="61"/>
      <c r="Q60" s="61"/>
      <c r="R60" s="37"/>
      <c r="S60" s="37"/>
      <c r="T60" s="37"/>
      <c r="U60" s="66"/>
      <c r="V60" s="115"/>
      <c r="W60" s="120"/>
      <c r="X60" s="126"/>
      <c r="Y60" s="120"/>
      <c r="Z60" s="120"/>
      <c r="AA60" s="65"/>
      <c r="AB60" s="134"/>
      <c r="AC60" s="128"/>
      <c r="AD60" s="135"/>
      <c r="AE60" s="135"/>
      <c r="AF60" s="135"/>
      <c r="AG60" s="135"/>
    </row>
    <row r="61" s="5" customFormat="1" customHeight="1" spans="1:34">
      <c r="A61" s="120"/>
      <c r="B61" s="120"/>
      <c r="C61" s="61"/>
      <c r="D61" s="61"/>
      <c r="E61" s="61"/>
      <c r="F61" s="61"/>
      <c r="G61" s="37"/>
      <c r="H61" s="37"/>
      <c r="I61" s="61"/>
      <c r="J61" s="61"/>
      <c r="K61" s="61"/>
      <c r="L61" s="67"/>
      <c r="M61" s="61"/>
      <c r="N61" s="77"/>
      <c r="O61" s="68"/>
      <c r="P61" s="61"/>
      <c r="Q61" s="61"/>
      <c r="R61" s="37"/>
      <c r="S61" s="37"/>
      <c r="T61" s="37"/>
      <c r="U61" s="66"/>
      <c r="V61" s="115"/>
      <c r="W61" s="120"/>
      <c r="X61" s="126"/>
      <c r="Y61" s="120"/>
      <c r="Z61" s="120"/>
      <c r="AA61" s="65"/>
      <c r="AB61" s="134"/>
      <c r="AC61" s="128"/>
      <c r="AD61" s="135"/>
      <c r="AE61" s="135"/>
      <c r="AF61" s="135"/>
      <c r="AG61" s="135"/>
    </row>
    <row r="62" s="5" customFormat="1" customHeight="1" spans="1:34">
      <c r="A62" s="120"/>
      <c r="B62" s="120"/>
      <c r="C62" s="61"/>
      <c r="D62" s="61"/>
      <c r="E62" s="61"/>
      <c r="F62" s="61"/>
      <c r="G62" s="37"/>
      <c r="H62" s="37"/>
      <c r="I62" s="61"/>
      <c r="J62" s="61"/>
      <c r="K62" s="61"/>
      <c r="L62" s="61"/>
      <c r="M62" s="61"/>
      <c r="N62" s="77"/>
      <c r="O62" s="61"/>
      <c r="P62" s="61"/>
      <c r="Q62" s="61"/>
      <c r="R62" s="37"/>
      <c r="S62" s="37"/>
      <c r="T62" s="37"/>
      <c r="U62" s="66"/>
      <c r="V62" s="115"/>
      <c r="W62" s="120"/>
      <c r="X62" s="126"/>
      <c r="Y62" s="120"/>
      <c r="Z62" s="120"/>
      <c r="AA62" s="65"/>
      <c r="AB62" s="134"/>
      <c r="AC62" s="128"/>
      <c r="AD62" s="135"/>
      <c r="AE62" s="135"/>
      <c r="AF62" s="135"/>
      <c r="AG62" s="135"/>
    </row>
    <row r="63" s="5" customFormat="1" customHeight="1" spans="1:34">
      <c r="A63" s="120"/>
      <c r="B63" s="120"/>
      <c r="C63" s="61"/>
      <c r="D63" s="61"/>
      <c r="E63" s="61"/>
      <c r="F63" s="61"/>
      <c r="G63" s="37"/>
      <c r="H63" s="37"/>
      <c r="I63" s="61"/>
      <c r="J63" s="61"/>
      <c r="K63" s="61"/>
      <c r="L63" s="61"/>
      <c r="M63" s="61"/>
      <c r="N63" s="77"/>
      <c r="O63" s="61"/>
      <c r="P63" s="61"/>
      <c r="Q63" s="61"/>
      <c r="R63" s="37"/>
      <c r="S63" s="37"/>
      <c r="T63" s="37"/>
      <c r="U63" s="66"/>
      <c r="V63" s="115"/>
      <c r="W63" s="120"/>
      <c r="X63" s="126"/>
      <c r="Y63" s="120"/>
      <c r="Z63" s="120"/>
      <c r="AA63" s="65"/>
      <c r="AB63" s="134"/>
      <c r="AC63" s="128"/>
      <c r="AD63" s="135"/>
      <c r="AE63" s="135"/>
      <c r="AF63" s="135"/>
      <c r="AG63" s="135"/>
    </row>
    <row r="64" s="5" customFormat="1" customHeight="1" spans="1:34">
      <c r="A64" s="120"/>
      <c r="B64" s="120"/>
      <c r="C64" s="61"/>
      <c r="D64" s="61"/>
      <c r="E64" s="61"/>
      <c r="F64" s="61"/>
      <c r="G64" s="37"/>
      <c r="H64" s="37"/>
      <c r="I64" s="61"/>
      <c r="J64" s="61"/>
      <c r="K64" s="61"/>
      <c r="L64" s="61"/>
      <c r="M64" s="61"/>
      <c r="N64" s="77"/>
      <c r="O64" s="61"/>
      <c r="P64" s="61"/>
      <c r="Q64" s="61"/>
      <c r="R64" s="37"/>
      <c r="S64" s="37"/>
      <c r="T64" s="37"/>
      <c r="U64" s="66"/>
      <c r="V64" s="115"/>
      <c r="W64" s="120"/>
      <c r="X64" s="126"/>
      <c r="Y64" s="120"/>
      <c r="Z64" s="120"/>
      <c r="AA64" s="65"/>
      <c r="AB64" s="134"/>
      <c r="AC64" s="128"/>
      <c r="AD64" s="135"/>
      <c r="AE64" s="135"/>
      <c r="AF64" s="135"/>
      <c r="AG64" s="135"/>
    </row>
    <row r="65" s="5" customFormat="1" customHeight="1" spans="1:33">
      <c r="A65" s="120"/>
      <c r="B65" s="120"/>
      <c r="C65" s="61"/>
      <c r="D65" s="61"/>
      <c r="E65" s="61"/>
      <c r="F65" s="61"/>
      <c r="G65" s="37"/>
      <c r="H65" s="37"/>
      <c r="I65" s="61"/>
      <c r="J65" s="61"/>
      <c r="K65" s="61"/>
      <c r="L65" s="61"/>
      <c r="M65" s="61"/>
      <c r="N65" s="77"/>
      <c r="O65" s="61"/>
      <c r="P65" s="61"/>
      <c r="Q65" s="61"/>
      <c r="R65" s="37"/>
      <c r="S65" s="37"/>
      <c r="T65" s="37"/>
      <c r="U65" s="61"/>
      <c r="V65" s="115"/>
      <c r="W65" s="120"/>
      <c r="X65" s="126"/>
      <c r="Y65" s="120"/>
      <c r="Z65" s="120"/>
      <c r="AA65" s="65"/>
      <c r="AB65" s="134"/>
      <c r="AC65" s="128"/>
      <c r="AD65" s="135"/>
      <c r="AE65" s="135"/>
      <c r="AF65" s="135"/>
      <c r="AG65" s="135"/>
    </row>
    <row r="66" s="5" customFormat="1" customHeight="1" spans="1:33">
      <c r="A66" s="120"/>
      <c r="B66" s="120"/>
      <c r="C66" s="61"/>
      <c r="D66" s="61"/>
      <c r="E66" s="61"/>
      <c r="F66" s="61"/>
      <c r="G66" s="37"/>
      <c r="H66" s="37"/>
      <c r="I66" s="61"/>
      <c r="J66" s="61"/>
      <c r="K66" s="61"/>
      <c r="L66" s="61"/>
      <c r="M66" s="61"/>
      <c r="N66" s="77"/>
      <c r="O66" s="61"/>
      <c r="P66" s="61"/>
      <c r="Q66" s="61"/>
      <c r="R66" s="37"/>
      <c r="S66" s="37"/>
      <c r="T66" s="37"/>
      <c r="U66" s="61"/>
      <c r="V66" s="115"/>
      <c r="W66" s="120"/>
      <c r="X66" s="126"/>
      <c r="Y66" s="120"/>
      <c r="Z66" s="120"/>
      <c r="AA66" s="65"/>
      <c r="AB66" s="134"/>
      <c r="AC66" s="127"/>
      <c r="AD66" s="135"/>
      <c r="AE66" s="135"/>
      <c r="AF66" s="135"/>
      <c r="AG66" s="135"/>
    </row>
    <row r="67" s="5" customFormat="1" customHeight="1" spans="1:33">
      <c r="A67" s="120"/>
      <c r="B67" s="120"/>
      <c r="C67" s="61"/>
      <c r="D67" s="61"/>
      <c r="E67" s="61"/>
      <c r="F67" s="61"/>
      <c r="G67" s="37"/>
      <c r="H67" s="37"/>
      <c r="I67" s="61"/>
      <c r="J67" s="61"/>
      <c r="K67" s="61"/>
      <c r="L67" s="61"/>
      <c r="M67" s="61"/>
      <c r="N67" s="77"/>
      <c r="O67" s="61"/>
      <c r="P67" s="61"/>
      <c r="Q67" s="61"/>
      <c r="R67" s="37"/>
      <c r="S67" s="37"/>
      <c r="T67" s="37"/>
      <c r="U67" s="61"/>
      <c r="V67" s="115"/>
      <c r="W67" s="120"/>
      <c r="X67" s="126"/>
      <c r="Y67" s="120"/>
      <c r="Z67" s="120"/>
      <c r="AA67" s="65"/>
      <c r="AB67" s="134"/>
      <c r="AC67" s="128"/>
      <c r="AD67" s="135"/>
      <c r="AE67" s="135"/>
      <c r="AF67" s="135"/>
      <c r="AG67" s="135"/>
    </row>
    <row r="68" s="5" customFormat="1" customHeight="1" spans="1:33">
      <c r="A68" s="120"/>
      <c r="B68" s="120"/>
      <c r="C68" s="61"/>
      <c r="D68" s="61"/>
      <c r="E68" s="61"/>
      <c r="F68" s="61"/>
      <c r="G68" s="37"/>
      <c r="H68" s="37"/>
      <c r="I68" s="61"/>
      <c r="J68" s="61"/>
      <c r="K68" s="61"/>
      <c r="L68" s="61"/>
      <c r="M68" s="61"/>
      <c r="N68" s="77"/>
      <c r="O68" s="61"/>
      <c r="P68" s="61"/>
      <c r="Q68" s="61"/>
      <c r="R68" s="37"/>
      <c r="S68" s="37"/>
      <c r="T68" s="37"/>
      <c r="U68" s="61"/>
      <c r="V68" s="120"/>
      <c r="W68" s="120"/>
      <c r="X68" s="126"/>
      <c r="Y68" s="128"/>
      <c r="Z68" s="128"/>
      <c r="AA68" s="141"/>
      <c r="AB68" s="128"/>
      <c r="AC68" s="128"/>
      <c r="AD68" s="135"/>
      <c r="AE68" s="135"/>
      <c r="AF68" s="135"/>
      <c r="AG68" s="135"/>
    </row>
    <row r="69" s="5" customFormat="1" customHeight="1" spans="1:33">
      <c r="A69" s="120"/>
      <c r="B69" s="120"/>
      <c r="C69" s="61"/>
      <c r="D69" s="61"/>
      <c r="E69" s="61"/>
      <c r="F69" s="61"/>
      <c r="G69" s="37"/>
      <c r="H69" s="37"/>
      <c r="I69" s="61"/>
      <c r="J69" s="61"/>
      <c r="K69" s="61"/>
      <c r="L69" s="61"/>
      <c r="M69" s="61"/>
      <c r="N69" s="77"/>
      <c r="O69" s="61"/>
      <c r="P69" s="61"/>
      <c r="Q69" s="61"/>
      <c r="R69" s="37"/>
      <c r="S69" s="37"/>
      <c r="T69" s="37"/>
      <c r="U69" s="61"/>
      <c r="V69" s="120"/>
      <c r="W69" s="120"/>
      <c r="X69" s="126"/>
      <c r="Y69" s="128"/>
      <c r="Z69" s="128"/>
      <c r="AA69" s="141"/>
      <c r="AB69" s="128"/>
      <c r="AC69" s="128"/>
      <c r="AD69" s="135"/>
      <c r="AE69" s="135"/>
      <c r="AF69" s="135"/>
      <c r="AG69" s="135"/>
    </row>
    <row r="70" s="5" customFormat="1" customHeight="1" spans="1:33">
      <c r="A70" s="120"/>
      <c r="B70" s="120"/>
      <c r="C70" s="61"/>
      <c r="D70" s="61"/>
      <c r="E70" s="61"/>
      <c r="F70" s="61"/>
      <c r="G70" s="37"/>
      <c r="H70" s="37"/>
      <c r="I70" s="61"/>
      <c r="J70" s="61"/>
      <c r="K70" s="61"/>
      <c r="L70" s="61"/>
      <c r="M70" s="61"/>
      <c r="N70" s="77"/>
      <c r="O70" s="61"/>
      <c r="P70" s="61"/>
      <c r="Q70" s="61"/>
      <c r="R70" s="37"/>
      <c r="S70" s="37"/>
      <c r="T70" s="37"/>
      <c r="U70" s="61"/>
      <c r="V70" s="120"/>
      <c r="W70" s="120"/>
      <c r="X70" s="126"/>
      <c r="Y70" s="128"/>
      <c r="Z70" s="128"/>
      <c r="AA70" s="141"/>
      <c r="AB70" s="128"/>
      <c r="AC70" s="128"/>
      <c r="AD70" s="135"/>
      <c r="AE70" s="135"/>
      <c r="AF70" s="135"/>
      <c r="AG70" s="135"/>
    </row>
    <row r="71" s="5" customFormat="1" customHeight="1" spans="1:33">
      <c r="A71" s="120"/>
      <c r="B71" s="120"/>
      <c r="C71" s="61"/>
      <c r="D71" s="61"/>
      <c r="E71" s="61"/>
      <c r="F71" s="61"/>
      <c r="G71" s="37"/>
      <c r="H71" s="37"/>
      <c r="I71" s="61"/>
      <c r="J71" s="61"/>
      <c r="K71" s="61"/>
      <c r="L71" s="61"/>
      <c r="M71" s="61"/>
      <c r="N71" s="77"/>
      <c r="O71" s="61"/>
      <c r="P71" s="61"/>
      <c r="Q71" s="61"/>
      <c r="R71" s="37"/>
      <c r="S71" s="37"/>
      <c r="T71" s="37"/>
      <c r="U71" s="61"/>
      <c r="V71" s="120"/>
      <c r="W71" s="120"/>
      <c r="X71" s="126"/>
      <c r="Y71" s="128"/>
      <c r="Z71" s="128"/>
      <c r="AA71" s="141"/>
      <c r="AB71" s="128"/>
      <c r="AC71" s="128"/>
      <c r="AD71" s="135"/>
      <c r="AE71" s="135"/>
      <c r="AF71" s="135"/>
      <c r="AG71" s="135"/>
    </row>
    <row r="72" s="5" customFormat="1" customHeight="1" spans="1:33">
      <c r="A72" s="120"/>
      <c r="B72" s="120"/>
      <c r="C72" s="61"/>
      <c r="D72" s="61"/>
      <c r="E72" s="61"/>
      <c r="F72" s="61"/>
      <c r="G72" s="37"/>
      <c r="H72" s="37"/>
      <c r="I72" s="61"/>
      <c r="J72" s="61"/>
      <c r="K72" s="61"/>
      <c r="L72" s="61"/>
      <c r="M72" s="61"/>
      <c r="N72" s="77"/>
      <c r="O72" s="61"/>
      <c r="P72" s="61"/>
      <c r="Q72" s="61"/>
      <c r="R72" s="37"/>
      <c r="S72" s="37"/>
      <c r="T72" s="37"/>
      <c r="U72" s="61"/>
      <c r="V72" s="120"/>
      <c r="W72" s="120"/>
      <c r="X72" s="126"/>
      <c r="Y72" s="128"/>
      <c r="Z72" s="128"/>
      <c r="AA72" s="141"/>
      <c r="AB72" s="128"/>
      <c r="AC72" s="128"/>
      <c r="AD72" s="135"/>
      <c r="AE72" s="135"/>
      <c r="AF72" s="135"/>
      <c r="AG72" s="135"/>
    </row>
    <row r="73" s="5" customFormat="1" customHeight="1" spans="1:33">
      <c r="A73" s="120"/>
      <c r="B73" s="120"/>
      <c r="C73" s="61"/>
      <c r="D73" s="61"/>
      <c r="E73" s="61"/>
      <c r="F73" s="61"/>
      <c r="G73" s="37"/>
      <c r="H73" s="37"/>
      <c r="I73" s="61"/>
      <c r="J73" s="61"/>
      <c r="K73" s="61"/>
      <c r="L73" s="61"/>
      <c r="M73" s="61"/>
      <c r="N73" s="77"/>
      <c r="O73" s="61"/>
      <c r="P73" s="61"/>
      <c r="Q73" s="61"/>
      <c r="R73" s="37"/>
      <c r="S73" s="37"/>
      <c r="T73" s="37"/>
      <c r="U73" s="61"/>
      <c r="V73" s="120"/>
      <c r="W73" s="120"/>
      <c r="X73" s="126"/>
      <c r="Y73" s="128"/>
      <c r="Z73" s="128"/>
      <c r="AA73" s="141"/>
      <c r="AB73" s="128"/>
      <c r="AC73" s="128"/>
      <c r="AD73" s="135"/>
      <c r="AE73" s="135"/>
      <c r="AF73" s="135"/>
      <c r="AG73" s="135"/>
    </row>
    <row r="74" s="5" customFormat="1" customHeight="1" spans="1:33">
      <c r="A74" s="120"/>
      <c r="B74" s="120"/>
      <c r="C74" s="61"/>
      <c r="D74" s="61"/>
      <c r="E74" s="61"/>
      <c r="F74" s="61"/>
      <c r="G74" s="37"/>
      <c r="H74" s="37"/>
      <c r="I74" s="61"/>
      <c r="J74" s="61"/>
      <c r="K74" s="61"/>
      <c r="L74" s="61"/>
      <c r="M74" s="61"/>
      <c r="N74" s="77"/>
      <c r="O74" s="61"/>
      <c r="P74" s="61"/>
      <c r="Q74" s="61"/>
      <c r="R74" s="37"/>
      <c r="S74" s="37"/>
      <c r="T74" s="37"/>
      <c r="U74" s="61"/>
      <c r="V74" s="120"/>
      <c r="W74" s="120"/>
      <c r="X74" s="126"/>
      <c r="Y74" s="128"/>
      <c r="Z74" s="128"/>
      <c r="AA74" s="141"/>
      <c r="AB74" s="128"/>
      <c r="AC74" s="128"/>
      <c r="AD74" s="135"/>
      <c r="AE74" s="135"/>
      <c r="AF74" s="135"/>
      <c r="AG74" s="135"/>
    </row>
    <row r="75" s="5" customFormat="1" customHeight="1" spans="1:33">
      <c r="A75" s="120"/>
      <c r="B75" s="120"/>
      <c r="C75" s="61"/>
      <c r="D75" s="61"/>
      <c r="E75" s="61"/>
      <c r="F75" s="61"/>
      <c r="G75" s="37"/>
      <c r="H75" s="37"/>
      <c r="I75" s="61"/>
      <c r="J75" s="61"/>
      <c r="K75" s="61"/>
      <c r="L75" s="61"/>
      <c r="M75" s="61"/>
      <c r="N75" s="77"/>
      <c r="O75" s="61"/>
      <c r="P75" s="61"/>
      <c r="Q75" s="61"/>
      <c r="R75" s="37"/>
      <c r="S75" s="37"/>
      <c r="T75" s="37"/>
      <c r="U75" s="61"/>
      <c r="V75" s="120"/>
      <c r="W75" s="120"/>
      <c r="X75" s="126"/>
      <c r="Y75" s="128"/>
      <c r="Z75" s="128"/>
      <c r="AA75" s="141"/>
      <c r="AB75" s="128"/>
      <c r="AC75" s="128"/>
      <c r="AD75" s="135"/>
      <c r="AE75" s="135"/>
      <c r="AF75" s="135"/>
      <c r="AG75" s="135"/>
    </row>
    <row r="76" s="5" customFormat="1" customHeight="1" spans="1:33">
      <c r="A76" s="120"/>
      <c r="B76" s="120"/>
      <c r="C76" s="61"/>
      <c r="D76" s="61"/>
      <c r="E76" s="61"/>
      <c r="F76" s="61"/>
      <c r="G76" s="37"/>
      <c r="H76" s="37"/>
      <c r="I76" s="61"/>
      <c r="J76" s="61"/>
      <c r="K76" s="61"/>
      <c r="L76" s="61"/>
      <c r="M76" s="61"/>
      <c r="N76" s="77"/>
      <c r="O76" s="61"/>
      <c r="P76" s="61"/>
      <c r="Q76" s="61"/>
      <c r="R76" s="37"/>
      <c r="S76" s="37"/>
      <c r="T76" s="37"/>
      <c r="U76" s="61"/>
      <c r="V76" s="120"/>
      <c r="W76" s="120"/>
      <c r="X76" s="126"/>
      <c r="Y76" s="128"/>
      <c r="Z76" s="128"/>
      <c r="AA76" s="141"/>
      <c r="AB76" s="128"/>
      <c r="AC76" s="128"/>
      <c r="AD76" s="135"/>
      <c r="AE76" s="135"/>
      <c r="AF76" s="135"/>
      <c r="AG76" s="135"/>
    </row>
    <row r="77" s="5" customFormat="1" customHeight="1" spans="1:33">
      <c r="A77" s="120"/>
      <c r="B77" s="120"/>
      <c r="C77" s="61"/>
      <c r="D77" s="61"/>
      <c r="E77" s="61"/>
      <c r="F77" s="61"/>
      <c r="G77" s="37"/>
      <c r="H77" s="37"/>
      <c r="I77" s="61"/>
      <c r="J77" s="61"/>
      <c r="K77" s="61"/>
      <c r="L77" s="61"/>
      <c r="M77" s="61"/>
      <c r="N77" s="77"/>
      <c r="O77" s="61"/>
      <c r="P77" s="61"/>
      <c r="Q77" s="61"/>
      <c r="R77" s="37"/>
      <c r="S77" s="37"/>
      <c r="T77" s="37"/>
      <c r="U77" s="61"/>
      <c r="V77" s="120"/>
      <c r="W77" s="120"/>
      <c r="X77" s="126"/>
      <c r="Y77" s="128"/>
      <c r="Z77" s="128"/>
      <c r="AA77" s="141"/>
      <c r="AB77" s="128"/>
      <c r="AC77" s="128"/>
      <c r="AD77" s="135"/>
      <c r="AE77" s="135"/>
      <c r="AF77" s="135"/>
      <c r="AG77" s="135"/>
    </row>
    <row r="78" s="5" customFormat="1" customHeight="1" spans="1:33">
      <c r="A78" s="129"/>
      <c r="B78" s="129"/>
      <c r="C78" s="73"/>
      <c r="D78" s="73"/>
      <c r="E78" s="73"/>
      <c r="F78" s="73"/>
      <c r="G78" s="74"/>
      <c r="H78" s="74"/>
      <c r="I78" s="73"/>
      <c r="J78" s="73"/>
      <c r="K78" s="73"/>
      <c r="L78" s="73"/>
      <c r="M78" s="73"/>
      <c r="N78" s="73"/>
      <c r="O78" s="73"/>
      <c r="P78" s="73"/>
      <c r="Q78" s="73"/>
      <c r="R78" s="74"/>
      <c r="S78" s="74"/>
      <c r="T78" s="74"/>
      <c r="U78" s="73"/>
      <c r="V78" s="129"/>
      <c r="W78" s="129"/>
      <c r="X78" s="129"/>
      <c r="Y78" s="129"/>
      <c r="Z78" s="129"/>
      <c r="AA78" s="130"/>
      <c r="AB78" s="131"/>
      <c r="AC78" s="131"/>
      <c r="AD78" s="131"/>
      <c r="AE78" s="131"/>
      <c r="AF78" s="131"/>
      <c r="AG78" s="131"/>
    </row>
    <row r="80" customHeight="1" spans="1:33">
      <c r="A80" s="109" t="s">
        <v>384</v>
      </c>
    </row>
    <row r="81" ht="29.1" customHeight="1" spans="1:13">
      <c r="A81" s="16" t="s">
        <v>385</v>
      </c>
      <c r="B81" s="16" t="s">
        <v>386</v>
      </c>
      <c r="C81" s="34" t="s">
        <v>387</v>
      </c>
      <c r="D81" s="86" t="s">
        <v>388</v>
      </c>
      <c r="E81" s="87" t="s">
        <v>389</v>
      </c>
      <c r="F81" s="87" t="s">
        <v>390</v>
      </c>
      <c r="G81" s="87" t="s">
        <v>391</v>
      </c>
      <c r="H81" s="34" t="s">
        <v>392</v>
      </c>
      <c r="I81" s="34" t="s">
        <v>393</v>
      </c>
      <c r="J81" s="34" t="s">
        <v>394</v>
      </c>
      <c r="K81" s="34" t="s">
        <v>395</v>
      </c>
      <c r="L81" s="34" t="s">
        <v>92</v>
      </c>
      <c r="M81" s="34" t="s">
        <v>310</v>
      </c>
    </row>
    <row r="82" ht="29.1" customHeight="1" spans="1:13">
      <c r="A82" s="142"/>
      <c r="B82" s="143"/>
      <c r="C82" s="89"/>
      <c r="D82" s="90">
        <v>11976.73</v>
      </c>
      <c r="E82" s="90">
        <v>838.38</v>
      </c>
      <c r="F82" s="90">
        <v>359.3</v>
      </c>
      <c r="G82" s="90">
        <v>239.54</v>
      </c>
      <c r="H82" s="61">
        <v>28651.68</v>
      </c>
      <c r="I82" s="90"/>
      <c r="J82" s="89"/>
      <c r="K82" s="89"/>
      <c r="L82" s="89">
        <f t="shared" ref="L82:L94" si="6">SUM(D82:K82)</f>
        <v>42065.63</v>
      </c>
      <c r="M82" s="89"/>
    </row>
    <row r="83" ht="29.1" customHeight="1" spans="1:13">
      <c r="A83" s="142"/>
      <c r="B83" s="143"/>
      <c r="C83" s="89"/>
      <c r="D83" s="90"/>
      <c r="E83" s="90"/>
      <c r="F83" s="90"/>
      <c r="G83" s="90"/>
      <c r="H83" s="61"/>
      <c r="I83" s="90"/>
      <c r="J83" s="89"/>
      <c r="K83" s="89"/>
      <c r="L83" s="89">
        <f t="shared" si="6"/>
        <v>0</v>
      </c>
      <c r="M83" s="89"/>
    </row>
    <row r="84" ht="29.1" customHeight="1" spans="1:13">
      <c r="A84" s="142"/>
      <c r="B84" s="143"/>
      <c r="C84" s="89"/>
      <c r="D84" s="90"/>
      <c r="E84" s="90"/>
      <c r="F84" s="90"/>
      <c r="G84" s="90"/>
      <c r="H84" s="61"/>
      <c r="I84" s="90"/>
      <c r="J84" s="89"/>
      <c r="K84" s="89"/>
      <c r="L84" s="89">
        <f t="shared" si="6"/>
        <v>0</v>
      </c>
      <c r="M84" s="89"/>
    </row>
    <row r="85" ht="29.1" customHeight="1" spans="1:13">
      <c r="A85" s="142"/>
      <c r="B85" s="143"/>
      <c r="C85" s="89"/>
      <c r="D85" s="90"/>
      <c r="E85" s="90"/>
      <c r="F85" s="90"/>
      <c r="G85" s="90"/>
      <c r="H85" s="61"/>
      <c r="I85" s="90"/>
      <c r="J85" s="89"/>
      <c r="K85" s="89"/>
      <c r="L85" s="89">
        <f t="shared" si="6"/>
        <v>0</v>
      </c>
      <c r="M85" s="89"/>
    </row>
    <row r="86" ht="29.1" customHeight="1" spans="1:13">
      <c r="A86" s="142"/>
      <c r="B86" s="143"/>
      <c r="C86" s="89"/>
      <c r="D86" s="90"/>
      <c r="E86" s="90"/>
      <c r="F86" s="90"/>
      <c r="G86" s="90"/>
      <c r="H86" s="61"/>
      <c r="I86" s="90"/>
      <c r="J86" s="89"/>
      <c r="K86" s="89"/>
      <c r="L86" s="89">
        <f t="shared" si="6"/>
        <v>0</v>
      </c>
      <c r="M86" s="89"/>
    </row>
    <row r="87" ht="29.1" customHeight="1" spans="1:13">
      <c r="A87" s="142"/>
      <c r="B87" s="143"/>
      <c r="C87" s="89"/>
      <c r="D87" s="90"/>
      <c r="E87" s="90"/>
      <c r="F87" s="90"/>
      <c r="G87" s="90"/>
      <c r="H87" s="61"/>
      <c r="I87" s="90"/>
      <c r="J87" s="89"/>
      <c r="K87" s="89"/>
      <c r="L87" s="89">
        <f t="shared" si="6"/>
        <v>0</v>
      </c>
      <c r="M87" s="89"/>
    </row>
    <row r="88" ht="29.1" customHeight="1" spans="1:13">
      <c r="A88" s="142"/>
      <c r="B88" s="143"/>
      <c r="C88" s="89"/>
      <c r="D88" s="90"/>
      <c r="E88" s="90"/>
      <c r="F88" s="90"/>
      <c r="G88" s="90"/>
      <c r="H88" s="61"/>
      <c r="I88" s="90"/>
      <c r="J88" s="89"/>
      <c r="K88" s="89"/>
      <c r="L88" s="89">
        <f t="shared" si="6"/>
        <v>0</v>
      </c>
      <c r="M88" s="89"/>
    </row>
    <row r="89" ht="29.1" customHeight="1" spans="1:13">
      <c r="A89" s="142"/>
      <c r="B89" s="143"/>
      <c r="C89" s="89"/>
      <c r="D89" s="90"/>
      <c r="E89" s="90"/>
      <c r="F89" s="90"/>
      <c r="G89" s="90"/>
      <c r="H89" s="61"/>
      <c r="I89" s="90"/>
      <c r="J89" s="89"/>
      <c r="K89" s="89"/>
      <c r="L89" s="89">
        <f t="shared" si="6"/>
        <v>0</v>
      </c>
      <c r="M89" s="89"/>
    </row>
    <row r="90" ht="29.1" customHeight="1" spans="1:13">
      <c r="A90" s="142"/>
      <c r="B90" s="143"/>
      <c r="C90" s="89"/>
      <c r="D90" s="90"/>
      <c r="E90" s="90"/>
      <c r="F90" s="90"/>
      <c r="G90" s="90"/>
      <c r="H90" s="61"/>
      <c r="I90" s="90"/>
      <c r="J90" s="89"/>
      <c r="K90" s="89"/>
      <c r="L90" s="89">
        <f t="shared" si="6"/>
        <v>0</v>
      </c>
      <c r="M90" s="89"/>
    </row>
    <row r="91" ht="29.1" customHeight="1" spans="1:13">
      <c r="A91" s="142"/>
      <c r="B91" s="143"/>
      <c r="C91" s="89"/>
      <c r="D91" s="90"/>
      <c r="E91" s="90"/>
      <c r="F91" s="90"/>
      <c r="G91" s="90"/>
      <c r="H91" s="61"/>
      <c r="I91" s="90"/>
      <c r="J91" s="89"/>
      <c r="K91" s="89"/>
      <c r="L91" s="89">
        <f t="shared" si="6"/>
        <v>0</v>
      </c>
      <c r="M91" s="89"/>
    </row>
    <row r="92" ht="29.1" customHeight="1" spans="1:13">
      <c r="A92" s="142"/>
      <c r="B92" s="143"/>
      <c r="C92" s="89"/>
      <c r="D92" s="90"/>
      <c r="E92" s="90"/>
      <c r="F92" s="90"/>
      <c r="G92" s="90"/>
      <c r="H92" s="61"/>
      <c r="I92" s="90"/>
      <c r="J92" s="89"/>
      <c r="K92" s="89"/>
      <c r="L92" s="89">
        <f t="shared" si="6"/>
        <v>0</v>
      </c>
      <c r="M92" s="89"/>
    </row>
    <row r="93" ht="29.1" customHeight="1" spans="1:13">
      <c r="A93" s="142"/>
      <c r="B93" s="143"/>
      <c r="C93" s="89"/>
      <c r="D93" s="90"/>
      <c r="E93" s="90"/>
      <c r="F93" s="90"/>
      <c r="G93" s="90"/>
      <c r="H93" s="61"/>
      <c r="I93" s="90"/>
      <c r="J93" s="89"/>
      <c r="K93" s="89"/>
      <c r="L93" s="89">
        <f t="shared" si="6"/>
        <v>0</v>
      </c>
      <c r="M93" s="89"/>
    </row>
    <row r="94" ht="29.1" customHeight="1" spans="1:13">
      <c r="A94" s="142"/>
      <c r="B94" s="143"/>
      <c r="C94" s="89"/>
      <c r="D94" s="61"/>
      <c r="E94" s="61"/>
      <c r="F94" s="61"/>
      <c r="G94" s="61"/>
      <c r="H94" s="61"/>
      <c r="I94" s="61"/>
      <c r="J94" s="89"/>
      <c r="K94" s="89"/>
      <c r="L94" s="89">
        <f t="shared" si="6"/>
        <v>0</v>
      </c>
      <c r="M94" s="89"/>
    </row>
    <row r="95" ht="29.1" customHeight="1" spans="1:13">
      <c r="A95" s="120" t="s">
        <v>92</v>
      </c>
      <c r="B95" s="120">
        <f t="shared" ref="B95:M95" si="7">SUM(B82:B94)</f>
        <v>0</v>
      </c>
      <c r="C95" s="61">
        <f t="shared" si="7"/>
        <v>0</v>
      </c>
      <c r="D95" s="61">
        <f t="shared" si="7"/>
        <v>11976.73</v>
      </c>
      <c r="E95" s="61">
        <f t="shared" si="7"/>
        <v>838.38</v>
      </c>
      <c r="F95" s="61">
        <f t="shared" si="7"/>
        <v>359.3</v>
      </c>
      <c r="G95" s="61">
        <f t="shared" si="7"/>
        <v>239.54</v>
      </c>
      <c r="H95" s="61">
        <f t="shared" si="7"/>
        <v>28651.68</v>
      </c>
      <c r="I95" s="61">
        <f t="shared" si="7"/>
        <v>0</v>
      </c>
      <c r="J95" s="61">
        <f t="shared" si="7"/>
        <v>0</v>
      </c>
      <c r="K95" s="61">
        <f t="shared" si="7"/>
        <v>0</v>
      </c>
      <c r="L95" s="61">
        <f t="shared" si="7"/>
        <v>42065.63</v>
      </c>
      <c r="M95" s="61">
        <f t="shared" si="7"/>
        <v>0</v>
      </c>
    </row>
    <row r="97" customHeight="1" spans="1:34">
      <c r="A97" s="109" t="s">
        <v>396</v>
      </c>
    </row>
    <row r="98" customHeight="1" spans="1:34">
      <c r="A98" s="91" t="s">
        <v>397</v>
      </c>
      <c r="B98" s="16" t="s">
        <v>398</v>
      </c>
      <c r="C98" s="34" t="s">
        <v>399</v>
      </c>
      <c r="D98" s="34" t="s">
        <v>400</v>
      </c>
      <c r="E98" s="34" t="s">
        <v>401</v>
      </c>
      <c r="F98" s="34" t="s">
        <v>402</v>
      </c>
      <c r="G98" s="34" t="s">
        <v>403</v>
      </c>
      <c r="H98" s="34" t="s">
        <v>404</v>
      </c>
      <c r="I98" s="34" t="s">
        <v>92</v>
      </c>
    </row>
    <row r="99" customHeight="1" spans="1:34">
      <c r="A99" s="145" t="s">
        <v>5</v>
      </c>
      <c r="B99" s="146">
        <v>396012.18</v>
      </c>
      <c r="C99" s="19"/>
      <c r="D99" s="19"/>
      <c r="E99" s="19"/>
      <c r="F99" s="19"/>
      <c r="G99" s="19"/>
      <c r="H99" s="19"/>
      <c r="I99" s="19">
        <f t="shared" ref="I99:I104" si="8">SUM(B99:H99)</f>
        <v>396012.18</v>
      </c>
    </row>
    <row r="100" customHeight="1" spans="1:34">
      <c r="A100" s="120" t="s">
        <v>6</v>
      </c>
      <c r="B100" s="146">
        <f>B102-B101</f>
        <v>-24076.46</v>
      </c>
      <c r="C100" s="146">
        <f>C102-C101</f>
        <v>78.11</v>
      </c>
      <c r="D100" s="146">
        <f>D102-D101</f>
        <v>563.07</v>
      </c>
      <c r="E100" s="19"/>
      <c r="F100" s="19"/>
      <c r="G100" s="19"/>
      <c r="H100" s="19"/>
      <c r="I100" s="19">
        <f t="shared" si="8"/>
        <v>-23435.28</v>
      </c>
    </row>
    <row r="101" customHeight="1" spans="1:34">
      <c r="A101" s="120" t="s">
        <v>405</v>
      </c>
      <c r="B101" s="146">
        <v>28117.39</v>
      </c>
      <c r="C101" s="19">
        <v>281.89</v>
      </c>
      <c r="D101" s="19">
        <v>215.94</v>
      </c>
      <c r="E101" s="19"/>
      <c r="F101" s="19"/>
      <c r="G101" s="19"/>
      <c r="H101" s="19"/>
      <c r="I101" s="19">
        <f t="shared" si="8"/>
        <v>28615.22</v>
      </c>
    </row>
    <row r="102" customHeight="1" spans="1:34">
      <c r="A102" s="120" t="s">
        <v>406</v>
      </c>
      <c r="B102" s="146">
        <v>4040.93</v>
      </c>
      <c r="C102" s="19">
        <v>360</v>
      </c>
      <c r="D102" s="19">
        <v>779.01</v>
      </c>
      <c r="E102" s="19"/>
      <c r="F102" s="19"/>
      <c r="G102" s="19"/>
      <c r="H102" s="19"/>
      <c r="I102" s="19">
        <f t="shared" si="8"/>
        <v>5179.94</v>
      </c>
    </row>
    <row r="103" customHeight="1" spans="1:34">
      <c r="A103" s="108" t="s">
        <v>407</v>
      </c>
      <c r="B103" s="146"/>
      <c r="C103" s="19"/>
      <c r="D103" s="19"/>
      <c r="E103" s="19"/>
      <c r="F103" s="19"/>
      <c r="G103" s="19"/>
      <c r="H103" s="19"/>
      <c r="I103" s="19">
        <f t="shared" si="8"/>
        <v>0</v>
      </c>
    </row>
    <row r="104" customHeight="1" spans="1:34">
      <c r="A104" s="108" t="s">
        <v>408</v>
      </c>
      <c r="B104" s="146"/>
      <c r="C104" s="19"/>
      <c r="D104" s="19"/>
      <c r="E104" s="19"/>
      <c r="F104" s="19"/>
      <c r="G104" s="19"/>
      <c r="H104" s="19"/>
      <c r="I104" s="19">
        <f t="shared" si="8"/>
        <v>0</v>
      </c>
    </row>
    <row r="107" ht="29.1" customHeight="1" spans="1:34">
      <c r="A107" s="109" t="s">
        <v>409</v>
      </c>
    </row>
    <row r="108" customHeight="1" spans="1:34">
      <c r="A108" s="91" t="s">
        <v>2</v>
      </c>
      <c r="B108" s="16" t="s">
        <v>410</v>
      </c>
      <c r="C108" s="34" t="s">
        <v>411</v>
      </c>
      <c r="D108" s="34" t="s">
        <v>412</v>
      </c>
      <c r="E108" s="34" t="s">
        <v>413</v>
      </c>
      <c r="F108" s="34" t="s">
        <v>414</v>
      </c>
      <c r="G108" s="34" t="s">
        <v>415</v>
      </c>
      <c r="H108" s="34" t="s">
        <v>416</v>
      </c>
      <c r="I108" s="34" t="s">
        <v>417</v>
      </c>
      <c r="J108" s="34" t="s">
        <v>418</v>
      </c>
      <c r="K108" s="34" t="s">
        <v>419</v>
      </c>
      <c r="L108" s="34" t="s">
        <v>420</v>
      </c>
      <c r="M108" s="34" t="s">
        <v>421</v>
      </c>
      <c r="N108" s="34" t="s">
        <v>422</v>
      </c>
      <c r="O108" s="34" t="s">
        <v>423</v>
      </c>
      <c r="P108" s="92" t="s">
        <v>424</v>
      </c>
      <c r="Q108" s="92" t="s">
        <v>425</v>
      </c>
      <c r="R108" s="92" t="s">
        <v>426</v>
      </c>
      <c r="V108" s="7"/>
      <c r="AH108" s="1"/>
    </row>
    <row r="109" customHeight="1" spans="1:34">
      <c r="A109" s="93" t="str">
        <f>M4</f>
        <v>攀枝花小沙坝污水处理厂改扩建工程勘察-设计-采购-施工总承包合同</v>
      </c>
      <c r="B109" s="147">
        <v>665320</v>
      </c>
      <c r="C109" s="94"/>
      <c r="D109" s="94"/>
      <c r="E109" s="94"/>
      <c r="F109" s="18"/>
      <c r="G109" s="94">
        <v>139020.43</v>
      </c>
      <c r="H109" s="94">
        <v>1307339.13</v>
      </c>
      <c r="I109" s="94"/>
      <c r="J109" s="94"/>
      <c r="K109" s="94">
        <v>37659.62</v>
      </c>
      <c r="L109" s="94">
        <v>62281272.23</v>
      </c>
      <c r="M109" s="94">
        <v>8074168.16</v>
      </c>
      <c r="N109" s="94">
        <v>36052682.85</v>
      </c>
      <c r="O109" s="94">
        <v>32197657.8</v>
      </c>
      <c r="P109" s="94">
        <v>70751452.57</v>
      </c>
      <c r="Q109" s="18"/>
      <c r="R109" s="18"/>
      <c r="V109" s="7"/>
      <c r="AH109" s="1"/>
    </row>
    <row r="111" hidden="1" customHeight="1"/>
    <row r="112" customFormat="1" customHeight="1" spans="1:34">
      <c r="A112" s="109" t="s">
        <v>427</v>
      </c>
      <c r="B112" s="1"/>
      <c r="C112" s="7"/>
      <c r="D112" s="7"/>
      <c r="E112" s="7"/>
      <c r="F112" s="7"/>
      <c r="G112" s="7"/>
      <c r="H112" s="7"/>
      <c r="V112" s="149"/>
      <c r="W112" s="149"/>
      <c r="X112" s="149"/>
      <c r="Y112" s="149"/>
      <c r="Z112" s="149"/>
      <c r="AA112" s="166"/>
      <c r="AB112" s="149"/>
      <c r="AC112" s="149"/>
      <c r="AD112" s="149"/>
      <c r="AE112" s="149"/>
      <c r="AF112" s="149"/>
      <c r="AG112" s="149"/>
    </row>
    <row r="113" s="6" customFormat="1" ht="27" customHeight="1" spans="1:33">
      <c r="A113" s="95" t="s">
        <v>428</v>
      </c>
      <c r="B113" s="95"/>
      <c r="C113" s="95"/>
      <c r="D113" s="95"/>
      <c r="E113" s="95"/>
      <c r="F113" s="95"/>
      <c r="G113" s="95"/>
      <c r="H113" s="95"/>
      <c r="V113" s="150"/>
      <c r="W113" s="150"/>
      <c r="X113" s="150"/>
      <c r="Y113" s="150"/>
      <c r="Z113" s="150"/>
      <c r="AA113" s="167"/>
      <c r="AB113" s="150"/>
      <c r="AC113" s="150"/>
      <c r="AD113" s="150"/>
      <c r="AE113" s="150"/>
      <c r="AF113" s="150"/>
      <c r="AG113" s="150"/>
    </row>
    <row r="114" s="6" customFormat="1" ht="31.5" customHeight="1" spans="1:33">
      <c r="A114" s="95"/>
      <c r="B114" s="95"/>
      <c r="C114" s="95"/>
      <c r="D114" s="95"/>
      <c r="E114" s="95"/>
      <c r="F114" s="95"/>
      <c r="G114" s="95"/>
      <c r="H114" s="95"/>
      <c r="V114" s="150"/>
      <c r="W114" s="150"/>
      <c r="X114" s="150"/>
      <c r="Y114" s="150"/>
      <c r="Z114" s="150"/>
      <c r="AA114" s="167"/>
      <c r="AB114" s="150"/>
      <c r="AC114" s="150"/>
      <c r="AD114" s="150"/>
      <c r="AE114" s="150"/>
      <c r="AF114" s="150"/>
      <c r="AG114" s="150"/>
    </row>
    <row r="115" s="6" customFormat="1" ht="45" customHeight="1" spans="1:33">
      <c r="A115" s="96" t="str">
        <f>L4</f>
        <v>中铁二院攀枝花小沙坝污水处理厂改扩建EPC项目部</v>
      </c>
      <c r="B115" s="96"/>
      <c r="C115" s="96"/>
      <c r="H115" s="97" t="s">
        <v>429</v>
      </c>
      <c r="V115" s="150"/>
      <c r="W115" s="150"/>
      <c r="X115" s="150"/>
      <c r="Y115" s="150"/>
      <c r="Z115" s="150"/>
      <c r="AA115" s="167"/>
      <c r="AB115" s="150"/>
      <c r="AC115" s="150"/>
      <c r="AD115" s="150"/>
      <c r="AE115" s="150"/>
      <c r="AF115" s="150"/>
      <c r="AG115" s="150"/>
    </row>
    <row r="116" s="6" customFormat="1" ht="24" customHeight="1" spans="1:33">
      <c r="A116" s="151" t="s">
        <v>430</v>
      </c>
      <c r="B116" s="151" t="s">
        <v>431</v>
      </c>
      <c r="C116" s="98" t="s">
        <v>432</v>
      </c>
      <c r="D116" s="98" t="s">
        <v>433</v>
      </c>
      <c r="E116" s="98" t="s">
        <v>434</v>
      </c>
      <c r="F116" s="98" t="s">
        <v>435</v>
      </c>
      <c r="G116" s="98" t="s">
        <v>436</v>
      </c>
      <c r="H116" s="98" t="s">
        <v>437</v>
      </c>
      <c r="K116" s="99"/>
      <c r="V116" s="150"/>
      <c r="W116" s="150"/>
      <c r="X116" s="150"/>
      <c r="Y116" s="150"/>
      <c r="Z116" s="150"/>
      <c r="AA116" s="167"/>
      <c r="AB116" s="150"/>
      <c r="AC116" s="150"/>
      <c r="AD116" s="150"/>
      <c r="AE116" s="150"/>
      <c r="AF116" s="150"/>
      <c r="AG116" s="150"/>
    </row>
    <row r="117" s="6" customFormat="1" ht="24" customHeight="1" spans="1:33">
      <c r="A117" s="152">
        <v>1</v>
      </c>
      <c r="B117" s="151" t="s">
        <v>81</v>
      </c>
      <c r="C117" s="101"/>
      <c r="D117" s="101"/>
      <c r="E117" s="101"/>
      <c r="F117" s="101"/>
      <c r="G117" s="101"/>
      <c r="H117" s="102">
        <f>V13</f>
        <v>45979853.2110092</v>
      </c>
      <c r="K117" s="99"/>
      <c r="V117" s="150"/>
      <c r="W117" s="150"/>
      <c r="X117" s="150"/>
      <c r="Y117" s="150"/>
      <c r="Z117" s="150"/>
      <c r="AA117" s="167"/>
      <c r="AB117" s="150"/>
      <c r="AC117" s="150"/>
      <c r="AD117" s="150"/>
      <c r="AE117" s="150"/>
      <c r="AF117" s="150"/>
      <c r="AG117" s="150"/>
    </row>
    <row r="118" s="6" customFormat="1" ht="24" customHeight="1" spans="1:33">
      <c r="A118" s="152">
        <v>2</v>
      </c>
      <c r="B118" s="151" t="s">
        <v>82</v>
      </c>
      <c r="C118" s="101"/>
      <c r="D118" s="101"/>
      <c r="E118" s="101"/>
      <c r="F118" s="101"/>
      <c r="G118" s="101"/>
      <c r="H118" s="102">
        <f>W13</f>
        <v>45060256.146789</v>
      </c>
      <c r="K118" s="99"/>
      <c r="V118" s="150"/>
      <c r="W118" s="150"/>
      <c r="X118" s="150"/>
      <c r="Y118" s="150"/>
      <c r="Z118" s="150"/>
      <c r="AA118" s="167"/>
      <c r="AB118" s="150"/>
      <c r="AC118" s="150"/>
      <c r="AD118" s="150"/>
      <c r="AE118" s="150"/>
      <c r="AF118" s="150"/>
      <c r="AG118" s="150"/>
    </row>
    <row r="119" s="6" customFormat="1" ht="24" customHeight="1" spans="1:33">
      <c r="A119" s="152">
        <v>3</v>
      </c>
      <c r="B119" s="151" t="s">
        <v>438</v>
      </c>
      <c r="C119" s="101"/>
      <c r="D119" s="101"/>
      <c r="E119" s="101"/>
      <c r="F119" s="101"/>
      <c r="G119" s="101"/>
      <c r="H119" s="103">
        <f>H117-H118</f>
        <v>919597.06422019</v>
      </c>
      <c r="V119" s="150"/>
      <c r="W119" s="150"/>
      <c r="X119" s="150"/>
      <c r="Y119" s="150"/>
      <c r="Z119" s="150"/>
      <c r="AA119" s="167"/>
      <c r="AB119" s="150"/>
      <c r="AC119" s="150"/>
      <c r="AD119" s="150"/>
      <c r="AE119" s="150"/>
      <c r="AF119" s="150"/>
      <c r="AG119" s="150"/>
    </row>
    <row r="120" s="6" customFormat="1" ht="24" customHeight="1" spans="1:33">
      <c r="A120" s="152">
        <v>4</v>
      </c>
      <c r="B120" s="151" t="s">
        <v>439</v>
      </c>
      <c r="C120" s="102"/>
      <c r="D120" s="102">
        <v>0</v>
      </c>
      <c r="E120" s="102"/>
      <c r="F120" s="102"/>
      <c r="G120" s="102"/>
      <c r="H120" s="104">
        <f>C120+D120+E120+F120+G120</f>
        <v>0</v>
      </c>
      <c r="K120" s="105"/>
      <c r="V120" s="150"/>
      <c r="W120" s="150"/>
      <c r="X120" s="150"/>
      <c r="Y120" s="150"/>
      <c r="Z120" s="150"/>
      <c r="AA120" s="167"/>
      <c r="AB120" s="150"/>
      <c r="AC120" s="150"/>
      <c r="AD120" s="150"/>
      <c r="AE120" s="150"/>
      <c r="AF120" s="150"/>
      <c r="AG120" s="150"/>
    </row>
    <row r="121" s="6" customFormat="1" ht="24" customHeight="1" spans="1:33">
      <c r="A121" s="152">
        <v>5</v>
      </c>
      <c r="B121" s="151" t="s">
        <v>440</v>
      </c>
      <c r="C121" s="102"/>
      <c r="D121" s="104">
        <v>0</v>
      </c>
      <c r="E121" s="104"/>
      <c r="F121" s="104"/>
      <c r="G121" s="104"/>
      <c r="H121" s="104">
        <f>C121+D121+E121+F121+G121</f>
        <v>0</v>
      </c>
      <c r="V121" s="150"/>
      <c r="W121" s="150"/>
      <c r="X121" s="150"/>
      <c r="Y121" s="150"/>
      <c r="Z121" s="150"/>
      <c r="AA121" s="167"/>
      <c r="AB121" s="150"/>
      <c r="AC121" s="150"/>
      <c r="AD121" s="150"/>
      <c r="AE121" s="150"/>
      <c r="AF121" s="150"/>
      <c r="AG121" s="150"/>
    </row>
    <row r="122" s="6" customFormat="1" ht="24" customHeight="1" spans="1:33">
      <c r="A122" s="152">
        <v>6</v>
      </c>
      <c r="B122" s="155" t="s">
        <v>441</v>
      </c>
      <c r="C122" s="106">
        <f>ROUND(C120/H118,10)</f>
        <v>0</v>
      </c>
      <c r="D122" s="106">
        <f>ROUND((C120+D120)/H118,10)</f>
        <v>0</v>
      </c>
      <c r="E122" s="106">
        <f>ROUND((C120+D120+E120)/H118,10)</f>
        <v>0</v>
      </c>
      <c r="F122" s="106">
        <f>ROUND((C120+D120+E120+F120)/H118,10)</f>
        <v>0</v>
      </c>
      <c r="G122" s="106">
        <f>ROUND((C120+D120+E120+F120+G120)/H118,10)</f>
        <v>0</v>
      </c>
      <c r="H122" s="104"/>
      <c r="V122" s="150"/>
      <c r="W122" s="150"/>
      <c r="X122" s="150"/>
      <c r="Y122" s="150"/>
      <c r="Z122" s="150"/>
      <c r="AA122" s="167"/>
      <c r="AB122" s="150"/>
      <c r="AC122" s="150"/>
      <c r="AD122" s="150"/>
      <c r="AE122" s="150"/>
      <c r="AF122" s="150"/>
      <c r="AG122" s="150"/>
    </row>
    <row r="123" s="6" customFormat="1" ht="24" customHeight="1" spans="1:33">
      <c r="A123" s="152">
        <v>7</v>
      </c>
      <c r="B123" s="155" t="s">
        <v>442</v>
      </c>
      <c r="C123" s="104">
        <f t="shared" ref="C123:G123" si="9">C121-C120</f>
        <v>0</v>
      </c>
      <c r="D123" s="104">
        <f t="shared" si="9"/>
        <v>0</v>
      </c>
      <c r="E123" s="104">
        <f t="shared" si="9"/>
        <v>0</v>
      </c>
      <c r="F123" s="104">
        <f t="shared" si="9"/>
        <v>0</v>
      </c>
      <c r="G123" s="104">
        <f t="shared" si="9"/>
        <v>0</v>
      </c>
      <c r="H123" s="104"/>
      <c r="V123" s="150"/>
      <c r="W123" s="150"/>
      <c r="X123" s="150"/>
      <c r="Y123" s="150"/>
      <c r="Z123" s="150"/>
      <c r="AA123" s="167"/>
      <c r="AB123" s="150"/>
      <c r="AC123" s="150"/>
      <c r="AD123" s="150"/>
      <c r="AE123" s="150"/>
      <c r="AF123" s="150"/>
      <c r="AG123" s="150"/>
    </row>
    <row r="124" s="6" customFormat="1" ht="24" customHeight="1" spans="1:33">
      <c r="A124" s="152">
        <v>8</v>
      </c>
      <c r="B124" s="155" t="s">
        <v>443</v>
      </c>
      <c r="C124" s="104">
        <f>C121-C120</f>
        <v>0</v>
      </c>
      <c r="D124" s="104">
        <f>C123+D123</f>
        <v>0</v>
      </c>
      <c r="E124" s="104">
        <f>C123+D123+E123</f>
        <v>0</v>
      </c>
      <c r="F124" s="104">
        <f>C123+D123+E123+F123</f>
        <v>0</v>
      </c>
      <c r="G124" s="104">
        <f>C123+D123+E123+F123+G123</f>
        <v>0</v>
      </c>
      <c r="H124" s="104"/>
      <c r="V124" s="150"/>
      <c r="W124" s="150"/>
      <c r="X124" s="150"/>
      <c r="Y124" s="150"/>
      <c r="Z124" s="150"/>
      <c r="AA124" s="167"/>
      <c r="AB124" s="150"/>
      <c r="AC124" s="150"/>
      <c r="AD124" s="150"/>
      <c r="AE124" s="150"/>
      <c r="AF124" s="150"/>
      <c r="AG124" s="150"/>
    </row>
    <row r="125" s="6" customFormat="1" ht="25.7" customHeight="1" spans="1:33">
      <c r="A125" s="150"/>
      <c r="B125" s="150"/>
      <c r="V125" s="150"/>
      <c r="W125" s="150"/>
      <c r="X125" s="150"/>
      <c r="Y125" s="150"/>
      <c r="Z125" s="150"/>
      <c r="AA125" s="167"/>
      <c r="AB125" s="150"/>
      <c r="AC125" s="150"/>
      <c r="AD125" s="150"/>
      <c r="AE125" s="150"/>
      <c r="AF125" s="150"/>
      <c r="AG125" s="150"/>
    </row>
    <row r="126" s="6" customFormat="1" ht="25.7" customHeight="1" spans="1:33">
      <c r="A126" s="150"/>
      <c r="B126" s="157" t="s">
        <v>444</v>
      </c>
      <c r="C126" s="97"/>
      <c r="D126" s="97"/>
      <c r="E126" s="97"/>
      <c r="F126" s="97"/>
      <c r="G126" s="97" t="s">
        <v>445</v>
      </c>
      <c r="H126" s="97"/>
      <c r="V126" s="150"/>
      <c r="W126" s="150"/>
      <c r="X126" s="150"/>
      <c r="Y126" s="150"/>
      <c r="Z126" s="150"/>
      <c r="AA126" s="167"/>
      <c r="AB126" s="150"/>
      <c r="AC126" s="150"/>
      <c r="AD126" s="150"/>
      <c r="AE126" s="150"/>
      <c r="AF126" s="150"/>
      <c r="AG126" s="150"/>
    </row>
    <row r="128" customHeight="1" spans="1:33">
      <c r="A128" s="109" t="s">
        <v>446</v>
      </c>
    </row>
    <row r="129" customHeight="1" spans="1:7">
      <c r="A129" s="9" t="s">
        <v>98</v>
      </c>
      <c r="B129" s="9" t="s">
        <v>99</v>
      </c>
      <c r="C129" s="9" t="s">
        <v>100</v>
      </c>
      <c r="D129" s="9" t="s">
        <v>101</v>
      </c>
      <c r="E129" s="9" t="s">
        <v>447</v>
      </c>
      <c r="F129" s="9" t="s">
        <v>103</v>
      </c>
      <c r="G129" s="9" t="s">
        <v>104</v>
      </c>
    </row>
    <row r="130" ht="30" customHeight="1" spans="1:7">
      <c r="A130" s="107">
        <f>G13-T13-B109+C109-E109-F109-Q109-D109</f>
        <v>0</v>
      </c>
      <c r="B130" s="107">
        <f>H19-X19-K109+Q109</f>
        <v>0.0100000036109122</v>
      </c>
      <c r="C130" s="107">
        <f>SUMIFS($G$53:$G$78,$D$53:$D$78,C12)/H118*H117-O13</f>
        <v>-3678845.17653061</v>
      </c>
      <c r="D130" s="107">
        <f>G14+G15-T14-T15-G109+H109-I109-J109+R109</f>
        <v>4.42378222942352e-9</v>
      </c>
      <c r="E130" s="107">
        <f>C13*(1-K4)-C14-C15</f>
        <v>-188195.350000009</v>
      </c>
      <c r="F130" s="107">
        <f>(SUMIFS($V$22:$V$48,$R$22:$R$48,C12)-SUMIFS($R$53:$R$78,$N$53:$N$78,C12))/1.09*0.02-D95</f>
        <v>0.0112844036430033</v>
      </c>
      <c r="G130" s="107">
        <f>B109-C109+N109-O109</f>
        <v>4520345.05</v>
      </c>
    </row>
    <row r="131" ht="32.1" customHeight="1" spans="1:7">
      <c r="A131" s="108" t="s">
        <v>67</v>
      </c>
      <c r="B131" s="108" t="s">
        <v>67</v>
      </c>
      <c r="C131" s="18" t="s">
        <v>67</v>
      </c>
      <c r="D131" s="18" t="s">
        <v>67</v>
      </c>
      <c r="E131" s="108" t="s">
        <v>68</v>
      </c>
      <c r="F131" s="18" t="s">
        <v>67</v>
      </c>
      <c r="G131" s="108" t="s">
        <v>69</v>
      </c>
    </row>
    <row r="132" customHeight="1" spans="1:7">
      <c r="C132" s="7">
        <f>(G55)/W13*V13</f>
        <v>32243694.622449</v>
      </c>
    </row>
    <row r="133" customHeight="1" spans="1:7">
      <c r="C133" s="7">
        <f>C132-SUM(O23,O26)</f>
        <v>-3664056.18755102</v>
      </c>
    </row>
    <row r="134" customHeight="1" spans="1:7">
      <c r="C134" s="7">
        <f>C130-C133</f>
        <v>-14788.9889795929</v>
      </c>
    </row>
    <row r="138" customHeight="1" spans="1:7">
      <c r="C138" s="7">
        <v>-3678845.18</v>
      </c>
    </row>
  </sheetData>
  <autoFilter xmlns:etc="http://www.wps.cn/officeDocument/2017/etCustomData" ref="A52:AG67" etc:filterBottomFollowUsedRange="0">
    <extLst/>
  </autoFilter>
  <mergeCells count="70">
    <mergeCell ref="E2:J2"/>
    <mergeCell ref="B11:G11"/>
    <mergeCell ref="H11:M11"/>
    <mergeCell ref="N11:S11"/>
    <mergeCell ref="A20:K20"/>
    <mergeCell ref="L20:O20"/>
    <mergeCell ref="P20:Y20"/>
    <mergeCell ref="Z20:AG20"/>
    <mergeCell ref="A51:K51"/>
    <mergeCell ref="L51:U51"/>
    <mergeCell ref="V51:AC51"/>
    <mergeCell ref="A115:C115"/>
    <mergeCell ref="A2:A3"/>
    <mergeCell ref="A11:A12"/>
    <mergeCell ref="B2:B3"/>
    <mergeCell ref="C2:C3"/>
    <mergeCell ref="D2:D3"/>
    <mergeCell ref="K2:K3"/>
    <mergeCell ref="K4:K8"/>
    <mergeCell ref="L2:L3"/>
    <mergeCell ref="L4:L8"/>
    <mergeCell ref="M2:M3"/>
    <mergeCell ref="M4:M8"/>
    <mergeCell ref="N2:N3"/>
    <mergeCell ref="N4:N8"/>
    <mergeCell ref="O2:O3"/>
    <mergeCell ref="O4:O8"/>
    <mergeCell ref="P2:P3"/>
    <mergeCell ref="P4:P8"/>
    <mergeCell ref="Q2:Q3"/>
    <mergeCell ref="Q4:Q8"/>
    <mergeCell ref="R2:R3"/>
    <mergeCell ref="R4:R8"/>
    <mergeCell ref="S2:S3"/>
    <mergeCell ref="S4:S8"/>
    <mergeCell ref="T2:T3"/>
    <mergeCell ref="T4:T8"/>
    <mergeCell ref="T11:T12"/>
    <mergeCell ref="U2:U3"/>
    <mergeCell ref="U4:U8"/>
    <mergeCell ref="U11:U12"/>
    <mergeCell ref="U13:U15"/>
    <mergeCell ref="V2:V3"/>
    <mergeCell ref="V4:V8"/>
    <mergeCell ref="V11:V12"/>
    <mergeCell ref="V13:V15"/>
    <mergeCell ref="W2:W3"/>
    <mergeCell ref="W4:W8"/>
    <mergeCell ref="W11:W12"/>
    <mergeCell ref="W13:W15"/>
    <mergeCell ref="X2:X3"/>
    <mergeCell ref="X4:X8"/>
    <mergeCell ref="Y2:Y3"/>
    <mergeCell ref="Y4:Y8"/>
    <mergeCell ref="Z2:Z3"/>
    <mergeCell ref="Z4:Z8"/>
    <mergeCell ref="AA2:AA3"/>
    <mergeCell ref="AA4:AA8"/>
    <mergeCell ref="AB2:AB3"/>
    <mergeCell ref="AB4:AB8"/>
    <mergeCell ref="AC2:AC3"/>
    <mergeCell ref="AD2:AD3"/>
    <mergeCell ref="AE2:AE3"/>
    <mergeCell ref="AF2:AF3"/>
    <mergeCell ref="AG2:AG3"/>
    <mergeCell ref="AH2:AH3"/>
    <mergeCell ref="AI2:AI3"/>
    <mergeCell ref="AJ2:AJ3"/>
    <mergeCell ref="AJ4:AJ8"/>
    <mergeCell ref="A113:H114"/>
  </mergeCells>
  <dataValidations count="7">
    <dataValidation type="list" allowBlank="1" showInputMessage="1" showErrorMessage="1" sqref="N48 R48 R78 A22:A47 A61:A77 D53:D77 N53:N78 AB53:AB67">
      <formula1>"勘察设计,工程施工,设备采购,服务费,其他"</formula1>
    </dataValidation>
    <dataValidation type="list" allowBlank="1" showInputMessage="1" showErrorMessage="1" sqref="D22:D47">
      <formula1>"勘察设计,工程施工,设备采购,业主承担管理费,服务费"</formula1>
    </dataValidation>
    <dataValidation type="list" allowBlank="1" showInputMessage="1" showErrorMessage="1" sqref="F22:F47 F53:F60">
      <formula1>"6%,9%,13%"</formula1>
    </dataValidation>
    <dataValidation type="list" allowBlank="1" showInputMessage="1" showErrorMessage="1" sqref="N25:N47 R22:R47 AF22:AF47">
      <formula1>"勘察设计,工程施工,设备采购,业主承担管理费,服务费,其他"</formula1>
    </dataValidation>
    <dataValidation type="list" allowBlank="1" showInputMessage="1" showErrorMessage="1" sqref="V4:V8">
      <formula1>"铁路,公路,市政,房建,地铁、轻轨,其他基建"</formula1>
    </dataValidation>
    <dataValidation type="list" allowBlank="1" showInputMessage="1" showErrorMessage="1" sqref="X4:X7">
      <formula1>"竣工未决算,在建,收尾,竣工已决算,停缓建"</formula1>
    </dataValidation>
    <dataValidation type="list" allowBlank="1" showInputMessage="1" showErrorMessage="1" sqref="X53:X77 AB22:AB43">
      <formula1>"专户,集团户"</formula1>
    </dataValidation>
  </dataValidations>
  <pageMargins left="0.75" right="0.75" top="1" bottom="1" header="0.5" footer="0.5"/>
  <pageSetup paperSize="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36"/>
  <sheetViews>
    <sheetView zoomScale="85" zoomScaleNormal="85" topLeftCell="I11" workbookViewId="0">
      <selection activeCell="Q31" sqref="Q31"/>
    </sheetView>
  </sheetViews>
  <sheetFormatPr defaultColWidth="14.25" defaultRowHeight="21.95" customHeight="1"/>
  <cols>
    <col min="1" max="1" width="36.25" style="1" customWidth="1"/>
    <col min="2" max="2" width="32.6333333333333" style="1" customWidth="1"/>
    <col min="3" max="3" width="23.75" style="1" customWidth="1"/>
    <col min="4" max="4" width="17.1333333333333" style="7" customWidth="1"/>
    <col min="5" max="5" width="20.25" style="7" customWidth="1"/>
    <col min="6" max="6" width="17.6333333333333" style="7" customWidth="1"/>
    <col min="7" max="7" width="20.3833333333333" style="7" customWidth="1"/>
    <col min="8" max="8" width="20.6333333333333" style="7" customWidth="1"/>
    <col min="9" max="9" width="20.5" style="7" customWidth="1"/>
    <col min="10" max="10" width="18.3833333333333" style="7" customWidth="1"/>
    <col min="11" max="11" width="18.5" style="7" customWidth="1"/>
    <col min="12" max="12" width="44.1333333333333" style="7" customWidth="1"/>
    <col min="13" max="13" width="22.75" style="7" customWidth="1"/>
    <col min="14" max="14" width="21" style="7" customWidth="1"/>
    <col min="15" max="15" width="19" style="7" customWidth="1"/>
    <col min="16" max="16" width="27" style="7" customWidth="1"/>
    <col min="17" max="17" width="20.75" style="7" customWidth="1"/>
    <col min="18" max="18" width="17.25" style="7" customWidth="1"/>
    <col min="19" max="19" width="17.75" style="7" customWidth="1"/>
    <col min="20" max="20" width="23.8833333333333" style="7" customWidth="1"/>
    <col min="21" max="21" width="17.25" style="7" customWidth="1"/>
    <col min="22" max="22" width="44.1333333333333" style="7" customWidth="1"/>
    <col min="23" max="23" width="19.8833333333333" style="7" customWidth="1"/>
    <col min="24" max="24" width="16.8833333333333" style="7" customWidth="1"/>
    <col min="25" max="25" width="14.25" style="7" customWidth="1"/>
    <col min="26" max="26" width="19.25" style="1" customWidth="1"/>
    <col min="27" max="27" width="23.5" style="1" customWidth="1"/>
    <col min="28" max="29" width="14.25" style="1" customWidth="1"/>
    <col min="30" max="30" width="17.1333333333333" style="1" customWidth="1"/>
    <col min="31" max="31" width="17.25" style="1" customWidth="1"/>
    <col min="32" max="33" width="14.25" style="1" customWidth="1"/>
    <col min="34" max="34" width="18.6833333333333" style="7" customWidth="1"/>
    <col min="35" max="16381" width="14.25" style="7" customWidth="1"/>
    <col min="16382" max="16384" width="14.25" style="7"/>
  </cols>
  <sheetData>
    <row r="1" customHeight="1" spans="1:36">
      <c r="A1" s="109" t="s">
        <v>0</v>
      </c>
    </row>
    <row r="2" customHeight="1" spans="1:36">
      <c r="A2" s="9" t="s">
        <v>291</v>
      </c>
      <c r="B2" s="9" t="s">
        <v>292</v>
      </c>
      <c r="C2" s="9" t="s">
        <v>293</v>
      </c>
      <c r="D2" s="10" t="s">
        <v>294</v>
      </c>
      <c r="E2" s="11" t="s">
        <v>295</v>
      </c>
      <c r="F2" s="12"/>
      <c r="G2" s="12"/>
      <c r="H2" s="12"/>
      <c r="I2" s="12"/>
      <c r="J2" s="13"/>
      <c r="K2" s="9" t="s">
        <v>9</v>
      </c>
      <c r="L2" s="9" t="s">
        <v>1</v>
      </c>
      <c r="M2" s="9" t="s">
        <v>296</v>
      </c>
      <c r="N2" s="9" t="s">
        <v>10</v>
      </c>
      <c r="O2" s="9" t="s">
        <v>11</v>
      </c>
      <c r="P2" s="9" t="s">
        <v>297</v>
      </c>
      <c r="Q2" s="9" t="s">
        <v>298</v>
      </c>
      <c r="R2" s="9" t="s">
        <v>299</v>
      </c>
      <c r="S2" s="9" t="s">
        <v>12</v>
      </c>
      <c r="T2" s="9" t="s">
        <v>13</v>
      </c>
      <c r="U2" s="9" t="s">
        <v>14</v>
      </c>
      <c r="V2" s="9" t="s">
        <v>15</v>
      </c>
      <c r="W2" s="9" t="s">
        <v>16</v>
      </c>
      <c r="X2" s="9" t="s">
        <v>17</v>
      </c>
      <c r="Y2" s="9" t="s">
        <v>300</v>
      </c>
      <c r="Z2" s="9" t="s">
        <v>301</v>
      </c>
      <c r="AA2" s="9" t="s">
        <v>302</v>
      </c>
      <c r="AB2" s="9" t="s">
        <v>303</v>
      </c>
      <c r="AC2" s="9" t="s">
        <v>304</v>
      </c>
      <c r="AD2" s="9" t="s">
        <v>305</v>
      </c>
      <c r="AE2" s="9" t="s">
        <v>304</v>
      </c>
      <c r="AF2" s="9" t="s">
        <v>306</v>
      </c>
      <c r="AG2" s="9" t="s">
        <v>307</v>
      </c>
      <c r="AH2" s="9" t="s">
        <v>308</v>
      </c>
      <c r="AI2" s="9" t="s">
        <v>309</v>
      </c>
      <c r="AJ2" s="9" t="s">
        <v>310</v>
      </c>
    </row>
    <row r="3" customHeight="1" spans="1:36">
      <c r="A3" s="14"/>
      <c r="B3" s="14"/>
      <c r="C3" s="14"/>
      <c r="D3" s="15"/>
      <c r="E3" s="16" t="s">
        <v>311</v>
      </c>
      <c r="F3" s="16" t="s">
        <v>312</v>
      </c>
      <c r="G3" s="16" t="s">
        <v>313</v>
      </c>
      <c r="H3" s="16" t="s">
        <v>314</v>
      </c>
      <c r="I3" s="16" t="s">
        <v>315</v>
      </c>
      <c r="J3" s="16" t="s">
        <v>92</v>
      </c>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ht="43.5" customHeight="1" spans="1:36">
      <c r="A4" s="110" t="s">
        <v>448</v>
      </c>
      <c r="B4" s="110" t="s">
        <v>474</v>
      </c>
      <c r="C4" s="110" t="s">
        <v>475</v>
      </c>
      <c r="D4" s="18" t="s">
        <v>319</v>
      </c>
      <c r="E4" s="19">
        <v>3010000</v>
      </c>
      <c r="F4" s="19">
        <f>60280000-G4</f>
        <v>34064400</v>
      </c>
      <c r="G4" s="19">
        <v>26215600</v>
      </c>
      <c r="H4" s="19"/>
      <c r="I4" s="19"/>
      <c r="J4" s="19">
        <f t="shared" ref="J4:J8" si="0">SUM(E4:I4)</f>
        <v>63290000</v>
      </c>
      <c r="K4" s="20">
        <f>(F4-F5)/F4</f>
        <v>0.022</v>
      </c>
      <c r="L4" s="21" t="s">
        <v>476</v>
      </c>
      <c r="M4" s="21" t="s">
        <v>207</v>
      </c>
      <c r="N4" s="22" t="s">
        <v>322</v>
      </c>
      <c r="O4" s="22" t="s">
        <v>322</v>
      </c>
      <c r="P4" s="22"/>
      <c r="Q4" s="22"/>
      <c r="R4" s="22"/>
      <c r="S4" s="22"/>
      <c r="T4" s="22"/>
      <c r="U4" s="22"/>
      <c r="V4" s="22" t="s">
        <v>323</v>
      </c>
      <c r="W4" s="22" t="s">
        <v>451</v>
      </c>
      <c r="X4" s="23" t="s">
        <v>452</v>
      </c>
      <c r="Y4" s="24">
        <v>0.9</v>
      </c>
      <c r="Z4" s="111">
        <v>0.8</v>
      </c>
      <c r="AA4" s="21"/>
      <c r="AB4" s="21"/>
      <c r="AC4" s="110"/>
      <c r="AD4" s="110"/>
      <c r="AE4" s="110"/>
      <c r="AF4" s="110"/>
      <c r="AG4" s="110"/>
      <c r="AH4" s="17"/>
      <c r="AI4" s="17"/>
      <c r="AJ4" s="22"/>
    </row>
    <row r="5" ht="43.5" customHeight="1" spans="1:36">
      <c r="A5" s="110" t="s">
        <v>453</v>
      </c>
      <c r="B5" s="110" t="s">
        <v>477</v>
      </c>
      <c r="C5" s="110" t="s">
        <v>478</v>
      </c>
      <c r="D5" s="18" t="s">
        <v>328</v>
      </c>
      <c r="E5" s="19"/>
      <c r="F5" s="19">
        <f>F4*0.978</f>
        <v>33314983.2</v>
      </c>
      <c r="G5" s="19"/>
      <c r="H5" s="19"/>
      <c r="I5" s="19"/>
      <c r="J5" s="19">
        <f t="shared" si="0"/>
        <v>33314983.2</v>
      </c>
      <c r="K5" s="25"/>
      <c r="L5" s="26"/>
      <c r="M5" s="26"/>
      <c r="N5" s="27"/>
      <c r="O5" s="27"/>
      <c r="P5" s="27"/>
      <c r="Q5" s="27"/>
      <c r="R5" s="27"/>
      <c r="S5" s="27"/>
      <c r="T5" s="27"/>
      <c r="U5" s="27"/>
      <c r="V5" s="27"/>
      <c r="W5" s="27"/>
      <c r="X5" s="28"/>
      <c r="Y5" s="27"/>
      <c r="Z5" s="26"/>
      <c r="AA5" s="26"/>
      <c r="AB5" s="26"/>
      <c r="AC5" s="110"/>
      <c r="AD5" s="110"/>
      <c r="AE5" s="110"/>
      <c r="AF5" s="110"/>
      <c r="AG5" s="110"/>
      <c r="AH5" s="17"/>
      <c r="AI5" s="17"/>
      <c r="AJ5" s="27"/>
    </row>
    <row r="6" ht="43.5" customHeight="1" spans="1:36">
      <c r="A6" s="110" t="s">
        <v>456</v>
      </c>
      <c r="B6" s="110" t="s">
        <v>479</v>
      </c>
      <c r="C6" s="110" t="s">
        <v>480</v>
      </c>
      <c r="D6" s="18" t="s">
        <v>328</v>
      </c>
      <c r="E6" s="19">
        <v>490000</v>
      </c>
      <c r="F6" s="19"/>
      <c r="G6" s="19"/>
      <c r="H6" s="19"/>
      <c r="I6" s="19"/>
      <c r="J6" s="19">
        <f>E6</f>
        <v>490000</v>
      </c>
      <c r="K6" s="25"/>
      <c r="L6" s="26"/>
      <c r="M6" s="26"/>
      <c r="N6" s="27"/>
      <c r="O6" s="27"/>
      <c r="P6" s="27"/>
      <c r="Q6" s="27"/>
      <c r="R6" s="27"/>
      <c r="S6" s="27"/>
      <c r="T6" s="27"/>
      <c r="U6" s="27"/>
      <c r="V6" s="27"/>
      <c r="W6" s="27"/>
      <c r="X6" s="28"/>
      <c r="Y6" s="27"/>
      <c r="Z6" s="26"/>
      <c r="AA6" s="26"/>
      <c r="AB6" s="26"/>
      <c r="AC6" s="110"/>
      <c r="AD6" s="110"/>
      <c r="AE6" s="110"/>
      <c r="AF6" s="110"/>
      <c r="AG6" s="110"/>
      <c r="AH6" s="17"/>
      <c r="AI6" s="17"/>
      <c r="AJ6" s="27"/>
    </row>
    <row r="7" ht="43.5" customHeight="1" spans="1:36">
      <c r="A7" s="110" t="s">
        <v>481</v>
      </c>
      <c r="B7" s="110" t="s">
        <v>482</v>
      </c>
      <c r="C7" s="110"/>
      <c r="D7" s="18" t="s">
        <v>328</v>
      </c>
      <c r="E7" s="19">
        <v>450000</v>
      </c>
      <c r="F7" s="19"/>
      <c r="G7" s="19"/>
      <c r="H7" s="19"/>
      <c r="I7" s="19"/>
      <c r="J7" s="19">
        <f>E7</f>
        <v>450000</v>
      </c>
      <c r="K7" s="25"/>
      <c r="L7" s="26"/>
      <c r="M7" s="26"/>
      <c r="N7" s="27"/>
      <c r="O7" s="27"/>
      <c r="P7" s="27"/>
      <c r="Q7" s="27"/>
      <c r="R7" s="27"/>
      <c r="S7" s="27"/>
      <c r="T7" s="27"/>
      <c r="U7" s="27"/>
      <c r="V7" s="27"/>
      <c r="W7" s="27"/>
      <c r="X7" s="28"/>
      <c r="Y7" s="27"/>
      <c r="Z7" s="26"/>
      <c r="AA7" s="26"/>
      <c r="AB7" s="26"/>
      <c r="AC7" s="110"/>
      <c r="AD7" s="110"/>
      <c r="AE7" s="110"/>
      <c r="AF7" s="110"/>
      <c r="AG7" s="110"/>
      <c r="AH7" s="17"/>
      <c r="AI7" s="17"/>
      <c r="AJ7" s="27"/>
    </row>
    <row r="8" ht="43.5" customHeight="1" spans="1:36">
      <c r="A8" s="110" t="s">
        <v>459</v>
      </c>
      <c r="B8" s="110" t="s">
        <v>483</v>
      </c>
      <c r="C8" s="110" t="s">
        <v>484</v>
      </c>
      <c r="D8" s="18" t="s">
        <v>328</v>
      </c>
      <c r="E8" s="19"/>
      <c r="F8" s="19"/>
      <c r="G8" s="19">
        <f>25020600*0.978</f>
        <v>24470146.8</v>
      </c>
      <c r="H8" s="19"/>
      <c r="I8" s="19"/>
      <c r="J8" s="19">
        <f t="shared" si="0"/>
        <v>24470146.8</v>
      </c>
      <c r="K8" s="29"/>
      <c r="L8" s="30"/>
      <c r="M8" s="30"/>
      <c r="N8" s="31"/>
      <c r="O8" s="31"/>
      <c r="P8" s="31"/>
      <c r="Q8" s="31"/>
      <c r="R8" s="31"/>
      <c r="S8" s="31"/>
      <c r="T8" s="31"/>
      <c r="U8" s="31"/>
      <c r="V8" s="31"/>
      <c r="W8" s="31"/>
      <c r="X8" s="32"/>
      <c r="Y8" s="31"/>
      <c r="Z8" s="30"/>
      <c r="AA8" s="30"/>
      <c r="AB8" s="30"/>
      <c r="AC8" s="110"/>
      <c r="AD8" s="110"/>
      <c r="AE8" s="110"/>
      <c r="AF8" s="110"/>
      <c r="AG8" s="110"/>
      <c r="AH8" s="17"/>
      <c r="AI8" s="17"/>
      <c r="AJ8" s="31"/>
    </row>
    <row r="9" customHeight="1" spans="1:36">
      <c r="A9" s="112"/>
    </row>
    <row r="10" customHeight="1" spans="1:36">
      <c r="A10" s="109" t="s">
        <v>333</v>
      </c>
      <c r="O10" s="7">
        <f>O13+P13</f>
        <v>47214230.81</v>
      </c>
      <c r="P10" s="7">
        <f>O14+P17</f>
        <v>46492256.54</v>
      </c>
      <c r="Q10" s="7">
        <f>O10*0.978-P10</f>
        <v>-316738.807819992</v>
      </c>
    </row>
    <row r="11" customHeight="1" spans="1:36">
      <c r="A11" s="16" t="s">
        <v>291</v>
      </c>
      <c r="B11" s="34" t="s">
        <v>83</v>
      </c>
      <c r="C11" s="34"/>
      <c r="D11" s="34"/>
      <c r="E11" s="34"/>
      <c r="F11" s="34"/>
      <c r="G11" s="34"/>
      <c r="H11" s="34" t="s">
        <v>88</v>
      </c>
      <c r="I11" s="34"/>
      <c r="J11" s="34"/>
      <c r="K11" s="34"/>
      <c r="L11" s="34"/>
      <c r="M11" s="34"/>
      <c r="N11" s="34" t="s">
        <v>334</v>
      </c>
      <c r="O11" s="34"/>
      <c r="P11" s="34"/>
      <c r="Q11" s="34"/>
      <c r="R11" s="34"/>
      <c r="S11" s="34"/>
      <c r="T11" s="9" t="s">
        <v>335</v>
      </c>
      <c r="U11" s="9" t="s">
        <v>336</v>
      </c>
      <c r="V11" s="9" t="s">
        <v>81</v>
      </c>
      <c r="W11" s="9" t="s">
        <v>82</v>
      </c>
    </row>
    <row r="12" s="1" customFormat="1" customHeight="1" spans="1:36">
      <c r="A12" s="16"/>
      <c r="B12" s="16" t="s">
        <v>311</v>
      </c>
      <c r="C12" s="16" t="s">
        <v>312</v>
      </c>
      <c r="D12" s="16" t="s">
        <v>313</v>
      </c>
      <c r="E12" s="16" t="s">
        <v>314</v>
      </c>
      <c r="F12" s="16" t="s">
        <v>337</v>
      </c>
      <c r="G12" s="16" t="s">
        <v>92</v>
      </c>
      <c r="H12" s="16" t="s">
        <v>311</v>
      </c>
      <c r="I12" s="16" t="s">
        <v>312</v>
      </c>
      <c r="J12" s="16" t="s">
        <v>313</v>
      </c>
      <c r="K12" s="16" t="s">
        <v>314</v>
      </c>
      <c r="L12" s="16" t="s">
        <v>337</v>
      </c>
      <c r="M12" s="16" t="s">
        <v>92</v>
      </c>
      <c r="N12" s="16" t="s">
        <v>311</v>
      </c>
      <c r="O12" s="16" t="s">
        <v>312</v>
      </c>
      <c r="P12" s="16" t="s">
        <v>313</v>
      </c>
      <c r="Q12" s="16" t="s">
        <v>314</v>
      </c>
      <c r="R12" s="16" t="s">
        <v>337</v>
      </c>
      <c r="S12" s="16" t="s">
        <v>92</v>
      </c>
      <c r="T12" s="14"/>
      <c r="U12" s="14"/>
      <c r="V12" s="14"/>
      <c r="W12" s="14"/>
    </row>
    <row r="13" customHeight="1" spans="1:36">
      <c r="A13" s="113" t="s">
        <v>448</v>
      </c>
      <c r="B13" s="114">
        <f>SUMIFS($E$22:$E$48,$D$22:$D$48,$B$12,$A$22:$A$48,$A$13)</f>
        <v>3010000</v>
      </c>
      <c r="C13" s="114">
        <f>SUMIFS($E$22:$E$48,$D$22:$D$48,C12,$A$22:$A$48,A13)</f>
        <v>31902290</v>
      </c>
      <c r="D13" s="36">
        <f>SUMIFS($E$22:$E$48,$D$22:$D$48,D12,$A$22:$A$48,A13)</f>
        <v>18235664.9979646</v>
      </c>
      <c r="E13" s="36">
        <f>SUMIFS($E$22:$E$48,$D$22:$D$48,E12,$A$22:$A$48,A13)</f>
        <v>0</v>
      </c>
      <c r="F13" s="36">
        <f>SUMIFS($E$22:$E$48,$D$22:$D$48,F12,$A$22:$A$48,A13)</f>
        <v>0</v>
      </c>
      <c r="G13" s="36">
        <f>SUM(B13:F13)</f>
        <v>53147954.9979646</v>
      </c>
      <c r="H13" s="36">
        <f>SUMIFS($V$22:$V$48,$R$22:$R$48,$H$12,$P$22:$P$48,$A$13)</f>
        <v>2408000</v>
      </c>
      <c r="I13" s="36">
        <f>SUMIFS($V$22:$V$48,$R$22:$R$48,I12,$P$22:$P$48,$A$13)</f>
        <v>33902290</v>
      </c>
      <c r="J13" s="36">
        <f>SUMIFS($V$22:$V$48,$R$22:$R$48,$J$12,$P$22:$P$48,$A$13)</f>
        <v>18235665</v>
      </c>
      <c r="K13" s="36">
        <f>SUMIFS($V$22:$V$48,$R$22:$R$48,$K$12,$P$22:$P$48,$A$13)</f>
        <v>0</v>
      </c>
      <c r="L13" s="36">
        <f>SUMIFS($V$22:$V$48,$R$22:$R$48,$L$12,$P$22:$P$48,$A$13)</f>
        <v>0</v>
      </c>
      <c r="M13" s="36">
        <f>SUM(H13:L13)</f>
        <v>54545955</v>
      </c>
      <c r="N13" s="36">
        <f>SUMIFS($O$22:$O$47,$N$22:$N$47,N12,$L$22:$L$47,A13)</f>
        <v>2839622.65</v>
      </c>
      <c r="O13" s="36">
        <f>SUMIFS($O$22:$O$47,$N$22:$N$47,O12,$L$22:$L$47,A13)</f>
        <v>31076474.17</v>
      </c>
      <c r="P13" s="36">
        <f>SUMIFS($O$22:$O$47,$N$22:$N$47,P12,$L$22:$L$47,A13)</f>
        <v>16137756.64</v>
      </c>
      <c r="Q13" s="36">
        <f>SUMIFS($O$22:$O$47,$N$22:$N$47,Q12,$L$22:$L$47,A13)</f>
        <v>0</v>
      </c>
      <c r="R13" s="36">
        <f>SUMIFS($O$22:$O$47,$N$22:$N$47,R12,$L$22:$L$47,A13)</f>
        <v>0</v>
      </c>
      <c r="S13" s="37">
        <f>SUM(N13:R13)</f>
        <v>50053853.46</v>
      </c>
      <c r="T13" s="37">
        <f>SUMIF($Z$22:$Z$48,A13,$AE$22:$AE$48)</f>
        <v>54545955</v>
      </c>
      <c r="U13" s="18"/>
      <c r="V13" s="19">
        <f>F4/1.09</f>
        <v>31251743.1192661</v>
      </c>
      <c r="W13" s="19">
        <f>(F5+F8)/1.09</f>
        <v>30564204.7706422</v>
      </c>
      <c r="X13" s="7">
        <v>31251743.1192661</v>
      </c>
      <c r="Y13" s="7">
        <v>30564204.7706422</v>
      </c>
    </row>
    <row r="14" customHeight="1" spans="1:36">
      <c r="A14" s="113" t="s">
        <v>453</v>
      </c>
      <c r="B14" s="114">
        <f>SUMIFS($E$53:$E$78,$D$53:$D$78,B12,$A$53:$A$78,A14)</f>
        <v>0</v>
      </c>
      <c r="C14" s="114">
        <f>SUMIFS($E$53:$E$78,$D$53:$D$78,C12,$A$53:$A$78,A14)</f>
        <v>29945306</v>
      </c>
      <c r="D14" s="36">
        <f>SUMIFS($E$53:$E$78,$D$53:$D$78,D12,$A$53:$A$78,A14)</f>
        <v>0</v>
      </c>
      <c r="E14" s="36">
        <f>SUMIFS($E$53:$E$78,$D$53:$D$78,E12,$A$53:$A$78,A14)</f>
        <v>0</v>
      </c>
      <c r="F14" s="36">
        <f>SUMIFS($E$53:$E$78,$D$53:$D$78,F12,$A$53:$A$78,A14)</f>
        <v>0</v>
      </c>
      <c r="G14" s="36">
        <f t="shared" ref="G13:G17" si="1">SUM(B14:F14)</f>
        <v>29945306</v>
      </c>
      <c r="H14" s="36">
        <f>SUMIFS($R$53:$R$78,$N$53:$N$78,H12,$L$53:$L$78,A14)</f>
        <v>0</v>
      </c>
      <c r="I14" s="36">
        <f>SUMIFS($R$53:$R$78,$N$53:$N$78,I12,$L$53:$L$78,A14)</f>
        <v>29945306</v>
      </c>
      <c r="J14" s="36">
        <f>SUMIFS($R$53:$R$78,$N$53:$N$78,J12,$L$53:$L$78,A14)</f>
        <v>0</v>
      </c>
      <c r="K14" s="36">
        <f>SUMIFS($R$53:$R$78,$N$53:$N$78,K12,$L$53:$L$78,A14)</f>
        <v>0</v>
      </c>
      <c r="L14" s="36">
        <f>SUMIFS($R$53:$R$78,$N$53:$N$78,L12,$L$53:$L$78,A14)</f>
        <v>0</v>
      </c>
      <c r="M14" s="36">
        <f t="shared" ref="M13:M17" si="2">SUM(H14:L14)</f>
        <v>29945306</v>
      </c>
      <c r="N14" s="36">
        <f>SUMIFS($G$53:$G$78,$D$53:$D$78,N12,$A$53:$A$78,A14)</f>
        <v>0</v>
      </c>
      <c r="O14" s="36">
        <f>SUMIFS($G$53:$G$78,$D$53:$D$78,$O$12,$A$53:$A$78,A14)</f>
        <v>27472757.8</v>
      </c>
      <c r="P14" s="36">
        <f>SUMIFS($G$53:$G$78,$D$53:$D$78,$P$12,$A$53:$A$78,A14)</f>
        <v>0</v>
      </c>
      <c r="Q14" s="36">
        <f>SUMIFS($G$53:$G$78,$D$53:$D$78,$Q$12,$A$53:$A$78,A14)</f>
        <v>0</v>
      </c>
      <c r="R14" s="36">
        <f>SUMIFS($G$53:$G$78,$D$53:$D$78,$R$12,$A$53:$A$78,A14)</f>
        <v>0</v>
      </c>
      <c r="S14" s="37">
        <f>SUM(N14:R14)</f>
        <v>27472757.8</v>
      </c>
      <c r="T14" s="37">
        <f>SUMIF($V$53:$V$78,A14,$AA$53:$AA$78)</f>
        <v>29901306</v>
      </c>
      <c r="U14" s="18"/>
      <c r="V14" s="19"/>
      <c r="W14" s="19"/>
    </row>
    <row r="15" customHeight="1" spans="1:36">
      <c r="A15" s="113" t="s">
        <v>456</v>
      </c>
      <c r="B15" s="114">
        <f>SUMIFS($E$53:$E$78,$D$53:$D$78,B12,$A$53:$A$78,A15)</f>
        <v>490000</v>
      </c>
      <c r="C15" s="114">
        <f>SUMIFS($E$53:$E$78,$D$53:$D$78,C12,$A$53:$A$78,A15)</f>
        <v>0</v>
      </c>
      <c r="D15" s="36">
        <f>SUMIFS($E$53:$E$78,$D$53:$D$78,D12,$A$53:$A$78,A15)</f>
        <v>0</v>
      </c>
      <c r="E15" s="36">
        <f>SUMIFS($E$53:$E$78,$D$53:$D$78,E12,$A$53:$A$78,A15)</f>
        <v>0</v>
      </c>
      <c r="F15" s="36">
        <f>SUMIFS($E$53:$E$78,$D$53:$D$78,F12,$A$53:$A$78,A15)</f>
        <v>0</v>
      </c>
      <c r="G15" s="36">
        <f t="shared" si="1"/>
        <v>490000</v>
      </c>
      <c r="H15" s="36">
        <f>SUMIFS($R$53:$R$78,$N$53:$N$78,H12,$L$53:$L$78,A15)</f>
        <v>490000</v>
      </c>
      <c r="I15" s="36">
        <f>SUMIFS($R$53:$R$78,$N$53:$N$78,I12,$L$53:$L$78,A15)</f>
        <v>0</v>
      </c>
      <c r="J15" s="36">
        <f>SUMIFS($R$53:$R$78,$N$53:$N$78,J12,$L$53:$L$78,A15)</f>
        <v>0</v>
      </c>
      <c r="K15" s="36">
        <f>SUMIFS($R$53:$R$78,$N$53:$N$78,K12,$L$53:$L$78,A15)</f>
        <v>0</v>
      </c>
      <c r="L15" s="36">
        <f>SUMIFS($R$53:$R$78,$N$53:$N$78,L12,$L$53:$L$78,A15)</f>
        <v>0</v>
      </c>
      <c r="M15" s="36">
        <f t="shared" si="2"/>
        <v>490000</v>
      </c>
      <c r="N15" s="36">
        <f>SUMIFS($G$53:$G$78,$D$53:$D$78,$N$12,$A$53:$A$78,A15)</f>
        <v>462264.15</v>
      </c>
      <c r="O15" s="36">
        <f>SUMIFS($G$53:$G$78,$D$53:$D$78,$O$12,$A$53:$A$78,A15)</f>
        <v>0</v>
      </c>
      <c r="P15" s="36">
        <f>SUMIFS($G$53:$G$78,$D$53:$D$78,$P$12,$A$53:$A$78,A15)</f>
        <v>0</v>
      </c>
      <c r="Q15" s="36">
        <f>SUMIFS($G$53:$G$78,$D$53:$D$78,$Q$12,$A$53:$A$78,A15)</f>
        <v>0</v>
      </c>
      <c r="R15" s="36">
        <f>SUMIFS($G$53:$G$78,$D$53:$D$78,$R$12,$A$53:$A$78,A15)</f>
        <v>0</v>
      </c>
      <c r="S15" s="37">
        <f>SUM(N15:R15)</f>
        <v>462264.15</v>
      </c>
      <c r="T15" s="37">
        <f>SUMIF($V$53:$V$78,A15,$AA$53:$AA$78)</f>
        <v>490000</v>
      </c>
      <c r="U15" s="18"/>
      <c r="V15" s="19"/>
      <c r="W15" s="19"/>
    </row>
    <row r="16" s="2" customFormat="1" customHeight="1" spans="1:36">
      <c r="A16" s="115" t="s">
        <v>481</v>
      </c>
      <c r="B16" s="114">
        <f>SUMIFS($E$53:$E$78,$D$53:$D$78,B12,$A$53:$A$78,A16)</f>
        <v>360000</v>
      </c>
      <c r="C16" s="114">
        <f>SUMIFS($E$53:$E$78,$D$53:$D$78,C13,$A$53:$A$78,A16)</f>
        <v>0</v>
      </c>
      <c r="D16" s="36">
        <f>SUMIFS($E$53:$E$78,$D$53:$D$78,D13,$A$53:$A$78,A16)</f>
        <v>0</v>
      </c>
      <c r="E16" s="36">
        <f>SUMIFS($E$53:$E$78,$D$53:$D$78,E13,$A$53:$A$78,A16)</f>
        <v>0</v>
      </c>
      <c r="F16" s="36">
        <f>SUMIFS($E$53:$E$78,$D$53:$D$78,F13,$A$53:$A$78,A16)</f>
        <v>0</v>
      </c>
      <c r="G16" s="36">
        <f t="shared" si="1"/>
        <v>360000</v>
      </c>
      <c r="H16" s="36">
        <f>SUMIFS($R$53:$R$78,$N$53:$N$78,H12,$L$53:$L$78,A16)</f>
        <v>360000</v>
      </c>
      <c r="I16" s="36">
        <f>SUMIFS($R$53:$R$78,$N$53:$N$78,I13,$L$53:$L$78,A16)</f>
        <v>0</v>
      </c>
      <c r="J16" s="36">
        <f>SUMIFS($R$53:$R$78,$N$53:$N$78,J13,$L$53:$L$78,A16)</f>
        <v>0</v>
      </c>
      <c r="K16" s="36">
        <f>SUMIFS($R$53:$R$78,$N$53:$N$78,K13,$L$53:$L$78,A16)</f>
        <v>0</v>
      </c>
      <c r="L16" s="36">
        <f>SUMIFS($R$53:$R$78,$N$53:$N$78,L13,$L$53:$L$78,A16)</f>
        <v>0</v>
      </c>
      <c r="M16" s="36">
        <f t="shared" si="2"/>
        <v>360000</v>
      </c>
      <c r="N16" s="36">
        <f>SUMIFS($G$53:$G$78,$D$53:$D$78,$N$12,$A$53:$A$78,A16)</f>
        <v>339622.64</v>
      </c>
      <c r="O16" s="36">
        <f>SUMIFS($G$53:$G$78,$D$53:$D$78,$O$12,$A$53:$A$78,A16)</f>
        <v>0</v>
      </c>
      <c r="P16" s="36">
        <f>SUMIFS($G$53:$G$78,$D$53:$D$78,$P$12,$A$53:$A$78,A16)</f>
        <v>0</v>
      </c>
      <c r="Q16" s="36">
        <f>SUMIFS($G$53:$G$78,$D$53:$D$78,$Q$12,$A$53:$A$78,A16)</f>
        <v>0</v>
      </c>
      <c r="R16" s="36">
        <f>SUMIFS($G$53:$G$78,$D$53:$D$78,$R$12,$A$53:$A$78,A16)</f>
        <v>0</v>
      </c>
      <c r="S16" s="37">
        <f>SUM(N16:R16)</f>
        <v>339622.64</v>
      </c>
      <c r="T16" s="37">
        <f>SUMIF($V$53:$V$78,A16,$AA$53:$AA$78)</f>
        <v>360000</v>
      </c>
      <c r="U16" s="61"/>
      <c r="V16" s="37"/>
      <c r="W16" s="37"/>
      <c r="Z16" s="116"/>
      <c r="AA16" s="116"/>
      <c r="AB16" s="116"/>
      <c r="AC16" s="116"/>
      <c r="AD16" s="116"/>
      <c r="AE16" s="116"/>
      <c r="AF16" s="116"/>
      <c r="AG16" s="116"/>
    </row>
    <row r="17" s="2" customFormat="1" customHeight="1" spans="1:34">
      <c r="A17" s="115" t="s">
        <v>459</v>
      </c>
      <c r="B17" s="114">
        <f>SUMIFS($E$53:$E$78,$D$53:$D$78,B14,$A$53:$A$78,A17)</f>
        <v>0</v>
      </c>
      <c r="C17" s="114">
        <f>SUMIFS($E$53:$E$78,$D$53:$D$78,C14,$A$53:$A$78,A17)</f>
        <v>0</v>
      </c>
      <c r="D17" s="36">
        <f>SUMIFS($E$53:$E$78,$D$53:$D$78,D12,$A$53:$A$78,A17)</f>
        <v>21111613.9909735</v>
      </c>
      <c r="E17" s="36">
        <f>SUMIFS($E$53:$E$78,$D$53:$D$78,E14,$A$53:$A$78,A17)</f>
        <v>0</v>
      </c>
      <c r="F17" s="36">
        <f>SUMIFS($E$53:$E$78,$D$53:$D$78,F14,$A$53:$A$78,A17)</f>
        <v>0</v>
      </c>
      <c r="G17" s="36">
        <f t="shared" si="1"/>
        <v>21111613.9909735</v>
      </c>
      <c r="H17" s="36">
        <f>SUMIFS($R$53:$R$78,$N$53:$N$78,H14,$L$53:$L$78,A17)</f>
        <v>0</v>
      </c>
      <c r="I17" s="36">
        <f>SUMIFS($R$53:$R$78,$N$53:$N$78,I14,$L$53:$L$78,A17)</f>
        <v>0</v>
      </c>
      <c r="J17" s="36">
        <f>SUMIFS($R$53:$R$78,$N$53:$N$78,J12,$L$53:$L$78,A17)</f>
        <v>21111613.99</v>
      </c>
      <c r="K17" s="36">
        <f>SUMIFS($R$53:$R$78,$N$53:$N$78,K14,$L$53:$L$78,A17)</f>
        <v>0</v>
      </c>
      <c r="L17" s="36">
        <f>SUMIFS($R$53:$R$78,$N$53:$N$78,L14,$L$53:$L$78,A17)</f>
        <v>0</v>
      </c>
      <c r="M17" s="36">
        <f t="shared" si="2"/>
        <v>21111613.99</v>
      </c>
      <c r="N17" s="36">
        <f>SUMIFS($G$53:$G$78,$D$53:$D$78,$N$12,$A$53:$A$78,A17)</f>
        <v>0</v>
      </c>
      <c r="O17" s="36">
        <f>SUMIFS($G$53:$G$78,$D$53:$D$78,$O$12,$A$53:$A$78,A17)</f>
        <v>0</v>
      </c>
      <c r="P17" s="36">
        <f>SUMIFS($G$53:$G$78,$D$53:$D$78,$P$12,$A$53:$A$78,A17)</f>
        <v>19019498.74</v>
      </c>
      <c r="Q17" s="36">
        <f>SUMIFS($G$53:$G$78,$D$53:$D$78,$Q$12,$A$53:$A$78,A17)</f>
        <v>0</v>
      </c>
      <c r="R17" s="36">
        <f>SUMIFS($G$53:$G$78,$D$53:$D$78,$R$12,$A$53:$A$78,A17)</f>
        <v>0</v>
      </c>
      <c r="S17" s="37">
        <f>SUM(N17:R17)</f>
        <v>19019498.74</v>
      </c>
      <c r="T17" s="37">
        <f>SUMIF($V$53:$V$78,A17,$AA$53:$AA$78)</f>
        <v>21089613.99</v>
      </c>
      <c r="U17" s="61"/>
      <c r="V17" s="37"/>
      <c r="W17" s="37"/>
      <c r="Z17" s="116"/>
      <c r="AA17" s="116"/>
      <c r="AB17" s="116"/>
      <c r="AC17" s="116"/>
      <c r="AD17" s="116"/>
      <c r="AE17" s="116"/>
      <c r="AF17" s="116"/>
      <c r="AG17" s="116"/>
    </row>
    <row r="19" s="3" customFormat="1" customHeight="1" spans="1:34">
      <c r="A19" s="117" t="s">
        <v>339</v>
      </c>
      <c r="B19" s="118"/>
      <c r="C19" s="118">
        <f t="shared" ref="C19:H19" si="3">SUM(C22:C47)</f>
        <v>53147954.9979646</v>
      </c>
      <c r="E19" s="3">
        <f t="shared" si="3"/>
        <v>53147954.9979646</v>
      </c>
      <c r="G19" s="3">
        <f t="shared" si="3"/>
        <v>48245535.2579646</v>
      </c>
      <c r="H19" s="3">
        <f t="shared" si="3"/>
        <v>4902419.74</v>
      </c>
      <c r="O19" s="3">
        <f>SUM(O22:O47)</f>
        <v>50053853.46</v>
      </c>
      <c r="V19" s="3">
        <f t="shared" ref="V19:X19" si="4">SUM(V22:V47)</f>
        <v>54545955</v>
      </c>
      <c r="W19" s="3">
        <f t="shared" si="4"/>
        <v>49165813.22</v>
      </c>
      <c r="X19" s="3">
        <f t="shared" si="4"/>
        <v>5033481.88</v>
      </c>
      <c r="Z19" s="118"/>
      <c r="AA19" s="118"/>
      <c r="AB19" s="118"/>
      <c r="AC19" s="118"/>
      <c r="AD19" s="118"/>
      <c r="AE19" s="118">
        <f>SUM(AE22:AE47)</f>
        <v>54545955</v>
      </c>
      <c r="AF19" s="118"/>
      <c r="AG19" s="118"/>
    </row>
    <row r="20" s="4" customFormat="1" customHeight="1" spans="1:34">
      <c r="A20" s="45" t="s">
        <v>340</v>
      </c>
      <c r="B20" s="45"/>
      <c r="C20" s="45"/>
      <c r="D20" s="45"/>
      <c r="E20" s="45"/>
      <c r="F20" s="45"/>
      <c r="G20" s="45"/>
      <c r="H20" s="45"/>
      <c r="I20" s="45"/>
      <c r="J20" s="45"/>
      <c r="K20" s="45"/>
      <c r="L20" s="46" t="s">
        <v>341</v>
      </c>
      <c r="M20" s="47"/>
      <c r="N20" s="47"/>
      <c r="O20" s="48"/>
      <c r="P20" s="49" t="s">
        <v>342</v>
      </c>
      <c r="Q20" s="50"/>
      <c r="R20" s="50"/>
      <c r="S20" s="50"/>
      <c r="T20" s="50"/>
      <c r="U20" s="50"/>
      <c r="V20" s="50"/>
      <c r="W20" s="50"/>
      <c r="X20" s="50"/>
      <c r="Y20" s="51"/>
      <c r="Z20" s="52" t="s">
        <v>343</v>
      </c>
      <c r="AA20" s="53"/>
      <c r="AB20" s="53"/>
      <c r="AC20" s="53"/>
      <c r="AD20" s="53"/>
      <c r="AE20" s="53"/>
      <c r="AF20" s="53"/>
      <c r="AG20" s="54"/>
      <c r="AH20" s="119"/>
    </row>
    <row r="21" s="4" customFormat="1" ht="47.1" customHeight="1" spans="1:34">
      <c r="A21" s="55" t="s">
        <v>344</v>
      </c>
      <c r="B21" s="55" t="s">
        <v>345</v>
      </c>
      <c r="C21" s="55" t="s">
        <v>346</v>
      </c>
      <c r="D21" s="55" t="s">
        <v>347</v>
      </c>
      <c r="E21" s="55" t="s">
        <v>348</v>
      </c>
      <c r="F21" s="55" t="s">
        <v>349</v>
      </c>
      <c r="G21" s="55" t="s">
        <v>350</v>
      </c>
      <c r="H21" s="55" t="s">
        <v>351</v>
      </c>
      <c r="I21" s="55" t="s">
        <v>352</v>
      </c>
      <c r="J21" s="55" t="s">
        <v>353</v>
      </c>
      <c r="K21" s="55" t="s">
        <v>354</v>
      </c>
      <c r="L21" s="56" t="s">
        <v>344</v>
      </c>
      <c r="M21" s="56" t="s">
        <v>355</v>
      </c>
      <c r="N21" s="56" t="s">
        <v>356</v>
      </c>
      <c r="O21" s="56" t="s">
        <v>357</v>
      </c>
      <c r="P21" s="57" t="s">
        <v>344</v>
      </c>
      <c r="Q21" s="57" t="s">
        <v>355</v>
      </c>
      <c r="R21" s="58" t="s">
        <v>358</v>
      </c>
      <c r="S21" s="57" t="s">
        <v>359</v>
      </c>
      <c r="T21" s="57" t="s">
        <v>360</v>
      </c>
      <c r="U21" s="57" t="s">
        <v>361</v>
      </c>
      <c r="V21" s="57" t="s">
        <v>362</v>
      </c>
      <c r="W21" s="57" t="s">
        <v>363</v>
      </c>
      <c r="X21" s="57" t="s">
        <v>364</v>
      </c>
      <c r="Y21" s="59" t="s">
        <v>349</v>
      </c>
      <c r="Z21" s="60" t="s">
        <v>291</v>
      </c>
      <c r="AA21" s="60" t="s">
        <v>365</v>
      </c>
      <c r="AB21" s="60" t="s">
        <v>366</v>
      </c>
      <c r="AC21" s="60" t="s">
        <v>367</v>
      </c>
      <c r="AD21" s="60" t="s">
        <v>368</v>
      </c>
      <c r="AE21" s="60" t="s">
        <v>369</v>
      </c>
      <c r="AF21" s="60" t="s">
        <v>370</v>
      </c>
      <c r="AG21" s="60" t="s">
        <v>371</v>
      </c>
    </row>
    <row r="22" s="5" customFormat="1" customHeight="1" spans="1:34">
      <c r="A22" s="120" t="s">
        <v>448</v>
      </c>
      <c r="B22" s="120"/>
      <c r="C22" s="65">
        <v>3010000</v>
      </c>
      <c r="D22" s="121" t="s">
        <v>311</v>
      </c>
      <c r="E22" s="37">
        <v>3010000</v>
      </c>
      <c r="F22" s="62">
        <v>0.06</v>
      </c>
      <c r="G22" s="37">
        <v>2839622.65</v>
      </c>
      <c r="H22" s="37">
        <v>170377.35</v>
      </c>
      <c r="I22" s="122">
        <v>43762</v>
      </c>
      <c r="J22" s="61"/>
      <c r="K22" s="61"/>
      <c r="L22" s="63" t="s">
        <v>448</v>
      </c>
      <c r="M22" s="122">
        <v>43762</v>
      </c>
      <c r="N22" s="121" t="s">
        <v>311</v>
      </c>
      <c r="O22" s="65">
        <v>2271698.12</v>
      </c>
      <c r="P22" s="63" t="s">
        <v>448</v>
      </c>
      <c r="Q22" s="123">
        <v>43664</v>
      </c>
      <c r="R22" s="121" t="s">
        <v>311</v>
      </c>
      <c r="S22" s="61"/>
      <c r="T22" s="61"/>
      <c r="U22" s="61"/>
      <c r="V22" s="124">
        <v>2408000</v>
      </c>
      <c r="W22" s="37">
        <v>2271698.12</v>
      </c>
      <c r="X22" s="37">
        <v>136301.88</v>
      </c>
      <c r="Y22" s="66"/>
      <c r="Z22" s="120" t="s">
        <v>448</v>
      </c>
      <c r="AA22" s="125">
        <v>45348</v>
      </c>
      <c r="AB22" s="126" t="s">
        <v>372</v>
      </c>
      <c r="AC22" s="69" t="s">
        <v>476</v>
      </c>
      <c r="AD22" s="69"/>
      <c r="AE22" s="127">
        <v>440000</v>
      </c>
      <c r="AF22" s="120" t="s">
        <v>311</v>
      </c>
      <c r="AG22" s="127"/>
    </row>
    <row r="23" s="5" customFormat="1" customHeight="1" spans="1:34">
      <c r="A23" s="120" t="s">
        <v>448</v>
      </c>
      <c r="B23" s="120"/>
      <c r="C23" s="65">
        <v>31902290</v>
      </c>
      <c r="D23" s="121" t="s">
        <v>312</v>
      </c>
      <c r="E23" s="37">
        <v>31902290</v>
      </c>
      <c r="F23" s="62">
        <v>0.09</v>
      </c>
      <c r="G23" s="37">
        <v>29268155.97</v>
      </c>
      <c r="H23" s="37">
        <v>2634134.03</v>
      </c>
      <c r="I23" s="122">
        <v>44173</v>
      </c>
      <c r="J23" s="61"/>
      <c r="K23" s="61"/>
      <c r="L23" s="63" t="s">
        <v>448</v>
      </c>
      <c r="M23" s="122">
        <v>44195</v>
      </c>
      <c r="N23" s="121" t="s">
        <v>312</v>
      </c>
      <c r="O23" s="37">
        <v>29001887.81</v>
      </c>
      <c r="P23" s="63" t="s">
        <v>448</v>
      </c>
      <c r="Q23" s="123">
        <v>43819</v>
      </c>
      <c r="R23" s="121" t="s">
        <v>312</v>
      </c>
      <c r="S23" s="61"/>
      <c r="T23" s="61"/>
      <c r="U23" s="61"/>
      <c r="V23" s="124">
        <v>31902290</v>
      </c>
      <c r="W23" s="37">
        <v>29001887.81</v>
      </c>
      <c r="X23" s="37">
        <v>2634134.03</v>
      </c>
      <c r="Y23" s="66"/>
      <c r="Z23" s="120" t="s">
        <v>448</v>
      </c>
      <c r="AA23" s="125">
        <v>45348</v>
      </c>
      <c r="AB23" s="126" t="s">
        <v>372</v>
      </c>
      <c r="AC23" s="69" t="s">
        <v>476</v>
      </c>
      <c r="AD23" s="69"/>
      <c r="AE23" s="127">
        <v>1968000</v>
      </c>
      <c r="AF23" s="120" t="s">
        <v>311</v>
      </c>
      <c r="AG23" s="127"/>
    </row>
    <row r="24" s="5" customFormat="1" customHeight="1" spans="1:34">
      <c r="A24" s="120" t="s">
        <v>448</v>
      </c>
      <c r="B24" s="120"/>
      <c r="C24" s="65">
        <v>17155273.2579646</v>
      </c>
      <c r="D24" s="121" t="s">
        <v>313</v>
      </c>
      <c r="E24" s="37">
        <v>17155273.2579646</v>
      </c>
      <c r="F24" s="62">
        <v>0.13</v>
      </c>
      <c r="G24" s="37">
        <v>15172409.1479646</v>
      </c>
      <c r="H24" s="37">
        <v>1982864.11</v>
      </c>
      <c r="I24" s="122">
        <v>44173</v>
      </c>
      <c r="J24" s="61"/>
      <c r="K24" s="61"/>
      <c r="L24" s="63" t="s">
        <v>448</v>
      </c>
      <c r="M24" s="122">
        <v>44561</v>
      </c>
      <c r="N24" s="121" t="s">
        <v>313</v>
      </c>
      <c r="O24" s="37">
        <v>15172409.15</v>
      </c>
      <c r="P24" s="63" t="s">
        <v>448</v>
      </c>
      <c r="Q24" s="123">
        <v>43832</v>
      </c>
      <c r="R24" s="121" t="s">
        <v>313</v>
      </c>
      <c r="S24" s="61"/>
      <c r="T24" s="61"/>
      <c r="U24" s="61"/>
      <c r="V24" s="124">
        <v>17235665</v>
      </c>
      <c r="W24" s="37">
        <v>15172409.15</v>
      </c>
      <c r="X24" s="37">
        <v>1982864.11</v>
      </c>
      <c r="Y24" s="66"/>
      <c r="Z24" s="120" t="s">
        <v>448</v>
      </c>
      <c r="AA24" s="125">
        <v>45348</v>
      </c>
      <c r="AB24" s="126" t="s">
        <v>372</v>
      </c>
      <c r="AC24" s="69" t="s">
        <v>476</v>
      </c>
      <c r="AD24" s="69"/>
      <c r="AE24" s="127">
        <v>52137955</v>
      </c>
      <c r="AF24" s="120" t="s">
        <v>312</v>
      </c>
      <c r="AG24" s="127"/>
      <c r="AH24" s="5">
        <f>AE24</f>
        <v>52137955</v>
      </c>
    </row>
    <row r="25" s="5" customFormat="1" customHeight="1" spans="1:34">
      <c r="A25" s="120" t="s">
        <v>448</v>
      </c>
      <c r="B25" s="120"/>
      <c r="C25" s="65">
        <v>1000000</v>
      </c>
      <c r="D25" s="67" t="s">
        <v>313</v>
      </c>
      <c r="E25" s="37">
        <v>1000000</v>
      </c>
      <c r="F25" s="62">
        <v>0.13</v>
      </c>
      <c r="G25" s="37">
        <f>ROUND(E25/(1+F25),2)</f>
        <v>884955.75</v>
      </c>
      <c r="H25" s="37">
        <f>C25-G25</f>
        <v>115044.25</v>
      </c>
      <c r="I25" s="122">
        <v>45473</v>
      </c>
      <c r="J25" s="61"/>
      <c r="K25" s="61"/>
      <c r="L25" s="63" t="s">
        <v>448</v>
      </c>
      <c r="M25" s="122">
        <v>43762</v>
      </c>
      <c r="N25" s="67" t="s">
        <v>311</v>
      </c>
      <c r="O25" s="37">
        <v>567924.53</v>
      </c>
      <c r="P25" s="63" t="s">
        <v>448</v>
      </c>
      <c r="Q25" s="123">
        <v>44003</v>
      </c>
      <c r="R25" s="67" t="s">
        <v>312</v>
      </c>
      <c r="S25" s="61"/>
      <c r="T25" s="61"/>
      <c r="U25" s="61"/>
      <c r="V25" s="37">
        <v>2000000</v>
      </c>
      <c r="W25" s="37">
        <v>1834862.39</v>
      </c>
      <c r="X25" s="37">
        <v>165137.61</v>
      </c>
      <c r="Y25" s="66"/>
      <c r="Z25" s="115"/>
      <c r="AA25" s="120"/>
      <c r="AB25" s="126"/>
      <c r="AC25" s="69"/>
      <c r="AD25" s="69"/>
      <c r="AE25" s="127"/>
      <c r="AF25" s="120"/>
      <c r="AG25" s="127"/>
    </row>
    <row r="26" s="5" customFormat="1" customHeight="1" spans="1:34">
      <c r="A26" s="120" t="s">
        <v>448</v>
      </c>
      <c r="B26" s="120"/>
      <c r="C26" s="65">
        <v>80391.74</v>
      </c>
      <c r="D26" s="67" t="s">
        <v>313</v>
      </c>
      <c r="E26" s="37">
        <v>80391.74</v>
      </c>
      <c r="F26" s="62">
        <v>0.13</v>
      </c>
      <c r="G26" s="37">
        <v>80391.74</v>
      </c>
      <c r="H26" s="37"/>
      <c r="I26" s="122">
        <v>45657</v>
      </c>
      <c r="J26" s="61"/>
      <c r="K26" s="61"/>
      <c r="L26" s="63" t="s">
        <v>448</v>
      </c>
      <c r="M26" s="122">
        <v>44561</v>
      </c>
      <c r="N26" s="67" t="s">
        <v>312</v>
      </c>
      <c r="O26" s="37">
        <v>198448.95</v>
      </c>
      <c r="P26" s="63" t="s">
        <v>448</v>
      </c>
      <c r="Q26" s="123">
        <v>44065</v>
      </c>
      <c r="R26" s="67" t="s">
        <v>313</v>
      </c>
      <c r="S26" s="61"/>
      <c r="T26" s="61"/>
      <c r="U26" s="61"/>
      <c r="V26" s="37">
        <v>1000000</v>
      </c>
      <c r="W26" s="37">
        <v>884955.75</v>
      </c>
      <c r="X26" s="37">
        <v>115044.25</v>
      </c>
      <c r="Y26" s="66"/>
      <c r="Z26" s="115"/>
      <c r="AA26" s="120"/>
      <c r="AB26" s="126"/>
      <c r="AC26" s="69"/>
      <c r="AD26" s="69"/>
      <c r="AE26" s="127"/>
      <c r="AF26" s="120"/>
      <c r="AG26" s="127"/>
    </row>
    <row r="27" s="5" customFormat="1" customHeight="1" spans="1:34">
      <c r="A27" s="120"/>
      <c r="B27" s="120"/>
      <c r="C27" s="65"/>
      <c r="D27" s="121"/>
      <c r="E27" s="65"/>
      <c r="F27" s="62"/>
      <c r="G27" s="37"/>
      <c r="H27" s="37"/>
      <c r="I27" s="61"/>
      <c r="J27" s="61"/>
      <c r="K27" s="61"/>
      <c r="L27" s="63" t="s">
        <v>448</v>
      </c>
      <c r="M27" s="122">
        <v>45473</v>
      </c>
      <c r="N27" s="67" t="s">
        <v>313</v>
      </c>
      <c r="O27" s="37">
        <v>884955.75</v>
      </c>
      <c r="P27" s="63"/>
      <c r="Q27" s="61"/>
      <c r="R27" s="61"/>
      <c r="S27" s="61"/>
      <c r="T27" s="61"/>
      <c r="U27" s="61"/>
      <c r="V27" s="37"/>
      <c r="W27" s="37"/>
      <c r="X27" s="37"/>
      <c r="Y27" s="66"/>
      <c r="Z27" s="115"/>
      <c r="AA27" s="120"/>
      <c r="AB27" s="126"/>
      <c r="AC27" s="69"/>
      <c r="AD27" s="69"/>
      <c r="AE27" s="127"/>
      <c r="AF27" s="120"/>
      <c r="AG27" s="127"/>
    </row>
    <row r="28" s="5" customFormat="1" customHeight="1" spans="1:34">
      <c r="A28" s="120"/>
      <c r="B28" s="120"/>
      <c r="C28" s="65"/>
      <c r="D28" s="121"/>
      <c r="E28" s="37"/>
      <c r="F28" s="62"/>
      <c r="G28" s="37"/>
      <c r="H28" s="37"/>
      <c r="I28" s="61"/>
      <c r="J28" s="61"/>
      <c r="K28" s="61"/>
      <c r="L28" s="63" t="s">
        <v>448</v>
      </c>
      <c r="M28" s="122">
        <v>45657</v>
      </c>
      <c r="N28" s="67" t="s">
        <v>313</v>
      </c>
      <c r="O28" s="37">
        <v>80391.74</v>
      </c>
      <c r="P28" s="63"/>
      <c r="Q28" s="61"/>
      <c r="R28" s="61"/>
      <c r="S28" s="61"/>
      <c r="T28" s="61"/>
      <c r="U28" s="61"/>
      <c r="V28" s="37"/>
      <c r="W28" s="37"/>
      <c r="X28" s="37"/>
      <c r="Y28" s="66"/>
      <c r="Z28" s="115"/>
      <c r="AA28" s="120"/>
      <c r="AB28" s="126"/>
      <c r="AC28" s="69"/>
      <c r="AD28" s="69"/>
      <c r="AE28" s="127"/>
      <c r="AF28" s="120"/>
      <c r="AG28" s="127"/>
    </row>
    <row r="29" s="5" customFormat="1" customHeight="1" spans="1:34">
      <c r="A29" s="120"/>
      <c r="B29" s="120"/>
      <c r="C29" s="65"/>
      <c r="D29" s="61"/>
      <c r="E29" s="37"/>
      <c r="F29" s="62"/>
      <c r="G29" s="37"/>
      <c r="H29" s="37"/>
      <c r="I29" s="61"/>
      <c r="J29" s="61"/>
      <c r="K29" s="61"/>
      <c r="L29" s="63" t="s">
        <v>448</v>
      </c>
      <c r="M29" s="122">
        <v>45473</v>
      </c>
      <c r="N29" s="67" t="s">
        <v>312</v>
      </c>
      <c r="O29" s="37">
        <v>1876137.41</v>
      </c>
      <c r="P29" s="63"/>
      <c r="Q29" s="61"/>
      <c r="R29" s="61"/>
      <c r="S29" s="61"/>
      <c r="T29" s="61"/>
      <c r="U29" s="61"/>
      <c r="V29" s="37"/>
      <c r="W29" s="37"/>
      <c r="X29" s="37"/>
      <c r="Y29" s="66"/>
      <c r="Z29" s="115"/>
      <c r="AA29" s="120"/>
      <c r="AB29" s="126"/>
      <c r="AC29" s="69"/>
      <c r="AD29" s="69"/>
      <c r="AE29" s="127"/>
      <c r="AF29" s="120"/>
      <c r="AG29" s="127"/>
    </row>
    <row r="30" s="5" customFormat="1" customHeight="1" spans="1:34">
      <c r="A30" s="120"/>
      <c r="B30" s="120"/>
      <c r="C30" s="65"/>
      <c r="D30" s="61"/>
      <c r="E30" s="37"/>
      <c r="F30" s="62"/>
      <c r="G30" s="37"/>
      <c r="H30" s="37"/>
      <c r="I30" s="61"/>
      <c r="J30" s="61"/>
      <c r="K30" s="61"/>
      <c r="L30" s="63"/>
      <c r="M30" s="61"/>
      <c r="N30" s="61"/>
      <c r="O30" s="37"/>
      <c r="P30" s="63"/>
      <c r="Q30" s="61"/>
      <c r="R30" s="61"/>
      <c r="S30" s="61"/>
      <c r="T30" s="61"/>
      <c r="U30" s="61"/>
      <c r="V30" s="37"/>
      <c r="W30" s="37"/>
      <c r="X30" s="37"/>
      <c r="Y30" s="66"/>
      <c r="Z30" s="115"/>
      <c r="AA30" s="120"/>
      <c r="AB30" s="126"/>
      <c r="AC30" s="69"/>
      <c r="AD30" s="69"/>
      <c r="AE30" s="127"/>
      <c r="AF30" s="120"/>
      <c r="AG30" s="127"/>
    </row>
    <row r="31" s="5" customFormat="1" customHeight="1" spans="1:34">
      <c r="A31" s="120"/>
      <c r="B31" s="120"/>
      <c r="C31" s="65"/>
      <c r="D31" s="61"/>
      <c r="E31" s="37"/>
      <c r="F31" s="62"/>
      <c r="G31" s="37"/>
      <c r="H31" s="37"/>
      <c r="I31" s="61"/>
      <c r="J31" s="61"/>
      <c r="K31" s="61"/>
      <c r="L31" s="63"/>
      <c r="M31" s="61"/>
      <c r="N31" s="61"/>
      <c r="O31" s="37"/>
      <c r="P31" s="63"/>
      <c r="Q31" s="61"/>
      <c r="R31" s="61"/>
      <c r="S31" s="61"/>
      <c r="T31" s="61"/>
      <c r="U31" s="61"/>
      <c r="V31" s="37"/>
      <c r="W31" s="37"/>
      <c r="X31" s="37"/>
      <c r="Y31" s="66"/>
      <c r="Z31" s="115"/>
      <c r="AA31" s="120"/>
      <c r="AB31" s="126"/>
      <c r="AC31" s="69"/>
      <c r="AD31" s="69"/>
      <c r="AE31" s="127"/>
      <c r="AF31" s="120"/>
      <c r="AG31" s="127"/>
    </row>
    <row r="32" s="5" customFormat="1" customHeight="1" spans="1:34">
      <c r="A32" s="120"/>
      <c r="B32" s="120"/>
      <c r="C32" s="65"/>
      <c r="D32" s="61"/>
      <c r="E32" s="37"/>
      <c r="F32" s="62"/>
      <c r="G32" s="37"/>
      <c r="H32" s="37"/>
      <c r="I32" s="61"/>
      <c r="J32" s="61"/>
      <c r="K32" s="61"/>
      <c r="L32" s="63"/>
      <c r="M32" s="61"/>
      <c r="N32" s="67"/>
      <c r="O32" s="37"/>
      <c r="P32" s="63"/>
      <c r="Q32" s="61"/>
      <c r="R32" s="61"/>
      <c r="S32" s="61"/>
      <c r="T32" s="61"/>
      <c r="U32" s="61"/>
      <c r="V32" s="37"/>
      <c r="W32" s="37"/>
      <c r="X32" s="37"/>
      <c r="Y32" s="66"/>
      <c r="Z32" s="115"/>
      <c r="AA32" s="120"/>
      <c r="AB32" s="126"/>
      <c r="AC32" s="69"/>
      <c r="AD32" s="69"/>
      <c r="AE32" s="127"/>
      <c r="AF32" s="120"/>
      <c r="AG32" s="127"/>
    </row>
    <row r="33" s="5" customFormat="1" customHeight="1" spans="1:33">
      <c r="A33" s="120"/>
      <c r="B33" s="120"/>
      <c r="C33" s="65"/>
      <c r="D33" s="61"/>
      <c r="E33" s="37"/>
      <c r="F33" s="62"/>
      <c r="G33" s="37"/>
      <c r="H33" s="37"/>
      <c r="I33" s="61"/>
      <c r="J33" s="61"/>
      <c r="K33" s="61"/>
      <c r="L33" s="61"/>
      <c r="M33" s="61"/>
      <c r="N33" s="61"/>
      <c r="O33" s="37"/>
      <c r="P33" s="63"/>
      <c r="Q33" s="61"/>
      <c r="R33" s="61"/>
      <c r="S33" s="61"/>
      <c r="T33" s="61"/>
      <c r="U33" s="61"/>
      <c r="V33" s="37"/>
      <c r="W33" s="37"/>
      <c r="X33" s="37"/>
      <c r="Y33" s="66"/>
      <c r="Z33" s="115"/>
      <c r="AA33" s="120"/>
      <c r="AB33" s="126"/>
      <c r="AC33" s="69"/>
      <c r="AD33" s="69"/>
      <c r="AE33" s="127"/>
      <c r="AF33" s="120"/>
      <c r="AG33" s="127"/>
    </row>
    <row r="34" s="5" customFormat="1" customHeight="1" spans="1:33">
      <c r="A34" s="120"/>
      <c r="B34" s="120"/>
      <c r="C34" s="65"/>
      <c r="D34" s="61"/>
      <c r="E34" s="37"/>
      <c r="F34" s="62"/>
      <c r="G34" s="37"/>
      <c r="H34" s="37"/>
      <c r="I34" s="61"/>
      <c r="J34" s="61"/>
      <c r="K34" s="61"/>
      <c r="L34" s="61"/>
      <c r="M34" s="61"/>
      <c r="N34" s="61"/>
      <c r="O34" s="37"/>
      <c r="P34" s="63"/>
      <c r="Q34" s="61"/>
      <c r="R34" s="61"/>
      <c r="S34" s="61"/>
      <c r="T34" s="61"/>
      <c r="U34" s="61"/>
      <c r="V34" s="37"/>
      <c r="W34" s="37"/>
      <c r="X34" s="37"/>
      <c r="Y34" s="66"/>
      <c r="Z34" s="120"/>
      <c r="AA34" s="120"/>
      <c r="AB34" s="126"/>
      <c r="AC34" s="69"/>
      <c r="AD34" s="69"/>
      <c r="AE34" s="127"/>
      <c r="AF34" s="120"/>
      <c r="AG34" s="127"/>
    </row>
    <row r="35" s="5" customFormat="1" customHeight="1" spans="1:33">
      <c r="A35" s="120"/>
      <c r="B35" s="120"/>
      <c r="C35" s="65"/>
      <c r="D35" s="61"/>
      <c r="E35" s="37"/>
      <c r="F35" s="62"/>
      <c r="G35" s="37"/>
      <c r="H35" s="37"/>
      <c r="I35" s="61"/>
      <c r="J35" s="61"/>
      <c r="K35" s="61"/>
      <c r="L35" s="61"/>
      <c r="M35" s="61"/>
      <c r="N35" s="61"/>
      <c r="O35" s="37"/>
      <c r="P35" s="63"/>
      <c r="Q35" s="61"/>
      <c r="R35" s="61"/>
      <c r="S35" s="61"/>
      <c r="T35" s="61"/>
      <c r="U35" s="61"/>
      <c r="V35" s="37"/>
      <c r="W35" s="37"/>
      <c r="X35" s="37"/>
      <c r="Y35" s="66"/>
      <c r="Z35" s="120"/>
      <c r="AA35" s="120"/>
      <c r="AB35" s="126"/>
      <c r="AC35" s="69"/>
      <c r="AD35" s="69"/>
      <c r="AE35" s="127"/>
      <c r="AF35" s="120"/>
      <c r="AG35" s="127"/>
    </row>
    <row r="36" s="5" customFormat="1" customHeight="1" spans="1:33">
      <c r="A36" s="120"/>
      <c r="B36" s="120"/>
      <c r="C36" s="65"/>
      <c r="D36" s="61"/>
      <c r="E36" s="37"/>
      <c r="F36" s="62"/>
      <c r="G36" s="37"/>
      <c r="H36" s="37"/>
      <c r="I36" s="61"/>
      <c r="J36" s="61"/>
      <c r="K36" s="61"/>
      <c r="L36" s="61"/>
      <c r="M36" s="61"/>
      <c r="N36" s="61"/>
      <c r="O36" s="37"/>
      <c r="P36" s="63"/>
      <c r="Q36" s="61"/>
      <c r="R36" s="61"/>
      <c r="S36" s="61"/>
      <c r="T36" s="61"/>
      <c r="U36" s="61"/>
      <c r="V36" s="37"/>
      <c r="W36" s="37"/>
      <c r="X36" s="37"/>
      <c r="Y36" s="66"/>
      <c r="Z36" s="120"/>
      <c r="AA36" s="120"/>
      <c r="AB36" s="126"/>
      <c r="AC36" s="69"/>
      <c r="AD36" s="69"/>
      <c r="AE36" s="127"/>
      <c r="AF36" s="120"/>
      <c r="AG36" s="127"/>
    </row>
    <row r="37" s="5" customFormat="1" customHeight="1" spans="1:33">
      <c r="A37" s="120"/>
      <c r="B37" s="120"/>
      <c r="C37" s="65"/>
      <c r="D37" s="61"/>
      <c r="E37" s="37"/>
      <c r="F37" s="62"/>
      <c r="G37" s="37"/>
      <c r="H37" s="37"/>
      <c r="I37" s="61"/>
      <c r="J37" s="61"/>
      <c r="K37" s="61"/>
      <c r="L37" s="61"/>
      <c r="M37" s="61"/>
      <c r="N37" s="61"/>
      <c r="O37" s="37"/>
      <c r="P37" s="63"/>
      <c r="Q37" s="61"/>
      <c r="R37" s="61"/>
      <c r="S37" s="61"/>
      <c r="T37" s="61"/>
      <c r="U37" s="61"/>
      <c r="V37" s="37"/>
      <c r="W37" s="37"/>
      <c r="X37" s="37"/>
      <c r="Y37" s="66"/>
      <c r="Z37" s="120"/>
      <c r="AA37" s="120"/>
      <c r="AB37" s="126"/>
      <c r="AC37" s="69"/>
      <c r="AD37" s="69"/>
      <c r="AE37" s="127"/>
      <c r="AF37" s="120"/>
      <c r="AG37" s="127"/>
    </row>
    <row r="38" s="5" customFormat="1" customHeight="1" spans="1:33">
      <c r="A38" s="120"/>
      <c r="B38" s="120"/>
      <c r="C38" s="65"/>
      <c r="D38" s="61"/>
      <c r="E38" s="37"/>
      <c r="F38" s="62"/>
      <c r="G38" s="37"/>
      <c r="H38" s="37"/>
      <c r="I38" s="61"/>
      <c r="J38" s="61"/>
      <c r="K38" s="61"/>
      <c r="L38" s="61"/>
      <c r="M38" s="61"/>
      <c r="N38" s="61"/>
      <c r="O38" s="37"/>
      <c r="P38" s="63"/>
      <c r="Q38" s="61"/>
      <c r="R38" s="61"/>
      <c r="S38" s="61"/>
      <c r="T38" s="61"/>
      <c r="U38" s="61"/>
      <c r="V38" s="37"/>
      <c r="W38" s="37"/>
      <c r="X38" s="37"/>
      <c r="Y38" s="66"/>
      <c r="Z38" s="120"/>
      <c r="AA38" s="120"/>
      <c r="AB38" s="126"/>
      <c r="AC38" s="69"/>
      <c r="AD38" s="69"/>
      <c r="AE38" s="127"/>
      <c r="AF38" s="120"/>
      <c r="AG38" s="127"/>
    </row>
    <row r="39" s="5" customFormat="1" customHeight="1" spans="1:33">
      <c r="A39" s="120"/>
      <c r="B39" s="120"/>
      <c r="C39" s="65"/>
      <c r="D39" s="61"/>
      <c r="E39" s="37"/>
      <c r="F39" s="62"/>
      <c r="G39" s="37"/>
      <c r="H39" s="37"/>
      <c r="I39" s="61"/>
      <c r="J39" s="61"/>
      <c r="K39" s="61"/>
      <c r="L39" s="61"/>
      <c r="M39" s="61"/>
      <c r="N39" s="61"/>
      <c r="O39" s="37"/>
      <c r="P39" s="63"/>
      <c r="Q39" s="61"/>
      <c r="R39" s="61"/>
      <c r="S39" s="61"/>
      <c r="T39" s="61"/>
      <c r="U39" s="61"/>
      <c r="V39" s="37"/>
      <c r="W39" s="37"/>
      <c r="X39" s="37"/>
      <c r="Y39" s="66"/>
      <c r="Z39" s="120"/>
      <c r="AA39" s="120"/>
      <c r="AB39" s="126"/>
      <c r="AC39" s="69"/>
      <c r="AD39" s="69"/>
      <c r="AE39" s="127"/>
      <c r="AF39" s="120"/>
      <c r="AG39" s="127"/>
    </row>
    <row r="40" s="5" customFormat="1" customHeight="1" spans="1:33">
      <c r="A40" s="120"/>
      <c r="B40" s="120"/>
      <c r="C40" s="65"/>
      <c r="D40" s="61"/>
      <c r="E40" s="37"/>
      <c r="F40" s="62"/>
      <c r="G40" s="37"/>
      <c r="H40" s="37"/>
      <c r="I40" s="61"/>
      <c r="J40" s="61"/>
      <c r="K40" s="61"/>
      <c r="L40" s="61"/>
      <c r="M40" s="61"/>
      <c r="N40" s="61"/>
      <c r="O40" s="37"/>
      <c r="P40" s="61"/>
      <c r="Q40" s="61"/>
      <c r="R40" s="61"/>
      <c r="S40" s="61"/>
      <c r="T40" s="61"/>
      <c r="U40" s="61"/>
      <c r="V40" s="37"/>
      <c r="W40" s="37"/>
      <c r="X40" s="37"/>
      <c r="Y40" s="61"/>
      <c r="Z40" s="120"/>
      <c r="AA40" s="120"/>
      <c r="AB40" s="126"/>
      <c r="AC40" s="69"/>
      <c r="AD40" s="69"/>
      <c r="AE40" s="127"/>
      <c r="AF40" s="120"/>
      <c r="AG40" s="127"/>
    </row>
    <row r="41" s="5" customFormat="1" customHeight="1" spans="1:33">
      <c r="A41" s="120"/>
      <c r="B41" s="120"/>
      <c r="C41" s="65"/>
      <c r="D41" s="61"/>
      <c r="E41" s="37"/>
      <c r="F41" s="62"/>
      <c r="G41" s="37"/>
      <c r="H41" s="37"/>
      <c r="I41" s="61"/>
      <c r="J41" s="61"/>
      <c r="K41" s="61"/>
      <c r="L41" s="61"/>
      <c r="M41" s="61"/>
      <c r="N41" s="61"/>
      <c r="O41" s="37"/>
      <c r="P41" s="61"/>
      <c r="Q41" s="61"/>
      <c r="R41" s="61"/>
      <c r="S41" s="61"/>
      <c r="T41" s="61"/>
      <c r="U41" s="61"/>
      <c r="V41" s="37"/>
      <c r="W41" s="37"/>
      <c r="X41" s="37"/>
      <c r="Y41" s="61"/>
      <c r="Z41" s="120"/>
      <c r="AA41" s="120"/>
      <c r="AB41" s="126"/>
      <c r="AC41" s="69"/>
      <c r="AD41" s="69"/>
      <c r="AE41" s="127"/>
      <c r="AF41" s="120"/>
      <c r="AG41" s="127"/>
    </row>
    <row r="42" s="5" customFormat="1" customHeight="1" spans="1:33">
      <c r="A42" s="120"/>
      <c r="B42" s="120"/>
      <c r="C42" s="65"/>
      <c r="D42" s="61"/>
      <c r="E42" s="37"/>
      <c r="F42" s="62"/>
      <c r="G42" s="37"/>
      <c r="H42" s="37"/>
      <c r="I42" s="61"/>
      <c r="J42" s="61"/>
      <c r="K42" s="61"/>
      <c r="L42" s="61"/>
      <c r="M42" s="61"/>
      <c r="N42" s="61"/>
      <c r="O42" s="37"/>
      <c r="P42" s="61"/>
      <c r="Q42" s="61"/>
      <c r="R42" s="61"/>
      <c r="S42" s="61"/>
      <c r="T42" s="61"/>
      <c r="U42" s="61"/>
      <c r="V42" s="37"/>
      <c r="W42" s="37"/>
      <c r="X42" s="37"/>
      <c r="Y42" s="61"/>
      <c r="Z42" s="120"/>
      <c r="AA42" s="120"/>
      <c r="AB42" s="126"/>
      <c r="AC42" s="69"/>
      <c r="AD42" s="69"/>
      <c r="AE42" s="127"/>
      <c r="AF42" s="120"/>
      <c r="AG42" s="127"/>
    </row>
    <row r="43" s="5" customFormat="1" customHeight="1" spans="1:33">
      <c r="A43" s="120"/>
      <c r="B43" s="120"/>
      <c r="C43" s="65"/>
      <c r="D43" s="61"/>
      <c r="E43" s="37"/>
      <c r="F43" s="62"/>
      <c r="G43" s="37"/>
      <c r="H43" s="37"/>
      <c r="I43" s="61"/>
      <c r="J43" s="61"/>
      <c r="K43" s="61"/>
      <c r="L43" s="61"/>
      <c r="M43" s="61"/>
      <c r="N43" s="61"/>
      <c r="O43" s="37"/>
      <c r="P43" s="61"/>
      <c r="Q43" s="61"/>
      <c r="R43" s="61"/>
      <c r="S43" s="61"/>
      <c r="T43" s="61"/>
      <c r="U43" s="61"/>
      <c r="V43" s="37"/>
      <c r="W43" s="37"/>
      <c r="X43" s="37"/>
      <c r="Y43" s="61"/>
      <c r="Z43" s="120"/>
      <c r="AA43" s="120"/>
      <c r="AB43" s="126"/>
      <c r="AC43" s="69"/>
      <c r="AD43" s="69"/>
      <c r="AE43" s="127"/>
      <c r="AF43" s="120"/>
      <c r="AG43" s="127"/>
    </row>
    <row r="44" s="5" customFormat="1" customHeight="1" spans="1:33">
      <c r="A44" s="120"/>
      <c r="B44" s="120"/>
      <c r="C44" s="65"/>
      <c r="D44" s="61"/>
      <c r="E44" s="37"/>
      <c r="F44" s="62"/>
      <c r="G44" s="37"/>
      <c r="H44" s="37"/>
      <c r="I44" s="61"/>
      <c r="J44" s="61"/>
      <c r="K44" s="61"/>
      <c r="L44" s="61"/>
      <c r="M44" s="61"/>
      <c r="N44" s="61"/>
      <c r="O44" s="37"/>
      <c r="P44" s="61"/>
      <c r="Q44" s="61"/>
      <c r="R44" s="61"/>
      <c r="S44" s="61"/>
      <c r="T44" s="61"/>
      <c r="U44" s="61"/>
      <c r="V44" s="37"/>
      <c r="W44" s="37"/>
      <c r="X44" s="37"/>
      <c r="Y44" s="61"/>
      <c r="Z44" s="120"/>
      <c r="AA44" s="120"/>
      <c r="AB44" s="128"/>
      <c r="AC44" s="128"/>
      <c r="AD44" s="128"/>
      <c r="AE44" s="128"/>
      <c r="AF44" s="120"/>
      <c r="AG44" s="128"/>
    </row>
    <row r="45" s="5" customFormat="1" customHeight="1" spans="1:33">
      <c r="A45" s="120"/>
      <c r="B45" s="120"/>
      <c r="C45" s="65"/>
      <c r="D45" s="61"/>
      <c r="E45" s="37"/>
      <c r="F45" s="62"/>
      <c r="G45" s="37"/>
      <c r="H45" s="37"/>
      <c r="I45" s="61"/>
      <c r="J45" s="61"/>
      <c r="K45" s="61"/>
      <c r="L45" s="61"/>
      <c r="M45" s="61"/>
      <c r="N45" s="61"/>
      <c r="O45" s="37"/>
      <c r="P45" s="61"/>
      <c r="Q45" s="61"/>
      <c r="R45" s="61"/>
      <c r="S45" s="61"/>
      <c r="T45" s="61"/>
      <c r="U45" s="61"/>
      <c r="V45" s="37"/>
      <c r="W45" s="37"/>
      <c r="X45" s="37"/>
      <c r="Y45" s="61"/>
      <c r="Z45" s="120"/>
      <c r="AA45" s="120"/>
      <c r="AB45" s="128"/>
      <c r="AC45" s="128"/>
      <c r="AD45" s="128"/>
      <c r="AE45" s="128"/>
      <c r="AF45" s="120"/>
      <c r="AG45" s="128"/>
    </row>
    <row r="46" s="5" customFormat="1" customHeight="1" spans="1:33">
      <c r="A46" s="120"/>
      <c r="B46" s="120"/>
      <c r="C46" s="65"/>
      <c r="D46" s="61"/>
      <c r="E46" s="37"/>
      <c r="F46" s="62"/>
      <c r="G46" s="37"/>
      <c r="H46" s="37"/>
      <c r="I46" s="61"/>
      <c r="J46" s="61"/>
      <c r="K46" s="61"/>
      <c r="L46" s="61"/>
      <c r="M46" s="61"/>
      <c r="N46" s="61"/>
      <c r="O46" s="37"/>
      <c r="P46" s="61"/>
      <c r="Q46" s="61"/>
      <c r="R46" s="61"/>
      <c r="S46" s="61"/>
      <c r="T46" s="61"/>
      <c r="U46" s="61"/>
      <c r="V46" s="37"/>
      <c r="W46" s="37"/>
      <c r="X46" s="37"/>
      <c r="Y46" s="61"/>
      <c r="Z46" s="120"/>
      <c r="AA46" s="120"/>
      <c r="AB46" s="128"/>
      <c r="AC46" s="128"/>
      <c r="AD46" s="128"/>
      <c r="AE46" s="128"/>
      <c r="AF46" s="120"/>
      <c r="AG46" s="128"/>
    </row>
    <row r="47" s="5" customFormat="1" customHeight="1" spans="1:33">
      <c r="A47" s="120"/>
      <c r="B47" s="120"/>
      <c r="C47" s="65"/>
      <c r="D47" s="61"/>
      <c r="E47" s="37"/>
      <c r="F47" s="62"/>
      <c r="G47" s="37"/>
      <c r="H47" s="37"/>
      <c r="I47" s="61"/>
      <c r="J47" s="61"/>
      <c r="K47" s="61"/>
      <c r="L47" s="61"/>
      <c r="M47" s="61"/>
      <c r="N47" s="61"/>
      <c r="O47" s="37"/>
      <c r="P47" s="61"/>
      <c r="Q47" s="61"/>
      <c r="R47" s="61"/>
      <c r="S47" s="61"/>
      <c r="T47" s="61"/>
      <c r="U47" s="61"/>
      <c r="V47" s="37"/>
      <c r="W47" s="37"/>
      <c r="X47" s="37"/>
      <c r="Y47" s="61"/>
      <c r="Z47" s="120"/>
      <c r="AA47" s="120"/>
      <c r="AB47" s="128"/>
      <c r="AC47" s="128"/>
      <c r="AD47" s="128"/>
      <c r="AE47" s="128"/>
      <c r="AF47" s="120"/>
      <c r="AG47" s="128"/>
    </row>
    <row r="48" s="5" customFormat="1" customHeight="1" spans="1:33">
      <c r="A48" s="129"/>
      <c r="B48" s="129"/>
      <c r="C48" s="130"/>
      <c r="D48" s="73"/>
      <c r="E48" s="74"/>
      <c r="F48" s="73"/>
      <c r="G48" s="74"/>
      <c r="H48" s="74"/>
      <c r="I48" s="73"/>
      <c r="J48" s="73"/>
      <c r="K48" s="73"/>
      <c r="L48" s="73"/>
      <c r="M48" s="73"/>
      <c r="N48" s="73"/>
      <c r="O48" s="74"/>
      <c r="P48" s="73"/>
      <c r="Q48" s="73"/>
      <c r="R48" s="73"/>
      <c r="S48" s="73"/>
      <c r="T48" s="73"/>
      <c r="U48" s="73"/>
      <c r="V48" s="74"/>
      <c r="W48" s="74"/>
      <c r="X48" s="74"/>
      <c r="Y48" s="73"/>
      <c r="Z48" s="129"/>
      <c r="AA48" s="129"/>
      <c r="AB48" s="131"/>
      <c r="AC48" s="131"/>
      <c r="AD48" s="131"/>
      <c r="AE48" s="131"/>
      <c r="AF48" s="131"/>
      <c r="AG48" s="131"/>
    </row>
    <row r="50" s="3" customFormat="1" customHeight="1" spans="1:33">
      <c r="A50" s="117" t="s">
        <v>373</v>
      </c>
      <c r="B50" s="118"/>
      <c r="C50" s="118">
        <f t="shared" ref="C50:H50" si="5">SUM(C53:C77)</f>
        <v>51906919.9909735</v>
      </c>
      <c r="E50" s="3">
        <f t="shared" si="5"/>
        <v>51906919.9909735</v>
      </c>
      <c r="G50" s="3">
        <f t="shared" si="5"/>
        <v>47294143.33</v>
      </c>
      <c r="H50" s="3">
        <f t="shared" si="5"/>
        <v>4612776.6609735</v>
      </c>
      <c r="J50" s="3">
        <f>SUM(J53:J77)</f>
        <v>0</v>
      </c>
      <c r="K50" s="3">
        <f>SUM(K53:K77)</f>
        <v>0</v>
      </c>
      <c r="R50" s="3">
        <f t="shared" ref="R50:T50" si="6">SUM(R53:R77)</f>
        <v>51906919.99</v>
      </c>
      <c r="S50" s="3">
        <f t="shared" si="6"/>
        <v>46957488.83</v>
      </c>
      <c r="T50" s="3">
        <f t="shared" si="6"/>
        <v>4949431.16</v>
      </c>
      <c r="Z50" s="118"/>
      <c r="AA50" s="118">
        <f>SUM(AA53:AA77)</f>
        <v>51840919.99</v>
      </c>
      <c r="AB50" s="118"/>
      <c r="AC50" s="118"/>
      <c r="AD50" s="118">
        <v>51840919.99</v>
      </c>
      <c r="AE50" s="118">
        <f>AA50-AD50</f>
        <v>0</v>
      </c>
      <c r="AF50" s="118"/>
      <c r="AG50" s="118"/>
    </row>
    <row r="51" s="4" customFormat="1" customHeight="1" spans="1:33">
      <c r="A51" s="45" t="s">
        <v>374</v>
      </c>
      <c r="B51" s="45"/>
      <c r="C51" s="45"/>
      <c r="D51" s="45"/>
      <c r="E51" s="45"/>
      <c r="F51" s="45"/>
      <c r="G51" s="45"/>
      <c r="H51" s="45"/>
      <c r="I51" s="45"/>
      <c r="J51" s="45"/>
      <c r="K51" s="45"/>
      <c r="L51" s="49" t="s">
        <v>375</v>
      </c>
      <c r="M51" s="50"/>
      <c r="N51" s="50"/>
      <c r="O51" s="50"/>
      <c r="P51" s="50"/>
      <c r="Q51" s="50"/>
      <c r="R51" s="50"/>
      <c r="S51" s="50"/>
      <c r="T51" s="50"/>
      <c r="U51" s="51"/>
      <c r="V51" s="52" t="s">
        <v>376</v>
      </c>
      <c r="W51" s="53"/>
      <c r="X51" s="53"/>
      <c r="Y51" s="53"/>
      <c r="Z51" s="53"/>
      <c r="AA51" s="53"/>
      <c r="AB51" s="53"/>
      <c r="AC51" s="54"/>
      <c r="AD51" s="132"/>
      <c r="AE51" s="132"/>
      <c r="AF51" s="132"/>
      <c r="AG51" s="132"/>
    </row>
    <row r="52" s="4" customFormat="1" customHeight="1" spans="1:33">
      <c r="A52" s="55" t="s">
        <v>291</v>
      </c>
      <c r="B52" s="55" t="s">
        <v>345</v>
      </c>
      <c r="C52" s="55" t="s">
        <v>346</v>
      </c>
      <c r="D52" s="55" t="s">
        <v>347</v>
      </c>
      <c r="E52" s="55" t="s">
        <v>377</v>
      </c>
      <c r="F52" s="55" t="s">
        <v>349</v>
      </c>
      <c r="G52" s="55" t="s">
        <v>350</v>
      </c>
      <c r="H52" s="55" t="s">
        <v>351</v>
      </c>
      <c r="I52" s="55" t="s">
        <v>352</v>
      </c>
      <c r="J52" s="55" t="s">
        <v>353</v>
      </c>
      <c r="K52" s="55" t="s">
        <v>354</v>
      </c>
      <c r="L52" s="57" t="s">
        <v>291</v>
      </c>
      <c r="M52" s="57" t="s">
        <v>355</v>
      </c>
      <c r="N52" s="58" t="s">
        <v>358</v>
      </c>
      <c r="O52" s="57" t="s">
        <v>359</v>
      </c>
      <c r="P52" s="57" t="s">
        <v>360</v>
      </c>
      <c r="Q52" s="57" t="s">
        <v>361</v>
      </c>
      <c r="R52" s="57" t="s">
        <v>362</v>
      </c>
      <c r="S52" s="57" t="s">
        <v>363</v>
      </c>
      <c r="T52" s="57" t="s">
        <v>364</v>
      </c>
      <c r="U52" s="59" t="s">
        <v>349</v>
      </c>
      <c r="V52" s="60" t="s">
        <v>291</v>
      </c>
      <c r="W52" s="60" t="s">
        <v>365</v>
      </c>
      <c r="X52" s="60" t="s">
        <v>378</v>
      </c>
      <c r="Y52" s="60" t="s">
        <v>379</v>
      </c>
      <c r="Z52" s="60" t="s">
        <v>380</v>
      </c>
      <c r="AA52" s="60" t="s">
        <v>381</v>
      </c>
      <c r="AB52" s="60" t="s">
        <v>382</v>
      </c>
      <c r="AC52" s="60" t="s">
        <v>383</v>
      </c>
      <c r="AD52" s="132"/>
      <c r="AE52" s="132"/>
      <c r="AF52" s="132"/>
      <c r="AG52" s="132"/>
    </row>
    <row r="53" s="5" customFormat="1" customHeight="1" spans="1:33">
      <c r="A53" s="133" t="s">
        <v>481</v>
      </c>
      <c r="B53" s="120"/>
      <c r="C53" s="65">
        <v>360000</v>
      </c>
      <c r="D53" s="121" t="s">
        <v>311</v>
      </c>
      <c r="E53" s="37">
        <v>360000</v>
      </c>
      <c r="F53" s="62">
        <v>0.06</v>
      </c>
      <c r="G53" s="37">
        <f t="shared" ref="G53:G58" si="7">ROUND(E53/(1+F53),2)</f>
        <v>339622.64</v>
      </c>
      <c r="H53" s="37">
        <f t="shared" ref="H53:H58" si="8">C53-G53</f>
        <v>20377.36</v>
      </c>
      <c r="I53" s="122">
        <v>43668</v>
      </c>
      <c r="J53" s="61"/>
      <c r="K53" s="61"/>
      <c r="L53" s="67" t="s">
        <v>481</v>
      </c>
      <c r="M53" s="122">
        <v>43851</v>
      </c>
      <c r="N53" s="121" t="s">
        <v>311</v>
      </c>
      <c r="O53" s="68"/>
      <c r="P53" s="61"/>
      <c r="Q53" s="61"/>
      <c r="R53" s="124">
        <v>360000</v>
      </c>
      <c r="S53" s="37">
        <f t="shared" ref="S53:S58" si="9">ROUND(R53/(1+U53),2)</f>
        <v>339622.64</v>
      </c>
      <c r="T53" s="37">
        <f t="shared" ref="T53:T58" si="10">R53-S53</f>
        <v>20377.36</v>
      </c>
      <c r="U53" s="66">
        <v>0.06</v>
      </c>
      <c r="V53" s="67" t="s">
        <v>453</v>
      </c>
      <c r="W53" s="122">
        <v>45390</v>
      </c>
      <c r="X53" s="68" t="s">
        <v>372</v>
      </c>
      <c r="Y53" s="69" t="s">
        <v>476</v>
      </c>
      <c r="Z53" s="120"/>
      <c r="AA53" s="65">
        <f>27945306+1956000</f>
        <v>29901306</v>
      </c>
      <c r="AB53" s="134"/>
      <c r="AC53" s="120"/>
      <c r="AD53" s="135"/>
      <c r="AE53" s="135"/>
      <c r="AF53" s="135"/>
      <c r="AG53" s="135"/>
    </row>
    <row r="54" s="5" customFormat="1" customHeight="1" spans="1:33">
      <c r="A54" s="133" t="s">
        <v>456</v>
      </c>
      <c r="B54" s="120"/>
      <c r="C54" s="136">
        <v>490000</v>
      </c>
      <c r="D54" s="121" t="s">
        <v>311</v>
      </c>
      <c r="E54" s="78">
        <v>490000</v>
      </c>
      <c r="F54" s="62">
        <v>0.06</v>
      </c>
      <c r="G54" s="37">
        <f t="shared" si="7"/>
        <v>462264.15</v>
      </c>
      <c r="H54" s="37">
        <f t="shared" si="8"/>
        <v>27735.85</v>
      </c>
      <c r="I54" s="122">
        <v>43668</v>
      </c>
      <c r="J54" s="61"/>
      <c r="K54" s="61"/>
      <c r="L54" s="137" t="s">
        <v>456</v>
      </c>
      <c r="M54" s="122">
        <v>43851</v>
      </c>
      <c r="N54" s="121" t="s">
        <v>311</v>
      </c>
      <c r="O54" s="80"/>
      <c r="P54" s="72"/>
      <c r="Q54" s="72"/>
      <c r="R54" s="124">
        <v>490000</v>
      </c>
      <c r="S54" s="37">
        <f t="shared" si="9"/>
        <v>462264.15</v>
      </c>
      <c r="T54" s="37">
        <f t="shared" si="10"/>
        <v>27735.85</v>
      </c>
      <c r="U54" s="66">
        <v>0.06</v>
      </c>
      <c r="V54" s="67" t="s">
        <v>459</v>
      </c>
      <c r="W54" s="122">
        <v>45390</v>
      </c>
      <c r="X54" s="68" t="s">
        <v>372</v>
      </c>
      <c r="Y54" s="69" t="s">
        <v>476</v>
      </c>
      <c r="Z54" s="120"/>
      <c r="AA54" s="65">
        <f>20111613.99+978000</f>
        <v>21089613.99</v>
      </c>
      <c r="AB54" s="134"/>
      <c r="AC54" s="120"/>
      <c r="AD54" s="135"/>
      <c r="AE54" s="135"/>
      <c r="AF54" s="135"/>
      <c r="AG54" s="135"/>
    </row>
    <row r="55" s="5" customFormat="1" customHeight="1" spans="1:33">
      <c r="A55" s="133" t="s">
        <v>453</v>
      </c>
      <c r="B55" s="120"/>
      <c r="C55" s="136">
        <v>27945306</v>
      </c>
      <c r="D55" s="121" t="s">
        <v>312</v>
      </c>
      <c r="E55" s="78">
        <v>27945306</v>
      </c>
      <c r="F55" s="62">
        <v>0.09</v>
      </c>
      <c r="G55" s="37">
        <f t="shared" si="7"/>
        <v>25637895.41</v>
      </c>
      <c r="H55" s="37">
        <f t="shared" si="8"/>
        <v>2307410.59</v>
      </c>
      <c r="I55" s="122">
        <v>44173</v>
      </c>
      <c r="J55" s="61"/>
      <c r="K55" s="61"/>
      <c r="L55" s="67" t="s">
        <v>453</v>
      </c>
      <c r="M55" s="122">
        <v>44236</v>
      </c>
      <c r="N55" s="121" t="s">
        <v>312</v>
      </c>
      <c r="O55" s="82"/>
      <c r="P55" s="61"/>
      <c r="Q55" s="61"/>
      <c r="R55" s="124">
        <v>27945306</v>
      </c>
      <c r="S55" s="37">
        <f t="shared" si="9"/>
        <v>25637895.41</v>
      </c>
      <c r="T55" s="37">
        <f t="shared" si="10"/>
        <v>2307410.59</v>
      </c>
      <c r="U55" s="66">
        <v>0.09</v>
      </c>
      <c r="V55" s="67" t="s">
        <v>456</v>
      </c>
      <c r="W55" s="122">
        <v>45390</v>
      </c>
      <c r="X55" s="68" t="s">
        <v>372</v>
      </c>
      <c r="Y55" s="69" t="s">
        <v>476</v>
      </c>
      <c r="Z55" s="120"/>
      <c r="AA55" s="65">
        <v>490000</v>
      </c>
      <c r="AB55" s="134"/>
      <c r="AC55" s="128"/>
      <c r="AD55" s="135"/>
      <c r="AE55" s="135"/>
      <c r="AF55" s="135"/>
      <c r="AG55" s="135"/>
    </row>
    <row r="56" s="5" customFormat="1" customHeight="1" spans="1:33">
      <c r="A56" s="133" t="s">
        <v>459</v>
      </c>
      <c r="B56" s="120"/>
      <c r="C56" s="136">
        <v>17185309.4409735</v>
      </c>
      <c r="D56" s="121" t="s">
        <v>313</v>
      </c>
      <c r="E56" s="78">
        <v>17185309.4409735</v>
      </c>
      <c r="F56" s="62">
        <v>0.13</v>
      </c>
      <c r="G56" s="37">
        <f t="shared" si="7"/>
        <v>15208238.44</v>
      </c>
      <c r="H56" s="37">
        <f t="shared" si="8"/>
        <v>1977071.0009735</v>
      </c>
      <c r="I56" s="122">
        <v>44173</v>
      </c>
      <c r="J56" s="61"/>
      <c r="K56" s="61"/>
      <c r="L56" s="67" t="s">
        <v>459</v>
      </c>
      <c r="M56" s="122">
        <v>43808</v>
      </c>
      <c r="N56" s="121" t="s">
        <v>313</v>
      </c>
      <c r="O56" s="83"/>
      <c r="P56" s="61"/>
      <c r="Q56" s="61"/>
      <c r="R56" s="124">
        <v>20111613.99</v>
      </c>
      <c r="S56" s="37">
        <f t="shared" si="9"/>
        <v>17797888.49</v>
      </c>
      <c r="T56" s="37">
        <f t="shared" si="10"/>
        <v>2313725.5</v>
      </c>
      <c r="U56" s="66">
        <v>0.13</v>
      </c>
      <c r="V56" s="67" t="s">
        <v>481</v>
      </c>
      <c r="W56" s="122">
        <v>45390</v>
      </c>
      <c r="X56" s="68" t="s">
        <v>372</v>
      </c>
      <c r="Y56" s="69" t="s">
        <v>476</v>
      </c>
      <c r="Z56" s="120"/>
      <c r="AA56" s="65">
        <v>360000</v>
      </c>
      <c r="AB56" s="134"/>
      <c r="AC56" s="128"/>
      <c r="AD56" s="135"/>
      <c r="AE56" s="135"/>
      <c r="AF56" s="135"/>
      <c r="AG56" s="135"/>
    </row>
    <row r="57" s="5" customFormat="1" customHeight="1" spans="1:33">
      <c r="A57" s="133" t="s">
        <v>459</v>
      </c>
      <c r="B57" s="120"/>
      <c r="C57" s="136">
        <v>2926304.55</v>
      </c>
      <c r="D57" s="67" t="s">
        <v>313</v>
      </c>
      <c r="E57" s="78">
        <v>2926304.55</v>
      </c>
      <c r="F57" s="62">
        <v>0.13</v>
      </c>
      <c r="G57" s="37">
        <v>2926304.55</v>
      </c>
      <c r="H57" s="37"/>
      <c r="I57" s="122">
        <v>45616</v>
      </c>
      <c r="J57" s="61"/>
      <c r="K57" s="61"/>
      <c r="L57" s="67" t="s">
        <v>459</v>
      </c>
      <c r="M57" s="122">
        <v>43808</v>
      </c>
      <c r="N57" s="138" t="s">
        <v>313</v>
      </c>
      <c r="O57" s="83"/>
      <c r="P57" s="61"/>
      <c r="Q57" s="61"/>
      <c r="R57" s="37">
        <v>1000000</v>
      </c>
      <c r="S57" s="37">
        <f t="shared" si="9"/>
        <v>884955.75</v>
      </c>
      <c r="T57" s="37">
        <f t="shared" si="10"/>
        <v>115044.25</v>
      </c>
      <c r="U57" s="66">
        <v>0.13</v>
      </c>
      <c r="V57" s="67"/>
      <c r="W57" s="61"/>
      <c r="X57" s="68"/>
      <c r="Y57" s="61"/>
      <c r="Z57" s="120"/>
      <c r="AA57" s="65"/>
      <c r="AB57" s="134"/>
      <c r="AC57" s="128"/>
      <c r="AD57" s="135"/>
      <c r="AE57" s="135"/>
      <c r="AF57" s="135"/>
      <c r="AG57" s="135"/>
    </row>
    <row r="58" s="5" customFormat="1" customHeight="1" spans="1:33">
      <c r="A58" s="133" t="s">
        <v>453</v>
      </c>
      <c r="B58" s="120"/>
      <c r="C58" s="136">
        <v>2000000</v>
      </c>
      <c r="D58" s="67" t="s">
        <v>312</v>
      </c>
      <c r="E58" s="78">
        <v>2000000</v>
      </c>
      <c r="F58" s="62">
        <v>0.09</v>
      </c>
      <c r="G58" s="37">
        <f>ROUND(E58/(1+F58),2)</f>
        <v>1834862.39</v>
      </c>
      <c r="H58" s="37">
        <f>C58-G58</f>
        <v>165137.61</v>
      </c>
      <c r="I58" s="122">
        <v>45390</v>
      </c>
      <c r="J58" s="61"/>
      <c r="K58" s="61"/>
      <c r="L58" s="67" t="s">
        <v>453</v>
      </c>
      <c r="M58" s="122">
        <v>45390</v>
      </c>
      <c r="N58" s="138" t="s">
        <v>312</v>
      </c>
      <c r="O58" s="84"/>
      <c r="P58" s="61"/>
      <c r="Q58" s="61"/>
      <c r="R58" s="37">
        <v>2000000</v>
      </c>
      <c r="S58" s="37">
        <f t="shared" si="9"/>
        <v>1834862.39</v>
      </c>
      <c r="T58" s="37">
        <f t="shared" si="10"/>
        <v>165137.61</v>
      </c>
      <c r="U58" s="66">
        <v>0.09</v>
      </c>
      <c r="V58" s="67"/>
      <c r="W58" s="61"/>
      <c r="X58" s="68"/>
      <c r="Y58" s="61"/>
      <c r="Z58" s="120"/>
      <c r="AA58" s="65"/>
      <c r="AB58" s="134"/>
      <c r="AC58" s="128"/>
      <c r="AD58" s="135"/>
      <c r="AE58" s="135"/>
      <c r="AF58" s="135"/>
      <c r="AG58" s="135"/>
    </row>
    <row r="59" s="5" customFormat="1" customHeight="1" spans="1:33">
      <c r="A59" s="133" t="s">
        <v>453</v>
      </c>
      <c r="B59" s="120"/>
      <c r="C59" s="136">
        <v>6108071.41</v>
      </c>
      <c r="D59" s="67" t="s">
        <v>312</v>
      </c>
      <c r="E59" s="78">
        <v>6108071.41</v>
      </c>
      <c r="F59" s="62">
        <v>0.09</v>
      </c>
      <c r="G59" s="37">
        <f>ROUND(E59/(1+F59),2)</f>
        <v>5603735.24</v>
      </c>
      <c r="H59" s="37">
        <f>C59-G59</f>
        <v>504336.17</v>
      </c>
      <c r="I59" s="122">
        <v>45616</v>
      </c>
      <c r="J59" s="61"/>
      <c r="K59" s="61"/>
      <c r="L59" s="79"/>
      <c r="M59" s="72"/>
      <c r="N59" s="77"/>
      <c r="O59" s="80"/>
      <c r="P59" s="72"/>
      <c r="Q59" s="72"/>
      <c r="R59" s="81"/>
      <c r="S59" s="81"/>
      <c r="T59" s="81"/>
      <c r="U59" s="85"/>
      <c r="V59" s="67"/>
      <c r="W59" s="61"/>
      <c r="X59" s="68"/>
      <c r="Y59" s="61"/>
      <c r="Z59" s="120"/>
      <c r="AA59" s="65"/>
      <c r="AB59" s="134"/>
      <c r="AC59" s="128"/>
      <c r="AD59" s="135"/>
      <c r="AE59" s="135"/>
      <c r="AF59" s="135"/>
      <c r="AG59" s="135"/>
    </row>
    <row r="60" s="5" customFormat="1" customHeight="1" spans="1:33">
      <c r="A60" s="133" t="s">
        <v>453</v>
      </c>
      <c r="B60" s="120"/>
      <c r="C60" s="136">
        <v>-6108071.41</v>
      </c>
      <c r="D60" s="67" t="s">
        <v>312</v>
      </c>
      <c r="E60" s="78">
        <v>-6108071.41</v>
      </c>
      <c r="F60" s="62">
        <v>0.09</v>
      </c>
      <c r="G60" s="37">
        <f>ROUND(E60/(1+F60),2)</f>
        <v>-5603735.24</v>
      </c>
      <c r="H60" s="37">
        <f>C60-G60</f>
        <v>-504336.17</v>
      </c>
      <c r="I60" s="122">
        <v>45635</v>
      </c>
      <c r="J60" s="61"/>
      <c r="K60" s="61"/>
      <c r="L60" s="67"/>
      <c r="M60" s="61"/>
      <c r="N60" s="77"/>
      <c r="O60" s="68"/>
      <c r="P60" s="61"/>
      <c r="Q60" s="61"/>
      <c r="R60" s="37"/>
      <c r="S60" s="37"/>
      <c r="T60" s="37"/>
      <c r="U60" s="66"/>
      <c r="V60" s="67"/>
      <c r="W60" s="61"/>
      <c r="X60" s="68"/>
      <c r="Y60" s="61"/>
      <c r="Z60" s="120"/>
      <c r="AA60" s="65"/>
      <c r="AB60" s="134"/>
      <c r="AC60" s="128"/>
      <c r="AD60" s="135"/>
      <c r="AE60" s="135"/>
      <c r="AF60" s="135"/>
      <c r="AG60" s="135"/>
    </row>
    <row r="61" s="5" customFormat="1" customHeight="1" spans="1:33">
      <c r="A61" s="133" t="s">
        <v>459</v>
      </c>
      <c r="B61" s="120"/>
      <c r="C61" s="139">
        <v>1000000</v>
      </c>
      <c r="D61" s="67" t="s">
        <v>313</v>
      </c>
      <c r="E61" s="140">
        <v>1000000</v>
      </c>
      <c r="F61" s="62">
        <v>0.13</v>
      </c>
      <c r="G61" s="37">
        <f>ROUND(E61/(1+F61),2)</f>
        <v>884955.75</v>
      </c>
      <c r="H61" s="37">
        <f>C61-G61</f>
        <v>115044.25</v>
      </c>
      <c r="I61" s="122">
        <v>45390</v>
      </c>
      <c r="J61" s="61"/>
      <c r="K61" s="61"/>
      <c r="L61" s="67"/>
      <c r="M61" s="61"/>
      <c r="N61" s="77"/>
      <c r="O61" s="68"/>
      <c r="P61" s="61"/>
      <c r="Q61" s="61"/>
      <c r="R61" s="37"/>
      <c r="S61" s="37"/>
      <c r="T61" s="37"/>
      <c r="U61" s="66"/>
      <c r="V61" s="67"/>
      <c r="W61" s="61"/>
      <c r="X61" s="68"/>
      <c r="Y61" s="61"/>
      <c r="Z61" s="120"/>
      <c r="AA61" s="65"/>
      <c r="AB61" s="134"/>
      <c r="AC61" s="128"/>
      <c r="AD61" s="135"/>
      <c r="AE61" s="135"/>
      <c r="AF61" s="135"/>
      <c r="AG61" s="135"/>
    </row>
    <row r="62" s="5" customFormat="1" customHeight="1" spans="1:33">
      <c r="A62" s="133"/>
      <c r="B62" s="120"/>
      <c r="C62" s="139"/>
      <c r="D62" s="67"/>
      <c r="E62" s="140"/>
      <c r="F62" s="62"/>
      <c r="G62" s="37"/>
      <c r="H62" s="37"/>
      <c r="I62" s="61"/>
      <c r="J62" s="61"/>
      <c r="K62" s="61"/>
      <c r="L62" s="61"/>
      <c r="M62" s="61"/>
      <c r="N62" s="77"/>
      <c r="O62" s="61"/>
      <c r="P62" s="61"/>
      <c r="Q62" s="61"/>
      <c r="R62" s="37"/>
      <c r="S62" s="37"/>
      <c r="T62" s="37"/>
      <c r="U62" s="66"/>
      <c r="V62" s="67"/>
      <c r="W62" s="61"/>
      <c r="X62" s="68"/>
      <c r="Y62" s="61"/>
      <c r="Z62" s="120"/>
      <c r="AA62" s="65"/>
      <c r="AB62" s="134"/>
      <c r="AC62" s="128"/>
      <c r="AD62" s="135"/>
      <c r="AE62" s="135"/>
      <c r="AF62" s="135"/>
      <c r="AG62" s="135"/>
    </row>
    <row r="63" s="5" customFormat="1" customHeight="1" spans="1:33">
      <c r="A63" s="120"/>
      <c r="B63" s="120"/>
      <c r="C63" s="120"/>
      <c r="D63" s="61"/>
      <c r="E63" s="61"/>
      <c r="F63" s="61"/>
      <c r="G63" s="37"/>
      <c r="H63" s="37"/>
      <c r="I63" s="61"/>
      <c r="J63" s="61"/>
      <c r="K63" s="61"/>
      <c r="L63" s="61"/>
      <c r="M63" s="61"/>
      <c r="N63" s="77"/>
      <c r="O63" s="61"/>
      <c r="P63" s="61"/>
      <c r="Q63" s="61"/>
      <c r="R63" s="37"/>
      <c r="S63" s="37"/>
      <c r="T63" s="37"/>
      <c r="U63" s="66"/>
      <c r="V63" s="67"/>
      <c r="W63" s="61"/>
      <c r="X63" s="68"/>
      <c r="Y63" s="61"/>
      <c r="Z63" s="120"/>
      <c r="AA63" s="65"/>
      <c r="AB63" s="134"/>
      <c r="AC63" s="128"/>
      <c r="AD63" s="135"/>
      <c r="AE63" s="135"/>
      <c r="AF63" s="135"/>
      <c r="AG63" s="135"/>
    </row>
    <row r="64" s="5" customFormat="1" customHeight="1" spans="1:33">
      <c r="A64" s="133"/>
      <c r="B64" s="120"/>
      <c r="C64" s="120"/>
      <c r="D64" s="67"/>
      <c r="E64" s="61"/>
      <c r="F64" s="62"/>
      <c r="G64" s="37"/>
      <c r="H64" s="37"/>
      <c r="I64" s="61"/>
      <c r="J64" s="61"/>
      <c r="K64" s="61"/>
      <c r="L64" s="61"/>
      <c r="M64" s="61"/>
      <c r="N64" s="77"/>
      <c r="O64" s="61"/>
      <c r="P64" s="61"/>
      <c r="Q64" s="61"/>
      <c r="R64" s="37"/>
      <c r="S64" s="37"/>
      <c r="T64" s="37"/>
      <c r="U64" s="66"/>
      <c r="V64" s="67"/>
      <c r="W64" s="61"/>
      <c r="X64" s="68"/>
      <c r="Y64" s="61"/>
      <c r="Z64" s="120"/>
      <c r="AA64" s="65"/>
      <c r="AB64" s="134"/>
      <c r="AC64" s="128"/>
      <c r="AD64" s="135"/>
      <c r="AE64" s="135"/>
      <c r="AF64" s="135"/>
      <c r="AG64" s="135"/>
    </row>
    <row r="65" s="5" customFormat="1" customHeight="1" spans="1:33">
      <c r="A65" s="120"/>
      <c r="B65" s="120"/>
      <c r="C65" s="120"/>
      <c r="D65" s="61"/>
      <c r="E65" s="61"/>
      <c r="F65" s="61"/>
      <c r="G65" s="37"/>
      <c r="H65" s="37"/>
      <c r="I65" s="61"/>
      <c r="J65" s="61"/>
      <c r="K65" s="61"/>
      <c r="L65" s="61"/>
      <c r="M65" s="61"/>
      <c r="N65" s="77"/>
      <c r="O65" s="61"/>
      <c r="P65" s="61"/>
      <c r="Q65" s="61"/>
      <c r="R65" s="37"/>
      <c r="S65" s="37"/>
      <c r="T65" s="37"/>
      <c r="U65" s="61"/>
      <c r="V65" s="67"/>
      <c r="W65" s="61"/>
      <c r="X65" s="68"/>
      <c r="Y65" s="61"/>
      <c r="Z65" s="120"/>
      <c r="AA65" s="65"/>
      <c r="AB65" s="134"/>
      <c r="AC65" s="128"/>
      <c r="AD65" s="135"/>
      <c r="AE65" s="135"/>
      <c r="AF65" s="135"/>
      <c r="AG65" s="135"/>
    </row>
    <row r="66" s="5" customFormat="1" customHeight="1" spans="1:33">
      <c r="A66" s="120"/>
      <c r="B66" s="120"/>
      <c r="C66" s="120"/>
      <c r="D66" s="61"/>
      <c r="E66" s="61"/>
      <c r="F66" s="61"/>
      <c r="G66" s="37"/>
      <c r="H66" s="37"/>
      <c r="I66" s="61"/>
      <c r="J66" s="61"/>
      <c r="K66" s="61"/>
      <c r="L66" s="61"/>
      <c r="M66" s="61"/>
      <c r="N66" s="77"/>
      <c r="O66" s="61"/>
      <c r="P66" s="61"/>
      <c r="Q66" s="61"/>
      <c r="R66" s="37"/>
      <c r="S66" s="37"/>
      <c r="T66" s="37"/>
      <c r="U66" s="61"/>
      <c r="V66" s="67"/>
      <c r="W66" s="61"/>
      <c r="X66" s="68"/>
      <c r="Y66" s="61"/>
      <c r="Z66" s="120"/>
      <c r="AA66" s="65"/>
      <c r="AB66" s="134"/>
      <c r="AC66" s="127"/>
      <c r="AD66" s="135"/>
      <c r="AE66" s="135"/>
      <c r="AF66" s="135"/>
      <c r="AG66" s="135"/>
    </row>
    <row r="67" s="5" customFormat="1" customHeight="1" spans="1:33">
      <c r="A67" s="120"/>
      <c r="B67" s="120"/>
      <c r="C67" s="120"/>
      <c r="D67" s="61"/>
      <c r="E67" s="61"/>
      <c r="F67" s="61"/>
      <c r="G67" s="37"/>
      <c r="H67" s="37"/>
      <c r="I67" s="61"/>
      <c r="J67" s="61"/>
      <c r="K67" s="61"/>
      <c r="L67" s="61"/>
      <c r="M67" s="61"/>
      <c r="N67" s="77"/>
      <c r="O67" s="61"/>
      <c r="P67" s="61"/>
      <c r="Q67" s="61"/>
      <c r="R67" s="37"/>
      <c r="S67" s="37"/>
      <c r="T67" s="37"/>
      <c r="U67" s="61"/>
      <c r="V67" s="67"/>
      <c r="W67" s="61"/>
      <c r="X67" s="68"/>
      <c r="Y67" s="61"/>
      <c r="Z67" s="120"/>
      <c r="AA67" s="65"/>
      <c r="AB67" s="134"/>
      <c r="AC67" s="128"/>
      <c r="AD67" s="135"/>
      <c r="AE67" s="135"/>
      <c r="AF67" s="135"/>
      <c r="AG67" s="135"/>
    </row>
    <row r="68" s="5" customFormat="1" customHeight="1" spans="1:33">
      <c r="A68" s="120"/>
      <c r="B68" s="120"/>
      <c r="C68" s="120"/>
      <c r="D68" s="61"/>
      <c r="E68" s="61"/>
      <c r="F68" s="61"/>
      <c r="G68" s="37"/>
      <c r="H68" s="37"/>
      <c r="I68" s="61"/>
      <c r="J68" s="61"/>
      <c r="K68" s="61"/>
      <c r="L68" s="61"/>
      <c r="M68" s="61"/>
      <c r="N68" s="77"/>
      <c r="O68" s="61"/>
      <c r="P68" s="61"/>
      <c r="Q68" s="61"/>
      <c r="R68" s="37"/>
      <c r="S68" s="37"/>
      <c r="T68" s="37"/>
      <c r="U68" s="61"/>
      <c r="V68" s="61"/>
      <c r="W68" s="61"/>
      <c r="X68" s="68"/>
      <c r="Y68" s="72"/>
      <c r="Z68" s="128"/>
      <c r="AA68" s="141"/>
      <c r="AB68" s="128"/>
      <c r="AC68" s="128"/>
      <c r="AD68" s="135"/>
      <c r="AE68" s="135"/>
      <c r="AF68" s="135"/>
      <c r="AG68" s="135"/>
    </row>
    <row r="69" s="5" customFormat="1" customHeight="1" spans="1:33">
      <c r="A69" s="120"/>
      <c r="B69" s="120"/>
      <c r="C69" s="120"/>
      <c r="D69" s="61"/>
      <c r="E69" s="61"/>
      <c r="F69" s="61"/>
      <c r="G69" s="37"/>
      <c r="H69" s="37"/>
      <c r="I69" s="61"/>
      <c r="J69" s="61"/>
      <c r="K69" s="61"/>
      <c r="L69" s="61"/>
      <c r="M69" s="61"/>
      <c r="N69" s="77"/>
      <c r="O69" s="61"/>
      <c r="P69" s="61"/>
      <c r="Q69" s="61"/>
      <c r="R69" s="37"/>
      <c r="S69" s="37"/>
      <c r="T69" s="37"/>
      <c r="U69" s="61"/>
      <c r="V69" s="61"/>
      <c r="W69" s="61"/>
      <c r="X69" s="68"/>
      <c r="Y69" s="72"/>
      <c r="Z69" s="128"/>
      <c r="AA69" s="141"/>
      <c r="AB69" s="128"/>
      <c r="AC69" s="128"/>
      <c r="AD69" s="135"/>
      <c r="AE69" s="135"/>
      <c r="AF69" s="135"/>
      <c r="AG69" s="135"/>
    </row>
    <row r="70" s="5" customFormat="1" customHeight="1" spans="1:33">
      <c r="A70" s="120"/>
      <c r="B70" s="120"/>
      <c r="C70" s="120"/>
      <c r="D70" s="61"/>
      <c r="E70" s="61"/>
      <c r="F70" s="61"/>
      <c r="G70" s="37"/>
      <c r="H70" s="37"/>
      <c r="I70" s="61"/>
      <c r="J70" s="61"/>
      <c r="K70" s="61"/>
      <c r="L70" s="61"/>
      <c r="M70" s="61"/>
      <c r="N70" s="77"/>
      <c r="O70" s="61"/>
      <c r="P70" s="61"/>
      <c r="Q70" s="61"/>
      <c r="R70" s="37"/>
      <c r="S70" s="37"/>
      <c r="T70" s="37"/>
      <c r="U70" s="61"/>
      <c r="V70" s="61"/>
      <c r="W70" s="61"/>
      <c r="X70" s="68"/>
      <c r="Y70" s="72"/>
      <c r="Z70" s="128"/>
      <c r="AA70" s="141"/>
      <c r="AB70" s="128"/>
      <c r="AC70" s="128"/>
      <c r="AD70" s="135"/>
      <c r="AE70" s="135"/>
      <c r="AF70" s="135"/>
      <c r="AG70" s="135"/>
    </row>
    <row r="71" s="5" customFormat="1" customHeight="1" spans="1:33">
      <c r="A71" s="120"/>
      <c r="B71" s="120"/>
      <c r="C71" s="120"/>
      <c r="D71" s="61"/>
      <c r="E71" s="61"/>
      <c r="F71" s="61"/>
      <c r="G71" s="37"/>
      <c r="H71" s="37"/>
      <c r="I71" s="61"/>
      <c r="J71" s="61"/>
      <c r="K71" s="61"/>
      <c r="L71" s="61"/>
      <c r="M71" s="61"/>
      <c r="N71" s="77"/>
      <c r="O71" s="61"/>
      <c r="P71" s="61"/>
      <c r="Q71" s="61"/>
      <c r="R71" s="37"/>
      <c r="S71" s="37"/>
      <c r="T71" s="37"/>
      <c r="U71" s="61"/>
      <c r="V71" s="61"/>
      <c r="W71" s="61"/>
      <c r="X71" s="68"/>
      <c r="Y71" s="72"/>
      <c r="Z71" s="128"/>
      <c r="AA71" s="141"/>
      <c r="AB71" s="128"/>
      <c r="AC71" s="128"/>
      <c r="AD71" s="135"/>
      <c r="AE71" s="135"/>
      <c r="AF71" s="135"/>
      <c r="AG71" s="135"/>
    </row>
    <row r="72" s="5" customFormat="1" customHeight="1" spans="1:33">
      <c r="A72" s="120"/>
      <c r="B72" s="120"/>
      <c r="C72" s="120"/>
      <c r="D72" s="61"/>
      <c r="E72" s="61"/>
      <c r="F72" s="61"/>
      <c r="G72" s="37"/>
      <c r="H72" s="37"/>
      <c r="I72" s="61"/>
      <c r="J72" s="61"/>
      <c r="K72" s="61"/>
      <c r="L72" s="61"/>
      <c r="M72" s="61"/>
      <c r="N72" s="77"/>
      <c r="O72" s="61"/>
      <c r="P72" s="61"/>
      <c r="Q72" s="61"/>
      <c r="R72" s="37"/>
      <c r="S72" s="37"/>
      <c r="T72" s="37"/>
      <c r="U72" s="61"/>
      <c r="V72" s="61"/>
      <c r="W72" s="61"/>
      <c r="X72" s="68"/>
      <c r="Y72" s="72"/>
      <c r="Z72" s="128"/>
      <c r="AA72" s="141"/>
      <c r="AB72" s="128"/>
      <c r="AC72" s="128"/>
      <c r="AD72" s="135"/>
      <c r="AE72" s="135"/>
      <c r="AF72" s="135"/>
      <c r="AG72" s="135"/>
    </row>
    <row r="73" s="5" customFormat="1" customHeight="1" spans="1:33">
      <c r="A73" s="120"/>
      <c r="B73" s="120"/>
      <c r="C73" s="120"/>
      <c r="D73" s="61"/>
      <c r="E73" s="61"/>
      <c r="F73" s="61"/>
      <c r="G73" s="37"/>
      <c r="H73" s="37"/>
      <c r="I73" s="61"/>
      <c r="J73" s="61"/>
      <c r="K73" s="61"/>
      <c r="L73" s="61"/>
      <c r="M73" s="61"/>
      <c r="N73" s="77"/>
      <c r="O73" s="61"/>
      <c r="P73" s="61"/>
      <c r="Q73" s="61"/>
      <c r="R73" s="37"/>
      <c r="S73" s="37"/>
      <c r="T73" s="37"/>
      <c r="U73" s="61"/>
      <c r="V73" s="61"/>
      <c r="W73" s="61"/>
      <c r="X73" s="68"/>
      <c r="Y73" s="72"/>
      <c r="Z73" s="128"/>
      <c r="AA73" s="141"/>
      <c r="AB73" s="128"/>
      <c r="AC73" s="128"/>
      <c r="AD73" s="135"/>
      <c r="AE73" s="135"/>
      <c r="AF73" s="135"/>
      <c r="AG73" s="135"/>
    </row>
    <row r="74" s="5" customFormat="1" customHeight="1" spans="1:33">
      <c r="A74" s="120"/>
      <c r="B74" s="120"/>
      <c r="C74" s="120"/>
      <c r="D74" s="61"/>
      <c r="E74" s="61"/>
      <c r="F74" s="61"/>
      <c r="G74" s="37"/>
      <c r="H74" s="37"/>
      <c r="I74" s="61"/>
      <c r="J74" s="61"/>
      <c r="K74" s="61"/>
      <c r="L74" s="61"/>
      <c r="M74" s="61"/>
      <c r="N74" s="77"/>
      <c r="O74" s="61"/>
      <c r="P74" s="61"/>
      <c r="Q74" s="61"/>
      <c r="R74" s="37"/>
      <c r="S74" s="37"/>
      <c r="T74" s="37"/>
      <c r="U74" s="61"/>
      <c r="V74" s="61"/>
      <c r="W74" s="61"/>
      <c r="X74" s="68"/>
      <c r="Y74" s="72"/>
      <c r="Z74" s="128"/>
      <c r="AA74" s="141"/>
      <c r="AB74" s="128"/>
      <c r="AC74" s="128"/>
      <c r="AD74" s="135"/>
      <c r="AE74" s="135"/>
      <c r="AF74" s="135"/>
      <c r="AG74" s="135"/>
    </row>
    <row r="75" s="5" customFormat="1" customHeight="1" spans="1:33">
      <c r="A75" s="120"/>
      <c r="B75" s="120"/>
      <c r="C75" s="120"/>
      <c r="D75" s="61"/>
      <c r="E75" s="61"/>
      <c r="F75" s="61"/>
      <c r="G75" s="37"/>
      <c r="H75" s="37"/>
      <c r="I75" s="61"/>
      <c r="J75" s="61"/>
      <c r="K75" s="61"/>
      <c r="L75" s="61"/>
      <c r="M75" s="61"/>
      <c r="N75" s="77"/>
      <c r="O75" s="61"/>
      <c r="P75" s="61"/>
      <c r="Q75" s="61"/>
      <c r="R75" s="37"/>
      <c r="S75" s="37"/>
      <c r="T75" s="37"/>
      <c r="U75" s="61"/>
      <c r="V75" s="61"/>
      <c r="W75" s="61"/>
      <c r="X75" s="68"/>
      <c r="Y75" s="72"/>
      <c r="Z75" s="128"/>
      <c r="AA75" s="141"/>
      <c r="AB75" s="128"/>
      <c r="AC75" s="128"/>
      <c r="AD75" s="135"/>
      <c r="AE75" s="135"/>
      <c r="AF75" s="135"/>
      <c r="AG75" s="135"/>
    </row>
    <row r="76" s="5" customFormat="1" customHeight="1" spans="1:33">
      <c r="A76" s="120"/>
      <c r="B76" s="120"/>
      <c r="C76" s="120"/>
      <c r="D76" s="61"/>
      <c r="E76" s="61"/>
      <c r="F76" s="61"/>
      <c r="G76" s="37"/>
      <c r="H76" s="37"/>
      <c r="I76" s="61"/>
      <c r="J76" s="61"/>
      <c r="K76" s="61"/>
      <c r="L76" s="61"/>
      <c r="M76" s="61"/>
      <c r="N76" s="77"/>
      <c r="O76" s="61"/>
      <c r="P76" s="61"/>
      <c r="Q76" s="61"/>
      <c r="R76" s="37"/>
      <c r="S76" s="37"/>
      <c r="T76" s="37"/>
      <c r="U76" s="61"/>
      <c r="V76" s="61"/>
      <c r="W76" s="61"/>
      <c r="X76" s="68"/>
      <c r="Y76" s="72"/>
      <c r="Z76" s="128"/>
      <c r="AA76" s="141"/>
      <c r="AB76" s="128"/>
      <c r="AC76" s="128"/>
      <c r="AD76" s="135"/>
      <c r="AE76" s="135"/>
      <c r="AF76" s="135"/>
      <c r="AG76" s="135"/>
    </row>
    <row r="77" s="5" customFormat="1" customHeight="1" spans="1:33">
      <c r="A77" s="120"/>
      <c r="B77" s="120"/>
      <c r="C77" s="120"/>
      <c r="D77" s="61"/>
      <c r="E77" s="61"/>
      <c r="F77" s="61"/>
      <c r="G77" s="37"/>
      <c r="H77" s="37"/>
      <c r="I77" s="61"/>
      <c r="J77" s="61"/>
      <c r="K77" s="61"/>
      <c r="L77" s="61"/>
      <c r="M77" s="61"/>
      <c r="N77" s="77"/>
      <c r="O77" s="61"/>
      <c r="P77" s="61"/>
      <c r="Q77" s="61"/>
      <c r="R77" s="37"/>
      <c r="S77" s="37"/>
      <c r="T77" s="37"/>
      <c r="U77" s="61"/>
      <c r="V77" s="61"/>
      <c r="W77" s="61"/>
      <c r="X77" s="68"/>
      <c r="Y77" s="72"/>
      <c r="Z77" s="128"/>
      <c r="AA77" s="141"/>
      <c r="AB77" s="128"/>
      <c r="AC77" s="128"/>
      <c r="AD77" s="135"/>
      <c r="AE77" s="135"/>
      <c r="AF77" s="135"/>
      <c r="AG77" s="135"/>
    </row>
    <row r="78" s="5" customFormat="1" customHeight="1" spans="1:33">
      <c r="A78" s="129"/>
      <c r="B78" s="129"/>
      <c r="C78" s="129"/>
      <c r="D78" s="73"/>
      <c r="E78" s="73"/>
      <c r="F78" s="73"/>
      <c r="G78" s="74"/>
      <c r="H78" s="74"/>
      <c r="I78" s="73"/>
      <c r="J78" s="73"/>
      <c r="K78" s="73"/>
      <c r="L78" s="73"/>
      <c r="M78" s="73"/>
      <c r="N78" s="73"/>
      <c r="O78" s="73"/>
      <c r="P78" s="73"/>
      <c r="Q78" s="73"/>
      <c r="R78" s="74"/>
      <c r="S78" s="74"/>
      <c r="T78" s="74"/>
      <c r="U78" s="73"/>
      <c r="V78" s="73"/>
      <c r="W78" s="73"/>
      <c r="X78" s="73"/>
      <c r="Y78" s="73"/>
      <c r="Z78" s="129"/>
      <c r="AA78" s="130"/>
      <c r="AB78" s="131"/>
      <c r="AC78" s="131"/>
      <c r="AD78" s="131"/>
      <c r="AE78" s="131"/>
      <c r="AF78" s="131"/>
      <c r="AG78" s="131"/>
    </row>
    <row r="80" customHeight="1" spans="1:33">
      <c r="A80" s="109" t="s">
        <v>384</v>
      </c>
    </row>
    <row r="81" ht="29.1" customHeight="1" spans="1:13">
      <c r="A81" s="16" t="s">
        <v>385</v>
      </c>
      <c r="B81" s="16" t="s">
        <v>386</v>
      </c>
      <c r="C81" s="16" t="s">
        <v>387</v>
      </c>
      <c r="D81" s="86" t="s">
        <v>388</v>
      </c>
      <c r="E81" s="87" t="s">
        <v>389</v>
      </c>
      <c r="F81" s="87" t="s">
        <v>390</v>
      </c>
      <c r="G81" s="87" t="s">
        <v>391</v>
      </c>
      <c r="H81" s="34" t="s">
        <v>392</v>
      </c>
      <c r="I81" s="34" t="s">
        <v>393</v>
      </c>
      <c r="J81" s="34" t="s">
        <v>394</v>
      </c>
      <c r="K81" s="34" t="s">
        <v>395</v>
      </c>
      <c r="L81" s="34" t="s">
        <v>92</v>
      </c>
      <c r="M81" s="34" t="s">
        <v>310</v>
      </c>
    </row>
    <row r="82" ht="29.1" customHeight="1" spans="1:13">
      <c r="A82" s="142"/>
      <c r="B82" s="143"/>
      <c r="C82" s="143"/>
      <c r="D82" s="90">
        <v>73732.04</v>
      </c>
      <c r="E82" s="90">
        <v>5161.24</v>
      </c>
      <c r="F82" s="90">
        <v>2211.96</v>
      </c>
      <c r="G82" s="90">
        <v>1474.64</v>
      </c>
      <c r="H82" s="61">
        <v>28651.7</v>
      </c>
      <c r="I82" s="90"/>
      <c r="J82" s="89"/>
      <c r="K82" s="89"/>
      <c r="L82" s="89">
        <f t="shared" ref="L82:L94" si="11">SUM(D82:K82)</f>
        <v>111231.58</v>
      </c>
      <c r="M82" s="89"/>
    </row>
    <row r="83" ht="29.1" customHeight="1" spans="1:13">
      <c r="A83" s="144">
        <v>45923</v>
      </c>
      <c r="B83" s="143">
        <v>10142758.59</v>
      </c>
      <c r="C83" s="143">
        <v>8829860.14</v>
      </c>
      <c r="D83" s="90">
        <v>24089.88</v>
      </c>
      <c r="E83" s="90">
        <v>1686.29</v>
      </c>
      <c r="F83" s="90">
        <v>722.7</v>
      </c>
      <c r="G83" s="90">
        <v>481.8</v>
      </c>
      <c r="H83" s="61"/>
      <c r="I83" s="90"/>
      <c r="J83" s="89"/>
      <c r="K83" s="89"/>
      <c r="L83" s="89">
        <f t="shared" si="11"/>
        <v>26980.67</v>
      </c>
      <c r="M83" s="89"/>
    </row>
    <row r="84" ht="29.1" customHeight="1" spans="1:13">
      <c r="A84" s="142"/>
      <c r="B84" s="143"/>
      <c r="C84" s="143"/>
      <c r="D84" s="90"/>
      <c r="E84" s="90"/>
      <c r="F84" s="90"/>
      <c r="G84" s="90"/>
      <c r="H84" s="61"/>
      <c r="I84" s="90"/>
      <c r="J84" s="89"/>
      <c r="K84" s="89"/>
      <c r="L84" s="89">
        <f t="shared" si="11"/>
        <v>0</v>
      </c>
      <c r="M84" s="89"/>
    </row>
    <row r="85" ht="29.1" customHeight="1" spans="1:13">
      <c r="A85" s="142"/>
      <c r="B85" s="143"/>
      <c r="C85" s="143"/>
      <c r="D85" s="90"/>
      <c r="E85" s="90"/>
      <c r="F85" s="90"/>
      <c r="G85" s="90"/>
      <c r="H85" s="61"/>
      <c r="I85" s="90"/>
      <c r="J85" s="89"/>
      <c r="K85" s="89"/>
      <c r="L85" s="89">
        <f t="shared" si="11"/>
        <v>0</v>
      </c>
      <c r="M85" s="89"/>
    </row>
    <row r="86" ht="29.1" customHeight="1" spans="1:13">
      <c r="A86" s="142"/>
      <c r="B86" s="143"/>
      <c r="C86" s="143"/>
      <c r="D86" s="90"/>
      <c r="E86" s="90"/>
      <c r="F86" s="90"/>
      <c r="G86" s="90"/>
      <c r="H86" s="61"/>
      <c r="I86" s="90"/>
      <c r="J86" s="89"/>
      <c r="K86" s="89"/>
      <c r="L86" s="89">
        <f t="shared" si="11"/>
        <v>0</v>
      </c>
      <c r="M86" s="89"/>
    </row>
    <row r="87" ht="29.1" customHeight="1" spans="1:13">
      <c r="A87" s="142"/>
      <c r="B87" s="143"/>
      <c r="C87" s="143"/>
      <c r="D87" s="90"/>
      <c r="E87" s="90"/>
      <c r="F87" s="90"/>
      <c r="G87" s="90"/>
      <c r="H87" s="61"/>
      <c r="I87" s="90"/>
      <c r="J87" s="89"/>
      <c r="K87" s="89"/>
      <c r="L87" s="89">
        <f t="shared" si="11"/>
        <v>0</v>
      </c>
      <c r="M87" s="89"/>
    </row>
    <row r="88" ht="29.1" customHeight="1" spans="1:13">
      <c r="A88" s="142"/>
      <c r="B88" s="143"/>
      <c r="C88" s="143"/>
      <c r="D88" s="90"/>
      <c r="E88" s="90"/>
      <c r="F88" s="90"/>
      <c r="G88" s="90"/>
      <c r="H88" s="61"/>
      <c r="I88" s="90"/>
      <c r="J88" s="89"/>
      <c r="K88" s="89"/>
      <c r="L88" s="89">
        <f t="shared" si="11"/>
        <v>0</v>
      </c>
      <c r="M88" s="89"/>
    </row>
    <row r="89" ht="29.1" customHeight="1" spans="1:13">
      <c r="A89" s="142"/>
      <c r="B89" s="143"/>
      <c r="C89" s="143"/>
      <c r="D89" s="90"/>
      <c r="E89" s="90"/>
      <c r="F89" s="90"/>
      <c r="G89" s="90"/>
      <c r="H89" s="61"/>
      <c r="I89" s="90"/>
      <c r="J89" s="89"/>
      <c r="K89" s="89"/>
      <c r="L89" s="89">
        <f t="shared" si="11"/>
        <v>0</v>
      </c>
      <c r="M89" s="89"/>
    </row>
    <row r="90" ht="29.1" customHeight="1" spans="1:13">
      <c r="A90" s="142"/>
      <c r="B90" s="143"/>
      <c r="C90" s="143"/>
      <c r="D90" s="90"/>
      <c r="E90" s="90"/>
      <c r="F90" s="90"/>
      <c r="G90" s="90"/>
      <c r="H90" s="61"/>
      <c r="I90" s="90"/>
      <c r="J90" s="89"/>
      <c r="K90" s="89"/>
      <c r="L90" s="89">
        <f t="shared" si="11"/>
        <v>0</v>
      </c>
      <c r="M90" s="89"/>
    </row>
    <row r="91" ht="29.1" customHeight="1" spans="1:13">
      <c r="A91" s="142"/>
      <c r="B91" s="143"/>
      <c r="C91" s="143"/>
      <c r="D91" s="90"/>
      <c r="E91" s="90"/>
      <c r="F91" s="90"/>
      <c r="G91" s="90"/>
      <c r="H91" s="61"/>
      <c r="I91" s="90"/>
      <c r="J91" s="89"/>
      <c r="K91" s="89"/>
      <c r="L91" s="89">
        <f t="shared" si="11"/>
        <v>0</v>
      </c>
      <c r="M91" s="89"/>
    </row>
    <row r="92" ht="29.1" customHeight="1" spans="1:13">
      <c r="A92" s="142"/>
      <c r="B92" s="143"/>
      <c r="C92" s="143"/>
      <c r="D92" s="90"/>
      <c r="E92" s="90"/>
      <c r="F92" s="90"/>
      <c r="G92" s="90"/>
      <c r="H92" s="61"/>
      <c r="I92" s="90"/>
      <c r="J92" s="89"/>
      <c r="K92" s="89"/>
      <c r="L92" s="89">
        <f t="shared" si="11"/>
        <v>0</v>
      </c>
      <c r="M92" s="89"/>
    </row>
    <row r="93" ht="29.1" customHeight="1" spans="1:13">
      <c r="A93" s="142"/>
      <c r="B93" s="143"/>
      <c r="C93" s="143"/>
      <c r="D93" s="90"/>
      <c r="E93" s="90"/>
      <c r="F93" s="90"/>
      <c r="G93" s="90"/>
      <c r="H93" s="61"/>
      <c r="I93" s="90"/>
      <c r="J93" s="89"/>
      <c r="K93" s="89"/>
      <c r="L93" s="89">
        <f t="shared" si="11"/>
        <v>0</v>
      </c>
      <c r="M93" s="89"/>
    </row>
    <row r="94" ht="29.1" customHeight="1" spans="1:13">
      <c r="A94" s="142"/>
      <c r="B94" s="143"/>
      <c r="C94" s="143"/>
      <c r="D94" s="61"/>
      <c r="E94" s="61"/>
      <c r="F94" s="61"/>
      <c r="G94" s="61"/>
      <c r="H94" s="61"/>
      <c r="I94" s="61"/>
      <c r="J94" s="89"/>
      <c r="K94" s="89"/>
      <c r="L94" s="89">
        <f t="shared" si="11"/>
        <v>0</v>
      </c>
      <c r="M94" s="89"/>
    </row>
    <row r="95" ht="29.1" customHeight="1" spans="1:13">
      <c r="A95" s="120" t="s">
        <v>92</v>
      </c>
      <c r="B95" s="120">
        <f t="shared" ref="B95:M95" si="12">SUM(B82:B94)</f>
        <v>10142758.59</v>
      </c>
      <c r="C95" s="120">
        <f t="shared" si="12"/>
        <v>8829860.14</v>
      </c>
      <c r="D95" s="61">
        <f t="shared" si="12"/>
        <v>97821.92</v>
      </c>
      <c r="E95" s="61">
        <f t="shared" si="12"/>
        <v>6847.53</v>
      </c>
      <c r="F95" s="61">
        <f t="shared" si="12"/>
        <v>2934.66</v>
      </c>
      <c r="G95" s="61">
        <f t="shared" si="12"/>
        <v>1956.44</v>
      </c>
      <c r="H95" s="61">
        <f t="shared" si="12"/>
        <v>28651.7</v>
      </c>
      <c r="I95" s="61">
        <f t="shared" si="12"/>
        <v>0</v>
      </c>
      <c r="J95" s="61">
        <f t="shared" si="12"/>
        <v>0</v>
      </c>
      <c r="K95" s="61">
        <f t="shared" si="12"/>
        <v>0</v>
      </c>
      <c r="L95" s="61">
        <f t="shared" si="12"/>
        <v>138212.25</v>
      </c>
      <c r="M95" s="61">
        <f t="shared" si="12"/>
        <v>0</v>
      </c>
    </row>
    <row r="97" customHeight="1" spans="1:34">
      <c r="A97" s="109" t="s">
        <v>396</v>
      </c>
    </row>
    <row r="98" customHeight="1" spans="1:34">
      <c r="A98" s="91" t="s">
        <v>397</v>
      </c>
      <c r="B98" s="16" t="s">
        <v>398</v>
      </c>
      <c r="C98" s="16" t="s">
        <v>399</v>
      </c>
      <c r="D98" s="34" t="s">
        <v>400</v>
      </c>
      <c r="E98" s="34" t="s">
        <v>401</v>
      </c>
      <c r="F98" s="34" t="s">
        <v>402</v>
      </c>
      <c r="G98" s="34" t="s">
        <v>403</v>
      </c>
      <c r="H98" s="34" t="s">
        <v>404</v>
      </c>
      <c r="I98" s="34" t="s">
        <v>92</v>
      </c>
    </row>
    <row r="99" customHeight="1" spans="1:34">
      <c r="A99" s="145" t="s">
        <v>5</v>
      </c>
      <c r="B99" s="146">
        <v>226992.11</v>
      </c>
      <c r="C99" s="146"/>
      <c r="D99" s="19"/>
      <c r="E99" s="19"/>
      <c r="F99" s="19"/>
      <c r="G99" s="19"/>
      <c r="H99" s="19"/>
      <c r="I99" s="19">
        <f t="shared" ref="I99:I104" si="13">SUM(B99:H99)</f>
        <v>226992.11</v>
      </c>
    </row>
    <row r="100" customHeight="1" spans="1:34">
      <c r="A100" s="120" t="s">
        <v>6</v>
      </c>
      <c r="B100" s="146">
        <f>B102-B101</f>
        <v>-15515.55</v>
      </c>
      <c r="C100" s="146">
        <f>C102-C101</f>
        <v>-1125.59</v>
      </c>
      <c r="D100" s="146">
        <f>D102-D101</f>
        <v>-1455.74</v>
      </c>
      <c r="E100" s="19"/>
      <c r="F100" s="19"/>
      <c r="G100" s="19"/>
      <c r="H100" s="19"/>
      <c r="I100" s="19">
        <f t="shared" si="13"/>
        <v>-18096.88</v>
      </c>
    </row>
    <row r="101" customHeight="1" spans="1:34">
      <c r="A101" s="120" t="s">
        <v>405</v>
      </c>
      <c r="B101" s="146">
        <v>20642.96</v>
      </c>
      <c r="C101" s="146">
        <v>1485.59</v>
      </c>
      <c r="D101" s="19">
        <v>2234.75</v>
      </c>
      <c r="E101" s="19"/>
      <c r="F101" s="19"/>
      <c r="G101" s="19"/>
      <c r="H101" s="19"/>
      <c r="I101" s="19">
        <f t="shared" si="13"/>
        <v>24363.3</v>
      </c>
    </row>
    <row r="102" customHeight="1" spans="1:34">
      <c r="A102" s="120" t="s">
        <v>406</v>
      </c>
      <c r="B102" s="146">
        <v>5127.41</v>
      </c>
      <c r="C102" s="146">
        <v>360</v>
      </c>
      <c r="D102" s="19">
        <v>779.01</v>
      </c>
      <c r="E102" s="19"/>
      <c r="F102" s="19"/>
      <c r="G102" s="19"/>
      <c r="H102" s="19"/>
      <c r="I102" s="19">
        <f t="shared" si="13"/>
        <v>6266.42</v>
      </c>
    </row>
    <row r="103" customHeight="1" spans="1:34">
      <c r="A103" s="108" t="s">
        <v>407</v>
      </c>
      <c r="B103" s="146"/>
      <c r="C103" s="146"/>
      <c r="D103" s="19"/>
      <c r="E103" s="19"/>
      <c r="F103" s="19"/>
      <c r="G103" s="19"/>
      <c r="H103" s="19"/>
      <c r="I103" s="19">
        <f t="shared" si="13"/>
        <v>0</v>
      </c>
    </row>
    <row r="104" customHeight="1" spans="1:34">
      <c r="A104" s="108" t="s">
        <v>408</v>
      </c>
      <c r="B104" s="146"/>
      <c r="C104" s="146"/>
      <c r="D104" s="19"/>
      <c r="E104" s="19"/>
      <c r="F104" s="19"/>
      <c r="G104" s="19"/>
      <c r="H104" s="19"/>
      <c r="I104" s="19">
        <f t="shared" si="13"/>
        <v>0</v>
      </c>
    </row>
    <row r="107" ht="29.1" customHeight="1" spans="1:34">
      <c r="A107" s="109" t="s">
        <v>409</v>
      </c>
    </row>
    <row r="108" customHeight="1" spans="1:34">
      <c r="A108" s="91" t="s">
        <v>2</v>
      </c>
      <c r="B108" s="16" t="s">
        <v>410</v>
      </c>
      <c r="C108" s="16" t="s">
        <v>411</v>
      </c>
      <c r="D108" s="16" t="s">
        <v>412</v>
      </c>
      <c r="E108" s="34" t="s">
        <v>413</v>
      </c>
      <c r="F108" s="34" t="s">
        <v>414</v>
      </c>
      <c r="G108" s="34" t="s">
        <v>415</v>
      </c>
      <c r="H108" s="34" t="s">
        <v>416</v>
      </c>
      <c r="I108" s="34" t="s">
        <v>417</v>
      </c>
      <c r="J108" s="34" t="s">
        <v>418</v>
      </c>
      <c r="K108" s="34" t="s">
        <v>419</v>
      </c>
      <c r="L108" s="34" t="s">
        <v>420</v>
      </c>
      <c r="M108" s="34" t="s">
        <v>421</v>
      </c>
      <c r="N108" s="34" t="s">
        <v>422</v>
      </c>
      <c r="O108" s="34" t="s">
        <v>423</v>
      </c>
      <c r="P108" s="92" t="s">
        <v>424</v>
      </c>
      <c r="Q108" s="92" t="s">
        <v>425</v>
      </c>
      <c r="R108" s="92" t="s">
        <v>426</v>
      </c>
      <c r="Z108" s="7"/>
      <c r="AH108" s="1"/>
    </row>
    <row r="109" customHeight="1" spans="1:34">
      <c r="A109" s="93" t="str">
        <f>M4</f>
        <v>攀枝花市炳草岗污水处理厂提标升级改造工程勘察设计-材料及设备采购-施工总承包</v>
      </c>
      <c r="B109" s="147">
        <v>-1295271.41</v>
      </c>
      <c r="C109" s="147"/>
      <c r="D109" s="147"/>
      <c r="E109" s="94"/>
      <c r="F109" s="18"/>
      <c r="G109" s="94">
        <v>66000</v>
      </c>
      <c r="H109" s="94"/>
      <c r="I109" s="94"/>
      <c r="J109" s="94"/>
      <c r="K109" s="94">
        <v>-28333.55</v>
      </c>
      <c r="L109" s="94">
        <v>43146228.81</v>
      </c>
      <c r="M109" s="94">
        <v>3811260.3</v>
      </c>
      <c r="N109" s="94">
        <v>31076474.17</v>
      </c>
      <c r="O109" s="94">
        <v>29268155.97</v>
      </c>
      <c r="P109" s="94">
        <v>47184481.22</v>
      </c>
      <c r="Q109" s="94">
        <v>102728.59</v>
      </c>
      <c r="R109" s="18"/>
      <c r="Z109" s="7"/>
      <c r="AH109" s="1"/>
    </row>
    <row r="110" customHeight="1" spans="1:34">
      <c r="P110" s="148"/>
    </row>
    <row r="111" hidden="1" customHeight="1"/>
    <row r="112" customFormat="1" customHeight="1" spans="1:34">
      <c r="A112" s="109" t="s">
        <v>427</v>
      </c>
      <c r="B112" s="1"/>
      <c r="C112" s="1"/>
      <c r="D112" s="7"/>
      <c r="E112" s="7"/>
      <c r="F112" s="7"/>
      <c r="G112" s="7"/>
      <c r="H112" s="7"/>
      <c r="Z112" s="149"/>
      <c r="AA112" s="149"/>
      <c r="AB112" s="149"/>
      <c r="AC112" s="149"/>
      <c r="AD112" s="149"/>
      <c r="AE112" s="149"/>
      <c r="AF112" s="149"/>
      <c r="AG112" s="149"/>
    </row>
    <row r="113" s="6" customFormat="1" ht="27" customHeight="1" spans="1:33">
      <c r="A113" s="95" t="s">
        <v>428</v>
      </c>
      <c r="B113" s="95"/>
      <c r="C113" s="95"/>
      <c r="D113" s="95"/>
      <c r="E113" s="95"/>
      <c r="F113" s="95"/>
      <c r="G113" s="95"/>
      <c r="H113" s="95"/>
      <c r="Z113" s="150"/>
      <c r="AA113" s="150"/>
      <c r="AB113" s="150"/>
      <c r="AC113" s="150"/>
      <c r="AD113" s="150"/>
      <c r="AE113" s="150"/>
      <c r="AF113" s="150"/>
      <c r="AG113" s="150"/>
    </row>
    <row r="114" s="6" customFormat="1" ht="31.5" customHeight="1" spans="1:33">
      <c r="A114" s="95"/>
      <c r="B114" s="95"/>
      <c r="C114" s="95"/>
      <c r="D114" s="95"/>
      <c r="E114" s="95"/>
      <c r="F114" s="95"/>
      <c r="G114" s="95"/>
      <c r="H114" s="95"/>
      <c r="Z114" s="150"/>
      <c r="AA114" s="150"/>
      <c r="AB114" s="150"/>
      <c r="AC114" s="150"/>
      <c r="AD114" s="150"/>
      <c r="AE114" s="150"/>
      <c r="AF114" s="150"/>
      <c r="AG114" s="150"/>
    </row>
    <row r="115" s="6" customFormat="1" ht="45" customHeight="1" spans="1:33">
      <c r="A115" s="96" t="str">
        <f>L4</f>
        <v>中铁二院攀枝花市炳草岗污水处理厂提标升级改造工程EPC项目部</v>
      </c>
      <c r="B115" s="96"/>
      <c r="C115" s="96"/>
      <c r="H115" s="97" t="s">
        <v>429</v>
      </c>
      <c r="Z115" s="150"/>
      <c r="AA115" s="150"/>
      <c r="AB115" s="150"/>
      <c r="AC115" s="150"/>
      <c r="AD115" s="150"/>
      <c r="AE115" s="150"/>
      <c r="AF115" s="150"/>
      <c r="AG115" s="150"/>
    </row>
    <row r="116" s="6" customFormat="1" ht="24" customHeight="1" spans="1:33">
      <c r="A116" s="151" t="s">
        <v>430</v>
      </c>
      <c r="B116" s="151" t="s">
        <v>431</v>
      </c>
      <c r="C116" s="151" t="s">
        <v>432</v>
      </c>
      <c r="D116" s="98" t="s">
        <v>433</v>
      </c>
      <c r="E116" s="98" t="s">
        <v>434</v>
      </c>
      <c r="F116" s="98" t="s">
        <v>435</v>
      </c>
      <c r="G116" s="98" t="s">
        <v>436</v>
      </c>
      <c r="H116" s="98" t="s">
        <v>437</v>
      </c>
      <c r="K116" s="99"/>
      <c r="Z116" s="150"/>
      <c r="AA116" s="150"/>
      <c r="AB116" s="150"/>
      <c r="AC116" s="150"/>
      <c r="AD116" s="150"/>
      <c r="AE116" s="150"/>
      <c r="AF116" s="150"/>
      <c r="AG116" s="150"/>
    </row>
    <row r="117" s="6" customFormat="1" ht="24" customHeight="1" spans="1:33">
      <c r="A117" s="152">
        <v>1</v>
      </c>
      <c r="B117" s="151" t="s">
        <v>81</v>
      </c>
      <c r="C117" s="153"/>
      <c r="D117" s="101"/>
      <c r="E117" s="101"/>
      <c r="F117" s="101"/>
      <c r="G117" s="101"/>
      <c r="H117" s="102">
        <f>V13</f>
        <v>31251743.1192661</v>
      </c>
      <c r="K117" s="99"/>
      <c r="Z117" s="150"/>
      <c r="AA117" s="150"/>
      <c r="AB117" s="150"/>
      <c r="AC117" s="150"/>
      <c r="AD117" s="150"/>
      <c r="AE117" s="150"/>
      <c r="AF117" s="150"/>
      <c r="AG117" s="150"/>
    </row>
    <row r="118" s="6" customFormat="1" ht="24" customHeight="1" spans="1:33">
      <c r="A118" s="152">
        <v>2</v>
      </c>
      <c r="B118" s="151" t="s">
        <v>82</v>
      </c>
      <c r="C118" s="153"/>
      <c r="D118" s="101"/>
      <c r="E118" s="101"/>
      <c r="F118" s="101"/>
      <c r="G118" s="101"/>
      <c r="H118" s="102">
        <f>W13</f>
        <v>30564204.7706422</v>
      </c>
      <c r="K118" s="99"/>
      <c r="Z118" s="150"/>
      <c r="AA118" s="150"/>
      <c r="AB118" s="150"/>
      <c r="AC118" s="150"/>
      <c r="AD118" s="150"/>
      <c r="AE118" s="150"/>
      <c r="AF118" s="150"/>
      <c r="AG118" s="150"/>
    </row>
    <row r="119" s="6" customFormat="1" ht="24" customHeight="1" spans="1:33">
      <c r="A119" s="152">
        <v>3</v>
      </c>
      <c r="B119" s="151" t="s">
        <v>438</v>
      </c>
      <c r="C119" s="153"/>
      <c r="D119" s="101"/>
      <c r="E119" s="101"/>
      <c r="F119" s="101"/>
      <c r="G119" s="101"/>
      <c r="H119" s="103">
        <f>H117-H118</f>
        <v>687538.348623853</v>
      </c>
      <c r="Z119" s="150"/>
      <c r="AA119" s="150"/>
      <c r="AB119" s="150"/>
      <c r="AC119" s="150"/>
      <c r="AD119" s="150"/>
      <c r="AE119" s="150"/>
      <c r="AF119" s="150"/>
      <c r="AG119" s="150"/>
    </row>
    <row r="120" s="6" customFormat="1" ht="24" customHeight="1" spans="1:33">
      <c r="A120" s="152">
        <v>4</v>
      </c>
      <c r="B120" s="151" t="s">
        <v>439</v>
      </c>
      <c r="C120" s="154"/>
      <c r="D120" s="102">
        <v>0</v>
      </c>
      <c r="E120" s="102"/>
      <c r="F120" s="102"/>
      <c r="G120" s="102"/>
      <c r="H120" s="104">
        <f>C120+D120+E120+F120+G120</f>
        <v>0</v>
      </c>
      <c r="K120" s="105"/>
      <c r="Z120" s="150"/>
      <c r="AA120" s="150"/>
      <c r="AB120" s="150"/>
      <c r="AC120" s="150"/>
      <c r="AD120" s="150"/>
      <c r="AE120" s="150"/>
      <c r="AF120" s="150"/>
      <c r="AG120" s="150"/>
    </row>
    <row r="121" s="6" customFormat="1" ht="24" customHeight="1" spans="1:33">
      <c r="A121" s="152">
        <v>5</v>
      </c>
      <c r="B121" s="151" t="s">
        <v>440</v>
      </c>
      <c r="C121" s="154"/>
      <c r="D121" s="104">
        <v>0</v>
      </c>
      <c r="E121" s="104"/>
      <c r="F121" s="104"/>
      <c r="G121" s="104"/>
      <c r="H121" s="104">
        <f>C121+D121+E121+F121+G121</f>
        <v>0</v>
      </c>
      <c r="Z121" s="150"/>
      <c r="AA121" s="150"/>
      <c r="AB121" s="150"/>
      <c r="AC121" s="150"/>
      <c r="AD121" s="150"/>
      <c r="AE121" s="150"/>
      <c r="AF121" s="150"/>
      <c r="AG121" s="150"/>
    </row>
    <row r="122" s="6" customFormat="1" ht="24" customHeight="1" spans="1:33">
      <c r="A122" s="152">
        <v>6</v>
      </c>
      <c r="B122" s="155" t="s">
        <v>441</v>
      </c>
      <c r="C122" s="156">
        <f>ROUND(C120/H118,10)</f>
        <v>0</v>
      </c>
      <c r="D122" s="106">
        <f>ROUND((C120+D120)/H118,10)</f>
        <v>0</v>
      </c>
      <c r="E122" s="106">
        <f>ROUND((C120+D120+E120)/H118,10)</f>
        <v>0</v>
      </c>
      <c r="F122" s="106">
        <f>ROUND((C120+D120+E120+F120)/H118,10)</f>
        <v>0</v>
      </c>
      <c r="G122" s="106">
        <f>ROUND((C120+D120+E120+F120+G120)/H118,10)</f>
        <v>0</v>
      </c>
      <c r="H122" s="104"/>
      <c r="Z122" s="150"/>
      <c r="AA122" s="150"/>
      <c r="AB122" s="150"/>
      <c r="AC122" s="150"/>
      <c r="AD122" s="150"/>
      <c r="AE122" s="150"/>
      <c r="AF122" s="150"/>
      <c r="AG122" s="150"/>
    </row>
    <row r="123" s="6" customFormat="1" ht="24" customHeight="1" spans="1:33">
      <c r="A123" s="152">
        <v>7</v>
      </c>
      <c r="B123" s="155" t="s">
        <v>442</v>
      </c>
      <c r="C123" s="155">
        <f t="shared" ref="C123:G123" si="14">C121-C120</f>
        <v>0</v>
      </c>
      <c r="D123" s="104">
        <f t="shared" si="14"/>
        <v>0</v>
      </c>
      <c r="E123" s="104">
        <f t="shared" si="14"/>
        <v>0</v>
      </c>
      <c r="F123" s="104">
        <f t="shared" si="14"/>
        <v>0</v>
      </c>
      <c r="G123" s="104">
        <f t="shared" si="14"/>
        <v>0</v>
      </c>
      <c r="H123" s="104"/>
      <c r="Z123" s="150"/>
      <c r="AA123" s="150"/>
      <c r="AB123" s="150"/>
      <c r="AC123" s="150"/>
      <c r="AD123" s="150"/>
      <c r="AE123" s="150"/>
      <c r="AF123" s="150"/>
      <c r="AG123" s="150"/>
    </row>
    <row r="124" s="6" customFormat="1" ht="24" customHeight="1" spans="1:33">
      <c r="A124" s="152">
        <v>8</v>
      </c>
      <c r="B124" s="155" t="s">
        <v>443</v>
      </c>
      <c r="C124" s="155">
        <f>C121-C120</f>
        <v>0</v>
      </c>
      <c r="D124" s="104">
        <f>C123+D123</f>
        <v>0</v>
      </c>
      <c r="E124" s="104">
        <f>C123+D123+E123</f>
        <v>0</v>
      </c>
      <c r="F124" s="104">
        <f>C123+D123+E123+F123</f>
        <v>0</v>
      </c>
      <c r="G124" s="104">
        <f>C123+D123+E123+F123+G123</f>
        <v>0</v>
      </c>
      <c r="H124" s="104"/>
      <c r="Z124" s="150"/>
      <c r="AA124" s="150"/>
      <c r="AB124" s="150"/>
      <c r="AC124" s="150"/>
      <c r="AD124" s="150"/>
      <c r="AE124" s="150"/>
      <c r="AF124" s="150"/>
      <c r="AG124" s="150"/>
    </row>
    <row r="125" s="6" customFormat="1" ht="25.7" customHeight="1" spans="1:33">
      <c r="A125" s="150"/>
      <c r="B125" s="150"/>
      <c r="C125" s="150"/>
      <c r="Z125" s="150"/>
      <c r="AA125" s="150"/>
      <c r="AB125" s="150"/>
      <c r="AC125" s="150"/>
      <c r="AD125" s="150"/>
      <c r="AE125" s="150"/>
      <c r="AF125" s="150"/>
      <c r="AG125" s="150"/>
    </row>
    <row r="126" s="6" customFormat="1" ht="25.7" customHeight="1" spans="1:33">
      <c r="A126" s="150"/>
      <c r="B126" s="157" t="s">
        <v>444</v>
      </c>
      <c r="C126" s="157"/>
      <c r="D126" s="97"/>
      <c r="E126" s="97"/>
      <c r="F126" s="97"/>
      <c r="G126" s="97" t="s">
        <v>445</v>
      </c>
      <c r="H126" s="97"/>
      <c r="Z126" s="150"/>
      <c r="AA126" s="150"/>
      <c r="AB126" s="150"/>
      <c r="AC126" s="150"/>
      <c r="AD126" s="150"/>
      <c r="AE126" s="150"/>
      <c r="AF126" s="150"/>
      <c r="AG126" s="150"/>
    </row>
    <row r="128" customHeight="1" spans="1:33">
      <c r="A128" s="109" t="s">
        <v>446</v>
      </c>
    </row>
    <row r="129" customHeight="1" spans="1:7">
      <c r="A129" s="9" t="s">
        <v>98</v>
      </c>
      <c r="B129" s="9" t="s">
        <v>99</v>
      </c>
      <c r="C129" s="9" t="s">
        <v>100</v>
      </c>
      <c r="D129" s="9" t="s">
        <v>101</v>
      </c>
      <c r="E129" s="9" t="s">
        <v>447</v>
      </c>
      <c r="F129" s="9" t="s">
        <v>103</v>
      </c>
      <c r="G129" s="9" t="s">
        <v>104</v>
      </c>
    </row>
    <row r="130" ht="30" customHeight="1" spans="1:7">
      <c r="A130" s="107">
        <f>G13-T13-B109+C109-E109-F109-D109+Q109</f>
        <v>-0.00203540184884332</v>
      </c>
      <c r="B130" s="107">
        <f>H19-X19-K109+Q109</f>
        <v>3.34694050252438e-10</v>
      </c>
      <c r="C130" s="107">
        <f>SUMIFS($G$53:$G$78,$D$53:$D$78,C12)/H118*H117-O13</f>
        <v>-2985719.77327194</v>
      </c>
      <c r="D130" s="107">
        <f>G14+G15-T14-T15-G109+H109-I109-J109+R109+G16-T16+G17-T17</f>
        <v>0.000973500311374664</v>
      </c>
      <c r="E130" s="107">
        <f>C13*(1-K4)-C14-C15</f>
        <v>1255133.62</v>
      </c>
      <c r="F130" s="107">
        <f>(SUMIFS($V$22:$V$48,$R$22:$R$48,C12)-SUMIFS($R$53:$R$78,$N$53:$N$78,C12))/1.09*0.02-D95</f>
        <v>-25216.7089908257</v>
      </c>
      <c r="G130" s="107">
        <f>B109-C109+N109-O109</f>
        <v>513046.790000003</v>
      </c>
    </row>
    <row r="131" ht="32.1" customHeight="1" spans="1:7">
      <c r="A131" s="108" t="s">
        <v>67</v>
      </c>
      <c r="B131" s="108" t="s">
        <v>67</v>
      </c>
      <c r="C131" s="108" t="s">
        <v>67</v>
      </c>
      <c r="D131" s="18" t="s">
        <v>67</v>
      </c>
      <c r="E131" s="108" t="s">
        <v>68</v>
      </c>
      <c r="F131" s="18" t="s">
        <v>67</v>
      </c>
      <c r="G131" s="108" t="s">
        <v>69</v>
      </c>
    </row>
    <row r="132" customHeight="1" spans="1:7">
      <c r="C132" s="1">
        <f>SUM(G55)/W13*V13</f>
        <v>26214616.9836401</v>
      </c>
    </row>
    <row r="133" customHeight="1" spans="1:7">
      <c r="C133" s="1">
        <f>SUM(O23)</f>
        <v>29001887.81</v>
      </c>
    </row>
    <row r="134" customHeight="1" spans="1:7">
      <c r="C134" s="1">
        <f>C132-C133</f>
        <v>-2787270.82635992</v>
      </c>
    </row>
    <row r="135" customHeight="1" spans="1:7">
      <c r="C135" s="1">
        <f>C130-C134</f>
        <v>-198448.946912024</v>
      </c>
    </row>
    <row r="136" customHeight="1" spans="1:7">
      <c r="C136" s="1">
        <v>-2985719.77327199</v>
      </c>
    </row>
  </sheetData>
  <autoFilter xmlns:etc="http://www.wps.cn/officeDocument/2017/etCustomData" ref="A52:AG67" etc:filterBottomFollowUsedRange="0">
    <extLst/>
  </autoFilter>
  <mergeCells count="70">
    <mergeCell ref="E2:J2"/>
    <mergeCell ref="B11:G11"/>
    <mergeCell ref="H11:M11"/>
    <mergeCell ref="N11:S11"/>
    <mergeCell ref="A20:K20"/>
    <mergeCell ref="L20:O20"/>
    <mergeCell ref="P20:Y20"/>
    <mergeCell ref="Z20:AG20"/>
    <mergeCell ref="A51:K51"/>
    <mergeCell ref="L51:U51"/>
    <mergeCell ref="V51:AC51"/>
    <mergeCell ref="A115:C115"/>
    <mergeCell ref="A2:A3"/>
    <mergeCell ref="A11:A12"/>
    <mergeCell ref="B2:B3"/>
    <mergeCell ref="C2:C3"/>
    <mergeCell ref="D2:D3"/>
    <mergeCell ref="K2:K3"/>
    <mergeCell ref="K4:K8"/>
    <mergeCell ref="L2:L3"/>
    <mergeCell ref="L4:L8"/>
    <mergeCell ref="M2:M3"/>
    <mergeCell ref="M4:M8"/>
    <mergeCell ref="N2:N3"/>
    <mergeCell ref="N4:N8"/>
    <mergeCell ref="O2:O3"/>
    <mergeCell ref="O4:O8"/>
    <mergeCell ref="P2:P3"/>
    <mergeCell ref="P4:P8"/>
    <mergeCell ref="Q2:Q3"/>
    <mergeCell ref="Q4:Q8"/>
    <mergeCell ref="R2:R3"/>
    <mergeCell ref="R4:R8"/>
    <mergeCell ref="S2:S3"/>
    <mergeCell ref="S4:S8"/>
    <mergeCell ref="T2:T3"/>
    <mergeCell ref="T4:T8"/>
    <mergeCell ref="T11:T12"/>
    <mergeCell ref="U2:U3"/>
    <mergeCell ref="U4:U8"/>
    <mergeCell ref="U11:U12"/>
    <mergeCell ref="U13:U15"/>
    <mergeCell ref="V2:V3"/>
    <mergeCell ref="V4:V8"/>
    <mergeCell ref="V11:V12"/>
    <mergeCell ref="V13:V15"/>
    <mergeCell ref="W2:W3"/>
    <mergeCell ref="W4:W8"/>
    <mergeCell ref="W11:W12"/>
    <mergeCell ref="W13:W15"/>
    <mergeCell ref="X2:X3"/>
    <mergeCell ref="X4:X8"/>
    <mergeCell ref="Y2:Y3"/>
    <mergeCell ref="Y4:Y8"/>
    <mergeCell ref="Z2:Z3"/>
    <mergeCell ref="Z4:Z8"/>
    <mergeCell ref="AA2:AA3"/>
    <mergeCell ref="AA4:AA8"/>
    <mergeCell ref="AB2:AB3"/>
    <mergeCell ref="AB4:AB8"/>
    <mergeCell ref="AC2:AC3"/>
    <mergeCell ref="AD2:AD3"/>
    <mergeCell ref="AE2:AE3"/>
    <mergeCell ref="AF2:AF3"/>
    <mergeCell ref="AG2:AG3"/>
    <mergeCell ref="AH2:AH3"/>
    <mergeCell ref="AI2:AI3"/>
    <mergeCell ref="AJ2:AJ3"/>
    <mergeCell ref="AJ4:AJ8"/>
    <mergeCell ref="A113:H114"/>
  </mergeCells>
  <dataValidations count="7">
    <dataValidation type="list" allowBlank="1" showInputMessage="1" showErrorMessage="1" sqref="N48 R48 A63 R78 A22:A47 A65:A77 D57:D77 N57:N78 Z22:Z24 AB53:AB67">
      <formula1>"勘察设计,工程施工,设备采购,服务费,其他"</formula1>
    </dataValidation>
    <dataValidation type="list" allowBlank="1" showInputMessage="1" showErrorMessage="1" sqref="F64 F22:F47 F53:F62">
      <formula1>"6%,9%,13%"</formula1>
    </dataValidation>
    <dataValidation type="list" allowBlank="1" showInputMessage="1" showErrorMessage="1" sqref="D25:D26 D29:D47">
      <formula1>"勘察设计,工程施工,设备采购,业主承担管理费,服务费"</formula1>
    </dataValidation>
    <dataValidation type="list" allowBlank="1" showInputMessage="1" showErrorMessage="1" sqref="N25:N47 R25:R47 AF22:AF47">
      <formula1>"勘察设计,工程施工,设备采购,业主承担管理费,服务费,其他"</formula1>
    </dataValidation>
    <dataValidation type="list" allowBlank="1" showInputMessage="1" showErrorMessage="1" sqref="V4:V8">
      <formula1>"铁路,公路,市政,房建,地铁、轻轨,其他基建"</formula1>
    </dataValidation>
    <dataValidation type="list" allowBlank="1" showInputMessage="1" showErrorMessage="1" sqref="X4:X7">
      <formula1>"竣工未决算,在建,收尾,竣工已决算,停缓建"</formula1>
    </dataValidation>
    <dataValidation type="list" allowBlank="1" showInputMessage="1" showErrorMessage="1" sqref="X53:X77 AB22:AB43">
      <formula1>"专户,集团户"</formula1>
    </dataValidation>
  </dataValidations>
  <pageMargins left="0.75" right="0.75" top="1" bottom="1" header="0.5" footer="0.5"/>
  <pageSetup paperSize="9"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32"/>
  <sheetViews>
    <sheetView zoomScale="90" zoomScaleNormal="90" topLeftCell="A117" workbookViewId="0">
      <selection activeCell="A128" sqref="$A128:$XFD128"/>
    </sheetView>
  </sheetViews>
  <sheetFormatPr defaultColWidth="14.25" defaultRowHeight="21.95" customHeight="1"/>
  <cols>
    <col min="1" max="1" width="36.25" style="7" customWidth="1"/>
    <col min="2" max="2" width="30.1333333333333" style="7" customWidth="1"/>
    <col min="3" max="3" width="23.75" style="7" customWidth="1"/>
    <col min="4" max="4" width="17.1333333333333" style="7" customWidth="1"/>
    <col min="5" max="5" width="20.25" style="7" customWidth="1"/>
    <col min="6" max="6" width="17.6333333333333" style="7" customWidth="1"/>
    <col min="7" max="7" width="20.3833333333333" style="7" customWidth="1"/>
    <col min="8" max="8" width="20.6333333333333" style="7" customWidth="1"/>
    <col min="9" max="9" width="20.5" style="7" customWidth="1"/>
    <col min="10" max="10" width="18.3833333333333" style="7" customWidth="1"/>
    <col min="11" max="11" width="18.5" style="7" customWidth="1"/>
    <col min="12" max="12" width="19.3833333333333" style="7" customWidth="1"/>
    <col min="13" max="13" width="22.75" style="7" customWidth="1"/>
    <col min="14" max="14" width="21" style="7" customWidth="1"/>
    <col min="15" max="15" width="19" style="7" customWidth="1"/>
    <col min="16" max="16" width="27" style="7" customWidth="1"/>
    <col min="17" max="17" width="20.75" style="7" customWidth="1"/>
    <col min="18" max="18" width="17.25" style="7" customWidth="1"/>
    <col min="19" max="19" width="17.75" style="7" customWidth="1"/>
    <col min="20" max="20" width="23.8833333333333" style="7" customWidth="1"/>
    <col min="21" max="21" width="17.25" style="7" customWidth="1"/>
    <col min="22" max="22" width="20.75" style="7" customWidth="1"/>
    <col min="23" max="23" width="19.8833333333333" style="7" customWidth="1"/>
    <col min="24" max="24" width="16.8833333333333" style="7" customWidth="1"/>
    <col min="25" max="25" width="14.25" style="7" customWidth="1"/>
    <col min="26" max="26" width="19.25" style="7" customWidth="1"/>
    <col min="27" max="27" width="23.5" style="7" customWidth="1"/>
    <col min="28" max="30" width="14.25" style="7" customWidth="1"/>
    <col min="31" max="31" width="17.25" style="7" customWidth="1"/>
    <col min="32" max="16381" width="14.25" style="7" customWidth="1"/>
    <col min="16382" max="16384" width="14.25" style="7"/>
  </cols>
  <sheetData>
    <row r="1" customHeight="1" spans="1:36">
      <c r="A1" s="8" t="s">
        <v>0</v>
      </c>
    </row>
    <row r="2" customHeight="1" spans="1:36">
      <c r="A2" s="9" t="s">
        <v>291</v>
      </c>
      <c r="B2" s="9" t="s">
        <v>292</v>
      </c>
      <c r="C2" s="9" t="s">
        <v>293</v>
      </c>
      <c r="D2" s="10" t="s">
        <v>294</v>
      </c>
      <c r="E2" s="11" t="s">
        <v>295</v>
      </c>
      <c r="F2" s="12"/>
      <c r="G2" s="12"/>
      <c r="H2" s="12"/>
      <c r="I2" s="12"/>
      <c r="J2" s="13"/>
      <c r="K2" s="9" t="s">
        <v>9</v>
      </c>
      <c r="L2" s="9" t="s">
        <v>1</v>
      </c>
      <c r="M2" s="9" t="s">
        <v>296</v>
      </c>
      <c r="N2" s="9" t="s">
        <v>10</v>
      </c>
      <c r="O2" s="9" t="s">
        <v>11</v>
      </c>
      <c r="P2" s="9" t="s">
        <v>297</v>
      </c>
      <c r="Q2" s="9" t="s">
        <v>298</v>
      </c>
      <c r="R2" s="9" t="s">
        <v>299</v>
      </c>
      <c r="S2" s="9" t="s">
        <v>12</v>
      </c>
      <c r="T2" s="9" t="s">
        <v>13</v>
      </c>
      <c r="U2" s="9" t="s">
        <v>14</v>
      </c>
      <c r="V2" s="9" t="s">
        <v>15</v>
      </c>
      <c r="W2" s="9" t="s">
        <v>16</v>
      </c>
      <c r="X2" s="9" t="s">
        <v>17</v>
      </c>
      <c r="Y2" s="9" t="s">
        <v>300</v>
      </c>
      <c r="Z2" s="9" t="s">
        <v>301</v>
      </c>
      <c r="AA2" s="9" t="s">
        <v>302</v>
      </c>
      <c r="AB2" s="9" t="s">
        <v>303</v>
      </c>
      <c r="AC2" s="9" t="s">
        <v>304</v>
      </c>
      <c r="AD2" s="9" t="s">
        <v>305</v>
      </c>
      <c r="AE2" s="9" t="s">
        <v>304</v>
      </c>
      <c r="AF2" s="9" t="s">
        <v>306</v>
      </c>
      <c r="AG2" s="9" t="s">
        <v>307</v>
      </c>
      <c r="AH2" s="9" t="s">
        <v>308</v>
      </c>
      <c r="AI2" s="9" t="s">
        <v>309</v>
      </c>
      <c r="AJ2" s="9" t="s">
        <v>310</v>
      </c>
    </row>
    <row r="3" customHeight="1" spans="1:36">
      <c r="A3" s="14"/>
      <c r="B3" s="14"/>
      <c r="C3" s="14"/>
      <c r="D3" s="15"/>
      <c r="E3" s="16" t="s">
        <v>311</v>
      </c>
      <c r="F3" s="16" t="s">
        <v>312</v>
      </c>
      <c r="G3" s="16" t="s">
        <v>313</v>
      </c>
      <c r="H3" s="16" t="s">
        <v>314</v>
      </c>
      <c r="I3" s="16" t="s">
        <v>315</v>
      </c>
      <c r="J3" s="16" t="s">
        <v>92</v>
      </c>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Height="1" spans="1:36">
      <c r="A4" s="17" t="s">
        <v>485</v>
      </c>
      <c r="B4" s="17" t="s">
        <v>486</v>
      </c>
      <c r="C4" s="17" t="s">
        <v>487</v>
      </c>
      <c r="D4" s="18" t="s">
        <v>319</v>
      </c>
      <c r="E4" s="19"/>
      <c r="F4" s="19"/>
      <c r="G4" s="19"/>
      <c r="H4" s="19"/>
      <c r="I4" s="19"/>
      <c r="J4" s="19">
        <f t="shared" ref="J4:J6" si="0">SUM(E4:I4)</f>
        <v>0</v>
      </c>
      <c r="K4" s="20" t="e">
        <f>(F4-F5-F6)/F4</f>
        <v>#DIV/0!</v>
      </c>
      <c r="L4" s="21" t="s">
        <v>488</v>
      </c>
      <c r="M4" s="21" t="s">
        <v>488</v>
      </c>
      <c r="N4" s="21" t="s">
        <v>489</v>
      </c>
      <c r="O4" s="22" t="s">
        <v>490</v>
      </c>
      <c r="P4" s="22"/>
      <c r="Q4" s="22"/>
      <c r="R4" s="22"/>
      <c r="S4" s="22"/>
      <c r="T4" s="22"/>
      <c r="U4" s="22"/>
      <c r="V4" s="22"/>
      <c r="W4" s="22"/>
      <c r="X4" s="23"/>
      <c r="Y4" s="24"/>
      <c r="Z4" s="22"/>
      <c r="AA4" s="22"/>
      <c r="AB4" s="22"/>
      <c r="AC4" s="17"/>
      <c r="AD4" s="17"/>
      <c r="AE4" s="17"/>
      <c r="AF4" s="17"/>
      <c r="AG4" s="17"/>
      <c r="AH4" s="17"/>
      <c r="AI4" s="17"/>
      <c r="AJ4" s="22"/>
    </row>
    <row r="5" customHeight="1" spans="1:36">
      <c r="A5" s="17" t="s">
        <v>485</v>
      </c>
      <c r="B5" s="17" t="s">
        <v>486</v>
      </c>
      <c r="C5" s="17" t="s">
        <v>487</v>
      </c>
      <c r="D5" s="18" t="s">
        <v>328</v>
      </c>
      <c r="E5" s="19"/>
      <c r="F5" s="19"/>
      <c r="G5" s="19"/>
      <c r="H5" s="19"/>
      <c r="I5" s="19"/>
      <c r="J5" s="19">
        <f t="shared" si="0"/>
        <v>0</v>
      </c>
      <c r="K5" s="25"/>
      <c r="L5" s="26"/>
      <c r="M5" s="26"/>
      <c r="N5" s="26"/>
      <c r="O5" s="27"/>
      <c r="P5" s="27"/>
      <c r="Q5" s="27"/>
      <c r="R5" s="27"/>
      <c r="S5" s="27"/>
      <c r="T5" s="27"/>
      <c r="U5" s="27"/>
      <c r="V5" s="27"/>
      <c r="W5" s="27"/>
      <c r="X5" s="28"/>
      <c r="Y5" s="27"/>
      <c r="Z5" s="27"/>
      <c r="AA5" s="27"/>
      <c r="AB5" s="27"/>
      <c r="AC5" s="17"/>
      <c r="AD5" s="17"/>
      <c r="AE5" s="17"/>
      <c r="AF5" s="17"/>
      <c r="AG5" s="17"/>
      <c r="AH5" s="17"/>
      <c r="AI5" s="17"/>
      <c r="AJ5" s="27"/>
    </row>
    <row r="6" customHeight="1" spans="1:36">
      <c r="A6" s="17"/>
      <c r="B6" s="17"/>
      <c r="C6" s="17"/>
      <c r="D6" s="18" t="s">
        <v>328</v>
      </c>
      <c r="E6" s="19"/>
      <c r="F6" s="19"/>
      <c r="G6" s="19"/>
      <c r="H6" s="19"/>
      <c r="I6" s="19"/>
      <c r="J6" s="19">
        <f t="shared" si="0"/>
        <v>0</v>
      </c>
      <c r="K6" s="29"/>
      <c r="L6" s="30"/>
      <c r="M6" s="30"/>
      <c r="N6" s="30"/>
      <c r="O6" s="31"/>
      <c r="P6" s="31"/>
      <c r="Q6" s="31"/>
      <c r="R6" s="31"/>
      <c r="S6" s="31"/>
      <c r="T6" s="31"/>
      <c r="U6" s="31"/>
      <c r="V6" s="31"/>
      <c r="W6" s="31"/>
      <c r="X6" s="32"/>
      <c r="Y6" s="31"/>
      <c r="Z6" s="31"/>
      <c r="AA6" s="31"/>
      <c r="AB6" s="31"/>
      <c r="AC6" s="17"/>
      <c r="AD6" s="17"/>
      <c r="AE6" s="17"/>
      <c r="AF6" s="17"/>
      <c r="AG6" s="17"/>
      <c r="AH6" s="17"/>
      <c r="AI6" s="17"/>
      <c r="AJ6" s="31"/>
    </row>
    <row r="7" customHeight="1" spans="1:36">
      <c r="A7" s="33"/>
    </row>
    <row r="8" customHeight="1" spans="1:36">
      <c r="A8" s="8" t="s">
        <v>333</v>
      </c>
    </row>
    <row r="9" customHeight="1" spans="1:36">
      <c r="A9" s="16" t="s">
        <v>291</v>
      </c>
      <c r="B9" s="34" t="s">
        <v>83</v>
      </c>
      <c r="C9" s="34"/>
      <c r="D9" s="34"/>
      <c r="E9" s="34"/>
      <c r="F9" s="34"/>
      <c r="G9" s="34"/>
      <c r="H9" s="34" t="s">
        <v>88</v>
      </c>
      <c r="I9" s="34"/>
      <c r="J9" s="34"/>
      <c r="K9" s="34"/>
      <c r="L9" s="34"/>
      <c r="M9" s="34"/>
      <c r="N9" s="34" t="s">
        <v>334</v>
      </c>
      <c r="O9" s="34"/>
      <c r="P9" s="34"/>
      <c r="Q9" s="34"/>
      <c r="R9" s="34"/>
      <c r="S9" s="34"/>
      <c r="T9" s="9" t="s">
        <v>335</v>
      </c>
      <c r="U9" s="9" t="s">
        <v>336</v>
      </c>
      <c r="V9" s="9" t="s">
        <v>81</v>
      </c>
      <c r="W9" s="9" t="s">
        <v>82</v>
      </c>
    </row>
    <row r="10" s="1" customFormat="1" customHeight="1" spans="1:36">
      <c r="A10" s="16"/>
      <c r="B10" s="16" t="s">
        <v>311</v>
      </c>
      <c r="C10" s="16" t="s">
        <v>312</v>
      </c>
      <c r="D10" s="16" t="s">
        <v>313</v>
      </c>
      <c r="E10" s="16" t="s">
        <v>314</v>
      </c>
      <c r="F10" s="16" t="s">
        <v>337</v>
      </c>
      <c r="G10" s="16" t="s">
        <v>92</v>
      </c>
      <c r="H10" s="16" t="s">
        <v>311</v>
      </c>
      <c r="I10" s="16" t="s">
        <v>312</v>
      </c>
      <c r="J10" s="16" t="s">
        <v>313</v>
      </c>
      <c r="K10" s="16" t="s">
        <v>314</v>
      </c>
      <c r="L10" s="16" t="s">
        <v>337</v>
      </c>
      <c r="M10" s="16" t="s">
        <v>92</v>
      </c>
      <c r="N10" s="16" t="s">
        <v>311</v>
      </c>
      <c r="O10" s="16" t="s">
        <v>312</v>
      </c>
      <c r="P10" s="16" t="s">
        <v>313</v>
      </c>
      <c r="Q10" s="16" t="s">
        <v>314</v>
      </c>
      <c r="R10" s="16" t="s">
        <v>337</v>
      </c>
      <c r="S10" s="16" t="s">
        <v>92</v>
      </c>
      <c r="T10" s="14"/>
      <c r="U10" s="14"/>
      <c r="V10" s="14"/>
      <c r="W10" s="14"/>
    </row>
    <row r="11" customHeight="1" spans="1:36">
      <c r="A11" s="35"/>
      <c r="B11" s="36">
        <f>SUMIFS($E$20:$E$46,$D$20:$D$46,$B$10,$A$20:$A$46,$A$11)</f>
        <v>0</v>
      </c>
      <c r="C11" s="36">
        <f>SUMIFS($E$20:$E$46,$D$20:$D$46,C10,$A$20:$A$46,A11)</f>
        <v>0</v>
      </c>
      <c r="D11" s="36">
        <f>SUMIFS($E$20:$E$46,$D$20:$D$46,D10,$A$20:$A$46,A11)</f>
        <v>0</v>
      </c>
      <c r="E11" s="36">
        <f>SUMIFS($E$20:$E$46,$D$20:$D$46,E10,$A$20:$A$46,A11)</f>
        <v>0</v>
      </c>
      <c r="F11" s="36">
        <f>SUMIFS($E$20:$E$46,$D$20:$D$46,F10,$A$20:$A$46,A11)</f>
        <v>0</v>
      </c>
      <c r="G11" s="36">
        <f t="shared" ref="G11:G13" si="1">SUM(B11:F11)</f>
        <v>0</v>
      </c>
      <c r="H11" s="36">
        <f>SUMIFS($V$20:$V$46,$R$20:$R$46,$H$10,$P$20:$P$46,$A$11)</f>
        <v>0</v>
      </c>
      <c r="I11" s="36">
        <f>SUMIFS($V$20:$V$46,$R$20:$R$46,I10,$P$20:$P$46,$A$11)</f>
        <v>0</v>
      </c>
      <c r="J11" s="36">
        <f>SUMIFS($V$20:$V$46,$R$20:$R$46,$J$10,$P$20:$P$46,$A$11)</f>
        <v>0</v>
      </c>
      <c r="K11" s="36">
        <f>SUMIFS($V$20:$V$46,$R$20:$R$46,$K$10,$P$20:$P$46,$A$11)</f>
        <v>0</v>
      </c>
      <c r="L11" s="36">
        <f>SUMIFS($V$20:$V$46,$R$20:$R$46,$L$10,$P$20:$P$46,$A$11)</f>
        <v>0</v>
      </c>
      <c r="M11" s="36">
        <f t="shared" ref="M11:M13" si="2">SUM(H11:L11)</f>
        <v>0</v>
      </c>
      <c r="N11" s="36">
        <f>SUMIFS($O$20:$O$45,$N$20:$N$45,N10,$L$20:$L$45,A11)</f>
        <v>0</v>
      </c>
      <c r="O11" s="36">
        <f>SUMIFS($O$20:$O$45,$N$20:$N$45,O10,$L$20:$L$45,A11)</f>
        <v>0</v>
      </c>
      <c r="P11" s="36">
        <f>SUMIFS($O$20:$O$45,$N$20:$N$45,P10,$L$20:$L$45,A11)</f>
        <v>0</v>
      </c>
      <c r="Q11" s="36">
        <f>SUMIFS($O$20:$O$45,$N$20:$N$45,Q10,$L$20:$L$45,A11)</f>
        <v>0</v>
      </c>
      <c r="R11" s="36">
        <f>SUMIFS($O$20:$O$45,$N$20:$N$45,R10,$L$20:$L$45,A11)</f>
        <v>0</v>
      </c>
      <c r="S11" s="37">
        <f t="shared" ref="S11:S13" si="3">SUM(N11:R11)</f>
        <v>0</v>
      </c>
      <c r="T11" s="37">
        <f>SUMIF($Z$20:$Z$46,A11,$AE$20:$AE$46)</f>
        <v>0</v>
      </c>
      <c r="U11" s="22"/>
      <c r="V11" s="38">
        <f>F4/1.09</f>
        <v>0</v>
      </c>
      <c r="W11" s="38">
        <f>(F5+F6)/1.09</f>
        <v>0</v>
      </c>
    </row>
    <row r="12" customHeight="1" spans="1:36">
      <c r="A12" s="35"/>
      <c r="B12" s="36">
        <f>SUMIFS($E$51:$E$76,$D$51:$D$76,B10,$A$51:$A$76,A12)</f>
        <v>0</v>
      </c>
      <c r="C12" s="36">
        <f>SUMIFS($E$51:$E$76,$D$51:$D$76,C10,$A$51:$A$76,A12)</f>
        <v>0</v>
      </c>
      <c r="D12" s="36">
        <f>SUMIFS($E$51:$E$76,$D$51:$D$76,D10,$A$51:$A$76,A12)</f>
        <v>0</v>
      </c>
      <c r="E12" s="36">
        <f>SUMIFS($E$51:$E$76,$D$51:$D$76,E10,$A$51:$A$76,A12)</f>
        <v>0</v>
      </c>
      <c r="F12" s="36">
        <f>SUMIFS($E$51:$E$76,$D$51:$D$76,F10,$A$51:$A$76,A12)</f>
        <v>0</v>
      </c>
      <c r="G12" s="36">
        <f t="shared" si="1"/>
        <v>0</v>
      </c>
      <c r="H12" s="36">
        <f>SUMIFS($R$51:$R$76,$N$51:$N$76,H10,$L$51:$L$76,A12)</f>
        <v>0</v>
      </c>
      <c r="I12" s="36">
        <f>SUMIFS($R$51:$R$76,$N$51:$N$76,I10,$L$51:$L$76,A12)</f>
        <v>0</v>
      </c>
      <c r="J12" s="36">
        <f>SUMIFS($R$51:$R$76,$N$51:$N$76,J10,$L$51:$L$76,A12)</f>
        <v>0</v>
      </c>
      <c r="K12" s="36">
        <f>SUMIFS($R$51:$R$76,$N$51:$N$76,K10,$L$51:$L$76,A12)</f>
        <v>0</v>
      </c>
      <c r="L12" s="36">
        <f>SUMIFS($R$51:$R$76,$N$51:$N$76,L10,$L$51:$L$76,A12)</f>
        <v>0</v>
      </c>
      <c r="M12" s="36">
        <f t="shared" si="2"/>
        <v>0</v>
      </c>
      <c r="N12" s="36">
        <f>SUMIFS($G$51:$G$76,$D$51:$D$76,N10,$A$51:$A$76,A12)</f>
        <v>0</v>
      </c>
      <c r="O12" s="36">
        <f>SUMIFS($G$51:$G$76,$D$51:$D$76,$O$10,$A$51:$A$76,A12)</f>
        <v>0</v>
      </c>
      <c r="P12" s="36">
        <f>SUMIFS($G$51:$G$76,$D$51:$D$76,$P$10,$A$51:$A$76,A12)</f>
        <v>0</v>
      </c>
      <c r="Q12" s="36">
        <f>SUMIFS($G$51:$G$76,$D$51:$D$76,$Q$10,$A$51:$A$76,A12)</f>
        <v>0</v>
      </c>
      <c r="R12" s="36">
        <f>SUMIFS($G$51:$G$76,$D$51:$D$76,$R$10,$A$51:$A$76,A12)</f>
        <v>0</v>
      </c>
      <c r="S12" s="37">
        <f t="shared" si="3"/>
        <v>0</v>
      </c>
      <c r="T12" s="37">
        <f>SUMIF($V$51:$V$76,A12,$AA$51:$AA$76)</f>
        <v>0</v>
      </c>
      <c r="U12" s="27"/>
      <c r="V12" s="39"/>
      <c r="W12" s="39"/>
    </row>
    <row r="13" customHeight="1" spans="1:36">
      <c r="A13" s="35"/>
      <c r="B13" s="36">
        <f>SUMIFS($E$51:$E$76,$D$51:$D$76,B10,$A$51:$A$76,A13)</f>
        <v>0</v>
      </c>
      <c r="C13" s="36">
        <f>SUMIFS($E$51:$E$76,$D$51:$D$76,C10,$A$51:$A$76,A13)</f>
        <v>0</v>
      </c>
      <c r="D13" s="36">
        <f>SUMIFS($E$51:$E$76,$D$51:$D$76,D10,$A$51:$A$76,A13)</f>
        <v>0</v>
      </c>
      <c r="E13" s="36">
        <f>SUMIFS($E$51:$E$76,$D$51:$D$76,E10,$A$51:$A$76,A13)</f>
        <v>0</v>
      </c>
      <c r="F13" s="36">
        <f>SUMIFS($E$51:$E$76,$D$51:$D$76,F10,$A$51:$A$76,A13)</f>
        <v>0</v>
      </c>
      <c r="G13" s="36">
        <f t="shared" si="1"/>
        <v>0</v>
      </c>
      <c r="H13" s="36">
        <f>SUMIFS($R$51:$R$76,$N$51:$N$76,H10,$L$51:$L$76,A13)</f>
        <v>0</v>
      </c>
      <c r="I13" s="36">
        <f>SUMIFS($R$51:$R$76,$N$51:$N$76,I10,$L$51:$L$76,A13)</f>
        <v>0</v>
      </c>
      <c r="J13" s="36">
        <f>SUMIFS($R$51:$R$76,$N$51:$N$76,J10,$L$51:$L$76,A13)</f>
        <v>0</v>
      </c>
      <c r="K13" s="36">
        <f>SUMIFS($R$51:$R$76,$N$51:$N$76,K10,$L$51:$L$76,A13)</f>
        <v>0</v>
      </c>
      <c r="L13" s="36">
        <f>SUMIFS($R$51:$R$76,$N$51:$N$76,L10,$L$51:$L$76,A13)</f>
        <v>0</v>
      </c>
      <c r="M13" s="36">
        <f t="shared" si="2"/>
        <v>0</v>
      </c>
      <c r="N13" s="36">
        <f>SUMIFS($G$51:$G$76,$D$51:$D$76,$N$10,$A$51:$A$76,A13)</f>
        <v>0</v>
      </c>
      <c r="O13" s="36">
        <f>SUMIFS($G$51:$G$76,$D$51:$D$76,$O$10,$A$51:$A$76,A13)</f>
        <v>0</v>
      </c>
      <c r="P13" s="36">
        <f>SUMIFS($G$51:$G$76,$D$51:$D$76,$P$10,$A$51:$A$76,A13)</f>
        <v>0</v>
      </c>
      <c r="Q13" s="36">
        <f>SUMIFS($G$51:$G$76,$D$51:$D$76,$Q$10,$A$51:$A$76,A13)</f>
        <v>0</v>
      </c>
      <c r="R13" s="36">
        <f>SUMIFS($G$51:$G$76,$D$51:$D$76,$R$10,$A$51:$A$76,A13)</f>
        <v>0</v>
      </c>
      <c r="S13" s="37">
        <f t="shared" si="3"/>
        <v>0</v>
      </c>
      <c r="T13" s="37">
        <f>SUMIF($V$51:$V$76,A13,$AA$51:$AA$76)</f>
        <v>0</v>
      </c>
      <c r="U13" s="31"/>
      <c r="V13" s="40"/>
      <c r="W13" s="40"/>
    </row>
    <row r="14" s="2" customFormat="1" customHeight="1" spans="1:36">
      <c r="A14" s="41"/>
      <c r="B14" s="42"/>
      <c r="C14" s="42"/>
      <c r="D14" s="42"/>
      <c r="E14" s="42"/>
      <c r="F14" s="42"/>
      <c r="G14" s="43">
        <f>G11-C17</f>
        <v>0</v>
      </c>
      <c r="H14" s="42"/>
      <c r="I14" s="42"/>
      <c r="J14" s="42"/>
      <c r="K14" s="42"/>
      <c r="L14" s="42"/>
      <c r="M14" s="43">
        <f>M11-V17</f>
        <v>0</v>
      </c>
      <c r="N14" s="42"/>
      <c r="O14" s="42"/>
      <c r="P14" s="42"/>
      <c r="Q14" s="42"/>
      <c r="R14" s="42"/>
      <c r="S14" s="43">
        <f>S11-O17</f>
        <v>0</v>
      </c>
      <c r="T14" s="43">
        <f>T11-AE17</f>
        <v>0</v>
      </c>
      <c r="V14" s="43"/>
      <c r="W14" s="43"/>
    </row>
    <row r="15" s="2" customFormat="1" customHeight="1" spans="1:36">
      <c r="A15" s="41"/>
      <c r="B15" s="42"/>
      <c r="C15" s="42"/>
      <c r="D15" s="42"/>
      <c r="E15" s="42"/>
      <c r="F15" s="42"/>
      <c r="G15" s="43">
        <f>G12+G13-C48</f>
        <v>0</v>
      </c>
      <c r="H15" s="42"/>
      <c r="I15" s="42"/>
      <c r="J15" s="42"/>
      <c r="K15" s="42"/>
      <c r="L15" s="42"/>
      <c r="M15" s="43">
        <f>M12+M13-R48</f>
        <v>0</v>
      </c>
      <c r="N15" s="42"/>
      <c r="O15" s="42"/>
      <c r="P15" s="42"/>
      <c r="Q15" s="42"/>
      <c r="R15" s="42"/>
      <c r="S15" s="43">
        <f>S12+S13-G48</f>
        <v>0</v>
      </c>
      <c r="T15" s="43">
        <f>T12+T13-AA48</f>
        <v>0</v>
      </c>
      <c r="V15" s="43"/>
      <c r="W15" s="43"/>
    </row>
    <row r="17" s="3" customFormat="1" customHeight="1" spans="1:33">
      <c r="A17" s="44" t="s">
        <v>339</v>
      </c>
      <c r="C17" s="3">
        <f t="shared" ref="C17:H17" si="4">SUM(C20:C45)</f>
        <v>0</v>
      </c>
      <c r="E17" s="3">
        <f t="shared" si="4"/>
        <v>0</v>
      </c>
      <c r="G17" s="3">
        <f t="shared" si="4"/>
        <v>0</v>
      </c>
      <c r="H17" s="3">
        <f t="shared" si="4"/>
        <v>0</v>
      </c>
      <c r="O17" s="3">
        <f>SUM(O20:O45)</f>
        <v>0</v>
      </c>
      <c r="V17" s="3">
        <f t="shared" ref="V17:X17" si="5">SUM(V20:V45)</f>
        <v>0</v>
      </c>
      <c r="W17" s="3">
        <f t="shared" si="5"/>
        <v>0</v>
      </c>
      <c r="X17" s="3">
        <f t="shared" si="5"/>
        <v>0</v>
      </c>
      <c r="AE17" s="3">
        <f>SUM(AE20:AE45)</f>
        <v>0</v>
      </c>
    </row>
    <row r="18" s="4" customFormat="1" customHeight="1" spans="1:33">
      <c r="A18" s="45" t="s">
        <v>340</v>
      </c>
      <c r="B18" s="45"/>
      <c r="C18" s="45"/>
      <c r="D18" s="45"/>
      <c r="E18" s="45"/>
      <c r="F18" s="45"/>
      <c r="G18" s="45"/>
      <c r="H18" s="45"/>
      <c r="I18" s="45"/>
      <c r="J18" s="45"/>
      <c r="K18" s="45"/>
      <c r="L18" s="46" t="s">
        <v>341</v>
      </c>
      <c r="M18" s="47"/>
      <c r="N18" s="47"/>
      <c r="O18" s="48"/>
      <c r="P18" s="49" t="s">
        <v>342</v>
      </c>
      <c r="Q18" s="50"/>
      <c r="R18" s="50"/>
      <c r="S18" s="50"/>
      <c r="T18" s="50"/>
      <c r="U18" s="50"/>
      <c r="V18" s="50"/>
      <c r="W18" s="50"/>
      <c r="X18" s="50"/>
      <c r="Y18" s="51"/>
      <c r="Z18" s="52" t="s">
        <v>343</v>
      </c>
      <c r="AA18" s="53"/>
      <c r="AB18" s="53"/>
      <c r="AC18" s="53"/>
      <c r="AD18" s="53"/>
      <c r="AE18" s="53"/>
      <c r="AF18" s="53"/>
      <c r="AG18" s="54"/>
    </row>
    <row r="19" s="4" customFormat="1" ht="47.1" customHeight="1" spans="1:33">
      <c r="A19" s="55" t="s">
        <v>344</v>
      </c>
      <c r="B19" s="55" t="s">
        <v>345</v>
      </c>
      <c r="C19" s="55" t="s">
        <v>346</v>
      </c>
      <c r="D19" s="55" t="s">
        <v>347</v>
      </c>
      <c r="E19" s="55" t="s">
        <v>348</v>
      </c>
      <c r="F19" s="55" t="s">
        <v>349</v>
      </c>
      <c r="G19" s="55" t="s">
        <v>350</v>
      </c>
      <c r="H19" s="55" t="s">
        <v>351</v>
      </c>
      <c r="I19" s="55" t="s">
        <v>352</v>
      </c>
      <c r="J19" s="55" t="s">
        <v>353</v>
      </c>
      <c r="K19" s="55" t="s">
        <v>354</v>
      </c>
      <c r="L19" s="56" t="s">
        <v>344</v>
      </c>
      <c r="M19" s="56" t="s">
        <v>355</v>
      </c>
      <c r="N19" s="56" t="s">
        <v>356</v>
      </c>
      <c r="O19" s="56" t="s">
        <v>357</v>
      </c>
      <c r="P19" s="57" t="s">
        <v>344</v>
      </c>
      <c r="Q19" s="57" t="s">
        <v>355</v>
      </c>
      <c r="R19" s="58" t="s">
        <v>358</v>
      </c>
      <c r="S19" s="57" t="s">
        <v>359</v>
      </c>
      <c r="T19" s="57" t="s">
        <v>360</v>
      </c>
      <c r="U19" s="57" t="s">
        <v>361</v>
      </c>
      <c r="V19" s="57" t="s">
        <v>362</v>
      </c>
      <c r="W19" s="57" t="s">
        <v>363</v>
      </c>
      <c r="X19" s="57" t="s">
        <v>364</v>
      </c>
      <c r="Y19" s="59" t="s">
        <v>349</v>
      </c>
      <c r="Z19" s="60" t="s">
        <v>291</v>
      </c>
      <c r="AA19" s="60" t="s">
        <v>365</v>
      </c>
      <c r="AB19" s="60" t="s">
        <v>366</v>
      </c>
      <c r="AC19" s="60" t="s">
        <v>367</v>
      </c>
      <c r="AD19" s="60" t="s">
        <v>368</v>
      </c>
      <c r="AE19" s="60" t="s">
        <v>369</v>
      </c>
      <c r="AF19" s="60" t="s">
        <v>370</v>
      </c>
      <c r="AG19" s="60" t="s">
        <v>371</v>
      </c>
    </row>
    <row r="20" s="5" customFormat="1" customHeight="1" spans="1:33">
      <c r="A20" s="61"/>
      <c r="B20" s="61"/>
      <c r="C20" s="37"/>
      <c r="D20" s="61"/>
      <c r="E20" s="37"/>
      <c r="F20" s="62"/>
      <c r="G20" s="37"/>
      <c r="H20" s="37"/>
      <c r="I20" s="61"/>
      <c r="J20" s="61"/>
      <c r="K20" s="61"/>
      <c r="L20" s="63"/>
      <c r="M20" s="64"/>
      <c r="N20" s="61"/>
      <c r="O20" s="65"/>
      <c r="P20" s="63"/>
      <c r="Q20" s="61"/>
      <c r="R20" s="61"/>
      <c r="S20" s="61"/>
      <c r="T20" s="61"/>
      <c r="U20" s="61"/>
      <c r="V20" s="37"/>
      <c r="W20" s="37"/>
      <c r="X20" s="37"/>
      <c r="Y20" s="66"/>
      <c r="Z20" s="67"/>
      <c r="AA20" s="61"/>
      <c r="AB20" s="68"/>
      <c r="AC20" s="69"/>
      <c r="AD20" s="69"/>
      <c r="AE20" s="70"/>
      <c r="AF20" s="61"/>
      <c r="AG20" s="70"/>
    </row>
    <row r="21" s="5" customFormat="1" customHeight="1" spans="1:33">
      <c r="A21" s="61"/>
      <c r="B21" s="61"/>
      <c r="C21" s="37"/>
      <c r="D21" s="61"/>
      <c r="E21" s="37"/>
      <c r="F21" s="62"/>
      <c r="G21" s="37"/>
      <c r="H21" s="37"/>
      <c r="I21" s="61"/>
      <c r="J21" s="61"/>
      <c r="K21" s="61"/>
      <c r="L21" s="63"/>
      <c r="M21" s="64"/>
      <c r="N21" s="61"/>
      <c r="O21" s="37"/>
      <c r="P21" s="63"/>
      <c r="Q21" s="61"/>
      <c r="R21" s="61"/>
      <c r="S21" s="61"/>
      <c r="T21" s="61"/>
      <c r="U21" s="61"/>
      <c r="V21" s="37"/>
      <c r="W21" s="37"/>
      <c r="X21" s="37"/>
      <c r="Y21" s="66"/>
      <c r="Z21" s="67"/>
      <c r="AA21" s="61"/>
      <c r="AB21" s="68"/>
      <c r="AC21" s="69"/>
      <c r="AD21" s="69"/>
      <c r="AE21" s="70"/>
      <c r="AF21" s="61"/>
      <c r="AG21" s="70"/>
    </row>
    <row r="22" s="5" customFormat="1" customHeight="1" spans="1:33">
      <c r="A22" s="61"/>
      <c r="B22" s="61"/>
      <c r="C22" s="37"/>
      <c r="D22" s="61"/>
      <c r="E22" s="37"/>
      <c r="F22" s="62"/>
      <c r="G22" s="37"/>
      <c r="H22" s="37"/>
      <c r="I22" s="61"/>
      <c r="J22" s="61"/>
      <c r="K22" s="61"/>
      <c r="L22" s="63"/>
      <c r="M22" s="64"/>
      <c r="N22" s="61"/>
      <c r="O22" s="37"/>
      <c r="P22" s="63"/>
      <c r="Q22" s="61"/>
      <c r="R22" s="61"/>
      <c r="S22" s="61"/>
      <c r="T22" s="61"/>
      <c r="U22" s="61"/>
      <c r="V22" s="37"/>
      <c r="W22" s="37"/>
      <c r="X22" s="37"/>
      <c r="Y22" s="66"/>
      <c r="Z22" s="67"/>
      <c r="AA22" s="61"/>
      <c r="AB22" s="68"/>
      <c r="AC22" s="69"/>
      <c r="AD22" s="69"/>
      <c r="AE22" s="70"/>
      <c r="AF22" s="61"/>
      <c r="AG22" s="70"/>
    </row>
    <row r="23" s="5" customFormat="1" customHeight="1" spans="1:33">
      <c r="A23" s="61"/>
      <c r="B23" s="61"/>
      <c r="C23" s="37"/>
      <c r="D23" s="61"/>
      <c r="E23" s="37"/>
      <c r="F23" s="62"/>
      <c r="G23" s="37"/>
      <c r="H23" s="37"/>
      <c r="I23" s="61"/>
      <c r="J23" s="61"/>
      <c r="K23" s="61"/>
      <c r="L23" s="63"/>
      <c r="M23" s="64"/>
      <c r="N23" s="61"/>
      <c r="O23" s="37"/>
      <c r="P23" s="63"/>
      <c r="Q23" s="61"/>
      <c r="R23" s="61"/>
      <c r="S23" s="61"/>
      <c r="T23" s="61"/>
      <c r="U23" s="61"/>
      <c r="V23" s="37"/>
      <c r="W23" s="37"/>
      <c r="X23" s="37"/>
      <c r="Y23" s="66"/>
      <c r="Z23" s="67"/>
      <c r="AA23" s="61"/>
      <c r="AB23" s="68"/>
      <c r="AC23" s="69"/>
      <c r="AD23" s="69"/>
      <c r="AE23" s="70"/>
      <c r="AF23" s="61"/>
      <c r="AG23" s="70"/>
    </row>
    <row r="24" s="5" customFormat="1" customHeight="1" spans="1:33">
      <c r="A24" s="61"/>
      <c r="B24" s="61"/>
      <c r="C24" s="37"/>
      <c r="D24" s="61"/>
      <c r="E24" s="37"/>
      <c r="F24" s="62"/>
      <c r="G24" s="37"/>
      <c r="H24" s="37"/>
      <c r="I24" s="61"/>
      <c r="J24" s="61"/>
      <c r="K24" s="61"/>
      <c r="L24" s="63"/>
      <c r="M24" s="71"/>
      <c r="N24" s="61"/>
      <c r="O24" s="37"/>
      <c r="P24" s="63"/>
      <c r="Q24" s="61"/>
      <c r="R24" s="61"/>
      <c r="S24" s="61"/>
      <c r="T24" s="61"/>
      <c r="U24" s="61"/>
      <c r="V24" s="37"/>
      <c r="W24" s="37"/>
      <c r="X24" s="37"/>
      <c r="Y24" s="66"/>
      <c r="Z24" s="67"/>
      <c r="AA24" s="61"/>
      <c r="AB24" s="68"/>
      <c r="AC24" s="69"/>
      <c r="AD24" s="69"/>
      <c r="AE24" s="70"/>
      <c r="AF24" s="61"/>
      <c r="AG24" s="70"/>
    </row>
    <row r="25" s="5" customFormat="1" customHeight="1" spans="1:33">
      <c r="A25" s="61"/>
      <c r="B25" s="61"/>
      <c r="C25" s="37"/>
      <c r="D25" s="61"/>
      <c r="E25" s="37"/>
      <c r="F25" s="62"/>
      <c r="G25" s="37"/>
      <c r="H25" s="37"/>
      <c r="I25" s="61"/>
      <c r="J25" s="61"/>
      <c r="K25" s="61"/>
      <c r="L25" s="63"/>
      <c r="M25" s="61"/>
      <c r="N25" s="61"/>
      <c r="O25" s="37"/>
      <c r="P25" s="63"/>
      <c r="Q25" s="61"/>
      <c r="R25" s="61"/>
      <c r="S25" s="61"/>
      <c r="T25" s="61"/>
      <c r="U25" s="61"/>
      <c r="V25" s="37"/>
      <c r="W25" s="37"/>
      <c r="X25" s="37"/>
      <c r="Y25" s="66"/>
      <c r="Z25" s="67"/>
      <c r="AA25" s="61"/>
      <c r="AB25" s="68"/>
      <c r="AC25" s="69"/>
      <c r="AD25" s="69"/>
      <c r="AE25" s="70"/>
      <c r="AF25" s="61"/>
      <c r="AG25" s="70"/>
    </row>
    <row r="26" s="5" customFormat="1" customHeight="1" spans="1:33">
      <c r="A26" s="61"/>
      <c r="B26" s="61"/>
      <c r="C26" s="37"/>
      <c r="D26" s="61"/>
      <c r="E26" s="37"/>
      <c r="F26" s="62"/>
      <c r="G26" s="37"/>
      <c r="H26" s="37"/>
      <c r="I26" s="61"/>
      <c r="J26" s="61"/>
      <c r="K26" s="61"/>
      <c r="L26" s="63"/>
      <c r="M26" s="61"/>
      <c r="N26" s="61"/>
      <c r="O26" s="37"/>
      <c r="P26" s="63"/>
      <c r="Q26" s="61"/>
      <c r="R26" s="61"/>
      <c r="S26" s="61"/>
      <c r="T26" s="61"/>
      <c r="U26" s="61"/>
      <c r="V26" s="37"/>
      <c r="W26" s="37"/>
      <c r="X26" s="37"/>
      <c r="Y26" s="66"/>
      <c r="Z26" s="67"/>
      <c r="AA26" s="61"/>
      <c r="AB26" s="68"/>
      <c r="AC26" s="69"/>
      <c r="AD26" s="69"/>
      <c r="AE26" s="70"/>
      <c r="AF26" s="61"/>
      <c r="AG26" s="70"/>
    </row>
    <row r="27" s="5" customFormat="1" customHeight="1" spans="1:33">
      <c r="A27" s="61"/>
      <c r="B27" s="61"/>
      <c r="C27" s="37"/>
      <c r="D27" s="61"/>
      <c r="E27" s="37"/>
      <c r="F27" s="62"/>
      <c r="G27" s="37"/>
      <c r="H27" s="37"/>
      <c r="I27" s="61"/>
      <c r="J27" s="61"/>
      <c r="K27" s="61"/>
      <c r="L27" s="63"/>
      <c r="M27" s="61"/>
      <c r="N27" s="61"/>
      <c r="O27" s="37"/>
      <c r="P27" s="63"/>
      <c r="Q27" s="61"/>
      <c r="R27" s="61"/>
      <c r="S27" s="61"/>
      <c r="T27" s="61"/>
      <c r="U27" s="61"/>
      <c r="V27" s="37"/>
      <c r="W27" s="37"/>
      <c r="X27" s="37"/>
      <c r="Y27" s="66"/>
      <c r="Z27" s="67"/>
      <c r="AA27" s="61"/>
      <c r="AB27" s="68"/>
      <c r="AC27" s="69"/>
      <c r="AD27" s="69"/>
      <c r="AE27" s="70"/>
      <c r="AF27" s="61"/>
      <c r="AG27" s="70"/>
    </row>
    <row r="28" s="5" customFormat="1" customHeight="1" spans="1:33">
      <c r="A28" s="61"/>
      <c r="B28" s="61"/>
      <c r="C28" s="37"/>
      <c r="D28" s="61"/>
      <c r="E28" s="37"/>
      <c r="F28" s="62"/>
      <c r="G28" s="37"/>
      <c r="H28" s="37"/>
      <c r="I28" s="61"/>
      <c r="J28" s="61"/>
      <c r="K28" s="61"/>
      <c r="L28" s="63"/>
      <c r="M28" s="61"/>
      <c r="N28" s="61"/>
      <c r="O28" s="37"/>
      <c r="P28" s="63"/>
      <c r="Q28" s="61"/>
      <c r="R28" s="61"/>
      <c r="S28" s="61"/>
      <c r="T28" s="61"/>
      <c r="U28" s="61"/>
      <c r="V28" s="37"/>
      <c r="W28" s="37"/>
      <c r="X28" s="37"/>
      <c r="Y28" s="66"/>
      <c r="Z28" s="67"/>
      <c r="AA28" s="61"/>
      <c r="AB28" s="68"/>
      <c r="AC28" s="69"/>
      <c r="AD28" s="69"/>
      <c r="AE28" s="70"/>
      <c r="AF28" s="61"/>
      <c r="AG28" s="70"/>
    </row>
    <row r="29" s="5" customFormat="1" customHeight="1" spans="1:33">
      <c r="A29" s="61"/>
      <c r="B29" s="61"/>
      <c r="C29" s="37"/>
      <c r="D29" s="61"/>
      <c r="E29" s="37"/>
      <c r="F29" s="62"/>
      <c r="G29" s="37"/>
      <c r="H29" s="37"/>
      <c r="I29" s="61"/>
      <c r="J29" s="61"/>
      <c r="K29" s="61"/>
      <c r="L29" s="63"/>
      <c r="M29" s="61"/>
      <c r="N29" s="61"/>
      <c r="O29" s="37"/>
      <c r="P29" s="63"/>
      <c r="Q29" s="61"/>
      <c r="R29" s="61"/>
      <c r="S29" s="61"/>
      <c r="T29" s="61"/>
      <c r="U29" s="61"/>
      <c r="V29" s="37"/>
      <c r="W29" s="37"/>
      <c r="X29" s="37"/>
      <c r="Y29" s="66"/>
      <c r="Z29" s="67"/>
      <c r="AA29" s="61"/>
      <c r="AB29" s="68"/>
      <c r="AC29" s="69"/>
      <c r="AD29" s="69"/>
      <c r="AE29" s="70"/>
      <c r="AF29" s="61"/>
      <c r="AG29" s="70"/>
    </row>
    <row r="30" s="5" customFormat="1" customHeight="1" spans="1:33">
      <c r="A30" s="61"/>
      <c r="B30" s="61"/>
      <c r="C30" s="37"/>
      <c r="D30" s="61"/>
      <c r="E30" s="37"/>
      <c r="F30" s="62"/>
      <c r="G30" s="37"/>
      <c r="H30" s="37"/>
      <c r="I30" s="61"/>
      <c r="J30" s="61"/>
      <c r="K30" s="61"/>
      <c r="L30" s="63"/>
      <c r="M30" s="61"/>
      <c r="N30" s="61"/>
      <c r="O30" s="37"/>
      <c r="P30" s="63"/>
      <c r="Q30" s="61"/>
      <c r="R30" s="61"/>
      <c r="S30" s="61"/>
      <c r="T30" s="61"/>
      <c r="U30" s="61"/>
      <c r="V30" s="37"/>
      <c r="W30" s="37"/>
      <c r="X30" s="37"/>
      <c r="Y30" s="66"/>
      <c r="Z30" s="67"/>
      <c r="AA30" s="61"/>
      <c r="AB30" s="68"/>
      <c r="AC30" s="69"/>
      <c r="AD30" s="69"/>
      <c r="AE30" s="70"/>
      <c r="AF30" s="61"/>
      <c r="AG30" s="70"/>
    </row>
    <row r="31" s="5" customFormat="1" customHeight="1" spans="1:33">
      <c r="A31" s="61"/>
      <c r="B31" s="61"/>
      <c r="C31" s="37"/>
      <c r="D31" s="61"/>
      <c r="E31" s="37"/>
      <c r="F31" s="62"/>
      <c r="G31" s="37"/>
      <c r="H31" s="37"/>
      <c r="I31" s="61"/>
      <c r="J31" s="61"/>
      <c r="K31" s="61"/>
      <c r="L31" s="61"/>
      <c r="M31" s="61"/>
      <c r="N31" s="61"/>
      <c r="O31" s="37"/>
      <c r="P31" s="63"/>
      <c r="Q31" s="61"/>
      <c r="R31" s="61"/>
      <c r="S31" s="61"/>
      <c r="T31" s="61"/>
      <c r="U31" s="61"/>
      <c r="V31" s="37"/>
      <c r="W31" s="37"/>
      <c r="X31" s="37"/>
      <c r="Y31" s="66"/>
      <c r="Z31" s="67"/>
      <c r="AA31" s="61"/>
      <c r="AB31" s="68"/>
      <c r="AC31" s="69"/>
      <c r="AD31" s="69"/>
      <c r="AE31" s="70"/>
      <c r="AF31" s="61"/>
      <c r="AG31" s="70"/>
    </row>
    <row r="32" s="5" customFormat="1" customHeight="1" spans="1:33">
      <c r="A32" s="61"/>
      <c r="B32" s="61"/>
      <c r="C32" s="37"/>
      <c r="D32" s="61"/>
      <c r="E32" s="37"/>
      <c r="F32" s="62"/>
      <c r="G32" s="37"/>
      <c r="H32" s="37"/>
      <c r="I32" s="61"/>
      <c r="J32" s="61"/>
      <c r="K32" s="61"/>
      <c r="L32" s="61"/>
      <c r="M32" s="61"/>
      <c r="N32" s="61"/>
      <c r="O32" s="37"/>
      <c r="P32" s="63"/>
      <c r="Q32" s="61"/>
      <c r="R32" s="61"/>
      <c r="S32" s="61"/>
      <c r="T32" s="61"/>
      <c r="U32" s="61"/>
      <c r="V32" s="37"/>
      <c r="W32" s="37"/>
      <c r="X32" s="37"/>
      <c r="Y32" s="66"/>
      <c r="Z32" s="61"/>
      <c r="AA32" s="61"/>
      <c r="AB32" s="68"/>
      <c r="AC32" s="69"/>
      <c r="AD32" s="69"/>
      <c r="AE32" s="70"/>
      <c r="AF32" s="61"/>
      <c r="AG32" s="70"/>
    </row>
    <row r="33" s="5" customFormat="1" customHeight="1" spans="1:33">
      <c r="A33" s="61"/>
      <c r="B33" s="61"/>
      <c r="C33" s="37"/>
      <c r="D33" s="61"/>
      <c r="E33" s="37"/>
      <c r="F33" s="62"/>
      <c r="G33" s="37"/>
      <c r="H33" s="37"/>
      <c r="I33" s="61"/>
      <c r="J33" s="61"/>
      <c r="K33" s="61"/>
      <c r="L33" s="61"/>
      <c r="M33" s="61"/>
      <c r="N33" s="61"/>
      <c r="O33" s="37"/>
      <c r="P33" s="63"/>
      <c r="Q33" s="61"/>
      <c r="R33" s="61"/>
      <c r="S33" s="61"/>
      <c r="T33" s="61"/>
      <c r="U33" s="61"/>
      <c r="V33" s="37"/>
      <c r="W33" s="37"/>
      <c r="X33" s="37"/>
      <c r="Y33" s="66"/>
      <c r="Z33" s="61"/>
      <c r="AA33" s="61"/>
      <c r="AB33" s="68"/>
      <c r="AC33" s="69"/>
      <c r="AD33" s="69"/>
      <c r="AE33" s="70"/>
      <c r="AF33" s="61"/>
      <c r="AG33" s="70"/>
    </row>
    <row r="34" s="5" customFormat="1" customHeight="1" spans="1:33">
      <c r="A34" s="61"/>
      <c r="B34" s="61"/>
      <c r="C34" s="37"/>
      <c r="D34" s="61"/>
      <c r="E34" s="37"/>
      <c r="F34" s="62"/>
      <c r="G34" s="37"/>
      <c r="H34" s="37"/>
      <c r="I34" s="61"/>
      <c r="J34" s="61"/>
      <c r="K34" s="61"/>
      <c r="L34" s="61"/>
      <c r="M34" s="61"/>
      <c r="N34" s="61"/>
      <c r="O34" s="37"/>
      <c r="P34" s="63"/>
      <c r="Q34" s="61"/>
      <c r="R34" s="61"/>
      <c r="S34" s="61"/>
      <c r="T34" s="61"/>
      <c r="U34" s="61"/>
      <c r="V34" s="37"/>
      <c r="W34" s="37"/>
      <c r="X34" s="37"/>
      <c r="Y34" s="66"/>
      <c r="Z34" s="61"/>
      <c r="AA34" s="61"/>
      <c r="AB34" s="68"/>
      <c r="AC34" s="69"/>
      <c r="AD34" s="69"/>
      <c r="AE34" s="70"/>
      <c r="AF34" s="61"/>
      <c r="AG34" s="70"/>
    </row>
    <row r="35" s="5" customFormat="1" customHeight="1" spans="1:33">
      <c r="A35" s="61"/>
      <c r="B35" s="61"/>
      <c r="C35" s="37"/>
      <c r="D35" s="61"/>
      <c r="E35" s="37"/>
      <c r="F35" s="62"/>
      <c r="G35" s="37"/>
      <c r="H35" s="37"/>
      <c r="I35" s="61"/>
      <c r="J35" s="61"/>
      <c r="K35" s="61"/>
      <c r="L35" s="61"/>
      <c r="M35" s="61"/>
      <c r="N35" s="61"/>
      <c r="O35" s="37"/>
      <c r="P35" s="63"/>
      <c r="Q35" s="61"/>
      <c r="R35" s="61"/>
      <c r="S35" s="61"/>
      <c r="T35" s="61"/>
      <c r="U35" s="61"/>
      <c r="V35" s="37"/>
      <c r="W35" s="37"/>
      <c r="X35" s="37"/>
      <c r="Y35" s="66"/>
      <c r="Z35" s="61"/>
      <c r="AA35" s="61"/>
      <c r="AB35" s="68"/>
      <c r="AC35" s="69"/>
      <c r="AD35" s="69"/>
      <c r="AE35" s="70"/>
      <c r="AF35" s="61"/>
      <c r="AG35" s="70"/>
    </row>
    <row r="36" s="5" customFormat="1" customHeight="1" spans="1:33">
      <c r="A36" s="61"/>
      <c r="B36" s="61"/>
      <c r="C36" s="37"/>
      <c r="D36" s="61"/>
      <c r="E36" s="37"/>
      <c r="F36" s="62"/>
      <c r="G36" s="37"/>
      <c r="H36" s="37"/>
      <c r="I36" s="61"/>
      <c r="J36" s="61"/>
      <c r="K36" s="61"/>
      <c r="L36" s="61"/>
      <c r="M36" s="61"/>
      <c r="N36" s="61"/>
      <c r="O36" s="37"/>
      <c r="P36" s="63"/>
      <c r="Q36" s="61"/>
      <c r="R36" s="61"/>
      <c r="S36" s="61"/>
      <c r="T36" s="61"/>
      <c r="U36" s="61"/>
      <c r="V36" s="37"/>
      <c r="W36" s="37"/>
      <c r="X36" s="37"/>
      <c r="Y36" s="66"/>
      <c r="Z36" s="61"/>
      <c r="AA36" s="61"/>
      <c r="AB36" s="68"/>
      <c r="AC36" s="69"/>
      <c r="AD36" s="69"/>
      <c r="AE36" s="70"/>
      <c r="AF36" s="61"/>
      <c r="AG36" s="70"/>
    </row>
    <row r="37" s="5" customFormat="1" customHeight="1" spans="1:33">
      <c r="A37" s="61"/>
      <c r="B37" s="61"/>
      <c r="C37" s="37"/>
      <c r="D37" s="61"/>
      <c r="E37" s="37"/>
      <c r="F37" s="62"/>
      <c r="G37" s="37"/>
      <c r="H37" s="37"/>
      <c r="I37" s="61"/>
      <c r="J37" s="61"/>
      <c r="K37" s="61"/>
      <c r="L37" s="61"/>
      <c r="M37" s="61"/>
      <c r="N37" s="61"/>
      <c r="O37" s="37"/>
      <c r="P37" s="63"/>
      <c r="Q37" s="61"/>
      <c r="R37" s="61"/>
      <c r="S37" s="61"/>
      <c r="T37" s="61"/>
      <c r="U37" s="61"/>
      <c r="V37" s="37"/>
      <c r="W37" s="37"/>
      <c r="X37" s="37"/>
      <c r="Y37" s="66"/>
      <c r="Z37" s="61"/>
      <c r="AA37" s="61"/>
      <c r="AB37" s="68"/>
      <c r="AC37" s="69"/>
      <c r="AD37" s="69"/>
      <c r="AE37" s="70"/>
      <c r="AF37" s="61"/>
      <c r="AG37" s="70"/>
    </row>
    <row r="38" s="5" customFormat="1" customHeight="1" spans="1:33">
      <c r="A38" s="61"/>
      <c r="B38" s="61"/>
      <c r="C38" s="37"/>
      <c r="D38" s="61"/>
      <c r="E38" s="37"/>
      <c r="F38" s="62"/>
      <c r="G38" s="37"/>
      <c r="H38" s="37"/>
      <c r="I38" s="61"/>
      <c r="J38" s="61"/>
      <c r="K38" s="61"/>
      <c r="L38" s="61"/>
      <c r="M38" s="61"/>
      <c r="N38" s="61"/>
      <c r="O38" s="37"/>
      <c r="P38" s="61"/>
      <c r="Q38" s="61"/>
      <c r="R38" s="61"/>
      <c r="S38" s="61"/>
      <c r="T38" s="61"/>
      <c r="U38" s="61"/>
      <c r="V38" s="37"/>
      <c r="W38" s="37"/>
      <c r="X38" s="37"/>
      <c r="Y38" s="61"/>
      <c r="Z38" s="61"/>
      <c r="AA38" s="61"/>
      <c r="AB38" s="68"/>
      <c r="AC38" s="69"/>
      <c r="AD38" s="69"/>
      <c r="AE38" s="70"/>
      <c r="AF38" s="61"/>
      <c r="AG38" s="70"/>
    </row>
    <row r="39" s="5" customFormat="1" customHeight="1" spans="1:33">
      <c r="A39" s="61"/>
      <c r="B39" s="61"/>
      <c r="C39" s="37"/>
      <c r="D39" s="61"/>
      <c r="E39" s="37"/>
      <c r="F39" s="62"/>
      <c r="G39" s="37"/>
      <c r="H39" s="37"/>
      <c r="I39" s="61"/>
      <c r="J39" s="61"/>
      <c r="K39" s="61"/>
      <c r="L39" s="61"/>
      <c r="M39" s="61"/>
      <c r="N39" s="61"/>
      <c r="O39" s="37"/>
      <c r="P39" s="61"/>
      <c r="Q39" s="61"/>
      <c r="R39" s="61"/>
      <c r="S39" s="61"/>
      <c r="T39" s="61"/>
      <c r="U39" s="61"/>
      <c r="V39" s="37"/>
      <c r="W39" s="37"/>
      <c r="X39" s="37"/>
      <c r="Y39" s="61"/>
      <c r="Z39" s="61"/>
      <c r="AA39" s="61"/>
      <c r="AB39" s="68"/>
      <c r="AC39" s="69"/>
      <c r="AD39" s="69"/>
      <c r="AE39" s="70"/>
      <c r="AF39" s="61"/>
      <c r="AG39" s="70"/>
    </row>
    <row r="40" s="5" customFormat="1" customHeight="1" spans="1:33">
      <c r="A40" s="61"/>
      <c r="B40" s="61"/>
      <c r="C40" s="37"/>
      <c r="D40" s="61"/>
      <c r="E40" s="37"/>
      <c r="F40" s="62"/>
      <c r="G40" s="37"/>
      <c r="H40" s="37"/>
      <c r="I40" s="61"/>
      <c r="J40" s="61"/>
      <c r="K40" s="61"/>
      <c r="L40" s="61"/>
      <c r="M40" s="61"/>
      <c r="N40" s="61"/>
      <c r="O40" s="37"/>
      <c r="P40" s="61"/>
      <c r="Q40" s="61"/>
      <c r="R40" s="61"/>
      <c r="S40" s="61"/>
      <c r="T40" s="61"/>
      <c r="U40" s="61"/>
      <c r="V40" s="37"/>
      <c r="W40" s="37"/>
      <c r="X40" s="37"/>
      <c r="Y40" s="61"/>
      <c r="Z40" s="61"/>
      <c r="AA40" s="61"/>
      <c r="AB40" s="68"/>
      <c r="AC40" s="69"/>
      <c r="AD40" s="69"/>
      <c r="AE40" s="70"/>
      <c r="AF40" s="61"/>
      <c r="AG40" s="70"/>
    </row>
    <row r="41" s="5" customFormat="1" customHeight="1" spans="1:33">
      <c r="A41" s="61"/>
      <c r="B41" s="61"/>
      <c r="C41" s="37"/>
      <c r="D41" s="61"/>
      <c r="E41" s="37"/>
      <c r="F41" s="62"/>
      <c r="G41" s="37"/>
      <c r="H41" s="37"/>
      <c r="I41" s="61"/>
      <c r="J41" s="61"/>
      <c r="K41" s="61"/>
      <c r="L41" s="61"/>
      <c r="M41" s="61"/>
      <c r="N41" s="61"/>
      <c r="O41" s="37"/>
      <c r="P41" s="61"/>
      <c r="Q41" s="61"/>
      <c r="R41" s="61"/>
      <c r="S41" s="61"/>
      <c r="T41" s="61"/>
      <c r="U41" s="61"/>
      <c r="V41" s="37"/>
      <c r="W41" s="37"/>
      <c r="X41" s="37"/>
      <c r="Y41" s="61"/>
      <c r="Z41" s="61"/>
      <c r="AA41" s="61"/>
      <c r="AB41" s="68"/>
      <c r="AC41" s="69"/>
      <c r="AD41" s="69"/>
      <c r="AE41" s="70"/>
      <c r="AF41" s="61"/>
      <c r="AG41" s="70"/>
    </row>
    <row r="42" s="5" customFormat="1" customHeight="1" spans="1:33">
      <c r="A42" s="61"/>
      <c r="B42" s="61"/>
      <c r="C42" s="37"/>
      <c r="D42" s="61"/>
      <c r="E42" s="37"/>
      <c r="F42" s="62"/>
      <c r="G42" s="37"/>
      <c r="H42" s="37"/>
      <c r="I42" s="61"/>
      <c r="J42" s="61"/>
      <c r="K42" s="61"/>
      <c r="L42" s="61"/>
      <c r="M42" s="61"/>
      <c r="N42" s="61"/>
      <c r="O42" s="37"/>
      <c r="P42" s="61"/>
      <c r="Q42" s="61"/>
      <c r="R42" s="61"/>
      <c r="S42" s="61"/>
      <c r="T42" s="61"/>
      <c r="U42" s="61"/>
      <c r="V42" s="37"/>
      <c r="W42" s="37"/>
      <c r="X42" s="37"/>
      <c r="Y42" s="61"/>
      <c r="Z42" s="61"/>
      <c r="AA42" s="61"/>
      <c r="AB42" s="72"/>
      <c r="AC42" s="72"/>
      <c r="AD42" s="72"/>
      <c r="AE42" s="72"/>
      <c r="AF42" s="61"/>
      <c r="AG42" s="72"/>
    </row>
    <row r="43" s="5" customFormat="1" customHeight="1" spans="1:33">
      <c r="A43" s="61"/>
      <c r="B43" s="61"/>
      <c r="C43" s="37"/>
      <c r="D43" s="61"/>
      <c r="E43" s="37"/>
      <c r="F43" s="62"/>
      <c r="G43" s="37"/>
      <c r="H43" s="37"/>
      <c r="I43" s="61"/>
      <c r="J43" s="61"/>
      <c r="K43" s="61"/>
      <c r="L43" s="61"/>
      <c r="M43" s="61"/>
      <c r="N43" s="61"/>
      <c r="O43" s="37"/>
      <c r="P43" s="61"/>
      <c r="Q43" s="61"/>
      <c r="R43" s="61"/>
      <c r="S43" s="61"/>
      <c r="T43" s="61"/>
      <c r="U43" s="61"/>
      <c r="V43" s="37"/>
      <c r="W43" s="37"/>
      <c r="X43" s="37"/>
      <c r="Y43" s="61"/>
      <c r="Z43" s="61"/>
      <c r="AA43" s="61"/>
      <c r="AB43" s="72"/>
      <c r="AC43" s="72"/>
      <c r="AD43" s="72"/>
      <c r="AE43" s="72"/>
      <c r="AF43" s="61"/>
      <c r="AG43" s="72"/>
    </row>
    <row r="44" s="5" customFormat="1" customHeight="1" spans="1:33">
      <c r="A44" s="61"/>
      <c r="B44" s="61"/>
      <c r="C44" s="37"/>
      <c r="D44" s="61"/>
      <c r="E44" s="37"/>
      <c r="F44" s="62"/>
      <c r="G44" s="37"/>
      <c r="H44" s="37"/>
      <c r="I44" s="61"/>
      <c r="J44" s="61"/>
      <c r="K44" s="61"/>
      <c r="L44" s="61"/>
      <c r="M44" s="61"/>
      <c r="N44" s="61"/>
      <c r="O44" s="37"/>
      <c r="P44" s="61"/>
      <c r="Q44" s="61"/>
      <c r="R44" s="61"/>
      <c r="S44" s="61"/>
      <c r="T44" s="61"/>
      <c r="U44" s="61"/>
      <c r="V44" s="37"/>
      <c r="W44" s="37"/>
      <c r="X44" s="37"/>
      <c r="Y44" s="61"/>
      <c r="Z44" s="61"/>
      <c r="AA44" s="61"/>
      <c r="AB44" s="72"/>
      <c r="AC44" s="72"/>
      <c r="AD44" s="72"/>
      <c r="AE44" s="72"/>
      <c r="AF44" s="61"/>
      <c r="AG44" s="72"/>
    </row>
    <row r="45" s="5" customFormat="1" customHeight="1" spans="1:33">
      <c r="A45" s="61"/>
      <c r="B45" s="61"/>
      <c r="C45" s="37"/>
      <c r="D45" s="61"/>
      <c r="E45" s="37"/>
      <c r="F45" s="62"/>
      <c r="G45" s="37"/>
      <c r="H45" s="37"/>
      <c r="I45" s="61"/>
      <c r="J45" s="61"/>
      <c r="K45" s="61"/>
      <c r="L45" s="61"/>
      <c r="M45" s="61"/>
      <c r="N45" s="61"/>
      <c r="O45" s="37"/>
      <c r="P45" s="61"/>
      <c r="Q45" s="61"/>
      <c r="R45" s="61"/>
      <c r="S45" s="61"/>
      <c r="T45" s="61"/>
      <c r="U45" s="61"/>
      <c r="V45" s="37"/>
      <c r="W45" s="37"/>
      <c r="X45" s="37"/>
      <c r="Y45" s="61"/>
      <c r="Z45" s="61"/>
      <c r="AA45" s="61"/>
      <c r="AB45" s="72"/>
      <c r="AC45" s="72"/>
      <c r="AD45" s="72"/>
      <c r="AE45" s="72"/>
      <c r="AF45" s="61"/>
      <c r="AG45" s="72"/>
    </row>
    <row r="46" s="5" customFormat="1" customHeight="1" spans="1:33">
      <c r="A46" s="73"/>
      <c r="B46" s="73"/>
      <c r="C46" s="74"/>
      <c r="D46" s="73"/>
      <c r="E46" s="74"/>
      <c r="F46" s="73"/>
      <c r="G46" s="74"/>
      <c r="H46" s="74"/>
      <c r="I46" s="73"/>
      <c r="J46" s="73"/>
      <c r="K46" s="73"/>
      <c r="L46" s="73"/>
      <c r="M46" s="73"/>
      <c r="N46" s="73"/>
      <c r="O46" s="74"/>
      <c r="P46" s="73"/>
      <c r="Q46" s="73"/>
      <c r="R46" s="73"/>
      <c r="S46" s="73"/>
      <c r="T46" s="73"/>
      <c r="U46" s="73"/>
      <c r="V46" s="74"/>
      <c r="W46" s="74"/>
      <c r="X46" s="74"/>
      <c r="Y46" s="73"/>
      <c r="Z46" s="73"/>
      <c r="AA46" s="73"/>
      <c r="AB46" s="75"/>
      <c r="AC46" s="75"/>
      <c r="AD46" s="75"/>
      <c r="AE46" s="75"/>
      <c r="AF46" s="75"/>
      <c r="AG46" s="75"/>
    </row>
    <row r="48" s="3" customFormat="1" customHeight="1" spans="1:33">
      <c r="A48" s="44" t="s">
        <v>373</v>
      </c>
      <c r="C48" s="3">
        <f t="shared" ref="C48:H48" si="6">SUM(C51:C75)</f>
        <v>0</v>
      </c>
      <c r="E48" s="3">
        <f t="shared" si="6"/>
        <v>0</v>
      </c>
      <c r="G48" s="3">
        <f t="shared" si="6"/>
        <v>0</v>
      </c>
      <c r="H48" s="3">
        <f t="shared" si="6"/>
        <v>0</v>
      </c>
      <c r="J48" s="3">
        <f>SUM(J51:J75)</f>
        <v>0</v>
      </c>
      <c r="K48" s="3">
        <f>SUM(K51:K75)</f>
        <v>0</v>
      </c>
      <c r="R48" s="3">
        <f t="shared" ref="R48:T48" si="7">SUM(R51:R75)</f>
        <v>0</v>
      </c>
      <c r="S48" s="3">
        <f t="shared" si="7"/>
        <v>0</v>
      </c>
      <c r="T48" s="3">
        <f t="shared" si="7"/>
        <v>0</v>
      </c>
      <c r="AA48" s="3">
        <f>SUM(AA51:AA75)</f>
        <v>0</v>
      </c>
    </row>
    <row r="49" s="4" customFormat="1" customHeight="1" spans="1:29">
      <c r="A49" s="45" t="s">
        <v>374</v>
      </c>
      <c r="B49" s="45"/>
      <c r="C49" s="45"/>
      <c r="D49" s="45"/>
      <c r="E49" s="45"/>
      <c r="F49" s="45"/>
      <c r="G49" s="45"/>
      <c r="H49" s="45"/>
      <c r="I49" s="45"/>
      <c r="J49" s="45"/>
      <c r="K49" s="45"/>
      <c r="L49" s="49" t="s">
        <v>375</v>
      </c>
      <c r="M49" s="50"/>
      <c r="N49" s="50"/>
      <c r="O49" s="50"/>
      <c r="P49" s="50"/>
      <c r="Q49" s="50"/>
      <c r="R49" s="50"/>
      <c r="S49" s="50"/>
      <c r="T49" s="50"/>
      <c r="U49" s="51"/>
      <c r="V49" s="52" t="s">
        <v>376</v>
      </c>
      <c r="W49" s="53"/>
      <c r="X49" s="53"/>
      <c r="Y49" s="53"/>
      <c r="Z49" s="53"/>
      <c r="AA49" s="53"/>
      <c r="AB49" s="53"/>
      <c r="AC49" s="54"/>
    </row>
    <row r="50" s="4" customFormat="1" customHeight="1" spans="1:29">
      <c r="A50" s="55" t="s">
        <v>291</v>
      </c>
      <c r="B50" s="55" t="s">
        <v>345</v>
      </c>
      <c r="C50" s="55" t="s">
        <v>346</v>
      </c>
      <c r="D50" s="55" t="s">
        <v>347</v>
      </c>
      <c r="E50" s="55" t="s">
        <v>377</v>
      </c>
      <c r="F50" s="55" t="s">
        <v>349</v>
      </c>
      <c r="G50" s="55" t="s">
        <v>350</v>
      </c>
      <c r="H50" s="55" t="s">
        <v>351</v>
      </c>
      <c r="I50" s="55" t="s">
        <v>352</v>
      </c>
      <c r="J50" s="55" t="s">
        <v>353</v>
      </c>
      <c r="K50" s="55" t="s">
        <v>354</v>
      </c>
      <c r="L50" s="57" t="s">
        <v>291</v>
      </c>
      <c r="M50" s="57" t="s">
        <v>355</v>
      </c>
      <c r="N50" s="58" t="s">
        <v>358</v>
      </c>
      <c r="O50" s="57" t="s">
        <v>359</v>
      </c>
      <c r="P50" s="57" t="s">
        <v>360</v>
      </c>
      <c r="Q50" s="57" t="s">
        <v>361</v>
      </c>
      <c r="R50" s="57" t="s">
        <v>362</v>
      </c>
      <c r="S50" s="57" t="s">
        <v>363</v>
      </c>
      <c r="T50" s="57" t="s">
        <v>364</v>
      </c>
      <c r="U50" s="59" t="s">
        <v>349</v>
      </c>
      <c r="V50" s="60" t="s">
        <v>291</v>
      </c>
      <c r="W50" s="60" t="s">
        <v>365</v>
      </c>
      <c r="X50" s="60" t="s">
        <v>378</v>
      </c>
      <c r="Y50" s="60" t="s">
        <v>379</v>
      </c>
      <c r="Z50" s="60" t="s">
        <v>380</v>
      </c>
      <c r="AA50" s="60" t="s">
        <v>381</v>
      </c>
      <c r="AB50" s="60" t="s">
        <v>382</v>
      </c>
      <c r="AC50" s="60" t="s">
        <v>383</v>
      </c>
    </row>
    <row r="51" s="5" customFormat="1" customHeight="1" spans="1:29">
      <c r="A51" s="76"/>
      <c r="B51" s="61"/>
      <c r="C51" s="37"/>
      <c r="D51" s="61"/>
      <c r="E51" s="37"/>
      <c r="F51" s="62"/>
      <c r="G51" s="37"/>
      <c r="H51" s="37"/>
      <c r="I51" s="61"/>
      <c r="J51" s="61"/>
      <c r="K51" s="61"/>
      <c r="L51" s="67"/>
      <c r="M51" s="61"/>
      <c r="N51" s="77"/>
      <c r="O51" s="68"/>
      <c r="P51" s="61"/>
      <c r="Q51" s="61"/>
      <c r="R51" s="37"/>
      <c r="S51" s="37"/>
      <c r="T51" s="37"/>
      <c r="U51" s="66"/>
      <c r="V51" s="67"/>
      <c r="W51" s="61"/>
      <c r="X51" s="68"/>
      <c r="Y51" s="61"/>
      <c r="Z51" s="61"/>
      <c r="AA51" s="37"/>
      <c r="AB51" s="77"/>
      <c r="AC51" s="61"/>
    </row>
    <row r="52" s="5" customFormat="1" customHeight="1" spans="1:29">
      <c r="A52" s="76"/>
      <c r="B52" s="61"/>
      <c r="C52" s="78"/>
      <c r="D52" s="61"/>
      <c r="E52" s="78"/>
      <c r="F52" s="62"/>
      <c r="G52" s="37"/>
      <c r="H52" s="37"/>
      <c r="I52" s="61"/>
      <c r="J52" s="61"/>
      <c r="K52" s="61"/>
      <c r="L52" s="79"/>
      <c r="M52" s="72"/>
      <c r="N52" s="77"/>
      <c r="O52" s="80"/>
      <c r="P52" s="72"/>
      <c r="Q52" s="72"/>
      <c r="R52" s="81"/>
      <c r="S52" s="81"/>
      <c r="T52" s="81"/>
      <c r="U52" s="66"/>
      <c r="V52" s="67"/>
      <c r="W52" s="61"/>
      <c r="X52" s="68"/>
      <c r="Y52" s="61"/>
      <c r="Z52" s="61"/>
      <c r="AA52" s="37"/>
      <c r="AB52" s="77"/>
      <c r="AC52" s="61"/>
    </row>
    <row r="53" s="5" customFormat="1" customHeight="1" spans="1:29">
      <c r="A53" s="76"/>
      <c r="B53" s="61"/>
      <c r="C53" s="78"/>
      <c r="D53" s="61"/>
      <c r="E53" s="78"/>
      <c r="F53" s="62"/>
      <c r="G53" s="37"/>
      <c r="H53" s="37"/>
      <c r="I53" s="61"/>
      <c r="J53" s="61"/>
      <c r="K53" s="61"/>
      <c r="L53" s="67"/>
      <c r="M53" s="61"/>
      <c r="N53" s="77"/>
      <c r="O53" s="82"/>
      <c r="P53" s="61"/>
      <c r="Q53" s="61"/>
      <c r="R53" s="37"/>
      <c r="S53" s="37"/>
      <c r="T53" s="37"/>
      <c r="U53" s="66"/>
      <c r="V53" s="67"/>
      <c r="W53" s="61"/>
      <c r="X53" s="68"/>
      <c r="Y53" s="61"/>
      <c r="Z53" s="61"/>
      <c r="AA53" s="37"/>
      <c r="AB53" s="77"/>
      <c r="AC53" s="72"/>
    </row>
    <row r="54" s="5" customFormat="1" customHeight="1" spans="1:29">
      <c r="A54" s="76"/>
      <c r="B54" s="61"/>
      <c r="C54" s="78"/>
      <c r="D54" s="61"/>
      <c r="E54" s="78"/>
      <c r="F54" s="62"/>
      <c r="G54" s="37"/>
      <c r="H54" s="37"/>
      <c r="I54" s="61"/>
      <c r="J54" s="61"/>
      <c r="K54" s="61"/>
      <c r="L54" s="67"/>
      <c r="M54" s="61"/>
      <c r="N54" s="77"/>
      <c r="O54" s="83"/>
      <c r="P54" s="61"/>
      <c r="Q54" s="61"/>
      <c r="R54" s="37"/>
      <c r="S54" s="37"/>
      <c r="T54" s="37"/>
      <c r="U54" s="66"/>
      <c r="V54" s="67"/>
      <c r="W54" s="61"/>
      <c r="X54" s="68"/>
      <c r="Y54" s="61"/>
      <c r="Z54" s="61"/>
      <c r="AA54" s="37"/>
      <c r="AB54" s="77"/>
      <c r="AC54" s="72"/>
    </row>
    <row r="55" s="5" customFormat="1" customHeight="1" spans="1:29">
      <c r="A55" s="76"/>
      <c r="B55" s="61"/>
      <c r="C55" s="78"/>
      <c r="D55" s="61"/>
      <c r="E55" s="78"/>
      <c r="F55" s="62"/>
      <c r="G55" s="37"/>
      <c r="H55" s="37"/>
      <c r="I55" s="61"/>
      <c r="J55" s="61"/>
      <c r="K55" s="61"/>
      <c r="L55" s="67"/>
      <c r="M55" s="61"/>
      <c r="N55" s="77"/>
      <c r="O55" s="83"/>
      <c r="P55" s="61"/>
      <c r="Q55" s="61"/>
      <c r="R55" s="37"/>
      <c r="S55" s="37"/>
      <c r="T55" s="37"/>
      <c r="U55" s="66"/>
      <c r="V55" s="67"/>
      <c r="W55" s="61"/>
      <c r="X55" s="68"/>
      <c r="Y55" s="61"/>
      <c r="Z55" s="61"/>
      <c r="AA55" s="37"/>
      <c r="AB55" s="77"/>
      <c r="AC55" s="72"/>
    </row>
    <row r="56" s="5" customFormat="1" customHeight="1" spans="1:29">
      <c r="A56" s="76"/>
      <c r="B56" s="61"/>
      <c r="C56" s="78"/>
      <c r="D56" s="61"/>
      <c r="E56" s="78"/>
      <c r="F56" s="62"/>
      <c r="G56" s="37"/>
      <c r="H56" s="37"/>
      <c r="I56" s="61"/>
      <c r="J56" s="61"/>
      <c r="K56" s="61"/>
      <c r="L56" s="67"/>
      <c r="M56" s="61"/>
      <c r="N56" s="77"/>
      <c r="O56" s="84"/>
      <c r="P56" s="61"/>
      <c r="Q56" s="61"/>
      <c r="R56" s="37"/>
      <c r="S56" s="37"/>
      <c r="T56" s="37"/>
      <c r="U56" s="66"/>
      <c r="V56" s="67"/>
      <c r="W56" s="61"/>
      <c r="X56" s="68"/>
      <c r="Y56" s="61"/>
      <c r="Z56" s="61"/>
      <c r="AA56" s="37"/>
      <c r="AB56" s="77"/>
      <c r="AC56" s="72"/>
    </row>
    <row r="57" s="5" customFormat="1" customHeight="1" spans="1:29">
      <c r="A57" s="76"/>
      <c r="B57" s="61"/>
      <c r="C57" s="78"/>
      <c r="D57" s="61"/>
      <c r="E57" s="78"/>
      <c r="F57" s="62"/>
      <c r="G57" s="37"/>
      <c r="H57" s="37"/>
      <c r="I57" s="61"/>
      <c r="J57" s="61"/>
      <c r="K57" s="61"/>
      <c r="L57" s="79"/>
      <c r="M57" s="72"/>
      <c r="N57" s="77"/>
      <c r="O57" s="80"/>
      <c r="P57" s="72"/>
      <c r="Q57" s="72"/>
      <c r="R57" s="81"/>
      <c r="S57" s="81"/>
      <c r="T57" s="81"/>
      <c r="U57" s="85"/>
      <c r="V57" s="67"/>
      <c r="W57" s="61"/>
      <c r="X57" s="68"/>
      <c r="Y57" s="61"/>
      <c r="Z57" s="61"/>
      <c r="AA57" s="37"/>
      <c r="AB57" s="77"/>
      <c r="AC57" s="72"/>
    </row>
    <row r="58" s="5" customFormat="1" customHeight="1" spans="1:29">
      <c r="A58" s="76"/>
      <c r="B58" s="61"/>
      <c r="C58" s="78"/>
      <c r="D58" s="61"/>
      <c r="E58" s="78"/>
      <c r="F58" s="62"/>
      <c r="G58" s="37"/>
      <c r="H58" s="37"/>
      <c r="I58" s="61"/>
      <c r="J58" s="61"/>
      <c r="K58" s="61"/>
      <c r="L58" s="67"/>
      <c r="M58" s="61"/>
      <c r="N58" s="77"/>
      <c r="O58" s="68"/>
      <c r="P58" s="61"/>
      <c r="Q58" s="61"/>
      <c r="R58" s="37"/>
      <c r="S58" s="37"/>
      <c r="T58" s="37"/>
      <c r="U58" s="66"/>
      <c r="V58" s="67"/>
      <c r="W58" s="61"/>
      <c r="X58" s="68"/>
      <c r="Y58" s="61"/>
      <c r="Z58" s="61"/>
      <c r="AA58" s="37"/>
      <c r="AB58" s="77"/>
      <c r="AC58" s="72"/>
    </row>
    <row r="59" s="5" customFormat="1" customHeight="1" spans="1:29">
      <c r="A59" s="61"/>
      <c r="B59" s="61"/>
      <c r="C59" s="61"/>
      <c r="D59" s="61"/>
      <c r="E59" s="61"/>
      <c r="F59" s="61"/>
      <c r="G59" s="37"/>
      <c r="H59" s="37"/>
      <c r="I59" s="61"/>
      <c r="J59" s="61"/>
      <c r="K59" s="61"/>
      <c r="L59" s="67"/>
      <c r="M59" s="61"/>
      <c r="N59" s="77"/>
      <c r="O59" s="68"/>
      <c r="P59" s="61"/>
      <c r="Q59" s="61"/>
      <c r="R59" s="37"/>
      <c r="S59" s="37"/>
      <c r="T59" s="37"/>
      <c r="U59" s="66"/>
      <c r="V59" s="67"/>
      <c r="W59" s="61"/>
      <c r="X59" s="68"/>
      <c r="Y59" s="61"/>
      <c r="Z59" s="61"/>
      <c r="AA59" s="37"/>
      <c r="AB59" s="77"/>
      <c r="AC59" s="72"/>
    </row>
    <row r="60" s="5" customFormat="1" customHeight="1" spans="1:29">
      <c r="A60" s="61"/>
      <c r="B60" s="61"/>
      <c r="C60" s="61"/>
      <c r="D60" s="61"/>
      <c r="E60" s="61"/>
      <c r="F60" s="61"/>
      <c r="G60" s="37"/>
      <c r="H60" s="37"/>
      <c r="I60" s="61"/>
      <c r="J60" s="61"/>
      <c r="K60" s="61"/>
      <c r="L60" s="61"/>
      <c r="M60" s="61"/>
      <c r="N60" s="77"/>
      <c r="O60" s="61"/>
      <c r="P60" s="61"/>
      <c r="Q60" s="61"/>
      <c r="R60" s="37"/>
      <c r="S60" s="37"/>
      <c r="T60" s="37"/>
      <c r="U60" s="66"/>
      <c r="V60" s="67"/>
      <c r="W60" s="61"/>
      <c r="X60" s="68"/>
      <c r="Y60" s="61"/>
      <c r="Z60" s="61"/>
      <c r="AA60" s="37"/>
      <c r="AB60" s="77"/>
      <c r="AC60" s="72"/>
    </row>
    <row r="61" s="5" customFormat="1" customHeight="1" spans="1:29">
      <c r="A61" s="61"/>
      <c r="B61" s="61"/>
      <c r="C61" s="61"/>
      <c r="D61" s="61"/>
      <c r="E61" s="61"/>
      <c r="F61" s="61"/>
      <c r="G61" s="37"/>
      <c r="H61" s="37"/>
      <c r="I61" s="61"/>
      <c r="J61" s="61"/>
      <c r="K61" s="61"/>
      <c r="L61" s="61"/>
      <c r="M61" s="61"/>
      <c r="N61" s="77"/>
      <c r="O61" s="61"/>
      <c r="P61" s="61"/>
      <c r="Q61" s="61"/>
      <c r="R61" s="37"/>
      <c r="S61" s="37"/>
      <c r="T61" s="37"/>
      <c r="U61" s="66"/>
      <c r="V61" s="67"/>
      <c r="W61" s="61"/>
      <c r="X61" s="68"/>
      <c r="Y61" s="61"/>
      <c r="Z61" s="61"/>
      <c r="AA61" s="37"/>
      <c r="AB61" s="77"/>
      <c r="AC61" s="72"/>
    </row>
    <row r="62" s="5" customFormat="1" customHeight="1" spans="1:29">
      <c r="A62" s="61"/>
      <c r="B62" s="61"/>
      <c r="C62" s="61"/>
      <c r="D62" s="61"/>
      <c r="E62" s="61"/>
      <c r="F62" s="61"/>
      <c r="G62" s="37"/>
      <c r="H62" s="37"/>
      <c r="I62" s="61"/>
      <c r="J62" s="61"/>
      <c r="K62" s="61"/>
      <c r="L62" s="61"/>
      <c r="M62" s="61"/>
      <c r="N62" s="77"/>
      <c r="O62" s="61"/>
      <c r="P62" s="61"/>
      <c r="Q62" s="61"/>
      <c r="R62" s="37"/>
      <c r="S62" s="37"/>
      <c r="T62" s="37"/>
      <c r="U62" s="66"/>
      <c r="V62" s="67"/>
      <c r="W62" s="61"/>
      <c r="X62" s="68"/>
      <c r="Y62" s="61"/>
      <c r="Z62" s="61"/>
      <c r="AA62" s="37"/>
      <c r="AB62" s="77"/>
      <c r="AC62" s="72"/>
    </row>
    <row r="63" s="5" customFormat="1" customHeight="1" spans="1:29">
      <c r="A63" s="61"/>
      <c r="B63" s="61"/>
      <c r="C63" s="61"/>
      <c r="D63" s="61"/>
      <c r="E63" s="61"/>
      <c r="F63" s="61"/>
      <c r="G63" s="37"/>
      <c r="H63" s="37"/>
      <c r="I63" s="61"/>
      <c r="J63" s="61"/>
      <c r="K63" s="61"/>
      <c r="L63" s="61"/>
      <c r="M63" s="61"/>
      <c r="N63" s="77"/>
      <c r="O63" s="61"/>
      <c r="P63" s="61"/>
      <c r="Q63" s="61"/>
      <c r="R63" s="37"/>
      <c r="S63" s="37"/>
      <c r="T63" s="37"/>
      <c r="U63" s="61"/>
      <c r="V63" s="67"/>
      <c r="W63" s="61"/>
      <c r="X63" s="68"/>
      <c r="Y63" s="61"/>
      <c r="Z63" s="61"/>
      <c r="AA63" s="37"/>
      <c r="AB63" s="77"/>
      <c r="AC63" s="72"/>
    </row>
    <row r="64" s="5" customFormat="1" customHeight="1" spans="1:29">
      <c r="A64" s="61"/>
      <c r="B64" s="61"/>
      <c r="C64" s="61"/>
      <c r="D64" s="61"/>
      <c r="E64" s="61"/>
      <c r="F64" s="61"/>
      <c r="G64" s="37"/>
      <c r="H64" s="37"/>
      <c r="I64" s="61"/>
      <c r="J64" s="61"/>
      <c r="K64" s="61"/>
      <c r="L64" s="61"/>
      <c r="M64" s="61"/>
      <c r="N64" s="77"/>
      <c r="O64" s="61"/>
      <c r="P64" s="61"/>
      <c r="Q64" s="61"/>
      <c r="R64" s="37"/>
      <c r="S64" s="37"/>
      <c r="T64" s="37"/>
      <c r="U64" s="61"/>
      <c r="V64" s="67"/>
      <c r="W64" s="61"/>
      <c r="X64" s="68"/>
      <c r="Y64" s="61"/>
      <c r="Z64" s="61"/>
      <c r="AA64" s="37"/>
      <c r="AB64" s="77"/>
      <c r="AC64" s="70"/>
    </row>
    <row r="65" s="5" customFormat="1" customHeight="1" spans="1:33">
      <c r="A65" s="61"/>
      <c r="B65" s="61"/>
      <c r="C65" s="61"/>
      <c r="D65" s="61"/>
      <c r="E65" s="61"/>
      <c r="F65" s="61"/>
      <c r="G65" s="37"/>
      <c r="H65" s="37"/>
      <c r="I65" s="61"/>
      <c r="J65" s="61"/>
      <c r="K65" s="61"/>
      <c r="L65" s="61"/>
      <c r="M65" s="61"/>
      <c r="N65" s="77"/>
      <c r="O65" s="61"/>
      <c r="P65" s="61"/>
      <c r="Q65" s="61"/>
      <c r="R65" s="37"/>
      <c r="S65" s="37"/>
      <c r="T65" s="37"/>
      <c r="U65" s="61"/>
      <c r="V65" s="67"/>
      <c r="W65" s="61"/>
      <c r="X65" s="68"/>
      <c r="Y65" s="61"/>
      <c r="Z65" s="61"/>
      <c r="AA65" s="37"/>
      <c r="AB65" s="77"/>
      <c r="AC65" s="72"/>
    </row>
    <row r="66" s="5" customFormat="1" customHeight="1" spans="1:33">
      <c r="A66" s="61"/>
      <c r="B66" s="61"/>
      <c r="C66" s="61"/>
      <c r="D66" s="61"/>
      <c r="E66" s="61"/>
      <c r="F66" s="61"/>
      <c r="G66" s="37"/>
      <c r="H66" s="37"/>
      <c r="I66" s="61"/>
      <c r="J66" s="61"/>
      <c r="K66" s="61"/>
      <c r="L66" s="61"/>
      <c r="M66" s="61"/>
      <c r="N66" s="77"/>
      <c r="O66" s="61"/>
      <c r="P66" s="61"/>
      <c r="Q66" s="61"/>
      <c r="R66" s="37"/>
      <c r="S66" s="37"/>
      <c r="T66" s="37"/>
      <c r="U66" s="61"/>
      <c r="V66" s="61"/>
      <c r="W66" s="61"/>
      <c r="X66" s="68"/>
      <c r="Y66" s="72"/>
      <c r="Z66" s="72"/>
      <c r="AA66" s="81"/>
      <c r="AB66" s="72"/>
      <c r="AC66" s="72"/>
    </row>
    <row r="67" s="5" customFormat="1" customHeight="1" spans="1:33">
      <c r="A67" s="61"/>
      <c r="B67" s="61"/>
      <c r="C67" s="61"/>
      <c r="D67" s="61"/>
      <c r="E67" s="61"/>
      <c r="F67" s="61"/>
      <c r="G67" s="37"/>
      <c r="H67" s="37"/>
      <c r="I67" s="61"/>
      <c r="J67" s="61"/>
      <c r="K67" s="61"/>
      <c r="L67" s="61"/>
      <c r="M67" s="61"/>
      <c r="N67" s="77"/>
      <c r="O67" s="61"/>
      <c r="P67" s="61"/>
      <c r="Q67" s="61"/>
      <c r="R67" s="37"/>
      <c r="S67" s="37"/>
      <c r="T67" s="37"/>
      <c r="U67" s="61"/>
      <c r="V67" s="61"/>
      <c r="W67" s="61"/>
      <c r="X67" s="68"/>
      <c r="Y67" s="72"/>
      <c r="Z67" s="72"/>
      <c r="AA67" s="81"/>
      <c r="AB67" s="72"/>
      <c r="AC67" s="72"/>
    </row>
    <row r="68" s="5" customFormat="1" customHeight="1" spans="1:33">
      <c r="A68" s="61"/>
      <c r="B68" s="61"/>
      <c r="C68" s="61"/>
      <c r="D68" s="61"/>
      <c r="E68" s="61"/>
      <c r="F68" s="61"/>
      <c r="G68" s="37"/>
      <c r="H68" s="37"/>
      <c r="I68" s="61"/>
      <c r="J68" s="61"/>
      <c r="K68" s="61"/>
      <c r="L68" s="61"/>
      <c r="M68" s="61"/>
      <c r="N68" s="77"/>
      <c r="O68" s="61"/>
      <c r="P68" s="61"/>
      <c r="Q68" s="61"/>
      <c r="R68" s="37"/>
      <c r="S68" s="37"/>
      <c r="T68" s="37"/>
      <c r="U68" s="61"/>
      <c r="V68" s="61"/>
      <c r="W68" s="61"/>
      <c r="X68" s="68"/>
      <c r="Y68" s="72"/>
      <c r="Z68" s="72"/>
      <c r="AA68" s="81"/>
      <c r="AB68" s="72"/>
      <c r="AC68" s="72"/>
    </row>
    <row r="69" s="5" customFormat="1" customHeight="1" spans="1:33">
      <c r="A69" s="61"/>
      <c r="B69" s="61"/>
      <c r="C69" s="61"/>
      <c r="D69" s="61"/>
      <c r="E69" s="61"/>
      <c r="F69" s="61"/>
      <c r="G69" s="37"/>
      <c r="H69" s="37"/>
      <c r="I69" s="61"/>
      <c r="J69" s="61"/>
      <c r="K69" s="61"/>
      <c r="L69" s="61"/>
      <c r="M69" s="61"/>
      <c r="N69" s="77"/>
      <c r="O69" s="61"/>
      <c r="P69" s="61"/>
      <c r="Q69" s="61"/>
      <c r="R69" s="37"/>
      <c r="S69" s="37"/>
      <c r="T69" s="37"/>
      <c r="U69" s="61"/>
      <c r="V69" s="61"/>
      <c r="W69" s="61"/>
      <c r="X69" s="68"/>
      <c r="Y69" s="72"/>
      <c r="Z69" s="72"/>
      <c r="AA69" s="81"/>
      <c r="AB69" s="72"/>
      <c r="AC69" s="72"/>
    </row>
    <row r="70" s="5" customFormat="1" customHeight="1" spans="1:33">
      <c r="A70" s="61"/>
      <c r="B70" s="61"/>
      <c r="C70" s="61"/>
      <c r="D70" s="61"/>
      <c r="E70" s="61"/>
      <c r="F70" s="61"/>
      <c r="G70" s="37"/>
      <c r="H70" s="37"/>
      <c r="I70" s="61"/>
      <c r="J70" s="61"/>
      <c r="K70" s="61"/>
      <c r="L70" s="61"/>
      <c r="M70" s="61"/>
      <c r="N70" s="77"/>
      <c r="O70" s="61"/>
      <c r="P70" s="61"/>
      <c r="Q70" s="61"/>
      <c r="R70" s="37"/>
      <c r="S70" s="37"/>
      <c r="T70" s="37"/>
      <c r="U70" s="61"/>
      <c r="V70" s="61"/>
      <c r="W70" s="61"/>
      <c r="X70" s="68"/>
      <c r="Y70" s="72"/>
      <c r="Z70" s="72"/>
      <c r="AA70" s="81"/>
      <c r="AB70" s="72"/>
      <c r="AC70" s="72"/>
    </row>
    <row r="71" s="5" customFormat="1" customHeight="1" spans="1:33">
      <c r="A71" s="61"/>
      <c r="B71" s="61"/>
      <c r="C71" s="61"/>
      <c r="D71" s="61"/>
      <c r="E71" s="61"/>
      <c r="F71" s="61"/>
      <c r="G71" s="37"/>
      <c r="H71" s="37"/>
      <c r="I71" s="61"/>
      <c r="J71" s="61"/>
      <c r="K71" s="61"/>
      <c r="L71" s="61"/>
      <c r="M71" s="61"/>
      <c r="N71" s="77"/>
      <c r="O71" s="61"/>
      <c r="P71" s="61"/>
      <c r="Q71" s="61"/>
      <c r="R71" s="37"/>
      <c r="S71" s="37"/>
      <c r="T71" s="37"/>
      <c r="U71" s="61"/>
      <c r="V71" s="61"/>
      <c r="W71" s="61"/>
      <c r="X71" s="68"/>
      <c r="Y71" s="72"/>
      <c r="Z71" s="72"/>
      <c r="AA71" s="81"/>
      <c r="AB71" s="72"/>
      <c r="AC71" s="72"/>
    </row>
    <row r="72" s="5" customFormat="1" customHeight="1" spans="1:33">
      <c r="A72" s="61"/>
      <c r="B72" s="61"/>
      <c r="C72" s="61"/>
      <c r="D72" s="61"/>
      <c r="E72" s="61"/>
      <c r="F72" s="61"/>
      <c r="G72" s="37"/>
      <c r="H72" s="37"/>
      <c r="I72" s="61"/>
      <c r="J72" s="61"/>
      <c r="K72" s="61"/>
      <c r="L72" s="61"/>
      <c r="M72" s="61"/>
      <c r="N72" s="77"/>
      <c r="O72" s="61"/>
      <c r="P72" s="61"/>
      <c r="Q72" s="61"/>
      <c r="R72" s="37"/>
      <c r="S72" s="37"/>
      <c r="T72" s="37"/>
      <c r="U72" s="61"/>
      <c r="V72" s="61"/>
      <c r="W72" s="61"/>
      <c r="X72" s="68"/>
      <c r="Y72" s="72"/>
      <c r="Z72" s="72"/>
      <c r="AA72" s="81"/>
      <c r="AB72" s="72"/>
      <c r="AC72" s="72"/>
    </row>
    <row r="73" s="5" customFormat="1" customHeight="1" spans="1:33">
      <c r="A73" s="61"/>
      <c r="B73" s="61"/>
      <c r="C73" s="61"/>
      <c r="D73" s="61"/>
      <c r="E73" s="61"/>
      <c r="F73" s="61"/>
      <c r="G73" s="37"/>
      <c r="H73" s="37"/>
      <c r="I73" s="61"/>
      <c r="J73" s="61"/>
      <c r="K73" s="61"/>
      <c r="L73" s="61"/>
      <c r="M73" s="61"/>
      <c r="N73" s="77"/>
      <c r="O73" s="61"/>
      <c r="P73" s="61"/>
      <c r="Q73" s="61"/>
      <c r="R73" s="37"/>
      <c r="S73" s="37"/>
      <c r="T73" s="37"/>
      <c r="U73" s="61"/>
      <c r="V73" s="61"/>
      <c r="W73" s="61"/>
      <c r="X73" s="68"/>
      <c r="Y73" s="72"/>
      <c r="Z73" s="72"/>
      <c r="AA73" s="81"/>
      <c r="AB73" s="72"/>
      <c r="AC73" s="72"/>
    </row>
    <row r="74" s="5" customFormat="1" customHeight="1" spans="1:33">
      <c r="A74" s="61"/>
      <c r="B74" s="61"/>
      <c r="C74" s="61"/>
      <c r="D74" s="61"/>
      <c r="E74" s="61"/>
      <c r="F74" s="61"/>
      <c r="G74" s="37"/>
      <c r="H74" s="37"/>
      <c r="I74" s="61"/>
      <c r="J74" s="61"/>
      <c r="K74" s="61"/>
      <c r="L74" s="61"/>
      <c r="M74" s="61"/>
      <c r="N74" s="77"/>
      <c r="O74" s="61"/>
      <c r="P74" s="61"/>
      <c r="Q74" s="61"/>
      <c r="R74" s="37"/>
      <c r="S74" s="37"/>
      <c r="T74" s="37"/>
      <c r="U74" s="61"/>
      <c r="V74" s="61"/>
      <c r="W74" s="61"/>
      <c r="X74" s="68"/>
      <c r="Y74" s="72"/>
      <c r="Z74" s="72"/>
      <c r="AA74" s="81"/>
      <c r="AB74" s="72"/>
      <c r="AC74" s="72"/>
    </row>
    <row r="75" s="5" customFormat="1" customHeight="1" spans="1:33">
      <c r="A75" s="61"/>
      <c r="B75" s="61"/>
      <c r="C75" s="61"/>
      <c r="D75" s="61"/>
      <c r="E75" s="61"/>
      <c r="F75" s="61"/>
      <c r="G75" s="37"/>
      <c r="H75" s="37"/>
      <c r="I75" s="61"/>
      <c r="J75" s="61"/>
      <c r="K75" s="61"/>
      <c r="L75" s="61"/>
      <c r="M75" s="61"/>
      <c r="N75" s="77"/>
      <c r="O75" s="61"/>
      <c r="P75" s="61"/>
      <c r="Q75" s="61"/>
      <c r="R75" s="37"/>
      <c r="S75" s="37"/>
      <c r="T75" s="37"/>
      <c r="U75" s="61"/>
      <c r="V75" s="61"/>
      <c r="W75" s="61"/>
      <c r="X75" s="68"/>
      <c r="Y75" s="72"/>
      <c r="Z75" s="72"/>
      <c r="AA75" s="81"/>
      <c r="AB75" s="72"/>
      <c r="AC75" s="72"/>
    </row>
    <row r="76" s="5" customFormat="1" customHeight="1" spans="1:33">
      <c r="A76" s="73"/>
      <c r="B76" s="73"/>
      <c r="C76" s="73"/>
      <c r="D76" s="73"/>
      <c r="E76" s="73"/>
      <c r="F76" s="73"/>
      <c r="G76" s="74"/>
      <c r="H76" s="74"/>
      <c r="I76" s="73"/>
      <c r="J76" s="73"/>
      <c r="K76" s="73"/>
      <c r="L76" s="73"/>
      <c r="M76" s="73"/>
      <c r="N76" s="73"/>
      <c r="O76" s="73"/>
      <c r="P76" s="73"/>
      <c r="Q76" s="73"/>
      <c r="R76" s="74"/>
      <c r="S76" s="74"/>
      <c r="T76" s="74"/>
      <c r="U76" s="73"/>
      <c r="V76" s="73"/>
      <c r="W76" s="73"/>
      <c r="X76" s="73"/>
      <c r="Y76" s="73"/>
      <c r="Z76" s="73"/>
      <c r="AA76" s="74"/>
      <c r="AB76" s="75"/>
      <c r="AC76" s="75"/>
      <c r="AD76" s="75"/>
      <c r="AE76" s="75"/>
      <c r="AF76" s="75"/>
      <c r="AG76" s="75"/>
    </row>
    <row r="78" customHeight="1" spans="1:33">
      <c r="A78" s="8" t="s">
        <v>384</v>
      </c>
    </row>
    <row r="79" ht="29.1" customHeight="1" spans="1:33">
      <c r="A79" s="34" t="s">
        <v>385</v>
      </c>
      <c r="B79" s="34" t="s">
        <v>386</v>
      </c>
      <c r="C79" s="34" t="s">
        <v>387</v>
      </c>
      <c r="D79" s="86" t="s">
        <v>388</v>
      </c>
      <c r="E79" s="87" t="s">
        <v>389</v>
      </c>
      <c r="F79" s="87" t="s">
        <v>390</v>
      </c>
      <c r="G79" s="87" t="s">
        <v>391</v>
      </c>
      <c r="H79" s="34" t="s">
        <v>392</v>
      </c>
      <c r="I79" s="34" t="s">
        <v>393</v>
      </c>
      <c r="J79" s="34" t="s">
        <v>394</v>
      </c>
      <c r="K79" s="34" t="s">
        <v>395</v>
      </c>
      <c r="L79" s="34" t="s">
        <v>92</v>
      </c>
      <c r="M79" s="34" t="s">
        <v>310</v>
      </c>
    </row>
    <row r="80" ht="29.1" customHeight="1" spans="1:33">
      <c r="A80" s="88"/>
      <c r="B80" s="89"/>
      <c r="C80" s="89"/>
      <c r="D80" s="90"/>
      <c r="E80" s="90"/>
      <c r="F80" s="90"/>
      <c r="G80" s="90"/>
      <c r="H80" s="61"/>
      <c r="I80" s="90"/>
      <c r="J80" s="89"/>
      <c r="K80" s="89"/>
      <c r="L80" s="89">
        <f t="shared" ref="L80:L92" si="8">SUM(D80:K80)</f>
        <v>0</v>
      </c>
      <c r="M80" s="89"/>
    </row>
    <row r="81" ht="29.1" customHeight="1" spans="1:13">
      <c r="A81" s="88"/>
      <c r="B81" s="89"/>
      <c r="C81" s="89"/>
      <c r="D81" s="90"/>
      <c r="E81" s="90"/>
      <c r="F81" s="90"/>
      <c r="G81" s="90"/>
      <c r="H81" s="61"/>
      <c r="I81" s="90"/>
      <c r="J81" s="89"/>
      <c r="K81" s="89"/>
      <c r="L81" s="89">
        <f t="shared" si="8"/>
        <v>0</v>
      </c>
      <c r="M81" s="89"/>
    </row>
    <row r="82" ht="29.1" customHeight="1" spans="1:13">
      <c r="A82" s="88"/>
      <c r="B82" s="89"/>
      <c r="C82" s="89"/>
      <c r="D82" s="90"/>
      <c r="E82" s="90"/>
      <c r="F82" s="90"/>
      <c r="G82" s="90"/>
      <c r="H82" s="61"/>
      <c r="I82" s="90"/>
      <c r="J82" s="89"/>
      <c r="K82" s="89"/>
      <c r="L82" s="89">
        <f t="shared" si="8"/>
        <v>0</v>
      </c>
      <c r="M82" s="89"/>
    </row>
    <row r="83" ht="29.1" customHeight="1" spans="1:13">
      <c r="A83" s="88"/>
      <c r="B83" s="89"/>
      <c r="C83" s="89"/>
      <c r="D83" s="90"/>
      <c r="E83" s="90"/>
      <c r="F83" s="90"/>
      <c r="G83" s="90"/>
      <c r="H83" s="61"/>
      <c r="I83" s="90"/>
      <c r="J83" s="89"/>
      <c r="K83" s="89"/>
      <c r="L83" s="89">
        <f t="shared" si="8"/>
        <v>0</v>
      </c>
      <c r="M83" s="89"/>
    </row>
    <row r="84" ht="29.1" customHeight="1" spans="1:13">
      <c r="A84" s="88"/>
      <c r="B84" s="89"/>
      <c r="C84" s="89"/>
      <c r="D84" s="90"/>
      <c r="E84" s="90"/>
      <c r="F84" s="90"/>
      <c r="G84" s="90"/>
      <c r="H84" s="61"/>
      <c r="I84" s="90"/>
      <c r="J84" s="89"/>
      <c r="K84" s="89"/>
      <c r="L84" s="89">
        <f t="shared" si="8"/>
        <v>0</v>
      </c>
      <c r="M84" s="89"/>
    </row>
    <row r="85" ht="29.1" customHeight="1" spans="1:13">
      <c r="A85" s="88"/>
      <c r="B85" s="89"/>
      <c r="C85" s="89"/>
      <c r="D85" s="90"/>
      <c r="E85" s="90"/>
      <c r="F85" s="90"/>
      <c r="G85" s="90"/>
      <c r="H85" s="61"/>
      <c r="I85" s="90"/>
      <c r="J85" s="89"/>
      <c r="K85" s="89"/>
      <c r="L85" s="89">
        <f t="shared" si="8"/>
        <v>0</v>
      </c>
      <c r="M85" s="89"/>
    </row>
    <row r="86" ht="29.1" customHeight="1" spans="1:13">
      <c r="A86" s="88"/>
      <c r="B86" s="89"/>
      <c r="C86" s="89"/>
      <c r="D86" s="90"/>
      <c r="E86" s="90"/>
      <c r="F86" s="90"/>
      <c r="G86" s="90"/>
      <c r="H86" s="61"/>
      <c r="I86" s="90"/>
      <c r="J86" s="89"/>
      <c r="K86" s="89"/>
      <c r="L86" s="89">
        <f t="shared" si="8"/>
        <v>0</v>
      </c>
      <c r="M86" s="89"/>
    </row>
    <row r="87" ht="29.1" customHeight="1" spans="1:13">
      <c r="A87" s="88"/>
      <c r="B87" s="89"/>
      <c r="C87" s="89"/>
      <c r="D87" s="90"/>
      <c r="E87" s="90"/>
      <c r="F87" s="90"/>
      <c r="G87" s="90"/>
      <c r="H87" s="61"/>
      <c r="I87" s="90"/>
      <c r="J87" s="89"/>
      <c r="K87" s="89"/>
      <c r="L87" s="89">
        <f t="shared" si="8"/>
        <v>0</v>
      </c>
      <c r="M87" s="89"/>
    </row>
    <row r="88" ht="29.1" customHeight="1" spans="1:13">
      <c r="A88" s="88"/>
      <c r="B88" s="89"/>
      <c r="C88" s="89"/>
      <c r="D88" s="90"/>
      <c r="E88" s="90"/>
      <c r="F88" s="90"/>
      <c r="G88" s="90"/>
      <c r="H88" s="61"/>
      <c r="I88" s="90"/>
      <c r="J88" s="89"/>
      <c r="K88" s="89"/>
      <c r="L88" s="89">
        <f t="shared" si="8"/>
        <v>0</v>
      </c>
      <c r="M88" s="89"/>
    </row>
    <row r="89" ht="29.1" customHeight="1" spans="1:13">
      <c r="A89" s="88"/>
      <c r="B89" s="89"/>
      <c r="C89" s="89"/>
      <c r="D89" s="90"/>
      <c r="E89" s="90"/>
      <c r="F89" s="90"/>
      <c r="G89" s="90"/>
      <c r="H89" s="61"/>
      <c r="I89" s="90"/>
      <c r="J89" s="89"/>
      <c r="K89" s="89"/>
      <c r="L89" s="89">
        <f t="shared" si="8"/>
        <v>0</v>
      </c>
      <c r="M89" s="89"/>
    </row>
    <row r="90" ht="29.1" customHeight="1" spans="1:13">
      <c r="A90" s="88"/>
      <c r="B90" s="89"/>
      <c r="C90" s="89"/>
      <c r="D90" s="90"/>
      <c r="E90" s="90"/>
      <c r="F90" s="90"/>
      <c r="G90" s="90"/>
      <c r="H90" s="61"/>
      <c r="I90" s="90"/>
      <c r="J90" s="89"/>
      <c r="K90" s="89"/>
      <c r="L90" s="89">
        <f t="shared" si="8"/>
        <v>0</v>
      </c>
      <c r="M90" s="89"/>
    </row>
    <row r="91" ht="29.1" customHeight="1" spans="1:13">
      <c r="A91" s="88"/>
      <c r="B91" s="89"/>
      <c r="C91" s="89"/>
      <c r="D91" s="90"/>
      <c r="E91" s="90"/>
      <c r="F91" s="90"/>
      <c r="G91" s="90"/>
      <c r="H91" s="61"/>
      <c r="I91" s="90"/>
      <c r="J91" s="89"/>
      <c r="K91" s="89"/>
      <c r="L91" s="89">
        <f t="shared" si="8"/>
        <v>0</v>
      </c>
      <c r="M91" s="89"/>
    </row>
    <row r="92" ht="29.1" customHeight="1" spans="1:13">
      <c r="A92" s="88"/>
      <c r="B92" s="89"/>
      <c r="C92" s="89"/>
      <c r="D92" s="61"/>
      <c r="E92" s="61"/>
      <c r="F92" s="61"/>
      <c r="G92" s="61"/>
      <c r="H92" s="61"/>
      <c r="I92" s="61"/>
      <c r="J92" s="89"/>
      <c r="K92" s="89"/>
      <c r="L92" s="89">
        <f t="shared" si="8"/>
        <v>0</v>
      </c>
      <c r="M92" s="89"/>
    </row>
    <row r="93" ht="29.1" customHeight="1" spans="1:13">
      <c r="A93" s="61" t="s">
        <v>92</v>
      </c>
      <c r="B93" s="61">
        <f t="shared" ref="B93:M93" si="9">SUM(B80:B92)</f>
        <v>0</v>
      </c>
      <c r="C93" s="61">
        <f t="shared" si="9"/>
        <v>0</v>
      </c>
      <c r="D93" s="61">
        <f t="shared" si="9"/>
        <v>0</v>
      </c>
      <c r="E93" s="61">
        <f t="shared" si="9"/>
        <v>0</v>
      </c>
      <c r="F93" s="61">
        <f t="shared" si="9"/>
        <v>0</v>
      </c>
      <c r="G93" s="61">
        <f t="shared" si="9"/>
        <v>0</v>
      </c>
      <c r="H93" s="61">
        <f t="shared" si="9"/>
        <v>0</v>
      </c>
      <c r="I93" s="61">
        <f t="shared" si="9"/>
        <v>0</v>
      </c>
      <c r="J93" s="61">
        <f t="shared" si="9"/>
        <v>0</v>
      </c>
      <c r="K93" s="61">
        <f t="shared" si="9"/>
        <v>0</v>
      </c>
      <c r="L93" s="61">
        <f t="shared" si="9"/>
        <v>0</v>
      </c>
      <c r="M93" s="61">
        <f t="shared" si="9"/>
        <v>0</v>
      </c>
    </row>
    <row r="95" customHeight="1" spans="1:13">
      <c r="A95" s="8" t="s">
        <v>396</v>
      </c>
    </row>
    <row r="96" customHeight="1" spans="1:13">
      <c r="A96" s="91" t="s">
        <v>397</v>
      </c>
      <c r="B96" s="34" t="s">
        <v>398</v>
      </c>
      <c r="C96" s="34" t="s">
        <v>399</v>
      </c>
      <c r="D96" s="34" t="s">
        <v>400</v>
      </c>
      <c r="E96" s="34" t="s">
        <v>401</v>
      </c>
      <c r="F96" s="34" t="s">
        <v>402</v>
      </c>
      <c r="G96" s="34" t="s">
        <v>403</v>
      </c>
      <c r="H96" s="34" t="s">
        <v>404</v>
      </c>
      <c r="I96" s="34" t="s">
        <v>92</v>
      </c>
    </row>
    <row r="97" customHeight="1" spans="1:17">
      <c r="A97" s="90" t="s">
        <v>5</v>
      </c>
      <c r="B97" s="19"/>
      <c r="C97" s="19"/>
      <c r="D97" s="19"/>
      <c r="E97" s="19"/>
      <c r="F97" s="19"/>
      <c r="G97" s="19"/>
      <c r="H97" s="19"/>
      <c r="I97" s="19">
        <f t="shared" ref="I97:I102" si="10">SUM(B97:H97)</f>
        <v>0</v>
      </c>
    </row>
    <row r="98" customHeight="1" spans="1:17">
      <c r="A98" s="61" t="s">
        <v>6</v>
      </c>
      <c r="B98" s="19"/>
      <c r="C98" s="19"/>
      <c r="D98" s="19"/>
      <c r="E98" s="19"/>
      <c r="F98" s="19"/>
      <c r="G98" s="19"/>
      <c r="H98" s="19"/>
      <c r="I98" s="19">
        <f t="shared" si="10"/>
        <v>0</v>
      </c>
    </row>
    <row r="99" customHeight="1" spans="1:17">
      <c r="A99" s="61" t="s">
        <v>405</v>
      </c>
      <c r="B99" s="19"/>
      <c r="C99" s="19"/>
      <c r="D99" s="19"/>
      <c r="E99" s="19"/>
      <c r="F99" s="19"/>
      <c r="G99" s="19"/>
      <c r="H99" s="19"/>
      <c r="I99" s="19">
        <f t="shared" si="10"/>
        <v>0</v>
      </c>
    </row>
    <row r="100" customHeight="1" spans="1:17">
      <c r="A100" s="61" t="s">
        <v>406</v>
      </c>
      <c r="B100" s="19"/>
      <c r="C100" s="19"/>
      <c r="D100" s="19"/>
      <c r="E100" s="19"/>
      <c r="F100" s="19"/>
      <c r="G100" s="19"/>
      <c r="H100" s="19"/>
      <c r="I100" s="19">
        <f t="shared" si="10"/>
        <v>0</v>
      </c>
    </row>
    <row r="101" customHeight="1" spans="1:17">
      <c r="A101" s="18" t="s">
        <v>407</v>
      </c>
      <c r="B101" s="19"/>
      <c r="C101" s="19"/>
      <c r="D101" s="19"/>
      <c r="E101" s="19"/>
      <c r="F101" s="19"/>
      <c r="G101" s="19"/>
      <c r="H101" s="19"/>
      <c r="I101" s="19">
        <f t="shared" si="10"/>
        <v>0</v>
      </c>
    </row>
    <row r="102" customHeight="1" spans="1:17">
      <c r="A102" s="18" t="s">
        <v>408</v>
      </c>
      <c r="B102" s="19"/>
      <c r="C102" s="19"/>
      <c r="D102" s="19"/>
      <c r="E102" s="19"/>
      <c r="F102" s="19"/>
      <c r="G102" s="19"/>
      <c r="H102" s="19"/>
      <c r="I102" s="19">
        <f t="shared" si="10"/>
        <v>0</v>
      </c>
    </row>
    <row r="105" ht="29.1" customHeight="1" spans="1:17">
      <c r="A105" s="8" t="s">
        <v>409</v>
      </c>
    </row>
    <row r="106" customHeight="1" spans="1:17">
      <c r="A106" s="91" t="s">
        <v>2</v>
      </c>
      <c r="B106" s="34" t="s">
        <v>410</v>
      </c>
      <c r="C106" s="34" t="s">
        <v>411</v>
      </c>
      <c r="D106" s="34" t="s">
        <v>413</v>
      </c>
      <c r="E106" s="34" t="s">
        <v>414</v>
      </c>
      <c r="F106" s="34" t="s">
        <v>415</v>
      </c>
      <c r="G106" s="34" t="s">
        <v>416</v>
      </c>
      <c r="H106" s="34" t="s">
        <v>417</v>
      </c>
      <c r="I106" s="34" t="s">
        <v>418</v>
      </c>
      <c r="J106" s="34" t="s">
        <v>419</v>
      </c>
      <c r="K106" s="34" t="s">
        <v>420</v>
      </c>
      <c r="L106" s="34" t="s">
        <v>421</v>
      </c>
      <c r="M106" s="34" t="s">
        <v>422</v>
      </c>
      <c r="N106" s="34" t="s">
        <v>423</v>
      </c>
      <c r="O106" s="92" t="s">
        <v>424</v>
      </c>
      <c r="P106" s="92" t="s">
        <v>425</v>
      </c>
      <c r="Q106" s="92" t="s">
        <v>426</v>
      </c>
    </row>
    <row r="107" customHeight="1" spans="1:17">
      <c r="A107" s="93" t="str">
        <f>M4</f>
        <v>来源于“共享系统”系统管理-权限管理-人员管理</v>
      </c>
      <c r="B107" s="94"/>
      <c r="C107" s="94"/>
      <c r="D107" s="94"/>
      <c r="E107" s="18"/>
      <c r="F107" s="94"/>
      <c r="G107" s="94"/>
      <c r="H107" s="94"/>
      <c r="I107" s="94"/>
      <c r="J107" s="94"/>
      <c r="K107" s="94"/>
      <c r="L107" s="94"/>
      <c r="M107" s="94"/>
      <c r="N107" s="94"/>
      <c r="O107" s="18"/>
      <c r="P107" s="18"/>
      <c r="Q107" s="18"/>
    </row>
    <row r="109" hidden="1" customHeight="1"/>
    <row r="110" customFormat="1" customHeight="1" spans="1:17">
      <c r="A110" s="8" t="s">
        <v>427</v>
      </c>
      <c r="B110" s="7"/>
      <c r="C110" s="7"/>
      <c r="D110" s="7"/>
      <c r="E110" s="7"/>
      <c r="F110" s="7"/>
      <c r="G110" s="7"/>
      <c r="H110" s="7"/>
    </row>
    <row r="111" s="6" customFormat="1" ht="27" customHeight="1" spans="1:17">
      <c r="A111" s="95" t="s">
        <v>428</v>
      </c>
      <c r="B111" s="95"/>
      <c r="C111" s="95"/>
      <c r="D111" s="95"/>
      <c r="E111" s="95"/>
      <c r="F111" s="95"/>
      <c r="G111" s="95"/>
      <c r="H111" s="95"/>
    </row>
    <row r="112" s="6" customFormat="1" ht="31.5" customHeight="1" spans="1:17">
      <c r="A112" s="95"/>
      <c r="B112" s="95"/>
      <c r="C112" s="95"/>
      <c r="D112" s="95"/>
      <c r="E112" s="95"/>
      <c r="F112" s="95"/>
      <c r="G112" s="95"/>
      <c r="H112" s="95"/>
    </row>
    <row r="113" s="6" customFormat="1" ht="45" customHeight="1" spans="1:11">
      <c r="A113" s="96" t="str">
        <f>L4</f>
        <v>来源于“共享系统”系统管理-权限管理-人员管理</v>
      </c>
      <c r="B113" s="96"/>
      <c r="C113" s="96"/>
      <c r="H113" s="97" t="s">
        <v>429</v>
      </c>
    </row>
    <row r="114" s="6" customFormat="1" ht="24" customHeight="1" spans="1:11">
      <c r="A114" s="98" t="s">
        <v>430</v>
      </c>
      <c r="B114" s="98" t="s">
        <v>431</v>
      </c>
      <c r="C114" s="98" t="s">
        <v>432</v>
      </c>
      <c r="D114" s="98" t="s">
        <v>433</v>
      </c>
      <c r="E114" s="98" t="s">
        <v>434</v>
      </c>
      <c r="F114" s="98" t="s">
        <v>435</v>
      </c>
      <c r="G114" s="98" t="s">
        <v>436</v>
      </c>
      <c r="H114" s="98" t="s">
        <v>437</v>
      </c>
      <c r="K114" s="99"/>
    </row>
    <row r="115" s="6" customFormat="1" ht="24" customHeight="1" spans="1:11">
      <c r="A115" s="100">
        <v>1</v>
      </c>
      <c r="B115" s="98" t="s">
        <v>81</v>
      </c>
      <c r="C115" s="101"/>
      <c r="D115" s="101"/>
      <c r="E115" s="101"/>
      <c r="F115" s="101"/>
      <c r="G115" s="101"/>
      <c r="H115" s="102">
        <f>V11</f>
        <v>0</v>
      </c>
      <c r="K115" s="99"/>
    </row>
    <row r="116" s="6" customFormat="1" ht="24" customHeight="1" spans="1:11">
      <c r="A116" s="100">
        <v>2</v>
      </c>
      <c r="B116" s="98" t="s">
        <v>82</v>
      </c>
      <c r="C116" s="101"/>
      <c r="D116" s="101"/>
      <c r="E116" s="101"/>
      <c r="F116" s="101"/>
      <c r="G116" s="101"/>
      <c r="H116" s="102">
        <f>W11</f>
        <v>0</v>
      </c>
      <c r="K116" s="99"/>
    </row>
    <row r="117" s="6" customFormat="1" ht="24" customHeight="1" spans="1:11">
      <c r="A117" s="100">
        <v>3</v>
      </c>
      <c r="B117" s="98" t="s">
        <v>438</v>
      </c>
      <c r="C117" s="101"/>
      <c r="D117" s="101"/>
      <c r="E117" s="101"/>
      <c r="F117" s="101"/>
      <c r="G117" s="101"/>
      <c r="H117" s="103">
        <f>H115-H116</f>
        <v>0</v>
      </c>
    </row>
    <row r="118" s="6" customFormat="1" ht="24" customHeight="1" spans="1:11">
      <c r="A118" s="100">
        <v>4</v>
      </c>
      <c r="B118" s="98" t="s">
        <v>439</v>
      </c>
      <c r="C118" s="102"/>
      <c r="D118" s="102">
        <v>0</v>
      </c>
      <c r="E118" s="102"/>
      <c r="F118" s="102"/>
      <c r="G118" s="102"/>
      <c r="H118" s="104">
        <f>C118+D118+E118+F118+G118</f>
        <v>0</v>
      </c>
      <c r="K118" s="105"/>
    </row>
    <row r="119" s="6" customFormat="1" ht="24" customHeight="1" spans="1:11">
      <c r="A119" s="100">
        <v>5</v>
      </c>
      <c r="B119" s="98" t="s">
        <v>440</v>
      </c>
      <c r="C119" s="102"/>
      <c r="D119" s="104">
        <v>0</v>
      </c>
      <c r="E119" s="104"/>
      <c r="F119" s="104"/>
      <c r="G119" s="104"/>
      <c r="H119" s="104">
        <f>C119+D119+E119+F119+G119</f>
        <v>0</v>
      </c>
    </row>
    <row r="120" s="6" customFormat="1" ht="24" customHeight="1" spans="1:11">
      <c r="A120" s="100">
        <v>6</v>
      </c>
      <c r="B120" s="104" t="s">
        <v>441</v>
      </c>
      <c r="C120" s="106" t="e">
        <f>ROUND(C118/H116,10)</f>
        <v>#DIV/0!</v>
      </c>
      <c r="D120" s="106" t="e">
        <f>ROUND((C118+D118)/H116,10)</f>
        <v>#DIV/0!</v>
      </c>
      <c r="E120" s="106" t="e">
        <f>ROUND((C118+D118+E118)/H116,10)</f>
        <v>#DIV/0!</v>
      </c>
      <c r="F120" s="106" t="e">
        <f>ROUND((C118+D118+E118+F118)/H116,10)</f>
        <v>#DIV/0!</v>
      </c>
      <c r="G120" s="106" t="e">
        <f>ROUND((C118+D118+E118+F118+G118)/H116,10)</f>
        <v>#DIV/0!</v>
      </c>
      <c r="H120" s="104"/>
    </row>
    <row r="121" s="6" customFormat="1" ht="24" customHeight="1" spans="1:11">
      <c r="A121" s="100">
        <v>7</v>
      </c>
      <c r="B121" s="104" t="s">
        <v>442</v>
      </c>
      <c r="C121" s="104">
        <f t="shared" ref="C121:G121" si="11">C119-C118</f>
        <v>0</v>
      </c>
      <c r="D121" s="104">
        <f t="shared" si="11"/>
        <v>0</v>
      </c>
      <c r="E121" s="104">
        <f t="shared" si="11"/>
        <v>0</v>
      </c>
      <c r="F121" s="104">
        <f t="shared" si="11"/>
        <v>0</v>
      </c>
      <c r="G121" s="104">
        <f t="shared" si="11"/>
        <v>0</v>
      </c>
      <c r="H121" s="104"/>
    </row>
    <row r="122" s="6" customFormat="1" ht="24" customHeight="1" spans="1:11">
      <c r="A122" s="100">
        <v>8</v>
      </c>
      <c r="B122" s="104" t="s">
        <v>443</v>
      </c>
      <c r="C122" s="104">
        <f>C119-C118</f>
        <v>0</v>
      </c>
      <c r="D122" s="104">
        <f>C121+D121</f>
        <v>0</v>
      </c>
      <c r="E122" s="104">
        <f>C121+D121+E121</f>
        <v>0</v>
      </c>
      <c r="F122" s="104">
        <f>C121+D121+E121+F121</f>
        <v>0</v>
      </c>
      <c r="G122" s="104">
        <f>C121+D121+E121+F121+G121</f>
        <v>0</v>
      </c>
      <c r="H122" s="104"/>
    </row>
    <row r="123" s="6" customFormat="1" ht="25.7" customHeight="1"/>
    <row r="124" s="6" customFormat="1" ht="25.7" customHeight="1" spans="1:11">
      <c r="B124" s="97" t="s">
        <v>444</v>
      </c>
      <c r="C124" s="97"/>
      <c r="D124" s="97"/>
      <c r="E124" s="97"/>
      <c r="F124" s="97"/>
      <c r="G124" s="97" t="s">
        <v>445</v>
      </c>
      <c r="H124" s="97"/>
    </row>
    <row r="126" customHeight="1" spans="1:11">
      <c r="A126" s="8" t="s">
        <v>446</v>
      </c>
    </row>
    <row r="127" customHeight="1" spans="1:11">
      <c r="A127" s="9" t="s">
        <v>98</v>
      </c>
      <c r="B127" s="9" t="s">
        <v>99</v>
      </c>
      <c r="C127" s="9" t="s">
        <v>100</v>
      </c>
      <c r="D127" s="9" t="s">
        <v>101</v>
      </c>
      <c r="E127" s="9" t="s">
        <v>447</v>
      </c>
      <c r="F127" s="9" t="s">
        <v>103</v>
      </c>
      <c r="G127" s="9" t="s">
        <v>104</v>
      </c>
    </row>
    <row r="128" ht="30" customHeight="1" spans="1:11">
      <c r="A128" s="107">
        <f>G11-T11-B107+C107-D107-E107-P107</f>
        <v>0</v>
      </c>
      <c r="B128" s="107">
        <f>H17-X17-J107+P107</f>
        <v>0</v>
      </c>
      <c r="C128" s="107" t="e">
        <f>SUMIFS($G$51:$G$76,$D$51:$D$76,C10)/H116*H115-O11</f>
        <v>#DIV/0!</v>
      </c>
      <c r="D128" s="107">
        <f>G12+G13-T12-T13-F107+G107-H107-I107+Q107</f>
        <v>0</v>
      </c>
      <c r="E128" s="107" t="e">
        <f>C11*(1-K4)-C12-C13</f>
        <v>#DIV/0!</v>
      </c>
      <c r="F128" s="107">
        <f>(SUMIFS($V$20:$V$46,$R$20:$R$46,C10)-SUMIFS($R$51:$R$76,$N$51:$N$76,C10))/1.09*0.02-D93</f>
        <v>0</v>
      </c>
      <c r="G128" s="107">
        <f>B107-C107+M107-N107</f>
        <v>0</v>
      </c>
    </row>
    <row r="129" ht="32.1" customHeight="1" spans="1:7">
      <c r="A129" s="18" t="s">
        <v>67</v>
      </c>
      <c r="B129" s="18" t="s">
        <v>67</v>
      </c>
      <c r="C129" s="18" t="s">
        <v>67</v>
      </c>
      <c r="D129" s="18" t="s">
        <v>67</v>
      </c>
      <c r="E129" s="108" t="s">
        <v>68</v>
      </c>
      <c r="F129" s="18" t="s">
        <v>67</v>
      </c>
      <c r="G129" s="108" t="s">
        <v>69</v>
      </c>
    </row>
    <row r="132" customHeight="1" spans="1:7">
      <c r="A132" s="1"/>
    </row>
  </sheetData>
  <autoFilter xmlns:etc="http://www.wps.cn/officeDocument/2017/etCustomData" ref="A50:AG65" etc:filterBottomFollowUsedRange="0">
    <extLst/>
  </autoFilter>
  <mergeCells count="70">
    <mergeCell ref="E2:J2"/>
    <mergeCell ref="B9:G9"/>
    <mergeCell ref="H9:M9"/>
    <mergeCell ref="N9:S9"/>
    <mergeCell ref="A18:K18"/>
    <mergeCell ref="L18:O18"/>
    <mergeCell ref="P18:Y18"/>
    <mergeCell ref="Z18:AG18"/>
    <mergeCell ref="A49:K49"/>
    <mergeCell ref="L49:U49"/>
    <mergeCell ref="V49:AC49"/>
    <mergeCell ref="A113:C113"/>
    <mergeCell ref="A2:A3"/>
    <mergeCell ref="A9:A10"/>
    <mergeCell ref="B2:B3"/>
    <mergeCell ref="C2:C3"/>
    <mergeCell ref="D2:D3"/>
    <mergeCell ref="K2:K3"/>
    <mergeCell ref="K4:K6"/>
    <mergeCell ref="L2:L3"/>
    <mergeCell ref="L4:L6"/>
    <mergeCell ref="M2:M3"/>
    <mergeCell ref="M4:M6"/>
    <mergeCell ref="N2:N3"/>
    <mergeCell ref="N4:N6"/>
    <mergeCell ref="O2:O3"/>
    <mergeCell ref="O4:O6"/>
    <mergeCell ref="P2:P3"/>
    <mergeCell ref="P4:P6"/>
    <mergeCell ref="Q2:Q3"/>
    <mergeCell ref="Q4:Q6"/>
    <mergeCell ref="R2:R3"/>
    <mergeCell ref="R4:R6"/>
    <mergeCell ref="S2:S3"/>
    <mergeCell ref="S4:S6"/>
    <mergeCell ref="T2:T3"/>
    <mergeCell ref="T4:T6"/>
    <mergeCell ref="T9:T10"/>
    <mergeCell ref="U2:U3"/>
    <mergeCell ref="U4:U6"/>
    <mergeCell ref="U9:U10"/>
    <mergeCell ref="U11:U13"/>
    <mergeCell ref="V2:V3"/>
    <mergeCell ref="V4:V6"/>
    <mergeCell ref="V9:V10"/>
    <mergeCell ref="V11:V13"/>
    <mergeCell ref="W2:W3"/>
    <mergeCell ref="W4:W6"/>
    <mergeCell ref="W9:W10"/>
    <mergeCell ref="W11:W13"/>
    <mergeCell ref="X2:X3"/>
    <mergeCell ref="X4:X6"/>
    <mergeCell ref="Y2:Y3"/>
    <mergeCell ref="Y4:Y6"/>
    <mergeCell ref="Z2:Z3"/>
    <mergeCell ref="Z4:Z6"/>
    <mergeCell ref="AA2:AA3"/>
    <mergeCell ref="AA4:AA6"/>
    <mergeCell ref="AB2:AB3"/>
    <mergeCell ref="AB4:AB6"/>
    <mergeCell ref="AC2:AC3"/>
    <mergeCell ref="AD2:AD3"/>
    <mergeCell ref="AE2:AE3"/>
    <mergeCell ref="AF2:AF3"/>
    <mergeCell ref="AG2:AG3"/>
    <mergeCell ref="AH2:AH3"/>
    <mergeCell ref="AI2:AI3"/>
    <mergeCell ref="AJ2:AJ3"/>
    <mergeCell ref="AJ4:AJ6"/>
    <mergeCell ref="A111:H112"/>
  </mergeCells>
  <dataValidations count="7">
    <dataValidation type="list" allowBlank="1" showInputMessage="1" showErrorMessage="1" sqref="N46 R46 R76 A20:A45 A59:A75 D51:D75 N51:N76 AB51:AB65">
      <formula1>"勘察设计,工程施工,设备采购,服务费,其他"</formula1>
    </dataValidation>
    <dataValidation type="list" allowBlank="1" showInputMessage="1" showErrorMessage="1" sqref="D20:D45">
      <formula1>"勘察设计,工程施工,设备采购,业主承担管理费,服务费"</formula1>
    </dataValidation>
    <dataValidation type="list" allowBlank="1" showInputMessage="1" showErrorMessage="1" sqref="F20:F45 F51:F58">
      <formula1>"6%,9%,13%"</formula1>
    </dataValidation>
    <dataValidation type="list" allowBlank="1" showInputMessage="1" showErrorMessage="1" sqref="N20:N45 R20:R45 AF20:AF45">
      <formula1>"勘察设计,工程施工,设备采购,业主承担管理费,服务费,其他"</formula1>
    </dataValidation>
    <dataValidation type="list" allowBlank="1" showInputMessage="1" showErrorMessage="1" sqref="V4:V6">
      <formula1>"铁路,公路,市政,房建,地铁、轻轨,其他基建"</formula1>
    </dataValidation>
    <dataValidation type="list" allowBlank="1" showInputMessage="1" showErrorMessage="1" sqref="X4:X5">
      <formula1>"竣工未决算,在建,收尾,竣工已决算,停缓建"</formula1>
    </dataValidation>
    <dataValidation type="list" allowBlank="1" showInputMessage="1" showErrorMessage="1" sqref="X51:X75 AB20:AB41">
      <formula1>"专户,集团户"</formula1>
    </dataValidation>
  </dataValidations>
  <pageMargins left="0.75" right="0.75" top="1" bottom="1" header="0.5" footer="0.5"/>
  <pageSetup paperSize="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32"/>
  <sheetViews>
    <sheetView zoomScale="90" zoomScaleNormal="90" topLeftCell="A115" workbookViewId="0">
      <selection activeCell="A128" sqref="$A128:$XFD128"/>
    </sheetView>
  </sheetViews>
  <sheetFormatPr defaultColWidth="14.25" defaultRowHeight="21.95" customHeight="1"/>
  <cols>
    <col min="1" max="1" width="36.25" style="7" customWidth="1"/>
    <col min="2" max="2" width="30.1333333333333" style="7" customWidth="1"/>
    <col min="3" max="3" width="23.75" style="7" customWidth="1"/>
    <col min="4" max="4" width="17.1333333333333" style="7" customWidth="1"/>
    <col min="5" max="5" width="20.25" style="7" customWidth="1"/>
    <col min="6" max="6" width="17.6333333333333" style="7" customWidth="1"/>
    <col min="7" max="7" width="20.3833333333333" style="7" customWidth="1"/>
    <col min="8" max="8" width="20.6333333333333" style="7" customWidth="1"/>
    <col min="9" max="9" width="20.5" style="7" customWidth="1"/>
    <col min="10" max="10" width="18.3833333333333" style="7" customWidth="1"/>
    <col min="11" max="11" width="18.5" style="7" customWidth="1"/>
    <col min="12" max="12" width="19.3833333333333" style="7" customWidth="1"/>
    <col min="13" max="13" width="22.75" style="7" customWidth="1"/>
    <col min="14" max="14" width="21" style="7" customWidth="1"/>
    <col min="15" max="15" width="19" style="7" customWidth="1"/>
    <col min="16" max="16" width="27" style="7" customWidth="1"/>
    <col min="17" max="17" width="20.75" style="7" customWidth="1"/>
    <col min="18" max="18" width="17.25" style="7" customWidth="1"/>
    <col min="19" max="19" width="17.75" style="7" customWidth="1"/>
    <col min="20" max="20" width="23.8833333333333" style="7" customWidth="1"/>
    <col min="21" max="21" width="17.25" style="7" customWidth="1"/>
    <col min="22" max="22" width="20.75" style="7" customWidth="1"/>
    <col min="23" max="23" width="19.8833333333333" style="7" customWidth="1"/>
    <col min="24" max="24" width="16.8833333333333" style="7" customWidth="1"/>
    <col min="25" max="25" width="14.25" style="7" customWidth="1"/>
    <col min="26" max="26" width="19.25" style="7" customWidth="1"/>
    <col min="27" max="27" width="23.5" style="7" customWidth="1"/>
    <col min="28" max="30" width="14.25" style="7" customWidth="1"/>
    <col min="31" max="31" width="17.25" style="7" customWidth="1"/>
    <col min="32" max="16381" width="14.25" style="7" customWidth="1"/>
    <col min="16382" max="16384" width="14.25" style="7"/>
  </cols>
  <sheetData>
    <row r="1" customHeight="1" spans="1:36">
      <c r="A1" s="8" t="s">
        <v>0</v>
      </c>
    </row>
    <row r="2" customHeight="1" spans="1:36">
      <c r="A2" s="9" t="s">
        <v>291</v>
      </c>
      <c r="B2" s="9" t="s">
        <v>292</v>
      </c>
      <c r="C2" s="9" t="s">
        <v>293</v>
      </c>
      <c r="D2" s="10" t="s">
        <v>294</v>
      </c>
      <c r="E2" s="11" t="s">
        <v>295</v>
      </c>
      <c r="F2" s="12"/>
      <c r="G2" s="12"/>
      <c r="H2" s="12"/>
      <c r="I2" s="12"/>
      <c r="J2" s="13"/>
      <c r="K2" s="9" t="s">
        <v>9</v>
      </c>
      <c r="L2" s="9" t="s">
        <v>1</v>
      </c>
      <c r="M2" s="9" t="s">
        <v>296</v>
      </c>
      <c r="N2" s="9" t="s">
        <v>10</v>
      </c>
      <c r="O2" s="9" t="s">
        <v>11</v>
      </c>
      <c r="P2" s="9" t="s">
        <v>297</v>
      </c>
      <c r="Q2" s="9" t="s">
        <v>298</v>
      </c>
      <c r="R2" s="9" t="s">
        <v>299</v>
      </c>
      <c r="S2" s="9" t="s">
        <v>12</v>
      </c>
      <c r="T2" s="9" t="s">
        <v>13</v>
      </c>
      <c r="U2" s="9" t="s">
        <v>14</v>
      </c>
      <c r="V2" s="9" t="s">
        <v>15</v>
      </c>
      <c r="W2" s="9" t="s">
        <v>16</v>
      </c>
      <c r="X2" s="9" t="s">
        <v>17</v>
      </c>
      <c r="Y2" s="9" t="s">
        <v>300</v>
      </c>
      <c r="Z2" s="9" t="s">
        <v>301</v>
      </c>
      <c r="AA2" s="9" t="s">
        <v>302</v>
      </c>
      <c r="AB2" s="9" t="s">
        <v>303</v>
      </c>
      <c r="AC2" s="9" t="s">
        <v>304</v>
      </c>
      <c r="AD2" s="9" t="s">
        <v>305</v>
      </c>
      <c r="AE2" s="9" t="s">
        <v>304</v>
      </c>
      <c r="AF2" s="9" t="s">
        <v>306</v>
      </c>
      <c r="AG2" s="9" t="s">
        <v>307</v>
      </c>
      <c r="AH2" s="9" t="s">
        <v>308</v>
      </c>
      <c r="AI2" s="9" t="s">
        <v>309</v>
      </c>
      <c r="AJ2" s="9" t="s">
        <v>310</v>
      </c>
    </row>
    <row r="3" customHeight="1" spans="1:36">
      <c r="A3" s="14"/>
      <c r="B3" s="14"/>
      <c r="C3" s="14"/>
      <c r="D3" s="15"/>
      <c r="E3" s="16" t="s">
        <v>311</v>
      </c>
      <c r="F3" s="16" t="s">
        <v>312</v>
      </c>
      <c r="G3" s="16" t="s">
        <v>313</v>
      </c>
      <c r="H3" s="16" t="s">
        <v>314</v>
      </c>
      <c r="I3" s="16" t="s">
        <v>315</v>
      </c>
      <c r="J3" s="16" t="s">
        <v>92</v>
      </c>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Height="1" spans="1:36">
      <c r="A4" s="17" t="s">
        <v>485</v>
      </c>
      <c r="B4" s="17" t="s">
        <v>486</v>
      </c>
      <c r="C4" s="17" t="s">
        <v>487</v>
      </c>
      <c r="D4" s="18" t="s">
        <v>319</v>
      </c>
      <c r="E4" s="19"/>
      <c r="F4" s="19"/>
      <c r="G4" s="19"/>
      <c r="H4" s="19"/>
      <c r="I4" s="19"/>
      <c r="J4" s="19">
        <f t="shared" ref="J4:J6" si="0">SUM(E4:I4)</f>
        <v>0</v>
      </c>
      <c r="K4" s="20" t="e">
        <f>(F4-F5-F6)/F4</f>
        <v>#DIV/0!</v>
      </c>
      <c r="L4" s="21" t="s">
        <v>488</v>
      </c>
      <c r="M4" s="21" t="s">
        <v>488</v>
      </c>
      <c r="N4" s="21" t="s">
        <v>489</v>
      </c>
      <c r="O4" s="22" t="s">
        <v>490</v>
      </c>
      <c r="P4" s="22"/>
      <c r="Q4" s="22"/>
      <c r="R4" s="22"/>
      <c r="S4" s="22"/>
      <c r="T4" s="22"/>
      <c r="U4" s="22"/>
      <c r="V4" s="22"/>
      <c r="W4" s="22"/>
      <c r="X4" s="23"/>
      <c r="Y4" s="24"/>
      <c r="Z4" s="22"/>
      <c r="AA4" s="22"/>
      <c r="AB4" s="22"/>
      <c r="AC4" s="17"/>
      <c r="AD4" s="17"/>
      <c r="AE4" s="17"/>
      <c r="AF4" s="17"/>
      <c r="AG4" s="17"/>
      <c r="AH4" s="17"/>
      <c r="AI4" s="17"/>
      <c r="AJ4" s="22"/>
    </row>
    <row r="5" customHeight="1" spans="1:36">
      <c r="A5" s="17" t="s">
        <v>485</v>
      </c>
      <c r="B5" s="17" t="s">
        <v>486</v>
      </c>
      <c r="C5" s="17" t="s">
        <v>487</v>
      </c>
      <c r="D5" s="18" t="s">
        <v>328</v>
      </c>
      <c r="E5" s="19"/>
      <c r="F5" s="19"/>
      <c r="G5" s="19"/>
      <c r="H5" s="19"/>
      <c r="I5" s="19"/>
      <c r="J5" s="19">
        <f t="shared" si="0"/>
        <v>0</v>
      </c>
      <c r="K5" s="25"/>
      <c r="L5" s="26"/>
      <c r="M5" s="26"/>
      <c r="N5" s="26"/>
      <c r="O5" s="27"/>
      <c r="P5" s="27"/>
      <c r="Q5" s="27"/>
      <c r="R5" s="27"/>
      <c r="S5" s="27"/>
      <c r="T5" s="27"/>
      <c r="U5" s="27"/>
      <c r="V5" s="27"/>
      <c r="W5" s="27"/>
      <c r="X5" s="28"/>
      <c r="Y5" s="27"/>
      <c r="Z5" s="27"/>
      <c r="AA5" s="27"/>
      <c r="AB5" s="27"/>
      <c r="AC5" s="17"/>
      <c r="AD5" s="17"/>
      <c r="AE5" s="17"/>
      <c r="AF5" s="17"/>
      <c r="AG5" s="17"/>
      <c r="AH5" s="17"/>
      <c r="AI5" s="17"/>
      <c r="AJ5" s="27"/>
    </row>
    <row r="6" customHeight="1" spans="1:36">
      <c r="A6" s="17"/>
      <c r="B6" s="17"/>
      <c r="C6" s="17"/>
      <c r="D6" s="18" t="s">
        <v>328</v>
      </c>
      <c r="E6" s="19"/>
      <c r="F6" s="19"/>
      <c r="G6" s="19"/>
      <c r="H6" s="19"/>
      <c r="I6" s="19"/>
      <c r="J6" s="19">
        <f t="shared" si="0"/>
        <v>0</v>
      </c>
      <c r="K6" s="29"/>
      <c r="L6" s="30"/>
      <c r="M6" s="30"/>
      <c r="N6" s="30"/>
      <c r="O6" s="31"/>
      <c r="P6" s="31"/>
      <c r="Q6" s="31"/>
      <c r="R6" s="31"/>
      <c r="S6" s="31"/>
      <c r="T6" s="31"/>
      <c r="U6" s="31"/>
      <c r="V6" s="31"/>
      <c r="W6" s="31"/>
      <c r="X6" s="32"/>
      <c r="Y6" s="31"/>
      <c r="Z6" s="31"/>
      <c r="AA6" s="31"/>
      <c r="AB6" s="31"/>
      <c r="AC6" s="17"/>
      <c r="AD6" s="17"/>
      <c r="AE6" s="17"/>
      <c r="AF6" s="17"/>
      <c r="AG6" s="17"/>
      <c r="AH6" s="17"/>
      <c r="AI6" s="17"/>
      <c r="AJ6" s="31"/>
    </row>
    <row r="7" customHeight="1" spans="1:36">
      <c r="A7" s="33"/>
    </row>
    <row r="8" customHeight="1" spans="1:36">
      <c r="A8" s="8" t="s">
        <v>333</v>
      </c>
    </row>
    <row r="9" customHeight="1" spans="1:36">
      <c r="A9" s="16" t="s">
        <v>291</v>
      </c>
      <c r="B9" s="34" t="s">
        <v>83</v>
      </c>
      <c r="C9" s="34"/>
      <c r="D9" s="34"/>
      <c r="E9" s="34"/>
      <c r="F9" s="34"/>
      <c r="G9" s="34"/>
      <c r="H9" s="34" t="s">
        <v>88</v>
      </c>
      <c r="I9" s="34"/>
      <c r="J9" s="34"/>
      <c r="K9" s="34"/>
      <c r="L9" s="34"/>
      <c r="M9" s="34"/>
      <c r="N9" s="34" t="s">
        <v>334</v>
      </c>
      <c r="O9" s="34"/>
      <c r="P9" s="34"/>
      <c r="Q9" s="34"/>
      <c r="R9" s="34"/>
      <c r="S9" s="34"/>
      <c r="T9" s="9" t="s">
        <v>335</v>
      </c>
      <c r="U9" s="9" t="s">
        <v>336</v>
      </c>
      <c r="V9" s="9" t="s">
        <v>81</v>
      </c>
      <c r="W9" s="9" t="s">
        <v>82</v>
      </c>
    </row>
    <row r="10" s="1" customFormat="1" customHeight="1" spans="1:36">
      <c r="A10" s="16"/>
      <c r="B10" s="16" t="s">
        <v>311</v>
      </c>
      <c r="C10" s="16" t="s">
        <v>312</v>
      </c>
      <c r="D10" s="16" t="s">
        <v>313</v>
      </c>
      <c r="E10" s="16" t="s">
        <v>314</v>
      </c>
      <c r="F10" s="16" t="s">
        <v>337</v>
      </c>
      <c r="G10" s="16" t="s">
        <v>92</v>
      </c>
      <c r="H10" s="16" t="s">
        <v>311</v>
      </c>
      <c r="I10" s="16" t="s">
        <v>312</v>
      </c>
      <c r="J10" s="16" t="s">
        <v>313</v>
      </c>
      <c r="K10" s="16" t="s">
        <v>314</v>
      </c>
      <c r="L10" s="16" t="s">
        <v>337</v>
      </c>
      <c r="M10" s="16" t="s">
        <v>92</v>
      </c>
      <c r="N10" s="16" t="s">
        <v>311</v>
      </c>
      <c r="O10" s="16" t="s">
        <v>312</v>
      </c>
      <c r="P10" s="16" t="s">
        <v>313</v>
      </c>
      <c r="Q10" s="16" t="s">
        <v>314</v>
      </c>
      <c r="R10" s="16" t="s">
        <v>337</v>
      </c>
      <c r="S10" s="16" t="s">
        <v>92</v>
      </c>
      <c r="T10" s="14"/>
      <c r="U10" s="14"/>
      <c r="V10" s="14"/>
      <c r="W10" s="14"/>
    </row>
    <row r="11" customHeight="1" spans="1:36">
      <c r="A11" s="35"/>
      <c r="B11" s="36">
        <f>SUMIFS($E$20:$E$46,$D$20:$D$46,$B$10,$A$20:$A$46,$A$11)</f>
        <v>0</v>
      </c>
      <c r="C11" s="36">
        <f>SUMIFS($E$20:$E$46,$D$20:$D$46,C10,$A$20:$A$46,A11)</f>
        <v>0</v>
      </c>
      <c r="D11" s="36">
        <f>SUMIFS($E$20:$E$46,$D$20:$D$46,D10,$A$20:$A$46,A11)</f>
        <v>0</v>
      </c>
      <c r="E11" s="36">
        <f>SUMIFS($E$20:$E$46,$D$20:$D$46,E10,$A$20:$A$46,A11)</f>
        <v>0</v>
      </c>
      <c r="F11" s="36">
        <f>SUMIFS($E$20:$E$46,$D$20:$D$46,F10,$A$20:$A$46,A11)</f>
        <v>0</v>
      </c>
      <c r="G11" s="36">
        <f t="shared" ref="G11:G13" si="1">SUM(B11:F11)</f>
        <v>0</v>
      </c>
      <c r="H11" s="36">
        <f>SUMIFS($V$20:$V$46,$R$20:$R$46,$H$10,$P$20:$P$46,$A$11)</f>
        <v>0</v>
      </c>
      <c r="I11" s="36">
        <f>SUMIFS($V$20:$V$46,$R$20:$R$46,I10,$P$20:$P$46,$A$11)</f>
        <v>0</v>
      </c>
      <c r="J11" s="36">
        <f>SUMIFS($V$20:$V$46,$R$20:$R$46,$J$10,$P$20:$P$46,$A$11)</f>
        <v>0</v>
      </c>
      <c r="K11" s="36">
        <f>SUMIFS($V$20:$V$46,$R$20:$R$46,$K$10,$P$20:$P$46,$A$11)</f>
        <v>0</v>
      </c>
      <c r="L11" s="36">
        <f>SUMIFS($V$20:$V$46,$R$20:$R$46,$L$10,$P$20:$P$46,$A$11)</f>
        <v>0</v>
      </c>
      <c r="M11" s="36">
        <f t="shared" ref="M11:M13" si="2">SUM(H11:L11)</f>
        <v>0</v>
      </c>
      <c r="N11" s="36">
        <f>SUMIFS($O$20:$O$45,$N$20:$N$45,N10,$L$20:$L$45,A11)</f>
        <v>0</v>
      </c>
      <c r="O11" s="36">
        <f>SUMIFS($O$20:$O$45,$N$20:$N$45,O10,$L$20:$L$45,A11)</f>
        <v>0</v>
      </c>
      <c r="P11" s="36">
        <f>SUMIFS($O$20:$O$45,$N$20:$N$45,P10,$L$20:$L$45,A11)</f>
        <v>0</v>
      </c>
      <c r="Q11" s="36">
        <f>SUMIFS($O$20:$O$45,$N$20:$N$45,Q10,$L$20:$L$45,A11)</f>
        <v>0</v>
      </c>
      <c r="R11" s="36">
        <f>SUMIFS($O$20:$O$45,$N$20:$N$45,R10,$L$20:$L$45,A11)</f>
        <v>0</v>
      </c>
      <c r="S11" s="37">
        <f t="shared" ref="S11:S13" si="3">SUM(N11:R11)</f>
        <v>0</v>
      </c>
      <c r="T11" s="37">
        <f>SUMIF($Z$20:$Z$46,A11,$AE$20:$AE$46)</f>
        <v>0</v>
      </c>
      <c r="U11" s="22"/>
      <c r="V11" s="38">
        <f>F4/1.09</f>
        <v>0</v>
      </c>
      <c r="W11" s="38">
        <f>(F5+F6)/1.09</f>
        <v>0</v>
      </c>
    </row>
    <row r="12" customHeight="1" spans="1:36">
      <c r="A12" s="35"/>
      <c r="B12" s="36">
        <f>SUMIFS($E$51:$E$76,$D$51:$D$76,B10,$A$51:$A$76,A12)</f>
        <v>0</v>
      </c>
      <c r="C12" s="36">
        <f>SUMIFS($E$51:$E$76,$D$51:$D$76,C10,$A$51:$A$76,A12)</f>
        <v>0</v>
      </c>
      <c r="D12" s="36">
        <f>SUMIFS($E$51:$E$76,$D$51:$D$76,D10,$A$51:$A$76,A12)</f>
        <v>0</v>
      </c>
      <c r="E12" s="36">
        <f>SUMIFS($E$51:$E$76,$D$51:$D$76,E10,$A$51:$A$76,A12)</f>
        <v>0</v>
      </c>
      <c r="F12" s="36">
        <f>SUMIFS($E$51:$E$76,$D$51:$D$76,F10,$A$51:$A$76,A12)</f>
        <v>0</v>
      </c>
      <c r="G12" s="36">
        <f t="shared" si="1"/>
        <v>0</v>
      </c>
      <c r="H12" s="36">
        <f>SUMIFS($R$51:$R$76,$N$51:$N$76,H10,$L$51:$L$76,A12)</f>
        <v>0</v>
      </c>
      <c r="I12" s="36">
        <f>SUMIFS($R$51:$R$76,$N$51:$N$76,I10,$L$51:$L$76,A12)</f>
        <v>0</v>
      </c>
      <c r="J12" s="36">
        <f>SUMIFS($R$51:$R$76,$N$51:$N$76,J10,$L$51:$L$76,A12)</f>
        <v>0</v>
      </c>
      <c r="K12" s="36">
        <f>SUMIFS($R$51:$R$76,$N$51:$N$76,K10,$L$51:$L$76,A12)</f>
        <v>0</v>
      </c>
      <c r="L12" s="36">
        <f>SUMIFS($R$51:$R$76,$N$51:$N$76,L10,$L$51:$L$76,A12)</f>
        <v>0</v>
      </c>
      <c r="M12" s="36">
        <f t="shared" si="2"/>
        <v>0</v>
      </c>
      <c r="N12" s="36">
        <f>SUMIFS($G$51:$G$76,$D$51:$D$76,N10,$A$51:$A$76,A12)</f>
        <v>0</v>
      </c>
      <c r="O12" s="36">
        <f>SUMIFS($G$51:$G$76,$D$51:$D$76,$O$10,$A$51:$A$76,A12)</f>
        <v>0</v>
      </c>
      <c r="P12" s="36">
        <f>SUMIFS($G$51:$G$76,$D$51:$D$76,$P$10,$A$51:$A$76,A12)</f>
        <v>0</v>
      </c>
      <c r="Q12" s="36">
        <f>SUMIFS($G$51:$G$76,$D$51:$D$76,$Q$10,$A$51:$A$76,A12)</f>
        <v>0</v>
      </c>
      <c r="R12" s="36">
        <f>SUMIFS($G$51:$G$76,$D$51:$D$76,$R$10,$A$51:$A$76,A12)</f>
        <v>0</v>
      </c>
      <c r="S12" s="37">
        <f t="shared" si="3"/>
        <v>0</v>
      </c>
      <c r="T12" s="37">
        <f>SUMIF($V$51:$V$76,A12,$AA$51:$AA$76)</f>
        <v>0</v>
      </c>
      <c r="U12" s="27"/>
      <c r="V12" s="39"/>
      <c r="W12" s="39"/>
    </row>
    <row r="13" customHeight="1" spans="1:36">
      <c r="A13" s="35"/>
      <c r="B13" s="36">
        <f>SUMIFS($E$51:$E$76,$D$51:$D$76,B10,$A$51:$A$76,A13)</f>
        <v>0</v>
      </c>
      <c r="C13" s="36">
        <f>SUMIFS($E$51:$E$76,$D$51:$D$76,C10,$A$51:$A$76,A13)</f>
        <v>0</v>
      </c>
      <c r="D13" s="36">
        <f>SUMIFS($E$51:$E$76,$D$51:$D$76,D10,$A$51:$A$76,A13)</f>
        <v>0</v>
      </c>
      <c r="E13" s="36">
        <f>SUMIFS($E$51:$E$76,$D$51:$D$76,E10,$A$51:$A$76,A13)</f>
        <v>0</v>
      </c>
      <c r="F13" s="36">
        <f>SUMIFS($E$51:$E$76,$D$51:$D$76,F10,$A$51:$A$76,A13)</f>
        <v>0</v>
      </c>
      <c r="G13" s="36">
        <f t="shared" si="1"/>
        <v>0</v>
      </c>
      <c r="H13" s="36">
        <f>SUMIFS($R$51:$R$76,$N$51:$N$76,H10,$L$51:$L$76,A13)</f>
        <v>0</v>
      </c>
      <c r="I13" s="36">
        <f>SUMIFS($R$51:$R$76,$N$51:$N$76,I10,$L$51:$L$76,A13)</f>
        <v>0</v>
      </c>
      <c r="J13" s="36">
        <f>SUMIFS($R$51:$R$76,$N$51:$N$76,J10,$L$51:$L$76,A13)</f>
        <v>0</v>
      </c>
      <c r="K13" s="36">
        <f>SUMIFS($R$51:$R$76,$N$51:$N$76,K10,$L$51:$L$76,A13)</f>
        <v>0</v>
      </c>
      <c r="L13" s="36">
        <f>SUMIFS($R$51:$R$76,$N$51:$N$76,L10,$L$51:$L$76,A13)</f>
        <v>0</v>
      </c>
      <c r="M13" s="36">
        <f t="shared" si="2"/>
        <v>0</v>
      </c>
      <c r="N13" s="36">
        <f>SUMIFS($G$51:$G$76,$D$51:$D$76,$N$10,$A$51:$A$76,A13)</f>
        <v>0</v>
      </c>
      <c r="O13" s="36">
        <f>SUMIFS($G$51:$G$76,$D$51:$D$76,$O$10,$A$51:$A$76,A13)</f>
        <v>0</v>
      </c>
      <c r="P13" s="36">
        <f>SUMIFS($G$51:$G$76,$D$51:$D$76,$P$10,$A$51:$A$76,A13)</f>
        <v>0</v>
      </c>
      <c r="Q13" s="36">
        <f>SUMIFS($G$51:$G$76,$D$51:$D$76,$Q$10,$A$51:$A$76,A13)</f>
        <v>0</v>
      </c>
      <c r="R13" s="36">
        <f>SUMIFS($G$51:$G$76,$D$51:$D$76,$R$10,$A$51:$A$76,A13)</f>
        <v>0</v>
      </c>
      <c r="S13" s="37">
        <f t="shared" si="3"/>
        <v>0</v>
      </c>
      <c r="T13" s="37">
        <f>SUMIF($V$51:$V$76,A13,$AA$51:$AA$76)</f>
        <v>0</v>
      </c>
      <c r="U13" s="31"/>
      <c r="V13" s="40"/>
      <c r="W13" s="40"/>
    </row>
    <row r="14" s="2" customFormat="1" customHeight="1" spans="1:36">
      <c r="A14" s="41"/>
      <c r="B14" s="42"/>
      <c r="C14" s="42"/>
      <c r="D14" s="42"/>
      <c r="E14" s="42"/>
      <c r="F14" s="42"/>
      <c r="G14" s="43">
        <f>G11-C17</f>
        <v>0</v>
      </c>
      <c r="H14" s="42"/>
      <c r="I14" s="42"/>
      <c r="J14" s="42"/>
      <c r="K14" s="42"/>
      <c r="L14" s="42"/>
      <c r="M14" s="43">
        <f>M11-V17</f>
        <v>0</v>
      </c>
      <c r="N14" s="42"/>
      <c r="O14" s="42"/>
      <c r="P14" s="42"/>
      <c r="Q14" s="42"/>
      <c r="R14" s="42"/>
      <c r="S14" s="43">
        <f>S11-O17</f>
        <v>0</v>
      </c>
      <c r="T14" s="43">
        <f>T11-AE17</f>
        <v>0</v>
      </c>
      <c r="V14" s="43"/>
      <c r="W14" s="43"/>
    </row>
    <row r="15" s="2" customFormat="1" customHeight="1" spans="1:36">
      <c r="A15" s="41"/>
      <c r="B15" s="42"/>
      <c r="C15" s="42"/>
      <c r="D15" s="42"/>
      <c r="E15" s="42"/>
      <c r="F15" s="42"/>
      <c r="G15" s="43">
        <f>G12+G13-C48</f>
        <v>0</v>
      </c>
      <c r="H15" s="42"/>
      <c r="I15" s="42"/>
      <c r="J15" s="42"/>
      <c r="K15" s="42"/>
      <c r="L15" s="42"/>
      <c r="M15" s="43">
        <f>M12+M13-R48</f>
        <v>0</v>
      </c>
      <c r="N15" s="42"/>
      <c r="O15" s="42"/>
      <c r="P15" s="42"/>
      <c r="Q15" s="42"/>
      <c r="R15" s="42"/>
      <c r="S15" s="43">
        <f>S12+S13-G48</f>
        <v>0</v>
      </c>
      <c r="T15" s="43">
        <f>T12+T13-AA48</f>
        <v>0</v>
      </c>
      <c r="V15" s="43"/>
      <c r="W15" s="43"/>
    </row>
    <row r="17" s="3" customFormat="1" customHeight="1" spans="1:33">
      <c r="A17" s="44" t="s">
        <v>339</v>
      </c>
      <c r="C17" s="3">
        <f t="shared" ref="C17:H17" si="4">SUM(C20:C45)</f>
        <v>0</v>
      </c>
      <c r="E17" s="3">
        <f t="shared" si="4"/>
        <v>0</v>
      </c>
      <c r="G17" s="3">
        <f t="shared" si="4"/>
        <v>0</v>
      </c>
      <c r="H17" s="3">
        <f t="shared" si="4"/>
        <v>0</v>
      </c>
      <c r="O17" s="3">
        <f>SUM(O20:O45)</f>
        <v>0</v>
      </c>
      <c r="V17" s="3">
        <f t="shared" ref="V17:X17" si="5">SUM(V20:V45)</f>
        <v>0</v>
      </c>
      <c r="W17" s="3">
        <f t="shared" si="5"/>
        <v>0</v>
      </c>
      <c r="X17" s="3">
        <f t="shared" si="5"/>
        <v>0</v>
      </c>
      <c r="AE17" s="3">
        <f>SUM(AE20:AE45)</f>
        <v>0</v>
      </c>
    </row>
    <row r="18" s="4" customFormat="1" customHeight="1" spans="1:33">
      <c r="A18" s="45" t="s">
        <v>340</v>
      </c>
      <c r="B18" s="45"/>
      <c r="C18" s="45"/>
      <c r="D18" s="45"/>
      <c r="E18" s="45"/>
      <c r="F18" s="45"/>
      <c r="G18" s="45"/>
      <c r="H18" s="45"/>
      <c r="I18" s="45"/>
      <c r="J18" s="45"/>
      <c r="K18" s="45"/>
      <c r="L18" s="46" t="s">
        <v>341</v>
      </c>
      <c r="M18" s="47"/>
      <c r="N18" s="47"/>
      <c r="O18" s="48"/>
      <c r="P18" s="49" t="s">
        <v>342</v>
      </c>
      <c r="Q18" s="50"/>
      <c r="R18" s="50"/>
      <c r="S18" s="50"/>
      <c r="T18" s="50"/>
      <c r="U18" s="50"/>
      <c r="V18" s="50"/>
      <c r="W18" s="50"/>
      <c r="X18" s="50"/>
      <c r="Y18" s="51"/>
      <c r="Z18" s="52" t="s">
        <v>343</v>
      </c>
      <c r="AA18" s="53"/>
      <c r="AB18" s="53"/>
      <c r="AC18" s="53"/>
      <c r="AD18" s="53"/>
      <c r="AE18" s="53"/>
      <c r="AF18" s="53"/>
      <c r="AG18" s="54"/>
    </row>
    <row r="19" s="4" customFormat="1" ht="47.1" customHeight="1" spans="1:33">
      <c r="A19" s="55" t="s">
        <v>344</v>
      </c>
      <c r="B19" s="55" t="s">
        <v>345</v>
      </c>
      <c r="C19" s="55" t="s">
        <v>346</v>
      </c>
      <c r="D19" s="55" t="s">
        <v>347</v>
      </c>
      <c r="E19" s="55" t="s">
        <v>348</v>
      </c>
      <c r="F19" s="55" t="s">
        <v>349</v>
      </c>
      <c r="G19" s="55" t="s">
        <v>350</v>
      </c>
      <c r="H19" s="55" t="s">
        <v>351</v>
      </c>
      <c r="I19" s="55" t="s">
        <v>352</v>
      </c>
      <c r="J19" s="55" t="s">
        <v>353</v>
      </c>
      <c r="K19" s="55" t="s">
        <v>354</v>
      </c>
      <c r="L19" s="56" t="s">
        <v>344</v>
      </c>
      <c r="M19" s="56" t="s">
        <v>355</v>
      </c>
      <c r="N19" s="56" t="s">
        <v>356</v>
      </c>
      <c r="O19" s="56" t="s">
        <v>357</v>
      </c>
      <c r="P19" s="57" t="s">
        <v>344</v>
      </c>
      <c r="Q19" s="57" t="s">
        <v>355</v>
      </c>
      <c r="R19" s="58" t="s">
        <v>358</v>
      </c>
      <c r="S19" s="57" t="s">
        <v>359</v>
      </c>
      <c r="T19" s="57" t="s">
        <v>360</v>
      </c>
      <c r="U19" s="57" t="s">
        <v>361</v>
      </c>
      <c r="V19" s="57" t="s">
        <v>362</v>
      </c>
      <c r="W19" s="57" t="s">
        <v>363</v>
      </c>
      <c r="X19" s="57" t="s">
        <v>364</v>
      </c>
      <c r="Y19" s="59" t="s">
        <v>349</v>
      </c>
      <c r="Z19" s="60" t="s">
        <v>291</v>
      </c>
      <c r="AA19" s="60" t="s">
        <v>365</v>
      </c>
      <c r="AB19" s="60" t="s">
        <v>366</v>
      </c>
      <c r="AC19" s="60" t="s">
        <v>367</v>
      </c>
      <c r="AD19" s="60" t="s">
        <v>368</v>
      </c>
      <c r="AE19" s="60" t="s">
        <v>369</v>
      </c>
      <c r="AF19" s="60" t="s">
        <v>370</v>
      </c>
      <c r="AG19" s="60" t="s">
        <v>371</v>
      </c>
    </row>
    <row r="20" s="5" customFormat="1" customHeight="1" spans="1:33">
      <c r="A20" s="61"/>
      <c r="B20" s="61"/>
      <c r="C20" s="37"/>
      <c r="D20" s="61"/>
      <c r="E20" s="37"/>
      <c r="F20" s="62"/>
      <c r="G20" s="37"/>
      <c r="H20" s="37"/>
      <c r="I20" s="61"/>
      <c r="J20" s="61"/>
      <c r="K20" s="61"/>
      <c r="L20" s="63"/>
      <c r="M20" s="64"/>
      <c r="N20" s="61"/>
      <c r="O20" s="65"/>
      <c r="P20" s="63"/>
      <c r="Q20" s="61"/>
      <c r="R20" s="61"/>
      <c r="S20" s="61"/>
      <c r="T20" s="61"/>
      <c r="U20" s="61"/>
      <c r="V20" s="37"/>
      <c r="W20" s="37"/>
      <c r="X20" s="37"/>
      <c r="Y20" s="66"/>
      <c r="Z20" s="67"/>
      <c r="AA20" s="61"/>
      <c r="AB20" s="68"/>
      <c r="AC20" s="69"/>
      <c r="AD20" s="69"/>
      <c r="AE20" s="70"/>
      <c r="AF20" s="61"/>
      <c r="AG20" s="70"/>
    </row>
    <row r="21" s="5" customFormat="1" customHeight="1" spans="1:33">
      <c r="A21" s="61"/>
      <c r="B21" s="61"/>
      <c r="C21" s="37"/>
      <c r="D21" s="61"/>
      <c r="E21" s="37"/>
      <c r="F21" s="62"/>
      <c r="G21" s="37"/>
      <c r="H21" s="37"/>
      <c r="I21" s="61"/>
      <c r="J21" s="61"/>
      <c r="K21" s="61"/>
      <c r="L21" s="63"/>
      <c r="M21" s="64"/>
      <c r="N21" s="61"/>
      <c r="O21" s="37"/>
      <c r="P21" s="63"/>
      <c r="Q21" s="61"/>
      <c r="R21" s="61"/>
      <c r="S21" s="61"/>
      <c r="T21" s="61"/>
      <c r="U21" s="61"/>
      <c r="V21" s="37"/>
      <c r="W21" s="37"/>
      <c r="X21" s="37"/>
      <c r="Y21" s="66"/>
      <c r="Z21" s="67"/>
      <c r="AA21" s="61"/>
      <c r="AB21" s="68"/>
      <c r="AC21" s="69"/>
      <c r="AD21" s="69"/>
      <c r="AE21" s="70"/>
      <c r="AF21" s="61"/>
      <c r="AG21" s="70"/>
    </row>
    <row r="22" s="5" customFormat="1" customHeight="1" spans="1:33">
      <c r="A22" s="61"/>
      <c r="B22" s="61"/>
      <c r="C22" s="37"/>
      <c r="D22" s="61"/>
      <c r="E22" s="37"/>
      <c r="F22" s="62"/>
      <c r="G22" s="37"/>
      <c r="H22" s="37"/>
      <c r="I22" s="61"/>
      <c r="J22" s="61"/>
      <c r="K22" s="61"/>
      <c r="L22" s="63"/>
      <c r="M22" s="64"/>
      <c r="N22" s="61"/>
      <c r="O22" s="37"/>
      <c r="P22" s="63"/>
      <c r="Q22" s="61"/>
      <c r="R22" s="61"/>
      <c r="S22" s="61"/>
      <c r="T22" s="61"/>
      <c r="U22" s="61"/>
      <c r="V22" s="37"/>
      <c r="W22" s="37"/>
      <c r="X22" s="37"/>
      <c r="Y22" s="66"/>
      <c r="Z22" s="67"/>
      <c r="AA22" s="61"/>
      <c r="AB22" s="68"/>
      <c r="AC22" s="69"/>
      <c r="AD22" s="69"/>
      <c r="AE22" s="70"/>
      <c r="AF22" s="61"/>
      <c r="AG22" s="70"/>
    </row>
    <row r="23" s="5" customFormat="1" customHeight="1" spans="1:33">
      <c r="A23" s="61"/>
      <c r="B23" s="61"/>
      <c r="C23" s="37"/>
      <c r="D23" s="61"/>
      <c r="E23" s="37"/>
      <c r="F23" s="62"/>
      <c r="G23" s="37"/>
      <c r="H23" s="37"/>
      <c r="I23" s="61"/>
      <c r="J23" s="61"/>
      <c r="K23" s="61"/>
      <c r="L23" s="63"/>
      <c r="M23" s="64"/>
      <c r="N23" s="61"/>
      <c r="O23" s="37"/>
      <c r="P23" s="63"/>
      <c r="Q23" s="61"/>
      <c r="R23" s="61"/>
      <c r="S23" s="61"/>
      <c r="T23" s="61"/>
      <c r="U23" s="61"/>
      <c r="V23" s="37"/>
      <c r="W23" s="37"/>
      <c r="X23" s="37"/>
      <c r="Y23" s="66"/>
      <c r="Z23" s="67"/>
      <c r="AA23" s="61"/>
      <c r="AB23" s="68"/>
      <c r="AC23" s="69"/>
      <c r="AD23" s="69"/>
      <c r="AE23" s="70"/>
      <c r="AF23" s="61"/>
      <c r="AG23" s="70"/>
    </row>
    <row r="24" s="5" customFormat="1" customHeight="1" spans="1:33">
      <c r="A24" s="61"/>
      <c r="B24" s="61"/>
      <c r="C24" s="37"/>
      <c r="D24" s="61"/>
      <c r="E24" s="37"/>
      <c r="F24" s="62"/>
      <c r="G24" s="37"/>
      <c r="H24" s="37"/>
      <c r="I24" s="61"/>
      <c r="J24" s="61"/>
      <c r="K24" s="61"/>
      <c r="L24" s="63"/>
      <c r="M24" s="71"/>
      <c r="N24" s="61"/>
      <c r="O24" s="37"/>
      <c r="P24" s="63"/>
      <c r="Q24" s="61"/>
      <c r="R24" s="61"/>
      <c r="S24" s="61"/>
      <c r="T24" s="61"/>
      <c r="U24" s="61"/>
      <c r="V24" s="37"/>
      <c r="W24" s="37"/>
      <c r="X24" s="37"/>
      <c r="Y24" s="66"/>
      <c r="Z24" s="67"/>
      <c r="AA24" s="61"/>
      <c r="AB24" s="68"/>
      <c r="AC24" s="69"/>
      <c r="AD24" s="69"/>
      <c r="AE24" s="70"/>
      <c r="AF24" s="61"/>
      <c r="AG24" s="70"/>
    </row>
    <row r="25" s="5" customFormat="1" customHeight="1" spans="1:33">
      <c r="A25" s="61"/>
      <c r="B25" s="61"/>
      <c r="C25" s="37"/>
      <c r="D25" s="61"/>
      <c r="E25" s="37"/>
      <c r="F25" s="62"/>
      <c r="G25" s="37"/>
      <c r="H25" s="37"/>
      <c r="I25" s="61"/>
      <c r="J25" s="61"/>
      <c r="K25" s="61"/>
      <c r="L25" s="63"/>
      <c r="M25" s="61"/>
      <c r="N25" s="61"/>
      <c r="O25" s="37"/>
      <c r="P25" s="63"/>
      <c r="Q25" s="61"/>
      <c r="R25" s="61"/>
      <c r="S25" s="61"/>
      <c r="T25" s="61"/>
      <c r="U25" s="61"/>
      <c r="V25" s="37"/>
      <c r="W25" s="37"/>
      <c r="X25" s="37"/>
      <c r="Y25" s="66"/>
      <c r="Z25" s="67"/>
      <c r="AA25" s="61"/>
      <c r="AB25" s="68"/>
      <c r="AC25" s="69"/>
      <c r="AD25" s="69"/>
      <c r="AE25" s="70"/>
      <c r="AF25" s="61"/>
      <c r="AG25" s="70"/>
    </row>
    <row r="26" s="5" customFormat="1" customHeight="1" spans="1:33">
      <c r="A26" s="61"/>
      <c r="B26" s="61"/>
      <c r="C26" s="37"/>
      <c r="D26" s="61"/>
      <c r="E26" s="37"/>
      <c r="F26" s="62"/>
      <c r="G26" s="37"/>
      <c r="H26" s="37"/>
      <c r="I26" s="61"/>
      <c r="J26" s="61"/>
      <c r="K26" s="61"/>
      <c r="L26" s="63"/>
      <c r="M26" s="61"/>
      <c r="N26" s="61"/>
      <c r="O26" s="37"/>
      <c r="P26" s="63"/>
      <c r="Q26" s="61"/>
      <c r="R26" s="61"/>
      <c r="S26" s="61"/>
      <c r="T26" s="61"/>
      <c r="U26" s="61"/>
      <c r="V26" s="37"/>
      <c r="W26" s="37"/>
      <c r="X26" s="37"/>
      <c r="Y26" s="66"/>
      <c r="Z26" s="67"/>
      <c r="AA26" s="61"/>
      <c r="AB26" s="68"/>
      <c r="AC26" s="69"/>
      <c r="AD26" s="69"/>
      <c r="AE26" s="70"/>
      <c r="AF26" s="61"/>
      <c r="AG26" s="70"/>
    </row>
    <row r="27" s="5" customFormat="1" customHeight="1" spans="1:33">
      <c r="A27" s="61"/>
      <c r="B27" s="61"/>
      <c r="C27" s="37"/>
      <c r="D27" s="61"/>
      <c r="E27" s="37"/>
      <c r="F27" s="62"/>
      <c r="G27" s="37"/>
      <c r="H27" s="37"/>
      <c r="I27" s="61"/>
      <c r="J27" s="61"/>
      <c r="K27" s="61"/>
      <c r="L27" s="63"/>
      <c r="M27" s="61"/>
      <c r="N27" s="61"/>
      <c r="O27" s="37"/>
      <c r="P27" s="63"/>
      <c r="Q27" s="61"/>
      <c r="R27" s="61"/>
      <c r="S27" s="61"/>
      <c r="T27" s="61"/>
      <c r="U27" s="61"/>
      <c r="V27" s="37"/>
      <c r="W27" s="37"/>
      <c r="X27" s="37"/>
      <c r="Y27" s="66"/>
      <c r="Z27" s="67"/>
      <c r="AA27" s="61"/>
      <c r="AB27" s="68"/>
      <c r="AC27" s="69"/>
      <c r="AD27" s="69"/>
      <c r="AE27" s="70"/>
      <c r="AF27" s="61"/>
      <c r="AG27" s="70"/>
    </row>
    <row r="28" s="5" customFormat="1" customHeight="1" spans="1:33">
      <c r="A28" s="61"/>
      <c r="B28" s="61"/>
      <c r="C28" s="37"/>
      <c r="D28" s="61"/>
      <c r="E28" s="37"/>
      <c r="F28" s="62"/>
      <c r="G28" s="37"/>
      <c r="H28" s="37"/>
      <c r="I28" s="61"/>
      <c r="J28" s="61"/>
      <c r="K28" s="61"/>
      <c r="L28" s="63"/>
      <c r="M28" s="61"/>
      <c r="N28" s="61"/>
      <c r="O28" s="37"/>
      <c r="P28" s="63"/>
      <c r="Q28" s="61"/>
      <c r="R28" s="61"/>
      <c r="S28" s="61"/>
      <c r="T28" s="61"/>
      <c r="U28" s="61"/>
      <c r="V28" s="37"/>
      <c r="W28" s="37"/>
      <c r="X28" s="37"/>
      <c r="Y28" s="66"/>
      <c r="Z28" s="67"/>
      <c r="AA28" s="61"/>
      <c r="AB28" s="68"/>
      <c r="AC28" s="69"/>
      <c r="AD28" s="69"/>
      <c r="AE28" s="70"/>
      <c r="AF28" s="61"/>
      <c r="AG28" s="70"/>
    </row>
    <row r="29" s="5" customFormat="1" customHeight="1" spans="1:33">
      <c r="A29" s="61"/>
      <c r="B29" s="61"/>
      <c r="C29" s="37"/>
      <c r="D29" s="61"/>
      <c r="E29" s="37"/>
      <c r="F29" s="62"/>
      <c r="G29" s="37"/>
      <c r="H29" s="37"/>
      <c r="I29" s="61"/>
      <c r="J29" s="61"/>
      <c r="K29" s="61"/>
      <c r="L29" s="63"/>
      <c r="M29" s="61"/>
      <c r="N29" s="61"/>
      <c r="O29" s="37"/>
      <c r="P29" s="63"/>
      <c r="Q29" s="61"/>
      <c r="R29" s="61"/>
      <c r="S29" s="61"/>
      <c r="T29" s="61"/>
      <c r="U29" s="61"/>
      <c r="V29" s="37"/>
      <c r="W29" s="37"/>
      <c r="X29" s="37"/>
      <c r="Y29" s="66"/>
      <c r="Z29" s="67"/>
      <c r="AA29" s="61"/>
      <c r="AB29" s="68"/>
      <c r="AC29" s="69"/>
      <c r="AD29" s="69"/>
      <c r="AE29" s="70"/>
      <c r="AF29" s="61"/>
      <c r="AG29" s="70"/>
    </row>
    <row r="30" s="5" customFormat="1" customHeight="1" spans="1:33">
      <c r="A30" s="61"/>
      <c r="B30" s="61"/>
      <c r="C30" s="37"/>
      <c r="D30" s="61"/>
      <c r="E30" s="37"/>
      <c r="F30" s="62"/>
      <c r="G30" s="37"/>
      <c r="H30" s="37"/>
      <c r="I30" s="61"/>
      <c r="J30" s="61"/>
      <c r="K30" s="61"/>
      <c r="L30" s="63"/>
      <c r="M30" s="61"/>
      <c r="N30" s="61"/>
      <c r="O30" s="37"/>
      <c r="P30" s="63"/>
      <c r="Q30" s="61"/>
      <c r="R30" s="61"/>
      <c r="S30" s="61"/>
      <c r="T30" s="61"/>
      <c r="U30" s="61"/>
      <c r="V30" s="37"/>
      <c r="W30" s="37"/>
      <c r="X30" s="37"/>
      <c r="Y30" s="66"/>
      <c r="Z30" s="67"/>
      <c r="AA30" s="61"/>
      <c r="AB30" s="68"/>
      <c r="AC30" s="69"/>
      <c r="AD30" s="69"/>
      <c r="AE30" s="70"/>
      <c r="AF30" s="61"/>
      <c r="AG30" s="70"/>
    </row>
    <row r="31" s="5" customFormat="1" customHeight="1" spans="1:33">
      <c r="A31" s="61"/>
      <c r="B31" s="61"/>
      <c r="C31" s="37"/>
      <c r="D31" s="61"/>
      <c r="E31" s="37"/>
      <c r="F31" s="62"/>
      <c r="G31" s="37"/>
      <c r="H31" s="37"/>
      <c r="I31" s="61"/>
      <c r="J31" s="61"/>
      <c r="K31" s="61"/>
      <c r="L31" s="61"/>
      <c r="M31" s="61"/>
      <c r="N31" s="61"/>
      <c r="O31" s="37"/>
      <c r="P31" s="63"/>
      <c r="Q31" s="61"/>
      <c r="R31" s="61"/>
      <c r="S31" s="61"/>
      <c r="T31" s="61"/>
      <c r="U31" s="61"/>
      <c r="V31" s="37"/>
      <c r="W31" s="37"/>
      <c r="X31" s="37"/>
      <c r="Y31" s="66"/>
      <c r="Z31" s="67"/>
      <c r="AA31" s="61"/>
      <c r="AB31" s="68"/>
      <c r="AC31" s="69"/>
      <c r="AD31" s="69"/>
      <c r="AE31" s="70"/>
      <c r="AF31" s="61"/>
      <c r="AG31" s="70"/>
    </row>
    <row r="32" s="5" customFormat="1" customHeight="1" spans="1:33">
      <c r="A32" s="61"/>
      <c r="B32" s="61"/>
      <c r="C32" s="37"/>
      <c r="D32" s="61"/>
      <c r="E32" s="37"/>
      <c r="F32" s="62"/>
      <c r="G32" s="37"/>
      <c r="H32" s="37"/>
      <c r="I32" s="61"/>
      <c r="J32" s="61"/>
      <c r="K32" s="61"/>
      <c r="L32" s="61"/>
      <c r="M32" s="61"/>
      <c r="N32" s="61"/>
      <c r="O32" s="37"/>
      <c r="P32" s="63"/>
      <c r="Q32" s="61"/>
      <c r="R32" s="61"/>
      <c r="S32" s="61"/>
      <c r="T32" s="61"/>
      <c r="U32" s="61"/>
      <c r="V32" s="37"/>
      <c r="W32" s="37"/>
      <c r="X32" s="37"/>
      <c r="Y32" s="66"/>
      <c r="Z32" s="61"/>
      <c r="AA32" s="61"/>
      <c r="AB32" s="68"/>
      <c r="AC32" s="69"/>
      <c r="AD32" s="69"/>
      <c r="AE32" s="70"/>
      <c r="AF32" s="61"/>
      <c r="AG32" s="70"/>
    </row>
    <row r="33" s="5" customFormat="1" customHeight="1" spans="1:33">
      <c r="A33" s="61"/>
      <c r="B33" s="61"/>
      <c r="C33" s="37"/>
      <c r="D33" s="61"/>
      <c r="E33" s="37"/>
      <c r="F33" s="62"/>
      <c r="G33" s="37"/>
      <c r="H33" s="37"/>
      <c r="I33" s="61"/>
      <c r="J33" s="61"/>
      <c r="K33" s="61"/>
      <c r="L33" s="61"/>
      <c r="M33" s="61"/>
      <c r="N33" s="61"/>
      <c r="O33" s="37"/>
      <c r="P33" s="63"/>
      <c r="Q33" s="61"/>
      <c r="R33" s="61"/>
      <c r="S33" s="61"/>
      <c r="T33" s="61"/>
      <c r="U33" s="61"/>
      <c r="V33" s="37"/>
      <c r="W33" s="37"/>
      <c r="X33" s="37"/>
      <c r="Y33" s="66"/>
      <c r="Z33" s="61"/>
      <c r="AA33" s="61"/>
      <c r="AB33" s="68"/>
      <c r="AC33" s="69"/>
      <c r="AD33" s="69"/>
      <c r="AE33" s="70"/>
      <c r="AF33" s="61"/>
      <c r="AG33" s="70"/>
    </row>
    <row r="34" s="5" customFormat="1" customHeight="1" spans="1:33">
      <c r="A34" s="61"/>
      <c r="B34" s="61"/>
      <c r="C34" s="37"/>
      <c r="D34" s="61"/>
      <c r="E34" s="37"/>
      <c r="F34" s="62"/>
      <c r="G34" s="37"/>
      <c r="H34" s="37"/>
      <c r="I34" s="61"/>
      <c r="J34" s="61"/>
      <c r="K34" s="61"/>
      <c r="L34" s="61"/>
      <c r="M34" s="61"/>
      <c r="N34" s="61"/>
      <c r="O34" s="37"/>
      <c r="P34" s="63"/>
      <c r="Q34" s="61"/>
      <c r="R34" s="61"/>
      <c r="S34" s="61"/>
      <c r="T34" s="61"/>
      <c r="U34" s="61"/>
      <c r="V34" s="37"/>
      <c r="W34" s="37"/>
      <c r="X34" s="37"/>
      <c r="Y34" s="66"/>
      <c r="Z34" s="61"/>
      <c r="AA34" s="61"/>
      <c r="AB34" s="68"/>
      <c r="AC34" s="69"/>
      <c r="AD34" s="69"/>
      <c r="AE34" s="70"/>
      <c r="AF34" s="61"/>
      <c r="AG34" s="70"/>
    </row>
    <row r="35" s="5" customFormat="1" customHeight="1" spans="1:33">
      <c r="A35" s="61"/>
      <c r="B35" s="61"/>
      <c r="C35" s="37"/>
      <c r="D35" s="61"/>
      <c r="E35" s="37"/>
      <c r="F35" s="62"/>
      <c r="G35" s="37"/>
      <c r="H35" s="37"/>
      <c r="I35" s="61"/>
      <c r="J35" s="61"/>
      <c r="K35" s="61"/>
      <c r="L35" s="61"/>
      <c r="M35" s="61"/>
      <c r="N35" s="61"/>
      <c r="O35" s="37"/>
      <c r="P35" s="63"/>
      <c r="Q35" s="61"/>
      <c r="R35" s="61"/>
      <c r="S35" s="61"/>
      <c r="T35" s="61"/>
      <c r="U35" s="61"/>
      <c r="V35" s="37"/>
      <c r="W35" s="37"/>
      <c r="X35" s="37"/>
      <c r="Y35" s="66"/>
      <c r="Z35" s="61"/>
      <c r="AA35" s="61"/>
      <c r="AB35" s="68"/>
      <c r="AC35" s="69"/>
      <c r="AD35" s="69"/>
      <c r="AE35" s="70"/>
      <c r="AF35" s="61"/>
      <c r="AG35" s="70"/>
    </row>
    <row r="36" s="5" customFormat="1" customHeight="1" spans="1:33">
      <c r="A36" s="61"/>
      <c r="B36" s="61"/>
      <c r="C36" s="37"/>
      <c r="D36" s="61"/>
      <c r="E36" s="37"/>
      <c r="F36" s="62"/>
      <c r="G36" s="37"/>
      <c r="H36" s="37"/>
      <c r="I36" s="61"/>
      <c r="J36" s="61"/>
      <c r="K36" s="61"/>
      <c r="L36" s="61"/>
      <c r="M36" s="61"/>
      <c r="N36" s="61"/>
      <c r="O36" s="37"/>
      <c r="P36" s="63"/>
      <c r="Q36" s="61"/>
      <c r="R36" s="61"/>
      <c r="S36" s="61"/>
      <c r="T36" s="61"/>
      <c r="U36" s="61"/>
      <c r="V36" s="37"/>
      <c r="W36" s="37"/>
      <c r="X36" s="37"/>
      <c r="Y36" s="66"/>
      <c r="Z36" s="61"/>
      <c r="AA36" s="61"/>
      <c r="AB36" s="68"/>
      <c r="AC36" s="69"/>
      <c r="AD36" s="69"/>
      <c r="AE36" s="70"/>
      <c r="AF36" s="61"/>
      <c r="AG36" s="70"/>
    </row>
    <row r="37" s="5" customFormat="1" customHeight="1" spans="1:33">
      <c r="A37" s="61"/>
      <c r="B37" s="61"/>
      <c r="C37" s="37"/>
      <c r="D37" s="61"/>
      <c r="E37" s="37"/>
      <c r="F37" s="62"/>
      <c r="G37" s="37"/>
      <c r="H37" s="37"/>
      <c r="I37" s="61"/>
      <c r="J37" s="61"/>
      <c r="K37" s="61"/>
      <c r="L37" s="61"/>
      <c r="M37" s="61"/>
      <c r="N37" s="61"/>
      <c r="O37" s="37"/>
      <c r="P37" s="63"/>
      <c r="Q37" s="61"/>
      <c r="R37" s="61"/>
      <c r="S37" s="61"/>
      <c r="T37" s="61"/>
      <c r="U37" s="61"/>
      <c r="V37" s="37"/>
      <c r="W37" s="37"/>
      <c r="X37" s="37"/>
      <c r="Y37" s="66"/>
      <c r="Z37" s="61"/>
      <c r="AA37" s="61"/>
      <c r="AB37" s="68"/>
      <c r="AC37" s="69"/>
      <c r="AD37" s="69"/>
      <c r="AE37" s="70"/>
      <c r="AF37" s="61"/>
      <c r="AG37" s="70"/>
    </row>
    <row r="38" s="5" customFormat="1" customHeight="1" spans="1:33">
      <c r="A38" s="61"/>
      <c r="B38" s="61"/>
      <c r="C38" s="37"/>
      <c r="D38" s="61"/>
      <c r="E38" s="37"/>
      <c r="F38" s="62"/>
      <c r="G38" s="37"/>
      <c r="H38" s="37"/>
      <c r="I38" s="61"/>
      <c r="J38" s="61"/>
      <c r="K38" s="61"/>
      <c r="L38" s="61"/>
      <c r="M38" s="61"/>
      <c r="N38" s="61"/>
      <c r="O38" s="37"/>
      <c r="P38" s="61"/>
      <c r="Q38" s="61"/>
      <c r="R38" s="61"/>
      <c r="S38" s="61"/>
      <c r="T38" s="61"/>
      <c r="U38" s="61"/>
      <c r="V38" s="37"/>
      <c r="W38" s="37"/>
      <c r="X38" s="37"/>
      <c r="Y38" s="61"/>
      <c r="Z38" s="61"/>
      <c r="AA38" s="61"/>
      <c r="AB38" s="68"/>
      <c r="AC38" s="69"/>
      <c r="AD38" s="69"/>
      <c r="AE38" s="70"/>
      <c r="AF38" s="61"/>
      <c r="AG38" s="70"/>
    </row>
    <row r="39" s="5" customFormat="1" customHeight="1" spans="1:33">
      <c r="A39" s="61"/>
      <c r="B39" s="61"/>
      <c r="C39" s="37"/>
      <c r="D39" s="61"/>
      <c r="E39" s="37"/>
      <c r="F39" s="62"/>
      <c r="G39" s="37"/>
      <c r="H39" s="37"/>
      <c r="I39" s="61"/>
      <c r="J39" s="61"/>
      <c r="K39" s="61"/>
      <c r="L39" s="61"/>
      <c r="M39" s="61"/>
      <c r="N39" s="61"/>
      <c r="O39" s="37"/>
      <c r="P39" s="61"/>
      <c r="Q39" s="61"/>
      <c r="R39" s="61"/>
      <c r="S39" s="61"/>
      <c r="T39" s="61"/>
      <c r="U39" s="61"/>
      <c r="V39" s="37"/>
      <c r="W39" s="37"/>
      <c r="X39" s="37"/>
      <c r="Y39" s="61"/>
      <c r="Z39" s="61"/>
      <c r="AA39" s="61"/>
      <c r="AB39" s="68"/>
      <c r="AC39" s="69"/>
      <c r="AD39" s="69"/>
      <c r="AE39" s="70"/>
      <c r="AF39" s="61"/>
      <c r="AG39" s="70"/>
    </row>
    <row r="40" s="5" customFormat="1" customHeight="1" spans="1:33">
      <c r="A40" s="61"/>
      <c r="B40" s="61"/>
      <c r="C40" s="37"/>
      <c r="D40" s="61"/>
      <c r="E40" s="37"/>
      <c r="F40" s="62"/>
      <c r="G40" s="37"/>
      <c r="H40" s="37"/>
      <c r="I40" s="61"/>
      <c r="J40" s="61"/>
      <c r="K40" s="61"/>
      <c r="L40" s="61"/>
      <c r="M40" s="61"/>
      <c r="N40" s="61"/>
      <c r="O40" s="37"/>
      <c r="P40" s="61"/>
      <c r="Q40" s="61"/>
      <c r="R40" s="61"/>
      <c r="S40" s="61"/>
      <c r="T40" s="61"/>
      <c r="U40" s="61"/>
      <c r="V40" s="37"/>
      <c r="W40" s="37"/>
      <c r="X40" s="37"/>
      <c r="Y40" s="61"/>
      <c r="Z40" s="61"/>
      <c r="AA40" s="61"/>
      <c r="AB40" s="68"/>
      <c r="AC40" s="69"/>
      <c r="AD40" s="69"/>
      <c r="AE40" s="70"/>
      <c r="AF40" s="61"/>
      <c r="AG40" s="70"/>
    </row>
    <row r="41" s="5" customFormat="1" customHeight="1" spans="1:33">
      <c r="A41" s="61"/>
      <c r="B41" s="61"/>
      <c r="C41" s="37"/>
      <c r="D41" s="61"/>
      <c r="E41" s="37"/>
      <c r="F41" s="62"/>
      <c r="G41" s="37"/>
      <c r="H41" s="37"/>
      <c r="I41" s="61"/>
      <c r="J41" s="61"/>
      <c r="K41" s="61"/>
      <c r="L41" s="61"/>
      <c r="M41" s="61"/>
      <c r="N41" s="61"/>
      <c r="O41" s="37"/>
      <c r="P41" s="61"/>
      <c r="Q41" s="61"/>
      <c r="R41" s="61"/>
      <c r="S41" s="61"/>
      <c r="T41" s="61"/>
      <c r="U41" s="61"/>
      <c r="V41" s="37"/>
      <c r="W41" s="37"/>
      <c r="X41" s="37"/>
      <c r="Y41" s="61"/>
      <c r="Z41" s="61"/>
      <c r="AA41" s="61"/>
      <c r="AB41" s="68"/>
      <c r="AC41" s="69"/>
      <c r="AD41" s="69"/>
      <c r="AE41" s="70"/>
      <c r="AF41" s="61"/>
      <c r="AG41" s="70"/>
    </row>
    <row r="42" s="5" customFormat="1" customHeight="1" spans="1:33">
      <c r="A42" s="61"/>
      <c r="B42" s="61"/>
      <c r="C42" s="37"/>
      <c r="D42" s="61"/>
      <c r="E42" s="37"/>
      <c r="F42" s="62"/>
      <c r="G42" s="37"/>
      <c r="H42" s="37"/>
      <c r="I42" s="61"/>
      <c r="J42" s="61"/>
      <c r="K42" s="61"/>
      <c r="L42" s="61"/>
      <c r="M42" s="61"/>
      <c r="N42" s="61"/>
      <c r="O42" s="37"/>
      <c r="P42" s="61"/>
      <c r="Q42" s="61"/>
      <c r="R42" s="61"/>
      <c r="S42" s="61"/>
      <c r="T42" s="61"/>
      <c r="U42" s="61"/>
      <c r="V42" s="37"/>
      <c r="W42" s="37"/>
      <c r="X42" s="37"/>
      <c r="Y42" s="61"/>
      <c r="Z42" s="61"/>
      <c r="AA42" s="61"/>
      <c r="AB42" s="72"/>
      <c r="AC42" s="72"/>
      <c r="AD42" s="72"/>
      <c r="AE42" s="72"/>
      <c r="AF42" s="61"/>
      <c r="AG42" s="72"/>
    </row>
    <row r="43" s="5" customFormat="1" customHeight="1" spans="1:33">
      <c r="A43" s="61"/>
      <c r="B43" s="61"/>
      <c r="C43" s="37"/>
      <c r="D43" s="61"/>
      <c r="E43" s="37"/>
      <c r="F43" s="62"/>
      <c r="G43" s="37"/>
      <c r="H43" s="37"/>
      <c r="I43" s="61"/>
      <c r="J43" s="61"/>
      <c r="K43" s="61"/>
      <c r="L43" s="61"/>
      <c r="M43" s="61"/>
      <c r="N43" s="61"/>
      <c r="O43" s="37"/>
      <c r="P43" s="61"/>
      <c r="Q43" s="61"/>
      <c r="R43" s="61"/>
      <c r="S43" s="61"/>
      <c r="T43" s="61"/>
      <c r="U43" s="61"/>
      <c r="V43" s="37"/>
      <c r="W43" s="37"/>
      <c r="X43" s="37"/>
      <c r="Y43" s="61"/>
      <c r="Z43" s="61"/>
      <c r="AA43" s="61"/>
      <c r="AB43" s="72"/>
      <c r="AC43" s="72"/>
      <c r="AD43" s="72"/>
      <c r="AE43" s="72"/>
      <c r="AF43" s="61"/>
      <c r="AG43" s="72"/>
    </row>
    <row r="44" s="5" customFormat="1" customHeight="1" spans="1:33">
      <c r="A44" s="61"/>
      <c r="B44" s="61"/>
      <c r="C44" s="37"/>
      <c r="D44" s="61"/>
      <c r="E44" s="37"/>
      <c r="F44" s="62"/>
      <c r="G44" s="37"/>
      <c r="H44" s="37"/>
      <c r="I44" s="61"/>
      <c r="J44" s="61"/>
      <c r="K44" s="61"/>
      <c r="L44" s="61"/>
      <c r="M44" s="61"/>
      <c r="N44" s="61"/>
      <c r="O44" s="37"/>
      <c r="P44" s="61"/>
      <c r="Q44" s="61"/>
      <c r="R44" s="61"/>
      <c r="S44" s="61"/>
      <c r="T44" s="61"/>
      <c r="U44" s="61"/>
      <c r="V44" s="37"/>
      <c r="W44" s="37"/>
      <c r="X44" s="37"/>
      <c r="Y44" s="61"/>
      <c r="Z44" s="61"/>
      <c r="AA44" s="61"/>
      <c r="AB44" s="72"/>
      <c r="AC44" s="72"/>
      <c r="AD44" s="72"/>
      <c r="AE44" s="72"/>
      <c r="AF44" s="61"/>
      <c r="AG44" s="72"/>
    </row>
    <row r="45" s="5" customFormat="1" customHeight="1" spans="1:33">
      <c r="A45" s="61"/>
      <c r="B45" s="61"/>
      <c r="C45" s="37"/>
      <c r="D45" s="61"/>
      <c r="E45" s="37"/>
      <c r="F45" s="62"/>
      <c r="G45" s="37"/>
      <c r="H45" s="37"/>
      <c r="I45" s="61"/>
      <c r="J45" s="61"/>
      <c r="K45" s="61"/>
      <c r="L45" s="61"/>
      <c r="M45" s="61"/>
      <c r="N45" s="61"/>
      <c r="O45" s="37"/>
      <c r="P45" s="61"/>
      <c r="Q45" s="61"/>
      <c r="R45" s="61"/>
      <c r="S45" s="61"/>
      <c r="T45" s="61"/>
      <c r="U45" s="61"/>
      <c r="V45" s="37"/>
      <c r="W45" s="37"/>
      <c r="X45" s="37"/>
      <c r="Y45" s="61"/>
      <c r="Z45" s="61"/>
      <c r="AA45" s="61"/>
      <c r="AB45" s="72"/>
      <c r="AC45" s="72"/>
      <c r="AD45" s="72"/>
      <c r="AE45" s="72"/>
      <c r="AF45" s="61"/>
      <c r="AG45" s="72"/>
    </row>
    <row r="46" s="5" customFormat="1" customHeight="1" spans="1:33">
      <c r="A46" s="73"/>
      <c r="B46" s="73"/>
      <c r="C46" s="74"/>
      <c r="D46" s="73"/>
      <c r="E46" s="74"/>
      <c r="F46" s="73"/>
      <c r="G46" s="74"/>
      <c r="H46" s="74"/>
      <c r="I46" s="73"/>
      <c r="J46" s="73"/>
      <c r="K46" s="73"/>
      <c r="L46" s="73"/>
      <c r="M46" s="73"/>
      <c r="N46" s="73"/>
      <c r="O46" s="74"/>
      <c r="P46" s="73"/>
      <c r="Q46" s="73"/>
      <c r="R46" s="73"/>
      <c r="S46" s="73"/>
      <c r="T46" s="73"/>
      <c r="U46" s="73"/>
      <c r="V46" s="74"/>
      <c r="W46" s="74"/>
      <c r="X46" s="74"/>
      <c r="Y46" s="73"/>
      <c r="Z46" s="73"/>
      <c r="AA46" s="73"/>
      <c r="AB46" s="75"/>
      <c r="AC46" s="75"/>
      <c r="AD46" s="75"/>
      <c r="AE46" s="75"/>
      <c r="AF46" s="75"/>
      <c r="AG46" s="75"/>
    </row>
    <row r="48" s="3" customFormat="1" customHeight="1" spans="1:33">
      <c r="A48" s="44" t="s">
        <v>373</v>
      </c>
      <c r="C48" s="3">
        <f t="shared" ref="C48:H48" si="6">SUM(C51:C75)</f>
        <v>0</v>
      </c>
      <c r="E48" s="3">
        <f t="shared" si="6"/>
        <v>0</v>
      </c>
      <c r="G48" s="3">
        <f t="shared" si="6"/>
        <v>0</v>
      </c>
      <c r="H48" s="3">
        <f t="shared" si="6"/>
        <v>0</v>
      </c>
      <c r="J48" s="3">
        <f>SUM(J51:J75)</f>
        <v>0</v>
      </c>
      <c r="K48" s="3">
        <f>SUM(K51:K75)</f>
        <v>0</v>
      </c>
      <c r="R48" s="3">
        <f t="shared" ref="R48:T48" si="7">SUM(R51:R75)</f>
        <v>0</v>
      </c>
      <c r="S48" s="3">
        <f t="shared" si="7"/>
        <v>0</v>
      </c>
      <c r="T48" s="3">
        <f t="shared" si="7"/>
        <v>0</v>
      </c>
      <c r="AA48" s="3">
        <f>SUM(AA51:AA75)</f>
        <v>0</v>
      </c>
    </row>
    <row r="49" s="4" customFormat="1" customHeight="1" spans="1:29">
      <c r="A49" s="45" t="s">
        <v>374</v>
      </c>
      <c r="B49" s="45"/>
      <c r="C49" s="45"/>
      <c r="D49" s="45"/>
      <c r="E49" s="45"/>
      <c r="F49" s="45"/>
      <c r="G49" s="45"/>
      <c r="H49" s="45"/>
      <c r="I49" s="45"/>
      <c r="J49" s="45"/>
      <c r="K49" s="45"/>
      <c r="L49" s="49" t="s">
        <v>375</v>
      </c>
      <c r="M49" s="50"/>
      <c r="N49" s="50"/>
      <c r="O49" s="50"/>
      <c r="P49" s="50"/>
      <c r="Q49" s="50"/>
      <c r="R49" s="50"/>
      <c r="S49" s="50"/>
      <c r="T49" s="50"/>
      <c r="U49" s="51"/>
      <c r="V49" s="52" t="s">
        <v>376</v>
      </c>
      <c r="W49" s="53"/>
      <c r="X49" s="53"/>
      <c r="Y49" s="53"/>
      <c r="Z49" s="53"/>
      <c r="AA49" s="53"/>
      <c r="AB49" s="53"/>
      <c r="AC49" s="54"/>
    </row>
    <row r="50" s="4" customFormat="1" customHeight="1" spans="1:29">
      <c r="A50" s="55" t="s">
        <v>291</v>
      </c>
      <c r="B50" s="55" t="s">
        <v>345</v>
      </c>
      <c r="C50" s="55" t="s">
        <v>346</v>
      </c>
      <c r="D50" s="55" t="s">
        <v>347</v>
      </c>
      <c r="E50" s="55" t="s">
        <v>377</v>
      </c>
      <c r="F50" s="55" t="s">
        <v>349</v>
      </c>
      <c r="G50" s="55" t="s">
        <v>350</v>
      </c>
      <c r="H50" s="55" t="s">
        <v>351</v>
      </c>
      <c r="I50" s="55" t="s">
        <v>352</v>
      </c>
      <c r="J50" s="55" t="s">
        <v>353</v>
      </c>
      <c r="K50" s="55" t="s">
        <v>354</v>
      </c>
      <c r="L50" s="57" t="s">
        <v>291</v>
      </c>
      <c r="M50" s="57" t="s">
        <v>355</v>
      </c>
      <c r="N50" s="58" t="s">
        <v>358</v>
      </c>
      <c r="O50" s="57" t="s">
        <v>359</v>
      </c>
      <c r="P50" s="57" t="s">
        <v>360</v>
      </c>
      <c r="Q50" s="57" t="s">
        <v>361</v>
      </c>
      <c r="R50" s="57" t="s">
        <v>362</v>
      </c>
      <c r="S50" s="57" t="s">
        <v>363</v>
      </c>
      <c r="T50" s="57" t="s">
        <v>364</v>
      </c>
      <c r="U50" s="59" t="s">
        <v>349</v>
      </c>
      <c r="V50" s="60" t="s">
        <v>291</v>
      </c>
      <c r="W50" s="60" t="s">
        <v>365</v>
      </c>
      <c r="X50" s="60" t="s">
        <v>378</v>
      </c>
      <c r="Y50" s="60" t="s">
        <v>379</v>
      </c>
      <c r="Z50" s="60" t="s">
        <v>380</v>
      </c>
      <c r="AA50" s="60" t="s">
        <v>381</v>
      </c>
      <c r="AB50" s="60" t="s">
        <v>382</v>
      </c>
      <c r="AC50" s="60" t="s">
        <v>383</v>
      </c>
    </row>
    <row r="51" s="5" customFormat="1" customHeight="1" spans="1:29">
      <c r="A51" s="76"/>
      <c r="B51" s="61"/>
      <c r="C51" s="37"/>
      <c r="D51" s="61"/>
      <c r="E51" s="37"/>
      <c r="F51" s="62"/>
      <c r="G51" s="37"/>
      <c r="H51" s="37"/>
      <c r="I51" s="61"/>
      <c r="J51" s="61"/>
      <c r="K51" s="61"/>
      <c r="L51" s="67"/>
      <c r="M51" s="61"/>
      <c r="N51" s="77"/>
      <c r="O51" s="68"/>
      <c r="P51" s="61"/>
      <c r="Q51" s="61"/>
      <c r="R51" s="37"/>
      <c r="S51" s="37"/>
      <c r="T51" s="37"/>
      <c r="U51" s="66"/>
      <c r="V51" s="67"/>
      <c r="W51" s="61"/>
      <c r="X51" s="68"/>
      <c r="Y51" s="61"/>
      <c r="Z51" s="61"/>
      <c r="AA51" s="37"/>
      <c r="AB51" s="77"/>
      <c r="AC51" s="61"/>
    </row>
    <row r="52" s="5" customFormat="1" customHeight="1" spans="1:29">
      <c r="A52" s="76"/>
      <c r="B52" s="61"/>
      <c r="C52" s="78"/>
      <c r="D52" s="61"/>
      <c r="E52" s="78"/>
      <c r="F52" s="62"/>
      <c r="G52" s="37"/>
      <c r="H52" s="37"/>
      <c r="I52" s="61"/>
      <c r="J52" s="61"/>
      <c r="K52" s="61"/>
      <c r="L52" s="79"/>
      <c r="M52" s="72"/>
      <c r="N52" s="77"/>
      <c r="O52" s="80"/>
      <c r="P52" s="72"/>
      <c r="Q52" s="72"/>
      <c r="R52" s="81"/>
      <c r="S52" s="81"/>
      <c r="T52" s="81"/>
      <c r="U52" s="66"/>
      <c r="V52" s="67"/>
      <c r="W52" s="61"/>
      <c r="X52" s="68"/>
      <c r="Y52" s="61"/>
      <c r="Z52" s="61"/>
      <c r="AA52" s="37"/>
      <c r="AB52" s="77"/>
      <c r="AC52" s="61"/>
    </row>
    <row r="53" s="5" customFormat="1" customHeight="1" spans="1:29">
      <c r="A53" s="76"/>
      <c r="B53" s="61"/>
      <c r="C53" s="78"/>
      <c r="D53" s="61"/>
      <c r="E53" s="78"/>
      <c r="F53" s="62"/>
      <c r="G53" s="37"/>
      <c r="H53" s="37"/>
      <c r="I53" s="61"/>
      <c r="J53" s="61"/>
      <c r="K53" s="61"/>
      <c r="L53" s="67"/>
      <c r="M53" s="61"/>
      <c r="N53" s="77"/>
      <c r="O53" s="82"/>
      <c r="P53" s="61"/>
      <c r="Q53" s="61"/>
      <c r="R53" s="37"/>
      <c r="S53" s="37"/>
      <c r="T53" s="37"/>
      <c r="U53" s="66"/>
      <c r="V53" s="67"/>
      <c r="W53" s="61"/>
      <c r="X53" s="68"/>
      <c r="Y53" s="61"/>
      <c r="Z53" s="61"/>
      <c r="AA53" s="37"/>
      <c r="AB53" s="77"/>
      <c r="AC53" s="72"/>
    </row>
    <row r="54" s="5" customFormat="1" customHeight="1" spans="1:29">
      <c r="A54" s="76"/>
      <c r="B54" s="61"/>
      <c r="C54" s="78"/>
      <c r="D54" s="61"/>
      <c r="E54" s="78"/>
      <c r="F54" s="62"/>
      <c r="G54" s="37"/>
      <c r="H54" s="37"/>
      <c r="I54" s="61"/>
      <c r="J54" s="61"/>
      <c r="K54" s="61"/>
      <c r="L54" s="67"/>
      <c r="M54" s="61"/>
      <c r="N54" s="77"/>
      <c r="O54" s="83"/>
      <c r="P54" s="61"/>
      <c r="Q54" s="61"/>
      <c r="R54" s="37"/>
      <c r="S54" s="37"/>
      <c r="T54" s="37"/>
      <c r="U54" s="66"/>
      <c r="V54" s="67"/>
      <c r="W54" s="61"/>
      <c r="X54" s="68"/>
      <c r="Y54" s="61"/>
      <c r="Z54" s="61"/>
      <c r="AA54" s="37"/>
      <c r="AB54" s="77"/>
      <c r="AC54" s="72"/>
    </row>
    <row r="55" s="5" customFormat="1" customHeight="1" spans="1:29">
      <c r="A55" s="76"/>
      <c r="B55" s="61"/>
      <c r="C55" s="78"/>
      <c r="D55" s="61"/>
      <c r="E55" s="78"/>
      <c r="F55" s="62"/>
      <c r="G55" s="37"/>
      <c r="H55" s="37"/>
      <c r="I55" s="61"/>
      <c r="J55" s="61"/>
      <c r="K55" s="61"/>
      <c r="L55" s="67"/>
      <c r="M55" s="61"/>
      <c r="N55" s="77"/>
      <c r="O55" s="83"/>
      <c r="P55" s="61"/>
      <c r="Q55" s="61"/>
      <c r="R55" s="37"/>
      <c r="S55" s="37"/>
      <c r="T55" s="37"/>
      <c r="U55" s="66"/>
      <c r="V55" s="67"/>
      <c r="W55" s="61"/>
      <c r="X55" s="68"/>
      <c r="Y55" s="61"/>
      <c r="Z55" s="61"/>
      <c r="AA55" s="37"/>
      <c r="AB55" s="77"/>
      <c r="AC55" s="72"/>
    </row>
    <row r="56" s="5" customFormat="1" customHeight="1" spans="1:29">
      <c r="A56" s="76"/>
      <c r="B56" s="61"/>
      <c r="C56" s="78"/>
      <c r="D56" s="61"/>
      <c r="E56" s="78"/>
      <c r="F56" s="62"/>
      <c r="G56" s="37"/>
      <c r="H56" s="37"/>
      <c r="I56" s="61"/>
      <c r="J56" s="61"/>
      <c r="K56" s="61"/>
      <c r="L56" s="67"/>
      <c r="M56" s="61"/>
      <c r="N56" s="77"/>
      <c r="O56" s="84"/>
      <c r="P56" s="61"/>
      <c r="Q56" s="61"/>
      <c r="R56" s="37"/>
      <c r="S56" s="37"/>
      <c r="T56" s="37"/>
      <c r="U56" s="66"/>
      <c r="V56" s="67"/>
      <c r="W56" s="61"/>
      <c r="X56" s="68"/>
      <c r="Y56" s="61"/>
      <c r="Z56" s="61"/>
      <c r="AA56" s="37"/>
      <c r="AB56" s="77"/>
      <c r="AC56" s="72"/>
    </row>
    <row r="57" s="5" customFormat="1" customHeight="1" spans="1:29">
      <c r="A57" s="76"/>
      <c r="B57" s="61"/>
      <c r="C57" s="78"/>
      <c r="D57" s="61"/>
      <c r="E57" s="78"/>
      <c r="F57" s="62"/>
      <c r="G57" s="37"/>
      <c r="H57" s="37"/>
      <c r="I57" s="61"/>
      <c r="J57" s="61"/>
      <c r="K57" s="61"/>
      <c r="L57" s="79"/>
      <c r="M57" s="72"/>
      <c r="N57" s="77"/>
      <c r="O57" s="80"/>
      <c r="P57" s="72"/>
      <c r="Q57" s="72"/>
      <c r="R57" s="81"/>
      <c r="S57" s="81"/>
      <c r="T57" s="81"/>
      <c r="U57" s="85"/>
      <c r="V57" s="67"/>
      <c r="W57" s="61"/>
      <c r="X57" s="68"/>
      <c r="Y57" s="61"/>
      <c r="Z57" s="61"/>
      <c r="AA57" s="37"/>
      <c r="AB57" s="77"/>
      <c r="AC57" s="72"/>
    </row>
    <row r="58" s="5" customFormat="1" customHeight="1" spans="1:29">
      <c r="A58" s="76"/>
      <c r="B58" s="61"/>
      <c r="C58" s="78"/>
      <c r="D58" s="61"/>
      <c r="E58" s="78"/>
      <c r="F58" s="62"/>
      <c r="G58" s="37"/>
      <c r="H58" s="37"/>
      <c r="I58" s="61"/>
      <c r="J58" s="61"/>
      <c r="K58" s="61"/>
      <c r="L58" s="67"/>
      <c r="M58" s="61"/>
      <c r="N58" s="77"/>
      <c r="O58" s="68"/>
      <c r="P58" s="61"/>
      <c r="Q58" s="61"/>
      <c r="R58" s="37"/>
      <c r="S58" s="37"/>
      <c r="T58" s="37"/>
      <c r="U58" s="66"/>
      <c r="V58" s="67"/>
      <c r="W58" s="61"/>
      <c r="X58" s="68"/>
      <c r="Y58" s="61"/>
      <c r="Z58" s="61"/>
      <c r="AA58" s="37"/>
      <c r="AB58" s="77"/>
      <c r="AC58" s="72"/>
    </row>
    <row r="59" s="5" customFormat="1" customHeight="1" spans="1:29">
      <c r="A59" s="61"/>
      <c r="B59" s="61"/>
      <c r="C59" s="61"/>
      <c r="D59" s="61"/>
      <c r="E59" s="61"/>
      <c r="F59" s="61"/>
      <c r="G59" s="37"/>
      <c r="H59" s="37"/>
      <c r="I59" s="61"/>
      <c r="J59" s="61"/>
      <c r="K59" s="61"/>
      <c r="L59" s="67"/>
      <c r="M59" s="61"/>
      <c r="N59" s="77"/>
      <c r="O59" s="68"/>
      <c r="P59" s="61"/>
      <c r="Q59" s="61"/>
      <c r="R59" s="37"/>
      <c r="S59" s="37"/>
      <c r="T59" s="37"/>
      <c r="U59" s="66"/>
      <c r="V59" s="67"/>
      <c r="W59" s="61"/>
      <c r="X59" s="68"/>
      <c r="Y59" s="61"/>
      <c r="Z59" s="61"/>
      <c r="AA59" s="37"/>
      <c r="AB59" s="77"/>
      <c r="AC59" s="72"/>
    </row>
    <row r="60" s="5" customFormat="1" customHeight="1" spans="1:29">
      <c r="A60" s="61"/>
      <c r="B60" s="61"/>
      <c r="C60" s="61"/>
      <c r="D60" s="61"/>
      <c r="E60" s="61"/>
      <c r="F60" s="61"/>
      <c r="G60" s="37"/>
      <c r="H60" s="37"/>
      <c r="I60" s="61"/>
      <c r="J60" s="61"/>
      <c r="K60" s="61"/>
      <c r="L60" s="61"/>
      <c r="M60" s="61"/>
      <c r="N60" s="77"/>
      <c r="O60" s="61"/>
      <c r="P60" s="61"/>
      <c r="Q60" s="61"/>
      <c r="R60" s="37"/>
      <c r="S60" s="37"/>
      <c r="T60" s="37"/>
      <c r="U60" s="66"/>
      <c r="V60" s="67"/>
      <c r="W60" s="61"/>
      <c r="X60" s="68"/>
      <c r="Y60" s="61"/>
      <c r="Z60" s="61"/>
      <c r="AA60" s="37"/>
      <c r="AB60" s="77"/>
      <c r="AC60" s="72"/>
    </row>
    <row r="61" s="5" customFormat="1" customHeight="1" spans="1:29">
      <c r="A61" s="61"/>
      <c r="B61" s="61"/>
      <c r="C61" s="61"/>
      <c r="D61" s="61"/>
      <c r="E61" s="61"/>
      <c r="F61" s="61"/>
      <c r="G61" s="37"/>
      <c r="H61" s="37"/>
      <c r="I61" s="61"/>
      <c r="J61" s="61"/>
      <c r="K61" s="61"/>
      <c r="L61" s="61"/>
      <c r="M61" s="61"/>
      <c r="N61" s="77"/>
      <c r="O61" s="61"/>
      <c r="P61" s="61"/>
      <c r="Q61" s="61"/>
      <c r="R61" s="37"/>
      <c r="S61" s="37"/>
      <c r="T61" s="37"/>
      <c r="U61" s="66"/>
      <c r="V61" s="67"/>
      <c r="W61" s="61"/>
      <c r="X61" s="68"/>
      <c r="Y61" s="61"/>
      <c r="Z61" s="61"/>
      <c r="AA61" s="37"/>
      <c r="AB61" s="77"/>
      <c r="AC61" s="72"/>
    </row>
    <row r="62" s="5" customFormat="1" customHeight="1" spans="1:29">
      <c r="A62" s="61"/>
      <c r="B62" s="61"/>
      <c r="C62" s="61"/>
      <c r="D62" s="61"/>
      <c r="E62" s="61"/>
      <c r="F62" s="61"/>
      <c r="G62" s="37"/>
      <c r="H62" s="37"/>
      <c r="I62" s="61"/>
      <c r="J62" s="61"/>
      <c r="K62" s="61"/>
      <c r="L62" s="61"/>
      <c r="M62" s="61"/>
      <c r="N62" s="77"/>
      <c r="O62" s="61"/>
      <c r="P62" s="61"/>
      <c r="Q62" s="61"/>
      <c r="R62" s="37"/>
      <c r="S62" s="37"/>
      <c r="T62" s="37"/>
      <c r="U62" s="66"/>
      <c r="V62" s="67"/>
      <c r="W62" s="61"/>
      <c r="X62" s="68"/>
      <c r="Y62" s="61"/>
      <c r="Z62" s="61"/>
      <c r="AA62" s="37"/>
      <c r="AB62" s="77"/>
      <c r="AC62" s="72"/>
    </row>
    <row r="63" s="5" customFormat="1" customHeight="1" spans="1:29">
      <c r="A63" s="61"/>
      <c r="B63" s="61"/>
      <c r="C63" s="61"/>
      <c r="D63" s="61"/>
      <c r="E63" s="61"/>
      <c r="F63" s="61"/>
      <c r="G63" s="37"/>
      <c r="H63" s="37"/>
      <c r="I63" s="61"/>
      <c r="J63" s="61"/>
      <c r="K63" s="61"/>
      <c r="L63" s="61"/>
      <c r="M63" s="61"/>
      <c r="N63" s="77"/>
      <c r="O63" s="61"/>
      <c r="P63" s="61"/>
      <c r="Q63" s="61"/>
      <c r="R63" s="37"/>
      <c r="S63" s="37"/>
      <c r="T63" s="37"/>
      <c r="U63" s="61"/>
      <c r="V63" s="67"/>
      <c r="W63" s="61"/>
      <c r="X63" s="68"/>
      <c r="Y63" s="61"/>
      <c r="Z63" s="61"/>
      <c r="AA63" s="37"/>
      <c r="AB63" s="77"/>
      <c r="AC63" s="72"/>
    </row>
    <row r="64" s="5" customFormat="1" customHeight="1" spans="1:29">
      <c r="A64" s="61"/>
      <c r="B64" s="61"/>
      <c r="C64" s="61"/>
      <c r="D64" s="61"/>
      <c r="E64" s="61"/>
      <c r="F64" s="61"/>
      <c r="G64" s="37"/>
      <c r="H64" s="37"/>
      <c r="I64" s="61"/>
      <c r="J64" s="61"/>
      <c r="K64" s="61"/>
      <c r="L64" s="61"/>
      <c r="M64" s="61"/>
      <c r="N64" s="77"/>
      <c r="O64" s="61"/>
      <c r="P64" s="61"/>
      <c r="Q64" s="61"/>
      <c r="R64" s="37"/>
      <c r="S64" s="37"/>
      <c r="T64" s="37"/>
      <c r="U64" s="61"/>
      <c r="V64" s="67"/>
      <c r="W64" s="61"/>
      <c r="X64" s="68"/>
      <c r="Y64" s="61"/>
      <c r="Z64" s="61"/>
      <c r="AA64" s="37"/>
      <c r="AB64" s="77"/>
      <c r="AC64" s="70"/>
    </row>
    <row r="65" s="5" customFormat="1" customHeight="1" spans="1:33">
      <c r="A65" s="61"/>
      <c r="B65" s="61"/>
      <c r="C65" s="61"/>
      <c r="D65" s="61"/>
      <c r="E65" s="61"/>
      <c r="F65" s="61"/>
      <c r="G65" s="37"/>
      <c r="H65" s="37"/>
      <c r="I65" s="61"/>
      <c r="J65" s="61"/>
      <c r="K65" s="61"/>
      <c r="L65" s="61"/>
      <c r="M65" s="61"/>
      <c r="N65" s="77"/>
      <c r="O65" s="61"/>
      <c r="P65" s="61"/>
      <c r="Q65" s="61"/>
      <c r="R65" s="37"/>
      <c r="S65" s="37"/>
      <c r="T65" s="37"/>
      <c r="U65" s="61"/>
      <c r="V65" s="67"/>
      <c r="W65" s="61"/>
      <c r="X65" s="68"/>
      <c r="Y65" s="61"/>
      <c r="Z65" s="61"/>
      <c r="AA65" s="37"/>
      <c r="AB65" s="77"/>
      <c r="AC65" s="72"/>
    </row>
    <row r="66" s="5" customFormat="1" customHeight="1" spans="1:33">
      <c r="A66" s="61"/>
      <c r="B66" s="61"/>
      <c r="C66" s="61"/>
      <c r="D66" s="61"/>
      <c r="E66" s="61"/>
      <c r="F66" s="61"/>
      <c r="G66" s="37"/>
      <c r="H66" s="37"/>
      <c r="I66" s="61"/>
      <c r="J66" s="61"/>
      <c r="K66" s="61"/>
      <c r="L66" s="61"/>
      <c r="M66" s="61"/>
      <c r="N66" s="77"/>
      <c r="O66" s="61"/>
      <c r="P66" s="61"/>
      <c r="Q66" s="61"/>
      <c r="R66" s="37"/>
      <c r="S66" s="37"/>
      <c r="T66" s="37"/>
      <c r="U66" s="61"/>
      <c r="V66" s="61"/>
      <c r="W66" s="61"/>
      <c r="X66" s="68"/>
      <c r="Y66" s="72"/>
      <c r="Z66" s="72"/>
      <c r="AA66" s="81"/>
      <c r="AB66" s="72"/>
      <c r="AC66" s="72"/>
    </row>
    <row r="67" s="5" customFormat="1" customHeight="1" spans="1:33">
      <c r="A67" s="61"/>
      <c r="B67" s="61"/>
      <c r="C67" s="61"/>
      <c r="D67" s="61"/>
      <c r="E67" s="61"/>
      <c r="F67" s="61"/>
      <c r="G67" s="37"/>
      <c r="H67" s="37"/>
      <c r="I67" s="61"/>
      <c r="J67" s="61"/>
      <c r="K67" s="61"/>
      <c r="L67" s="61"/>
      <c r="M67" s="61"/>
      <c r="N67" s="77"/>
      <c r="O67" s="61"/>
      <c r="P67" s="61"/>
      <c r="Q67" s="61"/>
      <c r="R67" s="37"/>
      <c r="S67" s="37"/>
      <c r="T67" s="37"/>
      <c r="U67" s="61"/>
      <c r="V67" s="61"/>
      <c r="W67" s="61"/>
      <c r="X67" s="68"/>
      <c r="Y67" s="72"/>
      <c r="Z67" s="72"/>
      <c r="AA67" s="81"/>
      <c r="AB67" s="72"/>
      <c r="AC67" s="72"/>
    </row>
    <row r="68" s="5" customFormat="1" customHeight="1" spans="1:33">
      <c r="A68" s="61"/>
      <c r="B68" s="61"/>
      <c r="C68" s="61"/>
      <c r="D68" s="61"/>
      <c r="E68" s="61"/>
      <c r="F68" s="61"/>
      <c r="G68" s="37"/>
      <c r="H68" s="37"/>
      <c r="I68" s="61"/>
      <c r="J68" s="61"/>
      <c r="K68" s="61"/>
      <c r="L68" s="61"/>
      <c r="M68" s="61"/>
      <c r="N68" s="77"/>
      <c r="O68" s="61"/>
      <c r="P68" s="61"/>
      <c r="Q68" s="61"/>
      <c r="R68" s="37"/>
      <c r="S68" s="37"/>
      <c r="T68" s="37"/>
      <c r="U68" s="61"/>
      <c r="V68" s="61"/>
      <c r="W68" s="61"/>
      <c r="X68" s="68"/>
      <c r="Y68" s="72"/>
      <c r="Z68" s="72"/>
      <c r="AA68" s="81"/>
      <c r="AB68" s="72"/>
      <c r="AC68" s="72"/>
    </row>
    <row r="69" s="5" customFormat="1" customHeight="1" spans="1:33">
      <c r="A69" s="61"/>
      <c r="B69" s="61"/>
      <c r="C69" s="61"/>
      <c r="D69" s="61"/>
      <c r="E69" s="61"/>
      <c r="F69" s="61"/>
      <c r="G69" s="37"/>
      <c r="H69" s="37"/>
      <c r="I69" s="61"/>
      <c r="J69" s="61"/>
      <c r="K69" s="61"/>
      <c r="L69" s="61"/>
      <c r="M69" s="61"/>
      <c r="N69" s="77"/>
      <c r="O69" s="61"/>
      <c r="P69" s="61"/>
      <c r="Q69" s="61"/>
      <c r="R69" s="37"/>
      <c r="S69" s="37"/>
      <c r="T69" s="37"/>
      <c r="U69" s="61"/>
      <c r="V69" s="61"/>
      <c r="W69" s="61"/>
      <c r="X69" s="68"/>
      <c r="Y69" s="72"/>
      <c r="Z69" s="72"/>
      <c r="AA69" s="81"/>
      <c r="AB69" s="72"/>
      <c r="AC69" s="72"/>
    </row>
    <row r="70" s="5" customFormat="1" customHeight="1" spans="1:33">
      <c r="A70" s="61"/>
      <c r="B70" s="61"/>
      <c r="C70" s="61"/>
      <c r="D70" s="61"/>
      <c r="E70" s="61"/>
      <c r="F70" s="61"/>
      <c r="G70" s="37"/>
      <c r="H70" s="37"/>
      <c r="I70" s="61"/>
      <c r="J70" s="61"/>
      <c r="K70" s="61"/>
      <c r="L70" s="61"/>
      <c r="M70" s="61"/>
      <c r="N70" s="77"/>
      <c r="O70" s="61"/>
      <c r="P70" s="61"/>
      <c r="Q70" s="61"/>
      <c r="R70" s="37"/>
      <c r="S70" s="37"/>
      <c r="T70" s="37"/>
      <c r="U70" s="61"/>
      <c r="V70" s="61"/>
      <c r="W70" s="61"/>
      <c r="X70" s="68"/>
      <c r="Y70" s="72"/>
      <c r="Z70" s="72"/>
      <c r="AA70" s="81"/>
      <c r="AB70" s="72"/>
      <c r="AC70" s="72"/>
    </row>
    <row r="71" s="5" customFormat="1" customHeight="1" spans="1:33">
      <c r="A71" s="61"/>
      <c r="B71" s="61"/>
      <c r="C71" s="61"/>
      <c r="D71" s="61"/>
      <c r="E71" s="61"/>
      <c r="F71" s="61"/>
      <c r="G71" s="37"/>
      <c r="H71" s="37"/>
      <c r="I71" s="61"/>
      <c r="J71" s="61"/>
      <c r="K71" s="61"/>
      <c r="L71" s="61"/>
      <c r="M71" s="61"/>
      <c r="N71" s="77"/>
      <c r="O71" s="61"/>
      <c r="P71" s="61"/>
      <c r="Q71" s="61"/>
      <c r="R71" s="37"/>
      <c r="S71" s="37"/>
      <c r="T71" s="37"/>
      <c r="U71" s="61"/>
      <c r="V71" s="61"/>
      <c r="W71" s="61"/>
      <c r="X71" s="68"/>
      <c r="Y71" s="72"/>
      <c r="Z71" s="72"/>
      <c r="AA71" s="81"/>
      <c r="AB71" s="72"/>
      <c r="AC71" s="72"/>
    </row>
    <row r="72" s="5" customFormat="1" customHeight="1" spans="1:33">
      <c r="A72" s="61"/>
      <c r="B72" s="61"/>
      <c r="C72" s="61"/>
      <c r="D72" s="61"/>
      <c r="E72" s="61"/>
      <c r="F72" s="61"/>
      <c r="G72" s="37"/>
      <c r="H72" s="37"/>
      <c r="I72" s="61"/>
      <c r="J72" s="61"/>
      <c r="K72" s="61"/>
      <c r="L72" s="61"/>
      <c r="M72" s="61"/>
      <c r="N72" s="77"/>
      <c r="O72" s="61"/>
      <c r="P72" s="61"/>
      <c r="Q72" s="61"/>
      <c r="R72" s="37"/>
      <c r="S72" s="37"/>
      <c r="T72" s="37"/>
      <c r="U72" s="61"/>
      <c r="V72" s="61"/>
      <c r="W72" s="61"/>
      <c r="X72" s="68"/>
      <c r="Y72" s="72"/>
      <c r="Z72" s="72"/>
      <c r="AA72" s="81"/>
      <c r="AB72" s="72"/>
      <c r="AC72" s="72"/>
    </row>
    <row r="73" s="5" customFormat="1" customHeight="1" spans="1:33">
      <c r="A73" s="61"/>
      <c r="B73" s="61"/>
      <c r="C73" s="61"/>
      <c r="D73" s="61"/>
      <c r="E73" s="61"/>
      <c r="F73" s="61"/>
      <c r="G73" s="37"/>
      <c r="H73" s="37"/>
      <c r="I73" s="61"/>
      <c r="J73" s="61"/>
      <c r="K73" s="61"/>
      <c r="L73" s="61"/>
      <c r="M73" s="61"/>
      <c r="N73" s="77"/>
      <c r="O73" s="61"/>
      <c r="P73" s="61"/>
      <c r="Q73" s="61"/>
      <c r="R73" s="37"/>
      <c r="S73" s="37"/>
      <c r="T73" s="37"/>
      <c r="U73" s="61"/>
      <c r="V73" s="61"/>
      <c r="W73" s="61"/>
      <c r="X73" s="68"/>
      <c r="Y73" s="72"/>
      <c r="Z73" s="72"/>
      <c r="AA73" s="81"/>
      <c r="AB73" s="72"/>
      <c r="AC73" s="72"/>
    </row>
    <row r="74" s="5" customFormat="1" customHeight="1" spans="1:33">
      <c r="A74" s="61"/>
      <c r="B74" s="61"/>
      <c r="C74" s="61"/>
      <c r="D74" s="61"/>
      <c r="E74" s="61"/>
      <c r="F74" s="61"/>
      <c r="G74" s="37"/>
      <c r="H74" s="37"/>
      <c r="I74" s="61"/>
      <c r="J74" s="61"/>
      <c r="K74" s="61"/>
      <c r="L74" s="61"/>
      <c r="M74" s="61"/>
      <c r="N74" s="77"/>
      <c r="O74" s="61"/>
      <c r="P74" s="61"/>
      <c r="Q74" s="61"/>
      <c r="R74" s="37"/>
      <c r="S74" s="37"/>
      <c r="T74" s="37"/>
      <c r="U74" s="61"/>
      <c r="V74" s="61"/>
      <c r="W74" s="61"/>
      <c r="X74" s="68"/>
      <c r="Y74" s="72"/>
      <c r="Z74" s="72"/>
      <c r="AA74" s="81"/>
      <c r="AB74" s="72"/>
      <c r="AC74" s="72"/>
    </row>
    <row r="75" s="5" customFormat="1" customHeight="1" spans="1:33">
      <c r="A75" s="61"/>
      <c r="B75" s="61"/>
      <c r="C75" s="61"/>
      <c r="D75" s="61"/>
      <c r="E75" s="61"/>
      <c r="F75" s="61"/>
      <c r="G75" s="37"/>
      <c r="H75" s="37"/>
      <c r="I75" s="61"/>
      <c r="J75" s="61"/>
      <c r="K75" s="61"/>
      <c r="L75" s="61"/>
      <c r="M75" s="61"/>
      <c r="N75" s="77"/>
      <c r="O75" s="61"/>
      <c r="P75" s="61"/>
      <c r="Q75" s="61"/>
      <c r="R75" s="37"/>
      <c r="S75" s="37"/>
      <c r="T75" s="37"/>
      <c r="U75" s="61"/>
      <c r="V75" s="61"/>
      <c r="W75" s="61"/>
      <c r="X75" s="68"/>
      <c r="Y75" s="72"/>
      <c r="Z75" s="72"/>
      <c r="AA75" s="81"/>
      <c r="AB75" s="72"/>
      <c r="AC75" s="72"/>
    </row>
    <row r="76" s="5" customFormat="1" customHeight="1" spans="1:33">
      <c r="A76" s="73"/>
      <c r="B76" s="73"/>
      <c r="C76" s="73"/>
      <c r="D76" s="73"/>
      <c r="E76" s="73"/>
      <c r="F76" s="73"/>
      <c r="G76" s="74"/>
      <c r="H76" s="74"/>
      <c r="I76" s="73"/>
      <c r="J76" s="73"/>
      <c r="K76" s="73"/>
      <c r="L76" s="73"/>
      <c r="M76" s="73"/>
      <c r="N76" s="73"/>
      <c r="O76" s="73"/>
      <c r="P76" s="73"/>
      <c r="Q76" s="73"/>
      <c r="R76" s="74"/>
      <c r="S76" s="74"/>
      <c r="T76" s="74"/>
      <c r="U76" s="73"/>
      <c r="V76" s="73"/>
      <c r="W76" s="73"/>
      <c r="X76" s="73"/>
      <c r="Y76" s="73"/>
      <c r="Z76" s="73"/>
      <c r="AA76" s="74"/>
      <c r="AB76" s="75"/>
      <c r="AC76" s="75"/>
      <c r="AD76" s="75"/>
      <c r="AE76" s="75"/>
      <c r="AF76" s="75"/>
      <c r="AG76" s="75"/>
    </row>
    <row r="78" customHeight="1" spans="1:33">
      <c r="A78" s="8" t="s">
        <v>384</v>
      </c>
    </row>
    <row r="79" ht="29.1" customHeight="1" spans="1:33">
      <c r="A79" s="34" t="s">
        <v>385</v>
      </c>
      <c r="B79" s="34" t="s">
        <v>386</v>
      </c>
      <c r="C79" s="34" t="s">
        <v>387</v>
      </c>
      <c r="D79" s="86" t="s">
        <v>388</v>
      </c>
      <c r="E79" s="87" t="s">
        <v>389</v>
      </c>
      <c r="F79" s="87" t="s">
        <v>390</v>
      </c>
      <c r="G79" s="87" t="s">
        <v>391</v>
      </c>
      <c r="H79" s="34" t="s">
        <v>392</v>
      </c>
      <c r="I79" s="34" t="s">
        <v>393</v>
      </c>
      <c r="J79" s="34" t="s">
        <v>394</v>
      </c>
      <c r="K79" s="34" t="s">
        <v>395</v>
      </c>
      <c r="L79" s="34" t="s">
        <v>92</v>
      </c>
      <c r="M79" s="34" t="s">
        <v>310</v>
      </c>
    </row>
    <row r="80" ht="29.1" customHeight="1" spans="1:33">
      <c r="A80" s="88"/>
      <c r="B80" s="89"/>
      <c r="C80" s="89"/>
      <c r="D80" s="90"/>
      <c r="E80" s="90"/>
      <c r="F80" s="90"/>
      <c r="G80" s="90"/>
      <c r="H80" s="61"/>
      <c r="I80" s="90"/>
      <c r="J80" s="89"/>
      <c r="K80" s="89"/>
      <c r="L80" s="89">
        <f t="shared" ref="L80:L92" si="8">SUM(D80:K80)</f>
        <v>0</v>
      </c>
      <c r="M80" s="89"/>
    </row>
    <row r="81" ht="29.1" customHeight="1" spans="1:13">
      <c r="A81" s="88"/>
      <c r="B81" s="89"/>
      <c r="C81" s="89"/>
      <c r="D81" s="90"/>
      <c r="E81" s="90"/>
      <c r="F81" s="90"/>
      <c r="G81" s="90"/>
      <c r="H81" s="61"/>
      <c r="I81" s="90"/>
      <c r="J81" s="89"/>
      <c r="K81" s="89"/>
      <c r="L81" s="89">
        <f t="shared" si="8"/>
        <v>0</v>
      </c>
      <c r="M81" s="89"/>
    </row>
    <row r="82" ht="29.1" customHeight="1" spans="1:13">
      <c r="A82" s="88"/>
      <c r="B82" s="89"/>
      <c r="C82" s="89"/>
      <c r="D82" s="90"/>
      <c r="E82" s="90"/>
      <c r="F82" s="90"/>
      <c r="G82" s="90"/>
      <c r="H82" s="61"/>
      <c r="I82" s="90"/>
      <c r="J82" s="89"/>
      <c r="K82" s="89"/>
      <c r="L82" s="89">
        <f t="shared" si="8"/>
        <v>0</v>
      </c>
      <c r="M82" s="89"/>
    </row>
    <row r="83" ht="29.1" customHeight="1" spans="1:13">
      <c r="A83" s="88"/>
      <c r="B83" s="89"/>
      <c r="C83" s="89"/>
      <c r="D83" s="90"/>
      <c r="E83" s="90"/>
      <c r="F83" s="90"/>
      <c r="G83" s="90"/>
      <c r="H83" s="61"/>
      <c r="I83" s="90"/>
      <c r="J83" s="89"/>
      <c r="K83" s="89"/>
      <c r="L83" s="89">
        <f t="shared" si="8"/>
        <v>0</v>
      </c>
      <c r="M83" s="89"/>
    </row>
    <row r="84" ht="29.1" customHeight="1" spans="1:13">
      <c r="A84" s="88"/>
      <c r="B84" s="89"/>
      <c r="C84" s="89"/>
      <c r="D84" s="90"/>
      <c r="E84" s="90"/>
      <c r="F84" s="90"/>
      <c r="G84" s="90"/>
      <c r="H84" s="61"/>
      <c r="I84" s="90"/>
      <c r="J84" s="89"/>
      <c r="K84" s="89"/>
      <c r="L84" s="89">
        <f t="shared" si="8"/>
        <v>0</v>
      </c>
      <c r="M84" s="89"/>
    </row>
    <row r="85" ht="29.1" customHeight="1" spans="1:13">
      <c r="A85" s="88"/>
      <c r="B85" s="89"/>
      <c r="C85" s="89"/>
      <c r="D85" s="90"/>
      <c r="E85" s="90"/>
      <c r="F85" s="90"/>
      <c r="G85" s="90"/>
      <c r="H85" s="61"/>
      <c r="I85" s="90"/>
      <c r="J85" s="89"/>
      <c r="K85" s="89"/>
      <c r="L85" s="89">
        <f t="shared" si="8"/>
        <v>0</v>
      </c>
      <c r="M85" s="89"/>
    </row>
    <row r="86" ht="29.1" customHeight="1" spans="1:13">
      <c r="A86" s="88"/>
      <c r="B86" s="89"/>
      <c r="C86" s="89"/>
      <c r="D86" s="90"/>
      <c r="E86" s="90"/>
      <c r="F86" s="90"/>
      <c r="G86" s="90"/>
      <c r="H86" s="61"/>
      <c r="I86" s="90"/>
      <c r="J86" s="89"/>
      <c r="K86" s="89"/>
      <c r="L86" s="89">
        <f t="shared" si="8"/>
        <v>0</v>
      </c>
      <c r="M86" s="89"/>
    </row>
    <row r="87" ht="29.1" customHeight="1" spans="1:13">
      <c r="A87" s="88"/>
      <c r="B87" s="89"/>
      <c r="C87" s="89"/>
      <c r="D87" s="90"/>
      <c r="E87" s="90"/>
      <c r="F87" s="90"/>
      <c r="G87" s="90"/>
      <c r="H87" s="61"/>
      <c r="I87" s="90"/>
      <c r="J87" s="89"/>
      <c r="K87" s="89"/>
      <c r="L87" s="89">
        <f t="shared" si="8"/>
        <v>0</v>
      </c>
      <c r="M87" s="89"/>
    </row>
    <row r="88" ht="29.1" customHeight="1" spans="1:13">
      <c r="A88" s="88"/>
      <c r="B88" s="89"/>
      <c r="C88" s="89"/>
      <c r="D88" s="90"/>
      <c r="E88" s="90"/>
      <c r="F88" s="90"/>
      <c r="G88" s="90"/>
      <c r="H88" s="61"/>
      <c r="I88" s="90"/>
      <c r="J88" s="89"/>
      <c r="K88" s="89"/>
      <c r="L88" s="89">
        <f t="shared" si="8"/>
        <v>0</v>
      </c>
      <c r="M88" s="89"/>
    </row>
    <row r="89" ht="29.1" customHeight="1" spans="1:13">
      <c r="A89" s="88"/>
      <c r="B89" s="89"/>
      <c r="C89" s="89"/>
      <c r="D89" s="90"/>
      <c r="E89" s="90"/>
      <c r="F89" s="90"/>
      <c r="G89" s="90"/>
      <c r="H89" s="61"/>
      <c r="I89" s="90"/>
      <c r="J89" s="89"/>
      <c r="K89" s="89"/>
      <c r="L89" s="89">
        <f t="shared" si="8"/>
        <v>0</v>
      </c>
      <c r="M89" s="89"/>
    </row>
    <row r="90" ht="29.1" customHeight="1" spans="1:13">
      <c r="A90" s="88"/>
      <c r="B90" s="89"/>
      <c r="C90" s="89"/>
      <c r="D90" s="90"/>
      <c r="E90" s="90"/>
      <c r="F90" s="90"/>
      <c r="G90" s="90"/>
      <c r="H90" s="61"/>
      <c r="I90" s="90"/>
      <c r="J90" s="89"/>
      <c r="K90" s="89"/>
      <c r="L90" s="89">
        <f t="shared" si="8"/>
        <v>0</v>
      </c>
      <c r="M90" s="89"/>
    </row>
    <row r="91" ht="29.1" customHeight="1" spans="1:13">
      <c r="A91" s="88"/>
      <c r="B91" s="89"/>
      <c r="C91" s="89"/>
      <c r="D91" s="90"/>
      <c r="E91" s="90"/>
      <c r="F91" s="90"/>
      <c r="G91" s="90"/>
      <c r="H91" s="61"/>
      <c r="I91" s="90"/>
      <c r="J91" s="89"/>
      <c r="K91" s="89"/>
      <c r="L91" s="89">
        <f t="shared" si="8"/>
        <v>0</v>
      </c>
      <c r="M91" s="89"/>
    </row>
    <row r="92" ht="29.1" customHeight="1" spans="1:13">
      <c r="A92" s="88"/>
      <c r="B92" s="89"/>
      <c r="C92" s="89"/>
      <c r="D92" s="61"/>
      <c r="E92" s="61"/>
      <c r="F92" s="61"/>
      <c r="G92" s="61"/>
      <c r="H92" s="61"/>
      <c r="I92" s="61"/>
      <c r="J92" s="89"/>
      <c r="K92" s="89"/>
      <c r="L92" s="89">
        <f t="shared" si="8"/>
        <v>0</v>
      </c>
      <c r="M92" s="89"/>
    </row>
    <row r="93" ht="29.1" customHeight="1" spans="1:13">
      <c r="A93" s="61" t="s">
        <v>92</v>
      </c>
      <c r="B93" s="61">
        <f t="shared" ref="B93:M93" si="9">SUM(B80:B92)</f>
        <v>0</v>
      </c>
      <c r="C93" s="61">
        <f t="shared" si="9"/>
        <v>0</v>
      </c>
      <c r="D93" s="61">
        <f t="shared" si="9"/>
        <v>0</v>
      </c>
      <c r="E93" s="61">
        <f t="shared" si="9"/>
        <v>0</v>
      </c>
      <c r="F93" s="61">
        <f t="shared" si="9"/>
        <v>0</v>
      </c>
      <c r="G93" s="61">
        <f t="shared" si="9"/>
        <v>0</v>
      </c>
      <c r="H93" s="61">
        <f t="shared" si="9"/>
        <v>0</v>
      </c>
      <c r="I93" s="61">
        <f t="shared" si="9"/>
        <v>0</v>
      </c>
      <c r="J93" s="61">
        <f t="shared" si="9"/>
        <v>0</v>
      </c>
      <c r="K93" s="61">
        <f t="shared" si="9"/>
        <v>0</v>
      </c>
      <c r="L93" s="61">
        <f t="shared" si="9"/>
        <v>0</v>
      </c>
      <c r="M93" s="61">
        <f t="shared" si="9"/>
        <v>0</v>
      </c>
    </row>
    <row r="95" customHeight="1" spans="1:13">
      <c r="A95" s="8" t="s">
        <v>396</v>
      </c>
    </row>
    <row r="96" customHeight="1" spans="1:13">
      <c r="A96" s="91" t="s">
        <v>397</v>
      </c>
      <c r="B96" s="34" t="s">
        <v>398</v>
      </c>
      <c r="C96" s="34" t="s">
        <v>399</v>
      </c>
      <c r="D96" s="34" t="s">
        <v>400</v>
      </c>
      <c r="E96" s="34" t="s">
        <v>401</v>
      </c>
      <c r="F96" s="34" t="s">
        <v>402</v>
      </c>
      <c r="G96" s="34" t="s">
        <v>403</v>
      </c>
      <c r="H96" s="34" t="s">
        <v>404</v>
      </c>
      <c r="I96" s="34" t="s">
        <v>92</v>
      </c>
    </row>
    <row r="97" customHeight="1" spans="1:17">
      <c r="A97" s="90" t="s">
        <v>5</v>
      </c>
      <c r="B97" s="19"/>
      <c r="C97" s="19"/>
      <c r="D97" s="19"/>
      <c r="E97" s="19"/>
      <c r="F97" s="19"/>
      <c r="G97" s="19"/>
      <c r="H97" s="19"/>
      <c r="I97" s="19">
        <f t="shared" ref="I97:I102" si="10">SUM(B97:H97)</f>
        <v>0</v>
      </c>
    </row>
    <row r="98" customHeight="1" spans="1:17">
      <c r="A98" s="61" t="s">
        <v>6</v>
      </c>
      <c r="B98" s="19"/>
      <c r="C98" s="19"/>
      <c r="D98" s="19"/>
      <c r="E98" s="19"/>
      <c r="F98" s="19"/>
      <c r="G98" s="19"/>
      <c r="H98" s="19"/>
      <c r="I98" s="19">
        <f t="shared" si="10"/>
        <v>0</v>
      </c>
    </row>
    <row r="99" customHeight="1" spans="1:17">
      <c r="A99" s="61" t="s">
        <v>405</v>
      </c>
      <c r="B99" s="19"/>
      <c r="C99" s="19"/>
      <c r="D99" s="19"/>
      <c r="E99" s="19"/>
      <c r="F99" s="19"/>
      <c r="G99" s="19"/>
      <c r="H99" s="19"/>
      <c r="I99" s="19">
        <f t="shared" si="10"/>
        <v>0</v>
      </c>
    </row>
    <row r="100" customHeight="1" spans="1:17">
      <c r="A100" s="61" t="s">
        <v>406</v>
      </c>
      <c r="B100" s="19"/>
      <c r="C100" s="19"/>
      <c r="D100" s="19"/>
      <c r="E100" s="19"/>
      <c r="F100" s="19"/>
      <c r="G100" s="19"/>
      <c r="H100" s="19"/>
      <c r="I100" s="19">
        <f t="shared" si="10"/>
        <v>0</v>
      </c>
    </row>
    <row r="101" customHeight="1" spans="1:17">
      <c r="A101" s="18" t="s">
        <v>407</v>
      </c>
      <c r="B101" s="19"/>
      <c r="C101" s="19"/>
      <c r="D101" s="19"/>
      <c r="E101" s="19"/>
      <c r="F101" s="19"/>
      <c r="G101" s="19"/>
      <c r="H101" s="19"/>
      <c r="I101" s="19">
        <f t="shared" si="10"/>
        <v>0</v>
      </c>
    </row>
    <row r="102" customHeight="1" spans="1:17">
      <c r="A102" s="18" t="s">
        <v>408</v>
      </c>
      <c r="B102" s="19"/>
      <c r="C102" s="19"/>
      <c r="D102" s="19"/>
      <c r="E102" s="19"/>
      <c r="F102" s="19"/>
      <c r="G102" s="19"/>
      <c r="H102" s="19"/>
      <c r="I102" s="19">
        <f t="shared" si="10"/>
        <v>0</v>
      </c>
    </row>
    <row r="105" ht="29.1" customHeight="1" spans="1:17">
      <c r="A105" s="8" t="s">
        <v>409</v>
      </c>
    </row>
    <row r="106" customHeight="1" spans="1:17">
      <c r="A106" s="91" t="s">
        <v>2</v>
      </c>
      <c r="B106" s="34" t="s">
        <v>410</v>
      </c>
      <c r="C106" s="34" t="s">
        <v>411</v>
      </c>
      <c r="D106" s="34" t="s">
        <v>413</v>
      </c>
      <c r="E106" s="34" t="s">
        <v>414</v>
      </c>
      <c r="F106" s="34" t="s">
        <v>415</v>
      </c>
      <c r="G106" s="34" t="s">
        <v>416</v>
      </c>
      <c r="H106" s="34" t="s">
        <v>417</v>
      </c>
      <c r="I106" s="34" t="s">
        <v>418</v>
      </c>
      <c r="J106" s="34" t="s">
        <v>419</v>
      </c>
      <c r="K106" s="34" t="s">
        <v>420</v>
      </c>
      <c r="L106" s="34" t="s">
        <v>421</v>
      </c>
      <c r="M106" s="34" t="s">
        <v>422</v>
      </c>
      <c r="N106" s="34" t="s">
        <v>423</v>
      </c>
      <c r="O106" s="92" t="s">
        <v>424</v>
      </c>
      <c r="P106" s="92" t="s">
        <v>425</v>
      </c>
      <c r="Q106" s="92" t="s">
        <v>426</v>
      </c>
    </row>
    <row r="107" customHeight="1" spans="1:17">
      <c r="A107" s="93" t="str">
        <f>M4</f>
        <v>来源于“共享系统”系统管理-权限管理-人员管理</v>
      </c>
      <c r="B107" s="94"/>
      <c r="C107" s="94"/>
      <c r="D107" s="94"/>
      <c r="E107" s="18"/>
      <c r="F107" s="94"/>
      <c r="G107" s="94"/>
      <c r="H107" s="94"/>
      <c r="I107" s="94"/>
      <c r="J107" s="94"/>
      <c r="K107" s="94"/>
      <c r="L107" s="94"/>
      <c r="M107" s="94"/>
      <c r="N107" s="94"/>
      <c r="O107" s="18"/>
      <c r="P107" s="18"/>
      <c r="Q107" s="18"/>
    </row>
    <row r="109" hidden="1" customHeight="1"/>
    <row r="110" customFormat="1" customHeight="1" spans="1:17">
      <c r="A110" s="8" t="s">
        <v>427</v>
      </c>
      <c r="B110" s="7"/>
      <c r="C110" s="7"/>
      <c r="D110" s="7"/>
      <c r="E110" s="7"/>
      <c r="F110" s="7"/>
      <c r="G110" s="7"/>
      <c r="H110" s="7"/>
    </row>
    <row r="111" s="6" customFormat="1" ht="27" customHeight="1" spans="1:17">
      <c r="A111" s="95" t="s">
        <v>428</v>
      </c>
      <c r="B111" s="95"/>
      <c r="C111" s="95"/>
      <c r="D111" s="95"/>
      <c r="E111" s="95"/>
      <c r="F111" s="95"/>
      <c r="G111" s="95"/>
      <c r="H111" s="95"/>
    </row>
    <row r="112" s="6" customFormat="1" ht="31.5" customHeight="1" spans="1:17">
      <c r="A112" s="95"/>
      <c r="B112" s="95"/>
      <c r="C112" s="95"/>
      <c r="D112" s="95"/>
      <c r="E112" s="95"/>
      <c r="F112" s="95"/>
      <c r="G112" s="95"/>
      <c r="H112" s="95"/>
    </row>
    <row r="113" s="6" customFormat="1" ht="45" customHeight="1" spans="1:11">
      <c r="A113" s="96" t="str">
        <f>L4</f>
        <v>来源于“共享系统”系统管理-权限管理-人员管理</v>
      </c>
      <c r="B113" s="96"/>
      <c r="C113" s="96"/>
      <c r="H113" s="97" t="s">
        <v>429</v>
      </c>
    </row>
    <row r="114" s="6" customFormat="1" ht="24" customHeight="1" spans="1:11">
      <c r="A114" s="98" t="s">
        <v>430</v>
      </c>
      <c r="B114" s="98" t="s">
        <v>431</v>
      </c>
      <c r="C114" s="98" t="s">
        <v>432</v>
      </c>
      <c r="D114" s="98" t="s">
        <v>433</v>
      </c>
      <c r="E114" s="98" t="s">
        <v>434</v>
      </c>
      <c r="F114" s="98" t="s">
        <v>435</v>
      </c>
      <c r="G114" s="98" t="s">
        <v>436</v>
      </c>
      <c r="H114" s="98" t="s">
        <v>437</v>
      </c>
      <c r="K114" s="99"/>
    </row>
    <row r="115" s="6" customFormat="1" ht="24" customHeight="1" spans="1:11">
      <c r="A115" s="100">
        <v>1</v>
      </c>
      <c r="B115" s="98" t="s">
        <v>81</v>
      </c>
      <c r="C115" s="101"/>
      <c r="D115" s="101"/>
      <c r="E115" s="101"/>
      <c r="F115" s="101"/>
      <c r="G115" s="101"/>
      <c r="H115" s="102">
        <f>V11</f>
        <v>0</v>
      </c>
      <c r="K115" s="99"/>
    </row>
    <row r="116" s="6" customFormat="1" ht="24" customHeight="1" spans="1:11">
      <c r="A116" s="100">
        <v>2</v>
      </c>
      <c r="B116" s="98" t="s">
        <v>82</v>
      </c>
      <c r="C116" s="101"/>
      <c r="D116" s="101"/>
      <c r="E116" s="101"/>
      <c r="F116" s="101"/>
      <c r="G116" s="101"/>
      <c r="H116" s="102">
        <f>W11</f>
        <v>0</v>
      </c>
      <c r="K116" s="99"/>
    </row>
    <row r="117" s="6" customFormat="1" ht="24" customHeight="1" spans="1:11">
      <c r="A117" s="100">
        <v>3</v>
      </c>
      <c r="B117" s="98" t="s">
        <v>438</v>
      </c>
      <c r="C117" s="101"/>
      <c r="D117" s="101"/>
      <c r="E117" s="101"/>
      <c r="F117" s="101"/>
      <c r="G117" s="101"/>
      <c r="H117" s="103">
        <f>H115-H116</f>
        <v>0</v>
      </c>
    </row>
    <row r="118" s="6" customFormat="1" ht="24" customHeight="1" spans="1:11">
      <c r="A118" s="100">
        <v>4</v>
      </c>
      <c r="B118" s="98" t="s">
        <v>439</v>
      </c>
      <c r="C118" s="102"/>
      <c r="D118" s="102">
        <v>0</v>
      </c>
      <c r="E118" s="102"/>
      <c r="F118" s="102"/>
      <c r="G118" s="102"/>
      <c r="H118" s="104">
        <f>C118+D118+E118+F118+G118</f>
        <v>0</v>
      </c>
      <c r="K118" s="105"/>
    </row>
    <row r="119" s="6" customFormat="1" ht="24" customHeight="1" spans="1:11">
      <c r="A119" s="100">
        <v>5</v>
      </c>
      <c r="B119" s="98" t="s">
        <v>440</v>
      </c>
      <c r="C119" s="102"/>
      <c r="D119" s="104">
        <v>0</v>
      </c>
      <c r="E119" s="104"/>
      <c r="F119" s="104"/>
      <c r="G119" s="104"/>
      <c r="H119" s="104">
        <f>C119+D119+E119+F119+G119</f>
        <v>0</v>
      </c>
    </row>
    <row r="120" s="6" customFormat="1" ht="24" customHeight="1" spans="1:11">
      <c r="A120" s="100">
        <v>6</v>
      </c>
      <c r="B120" s="104" t="s">
        <v>441</v>
      </c>
      <c r="C120" s="106" t="e">
        <f>ROUND(C118/H116,10)</f>
        <v>#DIV/0!</v>
      </c>
      <c r="D120" s="106" t="e">
        <f>ROUND((C118+D118)/H116,10)</f>
        <v>#DIV/0!</v>
      </c>
      <c r="E120" s="106" t="e">
        <f>ROUND((C118+D118+E118)/H116,10)</f>
        <v>#DIV/0!</v>
      </c>
      <c r="F120" s="106" t="e">
        <f>ROUND((C118+D118+E118+F118)/H116,10)</f>
        <v>#DIV/0!</v>
      </c>
      <c r="G120" s="106" t="e">
        <f>ROUND((C118+D118+E118+F118+G118)/H116,10)</f>
        <v>#DIV/0!</v>
      </c>
      <c r="H120" s="104"/>
    </row>
    <row r="121" s="6" customFormat="1" ht="24" customHeight="1" spans="1:11">
      <c r="A121" s="100">
        <v>7</v>
      </c>
      <c r="B121" s="104" t="s">
        <v>442</v>
      </c>
      <c r="C121" s="104">
        <f t="shared" ref="C121:G121" si="11">C119-C118</f>
        <v>0</v>
      </c>
      <c r="D121" s="104">
        <f t="shared" si="11"/>
        <v>0</v>
      </c>
      <c r="E121" s="104">
        <f t="shared" si="11"/>
        <v>0</v>
      </c>
      <c r="F121" s="104">
        <f t="shared" si="11"/>
        <v>0</v>
      </c>
      <c r="G121" s="104">
        <f t="shared" si="11"/>
        <v>0</v>
      </c>
      <c r="H121" s="104"/>
    </row>
    <row r="122" s="6" customFormat="1" ht="24" customHeight="1" spans="1:11">
      <c r="A122" s="100">
        <v>8</v>
      </c>
      <c r="B122" s="104" t="s">
        <v>443</v>
      </c>
      <c r="C122" s="104">
        <f>C119-C118</f>
        <v>0</v>
      </c>
      <c r="D122" s="104">
        <f>C121+D121</f>
        <v>0</v>
      </c>
      <c r="E122" s="104">
        <f>C121+D121+E121</f>
        <v>0</v>
      </c>
      <c r="F122" s="104">
        <f>C121+D121+E121+F121</f>
        <v>0</v>
      </c>
      <c r="G122" s="104">
        <f>C121+D121+E121+F121+G121</f>
        <v>0</v>
      </c>
      <c r="H122" s="104"/>
    </row>
    <row r="123" s="6" customFormat="1" ht="25.7" customHeight="1"/>
    <row r="124" s="6" customFormat="1" ht="25.7" customHeight="1" spans="1:11">
      <c r="B124" s="97" t="s">
        <v>444</v>
      </c>
      <c r="C124" s="97"/>
      <c r="D124" s="97"/>
      <c r="E124" s="97"/>
      <c r="F124" s="97"/>
      <c r="G124" s="97" t="s">
        <v>445</v>
      </c>
      <c r="H124" s="97"/>
    </row>
    <row r="126" customHeight="1" spans="1:11">
      <c r="A126" s="8" t="s">
        <v>446</v>
      </c>
    </row>
    <row r="127" customHeight="1" spans="1:11">
      <c r="A127" s="9" t="s">
        <v>98</v>
      </c>
      <c r="B127" s="9" t="s">
        <v>99</v>
      </c>
      <c r="C127" s="9" t="s">
        <v>100</v>
      </c>
      <c r="D127" s="9" t="s">
        <v>101</v>
      </c>
      <c r="E127" s="9" t="s">
        <v>447</v>
      </c>
      <c r="F127" s="9" t="s">
        <v>103</v>
      </c>
      <c r="G127" s="9" t="s">
        <v>104</v>
      </c>
    </row>
    <row r="128" ht="30" customHeight="1" spans="1:11">
      <c r="A128" s="107">
        <f>G11-T11-B107+C107-D107-E107-P107</f>
        <v>0</v>
      </c>
      <c r="B128" s="107">
        <f>H17-X17-J107+P107</f>
        <v>0</v>
      </c>
      <c r="C128" s="107" t="e">
        <f>SUMIFS($G$51:$G$76,$D$51:$D$76,C10)/H116*H115-O11</f>
        <v>#DIV/0!</v>
      </c>
      <c r="D128" s="107">
        <f>G12+G13-T12-T13-F107+G107-H107-I107+Q107</f>
        <v>0</v>
      </c>
      <c r="E128" s="107" t="e">
        <f>C11*(1-K4)-C12-C13</f>
        <v>#DIV/0!</v>
      </c>
      <c r="F128" s="107">
        <f>(SUMIFS($V$20:$V$46,$R$20:$R$46,C10)-SUMIFS($R$51:$R$76,$N$51:$N$76,C10))/1.09*0.02-D93</f>
        <v>0</v>
      </c>
      <c r="G128" s="107">
        <f>B107-C107+M107-N107</f>
        <v>0</v>
      </c>
    </row>
    <row r="129" ht="32.1" customHeight="1" spans="1:7">
      <c r="A129" s="18" t="s">
        <v>67</v>
      </c>
      <c r="B129" s="18" t="s">
        <v>67</v>
      </c>
      <c r="C129" s="18" t="s">
        <v>67</v>
      </c>
      <c r="D129" s="18" t="s">
        <v>67</v>
      </c>
      <c r="E129" s="108" t="s">
        <v>68</v>
      </c>
      <c r="F129" s="18" t="s">
        <v>67</v>
      </c>
      <c r="G129" s="108" t="s">
        <v>69</v>
      </c>
    </row>
    <row r="132" customHeight="1" spans="1:7">
      <c r="A132" s="1"/>
    </row>
  </sheetData>
  <autoFilter xmlns:etc="http://www.wps.cn/officeDocument/2017/etCustomData" ref="A50:AG65" etc:filterBottomFollowUsedRange="0">
    <extLst/>
  </autoFilter>
  <mergeCells count="70">
    <mergeCell ref="E2:J2"/>
    <mergeCell ref="B9:G9"/>
    <mergeCell ref="H9:M9"/>
    <mergeCell ref="N9:S9"/>
    <mergeCell ref="A18:K18"/>
    <mergeCell ref="L18:O18"/>
    <mergeCell ref="P18:Y18"/>
    <mergeCell ref="Z18:AG18"/>
    <mergeCell ref="A49:K49"/>
    <mergeCell ref="L49:U49"/>
    <mergeCell ref="V49:AC49"/>
    <mergeCell ref="A113:C113"/>
    <mergeCell ref="A2:A3"/>
    <mergeCell ref="A9:A10"/>
    <mergeCell ref="B2:B3"/>
    <mergeCell ref="C2:C3"/>
    <mergeCell ref="D2:D3"/>
    <mergeCell ref="K2:K3"/>
    <mergeCell ref="K4:K6"/>
    <mergeCell ref="L2:L3"/>
    <mergeCell ref="L4:L6"/>
    <mergeCell ref="M2:M3"/>
    <mergeCell ref="M4:M6"/>
    <mergeCell ref="N2:N3"/>
    <mergeCell ref="N4:N6"/>
    <mergeCell ref="O2:O3"/>
    <mergeCell ref="O4:O6"/>
    <mergeCell ref="P2:P3"/>
    <mergeCell ref="P4:P6"/>
    <mergeCell ref="Q2:Q3"/>
    <mergeCell ref="Q4:Q6"/>
    <mergeCell ref="R2:R3"/>
    <mergeCell ref="R4:R6"/>
    <mergeCell ref="S2:S3"/>
    <mergeCell ref="S4:S6"/>
    <mergeCell ref="T2:T3"/>
    <mergeCell ref="T4:T6"/>
    <mergeCell ref="T9:T10"/>
    <mergeCell ref="U2:U3"/>
    <mergeCell ref="U4:U6"/>
    <mergeCell ref="U9:U10"/>
    <mergeCell ref="U11:U13"/>
    <mergeCell ref="V2:V3"/>
    <mergeCell ref="V4:V6"/>
    <mergeCell ref="V9:V10"/>
    <mergeCell ref="V11:V13"/>
    <mergeCell ref="W2:W3"/>
    <mergeCell ref="W4:W6"/>
    <mergeCell ref="W9:W10"/>
    <mergeCell ref="W11:W13"/>
    <mergeCell ref="X2:X3"/>
    <mergeCell ref="X4:X6"/>
    <mergeCell ref="Y2:Y3"/>
    <mergeCell ref="Y4:Y6"/>
    <mergeCell ref="Z2:Z3"/>
    <mergeCell ref="Z4:Z6"/>
    <mergeCell ref="AA2:AA3"/>
    <mergeCell ref="AA4:AA6"/>
    <mergeCell ref="AB2:AB3"/>
    <mergeCell ref="AB4:AB6"/>
    <mergeCell ref="AC2:AC3"/>
    <mergeCell ref="AD2:AD3"/>
    <mergeCell ref="AE2:AE3"/>
    <mergeCell ref="AF2:AF3"/>
    <mergeCell ref="AG2:AG3"/>
    <mergeCell ref="AH2:AH3"/>
    <mergeCell ref="AI2:AI3"/>
    <mergeCell ref="AJ2:AJ3"/>
    <mergeCell ref="AJ4:AJ6"/>
    <mergeCell ref="A111:H112"/>
  </mergeCells>
  <dataValidations count="7">
    <dataValidation type="list" allowBlank="1" showInputMessage="1" showErrorMessage="1" sqref="N46 R46 R76 A20:A45 A59:A75 D51:D75 N51:N76 AB51:AB65">
      <formula1>"勘察设计,工程施工,设备采购,服务费,其他"</formula1>
    </dataValidation>
    <dataValidation type="list" allowBlank="1" showInputMessage="1" showErrorMessage="1" sqref="D20:D45">
      <formula1>"勘察设计,工程施工,设备采购,业主承担管理费,服务费"</formula1>
    </dataValidation>
    <dataValidation type="list" allowBlank="1" showInputMessage="1" showErrorMessage="1" sqref="F20:F45 F51:F58">
      <formula1>"6%,9%,13%"</formula1>
    </dataValidation>
    <dataValidation type="list" allowBlank="1" showInputMessage="1" showErrorMessage="1" sqref="N20:N45 R20:R45 AF20:AF45">
      <formula1>"勘察设计,工程施工,设备采购,业主承担管理费,服务费,其他"</formula1>
    </dataValidation>
    <dataValidation type="list" allowBlank="1" showInputMessage="1" showErrorMessage="1" sqref="V4:V6">
      <formula1>"铁路,公路,市政,房建,地铁、轻轨,其他基建"</formula1>
    </dataValidation>
    <dataValidation type="list" allowBlank="1" showInputMessage="1" showErrorMessage="1" sqref="X4:X5">
      <formula1>"竣工未决算,在建,收尾,竣工已决算,停缓建"</formula1>
    </dataValidation>
    <dataValidation type="list" allowBlank="1" showInputMessage="1" showErrorMessage="1" sqref="X51:X75 AB20:AB41">
      <formula1>"专户,集团户"</formula1>
    </dataValidation>
  </dataValidations>
  <pageMargins left="0.75" right="0.75" top="1" bottom="1" header="0.5" footer="0.5"/>
  <pageSetup paperSize="9"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32"/>
  <sheetViews>
    <sheetView zoomScale="90" zoomScaleNormal="90" topLeftCell="A121" workbookViewId="0">
      <selection activeCell="A128" sqref="$A128:$XFD128"/>
    </sheetView>
  </sheetViews>
  <sheetFormatPr defaultColWidth="14.25" defaultRowHeight="21.95" customHeight="1"/>
  <cols>
    <col min="1" max="1" width="36.25" style="7" customWidth="1"/>
    <col min="2" max="2" width="30.1333333333333" style="7" customWidth="1"/>
    <col min="3" max="3" width="23.75" style="7" customWidth="1"/>
    <col min="4" max="4" width="17.1333333333333" style="7" customWidth="1"/>
    <col min="5" max="5" width="20.25" style="7" customWidth="1"/>
    <col min="6" max="6" width="17.6333333333333" style="7" customWidth="1"/>
    <col min="7" max="7" width="20.3833333333333" style="7" customWidth="1"/>
    <col min="8" max="8" width="20.6333333333333" style="7" customWidth="1"/>
    <col min="9" max="9" width="20.5" style="7" customWidth="1"/>
    <col min="10" max="10" width="18.3833333333333" style="7" customWidth="1"/>
    <col min="11" max="11" width="18.5" style="7" customWidth="1"/>
    <col min="12" max="12" width="19.3833333333333" style="7" customWidth="1"/>
    <col min="13" max="13" width="22.75" style="7" customWidth="1"/>
    <col min="14" max="14" width="21" style="7" customWidth="1"/>
    <col min="15" max="15" width="19" style="7" customWidth="1"/>
    <col min="16" max="16" width="27" style="7" customWidth="1"/>
    <col min="17" max="17" width="20.75" style="7" customWidth="1"/>
    <col min="18" max="18" width="17.25" style="7" customWidth="1"/>
    <col min="19" max="19" width="17.75" style="7" customWidth="1"/>
    <col min="20" max="20" width="23.8833333333333" style="7" customWidth="1"/>
    <col min="21" max="21" width="17.25" style="7" customWidth="1"/>
    <col min="22" max="22" width="20.75" style="7" customWidth="1"/>
    <col min="23" max="23" width="19.8833333333333" style="7" customWidth="1"/>
    <col min="24" max="24" width="16.8833333333333" style="7" customWidth="1"/>
    <col min="25" max="25" width="14.25" style="7" customWidth="1"/>
    <col min="26" max="26" width="19.25" style="7" customWidth="1"/>
    <col min="27" max="27" width="23.5" style="7" customWidth="1"/>
    <col min="28" max="30" width="14.25" style="7" customWidth="1"/>
    <col min="31" max="31" width="17.25" style="7" customWidth="1"/>
    <col min="32" max="16381" width="14.25" style="7" customWidth="1"/>
    <col min="16382" max="16384" width="14.25" style="7"/>
  </cols>
  <sheetData>
    <row r="1" customHeight="1" spans="1:36">
      <c r="A1" s="8" t="s">
        <v>0</v>
      </c>
    </row>
    <row r="2" customHeight="1" spans="1:36">
      <c r="A2" s="9" t="s">
        <v>291</v>
      </c>
      <c r="B2" s="9" t="s">
        <v>292</v>
      </c>
      <c r="C2" s="9" t="s">
        <v>293</v>
      </c>
      <c r="D2" s="10" t="s">
        <v>294</v>
      </c>
      <c r="E2" s="11" t="s">
        <v>295</v>
      </c>
      <c r="F2" s="12"/>
      <c r="G2" s="12"/>
      <c r="H2" s="12"/>
      <c r="I2" s="12"/>
      <c r="J2" s="13"/>
      <c r="K2" s="9" t="s">
        <v>9</v>
      </c>
      <c r="L2" s="9" t="s">
        <v>1</v>
      </c>
      <c r="M2" s="9" t="s">
        <v>296</v>
      </c>
      <c r="N2" s="9" t="s">
        <v>10</v>
      </c>
      <c r="O2" s="9" t="s">
        <v>11</v>
      </c>
      <c r="P2" s="9" t="s">
        <v>297</v>
      </c>
      <c r="Q2" s="9" t="s">
        <v>298</v>
      </c>
      <c r="R2" s="9" t="s">
        <v>299</v>
      </c>
      <c r="S2" s="9" t="s">
        <v>12</v>
      </c>
      <c r="T2" s="9" t="s">
        <v>13</v>
      </c>
      <c r="U2" s="9" t="s">
        <v>14</v>
      </c>
      <c r="V2" s="9" t="s">
        <v>15</v>
      </c>
      <c r="W2" s="9" t="s">
        <v>16</v>
      </c>
      <c r="X2" s="9" t="s">
        <v>17</v>
      </c>
      <c r="Y2" s="9" t="s">
        <v>300</v>
      </c>
      <c r="Z2" s="9" t="s">
        <v>301</v>
      </c>
      <c r="AA2" s="9" t="s">
        <v>302</v>
      </c>
      <c r="AB2" s="9" t="s">
        <v>303</v>
      </c>
      <c r="AC2" s="9" t="s">
        <v>304</v>
      </c>
      <c r="AD2" s="9" t="s">
        <v>305</v>
      </c>
      <c r="AE2" s="9" t="s">
        <v>304</v>
      </c>
      <c r="AF2" s="9" t="s">
        <v>306</v>
      </c>
      <c r="AG2" s="9" t="s">
        <v>307</v>
      </c>
      <c r="AH2" s="9" t="s">
        <v>308</v>
      </c>
      <c r="AI2" s="9" t="s">
        <v>309</v>
      </c>
      <c r="AJ2" s="9" t="s">
        <v>310</v>
      </c>
    </row>
    <row r="3" customHeight="1" spans="1:36">
      <c r="A3" s="14"/>
      <c r="B3" s="14"/>
      <c r="C3" s="14"/>
      <c r="D3" s="15"/>
      <c r="E3" s="16" t="s">
        <v>311</v>
      </c>
      <c r="F3" s="16" t="s">
        <v>312</v>
      </c>
      <c r="G3" s="16" t="s">
        <v>313</v>
      </c>
      <c r="H3" s="16" t="s">
        <v>314</v>
      </c>
      <c r="I3" s="16" t="s">
        <v>315</v>
      </c>
      <c r="J3" s="16" t="s">
        <v>92</v>
      </c>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Height="1" spans="1:36">
      <c r="A4" s="17" t="s">
        <v>485</v>
      </c>
      <c r="B4" s="17" t="s">
        <v>486</v>
      </c>
      <c r="C4" s="17" t="s">
        <v>487</v>
      </c>
      <c r="D4" s="18" t="s">
        <v>319</v>
      </c>
      <c r="E4" s="19"/>
      <c r="F4" s="19"/>
      <c r="G4" s="19"/>
      <c r="H4" s="19"/>
      <c r="I4" s="19"/>
      <c r="J4" s="19">
        <f t="shared" ref="J4:J6" si="0">SUM(E4:I4)</f>
        <v>0</v>
      </c>
      <c r="K4" s="20" t="e">
        <f>(F4-F5-F6)/F4</f>
        <v>#DIV/0!</v>
      </c>
      <c r="L4" s="21" t="s">
        <v>488</v>
      </c>
      <c r="M4" s="21" t="s">
        <v>488</v>
      </c>
      <c r="N4" s="21" t="s">
        <v>489</v>
      </c>
      <c r="O4" s="22" t="s">
        <v>490</v>
      </c>
      <c r="P4" s="22"/>
      <c r="Q4" s="22"/>
      <c r="R4" s="22"/>
      <c r="S4" s="22"/>
      <c r="T4" s="22"/>
      <c r="U4" s="22"/>
      <c r="V4" s="22"/>
      <c r="W4" s="22"/>
      <c r="X4" s="23"/>
      <c r="Y4" s="24"/>
      <c r="Z4" s="22"/>
      <c r="AA4" s="22"/>
      <c r="AB4" s="22"/>
      <c r="AC4" s="17"/>
      <c r="AD4" s="17"/>
      <c r="AE4" s="17"/>
      <c r="AF4" s="17"/>
      <c r="AG4" s="17"/>
      <c r="AH4" s="17"/>
      <c r="AI4" s="17"/>
      <c r="AJ4" s="22"/>
    </row>
    <row r="5" customHeight="1" spans="1:36">
      <c r="A5" s="17" t="s">
        <v>485</v>
      </c>
      <c r="B5" s="17" t="s">
        <v>486</v>
      </c>
      <c r="C5" s="17" t="s">
        <v>487</v>
      </c>
      <c r="D5" s="18" t="s">
        <v>328</v>
      </c>
      <c r="E5" s="19"/>
      <c r="F5" s="19"/>
      <c r="G5" s="19"/>
      <c r="H5" s="19"/>
      <c r="I5" s="19"/>
      <c r="J5" s="19">
        <f t="shared" si="0"/>
        <v>0</v>
      </c>
      <c r="K5" s="25"/>
      <c r="L5" s="26"/>
      <c r="M5" s="26"/>
      <c r="N5" s="26"/>
      <c r="O5" s="27"/>
      <c r="P5" s="27"/>
      <c r="Q5" s="27"/>
      <c r="R5" s="27"/>
      <c r="S5" s="27"/>
      <c r="T5" s="27"/>
      <c r="U5" s="27"/>
      <c r="V5" s="27"/>
      <c r="W5" s="27"/>
      <c r="X5" s="28"/>
      <c r="Y5" s="27"/>
      <c r="Z5" s="27"/>
      <c r="AA5" s="27"/>
      <c r="AB5" s="27"/>
      <c r="AC5" s="17"/>
      <c r="AD5" s="17"/>
      <c r="AE5" s="17"/>
      <c r="AF5" s="17"/>
      <c r="AG5" s="17"/>
      <c r="AH5" s="17"/>
      <c r="AI5" s="17"/>
      <c r="AJ5" s="27"/>
    </row>
    <row r="6" customHeight="1" spans="1:36">
      <c r="A6" s="17"/>
      <c r="B6" s="17"/>
      <c r="C6" s="17"/>
      <c r="D6" s="18" t="s">
        <v>328</v>
      </c>
      <c r="E6" s="19"/>
      <c r="F6" s="19"/>
      <c r="G6" s="19"/>
      <c r="H6" s="19"/>
      <c r="I6" s="19"/>
      <c r="J6" s="19">
        <f t="shared" si="0"/>
        <v>0</v>
      </c>
      <c r="K6" s="29"/>
      <c r="L6" s="30"/>
      <c r="M6" s="30"/>
      <c r="N6" s="30"/>
      <c r="O6" s="31"/>
      <c r="P6" s="31"/>
      <c r="Q6" s="31"/>
      <c r="R6" s="31"/>
      <c r="S6" s="31"/>
      <c r="T6" s="31"/>
      <c r="U6" s="31"/>
      <c r="V6" s="31"/>
      <c r="W6" s="31"/>
      <c r="X6" s="32"/>
      <c r="Y6" s="31"/>
      <c r="Z6" s="31"/>
      <c r="AA6" s="31"/>
      <c r="AB6" s="31"/>
      <c r="AC6" s="17"/>
      <c r="AD6" s="17"/>
      <c r="AE6" s="17"/>
      <c r="AF6" s="17"/>
      <c r="AG6" s="17"/>
      <c r="AH6" s="17"/>
      <c r="AI6" s="17"/>
      <c r="AJ6" s="31"/>
    </row>
    <row r="7" customHeight="1" spans="1:36">
      <c r="A7" s="33"/>
    </row>
    <row r="8" customHeight="1" spans="1:36">
      <c r="A8" s="8" t="s">
        <v>333</v>
      </c>
    </row>
    <row r="9" customHeight="1" spans="1:36">
      <c r="A9" s="16" t="s">
        <v>291</v>
      </c>
      <c r="B9" s="34" t="s">
        <v>83</v>
      </c>
      <c r="C9" s="34"/>
      <c r="D9" s="34"/>
      <c r="E9" s="34"/>
      <c r="F9" s="34"/>
      <c r="G9" s="34"/>
      <c r="H9" s="34" t="s">
        <v>88</v>
      </c>
      <c r="I9" s="34"/>
      <c r="J9" s="34"/>
      <c r="K9" s="34"/>
      <c r="L9" s="34"/>
      <c r="M9" s="34"/>
      <c r="N9" s="34" t="s">
        <v>334</v>
      </c>
      <c r="O9" s="34"/>
      <c r="P9" s="34"/>
      <c r="Q9" s="34"/>
      <c r="R9" s="34"/>
      <c r="S9" s="34"/>
      <c r="T9" s="9" t="s">
        <v>335</v>
      </c>
      <c r="U9" s="9" t="s">
        <v>336</v>
      </c>
      <c r="V9" s="9" t="s">
        <v>81</v>
      </c>
      <c r="W9" s="9" t="s">
        <v>82</v>
      </c>
    </row>
    <row r="10" s="1" customFormat="1" customHeight="1" spans="1:36">
      <c r="A10" s="16"/>
      <c r="B10" s="16" t="s">
        <v>311</v>
      </c>
      <c r="C10" s="16" t="s">
        <v>312</v>
      </c>
      <c r="D10" s="16" t="s">
        <v>313</v>
      </c>
      <c r="E10" s="16" t="s">
        <v>314</v>
      </c>
      <c r="F10" s="16" t="s">
        <v>337</v>
      </c>
      <c r="G10" s="16" t="s">
        <v>92</v>
      </c>
      <c r="H10" s="16" t="s">
        <v>311</v>
      </c>
      <c r="I10" s="16" t="s">
        <v>312</v>
      </c>
      <c r="J10" s="16" t="s">
        <v>313</v>
      </c>
      <c r="K10" s="16" t="s">
        <v>314</v>
      </c>
      <c r="L10" s="16" t="s">
        <v>337</v>
      </c>
      <c r="M10" s="16" t="s">
        <v>92</v>
      </c>
      <c r="N10" s="16" t="s">
        <v>311</v>
      </c>
      <c r="O10" s="16" t="s">
        <v>312</v>
      </c>
      <c r="P10" s="16" t="s">
        <v>313</v>
      </c>
      <c r="Q10" s="16" t="s">
        <v>314</v>
      </c>
      <c r="R10" s="16" t="s">
        <v>337</v>
      </c>
      <c r="S10" s="16" t="s">
        <v>92</v>
      </c>
      <c r="T10" s="14"/>
      <c r="U10" s="14"/>
      <c r="V10" s="14"/>
      <c r="W10" s="14"/>
    </row>
    <row r="11" customHeight="1" spans="1:36">
      <c r="A11" s="35"/>
      <c r="B11" s="36">
        <f>SUMIFS($E$20:$E$46,$D$20:$D$46,$B$10,$A$20:$A$46,$A$11)</f>
        <v>0</v>
      </c>
      <c r="C11" s="36">
        <f>SUMIFS($E$20:$E$46,$D$20:$D$46,C10,$A$20:$A$46,A11)</f>
        <v>0</v>
      </c>
      <c r="D11" s="36">
        <f>SUMIFS($E$20:$E$46,$D$20:$D$46,D10,$A$20:$A$46,A11)</f>
        <v>0</v>
      </c>
      <c r="E11" s="36">
        <f>SUMIFS($E$20:$E$46,$D$20:$D$46,E10,$A$20:$A$46,A11)</f>
        <v>0</v>
      </c>
      <c r="F11" s="36">
        <f>SUMIFS($E$20:$E$46,$D$20:$D$46,F10,$A$20:$A$46,A11)</f>
        <v>0</v>
      </c>
      <c r="G11" s="36">
        <f t="shared" ref="G11:G13" si="1">SUM(B11:F11)</f>
        <v>0</v>
      </c>
      <c r="H11" s="36">
        <f>SUMIFS($V$20:$V$46,$R$20:$R$46,$H$10,$P$20:$P$46,$A$11)</f>
        <v>0</v>
      </c>
      <c r="I11" s="36">
        <f>SUMIFS($V$20:$V$46,$R$20:$R$46,I10,$P$20:$P$46,$A$11)</f>
        <v>0</v>
      </c>
      <c r="J11" s="36">
        <f>SUMIFS($V$20:$V$46,$R$20:$R$46,$J$10,$P$20:$P$46,$A$11)</f>
        <v>0</v>
      </c>
      <c r="K11" s="36">
        <f>SUMIFS($V$20:$V$46,$R$20:$R$46,$K$10,$P$20:$P$46,$A$11)</f>
        <v>0</v>
      </c>
      <c r="L11" s="36">
        <f>SUMIFS($V$20:$V$46,$R$20:$R$46,$L$10,$P$20:$P$46,$A$11)</f>
        <v>0</v>
      </c>
      <c r="M11" s="36">
        <f t="shared" ref="M11:M13" si="2">SUM(H11:L11)</f>
        <v>0</v>
      </c>
      <c r="N11" s="36">
        <f>SUMIFS($O$20:$O$45,$N$20:$N$45,N10,$L$20:$L$45,A11)</f>
        <v>0</v>
      </c>
      <c r="O11" s="36">
        <f>SUMIFS($O$20:$O$45,$N$20:$N$45,O10,$L$20:$L$45,A11)</f>
        <v>0</v>
      </c>
      <c r="P11" s="36">
        <f>SUMIFS($O$20:$O$45,$N$20:$N$45,P10,$L$20:$L$45,A11)</f>
        <v>0</v>
      </c>
      <c r="Q11" s="36">
        <f>SUMIFS($O$20:$O$45,$N$20:$N$45,Q10,$L$20:$L$45,A11)</f>
        <v>0</v>
      </c>
      <c r="R11" s="36">
        <f>SUMIFS($O$20:$O$45,$N$20:$N$45,R10,$L$20:$L$45,A11)</f>
        <v>0</v>
      </c>
      <c r="S11" s="37">
        <f t="shared" ref="S11:S13" si="3">SUM(N11:R11)</f>
        <v>0</v>
      </c>
      <c r="T11" s="37">
        <f>SUMIF($Z$20:$Z$46,A11,$AE$20:$AE$46)</f>
        <v>0</v>
      </c>
      <c r="U11" s="22"/>
      <c r="V11" s="38">
        <f>F4/1.09</f>
        <v>0</v>
      </c>
      <c r="W11" s="38">
        <f>(F5+F6)/1.09</f>
        <v>0</v>
      </c>
    </row>
    <row r="12" customHeight="1" spans="1:36">
      <c r="A12" s="35"/>
      <c r="B12" s="36">
        <f>SUMIFS($E$51:$E$76,$D$51:$D$76,B10,$A$51:$A$76,A12)</f>
        <v>0</v>
      </c>
      <c r="C12" s="36">
        <f>SUMIFS($E$51:$E$76,$D$51:$D$76,C10,$A$51:$A$76,A12)</f>
        <v>0</v>
      </c>
      <c r="D12" s="36">
        <f>SUMIFS($E$51:$E$76,$D$51:$D$76,D10,$A$51:$A$76,A12)</f>
        <v>0</v>
      </c>
      <c r="E12" s="36">
        <f>SUMIFS($E$51:$E$76,$D$51:$D$76,E10,$A$51:$A$76,A12)</f>
        <v>0</v>
      </c>
      <c r="F12" s="36">
        <f>SUMIFS($E$51:$E$76,$D$51:$D$76,F10,$A$51:$A$76,A12)</f>
        <v>0</v>
      </c>
      <c r="G12" s="36">
        <f t="shared" si="1"/>
        <v>0</v>
      </c>
      <c r="H12" s="36">
        <f>SUMIFS($R$51:$R$76,$N$51:$N$76,H10,$L$51:$L$76,A12)</f>
        <v>0</v>
      </c>
      <c r="I12" s="36">
        <f>SUMIFS($R$51:$R$76,$N$51:$N$76,I10,$L$51:$L$76,A12)</f>
        <v>0</v>
      </c>
      <c r="J12" s="36">
        <f>SUMIFS($R$51:$R$76,$N$51:$N$76,J10,$L$51:$L$76,A12)</f>
        <v>0</v>
      </c>
      <c r="K12" s="36">
        <f>SUMIFS($R$51:$R$76,$N$51:$N$76,K10,$L$51:$L$76,A12)</f>
        <v>0</v>
      </c>
      <c r="L12" s="36">
        <f>SUMIFS($R$51:$R$76,$N$51:$N$76,L10,$L$51:$L$76,A12)</f>
        <v>0</v>
      </c>
      <c r="M12" s="36">
        <f t="shared" si="2"/>
        <v>0</v>
      </c>
      <c r="N12" s="36">
        <f>SUMIFS($G$51:$G$76,$D$51:$D$76,N10,$A$51:$A$76,A12)</f>
        <v>0</v>
      </c>
      <c r="O12" s="36">
        <f>SUMIFS($G$51:$G$76,$D$51:$D$76,$O$10,$A$51:$A$76,A12)</f>
        <v>0</v>
      </c>
      <c r="P12" s="36">
        <f>SUMIFS($G$51:$G$76,$D$51:$D$76,$P$10,$A$51:$A$76,A12)</f>
        <v>0</v>
      </c>
      <c r="Q12" s="36">
        <f>SUMIFS($G$51:$G$76,$D$51:$D$76,$Q$10,$A$51:$A$76,A12)</f>
        <v>0</v>
      </c>
      <c r="R12" s="36">
        <f>SUMIFS($G$51:$G$76,$D$51:$D$76,$R$10,$A$51:$A$76,A12)</f>
        <v>0</v>
      </c>
      <c r="S12" s="37">
        <f t="shared" si="3"/>
        <v>0</v>
      </c>
      <c r="T12" s="37">
        <f>SUMIF($V$51:$V$76,A12,$AA$51:$AA$76)</f>
        <v>0</v>
      </c>
      <c r="U12" s="27"/>
      <c r="V12" s="39"/>
      <c r="W12" s="39"/>
    </row>
    <row r="13" customHeight="1" spans="1:36">
      <c r="A13" s="35"/>
      <c r="B13" s="36">
        <f>SUMIFS($E$51:$E$76,$D$51:$D$76,B10,$A$51:$A$76,A13)</f>
        <v>0</v>
      </c>
      <c r="C13" s="36">
        <f>SUMIFS($E$51:$E$76,$D$51:$D$76,C10,$A$51:$A$76,A13)</f>
        <v>0</v>
      </c>
      <c r="D13" s="36">
        <f>SUMIFS($E$51:$E$76,$D$51:$D$76,D10,$A$51:$A$76,A13)</f>
        <v>0</v>
      </c>
      <c r="E13" s="36">
        <f>SUMIFS($E$51:$E$76,$D$51:$D$76,E10,$A$51:$A$76,A13)</f>
        <v>0</v>
      </c>
      <c r="F13" s="36">
        <f>SUMIFS($E$51:$E$76,$D$51:$D$76,F10,$A$51:$A$76,A13)</f>
        <v>0</v>
      </c>
      <c r="G13" s="36">
        <f t="shared" si="1"/>
        <v>0</v>
      </c>
      <c r="H13" s="36">
        <f>SUMIFS($R$51:$R$76,$N$51:$N$76,H10,$L$51:$L$76,A13)</f>
        <v>0</v>
      </c>
      <c r="I13" s="36">
        <f>SUMIFS($R$51:$R$76,$N$51:$N$76,I10,$L$51:$L$76,A13)</f>
        <v>0</v>
      </c>
      <c r="J13" s="36">
        <f>SUMIFS($R$51:$R$76,$N$51:$N$76,J10,$L$51:$L$76,A13)</f>
        <v>0</v>
      </c>
      <c r="K13" s="36">
        <f>SUMIFS($R$51:$R$76,$N$51:$N$76,K10,$L$51:$L$76,A13)</f>
        <v>0</v>
      </c>
      <c r="L13" s="36">
        <f>SUMIFS($R$51:$R$76,$N$51:$N$76,L10,$L$51:$L$76,A13)</f>
        <v>0</v>
      </c>
      <c r="M13" s="36">
        <f t="shared" si="2"/>
        <v>0</v>
      </c>
      <c r="N13" s="36">
        <f>SUMIFS($G$51:$G$76,$D$51:$D$76,$N$10,$A$51:$A$76,A13)</f>
        <v>0</v>
      </c>
      <c r="O13" s="36">
        <f>SUMIFS($G$51:$G$76,$D$51:$D$76,$O$10,$A$51:$A$76,A13)</f>
        <v>0</v>
      </c>
      <c r="P13" s="36">
        <f>SUMIFS($G$51:$G$76,$D$51:$D$76,$P$10,$A$51:$A$76,A13)</f>
        <v>0</v>
      </c>
      <c r="Q13" s="36">
        <f>SUMIFS($G$51:$G$76,$D$51:$D$76,$Q$10,$A$51:$A$76,A13)</f>
        <v>0</v>
      </c>
      <c r="R13" s="36">
        <f>SUMIFS($G$51:$G$76,$D$51:$D$76,$R$10,$A$51:$A$76,A13)</f>
        <v>0</v>
      </c>
      <c r="S13" s="37">
        <f t="shared" si="3"/>
        <v>0</v>
      </c>
      <c r="T13" s="37">
        <f>SUMIF($V$51:$V$76,A13,$AA$51:$AA$76)</f>
        <v>0</v>
      </c>
      <c r="U13" s="31"/>
      <c r="V13" s="40"/>
      <c r="W13" s="40"/>
    </row>
    <row r="14" s="2" customFormat="1" customHeight="1" spans="1:36">
      <c r="A14" s="41"/>
      <c r="B14" s="42"/>
      <c r="C14" s="42"/>
      <c r="D14" s="42"/>
      <c r="E14" s="42"/>
      <c r="F14" s="42"/>
      <c r="G14" s="43">
        <f>G11-C17</f>
        <v>0</v>
      </c>
      <c r="H14" s="42"/>
      <c r="I14" s="42"/>
      <c r="J14" s="42"/>
      <c r="K14" s="42"/>
      <c r="L14" s="42"/>
      <c r="M14" s="43">
        <f>M11-V17</f>
        <v>0</v>
      </c>
      <c r="N14" s="42"/>
      <c r="O14" s="42"/>
      <c r="P14" s="42"/>
      <c r="Q14" s="42"/>
      <c r="R14" s="42"/>
      <c r="S14" s="43">
        <f>S11-O17</f>
        <v>0</v>
      </c>
      <c r="T14" s="43">
        <f>T11-AE17</f>
        <v>0</v>
      </c>
      <c r="V14" s="43"/>
      <c r="W14" s="43"/>
    </row>
    <row r="15" s="2" customFormat="1" customHeight="1" spans="1:36">
      <c r="A15" s="41"/>
      <c r="B15" s="42"/>
      <c r="C15" s="42"/>
      <c r="D15" s="42"/>
      <c r="E15" s="42"/>
      <c r="F15" s="42"/>
      <c r="G15" s="43">
        <f>G12+G13-C48</f>
        <v>0</v>
      </c>
      <c r="H15" s="42"/>
      <c r="I15" s="42"/>
      <c r="J15" s="42"/>
      <c r="K15" s="42"/>
      <c r="L15" s="42"/>
      <c r="M15" s="43">
        <f>M12+M13-R48</f>
        <v>0</v>
      </c>
      <c r="N15" s="42"/>
      <c r="O15" s="42"/>
      <c r="P15" s="42"/>
      <c r="Q15" s="42"/>
      <c r="R15" s="42"/>
      <c r="S15" s="43">
        <f>S12+S13-G48</f>
        <v>0</v>
      </c>
      <c r="T15" s="43">
        <f>T12+T13-AA48</f>
        <v>0</v>
      </c>
      <c r="V15" s="43"/>
      <c r="W15" s="43"/>
    </row>
    <row r="17" s="3" customFormat="1" customHeight="1" spans="1:33">
      <c r="A17" s="44" t="s">
        <v>339</v>
      </c>
      <c r="C17" s="3">
        <f t="shared" ref="C17:H17" si="4">SUM(C20:C45)</f>
        <v>0</v>
      </c>
      <c r="E17" s="3">
        <f t="shared" si="4"/>
        <v>0</v>
      </c>
      <c r="G17" s="3">
        <f t="shared" si="4"/>
        <v>0</v>
      </c>
      <c r="H17" s="3">
        <f t="shared" si="4"/>
        <v>0</v>
      </c>
      <c r="O17" s="3">
        <f>SUM(O20:O45)</f>
        <v>0</v>
      </c>
      <c r="V17" s="3">
        <f t="shared" ref="V17:X17" si="5">SUM(V20:V45)</f>
        <v>0</v>
      </c>
      <c r="W17" s="3">
        <f t="shared" si="5"/>
        <v>0</v>
      </c>
      <c r="X17" s="3">
        <f t="shared" si="5"/>
        <v>0</v>
      </c>
      <c r="AE17" s="3">
        <f>SUM(AE20:AE45)</f>
        <v>0</v>
      </c>
    </row>
    <row r="18" s="4" customFormat="1" customHeight="1" spans="1:33">
      <c r="A18" s="45" t="s">
        <v>340</v>
      </c>
      <c r="B18" s="45"/>
      <c r="C18" s="45"/>
      <c r="D18" s="45"/>
      <c r="E18" s="45"/>
      <c r="F18" s="45"/>
      <c r="G18" s="45"/>
      <c r="H18" s="45"/>
      <c r="I18" s="45"/>
      <c r="J18" s="45"/>
      <c r="K18" s="45"/>
      <c r="L18" s="46" t="s">
        <v>341</v>
      </c>
      <c r="M18" s="47"/>
      <c r="N18" s="47"/>
      <c r="O18" s="48"/>
      <c r="P18" s="49" t="s">
        <v>342</v>
      </c>
      <c r="Q18" s="50"/>
      <c r="R18" s="50"/>
      <c r="S18" s="50"/>
      <c r="T18" s="50"/>
      <c r="U18" s="50"/>
      <c r="V18" s="50"/>
      <c r="W18" s="50"/>
      <c r="X18" s="50"/>
      <c r="Y18" s="51"/>
      <c r="Z18" s="52" t="s">
        <v>343</v>
      </c>
      <c r="AA18" s="53"/>
      <c r="AB18" s="53"/>
      <c r="AC18" s="53"/>
      <c r="AD18" s="53"/>
      <c r="AE18" s="53"/>
      <c r="AF18" s="53"/>
      <c r="AG18" s="54"/>
    </row>
    <row r="19" s="4" customFormat="1" ht="47.1" customHeight="1" spans="1:33">
      <c r="A19" s="55" t="s">
        <v>344</v>
      </c>
      <c r="B19" s="55" t="s">
        <v>345</v>
      </c>
      <c r="C19" s="55" t="s">
        <v>346</v>
      </c>
      <c r="D19" s="55" t="s">
        <v>347</v>
      </c>
      <c r="E19" s="55" t="s">
        <v>348</v>
      </c>
      <c r="F19" s="55" t="s">
        <v>349</v>
      </c>
      <c r="G19" s="55" t="s">
        <v>350</v>
      </c>
      <c r="H19" s="55" t="s">
        <v>351</v>
      </c>
      <c r="I19" s="55" t="s">
        <v>352</v>
      </c>
      <c r="J19" s="55" t="s">
        <v>353</v>
      </c>
      <c r="K19" s="55" t="s">
        <v>354</v>
      </c>
      <c r="L19" s="56" t="s">
        <v>344</v>
      </c>
      <c r="M19" s="56" t="s">
        <v>355</v>
      </c>
      <c r="N19" s="56" t="s">
        <v>356</v>
      </c>
      <c r="O19" s="56" t="s">
        <v>357</v>
      </c>
      <c r="P19" s="57" t="s">
        <v>344</v>
      </c>
      <c r="Q19" s="57" t="s">
        <v>355</v>
      </c>
      <c r="R19" s="58" t="s">
        <v>358</v>
      </c>
      <c r="S19" s="57" t="s">
        <v>359</v>
      </c>
      <c r="T19" s="57" t="s">
        <v>360</v>
      </c>
      <c r="U19" s="57" t="s">
        <v>361</v>
      </c>
      <c r="V19" s="57" t="s">
        <v>362</v>
      </c>
      <c r="W19" s="57" t="s">
        <v>363</v>
      </c>
      <c r="X19" s="57" t="s">
        <v>364</v>
      </c>
      <c r="Y19" s="59" t="s">
        <v>349</v>
      </c>
      <c r="Z19" s="60" t="s">
        <v>291</v>
      </c>
      <c r="AA19" s="60" t="s">
        <v>365</v>
      </c>
      <c r="AB19" s="60" t="s">
        <v>366</v>
      </c>
      <c r="AC19" s="60" t="s">
        <v>367</v>
      </c>
      <c r="AD19" s="60" t="s">
        <v>368</v>
      </c>
      <c r="AE19" s="60" t="s">
        <v>369</v>
      </c>
      <c r="AF19" s="60" t="s">
        <v>370</v>
      </c>
      <c r="AG19" s="60" t="s">
        <v>371</v>
      </c>
    </row>
    <row r="20" s="5" customFormat="1" customHeight="1" spans="1:33">
      <c r="A20" s="61"/>
      <c r="B20" s="61"/>
      <c r="C20" s="37"/>
      <c r="D20" s="61"/>
      <c r="E20" s="37"/>
      <c r="F20" s="62"/>
      <c r="G20" s="37"/>
      <c r="H20" s="37"/>
      <c r="I20" s="61"/>
      <c r="J20" s="61"/>
      <c r="K20" s="61"/>
      <c r="L20" s="63"/>
      <c r="M20" s="64"/>
      <c r="N20" s="61"/>
      <c r="O20" s="65"/>
      <c r="P20" s="63"/>
      <c r="Q20" s="61"/>
      <c r="R20" s="61"/>
      <c r="S20" s="61"/>
      <c r="T20" s="61"/>
      <c r="U20" s="61"/>
      <c r="V20" s="37"/>
      <c r="W20" s="37"/>
      <c r="X20" s="37"/>
      <c r="Y20" s="66"/>
      <c r="Z20" s="67"/>
      <c r="AA20" s="61"/>
      <c r="AB20" s="68"/>
      <c r="AC20" s="69"/>
      <c r="AD20" s="69"/>
      <c r="AE20" s="70"/>
      <c r="AF20" s="61"/>
      <c r="AG20" s="70"/>
    </row>
    <row r="21" s="5" customFormat="1" customHeight="1" spans="1:33">
      <c r="A21" s="61"/>
      <c r="B21" s="61"/>
      <c r="C21" s="37"/>
      <c r="D21" s="61"/>
      <c r="E21" s="37"/>
      <c r="F21" s="62"/>
      <c r="G21" s="37"/>
      <c r="H21" s="37"/>
      <c r="I21" s="61"/>
      <c r="J21" s="61"/>
      <c r="K21" s="61"/>
      <c r="L21" s="63"/>
      <c r="M21" s="64"/>
      <c r="N21" s="61"/>
      <c r="O21" s="37"/>
      <c r="P21" s="63"/>
      <c r="Q21" s="61"/>
      <c r="R21" s="61"/>
      <c r="S21" s="61"/>
      <c r="T21" s="61"/>
      <c r="U21" s="61"/>
      <c r="V21" s="37"/>
      <c r="W21" s="37"/>
      <c r="X21" s="37"/>
      <c r="Y21" s="66"/>
      <c r="Z21" s="67"/>
      <c r="AA21" s="61"/>
      <c r="AB21" s="68"/>
      <c r="AC21" s="69"/>
      <c r="AD21" s="69"/>
      <c r="AE21" s="70"/>
      <c r="AF21" s="61"/>
      <c r="AG21" s="70"/>
    </row>
    <row r="22" s="5" customFormat="1" customHeight="1" spans="1:33">
      <c r="A22" s="61"/>
      <c r="B22" s="61"/>
      <c r="C22" s="37"/>
      <c r="D22" s="61"/>
      <c r="E22" s="37"/>
      <c r="F22" s="62"/>
      <c r="G22" s="37"/>
      <c r="H22" s="37"/>
      <c r="I22" s="61"/>
      <c r="J22" s="61"/>
      <c r="K22" s="61"/>
      <c r="L22" s="63"/>
      <c r="M22" s="64"/>
      <c r="N22" s="61"/>
      <c r="O22" s="37"/>
      <c r="P22" s="63"/>
      <c r="Q22" s="61"/>
      <c r="R22" s="61"/>
      <c r="S22" s="61"/>
      <c r="T22" s="61"/>
      <c r="U22" s="61"/>
      <c r="V22" s="37"/>
      <c r="W22" s="37"/>
      <c r="X22" s="37"/>
      <c r="Y22" s="66"/>
      <c r="Z22" s="67"/>
      <c r="AA22" s="61"/>
      <c r="AB22" s="68"/>
      <c r="AC22" s="69"/>
      <c r="AD22" s="69"/>
      <c r="AE22" s="70"/>
      <c r="AF22" s="61"/>
      <c r="AG22" s="70"/>
    </row>
    <row r="23" s="5" customFormat="1" customHeight="1" spans="1:33">
      <c r="A23" s="61"/>
      <c r="B23" s="61"/>
      <c r="C23" s="37"/>
      <c r="D23" s="61"/>
      <c r="E23" s="37"/>
      <c r="F23" s="62"/>
      <c r="G23" s="37"/>
      <c r="H23" s="37"/>
      <c r="I23" s="61"/>
      <c r="J23" s="61"/>
      <c r="K23" s="61"/>
      <c r="L23" s="63"/>
      <c r="M23" s="64"/>
      <c r="N23" s="61"/>
      <c r="O23" s="37"/>
      <c r="P23" s="63"/>
      <c r="Q23" s="61"/>
      <c r="R23" s="61"/>
      <c r="S23" s="61"/>
      <c r="T23" s="61"/>
      <c r="U23" s="61"/>
      <c r="V23" s="37"/>
      <c r="W23" s="37"/>
      <c r="X23" s="37"/>
      <c r="Y23" s="66"/>
      <c r="Z23" s="67"/>
      <c r="AA23" s="61"/>
      <c r="AB23" s="68"/>
      <c r="AC23" s="69"/>
      <c r="AD23" s="69"/>
      <c r="AE23" s="70"/>
      <c r="AF23" s="61"/>
      <c r="AG23" s="70"/>
    </row>
    <row r="24" s="5" customFormat="1" customHeight="1" spans="1:33">
      <c r="A24" s="61"/>
      <c r="B24" s="61"/>
      <c r="C24" s="37"/>
      <c r="D24" s="61"/>
      <c r="E24" s="37"/>
      <c r="F24" s="62"/>
      <c r="G24" s="37"/>
      <c r="H24" s="37"/>
      <c r="I24" s="61"/>
      <c r="J24" s="61"/>
      <c r="K24" s="61"/>
      <c r="L24" s="63"/>
      <c r="M24" s="71"/>
      <c r="N24" s="61"/>
      <c r="O24" s="37"/>
      <c r="P24" s="63"/>
      <c r="Q24" s="61"/>
      <c r="R24" s="61"/>
      <c r="S24" s="61"/>
      <c r="T24" s="61"/>
      <c r="U24" s="61"/>
      <c r="V24" s="37"/>
      <c r="W24" s="37"/>
      <c r="X24" s="37"/>
      <c r="Y24" s="66"/>
      <c r="Z24" s="67"/>
      <c r="AA24" s="61"/>
      <c r="AB24" s="68"/>
      <c r="AC24" s="69"/>
      <c r="AD24" s="69"/>
      <c r="AE24" s="70"/>
      <c r="AF24" s="61"/>
      <c r="AG24" s="70"/>
    </row>
    <row r="25" s="5" customFormat="1" customHeight="1" spans="1:33">
      <c r="A25" s="61"/>
      <c r="B25" s="61"/>
      <c r="C25" s="37"/>
      <c r="D25" s="61"/>
      <c r="E25" s="37"/>
      <c r="F25" s="62"/>
      <c r="G25" s="37"/>
      <c r="H25" s="37"/>
      <c r="I25" s="61"/>
      <c r="J25" s="61"/>
      <c r="K25" s="61"/>
      <c r="L25" s="63"/>
      <c r="M25" s="61"/>
      <c r="N25" s="61"/>
      <c r="O25" s="37"/>
      <c r="P25" s="63"/>
      <c r="Q25" s="61"/>
      <c r="R25" s="61"/>
      <c r="S25" s="61"/>
      <c r="T25" s="61"/>
      <c r="U25" s="61"/>
      <c r="V25" s="37"/>
      <c r="W25" s="37"/>
      <c r="X25" s="37"/>
      <c r="Y25" s="66"/>
      <c r="Z25" s="67"/>
      <c r="AA25" s="61"/>
      <c r="AB25" s="68"/>
      <c r="AC25" s="69"/>
      <c r="AD25" s="69"/>
      <c r="AE25" s="70"/>
      <c r="AF25" s="61"/>
      <c r="AG25" s="70"/>
    </row>
    <row r="26" s="5" customFormat="1" customHeight="1" spans="1:33">
      <c r="A26" s="61"/>
      <c r="B26" s="61"/>
      <c r="C26" s="37"/>
      <c r="D26" s="61"/>
      <c r="E26" s="37"/>
      <c r="F26" s="62"/>
      <c r="G26" s="37"/>
      <c r="H26" s="37"/>
      <c r="I26" s="61"/>
      <c r="J26" s="61"/>
      <c r="K26" s="61"/>
      <c r="L26" s="63"/>
      <c r="M26" s="61"/>
      <c r="N26" s="61"/>
      <c r="O26" s="37"/>
      <c r="P26" s="63"/>
      <c r="Q26" s="61"/>
      <c r="R26" s="61"/>
      <c r="S26" s="61"/>
      <c r="T26" s="61"/>
      <c r="U26" s="61"/>
      <c r="V26" s="37"/>
      <c r="W26" s="37"/>
      <c r="X26" s="37"/>
      <c r="Y26" s="66"/>
      <c r="Z26" s="67"/>
      <c r="AA26" s="61"/>
      <c r="AB26" s="68"/>
      <c r="AC26" s="69"/>
      <c r="AD26" s="69"/>
      <c r="AE26" s="70"/>
      <c r="AF26" s="61"/>
      <c r="AG26" s="70"/>
    </row>
    <row r="27" s="5" customFormat="1" customHeight="1" spans="1:33">
      <c r="A27" s="61"/>
      <c r="B27" s="61"/>
      <c r="C27" s="37"/>
      <c r="D27" s="61"/>
      <c r="E27" s="37"/>
      <c r="F27" s="62"/>
      <c r="G27" s="37"/>
      <c r="H27" s="37"/>
      <c r="I27" s="61"/>
      <c r="J27" s="61"/>
      <c r="K27" s="61"/>
      <c r="L27" s="63"/>
      <c r="M27" s="61"/>
      <c r="N27" s="61"/>
      <c r="O27" s="37"/>
      <c r="P27" s="63"/>
      <c r="Q27" s="61"/>
      <c r="R27" s="61"/>
      <c r="S27" s="61"/>
      <c r="T27" s="61"/>
      <c r="U27" s="61"/>
      <c r="V27" s="37"/>
      <c r="W27" s="37"/>
      <c r="X27" s="37"/>
      <c r="Y27" s="66"/>
      <c r="Z27" s="67"/>
      <c r="AA27" s="61"/>
      <c r="AB27" s="68"/>
      <c r="AC27" s="69"/>
      <c r="AD27" s="69"/>
      <c r="AE27" s="70"/>
      <c r="AF27" s="61"/>
      <c r="AG27" s="70"/>
    </row>
    <row r="28" s="5" customFormat="1" customHeight="1" spans="1:33">
      <c r="A28" s="61"/>
      <c r="B28" s="61"/>
      <c r="C28" s="37"/>
      <c r="D28" s="61"/>
      <c r="E28" s="37"/>
      <c r="F28" s="62"/>
      <c r="G28" s="37"/>
      <c r="H28" s="37"/>
      <c r="I28" s="61"/>
      <c r="J28" s="61"/>
      <c r="K28" s="61"/>
      <c r="L28" s="63"/>
      <c r="M28" s="61"/>
      <c r="N28" s="61"/>
      <c r="O28" s="37"/>
      <c r="P28" s="63"/>
      <c r="Q28" s="61"/>
      <c r="R28" s="61"/>
      <c r="S28" s="61"/>
      <c r="T28" s="61"/>
      <c r="U28" s="61"/>
      <c r="V28" s="37"/>
      <c r="W28" s="37"/>
      <c r="X28" s="37"/>
      <c r="Y28" s="66"/>
      <c r="Z28" s="67"/>
      <c r="AA28" s="61"/>
      <c r="AB28" s="68"/>
      <c r="AC28" s="69"/>
      <c r="AD28" s="69"/>
      <c r="AE28" s="70"/>
      <c r="AF28" s="61"/>
      <c r="AG28" s="70"/>
    </row>
    <row r="29" s="5" customFormat="1" customHeight="1" spans="1:33">
      <c r="A29" s="61"/>
      <c r="B29" s="61"/>
      <c r="C29" s="37"/>
      <c r="D29" s="61"/>
      <c r="E29" s="37"/>
      <c r="F29" s="62"/>
      <c r="G29" s="37"/>
      <c r="H29" s="37"/>
      <c r="I29" s="61"/>
      <c r="J29" s="61"/>
      <c r="K29" s="61"/>
      <c r="L29" s="63"/>
      <c r="M29" s="61"/>
      <c r="N29" s="61"/>
      <c r="O29" s="37"/>
      <c r="P29" s="63"/>
      <c r="Q29" s="61"/>
      <c r="R29" s="61"/>
      <c r="S29" s="61"/>
      <c r="T29" s="61"/>
      <c r="U29" s="61"/>
      <c r="V29" s="37"/>
      <c r="W29" s="37"/>
      <c r="X29" s="37"/>
      <c r="Y29" s="66"/>
      <c r="Z29" s="67"/>
      <c r="AA29" s="61"/>
      <c r="AB29" s="68"/>
      <c r="AC29" s="69"/>
      <c r="AD29" s="69"/>
      <c r="AE29" s="70"/>
      <c r="AF29" s="61"/>
      <c r="AG29" s="70"/>
    </row>
    <row r="30" s="5" customFormat="1" customHeight="1" spans="1:33">
      <c r="A30" s="61"/>
      <c r="B30" s="61"/>
      <c r="C30" s="37"/>
      <c r="D30" s="61"/>
      <c r="E30" s="37"/>
      <c r="F30" s="62"/>
      <c r="G30" s="37"/>
      <c r="H30" s="37"/>
      <c r="I30" s="61"/>
      <c r="J30" s="61"/>
      <c r="K30" s="61"/>
      <c r="L30" s="63"/>
      <c r="M30" s="61"/>
      <c r="N30" s="61"/>
      <c r="O30" s="37"/>
      <c r="P30" s="63"/>
      <c r="Q30" s="61"/>
      <c r="R30" s="61"/>
      <c r="S30" s="61"/>
      <c r="T30" s="61"/>
      <c r="U30" s="61"/>
      <c r="V30" s="37"/>
      <c r="W30" s="37"/>
      <c r="X30" s="37"/>
      <c r="Y30" s="66"/>
      <c r="Z30" s="67"/>
      <c r="AA30" s="61"/>
      <c r="AB30" s="68"/>
      <c r="AC30" s="69"/>
      <c r="AD30" s="69"/>
      <c r="AE30" s="70"/>
      <c r="AF30" s="61"/>
      <c r="AG30" s="70"/>
    </row>
    <row r="31" s="5" customFormat="1" customHeight="1" spans="1:33">
      <c r="A31" s="61"/>
      <c r="B31" s="61"/>
      <c r="C31" s="37"/>
      <c r="D31" s="61"/>
      <c r="E31" s="37"/>
      <c r="F31" s="62"/>
      <c r="G31" s="37"/>
      <c r="H31" s="37"/>
      <c r="I31" s="61"/>
      <c r="J31" s="61"/>
      <c r="K31" s="61"/>
      <c r="L31" s="61"/>
      <c r="M31" s="61"/>
      <c r="N31" s="61"/>
      <c r="O31" s="37"/>
      <c r="P31" s="63"/>
      <c r="Q31" s="61"/>
      <c r="R31" s="61"/>
      <c r="S31" s="61"/>
      <c r="T31" s="61"/>
      <c r="U31" s="61"/>
      <c r="V31" s="37"/>
      <c r="W31" s="37"/>
      <c r="X31" s="37"/>
      <c r="Y31" s="66"/>
      <c r="Z31" s="67"/>
      <c r="AA31" s="61"/>
      <c r="AB31" s="68"/>
      <c r="AC31" s="69"/>
      <c r="AD31" s="69"/>
      <c r="AE31" s="70"/>
      <c r="AF31" s="61"/>
      <c r="AG31" s="70"/>
    </row>
    <row r="32" s="5" customFormat="1" customHeight="1" spans="1:33">
      <c r="A32" s="61"/>
      <c r="B32" s="61"/>
      <c r="C32" s="37"/>
      <c r="D32" s="61"/>
      <c r="E32" s="37"/>
      <c r="F32" s="62"/>
      <c r="G32" s="37"/>
      <c r="H32" s="37"/>
      <c r="I32" s="61"/>
      <c r="J32" s="61"/>
      <c r="K32" s="61"/>
      <c r="L32" s="61"/>
      <c r="M32" s="61"/>
      <c r="N32" s="61"/>
      <c r="O32" s="37"/>
      <c r="P32" s="63"/>
      <c r="Q32" s="61"/>
      <c r="R32" s="61"/>
      <c r="S32" s="61"/>
      <c r="T32" s="61"/>
      <c r="U32" s="61"/>
      <c r="V32" s="37"/>
      <c r="W32" s="37"/>
      <c r="X32" s="37"/>
      <c r="Y32" s="66"/>
      <c r="Z32" s="61"/>
      <c r="AA32" s="61"/>
      <c r="AB32" s="68"/>
      <c r="AC32" s="69"/>
      <c r="AD32" s="69"/>
      <c r="AE32" s="70"/>
      <c r="AF32" s="61"/>
      <c r="AG32" s="70"/>
    </row>
    <row r="33" s="5" customFormat="1" customHeight="1" spans="1:33">
      <c r="A33" s="61"/>
      <c r="B33" s="61"/>
      <c r="C33" s="37"/>
      <c r="D33" s="61"/>
      <c r="E33" s="37"/>
      <c r="F33" s="62"/>
      <c r="G33" s="37"/>
      <c r="H33" s="37"/>
      <c r="I33" s="61"/>
      <c r="J33" s="61"/>
      <c r="K33" s="61"/>
      <c r="L33" s="61"/>
      <c r="M33" s="61"/>
      <c r="N33" s="61"/>
      <c r="O33" s="37"/>
      <c r="P33" s="63"/>
      <c r="Q33" s="61"/>
      <c r="R33" s="61"/>
      <c r="S33" s="61"/>
      <c r="T33" s="61"/>
      <c r="U33" s="61"/>
      <c r="V33" s="37"/>
      <c r="W33" s="37"/>
      <c r="X33" s="37"/>
      <c r="Y33" s="66"/>
      <c r="Z33" s="61"/>
      <c r="AA33" s="61"/>
      <c r="AB33" s="68"/>
      <c r="AC33" s="69"/>
      <c r="AD33" s="69"/>
      <c r="AE33" s="70"/>
      <c r="AF33" s="61"/>
      <c r="AG33" s="70"/>
    </row>
    <row r="34" s="5" customFormat="1" customHeight="1" spans="1:33">
      <c r="A34" s="61"/>
      <c r="B34" s="61"/>
      <c r="C34" s="37"/>
      <c r="D34" s="61"/>
      <c r="E34" s="37"/>
      <c r="F34" s="62"/>
      <c r="G34" s="37"/>
      <c r="H34" s="37"/>
      <c r="I34" s="61"/>
      <c r="J34" s="61"/>
      <c r="K34" s="61"/>
      <c r="L34" s="61"/>
      <c r="M34" s="61"/>
      <c r="N34" s="61"/>
      <c r="O34" s="37"/>
      <c r="P34" s="63"/>
      <c r="Q34" s="61"/>
      <c r="R34" s="61"/>
      <c r="S34" s="61"/>
      <c r="T34" s="61"/>
      <c r="U34" s="61"/>
      <c r="V34" s="37"/>
      <c r="W34" s="37"/>
      <c r="X34" s="37"/>
      <c r="Y34" s="66"/>
      <c r="Z34" s="61"/>
      <c r="AA34" s="61"/>
      <c r="AB34" s="68"/>
      <c r="AC34" s="69"/>
      <c r="AD34" s="69"/>
      <c r="AE34" s="70"/>
      <c r="AF34" s="61"/>
      <c r="AG34" s="70"/>
    </row>
    <row r="35" s="5" customFormat="1" customHeight="1" spans="1:33">
      <c r="A35" s="61"/>
      <c r="B35" s="61"/>
      <c r="C35" s="37"/>
      <c r="D35" s="61"/>
      <c r="E35" s="37"/>
      <c r="F35" s="62"/>
      <c r="G35" s="37"/>
      <c r="H35" s="37"/>
      <c r="I35" s="61"/>
      <c r="J35" s="61"/>
      <c r="K35" s="61"/>
      <c r="L35" s="61"/>
      <c r="M35" s="61"/>
      <c r="N35" s="61"/>
      <c r="O35" s="37"/>
      <c r="P35" s="63"/>
      <c r="Q35" s="61"/>
      <c r="R35" s="61"/>
      <c r="S35" s="61"/>
      <c r="T35" s="61"/>
      <c r="U35" s="61"/>
      <c r="V35" s="37"/>
      <c r="W35" s="37"/>
      <c r="X35" s="37"/>
      <c r="Y35" s="66"/>
      <c r="Z35" s="61"/>
      <c r="AA35" s="61"/>
      <c r="AB35" s="68"/>
      <c r="AC35" s="69"/>
      <c r="AD35" s="69"/>
      <c r="AE35" s="70"/>
      <c r="AF35" s="61"/>
      <c r="AG35" s="70"/>
    </row>
    <row r="36" s="5" customFormat="1" customHeight="1" spans="1:33">
      <c r="A36" s="61"/>
      <c r="B36" s="61"/>
      <c r="C36" s="37"/>
      <c r="D36" s="61"/>
      <c r="E36" s="37"/>
      <c r="F36" s="62"/>
      <c r="G36" s="37"/>
      <c r="H36" s="37"/>
      <c r="I36" s="61"/>
      <c r="J36" s="61"/>
      <c r="K36" s="61"/>
      <c r="L36" s="61"/>
      <c r="M36" s="61"/>
      <c r="N36" s="61"/>
      <c r="O36" s="37"/>
      <c r="P36" s="63"/>
      <c r="Q36" s="61"/>
      <c r="R36" s="61"/>
      <c r="S36" s="61"/>
      <c r="T36" s="61"/>
      <c r="U36" s="61"/>
      <c r="V36" s="37"/>
      <c r="W36" s="37"/>
      <c r="X36" s="37"/>
      <c r="Y36" s="66"/>
      <c r="Z36" s="61"/>
      <c r="AA36" s="61"/>
      <c r="AB36" s="68"/>
      <c r="AC36" s="69"/>
      <c r="AD36" s="69"/>
      <c r="AE36" s="70"/>
      <c r="AF36" s="61"/>
      <c r="AG36" s="70"/>
    </row>
    <row r="37" s="5" customFormat="1" customHeight="1" spans="1:33">
      <c r="A37" s="61"/>
      <c r="B37" s="61"/>
      <c r="C37" s="37"/>
      <c r="D37" s="61"/>
      <c r="E37" s="37"/>
      <c r="F37" s="62"/>
      <c r="G37" s="37"/>
      <c r="H37" s="37"/>
      <c r="I37" s="61"/>
      <c r="J37" s="61"/>
      <c r="K37" s="61"/>
      <c r="L37" s="61"/>
      <c r="M37" s="61"/>
      <c r="N37" s="61"/>
      <c r="O37" s="37"/>
      <c r="P37" s="63"/>
      <c r="Q37" s="61"/>
      <c r="R37" s="61"/>
      <c r="S37" s="61"/>
      <c r="T37" s="61"/>
      <c r="U37" s="61"/>
      <c r="V37" s="37"/>
      <c r="W37" s="37"/>
      <c r="X37" s="37"/>
      <c r="Y37" s="66"/>
      <c r="Z37" s="61"/>
      <c r="AA37" s="61"/>
      <c r="AB37" s="68"/>
      <c r="AC37" s="69"/>
      <c r="AD37" s="69"/>
      <c r="AE37" s="70"/>
      <c r="AF37" s="61"/>
      <c r="AG37" s="70"/>
    </row>
    <row r="38" s="5" customFormat="1" customHeight="1" spans="1:33">
      <c r="A38" s="61"/>
      <c r="B38" s="61"/>
      <c r="C38" s="37"/>
      <c r="D38" s="61"/>
      <c r="E38" s="37"/>
      <c r="F38" s="62"/>
      <c r="G38" s="37"/>
      <c r="H38" s="37"/>
      <c r="I38" s="61"/>
      <c r="J38" s="61"/>
      <c r="K38" s="61"/>
      <c r="L38" s="61"/>
      <c r="M38" s="61"/>
      <c r="N38" s="61"/>
      <c r="O38" s="37"/>
      <c r="P38" s="61"/>
      <c r="Q38" s="61"/>
      <c r="R38" s="61"/>
      <c r="S38" s="61"/>
      <c r="T38" s="61"/>
      <c r="U38" s="61"/>
      <c r="V38" s="37"/>
      <c r="W38" s="37"/>
      <c r="X38" s="37"/>
      <c r="Y38" s="61"/>
      <c r="Z38" s="61"/>
      <c r="AA38" s="61"/>
      <c r="AB38" s="68"/>
      <c r="AC38" s="69"/>
      <c r="AD38" s="69"/>
      <c r="AE38" s="70"/>
      <c r="AF38" s="61"/>
      <c r="AG38" s="70"/>
    </row>
    <row r="39" s="5" customFormat="1" customHeight="1" spans="1:33">
      <c r="A39" s="61"/>
      <c r="B39" s="61"/>
      <c r="C39" s="37"/>
      <c r="D39" s="61"/>
      <c r="E39" s="37"/>
      <c r="F39" s="62"/>
      <c r="G39" s="37"/>
      <c r="H39" s="37"/>
      <c r="I39" s="61"/>
      <c r="J39" s="61"/>
      <c r="K39" s="61"/>
      <c r="L39" s="61"/>
      <c r="M39" s="61"/>
      <c r="N39" s="61"/>
      <c r="O39" s="37"/>
      <c r="P39" s="61"/>
      <c r="Q39" s="61"/>
      <c r="R39" s="61"/>
      <c r="S39" s="61"/>
      <c r="T39" s="61"/>
      <c r="U39" s="61"/>
      <c r="V39" s="37"/>
      <c r="W39" s="37"/>
      <c r="X39" s="37"/>
      <c r="Y39" s="61"/>
      <c r="Z39" s="61"/>
      <c r="AA39" s="61"/>
      <c r="AB39" s="68"/>
      <c r="AC39" s="69"/>
      <c r="AD39" s="69"/>
      <c r="AE39" s="70"/>
      <c r="AF39" s="61"/>
      <c r="AG39" s="70"/>
    </row>
    <row r="40" s="5" customFormat="1" customHeight="1" spans="1:33">
      <c r="A40" s="61"/>
      <c r="B40" s="61"/>
      <c r="C40" s="37"/>
      <c r="D40" s="61"/>
      <c r="E40" s="37"/>
      <c r="F40" s="62"/>
      <c r="G40" s="37"/>
      <c r="H40" s="37"/>
      <c r="I40" s="61"/>
      <c r="J40" s="61"/>
      <c r="K40" s="61"/>
      <c r="L40" s="61"/>
      <c r="M40" s="61"/>
      <c r="N40" s="61"/>
      <c r="O40" s="37"/>
      <c r="P40" s="61"/>
      <c r="Q40" s="61"/>
      <c r="R40" s="61"/>
      <c r="S40" s="61"/>
      <c r="T40" s="61"/>
      <c r="U40" s="61"/>
      <c r="V40" s="37"/>
      <c r="W40" s="37"/>
      <c r="X40" s="37"/>
      <c r="Y40" s="61"/>
      <c r="Z40" s="61"/>
      <c r="AA40" s="61"/>
      <c r="AB40" s="68"/>
      <c r="AC40" s="69"/>
      <c r="AD40" s="69"/>
      <c r="AE40" s="70"/>
      <c r="AF40" s="61"/>
      <c r="AG40" s="70"/>
    </row>
    <row r="41" s="5" customFormat="1" customHeight="1" spans="1:33">
      <c r="A41" s="61"/>
      <c r="B41" s="61"/>
      <c r="C41" s="37"/>
      <c r="D41" s="61"/>
      <c r="E41" s="37"/>
      <c r="F41" s="62"/>
      <c r="G41" s="37"/>
      <c r="H41" s="37"/>
      <c r="I41" s="61"/>
      <c r="J41" s="61"/>
      <c r="K41" s="61"/>
      <c r="L41" s="61"/>
      <c r="M41" s="61"/>
      <c r="N41" s="61"/>
      <c r="O41" s="37"/>
      <c r="P41" s="61"/>
      <c r="Q41" s="61"/>
      <c r="R41" s="61"/>
      <c r="S41" s="61"/>
      <c r="T41" s="61"/>
      <c r="U41" s="61"/>
      <c r="V41" s="37"/>
      <c r="W41" s="37"/>
      <c r="X41" s="37"/>
      <c r="Y41" s="61"/>
      <c r="Z41" s="61"/>
      <c r="AA41" s="61"/>
      <c r="AB41" s="68"/>
      <c r="AC41" s="69"/>
      <c r="AD41" s="69"/>
      <c r="AE41" s="70"/>
      <c r="AF41" s="61"/>
      <c r="AG41" s="70"/>
    </row>
    <row r="42" s="5" customFormat="1" customHeight="1" spans="1:33">
      <c r="A42" s="61"/>
      <c r="B42" s="61"/>
      <c r="C42" s="37"/>
      <c r="D42" s="61"/>
      <c r="E42" s="37"/>
      <c r="F42" s="62"/>
      <c r="G42" s="37"/>
      <c r="H42" s="37"/>
      <c r="I42" s="61"/>
      <c r="J42" s="61"/>
      <c r="K42" s="61"/>
      <c r="L42" s="61"/>
      <c r="M42" s="61"/>
      <c r="N42" s="61"/>
      <c r="O42" s="37"/>
      <c r="P42" s="61"/>
      <c r="Q42" s="61"/>
      <c r="R42" s="61"/>
      <c r="S42" s="61"/>
      <c r="T42" s="61"/>
      <c r="U42" s="61"/>
      <c r="V42" s="37"/>
      <c r="W42" s="37"/>
      <c r="X42" s="37"/>
      <c r="Y42" s="61"/>
      <c r="Z42" s="61"/>
      <c r="AA42" s="61"/>
      <c r="AB42" s="72"/>
      <c r="AC42" s="72"/>
      <c r="AD42" s="72"/>
      <c r="AE42" s="72"/>
      <c r="AF42" s="61"/>
      <c r="AG42" s="72"/>
    </row>
    <row r="43" s="5" customFormat="1" customHeight="1" spans="1:33">
      <c r="A43" s="61"/>
      <c r="B43" s="61"/>
      <c r="C43" s="37"/>
      <c r="D43" s="61"/>
      <c r="E43" s="37"/>
      <c r="F43" s="62"/>
      <c r="G43" s="37"/>
      <c r="H43" s="37"/>
      <c r="I43" s="61"/>
      <c r="J43" s="61"/>
      <c r="K43" s="61"/>
      <c r="L43" s="61"/>
      <c r="M43" s="61"/>
      <c r="N43" s="61"/>
      <c r="O43" s="37"/>
      <c r="P43" s="61"/>
      <c r="Q43" s="61"/>
      <c r="R43" s="61"/>
      <c r="S43" s="61"/>
      <c r="T43" s="61"/>
      <c r="U43" s="61"/>
      <c r="V43" s="37"/>
      <c r="W43" s="37"/>
      <c r="X43" s="37"/>
      <c r="Y43" s="61"/>
      <c r="Z43" s="61"/>
      <c r="AA43" s="61"/>
      <c r="AB43" s="72"/>
      <c r="AC43" s="72"/>
      <c r="AD43" s="72"/>
      <c r="AE43" s="72"/>
      <c r="AF43" s="61"/>
      <c r="AG43" s="72"/>
    </row>
    <row r="44" s="5" customFormat="1" customHeight="1" spans="1:33">
      <c r="A44" s="61"/>
      <c r="B44" s="61"/>
      <c r="C44" s="37"/>
      <c r="D44" s="61"/>
      <c r="E44" s="37"/>
      <c r="F44" s="62"/>
      <c r="G44" s="37"/>
      <c r="H44" s="37"/>
      <c r="I44" s="61"/>
      <c r="J44" s="61"/>
      <c r="K44" s="61"/>
      <c r="L44" s="61"/>
      <c r="M44" s="61"/>
      <c r="N44" s="61"/>
      <c r="O44" s="37"/>
      <c r="P44" s="61"/>
      <c r="Q44" s="61"/>
      <c r="R44" s="61"/>
      <c r="S44" s="61"/>
      <c r="T44" s="61"/>
      <c r="U44" s="61"/>
      <c r="V44" s="37"/>
      <c r="W44" s="37"/>
      <c r="X44" s="37"/>
      <c r="Y44" s="61"/>
      <c r="Z44" s="61"/>
      <c r="AA44" s="61"/>
      <c r="AB44" s="72"/>
      <c r="AC44" s="72"/>
      <c r="AD44" s="72"/>
      <c r="AE44" s="72"/>
      <c r="AF44" s="61"/>
      <c r="AG44" s="72"/>
    </row>
    <row r="45" s="5" customFormat="1" customHeight="1" spans="1:33">
      <c r="A45" s="61"/>
      <c r="B45" s="61"/>
      <c r="C45" s="37"/>
      <c r="D45" s="61"/>
      <c r="E45" s="37"/>
      <c r="F45" s="62"/>
      <c r="G45" s="37"/>
      <c r="H45" s="37"/>
      <c r="I45" s="61"/>
      <c r="J45" s="61"/>
      <c r="K45" s="61"/>
      <c r="L45" s="61"/>
      <c r="M45" s="61"/>
      <c r="N45" s="61"/>
      <c r="O45" s="37"/>
      <c r="P45" s="61"/>
      <c r="Q45" s="61"/>
      <c r="R45" s="61"/>
      <c r="S45" s="61"/>
      <c r="T45" s="61"/>
      <c r="U45" s="61"/>
      <c r="V45" s="37"/>
      <c r="W45" s="37"/>
      <c r="X45" s="37"/>
      <c r="Y45" s="61"/>
      <c r="Z45" s="61"/>
      <c r="AA45" s="61"/>
      <c r="AB45" s="72"/>
      <c r="AC45" s="72"/>
      <c r="AD45" s="72"/>
      <c r="AE45" s="72"/>
      <c r="AF45" s="61"/>
      <c r="AG45" s="72"/>
    </row>
    <row r="46" s="5" customFormat="1" customHeight="1" spans="1:33">
      <c r="A46" s="73"/>
      <c r="B46" s="73"/>
      <c r="C46" s="74"/>
      <c r="D46" s="73"/>
      <c r="E46" s="74"/>
      <c r="F46" s="73"/>
      <c r="G46" s="74"/>
      <c r="H46" s="74"/>
      <c r="I46" s="73"/>
      <c r="J46" s="73"/>
      <c r="K46" s="73"/>
      <c r="L46" s="73"/>
      <c r="M46" s="73"/>
      <c r="N46" s="73"/>
      <c r="O46" s="74"/>
      <c r="P46" s="73"/>
      <c r="Q46" s="73"/>
      <c r="R46" s="73"/>
      <c r="S46" s="73"/>
      <c r="T46" s="73"/>
      <c r="U46" s="73"/>
      <c r="V46" s="74"/>
      <c r="W46" s="74"/>
      <c r="X46" s="74"/>
      <c r="Y46" s="73"/>
      <c r="Z46" s="73"/>
      <c r="AA46" s="73"/>
      <c r="AB46" s="75"/>
      <c r="AC46" s="75"/>
      <c r="AD46" s="75"/>
      <c r="AE46" s="75"/>
      <c r="AF46" s="75"/>
      <c r="AG46" s="75"/>
    </row>
    <row r="48" s="3" customFormat="1" customHeight="1" spans="1:33">
      <c r="A48" s="44" t="s">
        <v>373</v>
      </c>
      <c r="C48" s="3">
        <f t="shared" ref="C48:H48" si="6">SUM(C51:C75)</f>
        <v>0</v>
      </c>
      <c r="E48" s="3">
        <f t="shared" si="6"/>
        <v>0</v>
      </c>
      <c r="G48" s="3">
        <f t="shared" si="6"/>
        <v>0</v>
      </c>
      <c r="H48" s="3">
        <f t="shared" si="6"/>
        <v>0</v>
      </c>
      <c r="J48" s="3">
        <f>SUM(J51:J75)</f>
        <v>0</v>
      </c>
      <c r="K48" s="3">
        <f>SUM(K51:K75)</f>
        <v>0</v>
      </c>
      <c r="R48" s="3">
        <f t="shared" ref="R48:T48" si="7">SUM(R51:R75)</f>
        <v>0</v>
      </c>
      <c r="S48" s="3">
        <f t="shared" si="7"/>
        <v>0</v>
      </c>
      <c r="T48" s="3">
        <f t="shared" si="7"/>
        <v>0</v>
      </c>
      <c r="AA48" s="3">
        <f>SUM(AA51:AA75)</f>
        <v>0</v>
      </c>
    </row>
    <row r="49" s="4" customFormat="1" customHeight="1" spans="1:29">
      <c r="A49" s="45" t="s">
        <v>374</v>
      </c>
      <c r="B49" s="45"/>
      <c r="C49" s="45"/>
      <c r="D49" s="45"/>
      <c r="E49" s="45"/>
      <c r="F49" s="45"/>
      <c r="G49" s="45"/>
      <c r="H49" s="45"/>
      <c r="I49" s="45"/>
      <c r="J49" s="45"/>
      <c r="K49" s="45"/>
      <c r="L49" s="49" t="s">
        <v>375</v>
      </c>
      <c r="M49" s="50"/>
      <c r="N49" s="50"/>
      <c r="O49" s="50"/>
      <c r="P49" s="50"/>
      <c r="Q49" s="50"/>
      <c r="R49" s="50"/>
      <c r="S49" s="50"/>
      <c r="T49" s="50"/>
      <c r="U49" s="51"/>
      <c r="V49" s="52" t="s">
        <v>376</v>
      </c>
      <c r="W49" s="53"/>
      <c r="X49" s="53"/>
      <c r="Y49" s="53"/>
      <c r="Z49" s="53"/>
      <c r="AA49" s="53"/>
      <c r="AB49" s="53"/>
      <c r="AC49" s="54"/>
    </row>
    <row r="50" s="4" customFormat="1" customHeight="1" spans="1:29">
      <c r="A50" s="55" t="s">
        <v>291</v>
      </c>
      <c r="B50" s="55" t="s">
        <v>345</v>
      </c>
      <c r="C50" s="55" t="s">
        <v>346</v>
      </c>
      <c r="D50" s="55" t="s">
        <v>347</v>
      </c>
      <c r="E50" s="55" t="s">
        <v>377</v>
      </c>
      <c r="F50" s="55" t="s">
        <v>349</v>
      </c>
      <c r="G50" s="55" t="s">
        <v>350</v>
      </c>
      <c r="H50" s="55" t="s">
        <v>351</v>
      </c>
      <c r="I50" s="55" t="s">
        <v>352</v>
      </c>
      <c r="J50" s="55" t="s">
        <v>353</v>
      </c>
      <c r="K50" s="55" t="s">
        <v>354</v>
      </c>
      <c r="L50" s="57" t="s">
        <v>291</v>
      </c>
      <c r="M50" s="57" t="s">
        <v>355</v>
      </c>
      <c r="N50" s="58" t="s">
        <v>358</v>
      </c>
      <c r="O50" s="57" t="s">
        <v>359</v>
      </c>
      <c r="P50" s="57" t="s">
        <v>360</v>
      </c>
      <c r="Q50" s="57" t="s">
        <v>361</v>
      </c>
      <c r="R50" s="57" t="s">
        <v>362</v>
      </c>
      <c r="S50" s="57" t="s">
        <v>363</v>
      </c>
      <c r="T50" s="57" t="s">
        <v>364</v>
      </c>
      <c r="U50" s="59" t="s">
        <v>349</v>
      </c>
      <c r="V50" s="60" t="s">
        <v>291</v>
      </c>
      <c r="W50" s="60" t="s">
        <v>365</v>
      </c>
      <c r="X50" s="60" t="s">
        <v>378</v>
      </c>
      <c r="Y50" s="60" t="s">
        <v>379</v>
      </c>
      <c r="Z50" s="60" t="s">
        <v>380</v>
      </c>
      <c r="AA50" s="60" t="s">
        <v>381</v>
      </c>
      <c r="AB50" s="60" t="s">
        <v>382</v>
      </c>
      <c r="AC50" s="60" t="s">
        <v>383</v>
      </c>
    </row>
    <row r="51" s="5" customFormat="1" customHeight="1" spans="1:29">
      <c r="A51" s="76"/>
      <c r="B51" s="61"/>
      <c r="C51" s="37"/>
      <c r="D51" s="61"/>
      <c r="E51" s="37"/>
      <c r="F51" s="62"/>
      <c r="G51" s="37"/>
      <c r="H51" s="37"/>
      <c r="I51" s="61"/>
      <c r="J51" s="61"/>
      <c r="K51" s="61"/>
      <c r="L51" s="67"/>
      <c r="M51" s="61"/>
      <c r="N51" s="77"/>
      <c r="O51" s="68"/>
      <c r="P51" s="61"/>
      <c r="Q51" s="61"/>
      <c r="R51" s="37"/>
      <c r="S51" s="37"/>
      <c r="T51" s="37"/>
      <c r="U51" s="66"/>
      <c r="V51" s="67"/>
      <c r="W51" s="61"/>
      <c r="X51" s="68"/>
      <c r="Y51" s="61"/>
      <c r="Z51" s="61"/>
      <c r="AA51" s="37"/>
      <c r="AB51" s="77"/>
      <c r="AC51" s="61"/>
    </row>
    <row r="52" s="5" customFormat="1" customHeight="1" spans="1:29">
      <c r="A52" s="76"/>
      <c r="B52" s="61"/>
      <c r="C52" s="78"/>
      <c r="D52" s="61"/>
      <c r="E52" s="78"/>
      <c r="F52" s="62"/>
      <c r="G52" s="37"/>
      <c r="H52" s="37"/>
      <c r="I52" s="61"/>
      <c r="J52" s="61"/>
      <c r="K52" s="61"/>
      <c r="L52" s="79"/>
      <c r="M52" s="72"/>
      <c r="N52" s="77"/>
      <c r="O52" s="80"/>
      <c r="P52" s="72"/>
      <c r="Q52" s="72"/>
      <c r="R52" s="81"/>
      <c r="S52" s="81"/>
      <c r="T52" s="81"/>
      <c r="U52" s="66"/>
      <c r="V52" s="67"/>
      <c r="W52" s="61"/>
      <c r="X52" s="68"/>
      <c r="Y52" s="61"/>
      <c r="Z52" s="61"/>
      <c r="AA52" s="37"/>
      <c r="AB52" s="77"/>
      <c r="AC52" s="61"/>
    </row>
    <row r="53" s="5" customFormat="1" customHeight="1" spans="1:29">
      <c r="A53" s="76"/>
      <c r="B53" s="61"/>
      <c r="C53" s="78"/>
      <c r="D53" s="61"/>
      <c r="E53" s="78"/>
      <c r="F53" s="62"/>
      <c r="G53" s="37"/>
      <c r="H53" s="37"/>
      <c r="I53" s="61"/>
      <c r="J53" s="61"/>
      <c r="K53" s="61"/>
      <c r="L53" s="67"/>
      <c r="M53" s="61"/>
      <c r="N53" s="77"/>
      <c r="O53" s="82"/>
      <c r="P53" s="61"/>
      <c r="Q53" s="61"/>
      <c r="R53" s="37"/>
      <c r="S53" s="37"/>
      <c r="T53" s="37"/>
      <c r="U53" s="66"/>
      <c r="V53" s="67"/>
      <c r="W53" s="61"/>
      <c r="X53" s="68"/>
      <c r="Y53" s="61"/>
      <c r="Z53" s="61"/>
      <c r="AA53" s="37"/>
      <c r="AB53" s="77"/>
      <c r="AC53" s="72"/>
    </row>
    <row r="54" s="5" customFormat="1" customHeight="1" spans="1:29">
      <c r="A54" s="76"/>
      <c r="B54" s="61"/>
      <c r="C54" s="78"/>
      <c r="D54" s="61"/>
      <c r="E54" s="78"/>
      <c r="F54" s="62"/>
      <c r="G54" s="37"/>
      <c r="H54" s="37"/>
      <c r="I54" s="61"/>
      <c r="J54" s="61"/>
      <c r="K54" s="61"/>
      <c r="L54" s="67"/>
      <c r="M54" s="61"/>
      <c r="N54" s="77"/>
      <c r="O54" s="83"/>
      <c r="P54" s="61"/>
      <c r="Q54" s="61"/>
      <c r="R54" s="37"/>
      <c r="S54" s="37"/>
      <c r="T54" s="37"/>
      <c r="U54" s="66"/>
      <c r="V54" s="67"/>
      <c r="W54" s="61"/>
      <c r="X54" s="68"/>
      <c r="Y54" s="61"/>
      <c r="Z54" s="61"/>
      <c r="AA54" s="37"/>
      <c r="AB54" s="77"/>
      <c r="AC54" s="72"/>
    </row>
    <row r="55" s="5" customFormat="1" customHeight="1" spans="1:29">
      <c r="A55" s="76"/>
      <c r="B55" s="61"/>
      <c r="C55" s="78"/>
      <c r="D55" s="61"/>
      <c r="E55" s="78"/>
      <c r="F55" s="62"/>
      <c r="G55" s="37"/>
      <c r="H55" s="37"/>
      <c r="I55" s="61"/>
      <c r="J55" s="61"/>
      <c r="K55" s="61"/>
      <c r="L55" s="67"/>
      <c r="M55" s="61"/>
      <c r="N55" s="77"/>
      <c r="O55" s="83"/>
      <c r="P55" s="61"/>
      <c r="Q55" s="61"/>
      <c r="R55" s="37"/>
      <c r="S55" s="37"/>
      <c r="T55" s="37"/>
      <c r="U55" s="66"/>
      <c r="V55" s="67"/>
      <c r="W55" s="61"/>
      <c r="X55" s="68"/>
      <c r="Y55" s="61"/>
      <c r="Z55" s="61"/>
      <c r="AA55" s="37"/>
      <c r="AB55" s="77"/>
      <c r="AC55" s="72"/>
    </row>
    <row r="56" s="5" customFormat="1" customHeight="1" spans="1:29">
      <c r="A56" s="76"/>
      <c r="B56" s="61"/>
      <c r="C56" s="78"/>
      <c r="D56" s="61"/>
      <c r="E56" s="78"/>
      <c r="F56" s="62"/>
      <c r="G56" s="37"/>
      <c r="H56" s="37"/>
      <c r="I56" s="61"/>
      <c r="J56" s="61"/>
      <c r="K56" s="61"/>
      <c r="L56" s="67"/>
      <c r="M56" s="61"/>
      <c r="N56" s="77"/>
      <c r="O56" s="84"/>
      <c r="P56" s="61"/>
      <c r="Q56" s="61"/>
      <c r="R56" s="37"/>
      <c r="S56" s="37"/>
      <c r="T56" s="37"/>
      <c r="U56" s="66"/>
      <c r="V56" s="67"/>
      <c r="W56" s="61"/>
      <c r="X56" s="68"/>
      <c r="Y56" s="61"/>
      <c r="Z56" s="61"/>
      <c r="AA56" s="37"/>
      <c r="AB56" s="77"/>
      <c r="AC56" s="72"/>
    </row>
    <row r="57" s="5" customFormat="1" customHeight="1" spans="1:29">
      <c r="A57" s="76"/>
      <c r="B57" s="61"/>
      <c r="C57" s="78"/>
      <c r="D57" s="61"/>
      <c r="E57" s="78"/>
      <c r="F57" s="62"/>
      <c r="G57" s="37"/>
      <c r="H57" s="37"/>
      <c r="I57" s="61"/>
      <c r="J57" s="61"/>
      <c r="K57" s="61"/>
      <c r="L57" s="79"/>
      <c r="M57" s="72"/>
      <c r="N57" s="77"/>
      <c r="O57" s="80"/>
      <c r="P57" s="72"/>
      <c r="Q57" s="72"/>
      <c r="R57" s="81"/>
      <c r="S57" s="81"/>
      <c r="T57" s="81"/>
      <c r="U57" s="85"/>
      <c r="V57" s="67"/>
      <c r="W57" s="61"/>
      <c r="X57" s="68"/>
      <c r="Y57" s="61"/>
      <c r="Z57" s="61"/>
      <c r="AA57" s="37"/>
      <c r="AB57" s="77"/>
      <c r="AC57" s="72"/>
    </row>
    <row r="58" s="5" customFormat="1" customHeight="1" spans="1:29">
      <c r="A58" s="76"/>
      <c r="B58" s="61"/>
      <c r="C58" s="78"/>
      <c r="D58" s="61"/>
      <c r="E58" s="78"/>
      <c r="F58" s="62"/>
      <c r="G58" s="37"/>
      <c r="H58" s="37"/>
      <c r="I58" s="61"/>
      <c r="J58" s="61"/>
      <c r="K58" s="61"/>
      <c r="L58" s="67"/>
      <c r="M58" s="61"/>
      <c r="N58" s="77"/>
      <c r="O58" s="68"/>
      <c r="P58" s="61"/>
      <c r="Q58" s="61"/>
      <c r="R58" s="37"/>
      <c r="S58" s="37"/>
      <c r="T58" s="37"/>
      <c r="U58" s="66"/>
      <c r="V58" s="67"/>
      <c r="W58" s="61"/>
      <c r="X58" s="68"/>
      <c r="Y58" s="61"/>
      <c r="Z58" s="61"/>
      <c r="AA58" s="37"/>
      <c r="AB58" s="77"/>
      <c r="AC58" s="72"/>
    </row>
    <row r="59" s="5" customFormat="1" customHeight="1" spans="1:29">
      <c r="A59" s="61"/>
      <c r="B59" s="61"/>
      <c r="C59" s="61"/>
      <c r="D59" s="61"/>
      <c r="E59" s="61"/>
      <c r="F59" s="61"/>
      <c r="G59" s="37"/>
      <c r="H59" s="37"/>
      <c r="I59" s="61"/>
      <c r="J59" s="61"/>
      <c r="K59" s="61"/>
      <c r="L59" s="67"/>
      <c r="M59" s="61"/>
      <c r="N59" s="77"/>
      <c r="O59" s="68"/>
      <c r="P59" s="61"/>
      <c r="Q59" s="61"/>
      <c r="R59" s="37"/>
      <c r="S59" s="37"/>
      <c r="T59" s="37"/>
      <c r="U59" s="66"/>
      <c r="V59" s="67"/>
      <c r="W59" s="61"/>
      <c r="X59" s="68"/>
      <c r="Y59" s="61"/>
      <c r="Z59" s="61"/>
      <c r="AA59" s="37"/>
      <c r="AB59" s="77"/>
      <c r="AC59" s="72"/>
    </row>
    <row r="60" s="5" customFormat="1" customHeight="1" spans="1:29">
      <c r="A60" s="61"/>
      <c r="B60" s="61"/>
      <c r="C60" s="61"/>
      <c r="D60" s="61"/>
      <c r="E60" s="61"/>
      <c r="F60" s="61"/>
      <c r="G60" s="37"/>
      <c r="H60" s="37"/>
      <c r="I60" s="61"/>
      <c r="J60" s="61"/>
      <c r="K60" s="61"/>
      <c r="L60" s="61"/>
      <c r="M60" s="61"/>
      <c r="N60" s="77"/>
      <c r="O60" s="61"/>
      <c r="P60" s="61"/>
      <c r="Q60" s="61"/>
      <c r="R60" s="37"/>
      <c r="S60" s="37"/>
      <c r="T60" s="37"/>
      <c r="U60" s="66"/>
      <c r="V60" s="67"/>
      <c r="W60" s="61"/>
      <c r="X60" s="68"/>
      <c r="Y60" s="61"/>
      <c r="Z60" s="61"/>
      <c r="AA60" s="37"/>
      <c r="AB60" s="77"/>
      <c r="AC60" s="72"/>
    </row>
    <row r="61" s="5" customFormat="1" customHeight="1" spans="1:29">
      <c r="A61" s="61"/>
      <c r="B61" s="61"/>
      <c r="C61" s="61"/>
      <c r="D61" s="61"/>
      <c r="E61" s="61"/>
      <c r="F61" s="61"/>
      <c r="G61" s="37"/>
      <c r="H61" s="37"/>
      <c r="I61" s="61"/>
      <c r="J61" s="61"/>
      <c r="K61" s="61"/>
      <c r="L61" s="61"/>
      <c r="M61" s="61"/>
      <c r="N61" s="77"/>
      <c r="O61" s="61"/>
      <c r="P61" s="61"/>
      <c r="Q61" s="61"/>
      <c r="R61" s="37"/>
      <c r="S61" s="37"/>
      <c r="T61" s="37"/>
      <c r="U61" s="66"/>
      <c r="V61" s="67"/>
      <c r="W61" s="61"/>
      <c r="X61" s="68"/>
      <c r="Y61" s="61"/>
      <c r="Z61" s="61"/>
      <c r="AA61" s="37"/>
      <c r="AB61" s="77"/>
      <c r="AC61" s="72"/>
    </row>
    <row r="62" s="5" customFormat="1" customHeight="1" spans="1:29">
      <c r="A62" s="61"/>
      <c r="B62" s="61"/>
      <c r="C62" s="61"/>
      <c r="D62" s="61"/>
      <c r="E62" s="61"/>
      <c r="F62" s="61"/>
      <c r="G62" s="37"/>
      <c r="H62" s="37"/>
      <c r="I62" s="61"/>
      <c r="J62" s="61"/>
      <c r="K62" s="61"/>
      <c r="L62" s="61"/>
      <c r="M62" s="61"/>
      <c r="N62" s="77"/>
      <c r="O62" s="61"/>
      <c r="P62" s="61"/>
      <c r="Q62" s="61"/>
      <c r="R62" s="37"/>
      <c r="S62" s="37"/>
      <c r="T62" s="37"/>
      <c r="U62" s="66"/>
      <c r="V62" s="67"/>
      <c r="W62" s="61"/>
      <c r="X62" s="68"/>
      <c r="Y62" s="61"/>
      <c r="Z62" s="61"/>
      <c r="AA62" s="37"/>
      <c r="AB62" s="77"/>
      <c r="AC62" s="72"/>
    </row>
    <row r="63" s="5" customFormat="1" customHeight="1" spans="1:29">
      <c r="A63" s="61"/>
      <c r="B63" s="61"/>
      <c r="C63" s="61"/>
      <c r="D63" s="61"/>
      <c r="E63" s="61"/>
      <c r="F63" s="61"/>
      <c r="G63" s="37"/>
      <c r="H63" s="37"/>
      <c r="I63" s="61"/>
      <c r="J63" s="61"/>
      <c r="K63" s="61"/>
      <c r="L63" s="61"/>
      <c r="M63" s="61"/>
      <c r="N63" s="77"/>
      <c r="O63" s="61"/>
      <c r="P63" s="61"/>
      <c r="Q63" s="61"/>
      <c r="R63" s="37"/>
      <c r="S63" s="37"/>
      <c r="T63" s="37"/>
      <c r="U63" s="61"/>
      <c r="V63" s="67"/>
      <c r="W63" s="61"/>
      <c r="X63" s="68"/>
      <c r="Y63" s="61"/>
      <c r="Z63" s="61"/>
      <c r="AA63" s="37"/>
      <c r="AB63" s="77"/>
      <c r="AC63" s="72"/>
    </row>
    <row r="64" s="5" customFormat="1" customHeight="1" spans="1:29">
      <c r="A64" s="61"/>
      <c r="B64" s="61"/>
      <c r="C64" s="61"/>
      <c r="D64" s="61"/>
      <c r="E64" s="61"/>
      <c r="F64" s="61"/>
      <c r="G64" s="37"/>
      <c r="H64" s="37"/>
      <c r="I64" s="61"/>
      <c r="J64" s="61"/>
      <c r="K64" s="61"/>
      <c r="L64" s="61"/>
      <c r="M64" s="61"/>
      <c r="N64" s="77"/>
      <c r="O64" s="61"/>
      <c r="P64" s="61"/>
      <c r="Q64" s="61"/>
      <c r="R64" s="37"/>
      <c r="S64" s="37"/>
      <c r="T64" s="37"/>
      <c r="U64" s="61"/>
      <c r="V64" s="67"/>
      <c r="W64" s="61"/>
      <c r="X64" s="68"/>
      <c r="Y64" s="61"/>
      <c r="Z64" s="61"/>
      <c r="AA64" s="37"/>
      <c r="AB64" s="77"/>
      <c r="AC64" s="70"/>
    </row>
    <row r="65" s="5" customFormat="1" customHeight="1" spans="1:33">
      <c r="A65" s="61"/>
      <c r="B65" s="61"/>
      <c r="C65" s="61"/>
      <c r="D65" s="61"/>
      <c r="E65" s="61"/>
      <c r="F65" s="61"/>
      <c r="G65" s="37"/>
      <c r="H65" s="37"/>
      <c r="I65" s="61"/>
      <c r="J65" s="61"/>
      <c r="K65" s="61"/>
      <c r="L65" s="61"/>
      <c r="M65" s="61"/>
      <c r="N65" s="77"/>
      <c r="O65" s="61"/>
      <c r="P65" s="61"/>
      <c r="Q65" s="61"/>
      <c r="R65" s="37"/>
      <c r="S65" s="37"/>
      <c r="T65" s="37"/>
      <c r="U65" s="61"/>
      <c r="V65" s="67"/>
      <c r="W65" s="61"/>
      <c r="X65" s="68"/>
      <c r="Y65" s="61"/>
      <c r="Z65" s="61"/>
      <c r="AA65" s="37"/>
      <c r="AB65" s="77"/>
      <c r="AC65" s="72"/>
    </row>
    <row r="66" s="5" customFormat="1" customHeight="1" spans="1:33">
      <c r="A66" s="61"/>
      <c r="B66" s="61"/>
      <c r="C66" s="61"/>
      <c r="D66" s="61"/>
      <c r="E66" s="61"/>
      <c r="F66" s="61"/>
      <c r="G66" s="37"/>
      <c r="H66" s="37"/>
      <c r="I66" s="61"/>
      <c r="J66" s="61"/>
      <c r="K66" s="61"/>
      <c r="L66" s="61"/>
      <c r="M66" s="61"/>
      <c r="N66" s="77"/>
      <c r="O66" s="61"/>
      <c r="P66" s="61"/>
      <c r="Q66" s="61"/>
      <c r="R66" s="37"/>
      <c r="S66" s="37"/>
      <c r="T66" s="37"/>
      <c r="U66" s="61"/>
      <c r="V66" s="61"/>
      <c r="W66" s="61"/>
      <c r="X66" s="68"/>
      <c r="Y66" s="72"/>
      <c r="Z66" s="72"/>
      <c r="AA66" s="81"/>
      <c r="AB66" s="72"/>
      <c r="AC66" s="72"/>
    </row>
    <row r="67" s="5" customFormat="1" customHeight="1" spans="1:33">
      <c r="A67" s="61"/>
      <c r="B67" s="61"/>
      <c r="C67" s="61"/>
      <c r="D67" s="61"/>
      <c r="E67" s="61"/>
      <c r="F67" s="61"/>
      <c r="G67" s="37"/>
      <c r="H67" s="37"/>
      <c r="I67" s="61"/>
      <c r="J67" s="61"/>
      <c r="K67" s="61"/>
      <c r="L67" s="61"/>
      <c r="M67" s="61"/>
      <c r="N67" s="77"/>
      <c r="O67" s="61"/>
      <c r="P67" s="61"/>
      <c r="Q67" s="61"/>
      <c r="R67" s="37"/>
      <c r="S67" s="37"/>
      <c r="T67" s="37"/>
      <c r="U67" s="61"/>
      <c r="V67" s="61"/>
      <c r="W67" s="61"/>
      <c r="X67" s="68"/>
      <c r="Y67" s="72"/>
      <c r="Z67" s="72"/>
      <c r="AA67" s="81"/>
      <c r="AB67" s="72"/>
      <c r="AC67" s="72"/>
    </row>
    <row r="68" s="5" customFormat="1" customHeight="1" spans="1:33">
      <c r="A68" s="61"/>
      <c r="B68" s="61"/>
      <c r="C68" s="61"/>
      <c r="D68" s="61"/>
      <c r="E68" s="61"/>
      <c r="F68" s="61"/>
      <c r="G68" s="37"/>
      <c r="H68" s="37"/>
      <c r="I68" s="61"/>
      <c r="J68" s="61"/>
      <c r="K68" s="61"/>
      <c r="L68" s="61"/>
      <c r="M68" s="61"/>
      <c r="N68" s="77"/>
      <c r="O68" s="61"/>
      <c r="P68" s="61"/>
      <c r="Q68" s="61"/>
      <c r="R68" s="37"/>
      <c r="S68" s="37"/>
      <c r="T68" s="37"/>
      <c r="U68" s="61"/>
      <c r="V68" s="61"/>
      <c r="W68" s="61"/>
      <c r="X68" s="68"/>
      <c r="Y68" s="72"/>
      <c r="Z68" s="72"/>
      <c r="AA68" s="81"/>
      <c r="AB68" s="72"/>
      <c r="AC68" s="72"/>
    </row>
    <row r="69" s="5" customFormat="1" customHeight="1" spans="1:33">
      <c r="A69" s="61"/>
      <c r="B69" s="61"/>
      <c r="C69" s="61"/>
      <c r="D69" s="61"/>
      <c r="E69" s="61"/>
      <c r="F69" s="61"/>
      <c r="G69" s="37"/>
      <c r="H69" s="37"/>
      <c r="I69" s="61"/>
      <c r="J69" s="61"/>
      <c r="K69" s="61"/>
      <c r="L69" s="61"/>
      <c r="M69" s="61"/>
      <c r="N69" s="77"/>
      <c r="O69" s="61"/>
      <c r="P69" s="61"/>
      <c r="Q69" s="61"/>
      <c r="R69" s="37"/>
      <c r="S69" s="37"/>
      <c r="T69" s="37"/>
      <c r="U69" s="61"/>
      <c r="V69" s="61"/>
      <c r="W69" s="61"/>
      <c r="X69" s="68"/>
      <c r="Y69" s="72"/>
      <c r="Z69" s="72"/>
      <c r="AA69" s="81"/>
      <c r="AB69" s="72"/>
      <c r="AC69" s="72"/>
    </row>
    <row r="70" s="5" customFormat="1" customHeight="1" spans="1:33">
      <c r="A70" s="61"/>
      <c r="B70" s="61"/>
      <c r="C70" s="61"/>
      <c r="D70" s="61"/>
      <c r="E70" s="61"/>
      <c r="F70" s="61"/>
      <c r="G70" s="37"/>
      <c r="H70" s="37"/>
      <c r="I70" s="61"/>
      <c r="J70" s="61"/>
      <c r="K70" s="61"/>
      <c r="L70" s="61"/>
      <c r="M70" s="61"/>
      <c r="N70" s="77"/>
      <c r="O70" s="61"/>
      <c r="P70" s="61"/>
      <c r="Q70" s="61"/>
      <c r="R70" s="37"/>
      <c r="S70" s="37"/>
      <c r="T70" s="37"/>
      <c r="U70" s="61"/>
      <c r="V70" s="61"/>
      <c r="W70" s="61"/>
      <c r="X70" s="68"/>
      <c r="Y70" s="72"/>
      <c r="Z70" s="72"/>
      <c r="AA70" s="81"/>
      <c r="AB70" s="72"/>
      <c r="AC70" s="72"/>
    </row>
    <row r="71" s="5" customFormat="1" customHeight="1" spans="1:33">
      <c r="A71" s="61"/>
      <c r="B71" s="61"/>
      <c r="C71" s="61"/>
      <c r="D71" s="61"/>
      <c r="E71" s="61"/>
      <c r="F71" s="61"/>
      <c r="G71" s="37"/>
      <c r="H71" s="37"/>
      <c r="I71" s="61"/>
      <c r="J71" s="61"/>
      <c r="K71" s="61"/>
      <c r="L71" s="61"/>
      <c r="M71" s="61"/>
      <c r="N71" s="77"/>
      <c r="O71" s="61"/>
      <c r="P71" s="61"/>
      <c r="Q71" s="61"/>
      <c r="R71" s="37"/>
      <c r="S71" s="37"/>
      <c r="T71" s="37"/>
      <c r="U71" s="61"/>
      <c r="V71" s="61"/>
      <c r="W71" s="61"/>
      <c r="X71" s="68"/>
      <c r="Y71" s="72"/>
      <c r="Z71" s="72"/>
      <c r="AA71" s="81"/>
      <c r="AB71" s="72"/>
      <c r="AC71" s="72"/>
    </row>
    <row r="72" s="5" customFormat="1" customHeight="1" spans="1:33">
      <c r="A72" s="61"/>
      <c r="B72" s="61"/>
      <c r="C72" s="61"/>
      <c r="D72" s="61"/>
      <c r="E72" s="61"/>
      <c r="F72" s="61"/>
      <c r="G72" s="37"/>
      <c r="H72" s="37"/>
      <c r="I72" s="61"/>
      <c r="J72" s="61"/>
      <c r="K72" s="61"/>
      <c r="L72" s="61"/>
      <c r="M72" s="61"/>
      <c r="N72" s="77"/>
      <c r="O72" s="61"/>
      <c r="P72" s="61"/>
      <c r="Q72" s="61"/>
      <c r="R72" s="37"/>
      <c r="S72" s="37"/>
      <c r="T72" s="37"/>
      <c r="U72" s="61"/>
      <c r="V72" s="61"/>
      <c r="W72" s="61"/>
      <c r="X72" s="68"/>
      <c r="Y72" s="72"/>
      <c r="Z72" s="72"/>
      <c r="AA72" s="81"/>
      <c r="AB72" s="72"/>
      <c r="AC72" s="72"/>
    </row>
    <row r="73" s="5" customFormat="1" customHeight="1" spans="1:33">
      <c r="A73" s="61"/>
      <c r="B73" s="61"/>
      <c r="C73" s="61"/>
      <c r="D73" s="61"/>
      <c r="E73" s="61"/>
      <c r="F73" s="61"/>
      <c r="G73" s="37"/>
      <c r="H73" s="37"/>
      <c r="I73" s="61"/>
      <c r="J73" s="61"/>
      <c r="K73" s="61"/>
      <c r="L73" s="61"/>
      <c r="M73" s="61"/>
      <c r="N73" s="77"/>
      <c r="O73" s="61"/>
      <c r="P73" s="61"/>
      <c r="Q73" s="61"/>
      <c r="R73" s="37"/>
      <c r="S73" s="37"/>
      <c r="T73" s="37"/>
      <c r="U73" s="61"/>
      <c r="V73" s="61"/>
      <c r="W73" s="61"/>
      <c r="X73" s="68"/>
      <c r="Y73" s="72"/>
      <c r="Z73" s="72"/>
      <c r="AA73" s="81"/>
      <c r="AB73" s="72"/>
      <c r="AC73" s="72"/>
    </row>
    <row r="74" s="5" customFormat="1" customHeight="1" spans="1:33">
      <c r="A74" s="61"/>
      <c r="B74" s="61"/>
      <c r="C74" s="61"/>
      <c r="D74" s="61"/>
      <c r="E74" s="61"/>
      <c r="F74" s="61"/>
      <c r="G74" s="37"/>
      <c r="H74" s="37"/>
      <c r="I74" s="61"/>
      <c r="J74" s="61"/>
      <c r="K74" s="61"/>
      <c r="L74" s="61"/>
      <c r="M74" s="61"/>
      <c r="N74" s="77"/>
      <c r="O74" s="61"/>
      <c r="P74" s="61"/>
      <c r="Q74" s="61"/>
      <c r="R74" s="37"/>
      <c r="S74" s="37"/>
      <c r="T74" s="37"/>
      <c r="U74" s="61"/>
      <c r="V74" s="61"/>
      <c r="W74" s="61"/>
      <c r="X74" s="68"/>
      <c r="Y74" s="72"/>
      <c r="Z74" s="72"/>
      <c r="AA74" s="81"/>
      <c r="AB74" s="72"/>
      <c r="AC74" s="72"/>
    </row>
    <row r="75" s="5" customFormat="1" customHeight="1" spans="1:33">
      <c r="A75" s="61"/>
      <c r="B75" s="61"/>
      <c r="C75" s="61"/>
      <c r="D75" s="61"/>
      <c r="E75" s="61"/>
      <c r="F75" s="61"/>
      <c r="G75" s="37"/>
      <c r="H75" s="37"/>
      <c r="I75" s="61"/>
      <c r="J75" s="61"/>
      <c r="K75" s="61"/>
      <c r="L75" s="61"/>
      <c r="M75" s="61"/>
      <c r="N75" s="77"/>
      <c r="O75" s="61"/>
      <c r="P75" s="61"/>
      <c r="Q75" s="61"/>
      <c r="R75" s="37"/>
      <c r="S75" s="37"/>
      <c r="T75" s="37"/>
      <c r="U75" s="61"/>
      <c r="V75" s="61"/>
      <c r="W75" s="61"/>
      <c r="X75" s="68"/>
      <c r="Y75" s="72"/>
      <c r="Z75" s="72"/>
      <c r="AA75" s="81"/>
      <c r="AB75" s="72"/>
      <c r="AC75" s="72"/>
    </row>
    <row r="76" s="5" customFormat="1" customHeight="1" spans="1:33">
      <c r="A76" s="73"/>
      <c r="B76" s="73"/>
      <c r="C76" s="73"/>
      <c r="D76" s="73"/>
      <c r="E76" s="73"/>
      <c r="F76" s="73"/>
      <c r="G76" s="74"/>
      <c r="H76" s="74"/>
      <c r="I76" s="73"/>
      <c r="J76" s="73"/>
      <c r="K76" s="73"/>
      <c r="L76" s="73"/>
      <c r="M76" s="73"/>
      <c r="N76" s="73"/>
      <c r="O76" s="73"/>
      <c r="P76" s="73"/>
      <c r="Q76" s="73"/>
      <c r="R76" s="74"/>
      <c r="S76" s="74"/>
      <c r="T76" s="74"/>
      <c r="U76" s="73"/>
      <c r="V76" s="73"/>
      <c r="W76" s="73"/>
      <c r="X76" s="73"/>
      <c r="Y76" s="73"/>
      <c r="Z76" s="73"/>
      <c r="AA76" s="74"/>
      <c r="AB76" s="75"/>
      <c r="AC76" s="75"/>
      <c r="AD76" s="75"/>
      <c r="AE76" s="75"/>
      <c r="AF76" s="75"/>
      <c r="AG76" s="75"/>
    </row>
    <row r="78" customHeight="1" spans="1:33">
      <c r="A78" s="8" t="s">
        <v>384</v>
      </c>
    </row>
    <row r="79" ht="29.1" customHeight="1" spans="1:33">
      <c r="A79" s="34" t="s">
        <v>385</v>
      </c>
      <c r="B79" s="34" t="s">
        <v>386</v>
      </c>
      <c r="C79" s="34" t="s">
        <v>387</v>
      </c>
      <c r="D79" s="86" t="s">
        <v>388</v>
      </c>
      <c r="E79" s="87" t="s">
        <v>389</v>
      </c>
      <c r="F79" s="87" t="s">
        <v>390</v>
      </c>
      <c r="G79" s="87" t="s">
        <v>391</v>
      </c>
      <c r="H79" s="34" t="s">
        <v>392</v>
      </c>
      <c r="I79" s="34" t="s">
        <v>393</v>
      </c>
      <c r="J79" s="34" t="s">
        <v>394</v>
      </c>
      <c r="K79" s="34" t="s">
        <v>395</v>
      </c>
      <c r="L79" s="34" t="s">
        <v>92</v>
      </c>
      <c r="M79" s="34" t="s">
        <v>310</v>
      </c>
    </row>
    <row r="80" ht="29.1" customHeight="1" spans="1:33">
      <c r="A80" s="88"/>
      <c r="B80" s="89"/>
      <c r="C80" s="89"/>
      <c r="D80" s="90"/>
      <c r="E80" s="90"/>
      <c r="F80" s="90"/>
      <c r="G80" s="90"/>
      <c r="H80" s="61"/>
      <c r="I80" s="90"/>
      <c r="J80" s="89"/>
      <c r="K80" s="89"/>
      <c r="L80" s="89">
        <f t="shared" ref="L80:L92" si="8">SUM(D80:K80)</f>
        <v>0</v>
      </c>
      <c r="M80" s="89"/>
    </row>
    <row r="81" ht="29.1" customHeight="1" spans="1:13">
      <c r="A81" s="88"/>
      <c r="B81" s="89"/>
      <c r="C81" s="89"/>
      <c r="D81" s="90"/>
      <c r="E81" s="90"/>
      <c r="F81" s="90"/>
      <c r="G81" s="90"/>
      <c r="H81" s="61"/>
      <c r="I81" s="90"/>
      <c r="J81" s="89"/>
      <c r="K81" s="89"/>
      <c r="L81" s="89">
        <f t="shared" si="8"/>
        <v>0</v>
      </c>
      <c r="M81" s="89"/>
    </row>
    <row r="82" ht="29.1" customHeight="1" spans="1:13">
      <c r="A82" s="88"/>
      <c r="B82" s="89"/>
      <c r="C82" s="89"/>
      <c r="D82" s="90"/>
      <c r="E82" s="90"/>
      <c r="F82" s="90"/>
      <c r="G82" s="90"/>
      <c r="H82" s="61"/>
      <c r="I82" s="90"/>
      <c r="J82" s="89"/>
      <c r="K82" s="89"/>
      <c r="L82" s="89">
        <f t="shared" si="8"/>
        <v>0</v>
      </c>
      <c r="M82" s="89"/>
    </row>
    <row r="83" ht="29.1" customHeight="1" spans="1:13">
      <c r="A83" s="88"/>
      <c r="B83" s="89"/>
      <c r="C83" s="89"/>
      <c r="D83" s="90"/>
      <c r="E83" s="90"/>
      <c r="F83" s="90"/>
      <c r="G83" s="90"/>
      <c r="H83" s="61"/>
      <c r="I83" s="90"/>
      <c r="J83" s="89"/>
      <c r="K83" s="89"/>
      <c r="L83" s="89">
        <f t="shared" si="8"/>
        <v>0</v>
      </c>
      <c r="M83" s="89"/>
    </row>
    <row r="84" ht="29.1" customHeight="1" spans="1:13">
      <c r="A84" s="88"/>
      <c r="B84" s="89"/>
      <c r="C84" s="89"/>
      <c r="D84" s="90"/>
      <c r="E84" s="90"/>
      <c r="F84" s="90"/>
      <c r="G84" s="90"/>
      <c r="H84" s="61"/>
      <c r="I84" s="90"/>
      <c r="J84" s="89"/>
      <c r="K84" s="89"/>
      <c r="L84" s="89">
        <f t="shared" si="8"/>
        <v>0</v>
      </c>
      <c r="M84" s="89"/>
    </row>
    <row r="85" ht="29.1" customHeight="1" spans="1:13">
      <c r="A85" s="88"/>
      <c r="B85" s="89"/>
      <c r="C85" s="89"/>
      <c r="D85" s="90"/>
      <c r="E85" s="90"/>
      <c r="F85" s="90"/>
      <c r="G85" s="90"/>
      <c r="H85" s="61"/>
      <c r="I85" s="90"/>
      <c r="J85" s="89"/>
      <c r="K85" s="89"/>
      <c r="L85" s="89">
        <f t="shared" si="8"/>
        <v>0</v>
      </c>
      <c r="M85" s="89"/>
    </row>
    <row r="86" ht="29.1" customHeight="1" spans="1:13">
      <c r="A86" s="88"/>
      <c r="B86" s="89"/>
      <c r="C86" s="89"/>
      <c r="D86" s="90"/>
      <c r="E86" s="90"/>
      <c r="F86" s="90"/>
      <c r="G86" s="90"/>
      <c r="H86" s="61"/>
      <c r="I86" s="90"/>
      <c r="J86" s="89"/>
      <c r="K86" s="89"/>
      <c r="L86" s="89">
        <f t="shared" si="8"/>
        <v>0</v>
      </c>
      <c r="M86" s="89"/>
    </row>
    <row r="87" ht="29.1" customHeight="1" spans="1:13">
      <c r="A87" s="88"/>
      <c r="B87" s="89"/>
      <c r="C87" s="89"/>
      <c r="D87" s="90"/>
      <c r="E87" s="90"/>
      <c r="F87" s="90"/>
      <c r="G87" s="90"/>
      <c r="H87" s="61"/>
      <c r="I87" s="90"/>
      <c r="J87" s="89"/>
      <c r="K87" s="89"/>
      <c r="L87" s="89">
        <f t="shared" si="8"/>
        <v>0</v>
      </c>
      <c r="M87" s="89"/>
    </row>
    <row r="88" ht="29.1" customHeight="1" spans="1:13">
      <c r="A88" s="88"/>
      <c r="B88" s="89"/>
      <c r="C88" s="89"/>
      <c r="D88" s="90"/>
      <c r="E88" s="90"/>
      <c r="F88" s="90"/>
      <c r="G88" s="90"/>
      <c r="H88" s="61"/>
      <c r="I88" s="90"/>
      <c r="J88" s="89"/>
      <c r="K88" s="89"/>
      <c r="L88" s="89">
        <f t="shared" si="8"/>
        <v>0</v>
      </c>
      <c r="M88" s="89"/>
    </row>
    <row r="89" ht="29.1" customHeight="1" spans="1:13">
      <c r="A89" s="88"/>
      <c r="B89" s="89"/>
      <c r="C89" s="89"/>
      <c r="D89" s="90"/>
      <c r="E89" s="90"/>
      <c r="F89" s="90"/>
      <c r="G89" s="90"/>
      <c r="H89" s="61"/>
      <c r="I89" s="90"/>
      <c r="J89" s="89"/>
      <c r="K89" s="89"/>
      <c r="L89" s="89">
        <f t="shared" si="8"/>
        <v>0</v>
      </c>
      <c r="M89" s="89"/>
    </row>
    <row r="90" ht="29.1" customHeight="1" spans="1:13">
      <c r="A90" s="88"/>
      <c r="B90" s="89"/>
      <c r="C90" s="89"/>
      <c r="D90" s="90"/>
      <c r="E90" s="90"/>
      <c r="F90" s="90"/>
      <c r="G90" s="90"/>
      <c r="H90" s="61"/>
      <c r="I90" s="90"/>
      <c r="J90" s="89"/>
      <c r="K90" s="89"/>
      <c r="L90" s="89">
        <f t="shared" si="8"/>
        <v>0</v>
      </c>
      <c r="M90" s="89"/>
    </row>
    <row r="91" ht="29.1" customHeight="1" spans="1:13">
      <c r="A91" s="88"/>
      <c r="B91" s="89"/>
      <c r="C91" s="89"/>
      <c r="D91" s="90"/>
      <c r="E91" s="90"/>
      <c r="F91" s="90"/>
      <c r="G91" s="90"/>
      <c r="H91" s="61"/>
      <c r="I91" s="90"/>
      <c r="J91" s="89"/>
      <c r="K91" s="89"/>
      <c r="L91" s="89">
        <f t="shared" si="8"/>
        <v>0</v>
      </c>
      <c r="M91" s="89"/>
    </row>
    <row r="92" ht="29.1" customHeight="1" spans="1:13">
      <c r="A92" s="88"/>
      <c r="B92" s="89"/>
      <c r="C92" s="89"/>
      <c r="D92" s="61"/>
      <c r="E92" s="61"/>
      <c r="F92" s="61"/>
      <c r="G92" s="61"/>
      <c r="H92" s="61"/>
      <c r="I92" s="61"/>
      <c r="J92" s="89"/>
      <c r="K92" s="89"/>
      <c r="L92" s="89">
        <f t="shared" si="8"/>
        <v>0</v>
      </c>
      <c r="M92" s="89"/>
    </row>
    <row r="93" ht="29.1" customHeight="1" spans="1:13">
      <c r="A93" s="61" t="s">
        <v>92</v>
      </c>
      <c r="B93" s="61">
        <f t="shared" ref="B93:M93" si="9">SUM(B80:B92)</f>
        <v>0</v>
      </c>
      <c r="C93" s="61">
        <f t="shared" si="9"/>
        <v>0</v>
      </c>
      <c r="D93" s="61">
        <f t="shared" si="9"/>
        <v>0</v>
      </c>
      <c r="E93" s="61">
        <f t="shared" si="9"/>
        <v>0</v>
      </c>
      <c r="F93" s="61">
        <f t="shared" si="9"/>
        <v>0</v>
      </c>
      <c r="G93" s="61">
        <f t="shared" si="9"/>
        <v>0</v>
      </c>
      <c r="H93" s="61">
        <f t="shared" si="9"/>
        <v>0</v>
      </c>
      <c r="I93" s="61">
        <f t="shared" si="9"/>
        <v>0</v>
      </c>
      <c r="J93" s="61">
        <f t="shared" si="9"/>
        <v>0</v>
      </c>
      <c r="K93" s="61">
        <f t="shared" si="9"/>
        <v>0</v>
      </c>
      <c r="L93" s="61">
        <f t="shared" si="9"/>
        <v>0</v>
      </c>
      <c r="M93" s="61">
        <f t="shared" si="9"/>
        <v>0</v>
      </c>
    </row>
    <row r="95" customHeight="1" spans="1:13">
      <c r="A95" s="8" t="s">
        <v>396</v>
      </c>
    </row>
    <row r="96" customHeight="1" spans="1:13">
      <c r="A96" s="91" t="s">
        <v>397</v>
      </c>
      <c r="B96" s="34" t="s">
        <v>398</v>
      </c>
      <c r="C96" s="34" t="s">
        <v>399</v>
      </c>
      <c r="D96" s="34" t="s">
        <v>400</v>
      </c>
      <c r="E96" s="34" t="s">
        <v>401</v>
      </c>
      <c r="F96" s="34" t="s">
        <v>402</v>
      </c>
      <c r="G96" s="34" t="s">
        <v>403</v>
      </c>
      <c r="H96" s="34" t="s">
        <v>404</v>
      </c>
      <c r="I96" s="34" t="s">
        <v>92</v>
      </c>
    </row>
    <row r="97" customHeight="1" spans="1:17">
      <c r="A97" s="90" t="s">
        <v>5</v>
      </c>
      <c r="B97" s="19"/>
      <c r="C97" s="19"/>
      <c r="D97" s="19"/>
      <c r="E97" s="19"/>
      <c r="F97" s="19"/>
      <c r="G97" s="19"/>
      <c r="H97" s="19"/>
      <c r="I97" s="19">
        <f t="shared" ref="I97:I102" si="10">SUM(B97:H97)</f>
        <v>0</v>
      </c>
    </row>
    <row r="98" customHeight="1" spans="1:17">
      <c r="A98" s="61" t="s">
        <v>6</v>
      </c>
      <c r="B98" s="19"/>
      <c r="C98" s="19"/>
      <c r="D98" s="19"/>
      <c r="E98" s="19"/>
      <c r="F98" s="19"/>
      <c r="G98" s="19"/>
      <c r="H98" s="19"/>
      <c r="I98" s="19">
        <f t="shared" si="10"/>
        <v>0</v>
      </c>
    </row>
    <row r="99" customHeight="1" spans="1:17">
      <c r="A99" s="61" t="s">
        <v>405</v>
      </c>
      <c r="B99" s="19"/>
      <c r="C99" s="19"/>
      <c r="D99" s="19"/>
      <c r="E99" s="19"/>
      <c r="F99" s="19"/>
      <c r="G99" s="19"/>
      <c r="H99" s="19"/>
      <c r="I99" s="19">
        <f t="shared" si="10"/>
        <v>0</v>
      </c>
    </row>
    <row r="100" customHeight="1" spans="1:17">
      <c r="A100" s="61" t="s">
        <v>406</v>
      </c>
      <c r="B100" s="19"/>
      <c r="C100" s="19"/>
      <c r="D100" s="19"/>
      <c r="E100" s="19"/>
      <c r="F100" s="19"/>
      <c r="G100" s="19"/>
      <c r="H100" s="19"/>
      <c r="I100" s="19">
        <f t="shared" si="10"/>
        <v>0</v>
      </c>
    </row>
    <row r="101" customHeight="1" spans="1:17">
      <c r="A101" s="18" t="s">
        <v>407</v>
      </c>
      <c r="B101" s="19"/>
      <c r="C101" s="19"/>
      <c r="D101" s="19"/>
      <c r="E101" s="19"/>
      <c r="F101" s="19"/>
      <c r="G101" s="19"/>
      <c r="H101" s="19"/>
      <c r="I101" s="19">
        <f t="shared" si="10"/>
        <v>0</v>
      </c>
    </row>
    <row r="102" customHeight="1" spans="1:17">
      <c r="A102" s="18" t="s">
        <v>408</v>
      </c>
      <c r="B102" s="19"/>
      <c r="C102" s="19"/>
      <c r="D102" s="19"/>
      <c r="E102" s="19"/>
      <c r="F102" s="19"/>
      <c r="G102" s="19"/>
      <c r="H102" s="19"/>
      <c r="I102" s="19">
        <f t="shared" si="10"/>
        <v>0</v>
      </c>
    </row>
    <row r="105" ht="29.1" customHeight="1" spans="1:17">
      <c r="A105" s="8" t="s">
        <v>409</v>
      </c>
    </row>
    <row r="106" customHeight="1" spans="1:17">
      <c r="A106" s="91" t="s">
        <v>2</v>
      </c>
      <c r="B106" s="34" t="s">
        <v>410</v>
      </c>
      <c r="C106" s="34" t="s">
        <v>411</v>
      </c>
      <c r="D106" s="34" t="s">
        <v>413</v>
      </c>
      <c r="E106" s="34" t="s">
        <v>414</v>
      </c>
      <c r="F106" s="34" t="s">
        <v>415</v>
      </c>
      <c r="G106" s="34" t="s">
        <v>416</v>
      </c>
      <c r="H106" s="34" t="s">
        <v>417</v>
      </c>
      <c r="I106" s="34" t="s">
        <v>418</v>
      </c>
      <c r="J106" s="34" t="s">
        <v>419</v>
      </c>
      <c r="K106" s="34" t="s">
        <v>420</v>
      </c>
      <c r="L106" s="34" t="s">
        <v>421</v>
      </c>
      <c r="M106" s="34" t="s">
        <v>422</v>
      </c>
      <c r="N106" s="34" t="s">
        <v>423</v>
      </c>
      <c r="O106" s="92" t="s">
        <v>424</v>
      </c>
      <c r="P106" s="92" t="s">
        <v>425</v>
      </c>
      <c r="Q106" s="92" t="s">
        <v>426</v>
      </c>
    </row>
    <row r="107" customHeight="1" spans="1:17">
      <c r="A107" s="93" t="str">
        <f>M4</f>
        <v>来源于“共享系统”系统管理-权限管理-人员管理</v>
      </c>
      <c r="B107" s="94"/>
      <c r="C107" s="94"/>
      <c r="D107" s="94"/>
      <c r="E107" s="18"/>
      <c r="F107" s="94"/>
      <c r="G107" s="94"/>
      <c r="H107" s="94"/>
      <c r="I107" s="94"/>
      <c r="J107" s="94"/>
      <c r="K107" s="94"/>
      <c r="L107" s="94"/>
      <c r="M107" s="94"/>
      <c r="N107" s="94"/>
      <c r="O107" s="18"/>
      <c r="P107" s="18"/>
      <c r="Q107" s="18"/>
    </row>
    <row r="109" hidden="1" customHeight="1"/>
    <row r="110" customFormat="1" customHeight="1" spans="1:17">
      <c r="A110" s="8" t="s">
        <v>427</v>
      </c>
      <c r="B110" s="7"/>
      <c r="C110" s="7"/>
      <c r="D110" s="7"/>
      <c r="E110" s="7"/>
      <c r="F110" s="7"/>
      <c r="G110" s="7"/>
      <c r="H110" s="7"/>
    </row>
    <row r="111" s="6" customFormat="1" ht="27" customHeight="1" spans="1:17">
      <c r="A111" s="95" t="s">
        <v>428</v>
      </c>
      <c r="B111" s="95"/>
      <c r="C111" s="95"/>
      <c r="D111" s="95"/>
      <c r="E111" s="95"/>
      <c r="F111" s="95"/>
      <c r="G111" s="95"/>
      <c r="H111" s="95"/>
    </row>
    <row r="112" s="6" customFormat="1" ht="31.5" customHeight="1" spans="1:17">
      <c r="A112" s="95"/>
      <c r="B112" s="95"/>
      <c r="C112" s="95"/>
      <c r="D112" s="95"/>
      <c r="E112" s="95"/>
      <c r="F112" s="95"/>
      <c r="G112" s="95"/>
      <c r="H112" s="95"/>
    </row>
    <row r="113" s="6" customFormat="1" ht="45" customHeight="1" spans="1:11">
      <c r="A113" s="96" t="str">
        <f>L4</f>
        <v>来源于“共享系统”系统管理-权限管理-人员管理</v>
      </c>
      <c r="B113" s="96"/>
      <c r="C113" s="96"/>
      <c r="H113" s="97" t="s">
        <v>429</v>
      </c>
    </row>
    <row r="114" s="6" customFormat="1" ht="24" customHeight="1" spans="1:11">
      <c r="A114" s="98" t="s">
        <v>430</v>
      </c>
      <c r="B114" s="98" t="s">
        <v>431</v>
      </c>
      <c r="C114" s="98" t="s">
        <v>432</v>
      </c>
      <c r="D114" s="98" t="s">
        <v>433</v>
      </c>
      <c r="E114" s="98" t="s">
        <v>434</v>
      </c>
      <c r="F114" s="98" t="s">
        <v>435</v>
      </c>
      <c r="G114" s="98" t="s">
        <v>436</v>
      </c>
      <c r="H114" s="98" t="s">
        <v>437</v>
      </c>
      <c r="K114" s="99"/>
    </row>
    <row r="115" s="6" customFormat="1" ht="24" customHeight="1" spans="1:11">
      <c r="A115" s="100">
        <v>1</v>
      </c>
      <c r="B115" s="98" t="s">
        <v>81</v>
      </c>
      <c r="C115" s="101"/>
      <c r="D115" s="101"/>
      <c r="E115" s="101"/>
      <c r="F115" s="101"/>
      <c r="G115" s="101"/>
      <c r="H115" s="102">
        <f>V11</f>
        <v>0</v>
      </c>
      <c r="K115" s="99"/>
    </row>
    <row r="116" s="6" customFormat="1" ht="24" customHeight="1" spans="1:11">
      <c r="A116" s="100">
        <v>2</v>
      </c>
      <c r="B116" s="98" t="s">
        <v>82</v>
      </c>
      <c r="C116" s="101"/>
      <c r="D116" s="101"/>
      <c r="E116" s="101"/>
      <c r="F116" s="101"/>
      <c r="G116" s="101"/>
      <c r="H116" s="102">
        <f>W11</f>
        <v>0</v>
      </c>
      <c r="K116" s="99"/>
    </row>
    <row r="117" s="6" customFormat="1" ht="24" customHeight="1" spans="1:11">
      <c r="A117" s="100">
        <v>3</v>
      </c>
      <c r="B117" s="98" t="s">
        <v>438</v>
      </c>
      <c r="C117" s="101"/>
      <c r="D117" s="101"/>
      <c r="E117" s="101"/>
      <c r="F117" s="101"/>
      <c r="G117" s="101"/>
      <c r="H117" s="103">
        <f>H115-H116</f>
        <v>0</v>
      </c>
    </row>
    <row r="118" s="6" customFormat="1" ht="24" customHeight="1" spans="1:11">
      <c r="A118" s="100">
        <v>4</v>
      </c>
      <c r="B118" s="98" t="s">
        <v>439</v>
      </c>
      <c r="C118" s="102"/>
      <c r="D118" s="102">
        <v>0</v>
      </c>
      <c r="E118" s="102"/>
      <c r="F118" s="102"/>
      <c r="G118" s="102"/>
      <c r="H118" s="104">
        <f>C118+D118+E118+F118+G118</f>
        <v>0</v>
      </c>
      <c r="K118" s="105"/>
    </row>
    <row r="119" s="6" customFormat="1" ht="24" customHeight="1" spans="1:11">
      <c r="A119" s="100">
        <v>5</v>
      </c>
      <c r="B119" s="98" t="s">
        <v>440</v>
      </c>
      <c r="C119" s="102"/>
      <c r="D119" s="104">
        <v>0</v>
      </c>
      <c r="E119" s="104"/>
      <c r="F119" s="104"/>
      <c r="G119" s="104"/>
      <c r="H119" s="104">
        <f>C119+D119+E119+F119+G119</f>
        <v>0</v>
      </c>
    </row>
    <row r="120" s="6" customFormat="1" ht="24" customHeight="1" spans="1:11">
      <c r="A120" s="100">
        <v>6</v>
      </c>
      <c r="B120" s="104" t="s">
        <v>441</v>
      </c>
      <c r="C120" s="106" t="e">
        <f>ROUND(C118/H116,10)</f>
        <v>#DIV/0!</v>
      </c>
      <c r="D120" s="106" t="e">
        <f>ROUND((C118+D118)/H116,10)</f>
        <v>#DIV/0!</v>
      </c>
      <c r="E120" s="106" t="e">
        <f>ROUND((C118+D118+E118)/H116,10)</f>
        <v>#DIV/0!</v>
      </c>
      <c r="F120" s="106" t="e">
        <f>ROUND((C118+D118+E118+F118)/H116,10)</f>
        <v>#DIV/0!</v>
      </c>
      <c r="G120" s="106" t="e">
        <f>ROUND((C118+D118+E118+F118+G118)/H116,10)</f>
        <v>#DIV/0!</v>
      </c>
      <c r="H120" s="104"/>
    </row>
    <row r="121" s="6" customFormat="1" ht="24" customHeight="1" spans="1:11">
      <c r="A121" s="100">
        <v>7</v>
      </c>
      <c r="B121" s="104" t="s">
        <v>442</v>
      </c>
      <c r="C121" s="104">
        <f t="shared" ref="C121:G121" si="11">C119-C118</f>
        <v>0</v>
      </c>
      <c r="D121" s="104">
        <f t="shared" si="11"/>
        <v>0</v>
      </c>
      <c r="E121" s="104">
        <f t="shared" si="11"/>
        <v>0</v>
      </c>
      <c r="F121" s="104">
        <f t="shared" si="11"/>
        <v>0</v>
      </c>
      <c r="G121" s="104">
        <f t="shared" si="11"/>
        <v>0</v>
      </c>
      <c r="H121" s="104"/>
    </row>
    <row r="122" s="6" customFormat="1" ht="24" customHeight="1" spans="1:11">
      <c r="A122" s="100">
        <v>8</v>
      </c>
      <c r="B122" s="104" t="s">
        <v>443</v>
      </c>
      <c r="C122" s="104">
        <f>C119-C118</f>
        <v>0</v>
      </c>
      <c r="D122" s="104">
        <f>C121+D121</f>
        <v>0</v>
      </c>
      <c r="E122" s="104">
        <f>C121+D121+E121</f>
        <v>0</v>
      </c>
      <c r="F122" s="104">
        <f>C121+D121+E121+F121</f>
        <v>0</v>
      </c>
      <c r="G122" s="104">
        <f>C121+D121+E121+F121+G121</f>
        <v>0</v>
      </c>
      <c r="H122" s="104"/>
    </row>
    <row r="123" s="6" customFormat="1" ht="25.7" customHeight="1"/>
    <row r="124" s="6" customFormat="1" ht="25.7" customHeight="1" spans="1:11">
      <c r="B124" s="97" t="s">
        <v>444</v>
      </c>
      <c r="C124" s="97"/>
      <c r="D124" s="97"/>
      <c r="E124" s="97"/>
      <c r="F124" s="97"/>
      <c r="G124" s="97" t="s">
        <v>445</v>
      </c>
      <c r="H124" s="97"/>
    </row>
    <row r="126" customHeight="1" spans="1:11">
      <c r="A126" s="8" t="s">
        <v>446</v>
      </c>
    </row>
    <row r="127" customHeight="1" spans="1:11">
      <c r="A127" s="9" t="s">
        <v>98</v>
      </c>
      <c r="B127" s="9" t="s">
        <v>99</v>
      </c>
      <c r="C127" s="9" t="s">
        <v>100</v>
      </c>
      <c r="D127" s="9" t="s">
        <v>101</v>
      </c>
      <c r="E127" s="9" t="s">
        <v>447</v>
      </c>
      <c r="F127" s="9" t="s">
        <v>103</v>
      </c>
      <c r="G127" s="9" t="s">
        <v>104</v>
      </c>
    </row>
    <row r="128" ht="30" customHeight="1" spans="1:11">
      <c r="A128" s="107">
        <f>G11-T11-B107+C107-D107-E107-P107</f>
        <v>0</v>
      </c>
      <c r="B128" s="107">
        <f>H17-X17-J107+P107</f>
        <v>0</v>
      </c>
      <c r="C128" s="107" t="e">
        <f>SUMIFS($G$51:$G$76,$D$51:$D$76,C10)/H116*H115-O11</f>
        <v>#DIV/0!</v>
      </c>
      <c r="D128" s="107">
        <f>G12+G13-T12-T13-F107+G107-H107-I107+Q107</f>
        <v>0</v>
      </c>
      <c r="E128" s="107" t="e">
        <f>C11*(1-K4)-C12-C13</f>
        <v>#DIV/0!</v>
      </c>
      <c r="F128" s="107">
        <f>(SUMIFS($V$20:$V$46,$R$20:$R$46,C10)-SUMIFS($R$51:$R$76,$N$51:$N$76,C10))/1.09*0.02-D93</f>
        <v>0</v>
      </c>
      <c r="G128" s="107">
        <f>B107-C107+M107-N107</f>
        <v>0</v>
      </c>
    </row>
    <row r="129" ht="32.1" customHeight="1" spans="1:7">
      <c r="A129" s="18" t="s">
        <v>67</v>
      </c>
      <c r="B129" s="18" t="s">
        <v>67</v>
      </c>
      <c r="C129" s="18" t="s">
        <v>67</v>
      </c>
      <c r="D129" s="18" t="s">
        <v>67</v>
      </c>
      <c r="E129" s="108" t="s">
        <v>68</v>
      </c>
      <c r="F129" s="18" t="s">
        <v>67</v>
      </c>
      <c r="G129" s="108" t="s">
        <v>69</v>
      </c>
    </row>
    <row r="132" customHeight="1" spans="1:7">
      <c r="A132" s="1"/>
    </row>
  </sheetData>
  <autoFilter xmlns:etc="http://www.wps.cn/officeDocument/2017/etCustomData" ref="A50:AG65" etc:filterBottomFollowUsedRange="0">
    <extLst/>
  </autoFilter>
  <mergeCells count="70">
    <mergeCell ref="E2:J2"/>
    <mergeCell ref="B9:G9"/>
    <mergeCell ref="H9:M9"/>
    <mergeCell ref="N9:S9"/>
    <mergeCell ref="A18:K18"/>
    <mergeCell ref="L18:O18"/>
    <mergeCell ref="P18:Y18"/>
    <mergeCell ref="Z18:AG18"/>
    <mergeCell ref="A49:K49"/>
    <mergeCell ref="L49:U49"/>
    <mergeCell ref="V49:AC49"/>
    <mergeCell ref="A113:C113"/>
    <mergeCell ref="A2:A3"/>
    <mergeCell ref="A9:A10"/>
    <mergeCell ref="B2:B3"/>
    <mergeCell ref="C2:C3"/>
    <mergeCell ref="D2:D3"/>
    <mergeCell ref="K2:K3"/>
    <mergeCell ref="K4:K6"/>
    <mergeCell ref="L2:L3"/>
    <mergeCell ref="L4:L6"/>
    <mergeCell ref="M2:M3"/>
    <mergeCell ref="M4:M6"/>
    <mergeCell ref="N2:N3"/>
    <mergeCell ref="N4:N6"/>
    <mergeCell ref="O2:O3"/>
    <mergeCell ref="O4:O6"/>
    <mergeCell ref="P2:P3"/>
    <mergeCell ref="P4:P6"/>
    <mergeCell ref="Q2:Q3"/>
    <mergeCell ref="Q4:Q6"/>
    <mergeCell ref="R2:R3"/>
    <mergeCell ref="R4:R6"/>
    <mergeCell ref="S2:S3"/>
    <mergeCell ref="S4:S6"/>
    <mergeCell ref="T2:T3"/>
    <mergeCell ref="T4:T6"/>
    <mergeCell ref="T9:T10"/>
    <mergeCell ref="U2:U3"/>
    <mergeCell ref="U4:U6"/>
    <mergeCell ref="U9:U10"/>
    <mergeCell ref="U11:U13"/>
    <mergeCell ref="V2:V3"/>
    <mergeCell ref="V4:V6"/>
    <mergeCell ref="V9:V10"/>
    <mergeCell ref="V11:V13"/>
    <mergeCell ref="W2:W3"/>
    <mergeCell ref="W4:W6"/>
    <mergeCell ref="W9:W10"/>
    <mergeCell ref="W11:W13"/>
    <mergeCell ref="X2:X3"/>
    <mergeCell ref="X4:X6"/>
    <mergeCell ref="Y2:Y3"/>
    <mergeCell ref="Y4:Y6"/>
    <mergeCell ref="Z2:Z3"/>
    <mergeCell ref="Z4:Z6"/>
    <mergeCell ref="AA2:AA3"/>
    <mergeCell ref="AA4:AA6"/>
    <mergeCell ref="AB2:AB3"/>
    <mergeCell ref="AB4:AB6"/>
    <mergeCell ref="AC2:AC3"/>
    <mergeCell ref="AD2:AD3"/>
    <mergeCell ref="AE2:AE3"/>
    <mergeCell ref="AF2:AF3"/>
    <mergeCell ref="AG2:AG3"/>
    <mergeCell ref="AH2:AH3"/>
    <mergeCell ref="AI2:AI3"/>
    <mergeCell ref="AJ2:AJ3"/>
    <mergeCell ref="AJ4:AJ6"/>
    <mergeCell ref="A111:H112"/>
  </mergeCells>
  <dataValidations count="7">
    <dataValidation type="list" allowBlank="1" showInputMessage="1" showErrorMessage="1" sqref="N46 R46 R76 A20:A45 A59:A75 D51:D75 N51:N76 AB51:AB65">
      <formula1>"勘察设计,工程施工,设备采购,服务费,其他"</formula1>
    </dataValidation>
    <dataValidation type="list" allowBlank="1" showInputMessage="1" showErrorMessage="1" sqref="D20:D45">
      <formula1>"勘察设计,工程施工,设备采购,业主承担管理费,服务费"</formula1>
    </dataValidation>
    <dataValidation type="list" allowBlank="1" showInputMessage="1" showErrorMessage="1" sqref="F20:F45 F51:F58">
      <formula1>"6%,9%,13%"</formula1>
    </dataValidation>
    <dataValidation type="list" allowBlank="1" showInputMessage="1" showErrorMessage="1" sqref="N20:N45 R20:R45 AF20:AF45">
      <formula1>"勘察设计,工程施工,设备采购,业主承担管理费,服务费,其他"</formula1>
    </dataValidation>
    <dataValidation type="list" allowBlank="1" showInputMessage="1" showErrorMessage="1" sqref="V4:V6">
      <formula1>"铁路,公路,市政,房建,地铁、轻轨,其他基建"</formula1>
    </dataValidation>
    <dataValidation type="list" allowBlank="1" showInputMessage="1" showErrorMessage="1" sqref="X4:X5">
      <formula1>"竣工未决算,在建,收尾,竣工已决算,停缓建"</formula1>
    </dataValidation>
    <dataValidation type="list" allowBlank="1" showInputMessage="1" showErrorMessage="1" sqref="X51:X75 AB20:AB41">
      <formula1>"专户,集团户"</formula1>
    </dataValidation>
  </dataValidations>
  <pageMargins left="0.75" right="0.75" top="1" bottom="1" header="0.5" footer="0.5"/>
  <pageSetup paperSize="9"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32"/>
  <sheetViews>
    <sheetView zoomScale="90" zoomScaleNormal="90" topLeftCell="A75" workbookViewId="0">
      <selection activeCell="H132" sqref="H132"/>
    </sheetView>
  </sheetViews>
  <sheetFormatPr defaultColWidth="14.25" defaultRowHeight="21.95" customHeight="1"/>
  <cols>
    <col min="1" max="1" width="36.25" style="7" customWidth="1"/>
    <col min="2" max="2" width="30.1333333333333" style="7" customWidth="1"/>
    <col min="3" max="3" width="23.75" style="7" customWidth="1"/>
    <col min="4" max="4" width="17.1333333333333" style="7" customWidth="1"/>
    <col min="5" max="5" width="20.25" style="7" customWidth="1"/>
    <col min="6" max="6" width="17.6333333333333" style="7" customWidth="1"/>
    <col min="7" max="7" width="20.3833333333333" style="7" customWidth="1"/>
    <col min="8" max="8" width="20.6333333333333" style="7" customWidth="1"/>
    <col min="9" max="9" width="20.5" style="7" customWidth="1"/>
    <col min="10" max="10" width="18.3833333333333" style="7" customWidth="1"/>
    <col min="11" max="11" width="18.5" style="7" customWidth="1"/>
    <col min="12" max="12" width="19.3833333333333" style="7" customWidth="1"/>
    <col min="13" max="13" width="22.75" style="7" customWidth="1"/>
    <col min="14" max="14" width="21" style="7" customWidth="1"/>
    <col min="15" max="15" width="19" style="7" customWidth="1"/>
    <col min="16" max="16" width="27" style="7" customWidth="1"/>
    <col min="17" max="17" width="20.75" style="7" customWidth="1"/>
    <col min="18" max="18" width="17.25" style="7" customWidth="1"/>
    <col min="19" max="19" width="17.75" style="7" customWidth="1"/>
    <col min="20" max="20" width="23.8833333333333" style="7" customWidth="1"/>
    <col min="21" max="21" width="17.25" style="7" customWidth="1"/>
    <col min="22" max="22" width="20.75" style="7" customWidth="1"/>
    <col min="23" max="23" width="19.8833333333333" style="7" customWidth="1"/>
    <col min="24" max="24" width="16.8833333333333" style="7" customWidth="1"/>
    <col min="25" max="25" width="14.25" style="7" customWidth="1"/>
    <col min="26" max="26" width="19.25" style="7" customWidth="1"/>
    <col min="27" max="27" width="23.5" style="7" customWidth="1"/>
    <col min="28" max="30" width="14.25" style="7" customWidth="1"/>
    <col min="31" max="31" width="17.25" style="7" customWidth="1"/>
    <col min="32" max="16381" width="14.25" style="7" customWidth="1"/>
    <col min="16382" max="16384" width="14.25" style="7"/>
  </cols>
  <sheetData>
    <row r="1" customHeight="1" spans="1:36">
      <c r="A1" s="8" t="s">
        <v>0</v>
      </c>
    </row>
    <row r="2" customHeight="1" spans="1:36">
      <c r="A2" s="9" t="s">
        <v>291</v>
      </c>
      <c r="B2" s="9" t="s">
        <v>292</v>
      </c>
      <c r="C2" s="9" t="s">
        <v>293</v>
      </c>
      <c r="D2" s="10" t="s">
        <v>294</v>
      </c>
      <c r="E2" s="11" t="s">
        <v>295</v>
      </c>
      <c r="F2" s="12"/>
      <c r="G2" s="12"/>
      <c r="H2" s="12"/>
      <c r="I2" s="12"/>
      <c r="J2" s="13"/>
      <c r="K2" s="9" t="s">
        <v>9</v>
      </c>
      <c r="L2" s="9" t="s">
        <v>1</v>
      </c>
      <c r="M2" s="9" t="s">
        <v>296</v>
      </c>
      <c r="N2" s="9" t="s">
        <v>10</v>
      </c>
      <c r="O2" s="9" t="s">
        <v>11</v>
      </c>
      <c r="P2" s="9" t="s">
        <v>297</v>
      </c>
      <c r="Q2" s="9" t="s">
        <v>298</v>
      </c>
      <c r="R2" s="9" t="s">
        <v>299</v>
      </c>
      <c r="S2" s="9" t="s">
        <v>12</v>
      </c>
      <c r="T2" s="9" t="s">
        <v>13</v>
      </c>
      <c r="U2" s="9" t="s">
        <v>14</v>
      </c>
      <c r="V2" s="9" t="s">
        <v>15</v>
      </c>
      <c r="W2" s="9" t="s">
        <v>16</v>
      </c>
      <c r="X2" s="9" t="s">
        <v>17</v>
      </c>
      <c r="Y2" s="9" t="s">
        <v>300</v>
      </c>
      <c r="Z2" s="9" t="s">
        <v>301</v>
      </c>
      <c r="AA2" s="9" t="s">
        <v>302</v>
      </c>
      <c r="AB2" s="9" t="s">
        <v>303</v>
      </c>
      <c r="AC2" s="9" t="s">
        <v>304</v>
      </c>
      <c r="AD2" s="9" t="s">
        <v>305</v>
      </c>
      <c r="AE2" s="9" t="s">
        <v>304</v>
      </c>
      <c r="AF2" s="9" t="s">
        <v>306</v>
      </c>
      <c r="AG2" s="9" t="s">
        <v>307</v>
      </c>
      <c r="AH2" s="9" t="s">
        <v>308</v>
      </c>
      <c r="AI2" s="9" t="s">
        <v>309</v>
      </c>
      <c r="AJ2" s="9" t="s">
        <v>310</v>
      </c>
    </row>
    <row r="3" customHeight="1" spans="1:36">
      <c r="A3" s="14"/>
      <c r="B3" s="14"/>
      <c r="C3" s="14"/>
      <c r="D3" s="15"/>
      <c r="E3" s="16" t="s">
        <v>311</v>
      </c>
      <c r="F3" s="16" t="s">
        <v>312</v>
      </c>
      <c r="G3" s="16" t="s">
        <v>313</v>
      </c>
      <c r="H3" s="16" t="s">
        <v>314</v>
      </c>
      <c r="I3" s="16" t="s">
        <v>315</v>
      </c>
      <c r="J3" s="16" t="s">
        <v>92</v>
      </c>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Height="1" spans="1:36">
      <c r="A4" s="17" t="s">
        <v>485</v>
      </c>
      <c r="B4" s="17" t="s">
        <v>486</v>
      </c>
      <c r="C4" s="17" t="s">
        <v>487</v>
      </c>
      <c r="D4" s="18" t="s">
        <v>319</v>
      </c>
      <c r="E4" s="19"/>
      <c r="F4" s="19"/>
      <c r="G4" s="19"/>
      <c r="H4" s="19"/>
      <c r="I4" s="19"/>
      <c r="J4" s="19">
        <f t="shared" ref="J4:J6" si="0">SUM(E4:I4)</f>
        <v>0</v>
      </c>
      <c r="K4" s="20" t="e">
        <f>(F4-F5-F6)/F4</f>
        <v>#DIV/0!</v>
      </c>
      <c r="L4" s="21" t="s">
        <v>488</v>
      </c>
      <c r="M4" s="21" t="s">
        <v>488</v>
      </c>
      <c r="N4" s="21" t="s">
        <v>489</v>
      </c>
      <c r="O4" s="22" t="s">
        <v>490</v>
      </c>
      <c r="P4" s="22"/>
      <c r="Q4" s="22"/>
      <c r="R4" s="22"/>
      <c r="S4" s="22"/>
      <c r="T4" s="22"/>
      <c r="U4" s="22"/>
      <c r="V4" s="22"/>
      <c r="W4" s="22"/>
      <c r="X4" s="23"/>
      <c r="Y4" s="24"/>
      <c r="Z4" s="22"/>
      <c r="AA4" s="22"/>
      <c r="AB4" s="22"/>
      <c r="AC4" s="17"/>
      <c r="AD4" s="17"/>
      <c r="AE4" s="17"/>
      <c r="AF4" s="17"/>
      <c r="AG4" s="17"/>
      <c r="AH4" s="17"/>
      <c r="AI4" s="17"/>
      <c r="AJ4" s="22"/>
    </row>
    <row r="5" customHeight="1" spans="1:36">
      <c r="A5" s="17" t="s">
        <v>485</v>
      </c>
      <c r="B5" s="17" t="s">
        <v>486</v>
      </c>
      <c r="C5" s="17" t="s">
        <v>487</v>
      </c>
      <c r="D5" s="18" t="s">
        <v>328</v>
      </c>
      <c r="E5" s="19"/>
      <c r="F5" s="19"/>
      <c r="G5" s="19"/>
      <c r="H5" s="19"/>
      <c r="I5" s="19"/>
      <c r="J5" s="19">
        <f t="shared" si="0"/>
        <v>0</v>
      </c>
      <c r="K5" s="25"/>
      <c r="L5" s="26"/>
      <c r="M5" s="26"/>
      <c r="N5" s="26"/>
      <c r="O5" s="27"/>
      <c r="P5" s="27"/>
      <c r="Q5" s="27"/>
      <c r="R5" s="27"/>
      <c r="S5" s="27"/>
      <c r="T5" s="27"/>
      <c r="U5" s="27"/>
      <c r="V5" s="27"/>
      <c r="W5" s="27"/>
      <c r="X5" s="28"/>
      <c r="Y5" s="27"/>
      <c r="Z5" s="27"/>
      <c r="AA5" s="27"/>
      <c r="AB5" s="27"/>
      <c r="AC5" s="17"/>
      <c r="AD5" s="17"/>
      <c r="AE5" s="17"/>
      <c r="AF5" s="17"/>
      <c r="AG5" s="17"/>
      <c r="AH5" s="17"/>
      <c r="AI5" s="17"/>
      <c r="AJ5" s="27"/>
    </row>
    <row r="6" customHeight="1" spans="1:36">
      <c r="A6" s="17"/>
      <c r="B6" s="17"/>
      <c r="C6" s="17"/>
      <c r="D6" s="18" t="s">
        <v>328</v>
      </c>
      <c r="E6" s="19"/>
      <c r="F6" s="19"/>
      <c r="G6" s="19"/>
      <c r="H6" s="19"/>
      <c r="I6" s="19"/>
      <c r="J6" s="19">
        <f t="shared" si="0"/>
        <v>0</v>
      </c>
      <c r="K6" s="29"/>
      <c r="L6" s="30"/>
      <c r="M6" s="30"/>
      <c r="N6" s="30"/>
      <c r="O6" s="31"/>
      <c r="P6" s="31"/>
      <c r="Q6" s="31"/>
      <c r="R6" s="31"/>
      <c r="S6" s="31"/>
      <c r="T6" s="31"/>
      <c r="U6" s="31"/>
      <c r="V6" s="31"/>
      <c r="W6" s="31"/>
      <c r="X6" s="32"/>
      <c r="Y6" s="31"/>
      <c r="Z6" s="31"/>
      <c r="AA6" s="31"/>
      <c r="AB6" s="31"/>
      <c r="AC6" s="17"/>
      <c r="AD6" s="17"/>
      <c r="AE6" s="17"/>
      <c r="AF6" s="17"/>
      <c r="AG6" s="17"/>
      <c r="AH6" s="17"/>
      <c r="AI6" s="17"/>
      <c r="AJ6" s="31"/>
    </row>
    <row r="7" customHeight="1" spans="1:36">
      <c r="A7" s="33"/>
    </row>
    <row r="8" customHeight="1" spans="1:36">
      <c r="A8" s="8" t="s">
        <v>333</v>
      </c>
    </row>
    <row r="9" customHeight="1" spans="1:36">
      <c r="A9" s="16" t="s">
        <v>291</v>
      </c>
      <c r="B9" s="34" t="s">
        <v>83</v>
      </c>
      <c r="C9" s="34"/>
      <c r="D9" s="34"/>
      <c r="E9" s="34"/>
      <c r="F9" s="34"/>
      <c r="G9" s="34"/>
      <c r="H9" s="34" t="s">
        <v>88</v>
      </c>
      <c r="I9" s="34"/>
      <c r="J9" s="34"/>
      <c r="K9" s="34"/>
      <c r="L9" s="34"/>
      <c r="M9" s="34"/>
      <c r="N9" s="34" t="s">
        <v>334</v>
      </c>
      <c r="O9" s="34"/>
      <c r="P9" s="34"/>
      <c r="Q9" s="34"/>
      <c r="R9" s="34"/>
      <c r="S9" s="34"/>
      <c r="T9" s="9" t="s">
        <v>335</v>
      </c>
      <c r="U9" s="9" t="s">
        <v>336</v>
      </c>
      <c r="V9" s="9" t="s">
        <v>81</v>
      </c>
      <c r="W9" s="9" t="s">
        <v>82</v>
      </c>
    </row>
    <row r="10" s="1" customFormat="1" customHeight="1" spans="1:36">
      <c r="A10" s="16"/>
      <c r="B10" s="16" t="s">
        <v>311</v>
      </c>
      <c r="C10" s="16" t="s">
        <v>312</v>
      </c>
      <c r="D10" s="16" t="s">
        <v>313</v>
      </c>
      <c r="E10" s="16" t="s">
        <v>314</v>
      </c>
      <c r="F10" s="16" t="s">
        <v>337</v>
      </c>
      <c r="G10" s="16" t="s">
        <v>92</v>
      </c>
      <c r="H10" s="16" t="s">
        <v>311</v>
      </c>
      <c r="I10" s="16" t="s">
        <v>312</v>
      </c>
      <c r="J10" s="16" t="s">
        <v>313</v>
      </c>
      <c r="K10" s="16" t="s">
        <v>314</v>
      </c>
      <c r="L10" s="16" t="s">
        <v>337</v>
      </c>
      <c r="M10" s="16" t="s">
        <v>92</v>
      </c>
      <c r="N10" s="16" t="s">
        <v>311</v>
      </c>
      <c r="O10" s="16" t="s">
        <v>312</v>
      </c>
      <c r="P10" s="16" t="s">
        <v>313</v>
      </c>
      <c r="Q10" s="16" t="s">
        <v>314</v>
      </c>
      <c r="R10" s="16" t="s">
        <v>337</v>
      </c>
      <c r="S10" s="16" t="s">
        <v>92</v>
      </c>
      <c r="T10" s="14"/>
      <c r="U10" s="14"/>
      <c r="V10" s="14"/>
      <c r="W10" s="14"/>
    </row>
    <row r="11" customHeight="1" spans="1:36">
      <c r="A11" s="35"/>
      <c r="B11" s="36">
        <f>SUMIFS($E$20:$E$46,$D$20:$D$46,$B$10,$A$20:$A$46,$A$11)</f>
        <v>0</v>
      </c>
      <c r="C11" s="36">
        <f>SUMIFS($E$20:$E$46,$D$20:$D$46,C10,$A$20:$A$46,A11)</f>
        <v>0</v>
      </c>
      <c r="D11" s="36">
        <f>SUMIFS($E$20:$E$46,$D$20:$D$46,D10,$A$20:$A$46,A11)</f>
        <v>0</v>
      </c>
      <c r="E11" s="36">
        <f>SUMIFS($E$20:$E$46,$D$20:$D$46,E10,$A$20:$A$46,A11)</f>
        <v>0</v>
      </c>
      <c r="F11" s="36">
        <f>SUMIFS($E$20:$E$46,$D$20:$D$46,F10,$A$20:$A$46,A11)</f>
        <v>0</v>
      </c>
      <c r="G11" s="36">
        <f t="shared" ref="G11:G13" si="1">SUM(B11:F11)</f>
        <v>0</v>
      </c>
      <c r="H11" s="36">
        <f>SUMIFS($V$20:$V$46,$R$20:$R$46,$H$10,$P$20:$P$46,$A$11)</f>
        <v>0</v>
      </c>
      <c r="I11" s="36">
        <f>SUMIFS($V$20:$V$46,$R$20:$R$46,I10,$P$20:$P$46,$A$11)</f>
        <v>0</v>
      </c>
      <c r="J11" s="36">
        <f>SUMIFS($V$20:$V$46,$R$20:$R$46,$J$10,$P$20:$P$46,$A$11)</f>
        <v>0</v>
      </c>
      <c r="K11" s="36">
        <f>SUMIFS($V$20:$V$46,$R$20:$R$46,$K$10,$P$20:$P$46,$A$11)</f>
        <v>0</v>
      </c>
      <c r="L11" s="36">
        <f>SUMIFS($V$20:$V$46,$R$20:$R$46,$L$10,$P$20:$P$46,$A$11)</f>
        <v>0</v>
      </c>
      <c r="M11" s="36">
        <f t="shared" ref="M11:M13" si="2">SUM(H11:L11)</f>
        <v>0</v>
      </c>
      <c r="N11" s="36">
        <f>SUMIFS($O$20:$O$45,$N$20:$N$45,N10,$L$20:$L$45,A11)</f>
        <v>0</v>
      </c>
      <c r="O11" s="36">
        <f>SUMIFS($O$20:$O$45,$N$20:$N$45,O10,$L$20:$L$45,A11)</f>
        <v>0</v>
      </c>
      <c r="P11" s="36">
        <f>SUMIFS($O$20:$O$45,$N$20:$N$45,P10,$L$20:$L$45,A11)</f>
        <v>0</v>
      </c>
      <c r="Q11" s="36">
        <f>SUMIFS($O$20:$O$45,$N$20:$N$45,Q10,$L$20:$L$45,A11)</f>
        <v>0</v>
      </c>
      <c r="R11" s="36">
        <f>SUMIFS($O$20:$O$45,$N$20:$N$45,R10,$L$20:$L$45,A11)</f>
        <v>0</v>
      </c>
      <c r="S11" s="37">
        <f t="shared" ref="S11:S13" si="3">SUM(N11:R11)</f>
        <v>0</v>
      </c>
      <c r="T11" s="37">
        <f>SUMIF($Z$20:$Z$46,A11,$AE$20:$AE$46)</f>
        <v>0</v>
      </c>
      <c r="U11" s="22"/>
      <c r="V11" s="38">
        <f>F4/1.09</f>
        <v>0</v>
      </c>
      <c r="W11" s="38">
        <f>(F5+F6)/1.09</f>
        <v>0</v>
      </c>
    </row>
    <row r="12" customHeight="1" spans="1:36">
      <c r="A12" s="35"/>
      <c r="B12" s="36">
        <f>SUMIFS($E$51:$E$76,$D$51:$D$76,B10,$A$51:$A$76,A12)</f>
        <v>0</v>
      </c>
      <c r="C12" s="36">
        <f>SUMIFS($E$51:$E$76,$D$51:$D$76,C10,$A$51:$A$76,A12)</f>
        <v>0</v>
      </c>
      <c r="D12" s="36">
        <f>SUMIFS($E$51:$E$76,$D$51:$D$76,D10,$A$51:$A$76,A12)</f>
        <v>0</v>
      </c>
      <c r="E12" s="36">
        <f>SUMIFS($E$51:$E$76,$D$51:$D$76,E10,$A$51:$A$76,A12)</f>
        <v>0</v>
      </c>
      <c r="F12" s="36">
        <f>SUMIFS($E$51:$E$76,$D$51:$D$76,F10,$A$51:$A$76,A12)</f>
        <v>0</v>
      </c>
      <c r="G12" s="36">
        <f t="shared" si="1"/>
        <v>0</v>
      </c>
      <c r="H12" s="36">
        <f>SUMIFS($R$51:$R$76,$N$51:$N$76,H10,$L$51:$L$76,A12)</f>
        <v>0</v>
      </c>
      <c r="I12" s="36">
        <f>SUMIFS($R$51:$R$76,$N$51:$N$76,I10,$L$51:$L$76,A12)</f>
        <v>0</v>
      </c>
      <c r="J12" s="36">
        <f>SUMIFS($R$51:$R$76,$N$51:$N$76,J10,$L$51:$L$76,A12)</f>
        <v>0</v>
      </c>
      <c r="K12" s="36">
        <f>SUMIFS($R$51:$R$76,$N$51:$N$76,K10,$L$51:$L$76,A12)</f>
        <v>0</v>
      </c>
      <c r="L12" s="36">
        <f>SUMIFS($R$51:$R$76,$N$51:$N$76,L10,$L$51:$L$76,A12)</f>
        <v>0</v>
      </c>
      <c r="M12" s="36">
        <f t="shared" si="2"/>
        <v>0</v>
      </c>
      <c r="N12" s="36">
        <f>SUMIFS($G$51:$G$76,$D$51:$D$76,N10,$A$51:$A$76,A12)</f>
        <v>0</v>
      </c>
      <c r="O12" s="36">
        <f>SUMIFS($G$51:$G$76,$D$51:$D$76,$O$10,$A$51:$A$76,A12)</f>
        <v>0</v>
      </c>
      <c r="P12" s="36">
        <f>SUMIFS($G$51:$G$76,$D$51:$D$76,$P$10,$A$51:$A$76,A12)</f>
        <v>0</v>
      </c>
      <c r="Q12" s="36">
        <f>SUMIFS($G$51:$G$76,$D$51:$D$76,$Q$10,$A$51:$A$76,A12)</f>
        <v>0</v>
      </c>
      <c r="R12" s="36">
        <f>SUMIFS($G$51:$G$76,$D$51:$D$76,$R$10,$A$51:$A$76,A12)</f>
        <v>0</v>
      </c>
      <c r="S12" s="37">
        <f t="shared" si="3"/>
        <v>0</v>
      </c>
      <c r="T12" s="37">
        <f>SUMIF($V$51:$V$76,A12,$AA$51:$AA$76)</f>
        <v>0</v>
      </c>
      <c r="U12" s="27"/>
      <c r="V12" s="39"/>
      <c r="W12" s="39"/>
    </row>
    <row r="13" customHeight="1" spans="1:36">
      <c r="A13" s="35"/>
      <c r="B13" s="36">
        <f>SUMIFS($E$51:$E$76,$D$51:$D$76,B10,$A$51:$A$76,A13)</f>
        <v>0</v>
      </c>
      <c r="C13" s="36">
        <f>SUMIFS($E$51:$E$76,$D$51:$D$76,C10,$A$51:$A$76,A13)</f>
        <v>0</v>
      </c>
      <c r="D13" s="36">
        <f>SUMIFS($E$51:$E$76,$D$51:$D$76,D10,$A$51:$A$76,A13)</f>
        <v>0</v>
      </c>
      <c r="E13" s="36">
        <f>SUMIFS($E$51:$E$76,$D$51:$D$76,E10,$A$51:$A$76,A13)</f>
        <v>0</v>
      </c>
      <c r="F13" s="36">
        <f>SUMIFS($E$51:$E$76,$D$51:$D$76,F10,$A$51:$A$76,A13)</f>
        <v>0</v>
      </c>
      <c r="G13" s="36">
        <f t="shared" si="1"/>
        <v>0</v>
      </c>
      <c r="H13" s="36">
        <f>SUMIFS($R$51:$R$76,$N$51:$N$76,H10,$L$51:$L$76,A13)</f>
        <v>0</v>
      </c>
      <c r="I13" s="36">
        <f>SUMIFS($R$51:$R$76,$N$51:$N$76,I10,$L$51:$L$76,A13)</f>
        <v>0</v>
      </c>
      <c r="J13" s="36">
        <f>SUMIFS($R$51:$R$76,$N$51:$N$76,J10,$L$51:$L$76,A13)</f>
        <v>0</v>
      </c>
      <c r="K13" s="36">
        <f>SUMIFS($R$51:$R$76,$N$51:$N$76,K10,$L$51:$L$76,A13)</f>
        <v>0</v>
      </c>
      <c r="L13" s="36">
        <f>SUMIFS($R$51:$R$76,$N$51:$N$76,L10,$L$51:$L$76,A13)</f>
        <v>0</v>
      </c>
      <c r="M13" s="36">
        <f t="shared" si="2"/>
        <v>0</v>
      </c>
      <c r="N13" s="36">
        <f>SUMIFS($G$51:$G$76,$D$51:$D$76,$N$10,$A$51:$A$76,A13)</f>
        <v>0</v>
      </c>
      <c r="O13" s="36">
        <f>SUMIFS($G$51:$G$76,$D$51:$D$76,$O$10,$A$51:$A$76,A13)</f>
        <v>0</v>
      </c>
      <c r="P13" s="36">
        <f>SUMIFS($G$51:$G$76,$D$51:$D$76,$P$10,$A$51:$A$76,A13)</f>
        <v>0</v>
      </c>
      <c r="Q13" s="36">
        <f>SUMIFS($G$51:$G$76,$D$51:$D$76,$Q$10,$A$51:$A$76,A13)</f>
        <v>0</v>
      </c>
      <c r="R13" s="36">
        <f>SUMIFS($G$51:$G$76,$D$51:$D$76,$R$10,$A$51:$A$76,A13)</f>
        <v>0</v>
      </c>
      <c r="S13" s="37">
        <f t="shared" si="3"/>
        <v>0</v>
      </c>
      <c r="T13" s="37">
        <f>SUMIF($V$51:$V$76,A13,$AA$51:$AA$76)</f>
        <v>0</v>
      </c>
      <c r="U13" s="31"/>
      <c r="V13" s="40"/>
      <c r="W13" s="40"/>
    </row>
    <row r="14" s="2" customFormat="1" customHeight="1" spans="1:36">
      <c r="A14" s="41"/>
      <c r="B14" s="42"/>
      <c r="C14" s="42"/>
      <c r="D14" s="42"/>
      <c r="E14" s="42"/>
      <c r="F14" s="42"/>
      <c r="G14" s="43">
        <f>G11-C17</f>
        <v>0</v>
      </c>
      <c r="H14" s="42"/>
      <c r="I14" s="42"/>
      <c r="J14" s="42"/>
      <c r="K14" s="42"/>
      <c r="L14" s="42"/>
      <c r="M14" s="43">
        <f>M11-V17</f>
        <v>0</v>
      </c>
      <c r="N14" s="42"/>
      <c r="O14" s="42"/>
      <c r="P14" s="42"/>
      <c r="Q14" s="42"/>
      <c r="R14" s="42"/>
      <c r="S14" s="43">
        <f>S11-O17</f>
        <v>0</v>
      </c>
      <c r="T14" s="43">
        <f>T11-AE17</f>
        <v>0</v>
      </c>
      <c r="V14" s="43"/>
      <c r="W14" s="43"/>
    </row>
    <row r="15" s="2" customFormat="1" customHeight="1" spans="1:36">
      <c r="A15" s="41"/>
      <c r="B15" s="42"/>
      <c r="C15" s="42"/>
      <c r="D15" s="42"/>
      <c r="E15" s="42"/>
      <c r="F15" s="42"/>
      <c r="G15" s="43">
        <f>G12+G13-C48</f>
        <v>0</v>
      </c>
      <c r="H15" s="42"/>
      <c r="I15" s="42"/>
      <c r="J15" s="42"/>
      <c r="K15" s="42"/>
      <c r="L15" s="42"/>
      <c r="M15" s="43">
        <f>M12+M13-R48</f>
        <v>0</v>
      </c>
      <c r="N15" s="42"/>
      <c r="O15" s="42"/>
      <c r="P15" s="42"/>
      <c r="Q15" s="42"/>
      <c r="R15" s="42"/>
      <c r="S15" s="43">
        <f>S12+S13-G48</f>
        <v>0</v>
      </c>
      <c r="T15" s="43">
        <f>T12+T13-AA48</f>
        <v>0</v>
      </c>
      <c r="V15" s="43"/>
      <c r="W15" s="43"/>
    </row>
    <row r="17" s="3" customFormat="1" customHeight="1" spans="1:33">
      <c r="A17" s="44" t="s">
        <v>339</v>
      </c>
      <c r="C17" s="3">
        <f t="shared" ref="C17:H17" si="4">SUM(C20:C45)</f>
        <v>0</v>
      </c>
      <c r="E17" s="3">
        <f t="shared" si="4"/>
        <v>0</v>
      </c>
      <c r="G17" s="3">
        <f t="shared" si="4"/>
        <v>0</v>
      </c>
      <c r="H17" s="3">
        <f t="shared" si="4"/>
        <v>0</v>
      </c>
      <c r="O17" s="3">
        <f>SUM(O20:O45)</f>
        <v>0</v>
      </c>
      <c r="V17" s="3">
        <f t="shared" ref="V17:X17" si="5">SUM(V20:V45)</f>
        <v>0</v>
      </c>
      <c r="W17" s="3">
        <f t="shared" si="5"/>
        <v>0</v>
      </c>
      <c r="X17" s="3">
        <f t="shared" si="5"/>
        <v>0</v>
      </c>
      <c r="AE17" s="3">
        <f>SUM(AE20:AE45)</f>
        <v>0</v>
      </c>
    </row>
    <row r="18" s="4" customFormat="1" customHeight="1" spans="1:33">
      <c r="A18" s="45" t="s">
        <v>340</v>
      </c>
      <c r="B18" s="45"/>
      <c r="C18" s="45"/>
      <c r="D18" s="45"/>
      <c r="E18" s="45"/>
      <c r="F18" s="45"/>
      <c r="G18" s="45"/>
      <c r="H18" s="45"/>
      <c r="I18" s="45"/>
      <c r="J18" s="45"/>
      <c r="K18" s="45"/>
      <c r="L18" s="46" t="s">
        <v>341</v>
      </c>
      <c r="M18" s="47"/>
      <c r="N18" s="47"/>
      <c r="O18" s="48"/>
      <c r="P18" s="49" t="s">
        <v>342</v>
      </c>
      <c r="Q18" s="50"/>
      <c r="R18" s="50"/>
      <c r="S18" s="50"/>
      <c r="T18" s="50"/>
      <c r="U18" s="50"/>
      <c r="V18" s="50"/>
      <c r="W18" s="50"/>
      <c r="X18" s="50"/>
      <c r="Y18" s="51"/>
      <c r="Z18" s="52" t="s">
        <v>343</v>
      </c>
      <c r="AA18" s="53"/>
      <c r="AB18" s="53"/>
      <c r="AC18" s="53"/>
      <c r="AD18" s="53"/>
      <c r="AE18" s="53"/>
      <c r="AF18" s="53"/>
      <c r="AG18" s="54"/>
    </row>
    <row r="19" s="4" customFormat="1" ht="47.1" customHeight="1" spans="1:33">
      <c r="A19" s="55" t="s">
        <v>344</v>
      </c>
      <c r="B19" s="55" t="s">
        <v>345</v>
      </c>
      <c r="C19" s="55" t="s">
        <v>346</v>
      </c>
      <c r="D19" s="55" t="s">
        <v>347</v>
      </c>
      <c r="E19" s="55" t="s">
        <v>348</v>
      </c>
      <c r="F19" s="55" t="s">
        <v>349</v>
      </c>
      <c r="G19" s="55" t="s">
        <v>350</v>
      </c>
      <c r="H19" s="55" t="s">
        <v>351</v>
      </c>
      <c r="I19" s="55" t="s">
        <v>352</v>
      </c>
      <c r="J19" s="55" t="s">
        <v>353</v>
      </c>
      <c r="K19" s="55" t="s">
        <v>354</v>
      </c>
      <c r="L19" s="56" t="s">
        <v>344</v>
      </c>
      <c r="M19" s="56" t="s">
        <v>355</v>
      </c>
      <c r="N19" s="56" t="s">
        <v>356</v>
      </c>
      <c r="O19" s="56" t="s">
        <v>357</v>
      </c>
      <c r="P19" s="57" t="s">
        <v>344</v>
      </c>
      <c r="Q19" s="57" t="s">
        <v>355</v>
      </c>
      <c r="R19" s="58" t="s">
        <v>358</v>
      </c>
      <c r="S19" s="57" t="s">
        <v>359</v>
      </c>
      <c r="T19" s="57" t="s">
        <v>360</v>
      </c>
      <c r="U19" s="57" t="s">
        <v>361</v>
      </c>
      <c r="V19" s="57" t="s">
        <v>362</v>
      </c>
      <c r="W19" s="57" t="s">
        <v>363</v>
      </c>
      <c r="X19" s="57" t="s">
        <v>364</v>
      </c>
      <c r="Y19" s="59" t="s">
        <v>349</v>
      </c>
      <c r="Z19" s="60" t="s">
        <v>291</v>
      </c>
      <c r="AA19" s="60" t="s">
        <v>365</v>
      </c>
      <c r="AB19" s="60" t="s">
        <v>366</v>
      </c>
      <c r="AC19" s="60" t="s">
        <v>367</v>
      </c>
      <c r="AD19" s="60" t="s">
        <v>368</v>
      </c>
      <c r="AE19" s="60" t="s">
        <v>369</v>
      </c>
      <c r="AF19" s="60" t="s">
        <v>370</v>
      </c>
      <c r="AG19" s="60" t="s">
        <v>371</v>
      </c>
    </row>
    <row r="20" s="5" customFormat="1" customHeight="1" spans="1:33">
      <c r="A20" s="61"/>
      <c r="B20" s="61"/>
      <c r="C20" s="37"/>
      <c r="D20" s="61"/>
      <c r="E20" s="37"/>
      <c r="F20" s="62"/>
      <c r="G20" s="37"/>
      <c r="H20" s="37"/>
      <c r="I20" s="61"/>
      <c r="J20" s="61"/>
      <c r="K20" s="61"/>
      <c r="L20" s="63"/>
      <c r="M20" s="64"/>
      <c r="N20" s="61"/>
      <c r="O20" s="65"/>
      <c r="P20" s="63"/>
      <c r="Q20" s="61"/>
      <c r="R20" s="61"/>
      <c r="S20" s="61"/>
      <c r="T20" s="61"/>
      <c r="U20" s="61"/>
      <c r="V20" s="37"/>
      <c r="W20" s="37"/>
      <c r="X20" s="37"/>
      <c r="Y20" s="66"/>
      <c r="Z20" s="67"/>
      <c r="AA20" s="61"/>
      <c r="AB20" s="68"/>
      <c r="AC20" s="69"/>
      <c r="AD20" s="69"/>
      <c r="AE20" s="70"/>
      <c r="AF20" s="61"/>
      <c r="AG20" s="70"/>
    </row>
    <row r="21" s="5" customFormat="1" customHeight="1" spans="1:33">
      <c r="A21" s="61"/>
      <c r="B21" s="61"/>
      <c r="C21" s="37"/>
      <c r="D21" s="61"/>
      <c r="E21" s="37"/>
      <c r="F21" s="62"/>
      <c r="G21" s="37"/>
      <c r="H21" s="37"/>
      <c r="I21" s="61"/>
      <c r="J21" s="61"/>
      <c r="K21" s="61"/>
      <c r="L21" s="63"/>
      <c r="M21" s="64"/>
      <c r="N21" s="61"/>
      <c r="O21" s="37"/>
      <c r="P21" s="63"/>
      <c r="Q21" s="61"/>
      <c r="R21" s="61"/>
      <c r="S21" s="61"/>
      <c r="T21" s="61"/>
      <c r="U21" s="61"/>
      <c r="V21" s="37"/>
      <c r="W21" s="37"/>
      <c r="X21" s="37"/>
      <c r="Y21" s="66"/>
      <c r="Z21" s="67"/>
      <c r="AA21" s="61"/>
      <c r="AB21" s="68"/>
      <c r="AC21" s="69"/>
      <c r="AD21" s="69"/>
      <c r="AE21" s="70"/>
      <c r="AF21" s="61"/>
      <c r="AG21" s="70"/>
    </row>
    <row r="22" s="5" customFormat="1" customHeight="1" spans="1:33">
      <c r="A22" s="61"/>
      <c r="B22" s="61"/>
      <c r="C22" s="37"/>
      <c r="D22" s="61"/>
      <c r="E22" s="37"/>
      <c r="F22" s="62"/>
      <c r="G22" s="37"/>
      <c r="H22" s="37"/>
      <c r="I22" s="61"/>
      <c r="J22" s="61"/>
      <c r="K22" s="61"/>
      <c r="L22" s="63"/>
      <c r="M22" s="64"/>
      <c r="N22" s="61"/>
      <c r="O22" s="37"/>
      <c r="P22" s="63"/>
      <c r="Q22" s="61"/>
      <c r="R22" s="61"/>
      <c r="S22" s="61"/>
      <c r="T22" s="61"/>
      <c r="U22" s="61"/>
      <c r="V22" s="37"/>
      <c r="W22" s="37"/>
      <c r="X22" s="37"/>
      <c r="Y22" s="66"/>
      <c r="Z22" s="67"/>
      <c r="AA22" s="61"/>
      <c r="AB22" s="68"/>
      <c r="AC22" s="69"/>
      <c r="AD22" s="69"/>
      <c r="AE22" s="70"/>
      <c r="AF22" s="61"/>
      <c r="AG22" s="70"/>
    </row>
    <row r="23" s="5" customFormat="1" customHeight="1" spans="1:33">
      <c r="A23" s="61"/>
      <c r="B23" s="61"/>
      <c r="C23" s="37"/>
      <c r="D23" s="61"/>
      <c r="E23" s="37"/>
      <c r="F23" s="62"/>
      <c r="G23" s="37"/>
      <c r="H23" s="37"/>
      <c r="I23" s="61"/>
      <c r="J23" s="61"/>
      <c r="K23" s="61"/>
      <c r="L23" s="63"/>
      <c r="M23" s="64"/>
      <c r="N23" s="61"/>
      <c r="O23" s="37"/>
      <c r="P23" s="63"/>
      <c r="Q23" s="61"/>
      <c r="R23" s="61"/>
      <c r="S23" s="61"/>
      <c r="T23" s="61"/>
      <c r="U23" s="61"/>
      <c r="V23" s="37"/>
      <c r="W23" s="37"/>
      <c r="X23" s="37"/>
      <c r="Y23" s="66"/>
      <c r="Z23" s="67"/>
      <c r="AA23" s="61"/>
      <c r="AB23" s="68"/>
      <c r="AC23" s="69"/>
      <c r="AD23" s="69"/>
      <c r="AE23" s="70"/>
      <c r="AF23" s="61"/>
      <c r="AG23" s="70"/>
    </row>
    <row r="24" s="5" customFormat="1" customHeight="1" spans="1:33">
      <c r="A24" s="61"/>
      <c r="B24" s="61"/>
      <c r="C24" s="37"/>
      <c r="D24" s="61"/>
      <c r="E24" s="37"/>
      <c r="F24" s="62"/>
      <c r="G24" s="37"/>
      <c r="H24" s="37"/>
      <c r="I24" s="61"/>
      <c r="J24" s="61"/>
      <c r="K24" s="61"/>
      <c r="L24" s="63"/>
      <c r="M24" s="71"/>
      <c r="N24" s="61"/>
      <c r="O24" s="37"/>
      <c r="P24" s="63"/>
      <c r="Q24" s="61"/>
      <c r="R24" s="61"/>
      <c r="S24" s="61"/>
      <c r="T24" s="61"/>
      <c r="U24" s="61"/>
      <c r="V24" s="37"/>
      <c r="W24" s="37"/>
      <c r="X24" s="37"/>
      <c r="Y24" s="66"/>
      <c r="Z24" s="67"/>
      <c r="AA24" s="61"/>
      <c r="AB24" s="68"/>
      <c r="AC24" s="69"/>
      <c r="AD24" s="69"/>
      <c r="AE24" s="70"/>
      <c r="AF24" s="61"/>
      <c r="AG24" s="70"/>
    </row>
    <row r="25" s="5" customFormat="1" customHeight="1" spans="1:33">
      <c r="A25" s="61"/>
      <c r="B25" s="61"/>
      <c r="C25" s="37"/>
      <c r="D25" s="61"/>
      <c r="E25" s="37"/>
      <c r="F25" s="62"/>
      <c r="G25" s="37"/>
      <c r="H25" s="37"/>
      <c r="I25" s="61"/>
      <c r="J25" s="61"/>
      <c r="K25" s="61"/>
      <c r="L25" s="63"/>
      <c r="M25" s="61"/>
      <c r="N25" s="61"/>
      <c r="O25" s="37"/>
      <c r="P25" s="63"/>
      <c r="Q25" s="61"/>
      <c r="R25" s="61"/>
      <c r="S25" s="61"/>
      <c r="T25" s="61"/>
      <c r="U25" s="61"/>
      <c r="V25" s="37"/>
      <c r="W25" s="37"/>
      <c r="X25" s="37"/>
      <c r="Y25" s="66"/>
      <c r="Z25" s="67"/>
      <c r="AA25" s="61"/>
      <c r="AB25" s="68"/>
      <c r="AC25" s="69"/>
      <c r="AD25" s="69"/>
      <c r="AE25" s="70"/>
      <c r="AF25" s="61"/>
      <c r="AG25" s="70"/>
    </row>
    <row r="26" s="5" customFormat="1" customHeight="1" spans="1:33">
      <c r="A26" s="61"/>
      <c r="B26" s="61"/>
      <c r="C26" s="37"/>
      <c r="D26" s="61"/>
      <c r="E26" s="37"/>
      <c r="F26" s="62"/>
      <c r="G26" s="37"/>
      <c r="H26" s="37"/>
      <c r="I26" s="61"/>
      <c r="J26" s="61"/>
      <c r="K26" s="61"/>
      <c r="L26" s="63"/>
      <c r="M26" s="61"/>
      <c r="N26" s="61"/>
      <c r="O26" s="37"/>
      <c r="P26" s="63"/>
      <c r="Q26" s="61"/>
      <c r="R26" s="61"/>
      <c r="S26" s="61"/>
      <c r="T26" s="61"/>
      <c r="U26" s="61"/>
      <c r="V26" s="37"/>
      <c r="W26" s="37"/>
      <c r="X26" s="37"/>
      <c r="Y26" s="66"/>
      <c r="Z26" s="67"/>
      <c r="AA26" s="61"/>
      <c r="AB26" s="68"/>
      <c r="AC26" s="69"/>
      <c r="AD26" s="69"/>
      <c r="AE26" s="70"/>
      <c r="AF26" s="61"/>
      <c r="AG26" s="70"/>
    </row>
    <row r="27" s="5" customFormat="1" customHeight="1" spans="1:33">
      <c r="A27" s="61"/>
      <c r="B27" s="61"/>
      <c r="C27" s="37"/>
      <c r="D27" s="61"/>
      <c r="E27" s="37"/>
      <c r="F27" s="62"/>
      <c r="G27" s="37"/>
      <c r="H27" s="37"/>
      <c r="I27" s="61"/>
      <c r="J27" s="61"/>
      <c r="K27" s="61"/>
      <c r="L27" s="63"/>
      <c r="M27" s="61"/>
      <c r="N27" s="61"/>
      <c r="O27" s="37"/>
      <c r="P27" s="63"/>
      <c r="Q27" s="61"/>
      <c r="R27" s="61"/>
      <c r="S27" s="61"/>
      <c r="T27" s="61"/>
      <c r="U27" s="61"/>
      <c r="V27" s="37"/>
      <c r="W27" s="37"/>
      <c r="X27" s="37"/>
      <c r="Y27" s="66"/>
      <c r="Z27" s="67"/>
      <c r="AA27" s="61"/>
      <c r="AB27" s="68"/>
      <c r="AC27" s="69"/>
      <c r="AD27" s="69"/>
      <c r="AE27" s="70"/>
      <c r="AF27" s="61"/>
      <c r="AG27" s="70"/>
    </row>
    <row r="28" s="5" customFormat="1" customHeight="1" spans="1:33">
      <c r="A28" s="61"/>
      <c r="B28" s="61"/>
      <c r="C28" s="37"/>
      <c r="D28" s="61"/>
      <c r="E28" s="37"/>
      <c r="F28" s="62"/>
      <c r="G28" s="37"/>
      <c r="H28" s="37"/>
      <c r="I28" s="61"/>
      <c r="J28" s="61"/>
      <c r="K28" s="61"/>
      <c r="L28" s="63"/>
      <c r="M28" s="61"/>
      <c r="N28" s="61"/>
      <c r="O28" s="37"/>
      <c r="P28" s="63"/>
      <c r="Q28" s="61"/>
      <c r="R28" s="61"/>
      <c r="S28" s="61"/>
      <c r="T28" s="61"/>
      <c r="U28" s="61"/>
      <c r="V28" s="37"/>
      <c r="W28" s="37"/>
      <c r="X28" s="37"/>
      <c r="Y28" s="66"/>
      <c r="Z28" s="67"/>
      <c r="AA28" s="61"/>
      <c r="AB28" s="68"/>
      <c r="AC28" s="69"/>
      <c r="AD28" s="69"/>
      <c r="AE28" s="70"/>
      <c r="AF28" s="61"/>
      <c r="AG28" s="70"/>
    </row>
    <row r="29" s="5" customFormat="1" customHeight="1" spans="1:33">
      <c r="A29" s="61"/>
      <c r="B29" s="61"/>
      <c r="C29" s="37"/>
      <c r="D29" s="61"/>
      <c r="E29" s="37"/>
      <c r="F29" s="62"/>
      <c r="G29" s="37"/>
      <c r="H29" s="37"/>
      <c r="I29" s="61"/>
      <c r="J29" s="61"/>
      <c r="K29" s="61"/>
      <c r="L29" s="63"/>
      <c r="M29" s="61"/>
      <c r="N29" s="61"/>
      <c r="O29" s="37"/>
      <c r="P29" s="63"/>
      <c r="Q29" s="61"/>
      <c r="R29" s="61"/>
      <c r="S29" s="61"/>
      <c r="T29" s="61"/>
      <c r="U29" s="61"/>
      <c r="V29" s="37"/>
      <c r="W29" s="37"/>
      <c r="X29" s="37"/>
      <c r="Y29" s="66"/>
      <c r="Z29" s="67"/>
      <c r="AA29" s="61"/>
      <c r="AB29" s="68"/>
      <c r="AC29" s="69"/>
      <c r="AD29" s="69"/>
      <c r="AE29" s="70"/>
      <c r="AF29" s="61"/>
      <c r="AG29" s="70"/>
    </row>
    <row r="30" s="5" customFormat="1" customHeight="1" spans="1:33">
      <c r="A30" s="61"/>
      <c r="B30" s="61"/>
      <c r="C30" s="37"/>
      <c r="D30" s="61"/>
      <c r="E30" s="37"/>
      <c r="F30" s="62"/>
      <c r="G30" s="37"/>
      <c r="H30" s="37"/>
      <c r="I30" s="61"/>
      <c r="J30" s="61"/>
      <c r="K30" s="61"/>
      <c r="L30" s="63"/>
      <c r="M30" s="61"/>
      <c r="N30" s="61"/>
      <c r="O30" s="37"/>
      <c r="P30" s="63"/>
      <c r="Q30" s="61"/>
      <c r="R30" s="61"/>
      <c r="S30" s="61"/>
      <c r="T30" s="61"/>
      <c r="U30" s="61"/>
      <c r="V30" s="37"/>
      <c r="W30" s="37"/>
      <c r="X30" s="37"/>
      <c r="Y30" s="66"/>
      <c r="Z30" s="67"/>
      <c r="AA30" s="61"/>
      <c r="AB30" s="68"/>
      <c r="AC30" s="69"/>
      <c r="AD30" s="69"/>
      <c r="AE30" s="70"/>
      <c r="AF30" s="61"/>
      <c r="AG30" s="70"/>
    </row>
    <row r="31" s="5" customFormat="1" customHeight="1" spans="1:33">
      <c r="A31" s="61"/>
      <c r="B31" s="61"/>
      <c r="C31" s="37"/>
      <c r="D31" s="61"/>
      <c r="E31" s="37"/>
      <c r="F31" s="62"/>
      <c r="G31" s="37"/>
      <c r="H31" s="37"/>
      <c r="I31" s="61"/>
      <c r="J31" s="61"/>
      <c r="K31" s="61"/>
      <c r="L31" s="61"/>
      <c r="M31" s="61"/>
      <c r="N31" s="61"/>
      <c r="O31" s="37"/>
      <c r="P31" s="63"/>
      <c r="Q31" s="61"/>
      <c r="R31" s="61"/>
      <c r="S31" s="61"/>
      <c r="T31" s="61"/>
      <c r="U31" s="61"/>
      <c r="V31" s="37"/>
      <c r="W31" s="37"/>
      <c r="X31" s="37"/>
      <c r="Y31" s="66"/>
      <c r="Z31" s="67"/>
      <c r="AA31" s="61"/>
      <c r="AB31" s="68"/>
      <c r="AC31" s="69"/>
      <c r="AD31" s="69"/>
      <c r="AE31" s="70"/>
      <c r="AF31" s="61"/>
      <c r="AG31" s="70"/>
    </row>
    <row r="32" s="5" customFormat="1" customHeight="1" spans="1:33">
      <c r="A32" s="61"/>
      <c r="B32" s="61"/>
      <c r="C32" s="37"/>
      <c r="D32" s="61"/>
      <c r="E32" s="37"/>
      <c r="F32" s="62"/>
      <c r="G32" s="37"/>
      <c r="H32" s="37"/>
      <c r="I32" s="61"/>
      <c r="J32" s="61"/>
      <c r="K32" s="61"/>
      <c r="L32" s="61"/>
      <c r="M32" s="61"/>
      <c r="N32" s="61"/>
      <c r="O32" s="37"/>
      <c r="P32" s="63"/>
      <c r="Q32" s="61"/>
      <c r="R32" s="61"/>
      <c r="S32" s="61"/>
      <c r="T32" s="61"/>
      <c r="U32" s="61"/>
      <c r="V32" s="37"/>
      <c r="W32" s="37"/>
      <c r="X32" s="37"/>
      <c r="Y32" s="66"/>
      <c r="Z32" s="61"/>
      <c r="AA32" s="61"/>
      <c r="AB32" s="68"/>
      <c r="AC32" s="69"/>
      <c r="AD32" s="69"/>
      <c r="AE32" s="70"/>
      <c r="AF32" s="61"/>
      <c r="AG32" s="70"/>
    </row>
    <row r="33" s="5" customFormat="1" customHeight="1" spans="1:33">
      <c r="A33" s="61"/>
      <c r="B33" s="61"/>
      <c r="C33" s="37"/>
      <c r="D33" s="61"/>
      <c r="E33" s="37"/>
      <c r="F33" s="62"/>
      <c r="G33" s="37"/>
      <c r="H33" s="37"/>
      <c r="I33" s="61"/>
      <c r="J33" s="61"/>
      <c r="K33" s="61"/>
      <c r="L33" s="61"/>
      <c r="M33" s="61"/>
      <c r="N33" s="61"/>
      <c r="O33" s="37"/>
      <c r="P33" s="63"/>
      <c r="Q33" s="61"/>
      <c r="R33" s="61"/>
      <c r="S33" s="61"/>
      <c r="T33" s="61"/>
      <c r="U33" s="61"/>
      <c r="V33" s="37"/>
      <c r="W33" s="37"/>
      <c r="X33" s="37"/>
      <c r="Y33" s="66"/>
      <c r="Z33" s="61"/>
      <c r="AA33" s="61"/>
      <c r="AB33" s="68"/>
      <c r="AC33" s="69"/>
      <c r="AD33" s="69"/>
      <c r="AE33" s="70"/>
      <c r="AF33" s="61"/>
      <c r="AG33" s="70"/>
    </row>
    <row r="34" s="5" customFormat="1" customHeight="1" spans="1:33">
      <c r="A34" s="61"/>
      <c r="B34" s="61"/>
      <c r="C34" s="37"/>
      <c r="D34" s="61"/>
      <c r="E34" s="37"/>
      <c r="F34" s="62"/>
      <c r="G34" s="37"/>
      <c r="H34" s="37"/>
      <c r="I34" s="61"/>
      <c r="J34" s="61"/>
      <c r="K34" s="61"/>
      <c r="L34" s="61"/>
      <c r="M34" s="61"/>
      <c r="N34" s="61"/>
      <c r="O34" s="37"/>
      <c r="P34" s="63"/>
      <c r="Q34" s="61"/>
      <c r="R34" s="61"/>
      <c r="S34" s="61"/>
      <c r="T34" s="61"/>
      <c r="U34" s="61"/>
      <c r="V34" s="37"/>
      <c r="W34" s="37"/>
      <c r="X34" s="37"/>
      <c r="Y34" s="66"/>
      <c r="Z34" s="61"/>
      <c r="AA34" s="61"/>
      <c r="AB34" s="68"/>
      <c r="AC34" s="69"/>
      <c r="AD34" s="69"/>
      <c r="AE34" s="70"/>
      <c r="AF34" s="61"/>
      <c r="AG34" s="70"/>
    </row>
    <row r="35" s="5" customFormat="1" customHeight="1" spans="1:33">
      <c r="A35" s="61"/>
      <c r="B35" s="61"/>
      <c r="C35" s="37"/>
      <c r="D35" s="61"/>
      <c r="E35" s="37"/>
      <c r="F35" s="62"/>
      <c r="G35" s="37"/>
      <c r="H35" s="37"/>
      <c r="I35" s="61"/>
      <c r="J35" s="61"/>
      <c r="K35" s="61"/>
      <c r="L35" s="61"/>
      <c r="M35" s="61"/>
      <c r="N35" s="61"/>
      <c r="O35" s="37"/>
      <c r="P35" s="63"/>
      <c r="Q35" s="61"/>
      <c r="R35" s="61"/>
      <c r="S35" s="61"/>
      <c r="T35" s="61"/>
      <c r="U35" s="61"/>
      <c r="V35" s="37"/>
      <c r="W35" s="37"/>
      <c r="X35" s="37"/>
      <c r="Y35" s="66"/>
      <c r="Z35" s="61"/>
      <c r="AA35" s="61"/>
      <c r="AB35" s="68"/>
      <c r="AC35" s="69"/>
      <c r="AD35" s="69"/>
      <c r="AE35" s="70"/>
      <c r="AF35" s="61"/>
      <c r="AG35" s="70"/>
    </row>
    <row r="36" s="5" customFormat="1" customHeight="1" spans="1:33">
      <c r="A36" s="61"/>
      <c r="B36" s="61"/>
      <c r="C36" s="37"/>
      <c r="D36" s="61"/>
      <c r="E36" s="37"/>
      <c r="F36" s="62"/>
      <c r="G36" s="37"/>
      <c r="H36" s="37"/>
      <c r="I36" s="61"/>
      <c r="J36" s="61"/>
      <c r="K36" s="61"/>
      <c r="L36" s="61"/>
      <c r="M36" s="61"/>
      <c r="N36" s="61"/>
      <c r="O36" s="37"/>
      <c r="P36" s="63"/>
      <c r="Q36" s="61"/>
      <c r="R36" s="61"/>
      <c r="S36" s="61"/>
      <c r="T36" s="61"/>
      <c r="U36" s="61"/>
      <c r="V36" s="37"/>
      <c r="W36" s="37"/>
      <c r="X36" s="37"/>
      <c r="Y36" s="66"/>
      <c r="Z36" s="61"/>
      <c r="AA36" s="61"/>
      <c r="AB36" s="68"/>
      <c r="AC36" s="69"/>
      <c r="AD36" s="69"/>
      <c r="AE36" s="70"/>
      <c r="AF36" s="61"/>
      <c r="AG36" s="70"/>
    </row>
    <row r="37" s="5" customFormat="1" customHeight="1" spans="1:33">
      <c r="A37" s="61"/>
      <c r="B37" s="61"/>
      <c r="C37" s="37"/>
      <c r="D37" s="61"/>
      <c r="E37" s="37"/>
      <c r="F37" s="62"/>
      <c r="G37" s="37"/>
      <c r="H37" s="37"/>
      <c r="I37" s="61"/>
      <c r="J37" s="61"/>
      <c r="K37" s="61"/>
      <c r="L37" s="61"/>
      <c r="M37" s="61"/>
      <c r="N37" s="61"/>
      <c r="O37" s="37"/>
      <c r="P37" s="63"/>
      <c r="Q37" s="61"/>
      <c r="R37" s="61"/>
      <c r="S37" s="61"/>
      <c r="T37" s="61"/>
      <c r="U37" s="61"/>
      <c r="V37" s="37"/>
      <c r="W37" s="37"/>
      <c r="X37" s="37"/>
      <c r="Y37" s="66"/>
      <c r="Z37" s="61"/>
      <c r="AA37" s="61"/>
      <c r="AB37" s="68"/>
      <c r="AC37" s="69"/>
      <c r="AD37" s="69"/>
      <c r="AE37" s="70"/>
      <c r="AF37" s="61"/>
      <c r="AG37" s="70"/>
    </row>
    <row r="38" s="5" customFormat="1" customHeight="1" spans="1:33">
      <c r="A38" s="61"/>
      <c r="B38" s="61"/>
      <c r="C38" s="37"/>
      <c r="D38" s="61"/>
      <c r="E38" s="37"/>
      <c r="F38" s="62"/>
      <c r="G38" s="37"/>
      <c r="H38" s="37"/>
      <c r="I38" s="61"/>
      <c r="J38" s="61"/>
      <c r="K38" s="61"/>
      <c r="L38" s="61"/>
      <c r="M38" s="61"/>
      <c r="N38" s="61"/>
      <c r="O38" s="37"/>
      <c r="P38" s="61"/>
      <c r="Q38" s="61"/>
      <c r="R38" s="61"/>
      <c r="S38" s="61"/>
      <c r="T38" s="61"/>
      <c r="U38" s="61"/>
      <c r="V38" s="37"/>
      <c r="W38" s="37"/>
      <c r="X38" s="37"/>
      <c r="Y38" s="61"/>
      <c r="Z38" s="61"/>
      <c r="AA38" s="61"/>
      <c r="AB38" s="68"/>
      <c r="AC38" s="69"/>
      <c r="AD38" s="69"/>
      <c r="AE38" s="70"/>
      <c r="AF38" s="61"/>
      <c r="AG38" s="70"/>
    </row>
    <row r="39" s="5" customFormat="1" customHeight="1" spans="1:33">
      <c r="A39" s="61"/>
      <c r="B39" s="61"/>
      <c r="C39" s="37"/>
      <c r="D39" s="61"/>
      <c r="E39" s="37"/>
      <c r="F39" s="62"/>
      <c r="G39" s="37"/>
      <c r="H39" s="37"/>
      <c r="I39" s="61"/>
      <c r="J39" s="61"/>
      <c r="K39" s="61"/>
      <c r="L39" s="61"/>
      <c r="M39" s="61"/>
      <c r="N39" s="61"/>
      <c r="O39" s="37"/>
      <c r="P39" s="61"/>
      <c r="Q39" s="61"/>
      <c r="R39" s="61"/>
      <c r="S39" s="61"/>
      <c r="T39" s="61"/>
      <c r="U39" s="61"/>
      <c r="V39" s="37"/>
      <c r="W39" s="37"/>
      <c r="X39" s="37"/>
      <c r="Y39" s="61"/>
      <c r="Z39" s="61"/>
      <c r="AA39" s="61"/>
      <c r="AB39" s="68"/>
      <c r="AC39" s="69"/>
      <c r="AD39" s="69"/>
      <c r="AE39" s="70"/>
      <c r="AF39" s="61"/>
      <c r="AG39" s="70"/>
    </row>
    <row r="40" s="5" customFormat="1" customHeight="1" spans="1:33">
      <c r="A40" s="61"/>
      <c r="B40" s="61"/>
      <c r="C40" s="37"/>
      <c r="D40" s="61"/>
      <c r="E40" s="37"/>
      <c r="F40" s="62"/>
      <c r="G40" s="37"/>
      <c r="H40" s="37"/>
      <c r="I40" s="61"/>
      <c r="J40" s="61"/>
      <c r="K40" s="61"/>
      <c r="L40" s="61"/>
      <c r="M40" s="61"/>
      <c r="N40" s="61"/>
      <c r="O40" s="37"/>
      <c r="P40" s="61"/>
      <c r="Q40" s="61"/>
      <c r="R40" s="61"/>
      <c r="S40" s="61"/>
      <c r="T40" s="61"/>
      <c r="U40" s="61"/>
      <c r="V40" s="37"/>
      <c r="W40" s="37"/>
      <c r="X40" s="37"/>
      <c r="Y40" s="61"/>
      <c r="Z40" s="61"/>
      <c r="AA40" s="61"/>
      <c r="AB40" s="68"/>
      <c r="AC40" s="69"/>
      <c r="AD40" s="69"/>
      <c r="AE40" s="70"/>
      <c r="AF40" s="61"/>
      <c r="AG40" s="70"/>
    </row>
    <row r="41" s="5" customFormat="1" customHeight="1" spans="1:33">
      <c r="A41" s="61"/>
      <c r="B41" s="61"/>
      <c r="C41" s="37"/>
      <c r="D41" s="61"/>
      <c r="E41" s="37"/>
      <c r="F41" s="62"/>
      <c r="G41" s="37"/>
      <c r="H41" s="37"/>
      <c r="I41" s="61"/>
      <c r="J41" s="61"/>
      <c r="K41" s="61"/>
      <c r="L41" s="61"/>
      <c r="M41" s="61"/>
      <c r="N41" s="61"/>
      <c r="O41" s="37"/>
      <c r="P41" s="61"/>
      <c r="Q41" s="61"/>
      <c r="R41" s="61"/>
      <c r="S41" s="61"/>
      <c r="T41" s="61"/>
      <c r="U41" s="61"/>
      <c r="V41" s="37"/>
      <c r="W41" s="37"/>
      <c r="X41" s="37"/>
      <c r="Y41" s="61"/>
      <c r="Z41" s="61"/>
      <c r="AA41" s="61"/>
      <c r="AB41" s="68"/>
      <c r="AC41" s="69"/>
      <c r="AD41" s="69"/>
      <c r="AE41" s="70"/>
      <c r="AF41" s="61"/>
      <c r="AG41" s="70"/>
    </row>
    <row r="42" s="5" customFormat="1" customHeight="1" spans="1:33">
      <c r="A42" s="61"/>
      <c r="B42" s="61"/>
      <c r="C42" s="37"/>
      <c r="D42" s="61"/>
      <c r="E42" s="37"/>
      <c r="F42" s="62"/>
      <c r="G42" s="37"/>
      <c r="H42" s="37"/>
      <c r="I42" s="61"/>
      <c r="J42" s="61"/>
      <c r="K42" s="61"/>
      <c r="L42" s="61"/>
      <c r="M42" s="61"/>
      <c r="N42" s="61"/>
      <c r="O42" s="37"/>
      <c r="P42" s="61"/>
      <c r="Q42" s="61"/>
      <c r="R42" s="61"/>
      <c r="S42" s="61"/>
      <c r="T42" s="61"/>
      <c r="U42" s="61"/>
      <c r="V42" s="37"/>
      <c r="W42" s="37"/>
      <c r="X42" s="37"/>
      <c r="Y42" s="61"/>
      <c r="Z42" s="61"/>
      <c r="AA42" s="61"/>
      <c r="AB42" s="72"/>
      <c r="AC42" s="72"/>
      <c r="AD42" s="72"/>
      <c r="AE42" s="72"/>
      <c r="AF42" s="61"/>
      <c r="AG42" s="72"/>
    </row>
    <row r="43" s="5" customFormat="1" customHeight="1" spans="1:33">
      <c r="A43" s="61"/>
      <c r="B43" s="61"/>
      <c r="C43" s="37"/>
      <c r="D43" s="61"/>
      <c r="E43" s="37"/>
      <c r="F43" s="62"/>
      <c r="G43" s="37"/>
      <c r="H43" s="37"/>
      <c r="I43" s="61"/>
      <c r="J43" s="61"/>
      <c r="K43" s="61"/>
      <c r="L43" s="61"/>
      <c r="M43" s="61"/>
      <c r="N43" s="61"/>
      <c r="O43" s="37"/>
      <c r="P43" s="61"/>
      <c r="Q43" s="61"/>
      <c r="R43" s="61"/>
      <c r="S43" s="61"/>
      <c r="T43" s="61"/>
      <c r="U43" s="61"/>
      <c r="V43" s="37"/>
      <c r="W43" s="37"/>
      <c r="X43" s="37"/>
      <c r="Y43" s="61"/>
      <c r="Z43" s="61"/>
      <c r="AA43" s="61"/>
      <c r="AB43" s="72"/>
      <c r="AC43" s="72"/>
      <c r="AD43" s="72"/>
      <c r="AE43" s="72"/>
      <c r="AF43" s="61"/>
      <c r="AG43" s="72"/>
    </row>
    <row r="44" s="5" customFormat="1" customHeight="1" spans="1:33">
      <c r="A44" s="61"/>
      <c r="B44" s="61"/>
      <c r="C44" s="37"/>
      <c r="D44" s="61"/>
      <c r="E44" s="37"/>
      <c r="F44" s="62"/>
      <c r="G44" s="37"/>
      <c r="H44" s="37"/>
      <c r="I44" s="61"/>
      <c r="J44" s="61"/>
      <c r="K44" s="61"/>
      <c r="L44" s="61"/>
      <c r="M44" s="61"/>
      <c r="N44" s="61"/>
      <c r="O44" s="37"/>
      <c r="P44" s="61"/>
      <c r="Q44" s="61"/>
      <c r="R44" s="61"/>
      <c r="S44" s="61"/>
      <c r="T44" s="61"/>
      <c r="U44" s="61"/>
      <c r="V44" s="37"/>
      <c r="W44" s="37"/>
      <c r="X44" s="37"/>
      <c r="Y44" s="61"/>
      <c r="Z44" s="61"/>
      <c r="AA44" s="61"/>
      <c r="AB44" s="72"/>
      <c r="AC44" s="72"/>
      <c r="AD44" s="72"/>
      <c r="AE44" s="72"/>
      <c r="AF44" s="61"/>
      <c r="AG44" s="72"/>
    </row>
    <row r="45" s="5" customFormat="1" customHeight="1" spans="1:33">
      <c r="A45" s="61"/>
      <c r="B45" s="61"/>
      <c r="C45" s="37"/>
      <c r="D45" s="61"/>
      <c r="E45" s="37"/>
      <c r="F45" s="62"/>
      <c r="G45" s="37"/>
      <c r="H45" s="37"/>
      <c r="I45" s="61"/>
      <c r="J45" s="61"/>
      <c r="K45" s="61"/>
      <c r="L45" s="61"/>
      <c r="M45" s="61"/>
      <c r="N45" s="61"/>
      <c r="O45" s="37"/>
      <c r="P45" s="61"/>
      <c r="Q45" s="61"/>
      <c r="R45" s="61"/>
      <c r="S45" s="61"/>
      <c r="T45" s="61"/>
      <c r="U45" s="61"/>
      <c r="V45" s="37"/>
      <c r="W45" s="37"/>
      <c r="X45" s="37"/>
      <c r="Y45" s="61"/>
      <c r="Z45" s="61"/>
      <c r="AA45" s="61"/>
      <c r="AB45" s="72"/>
      <c r="AC45" s="72"/>
      <c r="AD45" s="72"/>
      <c r="AE45" s="72"/>
      <c r="AF45" s="61"/>
      <c r="AG45" s="72"/>
    </row>
    <row r="46" s="5" customFormat="1" customHeight="1" spans="1:33">
      <c r="A46" s="73"/>
      <c r="B46" s="73"/>
      <c r="C46" s="74"/>
      <c r="D46" s="73"/>
      <c r="E46" s="74"/>
      <c r="F46" s="73"/>
      <c r="G46" s="74"/>
      <c r="H46" s="74"/>
      <c r="I46" s="73"/>
      <c r="J46" s="73"/>
      <c r="K46" s="73"/>
      <c r="L46" s="73"/>
      <c r="M46" s="73"/>
      <c r="N46" s="73"/>
      <c r="O46" s="74"/>
      <c r="P46" s="73"/>
      <c r="Q46" s="73"/>
      <c r="R46" s="73"/>
      <c r="S46" s="73"/>
      <c r="T46" s="73"/>
      <c r="U46" s="73"/>
      <c r="V46" s="74"/>
      <c r="W46" s="74"/>
      <c r="X46" s="74"/>
      <c r="Y46" s="73"/>
      <c r="Z46" s="73"/>
      <c r="AA46" s="73"/>
      <c r="AB46" s="75"/>
      <c r="AC46" s="75"/>
      <c r="AD46" s="75"/>
      <c r="AE46" s="75"/>
      <c r="AF46" s="75"/>
      <c r="AG46" s="75"/>
    </row>
    <row r="48" s="3" customFormat="1" customHeight="1" spans="1:33">
      <c r="A48" s="44" t="s">
        <v>373</v>
      </c>
      <c r="C48" s="3">
        <f t="shared" ref="C48:H48" si="6">SUM(C51:C75)</f>
        <v>0</v>
      </c>
      <c r="E48" s="3">
        <f t="shared" si="6"/>
        <v>0</v>
      </c>
      <c r="G48" s="3">
        <f t="shared" si="6"/>
        <v>0</v>
      </c>
      <c r="H48" s="3">
        <f t="shared" si="6"/>
        <v>0</v>
      </c>
      <c r="J48" s="3">
        <f>SUM(J51:J75)</f>
        <v>0</v>
      </c>
      <c r="K48" s="3">
        <f>SUM(K51:K75)</f>
        <v>0</v>
      </c>
      <c r="R48" s="3">
        <f t="shared" ref="R48:T48" si="7">SUM(R51:R75)</f>
        <v>0</v>
      </c>
      <c r="S48" s="3">
        <f t="shared" si="7"/>
        <v>0</v>
      </c>
      <c r="T48" s="3">
        <f t="shared" si="7"/>
        <v>0</v>
      </c>
      <c r="AA48" s="3">
        <f>SUM(AA51:AA75)</f>
        <v>0</v>
      </c>
    </row>
    <row r="49" s="4" customFormat="1" customHeight="1" spans="1:29">
      <c r="A49" s="45" t="s">
        <v>374</v>
      </c>
      <c r="B49" s="45"/>
      <c r="C49" s="45"/>
      <c r="D49" s="45"/>
      <c r="E49" s="45"/>
      <c r="F49" s="45"/>
      <c r="G49" s="45"/>
      <c r="H49" s="45"/>
      <c r="I49" s="45"/>
      <c r="J49" s="45"/>
      <c r="K49" s="45"/>
      <c r="L49" s="49" t="s">
        <v>375</v>
      </c>
      <c r="M49" s="50"/>
      <c r="N49" s="50"/>
      <c r="O49" s="50"/>
      <c r="P49" s="50"/>
      <c r="Q49" s="50"/>
      <c r="R49" s="50"/>
      <c r="S49" s="50"/>
      <c r="T49" s="50"/>
      <c r="U49" s="51"/>
      <c r="V49" s="52" t="s">
        <v>376</v>
      </c>
      <c r="W49" s="53"/>
      <c r="X49" s="53"/>
      <c r="Y49" s="53"/>
      <c r="Z49" s="53"/>
      <c r="AA49" s="53"/>
      <c r="AB49" s="53"/>
      <c r="AC49" s="54"/>
    </row>
    <row r="50" s="4" customFormat="1" customHeight="1" spans="1:29">
      <c r="A50" s="55" t="s">
        <v>291</v>
      </c>
      <c r="B50" s="55" t="s">
        <v>345</v>
      </c>
      <c r="C50" s="55" t="s">
        <v>346</v>
      </c>
      <c r="D50" s="55" t="s">
        <v>347</v>
      </c>
      <c r="E50" s="55" t="s">
        <v>377</v>
      </c>
      <c r="F50" s="55" t="s">
        <v>349</v>
      </c>
      <c r="G50" s="55" t="s">
        <v>350</v>
      </c>
      <c r="H50" s="55" t="s">
        <v>351</v>
      </c>
      <c r="I50" s="55" t="s">
        <v>352</v>
      </c>
      <c r="J50" s="55" t="s">
        <v>353</v>
      </c>
      <c r="K50" s="55" t="s">
        <v>354</v>
      </c>
      <c r="L50" s="57" t="s">
        <v>291</v>
      </c>
      <c r="M50" s="57" t="s">
        <v>355</v>
      </c>
      <c r="N50" s="58" t="s">
        <v>358</v>
      </c>
      <c r="O50" s="57" t="s">
        <v>359</v>
      </c>
      <c r="P50" s="57" t="s">
        <v>360</v>
      </c>
      <c r="Q50" s="57" t="s">
        <v>361</v>
      </c>
      <c r="R50" s="57" t="s">
        <v>362</v>
      </c>
      <c r="S50" s="57" t="s">
        <v>363</v>
      </c>
      <c r="T50" s="57" t="s">
        <v>364</v>
      </c>
      <c r="U50" s="59" t="s">
        <v>349</v>
      </c>
      <c r="V50" s="60" t="s">
        <v>291</v>
      </c>
      <c r="W50" s="60" t="s">
        <v>365</v>
      </c>
      <c r="X50" s="60" t="s">
        <v>378</v>
      </c>
      <c r="Y50" s="60" t="s">
        <v>379</v>
      </c>
      <c r="Z50" s="60" t="s">
        <v>380</v>
      </c>
      <c r="AA50" s="60" t="s">
        <v>381</v>
      </c>
      <c r="AB50" s="60" t="s">
        <v>382</v>
      </c>
      <c r="AC50" s="60" t="s">
        <v>383</v>
      </c>
    </row>
    <row r="51" s="5" customFormat="1" customHeight="1" spans="1:29">
      <c r="A51" s="76"/>
      <c r="B51" s="61"/>
      <c r="C51" s="37"/>
      <c r="D51" s="61"/>
      <c r="E51" s="37"/>
      <c r="F51" s="62"/>
      <c r="G51" s="37"/>
      <c r="H51" s="37"/>
      <c r="I51" s="61"/>
      <c r="J51" s="61"/>
      <c r="K51" s="61"/>
      <c r="L51" s="67"/>
      <c r="M51" s="61"/>
      <c r="N51" s="77"/>
      <c r="O51" s="68"/>
      <c r="P51" s="61"/>
      <c r="Q51" s="61"/>
      <c r="R51" s="37"/>
      <c r="S51" s="37"/>
      <c r="T51" s="37"/>
      <c r="U51" s="66"/>
      <c r="V51" s="67"/>
      <c r="W51" s="61"/>
      <c r="X51" s="68"/>
      <c r="Y51" s="61"/>
      <c r="Z51" s="61"/>
      <c r="AA51" s="37"/>
      <c r="AB51" s="77"/>
      <c r="AC51" s="61"/>
    </row>
    <row r="52" s="5" customFormat="1" customHeight="1" spans="1:29">
      <c r="A52" s="76"/>
      <c r="B52" s="61"/>
      <c r="C52" s="78"/>
      <c r="D52" s="61"/>
      <c r="E52" s="78"/>
      <c r="F52" s="62"/>
      <c r="G52" s="37"/>
      <c r="H52" s="37"/>
      <c r="I52" s="61"/>
      <c r="J52" s="61"/>
      <c r="K52" s="61"/>
      <c r="L52" s="79"/>
      <c r="M52" s="72"/>
      <c r="N52" s="77"/>
      <c r="O52" s="80"/>
      <c r="P52" s="72"/>
      <c r="Q52" s="72"/>
      <c r="R52" s="81"/>
      <c r="S52" s="81"/>
      <c r="T52" s="81"/>
      <c r="U52" s="66"/>
      <c r="V52" s="67"/>
      <c r="W52" s="61"/>
      <c r="X52" s="68"/>
      <c r="Y52" s="61"/>
      <c r="Z52" s="61"/>
      <c r="AA52" s="37"/>
      <c r="AB52" s="77"/>
      <c r="AC52" s="61"/>
    </row>
    <row r="53" s="5" customFormat="1" customHeight="1" spans="1:29">
      <c r="A53" s="76"/>
      <c r="B53" s="61"/>
      <c r="C53" s="78"/>
      <c r="D53" s="61"/>
      <c r="E53" s="78"/>
      <c r="F53" s="62"/>
      <c r="G53" s="37"/>
      <c r="H53" s="37"/>
      <c r="I53" s="61"/>
      <c r="J53" s="61"/>
      <c r="K53" s="61"/>
      <c r="L53" s="67"/>
      <c r="M53" s="61"/>
      <c r="N53" s="77"/>
      <c r="O53" s="82"/>
      <c r="P53" s="61"/>
      <c r="Q53" s="61"/>
      <c r="R53" s="37"/>
      <c r="S53" s="37"/>
      <c r="T53" s="37"/>
      <c r="U53" s="66"/>
      <c r="V53" s="67"/>
      <c r="W53" s="61"/>
      <c r="X53" s="68"/>
      <c r="Y53" s="61"/>
      <c r="Z53" s="61"/>
      <c r="AA53" s="37"/>
      <c r="AB53" s="77"/>
      <c r="AC53" s="72"/>
    </row>
    <row r="54" s="5" customFormat="1" customHeight="1" spans="1:29">
      <c r="A54" s="76"/>
      <c r="B54" s="61"/>
      <c r="C54" s="78"/>
      <c r="D54" s="61"/>
      <c r="E54" s="78"/>
      <c r="F54" s="62"/>
      <c r="G54" s="37"/>
      <c r="H54" s="37"/>
      <c r="I54" s="61"/>
      <c r="J54" s="61"/>
      <c r="K54" s="61"/>
      <c r="L54" s="67"/>
      <c r="M54" s="61"/>
      <c r="N54" s="77"/>
      <c r="O54" s="83"/>
      <c r="P54" s="61"/>
      <c r="Q54" s="61"/>
      <c r="R54" s="37"/>
      <c r="S54" s="37"/>
      <c r="T54" s="37"/>
      <c r="U54" s="66"/>
      <c r="V54" s="67"/>
      <c r="W54" s="61"/>
      <c r="X54" s="68"/>
      <c r="Y54" s="61"/>
      <c r="Z54" s="61"/>
      <c r="AA54" s="37"/>
      <c r="AB54" s="77"/>
      <c r="AC54" s="72"/>
    </row>
    <row r="55" s="5" customFormat="1" customHeight="1" spans="1:29">
      <c r="A55" s="76"/>
      <c r="B55" s="61"/>
      <c r="C55" s="78"/>
      <c r="D55" s="61"/>
      <c r="E55" s="78"/>
      <c r="F55" s="62"/>
      <c r="G55" s="37"/>
      <c r="H55" s="37"/>
      <c r="I55" s="61"/>
      <c r="J55" s="61"/>
      <c r="K55" s="61"/>
      <c r="L55" s="67"/>
      <c r="M55" s="61"/>
      <c r="N55" s="77"/>
      <c r="O55" s="83"/>
      <c r="P55" s="61"/>
      <c r="Q55" s="61"/>
      <c r="R55" s="37"/>
      <c r="S55" s="37"/>
      <c r="T55" s="37"/>
      <c r="U55" s="66"/>
      <c r="V55" s="67"/>
      <c r="W55" s="61"/>
      <c r="X55" s="68"/>
      <c r="Y55" s="61"/>
      <c r="Z55" s="61"/>
      <c r="AA55" s="37"/>
      <c r="AB55" s="77"/>
      <c r="AC55" s="72"/>
    </row>
    <row r="56" s="5" customFormat="1" customHeight="1" spans="1:29">
      <c r="A56" s="76"/>
      <c r="B56" s="61"/>
      <c r="C56" s="78"/>
      <c r="D56" s="61"/>
      <c r="E56" s="78"/>
      <c r="F56" s="62"/>
      <c r="G56" s="37"/>
      <c r="H56" s="37"/>
      <c r="I56" s="61"/>
      <c r="J56" s="61"/>
      <c r="K56" s="61"/>
      <c r="L56" s="67"/>
      <c r="M56" s="61"/>
      <c r="N56" s="77"/>
      <c r="O56" s="84"/>
      <c r="P56" s="61"/>
      <c r="Q56" s="61"/>
      <c r="R56" s="37"/>
      <c r="S56" s="37"/>
      <c r="T56" s="37"/>
      <c r="U56" s="66"/>
      <c r="V56" s="67"/>
      <c r="W56" s="61"/>
      <c r="X56" s="68"/>
      <c r="Y56" s="61"/>
      <c r="Z56" s="61"/>
      <c r="AA56" s="37"/>
      <c r="AB56" s="77"/>
      <c r="AC56" s="72"/>
    </row>
    <row r="57" s="5" customFormat="1" customHeight="1" spans="1:29">
      <c r="A57" s="76"/>
      <c r="B57" s="61"/>
      <c r="C57" s="78"/>
      <c r="D57" s="61"/>
      <c r="E57" s="78"/>
      <c r="F57" s="62"/>
      <c r="G57" s="37"/>
      <c r="H57" s="37"/>
      <c r="I57" s="61"/>
      <c r="J57" s="61"/>
      <c r="K57" s="61"/>
      <c r="L57" s="79"/>
      <c r="M57" s="72"/>
      <c r="N57" s="77"/>
      <c r="O57" s="80"/>
      <c r="P57" s="72"/>
      <c r="Q57" s="72"/>
      <c r="R57" s="81"/>
      <c r="S57" s="81"/>
      <c r="T57" s="81"/>
      <c r="U57" s="85"/>
      <c r="V57" s="67"/>
      <c r="W57" s="61"/>
      <c r="X57" s="68"/>
      <c r="Y57" s="61"/>
      <c r="Z57" s="61"/>
      <c r="AA57" s="37"/>
      <c r="AB57" s="77"/>
      <c r="AC57" s="72"/>
    </row>
    <row r="58" s="5" customFormat="1" customHeight="1" spans="1:29">
      <c r="A58" s="76"/>
      <c r="B58" s="61"/>
      <c r="C58" s="78"/>
      <c r="D58" s="61"/>
      <c r="E58" s="78"/>
      <c r="F58" s="62"/>
      <c r="G58" s="37"/>
      <c r="H58" s="37"/>
      <c r="I58" s="61"/>
      <c r="J58" s="61"/>
      <c r="K58" s="61"/>
      <c r="L58" s="67"/>
      <c r="M58" s="61"/>
      <c r="N58" s="77"/>
      <c r="O58" s="68"/>
      <c r="P58" s="61"/>
      <c r="Q58" s="61"/>
      <c r="R58" s="37"/>
      <c r="S58" s="37"/>
      <c r="T58" s="37"/>
      <c r="U58" s="66"/>
      <c r="V58" s="67"/>
      <c r="W58" s="61"/>
      <c r="X58" s="68"/>
      <c r="Y58" s="61"/>
      <c r="Z58" s="61"/>
      <c r="AA58" s="37"/>
      <c r="AB58" s="77"/>
      <c r="AC58" s="72"/>
    </row>
    <row r="59" s="5" customFormat="1" customHeight="1" spans="1:29">
      <c r="A59" s="61"/>
      <c r="B59" s="61"/>
      <c r="C59" s="61"/>
      <c r="D59" s="61"/>
      <c r="E59" s="61"/>
      <c r="F59" s="61"/>
      <c r="G59" s="37"/>
      <c r="H59" s="37"/>
      <c r="I59" s="61"/>
      <c r="J59" s="61"/>
      <c r="K59" s="61"/>
      <c r="L59" s="67"/>
      <c r="M59" s="61"/>
      <c r="N59" s="77"/>
      <c r="O59" s="68"/>
      <c r="P59" s="61"/>
      <c r="Q59" s="61"/>
      <c r="R59" s="37"/>
      <c r="S59" s="37"/>
      <c r="T59" s="37"/>
      <c r="U59" s="66"/>
      <c r="V59" s="67"/>
      <c r="W59" s="61"/>
      <c r="X59" s="68"/>
      <c r="Y59" s="61"/>
      <c r="Z59" s="61"/>
      <c r="AA59" s="37"/>
      <c r="AB59" s="77"/>
      <c r="AC59" s="72"/>
    </row>
    <row r="60" s="5" customFormat="1" customHeight="1" spans="1:29">
      <c r="A60" s="61"/>
      <c r="B60" s="61"/>
      <c r="C60" s="61"/>
      <c r="D60" s="61"/>
      <c r="E60" s="61"/>
      <c r="F60" s="61"/>
      <c r="G60" s="37"/>
      <c r="H60" s="37"/>
      <c r="I60" s="61"/>
      <c r="J60" s="61"/>
      <c r="K60" s="61"/>
      <c r="L60" s="61"/>
      <c r="M60" s="61"/>
      <c r="N60" s="77"/>
      <c r="O60" s="61"/>
      <c r="P60" s="61"/>
      <c r="Q60" s="61"/>
      <c r="R60" s="37"/>
      <c r="S60" s="37"/>
      <c r="T60" s="37"/>
      <c r="U60" s="66"/>
      <c r="V60" s="67"/>
      <c r="W60" s="61"/>
      <c r="X60" s="68"/>
      <c r="Y60" s="61"/>
      <c r="Z60" s="61"/>
      <c r="AA60" s="37"/>
      <c r="AB60" s="77"/>
      <c r="AC60" s="72"/>
    </row>
    <row r="61" s="5" customFormat="1" customHeight="1" spans="1:29">
      <c r="A61" s="61"/>
      <c r="B61" s="61"/>
      <c r="C61" s="61"/>
      <c r="D61" s="61"/>
      <c r="E61" s="61"/>
      <c r="F61" s="61"/>
      <c r="G61" s="37"/>
      <c r="H61" s="37"/>
      <c r="I61" s="61"/>
      <c r="J61" s="61"/>
      <c r="K61" s="61"/>
      <c r="L61" s="61"/>
      <c r="M61" s="61"/>
      <c r="N61" s="77"/>
      <c r="O61" s="61"/>
      <c r="P61" s="61"/>
      <c r="Q61" s="61"/>
      <c r="R61" s="37"/>
      <c r="S61" s="37"/>
      <c r="T61" s="37"/>
      <c r="U61" s="66"/>
      <c r="V61" s="67"/>
      <c r="W61" s="61"/>
      <c r="X61" s="68"/>
      <c r="Y61" s="61"/>
      <c r="Z61" s="61"/>
      <c r="AA61" s="37"/>
      <c r="AB61" s="77"/>
      <c r="AC61" s="72"/>
    </row>
    <row r="62" s="5" customFormat="1" customHeight="1" spans="1:29">
      <c r="A62" s="61"/>
      <c r="B62" s="61"/>
      <c r="C62" s="61"/>
      <c r="D62" s="61"/>
      <c r="E62" s="61"/>
      <c r="F62" s="61"/>
      <c r="G62" s="37"/>
      <c r="H62" s="37"/>
      <c r="I62" s="61"/>
      <c r="J62" s="61"/>
      <c r="K62" s="61"/>
      <c r="L62" s="61"/>
      <c r="M62" s="61"/>
      <c r="N62" s="77"/>
      <c r="O62" s="61"/>
      <c r="P62" s="61"/>
      <c r="Q62" s="61"/>
      <c r="R62" s="37"/>
      <c r="S62" s="37"/>
      <c r="T62" s="37"/>
      <c r="U62" s="66"/>
      <c r="V62" s="67"/>
      <c r="W62" s="61"/>
      <c r="X62" s="68"/>
      <c r="Y62" s="61"/>
      <c r="Z62" s="61"/>
      <c r="AA62" s="37"/>
      <c r="AB62" s="77"/>
      <c r="AC62" s="72"/>
    </row>
    <row r="63" s="5" customFormat="1" customHeight="1" spans="1:29">
      <c r="A63" s="61"/>
      <c r="B63" s="61"/>
      <c r="C63" s="61"/>
      <c r="D63" s="61"/>
      <c r="E63" s="61"/>
      <c r="F63" s="61"/>
      <c r="G63" s="37"/>
      <c r="H63" s="37"/>
      <c r="I63" s="61"/>
      <c r="J63" s="61"/>
      <c r="K63" s="61"/>
      <c r="L63" s="61"/>
      <c r="M63" s="61"/>
      <c r="N63" s="77"/>
      <c r="O63" s="61"/>
      <c r="P63" s="61"/>
      <c r="Q63" s="61"/>
      <c r="R63" s="37"/>
      <c r="S63" s="37"/>
      <c r="T63" s="37"/>
      <c r="U63" s="61"/>
      <c r="V63" s="67"/>
      <c r="W63" s="61"/>
      <c r="X63" s="68"/>
      <c r="Y63" s="61"/>
      <c r="Z63" s="61"/>
      <c r="AA63" s="37"/>
      <c r="AB63" s="77"/>
      <c r="AC63" s="72"/>
    </row>
    <row r="64" s="5" customFormat="1" customHeight="1" spans="1:29">
      <c r="A64" s="61"/>
      <c r="B64" s="61"/>
      <c r="C64" s="61"/>
      <c r="D64" s="61"/>
      <c r="E64" s="61"/>
      <c r="F64" s="61"/>
      <c r="G64" s="37"/>
      <c r="H64" s="37"/>
      <c r="I64" s="61"/>
      <c r="J64" s="61"/>
      <c r="K64" s="61"/>
      <c r="L64" s="61"/>
      <c r="M64" s="61"/>
      <c r="N64" s="77"/>
      <c r="O64" s="61"/>
      <c r="P64" s="61"/>
      <c r="Q64" s="61"/>
      <c r="R64" s="37"/>
      <c r="S64" s="37"/>
      <c r="T64" s="37"/>
      <c r="U64" s="61"/>
      <c r="V64" s="67"/>
      <c r="W64" s="61"/>
      <c r="X64" s="68"/>
      <c r="Y64" s="61"/>
      <c r="Z64" s="61"/>
      <c r="AA64" s="37"/>
      <c r="AB64" s="77"/>
      <c r="AC64" s="70"/>
    </row>
    <row r="65" s="5" customFormat="1" customHeight="1" spans="1:33">
      <c r="A65" s="61"/>
      <c r="B65" s="61"/>
      <c r="C65" s="61"/>
      <c r="D65" s="61"/>
      <c r="E65" s="61"/>
      <c r="F65" s="61"/>
      <c r="G65" s="37"/>
      <c r="H65" s="37"/>
      <c r="I65" s="61"/>
      <c r="J65" s="61"/>
      <c r="K65" s="61"/>
      <c r="L65" s="61"/>
      <c r="M65" s="61"/>
      <c r="N65" s="77"/>
      <c r="O65" s="61"/>
      <c r="P65" s="61"/>
      <c r="Q65" s="61"/>
      <c r="R65" s="37"/>
      <c r="S65" s="37"/>
      <c r="T65" s="37"/>
      <c r="U65" s="61"/>
      <c r="V65" s="67"/>
      <c r="W65" s="61"/>
      <c r="X65" s="68"/>
      <c r="Y65" s="61"/>
      <c r="Z65" s="61"/>
      <c r="AA65" s="37"/>
      <c r="AB65" s="77"/>
      <c r="AC65" s="72"/>
    </row>
    <row r="66" s="5" customFormat="1" customHeight="1" spans="1:33">
      <c r="A66" s="61"/>
      <c r="B66" s="61"/>
      <c r="C66" s="61"/>
      <c r="D66" s="61"/>
      <c r="E66" s="61"/>
      <c r="F66" s="61"/>
      <c r="G66" s="37"/>
      <c r="H66" s="37"/>
      <c r="I66" s="61"/>
      <c r="J66" s="61"/>
      <c r="K66" s="61"/>
      <c r="L66" s="61"/>
      <c r="M66" s="61"/>
      <c r="N66" s="77"/>
      <c r="O66" s="61"/>
      <c r="P66" s="61"/>
      <c r="Q66" s="61"/>
      <c r="R66" s="37"/>
      <c r="S66" s="37"/>
      <c r="T66" s="37"/>
      <c r="U66" s="61"/>
      <c r="V66" s="61"/>
      <c r="W66" s="61"/>
      <c r="X66" s="68"/>
      <c r="Y66" s="72"/>
      <c r="Z66" s="72"/>
      <c r="AA66" s="81"/>
      <c r="AB66" s="72"/>
      <c r="AC66" s="72"/>
    </row>
    <row r="67" s="5" customFormat="1" customHeight="1" spans="1:33">
      <c r="A67" s="61"/>
      <c r="B67" s="61"/>
      <c r="C67" s="61"/>
      <c r="D67" s="61"/>
      <c r="E67" s="61"/>
      <c r="F67" s="61"/>
      <c r="G67" s="37"/>
      <c r="H67" s="37"/>
      <c r="I67" s="61"/>
      <c r="J67" s="61"/>
      <c r="K67" s="61"/>
      <c r="L67" s="61"/>
      <c r="M67" s="61"/>
      <c r="N67" s="77"/>
      <c r="O67" s="61"/>
      <c r="P67" s="61"/>
      <c r="Q67" s="61"/>
      <c r="R67" s="37"/>
      <c r="S67" s="37"/>
      <c r="T67" s="37"/>
      <c r="U67" s="61"/>
      <c r="V67" s="61"/>
      <c r="W67" s="61"/>
      <c r="X67" s="68"/>
      <c r="Y67" s="72"/>
      <c r="Z67" s="72"/>
      <c r="AA67" s="81"/>
      <c r="AB67" s="72"/>
      <c r="AC67" s="72"/>
    </row>
    <row r="68" s="5" customFormat="1" customHeight="1" spans="1:33">
      <c r="A68" s="61"/>
      <c r="B68" s="61"/>
      <c r="C68" s="61"/>
      <c r="D68" s="61"/>
      <c r="E68" s="61"/>
      <c r="F68" s="61"/>
      <c r="G68" s="37"/>
      <c r="H68" s="37"/>
      <c r="I68" s="61"/>
      <c r="J68" s="61"/>
      <c r="K68" s="61"/>
      <c r="L68" s="61"/>
      <c r="M68" s="61"/>
      <c r="N68" s="77"/>
      <c r="O68" s="61"/>
      <c r="P68" s="61"/>
      <c r="Q68" s="61"/>
      <c r="R68" s="37"/>
      <c r="S68" s="37"/>
      <c r="T68" s="37"/>
      <c r="U68" s="61"/>
      <c r="V68" s="61"/>
      <c r="W68" s="61"/>
      <c r="X68" s="68"/>
      <c r="Y68" s="72"/>
      <c r="Z68" s="72"/>
      <c r="AA68" s="81"/>
      <c r="AB68" s="72"/>
      <c r="AC68" s="72"/>
    </row>
    <row r="69" s="5" customFormat="1" customHeight="1" spans="1:33">
      <c r="A69" s="61"/>
      <c r="B69" s="61"/>
      <c r="C69" s="61"/>
      <c r="D69" s="61"/>
      <c r="E69" s="61"/>
      <c r="F69" s="61"/>
      <c r="G69" s="37"/>
      <c r="H69" s="37"/>
      <c r="I69" s="61"/>
      <c r="J69" s="61"/>
      <c r="K69" s="61"/>
      <c r="L69" s="61"/>
      <c r="M69" s="61"/>
      <c r="N69" s="77"/>
      <c r="O69" s="61"/>
      <c r="P69" s="61"/>
      <c r="Q69" s="61"/>
      <c r="R69" s="37"/>
      <c r="S69" s="37"/>
      <c r="T69" s="37"/>
      <c r="U69" s="61"/>
      <c r="V69" s="61"/>
      <c r="W69" s="61"/>
      <c r="X69" s="68"/>
      <c r="Y69" s="72"/>
      <c r="Z69" s="72"/>
      <c r="AA69" s="81"/>
      <c r="AB69" s="72"/>
      <c r="AC69" s="72"/>
    </row>
    <row r="70" s="5" customFormat="1" customHeight="1" spans="1:33">
      <c r="A70" s="61"/>
      <c r="B70" s="61"/>
      <c r="C70" s="61"/>
      <c r="D70" s="61"/>
      <c r="E70" s="61"/>
      <c r="F70" s="61"/>
      <c r="G70" s="37"/>
      <c r="H70" s="37"/>
      <c r="I70" s="61"/>
      <c r="J70" s="61"/>
      <c r="K70" s="61"/>
      <c r="L70" s="61"/>
      <c r="M70" s="61"/>
      <c r="N70" s="77"/>
      <c r="O70" s="61"/>
      <c r="P70" s="61"/>
      <c r="Q70" s="61"/>
      <c r="R70" s="37"/>
      <c r="S70" s="37"/>
      <c r="T70" s="37"/>
      <c r="U70" s="61"/>
      <c r="V70" s="61"/>
      <c r="W70" s="61"/>
      <c r="X70" s="68"/>
      <c r="Y70" s="72"/>
      <c r="Z70" s="72"/>
      <c r="AA70" s="81"/>
      <c r="AB70" s="72"/>
      <c r="AC70" s="72"/>
    </row>
    <row r="71" s="5" customFormat="1" customHeight="1" spans="1:33">
      <c r="A71" s="61"/>
      <c r="B71" s="61"/>
      <c r="C71" s="61"/>
      <c r="D71" s="61"/>
      <c r="E71" s="61"/>
      <c r="F71" s="61"/>
      <c r="G71" s="37"/>
      <c r="H71" s="37"/>
      <c r="I71" s="61"/>
      <c r="J71" s="61"/>
      <c r="K71" s="61"/>
      <c r="L71" s="61"/>
      <c r="M71" s="61"/>
      <c r="N71" s="77"/>
      <c r="O71" s="61"/>
      <c r="P71" s="61"/>
      <c r="Q71" s="61"/>
      <c r="R71" s="37"/>
      <c r="S71" s="37"/>
      <c r="T71" s="37"/>
      <c r="U71" s="61"/>
      <c r="V71" s="61"/>
      <c r="W71" s="61"/>
      <c r="X71" s="68"/>
      <c r="Y71" s="72"/>
      <c r="Z71" s="72"/>
      <c r="AA71" s="81"/>
      <c r="AB71" s="72"/>
      <c r="AC71" s="72"/>
    </row>
    <row r="72" s="5" customFormat="1" customHeight="1" spans="1:33">
      <c r="A72" s="61"/>
      <c r="B72" s="61"/>
      <c r="C72" s="61"/>
      <c r="D72" s="61"/>
      <c r="E72" s="61"/>
      <c r="F72" s="61"/>
      <c r="G72" s="37"/>
      <c r="H72" s="37"/>
      <c r="I72" s="61"/>
      <c r="J72" s="61"/>
      <c r="K72" s="61"/>
      <c r="L72" s="61"/>
      <c r="M72" s="61"/>
      <c r="N72" s="77"/>
      <c r="O72" s="61"/>
      <c r="P72" s="61"/>
      <c r="Q72" s="61"/>
      <c r="R72" s="37"/>
      <c r="S72" s="37"/>
      <c r="T72" s="37"/>
      <c r="U72" s="61"/>
      <c r="V72" s="61"/>
      <c r="W72" s="61"/>
      <c r="X72" s="68"/>
      <c r="Y72" s="72"/>
      <c r="Z72" s="72"/>
      <c r="AA72" s="81"/>
      <c r="AB72" s="72"/>
      <c r="AC72" s="72"/>
    </row>
    <row r="73" s="5" customFormat="1" customHeight="1" spans="1:33">
      <c r="A73" s="61"/>
      <c r="B73" s="61"/>
      <c r="C73" s="61"/>
      <c r="D73" s="61"/>
      <c r="E73" s="61"/>
      <c r="F73" s="61"/>
      <c r="G73" s="37"/>
      <c r="H73" s="37"/>
      <c r="I73" s="61"/>
      <c r="J73" s="61"/>
      <c r="K73" s="61"/>
      <c r="L73" s="61"/>
      <c r="M73" s="61"/>
      <c r="N73" s="77"/>
      <c r="O73" s="61"/>
      <c r="P73" s="61"/>
      <c r="Q73" s="61"/>
      <c r="R73" s="37"/>
      <c r="S73" s="37"/>
      <c r="T73" s="37"/>
      <c r="U73" s="61"/>
      <c r="V73" s="61"/>
      <c r="W73" s="61"/>
      <c r="X73" s="68"/>
      <c r="Y73" s="72"/>
      <c r="Z73" s="72"/>
      <c r="AA73" s="81"/>
      <c r="AB73" s="72"/>
      <c r="AC73" s="72"/>
    </row>
    <row r="74" s="5" customFormat="1" customHeight="1" spans="1:33">
      <c r="A74" s="61"/>
      <c r="B74" s="61"/>
      <c r="C74" s="61"/>
      <c r="D74" s="61"/>
      <c r="E74" s="61"/>
      <c r="F74" s="61"/>
      <c r="G74" s="37"/>
      <c r="H74" s="37"/>
      <c r="I74" s="61"/>
      <c r="J74" s="61"/>
      <c r="K74" s="61"/>
      <c r="L74" s="61"/>
      <c r="M74" s="61"/>
      <c r="N74" s="77"/>
      <c r="O74" s="61"/>
      <c r="P74" s="61"/>
      <c r="Q74" s="61"/>
      <c r="R74" s="37"/>
      <c r="S74" s="37"/>
      <c r="T74" s="37"/>
      <c r="U74" s="61"/>
      <c r="V74" s="61"/>
      <c r="W74" s="61"/>
      <c r="X74" s="68"/>
      <c r="Y74" s="72"/>
      <c r="Z74" s="72"/>
      <c r="AA74" s="81"/>
      <c r="AB74" s="72"/>
      <c r="AC74" s="72"/>
    </row>
    <row r="75" s="5" customFormat="1" customHeight="1" spans="1:33">
      <c r="A75" s="61"/>
      <c r="B75" s="61"/>
      <c r="C75" s="61"/>
      <c r="D75" s="61"/>
      <c r="E75" s="61"/>
      <c r="F75" s="61"/>
      <c r="G75" s="37"/>
      <c r="H75" s="37"/>
      <c r="I75" s="61"/>
      <c r="J75" s="61"/>
      <c r="K75" s="61"/>
      <c r="L75" s="61"/>
      <c r="M75" s="61"/>
      <c r="N75" s="77"/>
      <c r="O75" s="61"/>
      <c r="P75" s="61"/>
      <c r="Q75" s="61"/>
      <c r="R75" s="37"/>
      <c r="S75" s="37"/>
      <c r="T75" s="37"/>
      <c r="U75" s="61"/>
      <c r="V75" s="61"/>
      <c r="W75" s="61"/>
      <c r="X75" s="68"/>
      <c r="Y75" s="72"/>
      <c r="Z75" s="72"/>
      <c r="AA75" s="81"/>
      <c r="AB75" s="72"/>
      <c r="AC75" s="72"/>
    </row>
    <row r="76" s="5" customFormat="1" customHeight="1" spans="1:33">
      <c r="A76" s="73"/>
      <c r="B76" s="73"/>
      <c r="C76" s="73"/>
      <c r="D76" s="73"/>
      <c r="E76" s="73"/>
      <c r="F76" s="73"/>
      <c r="G76" s="74"/>
      <c r="H76" s="74"/>
      <c r="I76" s="73"/>
      <c r="J76" s="73"/>
      <c r="K76" s="73"/>
      <c r="L76" s="73"/>
      <c r="M76" s="73"/>
      <c r="N76" s="73"/>
      <c r="O76" s="73"/>
      <c r="P76" s="73"/>
      <c r="Q76" s="73"/>
      <c r="R76" s="74"/>
      <c r="S76" s="74"/>
      <c r="T76" s="74"/>
      <c r="U76" s="73"/>
      <c r="V76" s="73"/>
      <c r="W76" s="73"/>
      <c r="X76" s="73"/>
      <c r="Y76" s="73"/>
      <c r="Z76" s="73"/>
      <c r="AA76" s="74"/>
      <c r="AB76" s="75"/>
      <c r="AC76" s="75"/>
      <c r="AD76" s="75"/>
      <c r="AE76" s="75"/>
      <c r="AF76" s="75"/>
      <c r="AG76" s="75"/>
    </row>
    <row r="78" customHeight="1" spans="1:33">
      <c r="A78" s="8" t="s">
        <v>384</v>
      </c>
    </row>
    <row r="79" ht="29.1" customHeight="1" spans="1:33">
      <c r="A79" s="34" t="s">
        <v>385</v>
      </c>
      <c r="B79" s="34" t="s">
        <v>386</v>
      </c>
      <c r="C79" s="34" t="s">
        <v>387</v>
      </c>
      <c r="D79" s="86" t="s">
        <v>388</v>
      </c>
      <c r="E79" s="87" t="s">
        <v>389</v>
      </c>
      <c r="F79" s="87" t="s">
        <v>390</v>
      </c>
      <c r="G79" s="87" t="s">
        <v>391</v>
      </c>
      <c r="H79" s="34" t="s">
        <v>392</v>
      </c>
      <c r="I79" s="34" t="s">
        <v>393</v>
      </c>
      <c r="J79" s="34" t="s">
        <v>394</v>
      </c>
      <c r="K79" s="34" t="s">
        <v>395</v>
      </c>
      <c r="L79" s="34" t="s">
        <v>92</v>
      </c>
      <c r="M79" s="34" t="s">
        <v>310</v>
      </c>
    </row>
    <row r="80" ht="29.1" customHeight="1" spans="1:33">
      <c r="A80" s="88"/>
      <c r="B80" s="89"/>
      <c r="C80" s="89"/>
      <c r="D80" s="90"/>
      <c r="E80" s="90"/>
      <c r="F80" s="90"/>
      <c r="G80" s="90"/>
      <c r="H80" s="61"/>
      <c r="I80" s="90"/>
      <c r="J80" s="89"/>
      <c r="K80" s="89"/>
      <c r="L80" s="89">
        <f t="shared" ref="L80:L92" si="8">SUM(D80:K80)</f>
        <v>0</v>
      </c>
      <c r="M80" s="89"/>
    </row>
    <row r="81" ht="29.1" customHeight="1" spans="1:13">
      <c r="A81" s="88"/>
      <c r="B81" s="89"/>
      <c r="C81" s="89"/>
      <c r="D81" s="90"/>
      <c r="E81" s="90"/>
      <c r="F81" s="90"/>
      <c r="G81" s="90"/>
      <c r="H81" s="61"/>
      <c r="I81" s="90"/>
      <c r="J81" s="89"/>
      <c r="K81" s="89"/>
      <c r="L81" s="89">
        <f t="shared" si="8"/>
        <v>0</v>
      </c>
      <c r="M81" s="89"/>
    </row>
    <row r="82" ht="29.1" customHeight="1" spans="1:13">
      <c r="A82" s="88"/>
      <c r="B82" s="89"/>
      <c r="C82" s="89"/>
      <c r="D82" s="90"/>
      <c r="E82" s="90"/>
      <c r="F82" s="90"/>
      <c r="G82" s="90"/>
      <c r="H82" s="61"/>
      <c r="I82" s="90"/>
      <c r="J82" s="89"/>
      <c r="K82" s="89"/>
      <c r="L82" s="89">
        <f t="shared" si="8"/>
        <v>0</v>
      </c>
      <c r="M82" s="89"/>
    </row>
    <row r="83" ht="29.1" customHeight="1" spans="1:13">
      <c r="A83" s="88"/>
      <c r="B83" s="89"/>
      <c r="C83" s="89"/>
      <c r="D83" s="90"/>
      <c r="E83" s="90"/>
      <c r="F83" s="90"/>
      <c r="G83" s="90"/>
      <c r="H83" s="61"/>
      <c r="I83" s="90"/>
      <c r="J83" s="89"/>
      <c r="K83" s="89"/>
      <c r="L83" s="89">
        <f t="shared" si="8"/>
        <v>0</v>
      </c>
      <c r="M83" s="89"/>
    </row>
    <row r="84" ht="29.1" customHeight="1" spans="1:13">
      <c r="A84" s="88"/>
      <c r="B84" s="89"/>
      <c r="C84" s="89"/>
      <c r="D84" s="90"/>
      <c r="E84" s="90"/>
      <c r="F84" s="90"/>
      <c r="G84" s="90"/>
      <c r="H84" s="61"/>
      <c r="I84" s="90"/>
      <c r="J84" s="89"/>
      <c r="K84" s="89"/>
      <c r="L84" s="89">
        <f t="shared" si="8"/>
        <v>0</v>
      </c>
      <c r="M84" s="89"/>
    </row>
    <row r="85" ht="29.1" customHeight="1" spans="1:13">
      <c r="A85" s="88"/>
      <c r="B85" s="89"/>
      <c r="C85" s="89"/>
      <c r="D85" s="90"/>
      <c r="E85" s="90"/>
      <c r="F85" s="90"/>
      <c r="G85" s="90"/>
      <c r="H85" s="61"/>
      <c r="I85" s="90"/>
      <c r="J85" s="89"/>
      <c r="K85" s="89"/>
      <c r="L85" s="89">
        <f t="shared" si="8"/>
        <v>0</v>
      </c>
      <c r="M85" s="89"/>
    </row>
    <row r="86" ht="29.1" customHeight="1" spans="1:13">
      <c r="A86" s="88"/>
      <c r="B86" s="89"/>
      <c r="C86" s="89"/>
      <c r="D86" s="90"/>
      <c r="E86" s="90"/>
      <c r="F86" s="90"/>
      <c r="G86" s="90"/>
      <c r="H86" s="61"/>
      <c r="I86" s="90"/>
      <c r="J86" s="89"/>
      <c r="K86" s="89"/>
      <c r="L86" s="89">
        <f t="shared" si="8"/>
        <v>0</v>
      </c>
      <c r="M86" s="89"/>
    </row>
    <row r="87" ht="29.1" customHeight="1" spans="1:13">
      <c r="A87" s="88"/>
      <c r="B87" s="89"/>
      <c r="C87" s="89"/>
      <c r="D87" s="90"/>
      <c r="E87" s="90"/>
      <c r="F87" s="90"/>
      <c r="G87" s="90"/>
      <c r="H87" s="61"/>
      <c r="I87" s="90"/>
      <c r="J87" s="89"/>
      <c r="K87" s="89"/>
      <c r="L87" s="89">
        <f t="shared" si="8"/>
        <v>0</v>
      </c>
      <c r="M87" s="89"/>
    </row>
    <row r="88" ht="29.1" customHeight="1" spans="1:13">
      <c r="A88" s="88"/>
      <c r="B88" s="89"/>
      <c r="C88" s="89"/>
      <c r="D88" s="90"/>
      <c r="E88" s="90"/>
      <c r="F88" s="90"/>
      <c r="G88" s="90"/>
      <c r="H88" s="61"/>
      <c r="I88" s="90"/>
      <c r="J88" s="89"/>
      <c r="K88" s="89"/>
      <c r="L88" s="89">
        <f t="shared" si="8"/>
        <v>0</v>
      </c>
      <c r="M88" s="89"/>
    </row>
    <row r="89" ht="29.1" customHeight="1" spans="1:13">
      <c r="A89" s="88"/>
      <c r="B89" s="89"/>
      <c r="C89" s="89"/>
      <c r="D89" s="90"/>
      <c r="E89" s="90"/>
      <c r="F89" s="90"/>
      <c r="G89" s="90"/>
      <c r="H89" s="61"/>
      <c r="I89" s="90"/>
      <c r="J89" s="89"/>
      <c r="K89" s="89"/>
      <c r="L89" s="89">
        <f t="shared" si="8"/>
        <v>0</v>
      </c>
      <c r="M89" s="89"/>
    </row>
    <row r="90" ht="29.1" customHeight="1" spans="1:13">
      <c r="A90" s="88"/>
      <c r="B90" s="89"/>
      <c r="C90" s="89"/>
      <c r="D90" s="90"/>
      <c r="E90" s="90"/>
      <c r="F90" s="90"/>
      <c r="G90" s="90"/>
      <c r="H90" s="61"/>
      <c r="I90" s="90"/>
      <c r="J90" s="89"/>
      <c r="K90" s="89"/>
      <c r="L90" s="89">
        <f t="shared" si="8"/>
        <v>0</v>
      </c>
      <c r="M90" s="89"/>
    </row>
    <row r="91" ht="29.1" customHeight="1" spans="1:13">
      <c r="A91" s="88"/>
      <c r="B91" s="89"/>
      <c r="C91" s="89"/>
      <c r="D91" s="90"/>
      <c r="E91" s="90"/>
      <c r="F91" s="90"/>
      <c r="G91" s="90"/>
      <c r="H91" s="61"/>
      <c r="I91" s="90"/>
      <c r="J91" s="89"/>
      <c r="K91" s="89"/>
      <c r="L91" s="89">
        <f t="shared" si="8"/>
        <v>0</v>
      </c>
      <c r="M91" s="89"/>
    </row>
    <row r="92" ht="29.1" customHeight="1" spans="1:13">
      <c r="A92" s="88"/>
      <c r="B92" s="89"/>
      <c r="C92" s="89"/>
      <c r="D92" s="61"/>
      <c r="E92" s="61"/>
      <c r="F92" s="61"/>
      <c r="G92" s="61"/>
      <c r="H92" s="61"/>
      <c r="I92" s="61"/>
      <c r="J92" s="89"/>
      <c r="K92" s="89"/>
      <c r="L92" s="89">
        <f t="shared" si="8"/>
        <v>0</v>
      </c>
      <c r="M92" s="89"/>
    </row>
    <row r="93" ht="29.1" customHeight="1" spans="1:13">
      <c r="A93" s="61" t="s">
        <v>92</v>
      </c>
      <c r="B93" s="61">
        <f t="shared" ref="B93:M93" si="9">SUM(B80:B92)</f>
        <v>0</v>
      </c>
      <c r="C93" s="61">
        <f t="shared" si="9"/>
        <v>0</v>
      </c>
      <c r="D93" s="61">
        <f t="shared" si="9"/>
        <v>0</v>
      </c>
      <c r="E93" s="61">
        <f t="shared" si="9"/>
        <v>0</v>
      </c>
      <c r="F93" s="61">
        <f t="shared" si="9"/>
        <v>0</v>
      </c>
      <c r="G93" s="61">
        <f t="shared" si="9"/>
        <v>0</v>
      </c>
      <c r="H93" s="61">
        <f t="shared" si="9"/>
        <v>0</v>
      </c>
      <c r="I93" s="61">
        <f t="shared" si="9"/>
        <v>0</v>
      </c>
      <c r="J93" s="61">
        <f t="shared" si="9"/>
        <v>0</v>
      </c>
      <c r="K93" s="61">
        <f t="shared" si="9"/>
        <v>0</v>
      </c>
      <c r="L93" s="61">
        <f t="shared" si="9"/>
        <v>0</v>
      </c>
      <c r="M93" s="61">
        <f t="shared" si="9"/>
        <v>0</v>
      </c>
    </row>
    <row r="95" customHeight="1" spans="1:13">
      <c r="A95" s="8" t="s">
        <v>396</v>
      </c>
    </row>
    <row r="96" customHeight="1" spans="1:13">
      <c r="A96" s="91" t="s">
        <v>397</v>
      </c>
      <c r="B96" s="34" t="s">
        <v>398</v>
      </c>
      <c r="C96" s="34" t="s">
        <v>399</v>
      </c>
      <c r="D96" s="34" t="s">
        <v>400</v>
      </c>
      <c r="E96" s="34" t="s">
        <v>401</v>
      </c>
      <c r="F96" s="34" t="s">
        <v>402</v>
      </c>
      <c r="G96" s="34" t="s">
        <v>403</v>
      </c>
      <c r="H96" s="34" t="s">
        <v>404</v>
      </c>
      <c r="I96" s="34" t="s">
        <v>92</v>
      </c>
    </row>
    <row r="97" customHeight="1" spans="1:17">
      <c r="A97" s="90" t="s">
        <v>5</v>
      </c>
      <c r="B97" s="19"/>
      <c r="C97" s="19"/>
      <c r="D97" s="19"/>
      <c r="E97" s="19"/>
      <c r="F97" s="19"/>
      <c r="G97" s="19"/>
      <c r="H97" s="19"/>
      <c r="I97" s="19">
        <f t="shared" ref="I97:I102" si="10">SUM(B97:H97)</f>
        <v>0</v>
      </c>
    </row>
    <row r="98" customHeight="1" spans="1:17">
      <c r="A98" s="61" t="s">
        <v>6</v>
      </c>
      <c r="B98" s="19"/>
      <c r="C98" s="19"/>
      <c r="D98" s="19"/>
      <c r="E98" s="19"/>
      <c r="F98" s="19"/>
      <c r="G98" s="19"/>
      <c r="H98" s="19"/>
      <c r="I98" s="19">
        <f t="shared" si="10"/>
        <v>0</v>
      </c>
    </row>
    <row r="99" customHeight="1" spans="1:17">
      <c r="A99" s="61" t="s">
        <v>405</v>
      </c>
      <c r="B99" s="19"/>
      <c r="C99" s="19"/>
      <c r="D99" s="19"/>
      <c r="E99" s="19"/>
      <c r="F99" s="19"/>
      <c r="G99" s="19"/>
      <c r="H99" s="19"/>
      <c r="I99" s="19">
        <f t="shared" si="10"/>
        <v>0</v>
      </c>
    </row>
    <row r="100" customHeight="1" spans="1:17">
      <c r="A100" s="61" t="s">
        <v>406</v>
      </c>
      <c r="B100" s="19"/>
      <c r="C100" s="19"/>
      <c r="D100" s="19"/>
      <c r="E100" s="19"/>
      <c r="F100" s="19"/>
      <c r="G100" s="19"/>
      <c r="H100" s="19"/>
      <c r="I100" s="19">
        <f t="shared" si="10"/>
        <v>0</v>
      </c>
    </row>
    <row r="101" customHeight="1" spans="1:17">
      <c r="A101" s="18" t="s">
        <v>407</v>
      </c>
      <c r="B101" s="19"/>
      <c r="C101" s="19"/>
      <c r="D101" s="19"/>
      <c r="E101" s="19"/>
      <c r="F101" s="19"/>
      <c r="G101" s="19"/>
      <c r="H101" s="19"/>
      <c r="I101" s="19">
        <f t="shared" si="10"/>
        <v>0</v>
      </c>
    </row>
    <row r="102" customHeight="1" spans="1:17">
      <c r="A102" s="18" t="s">
        <v>408</v>
      </c>
      <c r="B102" s="19"/>
      <c r="C102" s="19"/>
      <c r="D102" s="19"/>
      <c r="E102" s="19"/>
      <c r="F102" s="19"/>
      <c r="G102" s="19"/>
      <c r="H102" s="19"/>
      <c r="I102" s="19">
        <f t="shared" si="10"/>
        <v>0</v>
      </c>
    </row>
    <row r="105" ht="29.1" customHeight="1" spans="1:17">
      <c r="A105" s="8" t="s">
        <v>409</v>
      </c>
    </row>
    <row r="106" customHeight="1" spans="1:17">
      <c r="A106" s="91" t="s">
        <v>2</v>
      </c>
      <c r="B106" s="34" t="s">
        <v>410</v>
      </c>
      <c r="C106" s="34" t="s">
        <v>411</v>
      </c>
      <c r="D106" s="34" t="s">
        <v>413</v>
      </c>
      <c r="E106" s="34" t="s">
        <v>414</v>
      </c>
      <c r="F106" s="34" t="s">
        <v>415</v>
      </c>
      <c r="G106" s="34" t="s">
        <v>416</v>
      </c>
      <c r="H106" s="34" t="s">
        <v>417</v>
      </c>
      <c r="I106" s="34" t="s">
        <v>418</v>
      </c>
      <c r="J106" s="34" t="s">
        <v>419</v>
      </c>
      <c r="K106" s="34" t="s">
        <v>420</v>
      </c>
      <c r="L106" s="34" t="s">
        <v>421</v>
      </c>
      <c r="M106" s="34" t="s">
        <v>422</v>
      </c>
      <c r="N106" s="34" t="s">
        <v>423</v>
      </c>
      <c r="O106" s="92" t="s">
        <v>424</v>
      </c>
      <c r="P106" s="92" t="s">
        <v>425</v>
      </c>
      <c r="Q106" s="92" t="s">
        <v>426</v>
      </c>
    </row>
    <row r="107" customHeight="1" spans="1:17">
      <c r="A107" s="93" t="str">
        <f>M4</f>
        <v>来源于“共享系统”系统管理-权限管理-人员管理</v>
      </c>
      <c r="B107" s="94"/>
      <c r="C107" s="94"/>
      <c r="D107" s="94"/>
      <c r="E107" s="18"/>
      <c r="F107" s="94"/>
      <c r="G107" s="94"/>
      <c r="H107" s="94"/>
      <c r="I107" s="94"/>
      <c r="J107" s="94"/>
      <c r="K107" s="94"/>
      <c r="L107" s="94"/>
      <c r="M107" s="94"/>
      <c r="N107" s="94"/>
      <c r="O107" s="18"/>
      <c r="P107" s="18"/>
      <c r="Q107" s="18"/>
    </row>
    <row r="109" hidden="1" customHeight="1"/>
    <row r="110" customFormat="1" customHeight="1" spans="1:17">
      <c r="A110" s="8" t="s">
        <v>427</v>
      </c>
      <c r="B110" s="7"/>
      <c r="C110" s="7"/>
      <c r="D110" s="7"/>
      <c r="E110" s="7"/>
      <c r="F110" s="7"/>
      <c r="G110" s="7"/>
      <c r="H110" s="7"/>
    </row>
    <row r="111" s="6" customFormat="1" ht="27" customHeight="1" spans="1:17">
      <c r="A111" s="95" t="s">
        <v>428</v>
      </c>
      <c r="B111" s="95"/>
      <c r="C111" s="95"/>
      <c r="D111" s="95"/>
      <c r="E111" s="95"/>
      <c r="F111" s="95"/>
      <c r="G111" s="95"/>
      <c r="H111" s="95"/>
    </row>
    <row r="112" s="6" customFormat="1" ht="31.5" customHeight="1" spans="1:17">
      <c r="A112" s="95"/>
      <c r="B112" s="95"/>
      <c r="C112" s="95"/>
      <c r="D112" s="95"/>
      <c r="E112" s="95"/>
      <c r="F112" s="95"/>
      <c r="G112" s="95"/>
      <c r="H112" s="95"/>
    </row>
    <row r="113" s="6" customFormat="1" ht="45" customHeight="1" spans="1:11">
      <c r="A113" s="96" t="str">
        <f>L4</f>
        <v>来源于“共享系统”系统管理-权限管理-人员管理</v>
      </c>
      <c r="B113" s="96"/>
      <c r="C113" s="96"/>
      <c r="H113" s="97" t="s">
        <v>429</v>
      </c>
    </row>
    <row r="114" s="6" customFormat="1" ht="24" customHeight="1" spans="1:11">
      <c r="A114" s="98" t="s">
        <v>430</v>
      </c>
      <c r="B114" s="98" t="s">
        <v>431</v>
      </c>
      <c r="C114" s="98" t="s">
        <v>432</v>
      </c>
      <c r="D114" s="98" t="s">
        <v>433</v>
      </c>
      <c r="E114" s="98" t="s">
        <v>434</v>
      </c>
      <c r="F114" s="98" t="s">
        <v>435</v>
      </c>
      <c r="G114" s="98" t="s">
        <v>436</v>
      </c>
      <c r="H114" s="98" t="s">
        <v>437</v>
      </c>
      <c r="K114" s="99"/>
    </row>
    <row r="115" s="6" customFormat="1" ht="24" customHeight="1" spans="1:11">
      <c r="A115" s="100">
        <v>1</v>
      </c>
      <c r="B115" s="98" t="s">
        <v>81</v>
      </c>
      <c r="C115" s="101"/>
      <c r="D115" s="101"/>
      <c r="E115" s="101"/>
      <c r="F115" s="101"/>
      <c r="G115" s="101"/>
      <c r="H115" s="102">
        <f>V11</f>
        <v>0</v>
      </c>
      <c r="K115" s="99"/>
    </row>
    <row r="116" s="6" customFormat="1" ht="24" customHeight="1" spans="1:11">
      <c r="A116" s="100">
        <v>2</v>
      </c>
      <c r="B116" s="98" t="s">
        <v>82</v>
      </c>
      <c r="C116" s="101"/>
      <c r="D116" s="101"/>
      <c r="E116" s="101"/>
      <c r="F116" s="101"/>
      <c r="G116" s="101"/>
      <c r="H116" s="102">
        <f>W11</f>
        <v>0</v>
      </c>
      <c r="K116" s="99"/>
    </row>
    <row r="117" s="6" customFormat="1" ht="24" customHeight="1" spans="1:11">
      <c r="A117" s="100">
        <v>3</v>
      </c>
      <c r="B117" s="98" t="s">
        <v>438</v>
      </c>
      <c r="C117" s="101"/>
      <c r="D117" s="101"/>
      <c r="E117" s="101"/>
      <c r="F117" s="101"/>
      <c r="G117" s="101"/>
      <c r="H117" s="103">
        <f>H115-H116</f>
        <v>0</v>
      </c>
    </row>
    <row r="118" s="6" customFormat="1" ht="24" customHeight="1" spans="1:11">
      <c r="A118" s="100">
        <v>4</v>
      </c>
      <c r="B118" s="98" t="s">
        <v>439</v>
      </c>
      <c r="C118" s="102"/>
      <c r="D118" s="102">
        <v>0</v>
      </c>
      <c r="E118" s="102"/>
      <c r="F118" s="102"/>
      <c r="G118" s="102"/>
      <c r="H118" s="104">
        <f>C118+D118+E118+F118+G118</f>
        <v>0</v>
      </c>
      <c r="K118" s="105"/>
    </row>
    <row r="119" s="6" customFormat="1" ht="24" customHeight="1" spans="1:11">
      <c r="A119" s="100">
        <v>5</v>
      </c>
      <c r="B119" s="98" t="s">
        <v>440</v>
      </c>
      <c r="C119" s="102"/>
      <c r="D119" s="104">
        <v>0</v>
      </c>
      <c r="E119" s="104"/>
      <c r="F119" s="104"/>
      <c r="G119" s="104"/>
      <c r="H119" s="104">
        <f>C119+D119+E119+F119+G119</f>
        <v>0</v>
      </c>
    </row>
    <row r="120" s="6" customFormat="1" ht="24" customHeight="1" spans="1:11">
      <c r="A120" s="100">
        <v>6</v>
      </c>
      <c r="B120" s="104" t="s">
        <v>441</v>
      </c>
      <c r="C120" s="106" t="e">
        <f>ROUND(C118/H116,10)</f>
        <v>#DIV/0!</v>
      </c>
      <c r="D120" s="106" t="e">
        <f>ROUND((C118+D118)/H116,10)</f>
        <v>#DIV/0!</v>
      </c>
      <c r="E120" s="106" t="e">
        <f>ROUND((C118+D118+E118)/H116,10)</f>
        <v>#DIV/0!</v>
      </c>
      <c r="F120" s="106" t="e">
        <f>ROUND((C118+D118+E118+F118)/H116,10)</f>
        <v>#DIV/0!</v>
      </c>
      <c r="G120" s="106" t="e">
        <f>ROUND((C118+D118+E118+F118+G118)/H116,10)</f>
        <v>#DIV/0!</v>
      </c>
      <c r="H120" s="104"/>
    </row>
    <row r="121" s="6" customFormat="1" ht="24" customHeight="1" spans="1:11">
      <c r="A121" s="100">
        <v>7</v>
      </c>
      <c r="B121" s="104" t="s">
        <v>442</v>
      </c>
      <c r="C121" s="104">
        <f t="shared" ref="C121:G121" si="11">C119-C118</f>
        <v>0</v>
      </c>
      <c r="D121" s="104">
        <f t="shared" si="11"/>
        <v>0</v>
      </c>
      <c r="E121" s="104">
        <f t="shared" si="11"/>
        <v>0</v>
      </c>
      <c r="F121" s="104">
        <f t="shared" si="11"/>
        <v>0</v>
      </c>
      <c r="G121" s="104">
        <f t="shared" si="11"/>
        <v>0</v>
      </c>
      <c r="H121" s="104"/>
    </row>
    <row r="122" s="6" customFormat="1" ht="24" customHeight="1" spans="1:11">
      <c r="A122" s="100">
        <v>8</v>
      </c>
      <c r="B122" s="104" t="s">
        <v>443</v>
      </c>
      <c r="C122" s="104">
        <f>C119-C118</f>
        <v>0</v>
      </c>
      <c r="D122" s="104">
        <f>C121+D121</f>
        <v>0</v>
      </c>
      <c r="E122" s="104">
        <f>C121+D121+E121</f>
        <v>0</v>
      </c>
      <c r="F122" s="104">
        <f>C121+D121+E121+F121</f>
        <v>0</v>
      </c>
      <c r="G122" s="104">
        <f>C121+D121+E121+F121+G121</f>
        <v>0</v>
      </c>
      <c r="H122" s="104"/>
    </row>
    <row r="123" s="6" customFormat="1" ht="25.7" customHeight="1"/>
    <row r="124" s="6" customFormat="1" ht="25.7" customHeight="1" spans="1:11">
      <c r="B124" s="97" t="s">
        <v>444</v>
      </c>
      <c r="C124" s="97"/>
      <c r="D124" s="97"/>
      <c r="E124" s="97"/>
      <c r="F124" s="97"/>
      <c r="G124" s="97" t="s">
        <v>445</v>
      </c>
      <c r="H124" s="97"/>
    </row>
    <row r="126" customHeight="1" spans="1:11">
      <c r="A126" s="8" t="s">
        <v>446</v>
      </c>
    </row>
    <row r="127" customHeight="1" spans="1:11">
      <c r="A127" s="9" t="s">
        <v>98</v>
      </c>
      <c r="B127" s="9" t="s">
        <v>99</v>
      </c>
      <c r="C127" s="9" t="s">
        <v>100</v>
      </c>
      <c r="D127" s="9" t="s">
        <v>101</v>
      </c>
      <c r="E127" s="9" t="s">
        <v>447</v>
      </c>
      <c r="F127" s="9" t="s">
        <v>103</v>
      </c>
      <c r="G127" s="9" t="s">
        <v>104</v>
      </c>
    </row>
    <row r="128" ht="30" customHeight="1" spans="1:11">
      <c r="A128" s="107">
        <f>G11-T11-B107+C107-D107-E107+P107</f>
        <v>0</v>
      </c>
      <c r="B128" s="107">
        <f>H17-X17-J107+P107</f>
        <v>0</v>
      </c>
      <c r="C128" s="107" t="e">
        <f>SUMIFS($G$51:$G$76,$D$51:$D$76,C10)/H116*H115-O11</f>
        <v>#DIV/0!</v>
      </c>
      <c r="D128" s="107">
        <f>G12+G13-T12-T13-F107+G107-H107-I107+Q107</f>
        <v>0</v>
      </c>
      <c r="E128" s="107" t="e">
        <f>C11*(1-K4)-C12-C13</f>
        <v>#DIV/0!</v>
      </c>
      <c r="F128" s="107">
        <f>(SUMIFS($V$20:$V$46,$R$20:$R$46,C10)-SUMIFS($R$51:$R$76,$N$51:$N$76,C10))/1.09*0.02-D93</f>
        <v>0</v>
      </c>
      <c r="G128" s="107">
        <f>B107-C107+M107-N107</f>
        <v>0</v>
      </c>
    </row>
    <row r="129" ht="32.1" customHeight="1" spans="1:7">
      <c r="A129" s="18" t="s">
        <v>67</v>
      </c>
      <c r="B129" s="18" t="s">
        <v>67</v>
      </c>
      <c r="C129" s="18" t="s">
        <v>67</v>
      </c>
      <c r="D129" s="18" t="s">
        <v>67</v>
      </c>
      <c r="E129" s="108" t="s">
        <v>68</v>
      </c>
      <c r="F129" s="18" t="s">
        <v>67</v>
      </c>
      <c r="G129" s="108" t="s">
        <v>69</v>
      </c>
    </row>
    <row r="132" customHeight="1" spans="1:7">
      <c r="A132" s="1"/>
    </row>
  </sheetData>
  <autoFilter xmlns:etc="http://www.wps.cn/officeDocument/2017/etCustomData" ref="A50:AG65" etc:filterBottomFollowUsedRange="0">
    <extLst/>
  </autoFilter>
  <mergeCells count="70">
    <mergeCell ref="E2:J2"/>
    <mergeCell ref="B9:G9"/>
    <mergeCell ref="H9:M9"/>
    <mergeCell ref="N9:S9"/>
    <mergeCell ref="A18:K18"/>
    <mergeCell ref="L18:O18"/>
    <mergeCell ref="P18:Y18"/>
    <mergeCell ref="Z18:AG18"/>
    <mergeCell ref="A49:K49"/>
    <mergeCell ref="L49:U49"/>
    <mergeCell ref="V49:AC49"/>
    <mergeCell ref="A113:C113"/>
    <mergeCell ref="A2:A3"/>
    <mergeCell ref="A9:A10"/>
    <mergeCell ref="B2:B3"/>
    <mergeCell ref="C2:C3"/>
    <mergeCell ref="D2:D3"/>
    <mergeCell ref="K2:K3"/>
    <mergeCell ref="K4:K6"/>
    <mergeCell ref="L2:L3"/>
    <mergeCell ref="L4:L6"/>
    <mergeCell ref="M2:M3"/>
    <mergeCell ref="M4:M6"/>
    <mergeCell ref="N2:N3"/>
    <mergeCell ref="N4:N6"/>
    <mergeCell ref="O2:O3"/>
    <mergeCell ref="O4:O6"/>
    <mergeCell ref="P2:P3"/>
    <mergeCell ref="P4:P6"/>
    <mergeCell ref="Q2:Q3"/>
    <mergeCell ref="Q4:Q6"/>
    <mergeCell ref="R2:R3"/>
    <mergeCell ref="R4:R6"/>
    <mergeCell ref="S2:S3"/>
    <mergeCell ref="S4:S6"/>
    <mergeCell ref="T2:T3"/>
    <mergeCell ref="T4:T6"/>
    <mergeCell ref="T9:T10"/>
    <mergeCell ref="U2:U3"/>
    <mergeCell ref="U4:U6"/>
    <mergeCell ref="U9:U10"/>
    <mergeCell ref="U11:U13"/>
    <mergeCell ref="V2:V3"/>
    <mergeCell ref="V4:V6"/>
    <mergeCell ref="V9:V10"/>
    <mergeCell ref="V11:V13"/>
    <mergeCell ref="W2:W3"/>
    <mergeCell ref="W4:W6"/>
    <mergeCell ref="W9:W10"/>
    <mergeCell ref="W11:W13"/>
    <mergeCell ref="X2:X3"/>
    <mergeCell ref="X4:X6"/>
    <mergeCell ref="Y2:Y3"/>
    <mergeCell ref="Y4:Y6"/>
    <mergeCell ref="Z2:Z3"/>
    <mergeCell ref="Z4:Z6"/>
    <mergeCell ref="AA2:AA3"/>
    <mergeCell ref="AA4:AA6"/>
    <mergeCell ref="AB2:AB3"/>
    <mergeCell ref="AB4:AB6"/>
    <mergeCell ref="AC2:AC3"/>
    <mergeCell ref="AD2:AD3"/>
    <mergeCell ref="AE2:AE3"/>
    <mergeCell ref="AF2:AF3"/>
    <mergeCell ref="AG2:AG3"/>
    <mergeCell ref="AH2:AH3"/>
    <mergeCell ref="AI2:AI3"/>
    <mergeCell ref="AJ2:AJ3"/>
    <mergeCell ref="AJ4:AJ6"/>
    <mergeCell ref="A111:H112"/>
  </mergeCells>
  <dataValidations count="7">
    <dataValidation type="list" allowBlank="1" showInputMessage="1" showErrorMessage="1" sqref="N46 R46 R76 A20:A45 A59:A75 D51:D75 N51:N76 AB51:AB65">
      <formula1>"勘察设计,工程施工,设备采购,服务费,其他"</formula1>
    </dataValidation>
    <dataValidation type="list" allowBlank="1" showInputMessage="1" showErrorMessage="1" sqref="D20:D45">
      <formula1>"勘察设计,工程施工,设备采购,业主承担管理费,服务费"</formula1>
    </dataValidation>
    <dataValidation type="list" allowBlank="1" showInputMessage="1" showErrorMessage="1" sqref="F20:F45 F51:F58">
      <formula1>"6%,9%,13%"</formula1>
    </dataValidation>
    <dataValidation type="list" allowBlank="1" showInputMessage="1" showErrorMessage="1" sqref="N20:N45 R20:R45 AF20:AF45">
      <formula1>"勘察设计,工程施工,设备采购,业主承担管理费,服务费,其他"</formula1>
    </dataValidation>
    <dataValidation type="list" allowBlank="1" showInputMessage="1" showErrorMessage="1" sqref="V4:V6">
      <formula1>"铁路,公路,市政,房建,地铁、轻轨,其他基建"</formula1>
    </dataValidation>
    <dataValidation type="list" allowBlank="1" showInputMessage="1" showErrorMessage="1" sqref="X4:X5">
      <formula1>"竣工未决算,在建,收尾,竣工已决算,停缓建"</formula1>
    </dataValidation>
    <dataValidation type="list" allowBlank="1" showInputMessage="1" showErrorMessage="1" sqref="X51:X75 AB20:AB41">
      <formula1>"专户,集团户"</formula1>
    </dataValidation>
  </dataValidations>
  <pageMargins left="0.75" right="0.75" top="1" bottom="1" header="0.5" footer="0.5"/>
  <pageSetup paperSize="9"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32"/>
  <sheetViews>
    <sheetView zoomScale="90" zoomScaleNormal="90" topLeftCell="A118" workbookViewId="0">
      <selection activeCell="D129" sqref="D129"/>
    </sheetView>
  </sheetViews>
  <sheetFormatPr defaultColWidth="14.25" defaultRowHeight="21.95" customHeight="1"/>
  <cols>
    <col min="1" max="1" width="36.25" style="7" customWidth="1"/>
    <col min="2" max="2" width="30.1333333333333" style="7" customWidth="1"/>
    <col min="3" max="3" width="23.75" style="7" customWidth="1"/>
    <col min="4" max="4" width="17.1333333333333" style="7" customWidth="1"/>
    <col min="5" max="5" width="20.25" style="7" customWidth="1"/>
    <col min="6" max="6" width="17.6333333333333" style="7" customWidth="1"/>
    <col min="7" max="7" width="20.3833333333333" style="7" customWidth="1"/>
    <col min="8" max="8" width="20.6333333333333" style="7" customWidth="1"/>
    <col min="9" max="9" width="20.5" style="7" customWidth="1"/>
    <col min="10" max="10" width="18.3833333333333" style="7" customWidth="1"/>
    <col min="11" max="11" width="18.5" style="7" customWidth="1"/>
    <col min="12" max="12" width="19.3833333333333" style="7" customWidth="1"/>
    <col min="13" max="13" width="22.75" style="7" customWidth="1"/>
    <col min="14" max="14" width="21" style="7" customWidth="1"/>
    <col min="15" max="15" width="19" style="7" customWidth="1"/>
    <col min="16" max="16" width="27" style="7" customWidth="1"/>
    <col min="17" max="17" width="20.75" style="7" customWidth="1"/>
    <col min="18" max="18" width="17.25" style="7" customWidth="1"/>
    <col min="19" max="19" width="17.75" style="7" customWidth="1"/>
    <col min="20" max="20" width="23.8833333333333" style="7" customWidth="1"/>
    <col min="21" max="21" width="17.25" style="7" customWidth="1"/>
    <col min="22" max="22" width="20.75" style="7" customWidth="1"/>
    <col min="23" max="23" width="19.8833333333333" style="7" customWidth="1"/>
    <col min="24" max="24" width="16.8833333333333" style="7" customWidth="1"/>
    <col min="25" max="25" width="14.25" style="7" customWidth="1"/>
    <col min="26" max="26" width="19.25" style="7" customWidth="1"/>
    <col min="27" max="27" width="23.5" style="7" customWidth="1"/>
    <col min="28" max="30" width="14.25" style="7" customWidth="1"/>
    <col min="31" max="31" width="17.25" style="7" customWidth="1"/>
    <col min="32" max="16381" width="14.25" style="7" customWidth="1"/>
    <col min="16382" max="16384" width="14.25" style="7"/>
  </cols>
  <sheetData>
    <row r="1" customHeight="1" spans="1:36">
      <c r="A1" s="8" t="s">
        <v>0</v>
      </c>
    </row>
    <row r="2" customHeight="1" spans="1:36">
      <c r="A2" s="9" t="s">
        <v>291</v>
      </c>
      <c r="B2" s="9" t="s">
        <v>292</v>
      </c>
      <c r="C2" s="9" t="s">
        <v>293</v>
      </c>
      <c r="D2" s="10" t="s">
        <v>294</v>
      </c>
      <c r="E2" s="11" t="s">
        <v>295</v>
      </c>
      <c r="F2" s="12"/>
      <c r="G2" s="12"/>
      <c r="H2" s="12"/>
      <c r="I2" s="12"/>
      <c r="J2" s="13"/>
      <c r="K2" s="9" t="s">
        <v>9</v>
      </c>
      <c r="L2" s="9" t="s">
        <v>1</v>
      </c>
      <c r="M2" s="9" t="s">
        <v>296</v>
      </c>
      <c r="N2" s="9" t="s">
        <v>10</v>
      </c>
      <c r="O2" s="9" t="s">
        <v>11</v>
      </c>
      <c r="P2" s="9" t="s">
        <v>297</v>
      </c>
      <c r="Q2" s="9" t="s">
        <v>298</v>
      </c>
      <c r="R2" s="9" t="s">
        <v>299</v>
      </c>
      <c r="S2" s="9" t="s">
        <v>12</v>
      </c>
      <c r="T2" s="9" t="s">
        <v>13</v>
      </c>
      <c r="U2" s="9" t="s">
        <v>14</v>
      </c>
      <c r="V2" s="9" t="s">
        <v>15</v>
      </c>
      <c r="W2" s="9" t="s">
        <v>16</v>
      </c>
      <c r="X2" s="9" t="s">
        <v>17</v>
      </c>
      <c r="Y2" s="9" t="s">
        <v>300</v>
      </c>
      <c r="Z2" s="9" t="s">
        <v>301</v>
      </c>
      <c r="AA2" s="9" t="s">
        <v>302</v>
      </c>
      <c r="AB2" s="9" t="s">
        <v>303</v>
      </c>
      <c r="AC2" s="9" t="s">
        <v>304</v>
      </c>
      <c r="AD2" s="9" t="s">
        <v>305</v>
      </c>
      <c r="AE2" s="9" t="s">
        <v>304</v>
      </c>
      <c r="AF2" s="9" t="s">
        <v>306</v>
      </c>
      <c r="AG2" s="9" t="s">
        <v>307</v>
      </c>
      <c r="AH2" s="9" t="s">
        <v>308</v>
      </c>
      <c r="AI2" s="9" t="s">
        <v>309</v>
      </c>
      <c r="AJ2" s="9" t="s">
        <v>310</v>
      </c>
    </row>
    <row r="3" customHeight="1" spans="1:36">
      <c r="A3" s="14"/>
      <c r="B3" s="14"/>
      <c r="C3" s="14"/>
      <c r="D3" s="15"/>
      <c r="E3" s="16" t="s">
        <v>311</v>
      </c>
      <c r="F3" s="16" t="s">
        <v>312</v>
      </c>
      <c r="G3" s="16" t="s">
        <v>313</v>
      </c>
      <c r="H3" s="16" t="s">
        <v>314</v>
      </c>
      <c r="I3" s="16" t="s">
        <v>315</v>
      </c>
      <c r="J3" s="16" t="s">
        <v>92</v>
      </c>
      <c r="K3" s="14"/>
      <c r="L3" s="14"/>
      <c r="M3" s="14"/>
      <c r="N3" s="14"/>
      <c r="O3" s="14"/>
      <c r="P3" s="14"/>
      <c r="Q3" s="14"/>
      <c r="R3" s="14"/>
      <c r="S3" s="14"/>
      <c r="T3" s="14"/>
      <c r="U3" s="14"/>
      <c r="V3" s="14"/>
      <c r="W3" s="14"/>
      <c r="X3" s="14"/>
      <c r="Y3" s="14"/>
      <c r="Z3" s="14"/>
      <c r="AA3" s="14"/>
      <c r="AB3" s="14"/>
      <c r="AC3" s="14"/>
      <c r="AD3" s="14"/>
      <c r="AE3" s="14"/>
      <c r="AF3" s="14"/>
      <c r="AG3" s="14"/>
      <c r="AH3" s="14"/>
      <c r="AI3" s="14"/>
      <c r="AJ3" s="14"/>
    </row>
    <row r="4" customHeight="1" spans="1:36">
      <c r="A4" s="17" t="s">
        <v>485</v>
      </c>
      <c r="B4" s="17" t="s">
        <v>486</v>
      </c>
      <c r="C4" s="17" t="s">
        <v>487</v>
      </c>
      <c r="D4" s="18" t="s">
        <v>319</v>
      </c>
      <c r="E4" s="19"/>
      <c r="F4" s="19"/>
      <c r="G4" s="19"/>
      <c r="H4" s="19"/>
      <c r="I4" s="19"/>
      <c r="J4" s="19">
        <f t="shared" ref="J4:J6" si="0">SUM(E4:I4)</f>
        <v>0</v>
      </c>
      <c r="K4" s="20" t="e">
        <f>(F4-F5-F6)/F4</f>
        <v>#DIV/0!</v>
      </c>
      <c r="L4" s="21" t="s">
        <v>488</v>
      </c>
      <c r="M4" s="21" t="s">
        <v>488</v>
      </c>
      <c r="N4" s="21" t="s">
        <v>489</v>
      </c>
      <c r="O4" s="22" t="s">
        <v>490</v>
      </c>
      <c r="P4" s="22"/>
      <c r="Q4" s="22"/>
      <c r="R4" s="22"/>
      <c r="S4" s="22"/>
      <c r="T4" s="22"/>
      <c r="U4" s="22"/>
      <c r="V4" s="22"/>
      <c r="W4" s="22"/>
      <c r="X4" s="23"/>
      <c r="Y4" s="24"/>
      <c r="Z4" s="22"/>
      <c r="AA4" s="22"/>
      <c r="AB4" s="22"/>
      <c r="AC4" s="17"/>
      <c r="AD4" s="17"/>
      <c r="AE4" s="17"/>
      <c r="AF4" s="17"/>
      <c r="AG4" s="17"/>
      <c r="AH4" s="17"/>
      <c r="AI4" s="17"/>
      <c r="AJ4" s="22"/>
    </row>
    <row r="5" customHeight="1" spans="1:36">
      <c r="A5" s="17" t="s">
        <v>485</v>
      </c>
      <c r="B5" s="17" t="s">
        <v>486</v>
      </c>
      <c r="C5" s="17" t="s">
        <v>487</v>
      </c>
      <c r="D5" s="18" t="s">
        <v>328</v>
      </c>
      <c r="E5" s="19"/>
      <c r="F5" s="19"/>
      <c r="G5" s="19"/>
      <c r="H5" s="19"/>
      <c r="I5" s="19"/>
      <c r="J5" s="19">
        <f t="shared" si="0"/>
        <v>0</v>
      </c>
      <c r="K5" s="25"/>
      <c r="L5" s="26"/>
      <c r="M5" s="26"/>
      <c r="N5" s="26"/>
      <c r="O5" s="27"/>
      <c r="P5" s="27"/>
      <c r="Q5" s="27"/>
      <c r="R5" s="27"/>
      <c r="S5" s="27"/>
      <c r="T5" s="27"/>
      <c r="U5" s="27"/>
      <c r="V5" s="27"/>
      <c r="W5" s="27"/>
      <c r="X5" s="28"/>
      <c r="Y5" s="27"/>
      <c r="Z5" s="27"/>
      <c r="AA5" s="27"/>
      <c r="AB5" s="27"/>
      <c r="AC5" s="17"/>
      <c r="AD5" s="17"/>
      <c r="AE5" s="17"/>
      <c r="AF5" s="17"/>
      <c r="AG5" s="17"/>
      <c r="AH5" s="17"/>
      <c r="AI5" s="17"/>
      <c r="AJ5" s="27"/>
    </row>
    <row r="6" customHeight="1" spans="1:36">
      <c r="A6" s="17"/>
      <c r="B6" s="17"/>
      <c r="C6" s="17"/>
      <c r="D6" s="18" t="s">
        <v>328</v>
      </c>
      <c r="E6" s="19"/>
      <c r="F6" s="19"/>
      <c r="G6" s="19"/>
      <c r="H6" s="19"/>
      <c r="I6" s="19"/>
      <c r="J6" s="19">
        <f t="shared" si="0"/>
        <v>0</v>
      </c>
      <c r="K6" s="29"/>
      <c r="L6" s="30"/>
      <c r="M6" s="30"/>
      <c r="N6" s="30"/>
      <c r="O6" s="31"/>
      <c r="P6" s="31"/>
      <c r="Q6" s="31"/>
      <c r="R6" s="31"/>
      <c r="S6" s="31"/>
      <c r="T6" s="31"/>
      <c r="U6" s="31"/>
      <c r="V6" s="31"/>
      <c r="W6" s="31"/>
      <c r="X6" s="32"/>
      <c r="Y6" s="31"/>
      <c r="Z6" s="31"/>
      <c r="AA6" s="31"/>
      <c r="AB6" s="31"/>
      <c r="AC6" s="17"/>
      <c r="AD6" s="17"/>
      <c r="AE6" s="17"/>
      <c r="AF6" s="17"/>
      <c r="AG6" s="17"/>
      <c r="AH6" s="17"/>
      <c r="AI6" s="17"/>
      <c r="AJ6" s="31"/>
    </row>
    <row r="7" customHeight="1" spans="1:36">
      <c r="A7" s="33"/>
    </row>
    <row r="8" customHeight="1" spans="1:36">
      <c r="A8" s="8" t="s">
        <v>333</v>
      </c>
    </row>
    <row r="9" customHeight="1" spans="1:36">
      <c r="A9" s="16" t="s">
        <v>291</v>
      </c>
      <c r="B9" s="34" t="s">
        <v>83</v>
      </c>
      <c r="C9" s="34"/>
      <c r="D9" s="34"/>
      <c r="E9" s="34"/>
      <c r="F9" s="34"/>
      <c r="G9" s="34"/>
      <c r="H9" s="34" t="s">
        <v>88</v>
      </c>
      <c r="I9" s="34"/>
      <c r="J9" s="34"/>
      <c r="K9" s="34"/>
      <c r="L9" s="34"/>
      <c r="M9" s="34"/>
      <c r="N9" s="34" t="s">
        <v>334</v>
      </c>
      <c r="O9" s="34"/>
      <c r="P9" s="34"/>
      <c r="Q9" s="34"/>
      <c r="R9" s="34"/>
      <c r="S9" s="34"/>
      <c r="T9" s="9" t="s">
        <v>335</v>
      </c>
      <c r="U9" s="9" t="s">
        <v>336</v>
      </c>
      <c r="V9" s="9" t="s">
        <v>81</v>
      </c>
      <c r="W9" s="9" t="s">
        <v>82</v>
      </c>
    </row>
    <row r="10" s="1" customFormat="1" customHeight="1" spans="1:36">
      <c r="A10" s="16"/>
      <c r="B10" s="16" t="s">
        <v>311</v>
      </c>
      <c r="C10" s="16" t="s">
        <v>312</v>
      </c>
      <c r="D10" s="16" t="s">
        <v>313</v>
      </c>
      <c r="E10" s="16" t="s">
        <v>314</v>
      </c>
      <c r="F10" s="16" t="s">
        <v>337</v>
      </c>
      <c r="G10" s="16" t="s">
        <v>92</v>
      </c>
      <c r="H10" s="16" t="s">
        <v>311</v>
      </c>
      <c r="I10" s="16" t="s">
        <v>312</v>
      </c>
      <c r="J10" s="16" t="s">
        <v>313</v>
      </c>
      <c r="K10" s="16" t="s">
        <v>314</v>
      </c>
      <c r="L10" s="16" t="s">
        <v>337</v>
      </c>
      <c r="M10" s="16" t="s">
        <v>92</v>
      </c>
      <c r="N10" s="16" t="s">
        <v>311</v>
      </c>
      <c r="O10" s="16" t="s">
        <v>312</v>
      </c>
      <c r="P10" s="16" t="s">
        <v>313</v>
      </c>
      <c r="Q10" s="16" t="s">
        <v>314</v>
      </c>
      <c r="R10" s="16" t="s">
        <v>337</v>
      </c>
      <c r="S10" s="16" t="s">
        <v>92</v>
      </c>
      <c r="T10" s="14"/>
      <c r="U10" s="14"/>
      <c r="V10" s="14"/>
      <c r="W10" s="14"/>
    </row>
    <row r="11" customHeight="1" spans="1:36">
      <c r="A11" s="35"/>
      <c r="B11" s="36">
        <f>SUMIFS($E$20:$E$46,$D$20:$D$46,$B$10,$A$20:$A$46,$A$11)</f>
        <v>0</v>
      </c>
      <c r="C11" s="36">
        <f>SUMIFS($E$20:$E$46,$D$20:$D$46,C10,$A$20:$A$46,A11)</f>
        <v>0</v>
      </c>
      <c r="D11" s="36">
        <f>SUMIFS($E$20:$E$46,$D$20:$D$46,D10,$A$20:$A$46,A11)</f>
        <v>0</v>
      </c>
      <c r="E11" s="36">
        <f>SUMIFS($E$20:$E$46,$D$20:$D$46,E10,$A$20:$A$46,A11)</f>
        <v>0</v>
      </c>
      <c r="F11" s="36">
        <f>SUMIFS($E$20:$E$46,$D$20:$D$46,F10,$A$20:$A$46,A11)</f>
        <v>0</v>
      </c>
      <c r="G11" s="36">
        <f t="shared" ref="G11:G13" si="1">SUM(B11:F11)</f>
        <v>0</v>
      </c>
      <c r="H11" s="36">
        <f>SUMIFS($V$20:$V$46,$R$20:$R$46,$H$10,$P$20:$P$46,$A$11)</f>
        <v>0</v>
      </c>
      <c r="I11" s="36">
        <f>SUMIFS($V$20:$V$46,$R$20:$R$46,I10,$P$20:$P$46,$A$11)</f>
        <v>0</v>
      </c>
      <c r="J11" s="36">
        <f>SUMIFS($V$20:$V$46,$R$20:$R$46,$J$10,$P$20:$P$46,$A$11)</f>
        <v>0</v>
      </c>
      <c r="K11" s="36">
        <f>SUMIFS($V$20:$V$46,$R$20:$R$46,$K$10,$P$20:$P$46,$A$11)</f>
        <v>0</v>
      </c>
      <c r="L11" s="36">
        <f>SUMIFS($V$20:$V$46,$R$20:$R$46,$L$10,$P$20:$P$46,$A$11)</f>
        <v>0</v>
      </c>
      <c r="M11" s="36">
        <f t="shared" ref="M11:M13" si="2">SUM(H11:L11)</f>
        <v>0</v>
      </c>
      <c r="N11" s="36">
        <f>SUMIFS($O$20:$O$45,$N$20:$N$45,N10,$L$20:$L$45,A11)</f>
        <v>0</v>
      </c>
      <c r="O11" s="36">
        <f>SUMIFS($O$20:$O$45,$N$20:$N$45,O10,$L$20:$L$45,A11)</f>
        <v>0</v>
      </c>
      <c r="P11" s="36">
        <f>SUMIFS($O$20:$O$45,$N$20:$N$45,P10,$L$20:$L$45,A11)</f>
        <v>0</v>
      </c>
      <c r="Q11" s="36">
        <f>SUMIFS($O$20:$O$45,$N$20:$N$45,Q10,$L$20:$L$45,A11)</f>
        <v>0</v>
      </c>
      <c r="R11" s="36">
        <f>SUMIFS($O$20:$O$45,$N$20:$N$45,R10,$L$20:$L$45,A11)</f>
        <v>0</v>
      </c>
      <c r="S11" s="37">
        <f t="shared" ref="S11:S13" si="3">SUM(N11:R11)</f>
        <v>0</v>
      </c>
      <c r="T11" s="37">
        <f>SUMIF($Z$20:$Z$46,A11,$AE$20:$AE$46)</f>
        <v>0</v>
      </c>
      <c r="U11" s="22"/>
      <c r="V11" s="38">
        <f>F4/1.09</f>
        <v>0</v>
      </c>
      <c r="W11" s="38">
        <f>(F5+F6)/1.09</f>
        <v>0</v>
      </c>
    </row>
    <row r="12" customHeight="1" spans="1:36">
      <c r="A12" s="35"/>
      <c r="B12" s="36">
        <f>SUMIFS($E$51:$E$76,$D$51:$D$76,B10,$A$51:$A$76,A12)</f>
        <v>0</v>
      </c>
      <c r="C12" s="36">
        <f>SUMIFS($E$51:$E$76,$D$51:$D$76,C10,$A$51:$A$76,A12)</f>
        <v>0</v>
      </c>
      <c r="D12" s="36">
        <f>SUMIFS($E$51:$E$76,$D$51:$D$76,D10,$A$51:$A$76,A12)</f>
        <v>0</v>
      </c>
      <c r="E12" s="36">
        <f>SUMIFS($E$51:$E$76,$D$51:$D$76,E10,$A$51:$A$76,A12)</f>
        <v>0</v>
      </c>
      <c r="F12" s="36">
        <f>SUMIFS($E$51:$E$76,$D$51:$D$76,F10,$A$51:$A$76,A12)</f>
        <v>0</v>
      </c>
      <c r="G12" s="36">
        <f t="shared" si="1"/>
        <v>0</v>
      </c>
      <c r="H12" s="36">
        <f>SUMIFS($R$51:$R$76,$N$51:$N$76,H10,$L$51:$L$76,A12)</f>
        <v>0</v>
      </c>
      <c r="I12" s="36">
        <f>SUMIFS($R$51:$R$76,$N$51:$N$76,I10,$L$51:$L$76,A12)</f>
        <v>0</v>
      </c>
      <c r="J12" s="36">
        <f>SUMIFS($R$51:$R$76,$N$51:$N$76,J10,$L$51:$L$76,A12)</f>
        <v>0</v>
      </c>
      <c r="K12" s="36">
        <f>SUMIFS($R$51:$R$76,$N$51:$N$76,K10,$L$51:$L$76,A12)</f>
        <v>0</v>
      </c>
      <c r="L12" s="36">
        <f>SUMIFS($R$51:$R$76,$N$51:$N$76,L10,$L$51:$L$76,A12)</f>
        <v>0</v>
      </c>
      <c r="M12" s="36">
        <f t="shared" si="2"/>
        <v>0</v>
      </c>
      <c r="N12" s="36">
        <f>SUMIFS($G$51:$G$76,$D$51:$D$76,N10,$A$51:$A$76,A12)</f>
        <v>0</v>
      </c>
      <c r="O12" s="36">
        <f>SUMIFS($G$51:$G$76,$D$51:$D$76,$O$10,$A$51:$A$76,A12)</f>
        <v>0</v>
      </c>
      <c r="P12" s="36">
        <f>SUMIFS($G$51:$G$76,$D$51:$D$76,$P$10,$A$51:$A$76,A12)</f>
        <v>0</v>
      </c>
      <c r="Q12" s="36">
        <f>SUMIFS($G$51:$G$76,$D$51:$D$76,$Q$10,$A$51:$A$76,A12)</f>
        <v>0</v>
      </c>
      <c r="R12" s="36">
        <f>SUMIFS($G$51:$G$76,$D$51:$D$76,$R$10,$A$51:$A$76,A12)</f>
        <v>0</v>
      </c>
      <c r="S12" s="37">
        <f t="shared" si="3"/>
        <v>0</v>
      </c>
      <c r="T12" s="37">
        <f>SUMIF($V$51:$V$76,A12,$AA$51:$AA$76)</f>
        <v>0</v>
      </c>
      <c r="U12" s="27"/>
      <c r="V12" s="39"/>
      <c r="W12" s="39"/>
    </row>
    <row r="13" customHeight="1" spans="1:36">
      <c r="A13" s="35"/>
      <c r="B13" s="36">
        <f>SUMIFS($E$51:$E$76,$D$51:$D$76,B10,$A$51:$A$76,A13)</f>
        <v>0</v>
      </c>
      <c r="C13" s="36">
        <f>SUMIFS($E$51:$E$76,$D$51:$D$76,C10,$A$51:$A$76,A13)</f>
        <v>0</v>
      </c>
      <c r="D13" s="36">
        <f>SUMIFS($E$51:$E$76,$D$51:$D$76,D10,$A$51:$A$76,A13)</f>
        <v>0</v>
      </c>
      <c r="E13" s="36">
        <f>SUMIFS($E$51:$E$76,$D$51:$D$76,E10,$A$51:$A$76,A13)</f>
        <v>0</v>
      </c>
      <c r="F13" s="36">
        <f>SUMIFS($E$51:$E$76,$D$51:$D$76,F10,$A$51:$A$76,A13)</f>
        <v>0</v>
      </c>
      <c r="G13" s="36">
        <f t="shared" si="1"/>
        <v>0</v>
      </c>
      <c r="H13" s="36">
        <f>SUMIFS($R$51:$R$76,$N$51:$N$76,H10,$L$51:$L$76,A13)</f>
        <v>0</v>
      </c>
      <c r="I13" s="36">
        <f>SUMIFS($R$51:$R$76,$N$51:$N$76,I10,$L$51:$L$76,A13)</f>
        <v>0</v>
      </c>
      <c r="J13" s="36">
        <f>SUMIFS($R$51:$R$76,$N$51:$N$76,J10,$L$51:$L$76,A13)</f>
        <v>0</v>
      </c>
      <c r="K13" s="36">
        <f>SUMIFS($R$51:$R$76,$N$51:$N$76,K10,$L$51:$L$76,A13)</f>
        <v>0</v>
      </c>
      <c r="L13" s="36">
        <f>SUMIFS($R$51:$R$76,$N$51:$N$76,L10,$L$51:$L$76,A13)</f>
        <v>0</v>
      </c>
      <c r="M13" s="36">
        <f t="shared" si="2"/>
        <v>0</v>
      </c>
      <c r="N13" s="36">
        <f>SUMIFS($G$51:$G$76,$D$51:$D$76,$N$10,$A$51:$A$76,A13)</f>
        <v>0</v>
      </c>
      <c r="O13" s="36">
        <f>SUMIFS($G$51:$G$76,$D$51:$D$76,$O$10,$A$51:$A$76,A13)</f>
        <v>0</v>
      </c>
      <c r="P13" s="36">
        <f>SUMIFS($G$51:$G$76,$D$51:$D$76,$P$10,$A$51:$A$76,A13)</f>
        <v>0</v>
      </c>
      <c r="Q13" s="36">
        <f>SUMIFS($G$51:$G$76,$D$51:$D$76,$Q$10,$A$51:$A$76,A13)</f>
        <v>0</v>
      </c>
      <c r="R13" s="36">
        <f>SUMIFS($G$51:$G$76,$D$51:$D$76,$R$10,$A$51:$A$76,A13)</f>
        <v>0</v>
      </c>
      <c r="S13" s="37">
        <f t="shared" si="3"/>
        <v>0</v>
      </c>
      <c r="T13" s="37">
        <f>SUMIF($V$51:$V$76,A13,$AA$51:$AA$76)</f>
        <v>0</v>
      </c>
      <c r="U13" s="31"/>
      <c r="V13" s="40"/>
      <c r="W13" s="40"/>
    </row>
    <row r="14" s="2" customFormat="1" customHeight="1" spans="1:36">
      <c r="A14" s="41"/>
      <c r="B14" s="42"/>
      <c r="C14" s="42"/>
      <c r="D14" s="42"/>
      <c r="E14" s="42"/>
      <c r="F14" s="42"/>
      <c r="G14" s="43">
        <f>G11-C17</f>
        <v>0</v>
      </c>
      <c r="H14" s="42"/>
      <c r="I14" s="42"/>
      <c r="J14" s="42"/>
      <c r="K14" s="42"/>
      <c r="L14" s="42"/>
      <c r="M14" s="43">
        <f>M11-V17</f>
        <v>0</v>
      </c>
      <c r="N14" s="42"/>
      <c r="O14" s="42"/>
      <c r="P14" s="42"/>
      <c r="Q14" s="42"/>
      <c r="R14" s="42"/>
      <c r="S14" s="43">
        <f>S11-O17</f>
        <v>0</v>
      </c>
      <c r="T14" s="43">
        <f>T11-AE17</f>
        <v>0</v>
      </c>
      <c r="V14" s="43"/>
      <c r="W14" s="43"/>
    </row>
    <row r="15" s="2" customFormat="1" customHeight="1" spans="1:36">
      <c r="A15" s="41"/>
      <c r="B15" s="42"/>
      <c r="C15" s="42"/>
      <c r="D15" s="42"/>
      <c r="E15" s="42"/>
      <c r="F15" s="42"/>
      <c r="G15" s="43">
        <f>G12+G13-C48</f>
        <v>0</v>
      </c>
      <c r="H15" s="42"/>
      <c r="I15" s="42"/>
      <c r="J15" s="42"/>
      <c r="K15" s="42"/>
      <c r="L15" s="42"/>
      <c r="M15" s="43">
        <f>M12+M13-R48</f>
        <v>0</v>
      </c>
      <c r="N15" s="42"/>
      <c r="O15" s="42"/>
      <c r="P15" s="42"/>
      <c r="Q15" s="42"/>
      <c r="R15" s="42"/>
      <c r="S15" s="43">
        <f>S12+S13-G48</f>
        <v>0</v>
      </c>
      <c r="T15" s="43">
        <f>T12+T13-AA48</f>
        <v>0</v>
      </c>
      <c r="V15" s="43"/>
      <c r="W15" s="43"/>
    </row>
    <row r="17" s="3" customFormat="1" customHeight="1" spans="1:33">
      <c r="A17" s="44" t="s">
        <v>339</v>
      </c>
      <c r="C17" s="3">
        <f t="shared" ref="C17:H17" si="4">SUM(C20:C45)</f>
        <v>0</v>
      </c>
      <c r="E17" s="3">
        <f t="shared" si="4"/>
        <v>0</v>
      </c>
      <c r="G17" s="3">
        <f t="shared" si="4"/>
        <v>0</v>
      </c>
      <c r="H17" s="3">
        <f t="shared" si="4"/>
        <v>0</v>
      </c>
      <c r="O17" s="3">
        <f>SUM(O20:O45)</f>
        <v>0</v>
      </c>
      <c r="V17" s="3">
        <f t="shared" ref="V17:X17" si="5">SUM(V20:V45)</f>
        <v>0</v>
      </c>
      <c r="W17" s="3">
        <f t="shared" si="5"/>
        <v>0</v>
      </c>
      <c r="X17" s="3">
        <f t="shared" si="5"/>
        <v>0</v>
      </c>
      <c r="AE17" s="3">
        <f>SUM(AE20:AE45)</f>
        <v>0</v>
      </c>
    </row>
    <row r="18" s="4" customFormat="1" customHeight="1" spans="1:33">
      <c r="A18" s="45" t="s">
        <v>340</v>
      </c>
      <c r="B18" s="45"/>
      <c r="C18" s="45"/>
      <c r="D18" s="45"/>
      <c r="E18" s="45"/>
      <c r="F18" s="45"/>
      <c r="G18" s="45"/>
      <c r="H18" s="45"/>
      <c r="I18" s="45"/>
      <c r="J18" s="45"/>
      <c r="K18" s="45"/>
      <c r="L18" s="46" t="s">
        <v>341</v>
      </c>
      <c r="M18" s="47"/>
      <c r="N18" s="47"/>
      <c r="O18" s="48"/>
      <c r="P18" s="49" t="s">
        <v>342</v>
      </c>
      <c r="Q18" s="50"/>
      <c r="R18" s="50"/>
      <c r="S18" s="50"/>
      <c r="T18" s="50"/>
      <c r="U18" s="50"/>
      <c r="V18" s="50"/>
      <c r="W18" s="50"/>
      <c r="X18" s="50"/>
      <c r="Y18" s="51"/>
      <c r="Z18" s="52" t="s">
        <v>343</v>
      </c>
      <c r="AA18" s="53"/>
      <c r="AB18" s="53"/>
      <c r="AC18" s="53"/>
      <c r="AD18" s="53"/>
      <c r="AE18" s="53"/>
      <c r="AF18" s="53"/>
      <c r="AG18" s="54"/>
    </row>
    <row r="19" s="4" customFormat="1" ht="47.1" customHeight="1" spans="1:33">
      <c r="A19" s="55" t="s">
        <v>344</v>
      </c>
      <c r="B19" s="55" t="s">
        <v>345</v>
      </c>
      <c r="C19" s="55" t="s">
        <v>346</v>
      </c>
      <c r="D19" s="55" t="s">
        <v>347</v>
      </c>
      <c r="E19" s="55" t="s">
        <v>348</v>
      </c>
      <c r="F19" s="55" t="s">
        <v>349</v>
      </c>
      <c r="G19" s="55" t="s">
        <v>350</v>
      </c>
      <c r="H19" s="55" t="s">
        <v>351</v>
      </c>
      <c r="I19" s="55" t="s">
        <v>352</v>
      </c>
      <c r="J19" s="55" t="s">
        <v>353</v>
      </c>
      <c r="K19" s="55" t="s">
        <v>354</v>
      </c>
      <c r="L19" s="56" t="s">
        <v>344</v>
      </c>
      <c r="M19" s="56" t="s">
        <v>355</v>
      </c>
      <c r="N19" s="56" t="s">
        <v>356</v>
      </c>
      <c r="O19" s="56" t="s">
        <v>357</v>
      </c>
      <c r="P19" s="57" t="s">
        <v>344</v>
      </c>
      <c r="Q19" s="57" t="s">
        <v>355</v>
      </c>
      <c r="R19" s="58" t="s">
        <v>358</v>
      </c>
      <c r="S19" s="57" t="s">
        <v>359</v>
      </c>
      <c r="T19" s="57" t="s">
        <v>360</v>
      </c>
      <c r="U19" s="57" t="s">
        <v>361</v>
      </c>
      <c r="V19" s="57" t="s">
        <v>362</v>
      </c>
      <c r="W19" s="57" t="s">
        <v>363</v>
      </c>
      <c r="X19" s="57" t="s">
        <v>364</v>
      </c>
      <c r="Y19" s="59" t="s">
        <v>349</v>
      </c>
      <c r="Z19" s="60" t="s">
        <v>291</v>
      </c>
      <c r="AA19" s="60" t="s">
        <v>365</v>
      </c>
      <c r="AB19" s="60" t="s">
        <v>366</v>
      </c>
      <c r="AC19" s="60" t="s">
        <v>367</v>
      </c>
      <c r="AD19" s="60" t="s">
        <v>368</v>
      </c>
      <c r="AE19" s="60" t="s">
        <v>369</v>
      </c>
      <c r="AF19" s="60" t="s">
        <v>370</v>
      </c>
      <c r="AG19" s="60" t="s">
        <v>371</v>
      </c>
    </row>
    <row r="20" s="5" customFormat="1" customHeight="1" spans="1:33">
      <c r="A20" s="61"/>
      <c r="B20" s="61"/>
      <c r="C20" s="37"/>
      <c r="D20" s="61"/>
      <c r="E20" s="37"/>
      <c r="F20" s="62"/>
      <c r="G20" s="37"/>
      <c r="H20" s="37"/>
      <c r="I20" s="61"/>
      <c r="J20" s="61"/>
      <c r="K20" s="61"/>
      <c r="L20" s="63"/>
      <c r="M20" s="64"/>
      <c r="N20" s="61"/>
      <c r="O20" s="65"/>
      <c r="P20" s="63"/>
      <c r="Q20" s="61"/>
      <c r="R20" s="61"/>
      <c r="S20" s="61"/>
      <c r="T20" s="61"/>
      <c r="U20" s="61"/>
      <c r="V20" s="37"/>
      <c r="W20" s="37"/>
      <c r="X20" s="37"/>
      <c r="Y20" s="66"/>
      <c r="Z20" s="67"/>
      <c r="AA20" s="61"/>
      <c r="AB20" s="68"/>
      <c r="AC20" s="69"/>
      <c r="AD20" s="69"/>
      <c r="AE20" s="70"/>
      <c r="AF20" s="61"/>
      <c r="AG20" s="70"/>
    </row>
    <row r="21" s="5" customFormat="1" customHeight="1" spans="1:33">
      <c r="A21" s="61"/>
      <c r="B21" s="61"/>
      <c r="C21" s="37"/>
      <c r="D21" s="61"/>
      <c r="E21" s="37"/>
      <c r="F21" s="62"/>
      <c r="G21" s="37"/>
      <c r="H21" s="37"/>
      <c r="I21" s="61"/>
      <c r="J21" s="61"/>
      <c r="K21" s="61"/>
      <c r="L21" s="63"/>
      <c r="M21" s="64"/>
      <c r="N21" s="61"/>
      <c r="O21" s="37"/>
      <c r="P21" s="63"/>
      <c r="Q21" s="61"/>
      <c r="R21" s="61"/>
      <c r="S21" s="61"/>
      <c r="T21" s="61"/>
      <c r="U21" s="61"/>
      <c r="V21" s="37"/>
      <c r="W21" s="37"/>
      <c r="X21" s="37"/>
      <c r="Y21" s="66"/>
      <c r="Z21" s="67"/>
      <c r="AA21" s="61"/>
      <c r="AB21" s="68"/>
      <c r="AC21" s="69"/>
      <c r="AD21" s="69"/>
      <c r="AE21" s="70"/>
      <c r="AF21" s="61"/>
      <c r="AG21" s="70"/>
    </row>
    <row r="22" s="5" customFormat="1" customHeight="1" spans="1:33">
      <c r="A22" s="61"/>
      <c r="B22" s="61"/>
      <c r="C22" s="37"/>
      <c r="D22" s="61"/>
      <c r="E22" s="37"/>
      <c r="F22" s="62"/>
      <c r="G22" s="37"/>
      <c r="H22" s="37"/>
      <c r="I22" s="61"/>
      <c r="J22" s="61"/>
      <c r="K22" s="61"/>
      <c r="L22" s="63"/>
      <c r="M22" s="64"/>
      <c r="N22" s="61"/>
      <c r="O22" s="37"/>
      <c r="P22" s="63"/>
      <c r="Q22" s="61"/>
      <c r="R22" s="61"/>
      <c r="S22" s="61"/>
      <c r="T22" s="61"/>
      <c r="U22" s="61"/>
      <c r="V22" s="37"/>
      <c r="W22" s="37"/>
      <c r="X22" s="37"/>
      <c r="Y22" s="66"/>
      <c r="Z22" s="67"/>
      <c r="AA22" s="61"/>
      <c r="AB22" s="68"/>
      <c r="AC22" s="69"/>
      <c r="AD22" s="69"/>
      <c r="AE22" s="70"/>
      <c r="AF22" s="61"/>
      <c r="AG22" s="70"/>
    </row>
    <row r="23" s="5" customFormat="1" customHeight="1" spans="1:33">
      <c r="A23" s="61"/>
      <c r="B23" s="61"/>
      <c r="C23" s="37"/>
      <c r="D23" s="61"/>
      <c r="E23" s="37"/>
      <c r="F23" s="62"/>
      <c r="G23" s="37"/>
      <c r="H23" s="37"/>
      <c r="I23" s="61"/>
      <c r="J23" s="61"/>
      <c r="K23" s="61"/>
      <c r="L23" s="63"/>
      <c r="M23" s="64"/>
      <c r="N23" s="61"/>
      <c r="O23" s="37"/>
      <c r="P23" s="63"/>
      <c r="Q23" s="61"/>
      <c r="R23" s="61"/>
      <c r="S23" s="61"/>
      <c r="T23" s="61"/>
      <c r="U23" s="61"/>
      <c r="V23" s="37"/>
      <c r="W23" s="37"/>
      <c r="X23" s="37"/>
      <c r="Y23" s="66"/>
      <c r="Z23" s="67"/>
      <c r="AA23" s="61"/>
      <c r="AB23" s="68"/>
      <c r="AC23" s="69"/>
      <c r="AD23" s="69"/>
      <c r="AE23" s="70"/>
      <c r="AF23" s="61"/>
      <c r="AG23" s="70"/>
    </row>
    <row r="24" s="5" customFormat="1" customHeight="1" spans="1:33">
      <c r="A24" s="61"/>
      <c r="B24" s="61"/>
      <c r="C24" s="37"/>
      <c r="D24" s="61"/>
      <c r="E24" s="37"/>
      <c r="F24" s="62"/>
      <c r="G24" s="37"/>
      <c r="H24" s="37"/>
      <c r="I24" s="61"/>
      <c r="J24" s="61"/>
      <c r="K24" s="61"/>
      <c r="L24" s="63"/>
      <c r="M24" s="71"/>
      <c r="N24" s="61"/>
      <c r="O24" s="37"/>
      <c r="P24" s="63"/>
      <c r="Q24" s="61"/>
      <c r="R24" s="61"/>
      <c r="S24" s="61"/>
      <c r="T24" s="61"/>
      <c r="U24" s="61"/>
      <c r="V24" s="37"/>
      <c r="W24" s="37"/>
      <c r="X24" s="37"/>
      <c r="Y24" s="66"/>
      <c r="Z24" s="67"/>
      <c r="AA24" s="61"/>
      <c r="AB24" s="68"/>
      <c r="AC24" s="69"/>
      <c r="AD24" s="69"/>
      <c r="AE24" s="70"/>
      <c r="AF24" s="61"/>
      <c r="AG24" s="70"/>
    </row>
    <row r="25" s="5" customFormat="1" customHeight="1" spans="1:33">
      <c r="A25" s="61"/>
      <c r="B25" s="61"/>
      <c r="C25" s="37"/>
      <c r="D25" s="61"/>
      <c r="E25" s="37"/>
      <c r="F25" s="62"/>
      <c r="G25" s="37"/>
      <c r="H25" s="37"/>
      <c r="I25" s="61"/>
      <c r="J25" s="61"/>
      <c r="K25" s="61"/>
      <c r="L25" s="63"/>
      <c r="M25" s="61"/>
      <c r="N25" s="61"/>
      <c r="O25" s="37"/>
      <c r="P25" s="63"/>
      <c r="Q25" s="61"/>
      <c r="R25" s="61"/>
      <c r="S25" s="61"/>
      <c r="T25" s="61"/>
      <c r="U25" s="61"/>
      <c r="V25" s="37"/>
      <c r="W25" s="37"/>
      <c r="X25" s="37"/>
      <c r="Y25" s="66"/>
      <c r="Z25" s="67"/>
      <c r="AA25" s="61"/>
      <c r="AB25" s="68"/>
      <c r="AC25" s="69"/>
      <c r="AD25" s="69"/>
      <c r="AE25" s="70"/>
      <c r="AF25" s="61"/>
      <c r="AG25" s="70"/>
    </row>
    <row r="26" s="5" customFormat="1" customHeight="1" spans="1:33">
      <c r="A26" s="61"/>
      <c r="B26" s="61"/>
      <c r="C26" s="37"/>
      <c r="D26" s="61"/>
      <c r="E26" s="37"/>
      <c r="F26" s="62"/>
      <c r="G26" s="37"/>
      <c r="H26" s="37"/>
      <c r="I26" s="61"/>
      <c r="J26" s="61"/>
      <c r="K26" s="61"/>
      <c r="L26" s="63"/>
      <c r="M26" s="61"/>
      <c r="N26" s="61"/>
      <c r="O26" s="37"/>
      <c r="P26" s="63"/>
      <c r="Q26" s="61"/>
      <c r="R26" s="61"/>
      <c r="S26" s="61"/>
      <c r="T26" s="61"/>
      <c r="U26" s="61"/>
      <c r="V26" s="37"/>
      <c r="W26" s="37"/>
      <c r="X26" s="37"/>
      <c r="Y26" s="66"/>
      <c r="Z26" s="67"/>
      <c r="AA26" s="61"/>
      <c r="AB26" s="68"/>
      <c r="AC26" s="69"/>
      <c r="AD26" s="69"/>
      <c r="AE26" s="70"/>
      <c r="AF26" s="61"/>
      <c r="AG26" s="70"/>
    </row>
    <row r="27" s="5" customFormat="1" customHeight="1" spans="1:33">
      <c r="A27" s="61"/>
      <c r="B27" s="61"/>
      <c r="C27" s="37"/>
      <c r="D27" s="61"/>
      <c r="E27" s="37"/>
      <c r="F27" s="62"/>
      <c r="G27" s="37"/>
      <c r="H27" s="37"/>
      <c r="I27" s="61"/>
      <c r="J27" s="61"/>
      <c r="K27" s="61"/>
      <c r="L27" s="63"/>
      <c r="M27" s="61"/>
      <c r="N27" s="61"/>
      <c r="O27" s="37"/>
      <c r="P27" s="63"/>
      <c r="Q27" s="61"/>
      <c r="R27" s="61"/>
      <c r="S27" s="61"/>
      <c r="T27" s="61"/>
      <c r="U27" s="61"/>
      <c r="V27" s="37"/>
      <c r="W27" s="37"/>
      <c r="X27" s="37"/>
      <c r="Y27" s="66"/>
      <c r="Z27" s="67"/>
      <c r="AA27" s="61"/>
      <c r="AB27" s="68"/>
      <c r="AC27" s="69"/>
      <c r="AD27" s="69"/>
      <c r="AE27" s="70"/>
      <c r="AF27" s="61"/>
      <c r="AG27" s="70"/>
    </row>
    <row r="28" s="5" customFormat="1" customHeight="1" spans="1:33">
      <c r="A28" s="61"/>
      <c r="B28" s="61"/>
      <c r="C28" s="37"/>
      <c r="D28" s="61"/>
      <c r="E28" s="37"/>
      <c r="F28" s="62"/>
      <c r="G28" s="37"/>
      <c r="H28" s="37"/>
      <c r="I28" s="61"/>
      <c r="J28" s="61"/>
      <c r="K28" s="61"/>
      <c r="L28" s="63"/>
      <c r="M28" s="61"/>
      <c r="N28" s="61"/>
      <c r="O28" s="37"/>
      <c r="P28" s="63"/>
      <c r="Q28" s="61"/>
      <c r="R28" s="61"/>
      <c r="S28" s="61"/>
      <c r="T28" s="61"/>
      <c r="U28" s="61"/>
      <c r="V28" s="37"/>
      <c r="W28" s="37"/>
      <c r="X28" s="37"/>
      <c r="Y28" s="66"/>
      <c r="Z28" s="67"/>
      <c r="AA28" s="61"/>
      <c r="AB28" s="68"/>
      <c r="AC28" s="69"/>
      <c r="AD28" s="69"/>
      <c r="AE28" s="70"/>
      <c r="AF28" s="61"/>
      <c r="AG28" s="70"/>
    </row>
    <row r="29" s="5" customFormat="1" customHeight="1" spans="1:33">
      <c r="A29" s="61"/>
      <c r="B29" s="61"/>
      <c r="C29" s="37"/>
      <c r="D29" s="61"/>
      <c r="E29" s="37"/>
      <c r="F29" s="62"/>
      <c r="G29" s="37"/>
      <c r="H29" s="37"/>
      <c r="I29" s="61"/>
      <c r="J29" s="61"/>
      <c r="K29" s="61"/>
      <c r="L29" s="63"/>
      <c r="M29" s="61"/>
      <c r="N29" s="61"/>
      <c r="O29" s="37"/>
      <c r="P29" s="63"/>
      <c r="Q29" s="61"/>
      <c r="R29" s="61"/>
      <c r="S29" s="61"/>
      <c r="T29" s="61"/>
      <c r="U29" s="61"/>
      <c r="V29" s="37"/>
      <c r="W29" s="37"/>
      <c r="X29" s="37"/>
      <c r="Y29" s="66"/>
      <c r="Z29" s="67"/>
      <c r="AA29" s="61"/>
      <c r="AB29" s="68"/>
      <c r="AC29" s="69"/>
      <c r="AD29" s="69"/>
      <c r="AE29" s="70"/>
      <c r="AF29" s="61"/>
      <c r="AG29" s="70"/>
    </row>
    <row r="30" s="5" customFormat="1" customHeight="1" spans="1:33">
      <c r="A30" s="61"/>
      <c r="B30" s="61"/>
      <c r="C30" s="37"/>
      <c r="D30" s="61"/>
      <c r="E30" s="37"/>
      <c r="F30" s="62"/>
      <c r="G30" s="37"/>
      <c r="H30" s="37"/>
      <c r="I30" s="61"/>
      <c r="J30" s="61"/>
      <c r="K30" s="61"/>
      <c r="L30" s="63"/>
      <c r="M30" s="61"/>
      <c r="N30" s="61"/>
      <c r="O30" s="37"/>
      <c r="P30" s="63"/>
      <c r="Q30" s="61"/>
      <c r="R30" s="61"/>
      <c r="S30" s="61"/>
      <c r="T30" s="61"/>
      <c r="U30" s="61"/>
      <c r="V30" s="37"/>
      <c r="W30" s="37"/>
      <c r="X30" s="37"/>
      <c r="Y30" s="66"/>
      <c r="Z30" s="67"/>
      <c r="AA30" s="61"/>
      <c r="AB30" s="68"/>
      <c r="AC30" s="69"/>
      <c r="AD30" s="69"/>
      <c r="AE30" s="70"/>
      <c r="AF30" s="61"/>
      <c r="AG30" s="70"/>
    </row>
    <row r="31" s="5" customFormat="1" customHeight="1" spans="1:33">
      <c r="A31" s="61"/>
      <c r="B31" s="61"/>
      <c r="C31" s="37"/>
      <c r="D31" s="61"/>
      <c r="E31" s="37"/>
      <c r="F31" s="62"/>
      <c r="G31" s="37"/>
      <c r="H31" s="37"/>
      <c r="I31" s="61"/>
      <c r="J31" s="61"/>
      <c r="K31" s="61"/>
      <c r="L31" s="61"/>
      <c r="M31" s="61"/>
      <c r="N31" s="61"/>
      <c r="O31" s="37"/>
      <c r="P31" s="63"/>
      <c r="Q31" s="61"/>
      <c r="R31" s="61"/>
      <c r="S31" s="61"/>
      <c r="T31" s="61"/>
      <c r="U31" s="61"/>
      <c r="V31" s="37"/>
      <c r="W31" s="37"/>
      <c r="X31" s="37"/>
      <c r="Y31" s="66"/>
      <c r="Z31" s="67"/>
      <c r="AA31" s="61"/>
      <c r="AB31" s="68"/>
      <c r="AC31" s="69"/>
      <c r="AD31" s="69"/>
      <c r="AE31" s="70"/>
      <c r="AF31" s="61"/>
      <c r="AG31" s="70"/>
    </row>
    <row r="32" s="5" customFormat="1" customHeight="1" spans="1:33">
      <c r="A32" s="61"/>
      <c r="B32" s="61"/>
      <c r="C32" s="37"/>
      <c r="D32" s="61"/>
      <c r="E32" s="37"/>
      <c r="F32" s="62"/>
      <c r="G32" s="37"/>
      <c r="H32" s="37"/>
      <c r="I32" s="61"/>
      <c r="J32" s="61"/>
      <c r="K32" s="61"/>
      <c r="L32" s="61"/>
      <c r="M32" s="61"/>
      <c r="N32" s="61"/>
      <c r="O32" s="37"/>
      <c r="P32" s="63"/>
      <c r="Q32" s="61"/>
      <c r="R32" s="61"/>
      <c r="S32" s="61"/>
      <c r="T32" s="61"/>
      <c r="U32" s="61"/>
      <c r="V32" s="37"/>
      <c r="W32" s="37"/>
      <c r="X32" s="37"/>
      <c r="Y32" s="66"/>
      <c r="Z32" s="61"/>
      <c r="AA32" s="61"/>
      <c r="AB32" s="68"/>
      <c r="AC32" s="69"/>
      <c r="AD32" s="69"/>
      <c r="AE32" s="70"/>
      <c r="AF32" s="61"/>
      <c r="AG32" s="70"/>
    </row>
    <row r="33" s="5" customFormat="1" customHeight="1" spans="1:33">
      <c r="A33" s="61"/>
      <c r="B33" s="61"/>
      <c r="C33" s="37"/>
      <c r="D33" s="61"/>
      <c r="E33" s="37"/>
      <c r="F33" s="62"/>
      <c r="G33" s="37"/>
      <c r="H33" s="37"/>
      <c r="I33" s="61"/>
      <c r="J33" s="61"/>
      <c r="K33" s="61"/>
      <c r="L33" s="61"/>
      <c r="M33" s="61"/>
      <c r="N33" s="61"/>
      <c r="O33" s="37"/>
      <c r="P33" s="63"/>
      <c r="Q33" s="61"/>
      <c r="R33" s="61"/>
      <c r="S33" s="61"/>
      <c r="T33" s="61"/>
      <c r="U33" s="61"/>
      <c r="V33" s="37"/>
      <c r="W33" s="37"/>
      <c r="X33" s="37"/>
      <c r="Y33" s="66"/>
      <c r="Z33" s="61"/>
      <c r="AA33" s="61"/>
      <c r="AB33" s="68"/>
      <c r="AC33" s="69"/>
      <c r="AD33" s="69"/>
      <c r="AE33" s="70"/>
      <c r="AF33" s="61"/>
      <c r="AG33" s="70"/>
    </row>
    <row r="34" s="5" customFormat="1" customHeight="1" spans="1:33">
      <c r="A34" s="61"/>
      <c r="B34" s="61"/>
      <c r="C34" s="37"/>
      <c r="D34" s="61"/>
      <c r="E34" s="37"/>
      <c r="F34" s="62"/>
      <c r="G34" s="37"/>
      <c r="H34" s="37"/>
      <c r="I34" s="61"/>
      <c r="J34" s="61"/>
      <c r="K34" s="61"/>
      <c r="L34" s="61"/>
      <c r="M34" s="61"/>
      <c r="N34" s="61"/>
      <c r="O34" s="37"/>
      <c r="P34" s="63"/>
      <c r="Q34" s="61"/>
      <c r="R34" s="61"/>
      <c r="S34" s="61"/>
      <c r="T34" s="61"/>
      <c r="U34" s="61"/>
      <c r="V34" s="37"/>
      <c r="W34" s="37"/>
      <c r="X34" s="37"/>
      <c r="Y34" s="66"/>
      <c r="Z34" s="61"/>
      <c r="AA34" s="61"/>
      <c r="AB34" s="68"/>
      <c r="AC34" s="69"/>
      <c r="AD34" s="69"/>
      <c r="AE34" s="70"/>
      <c r="AF34" s="61"/>
      <c r="AG34" s="70"/>
    </row>
    <row r="35" s="5" customFormat="1" customHeight="1" spans="1:33">
      <c r="A35" s="61"/>
      <c r="B35" s="61"/>
      <c r="C35" s="37"/>
      <c r="D35" s="61"/>
      <c r="E35" s="37"/>
      <c r="F35" s="62"/>
      <c r="G35" s="37"/>
      <c r="H35" s="37"/>
      <c r="I35" s="61"/>
      <c r="J35" s="61"/>
      <c r="K35" s="61"/>
      <c r="L35" s="61"/>
      <c r="M35" s="61"/>
      <c r="N35" s="61"/>
      <c r="O35" s="37"/>
      <c r="P35" s="63"/>
      <c r="Q35" s="61"/>
      <c r="R35" s="61"/>
      <c r="S35" s="61"/>
      <c r="T35" s="61"/>
      <c r="U35" s="61"/>
      <c r="V35" s="37"/>
      <c r="W35" s="37"/>
      <c r="X35" s="37"/>
      <c r="Y35" s="66"/>
      <c r="Z35" s="61"/>
      <c r="AA35" s="61"/>
      <c r="AB35" s="68"/>
      <c r="AC35" s="69"/>
      <c r="AD35" s="69"/>
      <c r="AE35" s="70"/>
      <c r="AF35" s="61"/>
      <c r="AG35" s="70"/>
    </row>
    <row r="36" s="5" customFormat="1" customHeight="1" spans="1:33">
      <c r="A36" s="61"/>
      <c r="B36" s="61"/>
      <c r="C36" s="37"/>
      <c r="D36" s="61"/>
      <c r="E36" s="37"/>
      <c r="F36" s="62"/>
      <c r="G36" s="37"/>
      <c r="H36" s="37"/>
      <c r="I36" s="61"/>
      <c r="J36" s="61"/>
      <c r="K36" s="61"/>
      <c r="L36" s="61"/>
      <c r="M36" s="61"/>
      <c r="N36" s="61"/>
      <c r="O36" s="37"/>
      <c r="P36" s="63"/>
      <c r="Q36" s="61"/>
      <c r="R36" s="61"/>
      <c r="S36" s="61"/>
      <c r="T36" s="61"/>
      <c r="U36" s="61"/>
      <c r="V36" s="37"/>
      <c r="W36" s="37"/>
      <c r="X36" s="37"/>
      <c r="Y36" s="66"/>
      <c r="Z36" s="61"/>
      <c r="AA36" s="61"/>
      <c r="AB36" s="68"/>
      <c r="AC36" s="69"/>
      <c r="AD36" s="69"/>
      <c r="AE36" s="70"/>
      <c r="AF36" s="61"/>
      <c r="AG36" s="70"/>
    </row>
    <row r="37" s="5" customFormat="1" customHeight="1" spans="1:33">
      <c r="A37" s="61"/>
      <c r="B37" s="61"/>
      <c r="C37" s="37"/>
      <c r="D37" s="61"/>
      <c r="E37" s="37"/>
      <c r="F37" s="62"/>
      <c r="G37" s="37"/>
      <c r="H37" s="37"/>
      <c r="I37" s="61"/>
      <c r="J37" s="61"/>
      <c r="K37" s="61"/>
      <c r="L37" s="61"/>
      <c r="M37" s="61"/>
      <c r="N37" s="61"/>
      <c r="O37" s="37"/>
      <c r="P37" s="63"/>
      <c r="Q37" s="61"/>
      <c r="R37" s="61"/>
      <c r="S37" s="61"/>
      <c r="T37" s="61"/>
      <c r="U37" s="61"/>
      <c r="V37" s="37"/>
      <c r="W37" s="37"/>
      <c r="X37" s="37"/>
      <c r="Y37" s="66"/>
      <c r="Z37" s="61"/>
      <c r="AA37" s="61"/>
      <c r="AB37" s="68"/>
      <c r="AC37" s="69"/>
      <c r="AD37" s="69"/>
      <c r="AE37" s="70"/>
      <c r="AF37" s="61"/>
      <c r="AG37" s="70"/>
    </row>
    <row r="38" s="5" customFormat="1" customHeight="1" spans="1:33">
      <c r="A38" s="61"/>
      <c r="B38" s="61"/>
      <c r="C38" s="37"/>
      <c r="D38" s="61"/>
      <c r="E38" s="37"/>
      <c r="F38" s="62"/>
      <c r="G38" s="37"/>
      <c r="H38" s="37"/>
      <c r="I38" s="61"/>
      <c r="J38" s="61"/>
      <c r="K38" s="61"/>
      <c r="L38" s="61"/>
      <c r="M38" s="61"/>
      <c r="N38" s="61"/>
      <c r="O38" s="37"/>
      <c r="P38" s="61"/>
      <c r="Q38" s="61"/>
      <c r="R38" s="61"/>
      <c r="S38" s="61"/>
      <c r="T38" s="61"/>
      <c r="U38" s="61"/>
      <c r="V38" s="37"/>
      <c r="W38" s="37"/>
      <c r="X38" s="37"/>
      <c r="Y38" s="61"/>
      <c r="Z38" s="61"/>
      <c r="AA38" s="61"/>
      <c r="AB38" s="68"/>
      <c r="AC38" s="69"/>
      <c r="AD38" s="69"/>
      <c r="AE38" s="70"/>
      <c r="AF38" s="61"/>
      <c r="AG38" s="70"/>
    </row>
    <row r="39" s="5" customFormat="1" customHeight="1" spans="1:33">
      <c r="A39" s="61"/>
      <c r="B39" s="61"/>
      <c r="C39" s="37"/>
      <c r="D39" s="61"/>
      <c r="E39" s="37"/>
      <c r="F39" s="62"/>
      <c r="G39" s="37"/>
      <c r="H39" s="37"/>
      <c r="I39" s="61"/>
      <c r="J39" s="61"/>
      <c r="K39" s="61"/>
      <c r="L39" s="61"/>
      <c r="M39" s="61"/>
      <c r="N39" s="61"/>
      <c r="O39" s="37"/>
      <c r="P39" s="61"/>
      <c r="Q39" s="61"/>
      <c r="R39" s="61"/>
      <c r="S39" s="61"/>
      <c r="T39" s="61"/>
      <c r="U39" s="61"/>
      <c r="V39" s="37"/>
      <c r="W39" s="37"/>
      <c r="X39" s="37"/>
      <c r="Y39" s="61"/>
      <c r="Z39" s="61"/>
      <c r="AA39" s="61"/>
      <c r="AB39" s="68"/>
      <c r="AC39" s="69"/>
      <c r="AD39" s="69"/>
      <c r="AE39" s="70"/>
      <c r="AF39" s="61"/>
      <c r="AG39" s="70"/>
    </row>
    <row r="40" s="5" customFormat="1" customHeight="1" spans="1:33">
      <c r="A40" s="61"/>
      <c r="B40" s="61"/>
      <c r="C40" s="37"/>
      <c r="D40" s="61"/>
      <c r="E40" s="37"/>
      <c r="F40" s="62"/>
      <c r="G40" s="37"/>
      <c r="H40" s="37"/>
      <c r="I40" s="61"/>
      <c r="J40" s="61"/>
      <c r="K40" s="61"/>
      <c r="L40" s="61"/>
      <c r="M40" s="61"/>
      <c r="N40" s="61"/>
      <c r="O40" s="37"/>
      <c r="P40" s="61"/>
      <c r="Q40" s="61"/>
      <c r="R40" s="61"/>
      <c r="S40" s="61"/>
      <c r="T40" s="61"/>
      <c r="U40" s="61"/>
      <c r="V40" s="37"/>
      <c r="W40" s="37"/>
      <c r="X40" s="37"/>
      <c r="Y40" s="61"/>
      <c r="Z40" s="61"/>
      <c r="AA40" s="61"/>
      <c r="AB40" s="68"/>
      <c r="AC40" s="69"/>
      <c r="AD40" s="69"/>
      <c r="AE40" s="70"/>
      <c r="AF40" s="61"/>
      <c r="AG40" s="70"/>
    </row>
    <row r="41" s="5" customFormat="1" customHeight="1" spans="1:33">
      <c r="A41" s="61"/>
      <c r="B41" s="61"/>
      <c r="C41" s="37"/>
      <c r="D41" s="61"/>
      <c r="E41" s="37"/>
      <c r="F41" s="62"/>
      <c r="G41" s="37"/>
      <c r="H41" s="37"/>
      <c r="I41" s="61"/>
      <c r="J41" s="61"/>
      <c r="K41" s="61"/>
      <c r="L41" s="61"/>
      <c r="M41" s="61"/>
      <c r="N41" s="61"/>
      <c r="O41" s="37"/>
      <c r="P41" s="61"/>
      <c r="Q41" s="61"/>
      <c r="R41" s="61"/>
      <c r="S41" s="61"/>
      <c r="T41" s="61"/>
      <c r="U41" s="61"/>
      <c r="V41" s="37"/>
      <c r="W41" s="37"/>
      <c r="X41" s="37"/>
      <c r="Y41" s="61"/>
      <c r="Z41" s="61"/>
      <c r="AA41" s="61"/>
      <c r="AB41" s="68"/>
      <c r="AC41" s="69"/>
      <c r="AD41" s="69"/>
      <c r="AE41" s="70"/>
      <c r="AF41" s="61"/>
      <c r="AG41" s="70"/>
    </row>
    <row r="42" s="5" customFormat="1" customHeight="1" spans="1:33">
      <c r="A42" s="61"/>
      <c r="B42" s="61"/>
      <c r="C42" s="37"/>
      <c r="D42" s="61"/>
      <c r="E42" s="37"/>
      <c r="F42" s="62"/>
      <c r="G42" s="37"/>
      <c r="H42" s="37"/>
      <c r="I42" s="61"/>
      <c r="J42" s="61"/>
      <c r="K42" s="61"/>
      <c r="L42" s="61"/>
      <c r="M42" s="61"/>
      <c r="N42" s="61"/>
      <c r="O42" s="37"/>
      <c r="P42" s="61"/>
      <c r="Q42" s="61"/>
      <c r="R42" s="61"/>
      <c r="S42" s="61"/>
      <c r="T42" s="61"/>
      <c r="U42" s="61"/>
      <c r="V42" s="37"/>
      <c r="W42" s="37"/>
      <c r="X42" s="37"/>
      <c r="Y42" s="61"/>
      <c r="Z42" s="61"/>
      <c r="AA42" s="61"/>
      <c r="AB42" s="72"/>
      <c r="AC42" s="72"/>
      <c r="AD42" s="72"/>
      <c r="AE42" s="72"/>
      <c r="AF42" s="61"/>
      <c r="AG42" s="72"/>
    </row>
    <row r="43" s="5" customFormat="1" customHeight="1" spans="1:33">
      <c r="A43" s="61"/>
      <c r="B43" s="61"/>
      <c r="C43" s="37"/>
      <c r="D43" s="61"/>
      <c r="E43" s="37"/>
      <c r="F43" s="62"/>
      <c r="G43" s="37"/>
      <c r="H43" s="37"/>
      <c r="I43" s="61"/>
      <c r="J43" s="61"/>
      <c r="K43" s="61"/>
      <c r="L43" s="61"/>
      <c r="M43" s="61"/>
      <c r="N43" s="61"/>
      <c r="O43" s="37"/>
      <c r="P43" s="61"/>
      <c r="Q43" s="61"/>
      <c r="R43" s="61"/>
      <c r="S43" s="61"/>
      <c r="T43" s="61"/>
      <c r="U43" s="61"/>
      <c r="V43" s="37"/>
      <c r="W43" s="37"/>
      <c r="X43" s="37"/>
      <c r="Y43" s="61"/>
      <c r="Z43" s="61"/>
      <c r="AA43" s="61"/>
      <c r="AB43" s="72"/>
      <c r="AC43" s="72"/>
      <c r="AD43" s="72"/>
      <c r="AE43" s="72"/>
      <c r="AF43" s="61"/>
      <c r="AG43" s="72"/>
    </row>
    <row r="44" s="5" customFormat="1" customHeight="1" spans="1:33">
      <c r="A44" s="61"/>
      <c r="B44" s="61"/>
      <c r="C44" s="37"/>
      <c r="D44" s="61"/>
      <c r="E44" s="37"/>
      <c r="F44" s="62"/>
      <c r="G44" s="37"/>
      <c r="H44" s="37"/>
      <c r="I44" s="61"/>
      <c r="J44" s="61"/>
      <c r="K44" s="61"/>
      <c r="L44" s="61"/>
      <c r="M44" s="61"/>
      <c r="N44" s="61"/>
      <c r="O44" s="37"/>
      <c r="P44" s="61"/>
      <c r="Q44" s="61"/>
      <c r="R44" s="61"/>
      <c r="S44" s="61"/>
      <c r="T44" s="61"/>
      <c r="U44" s="61"/>
      <c r="V44" s="37"/>
      <c r="W44" s="37"/>
      <c r="X44" s="37"/>
      <c r="Y44" s="61"/>
      <c r="Z44" s="61"/>
      <c r="AA44" s="61"/>
      <c r="AB44" s="72"/>
      <c r="AC44" s="72"/>
      <c r="AD44" s="72"/>
      <c r="AE44" s="72"/>
      <c r="AF44" s="61"/>
      <c r="AG44" s="72"/>
    </row>
    <row r="45" s="5" customFormat="1" customHeight="1" spans="1:33">
      <c r="A45" s="61"/>
      <c r="B45" s="61"/>
      <c r="C45" s="37"/>
      <c r="D45" s="61"/>
      <c r="E45" s="37"/>
      <c r="F45" s="62"/>
      <c r="G45" s="37"/>
      <c r="H45" s="37"/>
      <c r="I45" s="61"/>
      <c r="J45" s="61"/>
      <c r="K45" s="61"/>
      <c r="L45" s="61"/>
      <c r="M45" s="61"/>
      <c r="N45" s="61"/>
      <c r="O45" s="37"/>
      <c r="P45" s="61"/>
      <c r="Q45" s="61"/>
      <c r="R45" s="61"/>
      <c r="S45" s="61"/>
      <c r="T45" s="61"/>
      <c r="U45" s="61"/>
      <c r="V45" s="37"/>
      <c r="W45" s="37"/>
      <c r="X45" s="37"/>
      <c r="Y45" s="61"/>
      <c r="Z45" s="61"/>
      <c r="AA45" s="61"/>
      <c r="AB45" s="72"/>
      <c r="AC45" s="72"/>
      <c r="AD45" s="72"/>
      <c r="AE45" s="72"/>
      <c r="AF45" s="61"/>
      <c r="AG45" s="72"/>
    </row>
    <row r="46" s="5" customFormat="1" customHeight="1" spans="1:33">
      <c r="A46" s="73"/>
      <c r="B46" s="73"/>
      <c r="C46" s="74"/>
      <c r="D46" s="73"/>
      <c r="E46" s="74"/>
      <c r="F46" s="73"/>
      <c r="G46" s="74"/>
      <c r="H46" s="74"/>
      <c r="I46" s="73"/>
      <c r="J46" s="73"/>
      <c r="K46" s="73"/>
      <c r="L46" s="73"/>
      <c r="M46" s="73"/>
      <c r="N46" s="73"/>
      <c r="O46" s="74"/>
      <c r="P46" s="73"/>
      <c r="Q46" s="73"/>
      <c r="R46" s="73"/>
      <c r="S46" s="73"/>
      <c r="T46" s="73"/>
      <c r="U46" s="73"/>
      <c r="V46" s="74"/>
      <c r="W46" s="74"/>
      <c r="X46" s="74"/>
      <c r="Y46" s="73"/>
      <c r="Z46" s="73"/>
      <c r="AA46" s="73"/>
      <c r="AB46" s="75"/>
      <c r="AC46" s="75"/>
      <c r="AD46" s="75"/>
      <c r="AE46" s="75"/>
      <c r="AF46" s="75"/>
      <c r="AG46" s="75"/>
    </row>
    <row r="48" s="3" customFormat="1" customHeight="1" spans="1:33">
      <c r="A48" s="44" t="s">
        <v>373</v>
      </c>
      <c r="C48" s="3">
        <f t="shared" ref="C48:H48" si="6">SUM(C51:C75)</f>
        <v>0</v>
      </c>
      <c r="E48" s="3">
        <f t="shared" si="6"/>
        <v>0</v>
      </c>
      <c r="G48" s="3">
        <f t="shared" si="6"/>
        <v>0</v>
      </c>
      <c r="H48" s="3">
        <f t="shared" si="6"/>
        <v>0</v>
      </c>
      <c r="J48" s="3">
        <f>SUM(J51:J75)</f>
        <v>0</v>
      </c>
      <c r="K48" s="3">
        <f>SUM(K51:K75)</f>
        <v>0</v>
      </c>
      <c r="R48" s="3">
        <f t="shared" ref="R48:T48" si="7">SUM(R51:R75)</f>
        <v>0</v>
      </c>
      <c r="S48" s="3">
        <f t="shared" si="7"/>
        <v>0</v>
      </c>
      <c r="T48" s="3">
        <f t="shared" si="7"/>
        <v>0</v>
      </c>
      <c r="AA48" s="3">
        <f>SUM(AA51:AA75)</f>
        <v>0</v>
      </c>
    </row>
    <row r="49" s="4" customFormat="1" customHeight="1" spans="1:29">
      <c r="A49" s="45" t="s">
        <v>374</v>
      </c>
      <c r="B49" s="45"/>
      <c r="C49" s="45"/>
      <c r="D49" s="45"/>
      <c r="E49" s="45"/>
      <c r="F49" s="45"/>
      <c r="G49" s="45"/>
      <c r="H49" s="45"/>
      <c r="I49" s="45"/>
      <c r="J49" s="45"/>
      <c r="K49" s="45"/>
      <c r="L49" s="49" t="s">
        <v>375</v>
      </c>
      <c r="M49" s="50"/>
      <c r="N49" s="50"/>
      <c r="O49" s="50"/>
      <c r="P49" s="50"/>
      <c r="Q49" s="50"/>
      <c r="R49" s="50"/>
      <c r="S49" s="50"/>
      <c r="T49" s="50"/>
      <c r="U49" s="51"/>
      <c r="V49" s="52" t="s">
        <v>376</v>
      </c>
      <c r="W49" s="53"/>
      <c r="X49" s="53"/>
      <c r="Y49" s="53"/>
      <c r="Z49" s="53"/>
      <c r="AA49" s="53"/>
      <c r="AB49" s="53"/>
      <c r="AC49" s="54"/>
    </row>
    <row r="50" s="4" customFormat="1" customHeight="1" spans="1:29">
      <c r="A50" s="55" t="s">
        <v>291</v>
      </c>
      <c r="B50" s="55" t="s">
        <v>345</v>
      </c>
      <c r="C50" s="55" t="s">
        <v>346</v>
      </c>
      <c r="D50" s="55" t="s">
        <v>347</v>
      </c>
      <c r="E50" s="55" t="s">
        <v>377</v>
      </c>
      <c r="F50" s="55" t="s">
        <v>349</v>
      </c>
      <c r="G50" s="55" t="s">
        <v>350</v>
      </c>
      <c r="H50" s="55" t="s">
        <v>351</v>
      </c>
      <c r="I50" s="55" t="s">
        <v>352</v>
      </c>
      <c r="J50" s="55" t="s">
        <v>353</v>
      </c>
      <c r="K50" s="55" t="s">
        <v>354</v>
      </c>
      <c r="L50" s="57" t="s">
        <v>291</v>
      </c>
      <c r="M50" s="57" t="s">
        <v>355</v>
      </c>
      <c r="N50" s="58" t="s">
        <v>358</v>
      </c>
      <c r="O50" s="57" t="s">
        <v>359</v>
      </c>
      <c r="P50" s="57" t="s">
        <v>360</v>
      </c>
      <c r="Q50" s="57" t="s">
        <v>361</v>
      </c>
      <c r="R50" s="57" t="s">
        <v>362</v>
      </c>
      <c r="S50" s="57" t="s">
        <v>363</v>
      </c>
      <c r="T50" s="57" t="s">
        <v>364</v>
      </c>
      <c r="U50" s="59" t="s">
        <v>349</v>
      </c>
      <c r="V50" s="60" t="s">
        <v>291</v>
      </c>
      <c r="W50" s="60" t="s">
        <v>365</v>
      </c>
      <c r="X50" s="60" t="s">
        <v>378</v>
      </c>
      <c r="Y50" s="60" t="s">
        <v>379</v>
      </c>
      <c r="Z50" s="60" t="s">
        <v>380</v>
      </c>
      <c r="AA50" s="60" t="s">
        <v>381</v>
      </c>
      <c r="AB50" s="60" t="s">
        <v>382</v>
      </c>
      <c r="AC50" s="60" t="s">
        <v>383</v>
      </c>
    </row>
    <row r="51" s="5" customFormat="1" customHeight="1" spans="1:29">
      <c r="A51" s="76"/>
      <c r="B51" s="61"/>
      <c r="C51" s="37"/>
      <c r="D51" s="61"/>
      <c r="E51" s="37"/>
      <c r="F51" s="62"/>
      <c r="G51" s="37"/>
      <c r="H51" s="37"/>
      <c r="I51" s="61"/>
      <c r="J51" s="61"/>
      <c r="K51" s="61"/>
      <c r="L51" s="67"/>
      <c r="M51" s="61"/>
      <c r="N51" s="77"/>
      <c r="O51" s="68"/>
      <c r="P51" s="61"/>
      <c r="Q51" s="61"/>
      <c r="R51" s="37"/>
      <c r="S51" s="37"/>
      <c r="T51" s="37"/>
      <c r="U51" s="66"/>
      <c r="V51" s="67"/>
      <c r="W51" s="61"/>
      <c r="X51" s="68"/>
      <c r="Y51" s="61"/>
      <c r="Z51" s="61"/>
      <c r="AA51" s="37"/>
      <c r="AB51" s="77"/>
      <c r="AC51" s="61"/>
    </row>
    <row r="52" s="5" customFormat="1" customHeight="1" spans="1:29">
      <c r="A52" s="76"/>
      <c r="B52" s="61"/>
      <c r="C52" s="78"/>
      <c r="D52" s="61"/>
      <c r="E52" s="78"/>
      <c r="F52" s="62"/>
      <c r="G52" s="37"/>
      <c r="H52" s="37"/>
      <c r="I52" s="61"/>
      <c r="J52" s="61"/>
      <c r="K52" s="61"/>
      <c r="L52" s="79"/>
      <c r="M52" s="72"/>
      <c r="N52" s="77"/>
      <c r="O52" s="80"/>
      <c r="P52" s="72"/>
      <c r="Q52" s="72"/>
      <c r="R52" s="81"/>
      <c r="S52" s="81"/>
      <c r="T52" s="81"/>
      <c r="U52" s="66"/>
      <c r="V52" s="67"/>
      <c r="W52" s="61"/>
      <c r="X52" s="68"/>
      <c r="Y52" s="61"/>
      <c r="Z52" s="61"/>
      <c r="AA52" s="37"/>
      <c r="AB52" s="77"/>
      <c r="AC52" s="61"/>
    </row>
    <row r="53" s="5" customFormat="1" customHeight="1" spans="1:29">
      <c r="A53" s="76"/>
      <c r="B53" s="61"/>
      <c r="C53" s="78"/>
      <c r="D53" s="61"/>
      <c r="E53" s="78"/>
      <c r="F53" s="62"/>
      <c r="G53" s="37"/>
      <c r="H53" s="37"/>
      <c r="I53" s="61"/>
      <c r="J53" s="61"/>
      <c r="K53" s="61"/>
      <c r="L53" s="67"/>
      <c r="M53" s="61"/>
      <c r="N53" s="77"/>
      <c r="O53" s="82"/>
      <c r="P53" s="61"/>
      <c r="Q53" s="61"/>
      <c r="R53" s="37"/>
      <c r="S53" s="37"/>
      <c r="T53" s="37"/>
      <c r="U53" s="66"/>
      <c r="V53" s="67"/>
      <c r="W53" s="61"/>
      <c r="X53" s="68"/>
      <c r="Y53" s="61"/>
      <c r="Z53" s="61"/>
      <c r="AA53" s="37"/>
      <c r="AB53" s="77"/>
      <c r="AC53" s="72"/>
    </row>
    <row r="54" s="5" customFormat="1" customHeight="1" spans="1:29">
      <c r="A54" s="76"/>
      <c r="B54" s="61"/>
      <c r="C54" s="78"/>
      <c r="D54" s="61"/>
      <c r="E54" s="78"/>
      <c r="F54" s="62"/>
      <c r="G54" s="37"/>
      <c r="H54" s="37"/>
      <c r="I54" s="61"/>
      <c r="J54" s="61"/>
      <c r="K54" s="61"/>
      <c r="L54" s="67"/>
      <c r="M54" s="61"/>
      <c r="N54" s="77"/>
      <c r="O54" s="83"/>
      <c r="P54" s="61"/>
      <c r="Q54" s="61"/>
      <c r="R54" s="37"/>
      <c r="S54" s="37"/>
      <c r="T54" s="37"/>
      <c r="U54" s="66"/>
      <c r="V54" s="67"/>
      <c r="W54" s="61"/>
      <c r="X54" s="68"/>
      <c r="Y54" s="61"/>
      <c r="Z54" s="61"/>
      <c r="AA54" s="37"/>
      <c r="AB54" s="77"/>
      <c r="AC54" s="72"/>
    </row>
    <row r="55" s="5" customFormat="1" customHeight="1" spans="1:29">
      <c r="A55" s="76"/>
      <c r="B55" s="61"/>
      <c r="C55" s="78"/>
      <c r="D55" s="61"/>
      <c r="E55" s="78"/>
      <c r="F55" s="62"/>
      <c r="G55" s="37"/>
      <c r="H55" s="37"/>
      <c r="I55" s="61"/>
      <c r="J55" s="61"/>
      <c r="K55" s="61"/>
      <c r="L55" s="67"/>
      <c r="M55" s="61"/>
      <c r="N55" s="77"/>
      <c r="O55" s="83"/>
      <c r="P55" s="61"/>
      <c r="Q55" s="61"/>
      <c r="R55" s="37"/>
      <c r="S55" s="37"/>
      <c r="T55" s="37"/>
      <c r="U55" s="66"/>
      <c r="V55" s="67"/>
      <c r="W55" s="61"/>
      <c r="X55" s="68"/>
      <c r="Y55" s="61"/>
      <c r="Z55" s="61"/>
      <c r="AA55" s="37"/>
      <c r="AB55" s="77"/>
      <c r="AC55" s="72"/>
    </row>
    <row r="56" s="5" customFormat="1" customHeight="1" spans="1:29">
      <c r="A56" s="76"/>
      <c r="B56" s="61"/>
      <c r="C56" s="78"/>
      <c r="D56" s="61"/>
      <c r="E56" s="78"/>
      <c r="F56" s="62"/>
      <c r="G56" s="37"/>
      <c r="H56" s="37"/>
      <c r="I56" s="61"/>
      <c r="J56" s="61"/>
      <c r="K56" s="61"/>
      <c r="L56" s="67"/>
      <c r="M56" s="61"/>
      <c r="N56" s="77"/>
      <c r="O56" s="84"/>
      <c r="P56" s="61"/>
      <c r="Q56" s="61"/>
      <c r="R56" s="37"/>
      <c r="S56" s="37"/>
      <c r="T56" s="37"/>
      <c r="U56" s="66"/>
      <c r="V56" s="67"/>
      <c r="W56" s="61"/>
      <c r="X56" s="68"/>
      <c r="Y56" s="61"/>
      <c r="Z56" s="61"/>
      <c r="AA56" s="37"/>
      <c r="AB56" s="77"/>
      <c r="AC56" s="72"/>
    </row>
    <row r="57" s="5" customFormat="1" customHeight="1" spans="1:29">
      <c r="A57" s="76"/>
      <c r="B57" s="61"/>
      <c r="C57" s="78"/>
      <c r="D57" s="61"/>
      <c r="E57" s="78"/>
      <c r="F57" s="62"/>
      <c r="G57" s="37"/>
      <c r="H57" s="37"/>
      <c r="I57" s="61"/>
      <c r="J57" s="61"/>
      <c r="K57" s="61"/>
      <c r="L57" s="79"/>
      <c r="M57" s="72"/>
      <c r="N57" s="77"/>
      <c r="O57" s="80"/>
      <c r="P57" s="72"/>
      <c r="Q57" s="72"/>
      <c r="R57" s="81"/>
      <c r="S57" s="81"/>
      <c r="T57" s="81"/>
      <c r="U57" s="85"/>
      <c r="V57" s="67"/>
      <c r="W57" s="61"/>
      <c r="X57" s="68"/>
      <c r="Y57" s="61"/>
      <c r="Z57" s="61"/>
      <c r="AA57" s="37"/>
      <c r="AB57" s="77"/>
      <c r="AC57" s="72"/>
    </row>
    <row r="58" s="5" customFormat="1" customHeight="1" spans="1:29">
      <c r="A58" s="76"/>
      <c r="B58" s="61"/>
      <c r="C58" s="78"/>
      <c r="D58" s="61"/>
      <c r="E58" s="78"/>
      <c r="F58" s="62"/>
      <c r="G58" s="37"/>
      <c r="H58" s="37"/>
      <c r="I58" s="61"/>
      <c r="J58" s="61"/>
      <c r="K58" s="61"/>
      <c r="L58" s="67"/>
      <c r="M58" s="61"/>
      <c r="N58" s="77"/>
      <c r="O58" s="68"/>
      <c r="P58" s="61"/>
      <c r="Q58" s="61"/>
      <c r="R58" s="37"/>
      <c r="S58" s="37"/>
      <c r="T58" s="37"/>
      <c r="U58" s="66"/>
      <c r="V58" s="67"/>
      <c r="W58" s="61"/>
      <c r="X58" s="68"/>
      <c r="Y58" s="61"/>
      <c r="Z58" s="61"/>
      <c r="AA58" s="37"/>
      <c r="AB58" s="77"/>
      <c r="AC58" s="72"/>
    </row>
    <row r="59" s="5" customFormat="1" customHeight="1" spans="1:29">
      <c r="A59" s="61"/>
      <c r="B59" s="61"/>
      <c r="C59" s="61"/>
      <c r="D59" s="61"/>
      <c r="E59" s="61"/>
      <c r="F59" s="61"/>
      <c r="G59" s="37"/>
      <c r="H59" s="37"/>
      <c r="I59" s="61"/>
      <c r="J59" s="61"/>
      <c r="K59" s="61"/>
      <c r="L59" s="67"/>
      <c r="M59" s="61"/>
      <c r="N59" s="77"/>
      <c r="O59" s="68"/>
      <c r="P59" s="61"/>
      <c r="Q59" s="61"/>
      <c r="R59" s="37"/>
      <c r="S59" s="37"/>
      <c r="T59" s="37"/>
      <c r="U59" s="66"/>
      <c r="V59" s="67"/>
      <c r="W59" s="61"/>
      <c r="X59" s="68"/>
      <c r="Y59" s="61"/>
      <c r="Z59" s="61"/>
      <c r="AA59" s="37"/>
      <c r="AB59" s="77"/>
      <c r="AC59" s="72"/>
    </row>
    <row r="60" s="5" customFormat="1" customHeight="1" spans="1:29">
      <c r="A60" s="61"/>
      <c r="B60" s="61"/>
      <c r="C60" s="61"/>
      <c r="D60" s="61"/>
      <c r="E60" s="61"/>
      <c r="F60" s="61"/>
      <c r="G60" s="37"/>
      <c r="H60" s="37"/>
      <c r="I60" s="61"/>
      <c r="J60" s="61"/>
      <c r="K60" s="61"/>
      <c r="L60" s="61"/>
      <c r="M60" s="61"/>
      <c r="N60" s="77"/>
      <c r="O60" s="61"/>
      <c r="P60" s="61"/>
      <c r="Q60" s="61"/>
      <c r="R60" s="37"/>
      <c r="S60" s="37"/>
      <c r="T60" s="37"/>
      <c r="U60" s="66"/>
      <c r="V60" s="67"/>
      <c r="W60" s="61"/>
      <c r="X60" s="68"/>
      <c r="Y60" s="61"/>
      <c r="Z60" s="61"/>
      <c r="AA60" s="37"/>
      <c r="AB60" s="77"/>
      <c r="AC60" s="72"/>
    </row>
    <row r="61" s="5" customFormat="1" customHeight="1" spans="1:29">
      <c r="A61" s="61"/>
      <c r="B61" s="61"/>
      <c r="C61" s="61"/>
      <c r="D61" s="61"/>
      <c r="E61" s="61"/>
      <c r="F61" s="61"/>
      <c r="G61" s="37"/>
      <c r="H61" s="37"/>
      <c r="I61" s="61"/>
      <c r="J61" s="61"/>
      <c r="K61" s="61"/>
      <c r="L61" s="61"/>
      <c r="M61" s="61"/>
      <c r="N61" s="77"/>
      <c r="O61" s="61"/>
      <c r="P61" s="61"/>
      <c r="Q61" s="61"/>
      <c r="R61" s="37"/>
      <c r="S61" s="37"/>
      <c r="T61" s="37"/>
      <c r="U61" s="66"/>
      <c r="V61" s="67"/>
      <c r="W61" s="61"/>
      <c r="X61" s="68"/>
      <c r="Y61" s="61"/>
      <c r="Z61" s="61"/>
      <c r="AA61" s="37"/>
      <c r="AB61" s="77"/>
      <c r="AC61" s="72"/>
    </row>
    <row r="62" s="5" customFormat="1" customHeight="1" spans="1:29">
      <c r="A62" s="61"/>
      <c r="B62" s="61"/>
      <c r="C62" s="61"/>
      <c r="D62" s="61"/>
      <c r="E62" s="61"/>
      <c r="F62" s="61"/>
      <c r="G62" s="37"/>
      <c r="H62" s="37"/>
      <c r="I62" s="61"/>
      <c r="J62" s="61"/>
      <c r="K62" s="61"/>
      <c r="L62" s="61"/>
      <c r="M62" s="61"/>
      <c r="N62" s="77"/>
      <c r="O62" s="61"/>
      <c r="P62" s="61"/>
      <c r="Q62" s="61"/>
      <c r="R62" s="37"/>
      <c r="S62" s="37"/>
      <c r="T62" s="37"/>
      <c r="U62" s="66"/>
      <c r="V62" s="67"/>
      <c r="W62" s="61"/>
      <c r="X62" s="68"/>
      <c r="Y62" s="61"/>
      <c r="Z62" s="61"/>
      <c r="AA62" s="37"/>
      <c r="AB62" s="77"/>
      <c r="AC62" s="72"/>
    </row>
    <row r="63" s="5" customFormat="1" customHeight="1" spans="1:29">
      <c r="A63" s="61"/>
      <c r="B63" s="61"/>
      <c r="C63" s="61"/>
      <c r="D63" s="61"/>
      <c r="E63" s="61"/>
      <c r="F63" s="61"/>
      <c r="G63" s="37"/>
      <c r="H63" s="37"/>
      <c r="I63" s="61"/>
      <c r="J63" s="61"/>
      <c r="K63" s="61"/>
      <c r="L63" s="61"/>
      <c r="M63" s="61"/>
      <c r="N63" s="77"/>
      <c r="O63" s="61"/>
      <c r="P63" s="61"/>
      <c r="Q63" s="61"/>
      <c r="R63" s="37"/>
      <c r="S63" s="37"/>
      <c r="T63" s="37"/>
      <c r="U63" s="61"/>
      <c r="V63" s="67"/>
      <c r="W63" s="61"/>
      <c r="X63" s="68"/>
      <c r="Y63" s="61"/>
      <c r="Z63" s="61"/>
      <c r="AA63" s="37"/>
      <c r="AB63" s="77"/>
      <c r="AC63" s="72"/>
    </row>
    <row r="64" s="5" customFormat="1" customHeight="1" spans="1:29">
      <c r="A64" s="61"/>
      <c r="B64" s="61"/>
      <c r="C64" s="61"/>
      <c r="D64" s="61"/>
      <c r="E64" s="61"/>
      <c r="F64" s="61"/>
      <c r="G64" s="37"/>
      <c r="H64" s="37"/>
      <c r="I64" s="61"/>
      <c r="J64" s="61"/>
      <c r="K64" s="61"/>
      <c r="L64" s="61"/>
      <c r="M64" s="61"/>
      <c r="N64" s="77"/>
      <c r="O64" s="61"/>
      <c r="P64" s="61"/>
      <c r="Q64" s="61"/>
      <c r="R64" s="37"/>
      <c r="S64" s="37"/>
      <c r="T64" s="37"/>
      <c r="U64" s="61"/>
      <c r="V64" s="67"/>
      <c r="W64" s="61"/>
      <c r="X64" s="68"/>
      <c r="Y64" s="61"/>
      <c r="Z64" s="61"/>
      <c r="AA64" s="37"/>
      <c r="AB64" s="77"/>
      <c r="AC64" s="70"/>
    </row>
    <row r="65" s="5" customFormat="1" customHeight="1" spans="1:33">
      <c r="A65" s="61"/>
      <c r="B65" s="61"/>
      <c r="C65" s="61"/>
      <c r="D65" s="61"/>
      <c r="E65" s="61"/>
      <c r="F65" s="61"/>
      <c r="G65" s="37"/>
      <c r="H65" s="37"/>
      <c r="I65" s="61"/>
      <c r="J65" s="61"/>
      <c r="K65" s="61"/>
      <c r="L65" s="61"/>
      <c r="M65" s="61"/>
      <c r="N65" s="77"/>
      <c r="O65" s="61"/>
      <c r="P65" s="61"/>
      <c r="Q65" s="61"/>
      <c r="R65" s="37"/>
      <c r="S65" s="37"/>
      <c r="T65" s="37"/>
      <c r="U65" s="61"/>
      <c r="V65" s="67"/>
      <c r="W65" s="61"/>
      <c r="X65" s="68"/>
      <c r="Y65" s="61"/>
      <c r="Z65" s="61"/>
      <c r="AA65" s="37"/>
      <c r="AB65" s="77"/>
      <c r="AC65" s="72"/>
    </row>
    <row r="66" s="5" customFormat="1" customHeight="1" spans="1:33">
      <c r="A66" s="61"/>
      <c r="B66" s="61"/>
      <c r="C66" s="61"/>
      <c r="D66" s="61"/>
      <c r="E66" s="61"/>
      <c r="F66" s="61"/>
      <c r="G66" s="37"/>
      <c r="H66" s="37"/>
      <c r="I66" s="61"/>
      <c r="J66" s="61"/>
      <c r="K66" s="61"/>
      <c r="L66" s="61"/>
      <c r="M66" s="61"/>
      <c r="N66" s="77"/>
      <c r="O66" s="61"/>
      <c r="P66" s="61"/>
      <c r="Q66" s="61"/>
      <c r="R66" s="37"/>
      <c r="S66" s="37"/>
      <c r="T66" s="37"/>
      <c r="U66" s="61"/>
      <c r="V66" s="61"/>
      <c r="W66" s="61"/>
      <c r="X66" s="68"/>
      <c r="Y66" s="72"/>
      <c r="Z66" s="72"/>
      <c r="AA66" s="81"/>
      <c r="AB66" s="72"/>
      <c r="AC66" s="72"/>
    </row>
    <row r="67" s="5" customFormat="1" customHeight="1" spans="1:33">
      <c r="A67" s="61"/>
      <c r="B67" s="61"/>
      <c r="C67" s="61"/>
      <c r="D67" s="61"/>
      <c r="E67" s="61"/>
      <c r="F67" s="61"/>
      <c r="G67" s="37"/>
      <c r="H67" s="37"/>
      <c r="I67" s="61"/>
      <c r="J67" s="61"/>
      <c r="K67" s="61"/>
      <c r="L67" s="61"/>
      <c r="M67" s="61"/>
      <c r="N67" s="77"/>
      <c r="O67" s="61"/>
      <c r="P67" s="61"/>
      <c r="Q67" s="61"/>
      <c r="R67" s="37"/>
      <c r="S67" s="37"/>
      <c r="T67" s="37"/>
      <c r="U67" s="61"/>
      <c r="V67" s="61"/>
      <c r="W67" s="61"/>
      <c r="X67" s="68"/>
      <c r="Y67" s="72"/>
      <c r="Z67" s="72"/>
      <c r="AA67" s="81"/>
      <c r="AB67" s="72"/>
      <c r="AC67" s="72"/>
    </row>
    <row r="68" s="5" customFormat="1" customHeight="1" spans="1:33">
      <c r="A68" s="61"/>
      <c r="B68" s="61"/>
      <c r="C68" s="61"/>
      <c r="D68" s="61"/>
      <c r="E68" s="61"/>
      <c r="F68" s="61"/>
      <c r="G68" s="37"/>
      <c r="H68" s="37"/>
      <c r="I68" s="61"/>
      <c r="J68" s="61"/>
      <c r="K68" s="61"/>
      <c r="L68" s="61"/>
      <c r="M68" s="61"/>
      <c r="N68" s="77"/>
      <c r="O68" s="61"/>
      <c r="P68" s="61"/>
      <c r="Q68" s="61"/>
      <c r="R68" s="37"/>
      <c r="S68" s="37"/>
      <c r="T68" s="37"/>
      <c r="U68" s="61"/>
      <c r="V68" s="61"/>
      <c r="W68" s="61"/>
      <c r="X68" s="68"/>
      <c r="Y68" s="72"/>
      <c r="Z68" s="72"/>
      <c r="AA68" s="81"/>
      <c r="AB68" s="72"/>
      <c r="AC68" s="72"/>
    </row>
    <row r="69" s="5" customFormat="1" customHeight="1" spans="1:33">
      <c r="A69" s="61"/>
      <c r="B69" s="61"/>
      <c r="C69" s="61"/>
      <c r="D69" s="61"/>
      <c r="E69" s="61"/>
      <c r="F69" s="61"/>
      <c r="G69" s="37"/>
      <c r="H69" s="37"/>
      <c r="I69" s="61"/>
      <c r="J69" s="61"/>
      <c r="K69" s="61"/>
      <c r="L69" s="61"/>
      <c r="M69" s="61"/>
      <c r="N69" s="77"/>
      <c r="O69" s="61"/>
      <c r="P69" s="61"/>
      <c r="Q69" s="61"/>
      <c r="R69" s="37"/>
      <c r="S69" s="37"/>
      <c r="T69" s="37"/>
      <c r="U69" s="61"/>
      <c r="V69" s="61"/>
      <c r="W69" s="61"/>
      <c r="X69" s="68"/>
      <c r="Y69" s="72"/>
      <c r="Z69" s="72"/>
      <c r="AA69" s="81"/>
      <c r="AB69" s="72"/>
      <c r="AC69" s="72"/>
    </row>
    <row r="70" s="5" customFormat="1" customHeight="1" spans="1:33">
      <c r="A70" s="61"/>
      <c r="B70" s="61"/>
      <c r="C70" s="61"/>
      <c r="D70" s="61"/>
      <c r="E70" s="61"/>
      <c r="F70" s="61"/>
      <c r="G70" s="37"/>
      <c r="H70" s="37"/>
      <c r="I70" s="61"/>
      <c r="J70" s="61"/>
      <c r="K70" s="61"/>
      <c r="L70" s="61"/>
      <c r="M70" s="61"/>
      <c r="N70" s="77"/>
      <c r="O70" s="61"/>
      <c r="P70" s="61"/>
      <c r="Q70" s="61"/>
      <c r="R70" s="37"/>
      <c r="S70" s="37"/>
      <c r="T70" s="37"/>
      <c r="U70" s="61"/>
      <c r="V70" s="61"/>
      <c r="W70" s="61"/>
      <c r="X70" s="68"/>
      <c r="Y70" s="72"/>
      <c r="Z70" s="72"/>
      <c r="AA70" s="81"/>
      <c r="AB70" s="72"/>
      <c r="AC70" s="72"/>
    </row>
    <row r="71" s="5" customFormat="1" customHeight="1" spans="1:33">
      <c r="A71" s="61"/>
      <c r="B71" s="61"/>
      <c r="C71" s="61"/>
      <c r="D71" s="61"/>
      <c r="E71" s="61"/>
      <c r="F71" s="61"/>
      <c r="G71" s="37"/>
      <c r="H71" s="37"/>
      <c r="I71" s="61"/>
      <c r="J71" s="61"/>
      <c r="K71" s="61"/>
      <c r="L71" s="61"/>
      <c r="M71" s="61"/>
      <c r="N71" s="77"/>
      <c r="O71" s="61"/>
      <c r="P71" s="61"/>
      <c r="Q71" s="61"/>
      <c r="R71" s="37"/>
      <c r="S71" s="37"/>
      <c r="T71" s="37"/>
      <c r="U71" s="61"/>
      <c r="V71" s="61"/>
      <c r="W71" s="61"/>
      <c r="X71" s="68"/>
      <c r="Y71" s="72"/>
      <c r="Z71" s="72"/>
      <c r="AA71" s="81"/>
      <c r="AB71" s="72"/>
      <c r="AC71" s="72"/>
    </row>
    <row r="72" s="5" customFormat="1" customHeight="1" spans="1:33">
      <c r="A72" s="61"/>
      <c r="B72" s="61"/>
      <c r="C72" s="61"/>
      <c r="D72" s="61"/>
      <c r="E72" s="61"/>
      <c r="F72" s="61"/>
      <c r="G72" s="37"/>
      <c r="H72" s="37"/>
      <c r="I72" s="61"/>
      <c r="J72" s="61"/>
      <c r="K72" s="61"/>
      <c r="L72" s="61"/>
      <c r="M72" s="61"/>
      <c r="N72" s="77"/>
      <c r="O72" s="61"/>
      <c r="P72" s="61"/>
      <c r="Q72" s="61"/>
      <c r="R72" s="37"/>
      <c r="S72" s="37"/>
      <c r="T72" s="37"/>
      <c r="U72" s="61"/>
      <c r="V72" s="61"/>
      <c r="W72" s="61"/>
      <c r="X72" s="68"/>
      <c r="Y72" s="72"/>
      <c r="Z72" s="72"/>
      <c r="AA72" s="81"/>
      <c r="AB72" s="72"/>
      <c r="AC72" s="72"/>
    </row>
    <row r="73" s="5" customFormat="1" customHeight="1" spans="1:33">
      <c r="A73" s="61"/>
      <c r="B73" s="61"/>
      <c r="C73" s="61"/>
      <c r="D73" s="61"/>
      <c r="E73" s="61"/>
      <c r="F73" s="61"/>
      <c r="G73" s="37"/>
      <c r="H73" s="37"/>
      <c r="I73" s="61"/>
      <c r="J73" s="61"/>
      <c r="K73" s="61"/>
      <c r="L73" s="61"/>
      <c r="M73" s="61"/>
      <c r="N73" s="77"/>
      <c r="O73" s="61"/>
      <c r="P73" s="61"/>
      <c r="Q73" s="61"/>
      <c r="R73" s="37"/>
      <c r="S73" s="37"/>
      <c r="T73" s="37"/>
      <c r="U73" s="61"/>
      <c r="V73" s="61"/>
      <c r="W73" s="61"/>
      <c r="X73" s="68"/>
      <c r="Y73" s="72"/>
      <c r="Z73" s="72"/>
      <c r="AA73" s="81"/>
      <c r="AB73" s="72"/>
      <c r="AC73" s="72"/>
    </row>
    <row r="74" s="5" customFormat="1" customHeight="1" spans="1:33">
      <c r="A74" s="61"/>
      <c r="B74" s="61"/>
      <c r="C74" s="61"/>
      <c r="D74" s="61"/>
      <c r="E74" s="61"/>
      <c r="F74" s="61"/>
      <c r="G74" s="37"/>
      <c r="H74" s="37"/>
      <c r="I74" s="61"/>
      <c r="J74" s="61"/>
      <c r="K74" s="61"/>
      <c r="L74" s="61"/>
      <c r="M74" s="61"/>
      <c r="N74" s="77"/>
      <c r="O74" s="61"/>
      <c r="P74" s="61"/>
      <c r="Q74" s="61"/>
      <c r="R74" s="37"/>
      <c r="S74" s="37"/>
      <c r="T74" s="37"/>
      <c r="U74" s="61"/>
      <c r="V74" s="61"/>
      <c r="W74" s="61"/>
      <c r="X74" s="68"/>
      <c r="Y74" s="72"/>
      <c r="Z74" s="72"/>
      <c r="AA74" s="81"/>
      <c r="AB74" s="72"/>
      <c r="AC74" s="72"/>
    </row>
    <row r="75" s="5" customFormat="1" customHeight="1" spans="1:33">
      <c r="A75" s="61"/>
      <c r="B75" s="61"/>
      <c r="C75" s="61"/>
      <c r="D75" s="61"/>
      <c r="E75" s="61"/>
      <c r="F75" s="61"/>
      <c r="G75" s="37"/>
      <c r="H75" s="37"/>
      <c r="I75" s="61"/>
      <c r="J75" s="61"/>
      <c r="K75" s="61"/>
      <c r="L75" s="61"/>
      <c r="M75" s="61"/>
      <c r="N75" s="77"/>
      <c r="O75" s="61"/>
      <c r="P75" s="61"/>
      <c r="Q75" s="61"/>
      <c r="R75" s="37"/>
      <c r="S75" s="37"/>
      <c r="T75" s="37"/>
      <c r="U75" s="61"/>
      <c r="V75" s="61"/>
      <c r="W75" s="61"/>
      <c r="X75" s="68"/>
      <c r="Y75" s="72"/>
      <c r="Z75" s="72"/>
      <c r="AA75" s="81"/>
      <c r="AB75" s="72"/>
      <c r="AC75" s="72"/>
    </row>
    <row r="76" s="5" customFormat="1" customHeight="1" spans="1:33">
      <c r="A76" s="73"/>
      <c r="B76" s="73"/>
      <c r="C76" s="73"/>
      <c r="D76" s="73"/>
      <c r="E76" s="73"/>
      <c r="F76" s="73"/>
      <c r="G76" s="74"/>
      <c r="H76" s="74"/>
      <c r="I76" s="73"/>
      <c r="J76" s="73"/>
      <c r="K76" s="73"/>
      <c r="L76" s="73"/>
      <c r="M76" s="73"/>
      <c r="N76" s="73"/>
      <c r="O76" s="73"/>
      <c r="P76" s="73"/>
      <c r="Q76" s="73"/>
      <c r="R76" s="74"/>
      <c r="S76" s="74"/>
      <c r="T76" s="74"/>
      <c r="U76" s="73"/>
      <c r="V76" s="73"/>
      <c r="W76" s="73"/>
      <c r="X76" s="73"/>
      <c r="Y76" s="73"/>
      <c r="Z76" s="73"/>
      <c r="AA76" s="74"/>
      <c r="AB76" s="75"/>
      <c r="AC76" s="75"/>
      <c r="AD76" s="75"/>
      <c r="AE76" s="75"/>
      <c r="AF76" s="75"/>
      <c r="AG76" s="75"/>
    </row>
    <row r="78" customHeight="1" spans="1:33">
      <c r="A78" s="8" t="s">
        <v>384</v>
      </c>
    </row>
    <row r="79" ht="29.1" customHeight="1" spans="1:33">
      <c r="A79" s="34" t="s">
        <v>385</v>
      </c>
      <c r="B79" s="34" t="s">
        <v>386</v>
      </c>
      <c r="C79" s="34" t="s">
        <v>387</v>
      </c>
      <c r="D79" s="86" t="s">
        <v>388</v>
      </c>
      <c r="E79" s="87" t="s">
        <v>389</v>
      </c>
      <c r="F79" s="87" t="s">
        <v>390</v>
      </c>
      <c r="G79" s="87" t="s">
        <v>391</v>
      </c>
      <c r="H79" s="34" t="s">
        <v>392</v>
      </c>
      <c r="I79" s="34" t="s">
        <v>393</v>
      </c>
      <c r="J79" s="34" t="s">
        <v>394</v>
      </c>
      <c r="K79" s="34" t="s">
        <v>395</v>
      </c>
      <c r="L79" s="34" t="s">
        <v>92</v>
      </c>
      <c r="M79" s="34" t="s">
        <v>310</v>
      </c>
    </row>
    <row r="80" ht="29.1" customHeight="1" spans="1:33">
      <c r="A80" s="88"/>
      <c r="B80" s="89"/>
      <c r="C80" s="89"/>
      <c r="D80" s="90"/>
      <c r="E80" s="90"/>
      <c r="F80" s="90"/>
      <c r="G80" s="90"/>
      <c r="H80" s="61"/>
      <c r="I80" s="90"/>
      <c r="J80" s="89"/>
      <c r="K80" s="89"/>
      <c r="L80" s="89">
        <f t="shared" ref="L80:L92" si="8">SUM(D80:K80)</f>
        <v>0</v>
      </c>
      <c r="M80" s="89"/>
    </row>
    <row r="81" ht="29.1" customHeight="1" spans="1:13">
      <c r="A81" s="88"/>
      <c r="B81" s="89"/>
      <c r="C81" s="89"/>
      <c r="D81" s="90"/>
      <c r="E81" s="90"/>
      <c r="F81" s="90"/>
      <c r="G81" s="90"/>
      <c r="H81" s="61"/>
      <c r="I81" s="90"/>
      <c r="J81" s="89"/>
      <c r="K81" s="89"/>
      <c r="L81" s="89">
        <f t="shared" si="8"/>
        <v>0</v>
      </c>
      <c r="M81" s="89"/>
    </row>
    <row r="82" ht="29.1" customHeight="1" spans="1:13">
      <c r="A82" s="88"/>
      <c r="B82" s="89"/>
      <c r="C82" s="89"/>
      <c r="D82" s="90"/>
      <c r="E82" s="90"/>
      <c r="F82" s="90"/>
      <c r="G82" s="90"/>
      <c r="H82" s="61"/>
      <c r="I82" s="90"/>
      <c r="J82" s="89"/>
      <c r="K82" s="89"/>
      <c r="L82" s="89">
        <f t="shared" si="8"/>
        <v>0</v>
      </c>
      <c r="M82" s="89"/>
    </row>
    <row r="83" ht="29.1" customHeight="1" spans="1:13">
      <c r="A83" s="88"/>
      <c r="B83" s="89"/>
      <c r="C83" s="89"/>
      <c r="D83" s="90"/>
      <c r="E83" s="90"/>
      <c r="F83" s="90"/>
      <c r="G83" s="90"/>
      <c r="H83" s="61"/>
      <c r="I83" s="90"/>
      <c r="J83" s="89"/>
      <c r="K83" s="89"/>
      <c r="L83" s="89">
        <f t="shared" si="8"/>
        <v>0</v>
      </c>
      <c r="M83" s="89"/>
    </row>
    <row r="84" ht="29.1" customHeight="1" spans="1:13">
      <c r="A84" s="88"/>
      <c r="B84" s="89"/>
      <c r="C84" s="89"/>
      <c r="D84" s="90"/>
      <c r="E84" s="90"/>
      <c r="F84" s="90"/>
      <c r="G84" s="90"/>
      <c r="H84" s="61"/>
      <c r="I84" s="90"/>
      <c r="J84" s="89"/>
      <c r="K84" s="89"/>
      <c r="L84" s="89">
        <f t="shared" si="8"/>
        <v>0</v>
      </c>
      <c r="M84" s="89"/>
    </row>
    <row r="85" ht="29.1" customHeight="1" spans="1:13">
      <c r="A85" s="88"/>
      <c r="B85" s="89"/>
      <c r="C85" s="89"/>
      <c r="D85" s="90"/>
      <c r="E85" s="90"/>
      <c r="F85" s="90"/>
      <c r="G85" s="90"/>
      <c r="H85" s="61"/>
      <c r="I85" s="90"/>
      <c r="J85" s="89"/>
      <c r="K85" s="89"/>
      <c r="L85" s="89">
        <f t="shared" si="8"/>
        <v>0</v>
      </c>
      <c r="M85" s="89"/>
    </row>
    <row r="86" ht="29.1" customHeight="1" spans="1:13">
      <c r="A86" s="88"/>
      <c r="B86" s="89"/>
      <c r="C86" s="89"/>
      <c r="D86" s="90"/>
      <c r="E86" s="90"/>
      <c r="F86" s="90"/>
      <c r="G86" s="90"/>
      <c r="H86" s="61"/>
      <c r="I86" s="90"/>
      <c r="J86" s="89"/>
      <c r="K86" s="89"/>
      <c r="L86" s="89">
        <f t="shared" si="8"/>
        <v>0</v>
      </c>
      <c r="M86" s="89"/>
    </row>
    <row r="87" ht="29.1" customHeight="1" spans="1:13">
      <c r="A87" s="88"/>
      <c r="B87" s="89"/>
      <c r="C87" s="89"/>
      <c r="D87" s="90"/>
      <c r="E87" s="90"/>
      <c r="F87" s="90"/>
      <c r="G87" s="90"/>
      <c r="H87" s="61"/>
      <c r="I87" s="90"/>
      <c r="J87" s="89"/>
      <c r="K87" s="89"/>
      <c r="L87" s="89">
        <f t="shared" si="8"/>
        <v>0</v>
      </c>
      <c r="M87" s="89"/>
    </row>
    <row r="88" ht="29.1" customHeight="1" spans="1:13">
      <c r="A88" s="88"/>
      <c r="B88" s="89"/>
      <c r="C88" s="89"/>
      <c r="D88" s="90"/>
      <c r="E88" s="90"/>
      <c r="F88" s="90"/>
      <c r="G88" s="90"/>
      <c r="H88" s="61"/>
      <c r="I88" s="90"/>
      <c r="J88" s="89"/>
      <c r="K88" s="89"/>
      <c r="L88" s="89">
        <f t="shared" si="8"/>
        <v>0</v>
      </c>
      <c r="M88" s="89"/>
    </row>
    <row r="89" ht="29.1" customHeight="1" spans="1:13">
      <c r="A89" s="88"/>
      <c r="B89" s="89"/>
      <c r="C89" s="89"/>
      <c r="D89" s="90"/>
      <c r="E89" s="90"/>
      <c r="F89" s="90"/>
      <c r="G89" s="90"/>
      <c r="H89" s="61"/>
      <c r="I89" s="90"/>
      <c r="J89" s="89"/>
      <c r="K89" s="89"/>
      <c r="L89" s="89">
        <f t="shared" si="8"/>
        <v>0</v>
      </c>
      <c r="M89" s="89"/>
    </row>
    <row r="90" ht="29.1" customHeight="1" spans="1:13">
      <c r="A90" s="88"/>
      <c r="B90" s="89"/>
      <c r="C90" s="89"/>
      <c r="D90" s="90"/>
      <c r="E90" s="90"/>
      <c r="F90" s="90"/>
      <c r="G90" s="90"/>
      <c r="H90" s="61"/>
      <c r="I90" s="90"/>
      <c r="J90" s="89"/>
      <c r="K90" s="89"/>
      <c r="L90" s="89">
        <f t="shared" si="8"/>
        <v>0</v>
      </c>
      <c r="M90" s="89"/>
    </row>
    <row r="91" ht="29.1" customHeight="1" spans="1:13">
      <c r="A91" s="88"/>
      <c r="B91" s="89"/>
      <c r="C91" s="89"/>
      <c r="D91" s="90"/>
      <c r="E91" s="90"/>
      <c r="F91" s="90"/>
      <c r="G91" s="90"/>
      <c r="H91" s="61"/>
      <c r="I91" s="90"/>
      <c r="J91" s="89"/>
      <c r="K91" s="89"/>
      <c r="L91" s="89">
        <f t="shared" si="8"/>
        <v>0</v>
      </c>
      <c r="M91" s="89"/>
    </row>
    <row r="92" ht="29.1" customHeight="1" spans="1:13">
      <c r="A92" s="88"/>
      <c r="B92" s="89"/>
      <c r="C92" s="89"/>
      <c r="D92" s="61"/>
      <c r="E92" s="61"/>
      <c r="F92" s="61"/>
      <c r="G92" s="61"/>
      <c r="H92" s="61"/>
      <c r="I92" s="61"/>
      <c r="J92" s="89"/>
      <c r="K92" s="89"/>
      <c r="L92" s="89">
        <f t="shared" si="8"/>
        <v>0</v>
      </c>
      <c r="M92" s="89"/>
    </row>
    <row r="93" ht="29.1" customHeight="1" spans="1:13">
      <c r="A93" s="61" t="s">
        <v>92</v>
      </c>
      <c r="B93" s="61">
        <f t="shared" ref="B93:M93" si="9">SUM(B80:B92)</f>
        <v>0</v>
      </c>
      <c r="C93" s="61">
        <f t="shared" si="9"/>
        <v>0</v>
      </c>
      <c r="D93" s="61">
        <f t="shared" si="9"/>
        <v>0</v>
      </c>
      <c r="E93" s="61">
        <f t="shared" si="9"/>
        <v>0</v>
      </c>
      <c r="F93" s="61">
        <f t="shared" si="9"/>
        <v>0</v>
      </c>
      <c r="G93" s="61">
        <f t="shared" si="9"/>
        <v>0</v>
      </c>
      <c r="H93" s="61">
        <f t="shared" si="9"/>
        <v>0</v>
      </c>
      <c r="I93" s="61">
        <f t="shared" si="9"/>
        <v>0</v>
      </c>
      <c r="J93" s="61">
        <f t="shared" si="9"/>
        <v>0</v>
      </c>
      <c r="K93" s="61">
        <f t="shared" si="9"/>
        <v>0</v>
      </c>
      <c r="L93" s="61">
        <f t="shared" si="9"/>
        <v>0</v>
      </c>
      <c r="M93" s="61">
        <f t="shared" si="9"/>
        <v>0</v>
      </c>
    </row>
    <row r="95" customHeight="1" spans="1:13">
      <c r="A95" s="8" t="s">
        <v>396</v>
      </c>
    </row>
    <row r="96" customHeight="1" spans="1:13">
      <c r="A96" s="91" t="s">
        <v>397</v>
      </c>
      <c r="B96" s="34" t="s">
        <v>398</v>
      </c>
      <c r="C96" s="34" t="s">
        <v>399</v>
      </c>
      <c r="D96" s="34" t="s">
        <v>400</v>
      </c>
      <c r="E96" s="34" t="s">
        <v>401</v>
      </c>
      <c r="F96" s="34" t="s">
        <v>402</v>
      </c>
      <c r="G96" s="34" t="s">
        <v>403</v>
      </c>
      <c r="H96" s="34" t="s">
        <v>404</v>
      </c>
      <c r="I96" s="34" t="s">
        <v>92</v>
      </c>
    </row>
    <row r="97" customHeight="1" spans="1:17">
      <c r="A97" s="90" t="s">
        <v>5</v>
      </c>
      <c r="B97" s="19"/>
      <c r="C97" s="19"/>
      <c r="D97" s="19"/>
      <c r="E97" s="19"/>
      <c r="F97" s="19"/>
      <c r="G97" s="19"/>
      <c r="H97" s="19"/>
      <c r="I97" s="19">
        <f t="shared" ref="I97:I102" si="10">SUM(B97:H97)</f>
        <v>0</v>
      </c>
    </row>
    <row r="98" customHeight="1" spans="1:17">
      <c r="A98" s="61" t="s">
        <v>6</v>
      </c>
      <c r="B98" s="19"/>
      <c r="C98" s="19"/>
      <c r="D98" s="19"/>
      <c r="E98" s="19"/>
      <c r="F98" s="19"/>
      <c r="G98" s="19"/>
      <c r="H98" s="19"/>
      <c r="I98" s="19">
        <f t="shared" si="10"/>
        <v>0</v>
      </c>
    </row>
    <row r="99" customHeight="1" spans="1:17">
      <c r="A99" s="61" t="s">
        <v>405</v>
      </c>
      <c r="B99" s="19"/>
      <c r="C99" s="19"/>
      <c r="D99" s="19"/>
      <c r="E99" s="19"/>
      <c r="F99" s="19"/>
      <c r="G99" s="19"/>
      <c r="H99" s="19"/>
      <c r="I99" s="19">
        <f t="shared" si="10"/>
        <v>0</v>
      </c>
    </row>
    <row r="100" customHeight="1" spans="1:17">
      <c r="A100" s="61" t="s">
        <v>406</v>
      </c>
      <c r="B100" s="19"/>
      <c r="C100" s="19"/>
      <c r="D100" s="19"/>
      <c r="E100" s="19"/>
      <c r="F100" s="19"/>
      <c r="G100" s="19"/>
      <c r="H100" s="19"/>
      <c r="I100" s="19">
        <f t="shared" si="10"/>
        <v>0</v>
      </c>
    </row>
    <row r="101" customHeight="1" spans="1:17">
      <c r="A101" s="18" t="s">
        <v>407</v>
      </c>
      <c r="B101" s="19"/>
      <c r="C101" s="19"/>
      <c r="D101" s="19"/>
      <c r="E101" s="19"/>
      <c r="F101" s="19"/>
      <c r="G101" s="19"/>
      <c r="H101" s="19"/>
      <c r="I101" s="19">
        <f t="shared" si="10"/>
        <v>0</v>
      </c>
    </row>
    <row r="102" customHeight="1" spans="1:17">
      <c r="A102" s="18" t="s">
        <v>408</v>
      </c>
      <c r="B102" s="19"/>
      <c r="C102" s="19"/>
      <c r="D102" s="19"/>
      <c r="E102" s="19"/>
      <c r="F102" s="19"/>
      <c r="G102" s="19"/>
      <c r="H102" s="19"/>
      <c r="I102" s="19">
        <f t="shared" si="10"/>
        <v>0</v>
      </c>
    </row>
    <row r="105" ht="29.1" customHeight="1" spans="1:17">
      <c r="A105" s="8" t="s">
        <v>409</v>
      </c>
    </row>
    <row r="106" customHeight="1" spans="1:17">
      <c r="A106" s="91" t="s">
        <v>2</v>
      </c>
      <c r="B106" s="34" t="s">
        <v>410</v>
      </c>
      <c r="C106" s="34" t="s">
        <v>411</v>
      </c>
      <c r="D106" s="34" t="s">
        <v>413</v>
      </c>
      <c r="E106" s="34" t="s">
        <v>414</v>
      </c>
      <c r="F106" s="34" t="s">
        <v>415</v>
      </c>
      <c r="G106" s="34" t="s">
        <v>416</v>
      </c>
      <c r="H106" s="34" t="s">
        <v>417</v>
      </c>
      <c r="I106" s="34" t="s">
        <v>418</v>
      </c>
      <c r="J106" s="34" t="s">
        <v>419</v>
      </c>
      <c r="K106" s="34" t="s">
        <v>420</v>
      </c>
      <c r="L106" s="34" t="s">
        <v>421</v>
      </c>
      <c r="M106" s="34" t="s">
        <v>422</v>
      </c>
      <c r="N106" s="34" t="s">
        <v>423</v>
      </c>
      <c r="O106" s="92" t="s">
        <v>424</v>
      </c>
      <c r="P106" s="92" t="s">
        <v>425</v>
      </c>
      <c r="Q106" s="92" t="s">
        <v>426</v>
      </c>
    </row>
    <row r="107" customHeight="1" spans="1:17">
      <c r="A107" s="93" t="str">
        <f>M4</f>
        <v>来源于“共享系统”系统管理-权限管理-人员管理</v>
      </c>
      <c r="B107" s="94"/>
      <c r="C107" s="94"/>
      <c r="D107" s="94"/>
      <c r="E107" s="18"/>
      <c r="F107" s="94"/>
      <c r="G107" s="94"/>
      <c r="H107" s="94"/>
      <c r="I107" s="94"/>
      <c r="J107" s="94"/>
      <c r="K107" s="94"/>
      <c r="L107" s="94"/>
      <c r="M107" s="94"/>
      <c r="N107" s="94"/>
      <c r="O107" s="18"/>
      <c r="P107" s="18"/>
      <c r="Q107" s="18"/>
    </row>
    <row r="109" hidden="1" customHeight="1"/>
    <row r="110" customFormat="1" customHeight="1" spans="1:17">
      <c r="A110" s="8" t="s">
        <v>427</v>
      </c>
      <c r="B110" s="7"/>
      <c r="C110" s="7"/>
      <c r="D110" s="7"/>
      <c r="E110" s="7"/>
      <c r="F110" s="7"/>
      <c r="G110" s="7"/>
      <c r="H110" s="7"/>
    </row>
    <row r="111" s="6" customFormat="1" ht="27" customHeight="1" spans="1:17">
      <c r="A111" s="95" t="s">
        <v>428</v>
      </c>
      <c r="B111" s="95"/>
      <c r="C111" s="95"/>
      <c r="D111" s="95"/>
      <c r="E111" s="95"/>
      <c r="F111" s="95"/>
      <c r="G111" s="95"/>
      <c r="H111" s="95"/>
    </row>
    <row r="112" s="6" customFormat="1" ht="31.5" customHeight="1" spans="1:17">
      <c r="A112" s="95"/>
      <c r="B112" s="95"/>
      <c r="C112" s="95"/>
      <c r="D112" s="95"/>
      <c r="E112" s="95"/>
      <c r="F112" s="95"/>
      <c r="G112" s="95"/>
      <c r="H112" s="95"/>
    </row>
    <row r="113" s="6" customFormat="1" ht="45" customHeight="1" spans="1:11">
      <c r="A113" s="96" t="str">
        <f>L4</f>
        <v>来源于“共享系统”系统管理-权限管理-人员管理</v>
      </c>
      <c r="B113" s="96"/>
      <c r="C113" s="96"/>
      <c r="H113" s="97" t="s">
        <v>429</v>
      </c>
    </row>
    <row r="114" s="6" customFormat="1" ht="24" customHeight="1" spans="1:11">
      <c r="A114" s="98" t="s">
        <v>430</v>
      </c>
      <c r="B114" s="98" t="s">
        <v>431</v>
      </c>
      <c r="C114" s="98" t="s">
        <v>432</v>
      </c>
      <c r="D114" s="98" t="s">
        <v>433</v>
      </c>
      <c r="E114" s="98" t="s">
        <v>434</v>
      </c>
      <c r="F114" s="98" t="s">
        <v>435</v>
      </c>
      <c r="G114" s="98" t="s">
        <v>436</v>
      </c>
      <c r="H114" s="98" t="s">
        <v>437</v>
      </c>
      <c r="K114" s="99"/>
    </row>
    <row r="115" s="6" customFormat="1" ht="24" customHeight="1" spans="1:11">
      <c r="A115" s="100">
        <v>1</v>
      </c>
      <c r="B115" s="98" t="s">
        <v>81</v>
      </c>
      <c r="C115" s="101"/>
      <c r="D115" s="101"/>
      <c r="E115" s="101"/>
      <c r="F115" s="101"/>
      <c r="G115" s="101"/>
      <c r="H115" s="102">
        <f>V11</f>
        <v>0</v>
      </c>
      <c r="K115" s="99"/>
    </row>
    <row r="116" s="6" customFormat="1" ht="24" customHeight="1" spans="1:11">
      <c r="A116" s="100">
        <v>2</v>
      </c>
      <c r="B116" s="98" t="s">
        <v>82</v>
      </c>
      <c r="C116" s="101"/>
      <c r="D116" s="101"/>
      <c r="E116" s="101"/>
      <c r="F116" s="101"/>
      <c r="G116" s="101"/>
      <c r="H116" s="102">
        <f>W11</f>
        <v>0</v>
      </c>
      <c r="K116" s="99"/>
    </row>
    <row r="117" s="6" customFormat="1" ht="24" customHeight="1" spans="1:11">
      <c r="A117" s="100">
        <v>3</v>
      </c>
      <c r="B117" s="98" t="s">
        <v>438</v>
      </c>
      <c r="C117" s="101"/>
      <c r="D117" s="101"/>
      <c r="E117" s="101"/>
      <c r="F117" s="101"/>
      <c r="G117" s="101"/>
      <c r="H117" s="103">
        <f>H115-H116</f>
        <v>0</v>
      </c>
    </row>
    <row r="118" s="6" customFormat="1" ht="24" customHeight="1" spans="1:11">
      <c r="A118" s="100">
        <v>4</v>
      </c>
      <c r="B118" s="98" t="s">
        <v>439</v>
      </c>
      <c r="C118" s="102"/>
      <c r="D118" s="102">
        <v>0</v>
      </c>
      <c r="E118" s="102"/>
      <c r="F118" s="102"/>
      <c r="G118" s="102"/>
      <c r="H118" s="104">
        <f>C118+D118+E118+F118+G118</f>
        <v>0</v>
      </c>
      <c r="K118" s="105"/>
    </row>
    <row r="119" s="6" customFormat="1" ht="24" customHeight="1" spans="1:11">
      <c r="A119" s="100">
        <v>5</v>
      </c>
      <c r="B119" s="98" t="s">
        <v>440</v>
      </c>
      <c r="C119" s="102"/>
      <c r="D119" s="104">
        <v>0</v>
      </c>
      <c r="E119" s="104"/>
      <c r="F119" s="104"/>
      <c r="G119" s="104"/>
      <c r="H119" s="104">
        <f>C119+D119+E119+F119+G119</f>
        <v>0</v>
      </c>
    </row>
    <row r="120" s="6" customFormat="1" ht="24" customHeight="1" spans="1:11">
      <c r="A120" s="100">
        <v>6</v>
      </c>
      <c r="B120" s="104" t="s">
        <v>441</v>
      </c>
      <c r="C120" s="106" t="e">
        <f>ROUND(C118/H116,10)</f>
        <v>#DIV/0!</v>
      </c>
      <c r="D120" s="106" t="e">
        <f>ROUND((C118+D118)/H116,10)</f>
        <v>#DIV/0!</v>
      </c>
      <c r="E120" s="106" t="e">
        <f>ROUND((C118+D118+E118)/H116,10)</f>
        <v>#DIV/0!</v>
      </c>
      <c r="F120" s="106" t="e">
        <f>ROUND((C118+D118+E118+F118)/H116,10)</f>
        <v>#DIV/0!</v>
      </c>
      <c r="G120" s="106" t="e">
        <f>ROUND((C118+D118+E118+F118+G118)/H116,10)</f>
        <v>#DIV/0!</v>
      </c>
      <c r="H120" s="104"/>
    </row>
    <row r="121" s="6" customFormat="1" ht="24" customHeight="1" spans="1:11">
      <c r="A121" s="100">
        <v>7</v>
      </c>
      <c r="B121" s="104" t="s">
        <v>442</v>
      </c>
      <c r="C121" s="104">
        <f t="shared" ref="C121:G121" si="11">C119-C118</f>
        <v>0</v>
      </c>
      <c r="D121" s="104">
        <f t="shared" si="11"/>
        <v>0</v>
      </c>
      <c r="E121" s="104">
        <f t="shared" si="11"/>
        <v>0</v>
      </c>
      <c r="F121" s="104">
        <f t="shared" si="11"/>
        <v>0</v>
      </c>
      <c r="G121" s="104">
        <f t="shared" si="11"/>
        <v>0</v>
      </c>
      <c r="H121" s="104"/>
    </row>
    <row r="122" s="6" customFormat="1" ht="24" customHeight="1" spans="1:11">
      <c r="A122" s="100">
        <v>8</v>
      </c>
      <c r="B122" s="104" t="s">
        <v>443</v>
      </c>
      <c r="C122" s="104">
        <f>C119-C118</f>
        <v>0</v>
      </c>
      <c r="D122" s="104">
        <f>C121+D121</f>
        <v>0</v>
      </c>
      <c r="E122" s="104">
        <f>C121+D121+E121</f>
        <v>0</v>
      </c>
      <c r="F122" s="104">
        <f>C121+D121+E121+F121</f>
        <v>0</v>
      </c>
      <c r="G122" s="104">
        <f>C121+D121+E121+F121+G121</f>
        <v>0</v>
      </c>
      <c r="H122" s="104"/>
    </row>
    <row r="123" s="6" customFormat="1" ht="25.7" customHeight="1"/>
    <row r="124" s="6" customFormat="1" ht="25.7" customHeight="1" spans="1:11">
      <c r="B124" s="97" t="s">
        <v>444</v>
      </c>
      <c r="C124" s="97"/>
      <c r="D124" s="97"/>
      <c r="E124" s="97"/>
      <c r="F124" s="97"/>
      <c r="G124" s="97" t="s">
        <v>445</v>
      </c>
      <c r="H124" s="97"/>
    </row>
    <row r="126" customHeight="1" spans="1:11">
      <c r="A126" s="8" t="s">
        <v>446</v>
      </c>
    </row>
    <row r="127" customHeight="1" spans="1:11">
      <c r="A127" s="9" t="s">
        <v>98</v>
      </c>
      <c r="B127" s="9" t="s">
        <v>99</v>
      </c>
      <c r="C127" s="9" t="s">
        <v>100</v>
      </c>
      <c r="D127" s="9" t="s">
        <v>101</v>
      </c>
      <c r="E127" s="9" t="s">
        <v>447</v>
      </c>
      <c r="F127" s="9" t="s">
        <v>103</v>
      </c>
      <c r="G127" s="9" t="s">
        <v>104</v>
      </c>
    </row>
    <row r="128" ht="30" customHeight="1" spans="1:11">
      <c r="A128" s="107">
        <f>G11-T11-B107+C107-D107-E107-P107</f>
        <v>0</v>
      </c>
      <c r="B128" s="107">
        <f>H17-X17-J107+P107</f>
        <v>0</v>
      </c>
      <c r="C128" s="107" t="e">
        <f>SUMIFS($G$51:$G$76,$D$51:$D$76,C10)/H116*H115-O11</f>
        <v>#DIV/0!</v>
      </c>
      <c r="D128" s="107">
        <f>G12+G13-T12-T13-F107+G107-H107-I107+Q107</f>
        <v>0</v>
      </c>
      <c r="E128" s="107" t="e">
        <f>C11*(1-K4)-C12-C13</f>
        <v>#DIV/0!</v>
      </c>
      <c r="F128" s="107">
        <f>(SUMIFS($V$20:$V$46,$R$20:$R$46,C10)-SUMIFS($R$51:$R$76,$N$51:$N$76,C10))/1.09*0.02-D93</f>
        <v>0</v>
      </c>
      <c r="G128" s="107">
        <f>B107-C107+M107-N107</f>
        <v>0</v>
      </c>
    </row>
    <row r="129" ht="32.1" customHeight="1" spans="1:7">
      <c r="A129" s="18" t="s">
        <v>67</v>
      </c>
      <c r="B129" s="18" t="s">
        <v>67</v>
      </c>
      <c r="C129" s="18" t="s">
        <v>67</v>
      </c>
      <c r="D129" s="18" t="s">
        <v>67</v>
      </c>
      <c r="E129" s="108" t="s">
        <v>68</v>
      </c>
      <c r="F129" s="18" t="s">
        <v>67</v>
      </c>
      <c r="G129" s="108" t="s">
        <v>69</v>
      </c>
    </row>
    <row r="132" customHeight="1" spans="1:7">
      <c r="A132" s="1"/>
    </row>
  </sheetData>
  <autoFilter xmlns:etc="http://www.wps.cn/officeDocument/2017/etCustomData" ref="A50:AG65" etc:filterBottomFollowUsedRange="0">
    <extLst/>
  </autoFilter>
  <mergeCells count="70">
    <mergeCell ref="E2:J2"/>
    <mergeCell ref="B9:G9"/>
    <mergeCell ref="H9:M9"/>
    <mergeCell ref="N9:S9"/>
    <mergeCell ref="A18:K18"/>
    <mergeCell ref="L18:O18"/>
    <mergeCell ref="P18:Y18"/>
    <mergeCell ref="Z18:AG18"/>
    <mergeCell ref="A49:K49"/>
    <mergeCell ref="L49:U49"/>
    <mergeCell ref="V49:AC49"/>
    <mergeCell ref="A113:C113"/>
    <mergeCell ref="A2:A3"/>
    <mergeCell ref="A9:A10"/>
    <mergeCell ref="B2:B3"/>
    <mergeCell ref="C2:C3"/>
    <mergeCell ref="D2:D3"/>
    <mergeCell ref="K2:K3"/>
    <mergeCell ref="K4:K6"/>
    <mergeCell ref="L2:L3"/>
    <mergeCell ref="L4:L6"/>
    <mergeCell ref="M2:M3"/>
    <mergeCell ref="M4:M6"/>
    <mergeCell ref="N2:N3"/>
    <mergeCell ref="N4:N6"/>
    <mergeCell ref="O2:O3"/>
    <mergeCell ref="O4:O6"/>
    <mergeCell ref="P2:P3"/>
    <mergeCell ref="P4:P6"/>
    <mergeCell ref="Q2:Q3"/>
    <mergeCell ref="Q4:Q6"/>
    <mergeCell ref="R2:R3"/>
    <mergeCell ref="R4:R6"/>
    <mergeCell ref="S2:S3"/>
    <mergeCell ref="S4:S6"/>
    <mergeCell ref="T2:T3"/>
    <mergeCell ref="T4:T6"/>
    <mergeCell ref="T9:T10"/>
    <mergeCell ref="U2:U3"/>
    <mergeCell ref="U4:U6"/>
    <mergeCell ref="U9:U10"/>
    <mergeCell ref="U11:U13"/>
    <mergeCell ref="V2:V3"/>
    <mergeCell ref="V4:V6"/>
    <mergeCell ref="V9:V10"/>
    <mergeCell ref="V11:V13"/>
    <mergeCell ref="W2:W3"/>
    <mergeCell ref="W4:W6"/>
    <mergeCell ref="W9:W10"/>
    <mergeCell ref="W11:W13"/>
    <mergeCell ref="X2:X3"/>
    <mergeCell ref="X4:X6"/>
    <mergeCell ref="Y2:Y3"/>
    <mergeCell ref="Y4:Y6"/>
    <mergeCell ref="Z2:Z3"/>
    <mergeCell ref="Z4:Z6"/>
    <mergeCell ref="AA2:AA3"/>
    <mergeCell ref="AA4:AA6"/>
    <mergeCell ref="AB2:AB3"/>
    <mergeCell ref="AB4:AB6"/>
    <mergeCell ref="AC2:AC3"/>
    <mergeCell ref="AD2:AD3"/>
    <mergeCell ref="AE2:AE3"/>
    <mergeCell ref="AF2:AF3"/>
    <mergeCell ref="AG2:AG3"/>
    <mergeCell ref="AH2:AH3"/>
    <mergeCell ref="AI2:AI3"/>
    <mergeCell ref="AJ2:AJ3"/>
    <mergeCell ref="AJ4:AJ6"/>
    <mergeCell ref="A111:H112"/>
  </mergeCells>
  <dataValidations count="7">
    <dataValidation type="list" allowBlank="1" showInputMessage="1" showErrorMessage="1" sqref="N46 R46 R76 A20:A45 A59:A75 D51:D75 N51:N76 AB51:AB65">
      <formula1>"勘察设计,工程施工,设备采购,服务费,其他"</formula1>
    </dataValidation>
    <dataValidation type="list" allowBlank="1" showInputMessage="1" showErrorMessage="1" sqref="D20:D45">
      <formula1>"勘察设计,工程施工,设备采购,业主承担管理费,服务费"</formula1>
    </dataValidation>
    <dataValidation type="list" allowBlank="1" showInputMessage="1" showErrorMessage="1" sqref="F20:F45 F51:F58">
      <formula1>"6%,9%,13%"</formula1>
    </dataValidation>
    <dataValidation type="list" allowBlank="1" showInputMessage="1" showErrorMessage="1" sqref="N20:N45 R20:R45 AF20:AF45">
      <formula1>"勘察设计,工程施工,设备采购,业主承担管理费,服务费,其他"</formula1>
    </dataValidation>
    <dataValidation type="list" allowBlank="1" showInputMessage="1" showErrorMessage="1" sqref="V4:V6">
      <formula1>"铁路,公路,市政,房建,地铁、轻轨,其他基建"</formula1>
    </dataValidation>
    <dataValidation type="list" allowBlank="1" showInputMessage="1" showErrorMessage="1" sqref="X4:X5">
      <formula1>"竣工未决算,在建,收尾,竣工已决算,停缓建"</formula1>
    </dataValidation>
    <dataValidation type="list" allowBlank="1" showInputMessage="1" showErrorMessage="1" sqref="X51:X75 AB20:AB41">
      <formula1>"专户,集团户"</formula1>
    </dataValidation>
  </dataValidations>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项目汇总表</vt:lpstr>
      <vt:lpstr>账面数据</vt:lpstr>
      <vt:lpstr>武隆污水（不上系统）</vt:lpstr>
      <vt:lpstr>攀枝花大渡口</vt:lpstr>
      <vt:lpstr>攀枝花小沙坝</vt:lpstr>
      <vt:lpstr>攀枝花炳草岗</vt:lpstr>
      <vt:lpstr>XX项目 (6)</vt:lpstr>
      <vt:lpstr>XX项目 (7)</vt:lpstr>
      <vt:lpstr>XX项目 (8)</vt:lpstr>
      <vt:lpstr>XX项目 (9)</vt:lpstr>
      <vt:lpstr>XX项目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张滨瀚</cp:lastModifiedBy>
  <dcterms:created xsi:type="dcterms:W3CDTF">2024-08-13T08:27:00Z</dcterms:created>
  <dcterms:modified xsi:type="dcterms:W3CDTF">2025-12-05T10:11:06Z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97896552374C43A7AD600F4F4BCA6F65_13</vt:lpwstr>
  </property>
  <property fmtid="{D5CDD505-2E9C-101B-9397-08002B2CF9AE}" pid="3" name="KSOProductBuildVer">
    <vt:lpwstr>2052-12.1.0.23542</vt:lpwstr>
  </property>
</Properties>
</file>